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
    </mc:Choice>
  </mc:AlternateContent>
  <xr:revisionPtr revIDLastSave="645" documentId="8_{6FB0321F-2B5B-43A3-8297-E840FDC3BBD9}" xr6:coauthVersionLast="47" xr6:coauthVersionMax="47" xr10:uidLastSave="{72C9933B-D5B0-45B8-AD25-0F38A96695E1}"/>
  <bookViews>
    <workbookView xWindow="-108" yWindow="-108" windowWidth="23256" windowHeight="12456" tabRatio="914" xr2:uid="{00000000-000D-0000-FFFF-FFFF00000000}"/>
  </bookViews>
  <sheets>
    <sheet name="1. Status Resumo" sheetId="2" r:id="rId1"/>
    <sheet name="2. Status Detalhe Campos" sheetId="1" r:id="rId2"/>
    <sheet name="Aux" sheetId="4" state="hidden" r:id="rId3"/>
    <sheet name="3. Status Testes" sheetId="23" r:id="rId4"/>
    <sheet name="Detalhe Especificação -&gt;" sheetId="11" r:id="rId5"/>
    <sheet name="B02.00" sheetId="13" r:id="rId6"/>
    <sheet name="B05.00" sheetId="14" r:id="rId7"/>
    <sheet name="B90.00" sheetId="15" r:id="rId8"/>
    <sheet name="INPUTS -&gt;" sheetId="21" r:id="rId9"/>
    <sheet name="Controlos" sheetId="19" r:id="rId10"/>
  </sheets>
  <externalReferences>
    <externalReference r:id="rId11"/>
  </externalReferences>
  <definedNames>
    <definedName name="_xlnm._FilterDatabase" localSheetId="1" hidden="1">'2. Status Detalhe Campos'!$B$7:$N$313</definedName>
    <definedName name="_xlnm._FilterDatabase" localSheetId="3" hidden="1">'3. Status Testes'!$I$10:$AH$102</definedName>
    <definedName name="_xlnm._FilterDatabase" localSheetId="5" hidden="1">'B02.00'!$B$4:$V$85</definedName>
    <definedName name="_xlnm._FilterDatabase" localSheetId="6" hidden="1">'B05.00'!$B$4:$AJ$19</definedName>
    <definedName name="_xlnm._FilterDatabase" localSheetId="7" hidden="1">'B90.00'!$B$4:$AI$15</definedName>
    <definedName name="_xlnm._FilterDatabase" localSheetId="9" hidden="1">Controlos!$A$1:$H$157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7" i="23" l="1"/>
  <c r="AE157" i="23"/>
  <c r="AD157" i="23"/>
  <c r="AC157" i="23"/>
  <c r="AA157" i="23"/>
  <c r="AB157" i="23" s="1"/>
  <c r="Z157" i="23"/>
  <c r="X157" i="23"/>
  <c r="Y157" i="23" s="1"/>
  <c r="W157" i="23"/>
  <c r="V157" i="23"/>
  <c r="U157" i="23"/>
  <c r="T157" i="23"/>
  <c r="S157" i="23"/>
  <c r="R157" i="23"/>
  <c r="Q157" i="23"/>
  <c r="P157" i="23"/>
  <c r="O157" i="23"/>
  <c r="N157" i="23"/>
  <c r="M157" i="23"/>
  <c r="AF156" i="23"/>
  <c r="AE156" i="23"/>
  <c r="AD156" i="23"/>
  <c r="AC156" i="23"/>
  <c r="AA156" i="23"/>
  <c r="AB156" i="23" s="1"/>
  <c r="Z156" i="23"/>
  <c r="X156" i="23"/>
  <c r="Y156" i="23" s="1"/>
  <c r="W156" i="23"/>
  <c r="V156" i="23"/>
  <c r="U156" i="23"/>
  <c r="T156" i="23"/>
  <c r="S156" i="23"/>
  <c r="R156" i="23"/>
  <c r="Q156" i="23"/>
  <c r="P156" i="23"/>
  <c r="O156" i="23"/>
  <c r="N156" i="23"/>
  <c r="M156" i="23"/>
  <c r="AF155" i="23"/>
  <c r="AE155" i="23"/>
  <c r="AD155" i="23"/>
  <c r="AC155" i="23"/>
  <c r="AA155" i="23"/>
  <c r="AB155" i="23" s="1"/>
  <c r="Z155" i="23"/>
  <c r="X155" i="23"/>
  <c r="Y155" i="23" s="1"/>
  <c r="W155" i="23"/>
  <c r="V155" i="23"/>
  <c r="U155" i="23"/>
  <c r="T155" i="23"/>
  <c r="S155" i="23"/>
  <c r="R155" i="23"/>
  <c r="Q155" i="23"/>
  <c r="P155" i="23"/>
  <c r="O155" i="23"/>
  <c r="N155" i="23"/>
  <c r="M155" i="23"/>
  <c r="AF154" i="23"/>
  <c r="AE154" i="23"/>
  <c r="AD154" i="23"/>
  <c r="AC154" i="23"/>
  <c r="AA154" i="23"/>
  <c r="AB154" i="23" s="1"/>
  <c r="Z154" i="23"/>
  <c r="X154" i="23"/>
  <c r="Y154" i="23" s="1"/>
  <c r="W154" i="23"/>
  <c r="V154" i="23"/>
  <c r="U154" i="23"/>
  <c r="T154" i="23"/>
  <c r="S154" i="23"/>
  <c r="R154" i="23"/>
  <c r="Q154" i="23"/>
  <c r="P154" i="23"/>
  <c r="O154" i="23"/>
  <c r="N154" i="23"/>
  <c r="M154" i="23"/>
  <c r="AF153" i="23"/>
  <c r="AE153" i="23"/>
  <c r="AD153" i="23"/>
  <c r="AC153" i="23"/>
  <c r="AA153" i="23"/>
  <c r="AB153" i="23" s="1"/>
  <c r="Z153" i="23"/>
  <c r="X153" i="23"/>
  <c r="Y153" i="23" s="1"/>
  <c r="W153" i="23"/>
  <c r="V153" i="23"/>
  <c r="U153" i="23"/>
  <c r="T153" i="23"/>
  <c r="S153" i="23"/>
  <c r="R153" i="23"/>
  <c r="Q153" i="23"/>
  <c r="P153" i="23"/>
  <c r="O153" i="23"/>
  <c r="N153" i="23"/>
  <c r="M153" i="23"/>
  <c r="AF152" i="23"/>
  <c r="AE152" i="23"/>
  <c r="AD152" i="23"/>
  <c r="AC152" i="23"/>
  <c r="AA152" i="23"/>
  <c r="AB152" i="23" s="1"/>
  <c r="Z152" i="23"/>
  <c r="X152" i="23"/>
  <c r="Y152" i="23" s="1"/>
  <c r="W152" i="23"/>
  <c r="V152" i="23"/>
  <c r="U152" i="23"/>
  <c r="T152" i="23"/>
  <c r="S152" i="23"/>
  <c r="R152" i="23"/>
  <c r="Q152" i="23"/>
  <c r="P152" i="23"/>
  <c r="O152" i="23"/>
  <c r="N152" i="23"/>
  <c r="M152" i="23"/>
  <c r="AF151" i="23"/>
  <c r="AE151" i="23"/>
  <c r="AD151" i="23"/>
  <c r="AC151" i="23"/>
  <c r="AA151" i="23"/>
  <c r="AB151" i="23" s="1"/>
  <c r="Z151" i="23"/>
  <c r="X151" i="23"/>
  <c r="Y151" i="23" s="1"/>
  <c r="W151" i="23"/>
  <c r="V151" i="23"/>
  <c r="U151" i="23"/>
  <c r="T151" i="23"/>
  <c r="S151" i="23"/>
  <c r="R151" i="23"/>
  <c r="Q151" i="23"/>
  <c r="P151" i="23"/>
  <c r="O151" i="23"/>
  <c r="N151" i="23"/>
  <c r="M151" i="23"/>
  <c r="AF150" i="23"/>
  <c r="AE150" i="23"/>
  <c r="AD150" i="23"/>
  <c r="AC150" i="23"/>
  <c r="AA150" i="23"/>
  <c r="AB150" i="23" s="1"/>
  <c r="Z150" i="23"/>
  <c r="X150" i="23"/>
  <c r="Y150" i="23" s="1"/>
  <c r="W150" i="23"/>
  <c r="V150" i="23"/>
  <c r="U150" i="23"/>
  <c r="T150" i="23"/>
  <c r="S150" i="23"/>
  <c r="R150" i="23"/>
  <c r="Q150" i="23"/>
  <c r="P150" i="23"/>
  <c r="O150" i="23"/>
  <c r="N150" i="23"/>
  <c r="M150" i="23"/>
  <c r="AF149" i="23"/>
  <c r="AE149" i="23"/>
  <c r="AD149" i="23"/>
  <c r="AC149" i="23"/>
  <c r="AA149" i="23"/>
  <c r="AB149" i="23" s="1"/>
  <c r="Z149" i="23"/>
  <c r="X149" i="23"/>
  <c r="Y149" i="23" s="1"/>
  <c r="W149" i="23"/>
  <c r="V149" i="23"/>
  <c r="U149" i="23"/>
  <c r="T149" i="23"/>
  <c r="S149" i="23"/>
  <c r="R149" i="23"/>
  <c r="Q149" i="23"/>
  <c r="P149" i="23"/>
  <c r="O149" i="23"/>
  <c r="N149" i="23"/>
  <c r="M149" i="23"/>
  <c r="AF148" i="23"/>
  <c r="AE148" i="23"/>
  <c r="AD148" i="23"/>
  <c r="AC148" i="23"/>
  <c r="AA148" i="23"/>
  <c r="AB148" i="23" s="1"/>
  <c r="Z148" i="23"/>
  <c r="X148" i="23"/>
  <c r="Y148" i="23" s="1"/>
  <c r="W148" i="23"/>
  <c r="V148" i="23"/>
  <c r="U148" i="23"/>
  <c r="T148" i="23"/>
  <c r="S148" i="23"/>
  <c r="R148" i="23"/>
  <c r="Q148" i="23"/>
  <c r="P148" i="23"/>
  <c r="O148" i="23"/>
  <c r="N148" i="23"/>
  <c r="M148" i="23"/>
  <c r="AF147" i="23"/>
  <c r="AE147" i="23"/>
  <c r="AD147" i="23"/>
  <c r="AC147" i="23"/>
  <c r="AA147" i="23"/>
  <c r="AB147" i="23" s="1"/>
  <c r="Z147" i="23"/>
  <c r="X147" i="23"/>
  <c r="Y147" i="23" s="1"/>
  <c r="W147" i="23"/>
  <c r="V147" i="23"/>
  <c r="U147" i="23"/>
  <c r="T147" i="23"/>
  <c r="S147" i="23"/>
  <c r="R147" i="23"/>
  <c r="Q147" i="23"/>
  <c r="P147" i="23"/>
  <c r="O147" i="23"/>
  <c r="N147" i="23"/>
  <c r="M147" i="23"/>
  <c r="AF146" i="23"/>
  <c r="AE146" i="23"/>
  <c r="AD146" i="23"/>
  <c r="AC146" i="23"/>
  <c r="AA146" i="23"/>
  <c r="AB146" i="23" s="1"/>
  <c r="Z146" i="23"/>
  <c r="X146" i="23"/>
  <c r="Y146" i="23" s="1"/>
  <c r="W146" i="23"/>
  <c r="V146" i="23"/>
  <c r="U146" i="23"/>
  <c r="T146" i="23"/>
  <c r="S146" i="23"/>
  <c r="R146" i="23"/>
  <c r="Q146" i="23"/>
  <c r="P146" i="23"/>
  <c r="O146" i="23"/>
  <c r="N146" i="23"/>
  <c r="M146" i="23"/>
  <c r="AF145" i="23"/>
  <c r="AE145" i="23"/>
  <c r="AD145" i="23"/>
  <c r="AC145" i="23"/>
  <c r="AA145" i="23"/>
  <c r="AB145" i="23" s="1"/>
  <c r="Z145" i="23"/>
  <c r="X145" i="23"/>
  <c r="Y145" i="23" s="1"/>
  <c r="W145" i="23"/>
  <c r="V145" i="23"/>
  <c r="U145" i="23"/>
  <c r="T145" i="23"/>
  <c r="S145" i="23"/>
  <c r="R145" i="23"/>
  <c r="Q145" i="23"/>
  <c r="P145" i="23"/>
  <c r="O145" i="23"/>
  <c r="N145" i="23"/>
  <c r="M145" i="23"/>
  <c r="AF144" i="23"/>
  <c r="AE144" i="23"/>
  <c r="AD144" i="23"/>
  <c r="AC144" i="23"/>
  <c r="AA144" i="23"/>
  <c r="AB144" i="23" s="1"/>
  <c r="Z144" i="23"/>
  <c r="X144" i="23"/>
  <c r="Y144" i="23" s="1"/>
  <c r="W144" i="23"/>
  <c r="V144" i="23"/>
  <c r="U144" i="23"/>
  <c r="T144" i="23"/>
  <c r="S144" i="23"/>
  <c r="R144" i="23"/>
  <c r="Q144" i="23"/>
  <c r="P144" i="23"/>
  <c r="O144" i="23"/>
  <c r="N144" i="23"/>
  <c r="M144" i="23"/>
  <c r="AF143" i="23"/>
  <c r="AE143" i="23"/>
  <c r="AD143" i="23"/>
  <c r="AC143" i="23"/>
  <c r="AA143" i="23"/>
  <c r="AB143" i="23" s="1"/>
  <c r="Z143" i="23"/>
  <c r="X143" i="23"/>
  <c r="Y143" i="23" s="1"/>
  <c r="W143" i="23"/>
  <c r="V143" i="23"/>
  <c r="U143" i="23"/>
  <c r="T143" i="23"/>
  <c r="S143" i="23"/>
  <c r="R143" i="23"/>
  <c r="Q143" i="23"/>
  <c r="P143" i="23"/>
  <c r="O143" i="23"/>
  <c r="N143" i="23"/>
  <c r="M143" i="23"/>
  <c r="AF142" i="23"/>
  <c r="AE142" i="23"/>
  <c r="AD142" i="23"/>
  <c r="AC142" i="23"/>
  <c r="AA142" i="23"/>
  <c r="AB142" i="23" s="1"/>
  <c r="Z142" i="23"/>
  <c r="X142" i="23"/>
  <c r="Y142" i="23" s="1"/>
  <c r="W142" i="23"/>
  <c r="V142" i="23"/>
  <c r="U142" i="23"/>
  <c r="T142" i="23"/>
  <c r="S142" i="23"/>
  <c r="R142" i="23"/>
  <c r="Q142" i="23"/>
  <c r="P142" i="23"/>
  <c r="O142" i="23"/>
  <c r="N142" i="23"/>
  <c r="M142" i="23"/>
  <c r="AF141" i="23"/>
  <c r="AE141" i="23"/>
  <c r="AD141" i="23"/>
  <c r="AC141" i="23"/>
  <c r="AA141" i="23"/>
  <c r="AB141" i="23" s="1"/>
  <c r="Z141" i="23"/>
  <c r="X141" i="23"/>
  <c r="Y141" i="23" s="1"/>
  <c r="W141" i="23"/>
  <c r="V141" i="23"/>
  <c r="U141" i="23"/>
  <c r="T141" i="23"/>
  <c r="S141" i="23"/>
  <c r="R141" i="23"/>
  <c r="Q141" i="23"/>
  <c r="P141" i="23"/>
  <c r="O141" i="23"/>
  <c r="N141" i="23"/>
  <c r="M141" i="23"/>
  <c r="AF140" i="23"/>
  <c r="AE140" i="23"/>
  <c r="AD140" i="23"/>
  <c r="AC140" i="23"/>
  <c r="AA140" i="23"/>
  <c r="AB140" i="23" s="1"/>
  <c r="Z140" i="23"/>
  <c r="X140" i="23"/>
  <c r="Y140" i="23" s="1"/>
  <c r="W140" i="23"/>
  <c r="V140" i="23"/>
  <c r="U140" i="23"/>
  <c r="T140" i="23"/>
  <c r="S140" i="23"/>
  <c r="R140" i="23"/>
  <c r="Q140" i="23"/>
  <c r="P140" i="23"/>
  <c r="O140" i="23"/>
  <c r="N140" i="23"/>
  <c r="M140" i="23"/>
  <c r="AF139" i="23"/>
  <c r="AE139" i="23"/>
  <c r="AD139" i="23"/>
  <c r="AC139" i="23"/>
  <c r="AA139" i="23"/>
  <c r="AB139" i="23" s="1"/>
  <c r="Z139" i="23"/>
  <c r="X139" i="23"/>
  <c r="Y139" i="23" s="1"/>
  <c r="W139" i="23"/>
  <c r="V139" i="23"/>
  <c r="U139" i="23"/>
  <c r="T139" i="23"/>
  <c r="S139" i="23"/>
  <c r="R139" i="23"/>
  <c r="Q139" i="23"/>
  <c r="P139" i="23"/>
  <c r="O139" i="23"/>
  <c r="N139" i="23"/>
  <c r="M139" i="23"/>
  <c r="AF138" i="23"/>
  <c r="AE138" i="23"/>
  <c r="AD138" i="23"/>
  <c r="AC138" i="23"/>
  <c r="AA138" i="23"/>
  <c r="AB138" i="23" s="1"/>
  <c r="Z138" i="23"/>
  <c r="X138" i="23"/>
  <c r="Y138" i="23" s="1"/>
  <c r="W138" i="23"/>
  <c r="V138" i="23"/>
  <c r="U138" i="23"/>
  <c r="T138" i="23"/>
  <c r="S138" i="23"/>
  <c r="R138" i="23"/>
  <c r="Q138" i="23"/>
  <c r="P138" i="23"/>
  <c r="O138" i="23"/>
  <c r="N138" i="23"/>
  <c r="M138" i="23"/>
  <c r="AF137" i="23"/>
  <c r="AE137" i="23"/>
  <c r="AD137" i="23"/>
  <c r="AC137" i="23"/>
  <c r="AA137" i="23"/>
  <c r="AB137" i="23" s="1"/>
  <c r="Z137" i="23"/>
  <c r="X137" i="23"/>
  <c r="Y137" i="23" s="1"/>
  <c r="W137" i="23"/>
  <c r="V137" i="23"/>
  <c r="U137" i="23"/>
  <c r="T137" i="23"/>
  <c r="S137" i="23"/>
  <c r="R137" i="23"/>
  <c r="Q137" i="23"/>
  <c r="P137" i="23"/>
  <c r="O137" i="23"/>
  <c r="N137" i="23"/>
  <c r="M137" i="23"/>
  <c r="AF136" i="23"/>
  <c r="AE136" i="23"/>
  <c r="AD136" i="23"/>
  <c r="AC136" i="23"/>
  <c r="AA136" i="23"/>
  <c r="AB136" i="23" s="1"/>
  <c r="Z136" i="23"/>
  <c r="X136" i="23"/>
  <c r="Y136" i="23" s="1"/>
  <c r="W136" i="23"/>
  <c r="V136" i="23"/>
  <c r="U136" i="23"/>
  <c r="T136" i="23"/>
  <c r="S136" i="23"/>
  <c r="R136" i="23"/>
  <c r="Q136" i="23"/>
  <c r="P136" i="23"/>
  <c r="O136" i="23"/>
  <c r="N136" i="23"/>
  <c r="M136" i="23"/>
  <c r="AF135" i="23"/>
  <c r="AE135" i="23"/>
  <c r="AD135" i="23"/>
  <c r="AC135" i="23"/>
  <c r="AA135" i="23"/>
  <c r="AB135" i="23" s="1"/>
  <c r="Z135" i="23"/>
  <c r="X135" i="23"/>
  <c r="Y135" i="23" s="1"/>
  <c r="W135" i="23"/>
  <c r="V135" i="23"/>
  <c r="U135" i="23"/>
  <c r="T135" i="23"/>
  <c r="S135" i="23"/>
  <c r="R135" i="23"/>
  <c r="Q135" i="23"/>
  <c r="P135" i="23"/>
  <c r="O135" i="23"/>
  <c r="N135" i="23"/>
  <c r="M135" i="23"/>
  <c r="AF134" i="23"/>
  <c r="AE134" i="23"/>
  <c r="AD134" i="23"/>
  <c r="AC134" i="23"/>
  <c r="AA134" i="23"/>
  <c r="AB134" i="23" s="1"/>
  <c r="Z134" i="23"/>
  <c r="X134" i="23"/>
  <c r="Y134" i="23" s="1"/>
  <c r="W134" i="23"/>
  <c r="V134" i="23"/>
  <c r="U134" i="23"/>
  <c r="T134" i="23"/>
  <c r="S134" i="23"/>
  <c r="R134" i="23"/>
  <c r="Q134" i="23"/>
  <c r="P134" i="23"/>
  <c r="O134" i="23"/>
  <c r="N134" i="23"/>
  <c r="M134" i="23"/>
  <c r="AF133" i="23"/>
  <c r="AE133" i="23"/>
  <c r="AD133" i="23"/>
  <c r="AC133" i="23"/>
  <c r="AA133" i="23"/>
  <c r="AB133" i="23" s="1"/>
  <c r="Z133" i="23"/>
  <c r="X133" i="23"/>
  <c r="Y133" i="23" s="1"/>
  <c r="W133" i="23"/>
  <c r="V133" i="23"/>
  <c r="U133" i="23"/>
  <c r="T133" i="23"/>
  <c r="S133" i="23"/>
  <c r="R133" i="23"/>
  <c r="Q133" i="23"/>
  <c r="P133" i="23"/>
  <c r="O133" i="23"/>
  <c r="N133" i="23"/>
  <c r="M133" i="23"/>
  <c r="AF132" i="23"/>
  <c r="AE132" i="23"/>
  <c r="AD132" i="23"/>
  <c r="AC132" i="23"/>
  <c r="AA132" i="23"/>
  <c r="AB132" i="23" s="1"/>
  <c r="Z132" i="23"/>
  <c r="X132" i="23"/>
  <c r="Y132" i="23" s="1"/>
  <c r="W132" i="23"/>
  <c r="V132" i="23"/>
  <c r="U132" i="23"/>
  <c r="T132" i="23"/>
  <c r="S132" i="23"/>
  <c r="R132" i="23"/>
  <c r="Q132" i="23"/>
  <c r="P132" i="23"/>
  <c r="O132" i="23"/>
  <c r="N132" i="23"/>
  <c r="M132" i="23"/>
  <c r="AF131" i="23"/>
  <c r="AE131" i="23"/>
  <c r="AD131" i="23"/>
  <c r="AC131" i="23"/>
  <c r="AA131" i="23"/>
  <c r="AB131" i="23" s="1"/>
  <c r="Z131" i="23"/>
  <c r="X131" i="23"/>
  <c r="Y131" i="23" s="1"/>
  <c r="W131" i="23"/>
  <c r="V131" i="23"/>
  <c r="U131" i="23"/>
  <c r="T131" i="23"/>
  <c r="S131" i="23"/>
  <c r="R131" i="23"/>
  <c r="Q131" i="23"/>
  <c r="P131" i="23"/>
  <c r="O131" i="23"/>
  <c r="N131" i="23"/>
  <c r="M131" i="23"/>
  <c r="AF130" i="23"/>
  <c r="AE130" i="23"/>
  <c r="AD130" i="23"/>
  <c r="AC130" i="23"/>
  <c r="AA130" i="23"/>
  <c r="AB130" i="23" s="1"/>
  <c r="Z130" i="23"/>
  <c r="X130" i="23"/>
  <c r="Y130" i="23" s="1"/>
  <c r="W130" i="23"/>
  <c r="V130" i="23"/>
  <c r="U130" i="23"/>
  <c r="T130" i="23"/>
  <c r="S130" i="23"/>
  <c r="R130" i="23"/>
  <c r="Q130" i="23"/>
  <c r="P130" i="23"/>
  <c r="O130" i="23"/>
  <c r="N130" i="23"/>
  <c r="M130" i="23"/>
  <c r="AF129" i="23"/>
  <c r="AE129" i="23"/>
  <c r="AD129" i="23"/>
  <c r="AC129" i="23"/>
  <c r="AA129" i="23"/>
  <c r="AB129" i="23" s="1"/>
  <c r="Z129" i="23"/>
  <c r="X129" i="23"/>
  <c r="Y129" i="23" s="1"/>
  <c r="W129" i="23"/>
  <c r="V129" i="23"/>
  <c r="U129" i="23"/>
  <c r="T129" i="23"/>
  <c r="S129" i="23"/>
  <c r="R129" i="23"/>
  <c r="Q129" i="23"/>
  <c r="P129" i="23"/>
  <c r="O129" i="23"/>
  <c r="N129" i="23"/>
  <c r="M129" i="23"/>
  <c r="AF128" i="23"/>
  <c r="AE128" i="23"/>
  <c r="AD128" i="23"/>
  <c r="AC128" i="23"/>
  <c r="AA128" i="23"/>
  <c r="AB128" i="23" s="1"/>
  <c r="Z128" i="23"/>
  <c r="X128" i="23"/>
  <c r="Y128" i="23" s="1"/>
  <c r="W128" i="23"/>
  <c r="V128" i="23"/>
  <c r="U128" i="23"/>
  <c r="T128" i="23"/>
  <c r="S128" i="23"/>
  <c r="R128" i="23"/>
  <c r="Q128" i="23"/>
  <c r="P128" i="23"/>
  <c r="O128" i="23"/>
  <c r="N128" i="23"/>
  <c r="M128" i="23"/>
  <c r="AF127" i="23"/>
  <c r="AE127" i="23"/>
  <c r="AD127" i="23"/>
  <c r="AC127" i="23"/>
  <c r="AA127" i="23"/>
  <c r="Z127" i="23"/>
  <c r="X127" i="23"/>
  <c r="W127" i="23"/>
  <c r="V127" i="23"/>
  <c r="U127" i="23"/>
  <c r="T127" i="23"/>
  <c r="S127" i="23"/>
  <c r="R127" i="23"/>
  <c r="Q127" i="23"/>
  <c r="P127" i="23"/>
  <c r="O127" i="23"/>
  <c r="N127" i="23"/>
  <c r="M127" i="23"/>
  <c r="AF126" i="23"/>
  <c r="AE126" i="23"/>
  <c r="AD126" i="23"/>
  <c r="AC126" i="23"/>
  <c r="AA126" i="23"/>
  <c r="AB126" i="23" s="1"/>
  <c r="Z126" i="23"/>
  <c r="X126" i="23"/>
  <c r="W126" i="23"/>
  <c r="V126" i="23"/>
  <c r="U126" i="23"/>
  <c r="T126" i="23"/>
  <c r="S126" i="23"/>
  <c r="R126" i="23"/>
  <c r="Q126" i="23"/>
  <c r="P126" i="23"/>
  <c r="O126" i="23"/>
  <c r="Y126" i="23" s="1"/>
  <c r="N126" i="23"/>
  <c r="M126" i="23"/>
  <c r="AF125" i="23"/>
  <c r="AE125" i="23"/>
  <c r="AD125" i="23"/>
  <c r="AC125" i="23"/>
  <c r="AA125" i="23"/>
  <c r="AB125" i="23" s="1"/>
  <c r="Z125" i="23"/>
  <c r="X125" i="23"/>
  <c r="Y125" i="23" s="1"/>
  <c r="W125" i="23"/>
  <c r="V125" i="23"/>
  <c r="U125" i="23"/>
  <c r="T125" i="23"/>
  <c r="S125" i="23"/>
  <c r="R125" i="23"/>
  <c r="Q125" i="23"/>
  <c r="P125" i="23"/>
  <c r="O125" i="23"/>
  <c r="N125" i="23"/>
  <c r="M125" i="23"/>
  <c r="AF124" i="23"/>
  <c r="AE124" i="23"/>
  <c r="AD124" i="23"/>
  <c r="AC124" i="23"/>
  <c r="AA124" i="23"/>
  <c r="Z124" i="23"/>
  <c r="X124" i="23"/>
  <c r="Y124" i="23" s="1"/>
  <c r="W124" i="23"/>
  <c r="V124" i="23"/>
  <c r="U124" i="23"/>
  <c r="T124" i="23"/>
  <c r="S124" i="23"/>
  <c r="R124" i="23"/>
  <c r="Q124" i="23"/>
  <c r="P124" i="23"/>
  <c r="O124" i="23"/>
  <c r="AB124" i="23" s="1"/>
  <c r="N124" i="23"/>
  <c r="M124" i="23"/>
  <c r="AF123" i="23"/>
  <c r="AE123" i="23"/>
  <c r="AD123" i="23"/>
  <c r="AC123" i="23"/>
  <c r="AB123" i="23"/>
  <c r="AA123" i="23"/>
  <c r="Z123" i="23"/>
  <c r="X123" i="23"/>
  <c r="Y123" i="23" s="1"/>
  <c r="W123" i="23"/>
  <c r="V123" i="23"/>
  <c r="U123" i="23"/>
  <c r="T123" i="23"/>
  <c r="S123" i="23"/>
  <c r="R123" i="23"/>
  <c r="Q123" i="23"/>
  <c r="P123" i="23"/>
  <c r="O123" i="23"/>
  <c r="N123" i="23"/>
  <c r="M123" i="23"/>
  <c r="AF122" i="23"/>
  <c r="AE122" i="23"/>
  <c r="AD122" i="23"/>
  <c r="AC122" i="23"/>
  <c r="AA122" i="23"/>
  <c r="Z122" i="23"/>
  <c r="Y122" i="23"/>
  <c r="X122" i="23"/>
  <c r="W122" i="23"/>
  <c r="V122" i="23"/>
  <c r="U122" i="23"/>
  <c r="T122" i="23"/>
  <c r="S122" i="23"/>
  <c r="R122" i="23"/>
  <c r="Q122" i="23"/>
  <c r="P122" i="23"/>
  <c r="O122" i="23"/>
  <c r="AB122" i="23" s="1"/>
  <c r="N122" i="23"/>
  <c r="M122" i="23"/>
  <c r="AF121" i="23"/>
  <c r="AE121" i="23"/>
  <c r="AD121" i="23"/>
  <c r="AC121" i="23"/>
  <c r="AA121" i="23"/>
  <c r="AB121" i="23" s="1"/>
  <c r="Z121" i="23"/>
  <c r="X121" i="23"/>
  <c r="W121" i="23"/>
  <c r="V121" i="23"/>
  <c r="U121" i="23"/>
  <c r="T121" i="23"/>
  <c r="S121" i="23"/>
  <c r="R121" i="23"/>
  <c r="Q121" i="23"/>
  <c r="P121" i="23"/>
  <c r="O121" i="23"/>
  <c r="N121" i="23"/>
  <c r="M121" i="23"/>
  <c r="AF120" i="23"/>
  <c r="AE120" i="23"/>
  <c r="AD120" i="23"/>
  <c r="AC120" i="23"/>
  <c r="AA120" i="23"/>
  <c r="AB120" i="23" s="1"/>
  <c r="Z120" i="23"/>
  <c r="X120" i="23"/>
  <c r="Y120" i="23" s="1"/>
  <c r="W120" i="23"/>
  <c r="V120" i="23"/>
  <c r="U120" i="23"/>
  <c r="T120" i="23"/>
  <c r="S120" i="23"/>
  <c r="R120" i="23"/>
  <c r="Q120" i="23"/>
  <c r="P120" i="23"/>
  <c r="O120" i="23"/>
  <c r="N120" i="23"/>
  <c r="M120" i="23"/>
  <c r="AF119" i="23"/>
  <c r="AE119" i="23"/>
  <c r="AD119" i="23"/>
  <c r="AC119" i="23"/>
  <c r="AA119" i="23"/>
  <c r="AB119" i="23" s="1"/>
  <c r="Z119" i="23"/>
  <c r="X119" i="23"/>
  <c r="W119" i="23"/>
  <c r="V119" i="23"/>
  <c r="U119" i="23"/>
  <c r="T119" i="23"/>
  <c r="S119" i="23"/>
  <c r="R119" i="23"/>
  <c r="Q119" i="23"/>
  <c r="P119" i="23"/>
  <c r="O119" i="23"/>
  <c r="N119" i="23"/>
  <c r="M119" i="23"/>
  <c r="AF118" i="23"/>
  <c r="AE118" i="23"/>
  <c r="AD118" i="23"/>
  <c r="AC118" i="23"/>
  <c r="AA118" i="23"/>
  <c r="Z118" i="23"/>
  <c r="X118" i="23"/>
  <c r="W118" i="23"/>
  <c r="V118" i="23"/>
  <c r="U118" i="23"/>
  <c r="T118" i="23"/>
  <c r="S118" i="23"/>
  <c r="R118" i="23"/>
  <c r="Q118" i="23"/>
  <c r="P118" i="23"/>
  <c r="O118" i="23"/>
  <c r="N118" i="23"/>
  <c r="M118" i="23"/>
  <c r="AF117" i="23"/>
  <c r="AE117" i="23"/>
  <c r="AD117" i="23"/>
  <c r="AC117" i="23"/>
  <c r="AA117" i="23"/>
  <c r="AB117" i="23" s="1"/>
  <c r="Z117" i="23"/>
  <c r="X117" i="23"/>
  <c r="Y117" i="23" s="1"/>
  <c r="W117" i="23"/>
  <c r="V117" i="23"/>
  <c r="U117" i="23"/>
  <c r="T117" i="23"/>
  <c r="S117" i="23"/>
  <c r="R117" i="23"/>
  <c r="Q117" i="23"/>
  <c r="P117" i="23"/>
  <c r="O117" i="23"/>
  <c r="N117" i="23"/>
  <c r="M117" i="23"/>
  <c r="AF116" i="23"/>
  <c r="AE116" i="23"/>
  <c r="AD116" i="23"/>
  <c r="AC116" i="23"/>
  <c r="AA116" i="23"/>
  <c r="Z116" i="23"/>
  <c r="Y116" i="23"/>
  <c r="X116" i="23"/>
  <c r="W116" i="23"/>
  <c r="V116" i="23"/>
  <c r="U116" i="23"/>
  <c r="T116" i="23"/>
  <c r="S116" i="23"/>
  <c r="R116" i="23"/>
  <c r="Q116" i="23"/>
  <c r="P116" i="23"/>
  <c r="O116" i="23"/>
  <c r="AB116" i="23" s="1"/>
  <c r="N116" i="23"/>
  <c r="M116" i="23"/>
  <c r="AF115" i="23"/>
  <c r="AE115" i="23"/>
  <c r="AD115" i="23"/>
  <c r="AC115" i="23"/>
  <c r="AB115" i="23"/>
  <c r="AA115" i="23"/>
  <c r="Z115" i="23"/>
  <c r="X115" i="23"/>
  <c r="Y115" i="23" s="1"/>
  <c r="W115" i="23"/>
  <c r="V115" i="23"/>
  <c r="U115" i="23"/>
  <c r="T115" i="23"/>
  <c r="S115" i="23"/>
  <c r="R115" i="23"/>
  <c r="Q115" i="23"/>
  <c r="P115" i="23"/>
  <c r="O115" i="23"/>
  <c r="N115" i="23"/>
  <c r="M115" i="23"/>
  <c r="AF114" i="23"/>
  <c r="AE114" i="23"/>
  <c r="AD114" i="23"/>
  <c r="AC114" i="23"/>
  <c r="AA114" i="23"/>
  <c r="Z114" i="23"/>
  <c r="X114" i="23"/>
  <c r="Y114" i="23" s="1"/>
  <c r="W114" i="23"/>
  <c r="V114" i="23"/>
  <c r="U114" i="23"/>
  <c r="T114" i="23"/>
  <c r="S114" i="23"/>
  <c r="R114" i="23"/>
  <c r="Q114" i="23"/>
  <c r="P114" i="23"/>
  <c r="O114" i="23"/>
  <c r="AB114" i="23" s="1"/>
  <c r="N114" i="23"/>
  <c r="M114" i="23"/>
  <c r="AF113" i="23"/>
  <c r="AE113" i="23"/>
  <c r="AD113" i="23"/>
  <c r="AC113" i="23"/>
  <c r="AB113" i="23"/>
  <c r="AA113" i="23"/>
  <c r="Z113" i="23"/>
  <c r="X113" i="23"/>
  <c r="Y113" i="23" s="1"/>
  <c r="W113" i="23"/>
  <c r="V113" i="23"/>
  <c r="U113" i="23"/>
  <c r="T113" i="23"/>
  <c r="S113" i="23"/>
  <c r="R113" i="23"/>
  <c r="Q113" i="23"/>
  <c r="P113" i="23"/>
  <c r="O113" i="23"/>
  <c r="N113" i="23"/>
  <c r="M113" i="23"/>
  <c r="AF112" i="23"/>
  <c r="AE112" i="23"/>
  <c r="AD112" i="23"/>
  <c r="AC112" i="23"/>
  <c r="AA112" i="23"/>
  <c r="Z112" i="23"/>
  <c r="X112" i="23"/>
  <c r="W112" i="23"/>
  <c r="V112" i="23"/>
  <c r="U112" i="23"/>
  <c r="T112" i="23"/>
  <c r="S112" i="23"/>
  <c r="R112" i="23"/>
  <c r="Q112" i="23"/>
  <c r="P112" i="23"/>
  <c r="O112" i="23"/>
  <c r="AB112" i="23" s="1"/>
  <c r="N112" i="23"/>
  <c r="M112" i="23"/>
  <c r="AF111" i="23"/>
  <c r="AE111" i="23"/>
  <c r="AD111" i="23"/>
  <c r="AC111" i="23"/>
  <c r="AA111" i="23"/>
  <c r="Z111" i="23"/>
  <c r="X111" i="23"/>
  <c r="W111" i="23"/>
  <c r="V111" i="23"/>
  <c r="U111" i="23"/>
  <c r="T111" i="23"/>
  <c r="S111" i="23"/>
  <c r="R111" i="23"/>
  <c r="Q111" i="23"/>
  <c r="P111" i="23"/>
  <c r="O111" i="23"/>
  <c r="N111" i="23"/>
  <c r="M111" i="23"/>
  <c r="AF110" i="23"/>
  <c r="AE110" i="23"/>
  <c r="AD110" i="23"/>
  <c r="AC110" i="23"/>
  <c r="AA110" i="23"/>
  <c r="Z110" i="23"/>
  <c r="X110" i="23"/>
  <c r="Y110" i="23" s="1"/>
  <c r="W110" i="23"/>
  <c r="V110" i="23"/>
  <c r="U110" i="23"/>
  <c r="T110" i="23"/>
  <c r="S110" i="23"/>
  <c r="R110" i="23"/>
  <c r="Q110" i="23"/>
  <c r="P110" i="23"/>
  <c r="O110" i="23"/>
  <c r="N110" i="23"/>
  <c r="M110" i="23"/>
  <c r="AF109" i="23"/>
  <c r="AE109" i="23"/>
  <c r="AD109" i="23"/>
  <c r="AC109" i="23"/>
  <c r="AB109" i="23"/>
  <c r="AA109" i="23"/>
  <c r="Z109" i="23"/>
  <c r="X109" i="23"/>
  <c r="Y109" i="23" s="1"/>
  <c r="W109" i="23"/>
  <c r="V109" i="23"/>
  <c r="U109" i="23"/>
  <c r="T109" i="23"/>
  <c r="S109" i="23"/>
  <c r="R109" i="23"/>
  <c r="Q109" i="23"/>
  <c r="P109" i="23"/>
  <c r="O109" i="23"/>
  <c r="N109" i="23"/>
  <c r="M109" i="23"/>
  <c r="AF108" i="23"/>
  <c r="AE108" i="23"/>
  <c r="AD108" i="23"/>
  <c r="AC108" i="23"/>
  <c r="AA108" i="23"/>
  <c r="Z108" i="23"/>
  <c r="X108" i="23"/>
  <c r="W108" i="23"/>
  <c r="V108" i="23"/>
  <c r="U108" i="23"/>
  <c r="T108" i="23"/>
  <c r="S108" i="23"/>
  <c r="R108" i="23"/>
  <c r="Q108" i="23"/>
  <c r="P108" i="23"/>
  <c r="O108" i="23"/>
  <c r="N108" i="23"/>
  <c r="M108" i="23"/>
  <c r="AF107" i="23"/>
  <c r="AE107" i="23"/>
  <c r="AD107" i="23"/>
  <c r="AC107" i="23"/>
  <c r="AA107" i="23"/>
  <c r="AB107" i="23" s="1"/>
  <c r="Z107" i="23"/>
  <c r="X107" i="23"/>
  <c r="Y107" i="23" s="1"/>
  <c r="W107" i="23"/>
  <c r="V107" i="23"/>
  <c r="U107" i="23"/>
  <c r="T107" i="23"/>
  <c r="S107" i="23"/>
  <c r="R107" i="23"/>
  <c r="Q107" i="23"/>
  <c r="P107" i="23"/>
  <c r="O107" i="23"/>
  <c r="N107" i="23"/>
  <c r="M107" i="23"/>
  <c r="AF106" i="23"/>
  <c r="AE106" i="23"/>
  <c r="AD106" i="23"/>
  <c r="AC106" i="23"/>
  <c r="AA106" i="23"/>
  <c r="Z106" i="23"/>
  <c r="X106" i="23"/>
  <c r="W106" i="23"/>
  <c r="V106" i="23"/>
  <c r="U106" i="23"/>
  <c r="T106" i="23"/>
  <c r="S106" i="23"/>
  <c r="R106" i="23"/>
  <c r="Q106" i="23"/>
  <c r="P106" i="23"/>
  <c r="O106" i="23"/>
  <c r="AB106" i="23" s="1"/>
  <c r="N106" i="23"/>
  <c r="M106" i="23"/>
  <c r="AF105" i="23"/>
  <c r="AE105" i="23"/>
  <c r="AD105" i="23"/>
  <c r="AC105" i="23"/>
  <c r="AA105" i="23"/>
  <c r="AB105" i="23" s="1"/>
  <c r="Z105" i="23"/>
  <c r="X105" i="23"/>
  <c r="Y105" i="23" s="1"/>
  <c r="W105" i="23"/>
  <c r="V105" i="23"/>
  <c r="U105" i="23"/>
  <c r="T105" i="23"/>
  <c r="S105" i="23"/>
  <c r="R105" i="23"/>
  <c r="Q105" i="23"/>
  <c r="P105" i="23"/>
  <c r="O105" i="23"/>
  <c r="N105" i="23"/>
  <c r="M105" i="23"/>
  <c r="AF104" i="23"/>
  <c r="AE104" i="23"/>
  <c r="AD104" i="23"/>
  <c r="AC104" i="23"/>
  <c r="AA104" i="23"/>
  <c r="Z104" i="23"/>
  <c r="X104" i="23"/>
  <c r="W104" i="23"/>
  <c r="V104" i="23"/>
  <c r="U104" i="23"/>
  <c r="T104" i="23"/>
  <c r="S104" i="23"/>
  <c r="R104" i="23"/>
  <c r="Q104" i="23"/>
  <c r="P104" i="23"/>
  <c r="O104" i="23"/>
  <c r="AB104" i="23" s="1"/>
  <c r="N104" i="23"/>
  <c r="M104" i="23"/>
  <c r="AB102" i="23"/>
  <c r="Z102" i="23"/>
  <c r="Y102" i="23"/>
  <c r="W102" i="23"/>
  <c r="U102" i="23"/>
  <c r="S102" i="23"/>
  <c r="R102" i="23"/>
  <c r="P102" i="23"/>
  <c r="H102" i="23"/>
  <c r="AB101" i="23"/>
  <c r="Z101" i="23"/>
  <c r="Y101" i="23"/>
  <c r="W101" i="23"/>
  <c r="U101" i="23"/>
  <c r="S101" i="23"/>
  <c r="R101" i="23"/>
  <c r="P101" i="23"/>
  <c r="H101" i="23"/>
  <c r="AB100" i="23"/>
  <c r="Z100" i="23"/>
  <c r="Y100" i="23"/>
  <c r="W100" i="23"/>
  <c r="U100" i="23"/>
  <c r="S100" i="23"/>
  <c r="R100" i="23"/>
  <c r="P100" i="23"/>
  <c r="H100" i="23"/>
  <c r="AB99" i="23"/>
  <c r="Z99" i="23"/>
  <c r="Y99" i="23"/>
  <c r="W99" i="23"/>
  <c r="U99" i="23"/>
  <c r="S99" i="23"/>
  <c r="R99" i="23"/>
  <c r="P99" i="23"/>
  <c r="H99" i="23"/>
  <c r="AB98" i="23"/>
  <c r="Z98" i="23"/>
  <c r="Y98" i="23"/>
  <c r="W98" i="23"/>
  <c r="U98" i="23"/>
  <c r="S98" i="23"/>
  <c r="R98" i="23"/>
  <c r="P98" i="23"/>
  <c r="H98" i="23"/>
  <c r="AB97" i="23"/>
  <c r="Z97" i="23"/>
  <c r="Y97" i="23"/>
  <c r="W97" i="23"/>
  <c r="U97" i="23"/>
  <c r="S97" i="23"/>
  <c r="R97" i="23"/>
  <c r="P97" i="23"/>
  <c r="H97" i="23"/>
  <c r="AB96" i="23"/>
  <c r="Z96" i="23"/>
  <c r="Y96" i="23"/>
  <c r="W96" i="23"/>
  <c r="U96" i="23"/>
  <c r="S96" i="23"/>
  <c r="R96" i="23"/>
  <c r="P96" i="23"/>
  <c r="H96" i="23"/>
  <c r="AB95" i="23"/>
  <c r="Z95" i="23"/>
  <c r="Y95" i="23"/>
  <c r="W95" i="23"/>
  <c r="U95" i="23"/>
  <c r="S95" i="23"/>
  <c r="R95" i="23"/>
  <c r="P95" i="23"/>
  <c r="H95" i="23"/>
  <c r="AB94" i="23"/>
  <c r="Z94" i="23"/>
  <c r="Y94" i="23"/>
  <c r="W94" i="23"/>
  <c r="U94" i="23"/>
  <c r="S94" i="23"/>
  <c r="R94" i="23"/>
  <c r="P94" i="23"/>
  <c r="H94" i="23"/>
  <c r="AB93" i="23"/>
  <c r="Z93" i="23"/>
  <c r="Y93" i="23"/>
  <c r="W93" i="23"/>
  <c r="U93" i="23"/>
  <c r="S93" i="23"/>
  <c r="R93" i="23"/>
  <c r="P93" i="23"/>
  <c r="H93" i="23"/>
  <c r="AB92" i="23"/>
  <c r="Z92" i="23"/>
  <c r="Y92" i="23"/>
  <c r="W92" i="23"/>
  <c r="U92" i="23"/>
  <c r="S92" i="23"/>
  <c r="R92" i="23"/>
  <c r="P92" i="23"/>
  <c r="L92" i="23"/>
  <c r="H92" i="23"/>
  <c r="AB91" i="23"/>
  <c r="Z91" i="23"/>
  <c r="Y91" i="23"/>
  <c r="S91" i="23"/>
  <c r="L91" i="23"/>
  <c r="H91" i="23"/>
  <c r="G91" i="23"/>
  <c r="F91" i="23"/>
  <c r="E91" i="23"/>
  <c r="W91" i="23" s="1"/>
  <c r="D91" i="23"/>
  <c r="U91" i="23" s="1"/>
  <c r="C91" i="23"/>
  <c r="R91" i="23" s="1"/>
  <c r="B91" i="23"/>
  <c r="P91" i="23" s="1"/>
  <c r="A91" i="23"/>
  <c r="AB90" i="23"/>
  <c r="Y90" i="23"/>
  <c r="R90" i="23"/>
  <c r="L90" i="23"/>
  <c r="H90" i="23"/>
  <c r="G90" i="23"/>
  <c r="F90" i="23"/>
  <c r="Z90" i="23" s="1"/>
  <c r="E90" i="23"/>
  <c r="W90" i="23" s="1"/>
  <c r="D90" i="23"/>
  <c r="U90" i="23" s="1"/>
  <c r="C90" i="23"/>
  <c r="S90" i="23" s="1"/>
  <c r="B90" i="23"/>
  <c r="P90" i="23" s="1"/>
  <c r="A90" i="23"/>
  <c r="AB89" i="23"/>
  <c r="Y89" i="23"/>
  <c r="R89" i="23"/>
  <c r="L89" i="23"/>
  <c r="H89" i="23"/>
  <c r="G89" i="23"/>
  <c r="F89" i="23"/>
  <c r="Z89" i="23" s="1"/>
  <c r="E89" i="23"/>
  <c r="W89" i="23" s="1"/>
  <c r="D89" i="23"/>
  <c r="U89" i="23" s="1"/>
  <c r="C89" i="23"/>
  <c r="S89" i="23" s="1"/>
  <c r="B89" i="23"/>
  <c r="P89" i="23" s="1"/>
  <c r="A89" i="23"/>
  <c r="AB88" i="23"/>
  <c r="Y88" i="23"/>
  <c r="W88" i="23"/>
  <c r="U88" i="23"/>
  <c r="S88" i="23"/>
  <c r="L88" i="23"/>
  <c r="H88" i="23"/>
  <c r="G88" i="23"/>
  <c r="F88" i="23"/>
  <c r="Z88" i="23" s="1"/>
  <c r="E88" i="23"/>
  <c r="D88" i="23"/>
  <c r="C88" i="23"/>
  <c r="R88" i="23" s="1"/>
  <c r="B88" i="23"/>
  <c r="P88" i="23" s="1"/>
  <c r="A88" i="23"/>
  <c r="AB87" i="23"/>
  <c r="Y87" i="23"/>
  <c r="W87" i="23"/>
  <c r="U87" i="23"/>
  <c r="S87" i="23"/>
  <c r="L87" i="23"/>
  <c r="H87" i="23"/>
  <c r="G87" i="23"/>
  <c r="F87" i="23"/>
  <c r="Z87" i="23" s="1"/>
  <c r="E87" i="23"/>
  <c r="D87" i="23"/>
  <c r="C87" i="23"/>
  <c r="B87" i="23"/>
  <c r="P87" i="23" s="1"/>
  <c r="A87" i="23"/>
  <c r="R87" i="23" s="1"/>
  <c r="AB86" i="23"/>
  <c r="Y86" i="23"/>
  <c r="U86" i="23"/>
  <c r="L86" i="23"/>
  <c r="H86" i="23"/>
  <c r="G86" i="23"/>
  <c r="F86" i="23"/>
  <c r="Z86" i="23" s="1"/>
  <c r="E86" i="23"/>
  <c r="W86" i="23" s="1"/>
  <c r="D86" i="23"/>
  <c r="C86" i="23"/>
  <c r="S86" i="23" s="1"/>
  <c r="B86" i="23"/>
  <c r="P86" i="23" s="1"/>
  <c r="A86" i="23"/>
  <c r="R86" i="23" s="1"/>
  <c r="AB85" i="23"/>
  <c r="Y85" i="23"/>
  <c r="W85" i="23"/>
  <c r="L85" i="23"/>
  <c r="H85" i="23"/>
  <c r="G85" i="23"/>
  <c r="F85" i="23"/>
  <c r="Z85" i="23" s="1"/>
  <c r="E85" i="23"/>
  <c r="D85" i="23"/>
  <c r="U85" i="23" s="1"/>
  <c r="C85" i="23"/>
  <c r="S85" i="23" s="1"/>
  <c r="B85" i="23"/>
  <c r="P85" i="23" s="1"/>
  <c r="A85" i="23"/>
  <c r="R85" i="23" s="1"/>
  <c r="AB84" i="23"/>
  <c r="Z84" i="23"/>
  <c r="Y84" i="23"/>
  <c r="R84" i="23"/>
  <c r="L84" i="23"/>
  <c r="H84" i="23"/>
  <c r="G84" i="23"/>
  <c r="F84" i="23"/>
  <c r="E84" i="23"/>
  <c r="W84" i="23" s="1"/>
  <c r="D84" i="23"/>
  <c r="U84" i="23" s="1"/>
  <c r="C84" i="23"/>
  <c r="S84" i="23" s="1"/>
  <c r="B84" i="23"/>
  <c r="P84" i="23" s="1"/>
  <c r="A84" i="23"/>
  <c r="AB83" i="23"/>
  <c r="Z83" i="23"/>
  <c r="Y83" i="23"/>
  <c r="L83" i="23"/>
  <c r="H83" i="23"/>
  <c r="G83" i="23"/>
  <c r="F83" i="23"/>
  <c r="E83" i="23"/>
  <c r="W83" i="23" s="1"/>
  <c r="D83" i="23"/>
  <c r="U83" i="23" s="1"/>
  <c r="C83" i="23"/>
  <c r="S83" i="23" s="1"/>
  <c r="B83" i="23"/>
  <c r="P83" i="23" s="1"/>
  <c r="A83" i="23"/>
  <c r="AB82" i="23"/>
  <c r="Y82" i="23"/>
  <c r="L82" i="23"/>
  <c r="H82" i="23"/>
  <c r="G82" i="23"/>
  <c r="F82" i="23"/>
  <c r="Z82" i="23" s="1"/>
  <c r="E82" i="23"/>
  <c r="W82" i="23" s="1"/>
  <c r="D82" i="23"/>
  <c r="U82" i="23" s="1"/>
  <c r="C82" i="23"/>
  <c r="S82" i="23" s="1"/>
  <c r="B82" i="23"/>
  <c r="P82" i="23" s="1"/>
  <c r="A82" i="23"/>
  <c r="R82" i="23" s="1"/>
  <c r="AB81" i="23"/>
  <c r="Y81" i="23"/>
  <c r="L81" i="23"/>
  <c r="H81" i="23"/>
  <c r="G81" i="23"/>
  <c r="F81" i="23"/>
  <c r="Z81" i="23" s="1"/>
  <c r="E81" i="23"/>
  <c r="W81" i="23" s="1"/>
  <c r="D81" i="23"/>
  <c r="U81" i="23" s="1"/>
  <c r="C81" i="23"/>
  <c r="S81" i="23" s="1"/>
  <c r="B81" i="23"/>
  <c r="P81" i="23" s="1"/>
  <c r="A81" i="23"/>
  <c r="AB80" i="23"/>
  <c r="Z80" i="23"/>
  <c r="Y80" i="23"/>
  <c r="R80" i="23"/>
  <c r="L80" i="23"/>
  <c r="H80" i="23"/>
  <c r="G80" i="23"/>
  <c r="F80" i="23"/>
  <c r="E80" i="23"/>
  <c r="W80" i="23" s="1"/>
  <c r="D80" i="23"/>
  <c r="U80" i="23" s="1"/>
  <c r="C80" i="23"/>
  <c r="S80" i="23" s="1"/>
  <c r="B80" i="23"/>
  <c r="P80" i="23" s="1"/>
  <c r="A80" i="23"/>
  <c r="AB79" i="23"/>
  <c r="Y79" i="23"/>
  <c r="W79" i="23"/>
  <c r="U79" i="23"/>
  <c r="S79" i="23"/>
  <c r="L79" i="23"/>
  <c r="H79" i="23"/>
  <c r="G79" i="23"/>
  <c r="F79" i="23"/>
  <c r="Z79" i="23" s="1"/>
  <c r="E79" i="23"/>
  <c r="D79" i="23"/>
  <c r="C79" i="23"/>
  <c r="B79" i="23"/>
  <c r="P79" i="23" s="1"/>
  <c r="A79" i="23"/>
  <c r="R79" i="23" s="1"/>
  <c r="AB78" i="23"/>
  <c r="Z78" i="23"/>
  <c r="Y78" i="23"/>
  <c r="U78" i="23"/>
  <c r="L78" i="23"/>
  <c r="H78" i="23"/>
  <c r="G78" i="23"/>
  <c r="F78" i="23"/>
  <c r="E78" i="23"/>
  <c r="W78" i="23" s="1"/>
  <c r="D78" i="23"/>
  <c r="C78" i="23"/>
  <c r="S78" i="23" s="1"/>
  <c r="B78" i="23"/>
  <c r="P78" i="23" s="1"/>
  <c r="A78" i="23"/>
  <c r="R78" i="23" s="1"/>
  <c r="AB77" i="23"/>
  <c r="Z77" i="23"/>
  <c r="Y77" i="23"/>
  <c r="W77" i="23"/>
  <c r="L77" i="23"/>
  <c r="H77" i="23"/>
  <c r="G77" i="23"/>
  <c r="F77" i="23"/>
  <c r="E77" i="23"/>
  <c r="D77" i="23"/>
  <c r="U77" i="23" s="1"/>
  <c r="C77" i="23"/>
  <c r="S77" i="23" s="1"/>
  <c r="B77" i="23"/>
  <c r="P77" i="23" s="1"/>
  <c r="A77" i="23"/>
  <c r="R77" i="23" s="1"/>
  <c r="AB76" i="23"/>
  <c r="Z76" i="23"/>
  <c r="Y76" i="23"/>
  <c r="R76" i="23"/>
  <c r="L76" i="23"/>
  <c r="H76" i="23"/>
  <c r="G76" i="23"/>
  <c r="F76" i="23"/>
  <c r="E76" i="23"/>
  <c r="W76" i="23" s="1"/>
  <c r="D76" i="23"/>
  <c r="U76" i="23" s="1"/>
  <c r="C76" i="23"/>
  <c r="S76" i="23" s="1"/>
  <c r="B76" i="23"/>
  <c r="P76" i="23" s="1"/>
  <c r="A76" i="23"/>
  <c r="AB75" i="23"/>
  <c r="Z75" i="23"/>
  <c r="Y75" i="23"/>
  <c r="L75" i="23"/>
  <c r="H75" i="23"/>
  <c r="G75" i="23"/>
  <c r="F75" i="23"/>
  <c r="E75" i="23"/>
  <c r="W75" i="23" s="1"/>
  <c r="D75" i="23"/>
  <c r="U75" i="23" s="1"/>
  <c r="C75" i="23"/>
  <c r="S75" i="23" s="1"/>
  <c r="B75" i="23"/>
  <c r="P75" i="23" s="1"/>
  <c r="A75" i="23"/>
  <c r="AB74" i="23"/>
  <c r="Y74" i="23"/>
  <c r="S74" i="23"/>
  <c r="L74" i="23"/>
  <c r="H74" i="23"/>
  <c r="G74" i="23"/>
  <c r="F74" i="23"/>
  <c r="Z74" i="23" s="1"/>
  <c r="E74" i="23"/>
  <c r="W74" i="23" s="1"/>
  <c r="D74" i="23"/>
  <c r="U74" i="23" s="1"/>
  <c r="C74" i="23"/>
  <c r="R74" i="23" s="1"/>
  <c r="B74" i="23"/>
  <c r="P74" i="23" s="1"/>
  <c r="A74" i="23"/>
  <c r="AB73" i="23"/>
  <c r="Y73" i="23"/>
  <c r="R73" i="23"/>
  <c r="L73" i="23"/>
  <c r="H73" i="23"/>
  <c r="G73" i="23"/>
  <c r="F73" i="23"/>
  <c r="Z73" i="23" s="1"/>
  <c r="E73" i="23"/>
  <c r="W73" i="23" s="1"/>
  <c r="D73" i="23"/>
  <c r="U73" i="23" s="1"/>
  <c r="C73" i="23"/>
  <c r="S73" i="23" s="1"/>
  <c r="B73" i="23"/>
  <c r="P73" i="23" s="1"/>
  <c r="A73" i="23"/>
  <c r="AB72" i="23"/>
  <c r="Y72" i="23"/>
  <c r="W72" i="23"/>
  <c r="U72" i="23"/>
  <c r="S72" i="23"/>
  <c r="L72" i="23"/>
  <c r="H72" i="23"/>
  <c r="G72" i="23"/>
  <c r="F72" i="23"/>
  <c r="Z72" i="23" s="1"/>
  <c r="E72" i="23"/>
  <c r="D72" i="23"/>
  <c r="C72" i="23"/>
  <c r="B72" i="23"/>
  <c r="P72" i="23" s="1"/>
  <c r="A72" i="23"/>
  <c r="R72" i="23" s="1"/>
  <c r="AB71" i="23"/>
  <c r="Y71" i="23"/>
  <c r="W71" i="23"/>
  <c r="U71" i="23"/>
  <c r="S71" i="23"/>
  <c r="L71" i="23"/>
  <c r="H71" i="23"/>
  <c r="G71" i="23"/>
  <c r="F71" i="23"/>
  <c r="Z71" i="23" s="1"/>
  <c r="E71" i="23"/>
  <c r="D71" i="23"/>
  <c r="C71" i="23"/>
  <c r="B71" i="23"/>
  <c r="P71" i="23" s="1"/>
  <c r="A71" i="23"/>
  <c r="R71" i="23" s="1"/>
  <c r="AB70" i="23"/>
  <c r="Y70" i="23"/>
  <c r="W70" i="23"/>
  <c r="U70" i="23"/>
  <c r="R70" i="23"/>
  <c r="L70" i="23"/>
  <c r="H70" i="23"/>
  <c r="G70" i="23"/>
  <c r="F70" i="23"/>
  <c r="Z70" i="23" s="1"/>
  <c r="E70" i="23"/>
  <c r="D70" i="23"/>
  <c r="C70" i="23"/>
  <c r="S70" i="23" s="1"/>
  <c r="B70" i="23"/>
  <c r="P70" i="23" s="1"/>
  <c r="A70" i="23"/>
  <c r="AB69" i="23"/>
  <c r="Y69" i="23"/>
  <c r="W69" i="23"/>
  <c r="R69" i="23"/>
  <c r="L69" i="23"/>
  <c r="H69" i="23"/>
  <c r="G69" i="23"/>
  <c r="F69" i="23"/>
  <c r="Z69" i="23" s="1"/>
  <c r="E69" i="23"/>
  <c r="D69" i="23"/>
  <c r="U69" i="23" s="1"/>
  <c r="C69" i="23"/>
  <c r="S69" i="23" s="1"/>
  <c r="B69" i="23"/>
  <c r="P69" i="23" s="1"/>
  <c r="A69" i="23"/>
  <c r="AB68" i="23"/>
  <c r="Z68" i="23"/>
  <c r="Y68" i="23"/>
  <c r="R68" i="23"/>
  <c r="L68" i="23"/>
  <c r="H68" i="23"/>
  <c r="G68" i="23"/>
  <c r="F68" i="23"/>
  <c r="E68" i="23"/>
  <c r="W68" i="23" s="1"/>
  <c r="D68" i="23"/>
  <c r="U68" i="23" s="1"/>
  <c r="C68" i="23"/>
  <c r="S68" i="23" s="1"/>
  <c r="B68" i="23"/>
  <c r="P68" i="23" s="1"/>
  <c r="A68" i="23"/>
  <c r="AB67" i="23"/>
  <c r="Y67" i="23"/>
  <c r="S67" i="23"/>
  <c r="L67" i="23"/>
  <c r="H67" i="23"/>
  <c r="G67" i="23"/>
  <c r="F67" i="23"/>
  <c r="Z67" i="23" s="1"/>
  <c r="E67" i="23"/>
  <c r="W67" i="23" s="1"/>
  <c r="D67" i="23"/>
  <c r="U67" i="23" s="1"/>
  <c r="C67" i="23"/>
  <c r="B67" i="23"/>
  <c r="P67" i="23" s="1"/>
  <c r="A67" i="23"/>
  <c r="R67" i="23" s="1"/>
  <c r="AB66" i="23"/>
  <c r="Y66" i="23"/>
  <c r="W66" i="23"/>
  <c r="U66" i="23"/>
  <c r="S66" i="23"/>
  <c r="L66" i="23"/>
  <c r="H66" i="23"/>
  <c r="G66" i="23"/>
  <c r="F66" i="23"/>
  <c r="Z66" i="23" s="1"/>
  <c r="E66" i="23"/>
  <c r="D66" i="23"/>
  <c r="C66" i="23"/>
  <c r="B66" i="23"/>
  <c r="P66" i="23" s="1"/>
  <c r="A66" i="23"/>
  <c r="R66" i="23" s="1"/>
  <c r="AB65" i="23"/>
  <c r="Y65" i="23"/>
  <c r="W65" i="23"/>
  <c r="U65" i="23"/>
  <c r="L65" i="23"/>
  <c r="H65" i="23"/>
  <c r="G65" i="23"/>
  <c r="F65" i="23"/>
  <c r="Z65" i="23" s="1"/>
  <c r="E65" i="23"/>
  <c r="D65" i="23"/>
  <c r="C65" i="23"/>
  <c r="S65" i="23" s="1"/>
  <c r="B65" i="23"/>
  <c r="P65" i="23" s="1"/>
  <c r="A65" i="23"/>
  <c r="AB64" i="23"/>
  <c r="Y64" i="23"/>
  <c r="W64" i="23"/>
  <c r="L64" i="23"/>
  <c r="H64" i="23"/>
  <c r="G64" i="23"/>
  <c r="F64" i="23"/>
  <c r="Z64" i="23" s="1"/>
  <c r="E64" i="23"/>
  <c r="D64" i="23"/>
  <c r="U64" i="23" s="1"/>
  <c r="C64" i="23"/>
  <c r="S64" i="23" s="1"/>
  <c r="B64" i="23"/>
  <c r="P64" i="23" s="1"/>
  <c r="A64" i="23"/>
  <c r="R64" i="23" s="1"/>
  <c r="AB63" i="23"/>
  <c r="Y63" i="23"/>
  <c r="S63" i="23"/>
  <c r="L63" i="23"/>
  <c r="H63" i="23"/>
  <c r="G63" i="23"/>
  <c r="F63" i="23"/>
  <c r="Z63" i="23" s="1"/>
  <c r="E63" i="23"/>
  <c r="W63" i="23" s="1"/>
  <c r="D63" i="23"/>
  <c r="U63" i="23" s="1"/>
  <c r="C63" i="23"/>
  <c r="B63" i="23"/>
  <c r="P63" i="23" s="1"/>
  <c r="A63" i="23"/>
  <c r="R63" i="23" s="1"/>
  <c r="AB62" i="23"/>
  <c r="Y62" i="23"/>
  <c r="U62" i="23"/>
  <c r="L62" i="23"/>
  <c r="H62" i="23"/>
  <c r="G62" i="23"/>
  <c r="F62" i="23"/>
  <c r="Z62" i="23" s="1"/>
  <c r="E62" i="23"/>
  <c r="W62" i="23" s="1"/>
  <c r="D62" i="23"/>
  <c r="C62" i="23"/>
  <c r="S62" i="23" s="1"/>
  <c r="B62" i="23"/>
  <c r="P62" i="23" s="1"/>
  <c r="A62" i="23"/>
  <c r="R62" i="23" s="1"/>
  <c r="AB61" i="23"/>
  <c r="Z61" i="23"/>
  <c r="Y61" i="23"/>
  <c r="W61" i="23"/>
  <c r="L61" i="23"/>
  <c r="H61" i="23"/>
  <c r="G61" i="23"/>
  <c r="F61" i="23"/>
  <c r="E61" i="23"/>
  <c r="D61" i="23"/>
  <c r="U61" i="23" s="1"/>
  <c r="C61" i="23"/>
  <c r="S61" i="23" s="1"/>
  <c r="B61" i="23"/>
  <c r="P61" i="23" s="1"/>
  <c r="A61" i="23"/>
  <c r="R61" i="23" s="1"/>
  <c r="AB60" i="23"/>
  <c r="Z60" i="23"/>
  <c r="Y60" i="23"/>
  <c r="U60" i="23"/>
  <c r="L60" i="23"/>
  <c r="H60" i="23"/>
  <c r="G60" i="23"/>
  <c r="F60" i="23"/>
  <c r="E60" i="23"/>
  <c r="W60" i="23" s="1"/>
  <c r="D60" i="23"/>
  <c r="C60" i="23"/>
  <c r="S60" i="23" s="1"/>
  <c r="B60" i="23"/>
  <c r="P60" i="23" s="1"/>
  <c r="A60" i="23"/>
  <c r="R60" i="23" s="1"/>
  <c r="AB59" i="23"/>
  <c r="Y59" i="23"/>
  <c r="W59" i="23"/>
  <c r="L59" i="23"/>
  <c r="H59" i="23"/>
  <c r="G59" i="23"/>
  <c r="F59" i="23"/>
  <c r="Z59" i="23" s="1"/>
  <c r="E59" i="23"/>
  <c r="D59" i="23"/>
  <c r="U59" i="23" s="1"/>
  <c r="C59" i="23"/>
  <c r="S59" i="23" s="1"/>
  <c r="B59" i="23"/>
  <c r="P59" i="23" s="1"/>
  <c r="A59" i="23"/>
  <c r="R59" i="23" s="1"/>
  <c r="AB58" i="23"/>
  <c r="Y58" i="23"/>
  <c r="W58" i="23"/>
  <c r="L58" i="23"/>
  <c r="H58" i="23"/>
  <c r="G58" i="23"/>
  <c r="F58" i="23"/>
  <c r="Z58" i="23" s="1"/>
  <c r="E58" i="23"/>
  <c r="D58" i="23"/>
  <c r="U58" i="23" s="1"/>
  <c r="C58" i="23"/>
  <c r="S58" i="23" s="1"/>
  <c r="B58" i="23"/>
  <c r="P58" i="23" s="1"/>
  <c r="A58" i="23"/>
  <c r="R58" i="23" s="1"/>
  <c r="AB57" i="23"/>
  <c r="Z57" i="23"/>
  <c r="Y57" i="23"/>
  <c r="S57" i="23"/>
  <c r="L57" i="23"/>
  <c r="H57" i="23"/>
  <c r="G57" i="23"/>
  <c r="F57" i="23"/>
  <c r="E57" i="23"/>
  <c r="W57" i="23" s="1"/>
  <c r="D57" i="23"/>
  <c r="U57" i="23" s="1"/>
  <c r="C57" i="23"/>
  <c r="R57" i="23" s="1"/>
  <c r="B57" i="23"/>
  <c r="P57" i="23" s="1"/>
  <c r="A57" i="23"/>
  <c r="AB56" i="23"/>
  <c r="Z56" i="23"/>
  <c r="Y56" i="23"/>
  <c r="L56" i="23"/>
  <c r="H56" i="23"/>
  <c r="G56" i="23"/>
  <c r="F56" i="23"/>
  <c r="E56" i="23"/>
  <c r="W56" i="23" s="1"/>
  <c r="D56" i="23"/>
  <c r="U56" i="23" s="1"/>
  <c r="C56" i="23"/>
  <c r="S56" i="23" s="1"/>
  <c r="B56" i="23"/>
  <c r="P56" i="23" s="1"/>
  <c r="A56" i="23"/>
  <c r="R56" i="23" s="1"/>
  <c r="AB55" i="23"/>
  <c r="Z55" i="23"/>
  <c r="Y55" i="23"/>
  <c r="U55" i="23"/>
  <c r="S55" i="23"/>
  <c r="L55" i="23"/>
  <c r="H55" i="23"/>
  <c r="G55" i="23"/>
  <c r="F55" i="23"/>
  <c r="E55" i="23"/>
  <c r="W55" i="23" s="1"/>
  <c r="D55" i="23"/>
  <c r="C55" i="23"/>
  <c r="B55" i="23"/>
  <c r="P55" i="23" s="1"/>
  <c r="A55" i="23"/>
  <c r="R55" i="23" s="1"/>
  <c r="AB54" i="23"/>
  <c r="Z54" i="23"/>
  <c r="Y54" i="23"/>
  <c r="U54" i="23"/>
  <c r="L54" i="23"/>
  <c r="H54" i="23"/>
  <c r="G54" i="23"/>
  <c r="F54" i="23"/>
  <c r="E54" i="23"/>
  <c r="W54" i="23" s="1"/>
  <c r="D54" i="23"/>
  <c r="C54" i="23"/>
  <c r="S54" i="23" s="1"/>
  <c r="B54" i="23"/>
  <c r="P54" i="23" s="1"/>
  <c r="A54" i="23"/>
  <c r="AB53" i="23"/>
  <c r="Z53" i="23"/>
  <c r="Y53" i="23"/>
  <c r="W53" i="23"/>
  <c r="L53" i="23"/>
  <c r="H53" i="23"/>
  <c r="G53" i="23"/>
  <c r="F53" i="23"/>
  <c r="E53" i="23"/>
  <c r="D53" i="23"/>
  <c r="U53" i="23" s="1"/>
  <c r="C53" i="23"/>
  <c r="S53" i="23" s="1"/>
  <c r="B53" i="23"/>
  <c r="P53" i="23" s="1"/>
  <c r="A53" i="23"/>
  <c r="AB52" i="23"/>
  <c r="Z52" i="23"/>
  <c r="Y52" i="23"/>
  <c r="L52" i="23"/>
  <c r="H52" i="23"/>
  <c r="G52" i="23"/>
  <c r="F52" i="23"/>
  <c r="E52" i="23"/>
  <c r="W52" i="23" s="1"/>
  <c r="D52" i="23"/>
  <c r="U52" i="23" s="1"/>
  <c r="C52" i="23"/>
  <c r="S52" i="23" s="1"/>
  <c r="B52" i="23"/>
  <c r="P52" i="23" s="1"/>
  <c r="A52" i="23"/>
  <c r="R52" i="23" s="1"/>
  <c r="AB51" i="23"/>
  <c r="Z51" i="23"/>
  <c r="Y51" i="23"/>
  <c r="L51" i="23"/>
  <c r="H51" i="23"/>
  <c r="G51" i="23"/>
  <c r="F51" i="23"/>
  <c r="E51" i="23"/>
  <c r="W51" i="23" s="1"/>
  <c r="D51" i="23"/>
  <c r="U51" i="23" s="1"/>
  <c r="C51" i="23"/>
  <c r="S51" i="23" s="1"/>
  <c r="B51" i="23"/>
  <c r="P51" i="23" s="1"/>
  <c r="A51" i="23"/>
  <c r="R51" i="23" s="1"/>
  <c r="AB50" i="23"/>
  <c r="Y50" i="23"/>
  <c r="L50" i="23"/>
  <c r="H50" i="23"/>
  <c r="G50" i="23"/>
  <c r="F50" i="23"/>
  <c r="Z50" i="23" s="1"/>
  <c r="E50" i="23"/>
  <c r="W50" i="23" s="1"/>
  <c r="D50" i="23"/>
  <c r="U50" i="23" s="1"/>
  <c r="C50" i="23"/>
  <c r="S50" i="23" s="1"/>
  <c r="B50" i="23"/>
  <c r="P50" i="23" s="1"/>
  <c r="A50" i="23"/>
  <c r="R50" i="23" s="1"/>
  <c r="AB49" i="23"/>
  <c r="Y49" i="23"/>
  <c r="L49" i="23"/>
  <c r="H49" i="23"/>
  <c r="G49" i="23"/>
  <c r="F49" i="23"/>
  <c r="Z49" i="23" s="1"/>
  <c r="E49" i="23"/>
  <c r="W49" i="23" s="1"/>
  <c r="D49" i="23"/>
  <c r="U49" i="23" s="1"/>
  <c r="C49" i="23"/>
  <c r="S49" i="23" s="1"/>
  <c r="B49" i="23"/>
  <c r="P49" i="23" s="1"/>
  <c r="A49" i="23"/>
  <c r="AB48" i="23"/>
  <c r="Y48" i="23"/>
  <c r="L48" i="23"/>
  <c r="H48" i="23"/>
  <c r="G48" i="23"/>
  <c r="F48" i="23"/>
  <c r="Z48" i="23" s="1"/>
  <c r="E48" i="23"/>
  <c r="W48" i="23" s="1"/>
  <c r="D48" i="23"/>
  <c r="U48" i="23" s="1"/>
  <c r="C48" i="23"/>
  <c r="S48" i="23" s="1"/>
  <c r="B48" i="23"/>
  <c r="P48" i="23" s="1"/>
  <c r="A48" i="23"/>
  <c r="R48" i="23" s="1"/>
  <c r="AB47" i="23"/>
  <c r="Y47" i="23"/>
  <c r="S47" i="23"/>
  <c r="L47" i="23"/>
  <c r="H47" i="23"/>
  <c r="G47" i="23"/>
  <c r="F47" i="23"/>
  <c r="Z47" i="23" s="1"/>
  <c r="E47" i="23"/>
  <c r="W47" i="23" s="1"/>
  <c r="D47" i="23"/>
  <c r="U47" i="23" s="1"/>
  <c r="C47" i="23"/>
  <c r="B47" i="23"/>
  <c r="P47" i="23" s="1"/>
  <c r="A47" i="23"/>
  <c r="R47" i="23" s="1"/>
  <c r="AB46" i="23"/>
  <c r="Y46" i="23"/>
  <c r="W46" i="23"/>
  <c r="U46" i="23"/>
  <c r="L46" i="23"/>
  <c r="H46" i="23"/>
  <c r="G46" i="23"/>
  <c r="F46" i="23"/>
  <c r="Z46" i="23" s="1"/>
  <c r="E46" i="23"/>
  <c r="D46" i="23"/>
  <c r="C46" i="23"/>
  <c r="S46" i="23" s="1"/>
  <c r="B46" i="23"/>
  <c r="P46" i="23" s="1"/>
  <c r="A46" i="23"/>
  <c r="R46" i="23" s="1"/>
  <c r="AB45" i="23"/>
  <c r="Y45" i="23"/>
  <c r="W45" i="23"/>
  <c r="S45" i="23"/>
  <c r="L45" i="23"/>
  <c r="H45" i="23"/>
  <c r="G45" i="23"/>
  <c r="F45" i="23"/>
  <c r="Z45" i="23" s="1"/>
  <c r="E45" i="23"/>
  <c r="D45" i="23"/>
  <c r="U45" i="23" s="1"/>
  <c r="C45" i="23"/>
  <c r="B45" i="23"/>
  <c r="P45" i="23" s="1"/>
  <c r="A45" i="23"/>
  <c r="R45" i="23" s="1"/>
  <c r="AB44" i="23"/>
  <c r="Z44" i="23"/>
  <c r="Y44" i="23"/>
  <c r="U44" i="23"/>
  <c r="S44" i="23"/>
  <c r="L44" i="23"/>
  <c r="H44" i="23"/>
  <c r="G44" i="23"/>
  <c r="F44" i="23"/>
  <c r="E44" i="23"/>
  <c r="W44" i="23" s="1"/>
  <c r="D44" i="23"/>
  <c r="C44" i="23"/>
  <c r="B44" i="23"/>
  <c r="P44" i="23" s="1"/>
  <c r="A44" i="23"/>
  <c r="R44" i="23" s="1"/>
  <c r="AB43" i="23"/>
  <c r="Y43" i="23"/>
  <c r="U43" i="23"/>
  <c r="S43" i="23"/>
  <c r="L43" i="23"/>
  <c r="H43" i="23"/>
  <c r="G43" i="23"/>
  <c r="F43" i="23"/>
  <c r="Z43" i="23" s="1"/>
  <c r="E43" i="23"/>
  <c r="W43" i="23" s="1"/>
  <c r="D43" i="23"/>
  <c r="C43" i="23"/>
  <c r="R43" i="23" s="1"/>
  <c r="B43" i="23"/>
  <c r="P43" i="23" s="1"/>
  <c r="A43" i="23"/>
  <c r="AB42" i="23"/>
  <c r="Y42" i="23"/>
  <c r="S42" i="23"/>
  <c r="L42" i="23"/>
  <c r="H42" i="23"/>
  <c r="G42" i="23"/>
  <c r="F42" i="23"/>
  <c r="Z42" i="23" s="1"/>
  <c r="E42" i="23"/>
  <c r="W42" i="23" s="1"/>
  <c r="D42" i="23"/>
  <c r="U42" i="23" s="1"/>
  <c r="C42" i="23"/>
  <c r="R42" i="23" s="1"/>
  <c r="B42" i="23"/>
  <c r="P42" i="23" s="1"/>
  <c r="A42" i="23"/>
  <c r="AB41" i="23"/>
  <c r="Y41" i="23"/>
  <c r="U41" i="23"/>
  <c r="L41" i="23"/>
  <c r="H41" i="23"/>
  <c r="G41" i="23"/>
  <c r="F41" i="23"/>
  <c r="Z41" i="23" s="1"/>
  <c r="E41" i="23"/>
  <c r="W41" i="23" s="1"/>
  <c r="D41" i="23"/>
  <c r="C41" i="23"/>
  <c r="S41" i="23" s="1"/>
  <c r="B41" i="23"/>
  <c r="P41" i="23" s="1"/>
  <c r="A41" i="23"/>
  <c r="AB40" i="23"/>
  <c r="Y40" i="23"/>
  <c r="W40" i="23"/>
  <c r="U40" i="23"/>
  <c r="L40" i="23"/>
  <c r="H40" i="23"/>
  <c r="G40" i="23"/>
  <c r="F40" i="23"/>
  <c r="Z40" i="23" s="1"/>
  <c r="E40" i="23"/>
  <c r="D40" i="23"/>
  <c r="C40" i="23"/>
  <c r="S40" i="23" s="1"/>
  <c r="B40" i="23"/>
  <c r="P40" i="23" s="1"/>
  <c r="A40" i="23"/>
  <c r="AB39" i="23"/>
  <c r="Y39" i="23"/>
  <c r="W39" i="23"/>
  <c r="U39" i="23"/>
  <c r="S39" i="23"/>
  <c r="L39" i="23"/>
  <c r="H39" i="23"/>
  <c r="G39" i="23"/>
  <c r="F39" i="23"/>
  <c r="Z39" i="23" s="1"/>
  <c r="E39" i="23"/>
  <c r="D39" i="23"/>
  <c r="C39" i="23"/>
  <c r="B39" i="23"/>
  <c r="P39" i="23" s="1"/>
  <c r="A39" i="23"/>
  <c r="R39" i="23" s="1"/>
  <c r="AB38" i="23"/>
  <c r="Y38" i="23"/>
  <c r="W38" i="23"/>
  <c r="U38" i="23"/>
  <c r="R38" i="23"/>
  <c r="L38" i="23"/>
  <c r="H38" i="23"/>
  <c r="G38" i="23"/>
  <c r="F38" i="23"/>
  <c r="Z38" i="23" s="1"/>
  <c r="E38" i="23"/>
  <c r="D38" i="23"/>
  <c r="C38" i="23"/>
  <c r="S38" i="23" s="1"/>
  <c r="B38" i="23"/>
  <c r="P38" i="23" s="1"/>
  <c r="A38" i="23"/>
  <c r="AB37" i="23"/>
  <c r="Y37" i="23"/>
  <c r="W37" i="23"/>
  <c r="R37" i="23"/>
  <c r="L37" i="23"/>
  <c r="H37" i="23"/>
  <c r="G37" i="23"/>
  <c r="F37" i="23"/>
  <c r="Z37" i="23" s="1"/>
  <c r="E37" i="23"/>
  <c r="D37" i="23"/>
  <c r="U37" i="23" s="1"/>
  <c r="C37" i="23"/>
  <c r="S37" i="23" s="1"/>
  <c r="B37" i="23"/>
  <c r="P37" i="23" s="1"/>
  <c r="A37" i="23"/>
  <c r="AB36" i="23"/>
  <c r="Z36" i="23"/>
  <c r="Y36" i="23"/>
  <c r="R36" i="23"/>
  <c r="L36" i="23"/>
  <c r="H36" i="23"/>
  <c r="G36" i="23"/>
  <c r="F36" i="23"/>
  <c r="E36" i="23"/>
  <c r="W36" i="23" s="1"/>
  <c r="D36" i="23"/>
  <c r="U36" i="23" s="1"/>
  <c r="C36" i="23"/>
  <c r="S36" i="23" s="1"/>
  <c r="B36" i="23"/>
  <c r="P36" i="23" s="1"/>
  <c r="A36" i="23"/>
  <c r="AB35" i="23"/>
  <c r="Y35" i="23"/>
  <c r="U35" i="23"/>
  <c r="S35" i="23"/>
  <c r="L35" i="23"/>
  <c r="H35" i="23"/>
  <c r="G35" i="23"/>
  <c r="F35" i="23"/>
  <c r="Z35" i="23" s="1"/>
  <c r="E35" i="23"/>
  <c r="W35" i="23" s="1"/>
  <c r="D35" i="23"/>
  <c r="C35" i="23"/>
  <c r="B35" i="23"/>
  <c r="P35" i="23" s="1"/>
  <c r="A35" i="23"/>
  <c r="R35" i="23" s="1"/>
  <c r="AB34" i="23"/>
  <c r="Y34" i="23"/>
  <c r="W34" i="23"/>
  <c r="S34" i="23"/>
  <c r="L34" i="23"/>
  <c r="H34" i="23"/>
  <c r="G34" i="23"/>
  <c r="F34" i="23"/>
  <c r="Z34" i="23" s="1"/>
  <c r="E34" i="23"/>
  <c r="D34" i="23"/>
  <c r="U34" i="23" s="1"/>
  <c r="C34" i="23"/>
  <c r="B34" i="23"/>
  <c r="P34" i="23" s="1"/>
  <c r="A34" i="23"/>
  <c r="R34" i="23" s="1"/>
  <c r="AB33" i="23"/>
  <c r="Y33" i="23"/>
  <c r="W33" i="23"/>
  <c r="U33" i="23"/>
  <c r="L33" i="23"/>
  <c r="H33" i="23"/>
  <c r="G33" i="23"/>
  <c r="F33" i="23"/>
  <c r="Z33" i="23" s="1"/>
  <c r="E33" i="23"/>
  <c r="D33" i="23"/>
  <c r="C33" i="23"/>
  <c r="S33" i="23" s="1"/>
  <c r="B33" i="23"/>
  <c r="P33" i="23" s="1"/>
  <c r="A33" i="23"/>
  <c r="AB32" i="23"/>
  <c r="Z32" i="23"/>
  <c r="Y32" i="23"/>
  <c r="W32" i="23"/>
  <c r="R32" i="23"/>
  <c r="L32" i="23"/>
  <c r="H32" i="23"/>
  <c r="G32" i="23"/>
  <c r="F32" i="23"/>
  <c r="E32" i="23"/>
  <c r="D32" i="23"/>
  <c r="U32" i="23" s="1"/>
  <c r="C32" i="23"/>
  <c r="S32" i="23" s="1"/>
  <c r="B32" i="23"/>
  <c r="P32" i="23" s="1"/>
  <c r="A32" i="23"/>
  <c r="AB31" i="23"/>
  <c r="Y31" i="23"/>
  <c r="W31" i="23"/>
  <c r="S31" i="23"/>
  <c r="L31" i="23"/>
  <c r="H31" i="23"/>
  <c r="G31" i="23"/>
  <c r="F31" i="23"/>
  <c r="Z31" i="23" s="1"/>
  <c r="E31" i="23"/>
  <c r="D31" i="23"/>
  <c r="U31" i="23" s="1"/>
  <c r="C31" i="23"/>
  <c r="B31" i="23"/>
  <c r="P31" i="23" s="1"/>
  <c r="A31" i="23"/>
  <c r="R31" i="23" s="1"/>
  <c r="AB30" i="23"/>
  <c r="Y30" i="23"/>
  <c r="W30" i="23"/>
  <c r="U30" i="23"/>
  <c r="L30" i="23"/>
  <c r="H30" i="23"/>
  <c r="G30" i="23"/>
  <c r="F30" i="23"/>
  <c r="Z30" i="23" s="1"/>
  <c r="E30" i="23"/>
  <c r="D30" i="23"/>
  <c r="C30" i="23"/>
  <c r="S30" i="23" s="1"/>
  <c r="B30" i="23"/>
  <c r="P30" i="23" s="1"/>
  <c r="A30" i="23"/>
  <c r="R30" i="23" s="1"/>
  <c r="AB29" i="23"/>
  <c r="Y29" i="23"/>
  <c r="W29" i="23"/>
  <c r="L29" i="23"/>
  <c r="H29" i="23"/>
  <c r="G29" i="23"/>
  <c r="F29" i="23"/>
  <c r="Z29" i="23" s="1"/>
  <c r="E29" i="23"/>
  <c r="D29" i="23"/>
  <c r="U29" i="23" s="1"/>
  <c r="C29" i="23"/>
  <c r="S29" i="23" s="1"/>
  <c r="B29" i="23"/>
  <c r="P29" i="23" s="1"/>
  <c r="A29" i="23"/>
  <c r="R29" i="23" s="1"/>
  <c r="AB28" i="23"/>
  <c r="Z28" i="23"/>
  <c r="Y28" i="23"/>
  <c r="U28" i="23"/>
  <c r="L28" i="23"/>
  <c r="H28" i="23"/>
  <c r="G28" i="23"/>
  <c r="F28" i="23"/>
  <c r="E28" i="23"/>
  <c r="W28" i="23" s="1"/>
  <c r="D28" i="23"/>
  <c r="C28" i="23"/>
  <c r="S28" i="23" s="1"/>
  <c r="B28" i="23"/>
  <c r="P28" i="23" s="1"/>
  <c r="A28" i="23"/>
  <c r="R28" i="23" s="1"/>
  <c r="AB27" i="23"/>
  <c r="Y27" i="23"/>
  <c r="W27" i="23"/>
  <c r="L27" i="23"/>
  <c r="H27" i="23"/>
  <c r="G27" i="23"/>
  <c r="F27" i="23"/>
  <c r="Z27" i="23" s="1"/>
  <c r="E27" i="23"/>
  <c r="D27" i="23"/>
  <c r="U27" i="23" s="1"/>
  <c r="C27" i="23"/>
  <c r="S27" i="23" s="1"/>
  <c r="B27" i="23"/>
  <c r="P27" i="23" s="1"/>
  <c r="A27" i="23"/>
  <c r="AB26" i="23"/>
  <c r="Y26" i="23"/>
  <c r="W26" i="23"/>
  <c r="L26" i="23"/>
  <c r="H26" i="23"/>
  <c r="G26" i="23"/>
  <c r="F26" i="23"/>
  <c r="Z26" i="23" s="1"/>
  <c r="E26" i="23"/>
  <c r="D26" i="23"/>
  <c r="U26" i="23" s="1"/>
  <c r="C26" i="23"/>
  <c r="S26" i="23" s="1"/>
  <c r="B26" i="23"/>
  <c r="P26" i="23" s="1"/>
  <c r="A26" i="23"/>
  <c r="R26" i="23" s="1"/>
  <c r="AB25" i="23"/>
  <c r="Z25" i="23"/>
  <c r="Y25" i="23"/>
  <c r="L25" i="23"/>
  <c r="H25" i="23"/>
  <c r="G25" i="23"/>
  <c r="F25" i="23"/>
  <c r="E25" i="23"/>
  <c r="W25" i="23" s="1"/>
  <c r="D25" i="23"/>
  <c r="U25" i="23" s="1"/>
  <c r="C25" i="23"/>
  <c r="R25" i="23" s="1"/>
  <c r="B25" i="23"/>
  <c r="P25" i="23" s="1"/>
  <c r="A25" i="23"/>
  <c r="AB24" i="23"/>
  <c r="Z24" i="23"/>
  <c r="Y24" i="23"/>
  <c r="L24" i="23"/>
  <c r="H24" i="23"/>
  <c r="G24" i="23"/>
  <c r="F24" i="23"/>
  <c r="E24" i="23"/>
  <c r="W24" i="23" s="1"/>
  <c r="D24" i="23"/>
  <c r="U24" i="23" s="1"/>
  <c r="C24" i="23"/>
  <c r="S24" i="23" s="1"/>
  <c r="B24" i="23"/>
  <c r="P24" i="23" s="1"/>
  <c r="A24" i="23"/>
  <c r="R24" i="23" s="1"/>
  <c r="AB23" i="23"/>
  <c r="Z23" i="23"/>
  <c r="Y23" i="23"/>
  <c r="S23" i="23"/>
  <c r="L23" i="23"/>
  <c r="H23" i="23"/>
  <c r="G23" i="23"/>
  <c r="F23" i="23"/>
  <c r="E23" i="23"/>
  <c r="W23" i="23" s="1"/>
  <c r="D23" i="23"/>
  <c r="U23" i="23" s="1"/>
  <c r="C23" i="23"/>
  <c r="B23" i="23"/>
  <c r="P23" i="23" s="1"/>
  <c r="A23" i="23"/>
  <c r="R23" i="23" s="1"/>
  <c r="AB22" i="23"/>
  <c r="Z22" i="23"/>
  <c r="Y22" i="23"/>
  <c r="U22" i="23"/>
  <c r="L22" i="23"/>
  <c r="H22" i="23"/>
  <c r="G22" i="23"/>
  <c r="F22" i="23"/>
  <c r="E22" i="23"/>
  <c r="W22" i="23" s="1"/>
  <c r="D22" i="23"/>
  <c r="C22" i="23"/>
  <c r="S22" i="23" s="1"/>
  <c r="B22" i="23"/>
  <c r="P22" i="23" s="1"/>
  <c r="A22" i="23"/>
  <c r="R22" i="23" s="1"/>
  <c r="AB21" i="23"/>
  <c r="Z21" i="23"/>
  <c r="Y21" i="23"/>
  <c r="W21" i="23"/>
  <c r="L21" i="23"/>
  <c r="H21" i="23"/>
  <c r="G21" i="23"/>
  <c r="F21" i="23"/>
  <c r="E21" i="23"/>
  <c r="D21" i="23"/>
  <c r="U21" i="23" s="1"/>
  <c r="C21" i="23"/>
  <c r="S21" i="23" s="1"/>
  <c r="B21" i="23"/>
  <c r="P21" i="23" s="1"/>
  <c r="A21" i="23"/>
  <c r="R21" i="23" s="1"/>
  <c r="AB20" i="23"/>
  <c r="Z20" i="23"/>
  <c r="Y20" i="23"/>
  <c r="L20" i="23"/>
  <c r="H20" i="23"/>
  <c r="G20" i="23"/>
  <c r="F20" i="23"/>
  <c r="E20" i="23"/>
  <c r="W20" i="23" s="1"/>
  <c r="D20" i="23"/>
  <c r="U20" i="23" s="1"/>
  <c r="C20" i="23"/>
  <c r="S20" i="23" s="1"/>
  <c r="B20" i="23"/>
  <c r="P20" i="23" s="1"/>
  <c r="A20" i="23"/>
  <c r="R20" i="23" s="1"/>
  <c r="AB19" i="23"/>
  <c r="Y19" i="23"/>
  <c r="L19" i="23"/>
  <c r="H19" i="23"/>
  <c r="G19" i="23"/>
  <c r="F19" i="23"/>
  <c r="Z19" i="23" s="1"/>
  <c r="E19" i="23"/>
  <c r="W19" i="23" s="1"/>
  <c r="D19" i="23"/>
  <c r="U19" i="23" s="1"/>
  <c r="C19" i="23"/>
  <c r="S19" i="23" s="1"/>
  <c r="B19" i="23"/>
  <c r="P19" i="23" s="1"/>
  <c r="A19" i="23"/>
  <c r="AB18" i="23"/>
  <c r="Y18" i="23"/>
  <c r="L18" i="23"/>
  <c r="H18" i="23"/>
  <c r="G18" i="23"/>
  <c r="F18" i="23"/>
  <c r="Z18" i="23" s="1"/>
  <c r="E18" i="23"/>
  <c r="W18" i="23" s="1"/>
  <c r="D18" i="23"/>
  <c r="U18" i="23" s="1"/>
  <c r="C18" i="23"/>
  <c r="S18" i="23" s="1"/>
  <c r="B18" i="23"/>
  <c r="P18" i="23" s="1"/>
  <c r="A18" i="23"/>
  <c r="AB17" i="23"/>
  <c r="Y17" i="23"/>
  <c r="L17" i="23"/>
  <c r="H17" i="23"/>
  <c r="G17" i="23"/>
  <c r="F17" i="23"/>
  <c r="Z17" i="23" s="1"/>
  <c r="E17" i="23"/>
  <c r="W17" i="23" s="1"/>
  <c r="D17" i="23"/>
  <c r="U17" i="23" s="1"/>
  <c r="C17" i="23"/>
  <c r="S17" i="23" s="1"/>
  <c r="B17" i="23"/>
  <c r="P17" i="23" s="1"/>
  <c r="A17" i="23"/>
  <c r="AB16" i="23"/>
  <c r="Y16" i="23"/>
  <c r="L16" i="23"/>
  <c r="H16" i="23"/>
  <c r="G16" i="23"/>
  <c r="F16" i="23"/>
  <c r="Z16" i="23" s="1"/>
  <c r="E16" i="23"/>
  <c r="W16" i="23" s="1"/>
  <c r="D16" i="23"/>
  <c r="U16" i="23" s="1"/>
  <c r="C16" i="23"/>
  <c r="S16" i="23" s="1"/>
  <c r="B16" i="23"/>
  <c r="P16" i="23" s="1"/>
  <c r="A16" i="23"/>
  <c r="AB15" i="23"/>
  <c r="Y15" i="23"/>
  <c r="S15" i="23"/>
  <c r="L15" i="23"/>
  <c r="H15" i="23"/>
  <c r="G15" i="23"/>
  <c r="F15" i="23"/>
  <c r="Z15" i="23" s="1"/>
  <c r="E15" i="23"/>
  <c r="W15" i="23" s="1"/>
  <c r="D15" i="23"/>
  <c r="U15" i="23" s="1"/>
  <c r="C15" i="23"/>
  <c r="B15" i="23"/>
  <c r="P15" i="23" s="1"/>
  <c r="A15" i="23"/>
  <c r="R15" i="23" s="1"/>
  <c r="AB14" i="23"/>
  <c r="Y14" i="23"/>
  <c r="U14" i="23"/>
  <c r="L14" i="23"/>
  <c r="H14" i="23"/>
  <c r="G14" i="23"/>
  <c r="F14" i="23"/>
  <c r="Z14" i="23" s="1"/>
  <c r="E14" i="23"/>
  <c r="W14" i="23" s="1"/>
  <c r="D14" i="23"/>
  <c r="C14" i="23"/>
  <c r="S14" i="23" s="1"/>
  <c r="B14" i="23"/>
  <c r="P14" i="23" s="1"/>
  <c r="A14" i="23"/>
  <c r="AB13" i="23"/>
  <c r="Y13" i="23"/>
  <c r="W13" i="23"/>
  <c r="L13" i="23"/>
  <c r="H13" i="23"/>
  <c r="G13" i="23"/>
  <c r="F13" i="23"/>
  <c r="Z13" i="23" s="1"/>
  <c r="E13" i="23"/>
  <c r="D13" i="23"/>
  <c r="U13" i="23" s="1"/>
  <c r="C13" i="23"/>
  <c r="S13" i="23" s="1"/>
  <c r="B13" i="23"/>
  <c r="P13" i="23" s="1"/>
  <c r="A13" i="23"/>
  <c r="AB12" i="23"/>
  <c r="Z12" i="23"/>
  <c r="Y12" i="23"/>
  <c r="L12" i="23"/>
  <c r="H12" i="23"/>
  <c r="G12" i="23"/>
  <c r="F12" i="23"/>
  <c r="E12" i="23"/>
  <c r="W12" i="23" s="1"/>
  <c r="D12" i="23"/>
  <c r="U12" i="23" s="1"/>
  <c r="C12" i="23"/>
  <c r="S12" i="23" s="1"/>
  <c r="B12" i="23"/>
  <c r="P12" i="23" s="1"/>
  <c r="A12" i="23"/>
  <c r="AB11" i="23"/>
  <c r="Y11" i="23"/>
  <c r="L11" i="23"/>
  <c r="H11" i="23"/>
  <c r="G11" i="23"/>
  <c r="F11" i="23"/>
  <c r="Z11" i="23" s="1"/>
  <c r="E11" i="23"/>
  <c r="W11" i="23" s="1"/>
  <c r="D11" i="23"/>
  <c r="U11" i="23" s="1"/>
  <c r="C11" i="23"/>
  <c r="R11" i="23" s="1"/>
  <c r="B11" i="23"/>
  <c r="P11" i="23" s="1"/>
  <c r="A11" i="23"/>
  <c r="G49" i="2"/>
  <c r="H49" i="2" s="1"/>
  <c r="F49" i="2"/>
  <c r="G46" i="2"/>
  <c r="F46" i="2"/>
  <c r="H51" i="2"/>
  <c r="H50" i="2"/>
  <c r="H48" i="2"/>
  <c r="H47" i="2"/>
  <c r="I42" i="2"/>
  <c r="H42" i="2"/>
  <c r="G42" i="2"/>
  <c r="F42" i="2"/>
  <c r="I41" i="2"/>
  <c r="H41" i="2"/>
  <c r="G41" i="2"/>
  <c r="F41" i="2"/>
  <c r="H46" i="2" l="1"/>
  <c r="S11" i="23"/>
  <c r="R13" i="23"/>
  <c r="AB108" i="23"/>
  <c r="Y108" i="23"/>
  <c r="R12" i="23"/>
  <c r="R17" i="23"/>
  <c r="R16" i="23"/>
  <c r="AB111" i="23"/>
  <c r="R83" i="23"/>
  <c r="Y106" i="23"/>
  <c r="R19" i="23"/>
  <c r="R18" i="23"/>
  <c r="R27" i="23"/>
  <c r="R54" i="23"/>
  <c r="R14" i="23"/>
  <c r="R53" i="23"/>
  <c r="Y112" i="23"/>
  <c r="S25" i="23"/>
  <c r="R49" i="23"/>
  <c r="Y118" i="23"/>
  <c r="R81" i="23"/>
  <c r="R40" i="23"/>
  <c r="R41" i="23"/>
  <c r="R75" i="23"/>
  <c r="Y104" i="23"/>
  <c r="AB118" i="23"/>
  <c r="AB110" i="23"/>
  <c r="Y121" i="23"/>
  <c r="Y119" i="23"/>
  <c r="Y127" i="23"/>
  <c r="Y111" i="23"/>
  <c r="R33" i="23"/>
  <c r="R65" i="23"/>
  <c r="AB127" i="23"/>
  <c r="J41" i="2"/>
  <c r="J42" i="2"/>
  <c r="G43" i="2"/>
  <c r="I43" i="2"/>
  <c r="H43" i="2"/>
  <c r="F43" i="2"/>
  <c r="J313" i="1" l="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H33" i="2" l="1"/>
  <c r="I33" i="2"/>
  <c r="H34" i="2"/>
  <c r="I34" i="2"/>
  <c r="G147" i="2"/>
  <c r="G33" i="2" l="1"/>
  <c r="G34" i="2"/>
  <c r="H32" i="2" l="1"/>
  <c r="F32" i="2"/>
  <c r="J32" i="2"/>
  <c r="I32" i="2"/>
  <c r="G32" i="2"/>
  <c r="J25" i="2" l="1"/>
  <c r="I25" i="2"/>
  <c r="H25" i="2"/>
  <c r="G25" i="2"/>
  <c r="F25" i="2"/>
  <c r="J24" i="2"/>
  <c r="I24" i="2"/>
  <c r="H24" i="2"/>
  <c r="G24" i="2"/>
  <c r="F24" i="2"/>
  <c r="J16" i="2"/>
  <c r="I16" i="2"/>
  <c r="H16" i="2"/>
  <c r="G16" i="2"/>
  <c r="F16" i="2"/>
  <c r="Y85" i="13"/>
  <c r="Y84" i="13"/>
  <c r="Y83" i="13"/>
  <c r="Y82" i="13"/>
  <c r="Y81" i="13"/>
  <c r="Y80" i="13"/>
  <c r="Y79" i="13"/>
  <c r="Y78" i="13"/>
  <c r="Y77" i="13"/>
  <c r="Y76" i="13"/>
  <c r="Y75" i="13"/>
  <c r="Y74" i="13"/>
  <c r="Y73" i="13"/>
  <c r="Y72" i="13"/>
  <c r="Y71" i="13"/>
  <c r="Y70" i="13"/>
  <c r="Y69" i="13"/>
  <c r="Y68" i="13"/>
  <c r="Y67" i="13"/>
  <c r="Y66" i="13"/>
  <c r="Y65" i="13"/>
  <c r="Y64" i="13"/>
  <c r="Y63" i="13"/>
  <c r="Y62" i="13"/>
  <c r="Y61" i="13"/>
  <c r="Y60" i="13"/>
  <c r="Y59" i="13"/>
  <c r="Y58" i="13"/>
  <c r="Y57" i="13"/>
  <c r="Y56" i="13"/>
  <c r="Y55" i="13"/>
  <c r="Y54" i="13"/>
  <c r="Y53" i="13"/>
  <c r="Y52" i="13"/>
  <c r="Y51" i="13"/>
  <c r="Y50" i="13"/>
  <c r="Y49" i="13"/>
  <c r="Y48" i="13"/>
  <c r="Y47" i="13"/>
  <c r="Y46" i="13"/>
  <c r="Y45" i="13"/>
  <c r="Y44" i="13"/>
  <c r="Y43" i="13"/>
  <c r="Y42" i="13"/>
  <c r="Y41" i="13"/>
  <c r="Y40" i="13"/>
  <c r="Y39" i="13"/>
  <c r="Y38" i="13"/>
  <c r="Y37" i="13"/>
  <c r="Y36" i="13"/>
  <c r="Y35" i="13"/>
  <c r="Y34" i="13"/>
  <c r="Y33" i="13"/>
  <c r="Y32" i="13"/>
  <c r="Y31" i="13"/>
  <c r="Y30" i="13"/>
  <c r="Y29" i="13"/>
  <c r="Y28" i="13"/>
  <c r="Y27" i="13"/>
  <c r="Y26" i="13"/>
  <c r="Y25" i="13"/>
  <c r="Y24" i="13"/>
  <c r="Y23" i="13"/>
  <c r="Y22" i="13"/>
  <c r="Y21" i="13"/>
  <c r="Y20" i="13"/>
  <c r="Y19" i="13"/>
  <c r="Y18" i="13"/>
  <c r="Y17" i="13"/>
  <c r="Y16" i="13"/>
  <c r="Y15" i="13"/>
  <c r="Y14" i="13"/>
  <c r="Y13" i="13"/>
  <c r="Y12" i="13"/>
  <c r="Y11" i="13"/>
  <c r="Y10" i="13"/>
  <c r="Y9" i="13"/>
  <c r="Y8" i="13"/>
  <c r="Y7" i="13"/>
  <c r="Y6" i="13"/>
  <c r="Y5" i="13"/>
  <c r="A6" i="13"/>
  <c r="X85" i="13"/>
  <c r="X84" i="13"/>
  <c r="X83" i="13"/>
  <c r="X82" i="13"/>
  <c r="X81" i="13"/>
  <c r="X80" i="13"/>
  <c r="X79" i="13"/>
  <c r="X78" i="13"/>
  <c r="X77" i="13"/>
  <c r="X76" i="13"/>
  <c r="X75" i="13"/>
  <c r="X74" i="13"/>
  <c r="X73" i="13"/>
  <c r="X72" i="13"/>
  <c r="X71" i="13"/>
  <c r="X70" i="13"/>
  <c r="X69" i="13"/>
  <c r="X68" i="13"/>
  <c r="X67" i="13"/>
  <c r="X66" i="13"/>
  <c r="X65" i="13"/>
  <c r="X64" i="13"/>
  <c r="X63" i="13"/>
  <c r="X62" i="13"/>
  <c r="X61" i="13"/>
  <c r="X60" i="13"/>
  <c r="X59" i="13"/>
  <c r="X58" i="13"/>
  <c r="X57" i="13"/>
  <c r="X56" i="13"/>
  <c r="X55" i="13"/>
  <c r="X54" i="13"/>
  <c r="X53" i="13"/>
  <c r="X52" i="13"/>
  <c r="X51" i="13"/>
  <c r="X50" i="13"/>
  <c r="X49" i="13"/>
  <c r="X48" i="13"/>
  <c r="X47" i="13"/>
  <c r="X46" i="13"/>
  <c r="X45" i="13"/>
  <c r="X44" i="13"/>
  <c r="X43" i="13"/>
  <c r="X42" i="13"/>
  <c r="X41" i="13"/>
  <c r="X40" i="13"/>
  <c r="X39" i="13"/>
  <c r="X38" i="13"/>
  <c r="X37" i="13"/>
  <c r="X36" i="13"/>
  <c r="X35" i="13"/>
  <c r="X34" i="13"/>
  <c r="X33" i="13"/>
  <c r="X32" i="13"/>
  <c r="X31" i="13"/>
  <c r="X30" i="13"/>
  <c r="X29" i="13"/>
  <c r="X28" i="13"/>
  <c r="X27" i="13"/>
  <c r="X26" i="13"/>
  <c r="X25" i="13"/>
  <c r="X24" i="13"/>
  <c r="X23" i="13"/>
  <c r="X22" i="13"/>
  <c r="X21" i="13"/>
  <c r="X20" i="13"/>
  <c r="X19" i="13"/>
  <c r="X18" i="13"/>
  <c r="X17" i="13"/>
  <c r="X16" i="13"/>
  <c r="X15" i="13"/>
  <c r="X14" i="13"/>
  <c r="X13" i="13"/>
  <c r="X12" i="13"/>
  <c r="X11" i="13"/>
  <c r="X10" i="13"/>
  <c r="X9" i="13"/>
  <c r="X8" i="13"/>
  <c r="X7" i="13"/>
  <c r="X6" i="13"/>
  <c r="X5" i="13"/>
  <c r="G144" i="2"/>
  <c r="F143" i="2"/>
  <c r="F146" i="2"/>
  <c r="F151" i="2"/>
  <c r="F154" i="2"/>
  <c r="F159" i="2"/>
  <c r="F162" i="2"/>
  <c r="G160" i="2"/>
  <c r="G161" i="2"/>
  <c r="G163" i="2"/>
  <c r="G164" i="2"/>
  <c r="G165" i="2"/>
  <c r="G152" i="2"/>
  <c r="G153" i="2"/>
  <c r="G155" i="2"/>
  <c r="G156" i="2"/>
  <c r="G157" i="2"/>
  <c r="G145" i="2"/>
  <c r="G148" i="2"/>
  <c r="G149" i="2"/>
  <c r="A15" i="15"/>
  <c r="A14" i="15"/>
  <c r="A13" i="15"/>
  <c r="A12" i="15"/>
  <c r="A11" i="15"/>
  <c r="A10" i="15"/>
  <c r="A9" i="15"/>
  <c r="A8" i="15"/>
  <c r="A7" i="15"/>
  <c r="A6" i="15"/>
  <c r="A5" i="15"/>
  <c r="A19" i="14"/>
  <c r="A18" i="14"/>
  <c r="A17" i="14"/>
  <c r="A16" i="14"/>
  <c r="A15" i="14"/>
  <c r="A14" i="14"/>
  <c r="A13" i="14"/>
  <c r="A12" i="14"/>
  <c r="A11" i="14"/>
  <c r="A10" i="14"/>
  <c r="A9" i="14"/>
  <c r="A8" i="14"/>
  <c r="A7" i="14"/>
  <c r="A6" i="14"/>
  <c r="A5" i="14"/>
  <c r="M11" i="15" a="1"/>
  <c r="M11" i="15" s="1"/>
  <c r="M10" i="15" a="1"/>
  <c r="M10" i="15" s="1"/>
  <c r="M9" i="15" a="1"/>
  <c r="M9" i="15" s="1"/>
  <c r="M8" i="15" a="1"/>
  <c r="M8" i="15" s="1"/>
  <c r="M14" i="14" a="1"/>
  <c r="M14" i="14" s="1"/>
  <c r="M11" i="14" a="1"/>
  <c r="M11" i="14" s="1"/>
  <c r="M10" i="14" a="1"/>
  <c r="M10" i="14" s="1"/>
  <c r="M6" i="14" a="1"/>
  <c r="M6" i="14" s="1"/>
  <c r="J162" i="2"/>
  <c r="I162" i="2"/>
  <c r="H162" i="2"/>
  <c r="J159" i="2"/>
  <c r="I159" i="2"/>
  <c r="H159" i="2"/>
  <c r="J154" i="2"/>
  <c r="I154" i="2"/>
  <c r="H154" i="2"/>
  <c r="J151" i="2"/>
  <c r="I151" i="2"/>
  <c r="H151" i="2"/>
  <c r="J146" i="2"/>
  <c r="H146" i="2"/>
  <c r="J143" i="2"/>
  <c r="I143" i="2"/>
  <c r="H143" i="2"/>
  <c r="J166" i="2" l="1"/>
  <c r="I166" i="2"/>
  <c r="G162" i="2"/>
  <c r="G159" i="2"/>
  <c r="G154" i="2"/>
  <c r="G151" i="2"/>
  <c r="H166" i="2"/>
  <c r="G146" i="2"/>
  <c r="G143" i="2"/>
  <c r="F158" i="2"/>
  <c r="F150" i="2"/>
  <c r="G150" i="2" l="1"/>
  <c r="G158" i="2"/>
  <c r="G166" i="2"/>
  <c r="F142" i="2"/>
  <c r="F166" i="2" l="1"/>
  <c r="J142" i="2"/>
  <c r="I142" i="2"/>
  <c r="J158" i="2"/>
  <c r="H142" i="2"/>
  <c r="I158" i="2"/>
  <c r="G142" i="2"/>
  <c r="H158" i="2"/>
  <c r="I150" i="2"/>
  <c r="J150" i="2"/>
  <c r="H150" i="2"/>
  <c r="A85" i="13" l="1"/>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5" i="13"/>
  <c r="H116" i="1" l="1"/>
  <c r="H108" i="1"/>
  <c r="H100" i="1"/>
  <c r="H92" i="1"/>
  <c r="H84" i="1"/>
  <c r="H76" i="1"/>
  <c r="H68" i="1"/>
  <c r="H60" i="1"/>
  <c r="H52" i="1"/>
  <c r="H44" i="1"/>
  <c r="H36" i="1"/>
  <c r="H81" i="1"/>
  <c r="H73" i="1"/>
  <c r="H49" i="1"/>
  <c r="H39" i="1"/>
  <c r="H86" i="1"/>
  <c r="H54" i="1"/>
  <c r="H115" i="1"/>
  <c r="H107" i="1"/>
  <c r="H99" i="1"/>
  <c r="H91" i="1"/>
  <c r="H83" i="1"/>
  <c r="H75" i="1"/>
  <c r="H67" i="1"/>
  <c r="H59" i="1"/>
  <c r="H51" i="1"/>
  <c r="H43" i="1"/>
  <c r="H89" i="1"/>
  <c r="H114" i="1"/>
  <c r="H106" i="1"/>
  <c r="H98" i="1"/>
  <c r="H90" i="1"/>
  <c r="H82" i="1"/>
  <c r="H74" i="1"/>
  <c r="H66" i="1"/>
  <c r="H58" i="1"/>
  <c r="H50" i="1"/>
  <c r="H42" i="1"/>
  <c r="H105" i="1"/>
  <c r="H65" i="1"/>
  <c r="H41" i="1"/>
  <c r="H47" i="1"/>
  <c r="H94" i="1"/>
  <c r="H62" i="1"/>
  <c r="H113" i="1"/>
  <c r="H112" i="1"/>
  <c r="H104" i="1"/>
  <c r="H96" i="1"/>
  <c r="H88" i="1"/>
  <c r="H80" i="1"/>
  <c r="H72" i="1"/>
  <c r="H56" i="1"/>
  <c r="H48" i="1"/>
  <c r="H40" i="1"/>
  <c r="H103" i="1"/>
  <c r="H95" i="1"/>
  <c r="H87" i="1"/>
  <c r="H79" i="1"/>
  <c r="H71" i="1"/>
  <c r="H63" i="1"/>
  <c r="H55" i="1"/>
  <c r="H110" i="1"/>
  <c r="H78" i="1"/>
  <c r="H38" i="1"/>
  <c r="H111" i="1"/>
  <c r="H109" i="1"/>
  <c r="H101" i="1"/>
  <c r="H93" i="1"/>
  <c r="H85" i="1"/>
  <c r="H77" i="1"/>
  <c r="H69" i="1"/>
  <c r="H61" i="1"/>
  <c r="H53" i="1"/>
  <c r="H45" i="1"/>
  <c r="H37" i="1"/>
  <c r="H97" i="1"/>
  <c r="H57" i="1"/>
  <c r="H102" i="1"/>
  <c r="H70" i="1"/>
  <c r="H46" i="1"/>
  <c r="F35" i="2"/>
  <c r="G35" i="2"/>
  <c r="H35" i="2"/>
  <c r="I35" i="2"/>
  <c r="J35" i="2"/>
  <c r="K32" i="2"/>
  <c r="K33" i="2"/>
  <c r="K34" i="2"/>
  <c r="K35" i="2" l="1"/>
  <c r="E77" i="2" l="1"/>
  <c r="F77" i="2"/>
  <c r="H77" i="2" s="1"/>
  <c r="K77" i="2"/>
  <c r="L77" i="2"/>
  <c r="N77" i="2" s="1"/>
  <c r="M77" i="2" l="1"/>
  <c r="G77" i="2"/>
  <c r="L130" i="2"/>
  <c r="N130" i="2" s="1"/>
  <c r="L129" i="2"/>
  <c r="N129" i="2" s="1"/>
  <c r="L128" i="2"/>
  <c r="N128" i="2" s="1"/>
  <c r="L127" i="2"/>
  <c r="N127" i="2" s="1"/>
  <c r="L126" i="2"/>
  <c r="N126" i="2" s="1"/>
  <c r="K130" i="2"/>
  <c r="K129" i="2"/>
  <c r="K128" i="2"/>
  <c r="K127" i="2"/>
  <c r="K126" i="2"/>
  <c r="F130" i="2"/>
  <c r="H130" i="2" s="1"/>
  <c r="F129" i="2"/>
  <c r="H129" i="2" s="1"/>
  <c r="F128" i="2"/>
  <c r="H128" i="2" s="1"/>
  <c r="F127" i="2"/>
  <c r="H127" i="2" s="1"/>
  <c r="F126" i="2"/>
  <c r="H126" i="2" s="1"/>
  <c r="E130" i="2"/>
  <c r="E129" i="2"/>
  <c r="E128" i="2"/>
  <c r="E127" i="2"/>
  <c r="E126" i="2"/>
  <c r="L105" i="2"/>
  <c r="N105" i="2" s="1"/>
  <c r="L104" i="2"/>
  <c r="N104" i="2" s="1"/>
  <c r="L103" i="2"/>
  <c r="N103" i="2" s="1"/>
  <c r="L102" i="2"/>
  <c r="N102" i="2" s="1"/>
  <c r="L101" i="2"/>
  <c r="N101" i="2" s="1"/>
  <c r="K105" i="2"/>
  <c r="K104" i="2"/>
  <c r="K103" i="2"/>
  <c r="K102" i="2"/>
  <c r="K101" i="2"/>
  <c r="F105" i="2"/>
  <c r="H105" i="2" s="1"/>
  <c r="F104" i="2"/>
  <c r="H104" i="2" s="1"/>
  <c r="F103" i="2"/>
  <c r="H103" i="2" s="1"/>
  <c r="F102" i="2"/>
  <c r="H102" i="2" s="1"/>
  <c r="F101" i="2"/>
  <c r="H101" i="2" s="1"/>
  <c r="E105" i="2"/>
  <c r="E104" i="2"/>
  <c r="E103" i="2"/>
  <c r="E102" i="2"/>
  <c r="E101" i="2"/>
  <c r="F75" i="2"/>
  <c r="H75" i="2" s="1"/>
  <c r="L79" i="2"/>
  <c r="N79" i="2" s="1"/>
  <c r="L78" i="2"/>
  <c r="N78" i="2" s="1"/>
  <c r="L76" i="2"/>
  <c r="N76" i="2" s="1"/>
  <c r="L75" i="2"/>
  <c r="N75" i="2" s="1"/>
  <c r="K79" i="2"/>
  <c r="K78" i="2"/>
  <c r="K76" i="2"/>
  <c r="K75" i="2"/>
  <c r="F79" i="2"/>
  <c r="H79" i="2" s="1"/>
  <c r="F78" i="2"/>
  <c r="H78" i="2" s="1"/>
  <c r="F76" i="2"/>
  <c r="H76" i="2" s="1"/>
  <c r="E79" i="2"/>
  <c r="E78" i="2"/>
  <c r="E76" i="2"/>
  <c r="E75" i="2"/>
  <c r="J21" i="2"/>
  <c r="I21" i="2"/>
  <c r="H21" i="2"/>
  <c r="G21" i="2"/>
  <c r="F21" i="2"/>
  <c r="J20" i="2"/>
  <c r="I20" i="2"/>
  <c r="H20" i="2"/>
  <c r="G20" i="2"/>
  <c r="F20" i="2"/>
  <c r="J17" i="2"/>
  <c r="I17" i="2"/>
  <c r="H17" i="2"/>
  <c r="G17" i="2"/>
  <c r="F17" i="2"/>
  <c r="G127" i="2" l="1"/>
  <c r="G102" i="2"/>
  <c r="M102" i="2"/>
  <c r="M104" i="2"/>
  <c r="M75" i="2"/>
  <c r="M105" i="2"/>
  <c r="G128" i="2"/>
  <c r="M126" i="2"/>
  <c r="M76" i="2"/>
  <c r="G129" i="2"/>
  <c r="M127" i="2"/>
  <c r="M78" i="2"/>
  <c r="G101" i="2"/>
  <c r="G130" i="2"/>
  <c r="M128" i="2"/>
  <c r="M79" i="2"/>
  <c r="M129" i="2"/>
  <c r="G103" i="2"/>
  <c r="M101" i="2"/>
  <c r="M130" i="2"/>
  <c r="G104" i="2"/>
  <c r="G105" i="2"/>
  <c r="M103" i="2"/>
  <c r="G126" i="2"/>
  <c r="G78" i="2"/>
  <c r="G76" i="2"/>
  <c r="G75" i="2"/>
  <c r="G79" i="2"/>
  <c r="J18" i="2"/>
  <c r="K16" i="2"/>
  <c r="K17" i="2"/>
  <c r="L131" i="2"/>
  <c r="K131" i="2"/>
  <c r="F131" i="2"/>
  <c r="L106" i="2"/>
  <c r="K106" i="2"/>
  <c r="F106" i="2"/>
  <c r="E131" i="2"/>
  <c r="E106" i="2"/>
  <c r="J26" i="2"/>
  <c r="K25" i="2"/>
  <c r="J22" i="2"/>
  <c r="K21" i="2"/>
  <c r="K24" i="2"/>
  <c r="K20" i="2"/>
  <c r="L80" i="2"/>
  <c r="K80" i="2"/>
  <c r="F80" i="2"/>
  <c r="E80" i="2"/>
  <c r="F18" i="2"/>
  <c r="I18" i="2"/>
  <c r="H18" i="2"/>
  <c r="G18" i="2"/>
  <c r="I26" i="2"/>
  <c r="I22" i="2"/>
  <c r="G26" i="2"/>
  <c r="F26" i="2"/>
  <c r="H22" i="2"/>
  <c r="G22" i="2"/>
  <c r="F22" i="2"/>
  <c r="H26" i="2"/>
  <c r="M80" i="2" l="1"/>
  <c r="G80" i="2"/>
  <c r="K26" i="2"/>
  <c r="K18" i="2"/>
  <c r="K22" i="2"/>
  <c r="M131" i="2"/>
  <c r="G131" i="2"/>
  <c r="M106" i="2"/>
  <c r="G10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<sst xmlns="http://schemas.openxmlformats.org/spreadsheetml/2006/main" count="6416" uniqueCount="1352">
  <si>
    <t>B02.00</t>
  </si>
  <si>
    <t>lt002_instrument</t>
  </si>
  <si>
    <t>lt005_instr_ent</t>
  </si>
  <si>
    <t>instrmnt_id</t>
  </si>
  <si>
    <t>isin</t>
  </si>
  <si>
    <t>orgnl_amnt_eur</t>
  </si>
  <si>
    <t>orgnl_amnt_fx</t>
  </si>
  <si>
    <t>crrncy_dnmntn</t>
  </si>
  <si>
    <t>otstndng_prncpl_amnt</t>
  </si>
  <si>
    <t>prtn_amnt_rprtng_entty</t>
  </si>
  <si>
    <t>governing_law</t>
  </si>
  <si>
    <t>dt_lgl_fnl_mtrty</t>
  </si>
  <si>
    <t xml:space="preserve">dt_nxt_intrst_pymnt </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</si>
  <si>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</si>
  <si>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</si>
  <si>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</si>
  <si>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</si>
  <si>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</si>
  <si>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</si>
  <si>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</si>
  <si>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</si>
  <si>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</si>
  <si>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</si>
  <si>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</si>
  <si>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</si>
  <si>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</si>
  <si>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</si>
  <si>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</si>
  <si>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</si>
  <si>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</si>
  <si>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</si>
  <si>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</si>
  <si>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</si>
  <si>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</si>
  <si>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</si>
  <si>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</si>
  <si>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</si>
  <si>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</si>
  <si>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</si>
  <si>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</si>
  <si>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</si>
  <si>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</si>
  <si>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</si>
  <si>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</si>
  <si>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</si>
  <si>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</si>
  <si>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</si>
  <si>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</si>
  <si>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</si>
  <si>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</si>
  <si>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 xml:space="preserve">0310_flg_clltrl_agrmnts </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</si>
  <si>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</si>
  <si>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</si>
  <si>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</si>
  <si>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</si>
  <si>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</si>
  <si>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</si>
  <si>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</si>
  <si>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</si>
  <si>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</si>
  <si>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</si>
  <si>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</si>
  <si>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</si>
  <si>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</si>
  <si>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</si>
  <si>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</si>
  <si>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</si>
  <si>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</si>
  <si>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</si>
  <si>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</si>
  <si>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</si>
  <si>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</si>
  <si>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</si>
  <si>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</si>
  <si>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</si>
  <si>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 xml:space="preserve">0490_rgstrr </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</si>
  <si>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</si>
  <si>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</si>
  <si>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</si>
  <si>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</si>
  <si>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</si>
  <si>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</si>
  <si>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</si>
  <si>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</si>
  <si>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</si>
  <si>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</si>
  <si>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</si>
  <si>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</si>
  <si>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</si>
  <si>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</si>
  <si>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</si>
  <si>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</si>
  <si>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</si>
  <si>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</si>
  <si>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</si>
  <si>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</si>
  <si>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</si>
  <si>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</si>
  <si>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</si>
  <si>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</si>
  <si>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</si>
  <si>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</si>
  <si>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</si>
  <si>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</si>
  <si>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</si>
  <si>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</si>
  <si>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</si>
  <si>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</si>
  <si>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</si>
  <si>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</si>
  <si>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</si>
  <si>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</si>
  <si>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</si>
  <si>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</si>
  <si>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</si>
  <si>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</si>
  <si>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</si>
  <si>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</si>
  <si>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</si>
  <si>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</si>
  <si>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</si>
  <si>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</si>
  <si>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</si>
  <si>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</si>
  <si>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</si>
  <si>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</si>
  <si>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</si>
  <si>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</si>
  <si>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</si>
  <si>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</si>
  <si>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</si>
  <si>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</si>
  <si>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</si>
  <si>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</si>
  <si>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</si>
  <si>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</si>
  <si>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</si>
  <si>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</si>
  <si>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</si>
  <si>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</si>
  <si>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</si>
  <si>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</si>
  <si>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</si>
  <si>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</si>
  <si>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</si>
  <si>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</si>
  <si>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</si>
  <si>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</si>
  <si>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</si>
  <si>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</si>
  <si>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</si>
  <si>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</si>
  <si>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</si>
  <si>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</si>
  <si>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</si>
  <si>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</si>
  <si>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</si>
  <si>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</si>
  <si>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</si>
  <si>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</si>
  <si>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</si>
  <si>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</si>
  <si>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</si>
  <si>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</si>
  <si>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</si>
  <si>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</si>
  <si>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</si>
  <si>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</si>
  <si>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</si>
  <si>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</si>
  <si>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</si>
  <si>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</si>
  <si>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</si>
  <si>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</si>
  <si>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</si>
  <si>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</si>
  <si>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</si>
  <si>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</si>
  <si>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</si>
  <si>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</si>
  <si>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Campo de montante</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</si>
  <si>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</si>
  <si>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</si>
  <si>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</si>
  <si>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</si>
  <si>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</si>
  <si>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</si>
  <si>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</si>
  <si>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</si>
  <si>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</si>
  <si>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</si>
  <si>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</si>
  <si>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</si>
  <si>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</si>
  <si>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</si>
  <si>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</si>
  <si>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</si>
  <si>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</si>
  <si>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</si>
  <si>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</si>
  <si>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</si>
  <si>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</si>
  <si>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</si>
  <si>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</si>
  <si>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</si>
  <si>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</si>
  <si>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</si>
  <si>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</si>
  <si>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</si>
  <si>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</si>
  <si>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</si>
  <si>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</si>
  <si>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</si>
  <si>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</si>
  <si>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</si>
  <si>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</si>
  <si>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</si>
  <si>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</si>
  <si>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</si>
  <si>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</si>
  <si>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</si>
  <si>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</si>
  <si>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</si>
  <si>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</si>
  <si>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</si>
  <si>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</si>
  <si>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</si>
  <si>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</si>
  <si>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</si>
  <si>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</si>
  <si>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</si>
  <si>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</si>
  <si>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</si>
  <si>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</si>
  <si>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</si>
  <si>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</si>
  <si>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</si>
  <si>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</si>
  <si>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</si>
  <si>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</si>
  <si>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</si>
  <si>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</si>
  <si>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</si>
  <si>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</si>
  <si>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</si>
  <si>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</si>
  <si>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</si>
  <si>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</si>
  <si>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</si>
  <si>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</si>
  <si>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</si>
  <si>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</si>
  <si>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</si>
  <si>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</si>
  <si>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</si>
  <si>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</si>
  <si>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</si>
  <si>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</si>
  <si>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</si>
  <si>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</si>
  <si>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</si>
  <si>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</si>
  <si>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</si>
  <si>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</si>
  <si>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</si>
  <si>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</si>
  <si>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</si>
  <si>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</si>
  <si>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</si>
  <si>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</si>
  <si>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</si>
  <si>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</si>
  <si>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</si>
  <si>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</si>
  <si>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</si>
  <si>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</si>
  <si>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</si>
  <si>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</si>
  <si>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</si>
  <si>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</si>
  <si>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</si>
  <si>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</si>
  <si>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</si>
  <si>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</si>
  <si>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</si>
  <si>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</si>
  <si>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</si>
  <si>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</si>
  <si>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</si>
  <si>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</si>
  <si>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</si>
  <si>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</si>
  <si>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</si>
  <si>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</si>
  <si>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</si>
  <si>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</si>
  <si>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</si>
  <si>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</si>
  <si>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</si>
  <si>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</si>
  <si>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</si>
  <si>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</si>
  <si>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</si>
  <si>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</si>
  <si>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</si>
  <si>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</si>
  <si>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</si>
  <si>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</si>
  <si>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</si>
  <si>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</si>
  <si>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</si>
  <si>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</si>
  <si>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</si>
  <si>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</si>
  <si>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</si>
  <si>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</si>
  <si>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</si>
  <si>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</si>
  <si>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</si>
  <si>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</si>
  <si>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</si>
  <si>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</si>
  <si>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</si>
  <si>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</si>
  <si>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</si>
  <si>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</si>
  <si>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</si>
  <si>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</si>
  <si>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</si>
  <si>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</si>
  <si>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</si>
  <si>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</si>
  <si>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</si>
  <si>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</si>
  <si>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</si>
  <si>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</si>
  <si>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</si>
  <si>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</si>
  <si>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</si>
  <si>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</si>
  <si>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</si>
  <si>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</si>
  <si>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</si>
  <si>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</si>
  <si>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</si>
  <si>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</si>
  <si>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</si>
  <si>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</si>
  <si>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</si>
  <si>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</si>
  <si>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</si>
  <si>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</si>
  <si>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</si>
  <si>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</si>
  <si>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</si>
  <si>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</si>
  <si>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</si>
  <si>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</si>
  <si>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</si>
  <si>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</si>
  <si>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</si>
  <si>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</si>
  <si>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</si>
  <si>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</si>
  <si>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</si>
  <si>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</si>
  <si>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</si>
  <si>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</si>
  <si>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</si>
  <si>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</si>
  <si>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</si>
  <si>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</si>
  <si>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</si>
  <si>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</si>
  <si>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</si>
  <si>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</si>
  <si>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</si>
  <si>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</si>
  <si>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</si>
  <si>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</si>
  <si>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</si>
  <si>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</si>
  <si>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</si>
  <si>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</si>
  <si>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</si>
  <si>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</si>
  <si>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</si>
  <si>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</si>
  <si>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</si>
  <si>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</si>
  <si>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</si>
  <si>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</si>
  <si>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</si>
  <si>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</si>
  <si>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</si>
  <si>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</si>
  <si>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</si>
  <si>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</si>
  <si>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</si>
  <si>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</si>
  <si>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</si>
  <si>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</si>
  <si>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</si>
  <si>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</si>
  <si>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</si>
  <si>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</si>
  <si>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</si>
  <si>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</si>
  <si>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</si>
  <si>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</si>
  <si>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</si>
  <si>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</si>
  <si>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</si>
  <si>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</si>
  <si>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</si>
  <si>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</si>
  <si>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</si>
  <si>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</si>
  <si>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</si>
  <si>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</si>
  <si>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</si>
  <si>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</si>
  <si>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</si>
  <si>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</si>
  <si>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</si>
  <si>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</si>
  <si>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</si>
  <si>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</si>
  <si>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</si>
  <si>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</si>
  <si>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</si>
  <si>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</si>
  <si>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</si>
  <si>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</si>
  <si>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</si>
  <si>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</si>
  <si>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</si>
  <si>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</si>
  <si>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</si>
  <si>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</si>
  <si>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</si>
  <si>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</si>
  <si>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</si>
  <si>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</si>
  <si>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</si>
  <si>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</si>
  <si>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</si>
  <si>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</si>
  <si>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</si>
  <si>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</si>
  <si>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</si>
  <si>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</si>
  <si>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</si>
  <si>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</si>
  <si>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</si>
  <si>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</si>
  <si>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</si>
  <si>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</si>
  <si>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</si>
  <si>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</si>
  <si>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</si>
  <si>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</si>
  <si>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</si>
  <si>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</si>
  <si>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</si>
  <si>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</si>
  <si>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</si>
  <si>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</si>
  <si>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</si>
  <si>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</si>
  <si>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</si>
  <si>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</si>
  <si>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</si>
  <si>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</si>
  <si>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</si>
  <si>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</si>
  <si>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</si>
  <si>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</si>
  <si>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</si>
  <si>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</si>
  <si>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</si>
  <si>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</si>
  <si>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</si>
  <si>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</si>
  <si>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</si>
  <si>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</si>
  <si>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</si>
  <si>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</si>
  <si>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</si>
  <si>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</si>
  <si>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</si>
  <si>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</si>
  <si>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</si>
  <si>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</si>
  <si>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</si>
  <si>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</si>
  <si>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</si>
  <si>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</si>
  <si>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</si>
  <si>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</si>
  <si>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</si>
  <si>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</si>
  <si>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</si>
  <si>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</si>
  <si>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</si>
  <si>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</si>
  <si>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</si>
  <si>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</si>
  <si>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</si>
  <si>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</si>
  <si>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</si>
  <si>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</si>
  <si>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</si>
  <si>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</si>
  <si>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</si>
  <si>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</si>
  <si>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</si>
  <si>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</si>
  <si>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</si>
  <si>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</si>
  <si>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</si>
  <si>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</si>
  <si>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</si>
  <si>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</si>
  <si>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</si>
  <si>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</si>
  <si>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</si>
  <si>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</si>
  <si>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</si>
  <si>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</si>
  <si>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</si>
  <si>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</si>
  <si>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</si>
  <si>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</si>
  <si>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</si>
  <si>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</si>
  <si>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</si>
  <si>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</si>
  <si>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</si>
  <si>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</si>
  <si>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</si>
  <si>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</si>
  <si>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</si>
  <si>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</si>
  <si>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</si>
  <si>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</si>
  <si>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</si>
  <si>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</si>
  <si>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</si>
  <si>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</si>
  <si>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</si>
  <si>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</si>
  <si>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</si>
  <si>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</si>
  <si>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</si>
  <si>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</si>
  <si>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</si>
  <si>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</si>
  <si>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</si>
  <si>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</si>
  <si>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</si>
  <si>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</si>
  <si>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</si>
  <si>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</si>
  <si>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</si>
  <si>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</si>
  <si>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</si>
  <si>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</si>
  <si>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</si>
  <si>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</si>
  <si>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</si>
  <si>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</si>
  <si>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</si>
  <si>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</si>
  <si>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</si>
  <si>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</si>
  <si>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</si>
  <si>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</si>
  <si>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</si>
  <si>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</si>
  <si>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</si>
  <si>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</si>
  <si>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</si>
  <si>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</si>
  <si>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</si>
  <si>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</si>
  <si>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</si>
  <si>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</si>
  <si>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</si>
  <si>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</si>
  <si>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</si>
  <si>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</si>
  <si>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</si>
  <si>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</si>
  <si>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</si>
  <si>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</si>
  <si>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</si>
  <si>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</si>
  <si>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</si>
  <si>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</si>
  <si>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</si>
  <si>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</si>
  <si>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</si>
  <si>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</si>
  <si>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</si>
  <si>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</si>
  <si>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</si>
  <si>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</si>
  <si>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</si>
  <si>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</si>
  <si>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</si>
  <si>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</si>
  <si>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lt005_instr_ent.</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</si>
  <si>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</si>
  <si>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</si>
  <si>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</si>
  <si>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</si>
  <si>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</si>
  <si>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</si>
  <si>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</si>
  <si>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</si>
  <si>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</si>
  <si>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</si>
  <si>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</si>
  <si>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</si>
  <si>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</si>
  <si>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</si>
  <si>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</si>
  <si>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</si>
  <si>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</si>
  <si>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</si>
  <si>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</si>
  <si>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</si>
  <si>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</si>
  <si>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</si>
  <si>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</si>
  <si>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</si>
  <si>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</si>
  <si>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</si>
  <si>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</si>
  <si>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</si>
  <si>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</si>
  <si>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</si>
  <si>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</si>
  <si>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</si>
  <si>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</si>
  <si>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</si>
  <si>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</si>
  <si>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</si>
  <si>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</si>
  <si>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</si>
  <si>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</si>
  <si>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</si>
  <si>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</si>
  <si>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</si>
  <si>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</si>
  <si>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</si>
  <si>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</si>
  <si>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</si>
  <si>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</si>
  <si>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</si>
  <si>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</si>
  <si>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</si>
  <si>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</si>
  <si>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</si>
  <si>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</si>
  <si>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</si>
  <si>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</si>
  <si>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</si>
  <si>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</si>
  <si>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</si>
  <si>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</si>
  <si>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</si>
  <si>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</si>
  <si>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</si>
  <si>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</si>
  <si>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</si>
  <si>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</si>
  <si>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</si>
  <si>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</si>
  <si>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</si>
  <si>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</si>
  <si>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</si>
  <si>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</si>
  <si>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</si>
  <si>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</si>
  <si>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</si>
  <si>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</si>
  <si>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</si>
  <si>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</si>
  <si>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</si>
  <si>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</si>
  <si>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</si>
  <si>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</si>
  <si>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</si>
  <si>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</si>
  <si>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</si>
  <si>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</si>
  <si>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</si>
  <si>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</si>
  <si>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</si>
  <si>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</si>
  <si>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</si>
  <si>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</si>
  <si>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</si>
  <si>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</si>
  <si>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</si>
  <si>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</si>
  <si>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</si>
  <si>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</si>
  <si>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</si>
  <si>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</si>
  <si>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</si>
  <si>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</si>
  <si>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</si>
  <si>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</si>
  <si>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</si>
  <si>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</si>
  <si>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</si>
  <si>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</si>
  <si>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</si>
  <si>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</si>
  <si>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</si>
  <si>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</si>
  <si>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</si>
  <si>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</si>
  <si>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</si>
  <si>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</si>
  <si>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</si>
  <si>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</si>
  <si>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</si>
  <si>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</si>
  <si>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</si>
  <si>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</si>
  <si>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</si>
  <si>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</si>
  <si>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</si>
  <si>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</si>
  <si>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</si>
  <si>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</si>
  <si>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</si>
  <si>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</si>
  <si>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</si>
  <si>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</si>
  <si>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</si>
  <si>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</si>
  <si>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</si>
  <si>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</si>
  <si>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</si>
  <si>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</si>
  <si>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</si>
  <si>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</si>
  <si>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</si>
  <si>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</si>
  <si>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</si>
  <si>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</si>
  <si>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</si>
  <si>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</si>
  <si>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</si>
  <si>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</si>
  <si>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</si>
  <si>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</si>
  <si>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</si>
  <si>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</si>
  <si>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</si>
  <si>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</si>
  <si>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</si>
  <si>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</si>
  <si>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</si>
  <si>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</si>
  <si>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</si>
  <si>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</si>
  <si>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</si>
  <si>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</si>
  <si>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</si>
  <si>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</si>
  <si>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</si>
  <si>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</si>
  <si>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</si>
  <si>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</si>
  <si>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</si>
  <si>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</si>
  <si>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</si>
  <si>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</si>
  <si>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</si>
  <si>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</si>
  <si>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</si>
  <si>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</si>
  <si>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</si>
  <si>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</si>
  <si>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</si>
  <si>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</si>
  <si>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</si>
  <si>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</si>
  <si>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</si>
  <si>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</si>
  <si>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</si>
  <si>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</si>
  <si>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</si>
  <si>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</si>
  <si>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</si>
  <si>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</si>
  <si>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</si>
  <si>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</si>
  <si>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</si>
  <si>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</si>
  <si>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</si>
  <si>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</si>
  <si>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</si>
  <si>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</si>
  <si>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</si>
  <si>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</si>
  <si>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</si>
  <si>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</si>
  <si>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</si>
  <si>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</si>
  <si>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</si>
  <si>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t>0260_grntd_min_amnt_strctrd_prdc</t>
  </si>
  <si>
    <r>
      <rPr>
        <sz val="11"/>
        <color theme="1"/>
        <rFont val="Calibri"/>
        <family val="2"/>
        <scheme val="minor"/>
      </rPr>
      <t xml:space="preserve">Tabela </t>
    </r>
    <r>
      <rPr>
        <i/>
        <sz val="11"/>
        <color theme="1"/>
        <rFont val="Calibri"/>
        <family val="2"/>
        <scheme val="minor"/>
      </rPr>
      <t>Output</t>
    </r>
  </si>
  <si>
    <t>B05.00</t>
  </si>
  <si>
    <t xml:space="preserve">instrmnt_id </t>
  </si>
  <si>
    <t>prtctn_allctd_vl</t>
  </si>
  <si>
    <t>flg_scrd</t>
  </si>
  <si>
    <t xml:space="preserve">dt_mtrty_prtctn </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</si>
  <si>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</si>
  <si>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</si>
  <si>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</si>
  <si>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</si>
  <si>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</si>
  <si>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</si>
  <si>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</si>
  <si>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</si>
  <si>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</si>
  <si>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</si>
  <si>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</si>
  <si>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</si>
  <si>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</si>
  <si>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</si>
  <si>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</si>
  <si>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</si>
  <si>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</si>
  <si>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</si>
  <si>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</si>
  <si>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</si>
  <si>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</si>
  <si>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</si>
  <si>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lt006_instr_pro</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</si>
  <si>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</si>
  <si>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</si>
  <si>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</si>
  <si>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</si>
  <si>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</si>
  <si>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</si>
  <si>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</si>
  <si>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</si>
  <si>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</si>
  <si>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</si>
  <si>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</si>
  <si>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</si>
  <si>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</si>
  <si>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</si>
  <si>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</si>
  <si>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</si>
  <si>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</si>
  <si>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</si>
  <si>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</si>
  <si>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</si>
  <si>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</si>
  <si>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</si>
  <si>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</si>
  <si>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</si>
  <si>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</si>
  <si>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</si>
  <si>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</si>
  <si>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</si>
  <si>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</si>
  <si>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</si>
  <si>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</si>
  <si>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</si>
  <si>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</si>
  <si>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</si>
  <si>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</si>
  <si>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</si>
  <si>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</si>
  <si>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flag_gar_intrg_san</t>
  </si>
  <si>
    <t>flag_inst_titulos</t>
  </si>
  <si>
    <t>lt801_param_segm</t>
  </si>
  <si>
    <t>Tipo de Controlo</t>
  </si>
  <si>
    <t>Nível I</t>
  </si>
  <si>
    <t>Nível II</t>
  </si>
  <si>
    <t xml:space="preserve">#Controlos Totais </t>
  </si>
  <si>
    <t>#Controlos OK</t>
  </si>
  <si>
    <t>#Controlos NOK</t>
  </si>
  <si>
    <t>Resumo de Controlos</t>
  </si>
  <si>
    <t>Formatos</t>
  </si>
  <si>
    <r>
      <rPr>
        <b/>
        <i/>
        <sz val="11"/>
        <color theme="1"/>
        <rFont val="Santander Text"/>
        <family val="2"/>
      </rPr>
      <t>Status</t>
    </r>
    <r>
      <rPr>
        <b/>
        <sz val="11"/>
        <color theme="1"/>
        <rFont val="Santander Text"/>
        <family val="2"/>
      </rPr>
      <t xml:space="preserve"> dos Controlos</t>
    </r>
  </si>
  <si>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</si>
  <si>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</si>
  <si>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</si>
  <si>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</si>
  <si>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</si>
  <si>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lá cima pelo valor nominal atual que está na ct610</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</si>
  <si>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</si>
  <si>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</si>
  <si>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</si>
  <si>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</si>
  <si>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ok</t>
  </si>
  <si>
    <t>Not applicable</t>
  </si>
  <si>
    <t>999999999999999</t>
  </si>
  <si>
    <t>0001-01-01</t>
  </si>
  <si>
    <t>Aux_sheet_Status</t>
  </si>
  <si>
    <t>lvl1_h_0010_row_nmbr</t>
  </si>
  <si>
    <t>lvl1_h_0030_uniq_id_knwn_cntrprty</t>
  </si>
  <si>
    <t>lvl1_h_0040_typ_uniq_id_knwn_cntrprty</t>
  </si>
  <si>
    <t>lvl1_h_0070_cntrct_crrncy</t>
  </si>
  <si>
    <t>lvl1_h_0080_otstndng_prncpl_amnt</t>
  </si>
  <si>
    <t>lvl1_w_0080_otstndng_prncpl_amnt</t>
  </si>
  <si>
    <t>lvl1_h_0090_prtn_amnt_rprtng_entty</t>
  </si>
  <si>
    <t>lvl1_h_0100_accrd_intrst_instrmnt</t>
  </si>
  <si>
    <t>lvl1_w_0100_accrd_intrst_instrmnt</t>
  </si>
  <si>
    <t>lvl1_h_0120_otstndng_amnt</t>
  </si>
  <si>
    <t>lvl1_w_0120_otstndng_amnt</t>
  </si>
  <si>
    <t>lvl1_h_0130_rlvnt_amnt_wdc</t>
  </si>
  <si>
    <t>lvl1_h_0140_ntr_lblty</t>
  </si>
  <si>
    <t>lvl1_h_0141_ntr_lblty_othr</t>
  </si>
  <si>
    <t>lvl1_h_0160_rank_insolv</t>
  </si>
  <si>
    <t>lvl1_h_0162_bail_in_cascade</t>
  </si>
  <si>
    <t>lvl1_h_0180_dt_nxt_intrst_pymnt</t>
  </si>
  <si>
    <t>lvl1_w_0180_dt_nxt_intrst_pymnt</t>
  </si>
  <si>
    <t>lvl1_w_0200_dt_erlst_rdmptn</t>
  </si>
  <si>
    <t>lvl1_h_0210_dt_lgl_fnl_mtrty</t>
  </si>
  <si>
    <t>lvl1_h_0220_governing_law</t>
  </si>
  <si>
    <t>lvl1_h_0250_strctrd_prdct</t>
  </si>
  <si>
    <t>lvl1_w_0260_grntd_min_amnt_strctrd_prdct</t>
  </si>
  <si>
    <t>lvl1_h_0270_fv_amnt_strctrd_prdct</t>
  </si>
  <si>
    <t>lvl1_h_0300_amnt_cvrd_elgbl_dpsts</t>
  </si>
  <si>
    <t>lvl1_h_0310_flg_clltrl_agrmnts</t>
  </si>
  <si>
    <t>lvl1_h_0320_amnt_clltrl</t>
  </si>
  <si>
    <t>lvl1_h_0330_amnt_unclltrlzd</t>
  </si>
  <si>
    <t>lvl1_h_0350_typ_clltrl</t>
  </si>
  <si>
    <t>lvl1_h_0351_typ_clltrl_othr</t>
  </si>
  <si>
    <t>lvl1_h_0370_amnt_scrty_eur</t>
  </si>
  <si>
    <t>lvl1_w_0370_amnt_scrty_eur</t>
  </si>
  <si>
    <t>lvl1_h_0390_nmbr_scrts_not_rprtng_entty</t>
  </si>
  <si>
    <t>lvl1_h_0391_nmbr_scrts_rprtng_entty</t>
  </si>
  <si>
    <t>lvl1_h_0400_accrd_intrst_scrty</t>
  </si>
  <si>
    <t>lvl1_w_0400_accrd_intrst_scrty</t>
  </si>
  <si>
    <t>lvl1_w_0610_crryng_amnt_ifrs</t>
  </si>
  <si>
    <t>lvl2_h_0030_uniq_id_knwn_cntrprty</t>
  </si>
  <si>
    <t>lvl2_h_0070_cntrct_crrncy</t>
  </si>
  <si>
    <t>lvl2_w_0080_otstndng_prncpl_amnt</t>
  </si>
  <si>
    <t>lvl2_h_0090_prtn_amnt_rprtng_entty</t>
  </si>
  <si>
    <t>lvl2_w_0100_accrd_intrst_instrmnt</t>
  </si>
  <si>
    <t>lvl2_w_0110_applcbl_fees_charges</t>
  </si>
  <si>
    <t>lvl2_h_0120_otstndng_amnt</t>
  </si>
  <si>
    <t>lvl2_h_0130_rlvnt_amnt_wdc</t>
  </si>
  <si>
    <t>lvl2_h_0140_ntr_lblty</t>
  </si>
  <si>
    <t>lvl2_h_0160_rank_insolv</t>
  </si>
  <si>
    <t>lvl2_h_0170_dt_incptn</t>
  </si>
  <si>
    <t>lvl2_h_0180_dt_nxt_intrst_pymnt</t>
  </si>
  <si>
    <t>lvl2_h_0200_dt_erlst_rdmptn</t>
  </si>
  <si>
    <t>lvl2_h_0210_dt_lgl_fnl_mtrty</t>
  </si>
  <si>
    <t>lvl2_h_0220_governing_law</t>
  </si>
  <si>
    <t>lvl2_h_0230_bail_in_rcgntn_cls</t>
  </si>
  <si>
    <t>lvl2_h_0250_strctrd_prdct</t>
  </si>
  <si>
    <t>lvl2_h_0310_flg_clltrl_agrmnts</t>
  </si>
  <si>
    <t>lvl2_h_0330_amnt_unclltrlzd</t>
  </si>
  <si>
    <t>lvl2_h_0350_typ_clltrl</t>
  </si>
  <si>
    <t>lvl2_h_0440_ntr_glbl_nt</t>
  </si>
  <si>
    <t>lvl2_h_0530_typ_own_fnds_ind_lvl</t>
  </si>
  <si>
    <t>lvl2_h_0540_elgbl_amnt_own_fnds_ind_lvl</t>
  </si>
  <si>
    <t>lvl2_h_0550_typ_own_fnds_cnsldtd_lvl</t>
  </si>
  <si>
    <t>lvl2_h_0560_elgbl_amnt_own_fnds_cnsldtd_lvl</t>
  </si>
  <si>
    <t>lvl2_h_0590_typ_scrty_intrst_prvdd</t>
  </si>
  <si>
    <t>lvl2_h_0610_crryng_amnt_ifrs</t>
  </si>
  <si>
    <t>lvl2_h_0620_blnc_sht_ifrs</t>
  </si>
  <si>
    <t>frmt_0010_row_nmbr</t>
  </si>
  <si>
    <t>frmt_0020_uniq_id</t>
  </si>
  <si>
    <t>frmt_0030_uniq_id_knwn_cntrprty</t>
  </si>
  <si>
    <t>frmt_0040_typ_uniq_id_knwn_cntrprty</t>
  </si>
  <si>
    <t>frmt_0050_orgnl_amnt_eur</t>
  </si>
  <si>
    <t>frmt_0060_orgnl_amnt_fx</t>
  </si>
  <si>
    <t>frmt_0070_cntrct_crrncy</t>
  </si>
  <si>
    <t>frmt_0080_otstndng_prncpl_amnt</t>
  </si>
  <si>
    <t>frmt_0090_prtn_amnt_rprtng_entty</t>
  </si>
  <si>
    <t>frmt_0100_accrd_intrst_instrmnt</t>
  </si>
  <si>
    <t>frmt_0110_applcbl_fees_charges</t>
  </si>
  <si>
    <t>frmt_0120_otstndng_amnt</t>
  </si>
  <si>
    <t>frmt_0130_rlvnt_amnt_wdc</t>
  </si>
  <si>
    <t>frmt_0140_ntr_lblty</t>
  </si>
  <si>
    <t>frmt_0141_ntr_lblty_othr</t>
  </si>
  <si>
    <t>frmt_0150_flg_strctrlly_sbrdntd</t>
  </si>
  <si>
    <t>frmt_0160_rank_insolv</t>
  </si>
  <si>
    <t>frmt_0161_cntrctl_sbrdntn</t>
  </si>
  <si>
    <t>frmt_0162_bail_in_cascade</t>
  </si>
  <si>
    <t>frmt_0170_dt_incptn</t>
  </si>
  <si>
    <t>frmt_0180_dt_nxt_intrst_pymnt</t>
  </si>
  <si>
    <t>frmt_0190_dt_nxt_rdmptn_pymnt</t>
  </si>
  <si>
    <t>frmt_0200_dt_erlst_rdmptn</t>
  </si>
  <si>
    <t>frmt_0210_dt_lgl_fnl_mtrty</t>
  </si>
  <si>
    <t>frmt_0220_governing_law</t>
  </si>
  <si>
    <t>frmt_0230_bail_in_rcgntn_cls</t>
  </si>
  <si>
    <t>frmt_0240_zero_coupon</t>
  </si>
  <si>
    <t>frmt_0250_strctrd_prdct</t>
  </si>
  <si>
    <t>frmt_0260_grntd_min_amnt_strctrd_prdct</t>
  </si>
  <si>
    <t>frmt_0270_fv_amnt_strctrd_prdct</t>
  </si>
  <si>
    <t>frmt_0280_flg_ncnp_dpsts</t>
  </si>
  <si>
    <t>frmt_0290_flg_ncbp_dpsts</t>
  </si>
  <si>
    <t>frmt_0300_amnt_cvrd_elgbl_dpsts</t>
  </si>
  <si>
    <t>frmt_0310_flg_clltrl_agrmnts</t>
  </si>
  <si>
    <t>frmt_0320_amnt_clltrl</t>
  </si>
  <si>
    <t>frmt_0330_amnt_unclltrlzd</t>
  </si>
  <si>
    <t>frmt_0340_id_clltrl</t>
  </si>
  <si>
    <t>frmt_0350_typ_clltrl</t>
  </si>
  <si>
    <t>frmt_0351_typ_clltrl_othr</t>
  </si>
  <si>
    <t>frmt_0360_trdng_mthd</t>
  </si>
  <si>
    <t>frmt_0370_amnt_scrty_eur</t>
  </si>
  <si>
    <t>frmt_0380_amnt_scrty_fx</t>
  </si>
  <si>
    <t>frmt_0390_nmbr_scrts_not_rprtng_entty</t>
  </si>
  <si>
    <t>frmt_0391_nmbr_scrts_rprtng_entty</t>
  </si>
  <si>
    <t>frmt_0400_accrd_intrst_scrty</t>
  </si>
  <si>
    <t>frmt_0410_fees_charges_scrty</t>
  </si>
  <si>
    <t>frmt_0420_fv_amnt_scrty</t>
  </si>
  <si>
    <t>frmt_0430_prncpl_amnt_glbl_nt_eur</t>
  </si>
  <si>
    <t>frmt_0431_prncpl_amnt_glbl_nt_fx</t>
  </si>
  <si>
    <t>frmt_0440_ntr_glbl_nt</t>
  </si>
  <si>
    <t>frmt_0450_crrnt_pool_fctr</t>
  </si>
  <si>
    <t>frmt_0460_csd</t>
  </si>
  <si>
    <t>frmt_0461_csd_lei</t>
  </si>
  <si>
    <t>frmt_0462_csd_othr</t>
  </si>
  <si>
    <t>frmt_0470_pyng_agnt</t>
  </si>
  <si>
    <t>frmt_0471_pyng_agnt_lei</t>
  </si>
  <si>
    <t>frmt_0480_trdng_vn</t>
  </si>
  <si>
    <t>frmt_0481_trdng_vn_lei</t>
  </si>
  <si>
    <t>frmt_0490_rgstrr</t>
  </si>
  <si>
    <t>frmt_0491_rgstrr_lei</t>
  </si>
  <si>
    <t>frmt_0500_nna</t>
  </si>
  <si>
    <t>frmt_0501_nna_lei</t>
  </si>
  <si>
    <t>frmt_0510_cmmn_dpstry</t>
  </si>
  <si>
    <t>frmt_0511_cmmn_dpstry_lei</t>
  </si>
  <si>
    <t>frmt_0520_cmmn_srvc_prvdr</t>
  </si>
  <si>
    <t>frmt_0521_cmmn_srvc_prvdr_lei</t>
  </si>
  <si>
    <t>frmt_0530_typ_own_fnds_ind_lvl</t>
  </si>
  <si>
    <t>frmt_0540_elgbl_amnt_own_fnds_ind_lvl</t>
  </si>
  <si>
    <t>frmt_0550_typ_own_fnds_cnsldtd_lvl</t>
  </si>
  <si>
    <t>frmt_0560_elgbl_amnt_own_fnds_cnsldtd_lvl</t>
  </si>
  <si>
    <t>frmt_0570_amnt_scrty_intrst_prvdd</t>
  </si>
  <si>
    <t>frmt_0580_scrty_intrst_prvdr</t>
  </si>
  <si>
    <t>frmt_0581_scrty_intrst_prvdr_lei</t>
  </si>
  <si>
    <t>frmt_0590_typ_scrty_intrst_prvdd</t>
  </si>
  <si>
    <t>frmt_0600_flg_clltrl_asst_pstn</t>
  </si>
  <si>
    <t>frmt_0610_crryng_amnt_ifrs</t>
  </si>
  <si>
    <t>frmt_0620_blnc_sht_ifrs</t>
  </si>
  <si>
    <t>frmt_0630_crrying_amnt_ngaap</t>
  </si>
  <si>
    <t>frmt_0640_blnc_sht_ngaap</t>
  </si>
  <si>
    <t>frmt_5000_flg_shrhldr_not_rsltn_grp</t>
  </si>
  <si>
    <t>frmt_5010_flg_art21_7a_srmr</t>
  </si>
  <si>
    <t>Não aplicável</t>
  </si>
  <si>
    <t>#Controlos Por iniciar</t>
  </si>
  <si>
    <t>#Controlos por justificar</t>
  </si>
  <si>
    <t>#Controlos justificados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</si>
  <si>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A alternativa seria preencher o campo com valor fixo '0001-01-01' (Not applicable) diretamente na tabela final (out_b0500_guarantees), contudo, não ficaria preparado para a situação futura de entrarem Garantias Reais.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</si>
  <si>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</si>
  <si>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</si>
  <si>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</si>
  <si>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</si>
  <si>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</si>
  <si>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</si>
  <si>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</si>
  <si>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</si>
  <si>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
  </si>
  <si>
    <t>0260_grntd_min_amnt_strctrd_prdct</t>
  </si>
  <si>
    <t>0141, 0340, 0351, 0462, 0640, 0150</t>
  </si>
  <si>
    <t>Observações
(relativas aos NOK)</t>
  </si>
  <si>
    <t>Controlo</t>
  </si>
  <si>
    <t>Issues</t>
  </si>
  <si>
    <t>LVL1_H_5000_flg_shrhldr_not_rsltn_grp</t>
  </si>
  <si>
    <t>LVL1_H_5010_flg_art21_7a_srmr</t>
  </si>
  <si>
    <t>LVL2_H_0180_dt_nxt_intrst_pymnt</t>
  </si>
  <si>
    <t>LVL2_H_0200_dt_erlst_rdmptn</t>
  </si>
  <si>
    <t>LVL2_H_0210_dt_lgl_fnl_mtrty</t>
  </si>
  <si>
    <t>Tipo</t>
  </si>
  <si>
    <t>High Severity (H)/ Warning (W)</t>
  </si>
  <si>
    <t>Field</t>
  </si>
  <si>
    <t>Aux ID8 (=8) E ID9 (=9)</t>
  </si>
  <si>
    <t>Concluídos por IT (=1)</t>
  </si>
  <si>
    <t>Concluídos na Simulação (=1)</t>
  </si>
  <si>
    <t>lvl1</t>
  </si>
  <si>
    <t>h</t>
  </si>
  <si>
    <t>w</t>
  </si>
  <si>
    <t>0310_flg_clltrl_agrmnts</t>
  </si>
  <si>
    <t>lvl2</t>
  </si>
  <si>
    <t>frmt</t>
  </si>
  <si>
    <t>-</t>
  </si>
  <si>
    <t>0490_rgstrr</t>
  </si>
  <si>
    <t>LVL1</t>
  </si>
  <si>
    <t>H</t>
  </si>
  <si>
    <t>LVL2</t>
  </si>
  <si>
    <r>
      <t xml:space="preserve">Resumo semana atual:
Tabelas LT:
    </t>
    </r>
    <r>
      <rPr>
        <sz val="12"/>
        <color theme="1"/>
        <rFont val="Calibri"/>
        <family val="2"/>
        <scheme val="minor"/>
      </rPr>
      <t xml:space="preserve">- Sem avanços na presente semana.  </t>
    </r>
    <r>
      <rPr>
        <b/>
        <sz val="12"/>
        <color theme="1"/>
        <rFont val="Calibri"/>
        <family val="2"/>
        <scheme val="minor"/>
      </rPr>
      <t xml:space="preserve">
Tabela Output (out_b0500_guarantees):
    </t>
    </r>
    <r>
      <rPr>
        <sz val="12"/>
        <color theme="1"/>
        <rFont val="Calibri"/>
        <family val="2"/>
        <scheme val="minor"/>
      </rPr>
      <t xml:space="preserve">- Sem avanços na presente semana.  </t>
    </r>
    <r>
      <rPr>
        <b/>
        <sz val="12"/>
        <color theme="1"/>
        <rFont val="Calibri"/>
        <family val="2"/>
        <scheme val="minor"/>
      </rPr>
      <t xml:space="preserve">
</t>
    </r>
  </si>
  <si>
    <t>Com incidências</t>
  </si>
  <si>
    <r>
      <t xml:space="preserve">Resumo semana atual:
Tabela de Operações (lt002_instrument): </t>
    </r>
    <r>
      <rPr>
        <sz val="10"/>
        <color theme="1"/>
        <rFont val="Calibri"/>
        <family val="2"/>
        <scheme val="minor"/>
      </rPr>
      <t>Foram testados 3 campos onde foram verificadas as seguintes incidências:</t>
    </r>
    <r>
      <rPr>
        <b/>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 xml:space="preserve">typ_own_fnds_indvdl_lvl </t>
    </r>
    <r>
      <rPr>
        <sz val="10"/>
        <color theme="1"/>
        <rFont val="Calibri"/>
        <family val="2"/>
        <scheme val="minor"/>
      </rPr>
      <t xml:space="preserve">- Registos com valor </t>
    </r>
    <r>
      <rPr>
        <i/>
        <sz val="10"/>
        <color theme="1"/>
        <rFont val="Calibri"/>
        <family val="2"/>
        <scheme val="minor"/>
      </rPr>
      <t>null</t>
    </r>
    <r>
      <rPr>
        <sz val="10"/>
        <color theme="1"/>
        <rFont val="Calibri"/>
        <family val="2"/>
        <scheme val="minor"/>
      </rPr>
      <t xml:space="preserve">. Necessidade de ajustar a parametrização </t>
    </r>
    <r>
      <rPr>
        <i/>
        <sz val="10"/>
        <color theme="1"/>
        <rFont val="Calibri"/>
        <family val="2"/>
        <scheme val="minor"/>
      </rPr>
      <t>lt804_conf_dflt</t>
    </r>
    <r>
      <rPr>
        <sz val="10"/>
        <color theme="1"/>
        <rFont val="Calibri"/>
        <family val="2"/>
        <scheme val="minor"/>
      </rPr>
      <t>.
    -</t>
    </r>
    <r>
      <rPr>
        <b/>
        <sz val="10"/>
        <color theme="1"/>
        <rFont val="Calibri"/>
        <family val="2"/>
        <scheme val="minor"/>
      </rPr>
      <t xml:space="preserve"> </t>
    </r>
    <r>
      <rPr>
        <sz val="10"/>
        <color theme="1"/>
        <rFont val="Calibri"/>
        <family val="2"/>
        <scheme val="minor"/>
      </rPr>
      <t>Campo</t>
    </r>
    <r>
      <rPr>
        <b/>
        <sz val="10"/>
        <color theme="1"/>
        <rFont val="Calibri"/>
        <family val="2"/>
        <scheme val="minor"/>
      </rPr>
      <t xml:space="preserve"> </t>
    </r>
    <r>
      <rPr>
        <i/>
        <sz val="10"/>
        <color theme="1"/>
        <rFont val="Calibri"/>
        <family val="2"/>
        <scheme val="minor"/>
      </rPr>
      <t xml:space="preserve">orgnl_amnt_fx </t>
    </r>
    <r>
      <rPr>
        <sz val="10"/>
        <color theme="1"/>
        <rFont val="Calibri"/>
        <family val="2"/>
        <scheme val="minor"/>
      </rPr>
      <t xml:space="preserve">- Todos os registos com valor </t>
    </r>
    <r>
      <rPr>
        <i/>
        <sz val="10"/>
        <color theme="1"/>
        <rFont val="Calibri"/>
        <family val="2"/>
        <scheme val="minor"/>
      </rPr>
      <t>default (99999999999.00)</t>
    </r>
    <r>
      <rPr>
        <sz val="10"/>
        <color theme="1"/>
        <rFont val="Calibri"/>
        <family val="2"/>
        <scheme val="minor"/>
      </rPr>
      <t xml:space="preserve">. Necessidade de ajustar a parametrização </t>
    </r>
    <r>
      <rPr>
        <i/>
        <sz val="10"/>
        <color theme="1"/>
        <rFont val="Calibri"/>
        <family val="2"/>
        <scheme val="minor"/>
      </rPr>
      <t>lt804_conf_dflt</t>
    </r>
    <r>
      <rPr>
        <sz val="10"/>
        <color theme="1"/>
        <rFont val="Calibri"/>
        <family val="2"/>
        <scheme val="minor"/>
      </rPr>
      <t xml:space="preserve">.
    - Campo </t>
    </r>
    <r>
      <rPr>
        <i/>
        <sz val="10"/>
        <color theme="1"/>
        <rFont val="Calibri"/>
        <family val="2"/>
        <scheme val="minor"/>
      </rPr>
      <t>accntng_clssfctn</t>
    </r>
    <r>
      <rPr>
        <sz val="10"/>
        <color theme="1"/>
        <rFont val="Calibri"/>
        <family val="2"/>
        <scheme val="minor"/>
      </rPr>
      <t xml:space="preserve"> - Todos os registos com valor</t>
    </r>
    <r>
      <rPr>
        <i/>
        <sz val="10"/>
        <color theme="1"/>
        <rFont val="Calibri"/>
        <family val="2"/>
        <scheme val="minor"/>
      </rPr>
      <t xml:space="preserve"> default (99999999999).</t>
    </r>
    <r>
      <rPr>
        <sz val="10"/>
        <color theme="1"/>
        <rFont val="Calibri"/>
        <family val="2"/>
        <scheme val="minor"/>
      </rPr>
      <t xml:space="preserve"> Necessidade de ajustar as parametrizações </t>
    </r>
    <r>
      <rPr>
        <i/>
        <sz val="10"/>
        <color theme="1"/>
        <rFont val="Calibri"/>
        <family val="2"/>
        <scheme val="minor"/>
      </rPr>
      <t>lt829_regras_conversao</t>
    </r>
    <r>
      <rPr>
        <sz val="10"/>
        <color theme="1"/>
        <rFont val="Calibri"/>
        <family val="2"/>
        <scheme val="minor"/>
      </rPr>
      <t xml:space="preserve"> e </t>
    </r>
    <r>
      <rPr>
        <i/>
        <sz val="10"/>
        <color theme="1"/>
        <rFont val="Calibri"/>
        <family val="2"/>
        <scheme val="minor"/>
      </rPr>
      <t>lt830_conversoes</t>
    </r>
    <r>
      <rPr>
        <sz val="10"/>
        <color theme="1"/>
        <rFont val="Calibri"/>
        <family val="2"/>
        <scheme val="minor"/>
      </rPr>
      <t xml:space="preserve">.
    - Campo </t>
    </r>
    <r>
      <rPr>
        <i/>
        <sz val="10"/>
        <color theme="1"/>
        <rFont val="Calibri"/>
        <family val="2"/>
        <scheme val="minor"/>
      </rPr>
      <t>isin</t>
    </r>
    <r>
      <rPr>
        <sz val="10"/>
        <color theme="1"/>
        <rFont val="Calibri"/>
        <family val="2"/>
        <scheme val="minor"/>
      </rPr>
      <t xml:space="preserve"> - O campo não está de acordo com a especificação de PM (valores de N/A para quando flag_inst_div = 0)</t>
    </r>
    <r>
      <rPr>
        <b/>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typ_instrmnt</t>
    </r>
    <r>
      <rPr>
        <sz val="10"/>
        <color theme="1"/>
        <rFont val="Calibri"/>
        <family val="2"/>
        <scheme val="minor"/>
      </rPr>
      <t xml:space="preserve"> - Todos os registos não respeitam a </t>
    </r>
    <r>
      <rPr>
        <i/>
        <sz val="10"/>
        <color theme="1"/>
        <rFont val="Calibri"/>
        <family val="2"/>
        <scheme val="minor"/>
      </rPr>
      <t>code list</t>
    </r>
    <r>
      <rPr>
        <sz val="10"/>
        <color theme="1"/>
        <rFont val="Calibri"/>
        <family val="2"/>
        <scheme val="minor"/>
      </rPr>
      <t>.Necessidade de ajustar as parametrizações lt829_regras_conversao e lt830_conversoes.</t>
    </r>
    <r>
      <rPr>
        <b/>
        <sz val="10"/>
        <color theme="1"/>
        <rFont val="Calibri"/>
        <family val="2"/>
        <scheme val="minor"/>
      </rPr>
      <t xml:space="preserve">
Tabela </t>
    </r>
    <r>
      <rPr>
        <b/>
        <i/>
        <sz val="10"/>
        <color theme="1"/>
        <rFont val="Calibri"/>
        <family val="2"/>
        <scheme val="minor"/>
      </rPr>
      <t>Output</t>
    </r>
    <r>
      <rPr>
        <b/>
        <sz val="10"/>
        <color theme="1"/>
        <rFont val="Calibri"/>
        <family val="2"/>
        <scheme val="minor"/>
      </rPr>
      <t xml:space="preserve"> (out_b0200_main_liabilities): </t>
    </r>
    <r>
      <rPr>
        <sz val="10"/>
        <color theme="1"/>
        <rFont val="Calibri"/>
        <family val="2"/>
        <scheme val="minor"/>
      </rPr>
      <t xml:space="preserve">Foram testados 48 campos onde foram verificadas 5 campos com incidências: </t>
    </r>
    <r>
      <rPr>
        <b/>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 xml:space="preserve">0020_uniq_id </t>
    </r>
    <r>
      <rPr>
        <sz val="10"/>
        <color theme="1"/>
        <rFont val="Calibri"/>
        <family val="2"/>
        <scheme val="minor"/>
      </rPr>
      <t xml:space="preserve">- 1 operação duplicada;
    - Campo 0030_uniq_id_knwn_cntrprty - Campo com incidências 
    - Campo 0140_ntr_lblty - Todos os registos mapeados com valores que não respeitam </t>
    </r>
    <r>
      <rPr>
        <i/>
        <sz val="10"/>
        <color theme="1"/>
        <rFont val="Calibri"/>
        <family val="2"/>
        <scheme val="minor"/>
      </rPr>
      <t>code list</t>
    </r>
    <r>
      <rPr>
        <sz val="10"/>
        <color theme="1"/>
        <rFont val="Calibri"/>
        <family val="2"/>
        <scheme val="minor"/>
      </rPr>
      <t xml:space="preserve">.
    - Campo </t>
    </r>
    <r>
      <rPr>
        <i/>
        <sz val="10"/>
        <color theme="1"/>
        <rFont val="Calibri"/>
        <family val="2"/>
        <scheme val="minor"/>
      </rPr>
      <t xml:space="preserve">0060_orgnl_amnt_fx </t>
    </r>
    <r>
      <rPr>
        <sz val="10"/>
        <color theme="1"/>
        <rFont val="Calibri"/>
        <family val="2"/>
        <scheme val="minor"/>
      </rPr>
      <t xml:space="preserve">- Todos os registos mapeados com um valor default.
    - Campo </t>
    </r>
    <r>
      <rPr>
        <i/>
        <sz val="10"/>
        <color theme="1"/>
        <rFont val="Calibri"/>
        <family val="2"/>
        <scheme val="minor"/>
      </rPr>
      <t xml:space="preserve">0530_typ_own_fnds_ind_lvl </t>
    </r>
    <r>
      <rPr>
        <sz val="10"/>
        <color theme="1"/>
        <rFont val="Calibri"/>
        <family val="2"/>
        <scheme val="minor"/>
      </rPr>
      <t>- 2 registos com valores não válidos (</t>
    </r>
    <r>
      <rPr>
        <i/>
        <sz val="10"/>
        <color theme="1"/>
        <rFont val="Calibri"/>
        <family val="2"/>
        <scheme val="minor"/>
      </rPr>
      <t>null</t>
    </r>
    <r>
      <rPr>
        <sz val="10"/>
        <color theme="1"/>
        <rFont val="Calibri"/>
        <family val="2"/>
        <scheme val="minor"/>
      </rPr>
      <t xml:space="preserve">). 
    - Campo </t>
    </r>
    <r>
      <rPr>
        <i/>
        <sz val="10"/>
        <color theme="1"/>
        <rFont val="Calibri"/>
        <family val="2"/>
        <scheme val="minor"/>
      </rPr>
      <t xml:space="preserve">0550_typ_own_fnds_cnsldtd_lvl - </t>
    </r>
    <r>
      <rPr>
        <sz val="10"/>
        <color theme="1"/>
        <rFont val="Calibri"/>
        <family val="2"/>
        <scheme val="minor"/>
      </rPr>
      <t>2 registos com</t>
    </r>
    <r>
      <rPr>
        <i/>
        <sz val="10"/>
        <color theme="1"/>
        <rFont val="Calibri"/>
        <family val="2"/>
        <scheme val="minor"/>
      </rPr>
      <t xml:space="preserve"> v</t>
    </r>
    <r>
      <rPr>
        <sz val="10"/>
        <color theme="1"/>
        <rFont val="Calibri"/>
        <family val="2"/>
        <scheme val="minor"/>
      </rPr>
      <t>alores não válidos (</t>
    </r>
    <r>
      <rPr>
        <i/>
        <sz val="10"/>
        <color theme="1"/>
        <rFont val="Calibri"/>
        <family val="2"/>
        <scheme val="minor"/>
      </rPr>
      <t>null</t>
    </r>
    <r>
      <rPr>
        <sz val="10"/>
        <color theme="1"/>
        <rFont val="Calibri"/>
        <family val="2"/>
        <scheme val="minor"/>
      </rPr>
      <t>).</t>
    </r>
    <r>
      <rPr>
        <i/>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 xml:space="preserve">0620_blnc_sht_ifrs - </t>
    </r>
    <r>
      <rPr>
        <sz val="10"/>
        <color theme="1"/>
        <rFont val="Calibri"/>
        <family val="2"/>
        <scheme val="minor"/>
      </rPr>
      <t xml:space="preserve">Todos os registos mapeados com um valor </t>
    </r>
    <r>
      <rPr>
        <i/>
        <sz val="10"/>
        <color theme="1"/>
        <rFont val="Calibri"/>
        <family val="2"/>
        <scheme val="minor"/>
      </rPr>
      <t>default</t>
    </r>
    <r>
      <rPr>
        <sz val="10"/>
        <color theme="1"/>
        <rFont val="Calibri"/>
        <family val="2"/>
        <scheme val="minor"/>
      </rPr>
      <t>. 
Após o ajuste das parametrizações no LT é expectável a resolução das incidência reportadas (exceto a operação duplicada).</t>
    </r>
    <r>
      <rPr>
        <i/>
        <sz val="10"/>
        <color theme="1"/>
        <rFont val="Calibri"/>
        <family val="2"/>
        <scheme val="minor"/>
      </rPr>
      <t xml:space="preserve">
</t>
    </r>
    <r>
      <rPr>
        <b/>
        <sz val="10"/>
        <color theme="1"/>
        <rFont val="Calibri"/>
        <family val="2"/>
        <scheme val="minor"/>
      </rPr>
      <t xml:space="preserve">Todos os temas supramencionados já foram endereçados com a equipa de IT. 
</t>
    </r>
  </si>
  <si>
    <t>x</t>
  </si>
  <si>
    <r>
      <t xml:space="preserve">Resumo semana atual:
Tabelas LT:
    </t>
    </r>
    <r>
      <rPr>
        <sz val="12"/>
        <color theme="1"/>
        <rFont val="Calibri"/>
        <family val="2"/>
        <scheme val="minor"/>
      </rPr>
      <t xml:space="preserve">- Simulação de 8 campos. </t>
    </r>
    <r>
      <rPr>
        <b/>
        <sz val="12"/>
        <color theme="1"/>
        <rFont val="Calibri"/>
        <family val="2"/>
        <scheme val="minor"/>
      </rPr>
      <t xml:space="preserve">
Tabela Output (out_b9000_counterparties):
    </t>
    </r>
    <r>
      <rPr>
        <sz val="12"/>
        <color theme="1"/>
        <rFont val="Calibri"/>
        <family val="2"/>
        <scheme val="minor"/>
      </rPr>
      <t xml:space="preserve">- Foram testados e sem incidências um total de 3 campos com referência ao mapa B02.00.     </t>
    </r>
    <r>
      <rPr>
        <b/>
        <sz val="12"/>
        <color theme="1"/>
        <rFont val="Calibri"/>
        <family val="2"/>
        <scheme val="minor"/>
      </rPr>
      <t xml:space="preserve">
</t>
    </r>
  </si>
  <si>
    <r>
      <t xml:space="preserve">Resumo semana atual:
</t>
    </r>
    <r>
      <rPr>
        <sz val="12"/>
        <color theme="1"/>
        <rFont val="Calibri"/>
        <family val="2"/>
        <scheme val="minor"/>
      </rPr>
      <t xml:space="preserve">De acordo com o Anexo II, forma identificados controlos de 3 categorias:
    - Nível 1;
    - Nível 2;
    - Formatos.
Por sua vez se repartem em função dos mapas:
    - 156 controlos para o mapa B02.00;
    - 21 controlos para o mapa B05.00;
    - 16 controlos para o mapa B90.00.
</t>
    </r>
    <r>
      <rPr>
        <b/>
        <sz val="12"/>
        <color theme="1"/>
        <rFont val="Calibri"/>
        <family val="2"/>
        <scheme val="minor"/>
      </rPr>
      <t xml:space="preserve">
Tabela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Foram desenvolvidos todos os controlos previstos, contudo, considerando apenas os campos concluídos por tecnologia e sem incidêncicas na simulação, foram verificadas as seguintes incidências:
    - Os campos 0141_ntr_lblty_othr, 0340_id_clltrl, 0351_typ_clltrl_othr, 0462_csd_othr, 0640_blnc_sht_ngaap: estão com valor fixo 'Not applicable' mas no Anexo II não prevê nenhum valor no caso de não aplicável e/ou não disponível.
    - O campo 0150_flg_strctrlly_sbrdntd: está com 'Not applicable' mas devia respeitar uma </t>
    </r>
    <r>
      <rPr>
        <i/>
        <sz val="12"/>
        <color theme="1"/>
        <rFont val="Calibri"/>
        <family val="2"/>
        <scheme val="minor"/>
      </rPr>
      <t xml:space="preserve">code list </t>
    </r>
    <r>
      <rPr>
        <sz val="12"/>
        <color theme="1"/>
        <rFont val="Calibri"/>
        <family val="2"/>
        <scheme val="minor"/>
      </rPr>
      <t xml:space="preserve">(TRUE/FALSE);
</t>
    </r>
    <r>
      <rPr>
        <b/>
        <sz val="12"/>
        <color theme="1"/>
        <rFont val="Calibri"/>
        <family val="2"/>
        <scheme val="minor"/>
      </rPr>
      <t xml:space="preserve">Tabelas </t>
    </r>
    <r>
      <rPr>
        <b/>
        <i/>
        <sz val="12"/>
        <color theme="1"/>
        <rFont val="Calibri"/>
        <family val="2"/>
        <scheme val="minor"/>
      </rPr>
      <t>Output</t>
    </r>
    <r>
      <rPr>
        <b/>
        <sz val="12"/>
        <color theme="1"/>
        <rFont val="Calibri"/>
        <family val="2"/>
        <scheme val="minor"/>
      </rPr>
      <t xml:space="preserve"> out_b0500_guarantees  e out_b9000_counterparties: </t>
    </r>
    <r>
      <rPr>
        <sz val="12"/>
        <color theme="1"/>
        <rFont val="Calibri"/>
        <family val="2"/>
        <scheme val="minor"/>
      </rPr>
      <t xml:space="preserve">não foi dada prioridade nos controlos relativos a estas duas tabelas, dada a prioridade aos campos alvos ao exercício do </t>
    </r>
    <r>
      <rPr>
        <i/>
        <sz val="12"/>
        <color theme="1"/>
        <rFont val="Calibri"/>
        <family val="2"/>
        <scheme val="minor"/>
      </rPr>
      <t xml:space="preserve">dry-run.
</t>
    </r>
    <r>
      <rPr>
        <sz val="12"/>
        <color theme="1"/>
        <rFont val="Calibri"/>
        <family val="2"/>
        <scheme val="minor"/>
      </rPr>
      <t xml:space="preserve">
</t>
    </r>
    <r>
      <rPr>
        <b/>
        <sz val="12"/>
        <color theme="1"/>
        <rFont val="Calibri"/>
        <family val="2"/>
        <scheme val="minor"/>
      </rPr>
      <t xml:space="preserve">
</t>
    </r>
  </si>
  <si>
    <t>Status Controlo</t>
  </si>
  <si>
    <t>Rever</t>
  </si>
  <si>
    <t>Tabela</t>
  </si>
  <si>
    <t>Campo</t>
  </si>
  <si>
    <t>Testes Corridos (#)</t>
  </si>
  <si>
    <t>Data de Referência</t>
  </si>
  <si>
    <t>Número de Registos ID1. (#)</t>
  </si>
  <si>
    <t>1. Erros de Coerência (#)</t>
  </si>
  <si>
    <t>2. Erros de Valores Admitidos (#)</t>
  </si>
  <si>
    <t>3. Erros de Caract. Especiais (#)</t>
  </si>
  <si>
    <t>4. Registos com Missing (#)</t>
  </si>
  <si>
    <t>% de Missings</t>
  </si>
  <si>
    <t>5. Registos com N/A (#)</t>
  </si>
  <si>
    <t>% de N/A</t>
  </si>
  <si>
    <t>6. Valor Mínimo</t>
  </si>
  <si>
    <t>7. Valor Máximo</t>
  </si>
  <si>
    <t>8. Controlos Regulamentares (#)</t>
  </si>
  <si>
    <t>9. Controlos de Formatos (#)</t>
  </si>
  <si>
    <t>Comentário</t>
  </si>
  <si>
    <t>Status</t>
  </si>
  <si>
    <t>0200_DT_ERLST_RDMPTN</t>
  </si>
  <si>
    <t>OK</t>
  </si>
  <si>
    <r>
      <rPr>
        <b/>
        <i/>
        <sz val="11"/>
        <color theme="0"/>
        <rFont val="Santander Text"/>
        <family val="2"/>
      </rPr>
      <t>Status</t>
    </r>
    <r>
      <rPr>
        <b/>
        <sz val="11"/>
        <color theme="0"/>
        <rFont val="Santander Text"/>
        <family val="2"/>
      </rPr>
      <t xml:space="preserve"> Dry-run</t>
    </r>
  </si>
  <si>
    <r>
      <t xml:space="preserve">Status </t>
    </r>
    <r>
      <rPr>
        <b/>
        <sz val="11"/>
        <color theme="1"/>
        <rFont val="Calibri"/>
        <family val="2"/>
        <scheme val="minor"/>
      </rPr>
      <t>Dry-run</t>
    </r>
  </si>
  <si>
    <t>Concluído com ajuste</t>
  </si>
  <si>
    <t>Concluído sem ajuste</t>
  </si>
  <si>
    <t>Pendente de ajuste</t>
  </si>
  <si>
    <t>Resumo do Dry-run</t>
  </si>
  <si>
    <t>Level 1</t>
  </si>
  <si>
    <t>Level 2</t>
  </si>
  <si>
    <t># Controlos Totais</t>
  </si>
  <si>
    <t>Controlos NOK</t>
  </si>
  <si>
    <t>0530_typ_own_fnds_ind_lvl, 0550_typ_own_fnds_cnsldtd_lvl</t>
  </si>
  <si>
    <t>0090_CNTRY_CNTRPRTY STRING, 0100_RLVNT_AMNT_WDC</t>
  </si>
  <si>
    <r>
      <t>1.</t>
    </r>
    <r>
      <rPr>
        <b/>
        <i/>
        <sz val="11"/>
        <color rgb="FFC00000"/>
        <rFont val="Arial"/>
        <family val="2"/>
      </rPr>
      <t xml:space="preserve"> Status</t>
    </r>
    <r>
      <rPr>
        <b/>
        <sz val="11"/>
        <color rgb="FFC00000"/>
        <rFont val="Arial"/>
        <family val="2"/>
      </rPr>
      <t xml:space="preserve"> dos Testes</t>
    </r>
  </si>
  <si>
    <t>Âmbito</t>
  </si>
  <si>
    <t>Bail-In</t>
  </si>
  <si>
    <t>Auxiliar</t>
  </si>
  <si>
    <t>Coerência</t>
  </si>
  <si>
    <t>Validade</t>
  </si>
  <si>
    <t>Caracteres Especiais</t>
  </si>
  <si>
    <t>Missings</t>
  </si>
  <si>
    <t>Min/Max</t>
  </si>
  <si>
    <r>
      <rPr>
        <b/>
        <i/>
        <sz val="10"/>
        <color theme="0"/>
        <rFont val="Arial"/>
        <family val="2"/>
      </rPr>
      <t>Status</t>
    </r>
    <r>
      <rPr>
        <b/>
        <sz val="10"/>
        <color theme="0"/>
        <rFont val="Arial"/>
        <family val="2"/>
      </rPr>
      <t xml:space="preserve"> especificação</t>
    </r>
  </si>
  <si>
    <r>
      <rPr>
        <b/>
        <i/>
        <sz val="10"/>
        <color theme="0"/>
        <rFont val="Arial"/>
        <family val="2"/>
      </rPr>
      <t>Status</t>
    </r>
    <r>
      <rPr>
        <b/>
        <sz val="10"/>
        <color theme="0"/>
        <rFont val="Arial"/>
        <family val="2"/>
      </rPr>
      <t xml:space="preserve"> desenvolvimento</t>
    </r>
  </si>
  <si>
    <t>ID Exec. 1.</t>
  </si>
  <si>
    <t>Número de Registos ID2&amp;9 (#)</t>
  </si>
  <si>
    <t>ID Exec. 2</t>
  </si>
  <si>
    <t>ID Exec. 3.</t>
  </si>
  <si>
    <t>ID Exec. 4.</t>
  </si>
  <si>
    <t>ID Exec. 5.</t>
  </si>
  <si>
    <t>0010_ROW_NMBR</t>
  </si>
  <si>
    <t>2025-10-31</t>
  </si>
  <si>
    <t>0020_UNIQ_ID</t>
  </si>
  <si>
    <t>31641600000000000PTBSREOM0028000</t>
  </si>
  <si>
    <t>31641600005800007PTSTOCOM0007000</t>
  </si>
  <si>
    <t>0030_UNIQ_ID_KNWN_CNTRPRTY</t>
  </si>
  <si>
    <t>PTBSRDOM0037</t>
  </si>
  <si>
    <t>PTSTOHOM0002</t>
  </si>
  <si>
    <t>0040_TYP_UNIQ_ID_KNWN_CNTRPRTY</t>
  </si>
  <si>
    <t>ISIN</t>
  </si>
  <si>
    <t>0050_ORGNL_AMNT_EUR</t>
  </si>
  <si>
    <t>7599000.00</t>
  </si>
  <si>
    <t>1391779674.00</t>
  </si>
  <si>
    <t>0060_ORGNL_AMNT_FX</t>
  </si>
  <si>
    <t>999999999999999.00</t>
  </si>
  <si>
    <t>Comentário 14/11 - Todos os registos estão classificador como não aplicável pois o campo refere-se ao montante em moeda estrangeira.</t>
  </si>
  <si>
    <t>0070_CNTRCT_CRRNCY</t>
  </si>
  <si>
    <t>EUR</t>
  </si>
  <si>
    <t>0080_OTSTNDNG_PRNCPL_AMNT</t>
  </si>
  <si>
    <t>1385452938.00</t>
  </si>
  <si>
    <t>0090_PRTN_AMNT_RPRTNG_ENTTY</t>
  </si>
  <si>
    <t>0.00</t>
  </si>
  <si>
    <t>6326736.00</t>
  </si>
  <si>
    <t>0100_ACCRD_INTRST_INSTRMNT</t>
  </si>
  <si>
    <t>7640186.30</t>
  </si>
  <si>
    <t>0110_APPLCBL_FEES_CHARGES</t>
  </si>
  <si>
    <t>0120_OTSTNDNG_AMNT</t>
  </si>
  <si>
    <t>7639597.40</t>
  </si>
  <si>
    <t>0130_RLVNT_AMNT_WDC</t>
  </si>
  <si>
    <t>0140_NTR_LBLTY</t>
  </si>
  <si>
    <t>Registered Bond</t>
  </si>
  <si>
    <t>Title of ownership</t>
  </si>
  <si>
    <t>0141_NTR_LBLTY_OTHR</t>
  </si>
  <si>
    <t xml:space="preserve">Comentário 14/11 - Campo com valor fixo de not applicable conforme a especificação funcional. </t>
  </si>
  <si>
    <t>0150_FLG_STRCTRLLY_SBRDNTD</t>
  </si>
  <si>
    <t>0160_RANK_INSOLV</t>
  </si>
  <si>
    <t>0161_CNTRCTL_SBRDNTN</t>
  </si>
  <si>
    <t>0162_BAIL_IN_CASCADE</t>
  </si>
  <si>
    <t>0170_DT_INCPTN</t>
  </si>
  <si>
    <t>0180_DT_NXT_INTRST_PYMNT</t>
  </si>
  <si>
    <t>2026-06-10</t>
  </si>
  <si>
    <t>Comentário 14/11 - Os registos referem-se a instrumentos de capital e não é expectável que exista uma data</t>
  </si>
  <si>
    <t>0190_DT_NXT_RDMPTN_PYMNT</t>
  </si>
  <si>
    <t>2030-07-30</t>
  </si>
  <si>
    <t>Comentário 14/11 - 3 registos referem-se a instrumentos sem maturidade contratualizada (cd_captools.fr004_cto, data_vencimento='9999-12-%'). 
1 registo com o valor '2069-01-14', que se refere à data de perpetuidade, no entanto por indicação de Pedro Mendes, em sede de reunião, foi alterado para '0001-01-01'.</t>
  </si>
  <si>
    <t>0210_DT_LGL_FNL_MTRTY</t>
  </si>
  <si>
    <t>0220_GOVERNING_LAW</t>
  </si>
  <si>
    <t>PT</t>
  </si>
  <si>
    <t>0230_BAIL_IN_RCGNTN_CLS</t>
  </si>
  <si>
    <t>Yes, supported by Legal Opinion</t>
  </si>
  <si>
    <t>0240_ZERO_COUPON</t>
  </si>
  <si>
    <t>No ZCB</t>
  </si>
  <si>
    <t>0250_STRCTRD_PRDCT</t>
  </si>
  <si>
    <t>Non-structured/Vanilla</t>
  </si>
  <si>
    <t>0260_GRNTD_MIN_AMNT_STRCTRD_PRDCT</t>
  </si>
  <si>
    <t>0270_FV_AMNT_STRCTRD_PRDCT</t>
  </si>
  <si>
    <t>0280_FLG_NCNP_DPSTS</t>
  </si>
  <si>
    <t>0290_FLG_NCBP_DPSTS</t>
  </si>
  <si>
    <t>0300_AMNT_CVRD_ELGBL_DPSTS</t>
  </si>
  <si>
    <t xml:space="preserve">0310_FLG_CLLTRL_AGRMNTS </t>
  </si>
  <si>
    <t>Unsecured</t>
  </si>
  <si>
    <t>0320_AMNT_CLLTRL</t>
  </si>
  <si>
    <t>0330_AMNT_UNCLLTRLZD</t>
  </si>
  <si>
    <t>0340_ID_CLLTRL</t>
  </si>
  <si>
    <t>0350_TYP_CLLTRL</t>
  </si>
  <si>
    <t>0351_TYP_CLLTRL_OTHR</t>
  </si>
  <si>
    <t>0360_TRDNG_MTHD</t>
  </si>
  <si>
    <t>Nominal</t>
  </si>
  <si>
    <t>Unit</t>
  </si>
  <si>
    <t>0370_AMNT_SCRTY_EUR</t>
  </si>
  <si>
    <t>1.00</t>
  </si>
  <si>
    <t>100000.00</t>
  </si>
  <si>
    <t>0380_AMNT_SCRTY_FX</t>
  </si>
  <si>
    <t>0390_NMBR_SCRTS_NOT_RPRTNG_ENTTY</t>
  </si>
  <si>
    <t>0391_NMBR_SCRTS_RPRTNG_ENTTY</t>
  </si>
  <si>
    <t>0400_ACCRD_INTRST_SCRTY</t>
  </si>
  <si>
    <t>0.0000</t>
  </si>
  <si>
    <t>1872.6849</t>
  </si>
  <si>
    <t>0410_FEES_CHARGES_SCRTY</t>
  </si>
  <si>
    <t>0420_FV_AMNT_SCRTY</t>
  </si>
  <si>
    <t>999999999999999.0000</t>
  </si>
  <si>
    <t>0430_PRNCPL_AMNT_GLBL_NT_EUR</t>
  </si>
  <si>
    <t>0431_PRNCPL_AMNT_GLBL_NT_FX</t>
  </si>
  <si>
    <t>0440_NTR_GLBL_NT</t>
  </si>
  <si>
    <t>0450_CRRNT_POOL_FCTR</t>
  </si>
  <si>
    <t>-9999.999999999</t>
  </si>
  <si>
    <t>0460_CSD</t>
  </si>
  <si>
    <t>INTERBOLSA_PT</t>
  </si>
  <si>
    <t>0461_CSD_LEI</t>
  </si>
  <si>
    <t>529900LG70TCAGWCXT47</t>
  </si>
  <si>
    <t>0462_CSD_OTHR</t>
  </si>
  <si>
    <t>0470_PYNG_AGNT</t>
  </si>
  <si>
    <t>BANCO SANTANDER TOTTA S.A.</t>
  </si>
  <si>
    <t>0471_PYNG_AGNT_LEI</t>
  </si>
  <si>
    <t>549300URJH9VSI58CS32</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</si>
  <si>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</si>
  <si>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</si>
  <si>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</si>
  <si>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</si>
  <si>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</si>
  <si>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</si>
  <si>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</si>
  <si>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</si>
  <si>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</si>
  <si>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</si>
  <si>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</si>
  <si>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CET1</t>
  </si>
  <si>
    <t>Fully Compliant T2</t>
  </si>
  <si>
    <t>0540_ELGBL_AMNT_OWN_FNDS_IND_LVL</t>
  </si>
  <si>
    <t>1256723284.00</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</si>
  <si>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</si>
  <si>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</si>
  <si>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</si>
  <si>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</si>
  <si>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</si>
  <si>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</si>
  <si>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</si>
  <si>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</si>
  <si>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7639597.4</t>
  </si>
  <si>
    <t>1372632707.59</t>
  </si>
  <si>
    <t>0620_BLNC_SHT_IFRS</t>
  </si>
  <si>
    <t>110 Financial liabilities at amortized cost</t>
  </si>
  <si>
    <t>300 Total equity</t>
  </si>
  <si>
    <t>0630_CRRYING_AMNT_NGAAP</t>
  </si>
  <si>
    <t>0640_BLNC_SHT_NGAAP</t>
  </si>
  <si>
    <t>5000_FLG_SHRHLDR_NOT_RSLTN_GRP</t>
  </si>
  <si>
    <t>5010_FLG_ART21_7A_SRMR</t>
  </si>
  <si>
    <t>0011_TAB_ORIGIN</t>
  </si>
  <si>
    <t>0020_UNIQ_ID_KNWN_CNTRPRTY</t>
  </si>
  <si>
    <t>0030_CNTRPRTY_RSLTN_GRP</t>
  </si>
  <si>
    <t>Intragroup and intra-resolution group</t>
  </si>
  <si>
    <t>No</t>
  </si>
  <si>
    <t>0040_CNTRPRTY_NM</t>
  </si>
  <si>
    <t>BANCO SANTANDER SA</t>
  </si>
  <si>
    <t>Comentário 14/11 - Os registos são classificados como não aplicável por serem relativos à entidade de ajustes '0000000000'.</t>
  </si>
  <si>
    <t>0050_CNTRPRTY_LEI</t>
  </si>
  <si>
    <t>0060_TYP_CNTRPRTY_ID</t>
  </si>
  <si>
    <t>LEI</t>
  </si>
  <si>
    <t>0070_CNTRPRTY_ID</t>
  </si>
  <si>
    <t>0000003686</t>
  </si>
  <si>
    <t>0080_CNTRPRTY_TYP</t>
  </si>
  <si>
    <t>Institutions</t>
  </si>
  <si>
    <t>Non identified, not listed on an exchange platform</t>
  </si>
  <si>
    <t>0090_CNTRY_CNTRPRTY</t>
  </si>
  <si>
    <t>0100_RLVNT_AMNT_WDC</t>
  </si>
  <si>
    <t>LT003</t>
  </si>
  <si>
    <t>CNTRPRTY_RSLTN_GRP</t>
  </si>
  <si>
    <t>PRSN_TYP</t>
  </si>
  <si>
    <t>ENTTY_NM</t>
  </si>
  <si>
    <t>ENTTY_ID</t>
  </si>
  <si>
    <t>CNTRPRTY_TYP</t>
  </si>
  <si>
    <t>CNTRY</t>
  </si>
  <si>
    <t>LT005</t>
  </si>
  <si>
    <t>INSTRMNT_ID</t>
  </si>
  <si>
    <t>FLAG_INST_TITULOS</t>
  </si>
  <si>
    <t>OTSTNDNG_PRNCPL_AMNT</t>
  </si>
  <si>
    <t>PRTN_AMNT_RPRTNG_ENTTY</t>
  </si>
  <si>
    <t>ACCRD_INTRST_INSTRMNT</t>
  </si>
  <si>
    <t>LT002</t>
  </si>
  <si>
    <t>ORGNL_AMNT_EUR</t>
  </si>
  <si>
    <t>ORGNL_AMNT_FX</t>
  </si>
  <si>
    <t>CRRNCY_DNMNTN</t>
  </si>
  <si>
    <t>TYP_INSTRMNT</t>
  </si>
  <si>
    <t>RANK_INSOLV</t>
  </si>
  <si>
    <t>DT_INCPTN</t>
  </si>
  <si>
    <t>DT_NXT_INTRST_PYMNT</t>
  </si>
  <si>
    <t>DT_LGL_FNL_MTRTY</t>
  </si>
  <si>
    <t>GOVERNING_LAW</t>
  </si>
  <si>
    <t>TRDNG_MTHD</t>
  </si>
  <si>
    <t>AMNT_SCRTY_EUR</t>
  </si>
  <si>
    <t>AMNT_SCRTY_FX</t>
  </si>
  <si>
    <t>CSD</t>
  </si>
  <si>
    <t>CSD_LEI</t>
  </si>
  <si>
    <t>PYNG_AGNT</t>
  </si>
  <si>
    <t>PYNG_AGNT_LEI</t>
  </si>
  <si>
    <t>TYP_OWN_FNDS_INDVDL_LVL</t>
  </si>
  <si>
    <t>ELGBL_AMNT_OWN_FNDS_INDVDL_LVL</t>
  </si>
  <si>
    <t>CRRYNG_AMNT_INSTRMNT</t>
  </si>
  <si>
    <t>ACCNTNG_CLSSFCTN</t>
  </si>
  <si>
    <t>LT001</t>
  </si>
  <si>
    <t>CCONTAB_FINAL_IFRS</t>
  </si>
  <si>
    <t>MSALDO_FINAL</t>
  </si>
  <si>
    <t>CARTEIRA_CONTABILISTICA</t>
  </si>
  <si>
    <t>INSTRUMENTO_FINANCEIRO</t>
  </si>
  <si>
    <t>PRODUTO</t>
  </si>
  <si>
    <t>TIPO_CONTA</t>
  </si>
  <si>
    <t>BRUTO_IMPARIDADE</t>
  </si>
  <si>
    <t>COMPOSICAO_VALOR</t>
  </si>
  <si>
    <t>CPRODUTO</t>
  </si>
  <si>
    <t>SUBPRODUTO</t>
  </si>
  <si>
    <t>FLAG_INST_DIV</t>
  </si>
  <si>
    <t>FLAG_INST_CAP</t>
  </si>
  <si>
    <t>FLAG_GAR_INTRG_SAN</t>
  </si>
  <si>
    <t>VALOR_BRUTO_ON</t>
  </si>
  <si>
    <t>PROVISAO_ON</t>
  </si>
  <si>
    <t>JUROS_CORRIDOS</t>
  </si>
  <si>
    <t>wvg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</si>
</sst>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7" x14ac:knownFonts="1">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
      <color theme="1"/>
      <name val="Santander Text"/>
      <family val="2"/>
    </font>
    <font>
      <b/>
      <i/>
      <sz val="11.5"/>
      <color theme="0"/>
      <name val="Santander Text"/>
      <family val="2"/>
    </font>
    <font>
      <b/>
      <sz val="11.5"/>
      <color theme="0"/>
      <name val="Santander Text"/>
      <family val="2"/>
    </font>
    <font>
      <b/>
      <sz val="11.5"/>
      <color theme="1"/>
      <name val="Santander Text"/>
      <family val="2"/>
    </font>
    <font>
      <sz val="10"/>
      <color theme="0" tint="-0.14999847407452621"/>
      <name val="Santander Text"/>
      <family val="2"/>
    </font>
    <font>
      <sz val="10"/>
      <color rgb="FF000000"/>
      <name val="Santander Text"/>
      <family val="2"/>
    </font>
    <font>
      <sz val="11"/>
      <color rgb="FF000000"/>
      <name val="Calibri"/>
      <family val="2"/>
    </font>
    <font>
      <sz val="10"/>
      <color rgb="FF000000"/>
      <name val="Calibri"/>
      <family val="2"/>
    </font>
    <font>
      <sz val="10"/>
      <color theme="1"/>
      <name val="Cambria"/>
      <family val="1"/>
    </font>
    <font>
      <sz val="10"/>
      <color theme="1"/>
      <name val="Santander Text"/>
      <family val="2"/>
    </font>
    <font>
      <sz val="10"/>
      <color theme="1"/>
      <name val="Calibri"/>
      <family val="2"/>
      <scheme val="minor"/>
    </font>
    <font>
      <sz val="10"/>
      <color rgb="FF000000"/>
      <name val="Santander Text"/>
      <family val="2"/>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b/>
      <sz val="10"/>
      <color theme="0"/>
      <name val="Arial"/>
      <family val="2"/>
    </font>
    <font>
      <sz val="10"/>
      <color theme="1"/>
      <name val="Arial"/>
      <family val="2"/>
    </font>
    <font>
      <sz val="11.5"/>
      <name val="Santander Text"/>
      <family val="2"/>
    </font>
    <font>
      <sz val="11.5"/>
      <name val="Santander Text"/>
      <family val="2"/>
    </font>
    <font>
      <sz val="10"/>
      <name val="Santander Text"/>
      <family val="2"/>
    </font>
    <font>
      <i/>
      <sz val="10"/>
      <color theme="1"/>
      <name val="Calibri"/>
      <family val="2"/>
      <scheme val="minor"/>
    </font>
    <font>
      <b/>
      <i/>
      <sz val="10"/>
      <color theme="1"/>
      <name val="Calibri"/>
      <family val="2"/>
      <scheme val="minor"/>
    </font>
    <font>
      <b/>
      <i/>
      <sz val="12"/>
      <color theme="1"/>
      <name val="Calibri"/>
      <family val="2"/>
      <scheme val="minor"/>
    </font>
    <font>
      <sz val="11"/>
      <color rgb="FF006100"/>
      <name val="Calibri"/>
      <family val="2"/>
      <scheme val="minor"/>
    </font>
    <font>
      <sz val="11"/>
      <color theme="0"/>
      <name val="Calibri"/>
      <family val="2"/>
      <scheme val="minor"/>
    </font>
    <font>
      <b/>
      <i/>
      <sz val="10"/>
      <color theme="0"/>
      <name val="Arial"/>
      <family val="2"/>
    </font>
    <font>
      <b/>
      <sz val="10"/>
      <color rgb="FF006100"/>
      <name val="Calibri"/>
      <family val="2"/>
      <scheme val="minor"/>
    </font>
    <font>
      <i/>
      <sz val="10"/>
      <color theme="0"/>
      <name val="Santander Text"/>
      <family val="2"/>
    </font>
    <font>
      <b/>
      <sz val="10"/>
      <color theme="0"/>
      <name val="Santander Text"/>
      <family val="2"/>
    </font>
    <font>
      <sz val="11"/>
      <color theme="1"/>
      <name val="Arial"/>
    </font>
    <font>
      <b/>
      <sz val="11"/>
      <color rgb="FFC00000"/>
      <name val="Arial"/>
      <family val="2"/>
    </font>
    <font>
      <b/>
      <i/>
      <sz val="11"/>
      <color rgb="FFC00000"/>
      <name val="Arial"/>
      <family val="2"/>
    </font>
    <font>
      <b/>
      <sz val="10"/>
      <color theme="0"/>
      <name val="Arial"/>
    </font>
    <font>
      <sz val="11"/>
      <color theme="0"/>
      <name val="Arial"/>
    </font>
    <font>
      <b/>
      <sz val="8"/>
      <color rgb="FFFF0000"/>
      <name val="Arial"/>
    </font>
    <font>
      <b/>
      <sz val="11"/>
      <color rgb="FFFF0000"/>
      <name val="Arial"/>
    </font>
    <font>
      <b/>
      <i/>
      <sz val="10"/>
      <color theme="0"/>
      <name val="Arial"/>
    </font>
    <font>
      <sz val="11"/>
      <color theme="0" tint="-0.249977111117893"/>
      <name val="Arial"/>
    </font>
    <font>
      <sz val="10"/>
      <name val="Arial"/>
    </font>
  </fonts>
  <fills count="27">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
      <patternFill patternType="solid">
        <fgColor theme="1" tint="0.499984740745262"/>
        <bgColor indexed="64"/>
      </patternFill>
    </fill>
    <fill>
      <patternFill patternType="solid">
        <fgColor rgb="FFFFF2CC"/>
        <bgColor indexed="64"/>
      </patternFill>
    </fill>
    <fill>
      <patternFill patternType="solid">
        <fgColor rgb="FFC6EFCE"/>
      </patternFill>
    </fill>
    <fill>
      <patternFill patternType="solid">
        <fgColor theme="2" tint="-0.499984740745262"/>
        <bgColor indexed="64"/>
      </patternFill>
    </fill>
    <fill>
      <patternFill patternType="solid">
        <fgColor theme="0" tint="-0.14999847407452621"/>
        <bgColor indexed="64"/>
      </patternFill>
    </fill>
  </fills>
  <borders count="13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thin">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thin">
        <color theme="0"/>
      </left>
      <right style="thin">
        <color theme="0"/>
      </right>
      <top style="thin">
        <color theme="0"/>
      </top>
      <bottom style="thin">
        <color theme="0"/>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
      <left/>
      <right style="thin">
        <color theme="0"/>
      </right>
      <top style="thin">
        <color theme="0"/>
      </top>
      <bottom style="thin">
        <color theme="0"/>
      </bottom>
      <diagonal/>
    </border>
    <border>
      <left style="thin">
        <color theme="0" tint="-0.499984740745262"/>
      </left>
      <right/>
      <top style="hair">
        <color theme="0" tint="-0.34998626667073579"/>
      </top>
      <bottom style="thin">
        <color theme="0" tint="-0.499984740745262"/>
      </bottom>
      <diagonal/>
    </border>
    <border>
      <left/>
      <right style="hair">
        <color theme="0" tint="-0.34998626667073579"/>
      </right>
      <top style="hair">
        <color theme="0" tint="-0.34998626667073579"/>
      </top>
      <bottom style="thin">
        <color theme="0" tint="-0.499984740745262"/>
      </bottom>
      <diagonal/>
    </border>
    <border>
      <left style="hair">
        <color theme="0" tint="-0.34998626667073579"/>
      </left>
      <right style="hair">
        <color theme="0" tint="-0.34998626667073579"/>
      </right>
      <top style="hair">
        <color theme="0" tint="-0.34998626667073579"/>
      </top>
      <bottom style="thin">
        <color theme="0" tint="-0.499984740745262"/>
      </bottom>
      <diagonal/>
    </border>
    <border>
      <left style="hair">
        <color theme="0" tint="-0.34998626667073579"/>
      </left>
      <right style="thin">
        <color theme="0" tint="-0.499984740745262"/>
      </right>
      <top style="thin">
        <color theme="0" tint="-0.499984740745262"/>
      </top>
      <bottom style="thin">
        <color theme="0" tint="-0.499984740745262"/>
      </bottom>
      <diagonal/>
    </border>
    <border>
      <left style="hair">
        <color theme="0" tint="-0.34998626667073579"/>
      </left>
      <right style="thin">
        <color theme="0" tint="-0.499984740745262"/>
      </right>
      <top style="hair">
        <color theme="0" tint="-0.34998626667073579"/>
      </top>
      <bottom style="thin">
        <color theme="0" tint="-0.499984740745262"/>
      </bottom>
      <diagonal/>
    </border>
    <border>
      <left/>
      <right/>
      <top/>
      <bottom style="medium">
        <color rgb="FFC00000"/>
      </bottom>
      <diagonal/>
    </border>
    <border>
      <left style="thin">
        <color theme="0" tint="-0.499984740745262"/>
      </left>
      <right style="thin">
        <color theme="0"/>
      </right>
      <top style="thin">
        <color theme="0" tint="-0.499984740745262"/>
      </top>
      <bottom style="thin">
        <color theme="0" tint="-0.499984740745262"/>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indexed="64"/>
      </right>
      <top style="thin">
        <color theme="0"/>
      </top>
      <bottom/>
      <diagonal/>
    </border>
    <border>
      <left style="thin">
        <color auto="1"/>
      </left>
      <right/>
      <top/>
      <bottom/>
      <diagonal/>
    </border>
    <border>
      <left/>
      <right style="thin">
        <color indexed="64"/>
      </right>
      <top/>
      <bottom/>
      <diagonal/>
    </border>
  </borders>
  <cellStyleXfs count="5">
    <xf numFmtId="0" fontId="0" fillId="0" borderId="0"/>
    <xf numFmtId="0" fontId="6" fillId="0" borderId="0"/>
    <xf numFmtId="0" fontId="20" fillId="0" borderId="0"/>
    <xf numFmtId="9" fontId="20" fillId="0" borderId="0" applyFont="0" applyFill="0" applyBorder="0" applyAlignment="0" applyProtection="0"/>
    <xf numFmtId="0" fontId="71" fillId="24" borderId="0" applyNumberFormat="0" applyBorder="0" applyAlignment="0" applyProtection="0"/>
  </cellStyleXfs>
  <cellXfs count="602">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6" fillId="6" borderId="0" xfId="1" applyFill="1" applyAlignment="1">
      <alignment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6" fillId="6" borderId="26" xfId="1" applyFill="1" applyBorder="1" applyAlignment="1">
      <alignment vertical="center"/>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10" borderId="30" xfId="1" applyFill="1" applyBorder="1" applyAlignment="1">
      <alignment horizontal="center" vertical="center" wrapText="1"/>
    </xf>
    <xf numFmtId="0" fontId="6" fillId="10" borderId="0" xfId="1" applyFill="1" applyAlignment="1">
      <alignment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left" vertical="center"/>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0" fontId="6" fillId="0" borderId="25" xfId="1" applyBorder="1" applyAlignment="1">
      <alignment vertical="center"/>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3" fillId="6" borderId="0" xfId="0" applyFont="1" applyFill="1"/>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6" fillId="9" borderId="94" xfId="0" applyFont="1" applyFill="1" applyBorder="1" applyAlignment="1">
      <alignment horizontal="center"/>
    </xf>
    <xf numFmtId="0" fontId="46" fillId="9" borderId="96" xfId="0" applyFont="1" applyFill="1" applyBorder="1" applyAlignment="1">
      <alignment horizontal="center"/>
    </xf>
    <xf numFmtId="0" fontId="46" fillId="9" borderId="80" xfId="0" applyFont="1" applyFill="1" applyBorder="1" applyAlignment="1">
      <alignment horizontal="centerContinuous"/>
    </xf>
    <xf numFmtId="0" fontId="46"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horizontal="center"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47" fillId="6" borderId="0" xfId="1" applyFont="1" applyFill="1" applyAlignment="1">
      <alignment wrapText="1"/>
    </xf>
    <xf numFmtId="0" fontId="47" fillId="6" borderId="0" xfId="1" applyFont="1" applyFill="1"/>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8" fillId="8" borderId="28" xfId="1" applyFont="1" applyFill="1" applyBorder="1" applyAlignment="1">
      <alignment vertical="top" wrapText="1"/>
    </xf>
    <xf numFmtId="0" fontId="48" fillId="0" borderId="25" xfId="1" applyFont="1" applyBorder="1" applyAlignment="1">
      <alignment horizontal="center" vertical="center" wrapText="1"/>
    </xf>
    <xf numFmtId="0" fontId="48" fillId="0" borderId="25" xfId="1" quotePrefix="1" applyFont="1" applyBorder="1" applyAlignment="1">
      <alignment horizontal="center" vertical="center" wrapText="1"/>
    </xf>
    <xf numFmtId="0" fontId="49" fillId="0" borderId="25" xfId="1" applyFont="1" applyBorder="1" applyAlignment="1">
      <alignment horizontal="center" vertical="top" wrapText="1"/>
    </xf>
    <xf numFmtId="0" fontId="50" fillId="6" borderId="25" xfId="1" applyFont="1" applyFill="1" applyBorder="1" applyAlignment="1">
      <alignment horizontal="center" vertical="top" wrapText="1"/>
    </xf>
    <xf numFmtId="0" fontId="48" fillId="8" borderId="32" xfId="1" applyFont="1" applyFill="1" applyBorder="1" applyAlignment="1">
      <alignment vertical="top" wrapText="1"/>
    </xf>
    <xf numFmtId="0" fontId="48" fillId="8" borderId="24" xfId="1" applyFont="1" applyFill="1" applyBorder="1" applyAlignment="1">
      <alignment vertical="top" wrapText="1"/>
    </xf>
    <xf numFmtId="0" fontId="48" fillId="0" borderId="25" xfId="1" applyFont="1" applyBorder="1" applyAlignment="1">
      <alignment horizontal="center" vertical="top" wrapText="1"/>
    </xf>
    <xf numFmtId="49" fontId="48" fillId="0" borderId="25" xfId="1" applyNumberFormat="1" applyFont="1" applyBorder="1" applyAlignment="1">
      <alignment horizontal="center" vertical="top" wrapText="1"/>
    </xf>
    <xf numFmtId="0" fontId="48" fillId="8" borderId="33" xfId="1" applyFont="1" applyFill="1" applyBorder="1" applyAlignment="1">
      <alignment horizontal="left" vertical="top" wrapText="1"/>
    </xf>
    <xf numFmtId="0" fontId="48" fillId="8" borderId="34" xfId="1" applyFont="1" applyFill="1" applyBorder="1" applyAlignment="1">
      <alignment vertical="top" wrapText="1"/>
    </xf>
    <xf numFmtId="49" fontId="52" fillId="0" borderId="25" xfId="1" applyNumberFormat="1" applyFont="1" applyBorder="1" applyAlignment="1">
      <alignment horizontal="center" vertical="top" wrapText="1"/>
    </xf>
    <xf numFmtId="0" fontId="52" fillId="0" borderId="25" xfId="1" quotePrefix="1" applyFont="1" applyBorder="1" applyAlignment="1">
      <alignment horizontal="center" vertical="center" wrapText="1"/>
    </xf>
    <xf numFmtId="49" fontId="48" fillId="0" borderId="17" xfId="1" applyNumberFormat="1" applyFont="1" applyBorder="1" applyAlignment="1">
      <alignment horizontal="center" vertical="top" wrapText="1"/>
    </xf>
    <xf numFmtId="0" fontId="48" fillId="0" borderId="17" xfId="1" quotePrefix="1" applyFont="1" applyBorder="1" applyAlignment="1">
      <alignment horizontal="center" vertical="center" wrapText="1"/>
    </xf>
    <xf numFmtId="0" fontId="48" fillId="8" borderId="28" xfId="1" applyFont="1" applyFill="1" applyBorder="1" applyAlignment="1">
      <alignment horizontal="left" vertical="top" wrapText="1"/>
    </xf>
    <xf numFmtId="49" fontId="48" fillId="6" borderId="24" xfId="1" applyNumberFormat="1" applyFont="1" applyFill="1" applyBorder="1" applyAlignment="1">
      <alignment horizontal="center" vertical="center" wrapText="1"/>
    </xf>
    <xf numFmtId="0" fontId="50" fillId="6" borderId="25" xfId="1" applyFont="1" applyFill="1" applyBorder="1" applyAlignment="1">
      <alignment horizontal="center" vertical="center" wrapText="1"/>
    </xf>
    <xf numFmtId="0" fontId="50" fillId="7" borderId="62" xfId="1" applyFont="1" applyFill="1" applyBorder="1" applyAlignment="1">
      <alignment horizontal="center" vertical="center" wrapText="1"/>
    </xf>
    <xf numFmtId="0" fontId="50" fillId="7" borderId="35" xfId="1" quotePrefix="1" applyFont="1" applyFill="1" applyBorder="1" applyAlignment="1">
      <alignment horizontal="center" vertical="center" wrapText="1"/>
    </xf>
    <xf numFmtId="16" fontId="53" fillId="7" borderId="35" xfId="1" quotePrefix="1" applyNumberFormat="1" applyFont="1" applyFill="1" applyBorder="1" applyAlignment="1">
      <alignment horizontal="center" vertical="center"/>
    </xf>
    <xf numFmtId="16" fontId="53" fillId="7" borderId="35" xfId="1" quotePrefix="1" applyNumberFormat="1" applyFont="1" applyFill="1" applyBorder="1" applyAlignment="1">
      <alignment horizontal="center" vertical="center" wrapText="1"/>
    </xf>
    <xf numFmtId="0" fontId="49" fillId="14" borderId="25" xfId="1" applyFont="1" applyFill="1" applyBorder="1" applyAlignment="1">
      <alignment horizontal="left" vertical="center" wrapText="1"/>
    </xf>
    <xf numFmtId="0" fontId="48" fillId="8" borderId="24" xfId="1" applyFont="1" applyFill="1" applyBorder="1" applyAlignment="1">
      <alignment horizontal="left" vertical="top" wrapText="1"/>
    </xf>
    <xf numFmtId="0" fontId="48" fillId="8" borderId="34" xfId="1" applyFont="1" applyFill="1" applyBorder="1" applyAlignment="1">
      <alignment horizontal="left" vertical="top" wrapText="1"/>
    </xf>
    <xf numFmtId="0" fontId="54" fillId="0" borderId="25" xfId="1" applyFont="1" applyBorder="1" applyAlignment="1">
      <alignment horizontal="center" vertical="center" wrapText="1"/>
    </xf>
    <xf numFmtId="0" fontId="48" fillId="8" borderId="32" xfId="1" applyFont="1" applyFill="1" applyBorder="1" applyAlignment="1">
      <alignment horizontal="left" vertical="top" wrapText="1"/>
    </xf>
    <xf numFmtId="49" fontId="48" fillId="0" borderId="25" xfId="1" applyNumberFormat="1" applyFont="1" applyBorder="1" applyAlignment="1">
      <alignment horizontal="center" vertical="center" wrapText="1"/>
    </xf>
    <xf numFmtId="0" fontId="48" fillId="8" borderId="33" xfId="1" quotePrefix="1" applyFont="1" applyFill="1" applyBorder="1" applyAlignment="1">
      <alignment horizontal="left" vertical="top" wrapText="1"/>
    </xf>
    <xf numFmtId="0" fontId="54" fillId="0" borderId="35" xfId="1" applyFont="1" applyBorder="1" applyAlignment="1">
      <alignment horizontal="center" vertical="center" wrapText="1"/>
    </xf>
    <xf numFmtId="49" fontId="48" fillId="0" borderId="35" xfId="1" applyNumberFormat="1" applyFont="1" applyBorder="1" applyAlignment="1">
      <alignment horizontal="center" vertical="center" wrapText="1"/>
    </xf>
    <xf numFmtId="0" fontId="5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07" xfId="0" applyFont="1" applyFill="1" applyBorder="1" applyAlignment="1">
      <alignment horizontal="center" vertical="center"/>
    </xf>
    <xf numFmtId="0" fontId="4" fillId="3" borderId="108" xfId="0" applyFont="1" applyFill="1" applyBorder="1" applyAlignment="1">
      <alignment horizontal="center" vertical="center"/>
    </xf>
    <xf numFmtId="0" fontId="32" fillId="0" borderId="105" xfId="0" applyFont="1" applyBorder="1" applyAlignment="1">
      <alignment horizontal="left" vertical="center"/>
    </xf>
    <xf numFmtId="0" fontId="4" fillId="0" borderId="109" xfId="0" applyFont="1" applyBorder="1" applyAlignment="1">
      <alignment horizontal="center" vertical="center"/>
    </xf>
    <xf numFmtId="0" fontId="4" fillId="0" borderId="110" xfId="0" applyFont="1" applyBorder="1" applyAlignment="1">
      <alignment horizontal="center" vertical="center"/>
    </xf>
    <xf numFmtId="0" fontId="32" fillId="0" borderId="103" xfId="0" applyFont="1" applyBorder="1" applyAlignment="1">
      <alignment horizontal="left" vertical="center"/>
    </xf>
    <xf numFmtId="0" fontId="4" fillId="0" borderId="111" xfId="0" applyFont="1" applyBorder="1" applyAlignment="1">
      <alignment horizontal="center" vertical="center"/>
    </xf>
    <xf numFmtId="0" fontId="4" fillId="0" borderId="112" xfId="0" applyFont="1" applyBorder="1" applyAlignment="1">
      <alignment horizontal="center" vertical="center"/>
    </xf>
    <xf numFmtId="0" fontId="33" fillId="3" borderId="106" xfId="0" applyFont="1" applyFill="1" applyBorder="1" applyAlignment="1">
      <alignment horizontal="left" vertical="center"/>
    </xf>
    <xf numFmtId="0" fontId="4" fillId="3" borderId="113" xfId="0" applyFont="1" applyFill="1" applyBorder="1" applyAlignment="1">
      <alignment horizontal="center" vertical="center"/>
    </xf>
    <xf numFmtId="0" fontId="4" fillId="3" borderId="114" xfId="0" applyFont="1" applyFill="1" applyBorder="1" applyAlignment="1">
      <alignment horizontal="center" vertical="center"/>
    </xf>
    <xf numFmtId="0" fontId="29" fillId="15" borderId="0" xfId="0" applyFont="1" applyFill="1" applyAlignment="1">
      <alignment vertical="center"/>
    </xf>
    <xf numFmtId="0" fontId="31" fillId="9" borderId="80" xfId="0" applyFont="1" applyFill="1" applyBorder="1" applyAlignment="1">
      <alignment vertical="center"/>
    </xf>
    <xf numFmtId="0" fontId="31" fillId="9" borderId="81" xfId="0" applyFont="1" applyFill="1" applyBorder="1" applyAlignment="1">
      <alignment vertical="center"/>
    </xf>
    <xf numFmtId="0" fontId="31" fillId="9" borderId="81" xfId="0" applyFont="1" applyFill="1" applyBorder="1" applyAlignment="1">
      <alignment horizontal="center" vertical="center"/>
    </xf>
    <xf numFmtId="49" fontId="59" fillId="15" borderId="79" xfId="0" applyNumberFormat="1" applyFont="1" applyFill="1" applyBorder="1" applyAlignment="1">
      <alignment horizontal="center" vertical="center"/>
    </xf>
    <xf numFmtId="49" fontId="60" fillId="9" borderId="82" xfId="0" applyNumberFormat="1" applyFont="1" applyFill="1" applyBorder="1" applyAlignment="1">
      <alignment horizontal="center" vertical="center"/>
    </xf>
    <xf numFmtId="0" fontId="57" fillId="15" borderId="79" xfId="0" applyFont="1" applyFill="1" applyBorder="1" applyAlignment="1">
      <alignment horizontal="centerContinuous" vertical="center"/>
    </xf>
    <xf numFmtId="0" fontId="30" fillId="15" borderId="0" xfId="0" applyFont="1" applyFill="1" applyAlignment="1">
      <alignment horizontal="centerContinuous" vertical="center"/>
    </xf>
    <xf numFmtId="49" fontId="4" fillId="3" borderId="116" xfId="0" applyNumberFormat="1" applyFont="1" applyFill="1" applyBorder="1" applyAlignment="1">
      <alignment horizontal="centerContinuous" vertical="center"/>
    </xf>
    <xf numFmtId="49" fontId="58" fillId="3" borderId="88" xfId="0" applyNumberFormat="1" applyFont="1" applyFill="1" applyBorder="1" applyAlignment="1">
      <alignment horizontal="centerContinuous" vertical="center"/>
    </xf>
    <xf numFmtId="49" fontId="4" fillId="0" borderId="117" xfId="0" applyNumberFormat="1" applyFont="1" applyBorder="1" applyAlignment="1">
      <alignment horizontal="center" vertical="center"/>
    </xf>
    <xf numFmtId="49" fontId="58" fillId="0" borderId="105" xfId="0" applyNumberFormat="1" applyFont="1" applyBorder="1" applyAlignment="1">
      <alignment horizontal="center" vertical="center"/>
    </xf>
    <xf numFmtId="49" fontId="4" fillId="0" borderId="118" xfId="0" applyNumberFormat="1" applyFont="1" applyBorder="1" applyAlignment="1">
      <alignment horizontal="center" vertical="center"/>
    </xf>
    <xf numFmtId="49" fontId="58" fillId="0" borderId="103" xfId="0" applyNumberFormat="1" applyFont="1" applyBorder="1" applyAlignment="1">
      <alignment horizontal="center" vertical="center"/>
    </xf>
    <xf numFmtId="49" fontId="4" fillId="3" borderId="116" xfId="0" applyNumberFormat="1" applyFont="1" applyFill="1" applyBorder="1" applyAlignment="1">
      <alignment horizontal="center" vertical="center"/>
    </xf>
    <xf numFmtId="49" fontId="5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 fillId="3" borderId="119" xfId="0" applyNumberFormat="1" applyFont="1" applyFill="1" applyBorder="1" applyAlignment="1">
      <alignment horizontal="center" vertical="center"/>
    </xf>
    <xf numFmtId="49" fontId="58" fillId="3" borderId="106" xfId="0" applyNumberFormat="1" applyFont="1" applyFill="1" applyBorder="1" applyAlignment="1">
      <alignment horizontal="center" vertical="center"/>
    </xf>
    <xf numFmtId="49" fontId="31" fillId="9" borderId="81" xfId="0" applyNumberFormat="1" applyFont="1" applyFill="1" applyBorder="1" applyAlignment="1">
      <alignment horizontal="center" vertical="center"/>
    </xf>
    <xf numFmtId="49" fontId="4" fillId="0" borderId="117" xfId="0" applyNumberFormat="1" applyFont="1" applyBorder="1" applyAlignment="1">
      <alignment horizontal="centerContinuous" vertical="center"/>
    </xf>
    <xf numFmtId="49" fontId="58" fillId="0" borderId="105" xfId="0" applyNumberFormat="1" applyFont="1" applyBorder="1" applyAlignment="1">
      <alignment horizontal="centerContinuous" vertical="center"/>
    </xf>
    <xf numFmtId="49" fontId="58" fillId="3" borderId="106" xfId="0" applyNumberFormat="1" applyFont="1" applyFill="1" applyBorder="1" applyAlignment="1">
      <alignment horizontal="centerContinuous"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04" xfId="0" applyFont="1" applyBorder="1" applyAlignment="1">
      <alignment horizontal="left" vertical="center" indent="2"/>
    </xf>
    <xf numFmtId="0" fontId="32" fillId="0" borderId="102" xfId="0" applyFont="1" applyBorder="1" applyAlignment="1">
      <alignment horizontal="left" vertical="center" indent="2"/>
    </xf>
    <xf numFmtId="0" fontId="61" fillId="3" borderId="86" xfId="0" applyFont="1" applyFill="1" applyBorder="1" applyAlignment="1">
      <alignment horizontal="left" vertical="center" indent="1"/>
    </xf>
    <xf numFmtId="0" fontId="62" fillId="0" borderId="104" xfId="0" applyFont="1" applyBorder="1" applyAlignment="1">
      <alignment horizontal="left" vertical="center" indent="2"/>
    </xf>
    <xf numFmtId="0" fontId="62" fillId="0" borderId="102" xfId="0" applyFont="1" applyBorder="1" applyAlignment="1">
      <alignment horizontal="left" vertical="center" indent="2"/>
    </xf>
    <xf numFmtId="0" fontId="61" fillId="3" borderId="89" xfId="0" applyFont="1" applyFill="1" applyBorder="1" applyAlignment="1">
      <alignment horizontal="left" vertical="center" indent="1"/>
    </xf>
    <xf numFmtId="0" fontId="63" fillId="22" borderId="115" xfId="0" applyFont="1" applyFill="1" applyBorder="1" applyAlignment="1">
      <alignment horizontal="center"/>
    </xf>
    <xf numFmtId="0" fontId="64" fillId="3" borderId="115" xfId="0" applyFont="1" applyFill="1" applyBorder="1"/>
    <xf numFmtId="0" fontId="64" fillId="3" borderId="115" xfId="0" applyFont="1" applyFill="1" applyBorder="1" applyAlignment="1">
      <alignment horizontal="center"/>
    </xf>
    <xf numFmtId="0" fontId="63" fillId="4" borderId="115" xfId="0" applyFont="1" applyFill="1" applyBorder="1" applyAlignment="1">
      <alignment horizontal="center" vertical="center"/>
    </xf>
    <xf numFmtId="0" fontId="65" fillId="3" borderId="87" xfId="0" applyFont="1" applyFill="1" applyBorder="1" applyAlignment="1">
      <alignment horizontal="center"/>
    </xf>
    <xf numFmtId="0" fontId="65" fillId="3" borderId="88" xfId="0" applyFont="1" applyFill="1" applyBorder="1" applyAlignment="1">
      <alignment horizontal="center"/>
    </xf>
    <xf numFmtId="0" fontId="66" fillId="3" borderId="88" xfId="0" applyFont="1" applyFill="1" applyBorder="1" applyAlignment="1">
      <alignment horizontal="center"/>
    </xf>
    <xf numFmtId="0" fontId="67" fillId="0" borderId="1" xfId="0" applyFont="1" applyBorder="1" applyAlignment="1">
      <alignment horizontal="left" vertical="center" readingOrder="1"/>
    </xf>
    <xf numFmtId="0" fontId="0" fillId="0" borderId="1" xfId="0" applyBorder="1" applyAlignment="1">
      <alignment horizontal="left" vertical="center" readingOrder="1"/>
    </xf>
    <xf numFmtId="0" fontId="67" fillId="0" borderId="1" xfId="0" applyFont="1" applyBorder="1" applyAlignment="1">
      <alignment horizontal="center" vertical="center" readingOrder="1"/>
    </xf>
    <xf numFmtId="0" fontId="0" fillId="0" borderId="0" xfId="0" quotePrefix="1"/>
    <xf numFmtId="49" fontId="4" fillId="3" borderId="119"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74" fillId="24" borderId="115" xfId="4" applyFont="1" applyBorder="1" applyAlignment="1">
      <alignment horizontal="center" vertical="center"/>
    </xf>
    <xf numFmtId="0" fontId="72" fillId="0" borderId="0" xfId="0" applyFont="1" applyAlignment="1">
      <alignment horizontal="center"/>
    </xf>
    <xf numFmtId="0" fontId="30" fillId="15" borderId="86" xfId="0" applyFont="1" applyFill="1" applyBorder="1"/>
    <xf numFmtId="0" fontId="30" fillId="15" borderId="87" xfId="0" applyFont="1" applyFill="1" applyBorder="1"/>
    <xf numFmtId="0" fontId="30" fillId="15" borderId="87" xfId="0" applyFont="1" applyFill="1" applyBorder="1" applyAlignment="1">
      <alignment horizontal="center"/>
    </xf>
    <xf numFmtId="0" fontId="30" fillId="20" borderId="74" xfId="0" applyFont="1" applyFill="1" applyBorder="1" applyAlignment="1">
      <alignment horizontal="center" vertical="center" wrapText="1"/>
    </xf>
    <xf numFmtId="0" fontId="30" fillId="15" borderId="75" xfId="0" applyFont="1" applyFill="1" applyBorder="1"/>
    <xf numFmtId="0" fontId="30" fillId="15" borderId="76" xfId="0" applyFont="1" applyFill="1" applyBorder="1"/>
    <xf numFmtId="0" fontId="30" fillId="15" borderId="76" xfId="0" applyFont="1" applyFill="1" applyBorder="1" applyAlignment="1">
      <alignment horizontal="center"/>
    </xf>
    <xf numFmtId="0" fontId="32" fillId="3" borderId="121" xfId="0" applyFont="1" applyFill="1" applyBorder="1" applyAlignment="1">
      <alignment horizontal="left" indent="2"/>
    </xf>
    <xf numFmtId="0" fontId="33" fillId="3" borderId="122" xfId="0" applyFont="1" applyFill="1" applyBorder="1" applyAlignment="1">
      <alignment horizontal="left"/>
    </xf>
    <xf numFmtId="0" fontId="4" fillId="0" borderId="123" xfId="0" applyFont="1" applyBorder="1" applyAlignment="1">
      <alignment horizontal="center"/>
    </xf>
    <xf numFmtId="0" fontId="45" fillId="0" borderId="0" xfId="0" applyFont="1"/>
    <xf numFmtId="0" fontId="46" fillId="9" borderId="124" xfId="0" applyFont="1" applyFill="1" applyBorder="1" applyAlignment="1">
      <alignment horizontal="center"/>
    </xf>
    <xf numFmtId="17" fontId="26" fillId="18" borderId="74" xfId="0" applyNumberFormat="1" applyFont="1" applyFill="1" applyBorder="1" applyAlignment="1">
      <alignment horizontal="center" vertical="center" wrapText="1"/>
    </xf>
    <xf numFmtId="0" fontId="31" fillId="9" borderId="80" xfId="0" applyFont="1" applyFill="1" applyBorder="1" applyAlignment="1">
      <alignment horizontal="centerContinuous"/>
    </xf>
    <xf numFmtId="0" fontId="30" fillId="20" borderId="86" xfId="0" applyFont="1" applyFill="1" applyBorder="1" applyAlignment="1">
      <alignment horizontal="centerContinuous"/>
    </xf>
    <xf numFmtId="0" fontId="30" fillId="20" borderId="87" xfId="0" applyFont="1" applyFill="1" applyBorder="1" applyAlignment="1">
      <alignment horizontal="centerContinuous"/>
    </xf>
    <xf numFmtId="17" fontId="26" fillId="0" borderId="0" xfId="0" applyNumberFormat="1" applyFont="1" applyAlignment="1">
      <alignment horizontal="center" vertical="center" wrapText="1"/>
    </xf>
    <xf numFmtId="0" fontId="46" fillId="0" borderId="0" xfId="0" applyFont="1" applyAlignment="1">
      <alignment horizontal="center"/>
    </xf>
    <xf numFmtId="0" fontId="30" fillId="20" borderId="88" xfId="0" applyFont="1" applyFill="1" applyBorder="1" applyAlignment="1">
      <alignment horizontal="centerContinuous"/>
    </xf>
    <xf numFmtId="9" fontId="4" fillId="0" borderId="93" xfId="3" applyFont="1" applyBorder="1" applyAlignment="1">
      <alignment horizontal="center"/>
    </xf>
    <xf numFmtId="9" fontId="4" fillId="0" borderId="125" xfId="3" quotePrefix="1" applyFont="1" applyBorder="1" applyAlignment="1">
      <alignment horizontal="center"/>
    </xf>
    <xf numFmtId="9" fontId="4" fillId="0" borderId="101" xfId="3" quotePrefix="1" applyFont="1" applyBorder="1" applyAlignment="1">
      <alignment horizontal="center"/>
    </xf>
    <xf numFmtId="9" fontId="30" fillId="15" borderId="77" xfId="3" applyFont="1" applyFill="1" applyBorder="1" applyAlignment="1">
      <alignment horizontal="center"/>
    </xf>
    <xf numFmtId="9" fontId="30" fillId="15" borderId="88" xfId="3" applyFont="1" applyFill="1" applyBorder="1" applyAlignment="1">
      <alignment horizontal="center"/>
    </xf>
    <xf numFmtId="0" fontId="36" fillId="23" borderId="75" xfId="0" applyFont="1" applyFill="1" applyBorder="1" applyAlignment="1">
      <alignment vertical="top"/>
    </xf>
    <xf numFmtId="0" fontId="36" fillId="23" borderId="76" xfId="0" applyFont="1" applyFill="1" applyBorder="1" applyAlignment="1">
      <alignment vertical="top"/>
    </xf>
    <xf numFmtId="0" fontId="36" fillId="23" borderId="77" xfId="0" applyFont="1" applyFill="1" applyBorder="1" applyAlignment="1">
      <alignment vertical="top"/>
    </xf>
    <xf numFmtId="0" fontId="36" fillId="23" borderId="78" xfId="0" applyFont="1" applyFill="1" applyBorder="1" applyAlignment="1">
      <alignment vertical="top"/>
    </xf>
    <xf numFmtId="0" fontId="36" fillId="23" borderId="0" xfId="0" applyFont="1" applyFill="1" applyAlignment="1">
      <alignment vertical="top"/>
    </xf>
    <xf numFmtId="0" fontId="36" fillId="23" borderId="79" xfId="0" applyFont="1" applyFill="1" applyBorder="1" applyAlignment="1">
      <alignment vertical="top"/>
    </xf>
    <xf numFmtId="0" fontId="75" fillId="0" borderId="0" xfId="0" applyFont="1" applyAlignment="1">
      <alignment horizontal="left"/>
    </xf>
    <xf numFmtId="0" fontId="76" fillId="0" borderId="0" xfId="0" applyFont="1" applyAlignment="1">
      <alignment horizontal="center"/>
    </xf>
    <xf numFmtId="0" fontId="56" fillId="20" borderId="76" xfId="0" applyFont="1" applyFill="1" applyBorder="1" applyAlignment="1">
      <alignment horizontal="center" vertical="center" wrapText="1"/>
    </xf>
    <xf numFmtId="0" fontId="56" fillId="20" borderId="77" xfId="0" applyFont="1" applyFill="1" applyBorder="1" applyAlignment="1">
      <alignment horizontal="center" vertical="center" wrapText="1"/>
    </xf>
    <xf numFmtId="0" fontId="56" fillId="20" borderId="0" xfId="0" applyFont="1" applyFill="1" applyAlignment="1">
      <alignment horizontal="center" vertical="center" wrapText="1"/>
    </xf>
    <xf numFmtId="0" fontId="56" fillId="20" borderId="79" xfId="0" applyFont="1" applyFill="1" applyBorder="1" applyAlignment="1">
      <alignment horizontal="center" vertical="center" wrapText="1"/>
    </xf>
    <xf numFmtId="0" fontId="36" fillId="23" borderId="75" xfId="0" applyFont="1" applyFill="1" applyBorder="1" applyAlignment="1">
      <alignment horizontal="left" vertical="top" wrapText="1"/>
    </xf>
    <xf numFmtId="0" fontId="36" fillId="23" borderId="76" xfId="0" applyFont="1" applyFill="1" applyBorder="1" applyAlignment="1">
      <alignment horizontal="left" vertical="top" wrapText="1"/>
    </xf>
    <xf numFmtId="0" fontId="36" fillId="23" borderId="77" xfId="0" applyFont="1" applyFill="1" applyBorder="1" applyAlignment="1">
      <alignment horizontal="left" vertical="top" wrapText="1"/>
    </xf>
    <xf numFmtId="0" fontId="36" fillId="23" borderId="78" xfId="0" applyFont="1" applyFill="1" applyBorder="1" applyAlignment="1">
      <alignment horizontal="left" vertical="top" wrapText="1"/>
    </xf>
    <xf numFmtId="0" fontId="36" fillId="23" borderId="0" xfId="0" applyFont="1" applyFill="1" applyAlignment="1">
      <alignment horizontal="left" vertical="top" wrapText="1"/>
    </xf>
    <xf numFmtId="0" fontId="36" fillId="23" borderId="79" xfId="0" applyFont="1" applyFill="1" applyBorder="1" applyAlignment="1">
      <alignment horizontal="left" vertical="top" wrapText="1"/>
    </xf>
    <xf numFmtId="0" fontId="36" fillId="23" borderId="80" xfId="0" applyFont="1" applyFill="1" applyBorder="1" applyAlignment="1">
      <alignment horizontal="left" vertical="top" wrapText="1"/>
    </xf>
    <xf numFmtId="0" fontId="36" fillId="23" borderId="81" xfId="0" applyFont="1" applyFill="1" applyBorder="1" applyAlignment="1">
      <alignment horizontal="left" vertical="top" wrapText="1"/>
    </xf>
    <xf numFmtId="0" fontId="36" fillId="23" borderId="82" xfId="0" applyFont="1" applyFill="1" applyBorder="1" applyAlignment="1">
      <alignment horizontal="left" vertical="top" wrapText="1"/>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0" fontId="30" fillId="21" borderId="86" xfId="0" applyFont="1" applyFill="1" applyBorder="1" applyAlignment="1">
      <alignment horizontal="center" vertical="center" wrapText="1"/>
    </xf>
    <xf numFmtId="0" fontId="30" fillId="21" borderId="88" xfId="0" applyFont="1" applyFill="1" applyBorder="1" applyAlignment="1">
      <alignment horizontal="center" vertical="center" wrapText="1"/>
    </xf>
    <xf numFmtId="0" fontId="34" fillId="20" borderId="86" xfId="0" applyFont="1" applyFill="1" applyBorder="1" applyAlignment="1">
      <alignment horizontal="center" vertical="center"/>
    </xf>
    <xf numFmtId="0" fontId="44" fillId="20" borderId="88" xfId="0" applyFont="1" applyFill="1" applyBorder="1" applyAlignment="1">
      <alignment horizontal="center" vertical="center"/>
    </xf>
    <xf numFmtId="0" fontId="44" fillId="20" borderId="86" xfId="0" applyFont="1" applyFill="1" applyBorder="1" applyAlignment="1">
      <alignment horizontal="center" vertical="center"/>
    </xf>
    <xf numFmtId="0" fontId="34" fillId="20" borderId="74" xfId="0" applyFont="1" applyFill="1" applyBorder="1" applyAlignment="1">
      <alignment horizontal="center" vertical="center"/>
    </xf>
    <xf numFmtId="0" fontId="24" fillId="23" borderId="75" xfId="0" applyFont="1" applyFill="1" applyBorder="1" applyAlignment="1">
      <alignment horizontal="left" vertical="top" wrapText="1"/>
    </xf>
    <xf numFmtId="0" fontId="24" fillId="23" borderId="76" xfId="0" applyFont="1" applyFill="1" applyBorder="1" applyAlignment="1">
      <alignment horizontal="left" vertical="top" wrapText="1"/>
    </xf>
    <xf numFmtId="0" fontId="24" fillId="23" borderId="77" xfId="0" applyFont="1" applyFill="1" applyBorder="1" applyAlignment="1">
      <alignment horizontal="left" vertical="top" wrapText="1"/>
    </xf>
    <xf numFmtId="0" fontId="24" fillId="23" borderId="78" xfId="0" applyFont="1" applyFill="1" applyBorder="1" applyAlignment="1">
      <alignment horizontal="left" vertical="top" wrapText="1"/>
    </xf>
    <xf numFmtId="0" fontId="24" fillId="23" borderId="0" xfId="0" applyFont="1" applyFill="1" applyAlignment="1">
      <alignment horizontal="left" vertical="top" wrapText="1"/>
    </xf>
    <xf numFmtId="0" fontId="24" fillId="23" borderId="79" xfId="0" applyFont="1" applyFill="1" applyBorder="1" applyAlignment="1">
      <alignment horizontal="left" vertical="top" wrapText="1"/>
    </xf>
    <xf numFmtId="0" fontId="24" fillId="23" borderId="80" xfId="0" applyFont="1" applyFill="1" applyBorder="1" applyAlignment="1">
      <alignment horizontal="left" vertical="top" wrapText="1"/>
    </xf>
    <xf numFmtId="0" fontId="24" fillId="23" borderId="81" xfId="0" applyFont="1" applyFill="1" applyBorder="1" applyAlignment="1">
      <alignment horizontal="left" vertical="top" wrapText="1"/>
    </xf>
    <xf numFmtId="0" fontId="24" fillId="23" borderId="82" xfId="0" applyFont="1" applyFill="1" applyBorder="1" applyAlignment="1">
      <alignment horizontal="left" vertical="top" wrapText="1"/>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45" fillId="20" borderId="87" xfId="0" applyFont="1" applyFill="1" applyBorder="1" applyAlignment="1">
      <alignment horizontal="center"/>
    </xf>
    <xf numFmtId="0" fontId="45" fillId="20" borderId="88" xfId="0" applyFont="1" applyFill="1" applyBorder="1" applyAlignment="1">
      <alignment horizontal="center"/>
    </xf>
    <xf numFmtId="0" fontId="34" fillId="20" borderId="75" xfId="0" applyFont="1" applyFill="1" applyBorder="1" applyAlignment="1">
      <alignment horizontal="center" vertical="center"/>
    </xf>
    <xf numFmtId="0" fontId="44" fillId="20" borderId="77" xfId="0" applyFont="1" applyFill="1" applyBorder="1" applyAlignment="1">
      <alignment horizontal="center" vertical="center"/>
    </xf>
    <xf numFmtId="0" fontId="56" fillId="20" borderId="75" xfId="0" applyFont="1" applyFill="1" applyBorder="1" applyAlignment="1">
      <alignment horizontal="center" vertical="center" wrapText="1"/>
    </xf>
    <xf numFmtId="0" fontId="56" fillId="20" borderId="78" xfId="0" applyFont="1" applyFill="1" applyBorder="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0" fontId="27" fillId="0" borderId="0" xfId="0" applyFont="1" applyAlignment="1">
      <alignment horizontal="left" vertical="center"/>
    </xf>
    <xf numFmtId="0" fontId="1" fillId="20" borderId="76" xfId="0" applyFont="1" applyFill="1" applyBorder="1" applyAlignment="1">
      <alignment horizontal="center" vertical="center" wrapText="1"/>
    </xf>
    <xf numFmtId="0" fontId="1" fillId="20" borderId="0" xfId="0" applyFont="1" applyFill="1" applyAlignment="1">
      <alignment horizontal="center" vertical="center" wrapText="1"/>
    </xf>
    <xf numFmtId="0" fontId="1" fillId="16" borderId="76" xfId="0" applyFont="1" applyFill="1" applyBorder="1" applyAlignment="1">
      <alignment horizontal="center" vertical="center" wrapText="1"/>
    </xf>
    <xf numFmtId="0" fontId="1" fillId="16" borderId="0" xfId="0" applyFont="1" applyFill="1" applyAlignment="1">
      <alignment horizontal="center" vertical="center" wrapText="1"/>
    </xf>
    <xf numFmtId="49" fontId="6" fillId="0" borderId="2" xfId="1" applyNumberFormat="1" applyBorder="1" applyAlignment="1">
      <alignment horizontal="left" vertical="top"/>
    </xf>
    <xf numFmtId="49" fontId="6" fillId="0" borderId="0" xfId="1" applyNumberFormat="1" applyAlignment="1">
      <alignment horizontal="left" vertical="top"/>
    </xf>
    <xf numFmtId="49" fontId="6" fillId="0" borderId="0" xfId="1" applyNumberFormat="1" applyAlignment="1">
      <alignment horizontal="left" vertical="center" wrapText="1"/>
    </xf>
    <xf numFmtId="0" fontId="7" fillId="7" borderId="3" xfId="1" applyFont="1" applyFill="1" applyBorder="1" applyAlignment="1">
      <alignment horizontal="center" vertical="top" wrapText="1"/>
    </xf>
    <xf numFmtId="0" fontId="7" fillId="7" borderId="4" xfId="1" applyFont="1" applyFill="1" applyBorder="1" applyAlignment="1">
      <alignment horizontal="center" vertical="top"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6" xfId="1" applyFont="1" applyFill="1" applyBorder="1" applyAlignment="1">
      <alignment horizontal="center" vertical="top"/>
    </xf>
    <xf numFmtId="0" fontId="7" fillId="8" borderId="7" xfId="1" applyFont="1" applyFill="1" applyBorder="1" applyAlignment="1">
      <alignment horizontal="center" vertical="top"/>
    </xf>
    <xf numFmtId="0" fontId="7" fillId="8" borderId="8" xfId="1" applyFont="1" applyFill="1" applyBorder="1" applyAlignment="1">
      <alignment horizontal="center" vertical="top"/>
    </xf>
    <xf numFmtId="0" fontId="7" fillId="8" borderId="12" xfId="1" applyFont="1" applyFill="1" applyBorder="1" applyAlignment="1">
      <alignment horizontal="center" vertical="top" wrapText="1"/>
    </xf>
    <xf numFmtId="0" fontId="7" fillId="8" borderId="13" xfId="1" applyFont="1" applyFill="1" applyBorder="1" applyAlignment="1">
      <alignment horizontal="center" vertical="top" wrapText="1"/>
    </xf>
    <xf numFmtId="0" fontId="7" fillId="8" borderId="14" xfId="1" applyFont="1" applyFill="1" applyBorder="1" applyAlignment="1">
      <alignment horizontal="center" vertical="top" wrapText="1"/>
    </xf>
    <xf numFmtId="0" fontId="7" fillId="8" borderId="15" xfId="1" applyFont="1" applyFill="1" applyBorder="1" applyAlignment="1">
      <alignment horizontal="center" vertical="top"/>
    </xf>
    <xf numFmtId="0" fontId="7" fillId="8" borderId="14" xfId="1" applyFont="1" applyFill="1" applyBorder="1" applyAlignment="1">
      <alignment horizontal="center" vertical="top"/>
    </xf>
    <xf numFmtId="0" fontId="7" fillId="8" borderId="8" xfId="1" applyFont="1" applyFill="1" applyBorder="1" applyAlignment="1">
      <alignment horizontal="center" vertical="center"/>
    </xf>
    <xf numFmtId="0" fontId="7" fillId="8" borderId="23" xfId="1" applyFont="1" applyFill="1" applyBorder="1" applyAlignment="1">
      <alignment horizontal="center" vertical="center"/>
    </xf>
    <xf numFmtId="0" fontId="6" fillId="0" borderId="35" xfId="1" applyBorder="1" applyAlignment="1">
      <alignment horizontal="left" vertical="top" wrapText="1"/>
    </xf>
    <xf numFmtId="0" fontId="7" fillId="7" borderId="6" xfId="1" applyFont="1" applyFill="1" applyBorder="1" applyAlignment="1">
      <alignment horizontal="center" vertical="center" wrapText="1"/>
    </xf>
    <xf numFmtId="0" fontId="7" fillId="7" borderId="7" xfId="1" applyFont="1" applyFill="1" applyBorder="1" applyAlignment="1">
      <alignment horizontal="center" vertical="center" wrapText="1"/>
    </xf>
    <xf numFmtId="0" fontId="7" fillId="7" borderId="8" xfId="1" applyFont="1" applyFill="1" applyBorder="1" applyAlignment="1">
      <alignment horizontal="center" vertical="center" wrapText="1"/>
    </xf>
    <xf numFmtId="0" fontId="7" fillId="7" borderId="47" xfId="1" applyFont="1" applyFill="1" applyBorder="1" applyAlignment="1">
      <alignment horizontal="center" vertical="center" wrapText="1"/>
    </xf>
    <xf numFmtId="0" fontId="7" fillId="7" borderId="26" xfId="1" applyFont="1" applyFill="1" applyBorder="1" applyAlignment="1">
      <alignment horizontal="center" vertical="center" wrapText="1"/>
    </xf>
    <xf numFmtId="0" fontId="7" fillId="7" borderId="48" xfId="1" applyFont="1" applyFill="1" applyBorder="1" applyAlignment="1">
      <alignment horizontal="center" vertical="center" wrapText="1"/>
    </xf>
    <xf numFmtId="0" fontId="7" fillId="8" borderId="43" xfId="1" applyFont="1" applyFill="1" applyBorder="1" applyAlignment="1">
      <alignment horizontal="center" vertical="top" wrapText="1"/>
    </xf>
    <xf numFmtId="0" fontId="7" fillId="8" borderId="44" xfId="1" applyFont="1" applyFill="1" applyBorder="1" applyAlignment="1">
      <alignment horizontal="center" vertical="top" wrapText="1"/>
    </xf>
    <xf numFmtId="0" fontId="7" fillId="8" borderId="45" xfId="1" applyFont="1" applyFill="1" applyBorder="1" applyAlignment="1">
      <alignment horizontal="center" vertical="top"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7" fillId="8" borderId="49" xfId="1" applyFont="1" applyFill="1" applyBorder="1" applyAlignment="1">
      <alignment horizontal="center" vertical="top" wrapText="1"/>
    </xf>
    <xf numFmtId="0" fontId="7" fillId="8" borderId="50" xfId="1" applyFont="1" applyFill="1" applyBorder="1" applyAlignment="1">
      <alignment horizontal="center" vertical="top" wrapText="1"/>
    </xf>
    <xf numFmtId="0" fontId="7" fillId="8" borderId="51"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4" xfId="1" applyFont="1" applyFill="1" applyBorder="1" applyAlignment="1">
      <alignment horizontal="center" vertical="center"/>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xf numFmtId="0" fontId="77" fillId="3" borderId="0" xfId="0" applyFont="1" applyFill="1"/>
    <xf numFmtId="0" fontId="77" fillId="0" borderId="0" xfId="0" applyFont="1"/>
    <xf numFmtId="0" fontId="77" fillId="4" borderId="0" xfId="0" applyFont="1" applyFill="1"/>
    <xf numFmtId="0" fontId="77" fillId="15" borderId="0" xfId="0" applyFont="1" applyFill="1"/>
    <xf numFmtId="0" fontId="78" fillId="0" borderId="126" xfId="0" applyFont="1" applyBorder="1"/>
    <xf numFmtId="0" fontId="77" fillId="0" borderId="126" xfId="0" applyFont="1" applyBorder="1"/>
    <xf numFmtId="0" fontId="80" fillId="25" borderId="127" xfId="0" applyFont="1" applyFill="1" applyBorder="1" applyAlignment="1">
      <alignment horizontal="center"/>
    </xf>
    <xf numFmtId="14" fontId="77" fillId="0" borderId="88" xfId="0" applyNumberFormat="1" applyFont="1" applyBorder="1"/>
    <xf numFmtId="14" fontId="77" fillId="0" borderId="0" xfId="0" applyNumberFormat="1" applyFont="1"/>
    <xf numFmtId="0" fontId="81" fillId="0" borderId="0" xfId="0" applyFont="1"/>
    <xf numFmtId="0" fontId="82" fillId="26" borderId="128" xfId="0" applyFont="1" applyFill="1" applyBorder="1" applyAlignment="1">
      <alignment horizontal="center" wrapText="1"/>
    </xf>
    <xf numFmtId="0" fontId="82" fillId="26" borderId="129" xfId="0" applyFont="1" applyFill="1" applyBorder="1" applyAlignment="1">
      <alignment horizontal="center" wrapText="1"/>
    </xf>
    <xf numFmtId="0" fontId="82" fillId="26" borderId="130" xfId="0" applyFont="1" applyFill="1" applyBorder="1" applyAlignment="1">
      <alignment horizontal="center" wrapText="1"/>
    </xf>
    <xf numFmtId="0" fontId="83" fillId="0" borderId="0" xfId="0" applyFont="1"/>
    <xf numFmtId="0" fontId="82" fillId="3" borderId="131" xfId="0" applyFont="1" applyFill="1" applyBorder="1" applyAlignment="1">
      <alignment horizontal="center" vertical="center"/>
    </xf>
    <xf numFmtId="0" fontId="82" fillId="3" borderId="132" xfId="0" applyFont="1" applyFill="1" applyBorder="1" applyAlignment="1">
      <alignment horizontal="center" vertical="center"/>
    </xf>
    <xf numFmtId="0" fontId="82" fillId="3" borderId="133" xfId="0" applyFont="1" applyFill="1" applyBorder="1" applyAlignment="1">
      <alignment horizontal="center" vertical="center"/>
    </xf>
    <xf numFmtId="0" fontId="77" fillId="0" borderId="0" xfId="0" quotePrefix="1" applyFont="1"/>
    <xf numFmtId="0" fontId="80" fillId="15" borderId="120" xfId="0" applyFont="1" applyFill="1" applyBorder="1" applyAlignment="1">
      <alignment horizontal="center" vertical="center" wrapText="1"/>
    </xf>
    <xf numFmtId="0" fontId="80" fillId="15" borderId="115" xfId="0" applyFont="1" applyFill="1" applyBorder="1" applyAlignment="1">
      <alignment horizontal="center" vertical="center" wrapText="1"/>
    </xf>
    <xf numFmtId="0" fontId="84" fillId="15" borderId="115" xfId="0" applyFont="1" applyFill="1" applyBorder="1" applyAlignment="1">
      <alignment horizontal="center" vertical="center" wrapText="1"/>
    </xf>
    <xf numFmtId="0" fontId="85" fillId="0" borderId="134" xfId="0" applyFont="1" applyBorder="1"/>
    <xf numFmtId="0" fontId="85" fillId="0" borderId="0" xfId="0" applyFont="1"/>
    <xf numFmtId="0" fontId="85" fillId="0" borderId="135" xfId="0" applyFont="1" applyBorder="1"/>
    <xf numFmtId="0" fontId="86" fillId="3" borderId="120" xfId="0" applyFont="1" applyFill="1" applyBorder="1"/>
    <xf numFmtId="0" fontId="86" fillId="3" borderId="115" xfId="0" applyFont="1" applyFill="1" applyBorder="1"/>
    <xf numFmtId="0" fontId="86" fillId="3" borderId="115" xfId="0" applyFont="1" applyFill="1" applyBorder="1" applyAlignment="1">
      <alignment horizontal="center" vertical="center"/>
    </xf>
    <xf numFmtId="14" fontId="86" fillId="3" borderId="115" xfId="0" quotePrefix="1" applyNumberFormat="1" applyFont="1" applyFill="1" applyBorder="1" applyAlignment="1">
      <alignment horizontal="center" vertical="center"/>
    </xf>
    <xf numFmtId="3" fontId="86" fillId="3" borderId="115" xfId="0" applyNumberFormat="1" applyFont="1" applyFill="1" applyBorder="1" applyAlignment="1">
      <alignment horizontal="center" vertical="center"/>
    </xf>
    <xf numFmtId="14" fontId="86" fillId="3" borderId="115" xfId="0" applyNumberFormat="1" applyFont="1" applyFill="1" applyBorder="1" applyAlignment="1">
      <alignment horizontal="left" vertical="center"/>
    </xf>
    <xf numFmtId="9" fontId="86" fillId="3" borderId="115" xfId="3" applyFont="1" applyFill="1" applyBorder="1" applyAlignment="1">
      <alignment horizontal="center" vertical="center"/>
    </xf>
    <xf numFmtId="0" fontId="86" fillId="3" borderId="115" xfId="0" applyFont="1" applyFill="1" applyBorder="1" applyAlignment="1">
      <alignment horizontal="left" vertical="center"/>
    </xf>
    <xf numFmtId="0" fontId="86" fillId="3" borderId="115" xfId="0" quotePrefix="1" applyFont="1" applyFill="1" applyBorder="1" applyAlignment="1">
      <alignment horizontal="left" vertical="center"/>
    </xf>
    <xf numFmtId="164" fontId="86" fillId="3" borderId="115" xfId="0" applyNumberFormat="1" applyFont="1" applyFill="1" applyBorder="1" applyAlignment="1">
      <alignment horizontal="left" vertical="center"/>
    </xf>
    <xf numFmtId="14" fontId="86" fillId="3" borderId="115" xfId="0" applyNumberFormat="1" applyFont="1" applyFill="1" applyBorder="1" applyAlignment="1">
      <alignment horizontal="center" vertical="center"/>
    </xf>
  </cellXfs>
  <cellStyles count="5">
    <cellStyle name="Good" xfId="4" builtinId="26"/>
    <cellStyle name="Normal" xfId="0" builtinId="0"/>
    <cellStyle name="Normal 2" xfId="1" xr:uid="{45E18FD4-E59C-4210-904C-8521D0A9983E}"/>
    <cellStyle name="Normal 2 2" xfId="2" xr:uid="{D189B8EF-3EAB-494C-A05E-B94912F640F5}"/>
    <cellStyle name="Percent" xfId="3" builtinId="5"/>
  </cellStyles>
  <dxfs count="8">
    <dxf>
      <font>
        <b/>
        <i val="0"/>
        <color theme="9" tint="-0.499984740745262"/>
      </font>
      <fill>
        <patternFill>
          <bgColor theme="9" tint="0.79998168889431442"/>
        </patternFill>
      </fill>
    </dxf>
    <dxf>
      <font>
        <b/>
        <i val="0"/>
        <color rgb="FFC00000"/>
      </font>
      <fill>
        <patternFill>
          <bgColor rgb="FFFFA7A7"/>
        </patternFill>
      </fill>
    </dxf>
    <dxf>
      <font>
        <b/>
        <i val="0"/>
        <color rgb="FFFFC000"/>
      </font>
      <fill>
        <patternFill>
          <bgColor rgb="FFFFF1C5"/>
        </patternFill>
      </fill>
    </dxf>
    <dxf>
      <font>
        <b/>
        <i val="0"/>
        <color theme="0"/>
      </font>
      <fill>
        <patternFill>
          <bgColor theme="0" tint="-0.24994659260841701"/>
        </patternFill>
      </fill>
    </dxf>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s>
  <tableStyles count="0" defaultTableStyle="TableStyleMedium2" defaultPivotStyle="PivotStyleLight16"/>
  <colors>
    <mruColors>
      <color rgb="FFFF5959"/>
      <color rgb="FFFFF2CC"/>
      <color rgb="FF63E2E9"/>
      <color rgb="FFFFE084"/>
      <color rgb="FF750000"/>
      <color rgb="FFC0E2C2"/>
      <color rgb="FFE20000"/>
      <color rgb="FF8CC1CE"/>
      <color rgb="FF1AB2BB"/>
      <color rgb="FFDFF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Resumo'!$D$75:$D$79</c:f>
              <c:strCache>
                <c:ptCount val="5"/>
                <c:pt idx="0">
                  <c:v>Por iniciar</c:v>
                </c:pt>
                <c:pt idx="1">
                  <c:v>Em curso</c:v>
                </c:pt>
                <c:pt idx="2">
                  <c:v>Concluídos </c:v>
                </c:pt>
                <c:pt idx="3">
                  <c:v>Pendente de desenvolv.</c:v>
                </c:pt>
                <c:pt idx="4">
                  <c:v>Com Incidências.</c:v>
                </c:pt>
              </c:strCache>
            </c:strRef>
          </c:tx>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'1. Status Resumo'!$D$75:$D$79</c:f>
            </c:multiLvlStrRef>
          </c:cat>
          <c:val>
            <c:numRef>
              <c:f>'1. Status Resumo'!$H$75:$H$79</c:f>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Resumo'!$J$75:$J$79</c:f>
              <c:strCache>
                <c:ptCount val="5"/>
                <c:pt idx="0">
                  <c:v>Por iniciar</c:v>
                </c:pt>
                <c:pt idx="1">
                  <c:v>Em curso</c:v>
                </c:pt>
                <c:pt idx="2">
                  <c:v>Concluídos </c:v>
                </c:pt>
                <c:pt idx="3">
                  <c:v>Pendente de desenvolv.</c:v>
                </c:pt>
                <c:pt idx="4">
                  <c:v>Com Incidências.</c:v>
                </c:pt>
              </c:strCache>
            </c:strRef>
          </c:tx>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'1. Status Resumo'!$J$75:$J$79</c:f>
            </c:multiLvlStrRef>
          </c:cat>
          <c:val>
            <c:numRef>
              <c:f>'1. Status Resumo'!$N$75:$N$79</c:f>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Resumo'!$D$101:$D$105</c:f>
              <c:strCache>
                <c:ptCount val="5"/>
                <c:pt idx="0">
                  <c:v>Por iniciar</c:v>
                </c:pt>
                <c:pt idx="1">
                  <c:v>Em curso</c:v>
                </c:pt>
                <c:pt idx="2">
                  <c:v>Concluídos </c:v>
                </c:pt>
                <c:pt idx="3">
                  <c:v>Pendente de desenvolv.</c:v>
                </c:pt>
                <c:pt idx="4">
                  <c:v>Com Incidências.</c:v>
                </c:pt>
              </c:strCache>
            </c:strRef>
          </c:tx>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'1. Status Resumo'!$D$101:$D$105</c:f>
            </c:multiLvlStrRef>
          </c:cat>
          <c:val>
            <c:numRef>
              <c:f>'1. Status Resumo'!$H$101:$H$105</c:f>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Resumo'!$J$101:$J$105</c:f>
              <c:strCache>
                <c:ptCount val="5"/>
                <c:pt idx="0">
                  <c:v>Por iniciar</c:v>
                </c:pt>
                <c:pt idx="1">
                  <c:v>Em curso</c:v>
                </c:pt>
                <c:pt idx="2">
                  <c:v>Concluídos </c:v>
                </c:pt>
                <c:pt idx="3">
                  <c:v>Pendente de desenvolv.</c:v>
                </c:pt>
                <c:pt idx="4">
                  <c:v>Com Incidências.</c:v>
                </c:pt>
              </c:strCache>
            </c:strRef>
          </c:tx>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'1. Status Resumo'!$J$101:$J$105</c:f>
            </c:multiLvlStrRef>
          </c:cat>
          <c:val>
            <c:numRef>
              <c:f>'1. Status Resumo'!$N$101:$N$105</c:f>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Resumo'!$D$126:$D$130</c:f>
              <c:strCache>
                <c:ptCount val="5"/>
                <c:pt idx="0">
                  <c:v>Por iniciar</c:v>
                </c:pt>
                <c:pt idx="1">
                  <c:v>Em curso</c:v>
                </c:pt>
                <c:pt idx="2">
                  <c:v>Concluídos </c:v>
                </c:pt>
                <c:pt idx="3">
                  <c:v>Pendente de desenvolv.</c:v>
                </c:pt>
                <c:pt idx="4">
                  <c:v>Com Incidências.</c:v>
                </c:pt>
              </c:strCache>
            </c:strRef>
          </c:tx>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'1. Status Resumo'!$D$126:$D$130</c:f>
            </c:multiLvlStrRef>
          </c:cat>
          <c:val>
            <c:numRef>
              <c:f>'1. Status Resumo'!$H$126:$H$130</c:f>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Resumo'!$J$126:$J$130</c:f>
              <c:strCache>
                <c:ptCount val="5"/>
                <c:pt idx="0">
                  <c:v>Por iniciar</c:v>
                </c:pt>
                <c:pt idx="1">
                  <c:v>Em curso</c:v>
                </c:pt>
                <c:pt idx="2">
                  <c:v>Concluídos </c:v>
                </c:pt>
                <c:pt idx="3">
                  <c:v>Pendente de desenvolv.</c:v>
                </c:pt>
                <c:pt idx="4">
                  <c:v>Com Incidências.</c:v>
                </c:pt>
              </c:strCache>
            </c:strRef>
          </c:tx>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'1. Status Resumo'!$J$126:$J$130</c:f>
            </c:multiLvlStrRef>
          </c:cat>
          <c:val>
            <c:numRef>
              <c:f>'1. Status Resumo'!$N$126:$N$130</c:f>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53</xdr:row>
      <xdr:rowOff>0</xdr:rowOff>
    </xdr:from>
    <xdr:to>
      <xdr:col>5</xdr:col>
      <xdr:colOff>342900</xdr:colOff>
      <xdr:row>54</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xdr:from>
      <xdr:col>2</xdr:col>
      <xdr:colOff>348343</xdr:colOff>
      <xdr:row>74</xdr:row>
      <xdr:rowOff>54430</xdr:rowOff>
    </xdr:from>
    <xdr:to>
      <xdr:col>2</xdr:col>
      <xdr:colOff>467143</xdr:colOff>
      <xdr:row>74</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75</xdr:row>
      <xdr:rowOff>43546</xdr:rowOff>
    </xdr:from>
    <xdr:to>
      <xdr:col>2</xdr:col>
      <xdr:colOff>467143</xdr:colOff>
      <xdr:row>75</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76</xdr:row>
      <xdr:rowOff>43545</xdr:rowOff>
    </xdr:from>
    <xdr:to>
      <xdr:col>2</xdr:col>
      <xdr:colOff>467143</xdr:colOff>
      <xdr:row>76</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78</xdr:row>
      <xdr:rowOff>54429</xdr:rowOff>
    </xdr:from>
    <xdr:to>
      <xdr:col>2</xdr:col>
      <xdr:colOff>467143</xdr:colOff>
      <xdr:row>78</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74</xdr:row>
      <xdr:rowOff>54430</xdr:rowOff>
    </xdr:from>
    <xdr:to>
      <xdr:col>8</xdr:col>
      <xdr:colOff>924343</xdr:colOff>
      <xdr:row>74</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75</xdr:row>
      <xdr:rowOff>43546</xdr:rowOff>
    </xdr:from>
    <xdr:to>
      <xdr:col>8</xdr:col>
      <xdr:colOff>924343</xdr:colOff>
      <xdr:row>75</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76</xdr:row>
      <xdr:rowOff>43545</xdr:rowOff>
    </xdr:from>
    <xdr:to>
      <xdr:col>8</xdr:col>
      <xdr:colOff>924343</xdr:colOff>
      <xdr:row>76</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78</xdr:row>
      <xdr:rowOff>54429</xdr:rowOff>
    </xdr:from>
    <xdr:to>
      <xdr:col>8</xdr:col>
      <xdr:colOff>924343</xdr:colOff>
      <xdr:row>78</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2</xdr:col>
      <xdr:colOff>304803</xdr:colOff>
      <xdr:row>83</xdr:row>
      <xdr:rowOff>163275</xdr:rowOff>
    </xdr:from>
    <xdr:to>
      <xdr:col>8</xdr:col>
      <xdr:colOff>401289</xdr:colOff>
      <xdr:row>1048576</xdr:row>
      <xdr:rowOff>166556</xdr:rowOff>
    </xdr:to>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769716</xdr:colOff>
      <xdr:row>1048576</xdr:row>
      <xdr:rowOff>161301</xdr:rowOff>
    </xdr:from>
    <xdr:to>
      <xdr:col>16384</xdr:col>
      <xdr:colOff>607771</xdr:colOff>
      <xdr:row>1048576</xdr:row>
      <xdr:rowOff>163028</xdr:rowOff>
    </xdr:to>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304803</xdr:colOff>
      <xdr:row>1048576</xdr:row>
      <xdr:rowOff>162783</xdr:rowOff>
    </xdr:from>
    <xdr:to>
      <xdr:col>8</xdr:col>
      <xdr:colOff>401289</xdr:colOff>
      <xdr:row>1048576</xdr:row>
      <xdr:rowOff>162893</xdr:rowOff>
    </xdr:to>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769716</xdr:colOff>
      <xdr:row>1048576</xdr:row>
      <xdr:rowOff>162783</xdr:rowOff>
    </xdr:from>
    <xdr:to>
      <xdr:col>16384</xdr:col>
      <xdr:colOff>612216</xdr:colOff>
      <xdr:row>1048576</xdr:row>
      <xdr:rowOff>162893</xdr:rowOff>
    </xdr:to>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348343</xdr:colOff>
      <xdr:row>77</xdr:row>
      <xdr:rowOff>54427</xdr:rowOff>
    </xdr:from>
    <xdr:to>
      <xdr:col>2</xdr:col>
      <xdr:colOff>467143</xdr:colOff>
      <xdr:row>77</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77</xdr:row>
      <xdr:rowOff>54427</xdr:rowOff>
    </xdr:from>
    <xdr:to>
      <xdr:col>8</xdr:col>
      <xdr:colOff>924343</xdr:colOff>
      <xdr:row>77</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100</xdr:row>
      <xdr:rowOff>54430</xdr:rowOff>
    </xdr:from>
    <xdr:to>
      <xdr:col>2</xdr:col>
      <xdr:colOff>467143</xdr:colOff>
      <xdr:row>100</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101</xdr:row>
      <xdr:rowOff>43546</xdr:rowOff>
    </xdr:from>
    <xdr:to>
      <xdr:col>2</xdr:col>
      <xdr:colOff>467143</xdr:colOff>
      <xdr:row>101</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102</xdr:row>
      <xdr:rowOff>43545</xdr:rowOff>
    </xdr:from>
    <xdr:to>
      <xdr:col>2</xdr:col>
      <xdr:colOff>467143</xdr:colOff>
      <xdr:row>102</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104</xdr:row>
      <xdr:rowOff>54429</xdr:rowOff>
    </xdr:from>
    <xdr:to>
      <xdr:col>2</xdr:col>
      <xdr:colOff>467143</xdr:colOff>
      <xdr:row>104</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103</xdr:row>
      <xdr:rowOff>54427</xdr:rowOff>
    </xdr:from>
    <xdr:to>
      <xdr:col>2</xdr:col>
      <xdr:colOff>467143</xdr:colOff>
      <xdr:row>103</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125</xdr:row>
      <xdr:rowOff>54430</xdr:rowOff>
    </xdr:from>
    <xdr:to>
      <xdr:col>2</xdr:col>
      <xdr:colOff>467143</xdr:colOff>
      <xdr:row>125</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126</xdr:row>
      <xdr:rowOff>43546</xdr:rowOff>
    </xdr:from>
    <xdr:to>
      <xdr:col>2</xdr:col>
      <xdr:colOff>467143</xdr:colOff>
      <xdr:row>126</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127</xdr:row>
      <xdr:rowOff>43545</xdr:rowOff>
    </xdr:from>
    <xdr:to>
      <xdr:col>2</xdr:col>
      <xdr:colOff>467143</xdr:colOff>
      <xdr:row>127</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129</xdr:row>
      <xdr:rowOff>54429</xdr:rowOff>
    </xdr:from>
    <xdr:to>
      <xdr:col>2</xdr:col>
      <xdr:colOff>467143</xdr:colOff>
      <xdr:row>129</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128</xdr:row>
      <xdr:rowOff>54427</xdr:rowOff>
    </xdr:from>
    <xdr:to>
      <xdr:col>2</xdr:col>
      <xdr:colOff>467143</xdr:colOff>
      <xdr:row>128</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100</xdr:row>
      <xdr:rowOff>54430</xdr:rowOff>
    </xdr:from>
    <xdr:to>
      <xdr:col>8</xdr:col>
      <xdr:colOff>924343</xdr:colOff>
      <xdr:row>100</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101</xdr:row>
      <xdr:rowOff>43546</xdr:rowOff>
    </xdr:from>
    <xdr:to>
      <xdr:col>8</xdr:col>
      <xdr:colOff>924343</xdr:colOff>
      <xdr:row>101</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102</xdr:row>
      <xdr:rowOff>43545</xdr:rowOff>
    </xdr:from>
    <xdr:to>
      <xdr:col>8</xdr:col>
      <xdr:colOff>924343</xdr:colOff>
      <xdr:row>102</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104</xdr:row>
      <xdr:rowOff>54429</xdr:rowOff>
    </xdr:from>
    <xdr:to>
      <xdr:col>8</xdr:col>
      <xdr:colOff>924343</xdr:colOff>
      <xdr:row>104</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103</xdr:row>
      <xdr:rowOff>54427</xdr:rowOff>
    </xdr:from>
    <xdr:to>
      <xdr:col>8</xdr:col>
      <xdr:colOff>924343</xdr:colOff>
      <xdr:row>103</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125</xdr:row>
      <xdr:rowOff>54430</xdr:rowOff>
    </xdr:from>
    <xdr:to>
      <xdr:col>8</xdr:col>
      <xdr:colOff>924343</xdr:colOff>
      <xdr:row>125</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126</xdr:row>
      <xdr:rowOff>43546</xdr:rowOff>
    </xdr:from>
    <xdr:to>
      <xdr:col>8</xdr:col>
      <xdr:colOff>924343</xdr:colOff>
      <xdr:row>126</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127</xdr:row>
      <xdr:rowOff>43545</xdr:rowOff>
    </xdr:from>
    <xdr:to>
      <xdr:col>8</xdr:col>
      <xdr:colOff>924343</xdr:colOff>
      <xdr:row>127</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129</xdr:row>
      <xdr:rowOff>54429</xdr:rowOff>
    </xdr:from>
    <xdr:to>
      <xdr:col>8</xdr:col>
      <xdr:colOff>924343</xdr:colOff>
      <xdr:row>129</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128</xdr:row>
      <xdr:rowOff>54427</xdr:rowOff>
    </xdr:from>
    <xdr:to>
      <xdr:col>8</xdr:col>
      <xdr:colOff>924343</xdr:colOff>
      <xdr:row>128</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100</xdr:row>
      <xdr:rowOff>54430</xdr:rowOff>
    </xdr:from>
    <xdr:to>
      <xdr:col>2</xdr:col>
      <xdr:colOff>467143</xdr:colOff>
      <xdr:row>100</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101</xdr:row>
      <xdr:rowOff>43546</xdr:rowOff>
    </xdr:from>
    <xdr:to>
      <xdr:col>2</xdr:col>
      <xdr:colOff>467143</xdr:colOff>
      <xdr:row>101</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102</xdr:row>
      <xdr:rowOff>43545</xdr:rowOff>
    </xdr:from>
    <xdr:to>
      <xdr:col>2</xdr:col>
      <xdr:colOff>467143</xdr:colOff>
      <xdr:row>102</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104</xdr:row>
      <xdr:rowOff>54429</xdr:rowOff>
    </xdr:from>
    <xdr:to>
      <xdr:col>2</xdr:col>
      <xdr:colOff>467143</xdr:colOff>
      <xdr:row>104</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100</xdr:row>
      <xdr:rowOff>54430</xdr:rowOff>
    </xdr:from>
    <xdr:to>
      <xdr:col>8</xdr:col>
      <xdr:colOff>924343</xdr:colOff>
      <xdr:row>100</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101</xdr:row>
      <xdr:rowOff>43546</xdr:rowOff>
    </xdr:from>
    <xdr:to>
      <xdr:col>8</xdr:col>
      <xdr:colOff>924343</xdr:colOff>
      <xdr:row>101</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102</xdr:row>
      <xdr:rowOff>43545</xdr:rowOff>
    </xdr:from>
    <xdr:to>
      <xdr:col>8</xdr:col>
      <xdr:colOff>924343</xdr:colOff>
      <xdr:row>102</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104</xdr:row>
      <xdr:rowOff>54429</xdr:rowOff>
    </xdr:from>
    <xdr:to>
      <xdr:col>8</xdr:col>
      <xdr:colOff>924343</xdr:colOff>
      <xdr:row>104</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103</xdr:row>
      <xdr:rowOff>54427</xdr:rowOff>
    </xdr:from>
    <xdr:to>
      <xdr:col>2</xdr:col>
      <xdr:colOff>467143</xdr:colOff>
      <xdr:row>103</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103</xdr:row>
      <xdr:rowOff>54427</xdr:rowOff>
    </xdr:from>
    <xdr:to>
      <xdr:col>8</xdr:col>
      <xdr:colOff>924343</xdr:colOff>
      <xdr:row>103</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125</xdr:row>
      <xdr:rowOff>54430</xdr:rowOff>
    </xdr:from>
    <xdr:to>
      <xdr:col>2</xdr:col>
      <xdr:colOff>467143</xdr:colOff>
      <xdr:row>125</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126</xdr:row>
      <xdr:rowOff>43546</xdr:rowOff>
    </xdr:from>
    <xdr:to>
      <xdr:col>2</xdr:col>
      <xdr:colOff>467143</xdr:colOff>
      <xdr:row>126</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127</xdr:row>
      <xdr:rowOff>43545</xdr:rowOff>
    </xdr:from>
    <xdr:to>
      <xdr:col>2</xdr:col>
      <xdr:colOff>467143</xdr:colOff>
      <xdr:row>127</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129</xdr:row>
      <xdr:rowOff>54429</xdr:rowOff>
    </xdr:from>
    <xdr:to>
      <xdr:col>2</xdr:col>
      <xdr:colOff>467143</xdr:colOff>
      <xdr:row>129</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128</xdr:row>
      <xdr:rowOff>54427</xdr:rowOff>
    </xdr:from>
    <xdr:to>
      <xdr:col>2</xdr:col>
      <xdr:colOff>467143</xdr:colOff>
      <xdr:row>128</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125</xdr:row>
      <xdr:rowOff>54430</xdr:rowOff>
    </xdr:from>
    <xdr:to>
      <xdr:col>8</xdr:col>
      <xdr:colOff>924343</xdr:colOff>
      <xdr:row>125</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126</xdr:row>
      <xdr:rowOff>43546</xdr:rowOff>
    </xdr:from>
    <xdr:to>
      <xdr:col>8</xdr:col>
      <xdr:colOff>924343</xdr:colOff>
      <xdr:row>126</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127</xdr:row>
      <xdr:rowOff>43545</xdr:rowOff>
    </xdr:from>
    <xdr:to>
      <xdr:col>8</xdr:col>
      <xdr:colOff>924343</xdr:colOff>
      <xdr:row>127</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129</xdr:row>
      <xdr:rowOff>54429</xdr:rowOff>
    </xdr:from>
    <xdr:to>
      <xdr:col>8</xdr:col>
      <xdr:colOff>924343</xdr:colOff>
      <xdr:row>129</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128</xdr:row>
      <xdr:rowOff>54427</xdr:rowOff>
    </xdr:from>
    <xdr:to>
      <xdr:col>8</xdr:col>
      <xdr:colOff>924343</xdr:colOff>
      <xdr:row>128</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125</xdr:row>
      <xdr:rowOff>54430</xdr:rowOff>
    </xdr:from>
    <xdr:to>
      <xdr:col>2</xdr:col>
      <xdr:colOff>467143</xdr:colOff>
      <xdr:row>125</xdr:row>
      <xdr:rowOff>173230</xdr:rowOff>
    </xdr:to>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8314"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126</xdr:row>
      <xdr:rowOff>43546</xdr:rowOff>
    </xdr:from>
    <xdr:to>
      <xdr:col>2</xdr:col>
      <xdr:colOff>467143</xdr:colOff>
      <xdr:row>126</xdr:row>
      <xdr:rowOff>162346</xdr:rowOff>
    </xdr:to>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8314"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127</xdr:row>
      <xdr:rowOff>43545</xdr:rowOff>
    </xdr:from>
    <xdr:to>
      <xdr:col>2</xdr:col>
      <xdr:colOff>467143</xdr:colOff>
      <xdr:row>127</xdr:row>
      <xdr:rowOff>162345</xdr:rowOff>
    </xdr:to>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8314"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129</xdr:row>
      <xdr:rowOff>54429</xdr:rowOff>
    </xdr:from>
    <xdr:to>
      <xdr:col>2</xdr:col>
      <xdr:colOff>467143</xdr:colOff>
      <xdr:row>129</xdr:row>
      <xdr:rowOff>173229</xdr:rowOff>
    </xdr:to>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8314"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125</xdr:row>
      <xdr:rowOff>54430</xdr:rowOff>
    </xdr:from>
    <xdr:to>
      <xdr:col>8</xdr:col>
      <xdr:colOff>924343</xdr:colOff>
      <xdr:row>125</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126</xdr:row>
      <xdr:rowOff>43546</xdr:rowOff>
    </xdr:from>
    <xdr:to>
      <xdr:col>8</xdr:col>
      <xdr:colOff>924343</xdr:colOff>
      <xdr:row>126</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127</xdr:row>
      <xdr:rowOff>43545</xdr:rowOff>
    </xdr:from>
    <xdr:to>
      <xdr:col>8</xdr:col>
      <xdr:colOff>924343</xdr:colOff>
      <xdr:row>127</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129</xdr:row>
      <xdr:rowOff>54429</xdr:rowOff>
    </xdr:from>
    <xdr:to>
      <xdr:col>8</xdr:col>
      <xdr:colOff>924343</xdr:colOff>
      <xdr:row>129</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128</xdr:row>
      <xdr:rowOff>54427</xdr:rowOff>
    </xdr:from>
    <xdr:to>
      <xdr:col>2</xdr:col>
      <xdr:colOff>467143</xdr:colOff>
      <xdr:row>128</xdr:row>
      <xdr:rowOff>173227</xdr:rowOff>
    </xdr:to>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8314"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128</xdr:row>
      <xdr:rowOff>54427</xdr:rowOff>
    </xdr:from>
    <xdr:to>
      <xdr:col>8</xdr:col>
      <xdr:colOff>924343</xdr:colOff>
      <xdr:row>128</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3</xdr:col>
      <xdr:colOff>96528</xdr:colOff>
      <xdr:row>56</xdr:row>
      <xdr:rowOff>218472</xdr:rowOff>
    </xdr:from>
    <xdr:to>
      <xdr:col>8</xdr:col>
      <xdr:colOff>7583</xdr:colOff>
      <xdr:row>72</xdr:row>
      <xdr:rowOff>26680</xdr:rowOff>
    </xdr:to>
    <xdr:grpSp>
      <xdr:nvGrpSpPr>
        <xdr:cNvPr id="41" name="Group 40">
          <a:extLst>
            <a:ext uri="{FF2B5EF4-FFF2-40B4-BE49-F238E27FC236}">
              <a16:creationId xmlns:a16="http://schemas.microsoft.com/office/drawing/2014/main" id="{0000C376-BD84-DB07-868C-E2F6474E99FE}"/>
            </a:ext>
          </a:extLst>
        </xdr:cNvPr>
        <xdr:cNvGrpSpPr/>
      </xdr:nvGrpSpPr>
      <xdr:grpSpPr>
        <a:xfrm>
          <a:off x="1525278" y="6010275"/>
          <a:ext cx="4664030" cy="0"/>
          <a:chOff x="1552492" y="9376079"/>
          <a:chExt cx="4768805" cy="3563780"/>
        </a:xfrm>
      </xdr:grpSpPr>
      <xdr:sp macro="" textlink="">
        <xdr:nvSpPr>
          <xdr:cNvPr id="11" name="Rectangle: Rounded Corners 21">
            <a:extLst>
              <a:ext uri="{FF2B5EF4-FFF2-40B4-BE49-F238E27FC236}">
                <a16:creationId xmlns:a16="http://schemas.microsoft.com/office/drawing/2014/main" id="{0B619669-14F7-7418-9150-13AB4F9F9A80}"/>
              </a:ext>
            </a:extLst>
          </xdr:cNvPr>
          <xdr:cNvSpPr/>
        </xdr:nvSpPr>
        <xdr:spPr>
          <a:xfrm>
            <a:off x="1552492" y="12397405"/>
            <a:ext cx="4768805" cy="54245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5" name="Group 4">
            <a:extLst>
              <a:ext uri="{FF2B5EF4-FFF2-40B4-BE49-F238E27FC236}">
                <a16:creationId xmlns:a16="http://schemas.microsoft.com/office/drawing/2014/main" id="{33FA7C8D-0CF4-C835-C8D4-B840E35F7DBF}"/>
              </a:ext>
            </a:extLst>
          </xdr:cNvPr>
          <xdr:cNvGrpSpPr/>
        </xdr:nvGrpSpPr>
        <xdr:grpSpPr>
          <a:xfrm>
            <a:off x="1592034" y="9379254"/>
            <a:ext cx="4650922" cy="2909207"/>
            <a:chOff x="1583870" y="9141583"/>
            <a:chExt cx="4572000" cy="2743200"/>
          </a:xfrm>
        </xdr:grpSpPr>
        <xdr:graphicFrame macro="">
          <xdr:nvGraphicFramePr>
            <xdr:cNvPr id="16" name="Chart 15">
              <a:extLst>
                <a:ext uri="{FF2B5EF4-FFF2-40B4-BE49-F238E27FC236}">
                  <a16:creationId xmlns:a16="http://schemas.microsoft.com/office/drawing/2014/main" id="{E217CB5B-8A4C-7105-C982-BA50FB128CEA}"/>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495421"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grpSp>
    </xdr:grpSp>
    <xdr:clientData/>
  </xdr:twoCellAnchor>
  <xdr:twoCellAnchor>
    <xdr:from>
      <xdr:col>8</xdr:col>
      <xdr:colOff>445386</xdr:colOff>
      <xdr:row>56</xdr:row>
      <xdr:rowOff>206830</xdr:rowOff>
    </xdr:from>
    <xdr:to>
      <xdr:col>13</xdr:col>
      <xdr:colOff>816351</xdr:colOff>
      <xdr:row>72</xdr:row>
      <xdr:rowOff>29855</xdr:rowOff>
    </xdr:to>
    <xdr:grpSp>
      <xdr:nvGrpSpPr>
        <xdr:cNvPr id="40" name="Group 39">
          <a:extLst>
            <a:ext uri="{FF2B5EF4-FFF2-40B4-BE49-F238E27FC236}">
              <a16:creationId xmlns:a16="http://schemas.microsoft.com/office/drawing/2014/main" id="{37BF069E-65E9-BE1E-1ED6-3EB8C70377EA}"/>
            </a:ext>
          </a:extLst>
        </xdr:cNvPr>
        <xdr:cNvGrpSpPr/>
      </xdr:nvGrpSpPr>
      <xdr:grpSpPr>
        <a:xfrm>
          <a:off x="6627111" y="6010275"/>
          <a:ext cx="3907539" cy="0"/>
          <a:chOff x="6759100" y="9364437"/>
          <a:chExt cx="5691358" cy="3578597"/>
        </a:xfrm>
      </xdr:grpSpPr>
      <xdr:sp macro="" textlink="">
        <xdr:nvSpPr>
          <xdr:cNvPr id="8" name="Rectangle: Rounded Corners 21">
            <a:extLst>
              <a:ext uri="{FF2B5EF4-FFF2-40B4-BE49-F238E27FC236}">
                <a16:creationId xmlns:a16="http://schemas.microsoft.com/office/drawing/2014/main" id="{7E0216F6-7969-85F2-D487-9A1FBBC1BBB7}"/>
              </a:ext>
            </a:extLst>
          </xdr:cNvPr>
          <xdr:cNvSpPr/>
        </xdr:nvSpPr>
        <xdr:spPr>
          <a:xfrm>
            <a:off x="6759100" y="12400785"/>
            <a:ext cx="5691358" cy="54224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pSp>
        <xdr:nvGrpSpPr>
          <xdr:cNvPr id="6" name="Group 5">
            <a:extLst>
              <a:ext uri="{FF2B5EF4-FFF2-40B4-BE49-F238E27FC236}">
                <a16:creationId xmlns:a16="http://schemas.microsoft.com/office/drawing/2014/main" id="{54343ABF-1FDC-20CA-53AF-EF1280687222}"/>
              </a:ext>
            </a:extLst>
          </xdr:cNvPr>
          <xdr:cNvGrpSpPr/>
        </xdr:nvGrpSpPr>
        <xdr:grpSpPr>
          <a:xfrm>
            <a:off x="7196968" y="9364437"/>
            <a:ext cx="4682067" cy="2909207"/>
            <a:chOff x="7105347" y="9133116"/>
            <a:chExt cx="4580467" cy="2743200"/>
          </a:xfrm>
        </xdr:grpSpPr>
        <xdr:graphicFrame macro="">
          <xdr:nvGraphicFramePr>
            <xdr:cNvPr id="14" name="Chart 13">
              <a:extLst>
                <a:ext uri="{FF2B5EF4-FFF2-40B4-BE49-F238E27FC236}">
                  <a16:creationId xmlns:a16="http://schemas.microsoft.com/office/drawing/2014/main" id="{EAE0187A-1E49-2184-F097-CDB075BF1C9C}"/>
                </a:ext>
              </a:extLst>
            </xdr:cNvPr>
            <xdr:cNvGraphicFramePr/>
          </xdr:nvGraphicFramePr>
          <xdr:xfrm>
            <a:off x="7105347" y="9133116"/>
            <a:ext cx="4580467"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14580"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grpSp>
    </xdr:grpSp>
    <xdr:clientData/>
  </xdr:twoCellAnchor>
  <xdr:twoCellAnchor>
    <xdr:from>
      <xdr:col>3</xdr:col>
      <xdr:colOff>102736</xdr:colOff>
      <xdr:row>82</xdr:row>
      <xdr:rowOff>266097</xdr:rowOff>
    </xdr:from>
    <xdr:to>
      <xdr:col>8</xdr:col>
      <xdr:colOff>7515</xdr:colOff>
      <xdr:row>97</xdr:row>
      <xdr:rowOff>202664</xdr:rowOff>
    </xdr:to>
    <xdr:grpSp>
      <xdr:nvGrpSpPr>
        <xdr:cNvPr id="42" name="Group 41">
          <a:extLst>
            <a:ext uri="{FF2B5EF4-FFF2-40B4-BE49-F238E27FC236}">
              <a16:creationId xmlns:a16="http://schemas.microsoft.com/office/drawing/2014/main" id="{21434249-748A-109E-9482-2D12FEE72EEF}"/>
            </a:ext>
          </a:extLst>
        </xdr:cNvPr>
        <xdr:cNvGrpSpPr/>
      </xdr:nvGrpSpPr>
      <xdr:grpSpPr>
        <a:xfrm>
          <a:off x="1531486" y="6010275"/>
          <a:ext cx="4657754" cy="0"/>
          <a:chOff x="1558700" y="15492490"/>
          <a:chExt cx="4762529" cy="3460817"/>
        </a:xfrm>
      </xdr:grpSpPr>
      <xdr:grpSp>
        <xdr:nvGrpSpPr>
          <xdr:cNvPr id="31" name="Group 30">
            <a:extLst>
              <a:ext uri="{FF2B5EF4-FFF2-40B4-BE49-F238E27FC236}">
                <a16:creationId xmlns:a16="http://schemas.microsoft.com/office/drawing/2014/main" id="{BC66B478-BB7C-AFC5-8741-139724F670C7}"/>
              </a:ext>
            </a:extLst>
          </xdr:cNvPr>
          <xdr:cNvGrpSpPr/>
        </xdr:nvGrpSpPr>
        <xdr:grpSpPr>
          <a:xfrm>
            <a:off x="1561875" y="15492490"/>
            <a:ext cx="4762529" cy="3457642"/>
            <a:chOff x="1561875" y="15492490"/>
            <a:chExt cx="4762529" cy="3457642"/>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1561875" y="18447192"/>
              <a:ext cx="4762529" cy="502940"/>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aphicFrame macro="">
          <xdr:nvGraphicFramePr>
            <xdr:cNvPr id="18" name="Chart 17">
              <a:extLst>
                <a:ext uri="{FF2B5EF4-FFF2-40B4-BE49-F238E27FC236}">
                  <a16:creationId xmlns:a16="http://schemas.microsoft.com/office/drawing/2014/main" id="{427049DB-49D9-0DB8-C0C7-60EFB9EB1D5F}"/>
                </a:ext>
              </a:extLst>
            </xdr:cNvPr>
            <xdr:cNvGraphicFramePr/>
          </xdr:nvGraphicFramePr>
          <xdr:xfrm>
            <a:off x="1592034" y="15492490"/>
            <a:ext cx="4649712" cy="2918732"/>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534848" y="16533010"/>
            <a:ext cx="764084" cy="509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grpSp>
    <xdr:clientData/>
  </xdr:twoCellAnchor>
  <xdr:twoCellAnchor>
    <xdr:from>
      <xdr:col>8</xdr:col>
      <xdr:colOff>445155</xdr:colOff>
      <xdr:row>82</xdr:row>
      <xdr:rowOff>266097</xdr:rowOff>
    </xdr:from>
    <xdr:to>
      <xdr:col>13</xdr:col>
      <xdr:colOff>810232</xdr:colOff>
      <xdr:row>97</xdr:row>
      <xdr:rowOff>199488</xdr:rowOff>
    </xdr:to>
    <xdr:grpSp>
      <xdr:nvGrpSpPr>
        <xdr:cNvPr id="17" name="Group 16">
          <a:extLst>
            <a:ext uri="{FF2B5EF4-FFF2-40B4-BE49-F238E27FC236}">
              <a16:creationId xmlns:a16="http://schemas.microsoft.com/office/drawing/2014/main" id="{625EA0D6-880D-B22D-4754-9132A254AF1C}"/>
            </a:ext>
          </a:extLst>
        </xdr:cNvPr>
        <xdr:cNvGrpSpPr/>
      </xdr:nvGrpSpPr>
      <xdr:grpSpPr>
        <a:xfrm>
          <a:off x="6626880" y="6010275"/>
          <a:ext cx="3907770" cy="0"/>
          <a:chOff x="6758869" y="15492490"/>
          <a:chExt cx="5685470" cy="3457641"/>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6758869" y="18429349"/>
            <a:ext cx="5685470" cy="52078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pSp>
        <xdr:nvGrpSpPr>
          <xdr:cNvPr id="12" name="Group 11">
            <a:extLst>
              <a:ext uri="{FF2B5EF4-FFF2-40B4-BE49-F238E27FC236}">
                <a16:creationId xmlns:a16="http://schemas.microsoft.com/office/drawing/2014/main" id="{78CE88F4-AF1C-1330-250E-42CE5BDBC056}"/>
              </a:ext>
            </a:extLst>
          </xdr:cNvPr>
          <xdr:cNvGrpSpPr/>
        </xdr:nvGrpSpPr>
        <xdr:grpSpPr>
          <a:xfrm>
            <a:off x="7196968" y="15492490"/>
            <a:ext cx="4682067" cy="2909207"/>
            <a:chOff x="7105347" y="14918268"/>
            <a:chExt cx="4580467" cy="2743200"/>
          </a:xfrm>
        </xdr:grpSpPr>
        <xdr:graphicFrame macro="">
          <xdr:nvGraphicFramePr>
            <xdr:cNvPr id="23" name="Chart 22">
              <a:extLst>
                <a:ext uri="{FF2B5EF4-FFF2-40B4-BE49-F238E27FC236}">
                  <a16:creationId xmlns:a16="http://schemas.microsoft.com/office/drawing/2014/main" id="{8522843F-F9AE-A501-8195-15325E2BE1C1}"/>
                </a:ext>
              </a:extLst>
            </xdr:cNvPr>
            <xdr:cNvGraphicFramePr/>
          </xdr:nvGraphicFramePr>
          <xdr:xfrm>
            <a:off x="7105347" y="14918268"/>
            <a:ext cx="4580467" cy="2743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9014580" y="15901110"/>
              <a:ext cx="76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grpSp>
    </xdr:grpSp>
    <xdr:clientData/>
  </xdr:twoCellAnchor>
  <xdr:twoCellAnchor>
    <xdr:from>
      <xdr:col>3</xdr:col>
      <xdr:colOff>107553</xdr:colOff>
      <xdr:row>107</xdr:row>
      <xdr:rowOff>206830</xdr:rowOff>
    </xdr:from>
    <xdr:to>
      <xdr:col>7</xdr:col>
      <xdr:colOff>809904</xdr:colOff>
      <xdr:row>122</xdr:row>
      <xdr:rowOff>141894</xdr:rowOff>
    </xdr:to>
    <xdr:grpSp>
      <xdr:nvGrpSpPr>
        <xdr:cNvPr id="38" name="Group 37">
          <a:extLst>
            <a:ext uri="{FF2B5EF4-FFF2-40B4-BE49-F238E27FC236}">
              <a16:creationId xmlns:a16="http://schemas.microsoft.com/office/drawing/2014/main" id="{523ABF92-A96F-280D-A10E-727030D06473}"/>
            </a:ext>
          </a:extLst>
        </xdr:cNvPr>
        <xdr:cNvGrpSpPr/>
      </xdr:nvGrpSpPr>
      <xdr:grpSpPr>
        <a:xfrm>
          <a:off x="1536303" y="6010275"/>
          <a:ext cx="4647606" cy="0"/>
          <a:chOff x="1563517" y="21270687"/>
          <a:chExt cx="4743673" cy="3459314"/>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1563517" y="24208703"/>
            <a:ext cx="4743673" cy="521298"/>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aphicFrame macro="">
        <xdr:nvGraphicFramePr>
          <xdr:cNvPr id="24" name="Chart 23">
            <a:extLst>
              <a:ext uri="{FF2B5EF4-FFF2-40B4-BE49-F238E27FC236}">
                <a16:creationId xmlns:a16="http://schemas.microsoft.com/office/drawing/2014/main" id="{9FCF1A6C-47A8-ABA6-941C-F38EF56AA2D4}"/>
              </a:ext>
            </a:extLst>
          </xdr:cNvPr>
          <xdr:cNvGraphicFramePr/>
        </xdr:nvGraphicFramePr>
        <xdr:xfrm>
          <a:off x="1592034" y="21270687"/>
          <a:ext cx="4649712" cy="2909207"/>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534848" y="22321359"/>
            <a:ext cx="760909" cy="457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clientData/>
  </xdr:twoCellAnchor>
  <xdr:twoCellAnchor>
    <xdr:from>
      <xdr:col>8</xdr:col>
      <xdr:colOff>445386</xdr:colOff>
      <xdr:row>107</xdr:row>
      <xdr:rowOff>206830</xdr:rowOff>
    </xdr:from>
    <xdr:to>
      <xdr:col>13</xdr:col>
      <xdr:colOff>816351</xdr:colOff>
      <xdr:row>122</xdr:row>
      <xdr:rowOff>141894</xdr:rowOff>
    </xdr:to>
    <xdr:grpSp>
      <xdr:nvGrpSpPr>
        <xdr:cNvPr id="39" name="Group 38">
          <a:extLst>
            <a:ext uri="{FF2B5EF4-FFF2-40B4-BE49-F238E27FC236}">
              <a16:creationId xmlns:a16="http://schemas.microsoft.com/office/drawing/2014/main" id="{5CDDE82E-922A-9725-6C32-E2B2C42D0182}"/>
            </a:ext>
          </a:extLst>
        </xdr:cNvPr>
        <xdr:cNvGrpSpPr/>
      </xdr:nvGrpSpPr>
      <xdr:grpSpPr>
        <a:xfrm>
          <a:off x="6627111" y="6010275"/>
          <a:ext cx="3907539" cy="0"/>
          <a:chOff x="6759100" y="21270687"/>
          <a:chExt cx="5691358" cy="3459314"/>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6759100" y="24208703"/>
            <a:ext cx="5691358" cy="521298"/>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aphicFrame macro="">
        <xdr:nvGraphicFramePr>
          <xdr:cNvPr id="25" name="Chart 24">
            <a:extLst>
              <a:ext uri="{FF2B5EF4-FFF2-40B4-BE49-F238E27FC236}">
                <a16:creationId xmlns:a16="http://schemas.microsoft.com/office/drawing/2014/main" id="{1C855A9F-F266-264D-D53A-04C4D8EB15E5}"/>
              </a:ext>
            </a:extLst>
          </xdr:cNvPr>
          <xdr:cNvGraphicFramePr/>
        </xdr:nvGraphicFramePr>
        <xdr:xfrm>
          <a:off x="7196968" y="21270687"/>
          <a:ext cx="4682067" cy="2909207"/>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9150402" y="22321359"/>
            <a:ext cx="778374" cy="457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clientData/>
  </xdr:twoCellAnchor>
  <xdr:twoCellAnchor>
    <xdr:from>
      <xdr:col>2</xdr:col>
      <xdr:colOff>161925</xdr:colOff>
      <xdr:row>133</xdr:row>
      <xdr:rowOff>21170</xdr:rowOff>
    </xdr:from>
    <xdr:to>
      <xdr:col>6</xdr:col>
      <xdr:colOff>403225</xdr:colOff>
      <xdr:row>135</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1</xdr:col>
      <xdr:colOff>0</xdr:colOff>
      <xdr:row>1</xdr:row>
      <xdr:rowOff>54431</xdr:rowOff>
    </xdr:from>
    <xdr:to>
      <xdr:col>3</xdr:col>
      <xdr:colOff>69308</xdr:colOff>
      <xdr:row>2</xdr:row>
      <xdr:rowOff>150234</xdr:rowOff>
    </xdr:to>
    <xdr:pic>
      <xdr:nvPicPr>
        <xdr:cNvPr id="26" name="Gráfico 10">
          <a:extLst>
            <a:ext uri="{FF2B5EF4-FFF2-40B4-BE49-F238E27FC236}">
              <a16:creationId xmlns:a16="http://schemas.microsoft.com/office/drawing/2014/main" id="{0C5E987C-B9D2-48E1-A649-AB485F03CE5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0371" y="185060"/>
          <a:ext cx="1266737" cy="259088"/>
        </a:xfrm>
        <a:prstGeom prst="rect">
          <a:avLst/>
        </a:prstGeom>
      </xdr:spPr>
    </xdr:pic>
    <xdr:clientData/>
  </xdr:twoCellAnchor>
  <xdr:twoCellAnchor>
    <xdr:from>
      <xdr:col>3</xdr:col>
      <xdr:colOff>171749</xdr:colOff>
      <xdr:row>1</xdr:row>
      <xdr:rowOff>0</xdr:rowOff>
    </xdr:from>
    <xdr:to>
      <xdr:col>3</xdr:col>
      <xdr:colOff>872731</xdr:colOff>
      <xdr:row>3</xdr:row>
      <xdr:rowOff>64268</xdr:rowOff>
    </xdr:to>
    <xdr:pic>
      <xdr:nvPicPr>
        <xdr:cNvPr id="37" name="Graphic 267">
          <a:extLst>
            <a:ext uri="{FF2B5EF4-FFF2-40B4-BE49-F238E27FC236}">
              <a16:creationId xmlns:a16="http://schemas.microsoft.com/office/drawing/2014/main" id="{5059A71F-85F1-4CB3-9B4C-A4C6223FDCB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19549" y="130629"/>
          <a:ext cx="700982" cy="3908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54431</xdr:rowOff>
    </xdr:from>
    <xdr:to>
      <xdr:col>2</xdr:col>
      <xdr:colOff>744222</xdr:colOff>
      <xdr:row>2</xdr:row>
      <xdr:rowOff>150234</xdr:rowOff>
    </xdr:to>
    <xdr:pic>
      <xdr:nvPicPr>
        <xdr:cNvPr id="2" name="Gráfico 10">
          <a:extLst>
            <a:ext uri="{FF2B5EF4-FFF2-40B4-BE49-F238E27FC236}">
              <a16:creationId xmlns:a16="http://schemas.microsoft.com/office/drawing/2014/main" id="{70609066-F660-43F0-9212-B73F67B31F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0371" y="185060"/>
          <a:ext cx="1266737" cy="259088"/>
        </a:xfrm>
        <a:prstGeom prst="rect">
          <a:avLst/>
        </a:prstGeom>
      </xdr:spPr>
    </xdr:pic>
    <xdr:clientData/>
  </xdr:twoCellAnchor>
  <xdr:twoCellAnchor>
    <xdr:from>
      <xdr:col>2</xdr:col>
      <xdr:colOff>846663</xdr:colOff>
      <xdr:row>1</xdr:row>
      <xdr:rowOff>0</xdr:rowOff>
    </xdr:from>
    <xdr:to>
      <xdr:col>3</xdr:col>
      <xdr:colOff>611474</xdr:colOff>
      <xdr:row>3</xdr:row>
      <xdr:rowOff>64268</xdr:rowOff>
    </xdr:to>
    <xdr:pic>
      <xdr:nvPicPr>
        <xdr:cNvPr id="3" name="Graphic 267">
          <a:extLst>
            <a:ext uri="{FF2B5EF4-FFF2-40B4-BE49-F238E27FC236}">
              <a16:creationId xmlns:a16="http://schemas.microsoft.com/office/drawing/2014/main" id="{BAC64719-B5F0-4043-98C9-AA9ABD013E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549" y="130629"/>
          <a:ext cx="700982" cy="3908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BSTestesBail-In/Shared%20Documents/Geral/02.%20Valida&#231;&#245;es/02.%20Fase%202%20-%20Tabelas%20de%20Output/02.%20Excel%20de%20Testes/Certifica&#231;&#227;o%20Bail-In%20-%20Caderno%20de%20testes%20v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sheetName val="ID1&amp;5"/>
      <sheetName val="1. Status"/>
      <sheetName val="ID6&amp;7"/>
      <sheetName val="ID8&amp;9"/>
    </sheetNames>
    <sheetDataSet>
      <sheetData sheetId="0">
        <row r="6">
          <cell r="B6" t="str">
            <v>Auxiliar</v>
          </cell>
        </row>
        <row r="8">
          <cell r="B8" t="str">
            <v>TIPOLOGIA_TESTE</v>
          </cell>
          <cell r="C8" t="str">
            <v>COERÊNCIA</v>
          </cell>
          <cell r="E8" t="str">
            <v>TIPOLOGIA_TESTE</v>
          </cell>
          <cell r="F8" t="str">
            <v>VALIDADE</v>
          </cell>
          <cell r="H8" t="str">
            <v>TIPOLOGIA_TESTE</v>
          </cell>
          <cell r="I8" t="str">
            <v>CARACTERES ESPECIAIS</v>
          </cell>
          <cell r="K8" t="str">
            <v>TIPOLOGIA_TESTE</v>
          </cell>
          <cell r="L8" t="str">
            <v>MISSINGS</v>
          </cell>
          <cell r="N8" t="str">
            <v>TIPOLOGIA_TESTE</v>
          </cell>
          <cell r="O8" t="str">
            <v>NOT APPLICABLE</v>
          </cell>
          <cell r="Q8" t="str">
            <v>Row Labels</v>
          </cell>
          <cell r="R8" t="str">
            <v>Max of ID_EXEC</v>
          </cell>
        </row>
        <row r="9">
          <cell r="Q9" t="str">
            <v>(blank)</v>
          </cell>
        </row>
        <row r="10">
          <cell r="B10" t="str">
            <v>Row Labels</v>
          </cell>
          <cell r="C10" t="str">
            <v>Max of ID_EXEC</v>
          </cell>
          <cell r="E10" t="str">
            <v>Row Labels</v>
          </cell>
          <cell r="F10" t="str">
            <v>Max of ID_EXEC</v>
          </cell>
          <cell r="H10" t="str">
            <v>Row Labels</v>
          </cell>
          <cell r="I10" t="str">
            <v>Max of ID_EXEC</v>
          </cell>
          <cell r="K10" t="str">
            <v>Row Labels</v>
          </cell>
          <cell r="L10" t="str">
            <v>Max of ID_EXEC</v>
          </cell>
          <cell r="N10" t="str">
            <v>Row Labels</v>
          </cell>
          <cell r="O10" t="str">
            <v>Max of ID_EXEC</v>
          </cell>
          <cell r="Q10" t="str">
            <v>B02.000010_ROW_NMBR</v>
          </cell>
          <cell r="R10">
            <v>2</v>
          </cell>
        </row>
        <row r="11">
          <cell r="B11" t="str">
            <v>B02.000010_ROW_NMBR</v>
          </cell>
          <cell r="C11">
            <v>2</v>
          </cell>
          <cell r="E11" t="str">
            <v>B02.000010_ROW_NMBR</v>
          </cell>
          <cell r="F11">
            <v>2</v>
          </cell>
          <cell r="H11" t="str">
            <v>B02.000010_ROW_NMBR</v>
          </cell>
          <cell r="I11">
            <v>2</v>
          </cell>
          <cell r="K11" t="str">
            <v>B02.000010_ROW_NMBR</v>
          </cell>
          <cell r="L11">
            <v>2</v>
          </cell>
          <cell r="N11" t="str">
            <v>B02.000010_ROW_NMBR</v>
          </cell>
          <cell r="O11">
            <v>2</v>
          </cell>
          <cell r="Q11" t="str">
            <v>B02.000020_UNIQ_ID</v>
          </cell>
          <cell r="R11">
            <v>2</v>
          </cell>
        </row>
        <row r="12">
          <cell r="B12" t="str">
            <v>B02.000020_UNIQ_ID</v>
          </cell>
          <cell r="C12">
            <v>2</v>
          </cell>
          <cell r="E12" t="str">
            <v>B02.000020_UNIQ_ID</v>
          </cell>
          <cell r="F12">
            <v>2</v>
          </cell>
          <cell r="H12" t="str">
            <v>B02.000020_UNIQ_ID</v>
          </cell>
          <cell r="I12">
            <v>2</v>
          </cell>
          <cell r="K12" t="str">
            <v>B02.000020_UNIQ_ID</v>
          </cell>
          <cell r="L12">
            <v>2</v>
          </cell>
          <cell r="N12" t="str">
            <v>B02.000020_UNIQ_ID</v>
          </cell>
          <cell r="O12">
            <v>2</v>
          </cell>
          <cell r="Q12" t="str">
            <v>B02.000030_UNIQ_ID_KNWN_CNTRPRTY</v>
          </cell>
          <cell r="R12">
            <v>2</v>
          </cell>
        </row>
        <row r="13">
          <cell r="B13" t="str">
            <v>B02.000030_UNIQ_ID_KNWN_CNTRPRTY</v>
          </cell>
          <cell r="C13">
            <v>2</v>
          </cell>
          <cell r="E13" t="str">
            <v>B02.000030_UNIQ_ID_KNWN_CNTRPRTY</v>
          </cell>
          <cell r="F13">
            <v>2</v>
          </cell>
          <cell r="H13" t="str">
            <v>B02.000030_UNIQ_ID_KNWN_CNTRPRTY</v>
          </cell>
          <cell r="I13">
            <v>2</v>
          </cell>
          <cell r="K13" t="str">
            <v>B02.000030_UNIQ_ID_KNWN_CNTRPRTY</v>
          </cell>
          <cell r="L13">
            <v>2</v>
          </cell>
          <cell r="N13" t="str">
            <v>B02.000030_UNIQ_ID_KNWN_CNTRPRTY</v>
          </cell>
          <cell r="O13">
            <v>2</v>
          </cell>
          <cell r="Q13" t="str">
            <v>B02.000040_TYP_UNIQ_ID_KNWN_CNTRPRTY</v>
          </cell>
          <cell r="R13">
            <v>2</v>
          </cell>
        </row>
        <row r="14">
          <cell r="B14" t="str">
            <v>B02.000040_TYP_UNIQ_ID_KNWN_CNTRPRTY</v>
          </cell>
          <cell r="C14">
            <v>2</v>
          </cell>
          <cell r="E14" t="str">
            <v>B02.000040_TYP_UNIQ_ID_KNWN_CNTRPRTY</v>
          </cell>
          <cell r="F14">
            <v>2</v>
          </cell>
          <cell r="H14" t="str">
            <v>B02.000040_TYP_UNIQ_ID_KNWN_CNTRPRTY</v>
          </cell>
          <cell r="I14">
            <v>2</v>
          </cell>
          <cell r="K14" t="str">
            <v>B02.000040_TYP_UNIQ_ID_KNWN_CNTRPRTY</v>
          </cell>
          <cell r="L14">
            <v>2</v>
          </cell>
          <cell r="N14" t="str">
            <v>B02.000040_TYP_UNIQ_ID_KNWN_CNTRPRTY</v>
          </cell>
          <cell r="O14">
            <v>2</v>
          </cell>
          <cell r="Q14" t="str">
            <v>B02.000050_ORGNL_AMNT_EUR</v>
          </cell>
          <cell r="R14">
            <v>2</v>
          </cell>
        </row>
        <row r="15">
          <cell r="B15" t="str">
            <v>B02.000050_ORGNL_AMNT_EUR</v>
          </cell>
          <cell r="C15">
            <v>2</v>
          </cell>
          <cell r="E15" t="str">
            <v>B02.000050_ORGNL_AMNT_EUR</v>
          </cell>
          <cell r="F15">
            <v>2</v>
          </cell>
          <cell r="H15" t="str">
            <v>B02.000050_ORGNL_AMNT_EUR</v>
          </cell>
          <cell r="I15">
            <v>2</v>
          </cell>
          <cell r="K15" t="str">
            <v>B02.000050_ORGNL_AMNT_EUR</v>
          </cell>
          <cell r="L15">
            <v>2</v>
          </cell>
          <cell r="N15" t="str">
            <v>B02.000050_ORGNL_AMNT_EUR</v>
          </cell>
          <cell r="O15">
            <v>2</v>
          </cell>
          <cell r="Q15" t="str">
            <v>B02.000060_ORGNL_AMNT_FX</v>
          </cell>
          <cell r="R15">
            <v>2</v>
          </cell>
        </row>
        <row r="16">
          <cell r="B16" t="str">
            <v>B02.000060_ORGNL_AMNT_FX</v>
          </cell>
          <cell r="C16">
            <v>2</v>
          </cell>
          <cell r="E16" t="str">
            <v>B02.000060_ORGNL_AMNT_FX</v>
          </cell>
          <cell r="F16">
            <v>2</v>
          </cell>
          <cell r="H16" t="str">
            <v>B02.000060_ORGNL_AMNT_FX</v>
          </cell>
          <cell r="I16">
            <v>2</v>
          </cell>
          <cell r="K16" t="str">
            <v>B02.000060_ORGNL_AMNT_FX</v>
          </cell>
          <cell r="L16">
            <v>2</v>
          </cell>
          <cell r="N16" t="str">
            <v>B02.000060_ORGNL_AMNT_FX</v>
          </cell>
          <cell r="O16">
            <v>2</v>
          </cell>
          <cell r="Q16" t="str">
            <v>B02.000070_CNTRCT_CRRNCY</v>
          </cell>
          <cell r="R16">
            <v>2</v>
          </cell>
        </row>
        <row r="17">
          <cell r="B17" t="str">
            <v>B02.000070_CNTRCT_CRRNCY</v>
          </cell>
          <cell r="C17">
            <v>2</v>
          </cell>
          <cell r="E17" t="str">
            <v>B02.000070_CNTRCT_CRRNCY</v>
          </cell>
          <cell r="F17">
            <v>2</v>
          </cell>
          <cell r="H17" t="str">
            <v>B02.000070_CNTRCT_CRRNCY</v>
          </cell>
          <cell r="I17">
            <v>2</v>
          </cell>
          <cell r="K17" t="str">
            <v>B02.000070_CNTRCT_CRRNCY</v>
          </cell>
          <cell r="L17">
            <v>2</v>
          </cell>
          <cell r="N17" t="str">
            <v>B02.000070_CNTRCT_CRRNCY</v>
          </cell>
          <cell r="O17">
            <v>2</v>
          </cell>
          <cell r="Q17" t="str">
            <v>B02.000080_OTSTNDNG_PRNCPL_AMNT</v>
          </cell>
          <cell r="R17">
            <v>2</v>
          </cell>
        </row>
        <row r="18">
          <cell r="B18" t="str">
            <v>B02.000080_OTSTNDNG_PRNCPL_AMNT</v>
          </cell>
          <cell r="C18">
            <v>2</v>
          </cell>
          <cell r="E18" t="str">
            <v>B02.000080_OTSTNDNG_PRNCPL_AMNT</v>
          </cell>
          <cell r="F18">
            <v>2</v>
          </cell>
          <cell r="H18" t="str">
            <v>B02.000080_OTSTNDNG_PRNCPL_AMNT</v>
          </cell>
          <cell r="I18">
            <v>2</v>
          </cell>
          <cell r="K18" t="str">
            <v>B02.000080_OTSTNDNG_PRNCPL_AMNT</v>
          </cell>
          <cell r="L18">
            <v>2</v>
          </cell>
          <cell r="N18" t="str">
            <v>B02.000080_OTSTNDNG_PRNCPL_AMNT</v>
          </cell>
          <cell r="O18">
            <v>2</v>
          </cell>
          <cell r="Q18" t="str">
            <v>B02.000090_PRTN_AMNT_RPRTNG_ENTTY</v>
          </cell>
          <cell r="R18">
            <v>2</v>
          </cell>
        </row>
        <row r="19">
          <cell r="B19" t="str">
            <v>B02.000090_PRTN_AMNT_RPRTNG_ENTTY</v>
          </cell>
          <cell r="C19">
            <v>2</v>
          </cell>
          <cell r="E19" t="str">
            <v>B02.000090_PRTN_AMNT_RPRTNG_ENTTY</v>
          </cell>
          <cell r="F19">
            <v>2</v>
          </cell>
          <cell r="H19" t="str">
            <v>B02.000090_PRTN_AMNT_RPRTNG_ENTTY</v>
          </cell>
          <cell r="I19">
            <v>2</v>
          </cell>
          <cell r="K19" t="str">
            <v>B02.000090_PRTN_AMNT_RPRTNG_ENTTY</v>
          </cell>
          <cell r="L19">
            <v>2</v>
          </cell>
          <cell r="N19" t="str">
            <v>B02.000090_PRTN_AMNT_RPRTNG_ENTTY</v>
          </cell>
          <cell r="O19">
            <v>2</v>
          </cell>
          <cell r="Q19" t="str">
            <v>B02.000100_ACCRD_INTRST_INSTRMNT</v>
          </cell>
          <cell r="R19">
            <v>2</v>
          </cell>
        </row>
        <row r="20">
          <cell r="B20" t="str">
            <v>B02.000100_ACCRD_INTRST_INSTRMNT</v>
          </cell>
          <cell r="C20">
            <v>2</v>
          </cell>
          <cell r="E20" t="str">
            <v>B02.000100_ACCRD_INTRST_INSTRMNT</v>
          </cell>
          <cell r="F20">
            <v>2</v>
          </cell>
          <cell r="H20" t="str">
            <v>B02.000100_ACCRD_INTRST_INSTRMNT</v>
          </cell>
          <cell r="I20">
            <v>2</v>
          </cell>
          <cell r="K20" t="str">
            <v>B02.000100_ACCRD_INTRST_INSTRMNT</v>
          </cell>
          <cell r="L20">
            <v>2</v>
          </cell>
          <cell r="N20" t="str">
            <v>B02.000100_ACCRD_INTRST_INSTRMNT</v>
          </cell>
          <cell r="O20">
            <v>2</v>
          </cell>
          <cell r="Q20" t="str">
            <v>B02.000110_APPLCBL_FEES_CHARGES</v>
          </cell>
          <cell r="R20">
            <v>2</v>
          </cell>
        </row>
        <row r="21">
          <cell r="B21" t="str">
            <v>B02.000110_APPLCBL_FEES_CHARGES</v>
          </cell>
          <cell r="C21">
            <v>2</v>
          </cell>
          <cell r="E21" t="str">
            <v>B02.000110_APPLCBL_FEES_CHARGES</v>
          </cell>
          <cell r="F21">
            <v>2</v>
          </cell>
          <cell r="H21" t="str">
            <v>B02.000110_APPLCBL_FEES_CHARGES</v>
          </cell>
          <cell r="I21">
            <v>2</v>
          </cell>
          <cell r="K21" t="str">
            <v>B02.000110_APPLCBL_FEES_CHARGES</v>
          </cell>
          <cell r="L21">
            <v>2</v>
          </cell>
          <cell r="N21" t="str">
            <v>B02.000110_APPLCBL_FEES_CHARGES</v>
          </cell>
          <cell r="O21">
            <v>2</v>
          </cell>
          <cell r="Q21" t="str">
            <v>B02.000120_OTSTNDNG_AMNT</v>
          </cell>
          <cell r="R21">
            <v>2</v>
          </cell>
        </row>
        <row r="22">
          <cell r="B22" t="str">
            <v>B02.000120_OTSTNDNG_AMNT</v>
          </cell>
          <cell r="C22">
            <v>2</v>
          </cell>
          <cell r="E22" t="str">
            <v>B02.000120_OTSTNDNG_AMNT</v>
          </cell>
          <cell r="F22">
            <v>2</v>
          </cell>
          <cell r="H22" t="str">
            <v>B02.000120_OTSTNDNG_AMNT</v>
          </cell>
          <cell r="I22">
            <v>2</v>
          </cell>
          <cell r="K22" t="str">
            <v>B02.000120_OTSTNDNG_AMNT</v>
          </cell>
          <cell r="L22">
            <v>2</v>
          </cell>
          <cell r="N22" t="str">
            <v>B02.000120_OTSTNDNG_AMNT</v>
          </cell>
          <cell r="O22">
            <v>2</v>
          </cell>
          <cell r="Q22" t="str">
            <v>B02.000130_RLVNT_AMNT_WDC</v>
          </cell>
          <cell r="R22">
            <v>2</v>
          </cell>
        </row>
        <row r="23">
          <cell r="B23" t="str">
            <v>B02.000130_RLVNT_AMNT_WDC</v>
          </cell>
          <cell r="C23">
            <v>2</v>
          </cell>
          <cell r="E23" t="str">
            <v>B02.000130_RLVNT_AMNT_WDC</v>
          </cell>
          <cell r="F23">
            <v>2</v>
          </cell>
          <cell r="H23" t="str">
            <v>B02.000130_RLVNT_AMNT_WDC</v>
          </cell>
          <cell r="I23">
            <v>2</v>
          </cell>
          <cell r="K23" t="str">
            <v>B02.000130_RLVNT_AMNT_WDC</v>
          </cell>
          <cell r="L23">
            <v>2</v>
          </cell>
          <cell r="N23" t="str">
            <v>B02.000130_RLVNT_AMNT_WDC</v>
          </cell>
          <cell r="O23">
            <v>2</v>
          </cell>
          <cell r="Q23" t="str">
            <v>B02.000140_NTR_LBLTY</v>
          </cell>
          <cell r="R23">
            <v>2</v>
          </cell>
        </row>
        <row r="24">
          <cell r="B24" t="str">
            <v>B02.000140_NTR_LBLTY</v>
          </cell>
          <cell r="C24">
            <v>2</v>
          </cell>
          <cell r="E24" t="str">
            <v>B02.000140_NTR_LBLTY</v>
          </cell>
          <cell r="F24">
            <v>2</v>
          </cell>
          <cell r="H24" t="str">
            <v>B02.000140_NTR_LBLTY</v>
          </cell>
          <cell r="I24">
            <v>2</v>
          </cell>
          <cell r="K24" t="str">
            <v>B02.000140_NTR_LBLTY</v>
          </cell>
          <cell r="L24">
            <v>2</v>
          </cell>
          <cell r="N24" t="str">
            <v>B02.000140_NTR_LBLTY</v>
          </cell>
          <cell r="O24">
            <v>2</v>
          </cell>
          <cell r="Q24" t="str">
            <v>B02.000141_NTR_LBLTY_OTHR</v>
          </cell>
          <cell r="R24">
            <v>2</v>
          </cell>
        </row>
        <row r="25">
          <cell r="B25" t="str">
            <v>B02.000141_NTR_LBLTY_OTHR</v>
          </cell>
          <cell r="C25">
            <v>2</v>
          </cell>
          <cell r="E25" t="str">
            <v>B02.000141_NTR_LBLTY_OTHR</v>
          </cell>
          <cell r="F25">
            <v>2</v>
          </cell>
          <cell r="H25" t="str">
            <v>B02.000141_NTR_LBLTY_OTHR</v>
          </cell>
          <cell r="I25">
            <v>2</v>
          </cell>
          <cell r="K25" t="str">
            <v>B02.000141_NTR_LBLTY_OTHR</v>
          </cell>
          <cell r="L25">
            <v>2</v>
          </cell>
          <cell r="N25" t="str">
            <v>B02.000141_NTR_LBLTY_OTHR</v>
          </cell>
          <cell r="O25">
            <v>2</v>
          </cell>
          <cell r="Q25" t="str">
            <v>B02.000150_FLG_STRCTRLLY_SBRDNTD</v>
          </cell>
          <cell r="R25">
            <v>2</v>
          </cell>
        </row>
        <row r="26">
          <cell r="B26" t="str">
            <v>B02.000150_FLG_STRCTRLLY_SBRDNTD</v>
          </cell>
          <cell r="C26">
            <v>2</v>
          </cell>
          <cell r="E26" t="str">
            <v>B02.000150_FLG_STRCTRLLY_SBRDNTD</v>
          </cell>
          <cell r="F26">
            <v>2</v>
          </cell>
          <cell r="H26" t="str">
            <v>B02.000150_FLG_STRCTRLLY_SBRDNTD</v>
          </cell>
          <cell r="I26">
            <v>2</v>
          </cell>
          <cell r="K26" t="str">
            <v>B02.000150_FLG_STRCTRLLY_SBRDNTD</v>
          </cell>
          <cell r="L26">
            <v>2</v>
          </cell>
          <cell r="N26" t="str">
            <v>B02.000150_FLG_STRCTRLLY_SBRDNTD</v>
          </cell>
          <cell r="O26">
            <v>2</v>
          </cell>
          <cell r="Q26" t="str">
            <v>B02.000160_RANK_INSOLV</v>
          </cell>
          <cell r="R26">
            <v>2</v>
          </cell>
        </row>
        <row r="27">
          <cell r="B27" t="str">
            <v>B02.000160_RANK_INSOLV</v>
          </cell>
          <cell r="C27">
            <v>2</v>
          </cell>
          <cell r="E27" t="str">
            <v>B02.000160_RANK_INSOLV</v>
          </cell>
          <cell r="F27">
            <v>2</v>
          </cell>
          <cell r="H27" t="str">
            <v>B02.000160_RANK_INSOLV</v>
          </cell>
          <cell r="I27">
            <v>2</v>
          </cell>
          <cell r="K27" t="str">
            <v>B02.000160_RANK_INSOLV</v>
          </cell>
          <cell r="L27">
            <v>2</v>
          </cell>
          <cell r="N27" t="str">
            <v>B02.000160_RANK_INSOLV</v>
          </cell>
          <cell r="O27">
            <v>2</v>
          </cell>
          <cell r="Q27" t="str">
            <v>B02.000161_CNTRCTL_SBRDNTN</v>
          </cell>
          <cell r="R27">
            <v>2</v>
          </cell>
        </row>
        <row r="28">
          <cell r="B28" t="str">
            <v>B02.000161_CNTRCTL_SBRDNTN</v>
          </cell>
          <cell r="C28">
            <v>2</v>
          </cell>
          <cell r="E28" t="str">
            <v>B02.000161_CNTRCTL_SBRDNTN</v>
          </cell>
          <cell r="F28">
            <v>2</v>
          </cell>
          <cell r="H28" t="str">
            <v>B02.000161_CNTRCTL_SBRDNTN</v>
          </cell>
          <cell r="I28">
            <v>2</v>
          </cell>
          <cell r="K28" t="str">
            <v>B02.000161_CNTRCTL_SBRDNTN</v>
          </cell>
          <cell r="L28">
            <v>2</v>
          </cell>
          <cell r="N28" t="str">
            <v>B02.000161_CNTRCTL_SBRDNTN</v>
          </cell>
          <cell r="O28">
            <v>2</v>
          </cell>
          <cell r="Q28" t="str">
            <v>B02.000162_BAIL_IN_CASCADE</v>
          </cell>
          <cell r="R28">
            <v>2</v>
          </cell>
        </row>
        <row r="29">
          <cell r="B29" t="str">
            <v>B02.000162_BAIL_IN_CASCADE</v>
          </cell>
          <cell r="C29">
            <v>2</v>
          </cell>
          <cell r="E29" t="str">
            <v>B02.000162_BAIL_IN_CASCADE</v>
          </cell>
          <cell r="F29">
            <v>2</v>
          </cell>
          <cell r="H29" t="str">
            <v>B02.000162_BAIL_IN_CASCADE</v>
          </cell>
          <cell r="I29">
            <v>2</v>
          </cell>
          <cell r="K29" t="str">
            <v>B02.000162_BAIL_IN_CASCADE</v>
          </cell>
          <cell r="L29">
            <v>2</v>
          </cell>
          <cell r="N29" t="str">
            <v>B02.000162_BAIL_IN_CASCADE</v>
          </cell>
          <cell r="O29">
            <v>2</v>
          </cell>
          <cell r="Q29" t="str">
            <v>B02.000170_DT_INCPTN</v>
          </cell>
          <cell r="R29">
            <v>2</v>
          </cell>
        </row>
        <row r="30">
          <cell r="B30" t="str">
            <v>B02.000170_DT_INCPTN</v>
          </cell>
          <cell r="C30">
            <v>2</v>
          </cell>
          <cell r="E30" t="str">
            <v>B02.000170_DT_INCPTN</v>
          </cell>
          <cell r="F30">
            <v>2</v>
          </cell>
          <cell r="H30" t="str">
            <v>B02.000170_DT_INCPTN</v>
          </cell>
          <cell r="I30">
            <v>2</v>
          </cell>
          <cell r="K30" t="str">
            <v>B02.000170_DT_INCPTN</v>
          </cell>
          <cell r="L30">
            <v>2</v>
          </cell>
          <cell r="N30" t="str">
            <v>B02.000170_DT_INCPTN</v>
          </cell>
          <cell r="O30">
            <v>2</v>
          </cell>
          <cell r="Q30" t="str">
            <v>B02.000180_DT_NXT_INTRST_PYMNT</v>
          </cell>
          <cell r="R30">
            <v>2</v>
          </cell>
        </row>
        <row r="31">
          <cell r="B31" t="str">
            <v>B02.000180_DT_NXT_INTRST_PYMNT</v>
          </cell>
          <cell r="C31">
            <v>2</v>
          </cell>
          <cell r="E31" t="str">
            <v>B02.000180_DT_NXT_INTRST_PYMNT</v>
          </cell>
          <cell r="F31">
            <v>2</v>
          </cell>
          <cell r="H31" t="str">
            <v>B02.000180_DT_NXT_INTRST_PYMNT</v>
          </cell>
          <cell r="I31">
            <v>2</v>
          </cell>
          <cell r="K31" t="str">
            <v>B02.000180_DT_NXT_INTRST_PYMNT</v>
          </cell>
          <cell r="L31">
            <v>2</v>
          </cell>
          <cell r="N31" t="str">
            <v>B02.000180_DT_NXT_INTRST_PYMNT</v>
          </cell>
          <cell r="O31">
            <v>2</v>
          </cell>
          <cell r="Q31" t="str">
            <v>B02.000190_DT_NXT_RDMPTN_PYMNT</v>
          </cell>
          <cell r="R31">
            <v>2</v>
          </cell>
        </row>
        <row r="32">
          <cell r="B32" t="str">
            <v>B02.000190_DT_NXT_RDMPTN_PYMNT</v>
          </cell>
          <cell r="C32">
            <v>2</v>
          </cell>
          <cell r="E32" t="str">
            <v>B02.000190_DT_NXT_RDMPTN_PYMNT</v>
          </cell>
          <cell r="F32">
            <v>2</v>
          </cell>
          <cell r="H32" t="str">
            <v>B02.000190_DT_NXT_RDMPTN_PYMNT</v>
          </cell>
          <cell r="I32">
            <v>2</v>
          </cell>
          <cell r="K32" t="str">
            <v>B02.000190_DT_NXT_RDMPTN_PYMNT</v>
          </cell>
          <cell r="L32">
            <v>2</v>
          </cell>
          <cell r="N32" t="str">
            <v>B02.000190_DT_NXT_RDMPTN_PYMNT</v>
          </cell>
          <cell r="O32">
            <v>2</v>
          </cell>
          <cell r="Q32" t="str">
            <v>B02.000200_DT_ERLST_RDMPTN</v>
          </cell>
          <cell r="R32">
            <v>2</v>
          </cell>
        </row>
        <row r="33">
          <cell r="B33" t="str">
            <v>B02.000200_DT_ERLST_RDMPTN</v>
          </cell>
          <cell r="C33">
            <v>2</v>
          </cell>
          <cell r="E33" t="str">
            <v>B02.000200_DT_ERLST_RDMPTN</v>
          </cell>
          <cell r="F33">
            <v>2</v>
          </cell>
          <cell r="H33" t="str">
            <v>B02.000200_DT_ERLST_RDMPTN</v>
          </cell>
          <cell r="I33">
            <v>2</v>
          </cell>
          <cell r="K33" t="str">
            <v>B02.000200_DT_ERLST_RDMPTN</v>
          </cell>
          <cell r="L33">
            <v>2</v>
          </cell>
          <cell r="N33" t="str">
            <v>B02.000200_DT_ERLST_RDMPTN</v>
          </cell>
          <cell r="O33">
            <v>2</v>
          </cell>
          <cell r="Q33" t="str">
            <v>B02.000210_DT_LGL_FNL_MTRTY</v>
          </cell>
          <cell r="R33">
            <v>2</v>
          </cell>
        </row>
        <row r="34">
          <cell r="B34" t="str">
            <v>B02.000210_DT_LGL_FNL_MTRTY</v>
          </cell>
          <cell r="C34">
            <v>2</v>
          </cell>
          <cell r="E34" t="str">
            <v>B02.000210_DT_LGL_FNL_MTRTY</v>
          </cell>
          <cell r="F34">
            <v>2</v>
          </cell>
          <cell r="H34" t="str">
            <v>B02.000210_DT_LGL_FNL_MTRTY</v>
          </cell>
          <cell r="I34">
            <v>2</v>
          </cell>
          <cell r="K34" t="str">
            <v>B02.000210_DT_LGL_FNL_MTRTY</v>
          </cell>
          <cell r="L34">
            <v>2</v>
          </cell>
          <cell r="N34" t="str">
            <v>B02.000210_DT_LGL_FNL_MTRTY</v>
          </cell>
          <cell r="O34">
            <v>2</v>
          </cell>
          <cell r="Q34" t="str">
            <v>B02.000220_GOVERNING_LAW</v>
          </cell>
          <cell r="R34">
            <v>2</v>
          </cell>
        </row>
        <row r="35">
          <cell r="B35" t="str">
            <v>B02.000220_GOVERNING_LAW</v>
          </cell>
          <cell r="C35">
            <v>2</v>
          </cell>
          <cell r="E35" t="str">
            <v>B02.000220_GOVERNING_LAW</v>
          </cell>
          <cell r="F35">
            <v>2</v>
          </cell>
          <cell r="H35" t="str">
            <v>B02.000220_GOVERNING_LAW</v>
          </cell>
          <cell r="I35">
            <v>2</v>
          </cell>
          <cell r="K35" t="str">
            <v>B02.000220_GOVERNING_LAW</v>
          </cell>
          <cell r="L35">
            <v>2</v>
          </cell>
          <cell r="N35" t="str">
            <v>B02.000220_GOVERNING_LAW</v>
          </cell>
          <cell r="O35">
            <v>2</v>
          </cell>
          <cell r="Q35" t="str">
            <v>B02.000230_BAIL_IN_RCGNTN_CLS</v>
          </cell>
          <cell r="R35">
            <v>2</v>
          </cell>
        </row>
        <row r="36">
          <cell r="B36" t="str">
            <v>B02.000230_BAIL_IN_RCGNTN_CLS</v>
          </cell>
          <cell r="C36">
            <v>2</v>
          </cell>
          <cell r="E36" t="str">
            <v>B02.000230_BAIL_IN_RCGNTN_CLS</v>
          </cell>
          <cell r="F36">
            <v>2</v>
          </cell>
          <cell r="H36" t="str">
            <v>B02.000230_BAIL_IN_RCGNTN_CLS</v>
          </cell>
          <cell r="I36">
            <v>2</v>
          </cell>
          <cell r="K36" t="str">
            <v>B02.000230_BAIL_IN_RCGNTN_CLS</v>
          </cell>
          <cell r="L36">
            <v>2</v>
          </cell>
          <cell r="N36" t="str">
            <v>B02.000230_BAIL_IN_RCGNTN_CLS</v>
          </cell>
          <cell r="O36">
            <v>2</v>
          </cell>
          <cell r="Q36" t="str">
            <v>B02.000240_ZERO_COUPON</v>
          </cell>
          <cell r="R36">
            <v>2</v>
          </cell>
        </row>
        <row r="37">
          <cell r="B37" t="str">
            <v>B02.000240_ZERO_COUPON</v>
          </cell>
          <cell r="C37">
            <v>2</v>
          </cell>
          <cell r="E37" t="str">
            <v>B02.000240_ZERO_COUPON</v>
          </cell>
          <cell r="F37">
            <v>2</v>
          </cell>
          <cell r="H37" t="str">
            <v>B02.000240_ZERO_COUPON</v>
          </cell>
          <cell r="I37">
            <v>2</v>
          </cell>
          <cell r="K37" t="str">
            <v>B02.000240_ZERO_COUPON</v>
          </cell>
          <cell r="L37">
            <v>2</v>
          </cell>
          <cell r="N37" t="str">
            <v>B02.000240_ZERO_COUPON</v>
          </cell>
          <cell r="O37">
            <v>2</v>
          </cell>
          <cell r="Q37" t="str">
            <v>B02.000250_STRCTRD_PRDCT</v>
          </cell>
          <cell r="R37">
            <v>2</v>
          </cell>
        </row>
        <row r="38">
          <cell r="B38" t="str">
            <v>B02.000250_STRCTRD_PRDCT</v>
          </cell>
          <cell r="C38">
            <v>2</v>
          </cell>
          <cell r="E38" t="str">
            <v>B02.000250_STRCTRD_PRDCT</v>
          </cell>
          <cell r="F38">
            <v>2</v>
          </cell>
          <cell r="H38" t="str">
            <v>B02.000250_STRCTRD_PRDCT</v>
          </cell>
          <cell r="I38">
            <v>2</v>
          </cell>
          <cell r="K38" t="str">
            <v>B02.000250_STRCTRD_PRDCT</v>
          </cell>
          <cell r="L38">
            <v>2</v>
          </cell>
          <cell r="N38" t="str">
            <v>B02.000250_STRCTRD_PRDCT</v>
          </cell>
          <cell r="O38">
            <v>2</v>
          </cell>
          <cell r="Q38" t="str">
            <v>B02.000260_GRNTD_MIN_AMNT_STRCTRD_PRDCT</v>
          </cell>
          <cell r="R38">
            <v>2</v>
          </cell>
        </row>
        <row r="39">
          <cell r="B39" t="str">
            <v>B02.000260_GRNTD_MIN_AMNT_STRCTRD_PRDCT</v>
          </cell>
          <cell r="C39">
            <v>2</v>
          </cell>
          <cell r="E39" t="str">
            <v>B02.000260_GRNTD_MIN_AMNT_STRCTRD_PRDCT</v>
          </cell>
          <cell r="F39">
            <v>2</v>
          </cell>
          <cell r="H39" t="str">
            <v>B02.000260_GRNTD_MIN_AMNT_STRCTRD_PRDCT</v>
          </cell>
          <cell r="I39">
            <v>2</v>
          </cell>
          <cell r="K39" t="str">
            <v>B02.000260_GRNTD_MIN_AMNT_STRCTRD_PRDCT</v>
          </cell>
          <cell r="L39">
            <v>2</v>
          </cell>
          <cell r="N39" t="str">
            <v>B02.000260_GRNTD_MIN_AMNT_STRCTRD_PRDCT</v>
          </cell>
          <cell r="O39">
            <v>2</v>
          </cell>
          <cell r="Q39" t="str">
            <v>B02.000270_FV_AMNT_STRCTRD_PRDCT</v>
          </cell>
          <cell r="R39">
            <v>2</v>
          </cell>
        </row>
        <row r="40">
          <cell r="B40" t="str">
            <v>B02.000270_FV_AMNT_STRCTRD_PRDCT</v>
          </cell>
          <cell r="C40">
            <v>2</v>
          </cell>
          <cell r="E40" t="str">
            <v>B02.000270_FV_AMNT_STRCTRD_PRDCT</v>
          </cell>
          <cell r="F40">
            <v>2</v>
          </cell>
          <cell r="H40" t="str">
            <v>B02.000270_FV_AMNT_STRCTRD_PRDCT</v>
          </cell>
          <cell r="I40">
            <v>2</v>
          </cell>
          <cell r="K40" t="str">
            <v>B02.000270_FV_AMNT_STRCTRD_PRDCT</v>
          </cell>
          <cell r="L40">
            <v>2</v>
          </cell>
          <cell r="N40" t="str">
            <v>B02.000270_FV_AMNT_STRCTRD_PRDCT</v>
          </cell>
          <cell r="O40">
            <v>2</v>
          </cell>
          <cell r="Q40" t="str">
            <v>B02.000280_FLG_NCNP_DPSTS</v>
          </cell>
          <cell r="R40">
            <v>2</v>
          </cell>
        </row>
        <row r="41">
          <cell r="B41" t="str">
            <v>B02.000280_FLG_NCNP_DPSTS</v>
          </cell>
          <cell r="C41">
            <v>2</v>
          </cell>
          <cell r="E41" t="str">
            <v>B02.000280_FLG_NCNP_DPSTS</v>
          </cell>
          <cell r="F41">
            <v>2</v>
          </cell>
          <cell r="H41" t="str">
            <v>B02.000280_FLG_NCNP_DPSTS</v>
          </cell>
          <cell r="I41">
            <v>2</v>
          </cell>
          <cell r="K41" t="str">
            <v>B02.000280_FLG_NCNP_DPSTS</v>
          </cell>
          <cell r="L41">
            <v>2</v>
          </cell>
          <cell r="N41" t="str">
            <v>B02.000280_FLG_NCNP_DPSTS</v>
          </cell>
          <cell r="O41">
            <v>2</v>
          </cell>
          <cell r="Q41" t="str">
            <v>B02.000290_FLG_NCBP_DPSTS</v>
          </cell>
          <cell r="R41">
            <v>2</v>
          </cell>
        </row>
        <row r="42">
          <cell r="B42" t="str">
            <v>B02.000290_FLG_NCBP_DPSTS</v>
          </cell>
          <cell r="C42">
            <v>2</v>
          </cell>
          <cell r="E42" t="str">
            <v>B02.000290_FLG_NCBP_DPSTS</v>
          </cell>
          <cell r="F42">
            <v>2</v>
          </cell>
          <cell r="H42" t="str">
            <v>B02.000290_FLG_NCBP_DPSTS</v>
          </cell>
          <cell r="I42">
            <v>2</v>
          </cell>
          <cell r="K42" t="str">
            <v>B02.000290_FLG_NCBP_DPSTS</v>
          </cell>
          <cell r="L42">
            <v>2</v>
          </cell>
          <cell r="N42" t="str">
            <v>B02.000290_FLG_NCBP_DPSTS</v>
          </cell>
          <cell r="O42">
            <v>2</v>
          </cell>
          <cell r="Q42" t="str">
            <v>B02.000300_AMNT_CVRD_ELGBL_DPSTS</v>
          </cell>
          <cell r="R42">
            <v>2</v>
          </cell>
        </row>
        <row r="43">
          <cell r="B43" t="str">
            <v>B02.000300_AMNT_CVRD_ELGBL_DPSTS</v>
          </cell>
          <cell r="C43">
            <v>2</v>
          </cell>
          <cell r="E43" t="str">
            <v>B02.000300_AMNT_CVRD_ELGBL_DPSTS</v>
          </cell>
          <cell r="F43">
            <v>2</v>
          </cell>
          <cell r="H43" t="str">
            <v>B02.000300_AMNT_CVRD_ELGBL_DPSTS</v>
          </cell>
          <cell r="I43">
            <v>2</v>
          </cell>
          <cell r="K43" t="str">
            <v>B02.000300_AMNT_CVRD_ELGBL_DPSTS</v>
          </cell>
          <cell r="L43">
            <v>2</v>
          </cell>
          <cell r="N43" t="str">
            <v>B02.000300_AMNT_CVRD_ELGBL_DPSTS</v>
          </cell>
          <cell r="O43">
            <v>2</v>
          </cell>
          <cell r="Q43" t="str">
            <v xml:space="preserve">B02.000310_FLG_CLLTRL_AGRMNTS </v>
          </cell>
          <cell r="R43">
            <v>2</v>
          </cell>
        </row>
        <row r="44">
          <cell r="B44" t="str">
            <v xml:space="preserve">B02.000310_FLG_CLLTRL_AGRMNTS </v>
          </cell>
          <cell r="C44">
            <v>2</v>
          </cell>
          <cell r="E44" t="str">
            <v xml:space="preserve">B02.000310_FLG_CLLTRL_AGRMNTS </v>
          </cell>
          <cell r="F44">
            <v>2</v>
          </cell>
          <cell r="H44" t="str">
            <v xml:space="preserve">B02.000310_FLG_CLLTRL_AGRMNTS </v>
          </cell>
          <cell r="I44">
            <v>2</v>
          </cell>
          <cell r="K44" t="str">
            <v xml:space="preserve">B02.000310_FLG_CLLTRL_AGRMNTS </v>
          </cell>
          <cell r="L44">
            <v>2</v>
          </cell>
          <cell r="N44" t="str">
            <v xml:space="preserve">B02.000310_FLG_CLLTRL_AGRMNTS </v>
          </cell>
          <cell r="O44">
            <v>2</v>
          </cell>
          <cell r="Q44" t="str">
            <v>B02.000320_AMNT_CLLTRL</v>
          </cell>
          <cell r="R44">
            <v>2</v>
          </cell>
        </row>
        <row r="45">
          <cell r="B45" t="str">
            <v>B02.000320_AMNT_CLLTRL</v>
          </cell>
          <cell r="C45">
            <v>2</v>
          </cell>
          <cell r="E45" t="str">
            <v>B02.000320_AMNT_CLLTRL</v>
          </cell>
          <cell r="F45">
            <v>2</v>
          </cell>
          <cell r="H45" t="str">
            <v>B02.000320_AMNT_CLLTRL</v>
          </cell>
          <cell r="I45">
            <v>2</v>
          </cell>
          <cell r="K45" t="str">
            <v>B02.000320_AMNT_CLLTRL</v>
          </cell>
          <cell r="L45">
            <v>2</v>
          </cell>
          <cell r="N45" t="str">
            <v>B02.000320_AMNT_CLLTRL</v>
          </cell>
          <cell r="O45">
            <v>2</v>
          </cell>
          <cell r="Q45" t="str">
            <v>B02.000330_AMNT_UNCLLTRLZD</v>
          </cell>
          <cell r="R45">
            <v>2</v>
          </cell>
        </row>
        <row r="46">
          <cell r="B46" t="str">
            <v>B02.000330_AMNT_UNCLLTRLZD</v>
          </cell>
          <cell r="C46">
            <v>2</v>
          </cell>
          <cell r="E46" t="str">
            <v>B02.000330_AMNT_UNCLLTRLZD</v>
          </cell>
          <cell r="F46">
            <v>2</v>
          </cell>
          <cell r="H46" t="str">
            <v>B02.000330_AMNT_UNCLLTRLZD</v>
          </cell>
          <cell r="I46">
            <v>2</v>
          </cell>
          <cell r="K46" t="str">
            <v>B02.000330_AMNT_UNCLLTRLZD</v>
          </cell>
          <cell r="L46">
            <v>2</v>
          </cell>
          <cell r="N46" t="str">
            <v>B02.000330_AMNT_UNCLLTRLZD</v>
          </cell>
          <cell r="O46">
            <v>2</v>
          </cell>
          <cell r="Q46" t="str">
            <v>B02.000340_ID_CLLTRL</v>
          </cell>
          <cell r="R46">
            <v>2</v>
          </cell>
        </row>
        <row r="47">
          <cell r="B47" t="str">
            <v>B02.000340_ID_CLLTRL</v>
          </cell>
          <cell r="C47">
            <v>2</v>
          </cell>
          <cell r="E47" t="str">
            <v>B02.000340_ID_CLLTRL</v>
          </cell>
          <cell r="F47">
            <v>2</v>
          </cell>
          <cell r="H47" t="str">
            <v>B02.000340_ID_CLLTRL</v>
          </cell>
          <cell r="I47">
            <v>2</v>
          </cell>
          <cell r="K47" t="str">
            <v>B02.000340_ID_CLLTRL</v>
          </cell>
          <cell r="L47">
            <v>2</v>
          </cell>
          <cell r="N47" t="str">
            <v>B02.000340_ID_CLLTRL</v>
          </cell>
          <cell r="O47">
            <v>2</v>
          </cell>
          <cell r="Q47" t="str">
            <v>B02.000350_TYP_CLLTRL</v>
          </cell>
          <cell r="R47">
            <v>2</v>
          </cell>
        </row>
        <row r="48">
          <cell r="B48" t="str">
            <v>B02.000350_TYP_CLLTRL</v>
          </cell>
          <cell r="C48">
            <v>2</v>
          </cell>
          <cell r="E48" t="str">
            <v>B02.000350_TYP_CLLTRL</v>
          </cell>
          <cell r="F48">
            <v>2</v>
          </cell>
          <cell r="H48" t="str">
            <v>B02.000350_TYP_CLLTRL</v>
          </cell>
          <cell r="I48">
            <v>2</v>
          </cell>
          <cell r="K48" t="str">
            <v>B02.000350_TYP_CLLTRL</v>
          </cell>
          <cell r="L48">
            <v>2</v>
          </cell>
          <cell r="N48" t="str">
            <v>B02.000350_TYP_CLLTRL</v>
          </cell>
          <cell r="O48">
            <v>2</v>
          </cell>
          <cell r="Q48" t="str">
            <v>B02.000351_TYP_CLLTRL_OTHR</v>
          </cell>
          <cell r="R48">
            <v>2</v>
          </cell>
        </row>
        <row r="49">
          <cell r="B49" t="str">
            <v>B02.000351_TYP_CLLTRL_OTHR</v>
          </cell>
          <cell r="C49">
            <v>2</v>
          </cell>
          <cell r="E49" t="str">
            <v>B02.000351_TYP_CLLTRL_OTHR</v>
          </cell>
          <cell r="F49">
            <v>2</v>
          </cell>
          <cell r="H49" t="str">
            <v>B02.000351_TYP_CLLTRL_OTHR</v>
          </cell>
          <cell r="I49">
            <v>2</v>
          </cell>
          <cell r="K49" t="str">
            <v>B02.000351_TYP_CLLTRL_OTHR</v>
          </cell>
          <cell r="L49">
            <v>2</v>
          </cell>
          <cell r="N49" t="str">
            <v>B02.000351_TYP_CLLTRL_OTHR</v>
          </cell>
          <cell r="O49">
            <v>2</v>
          </cell>
          <cell r="Q49" t="str">
            <v>B02.000360_TRDNG_MTHD</v>
          </cell>
          <cell r="R49">
            <v>2</v>
          </cell>
        </row>
        <row r="50">
          <cell r="B50" t="str">
            <v>B02.000360_TRDNG_MTHD</v>
          </cell>
          <cell r="C50">
            <v>2</v>
          </cell>
          <cell r="E50" t="str">
            <v>B02.000360_TRDNG_MTHD</v>
          </cell>
          <cell r="F50">
            <v>2</v>
          </cell>
          <cell r="H50" t="str">
            <v>B02.000360_TRDNG_MTHD</v>
          </cell>
          <cell r="I50">
            <v>2</v>
          </cell>
          <cell r="K50" t="str">
            <v>B02.000360_TRDNG_MTHD</v>
          </cell>
          <cell r="L50">
            <v>2</v>
          </cell>
          <cell r="N50" t="str">
            <v>B02.000360_TRDNG_MTHD</v>
          </cell>
          <cell r="O50">
            <v>2</v>
          </cell>
          <cell r="Q50" t="str">
            <v>B02.000370_AMNT_SCRTY_EUR</v>
          </cell>
          <cell r="R50">
            <v>2</v>
          </cell>
        </row>
        <row r="51">
          <cell r="B51" t="str">
            <v>B02.000370_AMNT_SCRTY_EUR</v>
          </cell>
          <cell r="C51">
            <v>2</v>
          </cell>
          <cell r="E51" t="str">
            <v>B02.000370_AMNT_SCRTY_EUR</v>
          </cell>
          <cell r="F51">
            <v>2</v>
          </cell>
          <cell r="H51" t="str">
            <v>B02.000370_AMNT_SCRTY_EUR</v>
          </cell>
          <cell r="I51">
            <v>2</v>
          </cell>
          <cell r="K51" t="str">
            <v>B02.000370_AMNT_SCRTY_EUR</v>
          </cell>
          <cell r="L51">
            <v>2</v>
          </cell>
          <cell r="N51" t="str">
            <v>B02.000370_AMNT_SCRTY_EUR</v>
          </cell>
          <cell r="O51">
            <v>2</v>
          </cell>
          <cell r="Q51" t="str">
            <v>B02.000380_AMNT_SCRTY_FX</v>
          </cell>
          <cell r="R51">
            <v>2</v>
          </cell>
        </row>
        <row r="52">
          <cell r="B52" t="str">
            <v>B02.000380_AMNT_SCRTY_FX</v>
          </cell>
          <cell r="C52">
            <v>2</v>
          </cell>
          <cell r="E52" t="str">
            <v>B02.000380_AMNT_SCRTY_FX</v>
          </cell>
          <cell r="F52">
            <v>2</v>
          </cell>
          <cell r="H52" t="str">
            <v>B02.000380_AMNT_SCRTY_FX</v>
          </cell>
          <cell r="I52">
            <v>2</v>
          </cell>
          <cell r="K52" t="str">
            <v>B02.000380_AMNT_SCRTY_FX</v>
          </cell>
          <cell r="L52">
            <v>2</v>
          </cell>
          <cell r="N52" t="str">
            <v>B02.000380_AMNT_SCRTY_FX</v>
          </cell>
          <cell r="O52">
            <v>2</v>
          </cell>
          <cell r="Q52" t="str">
            <v>B02.000390_NMBR_SCRTS_NOT_RPRTNG_ENTTY</v>
          </cell>
          <cell r="R52">
            <v>2</v>
          </cell>
        </row>
        <row r="53">
          <cell r="B53" t="str">
            <v>B02.000390_NMBR_SCRTS_NOT_RPRTNG_ENTTY</v>
          </cell>
          <cell r="C53">
            <v>2</v>
          </cell>
          <cell r="E53" t="str">
            <v>B02.000390_NMBR_SCRTS_NOT_RPRTNG_ENTTY</v>
          </cell>
          <cell r="F53">
            <v>2</v>
          </cell>
          <cell r="H53" t="str">
            <v>B02.000390_NMBR_SCRTS_NOT_RPRTNG_ENTTY</v>
          </cell>
          <cell r="I53">
            <v>2</v>
          </cell>
          <cell r="K53" t="str">
            <v>B02.000390_NMBR_SCRTS_NOT_RPRTNG_ENTTY</v>
          </cell>
          <cell r="L53">
            <v>2</v>
          </cell>
          <cell r="N53" t="str">
            <v>B02.000390_NMBR_SCRTS_NOT_RPRTNG_ENTTY</v>
          </cell>
          <cell r="O53">
            <v>2</v>
          </cell>
          <cell r="Q53" t="str">
            <v>B02.000391_NMBR_SCRTS_RPRTNG_ENTTY</v>
          </cell>
          <cell r="R53">
            <v>2</v>
          </cell>
        </row>
        <row r="54">
          <cell r="B54" t="str">
            <v>B02.000391_NMBR_SCRTS_RPRTNG_ENTTY</v>
          </cell>
          <cell r="C54">
            <v>2</v>
          </cell>
          <cell r="E54" t="str">
            <v>B02.000391_NMBR_SCRTS_RPRTNG_ENTTY</v>
          </cell>
          <cell r="F54">
            <v>2</v>
          </cell>
          <cell r="H54" t="str">
            <v>B02.000391_NMBR_SCRTS_RPRTNG_ENTTY</v>
          </cell>
          <cell r="I54">
            <v>2</v>
          </cell>
          <cell r="K54" t="str">
            <v>B02.000391_NMBR_SCRTS_RPRTNG_ENTTY</v>
          </cell>
          <cell r="L54">
            <v>2</v>
          </cell>
          <cell r="N54" t="str">
            <v>B02.000391_NMBR_SCRTS_RPRTNG_ENTTY</v>
          </cell>
          <cell r="O54">
            <v>2</v>
          </cell>
          <cell r="Q54" t="str">
            <v>B02.000400_ACCRD_INTRST_SCRTY</v>
          </cell>
          <cell r="R54">
            <v>2</v>
          </cell>
        </row>
        <row r="55">
          <cell r="B55" t="str">
            <v>B02.000400_ACCRD_INTRST_SCRTY</v>
          </cell>
          <cell r="C55">
            <v>2</v>
          </cell>
          <cell r="E55" t="str">
            <v>B02.000400_ACCRD_INTRST_SCRTY</v>
          </cell>
          <cell r="F55">
            <v>2</v>
          </cell>
          <cell r="H55" t="str">
            <v>B02.000400_ACCRD_INTRST_SCRTY</v>
          </cell>
          <cell r="I55">
            <v>2</v>
          </cell>
          <cell r="K55" t="str">
            <v>B02.000400_ACCRD_INTRST_SCRTY</v>
          </cell>
          <cell r="L55">
            <v>2</v>
          </cell>
          <cell r="N55" t="str">
            <v>B02.000400_ACCRD_INTRST_SCRTY</v>
          </cell>
          <cell r="O55">
            <v>2</v>
          </cell>
          <cell r="Q55" t="str">
            <v>B02.000410_FEES_CHARGES_SCRTY</v>
          </cell>
          <cell r="R55">
            <v>2</v>
          </cell>
        </row>
        <row r="56">
          <cell r="B56" t="str">
            <v>B02.000410_FEES_CHARGES_SCRTY</v>
          </cell>
          <cell r="C56">
            <v>2</v>
          </cell>
          <cell r="E56" t="str">
            <v>B02.000410_FEES_CHARGES_SCRTY</v>
          </cell>
          <cell r="F56">
            <v>2</v>
          </cell>
          <cell r="H56" t="str">
            <v>B02.000410_FEES_CHARGES_SCRTY</v>
          </cell>
          <cell r="I56">
            <v>2</v>
          </cell>
          <cell r="K56" t="str">
            <v>B02.000410_FEES_CHARGES_SCRTY</v>
          </cell>
          <cell r="L56">
            <v>2</v>
          </cell>
          <cell r="N56" t="str">
            <v>B02.000410_FEES_CHARGES_SCRTY</v>
          </cell>
          <cell r="O56">
            <v>2</v>
          </cell>
          <cell r="Q56" t="str">
            <v>B02.000420_FV_AMNT_SCRTY</v>
          </cell>
          <cell r="R56">
            <v>2</v>
          </cell>
        </row>
        <row r="57">
          <cell r="B57" t="str">
            <v>B02.000420_FV_AMNT_SCRTY</v>
          </cell>
          <cell r="C57">
            <v>2</v>
          </cell>
          <cell r="E57" t="str">
            <v>B02.000420_FV_AMNT_SCRTY</v>
          </cell>
          <cell r="F57">
            <v>2</v>
          </cell>
          <cell r="H57" t="str">
            <v>B02.000420_FV_AMNT_SCRTY</v>
          </cell>
          <cell r="I57">
            <v>2</v>
          </cell>
          <cell r="K57" t="str">
            <v>B02.000420_FV_AMNT_SCRTY</v>
          </cell>
          <cell r="L57">
            <v>2</v>
          </cell>
          <cell r="N57" t="str">
            <v>B02.000420_FV_AMNT_SCRTY</v>
          </cell>
          <cell r="O57">
            <v>2</v>
          </cell>
          <cell r="Q57" t="str">
            <v>B02.000430_PRNCPL_AMNT_GLBL_NT_EUR</v>
          </cell>
          <cell r="R57">
            <v>2</v>
          </cell>
        </row>
        <row r="58">
          <cell r="B58" t="str">
            <v>B02.000430_PRNCPL_AMNT_GLBL_NT_EUR</v>
          </cell>
          <cell r="C58">
            <v>2</v>
          </cell>
          <cell r="E58" t="str">
            <v>B02.000430_PRNCPL_AMNT_GLBL_NT_EUR</v>
          </cell>
          <cell r="F58">
            <v>2</v>
          </cell>
          <cell r="H58" t="str">
            <v>B02.000430_PRNCPL_AMNT_GLBL_NT_EUR</v>
          </cell>
          <cell r="I58">
            <v>2</v>
          </cell>
          <cell r="K58" t="str">
            <v>B02.000430_PRNCPL_AMNT_GLBL_NT_EUR</v>
          </cell>
          <cell r="L58">
            <v>2</v>
          </cell>
          <cell r="N58" t="str">
            <v>B02.000430_PRNCPL_AMNT_GLBL_NT_EUR</v>
          </cell>
          <cell r="O58">
            <v>2</v>
          </cell>
          <cell r="Q58" t="str">
            <v>B02.000431_PRNCPL_AMNT_GLBL_NT_FX</v>
          </cell>
          <cell r="R58">
            <v>2</v>
          </cell>
        </row>
        <row r="59">
          <cell r="B59" t="str">
            <v>B02.000431_PRNCPL_AMNT_GLBL_NT_FX</v>
          </cell>
          <cell r="C59">
            <v>2</v>
          </cell>
          <cell r="E59" t="str">
            <v>B02.000431_PRNCPL_AMNT_GLBL_NT_FX</v>
          </cell>
          <cell r="F59">
            <v>2</v>
          </cell>
          <cell r="H59" t="str">
            <v>B02.000431_PRNCPL_AMNT_GLBL_NT_FX</v>
          </cell>
          <cell r="I59">
            <v>2</v>
          </cell>
          <cell r="K59" t="str">
            <v>B02.000431_PRNCPL_AMNT_GLBL_NT_FX</v>
          </cell>
          <cell r="L59">
            <v>2</v>
          </cell>
          <cell r="N59" t="str">
            <v>B02.000431_PRNCPL_AMNT_GLBL_NT_FX</v>
          </cell>
          <cell r="O59">
            <v>2</v>
          </cell>
          <cell r="Q59" t="str">
            <v>B02.000440_NTR_GLBL_NT</v>
          </cell>
          <cell r="R59">
            <v>2</v>
          </cell>
        </row>
        <row r="60">
          <cell r="B60" t="str">
            <v>B02.000440_NTR_GLBL_NT</v>
          </cell>
          <cell r="C60">
            <v>2</v>
          </cell>
          <cell r="E60" t="str">
            <v>B02.000440_NTR_GLBL_NT</v>
          </cell>
          <cell r="F60">
            <v>2</v>
          </cell>
          <cell r="H60" t="str">
            <v>B02.000440_NTR_GLBL_NT</v>
          </cell>
          <cell r="I60">
            <v>2</v>
          </cell>
          <cell r="K60" t="str">
            <v>B02.000440_NTR_GLBL_NT</v>
          </cell>
          <cell r="L60">
            <v>2</v>
          </cell>
          <cell r="N60" t="str">
            <v>B02.000440_NTR_GLBL_NT</v>
          </cell>
          <cell r="O60">
            <v>2</v>
          </cell>
          <cell r="Q60" t="str">
            <v>B02.000450_CRRNT_POOL_FCTR</v>
          </cell>
          <cell r="R60">
            <v>2</v>
          </cell>
        </row>
        <row r="61">
          <cell r="B61" t="str">
            <v>B02.000450_CRRNT_POOL_FCTR</v>
          </cell>
          <cell r="C61">
            <v>2</v>
          </cell>
          <cell r="E61" t="str">
            <v>B02.000450_CRRNT_POOL_FCTR</v>
          </cell>
          <cell r="F61">
            <v>2</v>
          </cell>
          <cell r="H61" t="str">
            <v>B02.000450_CRRNT_POOL_FCTR</v>
          </cell>
          <cell r="I61">
            <v>2</v>
          </cell>
          <cell r="K61" t="str">
            <v>B02.000450_CRRNT_POOL_FCTR</v>
          </cell>
          <cell r="L61">
            <v>2</v>
          </cell>
          <cell r="N61" t="str">
            <v>B02.000450_CRRNT_POOL_FCTR</v>
          </cell>
          <cell r="O61">
            <v>2</v>
          </cell>
          <cell r="Q61" t="str">
            <v>B02.000460_CSD</v>
          </cell>
          <cell r="R61">
            <v>2</v>
          </cell>
        </row>
        <row r="62">
          <cell r="B62" t="str">
            <v>B02.000460_CSD</v>
          </cell>
          <cell r="C62">
            <v>2</v>
          </cell>
          <cell r="E62" t="str">
            <v>B02.000460_CSD</v>
          </cell>
          <cell r="F62">
            <v>2</v>
          </cell>
          <cell r="H62" t="str">
            <v>B02.000460_CSD</v>
          </cell>
          <cell r="I62">
            <v>2</v>
          </cell>
          <cell r="K62" t="str">
            <v>B02.000460_CSD</v>
          </cell>
          <cell r="L62">
            <v>2</v>
          </cell>
          <cell r="N62" t="str">
            <v>B02.000460_CSD</v>
          </cell>
          <cell r="O62">
            <v>2</v>
          </cell>
          <cell r="Q62" t="str">
            <v>B02.000461_CSD_LEI</v>
          </cell>
          <cell r="R62">
            <v>2</v>
          </cell>
        </row>
        <row r="63">
          <cell r="B63" t="str">
            <v>B02.000461_CSD_LEI</v>
          </cell>
          <cell r="C63">
            <v>2</v>
          </cell>
          <cell r="E63" t="str">
            <v>B02.000461_CSD_LEI</v>
          </cell>
          <cell r="F63">
            <v>2</v>
          </cell>
          <cell r="H63" t="str">
            <v>B02.000461_CSD_LEI</v>
          </cell>
          <cell r="I63">
            <v>2</v>
          </cell>
          <cell r="K63" t="str">
            <v>B02.000461_CSD_LEI</v>
          </cell>
          <cell r="L63">
            <v>2</v>
          </cell>
          <cell r="N63" t="str">
            <v>B02.000461_CSD_LEI</v>
          </cell>
          <cell r="O63">
            <v>2</v>
          </cell>
          <cell r="Q63" t="str">
            <v>B02.000462_CSD_OTHR</v>
          </cell>
          <cell r="R63">
            <v>2</v>
          </cell>
        </row>
        <row r="64">
          <cell r="B64" t="str">
            <v>B02.000462_CSD_OTHR</v>
          </cell>
          <cell r="C64">
            <v>2</v>
          </cell>
          <cell r="E64" t="str">
            <v>B02.000462_CSD_OTHR</v>
          </cell>
          <cell r="F64">
            <v>2</v>
          </cell>
          <cell r="H64" t="str">
            <v>B02.000462_CSD_OTHR</v>
          </cell>
          <cell r="I64">
            <v>2</v>
          </cell>
          <cell r="K64" t="str">
            <v>B02.000462_CSD_OTHR</v>
          </cell>
          <cell r="L64">
            <v>2</v>
          </cell>
          <cell r="N64" t="str">
            <v>B02.000462_CSD_OTHR</v>
          </cell>
          <cell r="O64">
            <v>2</v>
          </cell>
          <cell r="Q64" t="str">
            <v>B02.000470_PYNG_AGNT</v>
          </cell>
          <cell r="R64">
            <v>2</v>
          </cell>
        </row>
        <row r="65">
          <cell r="B65" t="str">
            <v>B02.000470_PYNG_AGNT</v>
          </cell>
          <cell r="C65">
            <v>2</v>
          </cell>
          <cell r="E65" t="str">
            <v>B02.000470_PYNG_AGNT</v>
          </cell>
          <cell r="F65">
            <v>2</v>
          </cell>
          <cell r="H65" t="str">
            <v>B02.000470_PYNG_AGNT</v>
          </cell>
          <cell r="I65">
            <v>2</v>
          </cell>
          <cell r="K65" t="str">
            <v>B02.000470_PYNG_AGNT</v>
          </cell>
          <cell r="L65">
            <v>2</v>
          </cell>
          <cell r="N65" t="str">
            <v>B02.000470_PYNG_AGNT</v>
          </cell>
          <cell r="O65">
            <v>2</v>
          </cell>
          <cell r="Q65" t="str">
            <v>B02.000471_PYNG_AGNT_LEI</v>
          </cell>
          <cell r="R65">
            <v>2</v>
          </cell>
        </row>
        <row r="66">
          <cell r="B66" t="str">
            <v>B02.000471_PYNG_AGNT_LEI</v>
          </cell>
          <cell r="C66">
            <v>2</v>
          </cell>
          <cell r="E66" t="str">
            <v>B02.000471_PYNG_AGNT_LEI</v>
          </cell>
          <cell r="F66">
            <v>2</v>
          </cell>
          <cell r="H66" t="str">
            <v>B02.000471_PYNG_AGNT_LEI</v>
          </cell>
          <cell r="I66">
            <v>2</v>
          </cell>
          <cell r="K66" t="str">
            <v>B02.000471_PYNG_AGNT_LEI</v>
          </cell>
          <cell r="L66">
            <v>2</v>
          </cell>
          <cell r="N66" t="str">
            <v>B02.000471_PYNG_AGNT_LEI</v>
          </cell>
          <cell r="O66">
            <v>2</v>
          </cell>
          <cell r="Q66" t="str">
            <v>B02.000480_TRDNG_VN</v>
          </cell>
          <cell r="R66">
            <v>2</v>
          </cell>
        </row>
        <row r="67">
          <cell r="B67" t="str">
            <v>B02.000480_TRDNG_VN</v>
          </cell>
          <cell r="C67">
            <v>2</v>
          </cell>
          <cell r="E67" t="str">
            <v>B02.000480_TRDNG_VN</v>
          </cell>
          <cell r="F67">
            <v>2</v>
          </cell>
          <cell r="H67" t="str">
            <v>B02.000480_TRDNG_VN</v>
          </cell>
          <cell r="I67">
            <v>2</v>
          </cell>
          <cell r="K67" t="str">
            <v>B02.000480_TRDNG_VN</v>
          </cell>
          <cell r="L67">
            <v>2</v>
          </cell>
          <cell r="N67" t="str">
            <v>B02.000480_TRDNG_VN</v>
          </cell>
          <cell r="O67">
            <v>2</v>
          </cell>
          <cell r="Q67" t="str">
            <v>B02.000481_TRDNG_VN_LEI</v>
          </cell>
          <cell r="R67">
            <v>2</v>
          </cell>
        </row>
        <row r="68">
          <cell r="B68" t="str">
            <v>B02.000481_TRDNG_VN_LEI</v>
          </cell>
          <cell r="C68">
            <v>2</v>
          </cell>
          <cell r="E68" t="str">
            <v>B02.000481_TRDNG_VN_LEI</v>
          </cell>
          <cell r="F68">
            <v>2</v>
          </cell>
          <cell r="H68" t="str">
            <v>B02.000481_TRDNG_VN_LEI</v>
          </cell>
          <cell r="I68">
            <v>2</v>
          </cell>
          <cell r="K68" t="str">
            <v>B02.000481_TRDNG_VN_LEI</v>
          </cell>
          <cell r="L68">
            <v>2</v>
          </cell>
          <cell r="N68" t="str">
            <v>B02.000481_TRDNG_VN_LEI</v>
          </cell>
          <cell r="O68">
            <v>2</v>
          </cell>
          <cell r="Q68" t="str">
            <v xml:space="preserve">B02.000490_RGSTRR </v>
          </cell>
          <cell r="R68">
            <v>2</v>
          </cell>
        </row>
        <row r="69">
          <cell r="B69" t="str">
            <v xml:space="preserve">B02.000490_RGSTRR </v>
          </cell>
          <cell r="C69">
            <v>2</v>
          </cell>
          <cell r="E69" t="str">
            <v xml:space="preserve">B02.000490_RGSTRR </v>
          </cell>
          <cell r="F69">
            <v>2</v>
          </cell>
          <cell r="H69" t="str">
            <v xml:space="preserve">B02.000490_RGSTRR </v>
          </cell>
          <cell r="I69">
            <v>2</v>
          </cell>
          <cell r="K69" t="str">
            <v xml:space="preserve">B02.000490_RGSTRR </v>
          </cell>
          <cell r="L69">
            <v>2</v>
          </cell>
          <cell r="N69" t="str">
            <v xml:space="preserve">B02.000490_RGSTRR </v>
          </cell>
          <cell r="O69">
            <v>2</v>
          </cell>
          <cell r="Q69" t="str">
            <v>B02.000491_RGSTRR_LEI</v>
          </cell>
          <cell r="R69">
            <v>2</v>
          </cell>
        </row>
        <row r="70">
          <cell r="B70" t="str">
            <v>B02.000491_RGSTRR_LEI</v>
          </cell>
          <cell r="C70">
            <v>2</v>
          </cell>
          <cell r="E70" t="str">
            <v>B02.000491_RGSTRR_LEI</v>
          </cell>
          <cell r="F70">
            <v>2</v>
          </cell>
          <cell r="H70" t="str">
            <v>B02.000491_RGSTRR_LEI</v>
          </cell>
          <cell r="I70">
            <v>2</v>
          </cell>
          <cell r="K70" t="str">
            <v>B02.000491_RGSTRR_LEI</v>
          </cell>
          <cell r="L70">
            <v>2</v>
          </cell>
          <cell r="N70" t="str">
            <v>B02.000491_RGSTRR_LEI</v>
          </cell>
          <cell r="O70">
            <v>2</v>
          </cell>
          <cell r="Q70" t="str">
            <v>B02.000500_NNA</v>
          </cell>
          <cell r="R70">
            <v>2</v>
          </cell>
        </row>
        <row r="71">
          <cell r="B71" t="str">
            <v>B02.000500_NNA</v>
          </cell>
          <cell r="C71">
            <v>2</v>
          </cell>
          <cell r="E71" t="str">
            <v>B02.000500_NNA</v>
          </cell>
          <cell r="F71">
            <v>2</v>
          </cell>
          <cell r="H71" t="str">
            <v>B02.000500_NNA</v>
          </cell>
          <cell r="I71">
            <v>2</v>
          </cell>
          <cell r="K71" t="str">
            <v>B02.000500_NNA</v>
          </cell>
          <cell r="L71">
            <v>2</v>
          </cell>
          <cell r="N71" t="str">
            <v>B02.000500_NNA</v>
          </cell>
          <cell r="O71">
            <v>2</v>
          </cell>
          <cell r="Q71" t="str">
            <v>B02.000501_NNA_LEI</v>
          </cell>
          <cell r="R71">
            <v>2</v>
          </cell>
        </row>
        <row r="72">
          <cell r="B72" t="str">
            <v>B02.000501_NNA_LEI</v>
          </cell>
          <cell r="C72">
            <v>2</v>
          </cell>
          <cell r="E72" t="str">
            <v>B02.000501_NNA_LEI</v>
          </cell>
          <cell r="F72">
            <v>2</v>
          </cell>
          <cell r="H72" t="str">
            <v>B02.000501_NNA_LEI</v>
          </cell>
          <cell r="I72">
            <v>2</v>
          </cell>
          <cell r="K72" t="str">
            <v>B02.000501_NNA_LEI</v>
          </cell>
          <cell r="L72">
            <v>2</v>
          </cell>
          <cell r="N72" t="str">
            <v>B02.000501_NNA_LEI</v>
          </cell>
          <cell r="O72">
            <v>2</v>
          </cell>
          <cell r="Q72" t="str">
            <v>B02.000510_CMMN_DPSTRY</v>
          </cell>
          <cell r="R72">
            <v>2</v>
          </cell>
        </row>
        <row r="73">
          <cell r="B73" t="str">
            <v>B02.000510_CMMN_DPSTRY</v>
          </cell>
          <cell r="C73">
            <v>2</v>
          </cell>
          <cell r="E73" t="str">
            <v>B02.000510_CMMN_DPSTRY</v>
          </cell>
          <cell r="F73">
            <v>2</v>
          </cell>
          <cell r="H73" t="str">
            <v>B02.000510_CMMN_DPSTRY</v>
          </cell>
          <cell r="I73">
            <v>2</v>
          </cell>
          <cell r="K73" t="str">
            <v>B02.000510_CMMN_DPSTRY</v>
          </cell>
          <cell r="L73">
            <v>2</v>
          </cell>
          <cell r="N73" t="str">
            <v>B02.000510_CMMN_DPSTRY</v>
          </cell>
          <cell r="O73">
            <v>2</v>
          </cell>
          <cell r="Q73" t="str">
            <v>B02.000511_CMMN_DPSTRY_LEI</v>
          </cell>
          <cell r="R73">
            <v>2</v>
          </cell>
        </row>
        <row r="74">
          <cell r="B74" t="str">
            <v>B02.000511_CMMN_DPSTRY_LEI</v>
          </cell>
          <cell r="C74">
            <v>2</v>
          </cell>
          <cell r="E74" t="str">
            <v>B02.000511_CMMN_DPSTRY_LEI</v>
          </cell>
          <cell r="F74">
            <v>2</v>
          </cell>
          <cell r="H74" t="str">
            <v>B02.000511_CMMN_DPSTRY_LEI</v>
          </cell>
          <cell r="I74">
            <v>2</v>
          </cell>
          <cell r="K74" t="str">
            <v>B02.000511_CMMN_DPSTRY_LEI</v>
          </cell>
          <cell r="L74">
            <v>2</v>
          </cell>
          <cell r="N74" t="str">
            <v>B02.000511_CMMN_DPSTRY_LEI</v>
          </cell>
          <cell r="O74">
            <v>2</v>
          </cell>
          <cell r="Q74" t="str">
            <v>B02.000520_CMMN_SRVC_PRVDR</v>
          </cell>
          <cell r="R74">
            <v>2</v>
          </cell>
        </row>
        <row r="75">
          <cell r="B75" t="str">
            <v>B02.000520_CMMN_SRVC_PRVDR</v>
          </cell>
          <cell r="C75">
            <v>2</v>
          </cell>
          <cell r="E75" t="str">
            <v>B02.000520_CMMN_SRVC_PRVDR</v>
          </cell>
          <cell r="F75">
            <v>2</v>
          </cell>
          <cell r="H75" t="str">
            <v>B02.000520_CMMN_SRVC_PRVDR</v>
          </cell>
          <cell r="I75">
            <v>2</v>
          </cell>
          <cell r="K75" t="str">
            <v>B02.000520_CMMN_SRVC_PRVDR</v>
          </cell>
          <cell r="L75">
            <v>2</v>
          </cell>
          <cell r="N75" t="str">
            <v>B02.000520_CMMN_SRVC_PRVDR</v>
          </cell>
          <cell r="O75">
            <v>2</v>
          </cell>
          <cell r="Q75" t="str">
            <v>B02.000521_CMMN_SRVC_PRVDR_LEI</v>
          </cell>
          <cell r="R75">
            <v>2</v>
          </cell>
        </row>
        <row r="76">
          <cell r="B76" t="str">
            <v>B02.000521_CMMN_SRVC_PRVDR_LEI</v>
          </cell>
          <cell r="C76">
            <v>2</v>
          </cell>
          <cell r="E76" t="str">
            <v>B02.000521_CMMN_SRVC_PRVDR_LEI</v>
          </cell>
          <cell r="F76">
            <v>2</v>
          </cell>
          <cell r="H76" t="str">
            <v>B02.000521_CMMN_SRVC_PRVDR_LEI</v>
          </cell>
          <cell r="I76">
            <v>2</v>
          </cell>
          <cell r="K76" t="str">
            <v>B02.000521_CMMN_SRVC_PRVDR_LEI</v>
          </cell>
          <cell r="L76">
            <v>2</v>
          </cell>
          <cell r="N76" t="str">
            <v>B02.000521_CMMN_SRVC_PRVDR_LEI</v>
          </cell>
          <cell r="O76">
            <v>2</v>
          </cell>
          <cell r="Q76" t="str">
            <v>B02.000530_TYP_OWN_FNDS_IND_LVL</v>
          </cell>
          <cell r="R76">
            <v>2</v>
          </cell>
        </row>
        <row r="77">
          <cell r="B77" t="str">
            <v>B02.000530_TYP_OWN_FNDS_IND_LVL</v>
          </cell>
          <cell r="C77">
            <v>2</v>
          </cell>
          <cell r="E77" t="str">
            <v>B02.000530_TYP_OWN_FNDS_IND_LVL</v>
          </cell>
          <cell r="F77">
            <v>2</v>
          </cell>
          <cell r="H77" t="str">
            <v>B02.000530_TYP_OWN_FNDS_IND_LVL</v>
          </cell>
          <cell r="I77">
            <v>2</v>
          </cell>
          <cell r="K77" t="str">
            <v>B02.000530_TYP_OWN_FNDS_IND_LVL</v>
          </cell>
          <cell r="L77">
            <v>2</v>
          </cell>
          <cell r="N77" t="str">
            <v>B02.000530_TYP_OWN_FNDS_IND_LVL</v>
          </cell>
          <cell r="O77">
            <v>2</v>
          </cell>
          <cell r="Q77" t="str">
            <v>B02.000540_ELGBL_AMNT_OWN_FNDS_IND_LVL</v>
          </cell>
          <cell r="R77">
            <v>2</v>
          </cell>
        </row>
        <row r="78">
          <cell r="B78" t="str">
            <v>B02.000540_ELGBL_AMNT_OWN_FNDS_IND_LVL</v>
          </cell>
          <cell r="C78">
            <v>2</v>
          </cell>
          <cell r="E78" t="str">
            <v>B02.000540_ELGBL_AMNT_OWN_FNDS_IND_LVL</v>
          </cell>
          <cell r="F78">
            <v>2</v>
          </cell>
          <cell r="H78" t="str">
            <v>B02.000540_ELGBL_AMNT_OWN_FNDS_IND_LVL</v>
          </cell>
          <cell r="I78">
            <v>2</v>
          </cell>
          <cell r="K78" t="str">
            <v>B02.000540_ELGBL_AMNT_OWN_FNDS_IND_LVL</v>
          </cell>
          <cell r="L78">
            <v>2</v>
          </cell>
          <cell r="N78" t="str">
            <v>B02.000540_ELGBL_AMNT_OWN_FNDS_IND_LVL</v>
          </cell>
          <cell r="O78">
            <v>2</v>
          </cell>
          <cell r="Q78" t="str">
            <v>B02.000550_TYP_OWN_FNDS_CNSLDTD_LVL</v>
          </cell>
          <cell r="R78">
            <v>2</v>
          </cell>
        </row>
        <row r="79">
          <cell r="B79" t="str">
            <v>B02.000550_TYP_OWN_FNDS_CNSLDTD_LVL</v>
          </cell>
          <cell r="C79">
            <v>2</v>
          </cell>
          <cell r="E79" t="str">
            <v>B02.000550_TYP_OWN_FNDS_CNSLDTD_LVL</v>
          </cell>
          <cell r="F79">
            <v>2</v>
          </cell>
          <cell r="H79" t="str">
            <v>B02.000550_TYP_OWN_FNDS_CNSLDTD_LVL</v>
          </cell>
          <cell r="I79">
            <v>2</v>
          </cell>
          <cell r="K79" t="str">
            <v>B02.000550_TYP_OWN_FNDS_CNSLDTD_LVL</v>
          </cell>
          <cell r="L79">
            <v>2</v>
          </cell>
          <cell r="N79" t="str">
            <v>B02.000550_TYP_OWN_FNDS_CNSLDTD_LVL</v>
          </cell>
          <cell r="O79">
            <v>2</v>
          </cell>
          <cell r="Q79" t="str">
            <v>B02.000560_ELGBL_AMNT_OWN_FNDS_CNSLDTD_LVL</v>
          </cell>
          <cell r="R79">
            <v>2</v>
          </cell>
        </row>
        <row r="80">
          <cell r="B80" t="str">
            <v>B02.000560_ELGBL_AMNT_OWN_FNDS_CNSLDTD_LVL</v>
          </cell>
          <cell r="C80">
            <v>2</v>
          </cell>
          <cell r="E80" t="str">
            <v>B02.000560_ELGBL_AMNT_OWN_FNDS_CNSLDTD_LVL</v>
          </cell>
          <cell r="F80">
            <v>2</v>
          </cell>
          <cell r="H80" t="str">
            <v>B02.000560_ELGBL_AMNT_OWN_FNDS_CNSLDTD_LVL</v>
          </cell>
          <cell r="I80">
            <v>2</v>
          </cell>
          <cell r="K80" t="str">
            <v>B02.000560_ELGBL_AMNT_OWN_FNDS_CNSLDTD_LVL</v>
          </cell>
          <cell r="L80">
            <v>2</v>
          </cell>
          <cell r="N80" t="str">
            <v>B02.000560_ELGBL_AMNT_OWN_FNDS_CNSLDTD_LVL</v>
          </cell>
          <cell r="O80">
            <v>2</v>
          </cell>
          <cell r="Q80" t="str">
            <v>B02.000570_AMNT_SCRTY_INTRST_PRVDD</v>
          </cell>
          <cell r="R80">
            <v>2</v>
          </cell>
        </row>
        <row r="81">
          <cell r="B81" t="str">
            <v>B02.000570_AMNT_SCRTY_INTRST_PRVDD</v>
          </cell>
          <cell r="C81">
            <v>2</v>
          </cell>
          <cell r="E81" t="str">
            <v>B02.000570_AMNT_SCRTY_INTRST_PRVDD</v>
          </cell>
          <cell r="F81">
            <v>2</v>
          </cell>
          <cell r="H81" t="str">
            <v>B02.000570_AMNT_SCRTY_INTRST_PRVDD</v>
          </cell>
          <cell r="I81">
            <v>2</v>
          </cell>
          <cell r="K81" t="str">
            <v>B02.000570_AMNT_SCRTY_INTRST_PRVDD</v>
          </cell>
          <cell r="L81">
            <v>2</v>
          </cell>
          <cell r="N81" t="str">
            <v>B02.000570_AMNT_SCRTY_INTRST_PRVDD</v>
          </cell>
          <cell r="O81">
            <v>2</v>
          </cell>
          <cell r="Q81" t="str">
            <v>B02.000580_SCRTY_INTRST_PRVDR</v>
          </cell>
          <cell r="R81">
            <v>2</v>
          </cell>
        </row>
        <row r="82">
          <cell r="B82" t="str">
            <v>B02.000580_SCRTY_INTRST_PRVDR</v>
          </cell>
          <cell r="C82">
            <v>2</v>
          </cell>
          <cell r="E82" t="str">
            <v>B02.000580_SCRTY_INTRST_PRVDR</v>
          </cell>
          <cell r="F82">
            <v>2</v>
          </cell>
          <cell r="H82" t="str">
            <v>B02.000580_SCRTY_INTRST_PRVDR</v>
          </cell>
          <cell r="I82">
            <v>2</v>
          </cell>
          <cell r="K82" t="str">
            <v>B02.000580_SCRTY_INTRST_PRVDR</v>
          </cell>
          <cell r="L82">
            <v>2</v>
          </cell>
          <cell r="N82" t="str">
            <v>B02.000580_SCRTY_INTRST_PRVDR</v>
          </cell>
          <cell r="O82">
            <v>2</v>
          </cell>
          <cell r="Q82" t="str">
            <v>B02.000581_SCRTY_INTRST_PRVDR_LEI</v>
          </cell>
          <cell r="R82">
            <v>2</v>
          </cell>
        </row>
        <row r="83">
          <cell r="B83" t="str">
            <v>B02.000581_SCRTY_INTRST_PRVDR_LEI</v>
          </cell>
          <cell r="C83">
            <v>2</v>
          </cell>
          <cell r="E83" t="str">
            <v>B02.000581_SCRTY_INTRST_PRVDR_LEI</v>
          </cell>
          <cell r="F83">
            <v>2</v>
          </cell>
          <cell r="H83" t="str">
            <v>B02.000581_SCRTY_INTRST_PRVDR_LEI</v>
          </cell>
          <cell r="I83">
            <v>2</v>
          </cell>
          <cell r="K83" t="str">
            <v>B02.000581_SCRTY_INTRST_PRVDR_LEI</v>
          </cell>
          <cell r="L83">
            <v>2</v>
          </cell>
          <cell r="N83" t="str">
            <v>B02.000581_SCRTY_INTRST_PRVDR_LEI</v>
          </cell>
          <cell r="O83">
            <v>2</v>
          </cell>
          <cell r="Q83" t="str">
            <v>B02.000590_TYP_SCRTY_INTRST_PRVDD</v>
          </cell>
          <cell r="R83">
            <v>2</v>
          </cell>
        </row>
        <row r="84">
          <cell r="B84" t="str">
            <v>B02.000590_TYP_SCRTY_INTRST_PRVDD</v>
          </cell>
          <cell r="C84">
            <v>2</v>
          </cell>
          <cell r="E84" t="str">
            <v>B02.000590_TYP_SCRTY_INTRST_PRVDD</v>
          </cell>
          <cell r="F84">
            <v>2</v>
          </cell>
          <cell r="H84" t="str">
            <v>B02.000590_TYP_SCRTY_INTRST_PRVDD</v>
          </cell>
          <cell r="I84">
            <v>2</v>
          </cell>
          <cell r="K84" t="str">
            <v>B02.000590_TYP_SCRTY_INTRST_PRVDD</v>
          </cell>
          <cell r="L84">
            <v>2</v>
          </cell>
          <cell r="N84" t="str">
            <v>B02.000590_TYP_SCRTY_INTRST_PRVDD</v>
          </cell>
          <cell r="O84">
            <v>2</v>
          </cell>
          <cell r="Q84" t="str">
            <v>B02.000600_FLG_CLLTRL_ASST_PSTN</v>
          </cell>
          <cell r="R84">
            <v>2</v>
          </cell>
        </row>
        <row r="85">
          <cell r="B85" t="str">
            <v>B02.000600_FLG_CLLTRL_ASST_PSTN</v>
          </cell>
          <cell r="C85">
            <v>2</v>
          </cell>
          <cell r="E85" t="str">
            <v>B02.000600_FLG_CLLTRL_ASST_PSTN</v>
          </cell>
          <cell r="F85">
            <v>2</v>
          </cell>
          <cell r="H85" t="str">
            <v>B02.000600_FLG_CLLTRL_ASST_PSTN</v>
          </cell>
          <cell r="I85">
            <v>2</v>
          </cell>
          <cell r="K85" t="str">
            <v>B02.000600_FLG_CLLTRL_ASST_PSTN</v>
          </cell>
          <cell r="L85">
            <v>2</v>
          </cell>
          <cell r="N85" t="str">
            <v>B02.000600_FLG_CLLTRL_ASST_PSTN</v>
          </cell>
          <cell r="O85">
            <v>2</v>
          </cell>
          <cell r="Q85" t="str">
            <v>B02.000610_CRRYNG_AMNT_IFRS</v>
          </cell>
          <cell r="R85">
            <v>2</v>
          </cell>
        </row>
        <row r="86">
          <cell r="B86" t="str">
            <v>B02.000610_CRRYNG_AMNT_IFRS</v>
          </cell>
          <cell r="C86">
            <v>2</v>
          </cell>
          <cell r="E86" t="str">
            <v>B02.000610_CRRYNG_AMNT_IFRS</v>
          </cell>
          <cell r="F86">
            <v>2</v>
          </cell>
          <cell r="H86" t="str">
            <v>B02.000610_CRRYNG_AMNT_IFRS</v>
          </cell>
          <cell r="I86">
            <v>2</v>
          </cell>
          <cell r="K86" t="str">
            <v>B02.000610_CRRYNG_AMNT_IFRS</v>
          </cell>
          <cell r="L86">
            <v>2</v>
          </cell>
          <cell r="N86" t="str">
            <v>B02.000610_CRRYNG_AMNT_IFRS</v>
          </cell>
          <cell r="O86">
            <v>2</v>
          </cell>
          <cell r="Q86" t="str">
            <v>B02.000620_BLNC_SHT_IFRS</v>
          </cell>
          <cell r="R86">
            <v>2</v>
          </cell>
        </row>
        <row r="87">
          <cell r="B87" t="str">
            <v>B02.000620_BLNC_SHT_IFRS</v>
          </cell>
          <cell r="C87">
            <v>2</v>
          </cell>
          <cell r="E87" t="str">
            <v>B02.000620_BLNC_SHT_IFRS</v>
          </cell>
          <cell r="F87">
            <v>2</v>
          </cell>
          <cell r="H87" t="str">
            <v>B02.000620_BLNC_SHT_IFRS</v>
          </cell>
          <cell r="I87">
            <v>2</v>
          </cell>
          <cell r="K87" t="str">
            <v>B02.000620_BLNC_SHT_IFRS</v>
          </cell>
          <cell r="L87">
            <v>2</v>
          </cell>
          <cell r="N87" t="str">
            <v>B02.000620_BLNC_SHT_IFRS</v>
          </cell>
          <cell r="O87">
            <v>2</v>
          </cell>
          <cell r="Q87" t="str">
            <v>B02.000630_CRRYING_AMNT_NGAAP</v>
          </cell>
          <cell r="R87">
            <v>2</v>
          </cell>
        </row>
        <row r="88">
          <cell r="B88" t="str">
            <v>B02.000630_CRRYING_AMNT_NGAAP</v>
          </cell>
          <cell r="C88">
            <v>2</v>
          </cell>
          <cell r="E88" t="str">
            <v>B02.000630_CRRYING_AMNT_NGAAP</v>
          </cell>
          <cell r="F88">
            <v>2</v>
          </cell>
          <cell r="H88" t="str">
            <v>B02.000630_CRRYING_AMNT_NGAAP</v>
          </cell>
          <cell r="I88">
            <v>2</v>
          </cell>
          <cell r="K88" t="str">
            <v>B02.000630_CRRYING_AMNT_NGAAP</v>
          </cell>
          <cell r="L88">
            <v>2</v>
          </cell>
          <cell r="N88" t="str">
            <v>B02.000630_CRRYING_AMNT_NGAAP</v>
          </cell>
          <cell r="O88">
            <v>2</v>
          </cell>
          <cell r="Q88" t="str">
            <v>B02.000640_BLNC_SHT_NGAAP</v>
          </cell>
          <cell r="R88">
            <v>2</v>
          </cell>
        </row>
        <row r="89">
          <cell r="B89" t="str">
            <v>B02.000640_BLNC_SHT_NGAAP</v>
          </cell>
          <cell r="C89">
            <v>2</v>
          </cell>
          <cell r="E89" t="str">
            <v>B02.000640_BLNC_SHT_NGAAP</v>
          </cell>
          <cell r="F89">
            <v>2</v>
          </cell>
          <cell r="H89" t="str">
            <v>B02.000640_BLNC_SHT_NGAAP</v>
          </cell>
          <cell r="I89">
            <v>2</v>
          </cell>
          <cell r="K89" t="str">
            <v>B02.000640_BLNC_SHT_NGAAP</v>
          </cell>
          <cell r="L89">
            <v>2</v>
          </cell>
          <cell r="N89" t="str">
            <v>B02.000640_BLNC_SHT_NGAAP</v>
          </cell>
          <cell r="O89">
            <v>2</v>
          </cell>
          <cell r="Q89" t="str">
            <v>B02.005000_FLG_SHRHLDR_NOT_RSLTN_GRP</v>
          </cell>
          <cell r="R89">
            <v>2</v>
          </cell>
        </row>
        <row r="90">
          <cell r="B90" t="str">
            <v>B02.005000_FLG_SHRHLDR_NOT_RSLTN_GRP</v>
          </cell>
          <cell r="C90">
            <v>2</v>
          </cell>
          <cell r="E90" t="str">
            <v>B02.005000_FLG_SHRHLDR_NOT_RSLTN_GRP</v>
          </cell>
          <cell r="F90">
            <v>2</v>
          </cell>
          <cell r="H90" t="str">
            <v>B02.005000_FLG_SHRHLDR_NOT_RSLTN_GRP</v>
          </cell>
          <cell r="I90">
            <v>2</v>
          </cell>
          <cell r="K90" t="str">
            <v>B02.005000_FLG_SHRHLDR_NOT_RSLTN_GRP</v>
          </cell>
          <cell r="L90">
            <v>2</v>
          </cell>
          <cell r="N90" t="str">
            <v>B02.005000_FLG_SHRHLDR_NOT_RSLTN_GRP</v>
          </cell>
          <cell r="O90">
            <v>2</v>
          </cell>
          <cell r="Q90" t="str">
            <v>B02.005010_FLG_ART21_7A_SRMR</v>
          </cell>
          <cell r="R90">
            <v>2</v>
          </cell>
        </row>
        <row r="91">
          <cell r="B91" t="str">
            <v>B02.005010_FLG_ART21_7A_SRMR</v>
          </cell>
          <cell r="C91">
            <v>2</v>
          </cell>
          <cell r="E91" t="str">
            <v>B02.005010_FLG_ART21_7A_SRMR</v>
          </cell>
          <cell r="F91">
            <v>2</v>
          </cell>
          <cell r="H91" t="str">
            <v>B02.005010_FLG_ART21_7A_SRMR</v>
          </cell>
          <cell r="I91">
            <v>2</v>
          </cell>
          <cell r="K91" t="str">
            <v>B02.005010_FLG_ART21_7A_SRMR</v>
          </cell>
          <cell r="L91">
            <v>2</v>
          </cell>
          <cell r="N91" t="str">
            <v>B02.005010_FLG_ART21_7A_SRMR</v>
          </cell>
          <cell r="O91">
            <v>2</v>
          </cell>
          <cell r="Q91" t="str">
            <v>B02.000490_RGSTRR</v>
          </cell>
          <cell r="R91">
            <v>1</v>
          </cell>
        </row>
        <row r="92">
          <cell r="B92" t="str">
            <v>B02.000490_RGSTRR</v>
          </cell>
          <cell r="C92">
            <v>1</v>
          </cell>
          <cell r="E92" t="str">
            <v>B02.000490_RGSTRR</v>
          </cell>
          <cell r="F92">
            <v>1</v>
          </cell>
          <cell r="H92" t="str">
            <v>B02.000490_RGSTRR</v>
          </cell>
          <cell r="I92">
            <v>1</v>
          </cell>
          <cell r="K92" t="str">
            <v>B02.000490_RGSTRR</v>
          </cell>
          <cell r="L92">
            <v>1</v>
          </cell>
          <cell r="N92" t="str">
            <v>B02.000490_RGSTRR</v>
          </cell>
          <cell r="O92">
            <v>1</v>
          </cell>
          <cell r="Q92" t="str">
            <v>Grand Total</v>
          </cell>
          <cell r="R92">
            <v>2</v>
          </cell>
        </row>
        <row r="93">
          <cell r="B93" t="str">
            <v>Grand Total</v>
          </cell>
          <cell r="C93">
            <v>2</v>
          </cell>
          <cell r="E93" t="str">
            <v>Grand Total</v>
          </cell>
          <cell r="F93">
            <v>2</v>
          </cell>
          <cell r="H93" t="str">
            <v>Grand Total</v>
          </cell>
          <cell r="I93">
            <v>2</v>
          </cell>
          <cell r="K93" t="str">
            <v>Grand Total</v>
          </cell>
          <cell r="L93">
            <v>2</v>
          </cell>
          <cell r="N93" t="str">
            <v>Grand Total</v>
          </cell>
          <cell r="O93">
            <v>2</v>
          </cell>
        </row>
      </sheetData>
      <sheetData sheetId="1">
        <row r="6">
          <cell r="C6" t="str">
            <v xml:space="preserve">4A. Resultados dos controlos 1 a 5 </v>
          </cell>
        </row>
        <row r="8">
          <cell r="A8" t="str">
            <v>Aux_1</v>
          </cell>
          <cell r="B8" t="str">
            <v>Aux_2</v>
          </cell>
          <cell r="C8" t="str">
            <v>TABELA</v>
          </cell>
          <cell r="D8" t="str">
            <v>TIPOLOGIA_TESTE</v>
          </cell>
          <cell r="E8" t="str">
            <v>TABELA_LT</v>
          </cell>
          <cell r="F8" t="str">
            <v>TABELA_SIMUL</v>
          </cell>
          <cell r="G8" t="str">
            <v>CAMPO</v>
          </cell>
          <cell r="H8" t="str">
            <v>REF_DATE</v>
          </cell>
          <cell r="I8" t="str">
            <v>NUM_REG</v>
          </cell>
          <cell r="J8" t="str">
            <v>NUM_REG_DIF</v>
          </cell>
          <cell r="K8" t="str">
            <v>ID_EXEC</v>
          </cell>
          <cell r="L8" t="str">
            <v>HTIMEST</v>
          </cell>
        </row>
        <row r="9">
          <cell r="A9" t="str">
            <v>B02.000010_ROW_NMBR</v>
          </cell>
          <cell r="B9" t="str">
            <v>B02.000010_ROW_NMBRCOERÊNCIA1</v>
          </cell>
          <cell r="C9" t="str">
            <v>B02.00</v>
          </cell>
          <cell r="D9" t="str">
            <v>COERÊNCIA</v>
          </cell>
          <cell r="E9" t="str">
            <v>BU_LOANTAPE_WORK.OUT_B0200_MAIN_LIABILITIES</v>
          </cell>
          <cell r="F9" t="str">
            <v>BU_CAPTOOLS_WORK.SIMUL_B0200</v>
          </cell>
          <cell r="G9" t="str">
            <v>0010_ROW_NMBR</v>
          </cell>
          <cell r="H9" t="str">
            <v>2025-10-31</v>
          </cell>
          <cell r="I9">
            <v>8</v>
          </cell>
          <cell r="J9">
            <v>0</v>
          </cell>
          <cell r="K9" t="str">
            <v>1</v>
          </cell>
          <cell r="L9" t="str">
            <v>2025-11-13 11:33:50.993911000</v>
          </cell>
        </row>
        <row r="10">
          <cell r="A10" t="str">
            <v>B02.000010_ROW_NMBR</v>
          </cell>
          <cell r="B10" t="str">
            <v>B02.000010_ROW_NMBRVALIDADE1</v>
          </cell>
          <cell r="C10" t="str">
            <v>B02.00</v>
          </cell>
          <cell r="D10" t="str">
            <v>VALIDADE</v>
          </cell>
          <cell r="E10" t="str">
            <v>BU_LOANTAPE_WORK.OUT_B0200_MAIN_LIABILITIES</v>
          </cell>
          <cell r="F10" t="str">
            <v>N/A</v>
          </cell>
          <cell r="G10" t="str">
            <v>0010_ROW_NMBR</v>
          </cell>
          <cell r="H10" t="str">
            <v>2025-10-31</v>
          </cell>
          <cell r="I10">
            <v>8</v>
          </cell>
          <cell r="J10">
            <v>0</v>
          </cell>
          <cell r="K10" t="str">
            <v>1</v>
          </cell>
          <cell r="L10" t="str">
            <v>2025-11-13 11:33:50.993911000</v>
          </cell>
        </row>
        <row r="11">
          <cell r="A11" t="str">
            <v>B02.000010_ROW_NMBR</v>
          </cell>
          <cell r="B11" t="str">
            <v>B02.000010_ROW_NMBRCARACTERES ESPECIAIS1</v>
          </cell>
          <cell r="C11" t="str">
            <v>B02.00</v>
          </cell>
          <cell r="D11" t="str">
            <v>CARACTERES ESPECIAIS</v>
          </cell>
          <cell r="E11" t="str">
            <v>BU_LOANTAPE_WORK.OUT_B0200_MAIN_LIABILITIES</v>
          </cell>
          <cell r="F11" t="str">
            <v>N/A</v>
          </cell>
          <cell r="G11" t="str">
            <v>0010_ROW_NMBR</v>
          </cell>
          <cell r="H11" t="str">
            <v>2025-10-31</v>
          </cell>
          <cell r="I11">
            <v>8</v>
          </cell>
          <cell r="J11">
            <v>0</v>
          </cell>
          <cell r="K11" t="str">
            <v>1</v>
          </cell>
          <cell r="L11" t="str">
            <v>2025-11-13 11:33:50.993911000</v>
          </cell>
        </row>
        <row r="12">
          <cell r="A12" t="str">
            <v>B02.000010_ROW_NMBR</v>
          </cell>
          <cell r="B12" t="str">
            <v>B02.000010_ROW_NMBRMISSINGS1</v>
          </cell>
          <cell r="C12" t="str">
            <v>B02.00</v>
          </cell>
          <cell r="D12" t="str">
            <v>MISSINGS</v>
          </cell>
          <cell r="E12" t="str">
            <v>BU_LOANTAPE_WORK.OUT_B0200_MAIN_LIABILITIES</v>
          </cell>
          <cell r="F12" t="str">
            <v>N/A</v>
          </cell>
          <cell r="G12" t="str">
            <v>0010_ROW_NMBR</v>
          </cell>
          <cell r="H12" t="str">
            <v>2025-10-31</v>
          </cell>
          <cell r="I12">
            <v>8</v>
          </cell>
          <cell r="J12">
            <v>0</v>
          </cell>
          <cell r="K12" t="str">
            <v>1</v>
          </cell>
          <cell r="L12" t="str">
            <v>2025-11-13 11:33:50.993911000</v>
          </cell>
        </row>
        <row r="13">
          <cell r="A13" t="str">
            <v>B02.000010_ROW_NMBR</v>
          </cell>
          <cell r="B13" t="str">
            <v>B02.000010_ROW_NMBRNOT APPLICABLE1</v>
          </cell>
          <cell r="C13" t="str">
            <v>B02.00</v>
          </cell>
          <cell r="D13" t="str">
            <v>NOT APPLICABLE</v>
          </cell>
          <cell r="E13" t="str">
            <v>BU_LOANTAPE_WORK.OUT_B0200_MAIN_LIABILITIES</v>
          </cell>
          <cell r="F13" t="str">
            <v>N/A</v>
          </cell>
          <cell r="G13" t="str">
            <v>0010_ROW_NMBR</v>
          </cell>
          <cell r="H13" t="str">
            <v>2025-10-31</v>
          </cell>
          <cell r="I13">
            <v>8</v>
          </cell>
          <cell r="J13">
            <v>0</v>
          </cell>
          <cell r="K13" t="str">
            <v>1</v>
          </cell>
          <cell r="L13" t="str">
            <v>2025-11-13 11:33:50.993911000</v>
          </cell>
        </row>
        <row r="14">
          <cell r="A14" t="str">
            <v>B02.000020_UNIQ_ID</v>
          </cell>
          <cell r="B14" t="str">
            <v>B02.000020_UNIQ_IDCOERÊNCIA1</v>
          </cell>
          <cell r="C14" t="str">
            <v>B02.00</v>
          </cell>
          <cell r="D14" t="str">
            <v>COERÊNCIA</v>
          </cell>
          <cell r="E14" t="str">
            <v>BU_LOANTAPE_WORK.OUT_B0200_MAIN_LIABILITIES</v>
          </cell>
          <cell r="F14" t="str">
            <v>BU_CAPTOOLS_WORK.SIMUL_B0200</v>
          </cell>
          <cell r="G14" t="str">
            <v>0020_UNIQ_ID</v>
          </cell>
          <cell r="H14" t="str">
            <v>2025-10-31</v>
          </cell>
          <cell r="I14">
            <v>8</v>
          </cell>
          <cell r="J14">
            <v>0</v>
          </cell>
          <cell r="K14" t="str">
            <v>1</v>
          </cell>
          <cell r="L14" t="str">
            <v>2025-11-13 11:33:50.993911000</v>
          </cell>
        </row>
        <row r="15">
          <cell r="A15" t="str">
            <v>B02.000020_UNIQ_ID</v>
          </cell>
          <cell r="B15" t="str">
            <v>B02.000020_UNIQ_IDVALIDADE1</v>
          </cell>
          <cell r="C15" t="str">
            <v>B02.00</v>
          </cell>
          <cell r="D15" t="str">
            <v>VALIDADE</v>
          </cell>
          <cell r="E15" t="str">
            <v>BU_LOANTAPE_WORK.OUT_B0200_MAIN_LIABILITIES</v>
          </cell>
          <cell r="F15" t="str">
            <v>N/A</v>
          </cell>
          <cell r="G15" t="str">
            <v>0020_UNIQ_ID</v>
          </cell>
          <cell r="H15" t="str">
            <v>2025-10-31</v>
          </cell>
          <cell r="I15">
            <v>8</v>
          </cell>
          <cell r="J15">
            <v>0</v>
          </cell>
          <cell r="K15" t="str">
            <v>1</v>
          </cell>
          <cell r="L15" t="str">
            <v>2025-11-13 11:33:50.993911000</v>
          </cell>
        </row>
        <row r="16">
          <cell r="A16" t="str">
            <v>B02.000020_UNIQ_ID</v>
          </cell>
          <cell r="B16" t="str">
            <v>B02.000020_UNIQ_IDCARACTERES ESPECIAIS1</v>
          </cell>
          <cell r="C16" t="str">
            <v>B02.00</v>
          </cell>
          <cell r="D16" t="str">
            <v>CARACTERES ESPECIAIS</v>
          </cell>
          <cell r="E16" t="str">
            <v>BU_LOANTAPE_WORK.OUT_B0200_MAIN_LIABILITIES</v>
          </cell>
          <cell r="F16" t="str">
            <v>N/A</v>
          </cell>
          <cell r="G16" t="str">
            <v>0020_UNIQ_ID</v>
          </cell>
          <cell r="H16" t="str">
            <v>2025-10-31</v>
          </cell>
          <cell r="I16">
            <v>8</v>
          </cell>
          <cell r="J16">
            <v>0</v>
          </cell>
          <cell r="K16" t="str">
            <v>1</v>
          </cell>
          <cell r="L16" t="str">
            <v>2025-11-13 11:33:50.993911000</v>
          </cell>
        </row>
        <row r="17">
          <cell r="A17" t="str">
            <v>B02.000020_UNIQ_ID</v>
          </cell>
          <cell r="B17" t="str">
            <v>B02.000020_UNIQ_IDMISSINGS1</v>
          </cell>
          <cell r="C17" t="str">
            <v>B02.00</v>
          </cell>
          <cell r="D17" t="str">
            <v>MISSINGS</v>
          </cell>
          <cell r="E17" t="str">
            <v>BU_LOANTAPE_WORK.OUT_B0200_MAIN_LIABILITIES</v>
          </cell>
          <cell r="F17" t="str">
            <v>N/A</v>
          </cell>
          <cell r="G17" t="str">
            <v>0020_UNIQ_ID</v>
          </cell>
          <cell r="H17" t="str">
            <v>2025-10-31</v>
          </cell>
          <cell r="I17">
            <v>8</v>
          </cell>
          <cell r="J17">
            <v>0</v>
          </cell>
          <cell r="K17" t="str">
            <v>1</v>
          </cell>
          <cell r="L17" t="str">
            <v>2025-11-13 11:33:50.993911000</v>
          </cell>
        </row>
        <row r="18">
          <cell r="A18" t="str">
            <v>B02.000020_UNIQ_ID</v>
          </cell>
          <cell r="B18" t="str">
            <v>B02.000020_UNIQ_IDNOT APPLICABLE1</v>
          </cell>
          <cell r="C18" t="str">
            <v>B02.00</v>
          </cell>
          <cell r="D18" t="str">
            <v>NOT APPLICABLE</v>
          </cell>
          <cell r="E18" t="str">
            <v>BU_LOANTAPE_WORK.OUT_B0200_MAIN_LIABILITIES</v>
          </cell>
          <cell r="F18" t="str">
            <v>N/A</v>
          </cell>
          <cell r="G18" t="str">
            <v>0020_UNIQ_ID</v>
          </cell>
          <cell r="H18" t="str">
            <v>2025-10-31</v>
          </cell>
          <cell r="I18">
            <v>8</v>
          </cell>
          <cell r="J18">
            <v>0</v>
          </cell>
          <cell r="K18" t="str">
            <v>1</v>
          </cell>
          <cell r="L18" t="str">
            <v>2025-11-13 11:33:50.993911000</v>
          </cell>
        </row>
        <row r="19">
          <cell r="A19" t="str">
            <v>B02.000030_UNIQ_ID_KNWN_CNTRPRTY</v>
          </cell>
          <cell r="B19" t="str">
            <v>B02.000030_UNIQ_ID_KNWN_CNTRPRTYCOERÊNCIA1</v>
          </cell>
          <cell r="C19" t="str">
            <v>B02.00</v>
          </cell>
          <cell r="D19" t="str">
            <v>COERÊNCIA</v>
          </cell>
          <cell r="E19" t="str">
            <v>BU_LOANTAPE_WORK.OUT_B0200_MAIN_LIABILITIES</v>
          </cell>
          <cell r="F19" t="str">
            <v>BU_CAPTOOLS_WORK.SIMUL_B0200</v>
          </cell>
          <cell r="G19" t="str">
            <v>0030_UNIQ_ID_KNWN_CNTRPRTY</v>
          </cell>
          <cell r="H19" t="str">
            <v>2025-10-31</v>
          </cell>
          <cell r="I19">
            <v>8</v>
          </cell>
          <cell r="J19">
            <v>0</v>
          </cell>
          <cell r="K19" t="str">
            <v>1</v>
          </cell>
          <cell r="L19" t="str">
            <v>2025-11-13 11:33:50.993911000</v>
          </cell>
        </row>
        <row r="20">
          <cell r="A20" t="str">
            <v>B02.000030_UNIQ_ID_KNWN_CNTRPRTY</v>
          </cell>
          <cell r="B20" t="str">
            <v>B02.000030_UNIQ_ID_KNWN_CNTRPRTYVALIDADE1</v>
          </cell>
          <cell r="C20" t="str">
            <v>B02.00</v>
          </cell>
          <cell r="D20" t="str">
            <v>VALIDADE</v>
          </cell>
          <cell r="E20" t="str">
            <v>BU_LOANTAPE_WORK.OUT_B0200_MAIN_LIABILITIES</v>
          </cell>
          <cell r="F20" t="str">
            <v>N/A</v>
          </cell>
          <cell r="G20" t="str">
            <v>0030_UNIQ_ID_KNWN_CNTRPRTY</v>
          </cell>
          <cell r="H20" t="str">
            <v>2025-10-31</v>
          </cell>
          <cell r="I20">
            <v>8</v>
          </cell>
          <cell r="J20">
            <v>0</v>
          </cell>
          <cell r="K20" t="str">
            <v>1</v>
          </cell>
          <cell r="L20" t="str">
            <v>2025-11-13 11:33:50.993911000</v>
          </cell>
        </row>
        <row r="21">
          <cell r="A21" t="str">
            <v>B02.000030_UNIQ_ID_KNWN_CNTRPRTY</v>
          </cell>
          <cell r="B21" t="str">
            <v>B02.000030_UNIQ_ID_KNWN_CNTRPRTYCARACTERES ESPECIAIS1</v>
          </cell>
          <cell r="C21" t="str">
            <v>B02.00</v>
          </cell>
          <cell r="D21" t="str">
            <v>CARACTERES ESPECIAIS</v>
          </cell>
          <cell r="E21" t="str">
            <v>BU_LOANTAPE_WORK.OUT_B0200_MAIN_LIABILITIES</v>
          </cell>
          <cell r="F21" t="str">
            <v>N/A</v>
          </cell>
          <cell r="G21" t="str">
            <v>0030_UNIQ_ID_KNWN_CNTRPRTY</v>
          </cell>
          <cell r="H21" t="str">
            <v>2025-10-31</v>
          </cell>
          <cell r="I21">
            <v>8</v>
          </cell>
          <cell r="J21">
            <v>0</v>
          </cell>
          <cell r="K21" t="str">
            <v>1</v>
          </cell>
          <cell r="L21" t="str">
            <v>2025-11-13 11:33:50.993911000</v>
          </cell>
        </row>
        <row r="22">
          <cell r="A22" t="str">
            <v>B02.000030_UNIQ_ID_KNWN_CNTRPRTY</v>
          </cell>
          <cell r="B22" t="str">
            <v>B02.000030_UNIQ_ID_KNWN_CNTRPRTYMISSINGS1</v>
          </cell>
          <cell r="C22" t="str">
            <v>B02.00</v>
          </cell>
          <cell r="D22" t="str">
            <v>MISSINGS</v>
          </cell>
          <cell r="E22" t="str">
            <v>BU_LOANTAPE_WORK.OUT_B0200_MAIN_LIABILITIES</v>
          </cell>
          <cell r="F22" t="str">
            <v>N/A</v>
          </cell>
          <cell r="G22" t="str">
            <v>0030_UNIQ_ID_KNWN_CNTRPRTY</v>
          </cell>
          <cell r="H22" t="str">
            <v>2025-10-31</v>
          </cell>
          <cell r="I22">
            <v>8</v>
          </cell>
          <cell r="J22">
            <v>0</v>
          </cell>
          <cell r="K22" t="str">
            <v>1</v>
          </cell>
          <cell r="L22" t="str">
            <v>2025-11-13 11:33:50.993911000</v>
          </cell>
        </row>
        <row r="23">
          <cell r="A23" t="str">
            <v>B02.000030_UNIQ_ID_KNWN_CNTRPRTY</v>
          </cell>
          <cell r="B23" t="str">
            <v>B02.000030_UNIQ_ID_KNWN_CNTRPRTYNOT APPLICABLE1</v>
          </cell>
          <cell r="C23" t="str">
            <v>B02.00</v>
          </cell>
          <cell r="D23" t="str">
            <v>NOT APPLICABLE</v>
          </cell>
          <cell r="E23" t="str">
            <v>BU_LOANTAPE_WORK.OUT_B0200_MAIN_LIABILITIES</v>
          </cell>
          <cell r="F23" t="str">
            <v>N/A</v>
          </cell>
          <cell r="G23" t="str">
            <v>0030_UNIQ_ID_KNWN_CNTRPRTY</v>
          </cell>
          <cell r="H23" t="str">
            <v>2025-10-31</v>
          </cell>
          <cell r="I23">
            <v>8</v>
          </cell>
          <cell r="J23">
            <v>0</v>
          </cell>
          <cell r="K23" t="str">
            <v>1</v>
          </cell>
          <cell r="L23" t="str">
            <v>2025-11-13 11:33:50.993911000</v>
          </cell>
        </row>
        <row r="24">
          <cell r="A24" t="str">
            <v>B02.000040_TYP_UNIQ_ID_KNWN_CNTRPRTY</v>
          </cell>
          <cell r="B24" t="str">
            <v>B02.000040_TYP_UNIQ_ID_KNWN_CNTRPRTYCOERÊNCIA1</v>
          </cell>
          <cell r="C24" t="str">
            <v>B02.00</v>
          </cell>
          <cell r="D24" t="str">
            <v>COERÊNCIA</v>
          </cell>
          <cell r="E24" t="str">
            <v>BU_LOANTAPE_WORK.OUT_B0200_MAIN_LIABILITIES</v>
          </cell>
          <cell r="F24" t="str">
            <v>BU_CAPTOOLS_WORK.SIMUL_B0200</v>
          </cell>
          <cell r="G24" t="str">
            <v>0040_TYP_UNIQ_ID_KNWN_CNTRPRTY</v>
          </cell>
          <cell r="H24" t="str">
            <v>2025-10-31</v>
          </cell>
          <cell r="I24">
            <v>8</v>
          </cell>
          <cell r="J24">
            <v>0</v>
          </cell>
          <cell r="K24" t="str">
            <v>1</v>
          </cell>
          <cell r="L24" t="str">
            <v>2025-11-13 11:33:50.993911000</v>
          </cell>
        </row>
        <row r="25">
          <cell r="A25" t="str">
            <v>B02.000040_TYP_UNIQ_ID_KNWN_CNTRPRTY</v>
          </cell>
          <cell r="B25" t="str">
            <v>B02.000040_TYP_UNIQ_ID_KNWN_CNTRPRTYVALIDADE1</v>
          </cell>
          <cell r="C25" t="str">
            <v>B02.00</v>
          </cell>
          <cell r="D25" t="str">
            <v>VALIDADE</v>
          </cell>
          <cell r="E25" t="str">
            <v>BU_LOANTAPE_WORK.OUT_B0200_MAIN_LIABILITIES</v>
          </cell>
          <cell r="F25" t="str">
            <v>N/A</v>
          </cell>
          <cell r="G25" t="str">
            <v>0040_TYP_UNIQ_ID_KNWN_CNTRPRTY</v>
          </cell>
          <cell r="H25" t="str">
            <v>2025-10-31</v>
          </cell>
          <cell r="I25">
            <v>8</v>
          </cell>
          <cell r="J25">
            <v>0</v>
          </cell>
          <cell r="K25" t="str">
            <v>1</v>
          </cell>
          <cell r="L25" t="str">
            <v>2025-11-13 11:33:50.993911000</v>
          </cell>
        </row>
        <row r="26">
          <cell r="A26" t="str">
            <v>B02.000040_TYP_UNIQ_ID_KNWN_CNTRPRTY</v>
          </cell>
          <cell r="B26" t="str">
            <v>B02.000040_TYP_UNIQ_ID_KNWN_CNTRPRTYCARACTERES ESPECIAIS1</v>
          </cell>
          <cell r="C26" t="str">
            <v>B02.00</v>
          </cell>
          <cell r="D26" t="str">
            <v>CARACTERES ESPECIAIS</v>
          </cell>
          <cell r="E26" t="str">
            <v>BU_LOANTAPE_WORK.OUT_B0200_MAIN_LIABILITIES</v>
          </cell>
          <cell r="F26" t="str">
            <v>N/A</v>
          </cell>
          <cell r="G26" t="str">
            <v>0040_TYP_UNIQ_ID_KNWN_CNTRPRTY</v>
          </cell>
          <cell r="H26" t="str">
            <v>2025-10-31</v>
          </cell>
          <cell r="I26">
            <v>8</v>
          </cell>
          <cell r="J26">
            <v>0</v>
          </cell>
          <cell r="K26" t="str">
            <v>1</v>
          </cell>
          <cell r="L26" t="str">
            <v>2025-11-13 11:33:50.993911000</v>
          </cell>
        </row>
        <row r="27">
          <cell r="A27" t="str">
            <v>B02.000040_TYP_UNIQ_ID_KNWN_CNTRPRTY</v>
          </cell>
          <cell r="B27" t="str">
            <v>B02.000040_TYP_UNIQ_ID_KNWN_CNTRPRTYMISSINGS1</v>
          </cell>
          <cell r="C27" t="str">
            <v>B02.00</v>
          </cell>
          <cell r="D27" t="str">
            <v>MISSINGS</v>
          </cell>
          <cell r="E27" t="str">
            <v>BU_LOANTAPE_WORK.OUT_B0200_MAIN_LIABILITIES</v>
          </cell>
          <cell r="F27" t="str">
            <v>N/A</v>
          </cell>
          <cell r="G27" t="str">
            <v>0040_TYP_UNIQ_ID_KNWN_CNTRPRTY</v>
          </cell>
          <cell r="H27" t="str">
            <v>2025-10-31</v>
          </cell>
          <cell r="I27">
            <v>8</v>
          </cell>
          <cell r="J27">
            <v>0</v>
          </cell>
          <cell r="K27" t="str">
            <v>1</v>
          </cell>
          <cell r="L27" t="str">
            <v>2025-11-13 11:33:50.993911000</v>
          </cell>
        </row>
        <row r="28">
          <cell r="A28" t="str">
            <v>B02.000040_TYP_UNIQ_ID_KNWN_CNTRPRTY</v>
          </cell>
          <cell r="B28" t="str">
            <v>B02.000040_TYP_UNIQ_ID_KNWN_CNTRPRTYNOT APPLICABLE1</v>
          </cell>
          <cell r="C28" t="str">
            <v>B02.00</v>
          </cell>
          <cell r="D28" t="str">
            <v>NOT APPLICABLE</v>
          </cell>
          <cell r="E28" t="str">
            <v>BU_LOANTAPE_WORK.OUT_B0200_MAIN_LIABILITIES</v>
          </cell>
          <cell r="F28" t="str">
            <v>N/A</v>
          </cell>
          <cell r="G28" t="str">
            <v>0040_TYP_UNIQ_ID_KNWN_CNTRPRTY</v>
          </cell>
          <cell r="H28" t="str">
            <v>2025-10-31</v>
          </cell>
          <cell r="I28">
            <v>8</v>
          </cell>
          <cell r="J28">
            <v>0</v>
          </cell>
          <cell r="K28" t="str">
            <v>1</v>
          </cell>
          <cell r="L28" t="str">
            <v>2025-11-13 11:33:50.993911000</v>
          </cell>
        </row>
        <row r="29">
          <cell r="A29" t="str">
            <v>B02.000050_ORGNL_AMNT_EUR</v>
          </cell>
          <cell r="B29" t="str">
            <v>B02.000050_ORGNL_AMNT_EURCOERÊNCIA1</v>
          </cell>
          <cell r="C29" t="str">
            <v>B02.00</v>
          </cell>
          <cell r="D29" t="str">
            <v>COERÊNCIA</v>
          </cell>
          <cell r="E29" t="str">
            <v>BU_LOANTAPE_WORK.OUT_B0200_MAIN_LIABILITIES</v>
          </cell>
          <cell r="F29" t="str">
            <v>BU_CAPTOOLS_WORK.SIMUL_B0200</v>
          </cell>
          <cell r="G29" t="str">
            <v>0050_ORGNL_AMNT_EUR</v>
          </cell>
          <cell r="H29" t="str">
            <v>2025-10-31</v>
          </cell>
          <cell r="I29">
            <v>8</v>
          </cell>
          <cell r="J29">
            <v>0</v>
          </cell>
          <cell r="K29" t="str">
            <v>1</v>
          </cell>
          <cell r="L29" t="str">
            <v>2025-11-13 11:33:50.993911000</v>
          </cell>
        </row>
        <row r="30">
          <cell r="A30" t="str">
            <v>B02.000050_ORGNL_AMNT_EUR</v>
          </cell>
          <cell r="B30" t="str">
            <v>B02.000050_ORGNL_AMNT_EURVALIDADE1</v>
          </cell>
          <cell r="C30" t="str">
            <v>B02.00</v>
          </cell>
          <cell r="D30" t="str">
            <v>VALIDADE</v>
          </cell>
          <cell r="E30" t="str">
            <v>BU_LOANTAPE_WORK.OUT_B0200_MAIN_LIABILITIES</v>
          </cell>
          <cell r="F30" t="str">
            <v>N/A</v>
          </cell>
          <cell r="G30" t="str">
            <v>0050_ORGNL_AMNT_EUR</v>
          </cell>
          <cell r="H30" t="str">
            <v>2025-10-31</v>
          </cell>
          <cell r="I30">
            <v>8</v>
          </cell>
          <cell r="J30">
            <v>0</v>
          </cell>
          <cell r="K30" t="str">
            <v>1</v>
          </cell>
          <cell r="L30" t="str">
            <v>2025-11-13 11:33:50.993911000</v>
          </cell>
        </row>
        <row r="31">
          <cell r="A31" t="str">
            <v>B02.000050_ORGNL_AMNT_EUR</v>
          </cell>
          <cell r="B31" t="str">
            <v>B02.000050_ORGNL_AMNT_EURCARACTERES ESPECIAIS1</v>
          </cell>
          <cell r="C31" t="str">
            <v>B02.00</v>
          </cell>
          <cell r="D31" t="str">
            <v>CARACTERES ESPECIAIS</v>
          </cell>
          <cell r="E31" t="str">
            <v>BU_LOANTAPE_WORK.OUT_B0200_MAIN_LIABILITIES</v>
          </cell>
          <cell r="F31" t="str">
            <v>N/A</v>
          </cell>
          <cell r="G31" t="str">
            <v>0050_ORGNL_AMNT_EUR</v>
          </cell>
          <cell r="H31" t="str">
            <v>2025-10-31</v>
          </cell>
          <cell r="I31">
            <v>8</v>
          </cell>
          <cell r="J31">
            <v>0</v>
          </cell>
          <cell r="K31" t="str">
            <v>1</v>
          </cell>
          <cell r="L31" t="str">
            <v>2025-11-13 11:33:50.993911000</v>
          </cell>
        </row>
        <row r="32">
          <cell r="A32" t="str">
            <v>B02.000050_ORGNL_AMNT_EUR</v>
          </cell>
          <cell r="B32" t="str">
            <v>B02.000050_ORGNL_AMNT_EURMISSINGS1</v>
          </cell>
          <cell r="C32" t="str">
            <v>B02.00</v>
          </cell>
          <cell r="D32" t="str">
            <v>MISSINGS</v>
          </cell>
          <cell r="E32" t="str">
            <v>BU_LOANTAPE_WORK.OUT_B0200_MAIN_LIABILITIES</v>
          </cell>
          <cell r="F32" t="str">
            <v>N/A</v>
          </cell>
          <cell r="G32" t="str">
            <v>0050_ORGNL_AMNT_EUR</v>
          </cell>
          <cell r="H32" t="str">
            <v>2025-10-31</v>
          </cell>
          <cell r="I32">
            <v>8</v>
          </cell>
          <cell r="J32">
            <v>0</v>
          </cell>
          <cell r="K32" t="str">
            <v>1</v>
          </cell>
          <cell r="L32" t="str">
            <v>2025-11-13 11:33:50.993911000</v>
          </cell>
        </row>
        <row r="33">
          <cell r="A33" t="str">
            <v>B02.000050_ORGNL_AMNT_EUR</v>
          </cell>
          <cell r="B33" t="str">
            <v>B02.000050_ORGNL_AMNT_EURNOT APPLICABLE1</v>
          </cell>
          <cell r="C33" t="str">
            <v>B02.00</v>
          </cell>
          <cell r="D33" t="str">
            <v>NOT APPLICABLE</v>
          </cell>
          <cell r="E33" t="str">
            <v>BU_LOANTAPE_WORK.OUT_B0200_MAIN_LIABILITIES</v>
          </cell>
          <cell r="F33" t="str">
            <v>N/A</v>
          </cell>
          <cell r="G33" t="str">
            <v>0050_ORGNL_AMNT_EUR</v>
          </cell>
          <cell r="H33" t="str">
            <v>2025-10-31</v>
          </cell>
          <cell r="I33">
            <v>8</v>
          </cell>
          <cell r="J33">
            <v>0</v>
          </cell>
          <cell r="K33" t="str">
            <v>1</v>
          </cell>
          <cell r="L33" t="str">
            <v>2025-11-13 11:33:50.993911000</v>
          </cell>
        </row>
        <row r="34">
          <cell r="A34" t="str">
            <v>B02.000060_ORGNL_AMNT_FX</v>
          </cell>
          <cell r="B34" t="str">
            <v>B02.000060_ORGNL_AMNT_FXCOERÊNCIA1</v>
          </cell>
          <cell r="C34" t="str">
            <v>B02.00</v>
          </cell>
          <cell r="D34" t="str">
            <v>COERÊNCIA</v>
          </cell>
          <cell r="E34" t="str">
            <v>BU_LOANTAPE_WORK.OUT_B0200_MAIN_LIABILITIES</v>
          </cell>
          <cell r="F34" t="str">
            <v>BU_CAPTOOLS_WORK.SIMUL_B0200</v>
          </cell>
          <cell r="G34" t="str">
            <v>0060_ORGNL_AMNT_FX</v>
          </cell>
          <cell r="H34" t="str">
            <v>2025-10-31</v>
          </cell>
          <cell r="I34">
            <v>8</v>
          </cell>
          <cell r="J34">
            <v>0</v>
          </cell>
          <cell r="K34" t="str">
            <v>1</v>
          </cell>
          <cell r="L34" t="str">
            <v>2025-11-13 11:33:50.993911000</v>
          </cell>
        </row>
        <row r="35">
          <cell r="A35" t="str">
            <v>B02.000060_ORGNL_AMNT_FX</v>
          </cell>
          <cell r="B35" t="str">
            <v>B02.000060_ORGNL_AMNT_FXVALIDADE1</v>
          </cell>
          <cell r="C35" t="str">
            <v>B02.00</v>
          </cell>
          <cell r="D35" t="str">
            <v>VALIDADE</v>
          </cell>
          <cell r="E35" t="str">
            <v>BU_LOANTAPE_WORK.OUT_B0200_MAIN_LIABILITIES</v>
          </cell>
          <cell r="F35" t="str">
            <v>N/A</v>
          </cell>
          <cell r="G35" t="str">
            <v>0060_ORGNL_AMNT_FX</v>
          </cell>
          <cell r="H35" t="str">
            <v>2025-10-31</v>
          </cell>
          <cell r="I35">
            <v>8</v>
          </cell>
          <cell r="J35">
            <v>0</v>
          </cell>
          <cell r="K35" t="str">
            <v>1</v>
          </cell>
          <cell r="L35" t="str">
            <v>2025-11-13 11:33:50.993911000</v>
          </cell>
        </row>
        <row r="36">
          <cell r="A36" t="str">
            <v>B02.000060_ORGNL_AMNT_FX</v>
          </cell>
          <cell r="B36" t="str">
            <v>B02.000060_ORGNL_AMNT_FXCARACTERES ESPECIAIS1</v>
          </cell>
          <cell r="C36" t="str">
            <v>B02.00</v>
          </cell>
          <cell r="D36" t="str">
            <v>CARACTERES ESPECIAIS</v>
          </cell>
          <cell r="E36" t="str">
            <v>BU_LOANTAPE_WORK.OUT_B0200_MAIN_LIABILITIES</v>
          </cell>
          <cell r="F36" t="str">
            <v>N/A</v>
          </cell>
          <cell r="G36" t="str">
            <v>0060_ORGNL_AMNT_FX</v>
          </cell>
          <cell r="H36" t="str">
            <v>2025-10-31</v>
          </cell>
          <cell r="I36">
            <v>8</v>
          </cell>
          <cell r="J36">
            <v>0</v>
          </cell>
          <cell r="K36" t="str">
            <v>1</v>
          </cell>
          <cell r="L36" t="str">
            <v>2025-11-13 11:33:50.993911000</v>
          </cell>
        </row>
        <row r="37">
          <cell r="A37" t="str">
            <v>B02.000060_ORGNL_AMNT_FX</v>
          </cell>
          <cell r="B37" t="str">
            <v>B02.000060_ORGNL_AMNT_FXMISSINGS1</v>
          </cell>
          <cell r="C37" t="str">
            <v>B02.00</v>
          </cell>
          <cell r="D37" t="str">
            <v>MISSINGS</v>
          </cell>
          <cell r="E37" t="str">
            <v>BU_LOANTAPE_WORK.OUT_B0200_MAIN_LIABILITIES</v>
          </cell>
          <cell r="F37" t="str">
            <v>N/A</v>
          </cell>
          <cell r="G37" t="str">
            <v>0060_ORGNL_AMNT_FX</v>
          </cell>
          <cell r="H37" t="str">
            <v>2025-10-31</v>
          </cell>
          <cell r="I37">
            <v>8</v>
          </cell>
          <cell r="J37">
            <v>0</v>
          </cell>
          <cell r="K37" t="str">
            <v>1</v>
          </cell>
          <cell r="L37" t="str">
            <v>2025-11-13 11:33:50.993911000</v>
          </cell>
        </row>
        <row r="38">
          <cell r="A38" t="str">
            <v>B02.000060_ORGNL_AMNT_FX</v>
          </cell>
          <cell r="B38" t="str">
            <v>B02.000060_ORGNL_AMNT_FXNOT APPLICABLE1</v>
          </cell>
          <cell r="C38" t="str">
            <v>B02.00</v>
          </cell>
          <cell r="D38" t="str">
            <v>NOT APPLICABLE</v>
          </cell>
          <cell r="E38" t="str">
            <v>BU_LOANTAPE_WORK.OUT_B0200_MAIN_LIABILITIES</v>
          </cell>
          <cell r="F38" t="str">
            <v>N/A</v>
          </cell>
          <cell r="G38" t="str">
            <v>0060_ORGNL_AMNT_FX</v>
          </cell>
          <cell r="H38" t="str">
            <v>2025-10-31</v>
          </cell>
          <cell r="I38">
            <v>8</v>
          </cell>
          <cell r="J38">
            <v>0</v>
          </cell>
          <cell r="K38" t="str">
            <v>1</v>
          </cell>
          <cell r="L38" t="str">
            <v>2025-11-13 11:33:50.993911000</v>
          </cell>
        </row>
        <row r="39">
          <cell r="A39" t="str">
            <v>B02.000070_CNTRCT_CRRNCY</v>
          </cell>
          <cell r="B39" t="str">
            <v>B02.000070_CNTRCT_CRRNCYCOERÊNCIA1</v>
          </cell>
          <cell r="C39" t="str">
            <v>B02.00</v>
          </cell>
          <cell r="D39" t="str">
            <v>COERÊNCIA</v>
          </cell>
          <cell r="E39" t="str">
            <v>BU_LOANTAPE_WORK.OUT_B0200_MAIN_LIABILITIES</v>
          </cell>
          <cell r="F39" t="str">
            <v>BU_CAPTOOLS_WORK.SIMUL_B0200</v>
          </cell>
          <cell r="G39" t="str">
            <v>0070_CNTRCT_CRRNCY</v>
          </cell>
          <cell r="H39" t="str">
            <v>2025-10-31</v>
          </cell>
          <cell r="I39">
            <v>8</v>
          </cell>
          <cell r="J39">
            <v>0</v>
          </cell>
          <cell r="K39" t="str">
            <v>1</v>
          </cell>
          <cell r="L39" t="str">
            <v>2025-11-13 11:33:50.993911000</v>
          </cell>
        </row>
        <row r="40">
          <cell r="A40" t="str">
            <v>B02.000070_CNTRCT_CRRNCY</v>
          </cell>
          <cell r="B40" t="str">
            <v>B02.000070_CNTRCT_CRRNCYVALIDADE1</v>
          </cell>
          <cell r="C40" t="str">
            <v>B02.00</v>
          </cell>
          <cell r="D40" t="str">
            <v>VALIDADE</v>
          </cell>
          <cell r="E40" t="str">
            <v>BU_LOANTAPE_WORK.OUT_B0200_MAIN_LIABILITIES</v>
          </cell>
          <cell r="F40" t="str">
            <v>N/A</v>
          </cell>
          <cell r="G40" t="str">
            <v>0070_CNTRCT_CRRNCY</v>
          </cell>
          <cell r="H40" t="str">
            <v>2025-10-31</v>
          </cell>
          <cell r="I40">
            <v>8</v>
          </cell>
          <cell r="J40">
            <v>0</v>
          </cell>
          <cell r="K40" t="str">
            <v>1</v>
          </cell>
          <cell r="L40" t="str">
            <v>2025-11-13 11:33:50.993911000</v>
          </cell>
        </row>
        <row r="41">
          <cell r="A41" t="str">
            <v>B02.000070_CNTRCT_CRRNCY</v>
          </cell>
          <cell r="B41" t="str">
            <v>B02.000070_CNTRCT_CRRNCYCARACTERES ESPECIAIS1</v>
          </cell>
          <cell r="C41" t="str">
            <v>B02.00</v>
          </cell>
          <cell r="D41" t="str">
            <v>CARACTERES ESPECIAIS</v>
          </cell>
          <cell r="E41" t="str">
            <v>BU_LOANTAPE_WORK.OUT_B0200_MAIN_LIABILITIES</v>
          </cell>
          <cell r="F41" t="str">
            <v>N/A</v>
          </cell>
          <cell r="G41" t="str">
            <v>0070_CNTRCT_CRRNCY</v>
          </cell>
          <cell r="H41" t="str">
            <v>2025-10-31</v>
          </cell>
          <cell r="I41">
            <v>8</v>
          </cell>
          <cell r="J41">
            <v>0</v>
          </cell>
          <cell r="K41" t="str">
            <v>1</v>
          </cell>
          <cell r="L41" t="str">
            <v>2025-11-13 11:33:50.993911000</v>
          </cell>
        </row>
        <row r="42">
          <cell r="A42" t="str">
            <v>B02.000070_CNTRCT_CRRNCY</v>
          </cell>
          <cell r="B42" t="str">
            <v>B02.000070_CNTRCT_CRRNCYMISSINGS1</v>
          </cell>
          <cell r="C42" t="str">
            <v>B02.00</v>
          </cell>
          <cell r="D42" t="str">
            <v>MISSINGS</v>
          </cell>
          <cell r="E42" t="str">
            <v>BU_LOANTAPE_WORK.OUT_B0200_MAIN_LIABILITIES</v>
          </cell>
          <cell r="F42" t="str">
            <v>N/A</v>
          </cell>
          <cell r="G42" t="str">
            <v>0070_CNTRCT_CRRNCY</v>
          </cell>
          <cell r="H42" t="str">
            <v>2025-10-31</v>
          </cell>
          <cell r="I42">
            <v>8</v>
          </cell>
          <cell r="J42">
            <v>0</v>
          </cell>
          <cell r="K42" t="str">
            <v>1</v>
          </cell>
          <cell r="L42" t="str">
            <v>2025-11-13 11:33:50.993911000</v>
          </cell>
        </row>
        <row r="43">
          <cell r="A43" t="str">
            <v>B02.000070_CNTRCT_CRRNCY</v>
          </cell>
          <cell r="B43" t="str">
            <v>B02.000070_CNTRCT_CRRNCYNOT APPLICABLE1</v>
          </cell>
          <cell r="C43" t="str">
            <v>B02.00</v>
          </cell>
          <cell r="D43" t="str">
            <v>NOT APPLICABLE</v>
          </cell>
          <cell r="E43" t="str">
            <v>BU_LOANTAPE_WORK.OUT_B0200_MAIN_LIABILITIES</v>
          </cell>
          <cell r="F43" t="str">
            <v>N/A</v>
          </cell>
          <cell r="G43" t="str">
            <v>0070_CNTRCT_CRRNCY</v>
          </cell>
          <cell r="H43" t="str">
            <v>2025-10-31</v>
          </cell>
          <cell r="I43">
            <v>8</v>
          </cell>
          <cell r="J43">
            <v>0</v>
          </cell>
          <cell r="K43" t="str">
            <v>1</v>
          </cell>
          <cell r="L43" t="str">
            <v>2025-11-13 11:33:50.993911000</v>
          </cell>
        </row>
        <row r="44">
          <cell r="A44" t="str">
            <v>B02.000080_OTSTNDNG_PRNCPL_AMNT</v>
          </cell>
          <cell r="B44" t="str">
            <v>B02.000080_OTSTNDNG_PRNCPL_AMNTCOERÊNCIA1</v>
          </cell>
          <cell r="C44" t="str">
            <v>B02.00</v>
          </cell>
          <cell r="D44" t="str">
            <v>COERÊNCIA</v>
          </cell>
          <cell r="E44" t="str">
            <v>BU_LOANTAPE_WORK.OUT_B0200_MAIN_LIABILITIES</v>
          </cell>
          <cell r="F44" t="str">
            <v>BU_CAPTOOLS_WORK.SIMUL_B0200</v>
          </cell>
          <cell r="G44" t="str">
            <v>0080_OTSTNDNG_PRNCPL_AMNT</v>
          </cell>
          <cell r="H44" t="str">
            <v>2025-10-31</v>
          </cell>
          <cell r="I44">
            <v>8</v>
          </cell>
          <cell r="J44">
            <v>8</v>
          </cell>
          <cell r="K44" t="str">
            <v>1</v>
          </cell>
          <cell r="L44" t="str">
            <v>2025-11-13 11:33:50.993911000</v>
          </cell>
        </row>
        <row r="45">
          <cell r="A45" t="str">
            <v>B02.000080_OTSTNDNG_PRNCPL_AMNT</v>
          </cell>
          <cell r="B45" t="str">
            <v>B02.000080_OTSTNDNG_PRNCPL_AMNTVALIDADE1</v>
          </cell>
          <cell r="C45" t="str">
            <v>B02.00</v>
          </cell>
          <cell r="D45" t="str">
            <v>VALIDADE</v>
          </cell>
          <cell r="E45" t="str">
            <v>BU_LOANTAPE_WORK.OUT_B0200_MAIN_LIABILITIES</v>
          </cell>
          <cell r="F45" t="str">
            <v>N/A</v>
          </cell>
          <cell r="G45" t="str">
            <v>0080_OTSTNDNG_PRNCPL_AMNT</v>
          </cell>
          <cell r="H45" t="str">
            <v>2025-10-31</v>
          </cell>
          <cell r="I45">
            <v>8</v>
          </cell>
          <cell r="J45">
            <v>8</v>
          </cell>
          <cell r="K45" t="str">
            <v>1</v>
          </cell>
          <cell r="L45" t="str">
            <v>2025-11-13 11:33:50.993911000</v>
          </cell>
        </row>
        <row r="46">
          <cell r="A46" t="str">
            <v>B02.000080_OTSTNDNG_PRNCPL_AMNT</v>
          </cell>
          <cell r="B46" t="str">
            <v>B02.000080_OTSTNDNG_PRNCPL_AMNTCARACTERES ESPECIAIS1</v>
          </cell>
          <cell r="C46" t="str">
            <v>B02.00</v>
          </cell>
          <cell r="D46" t="str">
            <v>CARACTERES ESPECIAIS</v>
          </cell>
          <cell r="E46" t="str">
            <v>BU_LOANTAPE_WORK.OUT_B0200_MAIN_LIABILITIES</v>
          </cell>
          <cell r="F46" t="str">
            <v>N/A</v>
          </cell>
          <cell r="G46" t="str">
            <v>0080_OTSTNDNG_PRNCPL_AMNT</v>
          </cell>
          <cell r="H46" t="str">
            <v>2025-10-31</v>
          </cell>
          <cell r="I46">
            <v>8</v>
          </cell>
          <cell r="J46">
            <v>0</v>
          </cell>
          <cell r="K46" t="str">
            <v>1</v>
          </cell>
          <cell r="L46" t="str">
            <v>2025-11-13 11:33:50.993911000</v>
          </cell>
        </row>
        <row r="47">
          <cell r="A47" t="str">
            <v>B02.000080_OTSTNDNG_PRNCPL_AMNT</v>
          </cell>
          <cell r="B47" t="str">
            <v>B02.000080_OTSTNDNG_PRNCPL_AMNTMISSINGS1</v>
          </cell>
          <cell r="C47" t="str">
            <v>B02.00</v>
          </cell>
          <cell r="D47" t="str">
            <v>MISSINGS</v>
          </cell>
          <cell r="E47" t="str">
            <v>BU_LOANTAPE_WORK.OUT_B0200_MAIN_LIABILITIES</v>
          </cell>
          <cell r="F47" t="str">
            <v>N/A</v>
          </cell>
          <cell r="G47" t="str">
            <v>0080_OTSTNDNG_PRNCPL_AMNT</v>
          </cell>
          <cell r="H47" t="str">
            <v>2025-10-31</v>
          </cell>
          <cell r="I47">
            <v>8</v>
          </cell>
          <cell r="J47">
            <v>0</v>
          </cell>
          <cell r="K47" t="str">
            <v>1</v>
          </cell>
          <cell r="L47" t="str">
            <v>2025-11-13 11:33:50.993911000</v>
          </cell>
        </row>
        <row r="48">
          <cell r="A48" t="str">
            <v>B02.000080_OTSTNDNG_PRNCPL_AMNT</v>
          </cell>
          <cell r="B48" t="str">
            <v>B02.000080_OTSTNDNG_PRNCPL_AMNTNOT APPLICABLE1</v>
          </cell>
          <cell r="C48" t="str">
            <v>B02.00</v>
          </cell>
          <cell r="D48" t="str">
            <v>NOT APPLICABLE</v>
          </cell>
          <cell r="E48" t="str">
            <v>BU_LOANTAPE_WORK.OUT_B0200_MAIN_LIABILITIES</v>
          </cell>
          <cell r="F48" t="str">
            <v>N/A</v>
          </cell>
          <cell r="G48" t="str">
            <v>0080_OTSTNDNG_PRNCPL_AMNT</v>
          </cell>
          <cell r="H48" t="str">
            <v>2025-10-31</v>
          </cell>
          <cell r="I48">
            <v>8</v>
          </cell>
          <cell r="J48">
            <v>0</v>
          </cell>
          <cell r="K48" t="str">
            <v>1</v>
          </cell>
          <cell r="L48" t="str">
            <v>2025-11-13 11:33:50.993911000</v>
          </cell>
        </row>
        <row r="49">
          <cell r="A49" t="str">
            <v>B02.000090_PRTN_AMNT_RPRTNG_ENTTY</v>
          </cell>
          <cell r="B49" t="str">
            <v>B02.000090_PRTN_AMNT_RPRTNG_ENTTYCOERÊNCIA1</v>
          </cell>
          <cell r="C49" t="str">
            <v>B02.00</v>
          </cell>
          <cell r="D49" t="str">
            <v>COERÊNCIA</v>
          </cell>
          <cell r="E49" t="str">
            <v>BU_LOANTAPE_WORK.OUT_B0200_MAIN_LIABILITIES</v>
          </cell>
          <cell r="F49" t="str">
            <v>BU_CAPTOOLS_WORK.SIMUL_B0200</v>
          </cell>
          <cell r="G49" t="str">
            <v>0090_PRTN_AMNT_RPRTNG_ENTTY</v>
          </cell>
          <cell r="H49" t="str">
            <v>2025-10-31</v>
          </cell>
          <cell r="I49">
            <v>8</v>
          </cell>
          <cell r="J49">
            <v>8</v>
          </cell>
          <cell r="K49" t="str">
            <v>1</v>
          </cell>
          <cell r="L49" t="str">
            <v>2025-11-13 11:33:50.993911000</v>
          </cell>
        </row>
        <row r="50">
          <cell r="A50" t="str">
            <v>B02.000090_PRTN_AMNT_RPRTNG_ENTTY</v>
          </cell>
          <cell r="B50" t="str">
            <v>B02.000090_PRTN_AMNT_RPRTNG_ENTTYVALIDADE1</v>
          </cell>
          <cell r="C50" t="str">
            <v>B02.00</v>
          </cell>
          <cell r="D50" t="str">
            <v>VALIDADE</v>
          </cell>
          <cell r="E50" t="str">
            <v>BU_LOANTAPE_WORK.OUT_B0200_MAIN_LIABILITIES</v>
          </cell>
          <cell r="F50" t="str">
            <v>N/A</v>
          </cell>
          <cell r="G50" t="str">
            <v>0090_PRTN_AMNT_RPRTNG_ENTTY</v>
          </cell>
          <cell r="H50" t="str">
            <v>2025-10-31</v>
          </cell>
          <cell r="I50">
            <v>8</v>
          </cell>
          <cell r="J50">
            <v>8</v>
          </cell>
          <cell r="K50" t="str">
            <v>1</v>
          </cell>
          <cell r="L50" t="str">
            <v>2025-11-13 11:33:50.993911000</v>
          </cell>
        </row>
        <row r="51">
          <cell r="A51" t="str">
            <v>B02.000090_PRTN_AMNT_RPRTNG_ENTTY</v>
          </cell>
          <cell r="B51" t="str">
            <v>B02.000090_PRTN_AMNT_RPRTNG_ENTTYCARACTERES ESPECIAIS1</v>
          </cell>
          <cell r="C51" t="str">
            <v>B02.00</v>
          </cell>
          <cell r="D51" t="str">
            <v>CARACTERES ESPECIAIS</v>
          </cell>
          <cell r="E51" t="str">
            <v>BU_LOANTAPE_WORK.OUT_B0200_MAIN_LIABILITIES</v>
          </cell>
          <cell r="F51" t="str">
            <v>N/A</v>
          </cell>
          <cell r="G51" t="str">
            <v>0090_PRTN_AMNT_RPRTNG_ENTTY</v>
          </cell>
          <cell r="H51" t="str">
            <v>2025-10-31</v>
          </cell>
          <cell r="I51">
            <v>8</v>
          </cell>
          <cell r="J51">
            <v>0</v>
          </cell>
          <cell r="K51" t="str">
            <v>1</v>
          </cell>
          <cell r="L51" t="str">
            <v>2025-11-13 11:33:50.993911000</v>
          </cell>
        </row>
        <row r="52">
          <cell r="A52" t="str">
            <v>B02.000090_PRTN_AMNT_RPRTNG_ENTTY</v>
          </cell>
          <cell r="B52" t="str">
            <v>B02.000090_PRTN_AMNT_RPRTNG_ENTTYMISSINGS1</v>
          </cell>
          <cell r="C52" t="str">
            <v>B02.00</v>
          </cell>
          <cell r="D52" t="str">
            <v>MISSINGS</v>
          </cell>
          <cell r="E52" t="str">
            <v>BU_LOANTAPE_WORK.OUT_B0200_MAIN_LIABILITIES</v>
          </cell>
          <cell r="F52" t="str">
            <v>N/A</v>
          </cell>
          <cell r="G52" t="str">
            <v>0090_PRTN_AMNT_RPRTNG_ENTTY</v>
          </cell>
          <cell r="H52" t="str">
            <v>2025-10-31</v>
          </cell>
          <cell r="I52">
            <v>8</v>
          </cell>
          <cell r="J52">
            <v>0</v>
          </cell>
          <cell r="K52" t="str">
            <v>1</v>
          </cell>
          <cell r="L52" t="str">
            <v>2025-11-13 11:33:50.993911000</v>
          </cell>
        </row>
        <row r="53">
          <cell r="A53" t="str">
            <v>B02.000090_PRTN_AMNT_RPRTNG_ENTTY</v>
          </cell>
          <cell r="B53" t="str">
            <v>B02.000090_PRTN_AMNT_RPRTNG_ENTTYNOT APPLICABLE1</v>
          </cell>
          <cell r="C53" t="str">
            <v>B02.00</v>
          </cell>
          <cell r="D53" t="str">
            <v>NOT APPLICABLE</v>
          </cell>
          <cell r="E53" t="str">
            <v>BU_LOANTAPE_WORK.OUT_B0200_MAIN_LIABILITIES</v>
          </cell>
          <cell r="F53" t="str">
            <v>N/A</v>
          </cell>
          <cell r="G53" t="str">
            <v>0090_PRTN_AMNT_RPRTNG_ENTTY</v>
          </cell>
          <cell r="H53" t="str">
            <v>2025-10-31</v>
          </cell>
          <cell r="I53">
            <v>8</v>
          </cell>
          <cell r="J53">
            <v>0</v>
          </cell>
          <cell r="K53" t="str">
            <v>1</v>
          </cell>
          <cell r="L53" t="str">
            <v>2025-11-13 11:33:50.993911000</v>
          </cell>
        </row>
        <row r="54">
          <cell r="A54" t="str">
            <v>B02.000100_ACCRD_INTRST_INSTRMNT</v>
          </cell>
          <cell r="B54" t="str">
            <v>B02.000100_ACCRD_INTRST_INSTRMNTCOERÊNCIA1</v>
          </cell>
          <cell r="C54" t="str">
            <v>B02.00</v>
          </cell>
          <cell r="D54" t="str">
            <v>COERÊNCIA</v>
          </cell>
          <cell r="E54" t="str">
            <v>BU_LOANTAPE_WORK.OUT_B0200_MAIN_LIABILITIES</v>
          </cell>
          <cell r="F54" t="str">
            <v>BU_CAPTOOLS_WORK.SIMUL_B0200</v>
          </cell>
          <cell r="G54" t="str">
            <v>0100_ACCRD_INTRST_INSTRMNT</v>
          </cell>
          <cell r="H54" t="str">
            <v>2025-10-31</v>
          </cell>
          <cell r="I54">
            <v>8</v>
          </cell>
          <cell r="J54">
            <v>4</v>
          </cell>
          <cell r="K54" t="str">
            <v>1</v>
          </cell>
          <cell r="L54" t="str">
            <v>2025-11-13 11:33:50.993911000</v>
          </cell>
        </row>
        <row r="55">
          <cell r="A55" t="str">
            <v>B02.000100_ACCRD_INTRST_INSTRMNT</v>
          </cell>
          <cell r="B55" t="str">
            <v>B02.000100_ACCRD_INTRST_INSTRMNTVALIDADE1</v>
          </cell>
          <cell r="C55" t="str">
            <v>B02.00</v>
          </cell>
          <cell r="D55" t="str">
            <v>VALIDADE</v>
          </cell>
          <cell r="E55" t="str">
            <v>BU_LOANTAPE_WORK.OUT_B0200_MAIN_LIABILITIES</v>
          </cell>
          <cell r="F55" t="str">
            <v>N/A</v>
          </cell>
          <cell r="G55" t="str">
            <v>0100_ACCRD_INTRST_INSTRMNT</v>
          </cell>
          <cell r="H55" t="str">
            <v>2025-10-31</v>
          </cell>
          <cell r="I55">
            <v>8</v>
          </cell>
          <cell r="J55">
            <v>0</v>
          </cell>
          <cell r="K55" t="str">
            <v>1</v>
          </cell>
          <cell r="L55" t="str">
            <v>2025-11-13 11:33:50.993911000</v>
          </cell>
        </row>
        <row r="56">
          <cell r="A56" t="str">
            <v>B02.000100_ACCRD_INTRST_INSTRMNT</v>
          </cell>
          <cell r="B56" t="str">
            <v>B02.000100_ACCRD_INTRST_INSTRMNTCARACTERES ESPECIAIS1</v>
          </cell>
          <cell r="C56" t="str">
            <v>B02.00</v>
          </cell>
          <cell r="D56" t="str">
            <v>CARACTERES ESPECIAIS</v>
          </cell>
          <cell r="E56" t="str">
            <v>BU_LOANTAPE_WORK.OUT_B0200_MAIN_LIABILITIES</v>
          </cell>
          <cell r="F56" t="str">
            <v>N/A</v>
          </cell>
          <cell r="G56" t="str">
            <v>0100_ACCRD_INTRST_INSTRMNT</v>
          </cell>
          <cell r="H56" t="str">
            <v>2025-10-31</v>
          </cell>
          <cell r="I56">
            <v>8</v>
          </cell>
          <cell r="J56">
            <v>0</v>
          </cell>
          <cell r="K56" t="str">
            <v>1</v>
          </cell>
          <cell r="L56" t="str">
            <v>2025-11-13 11:33:50.993911000</v>
          </cell>
        </row>
        <row r="57">
          <cell r="A57" t="str">
            <v>B02.000100_ACCRD_INTRST_INSTRMNT</v>
          </cell>
          <cell r="B57" t="str">
            <v>B02.000100_ACCRD_INTRST_INSTRMNTMISSINGS1</v>
          </cell>
          <cell r="C57" t="str">
            <v>B02.00</v>
          </cell>
          <cell r="D57" t="str">
            <v>MISSINGS</v>
          </cell>
          <cell r="E57" t="str">
            <v>BU_LOANTAPE_WORK.OUT_B0200_MAIN_LIABILITIES</v>
          </cell>
          <cell r="F57" t="str">
            <v>N/A</v>
          </cell>
          <cell r="G57" t="str">
            <v>0100_ACCRD_INTRST_INSTRMNT</v>
          </cell>
          <cell r="H57" t="str">
            <v>2025-10-31</v>
          </cell>
          <cell r="I57">
            <v>8</v>
          </cell>
          <cell r="J57">
            <v>0</v>
          </cell>
          <cell r="K57" t="str">
            <v>1</v>
          </cell>
          <cell r="L57" t="str">
            <v>2025-11-13 11:33:50.993911000</v>
          </cell>
        </row>
        <row r="58">
          <cell r="A58" t="str">
            <v>B02.000100_ACCRD_INTRST_INSTRMNT</v>
          </cell>
          <cell r="B58" t="str">
            <v>B02.000100_ACCRD_INTRST_INSTRMNTNOT APPLICABLE1</v>
          </cell>
          <cell r="C58" t="str">
            <v>B02.00</v>
          </cell>
          <cell r="D58" t="str">
            <v>NOT APPLICABLE</v>
          </cell>
          <cell r="E58" t="str">
            <v>BU_LOANTAPE_WORK.OUT_B0200_MAIN_LIABILITIES</v>
          </cell>
          <cell r="F58" t="str">
            <v>N/A</v>
          </cell>
          <cell r="G58" t="str">
            <v>0100_ACCRD_INTRST_INSTRMNT</v>
          </cell>
          <cell r="H58" t="str">
            <v>2025-10-31</v>
          </cell>
          <cell r="I58">
            <v>8</v>
          </cell>
          <cell r="J58">
            <v>0</v>
          </cell>
          <cell r="K58" t="str">
            <v>1</v>
          </cell>
          <cell r="L58" t="str">
            <v>2025-11-13 11:33:50.993911000</v>
          </cell>
        </row>
        <row r="59">
          <cell r="A59" t="str">
            <v>B02.000110_APPLCBL_FEES_CHARGES</v>
          </cell>
          <cell r="B59" t="str">
            <v>B02.000110_APPLCBL_FEES_CHARGESCOERÊNCIA1</v>
          </cell>
          <cell r="C59" t="str">
            <v>B02.00</v>
          </cell>
          <cell r="D59" t="str">
            <v>COERÊNCIA</v>
          </cell>
          <cell r="E59" t="str">
            <v>BU_LOANTAPE_WORK.OUT_B0200_MAIN_LIABILITIES</v>
          </cell>
          <cell r="F59" t="str">
            <v>BU_CAPTOOLS_WORK.SIMUL_B0200</v>
          </cell>
          <cell r="G59" t="str">
            <v>0110_APPLCBL_FEES_CHARGES</v>
          </cell>
          <cell r="H59" t="str">
            <v>2025-10-31</v>
          </cell>
          <cell r="I59">
            <v>8</v>
          </cell>
          <cell r="J59">
            <v>0</v>
          </cell>
          <cell r="K59" t="str">
            <v>1</v>
          </cell>
          <cell r="L59" t="str">
            <v>2025-11-13 11:33:50.993911000</v>
          </cell>
        </row>
        <row r="60">
          <cell r="A60" t="str">
            <v>B02.000110_APPLCBL_FEES_CHARGES</v>
          </cell>
          <cell r="B60" t="str">
            <v>B02.000110_APPLCBL_FEES_CHARGESVALIDADE1</v>
          </cell>
          <cell r="C60" t="str">
            <v>B02.00</v>
          </cell>
          <cell r="D60" t="str">
            <v>VALIDADE</v>
          </cell>
          <cell r="E60" t="str">
            <v>BU_LOANTAPE_WORK.OUT_B0200_MAIN_LIABILITIES</v>
          </cell>
          <cell r="F60" t="str">
            <v>N/A</v>
          </cell>
          <cell r="G60" t="str">
            <v>0110_APPLCBL_FEES_CHARGES</v>
          </cell>
          <cell r="H60" t="str">
            <v>2025-10-31</v>
          </cell>
          <cell r="I60">
            <v>8</v>
          </cell>
          <cell r="J60">
            <v>0</v>
          </cell>
          <cell r="K60" t="str">
            <v>1</v>
          </cell>
          <cell r="L60" t="str">
            <v>2025-11-13 11:33:50.993911000</v>
          </cell>
        </row>
        <row r="61">
          <cell r="A61" t="str">
            <v>B02.000110_APPLCBL_FEES_CHARGES</v>
          </cell>
          <cell r="B61" t="str">
            <v>B02.000110_APPLCBL_FEES_CHARGESCARACTERES ESPECIAIS1</v>
          </cell>
          <cell r="C61" t="str">
            <v>B02.00</v>
          </cell>
          <cell r="D61" t="str">
            <v>CARACTERES ESPECIAIS</v>
          </cell>
          <cell r="E61" t="str">
            <v>BU_LOANTAPE_WORK.OUT_B0200_MAIN_LIABILITIES</v>
          </cell>
          <cell r="F61" t="str">
            <v>N/A</v>
          </cell>
          <cell r="G61" t="str">
            <v>0110_APPLCBL_FEES_CHARGES</v>
          </cell>
          <cell r="H61" t="str">
            <v>2025-10-31</v>
          </cell>
          <cell r="I61">
            <v>8</v>
          </cell>
          <cell r="J61">
            <v>0</v>
          </cell>
          <cell r="K61" t="str">
            <v>1</v>
          </cell>
          <cell r="L61" t="str">
            <v>2025-11-13 11:33:50.993911000</v>
          </cell>
        </row>
        <row r="62">
          <cell r="A62" t="str">
            <v>B02.000110_APPLCBL_FEES_CHARGES</v>
          </cell>
          <cell r="B62" t="str">
            <v>B02.000110_APPLCBL_FEES_CHARGESMISSINGS1</v>
          </cell>
          <cell r="C62" t="str">
            <v>B02.00</v>
          </cell>
          <cell r="D62" t="str">
            <v>MISSINGS</v>
          </cell>
          <cell r="E62" t="str">
            <v>BU_LOANTAPE_WORK.OUT_B0200_MAIN_LIABILITIES</v>
          </cell>
          <cell r="F62" t="str">
            <v>N/A</v>
          </cell>
          <cell r="G62" t="str">
            <v>0110_APPLCBL_FEES_CHARGES</v>
          </cell>
          <cell r="H62" t="str">
            <v>2025-10-31</v>
          </cell>
          <cell r="I62">
            <v>8</v>
          </cell>
          <cell r="J62">
            <v>0</v>
          </cell>
          <cell r="K62" t="str">
            <v>1</v>
          </cell>
          <cell r="L62" t="str">
            <v>2025-11-13 11:33:50.993911000</v>
          </cell>
        </row>
        <row r="63">
          <cell r="A63" t="str">
            <v>B02.000110_APPLCBL_FEES_CHARGES</v>
          </cell>
          <cell r="B63" t="str">
            <v>B02.000110_APPLCBL_FEES_CHARGESNOT APPLICABLE1</v>
          </cell>
          <cell r="C63" t="str">
            <v>B02.00</v>
          </cell>
          <cell r="D63" t="str">
            <v>NOT APPLICABLE</v>
          </cell>
          <cell r="E63" t="str">
            <v>BU_LOANTAPE_WORK.OUT_B0200_MAIN_LIABILITIES</v>
          </cell>
          <cell r="F63" t="str">
            <v>N/A</v>
          </cell>
          <cell r="G63" t="str">
            <v>0110_APPLCBL_FEES_CHARGES</v>
          </cell>
          <cell r="H63" t="str">
            <v>2025-10-31</v>
          </cell>
          <cell r="I63">
            <v>8</v>
          </cell>
          <cell r="J63">
            <v>0</v>
          </cell>
          <cell r="K63" t="str">
            <v>1</v>
          </cell>
          <cell r="L63" t="str">
            <v>2025-11-13 11:33:50.993911000</v>
          </cell>
        </row>
        <row r="64">
          <cell r="A64" t="str">
            <v>B02.000120_OTSTNDNG_AMNT</v>
          </cell>
          <cell r="B64" t="str">
            <v>B02.000120_OTSTNDNG_AMNTCOERÊNCIA1</v>
          </cell>
          <cell r="C64" t="str">
            <v>B02.00</v>
          </cell>
          <cell r="D64" t="str">
            <v>COERÊNCIA</v>
          </cell>
          <cell r="E64" t="str">
            <v>BU_LOANTAPE_WORK.OUT_B0200_MAIN_LIABILITIES</v>
          </cell>
          <cell r="F64" t="str">
            <v>BU_CAPTOOLS_WORK.SIMUL_B0200</v>
          </cell>
          <cell r="G64" t="str">
            <v>0120_OTSTNDNG_AMNT</v>
          </cell>
          <cell r="H64" t="str">
            <v>2025-10-31</v>
          </cell>
          <cell r="I64">
            <v>8</v>
          </cell>
          <cell r="J64">
            <v>8</v>
          </cell>
          <cell r="K64" t="str">
            <v>1</v>
          </cell>
          <cell r="L64" t="str">
            <v>2025-11-13 11:33:50.993911000</v>
          </cell>
        </row>
        <row r="65">
          <cell r="A65" t="str">
            <v>B02.000120_OTSTNDNG_AMNT</v>
          </cell>
          <cell r="B65" t="str">
            <v>B02.000120_OTSTNDNG_AMNTVALIDADE1</v>
          </cell>
          <cell r="C65" t="str">
            <v>B02.00</v>
          </cell>
          <cell r="D65" t="str">
            <v>VALIDADE</v>
          </cell>
          <cell r="E65" t="str">
            <v>BU_LOANTAPE_WORK.OUT_B0200_MAIN_LIABILITIES</v>
          </cell>
          <cell r="F65" t="str">
            <v>N/A</v>
          </cell>
          <cell r="G65" t="str">
            <v>0120_OTSTNDNG_AMNT</v>
          </cell>
          <cell r="H65" t="str">
            <v>2025-10-31</v>
          </cell>
          <cell r="I65">
            <v>8</v>
          </cell>
          <cell r="J65">
            <v>8</v>
          </cell>
          <cell r="K65" t="str">
            <v>1</v>
          </cell>
          <cell r="L65" t="str">
            <v>2025-11-13 11:33:50.993911000</v>
          </cell>
        </row>
        <row r="66">
          <cell r="A66" t="str">
            <v>B02.000120_OTSTNDNG_AMNT</v>
          </cell>
          <cell r="B66" t="str">
            <v>B02.000120_OTSTNDNG_AMNTCARACTERES ESPECIAIS1</v>
          </cell>
          <cell r="C66" t="str">
            <v>B02.00</v>
          </cell>
          <cell r="D66" t="str">
            <v>CARACTERES ESPECIAIS</v>
          </cell>
          <cell r="E66" t="str">
            <v>BU_LOANTAPE_WORK.OUT_B0200_MAIN_LIABILITIES</v>
          </cell>
          <cell r="F66" t="str">
            <v>N/A</v>
          </cell>
          <cell r="G66" t="str">
            <v>0120_OTSTNDNG_AMNT</v>
          </cell>
          <cell r="H66" t="str">
            <v>2025-10-31</v>
          </cell>
          <cell r="I66">
            <v>8</v>
          </cell>
          <cell r="J66">
            <v>0</v>
          </cell>
          <cell r="K66" t="str">
            <v>1</v>
          </cell>
          <cell r="L66" t="str">
            <v>2025-11-13 11:33:50.993911000</v>
          </cell>
        </row>
        <row r="67">
          <cell r="A67" t="str">
            <v>B02.000120_OTSTNDNG_AMNT</v>
          </cell>
          <cell r="B67" t="str">
            <v>B02.000120_OTSTNDNG_AMNTMISSINGS1</v>
          </cell>
          <cell r="C67" t="str">
            <v>B02.00</v>
          </cell>
          <cell r="D67" t="str">
            <v>MISSINGS</v>
          </cell>
          <cell r="E67" t="str">
            <v>BU_LOANTAPE_WORK.OUT_B0200_MAIN_LIABILITIES</v>
          </cell>
          <cell r="F67" t="str">
            <v>N/A</v>
          </cell>
          <cell r="G67" t="str">
            <v>0120_OTSTNDNG_AMNT</v>
          </cell>
          <cell r="H67" t="str">
            <v>2025-10-31</v>
          </cell>
          <cell r="I67">
            <v>8</v>
          </cell>
          <cell r="J67">
            <v>0</v>
          </cell>
          <cell r="K67" t="str">
            <v>1</v>
          </cell>
          <cell r="L67" t="str">
            <v>2025-11-13 11:33:50.993911000</v>
          </cell>
        </row>
        <row r="68">
          <cell r="A68" t="str">
            <v>B02.000120_OTSTNDNG_AMNT</v>
          </cell>
          <cell r="B68" t="str">
            <v>B02.000120_OTSTNDNG_AMNTNOT APPLICABLE1</v>
          </cell>
          <cell r="C68" t="str">
            <v>B02.00</v>
          </cell>
          <cell r="D68" t="str">
            <v>NOT APPLICABLE</v>
          </cell>
          <cell r="E68" t="str">
            <v>BU_LOANTAPE_WORK.OUT_B0200_MAIN_LIABILITIES</v>
          </cell>
          <cell r="F68" t="str">
            <v>N/A</v>
          </cell>
          <cell r="G68" t="str">
            <v>0120_OTSTNDNG_AMNT</v>
          </cell>
          <cell r="H68" t="str">
            <v>2025-10-31</v>
          </cell>
          <cell r="I68">
            <v>8</v>
          </cell>
          <cell r="J68">
            <v>0</v>
          </cell>
          <cell r="K68" t="str">
            <v>1</v>
          </cell>
          <cell r="L68" t="str">
            <v>2025-11-13 11:33:50.993911000</v>
          </cell>
        </row>
        <row r="69">
          <cell r="A69" t="str">
            <v>B02.000130_RLVNT_AMNT_WDC</v>
          </cell>
          <cell r="B69" t="str">
            <v>B02.000130_RLVNT_AMNT_WDCCOERÊNCIA1</v>
          </cell>
          <cell r="C69" t="str">
            <v>B02.00</v>
          </cell>
          <cell r="D69" t="str">
            <v>COERÊNCIA</v>
          </cell>
          <cell r="E69" t="str">
            <v>BU_LOANTAPE_WORK.OUT_B0200_MAIN_LIABILITIES</v>
          </cell>
          <cell r="F69" t="str">
            <v>BU_CAPTOOLS_WORK.SIMUL_B0200</v>
          </cell>
          <cell r="G69" t="str">
            <v>0130_RLVNT_AMNT_WDC</v>
          </cell>
          <cell r="H69" t="str">
            <v>2025-10-31</v>
          </cell>
          <cell r="I69">
            <v>8</v>
          </cell>
          <cell r="J69">
            <v>8</v>
          </cell>
          <cell r="K69" t="str">
            <v>1</v>
          </cell>
          <cell r="L69" t="str">
            <v>2025-11-13 11:33:50.993911000</v>
          </cell>
        </row>
        <row r="70">
          <cell r="A70" t="str">
            <v>B02.000130_RLVNT_AMNT_WDC</v>
          </cell>
          <cell r="B70" t="str">
            <v>B02.000130_RLVNT_AMNT_WDCVALIDADE1</v>
          </cell>
          <cell r="C70" t="str">
            <v>B02.00</v>
          </cell>
          <cell r="D70" t="str">
            <v>VALIDADE</v>
          </cell>
          <cell r="E70" t="str">
            <v>BU_LOANTAPE_WORK.OUT_B0200_MAIN_LIABILITIES</v>
          </cell>
          <cell r="F70" t="str">
            <v>N/A</v>
          </cell>
          <cell r="G70" t="str">
            <v>0130_RLVNT_AMNT_WDC</v>
          </cell>
          <cell r="H70" t="str">
            <v>2025-10-31</v>
          </cell>
          <cell r="I70">
            <v>8</v>
          </cell>
          <cell r="J70">
            <v>8</v>
          </cell>
          <cell r="K70" t="str">
            <v>1</v>
          </cell>
          <cell r="L70" t="str">
            <v>2025-11-13 11:33:50.993911000</v>
          </cell>
        </row>
        <row r="71">
          <cell r="A71" t="str">
            <v>B02.000130_RLVNT_AMNT_WDC</v>
          </cell>
          <cell r="B71" t="str">
            <v>B02.000130_RLVNT_AMNT_WDCCARACTERES ESPECIAIS1</v>
          </cell>
          <cell r="C71" t="str">
            <v>B02.00</v>
          </cell>
          <cell r="D71" t="str">
            <v>CARACTERES ESPECIAIS</v>
          </cell>
          <cell r="E71" t="str">
            <v>BU_LOANTAPE_WORK.OUT_B0200_MAIN_LIABILITIES</v>
          </cell>
          <cell r="F71" t="str">
            <v>N/A</v>
          </cell>
          <cell r="G71" t="str">
            <v>0130_RLVNT_AMNT_WDC</v>
          </cell>
          <cell r="H71" t="str">
            <v>2025-10-31</v>
          </cell>
          <cell r="I71">
            <v>8</v>
          </cell>
          <cell r="J71">
            <v>0</v>
          </cell>
          <cell r="K71" t="str">
            <v>1</v>
          </cell>
          <cell r="L71" t="str">
            <v>2025-11-13 11:33:50.993911000</v>
          </cell>
        </row>
        <row r="72">
          <cell r="A72" t="str">
            <v>B02.000130_RLVNT_AMNT_WDC</v>
          </cell>
          <cell r="B72" t="str">
            <v>B02.000130_RLVNT_AMNT_WDCMISSINGS1</v>
          </cell>
          <cell r="C72" t="str">
            <v>B02.00</v>
          </cell>
          <cell r="D72" t="str">
            <v>MISSINGS</v>
          </cell>
          <cell r="E72" t="str">
            <v>BU_LOANTAPE_WORK.OUT_B0200_MAIN_LIABILITIES</v>
          </cell>
          <cell r="F72" t="str">
            <v>N/A</v>
          </cell>
          <cell r="G72" t="str">
            <v>0130_RLVNT_AMNT_WDC</v>
          </cell>
          <cell r="H72" t="str">
            <v>2025-10-31</v>
          </cell>
          <cell r="I72">
            <v>8</v>
          </cell>
          <cell r="J72">
            <v>0</v>
          </cell>
          <cell r="K72" t="str">
            <v>1</v>
          </cell>
          <cell r="L72" t="str">
            <v>2025-11-13 11:33:50.993911000</v>
          </cell>
        </row>
        <row r="73">
          <cell r="A73" t="str">
            <v>B02.000130_RLVNT_AMNT_WDC</v>
          </cell>
          <cell r="B73" t="str">
            <v>B02.000130_RLVNT_AMNT_WDCNOT APPLICABLE1</v>
          </cell>
          <cell r="C73" t="str">
            <v>B02.00</v>
          </cell>
          <cell r="D73" t="str">
            <v>NOT APPLICABLE</v>
          </cell>
          <cell r="E73" t="str">
            <v>BU_LOANTAPE_WORK.OUT_B0200_MAIN_LIABILITIES</v>
          </cell>
          <cell r="F73" t="str">
            <v>N/A</v>
          </cell>
          <cell r="G73" t="str">
            <v>0130_RLVNT_AMNT_WDC</v>
          </cell>
          <cell r="H73" t="str">
            <v>2025-10-31</v>
          </cell>
          <cell r="I73">
            <v>8</v>
          </cell>
          <cell r="J73">
            <v>0</v>
          </cell>
          <cell r="K73" t="str">
            <v>1</v>
          </cell>
          <cell r="L73" t="str">
            <v>2025-11-13 11:33:50.993911000</v>
          </cell>
        </row>
        <row r="74">
          <cell r="A74" t="str">
            <v>B02.000140_NTR_LBLTY</v>
          </cell>
          <cell r="B74" t="str">
            <v>B02.000140_NTR_LBLTYCOERÊNCIA1</v>
          </cell>
          <cell r="C74" t="str">
            <v>B02.00</v>
          </cell>
          <cell r="D74" t="str">
            <v>COERÊNCIA</v>
          </cell>
          <cell r="E74" t="str">
            <v>BU_LOANTAPE_WORK.OUT_B0200_MAIN_LIABILITIES</v>
          </cell>
          <cell r="F74" t="str">
            <v>BU_CAPTOOLS_WORK.SIMUL_B0200</v>
          </cell>
          <cell r="G74" t="str">
            <v>0140_NTR_LBLTY</v>
          </cell>
          <cell r="H74" t="str">
            <v>2025-10-31</v>
          </cell>
          <cell r="I74">
            <v>8</v>
          </cell>
          <cell r="J74">
            <v>4</v>
          </cell>
          <cell r="K74" t="str">
            <v>1</v>
          </cell>
          <cell r="L74" t="str">
            <v>2025-11-13 11:33:50.993911000</v>
          </cell>
        </row>
        <row r="75">
          <cell r="A75" t="str">
            <v>B02.000140_NTR_LBLTY</v>
          </cell>
          <cell r="B75" t="str">
            <v>B02.000140_NTR_LBLTYVALIDADE1</v>
          </cell>
          <cell r="C75" t="str">
            <v>B02.00</v>
          </cell>
          <cell r="D75" t="str">
            <v>VALIDADE</v>
          </cell>
          <cell r="E75" t="str">
            <v>BU_LOANTAPE_WORK.OUT_B0200_MAIN_LIABILITIES</v>
          </cell>
          <cell r="F75" t="str">
            <v>N/A</v>
          </cell>
          <cell r="G75" t="str">
            <v>0140_NTR_LBLTY</v>
          </cell>
          <cell r="H75" t="str">
            <v>2025-10-31</v>
          </cell>
          <cell r="I75">
            <v>8</v>
          </cell>
          <cell r="J75">
            <v>0</v>
          </cell>
          <cell r="K75" t="str">
            <v>1</v>
          </cell>
          <cell r="L75" t="str">
            <v>2025-11-13 11:33:50.993911000</v>
          </cell>
        </row>
        <row r="76">
          <cell r="A76" t="str">
            <v>B02.000140_NTR_LBLTY</v>
          </cell>
          <cell r="B76" t="str">
            <v>B02.000140_NTR_LBLTYCARACTERES ESPECIAIS1</v>
          </cell>
          <cell r="C76" t="str">
            <v>B02.00</v>
          </cell>
          <cell r="D76" t="str">
            <v>CARACTERES ESPECIAIS</v>
          </cell>
          <cell r="E76" t="str">
            <v>BU_LOANTAPE_WORK.OUT_B0200_MAIN_LIABILITIES</v>
          </cell>
          <cell r="F76" t="str">
            <v>N/A</v>
          </cell>
          <cell r="G76" t="str">
            <v>0140_NTR_LBLTY</v>
          </cell>
          <cell r="H76" t="str">
            <v>2025-10-31</v>
          </cell>
          <cell r="I76">
            <v>8</v>
          </cell>
          <cell r="J76">
            <v>0</v>
          </cell>
          <cell r="K76" t="str">
            <v>1</v>
          </cell>
          <cell r="L76" t="str">
            <v>2025-11-13 11:33:50.993911000</v>
          </cell>
        </row>
        <row r="77">
          <cell r="A77" t="str">
            <v>B02.000140_NTR_LBLTY</v>
          </cell>
          <cell r="B77" t="str">
            <v>B02.000140_NTR_LBLTYMISSINGS1</v>
          </cell>
          <cell r="C77" t="str">
            <v>B02.00</v>
          </cell>
          <cell r="D77" t="str">
            <v>MISSINGS</v>
          </cell>
          <cell r="E77" t="str">
            <v>BU_LOANTAPE_WORK.OUT_B0200_MAIN_LIABILITIES</v>
          </cell>
          <cell r="F77" t="str">
            <v>N/A</v>
          </cell>
          <cell r="G77" t="str">
            <v>0140_NTR_LBLTY</v>
          </cell>
          <cell r="H77" t="str">
            <v>2025-10-31</v>
          </cell>
          <cell r="I77">
            <v>8</v>
          </cell>
          <cell r="J77">
            <v>0</v>
          </cell>
          <cell r="K77" t="str">
            <v>1</v>
          </cell>
          <cell r="L77" t="str">
            <v>2025-11-13 11:33:50.993911000</v>
          </cell>
        </row>
        <row r="78">
          <cell r="A78" t="str">
            <v>B02.000140_NTR_LBLTY</v>
          </cell>
          <cell r="B78" t="str">
            <v>B02.000140_NTR_LBLTYNOT APPLICABLE1</v>
          </cell>
          <cell r="C78" t="str">
            <v>B02.00</v>
          </cell>
          <cell r="D78" t="str">
            <v>NOT APPLICABLE</v>
          </cell>
          <cell r="E78" t="str">
            <v>BU_LOANTAPE_WORK.OUT_B0200_MAIN_LIABILITIES</v>
          </cell>
          <cell r="F78" t="str">
            <v>N/A</v>
          </cell>
          <cell r="G78" t="str">
            <v>0140_NTR_LBLTY</v>
          </cell>
          <cell r="H78" t="str">
            <v>2025-10-31</v>
          </cell>
          <cell r="I78">
            <v>8</v>
          </cell>
          <cell r="J78">
            <v>0</v>
          </cell>
          <cell r="K78" t="str">
            <v>1</v>
          </cell>
          <cell r="L78" t="str">
            <v>2025-11-13 11:33:50.993911000</v>
          </cell>
        </row>
        <row r="79">
          <cell r="A79" t="str">
            <v>B02.000141_NTR_LBLTY_OTHR</v>
          </cell>
          <cell r="B79" t="str">
            <v>B02.000141_NTR_LBLTY_OTHRCOERÊNCIA1</v>
          </cell>
          <cell r="C79" t="str">
            <v>B02.00</v>
          </cell>
          <cell r="D79" t="str">
            <v>COERÊNCIA</v>
          </cell>
          <cell r="E79" t="str">
            <v>BU_LOANTAPE_WORK.OUT_B0200_MAIN_LIABILITIES</v>
          </cell>
          <cell r="F79" t="str">
            <v>BU_CAPTOOLS_WORK.SIMUL_B0200</v>
          </cell>
          <cell r="G79" t="str">
            <v>0141_NTR_LBLTY_OTHR</v>
          </cell>
          <cell r="H79" t="str">
            <v>2025-10-31</v>
          </cell>
          <cell r="I79">
            <v>8</v>
          </cell>
          <cell r="J79">
            <v>0</v>
          </cell>
          <cell r="K79" t="str">
            <v>1</v>
          </cell>
          <cell r="L79" t="str">
            <v>2025-11-13 11:33:50.993911000</v>
          </cell>
        </row>
        <row r="80">
          <cell r="A80" t="str">
            <v>B02.000141_NTR_LBLTY_OTHR</v>
          </cell>
          <cell r="B80" t="str">
            <v>B02.000141_NTR_LBLTY_OTHRVALIDADE1</v>
          </cell>
          <cell r="C80" t="str">
            <v>B02.00</v>
          </cell>
          <cell r="D80" t="str">
            <v>VALIDADE</v>
          </cell>
          <cell r="E80" t="str">
            <v>BU_LOANTAPE_WORK.OUT_B0200_MAIN_LIABILITIES</v>
          </cell>
          <cell r="F80" t="str">
            <v>N/A</v>
          </cell>
          <cell r="G80" t="str">
            <v>0141_NTR_LBLTY_OTHR</v>
          </cell>
          <cell r="H80" t="str">
            <v>2025-10-31</v>
          </cell>
          <cell r="I80">
            <v>8</v>
          </cell>
          <cell r="J80">
            <v>0</v>
          </cell>
          <cell r="K80" t="str">
            <v>1</v>
          </cell>
          <cell r="L80" t="str">
            <v>2025-11-13 11:33:50.993911000</v>
          </cell>
        </row>
        <row r="81">
          <cell r="A81" t="str">
            <v>B02.000141_NTR_LBLTY_OTHR</v>
          </cell>
          <cell r="B81" t="str">
            <v>B02.000141_NTR_LBLTY_OTHRCARACTERES ESPECIAIS1</v>
          </cell>
          <cell r="C81" t="str">
            <v>B02.00</v>
          </cell>
          <cell r="D81" t="str">
            <v>CARACTERES ESPECIAIS</v>
          </cell>
          <cell r="E81" t="str">
            <v>BU_LOANTAPE_WORK.OUT_B0200_MAIN_LIABILITIES</v>
          </cell>
          <cell r="F81" t="str">
            <v>N/A</v>
          </cell>
          <cell r="G81" t="str">
            <v>0141_NTR_LBLTY_OTHR</v>
          </cell>
          <cell r="H81" t="str">
            <v>2025-10-31</v>
          </cell>
          <cell r="I81">
            <v>8</v>
          </cell>
          <cell r="J81">
            <v>0</v>
          </cell>
          <cell r="K81" t="str">
            <v>1</v>
          </cell>
          <cell r="L81" t="str">
            <v>2025-11-13 11:33:50.993911000</v>
          </cell>
        </row>
        <row r="82">
          <cell r="A82" t="str">
            <v>B02.000141_NTR_LBLTY_OTHR</v>
          </cell>
          <cell r="B82" t="str">
            <v>B02.000141_NTR_LBLTY_OTHRMISSINGS1</v>
          </cell>
          <cell r="C82" t="str">
            <v>B02.00</v>
          </cell>
          <cell r="D82" t="str">
            <v>MISSINGS</v>
          </cell>
          <cell r="E82" t="str">
            <v>BU_LOANTAPE_WORK.OUT_B0200_MAIN_LIABILITIES</v>
          </cell>
          <cell r="F82" t="str">
            <v>N/A</v>
          </cell>
          <cell r="G82" t="str">
            <v>0141_NTR_LBLTY_OTHR</v>
          </cell>
          <cell r="H82" t="str">
            <v>2025-10-31</v>
          </cell>
          <cell r="I82">
            <v>8</v>
          </cell>
          <cell r="J82">
            <v>0</v>
          </cell>
          <cell r="K82" t="str">
            <v>1</v>
          </cell>
          <cell r="L82" t="str">
            <v>2025-11-13 11:33:50.993911000</v>
          </cell>
        </row>
        <row r="83">
          <cell r="A83" t="str">
            <v>B02.000141_NTR_LBLTY_OTHR</v>
          </cell>
          <cell r="B83" t="str">
            <v>B02.000141_NTR_LBLTY_OTHRNOT APPLICABLE1</v>
          </cell>
          <cell r="C83" t="str">
            <v>B02.00</v>
          </cell>
          <cell r="D83" t="str">
            <v>NOT APPLICABLE</v>
          </cell>
          <cell r="E83" t="str">
            <v>BU_LOANTAPE_WORK.OUT_B0200_MAIN_LIABILITIES</v>
          </cell>
          <cell r="F83" t="str">
            <v>N/A</v>
          </cell>
          <cell r="G83" t="str">
            <v>0141_NTR_LBLTY_OTHR</v>
          </cell>
          <cell r="H83" t="str">
            <v>2025-10-31</v>
          </cell>
          <cell r="I83">
            <v>8</v>
          </cell>
          <cell r="J83">
            <v>8</v>
          </cell>
          <cell r="K83" t="str">
            <v>1</v>
          </cell>
          <cell r="L83" t="str">
            <v>2025-11-13 11:33:50.993911000</v>
          </cell>
        </row>
        <row r="84">
          <cell r="A84" t="str">
            <v>B02.000150_FLG_STRCTRLLY_SBRDNTD</v>
          </cell>
          <cell r="B84" t="str">
            <v>B02.000150_FLG_STRCTRLLY_SBRDNTDCOERÊNCIA1</v>
          </cell>
          <cell r="C84" t="str">
            <v>B02.00</v>
          </cell>
          <cell r="D84" t="str">
            <v>COERÊNCIA</v>
          </cell>
          <cell r="E84" t="str">
            <v>BU_LOANTAPE_WORK.OUT_B0200_MAIN_LIABILITIES</v>
          </cell>
          <cell r="F84" t="str">
            <v>BU_CAPTOOLS_WORK.SIMUL_B0200</v>
          </cell>
          <cell r="G84" t="str">
            <v>0150_FLG_STRCTRLLY_SBRDNTD</v>
          </cell>
          <cell r="H84" t="str">
            <v>2025-10-31</v>
          </cell>
          <cell r="I84">
            <v>8</v>
          </cell>
          <cell r="J84">
            <v>0</v>
          </cell>
          <cell r="K84" t="str">
            <v>1</v>
          </cell>
          <cell r="L84" t="str">
            <v>2025-11-13 11:33:50.993911000</v>
          </cell>
        </row>
        <row r="85">
          <cell r="A85" t="str">
            <v>B02.000150_FLG_STRCTRLLY_SBRDNTD</v>
          </cell>
          <cell r="B85" t="str">
            <v>B02.000150_FLG_STRCTRLLY_SBRDNTDVALIDADE1</v>
          </cell>
          <cell r="C85" t="str">
            <v>B02.00</v>
          </cell>
          <cell r="D85" t="str">
            <v>VALIDADE</v>
          </cell>
          <cell r="E85" t="str">
            <v>BU_LOANTAPE_WORK.OUT_B0200_MAIN_LIABILITIES</v>
          </cell>
          <cell r="F85" t="str">
            <v>N/A</v>
          </cell>
          <cell r="G85" t="str">
            <v>0150_FLG_STRCTRLLY_SBRDNTD</v>
          </cell>
          <cell r="H85" t="str">
            <v>2025-10-31</v>
          </cell>
          <cell r="I85">
            <v>8</v>
          </cell>
          <cell r="J85">
            <v>0</v>
          </cell>
          <cell r="K85" t="str">
            <v>1</v>
          </cell>
          <cell r="L85" t="str">
            <v>2025-11-13 11:33:50.993911000</v>
          </cell>
        </row>
        <row r="86">
          <cell r="A86" t="str">
            <v>B02.000150_FLG_STRCTRLLY_SBRDNTD</v>
          </cell>
          <cell r="B86" t="str">
            <v>B02.000150_FLG_STRCTRLLY_SBRDNTDCARACTERES ESPECIAIS1</v>
          </cell>
          <cell r="C86" t="str">
            <v>B02.00</v>
          </cell>
          <cell r="D86" t="str">
            <v>CARACTERES ESPECIAIS</v>
          </cell>
          <cell r="E86" t="str">
            <v>BU_LOANTAPE_WORK.OUT_B0200_MAIN_LIABILITIES</v>
          </cell>
          <cell r="F86" t="str">
            <v>N/A</v>
          </cell>
          <cell r="G86" t="str">
            <v>0150_FLG_STRCTRLLY_SBRDNTD</v>
          </cell>
          <cell r="H86" t="str">
            <v>2025-10-31</v>
          </cell>
          <cell r="I86">
            <v>8</v>
          </cell>
          <cell r="J86">
            <v>0</v>
          </cell>
          <cell r="K86" t="str">
            <v>1</v>
          </cell>
          <cell r="L86" t="str">
            <v>2025-11-13 11:33:50.993911000</v>
          </cell>
        </row>
        <row r="87">
          <cell r="A87" t="str">
            <v>B02.000150_FLG_STRCTRLLY_SBRDNTD</v>
          </cell>
          <cell r="B87" t="str">
            <v>B02.000150_FLG_STRCTRLLY_SBRDNTDMISSINGS1</v>
          </cell>
          <cell r="C87" t="str">
            <v>B02.00</v>
          </cell>
          <cell r="D87" t="str">
            <v>MISSINGS</v>
          </cell>
          <cell r="E87" t="str">
            <v>BU_LOANTAPE_WORK.OUT_B0200_MAIN_LIABILITIES</v>
          </cell>
          <cell r="F87" t="str">
            <v>N/A</v>
          </cell>
          <cell r="G87" t="str">
            <v>0150_FLG_STRCTRLLY_SBRDNTD</v>
          </cell>
          <cell r="H87" t="str">
            <v>2025-10-31</v>
          </cell>
          <cell r="I87">
            <v>8</v>
          </cell>
          <cell r="J87">
            <v>0</v>
          </cell>
          <cell r="K87" t="str">
            <v>1</v>
          </cell>
          <cell r="L87" t="str">
            <v>2025-11-13 11:33:50.993911000</v>
          </cell>
        </row>
        <row r="88">
          <cell r="A88" t="str">
            <v>B02.000150_FLG_STRCTRLLY_SBRDNTD</v>
          </cell>
          <cell r="B88" t="str">
            <v>B02.000150_FLG_STRCTRLLY_SBRDNTDNOT APPLICABLE1</v>
          </cell>
          <cell r="C88" t="str">
            <v>B02.00</v>
          </cell>
          <cell r="D88" t="str">
            <v>NOT APPLICABLE</v>
          </cell>
          <cell r="E88" t="str">
            <v>BU_LOANTAPE_WORK.OUT_B0200_MAIN_LIABILITIES</v>
          </cell>
          <cell r="F88" t="str">
            <v>N/A</v>
          </cell>
          <cell r="G88" t="str">
            <v>0150_FLG_STRCTRLLY_SBRDNTD</v>
          </cell>
          <cell r="H88" t="str">
            <v>2025-10-31</v>
          </cell>
          <cell r="I88">
            <v>8</v>
          </cell>
          <cell r="J88">
            <v>8</v>
          </cell>
          <cell r="K88" t="str">
            <v>1</v>
          </cell>
          <cell r="L88" t="str">
            <v>2025-11-13 11:33:50.993911000</v>
          </cell>
        </row>
        <row r="89">
          <cell r="A89" t="str">
            <v>B02.000160_RANK_INSOLV</v>
          </cell>
          <cell r="B89" t="str">
            <v>B02.000160_RANK_INSOLVCOERÊNCIA1</v>
          </cell>
          <cell r="C89" t="str">
            <v>B02.00</v>
          </cell>
          <cell r="D89" t="str">
            <v>COERÊNCIA</v>
          </cell>
          <cell r="E89" t="str">
            <v>BU_LOANTAPE_WORK.OUT_B0200_MAIN_LIABILITIES</v>
          </cell>
          <cell r="F89" t="str">
            <v>BU_CAPTOOLS_WORK.SIMUL_B0200</v>
          </cell>
          <cell r="G89" t="str">
            <v>0160_RANK_INSOLV</v>
          </cell>
          <cell r="H89" t="str">
            <v>2025-10-31</v>
          </cell>
          <cell r="I89">
            <v>8</v>
          </cell>
          <cell r="J89">
            <v>0</v>
          </cell>
          <cell r="K89" t="str">
            <v>1</v>
          </cell>
          <cell r="L89" t="str">
            <v>2025-11-13 11:33:50.993911000</v>
          </cell>
        </row>
        <row r="90">
          <cell r="A90" t="str">
            <v>B02.000160_RANK_INSOLV</v>
          </cell>
          <cell r="B90" t="str">
            <v>B02.000160_RANK_INSOLVVALIDADE1</v>
          </cell>
          <cell r="C90" t="str">
            <v>B02.00</v>
          </cell>
          <cell r="D90" t="str">
            <v>VALIDADE</v>
          </cell>
          <cell r="E90" t="str">
            <v>BU_LOANTAPE_WORK.OUT_B0200_MAIN_LIABILITIES</v>
          </cell>
          <cell r="F90" t="str">
            <v>N/A</v>
          </cell>
          <cell r="G90" t="str">
            <v>0160_RANK_INSOLV</v>
          </cell>
          <cell r="H90" t="str">
            <v>2025-10-31</v>
          </cell>
          <cell r="I90">
            <v>8</v>
          </cell>
          <cell r="J90">
            <v>0</v>
          </cell>
          <cell r="K90" t="str">
            <v>1</v>
          </cell>
          <cell r="L90" t="str">
            <v>2025-11-13 11:33:50.993911000</v>
          </cell>
        </row>
        <row r="91">
          <cell r="A91" t="str">
            <v>B02.000160_RANK_INSOLV</v>
          </cell>
          <cell r="B91" t="str">
            <v>B02.000160_RANK_INSOLVCARACTERES ESPECIAIS1</v>
          </cell>
          <cell r="C91" t="str">
            <v>B02.00</v>
          </cell>
          <cell r="D91" t="str">
            <v>CARACTERES ESPECIAIS</v>
          </cell>
          <cell r="E91" t="str">
            <v>BU_LOANTAPE_WORK.OUT_B0200_MAIN_LIABILITIES</v>
          </cell>
          <cell r="F91" t="str">
            <v>N/A</v>
          </cell>
          <cell r="G91" t="str">
            <v>0160_RANK_INSOLV</v>
          </cell>
          <cell r="H91" t="str">
            <v>2025-10-31</v>
          </cell>
          <cell r="I91">
            <v>8</v>
          </cell>
          <cell r="J91">
            <v>0</v>
          </cell>
          <cell r="K91" t="str">
            <v>1</v>
          </cell>
          <cell r="L91" t="str">
            <v>2025-11-13 11:33:50.993911000</v>
          </cell>
        </row>
        <row r="92">
          <cell r="A92" t="str">
            <v>B02.000160_RANK_INSOLV</v>
          </cell>
          <cell r="B92" t="str">
            <v>B02.000160_RANK_INSOLVMISSINGS1</v>
          </cell>
          <cell r="C92" t="str">
            <v>B02.00</v>
          </cell>
          <cell r="D92" t="str">
            <v>MISSINGS</v>
          </cell>
          <cell r="E92" t="str">
            <v>BU_LOANTAPE_WORK.OUT_B0200_MAIN_LIABILITIES</v>
          </cell>
          <cell r="F92" t="str">
            <v>N/A</v>
          </cell>
          <cell r="G92" t="str">
            <v>0160_RANK_INSOLV</v>
          </cell>
          <cell r="H92" t="str">
            <v>2025-10-31</v>
          </cell>
          <cell r="I92">
            <v>8</v>
          </cell>
          <cell r="J92">
            <v>0</v>
          </cell>
          <cell r="K92" t="str">
            <v>1</v>
          </cell>
          <cell r="L92" t="str">
            <v>2025-11-13 11:33:50.993911000</v>
          </cell>
        </row>
        <row r="93">
          <cell r="A93" t="str">
            <v>B02.000160_RANK_INSOLV</v>
          </cell>
          <cell r="B93" t="str">
            <v>B02.000160_RANK_INSOLVNOT APPLICABLE1</v>
          </cell>
          <cell r="C93" t="str">
            <v>B02.00</v>
          </cell>
          <cell r="D93" t="str">
            <v>NOT APPLICABLE</v>
          </cell>
          <cell r="E93" t="str">
            <v>BU_LOANTAPE_WORK.OUT_B0200_MAIN_LIABILITIES</v>
          </cell>
          <cell r="F93" t="str">
            <v>N/A</v>
          </cell>
          <cell r="G93" t="str">
            <v>0160_RANK_INSOLV</v>
          </cell>
          <cell r="H93" t="str">
            <v>2025-10-31</v>
          </cell>
          <cell r="I93">
            <v>8</v>
          </cell>
          <cell r="J93">
            <v>0</v>
          </cell>
          <cell r="K93" t="str">
            <v>1</v>
          </cell>
          <cell r="L93" t="str">
            <v>2025-11-13 11:33:50.993911000</v>
          </cell>
        </row>
        <row r="94">
          <cell r="A94" t="str">
            <v>B02.000161_CNTRCTL_SBRDNTN</v>
          </cell>
          <cell r="B94" t="str">
            <v>B02.000161_CNTRCTL_SBRDNTNCOERÊNCIA1</v>
          </cell>
          <cell r="C94" t="str">
            <v>B02.00</v>
          </cell>
          <cell r="D94" t="str">
            <v>COERÊNCIA</v>
          </cell>
          <cell r="E94" t="str">
            <v>BU_LOANTAPE_WORK.OUT_B0200_MAIN_LIABILITIES</v>
          </cell>
          <cell r="F94" t="str">
            <v>BU_CAPTOOLS_WORK.SIMUL_B0200</v>
          </cell>
          <cell r="G94" t="str">
            <v>0161_CNTRCTL_SBRDNTN</v>
          </cell>
          <cell r="H94" t="str">
            <v>2025-10-31</v>
          </cell>
          <cell r="I94">
            <v>8</v>
          </cell>
          <cell r="J94">
            <v>0</v>
          </cell>
          <cell r="K94" t="str">
            <v>1</v>
          </cell>
          <cell r="L94" t="str">
            <v>2025-11-13 11:33:50.993911000</v>
          </cell>
        </row>
        <row r="95">
          <cell r="A95" t="str">
            <v>B02.000161_CNTRCTL_SBRDNTN</v>
          </cell>
          <cell r="B95" t="str">
            <v>B02.000161_CNTRCTL_SBRDNTNVALIDADE1</v>
          </cell>
          <cell r="C95" t="str">
            <v>B02.00</v>
          </cell>
          <cell r="D95" t="str">
            <v>VALIDADE</v>
          </cell>
          <cell r="E95" t="str">
            <v>BU_LOANTAPE_WORK.OUT_B0200_MAIN_LIABILITIES</v>
          </cell>
          <cell r="F95" t="str">
            <v>N/A</v>
          </cell>
          <cell r="G95" t="str">
            <v>0161_CNTRCTL_SBRDNTN</v>
          </cell>
          <cell r="H95" t="str">
            <v>2025-10-31</v>
          </cell>
          <cell r="I95">
            <v>8</v>
          </cell>
          <cell r="J95">
            <v>0</v>
          </cell>
          <cell r="K95" t="str">
            <v>1</v>
          </cell>
          <cell r="L95" t="str">
            <v>2025-11-13 11:33:50.993911000</v>
          </cell>
        </row>
        <row r="96">
          <cell r="A96" t="str">
            <v>B02.000161_CNTRCTL_SBRDNTN</v>
          </cell>
          <cell r="B96" t="str">
            <v>B02.000161_CNTRCTL_SBRDNTNCARACTERES ESPECIAIS1</v>
          </cell>
          <cell r="C96" t="str">
            <v>B02.00</v>
          </cell>
          <cell r="D96" t="str">
            <v>CARACTERES ESPECIAIS</v>
          </cell>
          <cell r="E96" t="str">
            <v>BU_LOANTAPE_WORK.OUT_B0200_MAIN_LIABILITIES</v>
          </cell>
          <cell r="F96" t="str">
            <v>N/A</v>
          </cell>
          <cell r="G96" t="str">
            <v>0161_CNTRCTL_SBRDNTN</v>
          </cell>
          <cell r="H96" t="str">
            <v>2025-10-31</v>
          </cell>
          <cell r="I96">
            <v>8</v>
          </cell>
          <cell r="J96">
            <v>0</v>
          </cell>
          <cell r="K96" t="str">
            <v>1</v>
          </cell>
          <cell r="L96" t="str">
            <v>2025-11-13 11:33:50.993911000</v>
          </cell>
        </row>
        <row r="97">
          <cell r="A97" t="str">
            <v>B02.000161_CNTRCTL_SBRDNTN</v>
          </cell>
          <cell r="B97" t="str">
            <v>B02.000161_CNTRCTL_SBRDNTNMISSINGS1</v>
          </cell>
          <cell r="C97" t="str">
            <v>B02.00</v>
          </cell>
          <cell r="D97" t="str">
            <v>MISSINGS</v>
          </cell>
          <cell r="E97" t="str">
            <v>BU_LOANTAPE_WORK.OUT_B0200_MAIN_LIABILITIES</v>
          </cell>
          <cell r="F97" t="str">
            <v>N/A</v>
          </cell>
          <cell r="G97" t="str">
            <v>0161_CNTRCTL_SBRDNTN</v>
          </cell>
          <cell r="H97" t="str">
            <v>2025-10-31</v>
          </cell>
          <cell r="I97">
            <v>8</v>
          </cell>
          <cell r="J97">
            <v>0</v>
          </cell>
          <cell r="K97" t="str">
            <v>1</v>
          </cell>
          <cell r="L97" t="str">
            <v>2025-11-13 11:33:50.993911000</v>
          </cell>
        </row>
        <row r="98">
          <cell r="A98" t="str">
            <v>B02.000161_CNTRCTL_SBRDNTN</v>
          </cell>
          <cell r="B98" t="str">
            <v>B02.000161_CNTRCTL_SBRDNTNNOT APPLICABLE1</v>
          </cell>
          <cell r="C98" t="str">
            <v>B02.00</v>
          </cell>
          <cell r="D98" t="str">
            <v>NOT APPLICABLE</v>
          </cell>
          <cell r="E98" t="str">
            <v>BU_LOANTAPE_WORK.OUT_B0200_MAIN_LIABILITIES</v>
          </cell>
          <cell r="F98" t="str">
            <v>N/A</v>
          </cell>
          <cell r="G98" t="str">
            <v>0161_CNTRCTL_SBRDNTN</v>
          </cell>
          <cell r="H98" t="str">
            <v>2025-10-31</v>
          </cell>
          <cell r="I98">
            <v>8</v>
          </cell>
          <cell r="J98">
            <v>0</v>
          </cell>
          <cell r="K98" t="str">
            <v>1</v>
          </cell>
          <cell r="L98" t="str">
            <v>2025-11-13 11:33:50.993911000</v>
          </cell>
        </row>
        <row r="99">
          <cell r="A99" t="str">
            <v>B02.000162_BAIL_IN_CASCADE</v>
          </cell>
          <cell r="B99" t="str">
            <v>B02.000162_BAIL_IN_CASCADECOERÊNCIA1</v>
          </cell>
          <cell r="C99" t="str">
            <v>B02.00</v>
          </cell>
          <cell r="D99" t="str">
            <v>COERÊNCIA</v>
          </cell>
          <cell r="E99" t="str">
            <v>BU_LOANTAPE_WORK.OUT_B0200_MAIN_LIABILITIES</v>
          </cell>
          <cell r="F99" t="str">
            <v>BU_CAPTOOLS_WORK.SIMUL_B0200</v>
          </cell>
          <cell r="G99" t="str">
            <v>0162_BAIL_IN_CASCADE</v>
          </cell>
          <cell r="H99" t="str">
            <v>2025-10-31</v>
          </cell>
          <cell r="I99">
            <v>8</v>
          </cell>
          <cell r="J99">
            <v>0</v>
          </cell>
          <cell r="K99" t="str">
            <v>1</v>
          </cell>
          <cell r="L99" t="str">
            <v>2025-11-13 11:33:50.993911000</v>
          </cell>
        </row>
        <row r="100">
          <cell r="A100" t="str">
            <v>B02.000162_BAIL_IN_CASCADE</v>
          </cell>
          <cell r="B100" t="str">
            <v>B02.000162_BAIL_IN_CASCADEVALIDADE1</v>
          </cell>
          <cell r="C100" t="str">
            <v>B02.00</v>
          </cell>
          <cell r="D100" t="str">
            <v>VALIDADE</v>
          </cell>
          <cell r="E100" t="str">
            <v>BU_LOANTAPE_WORK.OUT_B0200_MAIN_LIABILITIES</v>
          </cell>
          <cell r="F100" t="str">
            <v>N/A</v>
          </cell>
          <cell r="G100" t="str">
            <v>0162_BAIL_IN_CASCADE</v>
          </cell>
          <cell r="H100" t="str">
            <v>2025-10-31</v>
          </cell>
          <cell r="I100">
            <v>8</v>
          </cell>
          <cell r="J100">
            <v>0</v>
          </cell>
          <cell r="K100" t="str">
            <v>1</v>
          </cell>
          <cell r="L100" t="str">
            <v>2025-11-13 11:33:50.993911000</v>
          </cell>
        </row>
        <row r="101">
          <cell r="A101" t="str">
            <v>B02.000162_BAIL_IN_CASCADE</v>
          </cell>
          <cell r="B101" t="str">
            <v>B02.000162_BAIL_IN_CASCADECARACTERES ESPECIAIS1</v>
          </cell>
          <cell r="C101" t="str">
            <v>B02.00</v>
          </cell>
          <cell r="D101" t="str">
            <v>CARACTERES ESPECIAIS</v>
          </cell>
          <cell r="E101" t="str">
            <v>BU_LOANTAPE_WORK.OUT_B0200_MAIN_LIABILITIES</v>
          </cell>
          <cell r="F101" t="str">
            <v>N/A</v>
          </cell>
          <cell r="G101" t="str">
            <v>0162_BAIL_IN_CASCADE</v>
          </cell>
          <cell r="H101" t="str">
            <v>2025-10-31</v>
          </cell>
          <cell r="I101">
            <v>8</v>
          </cell>
          <cell r="J101">
            <v>0</v>
          </cell>
          <cell r="K101" t="str">
            <v>1</v>
          </cell>
          <cell r="L101" t="str">
            <v>2025-11-13 11:33:50.993911000</v>
          </cell>
        </row>
        <row r="102">
          <cell r="A102" t="str">
            <v>B02.000162_BAIL_IN_CASCADE</v>
          </cell>
          <cell r="B102" t="str">
            <v>B02.000162_BAIL_IN_CASCADEMISSINGS1</v>
          </cell>
          <cell r="C102" t="str">
            <v>B02.00</v>
          </cell>
          <cell r="D102" t="str">
            <v>MISSINGS</v>
          </cell>
          <cell r="E102" t="str">
            <v>BU_LOANTAPE_WORK.OUT_B0200_MAIN_LIABILITIES</v>
          </cell>
          <cell r="F102" t="str">
            <v>N/A</v>
          </cell>
          <cell r="G102" t="str">
            <v>0162_BAIL_IN_CASCADE</v>
          </cell>
          <cell r="H102" t="str">
            <v>2025-10-31</v>
          </cell>
          <cell r="I102">
            <v>8</v>
          </cell>
          <cell r="J102">
            <v>0</v>
          </cell>
          <cell r="K102" t="str">
            <v>1</v>
          </cell>
          <cell r="L102" t="str">
            <v>2025-11-13 11:33:50.993911000</v>
          </cell>
        </row>
        <row r="103">
          <cell r="A103" t="str">
            <v>B02.000162_BAIL_IN_CASCADE</v>
          </cell>
          <cell r="B103" t="str">
            <v>B02.000162_BAIL_IN_CASCADENOT APPLICABLE1</v>
          </cell>
          <cell r="C103" t="str">
            <v>B02.00</v>
          </cell>
          <cell r="D103" t="str">
            <v>NOT APPLICABLE</v>
          </cell>
          <cell r="E103" t="str">
            <v>BU_LOANTAPE_WORK.OUT_B0200_MAIN_LIABILITIES</v>
          </cell>
          <cell r="F103" t="str">
            <v>N/A</v>
          </cell>
          <cell r="G103" t="str">
            <v>0162_BAIL_IN_CASCADE</v>
          </cell>
          <cell r="H103" t="str">
            <v>2025-10-31</v>
          </cell>
          <cell r="I103">
            <v>8</v>
          </cell>
          <cell r="J103">
            <v>0</v>
          </cell>
          <cell r="K103" t="str">
            <v>1</v>
          </cell>
          <cell r="L103" t="str">
            <v>2025-11-13 11:33:50.993911000</v>
          </cell>
        </row>
        <row r="104">
          <cell r="A104" t="str">
            <v>B02.000170_DT_INCPTN</v>
          </cell>
          <cell r="B104" t="str">
            <v>B02.000170_DT_INCPTNCOERÊNCIA1</v>
          </cell>
          <cell r="C104" t="str">
            <v>B02.00</v>
          </cell>
          <cell r="D104" t="str">
            <v>COERÊNCIA</v>
          </cell>
          <cell r="E104" t="str">
            <v>BU_LOANTAPE_WORK.OUT_B0200_MAIN_LIABILITIES</v>
          </cell>
          <cell r="F104" t="str">
            <v>BU_CAPTOOLS_WORK.SIMUL_B0200</v>
          </cell>
          <cell r="G104" t="str">
            <v>0170_DT_INCPTN</v>
          </cell>
          <cell r="H104" t="str">
            <v>2025-10-31</v>
          </cell>
          <cell r="I104">
            <v>8</v>
          </cell>
          <cell r="J104">
            <v>0</v>
          </cell>
          <cell r="K104" t="str">
            <v>1</v>
          </cell>
          <cell r="L104" t="str">
            <v>2025-11-13 11:33:50.993911000</v>
          </cell>
        </row>
        <row r="105">
          <cell r="A105" t="str">
            <v>B02.000170_DT_INCPTN</v>
          </cell>
          <cell r="B105" t="str">
            <v>B02.000170_DT_INCPTNVALIDADE1</v>
          </cell>
          <cell r="C105" t="str">
            <v>B02.00</v>
          </cell>
          <cell r="D105" t="str">
            <v>VALIDADE</v>
          </cell>
          <cell r="E105" t="str">
            <v>BU_LOANTAPE_WORK.OUT_B0200_MAIN_LIABILITIES</v>
          </cell>
          <cell r="F105" t="str">
            <v>N/A</v>
          </cell>
          <cell r="G105" t="str">
            <v>0170_DT_INCPTN</v>
          </cell>
          <cell r="H105" t="str">
            <v>2025-10-31</v>
          </cell>
          <cell r="I105">
            <v>8</v>
          </cell>
          <cell r="J105">
            <v>0</v>
          </cell>
          <cell r="K105" t="str">
            <v>1</v>
          </cell>
          <cell r="L105" t="str">
            <v>2025-11-13 11:33:50.993911000</v>
          </cell>
        </row>
        <row r="106">
          <cell r="A106" t="str">
            <v>B02.000170_DT_INCPTN</v>
          </cell>
          <cell r="B106" t="str">
            <v>B02.000170_DT_INCPTNCARACTERES ESPECIAIS1</v>
          </cell>
          <cell r="C106" t="str">
            <v>B02.00</v>
          </cell>
          <cell r="D106" t="str">
            <v>CARACTERES ESPECIAIS</v>
          </cell>
          <cell r="E106" t="str">
            <v>BU_LOANTAPE_WORK.OUT_B0200_MAIN_LIABILITIES</v>
          </cell>
          <cell r="F106" t="str">
            <v>N/A</v>
          </cell>
          <cell r="G106" t="str">
            <v>0170_DT_INCPTN</v>
          </cell>
          <cell r="H106" t="str">
            <v>2025-10-31</v>
          </cell>
          <cell r="I106">
            <v>8</v>
          </cell>
          <cell r="J106">
            <v>0</v>
          </cell>
          <cell r="K106" t="str">
            <v>1</v>
          </cell>
          <cell r="L106" t="str">
            <v>2025-11-13 11:33:50.993911000</v>
          </cell>
        </row>
        <row r="107">
          <cell r="A107" t="str">
            <v>B02.000170_DT_INCPTN</v>
          </cell>
          <cell r="B107" t="str">
            <v>B02.000170_DT_INCPTNMISSINGS1</v>
          </cell>
          <cell r="C107" t="str">
            <v>B02.00</v>
          </cell>
          <cell r="D107" t="str">
            <v>MISSINGS</v>
          </cell>
          <cell r="E107" t="str">
            <v>BU_LOANTAPE_WORK.OUT_B0200_MAIN_LIABILITIES</v>
          </cell>
          <cell r="F107" t="str">
            <v>N/A</v>
          </cell>
          <cell r="G107" t="str">
            <v>0170_DT_INCPTN</v>
          </cell>
          <cell r="H107" t="str">
            <v>2025-10-31</v>
          </cell>
          <cell r="I107">
            <v>8</v>
          </cell>
          <cell r="J107">
            <v>0</v>
          </cell>
          <cell r="K107" t="str">
            <v>1</v>
          </cell>
          <cell r="L107" t="str">
            <v>2025-11-13 11:33:50.993911000</v>
          </cell>
        </row>
        <row r="108">
          <cell r="A108" t="str">
            <v>B02.000170_DT_INCPTN</v>
          </cell>
          <cell r="B108" t="str">
            <v>B02.000170_DT_INCPTNNOT APPLICABLE1</v>
          </cell>
          <cell r="C108" t="str">
            <v>B02.00</v>
          </cell>
          <cell r="D108" t="str">
            <v>NOT APPLICABLE</v>
          </cell>
          <cell r="E108" t="str">
            <v>BU_LOANTAPE_WORK.OUT_B0200_MAIN_LIABILITIES</v>
          </cell>
          <cell r="F108" t="str">
            <v>N/A</v>
          </cell>
          <cell r="G108" t="str">
            <v>0170_DT_INCPTN</v>
          </cell>
          <cell r="H108" t="str">
            <v>2025-10-31</v>
          </cell>
          <cell r="I108">
            <v>8</v>
          </cell>
          <cell r="J108">
            <v>0</v>
          </cell>
          <cell r="K108" t="str">
            <v>1</v>
          </cell>
          <cell r="L108" t="str">
            <v>2025-11-13 11:33:50.993911000</v>
          </cell>
        </row>
        <row r="109">
          <cell r="A109" t="str">
            <v>B02.000180_DT_NXT_INTRST_PYMNT</v>
          </cell>
          <cell r="B109" t="str">
            <v>B02.000180_DT_NXT_INTRST_PYMNTCOERÊNCIA1</v>
          </cell>
          <cell r="C109" t="str">
            <v>B02.00</v>
          </cell>
          <cell r="D109" t="str">
            <v>COERÊNCIA</v>
          </cell>
          <cell r="E109" t="str">
            <v>BU_LOANTAPE_WORK.OUT_B0200_MAIN_LIABILITIES</v>
          </cell>
          <cell r="F109" t="str">
            <v>BU_CAPTOOLS_WORK.SIMUL_B0200</v>
          </cell>
          <cell r="G109" t="str">
            <v>0180_DT_NXT_INTRST_PYMNT</v>
          </cell>
          <cell r="H109" t="str">
            <v>2025-10-31</v>
          </cell>
          <cell r="I109">
            <v>8</v>
          </cell>
          <cell r="J109">
            <v>8</v>
          </cell>
          <cell r="K109" t="str">
            <v>1</v>
          </cell>
          <cell r="L109" t="str">
            <v>2025-11-13 11:33:50.993911000</v>
          </cell>
        </row>
        <row r="110">
          <cell r="A110" t="str">
            <v>B02.000180_DT_NXT_INTRST_PYMNT</v>
          </cell>
          <cell r="B110" t="str">
            <v>B02.000180_DT_NXT_INTRST_PYMNTVALIDADE1</v>
          </cell>
          <cell r="C110" t="str">
            <v>B02.00</v>
          </cell>
          <cell r="D110" t="str">
            <v>VALIDADE</v>
          </cell>
          <cell r="E110" t="str">
            <v>BU_LOANTAPE_WORK.OUT_B0200_MAIN_LIABILITIES</v>
          </cell>
          <cell r="F110" t="str">
            <v>N/A</v>
          </cell>
          <cell r="G110" t="str">
            <v>0180_DT_NXT_INTRST_PYMNT</v>
          </cell>
          <cell r="H110" t="str">
            <v>2025-10-31</v>
          </cell>
          <cell r="I110">
            <v>8</v>
          </cell>
          <cell r="J110">
            <v>8</v>
          </cell>
          <cell r="K110" t="str">
            <v>1</v>
          </cell>
          <cell r="L110" t="str">
            <v>2025-11-13 11:33:50.993911000</v>
          </cell>
        </row>
        <row r="111">
          <cell r="A111" t="str">
            <v>B02.000180_DT_NXT_INTRST_PYMNT</v>
          </cell>
          <cell r="B111" t="str">
            <v>B02.000180_DT_NXT_INTRST_PYMNTCARACTERES ESPECIAIS1</v>
          </cell>
          <cell r="C111" t="str">
            <v>B02.00</v>
          </cell>
          <cell r="D111" t="str">
            <v>CARACTERES ESPECIAIS</v>
          </cell>
          <cell r="E111" t="str">
            <v>BU_LOANTAPE_WORK.OUT_B0200_MAIN_LIABILITIES</v>
          </cell>
          <cell r="F111" t="str">
            <v>N/A</v>
          </cell>
          <cell r="G111" t="str">
            <v>0180_DT_NXT_INTRST_PYMNT</v>
          </cell>
          <cell r="H111" t="str">
            <v>2025-10-31</v>
          </cell>
          <cell r="I111">
            <v>8</v>
          </cell>
          <cell r="J111">
            <v>0</v>
          </cell>
          <cell r="K111" t="str">
            <v>1</v>
          </cell>
          <cell r="L111" t="str">
            <v>2025-11-13 11:33:50.993911000</v>
          </cell>
        </row>
        <row r="112">
          <cell r="A112" t="str">
            <v>B02.000180_DT_NXT_INTRST_PYMNT</v>
          </cell>
          <cell r="B112" t="str">
            <v>B02.000180_DT_NXT_INTRST_PYMNTMISSINGS1</v>
          </cell>
          <cell r="C112" t="str">
            <v>B02.00</v>
          </cell>
          <cell r="D112" t="str">
            <v>MISSINGS</v>
          </cell>
          <cell r="E112" t="str">
            <v>BU_LOANTAPE_WORK.OUT_B0200_MAIN_LIABILITIES</v>
          </cell>
          <cell r="F112" t="str">
            <v>N/A</v>
          </cell>
          <cell r="G112" t="str">
            <v>0180_DT_NXT_INTRST_PYMNT</v>
          </cell>
          <cell r="H112" t="str">
            <v>2025-10-31</v>
          </cell>
          <cell r="I112">
            <v>8</v>
          </cell>
          <cell r="J112">
            <v>8</v>
          </cell>
          <cell r="K112" t="str">
            <v>1</v>
          </cell>
          <cell r="L112" t="str">
            <v>2025-11-13 11:33:50.993911000</v>
          </cell>
        </row>
        <row r="113">
          <cell r="A113" t="str">
            <v>B02.000180_DT_NXT_INTRST_PYMNT</v>
          </cell>
          <cell r="B113" t="str">
            <v>B02.000180_DT_NXT_INTRST_PYMNTNOT APPLICABLE1</v>
          </cell>
          <cell r="C113" t="str">
            <v>B02.00</v>
          </cell>
          <cell r="D113" t="str">
            <v>NOT APPLICABLE</v>
          </cell>
          <cell r="E113" t="str">
            <v>BU_LOANTAPE_WORK.OUT_B0200_MAIN_LIABILITIES</v>
          </cell>
          <cell r="F113" t="str">
            <v>N/A</v>
          </cell>
          <cell r="G113" t="str">
            <v>0180_DT_NXT_INTRST_PYMNT</v>
          </cell>
          <cell r="H113" t="str">
            <v>2025-10-31</v>
          </cell>
          <cell r="I113">
            <v>8</v>
          </cell>
          <cell r="J113">
            <v>0</v>
          </cell>
          <cell r="K113" t="str">
            <v>1</v>
          </cell>
          <cell r="L113" t="str">
            <v>2025-11-13 11:33:50.993911000</v>
          </cell>
        </row>
        <row r="114">
          <cell r="A114" t="str">
            <v>B02.000190_DT_NXT_RDMPTN_PYMNT</v>
          </cell>
          <cell r="B114" t="str">
            <v>B02.000190_DT_NXT_RDMPTN_PYMNTCOERÊNCIA1</v>
          </cell>
          <cell r="C114" t="str">
            <v>B02.00</v>
          </cell>
          <cell r="D114" t="str">
            <v>COERÊNCIA</v>
          </cell>
          <cell r="E114" t="str">
            <v>BU_LOANTAPE_WORK.OUT_B0200_MAIN_LIABILITIES</v>
          </cell>
          <cell r="F114" t="str">
            <v>BU_CAPTOOLS_WORK.SIMUL_B0200</v>
          </cell>
          <cell r="G114" t="str">
            <v>0190_DT_NXT_RDMPTN_PYMNT</v>
          </cell>
          <cell r="H114" t="str">
            <v>2025-10-31</v>
          </cell>
          <cell r="I114">
            <v>8</v>
          </cell>
          <cell r="J114">
            <v>3</v>
          </cell>
          <cell r="K114" t="str">
            <v>1</v>
          </cell>
          <cell r="L114" t="str">
            <v>2025-11-13 11:33:50.993911000</v>
          </cell>
        </row>
        <row r="115">
          <cell r="A115" t="str">
            <v>B02.000190_DT_NXT_RDMPTN_PYMNT</v>
          </cell>
          <cell r="B115" t="str">
            <v>B02.000190_DT_NXT_RDMPTN_PYMNTVALIDADE1</v>
          </cell>
          <cell r="C115" t="str">
            <v>B02.00</v>
          </cell>
          <cell r="D115" t="str">
            <v>VALIDADE</v>
          </cell>
          <cell r="E115" t="str">
            <v>BU_LOANTAPE_WORK.OUT_B0200_MAIN_LIABILITIES</v>
          </cell>
          <cell r="F115" t="str">
            <v>N/A</v>
          </cell>
          <cell r="G115" t="str">
            <v>0190_DT_NXT_RDMPTN_PYMNT</v>
          </cell>
          <cell r="H115" t="str">
            <v>2025-10-31</v>
          </cell>
          <cell r="I115">
            <v>8</v>
          </cell>
          <cell r="J115">
            <v>0</v>
          </cell>
          <cell r="K115" t="str">
            <v>1</v>
          </cell>
          <cell r="L115" t="str">
            <v>2025-11-13 11:33:50.993911000</v>
          </cell>
        </row>
        <row r="116">
          <cell r="A116" t="str">
            <v>B02.000190_DT_NXT_RDMPTN_PYMNT</v>
          </cell>
          <cell r="B116" t="str">
            <v>B02.000190_DT_NXT_RDMPTN_PYMNTCARACTERES ESPECIAIS1</v>
          </cell>
          <cell r="C116" t="str">
            <v>B02.00</v>
          </cell>
          <cell r="D116" t="str">
            <v>CARACTERES ESPECIAIS</v>
          </cell>
          <cell r="E116" t="str">
            <v>BU_LOANTAPE_WORK.OUT_B0200_MAIN_LIABILITIES</v>
          </cell>
          <cell r="F116" t="str">
            <v>N/A</v>
          </cell>
          <cell r="G116" t="str">
            <v>0190_DT_NXT_RDMPTN_PYMNT</v>
          </cell>
          <cell r="H116" t="str">
            <v>2025-10-31</v>
          </cell>
          <cell r="I116">
            <v>8</v>
          </cell>
          <cell r="J116">
            <v>0</v>
          </cell>
          <cell r="K116" t="str">
            <v>1</v>
          </cell>
          <cell r="L116" t="str">
            <v>2025-11-13 11:33:50.993911000</v>
          </cell>
        </row>
        <row r="117">
          <cell r="A117" t="str">
            <v>B02.000190_DT_NXT_RDMPTN_PYMNT</v>
          </cell>
          <cell r="B117" t="str">
            <v>B02.000190_DT_NXT_RDMPTN_PYMNTMISSINGS1</v>
          </cell>
          <cell r="C117" t="str">
            <v>B02.00</v>
          </cell>
          <cell r="D117" t="str">
            <v>MISSINGS</v>
          </cell>
          <cell r="E117" t="str">
            <v>BU_LOANTAPE_WORK.OUT_B0200_MAIN_LIABILITIES</v>
          </cell>
          <cell r="F117" t="str">
            <v>N/A</v>
          </cell>
          <cell r="G117" t="str">
            <v>0190_DT_NXT_RDMPTN_PYMNT</v>
          </cell>
          <cell r="H117" t="str">
            <v>2025-10-31</v>
          </cell>
          <cell r="I117">
            <v>8</v>
          </cell>
          <cell r="J117">
            <v>0</v>
          </cell>
          <cell r="K117" t="str">
            <v>1</v>
          </cell>
          <cell r="L117" t="str">
            <v>2025-11-13 11:33:50.993911000</v>
          </cell>
        </row>
        <row r="118">
          <cell r="A118" t="str">
            <v>B02.000190_DT_NXT_RDMPTN_PYMNT</v>
          </cell>
          <cell r="B118" t="str">
            <v>B02.000190_DT_NXT_RDMPTN_PYMNTNOT APPLICABLE1</v>
          </cell>
          <cell r="C118" t="str">
            <v>B02.00</v>
          </cell>
          <cell r="D118" t="str">
            <v>NOT APPLICABLE</v>
          </cell>
          <cell r="E118" t="str">
            <v>BU_LOANTAPE_WORK.OUT_B0200_MAIN_LIABILITIES</v>
          </cell>
          <cell r="F118" t="str">
            <v>N/A</v>
          </cell>
          <cell r="G118" t="str">
            <v>0190_DT_NXT_RDMPTN_PYMNT</v>
          </cell>
          <cell r="H118" t="str">
            <v>2025-10-31</v>
          </cell>
          <cell r="I118">
            <v>8</v>
          </cell>
          <cell r="J118">
            <v>3</v>
          </cell>
          <cell r="K118" t="str">
            <v>1</v>
          </cell>
          <cell r="L118" t="str">
            <v>2025-11-13 11:33:50.993911000</v>
          </cell>
        </row>
        <row r="119">
          <cell r="A119" t="str">
            <v>B02.000200_DT_ERLST_RDMPTN</v>
          </cell>
          <cell r="B119" t="str">
            <v>B02.000200_DT_ERLST_RDMPTNCOERÊNCIA1</v>
          </cell>
          <cell r="C119" t="str">
            <v>B02.00</v>
          </cell>
          <cell r="D119" t="str">
            <v>COERÊNCIA</v>
          </cell>
          <cell r="E119" t="str">
            <v>BU_LOANTAPE_WORK.OUT_B0200_MAIN_LIABILITIES</v>
          </cell>
          <cell r="F119" t="str">
            <v>BU_CAPTOOLS_WORK.SIMUL_B0200</v>
          </cell>
          <cell r="G119" t="str">
            <v>0200_DT_ERLST_RDMPTN</v>
          </cell>
          <cell r="H119" t="str">
            <v>2025-10-31</v>
          </cell>
          <cell r="I119">
            <v>8</v>
          </cell>
          <cell r="J119">
            <v>0</v>
          </cell>
          <cell r="K119" t="str">
            <v>1</v>
          </cell>
          <cell r="L119" t="str">
            <v>2025-11-13 11:33:50.993911000</v>
          </cell>
        </row>
        <row r="120">
          <cell r="A120" t="str">
            <v>B02.000200_DT_ERLST_RDMPTN</v>
          </cell>
          <cell r="B120" t="str">
            <v>B02.000200_DT_ERLST_RDMPTNVALIDADE1</v>
          </cell>
          <cell r="C120" t="str">
            <v>B02.00</v>
          </cell>
          <cell r="D120" t="str">
            <v>VALIDADE</v>
          </cell>
          <cell r="E120" t="str">
            <v>BU_LOANTAPE_WORK.OUT_B0200_MAIN_LIABILITIES</v>
          </cell>
          <cell r="F120" t="str">
            <v>N/A</v>
          </cell>
          <cell r="G120" t="str">
            <v>0200_DT_ERLST_RDMPTN</v>
          </cell>
          <cell r="H120" t="str">
            <v>2025-10-31</v>
          </cell>
          <cell r="I120">
            <v>8</v>
          </cell>
          <cell r="J120">
            <v>0</v>
          </cell>
          <cell r="K120" t="str">
            <v>1</v>
          </cell>
          <cell r="L120" t="str">
            <v>2025-11-13 11:33:50.993911000</v>
          </cell>
        </row>
        <row r="121">
          <cell r="A121" t="str">
            <v>B02.000200_DT_ERLST_RDMPTN</v>
          </cell>
          <cell r="B121" t="str">
            <v>B02.000200_DT_ERLST_RDMPTNCARACTERES ESPECIAIS1</v>
          </cell>
          <cell r="C121" t="str">
            <v>B02.00</v>
          </cell>
          <cell r="D121" t="str">
            <v>CARACTERES ESPECIAIS</v>
          </cell>
          <cell r="E121" t="str">
            <v>BU_LOANTAPE_WORK.OUT_B0200_MAIN_LIABILITIES</v>
          </cell>
          <cell r="F121" t="str">
            <v>N/A</v>
          </cell>
          <cell r="G121" t="str">
            <v>0200_DT_ERLST_RDMPTN</v>
          </cell>
          <cell r="H121" t="str">
            <v>2025-10-31</v>
          </cell>
          <cell r="I121">
            <v>8</v>
          </cell>
          <cell r="J121">
            <v>0</v>
          </cell>
          <cell r="K121" t="str">
            <v>1</v>
          </cell>
          <cell r="L121" t="str">
            <v>2025-11-13 11:33:50.993911000</v>
          </cell>
        </row>
        <row r="122">
          <cell r="A122" t="str">
            <v>B02.000200_DT_ERLST_RDMPTN</v>
          </cell>
          <cell r="B122" t="str">
            <v>B02.000200_DT_ERLST_RDMPTNMISSINGS1</v>
          </cell>
          <cell r="C122" t="str">
            <v>B02.00</v>
          </cell>
          <cell r="D122" t="str">
            <v>MISSINGS</v>
          </cell>
          <cell r="E122" t="str">
            <v>BU_LOANTAPE_WORK.OUT_B0200_MAIN_LIABILITIES</v>
          </cell>
          <cell r="F122" t="str">
            <v>N/A</v>
          </cell>
          <cell r="G122" t="str">
            <v>0200_DT_ERLST_RDMPTN</v>
          </cell>
          <cell r="H122" t="str">
            <v>2025-10-31</v>
          </cell>
          <cell r="I122">
            <v>8</v>
          </cell>
          <cell r="J122">
            <v>0</v>
          </cell>
          <cell r="K122" t="str">
            <v>1</v>
          </cell>
          <cell r="L122" t="str">
            <v>2025-11-13 11:33:50.993911000</v>
          </cell>
        </row>
        <row r="123">
          <cell r="A123" t="str">
            <v>B02.000200_DT_ERLST_RDMPTN</v>
          </cell>
          <cell r="B123" t="str">
            <v>B02.000200_DT_ERLST_RDMPTNNOT APPLICABLE1</v>
          </cell>
          <cell r="C123" t="str">
            <v>B02.00</v>
          </cell>
          <cell r="D123" t="str">
            <v>NOT APPLICABLE</v>
          </cell>
          <cell r="E123" t="str">
            <v>BU_LOANTAPE_WORK.OUT_B0200_MAIN_LIABILITIES</v>
          </cell>
          <cell r="F123" t="str">
            <v>N/A</v>
          </cell>
          <cell r="G123" t="str">
            <v>0200_DT_ERLST_RDMPTN</v>
          </cell>
          <cell r="H123" t="str">
            <v>2025-10-31</v>
          </cell>
          <cell r="I123">
            <v>8</v>
          </cell>
          <cell r="J123">
            <v>8</v>
          </cell>
          <cell r="K123" t="str">
            <v>1</v>
          </cell>
          <cell r="L123" t="str">
            <v>2025-11-13 11:33:50.993911000</v>
          </cell>
        </row>
        <row r="124">
          <cell r="A124" t="str">
            <v>B02.000210_DT_LGL_FNL_MTRTY</v>
          </cell>
          <cell r="B124" t="str">
            <v>B02.000210_DT_LGL_FNL_MTRTYCOERÊNCIA1</v>
          </cell>
          <cell r="C124" t="str">
            <v>B02.00</v>
          </cell>
          <cell r="D124" t="str">
            <v>COERÊNCIA</v>
          </cell>
          <cell r="E124" t="str">
            <v>BU_LOANTAPE_WORK.OUT_B0200_MAIN_LIABILITIES</v>
          </cell>
          <cell r="F124" t="str">
            <v>BU_CAPTOOLS_WORK.SIMUL_B0200</v>
          </cell>
          <cell r="G124" t="str">
            <v>0210_DT_LGL_FNL_MTRTY</v>
          </cell>
          <cell r="H124" t="str">
            <v>2025-10-31</v>
          </cell>
          <cell r="I124">
            <v>8</v>
          </cell>
          <cell r="J124">
            <v>3</v>
          </cell>
          <cell r="K124" t="str">
            <v>1</v>
          </cell>
          <cell r="L124" t="str">
            <v>2025-11-13 11:33:50.993911000</v>
          </cell>
        </row>
        <row r="125">
          <cell r="A125" t="str">
            <v>B02.000210_DT_LGL_FNL_MTRTY</v>
          </cell>
          <cell r="B125" t="str">
            <v>B02.000210_DT_LGL_FNL_MTRTYVALIDADE1</v>
          </cell>
          <cell r="C125" t="str">
            <v>B02.00</v>
          </cell>
          <cell r="D125" t="str">
            <v>VALIDADE</v>
          </cell>
          <cell r="E125" t="str">
            <v>BU_LOANTAPE_WORK.OUT_B0200_MAIN_LIABILITIES</v>
          </cell>
          <cell r="F125" t="str">
            <v>N/A</v>
          </cell>
          <cell r="G125" t="str">
            <v>0210_DT_LGL_FNL_MTRTY</v>
          </cell>
          <cell r="H125" t="str">
            <v>2025-10-31</v>
          </cell>
          <cell r="I125">
            <v>8</v>
          </cell>
          <cell r="J125">
            <v>0</v>
          </cell>
          <cell r="K125" t="str">
            <v>1</v>
          </cell>
          <cell r="L125" t="str">
            <v>2025-11-13 11:33:50.993911000</v>
          </cell>
        </row>
        <row r="126">
          <cell r="A126" t="str">
            <v>B02.000210_DT_LGL_FNL_MTRTY</v>
          </cell>
          <cell r="B126" t="str">
            <v>B02.000210_DT_LGL_FNL_MTRTYCARACTERES ESPECIAIS1</v>
          </cell>
          <cell r="C126" t="str">
            <v>B02.00</v>
          </cell>
          <cell r="D126" t="str">
            <v>CARACTERES ESPECIAIS</v>
          </cell>
          <cell r="E126" t="str">
            <v>BU_LOANTAPE_WORK.OUT_B0200_MAIN_LIABILITIES</v>
          </cell>
          <cell r="F126" t="str">
            <v>N/A</v>
          </cell>
          <cell r="G126" t="str">
            <v>0210_DT_LGL_FNL_MTRTY</v>
          </cell>
          <cell r="H126" t="str">
            <v>2025-10-31</v>
          </cell>
          <cell r="I126">
            <v>8</v>
          </cell>
          <cell r="J126">
            <v>0</v>
          </cell>
          <cell r="K126" t="str">
            <v>1</v>
          </cell>
          <cell r="L126" t="str">
            <v>2025-11-13 11:33:50.993911000</v>
          </cell>
        </row>
        <row r="127">
          <cell r="A127" t="str">
            <v>B02.000210_DT_LGL_FNL_MTRTY</v>
          </cell>
          <cell r="B127" t="str">
            <v>B02.000210_DT_LGL_FNL_MTRTYMISSINGS1</v>
          </cell>
          <cell r="C127" t="str">
            <v>B02.00</v>
          </cell>
          <cell r="D127" t="str">
            <v>MISSINGS</v>
          </cell>
          <cell r="E127" t="str">
            <v>BU_LOANTAPE_WORK.OUT_B0200_MAIN_LIABILITIES</v>
          </cell>
          <cell r="F127" t="str">
            <v>N/A</v>
          </cell>
          <cell r="G127" t="str">
            <v>0210_DT_LGL_FNL_MTRTY</v>
          </cell>
          <cell r="H127" t="str">
            <v>2025-10-31</v>
          </cell>
          <cell r="I127">
            <v>8</v>
          </cell>
          <cell r="J127">
            <v>0</v>
          </cell>
          <cell r="K127" t="str">
            <v>1</v>
          </cell>
          <cell r="L127" t="str">
            <v>2025-11-13 11:33:50.993911000</v>
          </cell>
        </row>
        <row r="128">
          <cell r="A128" t="str">
            <v>B02.000210_DT_LGL_FNL_MTRTY</v>
          </cell>
          <cell r="B128" t="str">
            <v>B02.000210_DT_LGL_FNL_MTRTYNOT APPLICABLE1</v>
          </cell>
          <cell r="C128" t="str">
            <v>B02.00</v>
          </cell>
          <cell r="D128" t="str">
            <v>NOT APPLICABLE</v>
          </cell>
          <cell r="E128" t="str">
            <v>BU_LOANTAPE_WORK.OUT_B0200_MAIN_LIABILITIES</v>
          </cell>
          <cell r="F128" t="str">
            <v>N/A</v>
          </cell>
          <cell r="G128" t="str">
            <v>0210_DT_LGL_FNL_MTRTY</v>
          </cell>
          <cell r="H128" t="str">
            <v>2025-10-31</v>
          </cell>
          <cell r="I128">
            <v>8</v>
          </cell>
          <cell r="J128">
            <v>3</v>
          </cell>
          <cell r="K128" t="str">
            <v>1</v>
          </cell>
          <cell r="L128" t="str">
            <v>2025-11-13 11:33:50.993911000</v>
          </cell>
        </row>
        <row r="129">
          <cell r="A129" t="str">
            <v>B02.000220_GOVERNING_LAW</v>
          </cell>
          <cell r="B129" t="str">
            <v>B02.000220_GOVERNING_LAWCOERÊNCIA1</v>
          </cell>
          <cell r="C129" t="str">
            <v>B02.00</v>
          </cell>
          <cell r="D129" t="str">
            <v>COERÊNCIA</v>
          </cell>
          <cell r="E129" t="str">
            <v>BU_LOANTAPE_WORK.OUT_B0200_MAIN_LIABILITIES</v>
          </cell>
          <cell r="F129" t="str">
            <v>BU_CAPTOOLS_WORK.SIMUL_B0200</v>
          </cell>
          <cell r="G129" t="str">
            <v>0220_GOVERNING_LAW</v>
          </cell>
          <cell r="H129" t="str">
            <v>2025-10-31</v>
          </cell>
          <cell r="I129">
            <v>8</v>
          </cell>
          <cell r="J129">
            <v>8</v>
          </cell>
          <cell r="K129" t="str">
            <v>1</v>
          </cell>
          <cell r="L129" t="str">
            <v>2025-11-13 11:33:50.993911000</v>
          </cell>
        </row>
        <row r="130">
          <cell r="A130" t="str">
            <v>B02.000220_GOVERNING_LAW</v>
          </cell>
          <cell r="B130" t="str">
            <v>B02.000220_GOVERNING_LAWVALIDADE1</v>
          </cell>
          <cell r="C130" t="str">
            <v>B02.00</v>
          </cell>
          <cell r="D130" t="str">
            <v>VALIDADE</v>
          </cell>
          <cell r="E130" t="str">
            <v>BU_LOANTAPE_WORK.OUT_B0200_MAIN_LIABILITIES</v>
          </cell>
          <cell r="F130" t="str">
            <v>N/A</v>
          </cell>
          <cell r="G130" t="str">
            <v>0220_GOVERNING_LAW</v>
          </cell>
          <cell r="H130" t="str">
            <v>2025-10-31</v>
          </cell>
          <cell r="I130">
            <v>8</v>
          </cell>
          <cell r="J130">
            <v>0</v>
          </cell>
          <cell r="K130" t="str">
            <v>1</v>
          </cell>
          <cell r="L130" t="str">
            <v>2025-11-13 11:33:50.993911000</v>
          </cell>
        </row>
        <row r="131">
          <cell r="A131" t="str">
            <v>B02.000220_GOVERNING_LAW</v>
          </cell>
          <cell r="B131" t="str">
            <v>B02.000220_GOVERNING_LAWCARACTERES ESPECIAIS1</v>
          </cell>
          <cell r="C131" t="str">
            <v>B02.00</v>
          </cell>
          <cell r="D131" t="str">
            <v>CARACTERES ESPECIAIS</v>
          </cell>
          <cell r="E131" t="str">
            <v>BU_LOANTAPE_WORK.OUT_B0200_MAIN_LIABILITIES</v>
          </cell>
          <cell r="F131" t="str">
            <v>N/A</v>
          </cell>
          <cell r="G131" t="str">
            <v>0220_GOVERNING_LAW</v>
          </cell>
          <cell r="H131" t="str">
            <v>2025-10-31</v>
          </cell>
          <cell r="I131">
            <v>8</v>
          </cell>
          <cell r="J131">
            <v>0</v>
          </cell>
          <cell r="K131" t="str">
            <v>1</v>
          </cell>
          <cell r="L131" t="str">
            <v>2025-11-13 11:33:50.993911000</v>
          </cell>
        </row>
        <row r="132">
          <cell r="A132" t="str">
            <v>B02.000220_GOVERNING_LAW</v>
          </cell>
          <cell r="B132" t="str">
            <v>B02.000220_GOVERNING_LAWMISSINGS1</v>
          </cell>
          <cell r="C132" t="str">
            <v>B02.00</v>
          </cell>
          <cell r="D132" t="str">
            <v>MISSINGS</v>
          </cell>
          <cell r="E132" t="str">
            <v>BU_LOANTAPE_WORK.OUT_B0200_MAIN_LIABILITIES</v>
          </cell>
          <cell r="F132" t="str">
            <v>N/A</v>
          </cell>
          <cell r="G132" t="str">
            <v>0220_GOVERNING_LAW</v>
          </cell>
          <cell r="H132" t="str">
            <v>2025-10-31</v>
          </cell>
          <cell r="I132">
            <v>8</v>
          </cell>
          <cell r="J132">
            <v>0</v>
          </cell>
          <cell r="K132" t="str">
            <v>1</v>
          </cell>
          <cell r="L132" t="str">
            <v>2025-11-13 11:33:50.993911000</v>
          </cell>
        </row>
        <row r="133">
          <cell r="A133" t="str">
            <v>B02.000220_GOVERNING_LAW</v>
          </cell>
          <cell r="B133" t="str">
            <v>B02.000220_GOVERNING_LAWNOT APPLICABLE1</v>
          </cell>
          <cell r="C133" t="str">
            <v>B02.00</v>
          </cell>
          <cell r="D133" t="str">
            <v>NOT APPLICABLE</v>
          </cell>
          <cell r="E133" t="str">
            <v>BU_LOANTAPE_WORK.OUT_B0200_MAIN_LIABILITIES</v>
          </cell>
          <cell r="F133" t="str">
            <v>N/A</v>
          </cell>
          <cell r="G133" t="str">
            <v>0220_GOVERNING_LAW</v>
          </cell>
          <cell r="H133" t="str">
            <v>2025-10-31</v>
          </cell>
          <cell r="I133">
            <v>8</v>
          </cell>
          <cell r="J133">
            <v>0</v>
          </cell>
          <cell r="K133" t="str">
            <v>1</v>
          </cell>
          <cell r="L133" t="str">
            <v>2025-11-13 11:33:50.993911000</v>
          </cell>
        </row>
        <row r="134">
          <cell r="A134" t="str">
            <v>B02.000230_BAIL_IN_RCGNTN_CLS</v>
          </cell>
          <cell r="B134" t="str">
            <v>B02.000230_BAIL_IN_RCGNTN_CLSCOERÊNCIA1</v>
          </cell>
          <cell r="C134" t="str">
            <v>B02.00</v>
          </cell>
          <cell r="D134" t="str">
            <v>COERÊNCIA</v>
          </cell>
          <cell r="E134" t="str">
            <v>BU_LOANTAPE_WORK.OUT_B0200_MAIN_LIABILITIES</v>
          </cell>
          <cell r="F134" t="str">
            <v>BU_CAPTOOLS_WORK.SIMUL_B0200</v>
          </cell>
          <cell r="G134" t="str">
            <v>0230_BAIL_IN_RCGNTN_CLS</v>
          </cell>
          <cell r="H134" t="str">
            <v>2025-10-31</v>
          </cell>
          <cell r="I134">
            <v>8</v>
          </cell>
          <cell r="J134">
            <v>0</v>
          </cell>
          <cell r="K134" t="str">
            <v>1</v>
          </cell>
          <cell r="L134" t="str">
            <v>2025-11-13 11:33:50.993911000</v>
          </cell>
        </row>
        <row r="135">
          <cell r="A135" t="str">
            <v>B02.000230_BAIL_IN_RCGNTN_CLS</v>
          </cell>
          <cell r="B135" t="str">
            <v>B02.000230_BAIL_IN_RCGNTN_CLSVALIDADE1</v>
          </cell>
          <cell r="C135" t="str">
            <v>B02.00</v>
          </cell>
          <cell r="D135" t="str">
            <v>VALIDADE</v>
          </cell>
          <cell r="E135" t="str">
            <v>BU_LOANTAPE_WORK.OUT_B0200_MAIN_LIABILITIES</v>
          </cell>
          <cell r="F135" t="str">
            <v>N/A</v>
          </cell>
          <cell r="G135" t="str">
            <v>0230_BAIL_IN_RCGNTN_CLS</v>
          </cell>
          <cell r="H135" t="str">
            <v>2025-10-31</v>
          </cell>
          <cell r="I135">
            <v>8</v>
          </cell>
          <cell r="J135">
            <v>0</v>
          </cell>
          <cell r="K135" t="str">
            <v>1</v>
          </cell>
          <cell r="L135" t="str">
            <v>2025-11-13 11:33:50.993911000</v>
          </cell>
        </row>
        <row r="136">
          <cell r="A136" t="str">
            <v>B02.000230_BAIL_IN_RCGNTN_CLS</v>
          </cell>
          <cell r="B136" t="str">
            <v>B02.000230_BAIL_IN_RCGNTN_CLSCARACTERES ESPECIAIS1</v>
          </cell>
          <cell r="C136" t="str">
            <v>B02.00</v>
          </cell>
          <cell r="D136" t="str">
            <v>CARACTERES ESPECIAIS</v>
          </cell>
          <cell r="E136" t="str">
            <v>BU_LOANTAPE_WORK.OUT_B0200_MAIN_LIABILITIES</v>
          </cell>
          <cell r="F136" t="str">
            <v>N/A</v>
          </cell>
          <cell r="G136" t="str">
            <v>0230_BAIL_IN_RCGNTN_CLS</v>
          </cell>
          <cell r="H136" t="str">
            <v>2025-10-31</v>
          </cell>
          <cell r="I136">
            <v>8</v>
          </cell>
          <cell r="J136">
            <v>8</v>
          </cell>
          <cell r="K136" t="str">
            <v>1</v>
          </cell>
          <cell r="L136" t="str">
            <v>2025-11-13 11:33:50.993911000</v>
          </cell>
        </row>
        <row r="137">
          <cell r="A137" t="str">
            <v>B02.000230_BAIL_IN_RCGNTN_CLS</v>
          </cell>
          <cell r="B137" t="str">
            <v>B02.000230_BAIL_IN_RCGNTN_CLSMISSINGS1</v>
          </cell>
          <cell r="C137" t="str">
            <v>B02.00</v>
          </cell>
          <cell r="D137" t="str">
            <v>MISSINGS</v>
          </cell>
          <cell r="E137" t="str">
            <v>BU_LOANTAPE_WORK.OUT_B0200_MAIN_LIABILITIES</v>
          </cell>
          <cell r="F137" t="str">
            <v>N/A</v>
          </cell>
          <cell r="G137" t="str">
            <v>0230_BAIL_IN_RCGNTN_CLS</v>
          </cell>
          <cell r="H137" t="str">
            <v>2025-10-31</v>
          </cell>
          <cell r="I137">
            <v>8</v>
          </cell>
          <cell r="J137">
            <v>0</v>
          </cell>
          <cell r="K137" t="str">
            <v>1</v>
          </cell>
          <cell r="L137" t="str">
            <v>2025-11-13 11:33:50.993911000</v>
          </cell>
        </row>
        <row r="138">
          <cell r="A138" t="str">
            <v>B02.000230_BAIL_IN_RCGNTN_CLS</v>
          </cell>
          <cell r="B138" t="str">
            <v>B02.000230_BAIL_IN_RCGNTN_CLSNOT APPLICABLE1</v>
          </cell>
          <cell r="C138" t="str">
            <v>B02.00</v>
          </cell>
          <cell r="D138" t="str">
            <v>NOT APPLICABLE</v>
          </cell>
          <cell r="E138" t="str">
            <v>BU_LOANTAPE_WORK.OUT_B0200_MAIN_LIABILITIES</v>
          </cell>
          <cell r="F138" t="str">
            <v>N/A</v>
          </cell>
          <cell r="G138" t="str">
            <v>0230_BAIL_IN_RCGNTN_CLS</v>
          </cell>
          <cell r="H138" t="str">
            <v>2025-10-31</v>
          </cell>
          <cell r="I138">
            <v>8</v>
          </cell>
          <cell r="J138">
            <v>0</v>
          </cell>
          <cell r="K138" t="str">
            <v>1</v>
          </cell>
          <cell r="L138" t="str">
            <v>2025-11-13 11:33:50.993911000</v>
          </cell>
        </row>
        <row r="139">
          <cell r="A139" t="str">
            <v>B02.000240_ZERO_COUPON</v>
          </cell>
          <cell r="B139" t="str">
            <v>B02.000240_ZERO_COUPONCOERÊNCIA1</v>
          </cell>
          <cell r="C139" t="str">
            <v>B02.00</v>
          </cell>
          <cell r="D139" t="str">
            <v>COERÊNCIA</v>
          </cell>
          <cell r="E139" t="str">
            <v>BU_LOANTAPE_WORK.OUT_B0200_MAIN_LIABILITIES</v>
          </cell>
          <cell r="F139" t="str">
            <v>BU_CAPTOOLS_WORK.SIMUL_B0200</v>
          </cell>
          <cell r="G139" t="str">
            <v>0240_ZERO_COUPON</v>
          </cell>
          <cell r="H139" t="str">
            <v>2025-10-31</v>
          </cell>
          <cell r="I139">
            <v>8</v>
          </cell>
          <cell r="J139">
            <v>0</v>
          </cell>
          <cell r="K139" t="str">
            <v>1</v>
          </cell>
          <cell r="L139" t="str">
            <v>2025-11-13 11:33:50.993911000</v>
          </cell>
        </row>
        <row r="140">
          <cell r="A140" t="str">
            <v>B02.000240_ZERO_COUPON</v>
          </cell>
          <cell r="B140" t="str">
            <v>B02.000240_ZERO_COUPONVALIDADE1</v>
          </cell>
          <cell r="C140" t="str">
            <v>B02.00</v>
          </cell>
          <cell r="D140" t="str">
            <v>VALIDADE</v>
          </cell>
          <cell r="E140" t="str">
            <v>BU_LOANTAPE_WORK.OUT_B0200_MAIN_LIABILITIES</v>
          </cell>
          <cell r="F140" t="str">
            <v>N/A</v>
          </cell>
          <cell r="G140" t="str">
            <v>0240_ZERO_COUPON</v>
          </cell>
          <cell r="H140" t="str">
            <v>2025-10-31</v>
          </cell>
          <cell r="I140">
            <v>8</v>
          </cell>
          <cell r="J140">
            <v>0</v>
          </cell>
          <cell r="K140" t="str">
            <v>1</v>
          </cell>
          <cell r="L140" t="str">
            <v>2025-11-13 11:33:50.993911000</v>
          </cell>
        </row>
        <row r="141">
          <cell r="A141" t="str">
            <v>B02.000240_ZERO_COUPON</v>
          </cell>
          <cell r="B141" t="str">
            <v>B02.000240_ZERO_COUPONCARACTERES ESPECIAIS1</v>
          </cell>
          <cell r="C141" t="str">
            <v>B02.00</v>
          </cell>
          <cell r="D141" t="str">
            <v>CARACTERES ESPECIAIS</v>
          </cell>
          <cell r="E141" t="str">
            <v>BU_LOANTAPE_WORK.OUT_B0200_MAIN_LIABILITIES</v>
          </cell>
          <cell r="F141" t="str">
            <v>N/A</v>
          </cell>
          <cell r="G141" t="str">
            <v>0240_ZERO_COUPON</v>
          </cell>
          <cell r="H141" t="str">
            <v>2025-10-31</v>
          </cell>
          <cell r="I141">
            <v>8</v>
          </cell>
          <cell r="J141">
            <v>0</v>
          </cell>
          <cell r="K141" t="str">
            <v>1</v>
          </cell>
          <cell r="L141" t="str">
            <v>2025-11-13 11:33:50.993911000</v>
          </cell>
        </row>
        <row r="142">
          <cell r="A142" t="str">
            <v>B02.000240_ZERO_COUPON</v>
          </cell>
          <cell r="B142" t="str">
            <v>B02.000240_ZERO_COUPONMISSINGS1</v>
          </cell>
          <cell r="C142" t="str">
            <v>B02.00</v>
          </cell>
          <cell r="D142" t="str">
            <v>MISSINGS</v>
          </cell>
          <cell r="E142" t="str">
            <v>BU_LOANTAPE_WORK.OUT_B0200_MAIN_LIABILITIES</v>
          </cell>
          <cell r="F142" t="str">
            <v>N/A</v>
          </cell>
          <cell r="G142" t="str">
            <v>0240_ZERO_COUPON</v>
          </cell>
          <cell r="H142" t="str">
            <v>2025-10-31</v>
          </cell>
          <cell r="I142">
            <v>8</v>
          </cell>
          <cell r="J142">
            <v>0</v>
          </cell>
          <cell r="K142" t="str">
            <v>1</v>
          </cell>
          <cell r="L142" t="str">
            <v>2025-11-13 11:33:50.993911000</v>
          </cell>
        </row>
        <row r="143">
          <cell r="A143" t="str">
            <v>B02.000240_ZERO_COUPON</v>
          </cell>
          <cell r="B143" t="str">
            <v>B02.000240_ZERO_COUPONNOT APPLICABLE1</v>
          </cell>
          <cell r="C143" t="str">
            <v>B02.00</v>
          </cell>
          <cell r="D143" t="str">
            <v>NOT APPLICABLE</v>
          </cell>
          <cell r="E143" t="str">
            <v>BU_LOANTAPE_WORK.OUT_B0200_MAIN_LIABILITIES</v>
          </cell>
          <cell r="F143" t="str">
            <v>N/A</v>
          </cell>
          <cell r="G143" t="str">
            <v>0240_ZERO_COUPON</v>
          </cell>
          <cell r="H143" t="str">
            <v>2025-10-31</v>
          </cell>
          <cell r="I143">
            <v>8</v>
          </cell>
          <cell r="J143">
            <v>0</v>
          </cell>
          <cell r="K143" t="str">
            <v>1</v>
          </cell>
          <cell r="L143" t="str">
            <v>2025-11-13 11:33:50.993911000</v>
          </cell>
        </row>
        <row r="144">
          <cell r="A144" t="str">
            <v>B02.000250_STRCTRD_PRDCT</v>
          </cell>
          <cell r="B144" t="str">
            <v>B02.000250_STRCTRD_PRDCTCOERÊNCIA1</v>
          </cell>
          <cell r="C144" t="str">
            <v>B02.00</v>
          </cell>
          <cell r="D144" t="str">
            <v>COERÊNCIA</v>
          </cell>
          <cell r="E144" t="str">
            <v>BU_LOANTAPE_WORK.OUT_B0200_MAIN_LIABILITIES</v>
          </cell>
          <cell r="F144" t="str">
            <v>BU_CAPTOOLS_WORK.SIMUL_B0200</v>
          </cell>
          <cell r="G144" t="str">
            <v>0250_STRCTRD_PRDCT</v>
          </cell>
          <cell r="H144" t="str">
            <v>2025-10-31</v>
          </cell>
          <cell r="I144">
            <v>8</v>
          </cell>
          <cell r="J144">
            <v>0</v>
          </cell>
          <cell r="K144" t="str">
            <v>1</v>
          </cell>
          <cell r="L144" t="str">
            <v>2025-11-13 11:33:50.993911000</v>
          </cell>
        </row>
        <row r="145">
          <cell r="A145" t="str">
            <v>B02.000250_STRCTRD_PRDCT</v>
          </cell>
          <cell r="B145" t="str">
            <v>B02.000250_STRCTRD_PRDCTVALIDADE1</v>
          </cell>
          <cell r="C145" t="str">
            <v>B02.00</v>
          </cell>
          <cell r="D145" t="str">
            <v>VALIDADE</v>
          </cell>
          <cell r="E145" t="str">
            <v>BU_LOANTAPE_WORK.OUT_B0200_MAIN_LIABILITIES</v>
          </cell>
          <cell r="F145" t="str">
            <v>N/A</v>
          </cell>
          <cell r="G145" t="str">
            <v>0250_STRCTRD_PRDCT</v>
          </cell>
          <cell r="H145" t="str">
            <v>2025-10-31</v>
          </cell>
          <cell r="I145">
            <v>8</v>
          </cell>
          <cell r="J145">
            <v>0</v>
          </cell>
          <cell r="K145" t="str">
            <v>1</v>
          </cell>
          <cell r="L145" t="str">
            <v>2025-11-13 11:33:50.993911000</v>
          </cell>
        </row>
        <row r="146">
          <cell r="A146" t="str">
            <v>B02.000250_STRCTRD_PRDCT</v>
          </cell>
          <cell r="B146" t="str">
            <v>B02.000250_STRCTRD_PRDCTCARACTERES ESPECIAIS1</v>
          </cell>
          <cell r="C146" t="str">
            <v>B02.00</v>
          </cell>
          <cell r="D146" t="str">
            <v>CARACTERES ESPECIAIS</v>
          </cell>
          <cell r="E146" t="str">
            <v>BU_LOANTAPE_WORK.OUT_B0200_MAIN_LIABILITIES</v>
          </cell>
          <cell r="F146" t="str">
            <v>N/A</v>
          </cell>
          <cell r="G146" t="str">
            <v>0250_STRCTRD_PRDCT</v>
          </cell>
          <cell r="H146" t="str">
            <v>2025-10-31</v>
          </cell>
          <cell r="I146">
            <v>8</v>
          </cell>
          <cell r="J146">
            <v>8</v>
          </cell>
          <cell r="K146" t="str">
            <v>1</v>
          </cell>
          <cell r="L146" t="str">
            <v>2025-11-13 11:33:50.993911000</v>
          </cell>
        </row>
        <row r="147">
          <cell r="A147" t="str">
            <v>B02.000250_STRCTRD_PRDCT</v>
          </cell>
          <cell r="B147" t="str">
            <v>B02.000250_STRCTRD_PRDCTMISSINGS1</v>
          </cell>
          <cell r="C147" t="str">
            <v>B02.00</v>
          </cell>
          <cell r="D147" t="str">
            <v>MISSINGS</v>
          </cell>
          <cell r="E147" t="str">
            <v>BU_LOANTAPE_WORK.OUT_B0200_MAIN_LIABILITIES</v>
          </cell>
          <cell r="F147" t="str">
            <v>N/A</v>
          </cell>
          <cell r="G147" t="str">
            <v>0250_STRCTRD_PRDCT</v>
          </cell>
          <cell r="H147" t="str">
            <v>2025-10-31</v>
          </cell>
          <cell r="I147">
            <v>8</v>
          </cell>
          <cell r="J147">
            <v>0</v>
          </cell>
          <cell r="K147" t="str">
            <v>1</v>
          </cell>
          <cell r="L147" t="str">
            <v>2025-11-13 11:33:50.993911000</v>
          </cell>
        </row>
        <row r="148">
          <cell r="A148" t="str">
            <v>B02.000250_STRCTRD_PRDCT</v>
          </cell>
          <cell r="B148" t="str">
            <v>B02.000250_STRCTRD_PRDCTNOT APPLICABLE1</v>
          </cell>
          <cell r="C148" t="str">
            <v>B02.00</v>
          </cell>
          <cell r="D148" t="str">
            <v>NOT APPLICABLE</v>
          </cell>
          <cell r="E148" t="str">
            <v>BU_LOANTAPE_WORK.OUT_B0200_MAIN_LIABILITIES</v>
          </cell>
          <cell r="F148" t="str">
            <v>N/A</v>
          </cell>
          <cell r="G148" t="str">
            <v>0250_STRCTRD_PRDCT</v>
          </cell>
          <cell r="H148" t="str">
            <v>2025-10-31</v>
          </cell>
          <cell r="I148">
            <v>8</v>
          </cell>
          <cell r="J148">
            <v>0</v>
          </cell>
          <cell r="K148" t="str">
            <v>1</v>
          </cell>
          <cell r="L148" t="str">
            <v>2025-11-13 11:33:50.993911000</v>
          </cell>
        </row>
        <row r="149">
          <cell r="A149" t="str">
            <v>B02.000260_GRNTD_MIN_AMNT_STRCTRD_PRDCT</v>
          </cell>
          <cell r="B149" t="str">
            <v>B02.000260_GRNTD_MIN_AMNT_STRCTRD_PRDCTCOERÊNCIA1</v>
          </cell>
          <cell r="C149" t="str">
            <v>B02.00</v>
          </cell>
          <cell r="D149" t="str">
            <v>COERÊNCIA</v>
          </cell>
          <cell r="E149" t="str">
            <v>BU_LOANTAPE_WORK.OUT_B0200_MAIN_LIABILITIES</v>
          </cell>
          <cell r="F149" t="str">
            <v>BU_CAPTOOLS_WORK.SIMUL_B0200</v>
          </cell>
          <cell r="G149" t="str">
            <v>0260_GRNTD_MIN_AMNT_STRCTRD_PRDCT</v>
          </cell>
          <cell r="H149" t="str">
            <v>2025-10-31</v>
          </cell>
          <cell r="I149">
            <v>8</v>
          </cell>
          <cell r="J149">
            <v>0</v>
          </cell>
          <cell r="K149" t="str">
            <v>1</v>
          </cell>
          <cell r="L149" t="str">
            <v>2025-11-13 11:33:50.993911000</v>
          </cell>
        </row>
        <row r="150">
          <cell r="A150" t="str">
            <v>B02.000260_GRNTD_MIN_AMNT_STRCTRD_PRDCT</v>
          </cell>
          <cell r="B150" t="str">
            <v>B02.000260_GRNTD_MIN_AMNT_STRCTRD_PRDCTVALIDADE1</v>
          </cell>
          <cell r="C150" t="str">
            <v>B02.00</v>
          </cell>
          <cell r="D150" t="str">
            <v>VALIDADE</v>
          </cell>
          <cell r="E150" t="str">
            <v>BU_LOANTAPE_WORK.OUT_B0200_MAIN_LIABILITIES</v>
          </cell>
          <cell r="F150" t="str">
            <v>N/A</v>
          </cell>
          <cell r="G150" t="str">
            <v>0260_GRNTD_MIN_AMNT_STRCTRD_PRDCT</v>
          </cell>
          <cell r="H150" t="str">
            <v>2025-10-31</v>
          </cell>
          <cell r="I150">
            <v>8</v>
          </cell>
          <cell r="J150">
            <v>0</v>
          </cell>
          <cell r="K150" t="str">
            <v>1</v>
          </cell>
          <cell r="L150" t="str">
            <v>2025-11-13 11:33:50.993911000</v>
          </cell>
        </row>
        <row r="151">
          <cell r="A151" t="str">
            <v>B02.000260_GRNTD_MIN_AMNT_STRCTRD_PRDCT</v>
          </cell>
          <cell r="B151" t="str">
            <v>B02.000260_GRNTD_MIN_AMNT_STRCTRD_PRDCTCARACTERES ESPECIAIS1</v>
          </cell>
          <cell r="C151" t="str">
            <v>B02.00</v>
          </cell>
          <cell r="D151" t="str">
            <v>CARACTERES ESPECIAIS</v>
          </cell>
          <cell r="E151" t="str">
            <v>BU_LOANTAPE_WORK.OUT_B0200_MAIN_LIABILITIES</v>
          </cell>
          <cell r="F151" t="str">
            <v>N/A</v>
          </cell>
          <cell r="G151" t="str">
            <v>0260_GRNTD_MIN_AMNT_STRCTRD_PRDCT</v>
          </cell>
          <cell r="H151" t="str">
            <v>2025-10-31</v>
          </cell>
          <cell r="I151">
            <v>8</v>
          </cell>
          <cell r="J151">
            <v>0</v>
          </cell>
          <cell r="K151" t="str">
            <v>1</v>
          </cell>
          <cell r="L151" t="str">
            <v>2025-11-13 11:33:50.993911000</v>
          </cell>
        </row>
        <row r="152">
          <cell r="A152" t="str">
            <v>B02.000260_GRNTD_MIN_AMNT_STRCTRD_PRDCT</v>
          </cell>
          <cell r="B152" t="str">
            <v>B02.000260_GRNTD_MIN_AMNT_STRCTRD_PRDCTMISSINGS1</v>
          </cell>
          <cell r="C152" t="str">
            <v>B02.00</v>
          </cell>
          <cell r="D152" t="str">
            <v>MISSINGS</v>
          </cell>
          <cell r="E152" t="str">
            <v>BU_LOANTAPE_WORK.OUT_B0200_MAIN_LIABILITIES</v>
          </cell>
          <cell r="F152" t="str">
            <v>N/A</v>
          </cell>
          <cell r="G152" t="str">
            <v>0260_GRNTD_MIN_AMNT_STRCTRD_PRDCT</v>
          </cell>
          <cell r="H152" t="str">
            <v>2025-10-31</v>
          </cell>
          <cell r="I152">
            <v>8</v>
          </cell>
          <cell r="J152">
            <v>0</v>
          </cell>
          <cell r="K152" t="str">
            <v>1</v>
          </cell>
          <cell r="L152" t="str">
            <v>2025-11-13 11:33:50.993911000</v>
          </cell>
        </row>
        <row r="153">
          <cell r="A153" t="str">
            <v>B02.000260_GRNTD_MIN_AMNT_STRCTRD_PRDCT</v>
          </cell>
          <cell r="B153" t="str">
            <v>B02.000260_GRNTD_MIN_AMNT_STRCTRD_PRDCTNOT APPLICABLE1</v>
          </cell>
          <cell r="C153" t="str">
            <v>B02.00</v>
          </cell>
          <cell r="D153" t="str">
            <v>NOT APPLICABLE</v>
          </cell>
          <cell r="E153" t="str">
            <v>BU_LOANTAPE_WORK.OUT_B0200_MAIN_LIABILITIES</v>
          </cell>
          <cell r="F153" t="str">
            <v>N/A</v>
          </cell>
          <cell r="G153" t="str">
            <v>0260_GRNTD_MIN_AMNT_STRCTRD_PRDCT</v>
          </cell>
          <cell r="H153" t="str">
            <v>2025-10-31</v>
          </cell>
          <cell r="I153">
            <v>8</v>
          </cell>
          <cell r="J153">
            <v>0</v>
          </cell>
          <cell r="K153" t="str">
            <v>1</v>
          </cell>
          <cell r="L153" t="str">
            <v>2025-11-13 11:33:50.993911000</v>
          </cell>
        </row>
        <row r="154">
          <cell r="A154" t="str">
            <v>B02.000270_FV_AMNT_STRCTRD_PRDCT</v>
          </cell>
          <cell r="B154" t="str">
            <v>B02.000270_FV_AMNT_STRCTRD_PRDCTCOERÊNCIA1</v>
          </cell>
          <cell r="C154" t="str">
            <v>B02.00</v>
          </cell>
          <cell r="D154" t="str">
            <v>COERÊNCIA</v>
          </cell>
          <cell r="E154" t="str">
            <v>BU_LOANTAPE_WORK.OUT_B0200_MAIN_LIABILITIES</v>
          </cell>
          <cell r="F154" t="str">
            <v>BU_CAPTOOLS_WORK.SIMUL_B0200</v>
          </cell>
          <cell r="G154" t="str">
            <v>0270_FV_AMNT_STRCTRD_PRDCT</v>
          </cell>
          <cell r="H154" t="str">
            <v>2025-10-31</v>
          </cell>
          <cell r="I154">
            <v>8</v>
          </cell>
          <cell r="J154">
            <v>0</v>
          </cell>
          <cell r="K154" t="str">
            <v>1</v>
          </cell>
          <cell r="L154" t="str">
            <v>2025-11-13 11:33:50.993911000</v>
          </cell>
        </row>
        <row r="155">
          <cell r="A155" t="str">
            <v>B02.000270_FV_AMNT_STRCTRD_PRDCT</v>
          </cell>
          <cell r="B155" t="str">
            <v>B02.000270_FV_AMNT_STRCTRD_PRDCTVALIDADE1</v>
          </cell>
          <cell r="C155" t="str">
            <v>B02.00</v>
          </cell>
          <cell r="D155" t="str">
            <v>VALIDADE</v>
          </cell>
          <cell r="E155" t="str">
            <v>BU_LOANTAPE_WORK.OUT_B0200_MAIN_LIABILITIES</v>
          </cell>
          <cell r="F155" t="str">
            <v>N/A</v>
          </cell>
          <cell r="G155" t="str">
            <v>0270_FV_AMNT_STRCTRD_PRDCT</v>
          </cell>
          <cell r="H155" t="str">
            <v>2025-10-31</v>
          </cell>
          <cell r="I155">
            <v>8</v>
          </cell>
          <cell r="J155">
            <v>0</v>
          </cell>
          <cell r="K155" t="str">
            <v>1</v>
          </cell>
          <cell r="L155" t="str">
            <v>2025-11-13 11:33:50.993911000</v>
          </cell>
        </row>
        <row r="156">
          <cell r="A156" t="str">
            <v>B02.000270_FV_AMNT_STRCTRD_PRDCT</v>
          </cell>
          <cell r="B156" t="str">
            <v>B02.000270_FV_AMNT_STRCTRD_PRDCTCARACTERES ESPECIAIS1</v>
          </cell>
          <cell r="C156" t="str">
            <v>B02.00</v>
          </cell>
          <cell r="D156" t="str">
            <v>CARACTERES ESPECIAIS</v>
          </cell>
          <cell r="E156" t="str">
            <v>BU_LOANTAPE_WORK.OUT_B0200_MAIN_LIABILITIES</v>
          </cell>
          <cell r="F156" t="str">
            <v>N/A</v>
          </cell>
          <cell r="G156" t="str">
            <v>0270_FV_AMNT_STRCTRD_PRDCT</v>
          </cell>
          <cell r="H156" t="str">
            <v>2025-10-31</v>
          </cell>
          <cell r="I156">
            <v>8</v>
          </cell>
          <cell r="J156">
            <v>0</v>
          </cell>
          <cell r="K156" t="str">
            <v>1</v>
          </cell>
          <cell r="L156" t="str">
            <v>2025-11-13 11:33:50.993911000</v>
          </cell>
        </row>
        <row r="157">
          <cell r="A157" t="str">
            <v>B02.000270_FV_AMNT_STRCTRD_PRDCT</v>
          </cell>
          <cell r="B157" t="str">
            <v>B02.000270_FV_AMNT_STRCTRD_PRDCTMISSINGS1</v>
          </cell>
          <cell r="C157" t="str">
            <v>B02.00</v>
          </cell>
          <cell r="D157" t="str">
            <v>MISSINGS</v>
          </cell>
          <cell r="E157" t="str">
            <v>BU_LOANTAPE_WORK.OUT_B0200_MAIN_LIABILITIES</v>
          </cell>
          <cell r="F157" t="str">
            <v>N/A</v>
          </cell>
          <cell r="G157" t="str">
            <v>0270_FV_AMNT_STRCTRD_PRDCT</v>
          </cell>
          <cell r="H157" t="str">
            <v>2025-10-31</v>
          </cell>
          <cell r="I157">
            <v>8</v>
          </cell>
          <cell r="J157">
            <v>0</v>
          </cell>
          <cell r="K157" t="str">
            <v>1</v>
          </cell>
          <cell r="L157" t="str">
            <v>2025-11-13 11:33:50.993911000</v>
          </cell>
        </row>
        <row r="158">
          <cell r="A158" t="str">
            <v>B02.000270_FV_AMNT_STRCTRD_PRDCT</v>
          </cell>
          <cell r="B158" t="str">
            <v>B02.000270_FV_AMNT_STRCTRD_PRDCTNOT APPLICABLE1</v>
          </cell>
          <cell r="C158" t="str">
            <v>B02.00</v>
          </cell>
          <cell r="D158" t="str">
            <v>NOT APPLICABLE</v>
          </cell>
          <cell r="E158" t="str">
            <v>BU_LOANTAPE_WORK.OUT_B0200_MAIN_LIABILITIES</v>
          </cell>
          <cell r="F158" t="str">
            <v>N/A</v>
          </cell>
          <cell r="G158" t="str">
            <v>0270_FV_AMNT_STRCTRD_PRDCT</v>
          </cell>
          <cell r="H158" t="str">
            <v>2025-10-31</v>
          </cell>
          <cell r="I158">
            <v>8</v>
          </cell>
          <cell r="J158">
            <v>0</v>
          </cell>
          <cell r="K158" t="str">
            <v>1</v>
          </cell>
          <cell r="L158" t="str">
            <v>2025-11-13 11:33:50.993911000</v>
          </cell>
        </row>
        <row r="159">
          <cell r="A159" t="str">
            <v>B02.000280_FLG_NCNP_DPSTS</v>
          </cell>
          <cell r="B159" t="str">
            <v>B02.000280_FLG_NCNP_DPSTSCOERÊNCIA1</v>
          </cell>
          <cell r="C159" t="str">
            <v>B02.00</v>
          </cell>
          <cell r="D159" t="str">
            <v>COERÊNCIA</v>
          </cell>
          <cell r="E159" t="str">
            <v>BU_LOANTAPE_WORK.OUT_B0200_MAIN_LIABILITIES</v>
          </cell>
          <cell r="F159" t="str">
            <v>BU_CAPTOOLS_WORK.SIMUL_B0200</v>
          </cell>
          <cell r="G159" t="str">
            <v>0280_FLG_NCNP_DPSTS</v>
          </cell>
          <cell r="H159" t="str">
            <v>2025-10-31</v>
          </cell>
          <cell r="I159">
            <v>8</v>
          </cell>
          <cell r="J159">
            <v>0</v>
          </cell>
          <cell r="K159" t="str">
            <v>1</v>
          </cell>
          <cell r="L159" t="str">
            <v>2025-11-13 11:33:50.993911000</v>
          </cell>
        </row>
        <row r="160">
          <cell r="A160" t="str">
            <v>B02.000280_FLG_NCNP_DPSTS</v>
          </cell>
          <cell r="B160" t="str">
            <v>B02.000280_FLG_NCNP_DPSTSVALIDADE1</v>
          </cell>
          <cell r="C160" t="str">
            <v>B02.00</v>
          </cell>
          <cell r="D160" t="str">
            <v>VALIDADE</v>
          </cell>
          <cell r="E160" t="str">
            <v>BU_LOANTAPE_WORK.OUT_B0200_MAIN_LIABILITIES</v>
          </cell>
          <cell r="F160" t="str">
            <v>N/A</v>
          </cell>
          <cell r="G160" t="str">
            <v>0280_FLG_NCNP_DPSTS</v>
          </cell>
          <cell r="H160" t="str">
            <v>2025-10-31</v>
          </cell>
          <cell r="I160">
            <v>8</v>
          </cell>
          <cell r="J160">
            <v>0</v>
          </cell>
          <cell r="K160" t="str">
            <v>1</v>
          </cell>
          <cell r="L160" t="str">
            <v>2025-11-13 11:33:50.993911000</v>
          </cell>
        </row>
        <row r="161">
          <cell r="A161" t="str">
            <v>B02.000280_FLG_NCNP_DPSTS</v>
          </cell>
          <cell r="B161" t="str">
            <v>B02.000280_FLG_NCNP_DPSTSCARACTERES ESPECIAIS1</v>
          </cell>
          <cell r="C161" t="str">
            <v>B02.00</v>
          </cell>
          <cell r="D161" t="str">
            <v>CARACTERES ESPECIAIS</v>
          </cell>
          <cell r="E161" t="str">
            <v>BU_LOANTAPE_WORK.OUT_B0200_MAIN_LIABILITIES</v>
          </cell>
          <cell r="F161" t="str">
            <v>N/A</v>
          </cell>
          <cell r="G161" t="str">
            <v>0280_FLG_NCNP_DPSTS</v>
          </cell>
          <cell r="H161" t="str">
            <v>2025-10-31</v>
          </cell>
          <cell r="I161">
            <v>8</v>
          </cell>
          <cell r="J161">
            <v>0</v>
          </cell>
          <cell r="K161" t="str">
            <v>1</v>
          </cell>
          <cell r="L161" t="str">
            <v>2025-11-13 11:33:50.993911000</v>
          </cell>
        </row>
        <row r="162">
          <cell r="A162" t="str">
            <v>B02.000280_FLG_NCNP_DPSTS</v>
          </cell>
          <cell r="B162" t="str">
            <v>B02.000280_FLG_NCNP_DPSTSMISSINGS1</v>
          </cell>
          <cell r="C162" t="str">
            <v>B02.00</v>
          </cell>
          <cell r="D162" t="str">
            <v>MISSINGS</v>
          </cell>
          <cell r="E162" t="str">
            <v>BU_LOANTAPE_WORK.OUT_B0200_MAIN_LIABILITIES</v>
          </cell>
          <cell r="F162" t="str">
            <v>N/A</v>
          </cell>
          <cell r="G162" t="str">
            <v>0280_FLG_NCNP_DPSTS</v>
          </cell>
          <cell r="H162" t="str">
            <v>2025-10-31</v>
          </cell>
          <cell r="I162">
            <v>8</v>
          </cell>
          <cell r="J162">
            <v>0</v>
          </cell>
          <cell r="K162" t="str">
            <v>1</v>
          </cell>
          <cell r="L162" t="str">
            <v>2025-11-13 11:33:50.993911000</v>
          </cell>
        </row>
        <row r="163">
          <cell r="A163" t="str">
            <v>B02.000280_FLG_NCNP_DPSTS</v>
          </cell>
          <cell r="B163" t="str">
            <v>B02.000280_FLG_NCNP_DPSTSNOT APPLICABLE1</v>
          </cell>
          <cell r="C163" t="str">
            <v>B02.00</v>
          </cell>
          <cell r="D163" t="str">
            <v>NOT APPLICABLE</v>
          </cell>
          <cell r="E163" t="str">
            <v>BU_LOANTAPE_WORK.OUT_B0200_MAIN_LIABILITIES</v>
          </cell>
          <cell r="F163" t="str">
            <v>N/A</v>
          </cell>
          <cell r="G163" t="str">
            <v>0280_FLG_NCNP_DPSTS</v>
          </cell>
          <cell r="H163" t="str">
            <v>2025-10-31</v>
          </cell>
          <cell r="I163">
            <v>8</v>
          </cell>
          <cell r="J163">
            <v>0</v>
          </cell>
          <cell r="K163" t="str">
            <v>1</v>
          </cell>
          <cell r="L163" t="str">
            <v>2025-11-13 11:33:50.993911000</v>
          </cell>
        </row>
        <row r="164">
          <cell r="A164" t="str">
            <v>B02.000290_FLG_NCBP_DPSTS</v>
          </cell>
          <cell r="B164" t="str">
            <v>B02.000290_FLG_NCBP_DPSTSCOERÊNCIA1</v>
          </cell>
          <cell r="C164" t="str">
            <v>B02.00</v>
          </cell>
          <cell r="D164" t="str">
            <v>COERÊNCIA</v>
          </cell>
          <cell r="E164" t="str">
            <v>BU_LOANTAPE_WORK.OUT_B0200_MAIN_LIABILITIES</v>
          </cell>
          <cell r="F164" t="str">
            <v>BU_CAPTOOLS_WORK.SIMUL_B0200</v>
          </cell>
          <cell r="G164" t="str">
            <v>0290_FLG_NCBP_DPSTS</v>
          </cell>
          <cell r="H164" t="str">
            <v>2025-10-31</v>
          </cell>
          <cell r="I164">
            <v>8</v>
          </cell>
          <cell r="J164">
            <v>0</v>
          </cell>
          <cell r="K164" t="str">
            <v>1</v>
          </cell>
          <cell r="L164" t="str">
            <v>2025-11-13 11:33:50.993911000</v>
          </cell>
        </row>
        <row r="165">
          <cell r="A165" t="str">
            <v>B02.000290_FLG_NCBP_DPSTS</v>
          </cell>
          <cell r="B165" t="str">
            <v>B02.000290_FLG_NCBP_DPSTSVALIDADE1</v>
          </cell>
          <cell r="C165" t="str">
            <v>B02.00</v>
          </cell>
          <cell r="D165" t="str">
            <v>VALIDADE</v>
          </cell>
          <cell r="E165" t="str">
            <v>BU_LOANTAPE_WORK.OUT_B0200_MAIN_LIABILITIES</v>
          </cell>
          <cell r="F165" t="str">
            <v>N/A</v>
          </cell>
          <cell r="G165" t="str">
            <v>0290_FLG_NCBP_DPSTS</v>
          </cell>
          <cell r="H165" t="str">
            <v>2025-10-31</v>
          </cell>
          <cell r="I165">
            <v>8</v>
          </cell>
          <cell r="J165">
            <v>0</v>
          </cell>
          <cell r="K165" t="str">
            <v>1</v>
          </cell>
          <cell r="L165" t="str">
            <v>2025-11-13 11:33:50.993911000</v>
          </cell>
        </row>
        <row r="166">
          <cell r="A166" t="str">
            <v>B02.000290_FLG_NCBP_DPSTS</v>
          </cell>
          <cell r="B166" t="str">
            <v>B02.000290_FLG_NCBP_DPSTSCARACTERES ESPECIAIS1</v>
          </cell>
          <cell r="C166" t="str">
            <v>B02.00</v>
          </cell>
          <cell r="D166" t="str">
            <v>CARACTERES ESPECIAIS</v>
          </cell>
          <cell r="E166" t="str">
            <v>BU_LOANTAPE_WORK.OUT_B0200_MAIN_LIABILITIES</v>
          </cell>
          <cell r="F166" t="str">
            <v>N/A</v>
          </cell>
          <cell r="G166" t="str">
            <v>0290_FLG_NCBP_DPSTS</v>
          </cell>
          <cell r="H166" t="str">
            <v>2025-10-31</v>
          </cell>
          <cell r="I166">
            <v>8</v>
          </cell>
          <cell r="J166">
            <v>0</v>
          </cell>
          <cell r="K166" t="str">
            <v>1</v>
          </cell>
          <cell r="L166" t="str">
            <v>2025-11-13 11:33:50.993911000</v>
          </cell>
        </row>
        <row r="167">
          <cell r="A167" t="str">
            <v>B02.000290_FLG_NCBP_DPSTS</v>
          </cell>
          <cell r="B167" t="str">
            <v>B02.000290_FLG_NCBP_DPSTSMISSINGS1</v>
          </cell>
          <cell r="C167" t="str">
            <v>B02.00</v>
          </cell>
          <cell r="D167" t="str">
            <v>MISSINGS</v>
          </cell>
          <cell r="E167" t="str">
            <v>BU_LOANTAPE_WORK.OUT_B0200_MAIN_LIABILITIES</v>
          </cell>
          <cell r="F167" t="str">
            <v>N/A</v>
          </cell>
          <cell r="G167" t="str">
            <v>0290_FLG_NCBP_DPSTS</v>
          </cell>
          <cell r="H167" t="str">
            <v>2025-10-31</v>
          </cell>
          <cell r="I167">
            <v>8</v>
          </cell>
          <cell r="J167">
            <v>0</v>
          </cell>
          <cell r="K167" t="str">
            <v>1</v>
          </cell>
          <cell r="L167" t="str">
            <v>2025-11-13 11:33:50.993911000</v>
          </cell>
        </row>
        <row r="168">
          <cell r="A168" t="str">
            <v>B02.000290_FLG_NCBP_DPSTS</v>
          </cell>
          <cell r="B168" t="str">
            <v>B02.000290_FLG_NCBP_DPSTSNOT APPLICABLE1</v>
          </cell>
          <cell r="C168" t="str">
            <v>B02.00</v>
          </cell>
          <cell r="D168" t="str">
            <v>NOT APPLICABLE</v>
          </cell>
          <cell r="E168" t="str">
            <v>BU_LOANTAPE_WORK.OUT_B0200_MAIN_LIABILITIES</v>
          </cell>
          <cell r="F168" t="str">
            <v>N/A</v>
          </cell>
          <cell r="G168" t="str">
            <v>0290_FLG_NCBP_DPSTS</v>
          </cell>
          <cell r="H168" t="str">
            <v>2025-10-31</v>
          </cell>
          <cell r="I168">
            <v>8</v>
          </cell>
          <cell r="J168">
            <v>0</v>
          </cell>
          <cell r="K168" t="str">
            <v>1</v>
          </cell>
          <cell r="L168" t="str">
            <v>2025-11-13 11:33:50.993911000</v>
          </cell>
        </row>
        <row r="169">
          <cell r="A169" t="str">
            <v>B02.000300_AMNT_CVRD_ELGBL_DPSTS</v>
          </cell>
          <cell r="B169" t="str">
            <v>B02.000300_AMNT_CVRD_ELGBL_DPSTSCOERÊNCIA1</v>
          </cell>
          <cell r="C169" t="str">
            <v>B02.00</v>
          </cell>
          <cell r="D169" t="str">
            <v>COERÊNCIA</v>
          </cell>
          <cell r="E169" t="str">
            <v>BU_LOANTAPE_WORK.OUT_B0200_MAIN_LIABILITIES</v>
          </cell>
          <cell r="F169" t="str">
            <v>BU_CAPTOOLS_WORK.SIMUL_B0200</v>
          </cell>
          <cell r="G169" t="str">
            <v>0300_AMNT_CVRD_ELGBL_DPSTS</v>
          </cell>
          <cell r="H169" t="str">
            <v>2025-10-31</v>
          </cell>
          <cell r="I169">
            <v>8</v>
          </cell>
          <cell r="J169">
            <v>0</v>
          </cell>
          <cell r="K169" t="str">
            <v>1</v>
          </cell>
          <cell r="L169" t="str">
            <v>2025-11-13 11:33:50.993911000</v>
          </cell>
        </row>
        <row r="170">
          <cell r="A170" t="str">
            <v>B02.000300_AMNT_CVRD_ELGBL_DPSTS</v>
          </cell>
          <cell r="B170" t="str">
            <v>B02.000300_AMNT_CVRD_ELGBL_DPSTSVALIDADE1</v>
          </cell>
          <cell r="C170" t="str">
            <v>B02.00</v>
          </cell>
          <cell r="D170" t="str">
            <v>VALIDADE</v>
          </cell>
          <cell r="E170" t="str">
            <v>BU_LOANTAPE_WORK.OUT_B0200_MAIN_LIABILITIES</v>
          </cell>
          <cell r="F170" t="str">
            <v>N/A</v>
          </cell>
          <cell r="G170" t="str">
            <v>0300_AMNT_CVRD_ELGBL_DPSTS</v>
          </cell>
          <cell r="H170" t="str">
            <v>2025-10-31</v>
          </cell>
          <cell r="I170">
            <v>8</v>
          </cell>
          <cell r="J170">
            <v>0</v>
          </cell>
          <cell r="K170" t="str">
            <v>1</v>
          </cell>
          <cell r="L170" t="str">
            <v>2025-11-13 11:33:50.993911000</v>
          </cell>
        </row>
        <row r="171">
          <cell r="A171" t="str">
            <v>B02.000300_AMNT_CVRD_ELGBL_DPSTS</v>
          </cell>
          <cell r="B171" t="str">
            <v>B02.000300_AMNT_CVRD_ELGBL_DPSTSCARACTERES ESPECIAIS1</v>
          </cell>
          <cell r="C171" t="str">
            <v>B02.00</v>
          </cell>
          <cell r="D171" t="str">
            <v>CARACTERES ESPECIAIS</v>
          </cell>
          <cell r="E171" t="str">
            <v>BU_LOANTAPE_WORK.OUT_B0200_MAIN_LIABILITIES</v>
          </cell>
          <cell r="F171" t="str">
            <v>N/A</v>
          </cell>
          <cell r="G171" t="str">
            <v>0300_AMNT_CVRD_ELGBL_DPSTS</v>
          </cell>
          <cell r="H171" t="str">
            <v>2025-10-31</v>
          </cell>
          <cell r="I171">
            <v>8</v>
          </cell>
          <cell r="J171">
            <v>0</v>
          </cell>
          <cell r="K171" t="str">
            <v>1</v>
          </cell>
          <cell r="L171" t="str">
            <v>2025-11-13 11:33:50.993911000</v>
          </cell>
        </row>
        <row r="172">
          <cell r="A172" t="str">
            <v>B02.000300_AMNT_CVRD_ELGBL_DPSTS</v>
          </cell>
          <cell r="B172" t="str">
            <v>B02.000300_AMNT_CVRD_ELGBL_DPSTSMISSINGS1</v>
          </cell>
          <cell r="C172" t="str">
            <v>B02.00</v>
          </cell>
          <cell r="D172" t="str">
            <v>MISSINGS</v>
          </cell>
          <cell r="E172" t="str">
            <v>BU_LOANTAPE_WORK.OUT_B0200_MAIN_LIABILITIES</v>
          </cell>
          <cell r="F172" t="str">
            <v>N/A</v>
          </cell>
          <cell r="G172" t="str">
            <v>0300_AMNT_CVRD_ELGBL_DPSTS</v>
          </cell>
          <cell r="H172" t="str">
            <v>2025-10-31</v>
          </cell>
          <cell r="I172">
            <v>8</v>
          </cell>
          <cell r="J172">
            <v>0</v>
          </cell>
          <cell r="K172" t="str">
            <v>1</v>
          </cell>
          <cell r="L172" t="str">
            <v>2025-11-13 11:33:50.993911000</v>
          </cell>
        </row>
        <row r="173">
          <cell r="A173" t="str">
            <v>B02.000300_AMNT_CVRD_ELGBL_DPSTS</v>
          </cell>
          <cell r="B173" t="str">
            <v>B02.000300_AMNT_CVRD_ELGBL_DPSTSNOT APPLICABLE1</v>
          </cell>
          <cell r="C173" t="str">
            <v>B02.00</v>
          </cell>
          <cell r="D173" t="str">
            <v>NOT APPLICABLE</v>
          </cell>
          <cell r="E173" t="str">
            <v>BU_LOANTAPE_WORK.OUT_B0200_MAIN_LIABILITIES</v>
          </cell>
          <cell r="F173" t="str">
            <v>N/A</v>
          </cell>
          <cell r="G173" t="str">
            <v>0300_AMNT_CVRD_ELGBL_DPSTS</v>
          </cell>
          <cell r="H173" t="str">
            <v>2025-10-31</v>
          </cell>
          <cell r="I173">
            <v>8</v>
          </cell>
          <cell r="J173">
            <v>0</v>
          </cell>
          <cell r="K173" t="str">
            <v>1</v>
          </cell>
          <cell r="L173" t="str">
            <v>2025-11-13 11:33:50.993911000</v>
          </cell>
        </row>
        <row r="174">
          <cell r="A174" t="str">
            <v xml:space="preserve">B02.000310_FLG_CLLTRL_AGRMNTS </v>
          </cell>
          <cell r="B174" t="str">
            <v>B02.000310_FLG_CLLTRL_AGRMNTS COERÊNCIA1</v>
          </cell>
          <cell r="C174" t="str">
            <v>B02.00</v>
          </cell>
          <cell r="D174" t="str">
            <v>COERÊNCIA</v>
          </cell>
          <cell r="E174" t="str">
            <v>BU_LOANTAPE_WORK.OUT_B0200_MAIN_LIABILITIES</v>
          </cell>
          <cell r="F174" t="str">
            <v>BU_CAPTOOLS_WORK.SIMUL_B0200</v>
          </cell>
          <cell r="G174" t="str">
            <v xml:space="preserve">0310_FLG_CLLTRL_AGRMNTS </v>
          </cell>
          <cell r="H174" t="str">
            <v>2025-10-31</v>
          </cell>
          <cell r="I174">
            <v>8</v>
          </cell>
          <cell r="J174">
            <v>0</v>
          </cell>
          <cell r="K174" t="str">
            <v>1</v>
          </cell>
          <cell r="L174" t="str">
            <v>2025-11-13 11:33:50.993911000</v>
          </cell>
        </row>
        <row r="175">
          <cell r="A175" t="str">
            <v xml:space="preserve">B02.000310_FLG_CLLTRL_AGRMNTS </v>
          </cell>
          <cell r="B175" t="str">
            <v>B02.000310_FLG_CLLTRL_AGRMNTS VALIDADE1</v>
          </cell>
          <cell r="C175" t="str">
            <v>B02.00</v>
          </cell>
          <cell r="D175" t="str">
            <v>VALIDADE</v>
          </cell>
          <cell r="E175" t="str">
            <v>BU_LOANTAPE_WORK.OUT_B0200_MAIN_LIABILITIES</v>
          </cell>
          <cell r="F175" t="str">
            <v>N/A</v>
          </cell>
          <cell r="G175" t="str">
            <v xml:space="preserve">0310_FLG_CLLTRL_AGRMNTS </v>
          </cell>
          <cell r="H175" t="str">
            <v>2025-10-31</v>
          </cell>
          <cell r="I175">
            <v>8</v>
          </cell>
          <cell r="J175">
            <v>0</v>
          </cell>
          <cell r="K175" t="str">
            <v>1</v>
          </cell>
          <cell r="L175" t="str">
            <v>2025-11-13 11:33:50.993911000</v>
          </cell>
        </row>
        <row r="176">
          <cell r="A176" t="str">
            <v xml:space="preserve">B02.000310_FLG_CLLTRL_AGRMNTS </v>
          </cell>
          <cell r="B176" t="str">
            <v>B02.000310_FLG_CLLTRL_AGRMNTS CARACTERES ESPECIAIS1</v>
          </cell>
          <cell r="C176" t="str">
            <v>B02.00</v>
          </cell>
          <cell r="D176" t="str">
            <v>CARACTERES ESPECIAIS</v>
          </cell>
          <cell r="E176" t="str">
            <v>BU_LOANTAPE_WORK.OUT_B0200_MAIN_LIABILITIES</v>
          </cell>
          <cell r="F176" t="str">
            <v>N/A</v>
          </cell>
          <cell r="G176" t="str">
            <v xml:space="preserve">0310_FLG_CLLTRL_AGRMNTS </v>
          </cell>
          <cell r="H176" t="str">
            <v>2025-10-31</v>
          </cell>
          <cell r="I176">
            <v>8</v>
          </cell>
          <cell r="J176">
            <v>0</v>
          </cell>
          <cell r="K176" t="str">
            <v>1</v>
          </cell>
          <cell r="L176" t="str">
            <v>2025-11-13 11:33:50.993911000</v>
          </cell>
        </row>
        <row r="177">
          <cell r="A177" t="str">
            <v xml:space="preserve">B02.000310_FLG_CLLTRL_AGRMNTS </v>
          </cell>
          <cell r="B177" t="str">
            <v>B02.000310_FLG_CLLTRL_AGRMNTS MISSINGS1</v>
          </cell>
          <cell r="C177" t="str">
            <v>B02.00</v>
          </cell>
          <cell r="D177" t="str">
            <v>MISSINGS</v>
          </cell>
          <cell r="E177" t="str">
            <v>BU_LOANTAPE_WORK.OUT_B0200_MAIN_LIABILITIES</v>
          </cell>
          <cell r="F177" t="str">
            <v>N/A</v>
          </cell>
          <cell r="G177" t="str">
            <v xml:space="preserve">0310_FLG_CLLTRL_AGRMNTS </v>
          </cell>
          <cell r="H177" t="str">
            <v>2025-10-31</v>
          </cell>
          <cell r="I177">
            <v>8</v>
          </cell>
          <cell r="J177">
            <v>0</v>
          </cell>
          <cell r="K177" t="str">
            <v>1</v>
          </cell>
          <cell r="L177" t="str">
            <v>2025-11-13 11:33:50.993911000</v>
          </cell>
        </row>
        <row r="178">
          <cell r="A178" t="str">
            <v xml:space="preserve">B02.000310_FLG_CLLTRL_AGRMNTS </v>
          </cell>
          <cell r="B178" t="str">
            <v>B02.000310_FLG_CLLTRL_AGRMNTS NOT APPLICABLE1</v>
          </cell>
          <cell r="C178" t="str">
            <v>B02.00</v>
          </cell>
          <cell r="D178" t="str">
            <v>NOT APPLICABLE</v>
          </cell>
          <cell r="E178" t="str">
            <v>BU_LOANTAPE_WORK.OUT_B0200_MAIN_LIABILITIES</v>
          </cell>
          <cell r="F178" t="str">
            <v>N/A</v>
          </cell>
          <cell r="G178" t="str">
            <v xml:space="preserve">0310_FLG_CLLTRL_AGRMNTS </v>
          </cell>
          <cell r="H178" t="str">
            <v>2025-10-31</v>
          </cell>
          <cell r="I178">
            <v>8</v>
          </cell>
          <cell r="J178">
            <v>0</v>
          </cell>
          <cell r="K178" t="str">
            <v>1</v>
          </cell>
          <cell r="L178" t="str">
            <v>2025-11-13 11:33:50.993911000</v>
          </cell>
        </row>
        <row r="179">
          <cell r="A179" t="str">
            <v>B02.000320_AMNT_CLLTRL</v>
          </cell>
          <cell r="B179" t="str">
            <v>B02.000320_AMNT_CLLTRLCOERÊNCIA1</v>
          </cell>
          <cell r="C179" t="str">
            <v>B02.00</v>
          </cell>
          <cell r="D179" t="str">
            <v>COERÊNCIA</v>
          </cell>
          <cell r="E179" t="str">
            <v>BU_LOANTAPE_WORK.OUT_B0200_MAIN_LIABILITIES</v>
          </cell>
          <cell r="F179" t="str">
            <v>BU_CAPTOOLS_WORK.SIMUL_B0200</v>
          </cell>
          <cell r="G179" t="str">
            <v>0320_AMNT_CLLTRL</v>
          </cell>
          <cell r="H179" t="str">
            <v>2025-10-31</v>
          </cell>
          <cell r="I179">
            <v>8</v>
          </cell>
          <cell r="J179">
            <v>0</v>
          </cell>
          <cell r="K179" t="str">
            <v>1</v>
          </cell>
          <cell r="L179" t="str">
            <v>2025-11-13 11:33:50.993911000</v>
          </cell>
        </row>
        <row r="180">
          <cell r="A180" t="str">
            <v>B02.000320_AMNT_CLLTRL</v>
          </cell>
          <cell r="B180" t="str">
            <v>B02.000320_AMNT_CLLTRLVALIDADE1</v>
          </cell>
          <cell r="C180" t="str">
            <v>B02.00</v>
          </cell>
          <cell r="D180" t="str">
            <v>VALIDADE</v>
          </cell>
          <cell r="E180" t="str">
            <v>BU_LOANTAPE_WORK.OUT_B0200_MAIN_LIABILITIES</v>
          </cell>
          <cell r="F180" t="str">
            <v>N/A</v>
          </cell>
          <cell r="G180" t="str">
            <v>0320_AMNT_CLLTRL</v>
          </cell>
          <cell r="H180" t="str">
            <v>2025-10-31</v>
          </cell>
          <cell r="I180">
            <v>8</v>
          </cell>
          <cell r="J180">
            <v>0</v>
          </cell>
          <cell r="K180" t="str">
            <v>1</v>
          </cell>
          <cell r="L180" t="str">
            <v>2025-11-13 11:33:50.993911000</v>
          </cell>
        </row>
        <row r="181">
          <cell r="A181" t="str">
            <v>B02.000320_AMNT_CLLTRL</v>
          </cell>
          <cell r="B181" t="str">
            <v>B02.000320_AMNT_CLLTRLCARACTERES ESPECIAIS1</v>
          </cell>
          <cell r="C181" t="str">
            <v>B02.00</v>
          </cell>
          <cell r="D181" t="str">
            <v>CARACTERES ESPECIAIS</v>
          </cell>
          <cell r="E181" t="str">
            <v>BU_LOANTAPE_WORK.OUT_B0200_MAIN_LIABILITIES</v>
          </cell>
          <cell r="F181" t="str">
            <v>N/A</v>
          </cell>
          <cell r="G181" t="str">
            <v>0320_AMNT_CLLTRL</v>
          </cell>
          <cell r="H181" t="str">
            <v>2025-10-31</v>
          </cell>
          <cell r="I181">
            <v>8</v>
          </cell>
          <cell r="J181">
            <v>0</v>
          </cell>
          <cell r="K181" t="str">
            <v>1</v>
          </cell>
          <cell r="L181" t="str">
            <v>2025-11-13 11:33:50.993911000</v>
          </cell>
        </row>
        <row r="182">
          <cell r="A182" t="str">
            <v>B02.000320_AMNT_CLLTRL</v>
          </cell>
          <cell r="B182" t="str">
            <v>B02.000320_AMNT_CLLTRLMISSINGS1</v>
          </cell>
          <cell r="C182" t="str">
            <v>B02.00</v>
          </cell>
          <cell r="D182" t="str">
            <v>MISSINGS</v>
          </cell>
          <cell r="E182" t="str">
            <v>BU_LOANTAPE_WORK.OUT_B0200_MAIN_LIABILITIES</v>
          </cell>
          <cell r="F182" t="str">
            <v>N/A</v>
          </cell>
          <cell r="G182" t="str">
            <v>0320_AMNT_CLLTRL</v>
          </cell>
          <cell r="H182" t="str">
            <v>2025-10-31</v>
          </cell>
          <cell r="I182">
            <v>8</v>
          </cell>
          <cell r="J182">
            <v>0</v>
          </cell>
          <cell r="K182" t="str">
            <v>1</v>
          </cell>
          <cell r="L182" t="str">
            <v>2025-11-13 11:33:50.993911000</v>
          </cell>
        </row>
        <row r="183">
          <cell r="A183" t="str">
            <v>B02.000320_AMNT_CLLTRL</v>
          </cell>
          <cell r="B183" t="str">
            <v>B02.000320_AMNT_CLLTRLNOT APPLICABLE1</v>
          </cell>
          <cell r="C183" t="str">
            <v>B02.00</v>
          </cell>
          <cell r="D183" t="str">
            <v>NOT APPLICABLE</v>
          </cell>
          <cell r="E183" t="str">
            <v>BU_LOANTAPE_WORK.OUT_B0200_MAIN_LIABILITIES</v>
          </cell>
          <cell r="F183" t="str">
            <v>N/A</v>
          </cell>
          <cell r="G183" t="str">
            <v>0320_AMNT_CLLTRL</v>
          </cell>
          <cell r="H183" t="str">
            <v>2025-10-31</v>
          </cell>
          <cell r="I183">
            <v>8</v>
          </cell>
          <cell r="J183">
            <v>0</v>
          </cell>
          <cell r="K183" t="str">
            <v>1</v>
          </cell>
          <cell r="L183" t="str">
            <v>2025-11-13 11:33:50.993911000</v>
          </cell>
        </row>
        <row r="184">
          <cell r="A184" t="str">
            <v>B02.000330_AMNT_UNCLLTRLZD</v>
          </cell>
          <cell r="B184" t="str">
            <v>B02.000330_AMNT_UNCLLTRLZDCOERÊNCIA1</v>
          </cell>
          <cell r="C184" t="str">
            <v>B02.00</v>
          </cell>
          <cell r="D184" t="str">
            <v>COERÊNCIA</v>
          </cell>
          <cell r="E184" t="str">
            <v>BU_LOANTAPE_WORK.OUT_B0200_MAIN_LIABILITIES</v>
          </cell>
          <cell r="F184" t="str">
            <v>BU_CAPTOOLS_WORK.SIMUL_B0200</v>
          </cell>
          <cell r="G184" t="str">
            <v>0330_AMNT_UNCLLTRLZD</v>
          </cell>
          <cell r="H184" t="str">
            <v>2025-10-31</v>
          </cell>
          <cell r="I184">
            <v>8</v>
          </cell>
          <cell r="J184">
            <v>0</v>
          </cell>
          <cell r="K184" t="str">
            <v>1</v>
          </cell>
          <cell r="L184" t="str">
            <v>2025-11-13 11:33:50.993911000</v>
          </cell>
        </row>
        <row r="185">
          <cell r="A185" t="str">
            <v>B02.000330_AMNT_UNCLLTRLZD</v>
          </cell>
          <cell r="B185" t="str">
            <v>B02.000330_AMNT_UNCLLTRLZDVALIDADE1</v>
          </cell>
          <cell r="C185" t="str">
            <v>B02.00</v>
          </cell>
          <cell r="D185" t="str">
            <v>VALIDADE</v>
          </cell>
          <cell r="E185" t="str">
            <v>BU_LOANTAPE_WORK.OUT_B0200_MAIN_LIABILITIES</v>
          </cell>
          <cell r="F185" t="str">
            <v>N/A</v>
          </cell>
          <cell r="G185" t="str">
            <v>0330_AMNT_UNCLLTRLZD</v>
          </cell>
          <cell r="H185" t="str">
            <v>2025-10-31</v>
          </cell>
          <cell r="I185">
            <v>8</v>
          </cell>
          <cell r="J185">
            <v>0</v>
          </cell>
          <cell r="K185" t="str">
            <v>1</v>
          </cell>
          <cell r="L185" t="str">
            <v>2025-11-13 11:33:50.993911000</v>
          </cell>
        </row>
        <row r="186">
          <cell r="A186" t="str">
            <v>B02.000330_AMNT_UNCLLTRLZD</v>
          </cell>
          <cell r="B186" t="str">
            <v>B02.000330_AMNT_UNCLLTRLZDCARACTERES ESPECIAIS1</v>
          </cell>
          <cell r="C186" t="str">
            <v>B02.00</v>
          </cell>
          <cell r="D186" t="str">
            <v>CARACTERES ESPECIAIS</v>
          </cell>
          <cell r="E186" t="str">
            <v>BU_LOANTAPE_WORK.OUT_B0200_MAIN_LIABILITIES</v>
          </cell>
          <cell r="F186" t="str">
            <v>N/A</v>
          </cell>
          <cell r="G186" t="str">
            <v>0330_AMNT_UNCLLTRLZD</v>
          </cell>
          <cell r="H186" t="str">
            <v>2025-10-31</v>
          </cell>
          <cell r="I186">
            <v>8</v>
          </cell>
          <cell r="J186">
            <v>0</v>
          </cell>
          <cell r="K186" t="str">
            <v>1</v>
          </cell>
          <cell r="L186" t="str">
            <v>2025-11-13 11:33:50.993911000</v>
          </cell>
        </row>
        <row r="187">
          <cell r="A187" t="str">
            <v>B02.000330_AMNT_UNCLLTRLZD</v>
          </cell>
          <cell r="B187" t="str">
            <v>B02.000330_AMNT_UNCLLTRLZDMISSINGS1</v>
          </cell>
          <cell r="C187" t="str">
            <v>B02.00</v>
          </cell>
          <cell r="D187" t="str">
            <v>MISSINGS</v>
          </cell>
          <cell r="E187" t="str">
            <v>BU_LOANTAPE_WORK.OUT_B0200_MAIN_LIABILITIES</v>
          </cell>
          <cell r="F187" t="str">
            <v>N/A</v>
          </cell>
          <cell r="G187" t="str">
            <v>0330_AMNT_UNCLLTRLZD</v>
          </cell>
          <cell r="H187" t="str">
            <v>2025-10-31</v>
          </cell>
          <cell r="I187">
            <v>8</v>
          </cell>
          <cell r="J187">
            <v>0</v>
          </cell>
          <cell r="K187" t="str">
            <v>1</v>
          </cell>
          <cell r="L187" t="str">
            <v>2025-11-13 11:33:50.993911000</v>
          </cell>
        </row>
        <row r="188">
          <cell r="A188" t="str">
            <v>B02.000330_AMNT_UNCLLTRLZD</v>
          </cell>
          <cell r="B188" t="str">
            <v>B02.000330_AMNT_UNCLLTRLZDNOT APPLICABLE1</v>
          </cell>
          <cell r="C188" t="str">
            <v>B02.00</v>
          </cell>
          <cell r="D188" t="str">
            <v>NOT APPLICABLE</v>
          </cell>
          <cell r="E188" t="str">
            <v>BU_LOANTAPE_WORK.OUT_B0200_MAIN_LIABILITIES</v>
          </cell>
          <cell r="F188" t="str">
            <v>N/A</v>
          </cell>
          <cell r="G188" t="str">
            <v>0330_AMNT_UNCLLTRLZD</v>
          </cell>
          <cell r="H188" t="str">
            <v>2025-10-31</v>
          </cell>
          <cell r="I188">
            <v>8</v>
          </cell>
          <cell r="J188">
            <v>0</v>
          </cell>
          <cell r="K188" t="str">
            <v>1</v>
          </cell>
          <cell r="L188" t="str">
            <v>2025-11-13 11:33:50.993911000</v>
          </cell>
        </row>
        <row r="189">
          <cell r="A189" t="str">
            <v>B02.000340_ID_CLLTRL</v>
          </cell>
          <cell r="B189" t="str">
            <v>B02.000340_ID_CLLTRLCOERÊNCIA1</v>
          </cell>
          <cell r="C189" t="str">
            <v>B02.00</v>
          </cell>
          <cell r="D189" t="str">
            <v>COERÊNCIA</v>
          </cell>
          <cell r="E189" t="str">
            <v>BU_LOANTAPE_WORK.OUT_B0200_MAIN_LIABILITIES</v>
          </cell>
          <cell r="F189" t="str">
            <v>BU_CAPTOOLS_WORK.SIMUL_B0200</v>
          </cell>
          <cell r="G189" t="str">
            <v>0340_ID_CLLTRL</v>
          </cell>
          <cell r="H189" t="str">
            <v>2025-10-31</v>
          </cell>
          <cell r="I189">
            <v>8</v>
          </cell>
          <cell r="J189">
            <v>0</v>
          </cell>
          <cell r="K189" t="str">
            <v>1</v>
          </cell>
          <cell r="L189" t="str">
            <v>2025-11-13 11:33:50.993911000</v>
          </cell>
        </row>
        <row r="190">
          <cell r="A190" t="str">
            <v>B02.000340_ID_CLLTRL</v>
          </cell>
          <cell r="B190" t="str">
            <v>B02.000340_ID_CLLTRLVALIDADE1</v>
          </cell>
          <cell r="C190" t="str">
            <v>B02.00</v>
          </cell>
          <cell r="D190" t="str">
            <v>VALIDADE</v>
          </cell>
          <cell r="E190" t="str">
            <v>BU_LOANTAPE_WORK.OUT_B0200_MAIN_LIABILITIES</v>
          </cell>
          <cell r="F190" t="str">
            <v>N/A</v>
          </cell>
          <cell r="G190" t="str">
            <v>0340_ID_CLLTRL</v>
          </cell>
          <cell r="H190" t="str">
            <v>2025-10-31</v>
          </cell>
          <cell r="I190">
            <v>8</v>
          </cell>
          <cell r="J190">
            <v>0</v>
          </cell>
          <cell r="K190" t="str">
            <v>1</v>
          </cell>
          <cell r="L190" t="str">
            <v>2025-11-13 11:33:50.993911000</v>
          </cell>
        </row>
        <row r="191">
          <cell r="A191" t="str">
            <v>B02.000340_ID_CLLTRL</v>
          </cell>
          <cell r="B191" t="str">
            <v>B02.000340_ID_CLLTRLCARACTERES ESPECIAIS1</v>
          </cell>
          <cell r="C191" t="str">
            <v>B02.00</v>
          </cell>
          <cell r="D191" t="str">
            <v>CARACTERES ESPECIAIS</v>
          </cell>
          <cell r="E191" t="str">
            <v>BU_LOANTAPE_WORK.OUT_B0200_MAIN_LIABILITIES</v>
          </cell>
          <cell r="F191" t="str">
            <v>N/A</v>
          </cell>
          <cell r="G191" t="str">
            <v>0340_ID_CLLTRL</v>
          </cell>
          <cell r="H191" t="str">
            <v>2025-10-31</v>
          </cell>
          <cell r="I191">
            <v>8</v>
          </cell>
          <cell r="J191">
            <v>0</v>
          </cell>
          <cell r="K191" t="str">
            <v>1</v>
          </cell>
          <cell r="L191" t="str">
            <v>2025-11-13 11:33:50.993911000</v>
          </cell>
        </row>
        <row r="192">
          <cell r="A192" t="str">
            <v>B02.000340_ID_CLLTRL</v>
          </cell>
          <cell r="B192" t="str">
            <v>B02.000340_ID_CLLTRLMISSINGS1</v>
          </cell>
          <cell r="C192" t="str">
            <v>B02.00</v>
          </cell>
          <cell r="D192" t="str">
            <v>MISSINGS</v>
          </cell>
          <cell r="E192" t="str">
            <v>BU_LOANTAPE_WORK.OUT_B0200_MAIN_LIABILITIES</v>
          </cell>
          <cell r="F192" t="str">
            <v>N/A</v>
          </cell>
          <cell r="G192" t="str">
            <v>0340_ID_CLLTRL</v>
          </cell>
          <cell r="H192" t="str">
            <v>2025-10-31</v>
          </cell>
          <cell r="I192">
            <v>8</v>
          </cell>
          <cell r="J192">
            <v>0</v>
          </cell>
          <cell r="K192" t="str">
            <v>1</v>
          </cell>
          <cell r="L192" t="str">
            <v>2025-11-13 11:33:50.993911000</v>
          </cell>
        </row>
        <row r="193">
          <cell r="A193" t="str">
            <v>B02.000340_ID_CLLTRL</v>
          </cell>
          <cell r="B193" t="str">
            <v>B02.000340_ID_CLLTRLNOT APPLICABLE1</v>
          </cell>
          <cell r="C193" t="str">
            <v>B02.00</v>
          </cell>
          <cell r="D193" t="str">
            <v>NOT APPLICABLE</v>
          </cell>
          <cell r="E193" t="str">
            <v>BU_LOANTAPE_WORK.OUT_B0200_MAIN_LIABILITIES</v>
          </cell>
          <cell r="F193" t="str">
            <v>N/A</v>
          </cell>
          <cell r="G193" t="str">
            <v>0340_ID_CLLTRL</v>
          </cell>
          <cell r="H193" t="str">
            <v>2025-10-31</v>
          </cell>
          <cell r="I193">
            <v>8</v>
          </cell>
          <cell r="J193">
            <v>8</v>
          </cell>
          <cell r="K193" t="str">
            <v>1</v>
          </cell>
          <cell r="L193" t="str">
            <v>2025-11-13 11:33:50.993911000</v>
          </cell>
        </row>
        <row r="194">
          <cell r="A194" t="str">
            <v>B02.000350_TYP_CLLTRL</v>
          </cell>
          <cell r="B194" t="str">
            <v>B02.000350_TYP_CLLTRLCOERÊNCIA1</v>
          </cell>
          <cell r="C194" t="str">
            <v>B02.00</v>
          </cell>
          <cell r="D194" t="str">
            <v>COERÊNCIA</v>
          </cell>
          <cell r="E194" t="str">
            <v>BU_LOANTAPE_WORK.OUT_B0200_MAIN_LIABILITIES</v>
          </cell>
          <cell r="F194" t="str">
            <v>BU_CAPTOOLS_WORK.SIMUL_B0200</v>
          </cell>
          <cell r="G194" t="str">
            <v>0350_TYP_CLLTRL</v>
          </cell>
          <cell r="H194" t="str">
            <v>2025-10-31</v>
          </cell>
          <cell r="I194">
            <v>8</v>
          </cell>
          <cell r="J194">
            <v>0</v>
          </cell>
          <cell r="K194" t="str">
            <v>1</v>
          </cell>
          <cell r="L194" t="str">
            <v>2025-11-13 11:33:50.993911000</v>
          </cell>
        </row>
        <row r="195">
          <cell r="A195" t="str">
            <v>B02.000350_TYP_CLLTRL</v>
          </cell>
          <cell r="B195" t="str">
            <v>B02.000350_TYP_CLLTRLVALIDADE1</v>
          </cell>
          <cell r="C195" t="str">
            <v>B02.00</v>
          </cell>
          <cell r="D195" t="str">
            <v>VALIDADE</v>
          </cell>
          <cell r="E195" t="str">
            <v>BU_LOANTAPE_WORK.OUT_B0200_MAIN_LIABILITIES</v>
          </cell>
          <cell r="F195" t="str">
            <v>N/A</v>
          </cell>
          <cell r="G195" t="str">
            <v>0350_TYP_CLLTRL</v>
          </cell>
          <cell r="H195" t="str">
            <v>2025-10-31</v>
          </cell>
          <cell r="I195">
            <v>8</v>
          </cell>
          <cell r="J195">
            <v>0</v>
          </cell>
          <cell r="K195" t="str">
            <v>1</v>
          </cell>
          <cell r="L195" t="str">
            <v>2025-11-13 11:33:50.993911000</v>
          </cell>
        </row>
        <row r="196">
          <cell r="A196" t="str">
            <v>B02.000350_TYP_CLLTRL</v>
          </cell>
          <cell r="B196" t="str">
            <v>B02.000350_TYP_CLLTRLCARACTERES ESPECIAIS1</v>
          </cell>
          <cell r="C196" t="str">
            <v>B02.00</v>
          </cell>
          <cell r="D196" t="str">
            <v>CARACTERES ESPECIAIS</v>
          </cell>
          <cell r="E196" t="str">
            <v>BU_LOANTAPE_WORK.OUT_B0200_MAIN_LIABILITIES</v>
          </cell>
          <cell r="F196" t="str">
            <v>N/A</v>
          </cell>
          <cell r="G196" t="str">
            <v>0350_TYP_CLLTRL</v>
          </cell>
          <cell r="H196" t="str">
            <v>2025-10-31</v>
          </cell>
          <cell r="I196">
            <v>8</v>
          </cell>
          <cell r="J196">
            <v>0</v>
          </cell>
          <cell r="K196" t="str">
            <v>1</v>
          </cell>
          <cell r="L196" t="str">
            <v>2025-11-13 11:33:50.993911000</v>
          </cell>
        </row>
        <row r="197">
          <cell r="A197" t="str">
            <v>B02.000350_TYP_CLLTRL</v>
          </cell>
          <cell r="B197" t="str">
            <v>B02.000350_TYP_CLLTRLMISSINGS1</v>
          </cell>
          <cell r="C197" t="str">
            <v>B02.00</v>
          </cell>
          <cell r="D197" t="str">
            <v>MISSINGS</v>
          </cell>
          <cell r="E197" t="str">
            <v>BU_LOANTAPE_WORK.OUT_B0200_MAIN_LIABILITIES</v>
          </cell>
          <cell r="F197" t="str">
            <v>N/A</v>
          </cell>
          <cell r="G197" t="str">
            <v>0350_TYP_CLLTRL</v>
          </cell>
          <cell r="H197" t="str">
            <v>2025-10-31</v>
          </cell>
          <cell r="I197">
            <v>8</v>
          </cell>
          <cell r="J197">
            <v>0</v>
          </cell>
          <cell r="K197" t="str">
            <v>1</v>
          </cell>
          <cell r="L197" t="str">
            <v>2025-11-13 11:33:50.993911000</v>
          </cell>
        </row>
        <row r="198">
          <cell r="A198" t="str">
            <v>B02.000350_TYP_CLLTRL</v>
          </cell>
          <cell r="B198" t="str">
            <v>B02.000350_TYP_CLLTRLNOT APPLICABLE1</v>
          </cell>
          <cell r="C198" t="str">
            <v>B02.00</v>
          </cell>
          <cell r="D198" t="str">
            <v>NOT APPLICABLE</v>
          </cell>
          <cell r="E198" t="str">
            <v>BU_LOANTAPE_WORK.OUT_B0200_MAIN_LIABILITIES</v>
          </cell>
          <cell r="F198" t="str">
            <v>N/A</v>
          </cell>
          <cell r="G198" t="str">
            <v>0350_TYP_CLLTRL</v>
          </cell>
          <cell r="H198" t="str">
            <v>2025-10-31</v>
          </cell>
          <cell r="I198">
            <v>8</v>
          </cell>
          <cell r="J198">
            <v>8</v>
          </cell>
          <cell r="K198" t="str">
            <v>1</v>
          </cell>
          <cell r="L198" t="str">
            <v>2025-11-13 11:33:50.993911000</v>
          </cell>
        </row>
        <row r="199">
          <cell r="A199" t="str">
            <v>B02.000351_TYP_CLLTRL_OTHR</v>
          </cell>
          <cell r="B199" t="str">
            <v>B02.000351_TYP_CLLTRL_OTHRCOERÊNCIA1</v>
          </cell>
          <cell r="C199" t="str">
            <v>B02.00</v>
          </cell>
          <cell r="D199" t="str">
            <v>COERÊNCIA</v>
          </cell>
          <cell r="E199" t="str">
            <v>BU_LOANTAPE_WORK.OUT_B0200_MAIN_LIABILITIES</v>
          </cell>
          <cell r="F199" t="str">
            <v>BU_CAPTOOLS_WORK.SIMUL_B0200</v>
          </cell>
          <cell r="G199" t="str">
            <v>0351_TYP_CLLTRL_OTHR</v>
          </cell>
          <cell r="H199" t="str">
            <v>2025-10-31</v>
          </cell>
          <cell r="I199">
            <v>8</v>
          </cell>
          <cell r="J199">
            <v>0</v>
          </cell>
          <cell r="K199" t="str">
            <v>1</v>
          </cell>
          <cell r="L199" t="str">
            <v>2025-11-13 11:33:50.993911000</v>
          </cell>
        </row>
        <row r="200">
          <cell r="A200" t="str">
            <v>B02.000351_TYP_CLLTRL_OTHR</v>
          </cell>
          <cell r="B200" t="str">
            <v>B02.000351_TYP_CLLTRL_OTHRVALIDADE1</v>
          </cell>
          <cell r="C200" t="str">
            <v>B02.00</v>
          </cell>
          <cell r="D200" t="str">
            <v>VALIDADE</v>
          </cell>
          <cell r="E200" t="str">
            <v>BU_LOANTAPE_WORK.OUT_B0200_MAIN_LIABILITIES</v>
          </cell>
          <cell r="F200" t="str">
            <v>N/A</v>
          </cell>
          <cell r="G200" t="str">
            <v>0351_TYP_CLLTRL_OTHR</v>
          </cell>
          <cell r="H200" t="str">
            <v>2025-10-31</v>
          </cell>
          <cell r="I200">
            <v>8</v>
          </cell>
          <cell r="J200">
            <v>0</v>
          </cell>
          <cell r="K200" t="str">
            <v>1</v>
          </cell>
          <cell r="L200" t="str">
            <v>2025-11-13 11:33:50.993911000</v>
          </cell>
        </row>
        <row r="201">
          <cell r="A201" t="str">
            <v>B02.000351_TYP_CLLTRL_OTHR</v>
          </cell>
          <cell r="B201" t="str">
            <v>B02.000351_TYP_CLLTRL_OTHRCARACTERES ESPECIAIS1</v>
          </cell>
          <cell r="C201" t="str">
            <v>B02.00</v>
          </cell>
          <cell r="D201" t="str">
            <v>CARACTERES ESPECIAIS</v>
          </cell>
          <cell r="E201" t="str">
            <v>BU_LOANTAPE_WORK.OUT_B0200_MAIN_LIABILITIES</v>
          </cell>
          <cell r="F201" t="str">
            <v>N/A</v>
          </cell>
          <cell r="G201" t="str">
            <v>0351_TYP_CLLTRL_OTHR</v>
          </cell>
          <cell r="H201" t="str">
            <v>2025-10-31</v>
          </cell>
          <cell r="I201">
            <v>8</v>
          </cell>
          <cell r="J201">
            <v>0</v>
          </cell>
          <cell r="K201" t="str">
            <v>1</v>
          </cell>
          <cell r="L201" t="str">
            <v>2025-11-13 11:33:50.993911000</v>
          </cell>
        </row>
        <row r="202">
          <cell r="A202" t="str">
            <v>B02.000351_TYP_CLLTRL_OTHR</v>
          </cell>
          <cell r="B202" t="str">
            <v>B02.000351_TYP_CLLTRL_OTHRMISSINGS1</v>
          </cell>
          <cell r="C202" t="str">
            <v>B02.00</v>
          </cell>
          <cell r="D202" t="str">
            <v>MISSINGS</v>
          </cell>
          <cell r="E202" t="str">
            <v>BU_LOANTAPE_WORK.OUT_B0200_MAIN_LIABILITIES</v>
          </cell>
          <cell r="F202" t="str">
            <v>N/A</v>
          </cell>
          <cell r="G202" t="str">
            <v>0351_TYP_CLLTRL_OTHR</v>
          </cell>
          <cell r="H202" t="str">
            <v>2025-10-31</v>
          </cell>
          <cell r="I202">
            <v>8</v>
          </cell>
          <cell r="J202">
            <v>0</v>
          </cell>
          <cell r="K202" t="str">
            <v>1</v>
          </cell>
          <cell r="L202" t="str">
            <v>2025-11-13 11:33:50.993911000</v>
          </cell>
        </row>
        <row r="203">
          <cell r="A203" t="str">
            <v>B02.000351_TYP_CLLTRL_OTHR</v>
          </cell>
          <cell r="B203" t="str">
            <v>B02.000351_TYP_CLLTRL_OTHRNOT APPLICABLE1</v>
          </cell>
          <cell r="C203" t="str">
            <v>B02.00</v>
          </cell>
          <cell r="D203" t="str">
            <v>NOT APPLICABLE</v>
          </cell>
          <cell r="E203" t="str">
            <v>BU_LOANTAPE_WORK.OUT_B0200_MAIN_LIABILITIES</v>
          </cell>
          <cell r="F203" t="str">
            <v>N/A</v>
          </cell>
          <cell r="G203" t="str">
            <v>0351_TYP_CLLTRL_OTHR</v>
          </cell>
          <cell r="H203" t="str">
            <v>2025-10-31</v>
          </cell>
          <cell r="I203">
            <v>8</v>
          </cell>
          <cell r="J203">
            <v>8</v>
          </cell>
          <cell r="K203" t="str">
            <v>1</v>
          </cell>
          <cell r="L203" t="str">
            <v>2025-11-13 11:33:50.993911000</v>
          </cell>
        </row>
        <row r="204">
          <cell r="A204" t="str">
            <v>B02.000360_TRDNG_MTHD</v>
          </cell>
          <cell r="B204" t="str">
            <v>B02.000360_TRDNG_MTHDCOERÊNCIA1</v>
          </cell>
          <cell r="C204" t="str">
            <v>B02.00</v>
          </cell>
          <cell r="D204" t="str">
            <v>COERÊNCIA</v>
          </cell>
          <cell r="E204" t="str">
            <v>BU_LOANTAPE_WORK.OUT_B0200_MAIN_LIABILITIES</v>
          </cell>
          <cell r="F204" t="str">
            <v>BU_CAPTOOLS_WORK.SIMUL_B0200</v>
          </cell>
          <cell r="G204" t="str">
            <v>0360_TRDNG_MTHD</v>
          </cell>
          <cell r="H204" t="str">
            <v>2025-10-31</v>
          </cell>
          <cell r="I204">
            <v>8</v>
          </cell>
          <cell r="J204">
            <v>8</v>
          </cell>
          <cell r="K204" t="str">
            <v>1</v>
          </cell>
          <cell r="L204" t="str">
            <v>2025-11-13 11:33:50.993911000</v>
          </cell>
        </row>
        <row r="205">
          <cell r="A205" t="str">
            <v>B02.000360_TRDNG_MTHD</v>
          </cell>
          <cell r="B205" t="str">
            <v>B02.000360_TRDNG_MTHDVALIDADE1</v>
          </cell>
          <cell r="C205" t="str">
            <v>B02.00</v>
          </cell>
          <cell r="D205" t="str">
            <v>VALIDADE</v>
          </cell>
          <cell r="E205" t="str">
            <v>BU_LOANTAPE_WORK.OUT_B0200_MAIN_LIABILITIES</v>
          </cell>
          <cell r="F205" t="str">
            <v>N/A</v>
          </cell>
          <cell r="G205" t="str">
            <v>0360_TRDNG_MTHD</v>
          </cell>
          <cell r="H205" t="str">
            <v>2025-10-31</v>
          </cell>
          <cell r="I205">
            <v>8</v>
          </cell>
          <cell r="J205">
            <v>8</v>
          </cell>
          <cell r="K205" t="str">
            <v>1</v>
          </cell>
          <cell r="L205" t="str">
            <v>2025-11-13 11:33:50.993911000</v>
          </cell>
        </row>
        <row r="206">
          <cell r="A206" t="str">
            <v>B02.000360_TRDNG_MTHD</v>
          </cell>
          <cell r="B206" t="str">
            <v>B02.000360_TRDNG_MTHDCARACTERES ESPECIAIS1</v>
          </cell>
          <cell r="C206" t="str">
            <v>B02.00</v>
          </cell>
          <cell r="D206" t="str">
            <v>CARACTERES ESPECIAIS</v>
          </cell>
          <cell r="E206" t="str">
            <v>BU_LOANTAPE_WORK.OUT_B0200_MAIN_LIABILITIES</v>
          </cell>
          <cell r="F206" t="str">
            <v>N/A</v>
          </cell>
          <cell r="G206" t="str">
            <v>0360_TRDNG_MTHD</v>
          </cell>
          <cell r="H206" t="str">
            <v>2025-10-31</v>
          </cell>
          <cell r="I206">
            <v>8</v>
          </cell>
          <cell r="J206">
            <v>0</v>
          </cell>
          <cell r="K206" t="str">
            <v>1</v>
          </cell>
          <cell r="L206" t="str">
            <v>2025-11-13 11:33:50.993911000</v>
          </cell>
        </row>
        <row r="207">
          <cell r="A207" t="str">
            <v>B02.000360_TRDNG_MTHD</v>
          </cell>
          <cell r="B207" t="str">
            <v>B02.000360_TRDNG_MTHDMISSINGS1</v>
          </cell>
          <cell r="C207" t="str">
            <v>B02.00</v>
          </cell>
          <cell r="D207" t="str">
            <v>MISSINGS</v>
          </cell>
          <cell r="E207" t="str">
            <v>BU_LOANTAPE_WORK.OUT_B0200_MAIN_LIABILITIES</v>
          </cell>
          <cell r="F207" t="str">
            <v>N/A</v>
          </cell>
          <cell r="G207" t="str">
            <v>0360_TRDNG_MTHD</v>
          </cell>
          <cell r="H207" t="str">
            <v>2025-10-31</v>
          </cell>
          <cell r="I207">
            <v>8</v>
          </cell>
          <cell r="J207">
            <v>0</v>
          </cell>
          <cell r="K207" t="str">
            <v>1</v>
          </cell>
          <cell r="L207" t="str">
            <v>2025-11-13 11:33:50.993911000</v>
          </cell>
        </row>
        <row r="208">
          <cell r="A208" t="str">
            <v>B02.000360_TRDNG_MTHD</v>
          </cell>
          <cell r="B208" t="str">
            <v>B02.000360_TRDNG_MTHDNOT APPLICABLE1</v>
          </cell>
          <cell r="C208" t="str">
            <v>B02.00</v>
          </cell>
          <cell r="D208" t="str">
            <v>NOT APPLICABLE</v>
          </cell>
          <cell r="E208" t="str">
            <v>BU_LOANTAPE_WORK.OUT_B0200_MAIN_LIABILITIES</v>
          </cell>
          <cell r="F208" t="str">
            <v>N/A</v>
          </cell>
          <cell r="G208" t="str">
            <v>0360_TRDNG_MTHD</v>
          </cell>
          <cell r="H208" t="str">
            <v>2025-10-31</v>
          </cell>
          <cell r="I208">
            <v>8</v>
          </cell>
          <cell r="J208">
            <v>0</v>
          </cell>
          <cell r="K208" t="str">
            <v>1</v>
          </cell>
          <cell r="L208" t="str">
            <v>2025-11-13 11:33:50.993911000</v>
          </cell>
        </row>
        <row r="209">
          <cell r="A209" t="str">
            <v>B02.000370_AMNT_SCRTY_EUR</v>
          </cell>
          <cell r="B209" t="str">
            <v>B02.000370_AMNT_SCRTY_EURCOERÊNCIA1</v>
          </cell>
          <cell r="C209" t="str">
            <v>B02.00</v>
          </cell>
          <cell r="D209" t="str">
            <v>COERÊNCIA</v>
          </cell>
          <cell r="E209" t="str">
            <v>BU_LOANTAPE_WORK.OUT_B0200_MAIN_LIABILITIES</v>
          </cell>
          <cell r="F209" t="str">
            <v>BU_CAPTOOLS_WORK.SIMUL_B0200</v>
          </cell>
          <cell r="G209" t="str">
            <v>0370_AMNT_SCRTY_EUR</v>
          </cell>
          <cell r="H209" t="str">
            <v>2025-10-31</v>
          </cell>
          <cell r="I209">
            <v>8</v>
          </cell>
          <cell r="J209">
            <v>0</v>
          </cell>
          <cell r="K209" t="str">
            <v>1</v>
          </cell>
          <cell r="L209" t="str">
            <v>2025-11-13 11:33:50.993911000</v>
          </cell>
        </row>
        <row r="210">
          <cell r="A210" t="str">
            <v>B02.000370_AMNT_SCRTY_EUR</v>
          </cell>
          <cell r="B210" t="str">
            <v>B02.000370_AMNT_SCRTY_EURVALIDADE1</v>
          </cell>
          <cell r="C210" t="str">
            <v>B02.00</v>
          </cell>
          <cell r="D210" t="str">
            <v>VALIDADE</v>
          </cell>
          <cell r="E210" t="str">
            <v>BU_LOANTAPE_WORK.OUT_B0200_MAIN_LIABILITIES</v>
          </cell>
          <cell r="F210" t="str">
            <v>N/A</v>
          </cell>
          <cell r="G210" t="str">
            <v>0370_AMNT_SCRTY_EUR</v>
          </cell>
          <cell r="H210" t="str">
            <v>2025-10-31</v>
          </cell>
          <cell r="I210">
            <v>8</v>
          </cell>
          <cell r="J210">
            <v>0</v>
          </cell>
          <cell r="K210" t="str">
            <v>1</v>
          </cell>
          <cell r="L210" t="str">
            <v>2025-11-13 11:33:50.993911000</v>
          </cell>
        </row>
        <row r="211">
          <cell r="A211" t="str">
            <v>B02.000370_AMNT_SCRTY_EUR</v>
          </cell>
          <cell r="B211" t="str">
            <v>B02.000370_AMNT_SCRTY_EURCARACTERES ESPECIAIS1</v>
          </cell>
          <cell r="C211" t="str">
            <v>B02.00</v>
          </cell>
          <cell r="D211" t="str">
            <v>CARACTERES ESPECIAIS</v>
          </cell>
          <cell r="E211" t="str">
            <v>BU_LOANTAPE_WORK.OUT_B0200_MAIN_LIABILITIES</v>
          </cell>
          <cell r="F211" t="str">
            <v>N/A</v>
          </cell>
          <cell r="G211" t="str">
            <v>0370_AMNT_SCRTY_EUR</v>
          </cell>
          <cell r="H211" t="str">
            <v>2025-10-31</v>
          </cell>
          <cell r="I211">
            <v>8</v>
          </cell>
          <cell r="J211">
            <v>0</v>
          </cell>
          <cell r="K211" t="str">
            <v>1</v>
          </cell>
          <cell r="L211" t="str">
            <v>2025-11-13 11:33:50.993911000</v>
          </cell>
        </row>
        <row r="212">
          <cell r="A212" t="str">
            <v>B02.000370_AMNT_SCRTY_EUR</v>
          </cell>
          <cell r="B212" t="str">
            <v>B02.000370_AMNT_SCRTY_EURMISSINGS1</v>
          </cell>
          <cell r="C212" t="str">
            <v>B02.00</v>
          </cell>
          <cell r="D212" t="str">
            <v>MISSINGS</v>
          </cell>
          <cell r="E212" t="str">
            <v>BU_LOANTAPE_WORK.OUT_B0200_MAIN_LIABILITIES</v>
          </cell>
          <cell r="F212" t="str">
            <v>N/A</v>
          </cell>
          <cell r="G212" t="str">
            <v>0370_AMNT_SCRTY_EUR</v>
          </cell>
          <cell r="H212" t="str">
            <v>2025-10-31</v>
          </cell>
          <cell r="I212">
            <v>8</v>
          </cell>
          <cell r="J212">
            <v>0</v>
          </cell>
          <cell r="K212" t="str">
            <v>1</v>
          </cell>
          <cell r="L212" t="str">
            <v>2025-11-13 11:33:50.993911000</v>
          </cell>
        </row>
        <row r="213">
          <cell r="A213" t="str">
            <v>B02.000370_AMNT_SCRTY_EUR</v>
          </cell>
          <cell r="B213" t="str">
            <v>B02.000370_AMNT_SCRTY_EURNOT APPLICABLE1</v>
          </cell>
          <cell r="C213" t="str">
            <v>B02.00</v>
          </cell>
          <cell r="D213" t="str">
            <v>NOT APPLICABLE</v>
          </cell>
          <cell r="E213" t="str">
            <v>BU_LOANTAPE_WORK.OUT_B0200_MAIN_LIABILITIES</v>
          </cell>
          <cell r="F213" t="str">
            <v>N/A</v>
          </cell>
          <cell r="G213" t="str">
            <v>0370_AMNT_SCRTY_EUR</v>
          </cell>
          <cell r="H213" t="str">
            <v>2025-10-31</v>
          </cell>
          <cell r="I213">
            <v>8</v>
          </cell>
          <cell r="J213">
            <v>0</v>
          </cell>
          <cell r="K213" t="str">
            <v>1</v>
          </cell>
          <cell r="L213" t="str">
            <v>2025-11-13 11:33:50.993911000</v>
          </cell>
        </row>
        <row r="214">
          <cell r="A214" t="str">
            <v>B02.000380_AMNT_SCRTY_FX</v>
          </cell>
          <cell r="B214" t="str">
            <v>B02.000380_AMNT_SCRTY_FXCOERÊNCIA1</v>
          </cell>
          <cell r="C214" t="str">
            <v>B02.00</v>
          </cell>
          <cell r="D214" t="str">
            <v>COERÊNCIA</v>
          </cell>
          <cell r="E214" t="str">
            <v>BU_LOANTAPE_WORK.OUT_B0200_MAIN_LIABILITIES</v>
          </cell>
          <cell r="F214" t="str">
            <v>BU_CAPTOOLS_WORK.SIMUL_B0200</v>
          </cell>
          <cell r="G214" t="str">
            <v>0380_AMNT_SCRTY_FX</v>
          </cell>
          <cell r="H214" t="str">
            <v>2025-10-31</v>
          </cell>
          <cell r="I214">
            <v>8</v>
          </cell>
          <cell r="J214">
            <v>0</v>
          </cell>
          <cell r="K214" t="str">
            <v>1</v>
          </cell>
          <cell r="L214" t="str">
            <v>2025-11-13 11:33:50.993911000</v>
          </cell>
        </row>
        <row r="215">
          <cell r="A215" t="str">
            <v>B02.000380_AMNT_SCRTY_FX</v>
          </cell>
          <cell r="B215" t="str">
            <v>B02.000380_AMNT_SCRTY_FXVALIDADE1</v>
          </cell>
          <cell r="C215" t="str">
            <v>B02.00</v>
          </cell>
          <cell r="D215" t="str">
            <v>VALIDADE</v>
          </cell>
          <cell r="E215" t="str">
            <v>BU_LOANTAPE_WORK.OUT_B0200_MAIN_LIABILITIES</v>
          </cell>
          <cell r="F215" t="str">
            <v>N/A</v>
          </cell>
          <cell r="G215" t="str">
            <v>0380_AMNT_SCRTY_FX</v>
          </cell>
          <cell r="H215" t="str">
            <v>2025-10-31</v>
          </cell>
          <cell r="I215">
            <v>8</v>
          </cell>
          <cell r="J215">
            <v>0</v>
          </cell>
          <cell r="K215" t="str">
            <v>1</v>
          </cell>
          <cell r="L215" t="str">
            <v>2025-11-13 11:33:50.993911000</v>
          </cell>
        </row>
        <row r="216">
          <cell r="A216" t="str">
            <v>B02.000380_AMNT_SCRTY_FX</v>
          </cell>
          <cell r="B216" t="str">
            <v>B02.000380_AMNT_SCRTY_FXCARACTERES ESPECIAIS1</v>
          </cell>
          <cell r="C216" t="str">
            <v>B02.00</v>
          </cell>
          <cell r="D216" t="str">
            <v>CARACTERES ESPECIAIS</v>
          </cell>
          <cell r="E216" t="str">
            <v>BU_LOANTAPE_WORK.OUT_B0200_MAIN_LIABILITIES</v>
          </cell>
          <cell r="F216" t="str">
            <v>N/A</v>
          </cell>
          <cell r="G216" t="str">
            <v>0380_AMNT_SCRTY_FX</v>
          </cell>
          <cell r="H216" t="str">
            <v>2025-10-31</v>
          </cell>
          <cell r="I216">
            <v>8</v>
          </cell>
          <cell r="J216">
            <v>0</v>
          </cell>
          <cell r="K216" t="str">
            <v>1</v>
          </cell>
          <cell r="L216" t="str">
            <v>2025-11-13 11:33:50.993911000</v>
          </cell>
        </row>
        <row r="217">
          <cell r="A217" t="str">
            <v>B02.000380_AMNT_SCRTY_FX</v>
          </cell>
          <cell r="B217" t="str">
            <v>B02.000380_AMNT_SCRTY_FXMISSINGS1</v>
          </cell>
          <cell r="C217" t="str">
            <v>B02.00</v>
          </cell>
          <cell r="D217" t="str">
            <v>MISSINGS</v>
          </cell>
          <cell r="E217" t="str">
            <v>BU_LOANTAPE_WORK.OUT_B0200_MAIN_LIABILITIES</v>
          </cell>
          <cell r="F217" t="str">
            <v>N/A</v>
          </cell>
          <cell r="G217" t="str">
            <v>0380_AMNT_SCRTY_FX</v>
          </cell>
          <cell r="H217" t="str">
            <v>2025-10-31</v>
          </cell>
          <cell r="I217">
            <v>8</v>
          </cell>
          <cell r="J217">
            <v>0</v>
          </cell>
          <cell r="K217" t="str">
            <v>1</v>
          </cell>
          <cell r="L217" t="str">
            <v>2025-11-13 11:33:50.993911000</v>
          </cell>
        </row>
        <row r="218">
          <cell r="A218" t="str">
            <v>B02.000380_AMNT_SCRTY_FX</v>
          </cell>
          <cell r="B218" t="str">
            <v>B02.000380_AMNT_SCRTY_FXNOT APPLICABLE1</v>
          </cell>
          <cell r="C218" t="str">
            <v>B02.00</v>
          </cell>
          <cell r="D218" t="str">
            <v>NOT APPLICABLE</v>
          </cell>
          <cell r="E218" t="str">
            <v>BU_LOANTAPE_WORK.OUT_B0200_MAIN_LIABILITIES</v>
          </cell>
          <cell r="F218" t="str">
            <v>N/A</v>
          </cell>
          <cell r="G218" t="str">
            <v>0380_AMNT_SCRTY_FX</v>
          </cell>
          <cell r="H218" t="str">
            <v>2025-10-31</v>
          </cell>
          <cell r="I218">
            <v>8</v>
          </cell>
          <cell r="J218">
            <v>0</v>
          </cell>
          <cell r="K218" t="str">
            <v>1</v>
          </cell>
          <cell r="L218" t="str">
            <v>2025-11-13 11:33:50.993911000</v>
          </cell>
        </row>
        <row r="219">
          <cell r="A219" t="str">
            <v>B02.000390_NMBR_SCRTS_NOT_RPRTNG_ENTTY</v>
          </cell>
          <cell r="B219" t="str">
            <v>B02.000390_NMBR_SCRTS_NOT_RPRTNG_ENTTYCOERÊNCIA1</v>
          </cell>
          <cell r="C219" t="str">
            <v>B02.00</v>
          </cell>
          <cell r="D219" t="str">
            <v>COERÊNCIA</v>
          </cell>
          <cell r="E219" t="str">
            <v>BU_LOANTAPE_WORK.OUT_B0200_MAIN_LIABILITIES</v>
          </cell>
          <cell r="F219" t="str">
            <v>BU_CAPTOOLS_WORK.SIMUL_B0200</v>
          </cell>
          <cell r="G219" t="str">
            <v>0390_NMBR_SCRTS_NOT_RPRTNG_ENTTY</v>
          </cell>
          <cell r="H219" t="str">
            <v>2025-10-31</v>
          </cell>
          <cell r="I219">
            <v>8</v>
          </cell>
          <cell r="J219">
            <v>8</v>
          </cell>
          <cell r="K219" t="str">
            <v>1</v>
          </cell>
          <cell r="L219" t="str">
            <v>2025-11-13 11:33:50.993911000</v>
          </cell>
        </row>
        <row r="220">
          <cell r="A220" t="str">
            <v>B02.000390_NMBR_SCRTS_NOT_RPRTNG_ENTTY</v>
          </cell>
          <cell r="B220" t="str">
            <v>B02.000390_NMBR_SCRTS_NOT_RPRTNG_ENTTYVALIDADE1</v>
          </cell>
          <cell r="C220" t="str">
            <v>B02.00</v>
          </cell>
          <cell r="D220" t="str">
            <v>VALIDADE</v>
          </cell>
          <cell r="E220" t="str">
            <v>BU_LOANTAPE_WORK.OUT_B0200_MAIN_LIABILITIES</v>
          </cell>
          <cell r="F220" t="str">
            <v>N/A</v>
          </cell>
          <cell r="G220" t="str">
            <v>0390_NMBR_SCRTS_NOT_RPRTNG_ENTTY</v>
          </cell>
          <cell r="H220" t="str">
            <v>2025-10-31</v>
          </cell>
          <cell r="I220">
            <v>8</v>
          </cell>
          <cell r="J220">
            <v>8</v>
          </cell>
          <cell r="K220" t="str">
            <v>1</v>
          </cell>
          <cell r="L220" t="str">
            <v>2025-11-13 11:33:50.993911000</v>
          </cell>
        </row>
        <row r="221">
          <cell r="A221" t="str">
            <v>B02.000390_NMBR_SCRTS_NOT_RPRTNG_ENTTY</v>
          </cell>
          <cell r="B221" t="str">
            <v>B02.000390_NMBR_SCRTS_NOT_RPRTNG_ENTTYCARACTERES ESPECIAIS1</v>
          </cell>
          <cell r="C221" t="str">
            <v>B02.00</v>
          </cell>
          <cell r="D221" t="str">
            <v>CARACTERES ESPECIAIS</v>
          </cell>
          <cell r="E221" t="str">
            <v>BU_LOANTAPE_WORK.OUT_B0200_MAIN_LIABILITIES</v>
          </cell>
          <cell r="F221" t="str">
            <v>N/A</v>
          </cell>
          <cell r="G221" t="str">
            <v>0390_NMBR_SCRTS_NOT_RPRTNG_ENTTY</v>
          </cell>
          <cell r="H221" t="str">
            <v>2025-10-31</v>
          </cell>
          <cell r="I221">
            <v>8</v>
          </cell>
          <cell r="J221">
            <v>0</v>
          </cell>
          <cell r="K221" t="str">
            <v>1</v>
          </cell>
          <cell r="L221" t="str">
            <v>2025-11-13 11:33:50.993911000</v>
          </cell>
        </row>
        <row r="222">
          <cell r="A222" t="str">
            <v>B02.000390_NMBR_SCRTS_NOT_RPRTNG_ENTTY</v>
          </cell>
          <cell r="B222" t="str">
            <v>B02.000390_NMBR_SCRTS_NOT_RPRTNG_ENTTYMISSINGS1</v>
          </cell>
          <cell r="C222" t="str">
            <v>B02.00</v>
          </cell>
          <cell r="D222" t="str">
            <v>MISSINGS</v>
          </cell>
          <cell r="E222" t="str">
            <v>BU_LOANTAPE_WORK.OUT_B0200_MAIN_LIABILITIES</v>
          </cell>
          <cell r="F222" t="str">
            <v>N/A</v>
          </cell>
          <cell r="G222" t="str">
            <v>0390_NMBR_SCRTS_NOT_RPRTNG_ENTTY</v>
          </cell>
          <cell r="H222" t="str">
            <v>2025-10-31</v>
          </cell>
          <cell r="I222">
            <v>8</v>
          </cell>
          <cell r="J222">
            <v>0</v>
          </cell>
          <cell r="K222" t="str">
            <v>1</v>
          </cell>
          <cell r="L222" t="str">
            <v>2025-11-13 11:33:50.993911000</v>
          </cell>
        </row>
        <row r="223">
          <cell r="A223" t="str">
            <v>B02.000390_NMBR_SCRTS_NOT_RPRTNG_ENTTY</v>
          </cell>
          <cell r="B223" t="str">
            <v>B02.000390_NMBR_SCRTS_NOT_RPRTNG_ENTTYNOT APPLICABLE1</v>
          </cell>
          <cell r="C223" t="str">
            <v>B02.00</v>
          </cell>
          <cell r="D223" t="str">
            <v>NOT APPLICABLE</v>
          </cell>
          <cell r="E223" t="str">
            <v>BU_LOANTAPE_WORK.OUT_B0200_MAIN_LIABILITIES</v>
          </cell>
          <cell r="F223" t="str">
            <v>N/A</v>
          </cell>
          <cell r="G223" t="str">
            <v>0390_NMBR_SCRTS_NOT_RPRTNG_ENTTY</v>
          </cell>
          <cell r="H223" t="str">
            <v>2025-10-31</v>
          </cell>
          <cell r="I223">
            <v>8</v>
          </cell>
          <cell r="J223">
            <v>0</v>
          </cell>
          <cell r="K223" t="str">
            <v>1</v>
          </cell>
          <cell r="L223" t="str">
            <v>2025-11-13 11:33:50.993911000</v>
          </cell>
        </row>
        <row r="224">
          <cell r="A224" t="str">
            <v>B02.000391_NMBR_SCRTS_RPRTNG_ENTTY</v>
          </cell>
          <cell r="B224" t="str">
            <v>B02.000391_NMBR_SCRTS_RPRTNG_ENTTYCOERÊNCIA1</v>
          </cell>
          <cell r="C224" t="str">
            <v>B02.00</v>
          </cell>
          <cell r="D224" t="str">
            <v>COERÊNCIA</v>
          </cell>
          <cell r="E224" t="str">
            <v>BU_LOANTAPE_WORK.OUT_B0200_MAIN_LIABILITIES</v>
          </cell>
          <cell r="F224" t="str">
            <v>BU_CAPTOOLS_WORK.SIMUL_B0200</v>
          </cell>
          <cell r="G224" t="str">
            <v>0391_NMBR_SCRTS_RPRTNG_ENTTY</v>
          </cell>
          <cell r="H224" t="str">
            <v>2025-10-31</v>
          </cell>
          <cell r="I224">
            <v>8</v>
          </cell>
          <cell r="J224">
            <v>8</v>
          </cell>
          <cell r="K224" t="str">
            <v>1</v>
          </cell>
          <cell r="L224" t="str">
            <v>2025-11-13 11:33:50.993911000</v>
          </cell>
        </row>
        <row r="225">
          <cell r="A225" t="str">
            <v>B02.000391_NMBR_SCRTS_RPRTNG_ENTTY</v>
          </cell>
          <cell r="B225" t="str">
            <v>B02.000391_NMBR_SCRTS_RPRTNG_ENTTYVALIDADE1</v>
          </cell>
          <cell r="C225" t="str">
            <v>B02.00</v>
          </cell>
          <cell r="D225" t="str">
            <v>VALIDADE</v>
          </cell>
          <cell r="E225" t="str">
            <v>BU_LOANTAPE_WORK.OUT_B0200_MAIN_LIABILITIES</v>
          </cell>
          <cell r="F225" t="str">
            <v>N/A</v>
          </cell>
          <cell r="G225" t="str">
            <v>0391_NMBR_SCRTS_RPRTNG_ENTTY</v>
          </cell>
          <cell r="H225" t="str">
            <v>2025-10-31</v>
          </cell>
          <cell r="I225">
            <v>8</v>
          </cell>
          <cell r="J225">
            <v>8</v>
          </cell>
          <cell r="K225" t="str">
            <v>1</v>
          </cell>
          <cell r="L225" t="str">
            <v>2025-11-13 11:33:50.993911000</v>
          </cell>
        </row>
        <row r="226">
          <cell r="A226" t="str">
            <v>B02.000391_NMBR_SCRTS_RPRTNG_ENTTY</v>
          </cell>
          <cell r="B226" t="str">
            <v>B02.000391_NMBR_SCRTS_RPRTNG_ENTTYCARACTERES ESPECIAIS1</v>
          </cell>
          <cell r="C226" t="str">
            <v>B02.00</v>
          </cell>
          <cell r="D226" t="str">
            <v>CARACTERES ESPECIAIS</v>
          </cell>
          <cell r="E226" t="str">
            <v>BU_LOANTAPE_WORK.OUT_B0200_MAIN_LIABILITIES</v>
          </cell>
          <cell r="F226" t="str">
            <v>N/A</v>
          </cell>
          <cell r="G226" t="str">
            <v>0391_NMBR_SCRTS_RPRTNG_ENTTY</v>
          </cell>
          <cell r="H226" t="str">
            <v>2025-10-31</v>
          </cell>
          <cell r="I226">
            <v>8</v>
          </cell>
          <cell r="J226">
            <v>0</v>
          </cell>
          <cell r="K226" t="str">
            <v>1</v>
          </cell>
          <cell r="L226" t="str">
            <v>2025-11-13 11:33:50.993911000</v>
          </cell>
        </row>
        <row r="227">
          <cell r="A227" t="str">
            <v>B02.000391_NMBR_SCRTS_RPRTNG_ENTTY</v>
          </cell>
          <cell r="B227" t="str">
            <v>B02.000391_NMBR_SCRTS_RPRTNG_ENTTYMISSINGS1</v>
          </cell>
          <cell r="C227" t="str">
            <v>B02.00</v>
          </cell>
          <cell r="D227" t="str">
            <v>MISSINGS</v>
          </cell>
          <cell r="E227" t="str">
            <v>BU_LOANTAPE_WORK.OUT_B0200_MAIN_LIABILITIES</v>
          </cell>
          <cell r="F227" t="str">
            <v>N/A</v>
          </cell>
          <cell r="G227" t="str">
            <v>0391_NMBR_SCRTS_RPRTNG_ENTTY</v>
          </cell>
          <cell r="H227" t="str">
            <v>2025-10-31</v>
          </cell>
          <cell r="I227">
            <v>8</v>
          </cell>
          <cell r="J227">
            <v>0</v>
          </cell>
          <cell r="K227" t="str">
            <v>1</v>
          </cell>
          <cell r="L227" t="str">
            <v>2025-11-13 11:33:50.993911000</v>
          </cell>
        </row>
        <row r="228">
          <cell r="A228" t="str">
            <v>B02.000391_NMBR_SCRTS_RPRTNG_ENTTY</v>
          </cell>
          <cell r="B228" t="str">
            <v>B02.000391_NMBR_SCRTS_RPRTNG_ENTTYNOT APPLICABLE1</v>
          </cell>
          <cell r="C228" t="str">
            <v>B02.00</v>
          </cell>
          <cell r="D228" t="str">
            <v>NOT APPLICABLE</v>
          </cell>
          <cell r="E228" t="str">
            <v>BU_LOANTAPE_WORK.OUT_B0200_MAIN_LIABILITIES</v>
          </cell>
          <cell r="F228" t="str">
            <v>N/A</v>
          </cell>
          <cell r="G228" t="str">
            <v>0391_NMBR_SCRTS_RPRTNG_ENTTY</v>
          </cell>
          <cell r="H228" t="str">
            <v>2025-10-31</v>
          </cell>
          <cell r="I228">
            <v>8</v>
          </cell>
          <cell r="J228">
            <v>0</v>
          </cell>
          <cell r="K228" t="str">
            <v>1</v>
          </cell>
          <cell r="L228" t="str">
            <v>2025-11-13 11:33:50.993911000</v>
          </cell>
        </row>
        <row r="229">
          <cell r="A229" t="str">
            <v>B02.000400_ACCRD_INTRST_SCRTY</v>
          </cell>
          <cell r="B229" t="str">
            <v>B02.000400_ACCRD_INTRST_SCRTYCOERÊNCIA1</v>
          </cell>
          <cell r="C229" t="str">
            <v>B02.00</v>
          </cell>
          <cell r="D229" t="str">
            <v>COERÊNCIA</v>
          </cell>
          <cell r="E229" t="str">
            <v>BU_LOANTAPE_WORK.OUT_B0200_MAIN_LIABILITIES</v>
          </cell>
          <cell r="F229" t="str">
            <v>BU_CAPTOOLS_WORK.SIMUL_B0200</v>
          </cell>
          <cell r="G229" t="str">
            <v>0400_ACCRD_INTRST_SCRTY</v>
          </cell>
          <cell r="H229" t="str">
            <v>2025-10-31</v>
          </cell>
          <cell r="I229">
            <v>8</v>
          </cell>
          <cell r="J229">
            <v>8</v>
          </cell>
          <cell r="K229" t="str">
            <v>1</v>
          </cell>
          <cell r="L229" t="str">
            <v>2025-11-13 11:33:50.993911000</v>
          </cell>
        </row>
        <row r="230">
          <cell r="A230" t="str">
            <v>B02.000400_ACCRD_INTRST_SCRTY</v>
          </cell>
          <cell r="B230" t="str">
            <v>B02.000400_ACCRD_INTRST_SCRTYVALIDADE1</v>
          </cell>
          <cell r="C230" t="str">
            <v>B02.00</v>
          </cell>
          <cell r="D230" t="str">
            <v>VALIDADE</v>
          </cell>
          <cell r="E230" t="str">
            <v>BU_LOANTAPE_WORK.OUT_B0200_MAIN_LIABILITIES</v>
          </cell>
          <cell r="F230" t="str">
            <v>N/A</v>
          </cell>
          <cell r="G230" t="str">
            <v>0400_ACCRD_INTRST_SCRTY</v>
          </cell>
          <cell r="H230" t="str">
            <v>2025-10-31</v>
          </cell>
          <cell r="I230">
            <v>8</v>
          </cell>
          <cell r="J230">
            <v>8</v>
          </cell>
          <cell r="K230" t="str">
            <v>1</v>
          </cell>
          <cell r="L230" t="str">
            <v>2025-11-13 11:33:50.993911000</v>
          </cell>
        </row>
        <row r="231">
          <cell r="A231" t="str">
            <v>B02.000400_ACCRD_INTRST_SCRTY</v>
          </cell>
          <cell r="B231" t="str">
            <v>B02.000400_ACCRD_INTRST_SCRTYCARACTERES ESPECIAIS1</v>
          </cell>
          <cell r="C231" t="str">
            <v>B02.00</v>
          </cell>
          <cell r="D231" t="str">
            <v>CARACTERES ESPECIAIS</v>
          </cell>
          <cell r="E231" t="str">
            <v>BU_LOANTAPE_WORK.OUT_B0200_MAIN_LIABILITIES</v>
          </cell>
          <cell r="F231" t="str">
            <v>N/A</v>
          </cell>
          <cell r="G231" t="str">
            <v>0400_ACCRD_INTRST_SCRTY</v>
          </cell>
          <cell r="H231" t="str">
            <v>2025-10-31</v>
          </cell>
          <cell r="I231">
            <v>8</v>
          </cell>
          <cell r="J231">
            <v>0</v>
          </cell>
          <cell r="K231" t="str">
            <v>1</v>
          </cell>
          <cell r="L231" t="str">
            <v>2025-11-13 11:33:50.993911000</v>
          </cell>
        </row>
        <row r="232">
          <cell r="A232" t="str">
            <v>B02.000400_ACCRD_INTRST_SCRTY</v>
          </cell>
          <cell r="B232" t="str">
            <v>B02.000400_ACCRD_INTRST_SCRTYMISSINGS1</v>
          </cell>
          <cell r="C232" t="str">
            <v>B02.00</v>
          </cell>
          <cell r="D232" t="str">
            <v>MISSINGS</v>
          </cell>
          <cell r="E232" t="str">
            <v>BU_LOANTAPE_WORK.OUT_B0200_MAIN_LIABILITIES</v>
          </cell>
          <cell r="F232" t="str">
            <v>N/A</v>
          </cell>
          <cell r="G232" t="str">
            <v>0400_ACCRD_INTRST_SCRTY</v>
          </cell>
          <cell r="H232" t="str">
            <v>2025-10-31</v>
          </cell>
          <cell r="I232">
            <v>8</v>
          </cell>
          <cell r="J232">
            <v>0</v>
          </cell>
          <cell r="K232" t="str">
            <v>1</v>
          </cell>
          <cell r="L232" t="str">
            <v>2025-11-13 11:33:50.993911000</v>
          </cell>
        </row>
        <row r="233">
          <cell r="A233" t="str">
            <v>B02.000400_ACCRD_INTRST_SCRTY</v>
          </cell>
          <cell r="B233" t="str">
            <v>B02.000400_ACCRD_INTRST_SCRTYNOT APPLICABLE1</v>
          </cell>
          <cell r="C233" t="str">
            <v>B02.00</v>
          </cell>
          <cell r="D233" t="str">
            <v>NOT APPLICABLE</v>
          </cell>
          <cell r="E233" t="str">
            <v>BU_LOANTAPE_WORK.OUT_B0200_MAIN_LIABILITIES</v>
          </cell>
          <cell r="F233" t="str">
            <v>N/A</v>
          </cell>
          <cell r="G233" t="str">
            <v>0400_ACCRD_INTRST_SCRTY</v>
          </cell>
          <cell r="H233" t="str">
            <v>2025-10-31</v>
          </cell>
          <cell r="I233">
            <v>8</v>
          </cell>
          <cell r="J233">
            <v>0</v>
          </cell>
          <cell r="K233" t="str">
            <v>1</v>
          </cell>
          <cell r="L233" t="str">
            <v>2025-11-13 11:33:50.993911000</v>
          </cell>
        </row>
        <row r="234">
          <cell r="A234" t="str">
            <v>B02.000410_FEES_CHARGES_SCRTY</v>
          </cell>
          <cell r="B234" t="str">
            <v>B02.000410_FEES_CHARGES_SCRTYCOERÊNCIA1</v>
          </cell>
          <cell r="C234" t="str">
            <v>B02.00</v>
          </cell>
          <cell r="D234" t="str">
            <v>COERÊNCIA</v>
          </cell>
          <cell r="E234" t="str">
            <v>BU_LOANTAPE_WORK.OUT_B0200_MAIN_LIABILITIES</v>
          </cell>
          <cell r="F234" t="str">
            <v>BU_CAPTOOLS_WORK.SIMUL_B0200</v>
          </cell>
          <cell r="G234" t="str">
            <v>0410_FEES_CHARGES_SCRTY</v>
          </cell>
          <cell r="H234" t="str">
            <v>2025-10-31</v>
          </cell>
          <cell r="I234">
            <v>8</v>
          </cell>
          <cell r="J234">
            <v>0</v>
          </cell>
          <cell r="K234" t="str">
            <v>1</v>
          </cell>
          <cell r="L234" t="str">
            <v>2025-11-13 11:33:50.993911000</v>
          </cell>
        </row>
        <row r="235">
          <cell r="A235" t="str">
            <v>B02.000410_FEES_CHARGES_SCRTY</v>
          </cell>
          <cell r="B235" t="str">
            <v>B02.000410_FEES_CHARGES_SCRTYVALIDADE1</v>
          </cell>
          <cell r="C235" t="str">
            <v>B02.00</v>
          </cell>
          <cell r="D235" t="str">
            <v>VALIDADE</v>
          </cell>
          <cell r="E235" t="str">
            <v>BU_LOANTAPE_WORK.OUT_B0200_MAIN_LIABILITIES</v>
          </cell>
          <cell r="F235" t="str">
            <v>N/A</v>
          </cell>
          <cell r="G235" t="str">
            <v>0410_FEES_CHARGES_SCRTY</v>
          </cell>
          <cell r="H235" t="str">
            <v>2025-10-31</v>
          </cell>
          <cell r="I235">
            <v>8</v>
          </cell>
          <cell r="J235">
            <v>0</v>
          </cell>
          <cell r="K235" t="str">
            <v>1</v>
          </cell>
          <cell r="L235" t="str">
            <v>2025-11-13 11:33:50.993911000</v>
          </cell>
        </row>
        <row r="236">
          <cell r="A236" t="str">
            <v>B02.000410_FEES_CHARGES_SCRTY</v>
          </cell>
          <cell r="B236" t="str">
            <v>B02.000410_FEES_CHARGES_SCRTYCARACTERES ESPECIAIS1</v>
          </cell>
          <cell r="C236" t="str">
            <v>B02.00</v>
          </cell>
          <cell r="D236" t="str">
            <v>CARACTERES ESPECIAIS</v>
          </cell>
          <cell r="E236" t="str">
            <v>BU_LOANTAPE_WORK.OUT_B0200_MAIN_LIABILITIES</v>
          </cell>
          <cell r="F236" t="str">
            <v>N/A</v>
          </cell>
          <cell r="G236" t="str">
            <v>0410_FEES_CHARGES_SCRTY</v>
          </cell>
          <cell r="H236" t="str">
            <v>2025-10-31</v>
          </cell>
          <cell r="I236">
            <v>8</v>
          </cell>
          <cell r="J236">
            <v>0</v>
          </cell>
          <cell r="K236" t="str">
            <v>1</v>
          </cell>
          <cell r="L236" t="str">
            <v>2025-11-13 11:33:50.993911000</v>
          </cell>
        </row>
        <row r="237">
          <cell r="A237" t="str">
            <v>B02.000410_FEES_CHARGES_SCRTY</v>
          </cell>
          <cell r="B237" t="str">
            <v>B02.000410_FEES_CHARGES_SCRTYMISSINGS1</v>
          </cell>
          <cell r="C237" t="str">
            <v>B02.00</v>
          </cell>
          <cell r="D237" t="str">
            <v>MISSINGS</v>
          </cell>
          <cell r="E237" t="str">
            <v>BU_LOANTAPE_WORK.OUT_B0200_MAIN_LIABILITIES</v>
          </cell>
          <cell r="F237" t="str">
            <v>N/A</v>
          </cell>
          <cell r="G237" t="str">
            <v>0410_FEES_CHARGES_SCRTY</v>
          </cell>
          <cell r="H237" t="str">
            <v>2025-10-31</v>
          </cell>
          <cell r="I237">
            <v>8</v>
          </cell>
          <cell r="J237">
            <v>0</v>
          </cell>
          <cell r="K237" t="str">
            <v>1</v>
          </cell>
          <cell r="L237" t="str">
            <v>2025-11-13 11:33:50.993911000</v>
          </cell>
        </row>
        <row r="238">
          <cell r="A238" t="str">
            <v>B02.000410_FEES_CHARGES_SCRTY</v>
          </cell>
          <cell r="B238" t="str">
            <v>B02.000410_FEES_CHARGES_SCRTYNOT APPLICABLE1</v>
          </cell>
          <cell r="C238" t="str">
            <v>B02.00</v>
          </cell>
          <cell r="D238" t="str">
            <v>NOT APPLICABLE</v>
          </cell>
          <cell r="E238" t="str">
            <v>BU_LOANTAPE_WORK.OUT_B0200_MAIN_LIABILITIES</v>
          </cell>
          <cell r="F238" t="str">
            <v>N/A</v>
          </cell>
          <cell r="G238" t="str">
            <v>0410_FEES_CHARGES_SCRTY</v>
          </cell>
          <cell r="H238" t="str">
            <v>2025-10-31</v>
          </cell>
          <cell r="I238">
            <v>8</v>
          </cell>
          <cell r="J238">
            <v>0</v>
          </cell>
          <cell r="K238" t="str">
            <v>1</v>
          </cell>
          <cell r="L238" t="str">
            <v>2025-11-13 11:33:50.993911000</v>
          </cell>
        </row>
        <row r="239">
          <cell r="A239" t="str">
            <v>B02.000420_FV_AMNT_SCRTY</v>
          </cell>
          <cell r="B239" t="str">
            <v>B02.000420_FV_AMNT_SCRTYCOERÊNCIA1</v>
          </cell>
          <cell r="C239" t="str">
            <v>B02.00</v>
          </cell>
          <cell r="D239" t="str">
            <v>COERÊNCIA</v>
          </cell>
          <cell r="E239" t="str">
            <v>BU_LOANTAPE_WORK.OUT_B0200_MAIN_LIABILITIES</v>
          </cell>
          <cell r="F239" t="str">
            <v>BU_CAPTOOLS_WORK.SIMUL_B0200</v>
          </cell>
          <cell r="G239" t="str">
            <v>0420_FV_AMNT_SCRTY</v>
          </cell>
          <cell r="H239" t="str">
            <v>2025-10-31</v>
          </cell>
          <cell r="I239">
            <v>8</v>
          </cell>
          <cell r="J239">
            <v>0</v>
          </cell>
          <cell r="K239" t="str">
            <v>1</v>
          </cell>
          <cell r="L239" t="str">
            <v>2025-11-13 11:33:50.993911000</v>
          </cell>
        </row>
        <row r="240">
          <cell r="A240" t="str">
            <v>B02.000420_FV_AMNT_SCRTY</v>
          </cell>
          <cell r="B240" t="str">
            <v>B02.000420_FV_AMNT_SCRTYVALIDADE1</v>
          </cell>
          <cell r="C240" t="str">
            <v>B02.00</v>
          </cell>
          <cell r="D240" t="str">
            <v>VALIDADE</v>
          </cell>
          <cell r="E240" t="str">
            <v>BU_LOANTAPE_WORK.OUT_B0200_MAIN_LIABILITIES</v>
          </cell>
          <cell r="F240" t="str">
            <v>N/A</v>
          </cell>
          <cell r="G240" t="str">
            <v>0420_FV_AMNT_SCRTY</v>
          </cell>
          <cell r="H240" t="str">
            <v>2025-10-31</v>
          </cell>
          <cell r="I240">
            <v>8</v>
          </cell>
          <cell r="J240">
            <v>0</v>
          </cell>
          <cell r="K240" t="str">
            <v>1</v>
          </cell>
          <cell r="L240" t="str">
            <v>2025-11-13 11:33:50.993911000</v>
          </cell>
        </row>
        <row r="241">
          <cell r="A241" t="str">
            <v>B02.000420_FV_AMNT_SCRTY</v>
          </cell>
          <cell r="B241" t="str">
            <v>B02.000420_FV_AMNT_SCRTYCARACTERES ESPECIAIS1</v>
          </cell>
          <cell r="C241" t="str">
            <v>B02.00</v>
          </cell>
          <cell r="D241" t="str">
            <v>CARACTERES ESPECIAIS</v>
          </cell>
          <cell r="E241" t="str">
            <v>BU_LOANTAPE_WORK.OUT_B0200_MAIN_LIABILITIES</v>
          </cell>
          <cell r="F241" t="str">
            <v>N/A</v>
          </cell>
          <cell r="G241" t="str">
            <v>0420_FV_AMNT_SCRTY</v>
          </cell>
          <cell r="H241" t="str">
            <v>2025-10-31</v>
          </cell>
          <cell r="I241">
            <v>8</v>
          </cell>
          <cell r="J241">
            <v>0</v>
          </cell>
          <cell r="K241" t="str">
            <v>1</v>
          </cell>
          <cell r="L241" t="str">
            <v>2025-11-13 11:33:50.993911000</v>
          </cell>
        </row>
        <row r="242">
          <cell r="A242" t="str">
            <v>B02.000420_FV_AMNT_SCRTY</v>
          </cell>
          <cell r="B242" t="str">
            <v>B02.000420_FV_AMNT_SCRTYMISSINGS1</v>
          </cell>
          <cell r="C242" t="str">
            <v>B02.00</v>
          </cell>
          <cell r="D242" t="str">
            <v>MISSINGS</v>
          </cell>
          <cell r="E242" t="str">
            <v>BU_LOANTAPE_WORK.OUT_B0200_MAIN_LIABILITIES</v>
          </cell>
          <cell r="F242" t="str">
            <v>N/A</v>
          </cell>
          <cell r="G242" t="str">
            <v>0420_FV_AMNT_SCRTY</v>
          </cell>
          <cell r="H242" t="str">
            <v>2025-10-31</v>
          </cell>
          <cell r="I242">
            <v>8</v>
          </cell>
          <cell r="J242">
            <v>0</v>
          </cell>
          <cell r="K242" t="str">
            <v>1</v>
          </cell>
          <cell r="L242" t="str">
            <v>2025-11-13 11:33:50.993911000</v>
          </cell>
        </row>
        <row r="243">
          <cell r="A243" t="str">
            <v>B02.000420_FV_AMNT_SCRTY</v>
          </cell>
          <cell r="B243" t="str">
            <v>B02.000420_FV_AMNT_SCRTYNOT APPLICABLE1</v>
          </cell>
          <cell r="C243" t="str">
            <v>B02.00</v>
          </cell>
          <cell r="D243" t="str">
            <v>NOT APPLICABLE</v>
          </cell>
          <cell r="E243" t="str">
            <v>BU_LOANTAPE_WORK.OUT_B0200_MAIN_LIABILITIES</v>
          </cell>
          <cell r="F243" t="str">
            <v>N/A</v>
          </cell>
          <cell r="G243" t="str">
            <v>0420_FV_AMNT_SCRTY</v>
          </cell>
          <cell r="H243" t="str">
            <v>2025-10-31</v>
          </cell>
          <cell r="I243">
            <v>8</v>
          </cell>
          <cell r="J243">
            <v>0</v>
          </cell>
          <cell r="K243" t="str">
            <v>1</v>
          </cell>
          <cell r="L243" t="str">
            <v>2025-11-13 11:33:50.993911000</v>
          </cell>
        </row>
        <row r="244">
          <cell r="A244" t="str">
            <v>B02.000430_PRNCPL_AMNT_GLBL_NT_EUR</v>
          </cell>
          <cell r="B244" t="str">
            <v>B02.000430_PRNCPL_AMNT_GLBL_NT_EURCOERÊNCIA1</v>
          </cell>
          <cell r="C244" t="str">
            <v>B02.00</v>
          </cell>
          <cell r="D244" t="str">
            <v>COERÊNCIA</v>
          </cell>
          <cell r="E244" t="str">
            <v>BU_LOANTAPE_WORK.OUT_B0200_MAIN_LIABILITIES</v>
          </cell>
          <cell r="F244" t="str">
            <v>BU_CAPTOOLS_WORK.SIMUL_B0200</v>
          </cell>
          <cell r="G244" t="str">
            <v>0430_PRNCPL_AMNT_GLBL_NT_EUR</v>
          </cell>
          <cell r="H244" t="str">
            <v>2025-10-31</v>
          </cell>
          <cell r="I244">
            <v>8</v>
          </cell>
          <cell r="J244">
            <v>0</v>
          </cell>
          <cell r="K244" t="str">
            <v>1</v>
          </cell>
          <cell r="L244" t="str">
            <v>2025-11-13 11:33:50.993911000</v>
          </cell>
        </row>
        <row r="245">
          <cell r="A245" t="str">
            <v>B02.000430_PRNCPL_AMNT_GLBL_NT_EUR</v>
          </cell>
          <cell r="B245" t="str">
            <v>B02.000430_PRNCPL_AMNT_GLBL_NT_EURVALIDADE1</v>
          </cell>
          <cell r="C245" t="str">
            <v>B02.00</v>
          </cell>
          <cell r="D245" t="str">
            <v>VALIDADE</v>
          </cell>
          <cell r="E245" t="str">
            <v>BU_LOANTAPE_WORK.OUT_B0200_MAIN_LIABILITIES</v>
          </cell>
          <cell r="F245" t="str">
            <v>N/A</v>
          </cell>
          <cell r="G245" t="str">
            <v>0430_PRNCPL_AMNT_GLBL_NT_EUR</v>
          </cell>
          <cell r="H245" t="str">
            <v>2025-10-31</v>
          </cell>
          <cell r="I245">
            <v>8</v>
          </cell>
          <cell r="J245">
            <v>0</v>
          </cell>
          <cell r="K245" t="str">
            <v>1</v>
          </cell>
          <cell r="L245" t="str">
            <v>2025-11-13 11:33:50.993911000</v>
          </cell>
        </row>
        <row r="246">
          <cell r="A246" t="str">
            <v>B02.000430_PRNCPL_AMNT_GLBL_NT_EUR</v>
          </cell>
          <cell r="B246" t="str">
            <v>B02.000430_PRNCPL_AMNT_GLBL_NT_EURCARACTERES ESPECIAIS1</v>
          </cell>
          <cell r="C246" t="str">
            <v>B02.00</v>
          </cell>
          <cell r="D246" t="str">
            <v>CARACTERES ESPECIAIS</v>
          </cell>
          <cell r="E246" t="str">
            <v>BU_LOANTAPE_WORK.OUT_B0200_MAIN_LIABILITIES</v>
          </cell>
          <cell r="F246" t="str">
            <v>N/A</v>
          </cell>
          <cell r="G246" t="str">
            <v>0430_PRNCPL_AMNT_GLBL_NT_EUR</v>
          </cell>
          <cell r="H246" t="str">
            <v>2025-10-31</v>
          </cell>
          <cell r="I246">
            <v>8</v>
          </cell>
          <cell r="J246">
            <v>0</v>
          </cell>
          <cell r="K246" t="str">
            <v>1</v>
          </cell>
          <cell r="L246" t="str">
            <v>2025-11-13 11:33:50.993911000</v>
          </cell>
        </row>
        <row r="247">
          <cell r="A247" t="str">
            <v>B02.000430_PRNCPL_AMNT_GLBL_NT_EUR</v>
          </cell>
          <cell r="B247" t="str">
            <v>B02.000430_PRNCPL_AMNT_GLBL_NT_EURMISSINGS1</v>
          </cell>
          <cell r="C247" t="str">
            <v>B02.00</v>
          </cell>
          <cell r="D247" t="str">
            <v>MISSINGS</v>
          </cell>
          <cell r="E247" t="str">
            <v>BU_LOANTAPE_WORK.OUT_B0200_MAIN_LIABILITIES</v>
          </cell>
          <cell r="F247" t="str">
            <v>N/A</v>
          </cell>
          <cell r="G247" t="str">
            <v>0430_PRNCPL_AMNT_GLBL_NT_EUR</v>
          </cell>
          <cell r="H247" t="str">
            <v>2025-10-31</v>
          </cell>
          <cell r="I247">
            <v>8</v>
          </cell>
          <cell r="J247">
            <v>0</v>
          </cell>
          <cell r="K247" t="str">
            <v>1</v>
          </cell>
          <cell r="L247" t="str">
            <v>2025-11-13 11:33:50.993911000</v>
          </cell>
        </row>
        <row r="248">
          <cell r="A248" t="str">
            <v>B02.000430_PRNCPL_AMNT_GLBL_NT_EUR</v>
          </cell>
          <cell r="B248" t="str">
            <v>B02.000430_PRNCPL_AMNT_GLBL_NT_EURNOT APPLICABLE1</v>
          </cell>
          <cell r="C248" t="str">
            <v>B02.00</v>
          </cell>
          <cell r="D248" t="str">
            <v>NOT APPLICABLE</v>
          </cell>
          <cell r="E248" t="str">
            <v>BU_LOANTAPE_WORK.OUT_B0200_MAIN_LIABILITIES</v>
          </cell>
          <cell r="F248" t="str">
            <v>N/A</v>
          </cell>
          <cell r="G248" t="str">
            <v>0430_PRNCPL_AMNT_GLBL_NT_EUR</v>
          </cell>
          <cell r="H248" t="str">
            <v>2025-10-31</v>
          </cell>
          <cell r="I248">
            <v>8</v>
          </cell>
          <cell r="J248">
            <v>0</v>
          </cell>
          <cell r="K248" t="str">
            <v>1</v>
          </cell>
          <cell r="L248" t="str">
            <v>2025-11-13 11:33:50.993911000</v>
          </cell>
        </row>
        <row r="249">
          <cell r="A249" t="str">
            <v>B02.000431_PRNCPL_AMNT_GLBL_NT_FX</v>
          </cell>
          <cell r="B249" t="str">
            <v>B02.000431_PRNCPL_AMNT_GLBL_NT_FXCOERÊNCIA1</v>
          </cell>
          <cell r="C249" t="str">
            <v>B02.00</v>
          </cell>
          <cell r="D249" t="str">
            <v>COERÊNCIA</v>
          </cell>
          <cell r="E249" t="str">
            <v>BU_LOANTAPE_WORK.OUT_B0200_MAIN_LIABILITIES</v>
          </cell>
          <cell r="F249" t="str">
            <v>BU_CAPTOOLS_WORK.SIMUL_B0200</v>
          </cell>
          <cell r="G249" t="str">
            <v>0431_PRNCPL_AMNT_GLBL_NT_FX</v>
          </cell>
          <cell r="H249" t="str">
            <v>2025-10-31</v>
          </cell>
          <cell r="I249">
            <v>8</v>
          </cell>
          <cell r="J249">
            <v>0</v>
          </cell>
          <cell r="K249" t="str">
            <v>1</v>
          </cell>
          <cell r="L249" t="str">
            <v>2025-11-13 11:33:50.993911000</v>
          </cell>
        </row>
        <row r="250">
          <cell r="A250" t="str">
            <v>B02.000431_PRNCPL_AMNT_GLBL_NT_FX</v>
          </cell>
          <cell r="B250" t="str">
            <v>B02.000431_PRNCPL_AMNT_GLBL_NT_FXVALIDADE1</v>
          </cell>
          <cell r="C250" t="str">
            <v>B02.00</v>
          </cell>
          <cell r="D250" t="str">
            <v>VALIDADE</v>
          </cell>
          <cell r="E250" t="str">
            <v>BU_LOANTAPE_WORK.OUT_B0200_MAIN_LIABILITIES</v>
          </cell>
          <cell r="F250" t="str">
            <v>N/A</v>
          </cell>
          <cell r="G250" t="str">
            <v>0431_PRNCPL_AMNT_GLBL_NT_FX</v>
          </cell>
          <cell r="H250" t="str">
            <v>2025-10-31</v>
          </cell>
          <cell r="I250">
            <v>8</v>
          </cell>
          <cell r="J250">
            <v>0</v>
          </cell>
          <cell r="K250" t="str">
            <v>1</v>
          </cell>
          <cell r="L250" t="str">
            <v>2025-11-13 11:33:50.993911000</v>
          </cell>
        </row>
        <row r="251">
          <cell r="A251" t="str">
            <v>B02.000431_PRNCPL_AMNT_GLBL_NT_FX</v>
          </cell>
          <cell r="B251" t="str">
            <v>B02.000431_PRNCPL_AMNT_GLBL_NT_FXCARACTERES ESPECIAIS1</v>
          </cell>
          <cell r="C251" t="str">
            <v>B02.00</v>
          </cell>
          <cell r="D251" t="str">
            <v>CARACTERES ESPECIAIS</v>
          </cell>
          <cell r="E251" t="str">
            <v>BU_LOANTAPE_WORK.OUT_B0200_MAIN_LIABILITIES</v>
          </cell>
          <cell r="F251" t="str">
            <v>N/A</v>
          </cell>
          <cell r="G251" t="str">
            <v>0431_PRNCPL_AMNT_GLBL_NT_FX</v>
          </cell>
          <cell r="H251" t="str">
            <v>2025-10-31</v>
          </cell>
          <cell r="I251">
            <v>8</v>
          </cell>
          <cell r="J251">
            <v>0</v>
          </cell>
          <cell r="K251" t="str">
            <v>1</v>
          </cell>
          <cell r="L251" t="str">
            <v>2025-11-13 11:33:50.993911000</v>
          </cell>
        </row>
        <row r="252">
          <cell r="A252" t="str">
            <v>B02.000431_PRNCPL_AMNT_GLBL_NT_FX</v>
          </cell>
          <cell r="B252" t="str">
            <v>B02.000431_PRNCPL_AMNT_GLBL_NT_FXMISSINGS1</v>
          </cell>
          <cell r="C252" t="str">
            <v>B02.00</v>
          </cell>
          <cell r="D252" t="str">
            <v>MISSINGS</v>
          </cell>
          <cell r="E252" t="str">
            <v>BU_LOANTAPE_WORK.OUT_B0200_MAIN_LIABILITIES</v>
          </cell>
          <cell r="F252" t="str">
            <v>N/A</v>
          </cell>
          <cell r="G252" t="str">
            <v>0431_PRNCPL_AMNT_GLBL_NT_FX</v>
          </cell>
          <cell r="H252" t="str">
            <v>2025-10-31</v>
          </cell>
          <cell r="I252">
            <v>8</v>
          </cell>
          <cell r="J252">
            <v>0</v>
          </cell>
          <cell r="K252" t="str">
            <v>1</v>
          </cell>
          <cell r="L252" t="str">
            <v>2025-11-13 11:33:50.993911000</v>
          </cell>
        </row>
        <row r="253">
          <cell r="A253" t="str">
            <v>B02.000431_PRNCPL_AMNT_GLBL_NT_FX</v>
          </cell>
          <cell r="B253" t="str">
            <v>B02.000431_PRNCPL_AMNT_GLBL_NT_FXNOT APPLICABLE1</v>
          </cell>
          <cell r="C253" t="str">
            <v>B02.00</v>
          </cell>
          <cell r="D253" t="str">
            <v>NOT APPLICABLE</v>
          </cell>
          <cell r="E253" t="str">
            <v>BU_LOANTAPE_WORK.OUT_B0200_MAIN_LIABILITIES</v>
          </cell>
          <cell r="F253" t="str">
            <v>N/A</v>
          </cell>
          <cell r="G253" t="str">
            <v>0431_PRNCPL_AMNT_GLBL_NT_FX</v>
          </cell>
          <cell r="H253" t="str">
            <v>2025-10-31</v>
          </cell>
          <cell r="I253">
            <v>8</v>
          </cell>
          <cell r="J253">
            <v>0</v>
          </cell>
          <cell r="K253" t="str">
            <v>1</v>
          </cell>
          <cell r="L253" t="str">
            <v>2025-11-13 11:33:50.993911000</v>
          </cell>
        </row>
        <row r="254">
          <cell r="A254" t="str">
            <v>B02.000440_NTR_GLBL_NT</v>
          </cell>
          <cell r="B254" t="str">
            <v>B02.000440_NTR_GLBL_NTCOERÊNCIA1</v>
          </cell>
          <cell r="C254" t="str">
            <v>B02.00</v>
          </cell>
          <cell r="D254" t="str">
            <v>COERÊNCIA</v>
          </cell>
          <cell r="E254" t="str">
            <v>BU_LOANTAPE_WORK.OUT_B0200_MAIN_LIABILITIES</v>
          </cell>
          <cell r="F254" t="str">
            <v>BU_CAPTOOLS_WORK.SIMUL_B0200</v>
          </cell>
          <cell r="G254" t="str">
            <v>0440_NTR_GLBL_NT</v>
          </cell>
          <cell r="H254" t="str">
            <v>2025-10-31</v>
          </cell>
          <cell r="I254">
            <v>8</v>
          </cell>
          <cell r="J254">
            <v>0</v>
          </cell>
          <cell r="K254" t="str">
            <v>1</v>
          </cell>
          <cell r="L254" t="str">
            <v>2025-11-13 11:33:50.993911000</v>
          </cell>
        </row>
        <row r="255">
          <cell r="A255" t="str">
            <v>B02.000440_NTR_GLBL_NT</v>
          </cell>
          <cell r="B255" t="str">
            <v>B02.000440_NTR_GLBL_NTVALIDADE1</v>
          </cell>
          <cell r="C255" t="str">
            <v>B02.00</v>
          </cell>
          <cell r="D255" t="str">
            <v>VALIDADE</v>
          </cell>
          <cell r="E255" t="str">
            <v>BU_LOANTAPE_WORK.OUT_B0200_MAIN_LIABILITIES</v>
          </cell>
          <cell r="F255" t="str">
            <v>N/A</v>
          </cell>
          <cell r="G255" t="str">
            <v>0440_NTR_GLBL_NT</v>
          </cell>
          <cell r="H255" t="str">
            <v>2025-10-31</v>
          </cell>
          <cell r="I255">
            <v>8</v>
          </cell>
          <cell r="J255">
            <v>0</v>
          </cell>
          <cell r="K255" t="str">
            <v>1</v>
          </cell>
          <cell r="L255" t="str">
            <v>2025-11-13 11:33:50.993911000</v>
          </cell>
        </row>
        <row r="256">
          <cell r="A256" t="str">
            <v>B02.000440_NTR_GLBL_NT</v>
          </cell>
          <cell r="B256" t="str">
            <v>B02.000440_NTR_GLBL_NTCARACTERES ESPECIAIS1</v>
          </cell>
          <cell r="C256" t="str">
            <v>B02.00</v>
          </cell>
          <cell r="D256" t="str">
            <v>CARACTERES ESPECIAIS</v>
          </cell>
          <cell r="E256" t="str">
            <v>BU_LOANTAPE_WORK.OUT_B0200_MAIN_LIABILITIES</v>
          </cell>
          <cell r="F256" t="str">
            <v>N/A</v>
          </cell>
          <cell r="G256" t="str">
            <v>0440_NTR_GLBL_NT</v>
          </cell>
          <cell r="H256" t="str">
            <v>2025-10-31</v>
          </cell>
          <cell r="I256">
            <v>8</v>
          </cell>
          <cell r="J256">
            <v>0</v>
          </cell>
          <cell r="K256" t="str">
            <v>1</v>
          </cell>
          <cell r="L256" t="str">
            <v>2025-11-13 11:33:50.993911000</v>
          </cell>
        </row>
        <row r="257">
          <cell r="A257" t="str">
            <v>B02.000440_NTR_GLBL_NT</v>
          </cell>
          <cell r="B257" t="str">
            <v>B02.000440_NTR_GLBL_NTMISSINGS1</v>
          </cell>
          <cell r="C257" t="str">
            <v>B02.00</v>
          </cell>
          <cell r="D257" t="str">
            <v>MISSINGS</v>
          </cell>
          <cell r="E257" t="str">
            <v>BU_LOANTAPE_WORK.OUT_B0200_MAIN_LIABILITIES</v>
          </cell>
          <cell r="F257" t="str">
            <v>N/A</v>
          </cell>
          <cell r="G257" t="str">
            <v>0440_NTR_GLBL_NT</v>
          </cell>
          <cell r="H257" t="str">
            <v>2025-10-31</v>
          </cell>
          <cell r="I257">
            <v>8</v>
          </cell>
          <cell r="J257">
            <v>0</v>
          </cell>
          <cell r="K257" t="str">
            <v>1</v>
          </cell>
          <cell r="L257" t="str">
            <v>2025-11-13 11:33:50.993911000</v>
          </cell>
        </row>
        <row r="258">
          <cell r="A258" t="str">
            <v>B02.000440_NTR_GLBL_NT</v>
          </cell>
          <cell r="B258" t="str">
            <v>B02.000440_NTR_GLBL_NTNOT APPLICABLE1</v>
          </cell>
          <cell r="C258" t="str">
            <v>B02.00</v>
          </cell>
          <cell r="D258" t="str">
            <v>NOT APPLICABLE</v>
          </cell>
          <cell r="E258" t="str">
            <v>BU_LOANTAPE_WORK.OUT_B0200_MAIN_LIABILITIES</v>
          </cell>
          <cell r="F258" t="str">
            <v>N/A</v>
          </cell>
          <cell r="G258" t="str">
            <v>0440_NTR_GLBL_NT</v>
          </cell>
          <cell r="H258" t="str">
            <v>2025-10-31</v>
          </cell>
          <cell r="I258">
            <v>8</v>
          </cell>
          <cell r="J258">
            <v>8</v>
          </cell>
          <cell r="K258" t="str">
            <v>1</v>
          </cell>
          <cell r="L258" t="str">
            <v>2025-11-13 11:33:50.993911000</v>
          </cell>
        </row>
        <row r="259">
          <cell r="A259" t="str">
            <v>B02.000450_CRRNT_POOL_FCTR</v>
          </cell>
          <cell r="B259" t="str">
            <v>B02.000450_CRRNT_POOL_FCTRCOERÊNCIA1</v>
          </cell>
          <cell r="C259" t="str">
            <v>B02.00</v>
          </cell>
          <cell r="D259" t="str">
            <v>COERÊNCIA</v>
          </cell>
          <cell r="E259" t="str">
            <v>BU_LOANTAPE_WORK.OUT_B0200_MAIN_LIABILITIES</v>
          </cell>
          <cell r="F259" t="str">
            <v>BU_CAPTOOLS_WORK.SIMUL_B0200</v>
          </cell>
          <cell r="G259" t="str">
            <v>0450_CRRNT_POOL_FCTR</v>
          </cell>
          <cell r="H259" t="str">
            <v>2025-10-31</v>
          </cell>
          <cell r="I259">
            <v>8</v>
          </cell>
          <cell r="J259">
            <v>0</v>
          </cell>
          <cell r="K259" t="str">
            <v>1</v>
          </cell>
          <cell r="L259" t="str">
            <v>2025-11-13 11:33:50.993911000</v>
          </cell>
        </row>
        <row r="260">
          <cell r="A260" t="str">
            <v>B02.000450_CRRNT_POOL_FCTR</v>
          </cell>
          <cell r="B260" t="str">
            <v>B02.000450_CRRNT_POOL_FCTRVALIDADE1</v>
          </cell>
          <cell r="C260" t="str">
            <v>B02.00</v>
          </cell>
          <cell r="D260" t="str">
            <v>VALIDADE</v>
          </cell>
          <cell r="E260" t="str">
            <v>BU_LOANTAPE_WORK.OUT_B0200_MAIN_LIABILITIES</v>
          </cell>
          <cell r="F260" t="str">
            <v>N/A</v>
          </cell>
          <cell r="G260" t="str">
            <v>0450_CRRNT_POOL_FCTR</v>
          </cell>
          <cell r="H260" t="str">
            <v>2025-10-31</v>
          </cell>
          <cell r="I260">
            <v>8</v>
          </cell>
          <cell r="J260">
            <v>0</v>
          </cell>
          <cell r="K260" t="str">
            <v>1</v>
          </cell>
          <cell r="L260" t="str">
            <v>2025-11-13 11:33:50.993911000</v>
          </cell>
        </row>
        <row r="261">
          <cell r="A261" t="str">
            <v>B02.000450_CRRNT_POOL_FCTR</v>
          </cell>
          <cell r="B261" t="str">
            <v>B02.000450_CRRNT_POOL_FCTRCARACTERES ESPECIAIS1</v>
          </cell>
          <cell r="C261" t="str">
            <v>B02.00</v>
          </cell>
          <cell r="D261" t="str">
            <v>CARACTERES ESPECIAIS</v>
          </cell>
          <cell r="E261" t="str">
            <v>BU_LOANTAPE_WORK.OUT_B0200_MAIN_LIABILITIES</v>
          </cell>
          <cell r="F261" t="str">
            <v>N/A</v>
          </cell>
          <cell r="G261" t="str">
            <v>0450_CRRNT_POOL_FCTR</v>
          </cell>
          <cell r="H261" t="str">
            <v>2025-10-31</v>
          </cell>
          <cell r="I261">
            <v>8</v>
          </cell>
          <cell r="J261">
            <v>0</v>
          </cell>
          <cell r="K261" t="str">
            <v>1</v>
          </cell>
          <cell r="L261" t="str">
            <v>2025-11-13 11:33:50.993911000</v>
          </cell>
        </row>
        <row r="262">
          <cell r="A262" t="str">
            <v>B02.000450_CRRNT_POOL_FCTR</v>
          </cell>
          <cell r="B262" t="str">
            <v>B02.000450_CRRNT_POOL_FCTRMISSINGS1</v>
          </cell>
          <cell r="C262" t="str">
            <v>B02.00</v>
          </cell>
          <cell r="D262" t="str">
            <v>MISSINGS</v>
          </cell>
          <cell r="E262" t="str">
            <v>BU_LOANTAPE_WORK.OUT_B0200_MAIN_LIABILITIES</v>
          </cell>
          <cell r="F262" t="str">
            <v>N/A</v>
          </cell>
          <cell r="G262" t="str">
            <v>0450_CRRNT_POOL_FCTR</v>
          </cell>
          <cell r="H262" t="str">
            <v>2025-10-31</v>
          </cell>
          <cell r="I262">
            <v>8</v>
          </cell>
          <cell r="J262">
            <v>0</v>
          </cell>
          <cell r="K262" t="str">
            <v>1</v>
          </cell>
          <cell r="L262" t="str">
            <v>2025-11-13 11:33:50.993911000</v>
          </cell>
        </row>
        <row r="263">
          <cell r="A263" t="str">
            <v>B02.000450_CRRNT_POOL_FCTR</v>
          </cell>
          <cell r="B263" t="str">
            <v>B02.000450_CRRNT_POOL_FCTRNOT APPLICABLE1</v>
          </cell>
          <cell r="C263" t="str">
            <v>B02.00</v>
          </cell>
          <cell r="D263" t="str">
            <v>NOT APPLICABLE</v>
          </cell>
          <cell r="E263" t="str">
            <v>BU_LOANTAPE_WORK.OUT_B0200_MAIN_LIABILITIES</v>
          </cell>
          <cell r="F263" t="str">
            <v>N/A</v>
          </cell>
          <cell r="G263" t="str">
            <v>0450_CRRNT_POOL_FCTR</v>
          </cell>
          <cell r="H263" t="str">
            <v>2025-10-31</v>
          </cell>
          <cell r="I263">
            <v>8</v>
          </cell>
          <cell r="J263">
            <v>8</v>
          </cell>
          <cell r="K263" t="str">
            <v>1</v>
          </cell>
          <cell r="L263" t="str">
            <v>2025-11-13 11:33:50.993911000</v>
          </cell>
        </row>
        <row r="264">
          <cell r="A264" t="str">
            <v>B02.000460_CSD</v>
          </cell>
          <cell r="B264" t="str">
            <v>B02.000460_CSDCOERÊNCIA1</v>
          </cell>
          <cell r="C264" t="str">
            <v>B02.00</v>
          </cell>
          <cell r="D264" t="str">
            <v>COERÊNCIA</v>
          </cell>
          <cell r="E264" t="str">
            <v>BU_LOANTAPE_WORK.OUT_B0200_MAIN_LIABILITIES</v>
          </cell>
          <cell r="F264" t="str">
            <v>BU_CAPTOOLS_WORK.SIMUL_B0200</v>
          </cell>
          <cell r="G264" t="str">
            <v>0460_CSD</v>
          </cell>
          <cell r="H264" t="str">
            <v>2025-10-31</v>
          </cell>
          <cell r="I264">
            <v>8</v>
          </cell>
          <cell r="J264">
            <v>0</v>
          </cell>
          <cell r="K264" t="str">
            <v>1</v>
          </cell>
          <cell r="L264" t="str">
            <v>2025-11-13 11:33:50.993911000</v>
          </cell>
        </row>
        <row r="265">
          <cell r="A265" t="str">
            <v>B02.000460_CSD</v>
          </cell>
          <cell r="B265" t="str">
            <v>B02.000460_CSDVALIDADE1</v>
          </cell>
          <cell r="C265" t="str">
            <v>B02.00</v>
          </cell>
          <cell r="D265" t="str">
            <v>VALIDADE</v>
          </cell>
          <cell r="E265" t="str">
            <v>BU_LOANTAPE_WORK.OUT_B0200_MAIN_LIABILITIES</v>
          </cell>
          <cell r="F265" t="str">
            <v>N/A</v>
          </cell>
          <cell r="G265" t="str">
            <v>0460_CSD</v>
          </cell>
          <cell r="H265" t="str">
            <v>2025-10-31</v>
          </cell>
          <cell r="I265">
            <v>8</v>
          </cell>
          <cell r="J265">
            <v>0</v>
          </cell>
          <cell r="K265" t="str">
            <v>1</v>
          </cell>
          <cell r="L265" t="str">
            <v>2025-11-13 11:33:50.993911000</v>
          </cell>
        </row>
        <row r="266">
          <cell r="A266" t="str">
            <v>B02.000460_CSD</v>
          </cell>
          <cell r="B266" t="str">
            <v>B02.000460_CSDCARACTERES ESPECIAIS1</v>
          </cell>
          <cell r="C266" t="str">
            <v>B02.00</v>
          </cell>
          <cell r="D266" t="str">
            <v>CARACTERES ESPECIAIS</v>
          </cell>
          <cell r="E266" t="str">
            <v>BU_LOANTAPE_WORK.OUT_B0200_MAIN_LIABILITIES</v>
          </cell>
          <cell r="F266" t="str">
            <v>N/A</v>
          </cell>
          <cell r="G266" t="str">
            <v>0460_CSD</v>
          </cell>
          <cell r="H266" t="str">
            <v>2025-10-31</v>
          </cell>
          <cell r="I266">
            <v>8</v>
          </cell>
          <cell r="J266">
            <v>8</v>
          </cell>
          <cell r="K266" t="str">
            <v>1</v>
          </cell>
          <cell r="L266" t="str">
            <v>2025-11-13 11:33:50.993911000</v>
          </cell>
        </row>
        <row r="267">
          <cell r="A267" t="str">
            <v>B02.000460_CSD</v>
          </cell>
          <cell r="B267" t="str">
            <v>B02.000460_CSDMISSINGS1</v>
          </cell>
          <cell r="C267" t="str">
            <v>B02.00</v>
          </cell>
          <cell r="D267" t="str">
            <v>MISSINGS</v>
          </cell>
          <cell r="E267" t="str">
            <v>BU_LOANTAPE_WORK.OUT_B0200_MAIN_LIABILITIES</v>
          </cell>
          <cell r="F267" t="str">
            <v>N/A</v>
          </cell>
          <cell r="G267" t="str">
            <v>0460_CSD</v>
          </cell>
          <cell r="H267" t="str">
            <v>2025-10-31</v>
          </cell>
          <cell r="I267">
            <v>8</v>
          </cell>
          <cell r="J267">
            <v>0</v>
          </cell>
          <cell r="K267" t="str">
            <v>1</v>
          </cell>
          <cell r="L267" t="str">
            <v>2025-11-13 11:33:50.993911000</v>
          </cell>
        </row>
        <row r="268">
          <cell r="A268" t="str">
            <v>B02.000460_CSD</v>
          </cell>
          <cell r="B268" t="str">
            <v>B02.000460_CSDNOT APPLICABLE1</v>
          </cell>
          <cell r="C268" t="str">
            <v>B02.00</v>
          </cell>
          <cell r="D268" t="str">
            <v>NOT APPLICABLE</v>
          </cell>
          <cell r="E268" t="str">
            <v>BU_LOANTAPE_WORK.OUT_B0200_MAIN_LIABILITIES</v>
          </cell>
          <cell r="F268" t="str">
            <v>N/A</v>
          </cell>
          <cell r="G268" t="str">
            <v>0460_CSD</v>
          </cell>
          <cell r="H268" t="str">
            <v>2025-10-31</v>
          </cell>
          <cell r="I268">
            <v>8</v>
          </cell>
          <cell r="J268">
            <v>0</v>
          </cell>
          <cell r="K268" t="str">
            <v>1</v>
          </cell>
          <cell r="L268" t="str">
            <v>2025-11-13 11:33:50.993911000</v>
          </cell>
        </row>
        <row r="269">
          <cell r="A269" t="str">
            <v>B02.000461_CSD_LEI</v>
          </cell>
          <cell r="B269" t="str">
            <v>B02.000461_CSD_LEICOERÊNCIA1</v>
          </cell>
          <cell r="C269" t="str">
            <v>B02.00</v>
          </cell>
          <cell r="D269" t="str">
            <v>COERÊNCIA</v>
          </cell>
          <cell r="E269" t="str">
            <v>BU_LOANTAPE_WORK.OUT_B0200_MAIN_LIABILITIES</v>
          </cell>
          <cell r="F269" t="str">
            <v>BU_CAPTOOLS_WORK.SIMUL_B0200</v>
          </cell>
          <cell r="G269" t="str">
            <v>0461_CSD_LEI</v>
          </cell>
          <cell r="H269" t="str">
            <v>2025-10-31</v>
          </cell>
          <cell r="I269">
            <v>8</v>
          </cell>
          <cell r="J269">
            <v>0</v>
          </cell>
          <cell r="K269" t="str">
            <v>1</v>
          </cell>
          <cell r="L269" t="str">
            <v>2025-11-13 11:33:50.993911000</v>
          </cell>
        </row>
        <row r="270">
          <cell r="A270" t="str">
            <v>B02.000461_CSD_LEI</v>
          </cell>
          <cell r="B270" t="str">
            <v>B02.000461_CSD_LEIVALIDADE1</v>
          </cell>
          <cell r="C270" t="str">
            <v>B02.00</v>
          </cell>
          <cell r="D270" t="str">
            <v>VALIDADE</v>
          </cell>
          <cell r="E270" t="str">
            <v>BU_LOANTAPE_WORK.OUT_B0200_MAIN_LIABILITIES</v>
          </cell>
          <cell r="F270" t="str">
            <v>N/A</v>
          </cell>
          <cell r="G270" t="str">
            <v>0461_CSD_LEI</v>
          </cell>
          <cell r="H270" t="str">
            <v>2025-10-31</v>
          </cell>
          <cell r="I270">
            <v>8</v>
          </cell>
          <cell r="J270">
            <v>0</v>
          </cell>
          <cell r="K270" t="str">
            <v>1</v>
          </cell>
          <cell r="L270" t="str">
            <v>2025-11-13 11:33:50.993911000</v>
          </cell>
        </row>
        <row r="271">
          <cell r="A271" t="str">
            <v>B02.000461_CSD_LEI</v>
          </cell>
          <cell r="B271" t="str">
            <v>B02.000461_CSD_LEICARACTERES ESPECIAIS1</v>
          </cell>
          <cell r="C271" t="str">
            <v>B02.00</v>
          </cell>
          <cell r="D271" t="str">
            <v>CARACTERES ESPECIAIS</v>
          </cell>
          <cell r="E271" t="str">
            <v>BU_LOANTAPE_WORK.OUT_B0200_MAIN_LIABILITIES</v>
          </cell>
          <cell r="F271" t="str">
            <v>N/A</v>
          </cell>
          <cell r="G271" t="str">
            <v>0461_CSD_LEI</v>
          </cell>
          <cell r="H271" t="str">
            <v>2025-10-31</v>
          </cell>
          <cell r="I271">
            <v>8</v>
          </cell>
          <cell r="J271">
            <v>0</v>
          </cell>
          <cell r="K271" t="str">
            <v>1</v>
          </cell>
          <cell r="L271" t="str">
            <v>2025-11-13 11:33:50.993911000</v>
          </cell>
        </row>
        <row r="272">
          <cell r="A272" t="str">
            <v>B02.000461_CSD_LEI</v>
          </cell>
          <cell r="B272" t="str">
            <v>B02.000461_CSD_LEIMISSINGS1</v>
          </cell>
          <cell r="C272" t="str">
            <v>B02.00</v>
          </cell>
          <cell r="D272" t="str">
            <v>MISSINGS</v>
          </cell>
          <cell r="E272" t="str">
            <v>BU_LOANTAPE_WORK.OUT_B0200_MAIN_LIABILITIES</v>
          </cell>
          <cell r="F272" t="str">
            <v>N/A</v>
          </cell>
          <cell r="G272" t="str">
            <v>0461_CSD_LEI</v>
          </cell>
          <cell r="H272" t="str">
            <v>2025-10-31</v>
          </cell>
          <cell r="I272">
            <v>8</v>
          </cell>
          <cell r="J272">
            <v>0</v>
          </cell>
          <cell r="K272" t="str">
            <v>1</v>
          </cell>
          <cell r="L272" t="str">
            <v>2025-11-13 11:33:50.993911000</v>
          </cell>
        </row>
        <row r="273">
          <cell r="A273" t="str">
            <v>B02.000461_CSD_LEI</v>
          </cell>
          <cell r="B273" t="str">
            <v>B02.000461_CSD_LEINOT APPLICABLE1</v>
          </cell>
          <cell r="C273" t="str">
            <v>B02.00</v>
          </cell>
          <cell r="D273" t="str">
            <v>NOT APPLICABLE</v>
          </cell>
          <cell r="E273" t="str">
            <v>BU_LOANTAPE_WORK.OUT_B0200_MAIN_LIABILITIES</v>
          </cell>
          <cell r="F273" t="str">
            <v>N/A</v>
          </cell>
          <cell r="G273" t="str">
            <v>0461_CSD_LEI</v>
          </cell>
          <cell r="H273" t="str">
            <v>2025-10-31</v>
          </cell>
          <cell r="I273">
            <v>8</v>
          </cell>
          <cell r="J273">
            <v>0</v>
          </cell>
          <cell r="K273" t="str">
            <v>1</v>
          </cell>
          <cell r="L273" t="str">
            <v>2025-11-13 11:33:50.993911000</v>
          </cell>
        </row>
        <row r="274">
          <cell r="A274" t="str">
            <v>B02.000462_CSD_OTHR</v>
          </cell>
          <cell r="B274" t="str">
            <v>B02.000462_CSD_OTHRCOERÊNCIA1</v>
          </cell>
          <cell r="C274" t="str">
            <v>B02.00</v>
          </cell>
          <cell r="D274" t="str">
            <v>COERÊNCIA</v>
          </cell>
          <cell r="E274" t="str">
            <v>BU_LOANTAPE_WORK.OUT_B0200_MAIN_LIABILITIES</v>
          </cell>
          <cell r="F274" t="str">
            <v>BU_CAPTOOLS_WORK.SIMUL_B0200</v>
          </cell>
          <cell r="G274" t="str">
            <v>0462_CSD_OTHR</v>
          </cell>
          <cell r="H274" t="str">
            <v>2025-10-31</v>
          </cell>
          <cell r="I274">
            <v>8</v>
          </cell>
          <cell r="J274">
            <v>0</v>
          </cell>
          <cell r="K274" t="str">
            <v>1</v>
          </cell>
          <cell r="L274" t="str">
            <v>2025-11-13 11:33:50.993911000</v>
          </cell>
        </row>
        <row r="275">
          <cell r="A275" t="str">
            <v>B02.000462_CSD_OTHR</v>
          </cell>
          <cell r="B275" t="str">
            <v>B02.000462_CSD_OTHRVALIDADE1</v>
          </cell>
          <cell r="C275" t="str">
            <v>B02.00</v>
          </cell>
          <cell r="D275" t="str">
            <v>VALIDADE</v>
          </cell>
          <cell r="E275" t="str">
            <v>BU_LOANTAPE_WORK.OUT_B0200_MAIN_LIABILITIES</v>
          </cell>
          <cell r="F275" t="str">
            <v>N/A</v>
          </cell>
          <cell r="G275" t="str">
            <v>0462_CSD_OTHR</v>
          </cell>
          <cell r="H275" t="str">
            <v>2025-10-31</v>
          </cell>
          <cell r="I275">
            <v>8</v>
          </cell>
          <cell r="J275">
            <v>0</v>
          </cell>
          <cell r="K275" t="str">
            <v>1</v>
          </cell>
          <cell r="L275" t="str">
            <v>2025-11-13 11:33:50.993911000</v>
          </cell>
        </row>
        <row r="276">
          <cell r="A276" t="str">
            <v>B02.000462_CSD_OTHR</v>
          </cell>
          <cell r="B276" t="str">
            <v>B02.000462_CSD_OTHRCARACTERES ESPECIAIS1</v>
          </cell>
          <cell r="C276" t="str">
            <v>B02.00</v>
          </cell>
          <cell r="D276" t="str">
            <v>CARACTERES ESPECIAIS</v>
          </cell>
          <cell r="E276" t="str">
            <v>BU_LOANTAPE_WORK.OUT_B0200_MAIN_LIABILITIES</v>
          </cell>
          <cell r="F276" t="str">
            <v>N/A</v>
          </cell>
          <cell r="G276" t="str">
            <v>0462_CSD_OTHR</v>
          </cell>
          <cell r="H276" t="str">
            <v>2025-10-31</v>
          </cell>
          <cell r="I276">
            <v>8</v>
          </cell>
          <cell r="J276">
            <v>0</v>
          </cell>
          <cell r="K276" t="str">
            <v>1</v>
          </cell>
          <cell r="L276" t="str">
            <v>2025-11-13 11:33:50.993911000</v>
          </cell>
        </row>
        <row r="277">
          <cell r="A277" t="str">
            <v>B02.000462_CSD_OTHR</v>
          </cell>
          <cell r="B277" t="str">
            <v>B02.000462_CSD_OTHRMISSINGS1</v>
          </cell>
          <cell r="C277" t="str">
            <v>B02.00</v>
          </cell>
          <cell r="D277" t="str">
            <v>MISSINGS</v>
          </cell>
          <cell r="E277" t="str">
            <v>BU_LOANTAPE_WORK.OUT_B0200_MAIN_LIABILITIES</v>
          </cell>
          <cell r="F277" t="str">
            <v>N/A</v>
          </cell>
          <cell r="G277" t="str">
            <v>0462_CSD_OTHR</v>
          </cell>
          <cell r="H277" t="str">
            <v>2025-10-31</v>
          </cell>
          <cell r="I277">
            <v>8</v>
          </cell>
          <cell r="J277">
            <v>0</v>
          </cell>
          <cell r="K277" t="str">
            <v>1</v>
          </cell>
          <cell r="L277" t="str">
            <v>2025-11-13 11:33:50.993911000</v>
          </cell>
        </row>
        <row r="278">
          <cell r="A278" t="str">
            <v>B02.000462_CSD_OTHR</v>
          </cell>
          <cell r="B278" t="str">
            <v>B02.000462_CSD_OTHRNOT APPLICABLE1</v>
          </cell>
          <cell r="C278" t="str">
            <v>B02.00</v>
          </cell>
          <cell r="D278" t="str">
            <v>NOT APPLICABLE</v>
          </cell>
          <cell r="E278" t="str">
            <v>BU_LOANTAPE_WORK.OUT_B0200_MAIN_LIABILITIES</v>
          </cell>
          <cell r="F278" t="str">
            <v>N/A</v>
          </cell>
          <cell r="G278" t="str">
            <v>0462_CSD_OTHR</v>
          </cell>
          <cell r="H278" t="str">
            <v>2025-10-31</v>
          </cell>
          <cell r="I278">
            <v>8</v>
          </cell>
          <cell r="J278">
            <v>8</v>
          </cell>
          <cell r="K278" t="str">
            <v>1</v>
          </cell>
          <cell r="L278" t="str">
            <v>2025-11-13 11:33:50.993911000</v>
          </cell>
        </row>
        <row r="279">
          <cell r="A279" t="str">
            <v>B02.000470_PYNG_AGNT</v>
          </cell>
          <cell r="B279" t="str">
            <v>B02.000470_PYNG_AGNTCOERÊNCIA1</v>
          </cell>
          <cell r="C279" t="str">
            <v>B02.00</v>
          </cell>
          <cell r="D279" t="str">
            <v>COERÊNCIA</v>
          </cell>
          <cell r="E279" t="str">
            <v>BU_LOANTAPE_WORK.OUT_B0200_MAIN_LIABILITIES</v>
          </cell>
          <cell r="F279" t="str">
            <v>BU_CAPTOOLS_WORK.SIMUL_B0200</v>
          </cell>
          <cell r="G279" t="str">
            <v>0470_PYNG_AGNT</v>
          </cell>
          <cell r="H279" t="str">
            <v>2025-10-31</v>
          </cell>
          <cell r="I279">
            <v>8</v>
          </cell>
          <cell r="J279">
            <v>0</v>
          </cell>
          <cell r="K279" t="str">
            <v>1</v>
          </cell>
          <cell r="L279" t="str">
            <v>2025-11-13 11:33:50.993911000</v>
          </cell>
        </row>
        <row r="280">
          <cell r="A280" t="str">
            <v>B02.000470_PYNG_AGNT</v>
          </cell>
          <cell r="B280" t="str">
            <v>B02.000470_PYNG_AGNTVALIDADE1</v>
          </cell>
          <cell r="C280" t="str">
            <v>B02.00</v>
          </cell>
          <cell r="D280" t="str">
            <v>VALIDADE</v>
          </cell>
          <cell r="E280" t="str">
            <v>BU_LOANTAPE_WORK.OUT_B0200_MAIN_LIABILITIES</v>
          </cell>
          <cell r="F280" t="str">
            <v>N/A</v>
          </cell>
          <cell r="G280" t="str">
            <v>0470_PYNG_AGNT</v>
          </cell>
          <cell r="H280" t="str">
            <v>2025-10-31</v>
          </cell>
          <cell r="I280">
            <v>8</v>
          </cell>
          <cell r="J280">
            <v>0</v>
          </cell>
          <cell r="K280" t="str">
            <v>1</v>
          </cell>
          <cell r="L280" t="str">
            <v>2025-11-13 11:33:50.993911000</v>
          </cell>
        </row>
        <row r="281">
          <cell r="A281" t="str">
            <v>B02.000470_PYNG_AGNT</v>
          </cell>
          <cell r="B281" t="str">
            <v>B02.000470_PYNG_AGNTCARACTERES ESPECIAIS1</v>
          </cell>
          <cell r="C281" t="str">
            <v>B02.00</v>
          </cell>
          <cell r="D281" t="str">
            <v>CARACTERES ESPECIAIS</v>
          </cell>
          <cell r="E281" t="str">
            <v>BU_LOANTAPE_WORK.OUT_B0200_MAIN_LIABILITIES</v>
          </cell>
          <cell r="F281" t="str">
            <v>N/A</v>
          </cell>
          <cell r="G281" t="str">
            <v>0470_PYNG_AGNT</v>
          </cell>
          <cell r="H281" t="str">
            <v>2025-10-31</v>
          </cell>
          <cell r="I281">
            <v>8</v>
          </cell>
          <cell r="J281">
            <v>0</v>
          </cell>
          <cell r="K281" t="str">
            <v>1</v>
          </cell>
          <cell r="L281" t="str">
            <v>2025-11-13 11:33:50.993911000</v>
          </cell>
        </row>
        <row r="282">
          <cell r="A282" t="str">
            <v>B02.000470_PYNG_AGNT</v>
          </cell>
          <cell r="B282" t="str">
            <v>B02.000470_PYNG_AGNTMISSINGS1</v>
          </cell>
          <cell r="C282" t="str">
            <v>B02.00</v>
          </cell>
          <cell r="D282" t="str">
            <v>MISSINGS</v>
          </cell>
          <cell r="E282" t="str">
            <v>BU_LOANTAPE_WORK.OUT_B0200_MAIN_LIABILITIES</v>
          </cell>
          <cell r="F282" t="str">
            <v>N/A</v>
          </cell>
          <cell r="G282" t="str">
            <v>0470_PYNG_AGNT</v>
          </cell>
          <cell r="H282" t="str">
            <v>2025-10-31</v>
          </cell>
          <cell r="I282">
            <v>8</v>
          </cell>
          <cell r="J282">
            <v>0</v>
          </cell>
          <cell r="K282" t="str">
            <v>1</v>
          </cell>
          <cell r="L282" t="str">
            <v>2025-11-13 11:33:50.993911000</v>
          </cell>
        </row>
        <row r="283">
          <cell r="A283" t="str">
            <v>B02.000470_PYNG_AGNT</v>
          </cell>
          <cell r="B283" t="str">
            <v>B02.000470_PYNG_AGNTNOT APPLICABLE1</v>
          </cell>
          <cell r="C283" t="str">
            <v>B02.00</v>
          </cell>
          <cell r="D283" t="str">
            <v>NOT APPLICABLE</v>
          </cell>
          <cell r="E283" t="str">
            <v>BU_LOANTAPE_WORK.OUT_B0200_MAIN_LIABILITIES</v>
          </cell>
          <cell r="F283" t="str">
            <v>N/A</v>
          </cell>
          <cell r="G283" t="str">
            <v>0470_PYNG_AGNT</v>
          </cell>
          <cell r="H283" t="str">
            <v>2025-10-31</v>
          </cell>
          <cell r="I283">
            <v>8</v>
          </cell>
          <cell r="J283">
            <v>0</v>
          </cell>
          <cell r="K283" t="str">
            <v>1</v>
          </cell>
          <cell r="L283" t="str">
            <v>2025-11-13 11:33:50.993911000</v>
          </cell>
        </row>
        <row r="284">
          <cell r="A284" t="str">
            <v>B02.000471_PYNG_AGNT_LEI</v>
          </cell>
          <cell r="B284" t="str">
            <v>B02.000471_PYNG_AGNT_LEICOERÊNCIA1</v>
          </cell>
          <cell r="C284" t="str">
            <v>B02.00</v>
          </cell>
          <cell r="D284" t="str">
            <v>COERÊNCIA</v>
          </cell>
          <cell r="E284" t="str">
            <v>BU_LOANTAPE_WORK.OUT_B0200_MAIN_LIABILITIES</v>
          </cell>
          <cell r="F284" t="str">
            <v>BU_CAPTOOLS_WORK.SIMUL_B0200</v>
          </cell>
          <cell r="G284" t="str">
            <v>0471_PYNG_AGNT_LEI</v>
          </cell>
          <cell r="H284" t="str">
            <v>2025-10-31</v>
          </cell>
          <cell r="I284">
            <v>8</v>
          </cell>
          <cell r="J284">
            <v>0</v>
          </cell>
          <cell r="K284" t="str">
            <v>1</v>
          </cell>
          <cell r="L284" t="str">
            <v>2025-11-13 11:33:50.993911000</v>
          </cell>
        </row>
        <row r="285">
          <cell r="A285" t="str">
            <v>B02.000471_PYNG_AGNT_LEI</v>
          </cell>
          <cell r="B285" t="str">
            <v>B02.000471_PYNG_AGNT_LEIVALIDADE1</v>
          </cell>
          <cell r="C285" t="str">
            <v>B02.00</v>
          </cell>
          <cell r="D285" t="str">
            <v>VALIDADE</v>
          </cell>
          <cell r="E285" t="str">
            <v>BU_LOANTAPE_WORK.OUT_B0200_MAIN_LIABILITIES</v>
          </cell>
          <cell r="F285" t="str">
            <v>N/A</v>
          </cell>
          <cell r="G285" t="str">
            <v>0471_PYNG_AGNT_LEI</v>
          </cell>
          <cell r="H285" t="str">
            <v>2025-10-31</v>
          </cell>
          <cell r="I285">
            <v>8</v>
          </cell>
          <cell r="J285">
            <v>0</v>
          </cell>
          <cell r="K285" t="str">
            <v>1</v>
          </cell>
          <cell r="L285" t="str">
            <v>2025-11-13 11:33:50.993911000</v>
          </cell>
        </row>
        <row r="286">
          <cell r="A286" t="str">
            <v>B02.000471_PYNG_AGNT_LEI</v>
          </cell>
          <cell r="B286" t="str">
            <v>B02.000471_PYNG_AGNT_LEICARACTERES ESPECIAIS1</v>
          </cell>
          <cell r="C286" t="str">
            <v>B02.00</v>
          </cell>
          <cell r="D286" t="str">
            <v>CARACTERES ESPECIAIS</v>
          </cell>
          <cell r="E286" t="str">
            <v>BU_LOANTAPE_WORK.OUT_B0200_MAIN_LIABILITIES</v>
          </cell>
          <cell r="F286" t="str">
            <v>N/A</v>
          </cell>
          <cell r="G286" t="str">
            <v>0471_PYNG_AGNT_LEI</v>
          </cell>
          <cell r="H286" t="str">
            <v>2025-10-31</v>
          </cell>
          <cell r="I286">
            <v>8</v>
          </cell>
          <cell r="J286">
            <v>0</v>
          </cell>
          <cell r="K286" t="str">
            <v>1</v>
          </cell>
          <cell r="L286" t="str">
            <v>2025-11-13 11:33:50.993911000</v>
          </cell>
        </row>
        <row r="287">
          <cell r="A287" t="str">
            <v>B02.000471_PYNG_AGNT_LEI</v>
          </cell>
          <cell r="B287" t="str">
            <v>B02.000471_PYNG_AGNT_LEIMISSINGS1</v>
          </cell>
          <cell r="C287" t="str">
            <v>B02.00</v>
          </cell>
          <cell r="D287" t="str">
            <v>MISSINGS</v>
          </cell>
          <cell r="E287" t="str">
            <v>BU_LOANTAPE_WORK.OUT_B0200_MAIN_LIABILITIES</v>
          </cell>
          <cell r="F287" t="str">
            <v>N/A</v>
          </cell>
          <cell r="G287" t="str">
            <v>0471_PYNG_AGNT_LEI</v>
          </cell>
          <cell r="H287" t="str">
            <v>2025-10-31</v>
          </cell>
          <cell r="I287">
            <v>8</v>
          </cell>
          <cell r="J287">
            <v>0</v>
          </cell>
          <cell r="K287" t="str">
            <v>1</v>
          </cell>
          <cell r="L287" t="str">
            <v>2025-11-13 11:33:50.993911000</v>
          </cell>
        </row>
        <row r="288">
          <cell r="A288" t="str">
            <v>B02.000471_PYNG_AGNT_LEI</v>
          </cell>
          <cell r="B288" t="str">
            <v>B02.000471_PYNG_AGNT_LEINOT APPLICABLE1</v>
          </cell>
          <cell r="C288" t="str">
            <v>B02.00</v>
          </cell>
          <cell r="D288" t="str">
            <v>NOT APPLICABLE</v>
          </cell>
          <cell r="E288" t="str">
            <v>BU_LOANTAPE_WORK.OUT_B0200_MAIN_LIABILITIES</v>
          </cell>
          <cell r="F288" t="str">
            <v>N/A</v>
          </cell>
          <cell r="G288" t="str">
            <v>0471_PYNG_AGNT_LEI</v>
          </cell>
          <cell r="H288" t="str">
            <v>2025-10-31</v>
          </cell>
          <cell r="I288">
            <v>8</v>
          </cell>
          <cell r="J288">
            <v>0</v>
          </cell>
          <cell r="K288" t="str">
            <v>1</v>
          </cell>
          <cell r="L288" t="str">
            <v>2025-11-13 11:33:50.993911000</v>
          </cell>
        </row>
        <row r="289">
          <cell r="A289" t="str">
            <v>B02.000480_TRDNG_VN</v>
          </cell>
          <cell r="B289" t="str">
            <v>B02.000480_TRDNG_VNCOERÊNCIA1</v>
          </cell>
          <cell r="C289" t="str">
            <v>B02.00</v>
          </cell>
          <cell r="D289" t="str">
            <v>COERÊNCIA</v>
          </cell>
          <cell r="E289" t="str">
            <v>BU_LOANTAPE_WORK.OUT_B0200_MAIN_LIABILITIES</v>
          </cell>
          <cell r="F289" t="str">
            <v>BU_CAPTOOLS_WORK.SIMUL_B0200</v>
          </cell>
          <cell r="G289" t="str">
            <v>0480_TRDNG_VN</v>
          </cell>
          <cell r="H289" t="str">
            <v>2025-10-31</v>
          </cell>
          <cell r="I289">
            <v>8</v>
          </cell>
          <cell r="J289">
            <v>0</v>
          </cell>
          <cell r="K289" t="str">
            <v>1</v>
          </cell>
          <cell r="L289" t="str">
            <v>2025-11-13 11:33:50.993911000</v>
          </cell>
        </row>
        <row r="290">
          <cell r="A290" t="str">
            <v>B02.000480_TRDNG_VN</v>
          </cell>
          <cell r="B290" t="str">
            <v>B02.000480_TRDNG_VNVALIDADE1</v>
          </cell>
          <cell r="C290" t="str">
            <v>B02.00</v>
          </cell>
          <cell r="D290" t="str">
            <v>VALIDADE</v>
          </cell>
          <cell r="E290" t="str">
            <v>BU_LOANTAPE_WORK.OUT_B0200_MAIN_LIABILITIES</v>
          </cell>
          <cell r="F290" t="str">
            <v>N/A</v>
          </cell>
          <cell r="G290" t="str">
            <v>0480_TRDNG_VN</v>
          </cell>
          <cell r="H290" t="str">
            <v>2025-10-31</v>
          </cell>
          <cell r="I290">
            <v>8</v>
          </cell>
          <cell r="J290">
            <v>0</v>
          </cell>
          <cell r="K290" t="str">
            <v>1</v>
          </cell>
          <cell r="L290" t="str">
            <v>2025-11-13 11:33:50.993911000</v>
          </cell>
        </row>
        <row r="291">
          <cell r="A291" t="str">
            <v>B02.000480_TRDNG_VN</v>
          </cell>
          <cell r="B291" t="str">
            <v>B02.000480_TRDNG_VNCARACTERES ESPECIAIS1</v>
          </cell>
          <cell r="C291" t="str">
            <v>B02.00</v>
          </cell>
          <cell r="D291" t="str">
            <v>CARACTERES ESPECIAIS</v>
          </cell>
          <cell r="E291" t="str">
            <v>BU_LOANTAPE_WORK.OUT_B0200_MAIN_LIABILITIES</v>
          </cell>
          <cell r="F291" t="str">
            <v>N/A</v>
          </cell>
          <cell r="G291" t="str">
            <v>0480_TRDNG_VN</v>
          </cell>
          <cell r="H291" t="str">
            <v>2025-10-31</v>
          </cell>
          <cell r="I291">
            <v>8</v>
          </cell>
          <cell r="J291">
            <v>0</v>
          </cell>
          <cell r="K291" t="str">
            <v>1</v>
          </cell>
          <cell r="L291" t="str">
            <v>2025-11-13 11:33:50.993911000</v>
          </cell>
        </row>
        <row r="292">
          <cell r="A292" t="str">
            <v>B02.000480_TRDNG_VN</v>
          </cell>
          <cell r="B292" t="str">
            <v>B02.000480_TRDNG_VNMISSINGS1</v>
          </cell>
          <cell r="C292" t="str">
            <v>B02.00</v>
          </cell>
          <cell r="D292" t="str">
            <v>MISSINGS</v>
          </cell>
          <cell r="E292" t="str">
            <v>BU_LOANTAPE_WORK.OUT_B0200_MAIN_LIABILITIES</v>
          </cell>
          <cell r="F292" t="str">
            <v>N/A</v>
          </cell>
          <cell r="G292" t="str">
            <v>0480_TRDNG_VN</v>
          </cell>
          <cell r="H292" t="str">
            <v>2025-10-31</v>
          </cell>
          <cell r="I292">
            <v>8</v>
          </cell>
          <cell r="J292">
            <v>0</v>
          </cell>
          <cell r="K292" t="str">
            <v>1</v>
          </cell>
          <cell r="L292" t="str">
            <v>2025-11-13 11:33:50.993911000</v>
          </cell>
        </row>
        <row r="293">
          <cell r="A293" t="str">
            <v>B02.000480_TRDNG_VN</v>
          </cell>
          <cell r="B293" t="str">
            <v>B02.000480_TRDNG_VNNOT APPLICABLE1</v>
          </cell>
          <cell r="C293" t="str">
            <v>B02.00</v>
          </cell>
          <cell r="D293" t="str">
            <v>NOT APPLICABLE</v>
          </cell>
          <cell r="E293" t="str">
            <v>BU_LOANTAPE_WORK.OUT_B0200_MAIN_LIABILITIES</v>
          </cell>
          <cell r="F293" t="str">
            <v>N/A</v>
          </cell>
          <cell r="G293" t="str">
            <v>0480_TRDNG_VN</v>
          </cell>
          <cell r="H293" t="str">
            <v>2025-10-31</v>
          </cell>
          <cell r="I293">
            <v>8</v>
          </cell>
          <cell r="J293">
            <v>8</v>
          </cell>
          <cell r="K293" t="str">
            <v>1</v>
          </cell>
          <cell r="L293" t="str">
            <v>2025-11-13 11:33:50.993911000</v>
          </cell>
        </row>
        <row r="294">
          <cell r="A294" t="str">
            <v>B02.000481_TRDNG_VN_LEI</v>
          </cell>
          <cell r="B294" t="str">
            <v>B02.000481_TRDNG_VN_LEICOERÊNCIA1</v>
          </cell>
          <cell r="C294" t="str">
            <v>B02.00</v>
          </cell>
          <cell r="D294" t="str">
            <v>COERÊNCIA</v>
          </cell>
          <cell r="E294" t="str">
            <v>BU_LOANTAPE_WORK.OUT_B0200_MAIN_LIABILITIES</v>
          </cell>
          <cell r="F294" t="str">
            <v>BU_CAPTOOLS_WORK.SIMUL_B0200</v>
          </cell>
          <cell r="G294" t="str">
            <v>0481_TRDNG_VN_LEI</v>
          </cell>
          <cell r="H294" t="str">
            <v>2025-10-31</v>
          </cell>
          <cell r="I294">
            <v>8</v>
          </cell>
          <cell r="J294">
            <v>0</v>
          </cell>
          <cell r="K294" t="str">
            <v>1</v>
          </cell>
          <cell r="L294" t="str">
            <v>2025-11-13 11:33:50.993911000</v>
          </cell>
        </row>
        <row r="295">
          <cell r="A295" t="str">
            <v>B02.000481_TRDNG_VN_LEI</v>
          </cell>
          <cell r="B295" t="str">
            <v>B02.000481_TRDNG_VN_LEIVALIDADE1</v>
          </cell>
          <cell r="C295" t="str">
            <v>B02.00</v>
          </cell>
          <cell r="D295" t="str">
            <v>VALIDADE</v>
          </cell>
          <cell r="E295" t="str">
            <v>BU_LOANTAPE_WORK.OUT_B0200_MAIN_LIABILITIES</v>
          </cell>
          <cell r="F295" t="str">
            <v>N/A</v>
          </cell>
          <cell r="G295" t="str">
            <v>0481_TRDNG_VN_LEI</v>
          </cell>
          <cell r="H295" t="str">
            <v>2025-10-31</v>
          </cell>
          <cell r="I295">
            <v>8</v>
          </cell>
          <cell r="J295">
            <v>0</v>
          </cell>
          <cell r="K295" t="str">
            <v>1</v>
          </cell>
          <cell r="L295" t="str">
            <v>2025-11-13 11:33:50.993911000</v>
          </cell>
        </row>
        <row r="296">
          <cell r="A296" t="str">
            <v>B02.000481_TRDNG_VN_LEI</v>
          </cell>
          <cell r="B296" t="str">
            <v>B02.000481_TRDNG_VN_LEICARACTERES ESPECIAIS1</v>
          </cell>
          <cell r="C296" t="str">
            <v>B02.00</v>
          </cell>
          <cell r="D296" t="str">
            <v>CARACTERES ESPECIAIS</v>
          </cell>
          <cell r="E296" t="str">
            <v>BU_LOANTAPE_WORK.OUT_B0200_MAIN_LIABILITIES</v>
          </cell>
          <cell r="F296" t="str">
            <v>N/A</v>
          </cell>
          <cell r="G296" t="str">
            <v>0481_TRDNG_VN_LEI</v>
          </cell>
          <cell r="H296" t="str">
            <v>2025-10-31</v>
          </cell>
          <cell r="I296">
            <v>8</v>
          </cell>
          <cell r="J296">
            <v>0</v>
          </cell>
          <cell r="K296" t="str">
            <v>1</v>
          </cell>
          <cell r="L296" t="str">
            <v>2025-11-13 11:33:50.993911000</v>
          </cell>
        </row>
        <row r="297">
          <cell r="A297" t="str">
            <v>B02.000481_TRDNG_VN_LEI</v>
          </cell>
          <cell r="B297" t="str">
            <v>B02.000481_TRDNG_VN_LEIMISSINGS1</v>
          </cell>
          <cell r="C297" t="str">
            <v>B02.00</v>
          </cell>
          <cell r="D297" t="str">
            <v>MISSINGS</v>
          </cell>
          <cell r="E297" t="str">
            <v>BU_LOANTAPE_WORK.OUT_B0200_MAIN_LIABILITIES</v>
          </cell>
          <cell r="F297" t="str">
            <v>N/A</v>
          </cell>
          <cell r="G297" t="str">
            <v>0481_TRDNG_VN_LEI</v>
          </cell>
          <cell r="H297" t="str">
            <v>2025-10-31</v>
          </cell>
          <cell r="I297">
            <v>8</v>
          </cell>
          <cell r="J297">
            <v>0</v>
          </cell>
          <cell r="K297" t="str">
            <v>1</v>
          </cell>
          <cell r="L297" t="str">
            <v>2025-11-13 11:33:50.993911000</v>
          </cell>
        </row>
        <row r="298">
          <cell r="A298" t="str">
            <v>B02.000481_TRDNG_VN_LEI</v>
          </cell>
          <cell r="B298" t="str">
            <v>B02.000481_TRDNG_VN_LEINOT APPLICABLE1</v>
          </cell>
          <cell r="C298" t="str">
            <v>B02.00</v>
          </cell>
          <cell r="D298" t="str">
            <v>NOT APPLICABLE</v>
          </cell>
          <cell r="E298" t="str">
            <v>BU_LOANTAPE_WORK.OUT_B0200_MAIN_LIABILITIES</v>
          </cell>
          <cell r="F298" t="str">
            <v>N/A</v>
          </cell>
          <cell r="G298" t="str">
            <v>0481_TRDNG_VN_LEI</v>
          </cell>
          <cell r="H298" t="str">
            <v>2025-10-31</v>
          </cell>
          <cell r="I298">
            <v>8</v>
          </cell>
          <cell r="J298">
            <v>8</v>
          </cell>
          <cell r="K298" t="str">
            <v>1</v>
          </cell>
          <cell r="L298" t="str">
            <v>2025-11-13 11:33:50.993911000</v>
          </cell>
        </row>
        <row r="299">
          <cell r="A299" t="str">
            <v xml:space="preserve">B02.000490_RGSTRR </v>
          </cell>
          <cell r="B299" t="str">
            <v>B02.000490_RGSTRR COERÊNCIA1</v>
          </cell>
          <cell r="C299" t="str">
            <v>B02.00</v>
          </cell>
          <cell r="D299" t="str">
            <v>COERÊNCIA</v>
          </cell>
          <cell r="E299" t="str">
            <v>BU_LOANTAPE_WORK.OUT_B0200_MAIN_LIABILITIES</v>
          </cell>
          <cell r="F299" t="str">
            <v>BU_CAPTOOLS_WORK.SIMUL_B0200</v>
          </cell>
          <cell r="G299" t="str">
            <v xml:space="preserve">0490_RGSTRR </v>
          </cell>
          <cell r="H299" t="str">
            <v>2025-10-31</v>
          </cell>
          <cell r="I299">
            <v>8</v>
          </cell>
          <cell r="J299">
            <v>0</v>
          </cell>
          <cell r="K299" t="str">
            <v>1</v>
          </cell>
          <cell r="L299" t="str">
            <v>2025-11-13 11:33:50.993911000</v>
          </cell>
        </row>
        <row r="300">
          <cell r="A300" t="str">
            <v xml:space="preserve">B02.000490_RGSTRR </v>
          </cell>
          <cell r="B300" t="str">
            <v>B02.000490_RGSTRR VALIDADE1</v>
          </cell>
          <cell r="C300" t="str">
            <v>B02.00</v>
          </cell>
          <cell r="D300" t="str">
            <v>VALIDADE</v>
          </cell>
          <cell r="E300" t="str">
            <v>BU_LOANTAPE_WORK.OUT_B0200_MAIN_LIABILITIES</v>
          </cell>
          <cell r="F300" t="str">
            <v>N/A</v>
          </cell>
          <cell r="G300" t="str">
            <v xml:space="preserve">0490_RGSTRR </v>
          </cell>
          <cell r="H300" t="str">
            <v>2025-10-31</v>
          </cell>
          <cell r="I300">
            <v>8</v>
          </cell>
          <cell r="J300">
            <v>0</v>
          </cell>
          <cell r="K300" t="str">
            <v>1</v>
          </cell>
          <cell r="L300" t="str">
            <v>2025-11-13 11:33:50.993911000</v>
          </cell>
        </row>
        <row r="301">
          <cell r="A301" t="str">
            <v xml:space="preserve">B02.000490_RGSTRR </v>
          </cell>
          <cell r="B301" t="str">
            <v>B02.000490_RGSTRR CARACTERES ESPECIAIS1</v>
          </cell>
          <cell r="C301" t="str">
            <v>B02.00</v>
          </cell>
          <cell r="D301" t="str">
            <v>CARACTERES ESPECIAIS</v>
          </cell>
          <cell r="E301" t="str">
            <v>BU_LOANTAPE_WORK.OUT_B0200_MAIN_LIABILITIES</v>
          </cell>
          <cell r="F301" t="str">
            <v>N/A</v>
          </cell>
          <cell r="G301" t="str">
            <v xml:space="preserve">0490_RGSTRR </v>
          </cell>
          <cell r="H301" t="str">
            <v>2025-10-31</v>
          </cell>
          <cell r="I301">
            <v>8</v>
          </cell>
          <cell r="J301">
            <v>8</v>
          </cell>
          <cell r="K301" t="str">
            <v>1</v>
          </cell>
          <cell r="L301" t="str">
            <v>2025-11-13 11:33:50.993911000</v>
          </cell>
        </row>
        <row r="302">
          <cell r="A302" t="str">
            <v xml:space="preserve">B02.000490_RGSTRR </v>
          </cell>
          <cell r="B302" t="str">
            <v>B02.000490_RGSTRR MISSINGS1</v>
          </cell>
          <cell r="C302" t="str">
            <v>B02.00</v>
          </cell>
          <cell r="D302" t="str">
            <v>MISSINGS</v>
          </cell>
          <cell r="E302" t="str">
            <v>BU_LOANTAPE_WORK.OUT_B0200_MAIN_LIABILITIES</v>
          </cell>
          <cell r="F302" t="str">
            <v>N/A</v>
          </cell>
          <cell r="G302" t="str">
            <v xml:space="preserve">0490_RGSTRR </v>
          </cell>
          <cell r="H302" t="str">
            <v>2025-10-31</v>
          </cell>
          <cell r="I302">
            <v>8</v>
          </cell>
          <cell r="J302">
            <v>0</v>
          </cell>
          <cell r="K302" t="str">
            <v>1</v>
          </cell>
          <cell r="L302" t="str">
            <v>2025-11-13 11:33:50.993911000</v>
          </cell>
        </row>
        <row r="303">
          <cell r="A303" t="str">
            <v xml:space="preserve">B02.000490_RGSTRR </v>
          </cell>
          <cell r="B303" t="str">
            <v>B02.000490_RGSTRR NOT APPLICABLE1</v>
          </cell>
          <cell r="C303" t="str">
            <v>B02.00</v>
          </cell>
          <cell r="D303" t="str">
            <v>NOT APPLICABLE</v>
          </cell>
          <cell r="E303" t="str">
            <v>BU_LOANTAPE_WORK.OUT_B0200_MAIN_LIABILITIES</v>
          </cell>
          <cell r="F303" t="str">
            <v>N/A</v>
          </cell>
          <cell r="G303" t="str">
            <v xml:space="preserve">0490_RGSTRR </v>
          </cell>
          <cell r="H303" t="str">
            <v>2025-10-31</v>
          </cell>
          <cell r="I303">
            <v>8</v>
          </cell>
          <cell r="J303">
            <v>0</v>
          </cell>
          <cell r="K303" t="str">
            <v>1</v>
          </cell>
          <cell r="L303" t="str">
            <v>2025-11-13 11:33:50.993911000</v>
          </cell>
        </row>
        <row r="304">
          <cell r="A304" t="str">
            <v>B02.000491_RGSTRR_LEI</v>
          </cell>
          <cell r="B304" t="str">
            <v>B02.000491_RGSTRR_LEICOERÊNCIA1</v>
          </cell>
          <cell r="C304" t="str">
            <v>B02.00</v>
          </cell>
          <cell r="D304" t="str">
            <v>COERÊNCIA</v>
          </cell>
          <cell r="E304" t="str">
            <v>BU_LOANTAPE_WORK.OUT_B0200_MAIN_LIABILITIES</v>
          </cell>
          <cell r="F304" t="str">
            <v>BU_CAPTOOLS_WORK.SIMUL_B0200</v>
          </cell>
          <cell r="G304" t="str">
            <v>0491_RGSTRR_LEI</v>
          </cell>
          <cell r="H304" t="str">
            <v>2025-10-31</v>
          </cell>
          <cell r="I304">
            <v>8</v>
          </cell>
          <cell r="J304">
            <v>0</v>
          </cell>
          <cell r="K304" t="str">
            <v>1</v>
          </cell>
          <cell r="L304" t="str">
            <v>2025-11-13 11:33:50.993911000</v>
          </cell>
        </row>
        <row r="305">
          <cell r="A305" t="str">
            <v>B02.000491_RGSTRR_LEI</v>
          </cell>
          <cell r="B305" t="str">
            <v>B02.000491_RGSTRR_LEIVALIDADE1</v>
          </cell>
          <cell r="C305" t="str">
            <v>B02.00</v>
          </cell>
          <cell r="D305" t="str">
            <v>VALIDADE</v>
          </cell>
          <cell r="E305" t="str">
            <v>BU_LOANTAPE_WORK.OUT_B0200_MAIN_LIABILITIES</v>
          </cell>
          <cell r="F305" t="str">
            <v>N/A</v>
          </cell>
          <cell r="G305" t="str">
            <v>0491_RGSTRR_LEI</v>
          </cell>
          <cell r="H305" t="str">
            <v>2025-10-31</v>
          </cell>
          <cell r="I305">
            <v>8</v>
          </cell>
          <cell r="J305">
            <v>0</v>
          </cell>
          <cell r="K305" t="str">
            <v>1</v>
          </cell>
          <cell r="L305" t="str">
            <v>2025-11-13 11:33:50.993911000</v>
          </cell>
        </row>
        <row r="306">
          <cell r="A306" t="str">
            <v>B02.000491_RGSTRR_LEI</v>
          </cell>
          <cell r="B306" t="str">
            <v>B02.000491_RGSTRR_LEICARACTERES ESPECIAIS1</v>
          </cell>
          <cell r="C306" t="str">
            <v>B02.00</v>
          </cell>
          <cell r="D306" t="str">
            <v>CARACTERES ESPECIAIS</v>
          </cell>
          <cell r="E306" t="str">
            <v>BU_LOANTAPE_WORK.OUT_B0200_MAIN_LIABILITIES</v>
          </cell>
          <cell r="F306" t="str">
            <v>N/A</v>
          </cell>
          <cell r="G306" t="str">
            <v>0491_RGSTRR_LEI</v>
          </cell>
          <cell r="H306" t="str">
            <v>2025-10-31</v>
          </cell>
          <cell r="I306">
            <v>8</v>
          </cell>
          <cell r="J306">
            <v>0</v>
          </cell>
          <cell r="K306" t="str">
            <v>1</v>
          </cell>
          <cell r="L306" t="str">
            <v>2025-11-13 11:33:50.993911000</v>
          </cell>
        </row>
        <row r="307">
          <cell r="A307" t="str">
            <v>B02.000491_RGSTRR_LEI</v>
          </cell>
          <cell r="B307" t="str">
            <v>B02.000491_RGSTRR_LEIMISSINGS1</v>
          </cell>
          <cell r="C307" t="str">
            <v>B02.00</v>
          </cell>
          <cell r="D307" t="str">
            <v>MISSINGS</v>
          </cell>
          <cell r="E307" t="str">
            <v>BU_LOANTAPE_WORK.OUT_B0200_MAIN_LIABILITIES</v>
          </cell>
          <cell r="F307" t="str">
            <v>N/A</v>
          </cell>
          <cell r="G307" t="str">
            <v>0491_RGSTRR_LEI</v>
          </cell>
          <cell r="H307" t="str">
            <v>2025-10-31</v>
          </cell>
          <cell r="I307">
            <v>8</v>
          </cell>
          <cell r="J307">
            <v>0</v>
          </cell>
          <cell r="K307" t="str">
            <v>1</v>
          </cell>
          <cell r="L307" t="str">
            <v>2025-11-13 11:33:50.993911000</v>
          </cell>
        </row>
        <row r="308">
          <cell r="A308" t="str">
            <v>B02.000491_RGSTRR_LEI</v>
          </cell>
          <cell r="B308" t="str">
            <v>B02.000491_RGSTRR_LEINOT APPLICABLE1</v>
          </cell>
          <cell r="C308" t="str">
            <v>B02.00</v>
          </cell>
          <cell r="D308" t="str">
            <v>NOT APPLICABLE</v>
          </cell>
          <cell r="E308" t="str">
            <v>BU_LOANTAPE_WORK.OUT_B0200_MAIN_LIABILITIES</v>
          </cell>
          <cell r="F308" t="str">
            <v>N/A</v>
          </cell>
          <cell r="G308" t="str">
            <v>0491_RGSTRR_LEI</v>
          </cell>
          <cell r="H308" t="str">
            <v>2025-10-31</v>
          </cell>
          <cell r="I308">
            <v>8</v>
          </cell>
          <cell r="J308">
            <v>0</v>
          </cell>
          <cell r="K308" t="str">
            <v>1</v>
          </cell>
          <cell r="L308" t="str">
            <v>2025-11-13 11:33:50.993911000</v>
          </cell>
        </row>
        <row r="309">
          <cell r="A309" t="str">
            <v>B02.000500_NNA</v>
          </cell>
          <cell r="B309" t="str">
            <v>B02.000500_NNACOERÊNCIA1</v>
          </cell>
          <cell r="C309" t="str">
            <v>B02.00</v>
          </cell>
          <cell r="D309" t="str">
            <v>COERÊNCIA</v>
          </cell>
          <cell r="E309" t="str">
            <v>BU_LOANTAPE_WORK.OUT_B0200_MAIN_LIABILITIES</v>
          </cell>
          <cell r="F309" t="str">
            <v>BU_CAPTOOLS_WORK.SIMUL_B0200</v>
          </cell>
          <cell r="G309" t="str">
            <v>0500_NNA</v>
          </cell>
          <cell r="H309" t="str">
            <v>2025-10-31</v>
          </cell>
          <cell r="I309">
            <v>8</v>
          </cell>
          <cell r="J309">
            <v>0</v>
          </cell>
          <cell r="K309" t="str">
            <v>1</v>
          </cell>
          <cell r="L309" t="str">
            <v>2025-11-13 11:33:50.993911000</v>
          </cell>
        </row>
        <row r="310">
          <cell r="A310" t="str">
            <v>B02.000500_NNA</v>
          </cell>
          <cell r="B310" t="str">
            <v>B02.000500_NNAVALIDADE1</v>
          </cell>
          <cell r="C310" t="str">
            <v>B02.00</v>
          </cell>
          <cell r="D310" t="str">
            <v>VALIDADE</v>
          </cell>
          <cell r="E310" t="str">
            <v>BU_LOANTAPE_WORK.OUT_B0200_MAIN_LIABILITIES</v>
          </cell>
          <cell r="F310" t="str">
            <v>N/A</v>
          </cell>
          <cell r="G310" t="str">
            <v>0500_NNA</v>
          </cell>
          <cell r="H310" t="str">
            <v>2025-10-31</v>
          </cell>
          <cell r="I310">
            <v>8</v>
          </cell>
          <cell r="J310">
            <v>0</v>
          </cell>
          <cell r="K310" t="str">
            <v>1</v>
          </cell>
          <cell r="L310" t="str">
            <v>2025-11-13 11:33:50.993911000</v>
          </cell>
        </row>
        <row r="311">
          <cell r="A311" t="str">
            <v>B02.000500_NNA</v>
          </cell>
          <cell r="B311" t="str">
            <v>B02.000500_NNACARACTERES ESPECIAIS1</v>
          </cell>
          <cell r="C311" t="str">
            <v>B02.00</v>
          </cell>
          <cell r="D311" t="str">
            <v>CARACTERES ESPECIAIS</v>
          </cell>
          <cell r="E311" t="str">
            <v>BU_LOANTAPE_WORK.OUT_B0200_MAIN_LIABILITIES</v>
          </cell>
          <cell r="F311" t="str">
            <v>N/A</v>
          </cell>
          <cell r="G311" t="str">
            <v>0500_NNA</v>
          </cell>
          <cell r="H311" t="str">
            <v>2025-10-31</v>
          </cell>
          <cell r="I311">
            <v>8</v>
          </cell>
          <cell r="J311">
            <v>8</v>
          </cell>
          <cell r="K311" t="str">
            <v>1</v>
          </cell>
          <cell r="L311" t="str">
            <v>2025-11-13 11:33:50.993911000</v>
          </cell>
        </row>
        <row r="312">
          <cell r="A312" t="str">
            <v>B02.000500_NNA</v>
          </cell>
          <cell r="B312" t="str">
            <v>B02.000500_NNAMISSINGS1</v>
          </cell>
          <cell r="C312" t="str">
            <v>B02.00</v>
          </cell>
          <cell r="D312" t="str">
            <v>MISSINGS</v>
          </cell>
          <cell r="E312" t="str">
            <v>BU_LOANTAPE_WORK.OUT_B0200_MAIN_LIABILITIES</v>
          </cell>
          <cell r="F312" t="str">
            <v>N/A</v>
          </cell>
          <cell r="G312" t="str">
            <v>0500_NNA</v>
          </cell>
          <cell r="H312" t="str">
            <v>2025-10-31</v>
          </cell>
          <cell r="I312">
            <v>8</v>
          </cell>
          <cell r="J312">
            <v>0</v>
          </cell>
          <cell r="K312" t="str">
            <v>1</v>
          </cell>
          <cell r="L312" t="str">
            <v>2025-11-13 11:33:50.993911000</v>
          </cell>
        </row>
        <row r="313">
          <cell r="A313" t="str">
            <v>B02.000500_NNA</v>
          </cell>
          <cell r="B313" t="str">
            <v>B02.000500_NNANOT APPLICABLE1</v>
          </cell>
          <cell r="C313" t="str">
            <v>B02.00</v>
          </cell>
          <cell r="D313" t="str">
            <v>NOT APPLICABLE</v>
          </cell>
          <cell r="E313" t="str">
            <v>BU_LOANTAPE_WORK.OUT_B0200_MAIN_LIABILITIES</v>
          </cell>
          <cell r="F313" t="str">
            <v>N/A</v>
          </cell>
          <cell r="G313" t="str">
            <v>0500_NNA</v>
          </cell>
          <cell r="H313" t="str">
            <v>2025-10-31</v>
          </cell>
          <cell r="I313">
            <v>8</v>
          </cell>
          <cell r="J313">
            <v>0</v>
          </cell>
          <cell r="K313" t="str">
            <v>1</v>
          </cell>
          <cell r="L313" t="str">
            <v>2025-11-13 11:33:50.993911000</v>
          </cell>
        </row>
        <row r="314">
          <cell r="A314" t="str">
            <v>B02.000501_NNA_LEI</v>
          </cell>
          <cell r="B314" t="str">
            <v>B02.000501_NNA_LEICOERÊNCIA1</v>
          </cell>
          <cell r="C314" t="str">
            <v>B02.00</v>
          </cell>
          <cell r="D314" t="str">
            <v>COERÊNCIA</v>
          </cell>
          <cell r="E314" t="str">
            <v>BU_LOANTAPE_WORK.OUT_B0200_MAIN_LIABILITIES</v>
          </cell>
          <cell r="F314" t="str">
            <v>BU_CAPTOOLS_WORK.SIMUL_B0200</v>
          </cell>
          <cell r="G314" t="str">
            <v>0501_NNA_LEI</v>
          </cell>
          <cell r="H314" t="str">
            <v>2025-10-31</v>
          </cell>
          <cell r="I314">
            <v>8</v>
          </cell>
          <cell r="J314">
            <v>0</v>
          </cell>
          <cell r="K314" t="str">
            <v>1</v>
          </cell>
          <cell r="L314" t="str">
            <v>2025-11-13 11:33:50.993911000</v>
          </cell>
        </row>
        <row r="315">
          <cell r="A315" t="str">
            <v>B02.000501_NNA_LEI</v>
          </cell>
          <cell r="B315" t="str">
            <v>B02.000501_NNA_LEIVALIDADE1</v>
          </cell>
          <cell r="C315" t="str">
            <v>B02.00</v>
          </cell>
          <cell r="D315" t="str">
            <v>VALIDADE</v>
          </cell>
          <cell r="E315" t="str">
            <v>BU_LOANTAPE_WORK.OUT_B0200_MAIN_LIABILITIES</v>
          </cell>
          <cell r="F315" t="str">
            <v>N/A</v>
          </cell>
          <cell r="G315" t="str">
            <v>0501_NNA_LEI</v>
          </cell>
          <cell r="H315" t="str">
            <v>2025-10-31</v>
          </cell>
          <cell r="I315">
            <v>8</v>
          </cell>
          <cell r="J315">
            <v>0</v>
          </cell>
          <cell r="K315" t="str">
            <v>1</v>
          </cell>
          <cell r="L315" t="str">
            <v>2025-11-13 11:33:50.993911000</v>
          </cell>
        </row>
        <row r="316">
          <cell r="A316" t="str">
            <v>B02.000501_NNA_LEI</v>
          </cell>
          <cell r="B316" t="str">
            <v>B02.000501_NNA_LEICARACTERES ESPECIAIS1</v>
          </cell>
          <cell r="C316" t="str">
            <v>B02.00</v>
          </cell>
          <cell r="D316" t="str">
            <v>CARACTERES ESPECIAIS</v>
          </cell>
          <cell r="E316" t="str">
            <v>BU_LOANTAPE_WORK.OUT_B0200_MAIN_LIABILITIES</v>
          </cell>
          <cell r="F316" t="str">
            <v>N/A</v>
          </cell>
          <cell r="G316" t="str">
            <v>0501_NNA_LEI</v>
          </cell>
          <cell r="H316" t="str">
            <v>2025-10-31</v>
          </cell>
          <cell r="I316">
            <v>8</v>
          </cell>
          <cell r="J316">
            <v>0</v>
          </cell>
          <cell r="K316" t="str">
            <v>1</v>
          </cell>
          <cell r="L316" t="str">
            <v>2025-11-13 11:33:50.993911000</v>
          </cell>
        </row>
        <row r="317">
          <cell r="A317" t="str">
            <v>B02.000501_NNA_LEI</v>
          </cell>
          <cell r="B317" t="str">
            <v>B02.000501_NNA_LEIMISSINGS1</v>
          </cell>
          <cell r="C317" t="str">
            <v>B02.00</v>
          </cell>
          <cell r="D317" t="str">
            <v>MISSINGS</v>
          </cell>
          <cell r="E317" t="str">
            <v>BU_LOANTAPE_WORK.OUT_B0200_MAIN_LIABILITIES</v>
          </cell>
          <cell r="F317" t="str">
            <v>N/A</v>
          </cell>
          <cell r="G317" t="str">
            <v>0501_NNA_LEI</v>
          </cell>
          <cell r="H317" t="str">
            <v>2025-10-31</v>
          </cell>
          <cell r="I317">
            <v>8</v>
          </cell>
          <cell r="J317">
            <v>0</v>
          </cell>
          <cell r="K317" t="str">
            <v>1</v>
          </cell>
          <cell r="L317" t="str">
            <v>2025-11-13 11:33:50.993911000</v>
          </cell>
        </row>
        <row r="318">
          <cell r="A318" t="str">
            <v>B02.000501_NNA_LEI</v>
          </cell>
          <cell r="B318" t="str">
            <v>B02.000501_NNA_LEINOT APPLICABLE1</v>
          </cell>
          <cell r="C318" t="str">
            <v>B02.00</v>
          </cell>
          <cell r="D318" t="str">
            <v>NOT APPLICABLE</v>
          </cell>
          <cell r="E318" t="str">
            <v>BU_LOANTAPE_WORK.OUT_B0200_MAIN_LIABILITIES</v>
          </cell>
          <cell r="F318" t="str">
            <v>N/A</v>
          </cell>
          <cell r="G318" t="str">
            <v>0501_NNA_LEI</v>
          </cell>
          <cell r="H318" t="str">
            <v>2025-10-31</v>
          </cell>
          <cell r="I318">
            <v>8</v>
          </cell>
          <cell r="J318">
            <v>0</v>
          </cell>
          <cell r="K318" t="str">
            <v>1</v>
          </cell>
          <cell r="L318" t="str">
            <v>2025-11-13 11:33:50.993911000</v>
          </cell>
        </row>
        <row r="319">
          <cell r="A319" t="str">
            <v>B02.000510_CMMN_DPSTRY</v>
          </cell>
          <cell r="B319" t="str">
            <v>B02.000510_CMMN_DPSTRYCOERÊNCIA1</v>
          </cell>
          <cell r="C319" t="str">
            <v>B02.00</v>
          </cell>
          <cell r="D319" t="str">
            <v>COERÊNCIA</v>
          </cell>
          <cell r="E319" t="str">
            <v>BU_LOANTAPE_WORK.OUT_B0200_MAIN_LIABILITIES</v>
          </cell>
          <cell r="F319" t="str">
            <v>BU_CAPTOOLS_WORK.SIMUL_B0200</v>
          </cell>
          <cell r="G319" t="str">
            <v>0510_CMMN_DPSTRY</v>
          </cell>
          <cell r="H319" t="str">
            <v>2025-10-31</v>
          </cell>
          <cell r="I319">
            <v>8</v>
          </cell>
          <cell r="J319">
            <v>0</v>
          </cell>
          <cell r="K319" t="str">
            <v>1</v>
          </cell>
          <cell r="L319" t="str">
            <v>2025-11-13 11:33:50.993911000</v>
          </cell>
        </row>
        <row r="320">
          <cell r="A320" t="str">
            <v>B02.000510_CMMN_DPSTRY</v>
          </cell>
          <cell r="B320" t="str">
            <v>B02.000510_CMMN_DPSTRYVALIDADE1</v>
          </cell>
          <cell r="C320" t="str">
            <v>B02.00</v>
          </cell>
          <cell r="D320" t="str">
            <v>VALIDADE</v>
          </cell>
          <cell r="E320" t="str">
            <v>BU_LOANTAPE_WORK.OUT_B0200_MAIN_LIABILITIES</v>
          </cell>
          <cell r="F320" t="str">
            <v>N/A</v>
          </cell>
          <cell r="G320" t="str">
            <v>0510_CMMN_DPSTRY</v>
          </cell>
          <cell r="H320" t="str">
            <v>2025-10-31</v>
          </cell>
          <cell r="I320">
            <v>8</v>
          </cell>
          <cell r="J320">
            <v>0</v>
          </cell>
          <cell r="K320" t="str">
            <v>1</v>
          </cell>
          <cell r="L320" t="str">
            <v>2025-11-13 11:33:50.993911000</v>
          </cell>
        </row>
        <row r="321">
          <cell r="A321" t="str">
            <v>B02.000510_CMMN_DPSTRY</v>
          </cell>
          <cell r="B321" t="str">
            <v>B02.000510_CMMN_DPSTRYCARACTERES ESPECIAIS1</v>
          </cell>
          <cell r="C321" t="str">
            <v>B02.00</v>
          </cell>
          <cell r="D321" t="str">
            <v>CARACTERES ESPECIAIS</v>
          </cell>
          <cell r="E321" t="str">
            <v>BU_LOANTAPE_WORK.OUT_B0200_MAIN_LIABILITIES</v>
          </cell>
          <cell r="F321" t="str">
            <v>N/A</v>
          </cell>
          <cell r="G321" t="str">
            <v>0510_CMMN_DPSTRY</v>
          </cell>
          <cell r="H321" t="str">
            <v>2025-10-31</v>
          </cell>
          <cell r="I321">
            <v>8</v>
          </cell>
          <cell r="J321">
            <v>0</v>
          </cell>
          <cell r="K321" t="str">
            <v>1</v>
          </cell>
          <cell r="L321" t="str">
            <v>2025-11-13 11:33:50.993911000</v>
          </cell>
        </row>
        <row r="322">
          <cell r="A322" t="str">
            <v>B02.000510_CMMN_DPSTRY</v>
          </cell>
          <cell r="B322" t="str">
            <v>B02.000510_CMMN_DPSTRYMISSINGS1</v>
          </cell>
          <cell r="C322" t="str">
            <v>B02.00</v>
          </cell>
          <cell r="D322" t="str">
            <v>MISSINGS</v>
          </cell>
          <cell r="E322" t="str">
            <v>BU_LOANTAPE_WORK.OUT_B0200_MAIN_LIABILITIES</v>
          </cell>
          <cell r="F322" t="str">
            <v>N/A</v>
          </cell>
          <cell r="G322" t="str">
            <v>0510_CMMN_DPSTRY</v>
          </cell>
          <cell r="H322" t="str">
            <v>2025-10-31</v>
          </cell>
          <cell r="I322">
            <v>8</v>
          </cell>
          <cell r="J322">
            <v>0</v>
          </cell>
          <cell r="K322" t="str">
            <v>1</v>
          </cell>
          <cell r="L322" t="str">
            <v>2025-11-13 11:33:50.993911000</v>
          </cell>
        </row>
        <row r="323">
          <cell r="A323" t="str">
            <v>B02.000510_CMMN_DPSTRY</v>
          </cell>
          <cell r="B323" t="str">
            <v>B02.000510_CMMN_DPSTRYNOT APPLICABLE1</v>
          </cell>
          <cell r="C323" t="str">
            <v>B02.00</v>
          </cell>
          <cell r="D323" t="str">
            <v>NOT APPLICABLE</v>
          </cell>
          <cell r="E323" t="str">
            <v>BU_LOANTAPE_WORK.OUT_B0200_MAIN_LIABILITIES</v>
          </cell>
          <cell r="F323" t="str">
            <v>N/A</v>
          </cell>
          <cell r="G323" t="str">
            <v>0510_CMMN_DPSTRY</v>
          </cell>
          <cell r="H323" t="str">
            <v>2025-10-31</v>
          </cell>
          <cell r="I323">
            <v>8</v>
          </cell>
          <cell r="J323">
            <v>8</v>
          </cell>
          <cell r="K323" t="str">
            <v>1</v>
          </cell>
          <cell r="L323" t="str">
            <v>2025-11-13 11:33:50.993911000</v>
          </cell>
        </row>
        <row r="324">
          <cell r="A324" t="str">
            <v>B02.000511_CMMN_DPSTRY_LEI</v>
          </cell>
          <cell r="B324" t="str">
            <v>B02.000511_CMMN_DPSTRY_LEICOERÊNCIA1</v>
          </cell>
          <cell r="C324" t="str">
            <v>B02.00</v>
          </cell>
          <cell r="D324" t="str">
            <v>COERÊNCIA</v>
          </cell>
          <cell r="E324" t="str">
            <v>BU_LOANTAPE_WORK.OUT_B0200_MAIN_LIABILITIES</v>
          </cell>
          <cell r="F324" t="str">
            <v>BU_CAPTOOLS_WORK.SIMUL_B0200</v>
          </cell>
          <cell r="G324" t="str">
            <v>0511_CMMN_DPSTRY_LEI</v>
          </cell>
          <cell r="H324" t="str">
            <v>2025-10-31</v>
          </cell>
          <cell r="I324">
            <v>8</v>
          </cell>
          <cell r="J324">
            <v>0</v>
          </cell>
          <cell r="K324" t="str">
            <v>1</v>
          </cell>
          <cell r="L324" t="str">
            <v>2025-11-13 11:33:50.993911000</v>
          </cell>
        </row>
        <row r="325">
          <cell r="A325" t="str">
            <v>B02.000511_CMMN_DPSTRY_LEI</v>
          </cell>
          <cell r="B325" t="str">
            <v>B02.000511_CMMN_DPSTRY_LEIVALIDADE1</v>
          </cell>
          <cell r="C325" t="str">
            <v>B02.00</v>
          </cell>
          <cell r="D325" t="str">
            <v>VALIDADE</v>
          </cell>
          <cell r="E325" t="str">
            <v>BU_LOANTAPE_WORK.OUT_B0200_MAIN_LIABILITIES</v>
          </cell>
          <cell r="F325" t="str">
            <v>N/A</v>
          </cell>
          <cell r="G325" t="str">
            <v>0511_CMMN_DPSTRY_LEI</v>
          </cell>
          <cell r="H325" t="str">
            <v>2025-10-31</v>
          </cell>
          <cell r="I325">
            <v>8</v>
          </cell>
          <cell r="J325">
            <v>0</v>
          </cell>
          <cell r="K325" t="str">
            <v>1</v>
          </cell>
          <cell r="L325" t="str">
            <v>2025-11-13 11:33:50.993911000</v>
          </cell>
        </row>
        <row r="326">
          <cell r="A326" t="str">
            <v>B02.000511_CMMN_DPSTRY_LEI</v>
          </cell>
          <cell r="B326" t="str">
            <v>B02.000511_CMMN_DPSTRY_LEICARACTERES ESPECIAIS1</v>
          </cell>
          <cell r="C326" t="str">
            <v>B02.00</v>
          </cell>
          <cell r="D326" t="str">
            <v>CARACTERES ESPECIAIS</v>
          </cell>
          <cell r="E326" t="str">
            <v>BU_LOANTAPE_WORK.OUT_B0200_MAIN_LIABILITIES</v>
          </cell>
          <cell r="F326" t="str">
            <v>N/A</v>
          </cell>
          <cell r="G326" t="str">
            <v>0511_CMMN_DPSTRY_LEI</v>
          </cell>
          <cell r="H326" t="str">
            <v>2025-10-31</v>
          </cell>
          <cell r="I326">
            <v>8</v>
          </cell>
          <cell r="J326">
            <v>0</v>
          </cell>
          <cell r="K326" t="str">
            <v>1</v>
          </cell>
          <cell r="L326" t="str">
            <v>2025-11-13 11:33:50.993911000</v>
          </cell>
        </row>
        <row r="327">
          <cell r="A327" t="str">
            <v>B02.000511_CMMN_DPSTRY_LEI</v>
          </cell>
          <cell r="B327" t="str">
            <v>B02.000511_CMMN_DPSTRY_LEIMISSINGS1</v>
          </cell>
          <cell r="C327" t="str">
            <v>B02.00</v>
          </cell>
          <cell r="D327" t="str">
            <v>MISSINGS</v>
          </cell>
          <cell r="E327" t="str">
            <v>BU_LOANTAPE_WORK.OUT_B0200_MAIN_LIABILITIES</v>
          </cell>
          <cell r="F327" t="str">
            <v>N/A</v>
          </cell>
          <cell r="G327" t="str">
            <v>0511_CMMN_DPSTRY_LEI</v>
          </cell>
          <cell r="H327" t="str">
            <v>2025-10-31</v>
          </cell>
          <cell r="I327">
            <v>8</v>
          </cell>
          <cell r="J327">
            <v>0</v>
          </cell>
          <cell r="K327" t="str">
            <v>1</v>
          </cell>
          <cell r="L327" t="str">
            <v>2025-11-13 11:33:50.993911000</v>
          </cell>
        </row>
        <row r="328">
          <cell r="A328" t="str">
            <v>B02.000511_CMMN_DPSTRY_LEI</v>
          </cell>
          <cell r="B328" t="str">
            <v>B02.000511_CMMN_DPSTRY_LEINOT APPLICABLE1</v>
          </cell>
          <cell r="C328" t="str">
            <v>B02.00</v>
          </cell>
          <cell r="D328" t="str">
            <v>NOT APPLICABLE</v>
          </cell>
          <cell r="E328" t="str">
            <v>BU_LOANTAPE_WORK.OUT_B0200_MAIN_LIABILITIES</v>
          </cell>
          <cell r="F328" t="str">
            <v>N/A</v>
          </cell>
          <cell r="G328" t="str">
            <v>0511_CMMN_DPSTRY_LEI</v>
          </cell>
          <cell r="H328" t="str">
            <v>2025-10-31</v>
          </cell>
          <cell r="I328">
            <v>8</v>
          </cell>
          <cell r="J328">
            <v>8</v>
          </cell>
          <cell r="K328" t="str">
            <v>1</v>
          </cell>
          <cell r="L328" t="str">
            <v>2025-11-13 11:33:50.993911000</v>
          </cell>
        </row>
        <row r="329">
          <cell r="A329" t="str">
            <v>B02.000520_CMMN_SRVC_PRVDR</v>
          </cell>
          <cell r="B329" t="str">
            <v>B02.000520_CMMN_SRVC_PRVDRCOERÊNCIA1</v>
          </cell>
          <cell r="C329" t="str">
            <v>B02.00</v>
          </cell>
          <cell r="D329" t="str">
            <v>COERÊNCIA</v>
          </cell>
          <cell r="E329" t="str">
            <v>BU_LOANTAPE_WORK.OUT_B0200_MAIN_LIABILITIES</v>
          </cell>
          <cell r="F329" t="str">
            <v>BU_CAPTOOLS_WORK.SIMUL_B0200</v>
          </cell>
          <cell r="G329" t="str">
            <v>0520_CMMN_SRVC_PRVDR</v>
          </cell>
          <cell r="H329" t="str">
            <v>2025-10-31</v>
          </cell>
          <cell r="I329">
            <v>8</v>
          </cell>
          <cell r="J329">
            <v>0</v>
          </cell>
          <cell r="K329" t="str">
            <v>1</v>
          </cell>
          <cell r="L329" t="str">
            <v>2025-11-13 11:33:50.993911000</v>
          </cell>
        </row>
        <row r="330">
          <cell r="A330" t="str">
            <v>B02.000520_CMMN_SRVC_PRVDR</v>
          </cell>
          <cell r="B330" t="str">
            <v>B02.000520_CMMN_SRVC_PRVDRVALIDADE1</v>
          </cell>
          <cell r="C330" t="str">
            <v>B02.00</v>
          </cell>
          <cell r="D330" t="str">
            <v>VALIDADE</v>
          </cell>
          <cell r="E330" t="str">
            <v>BU_LOANTAPE_WORK.OUT_B0200_MAIN_LIABILITIES</v>
          </cell>
          <cell r="F330" t="str">
            <v>N/A</v>
          </cell>
          <cell r="G330" t="str">
            <v>0520_CMMN_SRVC_PRVDR</v>
          </cell>
          <cell r="H330" t="str">
            <v>2025-10-31</v>
          </cell>
          <cell r="I330">
            <v>8</v>
          </cell>
          <cell r="J330">
            <v>0</v>
          </cell>
          <cell r="K330" t="str">
            <v>1</v>
          </cell>
          <cell r="L330" t="str">
            <v>2025-11-13 11:33:50.993911000</v>
          </cell>
        </row>
        <row r="331">
          <cell r="A331" t="str">
            <v>B02.000520_CMMN_SRVC_PRVDR</v>
          </cell>
          <cell r="B331" t="str">
            <v>B02.000520_CMMN_SRVC_PRVDRCARACTERES ESPECIAIS1</v>
          </cell>
          <cell r="C331" t="str">
            <v>B02.00</v>
          </cell>
          <cell r="D331" t="str">
            <v>CARACTERES ESPECIAIS</v>
          </cell>
          <cell r="E331" t="str">
            <v>BU_LOANTAPE_WORK.OUT_B0200_MAIN_LIABILITIES</v>
          </cell>
          <cell r="F331" t="str">
            <v>N/A</v>
          </cell>
          <cell r="G331" t="str">
            <v>0520_CMMN_SRVC_PRVDR</v>
          </cell>
          <cell r="H331" t="str">
            <v>2025-10-31</v>
          </cell>
          <cell r="I331">
            <v>8</v>
          </cell>
          <cell r="J331">
            <v>0</v>
          </cell>
          <cell r="K331" t="str">
            <v>1</v>
          </cell>
          <cell r="L331" t="str">
            <v>2025-11-13 11:33:50.993911000</v>
          </cell>
        </row>
        <row r="332">
          <cell r="A332" t="str">
            <v>B02.000520_CMMN_SRVC_PRVDR</v>
          </cell>
          <cell r="B332" t="str">
            <v>B02.000520_CMMN_SRVC_PRVDRMISSINGS1</v>
          </cell>
          <cell r="C332" t="str">
            <v>B02.00</v>
          </cell>
          <cell r="D332" t="str">
            <v>MISSINGS</v>
          </cell>
          <cell r="E332" t="str">
            <v>BU_LOANTAPE_WORK.OUT_B0200_MAIN_LIABILITIES</v>
          </cell>
          <cell r="F332" t="str">
            <v>N/A</v>
          </cell>
          <cell r="G332" t="str">
            <v>0520_CMMN_SRVC_PRVDR</v>
          </cell>
          <cell r="H332" t="str">
            <v>2025-10-31</v>
          </cell>
          <cell r="I332">
            <v>8</v>
          </cell>
          <cell r="J332">
            <v>0</v>
          </cell>
          <cell r="K332" t="str">
            <v>1</v>
          </cell>
          <cell r="L332" t="str">
            <v>2025-11-13 11:33:50.993911000</v>
          </cell>
        </row>
        <row r="333">
          <cell r="A333" t="str">
            <v>B02.000520_CMMN_SRVC_PRVDR</v>
          </cell>
          <cell r="B333" t="str">
            <v>B02.000520_CMMN_SRVC_PRVDRNOT APPLICABLE1</v>
          </cell>
          <cell r="C333" t="str">
            <v>B02.00</v>
          </cell>
          <cell r="D333" t="str">
            <v>NOT APPLICABLE</v>
          </cell>
          <cell r="E333" t="str">
            <v>BU_LOANTAPE_WORK.OUT_B0200_MAIN_LIABILITIES</v>
          </cell>
          <cell r="F333" t="str">
            <v>N/A</v>
          </cell>
          <cell r="G333" t="str">
            <v>0520_CMMN_SRVC_PRVDR</v>
          </cell>
          <cell r="H333" t="str">
            <v>2025-10-31</v>
          </cell>
          <cell r="I333">
            <v>8</v>
          </cell>
          <cell r="J333">
            <v>8</v>
          </cell>
          <cell r="K333" t="str">
            <v>1</v>
          </cell>
          <cell r="L333" t="str">
            <v>2025-11-13 11:33:50.993911000</v>
          </cell>
        </row>
        <row r="334">
          <cell r="A334" t="str">
            <v>B02.000521_CMMN_SRVC_PRVDR_LEI</v>
          </cell>
          <cell r="B334" t="str">
            <v>B02.000521_CMMN_SRVC_PRVDR_LEICOERÊNCIA1</v>
          </cell>
          <cell r="C334" t="str">
            <v>B02.00</v>
          </cell>
          <cell r="D334" t="str">
            <v>COERÊNCIA</v>
          </cell>
          <cell r="E334" t="str">
            <v>BU_LOANTAPE_WORK.OUT_B0200_MAIN_LIABILITIES</v>
          </cell>
          <cell r="F334" t="str">
            <v>BU_CAPTOOLS_WORK.SIMUL_B0200</v>
          </cell>
          <cell r="G334" t="str">
            <v>0521_CMMN_SRVC_PRVDR_LEI</v>
          </cell>
          <cell r="H334" t="str">
            <v>2025-10-31</v>
          </cell>
          <cell r="I334">
            <v>8</v>
          </cell>
          <cell r="J334">
            <v>0</v>
          </cell>
          <cell r="K334" t="str">
            <v>1</v>
          </cell>
          <cell r="L334" t="str">
            <v>2025-11-13 11:33:50.993911000</v>
          </cell>
        </row>
        <row r="335">
          <cell r="A335" t="str">
            <v>B02.000521_CMMN_SRVC_PRVDR_LEI</v>
          </cell>
          <cell r="B335" t="str">
            <v>B02.000521_CMMN_SRVC_PRVDR_LEIVALIDADE1</v>
          </cell>
          <cell r="C335" t="str">
            <v>B02.00</v>
          </cell>
          <cell r="D335" t="str">
            <v>VALIDADE</v>
          </cell>
          <cell r="E335" t="str">
            <v>BU_LOANTAPE_WORK.OUT_B0200_MAIN_LIABILITIES</v>
          </cell>
          <cell r="F335" t="str">
            <v>N/A</v>
          </cell>
          <cell r="G335" t="str">
            <v>0521_CMMN_SRVC_PRVDR_LEI</v>
          </cell>
          <cell r="H335" t="str">
            <v>2025-10-31</v>
          </cell>
          <cell r="I335">
            <v>8</v>
          </cell>
          <cell r="J335">
            <v>0</v>
          </cell>
          <cell r="K335" t="str">
            <v>1</v>
          </cell>
          <cell r="L335" t="str">
            <v>2025-11-13 11:33:50.993911000</v>
          </cell>
        </row>
        <row r="336">
          <cell r="A336" t="str">
            <v>B02.000521_CMMN_SRVC_PRVDR_LEI</v>
          </cell>
          <cell r="B336" t="str">
            <v>B02.000521_CMMN_SRVC_PRVDR_LEICARACTERES ESPECIAIS1</v>
          </cell>
          <cell r="C336" t="str">
            <v>B02.00</v>
          </cell>
          <cell r="D336" t="str">
            <v>CARACTERES ESPECIAIS</v>
          </cell>
          <cell r="E336" t="str">
            <v>BU_LOANTAPE_WORK.OUT_B0200_MAIN_LIABILITIES</v>
          </cell>
          <cell r="F336" t="str">
            <v>N/A</v>
          </cell>
          <cell r="G336" t="str">
            <v>0521_CMMN_SRVC_PRVDR_LEI</v>
          </cell>
          <cell r="H336" t="str">
            <v>2025-10-31</v>
          </cell>
          <cell r="I336">
            <v>8</v>
          </cell>
          <cell r="J336">
            <v>0</v>
          </cell>
          <cell r="K336" t="str">
            <v>1</v>
          </cell>
          <cell r="L336" t="str">
            <v>2025-11-13 11:33:50.993911000</v>
          </cell>
        </row>
        <row r="337">
          <cell r="A337" t="str">
            <v>B02.000521_CMMN_SRVC_PRVDR_LEI</v>
          </cell>
          <cell r="B337" t="str">
            <v>B02.000521_CMMN_SRVC_PRVDR_LEIMISSINGS1</v>
          </cell>
          <cell r="C337" t="str">
            <v>B02.00</v>
          </cell>
          <cell r="D337" t="str">
            <v>MISSINGS</v>
          </cell>
          <cell r="E337" t="str">
            <v>BU_LOANTAPE_WORK.OUT_B0200_MAIN_LIABILITIES</v>
          </cell>
          <cell r="F337" t="str">
            <v>N/A</v>
          </cell>
          <cell r="G337" t="str">
            <v>0521_CMMN_SRVC_PRVDR_LEI</v>
          </cell>
          <cell r="H337" t="str">
            <v>2025-10-31</v>
          </cell>
          <cell r="I337">
            <v>8</v>
          </cell>
          <cell r="J337">
            <v>0</v>
          </cell>
          <cell r="K337" t="str">
            <v>1</v>
          </cell>
          <cell r="L337" t="str">
            <v>2025-11-13 11:33:50.993911000</v>
          </cell>
        </row>
        <row r="338">
          <cell r="A338" t="str">
            <v>B02.000521_CMMN_SRVC_PRVDR_LEI</v>
          </cell>
          <cell r="B338" t="str">
            <v>B02.000521_CMMN_SRVC_PRVDR_LEINOT APPLICABLE1</v>
          </cell>
          <cell r="C338" t="str">
            <v>B02.00</v>
          </cell>
          <cell r="D338" t="str">
            <v>NOT APPLICABLE</v>
          </cell>
          <cell r="E338" t="str">
            <v>BU_LOANTAPE_WORK.OUT_B0200_MAIN_LIABILITIES</v>
          </cell>
          <cell r="F338" t="str">
            <v>N/A</v>
          </cell>
          <cell r="G338" t="str">
            <v>0521_CMMN_SRVC_PRVDR_LEI</v>
          </cell>
          <cell r="H338" t="str">
            <v>2025-10-31</v>
          </cell>
          <cell r="I338">
            <v>8</v>
          </cell>
          <cell r="J338">
            <v>8</v>
          </cell>
          <cell r="K338" t="str">
            <v>1</v>
          </cell>
          <cell r="L338" t="str">
            <v>2025-11-13 11:33:50.993911000</v>
          </cell>
        </row>
        <row r="339">
          <cell r="A339" t="str">
            <v>B02.000530_TYP_OWN_FNDS_IND_LVL</v>
          </cell>
          <cell r="B339" t="str">
            <v>B02.000530_TYP_OWN_FNDS_IND_LVLCOERÊNCIA1</v>
          </cell>
          <cell r="C339" t="str">
            <v>B02.00</v>
          </cell>
          <cell r="D339" t="str">
            <v>COERÊNCIA</v>
          </cell>
          <cell r="E339" t="str">
            <v>BU_LOANTAPE_WORK.OUT_B0200_MAIN_LIABILITIES</v>
          </cell>
          <cell r="F339" t="str">
            <v>BU_CAPTOOLS_WORK.SIMUL_B0200</v>
          </cell>
          <cell r="G339" t="str">
            <v>0530_TYP_OWN_FNDS_IND_LVL</v>
          </cell>
          <cell r="H339" t="str">
            <v>2025-10-31</v>
          </cell>
          <cell r="I339">
            <v>8</v>
          </cell>
          <cell r="J339">
            <v>2</v>
          </cell>
          <cell r="K339" t="str">
            <v>1</v>
          </cell>
          <cell r="L339" t="str">
            <v>2025-11-13 11:33:50.993911000</v>
          </cell>
        </row>
        <row r="340">
          <cell r="A340" t="str">
            <v>B02.000530_TYP_OWN_FNDS_IND_LVL</v>
          </cell>
          <cell r="B340" t="str">
            <v>B02.000530_TYP_OWN_FNDS_IND_LVLVALIDADE1</v>
          </cell>
          <cell r="C340" t="str">
            <v>B02.00</v>
          </cell>
          <cell r="D340" t="str">
            <v>VALIDADE</v>
          </cell>
          <cell r="E340" t="str">
            <v>BU_LOANTAPE_WORK.OUT_B0200_MAIN_LIABILITIES</v>
          </cell>
          <cell r="F340" t="str">
            <v>N/A</v>
          </cell>
          <cell r="G340" t="str">
            <v>0530_TYP_OWN_FNDS_IND_LVL</v>
          </cell>
          <cell r="H340" t="str">
            <v>2025-10-31</v>
          </cell>
          <cell r="I340">
            <v>8</v>
          </cell>
          <cell r="J340">
            <v>2</v>
          </cell>
          <cell r="K340" t="str">
            <v>1</v>
          </cell>
          <cell r="L340" t="str">
            <v>2025-11-13 11:33:50.993911000</v>
          </cell>
        </row>
        <row r="341">
          <cell r="A341" t="str">
            <v>B02.000530_TYP_OWN_FNDS_IND_LVL</v>
          </cell>
          <cell r="B341" t="str">
            <v>B02.000530_TYP_OWN_FNDS_IND_LVLCARACTERES ESPECIAIS1</v>
          </cell>
          <cell r="C341" t="str">
            <v>B02.00</v>
          </cell>
          <cell r="D341" t="str">
            <v>CARACTERES ESPECIAIS</v>
          </cell>
          <cell r="E341" t="str">
            <v>BU_LOANTAPE_WORK.OUT_B0200_MAIN_LIABILITIES</v>
          </cell>
          <cell r="F341" t="str">
            <v>N/A</v>
          </cell>
          <cell r="G341" t="str">
            <v>0530_TYP_OWN_FNDS_IND_LVL</v>
          </cell>
          <cell r="H341" t="str">
            <v>2025-10-31</v>
          </cell>
          <cell r="I341">
            <v>8</v>
          </cell>
          <cell r="J341">
            <v>0</v>
          </cell>
          <cell r="K341" t="str">
            <v>1</v>
          </cell>
          <cell r="L341" t="str">
            <v>2025-11-13 11:33:50.993911000</v>
          </cell>
        </row>
        <row r="342">
          <cell r="A342" t="str">
            <v>B02.000530_TYP_OWN_FNDS_IND_LVL</v>
          </cell>
          <cell r="B342" t="str">
            <v>B02.000530_TYP_OWN_FNDS_IND_LVLMISSINGS1</v>
          </cell>
          <cell r="C342" t="str">
            <v>B02.00</v>
          </cell>
          <cell r="D342" t="str">
            <v>MISSINGS</v>
          </cell>
          <cell r="E342" t="str">
            <v>BU_LOANTAPE_WORK.OUT_B0200_MAIN_LIABILITIES</v>
          </cell>
          <cell r="F342" t="str">
            <v>N/A</v>
          </cell>
          <cell r="G342" t="str">
            <v>0530_TYP_OWN_FNDS_IND_LVL</v>
          </cell>
          <cell r="H342" t="str">
            <v>2025-10-31</v>
          </cell>
          <cell r="I342">
            <v>8</v>
          </cell>
          <cell r="J342">
            <v>0</v>
          </cell>
          <cell r="K342" t="str">
            <v>1</v>
          </cell>
          <cell r="L342" t="str">
            <v>2025-11-13 11:33:50.993911000</v>
          </cell>
        </row>
        <row r="343">
          <cell r="A343" t="str">
            <v>B02.000530_TYP_OWN_FNDS_IND_LVL</v>
          </cell>
          <cell r="B343" t="str">
            <v>B02.000530_TYP_OWN_FNDS_IND_LVLNOT APPLICABLE1</v>
          </cell>
          <cell r="C343" t="str">
            <v>B02.00</v>
          </cell>
          <cell r="D343" t="str">
            <v>NOT APPLICABLE</v>
          </cell>
          <cell r="E343" t="str">
            <v>BU_LOANTAPE_WORK.OUT_B0200_MAIN_LIABILITIES</v>
          </cell>
          <cell r="F343" t="str">
            <v>N/A</v>
          </cell>
          <cell r="G343" t="str">
            <v>0530_TYP_OWN_FNDS_IND_LVL</v>
          </cell>
          <cell r="H343" t="str">
            <v>2025-10-31</v>
          </cell>
          <cell r="I343">
            <v>8</v>
          </cell>
          <cell r="J343">
            <v>0</v>
          </cell>
          <cell r="K343" t="str">
            <v>1</v>
          </cell>
          <cell r="L343" t="str">
            <v>2025-11-13 11:33:50.993911000</v>
          </cell>
        </row>
        <row r="344">
          <cell r="A344" t="str">
            <v>B02.000540_ELGBL_AMNT_OWN_FNDS_IND_LVL</v>
          </cell>
          <cell r="B344" t="str">
            <v>B02.000540_ELGBL_AMNT_OWN_FNDS_IND_LVLCOERÊNCIA1</v>
          </cell>
          <cell r="C344" t="str">
            <v>B02.00</v>
          </cell>
          <cell r="D344" t="str">
            <v>COERÊNCIA</v>
          </cell>
          <cell r="E344" t="str">
            <v>BU_LOANTAPE_WORK.OUT_B0200_MAIN_LIABILITIES</v>
          </cell>
          <cell r="F344" t="str">
            <v>BU_CAPTOOLS_WORK.SIMUL_B0200</v>
          </cell>
          <cell r="G344" t="str">
            <v>0540_ELGBL_AMNT_OWN_FNDS_IND_LVL</v>
          </cell>
          <cell r="H344" t="str">
            <v>2025-10-31</v>
          </cell>
          <cell r="I344">
            <v>8</v>
          </cell>
          <cell r="J344">
            <v>0</v>
          </cell>
          <cell r="K344" t="str">
            <v>1</v>
          </cell>
          <cell r="L344" t="str">
            <v>2025-11-13 11:33:50.993911000</v>
          </cell>
        </row>
        <row r="345">
          <cell r="A345" t="str">
            <v>B02.000540_ELGBL_AMNT_OWN_FNDS_IND_LVL</v>
          </cell>
          <cell r="B345" t="str">
            <v>B02.000540_ELGBL_AMNT_OWN_FNDS_IND_LVLVALIDADE1</v>
          </cell>
          <cell r="C345" t="str">
            <v>B02.00</v>
          </cell>
          <cell r="D345" t="str">
            <v>VALIDADE</v>
          </cell>
          <cell r="E345" t="str">
            <v>BU_LOANTAPE_WORK.OUT_B0200_MAIN_LIABILITIES</v>
          </cell>
          <cell r="F345" t="str">
            <v>N/A</v>
          </cell>
          <cell r="G345" t="str">
            <v>0540_ELGBL_AMNT_OWN_FNDS_IND_LVL</v>
          </cell>
          <cell r="H345" t="str">
            <v>2025-10-31</v>
          </cell>
          <cell r="I345">
            <v>8</v>
          </cell>
          <cell r="J345">
            <v>0</v>
          </cell>
          <cell r="K345" t="str">
            <v>1</v>
          </cell>
          <cell r="L345" t="str">
            <v>2025-11-13 11:33:50.993911000</v>
          </cell>
        </row>
        <row r="346">
          <cell r="A346" t="str">
            <v>B02.000540_ELGBL_AMNT_OWN_FNDS_IND_LVL</v>
          </cell>
          <cell r="B346" t="str">
            <v>B02.000540_ELGBL_AMNT_OWN_FNDS_IND_LVLCARACTERES ESPECIAIS1</v>
          </cell>
          <cell r="C346" t="str">
            <v>B02.00</v>
          </cell>
          <cell r="D346" t="str">
            <v>CARACTERES ESPECIAIS</v>
          </cell>
          <cell r="E346" t="str">
            <v>BU_LOANTAPE_WORK.OUT_B0200_MAIN_LIABILITIES</v>
          </cell>
          <cell r="F346" t="str">
            <v>N/A</v>
          </cell>
          <cell r="G346" t="str">
            <v>0540_ELGBL_AMNT_OWN_FNDS_IND_LVL</v>
          </cell>
          <cell r="H346" t="str">
            <v>2025-10-31</v>
          </cell>
          <cell r="I346">
            <v>8</v>
          </cell>
          <cell r="J346">
            <v>0</v>
          </cell>
          <cell r="K346" t="str">
            <v>1</v>
          </cell>
          <cell r="L346" t="str">
            <v>2025-11-13 11:33:50.993911000</v>
          </cell>
        </row>
        <row r="347">
          <cell r="A347" t="str">
            <v>B02.000540_ELGBL_AMNT_OWN_FNDS_IND_LVL</v>
          </cell>
          <cell r="B347" t="str">
            <v>B02.000540_ELGBL_AMNT_OWN_FNDS_IND_LVLMISSINGS1</v>
          </cell>
          <cell r="C347" t="str">
            <v>B02.00</v>
          </cell>
          <cell r="D347" t="str">
            <v>MISSINGS</v>
          </cell>
          <cell r="E347" t="str">
            <v>BU_LOANTAPE_WORK.OUT_B0200_MAIN_LIABILITIES</v>
          </cell>
          <cell r="F347" t="str">
            <v>N/A</v>
          </cell>
          <cell r="G347" t="str">
            <v>0540_ELGBL_AMNT_OWN_FNDS_IND_LVL</v>
          </cell>
          <cell r="H347" t="str">
            <v>2025-10-31</v>
          </cell>
          <cell r="I347">
            <v>8</v>
          </cell>
          <cell r="J347">
            <v>0</v>
          </cell>
          <cell r="K347" t="str">
            <v>1</v>
          </cell>
          <cell r="L347" t="str">
            <v>2025-11-13 11:33:50.993911000</v>
          </cell>
        </row>
        <row r="348">
          <cell r="A348" t="str">
            <v>B02.000540_ELGBL_AMNT_OWN_FNDS_IND_LVL</v>
          </cell>
          <cell r="B348" t="str">
            <v>B02.000540_ELGBL_AMNT_OWN_FNDS_IND_LVLNOT APPLICABLE1</v>
          </cell>
          <cell r="C348" t="str">
            <v>B02.00</v>
          </cell>
          <cell r="D348" t="str">
            <v>NOT APPLICABLE</v>
          </cell>
          <cell r="E348" t="str">
            <v>BU_LOANTAPE_WORK.OUT_B0200_MAIN_LIABILITIES</v>
          </cell>
          <cell r="F348" t="str">
            <v>N/A</v>
          </cell>
          <cell r="G348" t="str">
            <v>0540_ELGBL_AMNT_OWN_FNDS_IND_LVL</v>
          </cell>
          <cell r="H348" t="str">
            <v>2025-10-31</v>
          </cell>
          <cell r="I348">
            <v>8</v>
          </cell>
          <cell r="J348">
            <v>0</v>
          </cell>
          <cell r="K348" t="str">
            <v>1</v>
          </cell>
          <cell r="L348" t="str">
            <v>2025-11-13 11:33:50.993911000</v>
          </cell>
        </row>
        <row r="349">
          <cell r="A349" t="str">
            <v>B02.000550_TYP_OWN_FNDS_CNSLDTD_LVL</v>
          </cell>
          <cell r="B349" t="str">
            <v>B02.000550_TYP_OWN_FNDS_CNSLDTD_LVLCOERÊNCIA1</v>
          </cell>
          <cell r="C349" t="str">
            <v>B02.00</v>
          </cell>
          <cell r="D349" t="str">
            <v>COERÊNCIA</v>
          </cell>
          <cell r="E349" t="str">
            <v>BU_LOANTAPE_WORK.OUT_B0200_MAIN_LIABILITIES</v>
          </cell>
          <cell r="F349" t="str">
            <v>BU_CAPTOOLS_WORK.SIMUL_B0200</v>
          </cell>
          <cell r="G349" t="str">
            <v>0550_TYP_OWN_FNDS_CNSLDTD_LVL</v>
          </cell>
          <cell r="H349" t="str">
            <v>2025-10-31</v>
          </cell>
          <cell r="I349">
            <v>8</v>
          </cell>
          <cell r="J349">
            <v>2</v>
          </cell>
          <cell r="K349" t="str">
            <v>1</v>
          </cell>
          <cell r="L349" t="str">
            <v>2025-11-13 11:33:50.993911000</v>
          </cell>
        </row>
        <row r="350">
          <cell r="A350" t="str">
            <v>B02.000550_TYP_OWN_FNDS_CNSLDTD_LVL</v>
          </cell>
          <cell r="B350" t="str">
            <v>B02.000550_TYP_OWN_FNDS_CNSLDTD_LVLVALIDADE1</v>
          </cell>
          <cell r="C350" t="str">
            <v>B02.00</v>
          </cell>
          <cell r="D350" t="str">
            <v>VALIDADE</v>
          </cell>
          <cell r="E350" t="str">
            <v>BU_LOANTAPE_WORK.OUT_B0200_MAIN_LIABILITIES</v>
          </cell>
          <cell r="F350" t="str">
            <v>N/A</v>
          </cell>
          <cell r="G350" t="str">
            <v>0550_TYP_OWN_FNDS_CNSLDTD_LVL</v>
          </cell>
          <cell r="H350" t="str">
            <v>2025-10-31</v>
          </cell>
          <cell r="I350">
            <v>8</v>
          </cell>
          <cell r="J350">
            <v>2</v>
          </cell>
          <cell r="K350" t="str">
            <v>1</v>
          </cell>
          <cell r="L350" t="str">
            <v>2025-11-13 11:33:50.993911000</v>
          </cell>
        </row>
        <row r="351">
          <cell r="A351" t="str">
            <v>B02.000550_TYP_OWN_FNDS_CNSLDTD_LVL</v>
          </cell>
          <cell r="B351" t="str">
            <v>B02.000550_TYP_OWN_FNDS_CNSLDTD_LVLCARACTERES ESPECIAIS1</v>
          </cell>
          <cell r="C351" t="str">
            <v>B02.00</v>
          </cell>
          <cell r="D351" t="str">
            <v>CARACTERES ESPECIAIS</v>
          </cell>
          <cell r="E351" t="str">
            <v>BU_LOANTAPE_WORK.OUT_B0200_MAIN_LIABILITIES</v>
          </cell>
          <cell r="F351" t="str">
            <v>N/A</v>
          </cell>
          <cell r="G351" t="str">
            <v>0550_TYP_OWN_FNDS_CNSLDTD_LVL</v>
          </cell>
          <cell r="H351" t="str">
            <v>2025-10-31</v>
          </cell>
          <cell r="I351">
            <v>8</v>
          </cell>
          <cell r="J351">
            <v>0</v>
          </cell>
          <cell r="K351" t="str">
            <v>1</v>
          </cell>
          <cell r="L351" t="str">
            <v>2025-11-13 11:33:50.993911000</v>
          </cell>
        </row>
        <row r="352">
          <cell r="A352" t="str">
            <v>B02.000550_TYP_OWN_FNDS_CNSLDTD_LVL</v>
          </cell>
          <cell r="B352" t="str">
            <v>B02.000550_TYP_OWN_FNDS_CNSLDTD_LVLMISSINGS1</v>
          </cell>
          <cell r="C352" t="str">
            <v>B02.00</v>
          </cell>
          <cell r="D352" t="str">
            <v>MISSINGS</v>
          </cell>
          <cell r="E352" t="str">
            <v>BU_LOANTAPE_WORK.OUT_B0200_MAIN_LIABILITIES</v>
          </cell>
          <cell r="F352" t="str">
            <v>N/A</v>
          </cell>
          <cell r="G352" t="str">
            <v>0550_TYP_OWN_FNDS_CNSLDTD_LVL</v>
          </cell>
          <cell r="H352" t="str">
            <v>2025-10-31</v>
          </cell>
          <cell r="I352">
            <v>8</v>
          </cell>
          <cell r="J352">
            <v>0</v>
          </cell>
          <cell r="K352" t="str">
            <v>1</v>
          </cell>
          <cell r="L352" t="str">
            <v>2025-11-13 11:33:50.993911000</v>
          </cell>
        </row>
        <row r="353">
          <cell r="A353" t="str">
            <v>B02.000550_TYP_OWN_FNDS_CNSLDTD_LVL</v>
          </cell>
          <cell r="B353" t="str">
            <v>B02.000550_TYP_OWN_FNDS_CNSLDTD_LVLNOT APPLICABLE1</v>
          </cell>
          <cell r="C353" t="str">
            <v>B02.00</v>
          </cell>
          <cell r="D353" t="str">
            <v>NOT APPLICABLE</v>
          </cell>
          <cell r="E353" t="str">
            <v>BU_LOANTAPE_WORK.OUT_B0200_MAIN_LIABILITIES</v>
          </cell>
          <cell r="F353" t="str">
            <v>N/A</v>
          </cell>
          <cell r="G353" t="str">
            <v>0550_TYP_OWN_FNDS_CNSLDTD_LVL</v>
          </cell>
          <cell r="H353" t="str">
            <v>2025-10-31</v>
          </cell>
          <cell r="I353">
            <v>8</v>
          </cell>
          <cell r="J353">
            <v>0</v>
          </cell>
          <cell r="K353" t="str">
            <v>1</v>
          </cell>
          <cell r="L353" t="str">
            <v>2025-11-13 11:33:50.993911000</v>
          </cell>
        </row>
        <row r="354">
          <cell r="A354" t="str">
            <v>B02.000560_ELGBL_AMNT_OWN_FNDS_CNSLDTD_LVL</v>
          </cell>
          <cell r="B354" t="str">
            <v>B02.000560_ELGBL_AMNT_OWN_FNDS_CNSLDTD_LVLCOERÊNCIA1</v>
          </cell>
          <cell r="C354" t="str">
            <v>B02.00</v>
          </cell>
          <cell r="D354" t="str">
            <v>COERÊNCIA</v>
          </cell>
          <cell r="E354" t="str">
            <v>BU_LOANTAPE_WORK.OUT_B0200_MAIN_LIABILITIES</v>
          </cell>
          <cell r="F354" t="str">
            <v>BU_CAPTOOLS_WORK.SIMUL_B0200</v>
          </cell>
          <cell r="G354" t="str">
            <v>0560_ELGBL_AMNT_OWN_FNDS_CNSLDTD_LVL</v>
          </cell>
          <cell r="H354" t="str">
            <v>2025-10-31</v>
          </cell>
          <cell r="I354">
            <v>8</v>
          </cell>
          <cell r="J354">
            <v>0</v>
          </cell>
          <cell r="K354" t="str">
            <v>1</v>
          </cell>
          <cell r="L354" t="str">
            <v>2025-11-13 11:33:50.993911000</v>
          </cell>
        </row>
        <row r="355">
          <cell r="A355" t="str">
            <v>B02.000560_ELGBL_AMNT_OWN_FNDS_CNSLDTD_LVL</v>
          </cell>
          <cell r="B355" t="str">
            <v>B02.000560_ELGBL_AMNT_OWN_FNDS_CNSLDTD_LVLVALIDADE1</v>
          </cell>
          <cell r="C355" t="str">
            <v>B02.00</v>
          </cell>
          <cell r="D355" t="str">
            <v>VALIDADE</v>
          </cell>
          <cell r="E355" t="str">
            <v>BU_LOANTAPE_WORK.OUT_B0200_MAIN_LIABILITIES</v>
          </cell>
          <cell r="F355" t="str">
            <v>N/A</v>
          </cell>
          <cell r="G355" t="str">
            <v>0560_ELGBL_AMNT_OWN_FNDS_CNSLDTD_LVL</v>
          </cell>
          <cell r="H355" t="str">
            <v>2025-10-31</v>
          </cell>
          <cell r="I355">
            <v>8</v>
          </cell>
          <cell r="J355">
            <v>0</v>
          </cell>
          <cell r="K355" t="str">
            <v>1</v>
          </cell>
          <cell r="L355" t="str">
            <v>2025-11-13 11:33:50.993911000</v>
          </cell>
        </row>
        <row r="356">
          <cell r="A356" t="str">
            <v>B02.000560_ELGBL_AMNT_OWN_FNDS_CNSLDTD_LVL</v>
          </cell>
          <cell r="B356" t="str">
            <v>B02.000560_ELGBL_AMNT_OWN_FNDS_CNSLDTD_LVLCARACTERES ESPECIAIS1</v>
          </cell>
          <cell r="C356" t="str">
            <v>B02.00</v>
          </cell>
          <cell r="D356" t="str">
            <v>CARACTERES ESPECIAIS</v>
          </cell>
          <cell r="E356" t="str">
            <v>BU_LOANTAPE_WORK.OUT_B0200_MAIN_LIABILITIES</v>
          </cell>
          <cell r="F356" t="str">
            <v>N/A</v>
          </cell>
          <cell r="G356" t="str">
            <v>0560_ELGBL_AMNT_OWN_FNDS_CNSLDTD_LVL</v>
          </cell>
          <cell r="H356" t="str">
            <v>2025-10-31</v>
          </cell>
          <cell r="I356">
            <v>8</v>
          </cell>
          <cell r="J356">
            <v>0</v>
          </cell>
          <cell r="K356" t="str">
            <v>1</v>
          </cell>
          <cell r="L356" t="str">
            <v>2025-11-13 11:33:50.993911000</v>
          </cell>
        </row>
        <row r="357">
          <cell r="A357" t="str">
            <v>B02.000560_ELGBL_AMNT_OWN_FNDS_CNSLDTD_LVL</v>
          </cell>
          <cell r="B357" t="str">
            <v>B02.000560_ELGBL_AMNT_OWN_FNDS_CNSLDTD_LVLMISSINGS1</v>
          </cell>
          <cell r="C357" t="str">
            <v>B02.00</v>
          </cell>
          <cell r="D357" t="str">
            <v>MISSINGS</v>
          </cell>
          <cell r="E357" t="str">
            <v>BU_LOANTAPE_WORK.OUT_B0200_MAIN_LIABILITIES</v>
          </cell>
          <cell r="F357" t="str">
            <v>N/A</v>
          </cell>
          <cell r="G357" t="str">
            <v>0560_ELGBL_AMNT_OWN_FNDS_CNSLDTD_LVL</v>
          </cell>
          <cell r="H357" t="str">
            <v>2025-10-31</v>
          </cell>
          <cell r="I357">
            <v>8</v>
          </cell>
          <cell r="J357">
            <v>0</v>
          </cell>
          <cell r="K357" t="str">
            <v>1</v>
          </cell>
          <cell r="L357" t="str">
            <v>2025-11-13 11:33:50.993911000</v>
          </cell>
        </row>
        <row r="358">
          <cell r="A358" t="str">
            <v>B02.000560_ELGBL_AMNT_OWN_FNDS_CNSLDTD_LVL</v>
          </cell>
          <cell r="B358" t="str">
            <v>B02.000560_ELGBL_AMNT_OWN_FNDS_CNSLDTD_LVLNOT APPLICABLE1</v>
          </cell>
          <cell r="C358" t="str">
            <v>B02.00</v>
          </cell>
          <cell r="D358" t="str">
            <v>NOT APPLICABLE</v>
          </cell>
          <cell r="E358" t="str">
            <v>BU_LOANTAPE_WORK.OUT_B0200_MAIN_LIABILITIES</v>
          </cell>
          <cell r="F358" t="str">
            <v>N/A</v>
          </cell>
          <cell r="G358" t="str">
            <v>0560_ELGBL_AMNT_OWN_FNDS_CNSLDTD_LVL</v>
          </cell>
          <cell r="H358" t="str">
            <v>2025-10-31</v>
          </cell>
          <cell r="I358">
            <v>8</v>
          </cell>
          <cell r="J358">
            <v>0</v>
          </cell>
          <cell r="K358" t="str">
            <v>1</v>
          </cell>
          <cell r="L358" t="str">
            <v>2025-11-13 11:33:50.993911000</v>
          </cell>
        </row>
        <row r="359">
          <cell r="A359" t="str">
            <v>B02.000570_AMNT_SCRTY_INTRST_PRVDD</v>
          </cell>
          <cell r="B359" t="str">
            <v>B02.000570_AMNT_SCRTY_INTRST_PRVDDCOERÊNCIA1</v>
          </cell>
          <cell r="C359" t="str">
            <v>B02.00</v>
          </cell>
          <cell r="D359" t="str">
            <v>COERÊNCIA</v>
          </cell>
          <cell r="E359" t="str">
            <v>BU_LOANTAPE_WORK.OUT_B0200_MAIN_LIABILITIES</v>
          </cell>
          <cell r="F359" t="str">
            <v>BU_CAPTOOLS_WORK.SIMUL_B0200</v>
          </cell>
          <cell r="G359" t="str">
            <v>0570_AMNT_SCRTY_INTRST_PRVDD</v>
          </cell>
          <cell r="H359" t="str">
            <v>2025-10-31</v>
          </cell>
          <cell r="I359">
            <v>8</v>
          </cell>
          <cell r="J359">
            <v>0</v>
          </cell>
          <cell r="K359" t="str">
            <v>1</v>
          </cell>
          <cell r="L359" t="str">
            <v>2025-11-13 11:33:50.993911000</v>
          </cell>
        </row>
        <row r="360">
          <cell r="A360" t="str">
            <v>B02.000570_AMNT_SCRTY_INTRST_PRVDD</v>
          </cell>
          <cell r="B360" t="str">
            <v>B02.000570_AMNT_SCRTY_INTRST_PRVDDVALIDADE1</v>
          </cell>
          <cell r="C360" t="str">
            <v>B02.00</v>
          </cell>
          <cell r="D360" t="str">
            <v>VALIDADE</v>
          </cell>
          <cell r="E360" t="str">
            <v>BU_LOANTAPE_WORK.OUT_B0200_MAIN_LIABILITIES</v>
          </cell>
          <cell r="F360" t="str">
            <v>N/A</v>
          </cell>
          <cell r="G360" t="str">
            <v>0570_AMNT_SCRTY_INTRST_PRVDD</v>
          </cell>
          <cell r="H360" t="str">
            <v>2025-10-31</v>
          </cell>
          <cell r="I360">
            <v>8</v>
          </cell>
          <cell r="J360">
            <v>0</v>
          </cell>
          <cell r="K360" t="str">
            <v>1</v>
          </cell>
          <cell r="L360" t="str">
            <v>2025-11-13 11:33:50.993911000</v>
          </cell>
        </row>
        <row r="361">
          <cell r="A361" t="str">
            <v>B02.000570_AMNT_SCRTY_INTRST_PRVDD</v>
          </cell>
          <cell r="B361" t="str">
            <v>B02.000570_AMNT_SCRTY_INTRST_PRVDDCARACTERES ESPECIAIS1</v>
          </cell>
          <cell r="C361" t="str">
            <v>B02.00</v>
          </cell>
          <cell r="D361" t="str">
            <v>CARACTERES ESPECIAIS</v>
          </cell>
          <cell r="E361" t="str">
            <v>BU_LOANTAPE_WORK.OUT_B0200_MAIN_LIABILITIES</v>
          </cell>
          <cell r="F361" t="str">
            <v>N/A</v>
          </cell>
          <cell r="G361" t="str">
            <v>0570_AMNT_SCRTY_INTRST_PRVDD</v>
          </cell>
          <cell r="H361" t="str">
            <v>2025-10-31</v>
          </cell>
          <cell r="I361">
            <v>8</v>
          </cell>
          <cell r="J361">
            <v>0</v>
          </cell>
          <cell r="K361" t="str">
            <v>1</v>
          </cell>
          <cell r="L361" t="str">
            <v>2025-11-13 11:33:50.993911000</v>
          </cell>
        </row>
        <row r="362">
          <cell r="A362" t="str">
            <v>B02.000570_AMNT_SCRTY_INTRST_PRVDD</v>
          </cell>
          <cell r="B362" t="str">
            <v>B02.000570_AMNT_SCRTY_INTRST_PRVDDMISSINGS1</v>
          </cell>
          <cell r="C362" t="str">
            <v>B02.00</v>
          </cell>
          <cell r="D362" t="str">
            <v>MISSINGS</v>
          </cell>
          <cell r="E362" t="str">
            <v>BU_LOANTAPE_WORK.OUT_B0200_MAIN_LIABILITIES</v>
          </cell>
          <cell r="F362" t="str">
            <v>N/A</v>
          </cell>
          <cell r="G362" t="str">
            <v>0570_AMNT_SCRTY_INTRST_PRVDD</v>
          </cell>
          <cell r="H362" t="str">
            <v>2025-10-31</v>
          </cell>
          <cell r="I362">
            <v>8</v>
          </cell>
          <cell r="J362">
            <v>0</v>
          </cell>
          <cell r="K362" t="str">
            <v>1</v>
          </cell>
          <cell r="L362" t="str">
            <v>2025-11-13 11:33:50.993911000</v>
          </cell>
        </row>
        <row r="363">
          <cell r="A363" t="str">
            <v>B02.000570_AMNT_SCRTY_INTRST_PRVDD</v>
          </cell>
          <cell r="B363" t="str">
            <v>B02.000570_AMNT_SCRTY_INTRST_PRVDDNOT APPLICABLE1</v>
          </cell>
          <cell r="C363" t="str">
            <v>B02.00</v>
          </cell>
          <cell r="D363" t="str">
            <v>NOT APPLICABLE</v>
          </cell>
          <cell r="E363" t="str">
            <v>BU_LOANTAPE_WORK.OUT_B0200_MAIN_LIABILITIES</v>
          </cell>
          <cell r="F363" t="str">
            <v>N/A</v>
          </cell>
          <cell r="G363" t="str">
            <v>0570_AMNT_SCRTY_INTRST_PRVDD</v>
          </cell>
          <cell r="H363" t="str">
            <v>2025-10-31</v>
          </cell>
          <cell r="I363">
            <v>8</v>
          </cell>
          <cell r="J363">
            <v>0</v>
          </cell>
          <cell r="K363" t="str">
            <v>1</v>
          </cell>
          <cell r="L363" t="str">
            <v>2025-11-13 11:33:50.993911000</v>
          </cell>
        </row>
        <row r="364">
          <cell r="A364" t="str">
            <v>B02.000580_SCRTY_INTRST_PRVDR</v>
          </cell>
          <cell r="B364" t="str">
            <v>B02.000580_SCRTY_INTRST_PRVDRCOERÊNCIA1</v>
          </cell>
          <cell r="C364" t="str">
            <v>B02.00</v>
          </cell>
          <cell r="D364" t="str">
            <v>COERÊNCIA</v>
          </cell>
          <cell r="E364" t="str">
            <v>BU_LOANTAPE_WORK.OUT_B0200_MAIN_LIABILITIES</v>
          </cell>
          <cell r="F364" t="str">
            <v>BU_CAPTOOLS_WORK.SIMUL_B0200</v>
          </cell>
          <cell r="G364" t="str">
            <v>0580_SCRTY_INTRST_PRVDR</v>
          </cell>
          <cell r="H364" t="str">
            <v>2025-10-31</v>
          </cell>
          <cell r="I364">
            <v>8</v>
          </cell>
          <cell r="J364">
            <v>0</v>
          </cell>
          <cell r="K364" t="str">
            <v>1</v>
          </cell>
          <cell r="L364" t="str">
            <v>2025-11-13 11:33:50.993911000</v>
          </cell>
        </row>
        <row r="365">
          <cell r="A365" t="str">
            <v>B02.000580_SCRTY_INTRST_PRVDR</v>
          </cell>
          <cell r="B365" t="str">
            <v>B02.000580_SCRTY_INTRST_PRVDRVALIDADE1</v>
          </cell>
          <cell r="C365" t="str">
            <v>B02.00</v>
          </cell>
          <cell r="D365" t="str">
            <v>VALIDADE</v>
          </cell>
          <cell r="E365" t="str">
            <v>BU_LOANTAPE_WORK.OUT_B0200_MAIN_LIABILITIES</v>
          </cell>
          <cell r="F365" t="str">
            <v>N/A</v>
          </cell>
          <cell r="G365" t="str">
            <v>0580_SCRTY_INTRST_PRVDR</v>
          </cell>
          <cell r="H365" t="str">
            <v>2025-10-31</v>
          </cell>
          <cell r="I365">
            <v>8</v>
          </cell>
          <cell r="J365">
            <v>0</v>
          </cell>
          <cell r="K365" t="str">
            <v>1</v>
          </cell>
          <cell r="L365" t="str">
            <v>2025-11-13 11:33:50.993911000</v>
          </cell>
        </row>
        <row r="366">
          <cell r="A366" t="str">
            <v>B02.000580_SCRTY_INTRST_PRVDR</v>
          </cell>
          <cell r="B366" t="str">
            <v>B02.000580_SCRTY_INTRST_PRVDRCARACTERES ESPECIAIS1</v>
          </cell>
          <cell r="C366" t="str">
            <v>B02.00</v>
          </cell>
          <cell r="D366" t="str">
            <v>CARACTERES ESPECIAIS</v>
          </cell>
          <cell r="E366" t="str">
            <v>BU_LOANTAPE_WORK.OUT_B0200_MAIN_LIABILITIES</v>
          </cell>
          <cell r="F366" t="str">
            <v>N/A</v>
          </cell>
          <cell r="G366" t="str">
            <v>0580_SCRTY_INTRST_PRVDR</v>
          </cell>
          <cell r="H366" t="str">
            <v>2025-10-31</v>
          </cell>
          <cell r="I366">
            <v>8</v>
          </cell>
          <cell r="J366">
            <v>0</v>
          </cell>
          <cell r="K366" t="str">
            <v>1</v>
          </cell>
          <cell r="L366" t="str">
            <v>2025-11-13 11:33:50.993911000</v>
          </cell>
        </row>
        <row r="367">
          <cell r="A367" t="str">
            <v>B02.000580_SCRTY_INTRST_PRVDR</v>
          </cell>
          <cell r="B367" t="str">
            <v>B02.000580_SCRTY_INTRST_PRVDRMISSINGS1</v>
          </cell>
          <cell r="C367" t="str">
            <v>B02.00</v>
          </cell>
          <cell r="D367" t="str">
            <v>MISSINGS</v>
          </cell>
          <cell r="E367" t="str">
            <v>BU_LOANTAPE_WORK.OUT_B0200_MAIN_LIABILITIES</v>
          </cell>
          <cell r="F367" t="str">
            <v>N/A</v>
          </cell>
          <cell r="G367" t="str">
            <v>0580_SCRTY_INTRST_PRVDR</v>
          </cell>
          <cell r="H367" t="str">
            <v>2025-10-31</v>
          </cell>
          <cell r="I367">
            <v>8</v>
          </cell>
          <cell r="J367">
            <v>0</v>
          </cell>
          <cell r="K367" t="str">
            <v>1</v>
          </cell>
          <cell r="L367" t="str">
            <v>2025-11-13 11:33:50.993911000</v>
          </cell>
        </row>
        <row r="368">
          <cell r="A368" t="str">
            <v>B02.000580_SCRTY_INTRST_PRVDR</v>
          </cell>
          <cell r="B368" t="str">
            <v>B02.000580_SCRTY_INTRST_PRVDRNOT APPLICABLE1</v>
          </cell>
          <cell r="C368" t="str">
            <v>B02.00</v>
          </cell>
          <cell r="D368" t="str">
            <v>NOT APPLICABLE</v>
          </cell>
          <cell r="E368" t="str">
            <v>BU_LOANTAPE_WORK.OUT_B0200_MAIN_LIABILITIES</v>
          </cell>
          <cell r="F368" t="str">
            <v>N/A</v>
          </cell>
          <cell r="G368" t="str">
            <v>0580_SCRTY_INTRST_PRVDR</v>
          </cell>
          <cell r="H368" t="str">
            <v>2025-10-31</v>
          </cell>
          <cell r="I368">
            <v>8</v>
          </cell>
          <cell r="J368">
            <v>8</v>
          </cell>
          <cell r="K368" t="str">
            <v>1</v>
          </cell>
          <cell r="L368" t="str">
            <v>2025-11-13 11:33:50.993911000</v>
          </cell>
        </row>
        <row r="369">
          <cell r="A369" t="str">
            <v>B02.000581_SCRTY_INTRST_PRVDR_LEI</v>
          </cell>
          <cell r="B369" t="str">
            <v>B02.000581_SCRTY_INTRST_PRVDR_LEICOERÊNCIA1</v>
          </cell>
          <cell r="C369" t="str">
            <v>B02.00</v>
          </cell>
          <cell r="D369" t="str">
            <v>COERÊNCIA</v>
          </cell>
          <cell r="E369" t="str">
            <v>BU_LOANTAPE_WORK.OUT_B0200_MAIN_LIABILITIES</v>
          </cell>
          <cell r="F369" t="str">
            <v>BU_CAPTOOLS_WORK.SIMUL_B0200</v>
          </cell>
          <cell r="G369" t="str">
            <v>0581_SCRTY_INTRST_PRVDR_LEI</v>
          </cell>
          <cell r="H369" t="str">
            <v>2025-10-31</v>
          </cell>
          <cell r="I369">
            <v>8</v>
          </cell>
          <cell r="J369">
            <v>0</v>
          </cell>
          <cell r="K369" t="str">
            <v>1</v>
          </cell>
          <cell r="L369" t="str">
            <v>2025-11-13 11:33:50.993911000</v>
          </cell>
        </row>
        <row r="370">
          <cell r="A370" t="str">
            <v>B02.000581_SCRTY_INTRST_PRVDR_LEI</v>
          </cell>
          <cell r="B370" t="str">
            <v>B02.000581_SCRTY_INTRST_PRVDR_LEIVALIDADE1</v>
          </cell>
          <cell r="C370" t="str">
            <v>B02.00</v>
          </cell>
          <cell r="D370" t="str">
            <v>VALIDADE</v>
          </cell>
          <cell r="E370" t="str">
            <v>BU_LOANTAPE_WORK.OUT_B0200_MAIN_LIABILITIES</v>
          </cell>
          <cell r="F370" t="str">
            <v>N/A</v>
          </cell>
          <cell r="G370" t="str">
            <v>0581_SCRTY_INTRST_PRVDR_LEI</v>
          </cell>
          <cell r="H370" t="str">
            <v>2025-10-31</v>
          </cell>
          <cell r="I370">
            <v>8</v>
          </cell>
          <cell r="J370">
            <v>0</v>
          </cell>
          <cell r="K370" t="str">
            <v>1</v>
          </cell>
          <cell r="L370" t="str">
            <v>2025-11-13 11:33:50.993911000</v>
          </cell>
        </row>
        <row r="371">
          <cell r="A371" t="str">
            <v>B02.000581_SCRTY_INTRST_PRVDR_LEI</v>
          </cell>
          <cell r="B371" t="str">
            <v>B02.000581_SCRTY_INTRST_PRVDR_LEICARACTERES ESPECIAIS1</v>
          </cell>
          <cell r="C371" t="str">
            <v>B02.00</v>
          </cell>
          <cell r="D371" t="str">
            <v>CARACTERES ESPECIAIS</v>
          </cell>
          <cell r="E371" t="str">
            <v>BU_LOANTAPE_WORK.OUT_B0200_MAIN_LIABILITIES</v>
          </cell>
          <cell r="F371" t="str">
            <v>N/A</v>
          </cell>
          <cell r="G371" t="str">
            <v>0581_SCRTY_INTRST_PRVDR_LEI</v>
          </cell>
          <cell r="H371" t="str">
            <v>2025-10-31</v>
          </cell>
          <cell r="I371">
            <v>8</v>
          </cell>
          <cell r="J371">
            <v>0</v>
          </cell>
          <cell r="K371" t="str">
            <v>1</v>
          </cell>
          <cell r="L371" t="str">
            <v>2025-11-13 11:33:50.993911000</v>
          </cell>
        </row>
        <row r="372">
          <cell r="A372" t="str">
            <v>B02.000581_SCRTY_INTRST_PRVDR_LEI</v>
          </cell>
          <cell r="B372" t="str">
            <v>B02.000581_SCRTY_INTRST_PRVDR_LEIMISSINGS1</v>
          </cell>
          <cell r="C372" t="str">
            <v>B02.00</v>
          </cell>
          <cell r="D372" t="str">
            <v>MISSINGS</v>
          </cell>
          <cell r="E372" t="str">
            <v>BU_LOANTAPE_WORK.OUT_B0200_MAIN_LIABILITIES</v>
          </cell>
          <cell r="F372" t="str">
            <v>N/A</v>
          </cell>
          <cell r="G372" t="str">
            <v>0581_SCRTY_INTRST_PRVDR_LEI</v>
          </cell>
          <cell r="H372" t="str">
            <v>2025-10-31</v>
          </cell>
          <cell r="I372">
            <v>8</v>
          </cell>
          <cell r="J372">
            <v>0</v>
          </cell>
          <cell r="K372" t="str">
            <v>1</v>
          </cell>
          <cell r="L372" t="str">
            <v>2025-11-13 11:33:50.993911000</v>
          </cell>
        </row>
        <row r="373">
          <cell r="A373" t="str">
            <v>B02.000581_SCRTY_INTRST_PRVDR_LEI</v>
          </cell>
          <cell r="B373" t="str">
            <v>B02.000581_SCRTY_INTRST_PRVDR_LEINOT APPLICABLE1</v>
          </cell>
          <cell r="C373" t="str">
            <v>B02.00</v>
          </cell>
          <cell r="D373" t="str">
            <v>NOT APPLICABLE</v>
          </cell>
          <cell r="E373" t="str">
            <v>BU_LOANTAPE_WORK.OUT_B0200_MAIN_LIABILITIES</v>
          </cell>
          <cell r="F373" t="str">
            <v>N/A</v>
          </cell>
          <cell r="G373" t="str">
            <v>0581_SCRTY_INTRST_PRVDR_LEI</v>
          </cell>
          <cell r="H373" t="str">
            <v>2025-10-31</v>
          </cell>
          <cell r="I373">
            <v>8</v>
          </cell>
          <cell r="J373">
            <v>8</v>
          </cell>
          <cell r="K373" t="str">
            <v>1</v>
          </cell>
          <cell r="L373" t="str">
            <v>2025-11-13 11:33:50.993911000</v>
          </cell>
        </row>
        <row r="374">
          <cell r="A374" t="str">
            <v>B02.000590_TYP_SCRTY_INTRST_PRVDD</v>
          </cell>
          <cell r="B374" t="str">
            <v>B02.000590_TYP_SCRTY_INTRST_PRVDDCOERÊNCIA1</v>
          </cell>
          <cell r="C374" t="str">
            <v>B02.00</v>
          </cell>
          <cell r="D374" t="str">
            <v>COERÊNCIA</v>
          </cell>
          <cell r="E374" t="str">
            <v>BU_LOANTAPE_WORK.OUT_B0200_MAIN_LIABILITIES</v>
          </cell>
          <cell r="F374" t="str">
            <v>BU_CAPTOOLS_WORK.SIMUL_B0200</v>
          </cell>
          <cell r="G374" t="str">
            <v>0590_TYP_SCRTY_INTRST_PRVDD</v>
          </cell>
          <cell r="H374" t="str">
            <v>2025-10-31</v>
          </cell>
          <cell r="I374">
            <v>8</v>
          </cell>
          <cell r="J374">
            <v>0</v>
          </cell>
          <cell r="K374" t="str">
            <v>1</v>
          </cell>
          <cell r="L374" t="str">
            <v>2025-11-13 11:33:50.993911000</v>
          </cell>
        </row>
        <row r="375">
          <cell r="A375" t="str">
            <v>B02.000590_TYP_SCRTY_INTRST_PRVDD</v>
          </cell>
          <cell r="B375" t="str">
            <v>B02.000590_TYP_SCRTY_INTRST_PRVDDVALIDADE1</v>
          </cell>
          <cell r="C375" t="str">
            <v>B02.00</v>
          </cell>
          <cell r="D375" t="str">
            <v>VALIDADE</v>
          </cell>
          <cell r="E375" t="str">
            <v>BU_LOANTAPE_WORK.OUT_B0200_MAIN_LIABILITIES</v>
          </cell>
          <cell r="F375" t="str">
            <v>N/A</v>
          </cell>
          <cell r="G375" t="str">
            <v>0590_TYP_SCRTY_INTRST_PRVDD</v>
          </cell>
          <cell r="H375" t="str">
            <v>2025-10-31</v>
          </cell>
          <cell r="I375">
            <v>8</v>
          </cell>
          <cell r="J375">
            <v>0</v>
          </cell>
          <cell r="K375" t="str">
            <v>1</v>
          </cell>
          <cell r="L375" t="str">
            <v>2025-11-13 11:33:50.993911000</v>
          </cell>
        </row>
        <row r="376">
          <cell r="A376" t="str">
            <v>B02.000590_TYP_SCRTY_INTRST_PRVDD</v>
          </cell>
          <cell r="B376" t="str">
            <v>B02.000590_TYP_SCRTY_INTRST_PRVDDCARACTERES ESPECIAIS1</v>
          </cell>
          <cell r="C376" t="str">
            <v>B02.00</v>
          </cell>
          <cell r="D376" t="str">
            <v>CARACTERES ESPECIAIS</v>
          </cell>
          <cell r="E376" t="str">
            <v>BU_LOANTAPE_WORK.OUT_B0200_MAIN_LIABILITIES</v>
          </cell>
          <cell r="F376" t="str">
            <v>N/A</v>
          </cell>
          <cell r="G376" t="str">
            <v>0590_TYP_SCRTY_INTRST_PRVDD</v>
          </cell>
          <cell r="H376" t="str">
            <v>2025-10-31</v>
          </cell>
          <cell r="I376">
            <v>8</v>
          </cell>
          <cell r="J376">
            <v>0</v>
          </cell>
          <cell r="K376" t="str">
            <v>1</v>
          </cell>
          <cell r="L376" t="str">
            <v>2025-11-13 11:33:50.993911000</v>
          </cell>
        </row>
        <row r="377">
          <cell r="A377" t="str">
            <v>B02.000590_TYP_SCRTY_INTRST_PRVDD</v>
          </cell>
          <cell r="B377" t="str">
            <v>B02.000590_TYP_SCRTY_INTRST_PRVDDMISSINGS1</v>
          </cell>
          <cell r="C377" t="str">
            <v>B02.00</v>
          </cell>
          <cell r="D377" t="str">
            <v>MISSINGS</v>
          </cell>
          <cell r="E377" t="str">
            <v>BU_LOANTAPE_WORK.OUT_B0200_MAIN_LIABILITIES</v>
          </cell>
          <cell r="F377" t="str">
            <v>N/A</v>
          </cell>
          <cell r="G377" t="str">
            <v>0590_TYP_SCRTY_INTRST_PRVDD</v>
          </cell>
          <cell r="H377" t="str">
            <v>2025-10-31</v>
          </cell>
          <cell r="I377">
            <v>8</v>
          </cell>
          <cell r="J377">
            <v>0</v>
          </cell>
          <cell r="K377" t="str">
            <v>1</v>
          </cell>
          <cell r="L377" t="str">
            <v>2025-11-13 11:33:50.993911000</v>
          </cell>
        </row>
        <row r="378">
          <cell r="A378" t="str">
            <v>B02.000590_TYP_SCRTY_INTRST_PRVDD</v>
          </cell>
          <cell r="B378" t="str">
            <v>B02.000590_TYP_SCRTY_INTRST_PRVDDNOT APPLICABLE1</v>
          </cell>
          <cell r="C378" t="str">
            <v>B02.00</v>
          </cell>
          <cell r="D378" t="str">
            <v>NOT APPLICABLE</v>
          </cell>
          <cell r="E378" t="str">
            <v>BU_LOANTAPE_WORK.OUT_B0200_MAIN_LIABILITIES</v>
          </cell>
          <cell r="F378" t="str">
            <v>N/A</v>
          </cell>
          <cell r="G378" t="str">
            <v>0590_TYP_SCRTY_INTRST_PRVDD</v>
          </cell>
          <cell r="H378" t="str">
            <v>2025-10-31</v>
          </cell>
          <cell r="I378">
            <v>8</v>
          </cell>
          <cell r="J378">
            <v>8</v>
          </cell>
          <cell r="K378" t="str">
            <v>1</v>
          </cell>
          <cell r="L378" t="str">
            <v>2025-11-13 11:33:50.993911000</v>
          </cell>
        </row>
        <row r="379">
          <cell r="A379" t="str">
            <v>B02.000600_FLG_CLLTRL_ASST_PSTN</v>
          </cell>
          <cell r="B379" t="str">
            <v>B02.000600_FLG_CLLTRL_ASST_PSTNCOERÊNCIA1</v>
          </cell>
          <cell r="C379" t="str">
            <v>B02.00</v>
          </cell>
          <cell r="D379" t="str">
            <v>COERÊNCIA</v>
          </cell>
          <cell r="E379" t="str">
            <v>BU_LOANTAPE_WORK.OUT_B0200_MAIN_LIABILITIES</v>
          </cell>
          <cell r="F379" t="str">
            <v>BU_CAPTOOLS_WORK.SIMUL_B0200</v>
          </cell>
          <cell r="G379" t="str">
            <v>0600_FLG_CLLTRL_ASST_PSTN</v>
          </cell>
          <cell r="H379" t="str">
            <v>2025-10-31</v>
          </cell>
          <cell r="I379">
            <v>8</v>
          </cell>
          <cell r="J379">
            <v>0</v>
          </cell>
          <cell r="K379" t="str">
            <v>1</v>
          </cell>
          <cell r="L379" t="str">
            <v>2025-11-13 11:33:50.993911000</v>
          </cell>
        </row>
        <row r="380">
          <cell r="A380" t="str">
            <v>B02.000600_FLG_CLLTRL_ASST_PSTN</v>
          </cell>
          <cell r="B380" t="str">
            <v>B02.000600_FLG_CLLTRL_ASST_PSTNVALIDADE1</v>
          </cell>
          <cell r="C380" t="str">
            <v>B02.00</v>
          </cell>
          <cell r="D380" t="str">
            <v>VALIDADE</v>
          </cell>
          <cell r="E380" t="str">
            <v>BU_LOANTAPE_WORK.OUT_B0200_MAIN_LIABILITIES</v>
          </cell>
          <cell r="F380" t="str">
            <v>N/A</v>
          </cell>
          <cell r="G380" t="str">
            <v>0600_FLG_CLLTRL_ASST_PSTN</v>
          </cell>
          <cell r="H380" t="str">
            <v>2025-10-31</v>
          </cell>
          <cell r="I380">
            <v>8</v>
          </cell>
          <cell r="J380">
            <v>0</v>
          </cell>
          <cell r="K380" t="str">
            <v>1</v>
          </cell>
          <cell r="L380" t="str">
            <v>2025-11-13 11:33:50.993911000</v>
          </cell>
        </row>
        <row r="381">
          <cell r="A381" t="str">
            <v>B02.000600_FLG_CLLTRL_ASST_PSTN</v>
          </cell>
          <cell r="B381" t="str">
            <v>B02.000600_FLG_CLLTRL_ASST_PSTNCARACTERES ESPECIAIS1</v>
          </cell>
          <cell r="C381" t="str">
            <v>B02.00</v>
          </cell>
          <cell r="D381" t="str">
            <v>CARACTERES ESPECIAIS</v>
          </cell>
          <cell r="E381" t="str">
            <v>BU_LOANTAPE_WORK.OUT_B0200_MAIN_LIABILITIES</v>
          </cell>
          <cell r="F381" t="str">
            <v>N/A</v>
          </cell>
          <cell r="G381" t="str">
            <v>0600_FLG_CLLTRL_ASST_PSTN</v>
          </cell>
          <cell r="H381" t="str">
            <v>2025-10-31</v>
          </cell>
          <cell r="I381">
            <v>8</v>
          </cell>
          <cell r="J381">
            <v>0</v>
          </cell>
          <cell r="K381" t="str">
            <v>1</v>
          </cell>
          <cell r="L381" t="str">
            <v>2025-11-13 11:33:50.993911000</v>
          </cell>
        </row>
        <row r="382">
          <cell r="A382" t="str">
            <v>B02.000600_FLG_CLLTRL_ASST_PSTN</v>
          </cell>
          <cell r="B382" t="str">
            <v>B02.000600_FLG_CLLTRL_ASST_PSTNMISSINGS1</v>
          </cell>
          <cell r="C382" t="str">
            <v>B02.00</v>
          </cell>
          <cell r="D382" t="str">
            <v>MISSINGS</v>
          </cell>
          <cell r="E382" t="str">
            <v>BU_LOANTAPE_WORK.OUT_B0200_MAIN_LIABILITIES</v>
          </cell>
          <cell r="F382" t="str">
            <v>N/A</v>
          </cell>
          <cell r="G382" t="str">
            <v>0600_FLG_CLLTRL_ASST_PSTN</v>
          </cell>
          <cell r="H382" t="str">
            <v>2025-10-31</v>
          </cell>
          <cell r="I382">
            <v>8</v>
          </cell>
          <cell r="J382">
            <v>0</v>
          </cell>
          <cell r="K382" t="str">
            <v>1</v>
          </cell>
          <cell r="L382" t="str">
            <v>2025-11-13 11:33:50.993911000</v>
          </cell>
        </row>
        <row r="383">
          <cell r="A383" t="str">
            <v>B02.000600_FLG_CLLTRL_ASST_PSTN</v>
          </cell>
          <cell r="B383" t="str">
            <v>B02.000600_FLG_CLLTRL_ASST_PSTNNOT APPLICABLE1</v>
          </cell>
          <cell r="C383" t="str">
            <v>B02.00</v>
          </cell>
          <cell r="D383" t="str">
            <v>NOT APPLICABLE</v>
          </cell>
          <cell r="E383" t="str">
            <v>BU_LOANTAPE_WORK.OUT_B0200_MAIN_LIABILITIES</v>
          </cell>
          <cell r="F383" t="str">
            <v>N/A</v>
          </cell>
          <cell r="G383" t="str">
            <v>0600_FLG_CLLTRL_ASST_PSTN</v>
          </cell>
          <cell r="H383" t="str">
            <v>2025-10-31</v>
          </cell>
          <cell r="I383">
            <v>8</v>
          </cell>
          <cell r="J383">
            <v>0</v>
          </cell>
          <cell r="K383" t="str">
            <v>1</v>
          </cell>
          <cell r="L383" t="str">
            <v>2025-11-13 11:33:50.993911000</v>
          </cell>
        </row>
        <row r="384">
          <cell r="A384" t="str">
            <v>B02.000610_CRRYNG_AMNT_IFRS</v>
          </cell>
          <cell r="B384" t="str">
            <v>B02.000610_CRRYNG_AMNT_IFRSCOERÊNCIA1</v>
          </cell>
          <cell r="C384" t="str">
            <v>B02.00</v>
          </cell>
          <cell r="D384" t="str">
            <v>COERÊNCIA</v>
          </cell>
          <cell r="E384" t="str">
            <v>BU_LOANTAPE_WORK.OUT_B0200_MAIN_LIABILITIES</v>
          </cell>
          <cell r="F384" t="str">
            <v>BU_CAPTOOLS_WORK.SIMUL_B0200</v>
          </cell>
          <cell r="G384" t="str">
            <v>0610_CRRYNG_AMNT_IFRS</v>
          </cell>
          <cell r="H384" t="str">
            <v>2025-10-31</v>
          </cell>
          <cell r="I384">
            <v>8</v>
          </cell>
          <cell r="J384">
            <v>8</v>
          </cell>
          <cell r="K384" t="str">
            <v>1</v>
          </cell>
          <cell r="L384" t="str">
            <v>2025-11-13 11:33:50.993911000</v>
          </cell>
        </row>
        <row r="385">
          <cell r="A385" t="str">
            <v>B02.000610_CRRYNG_AMNT_IFRS</v>
          </cell>
          <cell r="B385" t="str">
            <v>B02.000610_CRRYNG_AMNT_IFRSVALIDADE1</v>
          </cell>
          <cell r="C385" t="str">
            <v>B02.00</v>
          </cell>
          <cell r="D385" t="str">
            <v>VALIDADE</v>
          </cell>
          <cell r="E385" t="str">
            <v>BU_LOANTAPE_WORK.OUT_B0200_MAIN_LIABILITIES</v>
          </cell>
          <cell r="F385" t="str">
            <v>N/A</v>
          </cell>
          <cell r="G385" t="str">
            <v>0610_CRRYNG_AMNT_IFRS</v>
          </cell>
          <cell r="H385" t="str">
            <v>2025-10-31</v>
          </cell>
          <cell r="I385">
            <v>8</v>
          </cell>
          <cell r="J385">
            <v>0</v>
          </cell>
          <cell r="K385" t="str">
            <v>1</v>
          </cell>
          <cell r="L385" t="str">
            <v>2025-11-13 11:33:50.993911000</v>
          </cell>
        </row>
        <row r="386">
          <cell r="A386" t="str">
            <v>B02.000610_CRRYNG_AMNT_IFRS</v>
          </cell>
          <cell r="B386" t="str">
            <v>B02.000610_CRRYNG_AMNT_IFRSCARACTERES ESPECIAIS1</v>
          </cell>
          <cell r="C386" t="str">
            <v>B02.00</v>
          </cell>
          <cell r="D386" t="str">
            <v>CARACTERES ESPECIAIS</v>
          </cell>
          <cell r="E386" t="str">
            <v>BU_LOANTAPE_WORK.OUT_B0200_MAIN_LIABILITIES</v>
          </cell>
          <cell r="F386" t="str">
            <v>N/A</v>
          </cell>
          <cell r="G386" t="str">
            <v>0610_CRRYNG_AMNT_IFRS</v>
          </cell>
          <cell r="H386" t="str">
            <v>2025-10-31</v>
          </cell>
          <cell r="I386">
            <v>8</v>
          </cell>
          <cell r="J386">
            <v>0</v>
          </cell>
          <cell r="K386" t="str">
            <v>1</v>
          </cell>
          <cell r="L386" t="str">
            <v>2025-11-13 11:33:50.993911000</v>
          </cell>
        </row>
        <row r="387">
          <cell r="A387" t="str">
            <v>B02.000610_CRRYNG_AMNT_IFRS</v>
          </cell>
          <cell r="B387" t="str">
            <v>B02.000610_CRRYNG_AMNT_IFRSMISSINGS1</v>
          </cell>
          <cell r="C387" t="str">
            <v>B02.00</v>
          </cell>
          <cell r="D387" t="str">
            <v>MISSINGS</v>
          </cell>
          <cell r="E387" t="str">
            <v>BU_LOANTAPE_WORK.OUT_B0200_MAIN_LIABILITIES</v>
          </cell>
          <cell r="F387" t="str">
            <v>N/A</v>
          </cell>
          <cell r="G387" t="str">
            <v>0610_CRRYNG_AMNT_IFRS</v>
          </cell>
          <cell r="H387" t="str">
            <v>2025-10-31</v>
          </cell>
          <cell r="I387">
            <v>8</v>
          </cell>
          <cell r="J387">
            <v>0</v>
          </cell>
          <cell r="K387" t="str">
            <v>1</v>
          </cell>
          <cell r="L387" t="str">
            <v>2025-11-13 11:33:50.993911000</v>
          </cell>
        </row>
        <row r="388">
          <cell r="A388" t="str">
            <v>B02.000610_CRRYNG_AMNT_IFRS</v>
          </cell>
          <cell r="B388" t="str">
            <v>B02.000610_CRRYNG_AMNT_IFRSNOT APPLICABLE1</v>
          </cell>
          <cell r="C388" t="str">
            <v>B02.00</v>
          </cell>
          <cell r="D388" t="str">
            <v>NOT APPLICABLE</v>
          </cell>
          <cell r="E388" t="str">
            <v>BU_LOANTAPE_WORK.OUT_B0200_MAIN_LIABILITIES</v>
          </cell>
          <cell r="F388" t="str">
            <v>N/A</v>
          </cell>
          <cell r="G388" t="str">
            <v>0610_CRRYNG_AMNT_IFRS</v>
          </cell>
          <cell r="H388" t="str">
            <v>2025-10-31</v>
          </cell>
          <cell r="I388">
            <v>8</v>
          </cell>
          <cell r="J388">
            <v>0</v>
          </cell>
          <cell r="K388" t="str">
            <v>1</v>
          </cell>
          <cell r="L388" t="str">
            <v>2025-11-13 11:33:50.993911000</v>
          </cell>
        </row>
        <row r="389">
          <cell r="A389" t="str">
            <v>B02.000620_BLNC_SHT_IFRS</v>
          </cell>
          <cell r="B389" t="str">
            <v>B02.000620_BLNC_SHT_IFRSCOERÊNCIA1</v>
          </cell>
          <cell r="C389" t="str">
            <v>B02.00</v>
          </cell>
          <cell r="D389" t="str">
            <v>COERÊNCIA</v>
          </cell>
          <cell r="E389" t="str">
            <v>BU_LOANTAPE_WORK.OUT_B0200_MAIN_LIABILITIES</v>
          </cell>
          <cell r="F389" t="str">
            <v>BU_CAPTOOLS_WORK.SIMUL_B0200</v>
          </cell>
          <cell r="G389" t="str">
            <v>0620_BLNC_SHT_IFRS</v>
          </cell>
          <cell r="H389" t="str">
            <v>2025-10-31</v>
          </cell>
          <cell r="I389">
            <v>8</v>
          </cell>
          <cell r="J389">
            <v>8</v>
          </cell>
          <cell r="K389" t="str">
            <v>1</v>
          </cell>
          <cell r="L389" t="str">
            <v>2025-11-13 11:33:50.993911000</v>
          </cell>
        </row>
        <row r="390">
          <cell r="A390" t="str">
            <v>B02.000620_BLNC_SHT_IFRS</v>
          </cell>
          <cell r="B390" t="str">
            <v>B02.000620_BLNC_SHT_IFRSVALIDADE1</v>
          </cell>
          <cell r="C390" t="str">
            <v>B02.00</v>
          </cell>
          <cell r="D390" t="str">
            <v>VALIDADE</v>
          </cell>
          <cell r="E390" t="str">
            <v>BU_LOANTAPE_WORK.OUT_B0200_MAIN_LIABILITIES</v>
          </cell>
          <cell r="F390" t="str">
            <v>N/A</v>
          </cell>
          <cell r="G390" t="str">
            <v>0620_BLNC_SHT_IFRS</v>
          </cell>
          <cell r="H390" t="str">
            <v>2025-10-31</v>
          </cell>
          <cell r="I390">
            <v>8</v>
          </cell>
          <cell r="J390">
            <v>0</v>
          </cell>
          <cell r="K390" t="str">
            <v>1</v>
          </cell>
          <cell r="L390" t="str">
            <v>2025-11-13 11:33:50.993911000</v>
          </cell>
        </row>
        <row r="391">
          <cell r="A391" t="str">
            <v>B02.000620_BLNC_SHT_IFRS</v>
          </cell>
          <cell r="B391" t="str">
            <v>B02.000620_BLNC_SHT_IFRSCARACTERES ESPECIAIS1</v>
          </cell>
          <cell r="C391" t="str">
            <v>B02.00</v>
          </cell>
          <cell r="D391" t="str">
            <v>CARACTERES ESPECIAIS</v>
          </cell>
          <cell r="E391" t="str">
            <v>BU_LOANTAPE_WORK.OUT_B0200_MAIN_LIABILITIES</v>
          </cell>
          <cell r="F391" t="str">
            <v>N/A</v>
          </cell>
          <cell r="G391" t="str">
            <v>0620_BLNC_SHT_IFRS</v>
          </cell>
          <cell r="H391" t="str">
            <v>2025-10-31</v>
          </cell>
          <cell r="I391">
            <v>8</v>
          </cell>
          <cell r="J391">
            <v>0</v>
          </cell>
          <cell r="K391" t="str">
            <v>1</v>
          </cell>
          <cell r="L391" t="str">
            <v>2025-11-13 11:33:50.993911000</v>
          </cell>
        </row>
        <row r="392">
          <cell r="A392" t="str">
            <v>B02.000620_BLNC_SHT_IFRS</v>
          </cell>
          <cell r="B392" t="str">
            <v>B02.000620_BLNC_SHT_IFRSMISSINGS1</v>
          </cell>
          <cell r="C392" t="str">
            <v>B02.00</v>
          </cell>
          <cell r="D392" t="str">
            <v>MISSINGS</v>
          </cell>
          <cell r="E392" t="str">
            <v>BU_LOANTAPE_WORK.OUT_B0200_MAIN_LIABILITIES</v>
          </cell>
          <cell r="F392" t="str">
            <v>N/A</v>
          </cell>
          <cell r="G392" t="str">
            <v>0620_BLNC_SHT_IFRS</v>
          </cell>
          <cell r="H392" t="str">
            <v>2025-10-31</v>
          </cell>
          <cell r="I392">
            <v>8</v>
          </cell>
          <cell r="J392">
            <v>0</v>
          </cell>
          <cell r="K392" t="str">
            <v>1</v>
          </cell>
          <cell r="L392" t="str">
            <v>2025-11-13 11:33:50.993911000</v>
          </cell>
        </row>
        <row r="393">
          <cell r="A393" t="str">
            <v>B02.000620_BLNC_SHT_IFRS</v>
          </cell>
          <cell r="B393" t="str">
            <v>B02.000620_BLNC_SHT_IFRSNOT APPLICABLE1</v>
          </cell>
          <cell r="C393" t="str">
            <v>B02.00</v>
          </cell>
          <cell r="D393" t="str">
            <v>NOT APPLICABLE</v>
          </cell>
          <cell r="E393" t="str">
            <v>BU_LOANTAPE_WORK.OUT_B0200_MAIN_LIABILITIES</v>
          </cell>
          <cell r="F393" t="str">
            <v>N/A</v>
          </cell>
          <cell r="G393" t="str">
            <v>0620_BLNC_SHT_IFRS</v>
          </cell>
          <cell r="H393" t="str">
            <v>2025-10-31</v>
          </cell>
          <cell r="I393">
            <v>8</v>
          </cell>
          <cell r="J393">
            <v>0</v>
          </cell>
          <cell r="K393" t="str">
            <v>1</v>
          </cell>
          <cell r="L393" t="str">
            <v>2025-11-13 11:33:50.993911000</v>
          </cell>
        </row>
        <row r="394">
          <cell r="A394" t="str">
            <v>B02.000630_CRRYING_AMNT_NGAAP</v>
          </cell>
          <cell r="B394" t="str">
            <v>B02.000630_CRRYING_AMNT_NGAAPCOERÊNCIA1</v>
          </cell>
          <cell r="C394" t="str">
            <v>B02.00</v>
          </cell>
          <cell r="D394" t="str">
            <v>COERÊNCIA</v>
          </cell>
          <cell r="E394" t="str">
            <v>BU_LOANTAPE_WORK.OUT_B0200_MAIN_LIABILITIES</v>
          </cell>
          <cell r="F394" t="str">
            <v>BU_CAPTOOLS_WORK.SIMUL_B0200</v>
          </cell>
          <cell r="G394" t="str">
            <v>0630_CRRYING_AMNT_NGAAP</v>
          </cell>
          <cell r="H394" t="str">
            <v>2025-10-31</v>
          </cell>
          <cell r="I394">
            <v>8</v>
          </cell>
          <cell r="J394">
            <v>0</v>
          </cell>
          <cell r="K394" t="str">
            <v>1</v>
          </cell>
          <cell r="L394" t="str">
            <v>2025-11-13 11:33:50.993911000</v>
          </cell>
        </row>
        <row r="395">
          <cell r="A395" t="str">
            <v>B02.000630_CRRYING_AMNT_NGAAP</v>
          </cell>
          <cell r="B395" t="str">
            <v>B02.000630_CRRYING_AMNT_NGAAPVALIDADE1</v>
          </cell>
          <cell r="C395" t="str">
            <v>B02.00</v>
          </cell>
          <cell r="D395" t="str">
            <v>VALIDADE</v>
          </cell>
          <cell r="E395" t="str">
            <v>BU_LOANTAPE_WORK.OUT_B0200_MAIN_LIABILITIES</v>
          </cell>
          <cell r="F395" t="str">
            <v>N/A</v>
          </cell>
          <cell r="G395" t="str">
            <v>0630_CRRYING_AMNT_NGAAP</v>
          </cell>
          <cell r="H395" t="str">
            <v>2025-10-31</v>
          </cell>
          <cell r="I395">
            <v>8</v>
          </cell>
          <cell r="J395">
            <v>0</v>
          </cell>
          <cell r="K395" t="str">
            <v>1</v>
          </cell>
          <cell r="L395" t="str">
            <v>2025-11-13 11:33:50.993911000</v>
          </cell>
        </row>
        <row r="396">
          <cell r="A396" t="str">
            <v>B02.000630_CRRYING_AMNT_NGAAP</v>
          </cell>
          <cell r="B396" t="str">
            <v>B02.000630_CRRYING_AMNT_NGAAPCARACTERES ESPECIAIS1</v>
          </cell>
          <cell r="C396" t="str">
            <v>B02.00</v>
          </cell>
          <cell r="D396" t="str">
            <v>CARACTERES ESPECIAIS</v>
          </cell>
          <cell r="E396" t="str">
            <v>BU_LOANTAPE_WORK.OUT_B0200_MAIN_LIABILITIES</v>
          </cell>
          <cell r="F396" t="str">
            <v>N/A</v>
          </cell>
          <cell r="G396" t="str">
            <v>0630_CRRYING_AMNT_NGAAP</v>
          </cell>
          <cell r="H396" t="str">
            <v>2025-10-31</v>
          </cell>
          <cell r="I396">
            <v>8</v>
          </cell>
          <cell r="J396">
            <v>0</v>
          </cell>
          <cell r="K396" t="str">
            <v>1</v>
          </cell>
          <cell r="L396" t="str">
            <v>2025-11-13 11:33:50.993911000</v>
          </cell>
        </row>
        <row r="397">
          <cell r="A397" t="str">
            <v>B02.000630_CRRYING_AMNT_NGAAP</v>
          </cell>
          <cell r="B397" t="str">
            <v>B02.000630_CRRYING_AMNT_NGAAPMISSINGS1</v>
          </cell>
          <cell r="C397" t="str">
            <v>B02.00</v>
          </cell>
          <cell r="D397" t="str">
            <v>MISSINGS</v>
          </cell>
          <cell r="E397" t="str">
            <v>BU_LOANTAPE_WORK.OUT_B0200_MAIN_LIABILITIES</v>
          </cell>
          <cell r="F397" t="str">
            <v>N/A</v>
          </cell>
          <cell r="G397" t="str">
            <v>0630_CRRYING_AMNT_NGAAP</v>
          </cell>
          <cell r="H397" t="str">
            <v>2025-10-31</v>
          </cell>
          <cell r="I397">
            <v>8</v>
          </cell>
          <cell r="J397">
            <v>0</v>
          </cell>
          <cell r="K397" t="str">
            <v>1</v>
          </cell>
          <cell r="L397" t="str">
            <v>2025-11-13 11:33:50.993911000</v>
          </cell>
        </row>
        <row r="398">
          <cell r="A398" t="str">
            <v>B02.000630_CRRYING_AMNT_NGAAP</v>
          </cell>
          <cell r="B398" t="str">
            <v>B02.000630_CRRYING_AMNT_NGAAPNOT APPLICABLE1</v>
          </cell>
          <cell r="C398" t="str">
            <v>B02.00</v>
          </cell>
          <cell r="D398" t="str">
            <v>NOT APPLICABLE</v>
          </cell>
          <cell r="E398" t="str">
            <v>BU_LOANTAPE_WORK.OUT_B0200_MAIN_LIABILITIES</v>
          </cell>
          <cell r="F398" t="str">
            <v>N/A</v>
          </cell>
          <cell r="G398" t="str">
            <v>0630_CRRYING_AMNT_NGAAP</v>
          </cell>
          <cell r="H398" t="str">
            <v>2025-10-31</v>
          </cell>
          <cell r="I398">
            <v>8</v>
          </cell>
          <cell r="J398">
            <v>0</v>
          </cell>
          <cell r="K398" t="str">
            <v>1</v>
          </cell>
          <cell r="L398" t="str">
            <v>2025-11-13 11:33:50.993911000</v>
          </cell>
        </row>
        <row r="399">
          <cell r="A399" t="str">
            <v>B02.000640_BLNC_SHT_NGAAP</v>
          </cell>
          <cell r="B399" t="str">
            <v>B02.000640_BLNC_SHT_NGAAPCOERÊNCIA1</v>
          </cell>
          <cell r="C399" t="str">
            <v>B02.00</v>
          </cell>
          <cell r="D399" t="str">
            <v>COERÊNCIA</v>
          </cell>
          <cell r="E399" t="str">
            <v>BU_LOANTAPE_WORK.OUT_B0200_MAIN_LIABILITIES</v>
          </cell>
          <cell r="F399" t="str">
            <v>BU_CAPTOOLS_WORK.SIMUL_B0200</v>
          </cell>
          <cell r="G399" t="str">
            <v>0640_BLNC_SHT_NGAAP</v>
          </cell>
          <cell r="H399" t="str">
            <v>2025-10-31</v>
          </cell>
          <cell r="I399">
            <v>8</v>
          </cell>
          <cell r="J399">
            <v>0</v>
          </cell>
          <cell r="K399" t="str">
            <v>1</v>
          </cell>
          <cell r="L399" t="str">
            <v>2025-11-13 11:33:50.993911000</v>
          </cell>
        </row>
        <row r="400">
          <cell r="A400" t="str">
            <v>B02.000640_BLNC_SHT_NGAAP</v>
          </cell>
          <cell r="B400" t="str">
            <v>B02.000640_BLNC_SHT_NGAAPVALIDADE1</v>
          </cell>
          <cell r="C400" t="str">
            <v>B02.00</v>
          </cell>
          <cell r="D400" t="str">
            <v>VALIDADE</v>
          </cell>
          <cell r="E400" t="str">
            <v>BU_LOANTAPE_WORK.OUT_B0200_MAIN_LIABILITIES</v>
          </cell>
          <cell r="F400" t="str">
            <v>N/A</v>
          </cell>
          <cell r="G400" t="str">
            <v>0640_BLNC_SHT_NGAAP</v>
          </cell>
          <cell r="H400" t="str">
            <v>2025-10-31</v>
          </cell>
          <cell r="I400">
            <v>8</v>
          </cell>
          <cell r="J400">
            <v>0</v>
          </cell>
          <cell r="K400" t="str">
            <v>1</v>
          </cell>
          <cell r="L400" t="str">
            <v>2025-11-13 11:33:50.993911000</v>
          </cell>
        </row>
        <row r="401">
          <cell r="A401" t="str">
            <v>B02.000640_BLNC_SHT_NGAAP</v>
          </cell>
          <cell r="B401" t="str">
            <v>B02.000640_BLNC_SHT_NGAAPCARACTERES ESPECIAIS1</v>
          </cell>
          <cell r="C401" t="str">
            <v>B02.00</v>
          </cell>
          <cell r="D401" t="str">
            <v>CARACTERES ESPECIAIS</v>
          </cell>
          <cell r="E401" t="str">
            <v>BU_LOANTAPE_WORK.OUT_B0200_MAIN_LIABILITIES</v>
          </cell>
          <cell r="F401" t="str">
            <v>N/A</v>
          </cell>
          <cell r="G401" t="str">
            <v>0640_BLNC_SHT_NGAAP</v>
          </cell>
          <cell r="H401" t="str">
            <v>2025-10-31</v>
          </cell>
          <cell r="I401">
            <v>8</v>
          </cell>
          <cell r="J401">
            <v>0</v>
          </cell>
          <cell r="K401" t="str">
            <v>1</v>
          </cell>
          <cell r="L401" t="str">
            <v>2025-11-13 11:33:50.993911000</v>
          </cell>
        </row>
        <row r="402">
          <cell r="A402" t="str">
            <v>B02.000640_BLNC_SHT_NGAAP</v>
          </cell>
          <cell r="B402" t="str">
            <v>B02.000640_BLNC_SHT_NGAAPMISSINGS1</v>
          </cell>
          <cell r="C402" t="str">
            <v>B02.00</v>
          </cell>
          <cell r="D402" t="str">
            <v>MISSINGS</v>
          </cell>
          <cell r="E402" t="str">
            <v>BU_LOANTAPE_WORK.OUT_B0200_MAIN_LIABILITIES</v>
          </cell>
          <cell r="F402" t="str">
            <v>N/A</v>
          </cell>
          <cell r="G402" t="str">
            <v>0640_BLNC_SHT_NGAAP</v>
          </cell>
          <cell r="H402" t="str">
            <v>2025-10-31</v>
          </cell>
          <cell r="I402">
            <v>8</v>
          </cell>
          <cell r="J402">
            <v>0</v>
          </cell>
          <cell r="K402" t="str">
            <v>1</v>
          </cell>
          <cell r="L402" t="str">
            <v>2025-11-13 11:33:50.993911000</v>
          </cell>
        </row>
        <row r="403">
          <cell r="A403" t="str">
            <v>B02.000640_BLNC_SHT_NGAAP</v>
          </cell>
          <cell r="B403" t="str">
            <v>B02.000640_BLNC_SHT_NGAAPNOT APPLICABLE1</v>
          </cell>
          <cell r="C403" t="str">
            <v>B02.00</v>
          </cell>
          <cell r="D403" t="str">
            <v>NOT APPLICABLE</v>
          </cell>
          <cell r="E403" t="str">
            <v>BU_LOANTAPE_WORK.OUT_B0200_MAIN_LIABILITIES</v>
          </cell>
          <cell r="F403" t="str">
            <v>N/A</v>
          </cell>
          <cell r="G403" t="str">
            <v>0640_BLNC_SHT_NGAAP</v>
          </cell>
          <cell r="H403" t="str">
            <v>2025-10-31</v>
          </cell>
          <cell r="I403">
            <v>8</v>
          </cell>
          <cell r="J403">
            <v>8</v>
          </cell>
          <cell r="K403" t="str">
            <v>1</v>
          </cell>
          <cell r="L403" t="str">
            <v>2025-11-13 11:33:50.993911000</v>
          </cell>
        </row>
        <row r="404">
          <cell r="A404" t="str">
            <v>B02.005000_FLG_SHRHLDR_NOT_RSLTN_GRP</v>
          </cell>
          <cell r="B404" t="str">
            <v>B02.005000_FLG_SHRHLDR_NOT_RSLTN_GRPCOERÊNCIA1</v>
          </cell>
          <cell r="C404" t="str">
            <v>B02.00</v>
          </cell>
          <cell r="D404" t="str">
            <v>COERÊNCIA</v>
          </cell>
          <cell r="E404" t="str">
            <v>BU_LOANTAPE_WORK.OUT_B0200_MAIN_LIABILITIES</v>
          </cell>
          <cell r="F404" t="str">
            <v>BU_CAPTOOLS_WORK.SIMUL_B0200</v>
          </cell>
          <cell r="G404" t="str">
            <v>5000_FLG_SHRHLDR_NOT_RSLTN_GRP</v>
          </cell>
          <cell r="H404" t="str">
            <v>2025-10-31</v>
          </cell>
          <cell r="I404">
            <v>8</v>
          </cell>
          <cell r="J404">
            <v>0</v>
          </cell>
          <cell r="K404" t="str">
            <v>1</v>
          </cell>
          <cell r="L404" t="str">
            <v>2025-11-13 11:33:50.993911000</v>
          </cell>
        </row>
        <row r="405">
          <cell r="A405" t="str">
            <v>B02.005000_FLG_SHRHLDR_NOT_RSLTN_GRP</v>
          </cell>
          <cell r="B405" t="str">
            <v>B02.005000_FLG_SHRHLDR_NOT_RSLTN_GRPVALIDADE1</v>
          </cell>
          <cell r="C405" t="str">
            <v>B02.00</v>
          </cell>
          <cell r="D405" t="str">
            <v>VALIDADE</v>
          </cell>
          <cell r="E405" t="str">
            <v>BU_LOANTAPE_WORK.OUT_B0200_MAIN_LIABILITIES</v>
          </cell>
          <cell r="F405" t="str">
            <v>N/A</v>
          </cell>
          <cell r="G405" t="str">
            <v>5000_FLG_SHRHLDR_NOT_RSLTN_GRP</v>
          </cell>
          <cell r="H405" t="str">
            <v>2025-10-31</v>
          </cell>
          <cell r="I405">
            <v>8</v>
          </cell>
          <cell r="J405">
            <v>0</v>
          </cell>
          <cell r="K405" t="str">
            <v>1</v>
          </cell>
          <cell r="L405" t="str">
            <v>2025-11-13 11:33:50.993911000</v>
          </cell>
        </row>
        <row r="406">
          <cell r="A406" t="str">
            <v>B02.005000_FLG_SHRHLDR_NOT_RSLTN_GRP</v>
          </cell>
          <cell r="B406" t="str">
            <v>B02.005000_FLG_SHRHLDR_NOT_RSLTN_GRPCARACTERES ESPECIAIS1</v>
          </cell>
          <cell r="C406" t="str">
            <v>B02.00</v>
          </cell>
          <cell r="D406" t="str">
            <v>CARACTERES ESPECIAIS</v>
          </cell>
          <cell r="E406" t="str">
            <v>BU_LOANTAPE_WORK.OUT_B0200_MAIN_LIABILITIES</v>
          </cell>
          <cell r="F406" t="str">
            <v>N/A</v>
          </cell>
          <cell r="G406" t="str">
            <v>5000_FLG_SHRHLDR_NOT_RSLTN_GRP</v>
          </cell>
          <cell r="H406" t="str">
            <v>2025-10-31</v>
          </cell>
          <cell r="I406">
            <v>8</v>
          </cell>
          <cell r="J406">
            <v>0</v>
          </cell>
          <cell r="K406" t="str">
            <v>1</v>
          </cell>
          <cell r="L406" t="str">
            <v>2025-11-13 11:33:50.993911000</v>
          </cell>
        </row>
        <row r="407">
          <cell r="A407" t="str">
            <v>B02.005000_FLG_SHRHLDR_NOT_RSLTN_GRP</v>
          </cell>
          <cell r="B407" t="str">
            <v>B02.005000_FLG_SHRHLDR_NOT_RSLTN_GRPMISSINGS1</v>
          </cell>
          <cell r="C407" t="str">
            <v>B02.00</v>
          </cell>
          <cell r="D407" t="str">
            <v>MISSINGS</v>
          </cell>
          <cell r="E407" t="str">
            <v>BU_LOANTAPE_WORK.OUT_B0200_MAIN_LIABILITIES</v>
          </cell>
          <cell r="F407" t="str">
            <v>N/A</v>
          </cell>
          <cell r="G407" t="str">
            <v>5000_FLG_SHRHLDR_NOT_RSLTN_GRP</v>
          </cell>
          <cell r="H407" t="str">
            <v>2025-10-31</v>
          </cell>
          <cell r="I407">
            <v>8</v>
          </cell>
          <cell r="J407">
            <v>0</v>
          </cell>
          <cell r="K407" t="str">
            <v>1</v>
          </cell>
          <cell r="L407" t="str">
            <v>2025-11-13 11:33:50.993911000</v>
          </cell>
        </row>
        <row r="408">
          <cell r="A408" t="str">
            <v>B02.005000_FLG_SHRHLDR_NOT_RSLTN_GRP</v>
          </cell>
          <cell r="B408" t="str">
            <v>B02.005000_FLG_SHRHLDR_NOT_RSLTN_GRPNOT APPLICABLE1</v>
          </cell>
          <cell r="C408" t="str">
            <v>B02.00</v>
          </cell>
          <cell r="D408" t="str">
            <v>NOT APPLICABLE</v>
          </cell>
          <cell r="E408" t="str">
            <v>BU_LOANTAPE_WORK.OUT_B0200_MAIN_LIABILITIES</v>
          </cell>
          <cell r="F408" t="str">
            <v>N/A</v>
          </cell>
          <cell r="G408" t="str">
            <v>5000_FLG_SHRHLDR_NOT_RSLTN_GRP</v>
          </cell>
          <cell r="H408" t="str">
            <v>2025-10-31</v>
          </cell>
          <cell r="I408">
            <v>8</v>
          </cell>
          <cell r="J408">
            <v>0</v>
          </cell>
          <cell r="K408" t="str">
            <v>1</v>
          </cell>
          <cell r="L408" t="str">
            <v>2025-11-13 11:33:50.993911000</v>
          </cell>
        </row>
        <row r="409">
          <cell r="A409" t="str">
            <v>B02.005010_FLG_ART21_7A_SRMR</v>
          </cell>
          <cell r="B409" t="str">
            <v>B02.005010_FLG_ART21_7A_SRMRCOERÊNCIA1</v>
          </cell>
          <cell r="C409" t="str">
            <v>B02.00</v>
          </cell>
          <cell r="D409" t="str">
            <v>COERÊNCIA</v>
          </cell>
          <cell r="E409" t="str">
            <v>BU_LOANTAPE_WORK.OUT_B0200_MAIN_LIABILITIES</v>
          </cell>
          <cell r="F409" t="str">
            <v>BU_CAPTOOLS_WORK.SIMUL_B0200</v>
          </cell>
          <cell r="G409" t="str">
            <v>5010_FLG_ART21_7A_SRMR</v>
          </cell>
          <cell r="H409" t="str">
            <v>2025-10-31</v>
          </cell>
          <cell r="I409">
            <v>8</v>
          </cell>
          <cell r="J409">
            <v>0</v>
          </cell>
          <cell r="K409" t="str">
            <v>1</v>
          </cell>
          <cell r="L409" t="str">
            <v>2025-11-13 11:33:50.993911000</v>
          </cell>
        </row>
        <row r="410">
          <cell r="A410" t="str">
            <v>B02.005010_FLG_ART21_7A_SRMR</v>
          </cell>
          <cell r="B410" t="str">
            <v>B02.005010_FLG_ART21_7A_SRMRVALIDADE1</v>
          </cell>
          <cell r="C410" t="str">
            <v>B02.00</v>
          </cell>
          <cell r="D410" t="str">
            <v>VALIDADE</v>
          </cell>
          <cell r="E410" t="str">
            <v>BU_LOANTAPE_WORK.OUT_B0200_MAIN_LIABILITIES</v>
          </cell>
          <cell r="F410" t="str">
            <v>N/A</v>
          </cell>
          <cell r="G410" t="str">
            <v>5010_FLG_ART21_7A_SRMR</v>
          </cell>
          <cell r="H410" t="str">
            <v>2025-10-31</v>
          </cell>
          <cell r="I410">
            <v>8</v>
          </cell>
          <cell r="J410">
            <v>0</v>
          </cell>
          <cell r="K410" t="str">
            <v>1</v>
          </cell>
          <cell r="L410" t="str">
            <v>2025-11-13 11:33:50.993911000</v>
          </cell>
        </row>
        <row r="411">
          <cell r="A411" t="str">
            <v>B02.005010_FLG_ART21_7A_SRMR</v>
          </cell>
          <cell r="B411" t="str">
            <v>B02.005010_FLG_ART21_7A_SRMRCARACTERES ESPECIAIS1</v>
          </cell>
          <cell r="C411" t="str">
            <v>B02.00</v>
          </cell>
          <cell r="D411" t="str">
            <v>CARACTERES ESPECIAIS</v>
          </cell>
          <cell r="E411" t="str">
            <v>BU_LOANTAPE_WORK.OUT_B0200_MAIN_LIABILITIES</v>
          </cell>
          <cell r="F411" t="str">
            <v>N/A</v>
          </cell>
          <cell r="G411" t="str">
            <v>5010_FLG_ART21_7A_SRMR</v>
          </cell>
          <cell r="H411" t="str">
            <v>2025-10-31</v>
          </cell>
          <cell r="I411">
            <v>8</v>
          </cell>
          <cell r="J411">
            <v>0</v>
          </cell>
          <cell r="K411" t="str">
            <v>1</v>
          </cell>
          <cell r="L411" t="str">
            <v>2025-11-13 11:33:50.993911000</v>
          </cell>
        </row>
        <row r="412">
          <cell r="A412" t="str">
            <v>B02.005010_FLG_ART21_7A_SRMR</v>
          </cell>
          <cell r="B412" t="str">
            <v>B02.005010_FLG_ART21_7A_SRMRMISSINGS1</v>
          </cell>
          <cell r="C412" t="str">
            <v>B02.00</v>
          </cell>
          <cell r="D412" t="str">
            <v>MISSINGS</v>
          </cell>
          <cell r="E412" t="str">
            <v>BU_LOANTAPE_WORK.OUT_B0200_MAIN_LIABILITIES</v>
          </cell>
          <cell r="F412" t="str">
            <v>N/A</v>
          </cell>
          <cell r="G412" t="str">
            <v>5010_FLG_ART21_7A_SRMR</v>
          </cell>
          <cell r="H412" t="str">
            <v>2025-10-31</v>
          </cell>
          <cell r="I412">
            <v>8</v>
          </cell>
          <cell r="J412">
            <v>0</v>
          </cell>
          <cell r="K412" t="str">
            <v>1</v>
          </cell>
          <cell r="L412" t="str">
            <v>2025-11-13 11:33:50.993911000</v>
          </cell>
        </row>
        <row r="413">
          <cell r="A413" t="str">
            <v>B02.005010_FLG_ART21_7A_SRMR</v>
          </cell>
          <cell r="B413" t="str">
            <v>B02.005010_FLG_ART21_7A_SRMRNOT APPLICABLE1</v>
          </cell>
          <cell r="C413" t="str">
            <v>B02.00</v>
          </cell>
          <cell r="D413" t="str">
            <v>NOT APPLICABLE</v>
          </cell>
          <cell r="E413" t="str">
            <v>BU_LOANTAPE_WORK.OUT_B0200_MAIN_LIABILITIES</v>
          </cell>
          <cell r="F413" t="str">
            <v>N/A</v>
          </cell>
          <cell r="G413" t="str">
            <v>5010_FLG_ART21_7A_SRMR</v>
          </cell>
          <cell r="H413" t="str">
            <v>2025-10-31</v>
          </cell>
          <cell r="I413">
            <v>8</v>
          </cell>
          <cell r="J413">
            <v>0</v>
          </cell>
          <cell r="K413" t="str">
            <v>1</v>
          </cell>
          <cell r="L413" t="str">
            <v>2025-11-13 11:33:50.993911000</v>
          </cell>
        </row>
        <row r="414">
          <cell r="A414" t="str">
            <v>B90.000010_ROW_NMBR</v>
          </cell>
          <cell r="B414" t="str">
            <v>B90.000010_ROW_NMBRCOERÊNCIA1</v>
          </cell>
          <cell r="C414" t="str">
            <v>B90.00</v>
          </cell>
          <cell r="D414" t="str">
            <v>COERÊNCIA</v>
          </cell>
          <cell r="E414" t="str">
            <v>BU_LOANTAPE_WORK.OUT_B9000_COUNTERPARTIES</v>
          </cell>
          <cell r="F414" t="str">
            <v>BU_CAPTOOLS_WORK.SIMUL_B9000_COUNTERPARTIES</v>
          </cell>
          <cell r="G414" t="str">
            <v>0010_ROW_NMBR</v>
          </cell>
          <cell r="H414" t="str">
            <v>2025-10-31</v>
          </cell>
          <cell r="I414">
            <v>4740</v>
          </cell>
          <cell r="J414">
            <v>2</v>
          </cell>
          <cell r="K414" t="str">
            <v>1</v>
          </cell>
          <cell r="L414" t="str">
            <v>2025-11-13 11:59:38.155713000</v>
          </cell>
        </row>
        <row r="415">
          <cell r="A415" t="str">
            <v>B90.000010_ROW_NMBR</v>
          </cell>
          <cell r="B415" t="str">
            <v>B90.000010_ROW_NMBRVALIDADE1</v>
          </cell>
          <cell r="C415" t="str">
            <v>B90.00</v>
          </cell>
          <cell r="D415" t="str">
            <v>VALIDADE</v>
          </cell>
          <cell r="E415" t="str">
            <v>BU_LOANTAPE_WORK.OUT_B9000_COUNTERPARTIES</v>
          </cell>
          <cell r="F415" t="str">
            <v>N/A</v>
          </cell>
          <cell r="G415" t="str">
            <v>0010_ROW_NMBR</v>
          </cell>
          <cell r="H415" t="str">
            <v>2025-10-31</v>
          </cell>
          <cell r="I415">
            <v>4740</v>
          </cell>
          <cell r="J415">
            <v>0</v>
          </cell>
          <cell r="K415" t="str">
            <v>1</v>
          </cell>
          <cell r="L415" t="str">
            <v>2025-11-13 11:59:38.155713000</v>
          </cell>
        </row>
        <row r="416">
          <cell r="A416" t="str">
            <v>B90.000010_ROW_NMBR</v>
          </cell>
          <cell r="B416" t="str">
            <v>B90.000010_ROW_NMBRCARACTERES ESPECIAIS1</v>
          </cell>
          <cell r="C416" t="str">
            <v>B90.00</v>
          </cell>
          <cell r="D416" t="str">
            <v>CARACTERES ESPECIAIS</v>
          </cell>
          <cell r="E416" t="str">
            <v>BU_LOANTAPE_WORK.OUT_B9000_COUNTERPARTIES</v>
          </cell>
          <cell r="F416" t="str">
            <v>N/A</v>
          </cell>
          <cell r="G416" t="str">
            <v>0010_ROW_NMBR</v>
          </cell>
          <cell r="H416" t="str">
            <v>2025-10-31</v>
          </cell>
          <cell r="I416">
            <v>4740</v>
          </cell>
          <cell r="J416">
            <v>0</v>
          </cell>
          <cell r="K416" t="str">
            <v>1</v>
          </cell>
          <cell r="L416" t="str">
            <v>2025-11-13 11:59:38.155713000</v>
          </cell>
        </row>
        <row r="417">
          <cell r="A417" t="str">
            <v>B90.000010_ROW_NMBR</v>
          </cell>
          <cell r="B417" t="str">
            <v>B90.000010_ROW_NMBRMISSINGS1</v>
          </cell>
          <cell r="C417" t="str">
            <v>B90.00</v>
          </cell>
          <cell r="D417" t="str">
            <v>MISSINGS</v>
          </cell>
          <cell r="E417" t="str">
            <v>BU_LOANTAPE_WORK.OUT_B9000_COUNTERPARTIES</v>
          </cell>
          <cell r="F417" t="str">
            <v>N/A</v>
          </cell>
          <cell r="G417" t="str">
            <v>0010_ROW_NMBR</v>
          </cell>
          <cell r="H417" t="str">
            <v>2025-10-31</v>
          </cell>
          <cell r="I417">
            <v>4740</v>
          </cell>
          <cell r="J417">
            <v>0</v>
          </cell>
          <cell r="K417" t="str">
            <v>1</v>
          </cell>
          <cell r="L417" t="str">
            <v>2025-11-13 11:59:38.155713000</v>
          </cell>
        </row>
        <row r="418">
          <cell r="A418" t="str">
            <v>B90.000010_ROW_NMBR</v>
          </cell>
          <cell r="B418" t="str">
            <v>B90.000010_ROW_NMBRNOT APPLICABLE1</v>
          </cell>
          <cell r="C418" t="str">
            <v>B90.00</v>
          </cell>
          <cell r="D418" t="str">
            <v>NOT APPLICABLE</v>
          </cell>
          <cell r="E418" t="str">
            <v>BU_LOANTAPE_WORK.OUT_B9000_COUNTERPARTIES</v>
          </cell>
          <cell r="F418" t="str">
            <v>N/A</v>
          </cell>
          <cell r="G418" t="str">
            <v>0010_ROW_NMBR</v>
          </cell>
          <cell r="H418" t="str">
            <v>2025-10-31</v>
          </cell>
          <cell r="I418">
            <v>4740</v>
          </cell>
          <cell r="J418">
            <v>1</v>
          </cell>
          <cell r="K418" t="str">
            <v>1</v>
          </cell>
          <cell r="L418" t="str">
            <v>2025-11-13 11:59:38.155713000</v>
          </cell>
        </row>
        <row r="419">
          <cell r="A419" t="str">
            <v>B90.000011_TAB_ORIGIN</v>
          </cell>
          <cell r="B419" t="str">
            <v>B90.000011_TAB_ORIGINCOERÊNCIA1</v>
          </cell>
          <cell r="C419" t="str">
            <v>B90.00</v>
          </cell>
          <cell r="D419" t="str">
            <v>COERÊNCIA</v>
          </cell>
          <cell r="E419" t="str">
            <v>BU_LOANTAPE_WORK.OUT_B9000_COUNTERPARTIES</v>
          </cell>
          <cell r="F419" t="str">
            <v>BU_CAPTOOLS_WORK.SIMUL_B9000_COUNTERPARTIES</v>
          </cell>
          <cell r="G419" t="str">
            <v>0011_TAB_ORIGIN</v>
          </cell>
          <cell r="H419" t="str">
            <v>2025-10-31</v>
          </cell>
          <cell r="I419">
            <v>4740</v>
          </cell>
          <cell r="J419">
            <v>0</v>
          </cell>
          <cell r="K419" t="str">
            <v>1</v>
          </cell>
          <cell r="L419" t="str">
            <v>2025-11-13 11:59:38.155713000</v>
          </cell>
        </row>
        <row r="420">
          <cell r="A420" t="str">
            <v>B90.000011_TAB_ORIGIN</v>
          </cell>
          <cell r="B420" t="str">
            <v>B90.000011_TAB_ORIGINVALIDADE1</v>
          </cell>
          <cell r="C420" t="str">
            <v>B90.00</v>
          </cell>
          <cell r="D420" t="str">
            <v>VALIDADE</v>
          </cell>
          <cell r="E420" t="str">
            <v>BU_LOANTAPE_WORK.OUT_B9000_COUNTERPARTIES</v>
          </cell>
          <cell r="F420" t="str">
            <v>N/A</v>
          </cell>
          <cell r="G420" t="str">
            <v>0011_TAB_ORIGIN</v>
          </cell>
          <cell r="H420" t="str">
            <v>2025-10-31</v>
          </cell>
          <cell r="I420">
            <v>4740</v>
          </cell>
          <cell r="J420">
            <v>0</v>
          </cell>
          <cell r="K420" t="str">
            <v>1</v>
          </cell>
          <cell r="L420" t="str">
            <v>2025-11-13 11:59:38.155713000</v>
          </cell>
        </row>
        <row r="421">
          <cell r="A421" t="str">
            <v>B90.000011_TAB_ORIGIN</v>
          </cell>
          <cell r="B421" t="str">
            <v>B90.000011_TAB_ORIGINCARACTERES ESPECIAIS1</v>
          </cell>
          <cell r="C421" t="str">
            <v>B90.00</v>
          </cell>
          <cell r="D421" t="str">
            <v>CARACTERES ESPECIAIS</v>
          </cell>
          <cell r="E421" t="str">
            <v>BU_LOANTAPE_WORK.OUT_B9000_COUNTERPARTIES</v>
          </cell>
          <cell r="F421" t="str">
            <v>N/A</v>
          </cell>
          <cell r="G421" t="str">
            <v>0011_TAB_ORIGIN</v>
          </cell>
          <cell r="H421" t="str">
            <v>2025-10-31</v>
          </cell>
          <cell r="I421">
            <v>4740</v>
          </cell>
          <cell r="J421">
            <v>0</v>
          </cell>
          <cell r="K421" t="str">
            <v>1</v>
          </cell>
          <cell r="L421" t="str">
            <v>2025-11-13 11:59:38.155713000</v>
          </cell>
        </row>
        <row r="422">
          <cell r="A422" t="str">
            <v>B90.000011_TAB_ORIGIN</v>
          </cell>
          <cell r="B422" t="str">
            <v>B90.000011_TAB_ORIGINMISSINGS1</v>
          </cell>
          <cell r="C422" t="str">
            <v>B90.00</v>
          </cell>
          <cell r="D422" t="str">
            <v>MISSINGS</v>
          </cell>
          <cell r="E422" t="str">
            <v>BU_LOANTAPE_WORK.OUT_B9000_COUNTERPARTIES</v>
          </cell>
          <cell r="F422" t="str">
            <v>N/A</v>
          </cell>
          <cell r="G422" t="str">
            <v>0011_TAB_ORIGIN</v>
          </cell>
          <cell r="H422" t="str">
            <v>2025-10-31</v>
          </cell>
          <cell r="I422">
            <v>4740</v>
          </cell>
          <cell r="J422">
            <v>0</v>
          </cell>
          <cell r="K422" t="str">
            <v>1</v>
          </cell>
          <cell r="L422" t="str">
            <v>2025-11-13 11:59:38.155713000</v>
          </cell>
        </row>
        <row r="423">
          <cell r="A423" t="str">
            <v>B90.000011_TAB_ORIGIN</v>
          </cell>
          <cell r="B423" t="str">
            <v>B90.000011_TAB_ORIGINNOT APPLICABLE1</v>
          </cell>
          <cell r="C423" t="str">
            <v>B90.00</v>
          </cell>
          <cell r="D423" t="str">
            <v>NOT APPLICABLE</v>
          </cell>
          <cell r="E423" t="str">
            <v>BU_LOANTAPE_WORK.OUT_B9000_COUNTERPARTIES</v>
          </cell>
          <cell r="F423" t="str">
            <v>N/A</v>
          </cell>
          <cell r="G423" t="str">
            <v>0011_TAB_ORIGIN</v>
          </cell>
          <cell r="H423" t="str">
            <v>2025-10-31</v>
          </cell>
          <cell r="I423">
            <v>4740</v>
          </cell>
          <cell r="J423">
            <v>0</v>
          </cell>
          <cell r="K423" t="str">
            <v>1</v>
          </cell>
          <cell r="L423" t="str">
            <v>2025-11-13 11:59:38.155713000</v>
          </cell>
        </row>
        <row r="424">
          <cell r="A424" t="str">
            <v>B90.000020_UNIQ_ID_KNWN_CNTRPRTY</v>
          </cell>
          <cell r="B424" t="str">
            <v>B90.000020_UNIQ_ID_KNWN_CNTRPRTYCOERÊNCIA1</v>
          </cell>
          <cell r="C424" t="str">
            <v>B90.00</v>
          </cell>
          <cell r="D424" t="str">
            <v>COERÊNCIA</v>
          </cell>
          <cell r="E424" t="str">
            <v>BU_LOANTAPE_WORK.OUT_B9000_COUNTERPARTIES</v>
          </cell>
          <cell r="F424" t="str">
            <v>BU_CAPTOOLS_WORK.SIMUL_B9000_COUNTERPARTIES</v>
          </cell>
          <cell r="G424" t="str">
            <v>0020_UNIQ_ID_KNWN_CNTRPRTY</v>
          </cell>
          <cell r="H424" t="str">
            <v>2025-10-31</v>
          </cell>
          <cell r="I424">
            <v>4740</v>
          </cell>
          <cell r="J424">
            <v>0</v>
          </cell>
          <cell r="K424" t="str">
            <v>1</v>
          </cell>
          <cell r="L424" t="str">
            <v>2025-11-13 11:59:38.155713000</v>
          </cell>
        </row>
        <row r="425">
          <cell r="A425" t="str">
            <v>B90.000020_UNIQ_ID_KNWN_CNTRPRTY</v>
          </cell>
          <cell r="B425" t="str">
            <v>B90.000020_UNIQ_ID_KNWN_CNTRPRTYVALIDADE1</v>
          </cell>
          <cell r="C425" t="str">
            <v>B90.00</v>
          </cell>
          <cell r="D425" t="str">
            <v>VALIDADE</v>
          </cell>
          <cell r="E425" t="str">
            <v>BU_LOANTAPE_WORK.OUT_B9000_COUNTERPARTIES</v>
          </cell>
          <cell r="F425" t="str">
            <v>N/A</v>
          </cell>
          <cell r="G425" t="str">
            <v>0020_UNIQ_ID_KNWN_CNTRPRTY</v>
          </cell>
          <cell r="H425" t="str">
            <v>2025-10-31</v>
          </cell>
          <cell r="I425">
            <v>4740</v>
          </cell>
          <cell r="J425">
            <v>0</v>
          </cell>
          <cell r="K425" t="str">
            <v>1</v>
          </cell>
          <cell r="L425" t="str">
            <v>2025-11-13 11:59:38.155713000</v>
          </cell>
        </row>
        <row r="426">
          <cell r="A426" t="str">
            <v>B90.000020_UNIQ_ID_KNWN_CNTRPRTY</v>
          </cell>
          <cell r="B426" t="str">
            <v>B90.000020_UNIQ_ID_KNWN_CNTRPRTYCARACTERES ESPECIAIS1</v>
          </cell>
          <cell r="C426" t="str">
            <v>B90.00</v>
          </cell>
          <cell r="D426" t="str">
            <v>CARACTERES ESPECIAIS</v>
          </cell>
          <cell r="E426" t="str">
            <v>BU_LOANTAPE_WORK.OUT_B9000_COUNTERPARTIES</v>
          </cell>
          <cell r="F426" t="str">
            <v>N/A</v>
          </cell>
          <cell r="G426" t="str">
            <v>0020_UNIQ_ID_KNWN_CNTRPRTY</v>
          </cell>
          <cell r="H426" t="str">
            <v>2025-10-31</v>
          </cell>
          <cell r="I426">
            <v>4740</v>
          </cell>
          <cell r="J426">
            <v>4730</v>
          </cell>
          <cell r="K426" t="str">
            <v>1</v>
          </cell>
          <cell r="L426" t="str">
            <v>2025-11-13 11:59:38.155713000</v>
          </cell>
        </row>
        <row r="427">
          <cell r="A427" t="str">
            <v>B90.000020_UNIQ_ID_KNWN_CNTRPRTY</v>
          </cell>
          <cell r="B427" t="str">
            <v>B90.000020_UNIQ_ID_KNWN_CNTRPRTYMISSINGS1</v>
          </cell>
          <cell r="C427" t="str">
            <v>B90.00</v>
          </cell>
          <cell r="D427" t="str">
            <v>MISSINGS</v>
          </cell>
          <cell r="E427" t="str">
            <v>BU_LOANTAPE_WORK.OUT_B9000_COUNTERPARTIES</v>
          </cell>
          <cell r="F427" t="str">
            <v>N/A</v>
          </cell>
          <cell r="G427" t="str">
            <v>0020_UNIQ_ID_KNWN_CNTRPRTY</v>
          </cell>
          <cell r="H427" t="str">
            <v>2025-10-31</v>
          </cell>
          <cell r="I427">
            <v>4740</v>
          </cell>
          <cell r="J427">
            <v>0</v>
          </cell>
          <cell r="K427" t="str">
            <v>1</v>
          </cell>
          <cell r="L427" t="str">
            <v>2025-11-13 11:59:38.155713000</v>
          </cell>
        </row>
        <row r="428">
          <cell r="A428" t="str">
            <v>B90.000020_UNIQ_ID_KNWN_CNTRPRTY</v>
          </cell>
          <cell r="B428" t="str">
            <v>B90.000020_UNIQ_ID_KNWN_CNTRPRTYNOT APPLICABLE1</v>
          </cell>
          <cell r="C428" t="str">
            <v>B90.00</v>
          </cell>
          <cell r="D428" t="str">
            <v>NOT APPLICABLE</v>
          </cell>
          <cell r="E428" t="str">
            <v>BU_LOANTAPE_WORK.OUT_B9000_COUNTERPARTIES</v>
          </cell>
          <cell r="F428" t="str">
            <v>N/A</v>
          </cell>
          <cell r="G428" t="str">
            <v>0020_UNIQ_ID_KNWN_CNTRPRTY</v>
          </cell>
          <cell r="H428" t="str">
            <v>2025-10-31</v>
          </cell>
          <cell r="I428">
            <v>4740</v>
          </cell>
          <cell r="J428">
            <v>0</v>
          </cell>
          <cell r="K428" t="str">
            <v>1</v>
          </cell>
          <cell r="L428" t="str">
            <v>2025-11-13 11:59:38.155713000</v>
          </cell>
        </row>
        <row r="429">
          <cell r="A429" t="str">
            <v>B90.000030_CNTRPRTY_RSLTN_GRP</v>
          </cell>
          <cell r="B429" t="str">
            <v>B90.000030_CNTRPRTY_RSLTN_GRPCOERÊNCIA1</v>
          </cell>
          <cell r="C429" t="str">
            <v>B90.00</v>
          </cell>
          <cell r="D429" t="str">
            <v>COERÊNCIA</v>
          </cell>
          <cell r="E429" t="str">
            <v>BU_LOANTAPE_WORK.OUT_B9000_COUNTERPARTIES</v>
          </cell>
          <cell r="F429" t="str">
            <v>BU_CAPTOOLS_WORK.SIMUL_B9000_COUNTERPARTIES</v>
          </cell>
          <cell r="G429" t="str">
            <v>0030_CNTRPRTY_RSLTN_GRP</v>
          </cell>
          <cell r="H429" t="str">
            <v>2025-10-31</v>
          </cell>
          <cell r="I429">
            <v>4740</v>
          </cell>
          <cell r="J429">
            <v>4740</v>
          </cell>
          <cell r="K429" t="str">
            <v>1</v>
          </cell>
          <cell r="L429" t="str">
            <v>2025-11-13 11:59:38.155713000</v>
          </cell>
        </row>
        <row r="430">
          <cell r="A430" t="str">
            <v>B90.000030_CNTRPRTY_RSLTN_GRP</v>
          </cell>
          <cell r="B430" t="str">
            <v>B90.000030_CNTRPRTY_RSLTN_GRPVALIDADE1</v>
          </cell>
          <cell r="C430" t="str">
            <v>B90.00</v>
          </cell>
          <cell r="D430" t="str">
            <v>VALIDADE</v>
          </cell>
          <cell r="E430" t="str">
            <v>BU_LOANTAPE_WORK.OUT_B9000_COUNTERPARTIES</v>
          </cell>
          <cell r="F430" t="str">
            <v>N/A</v>
          </cell>
          <cell r="G430" t="str">
            <v>0030_CNTRPRTY_RSLTN_GRP</v>
          </cell>
          <cell r="H430" t="str">
            <v>2025-10-31</v>
          </cell>
          <cell r="I430">
            <v>4740</v>
          </cell>
          <cell r="J430">
            <v>4740</v>
          </cell>
          <cell r="K430" t="str">
            <v>1</v>
          </cell>
          <cell r="L430" t="str">
            <v>2025-11-13 11:59:38.155713000</v>
          </cell>
        </row>
        <row r="431">
          <cell r="A431" t="str">
            <v>B90.000030_CNTRPRTY_RSLTN_GRP</v>
          </cell>
          <cell r="B431" t="str">
            <v>B90.000030_CNTRPRTY_RSLTN_GRPCARACTERES ESPECIAIS1</v>
          </cell>
          <cell r="C431" t="str">
            <v>B90.00</v>
          </cell>
          <cell r="D431" t="str">
            <v>CARACTERES ESPECIAIS</v>
          </cell>
          <cell r="E431" t="str">
            <v>BU_LOANTAPE_WORK.OUT_B9000_COUNTERPARTIES</v>
          </cell>
          <cell r="F431" t="str">
            <v>N/A</v>
          </cell>
          <cell r="G431" t="str">
            <v>0030_CNTRPRTY_RSLTN_GRP</v>
          </cell>
          <cell r="H431" t="str">
            <v>2025-10-31</v>
          </cell>
          <cell r="I431">
            <v>4740</v>
          </cell>
          <cell r="J431">
            <v>0</v>
          </cell>
          <cell r="K431" t="str">
            <v>1</v>
          </cell>
          <cell r="L431" t="str">
            <v>2025-11-13 11:59:38.155713000</v>
          </cell>
        </row>
        <row r="432">
          <cell r="A432" t="str">
            <v>B90.000030_CNTRPRTY_RSLTN_GRP</v>
          </cell>
          <cell r="B432" t="str">
            <v>B90.000030_CNTRPRTY_RSLTN_GRPMISSINGS1</v>
          </cell>
          <cell r="C432" t="str">
            <v>B90.00</v>
          </cell>
          <cell r="D432" t="str">
            <v>MISSINGS</v>
          </cell>
          <cell r="E432" t="str">
            <v>BU_LOANTAPE_WORK.OUT_B9000_COUNTERPARTIES</v>
          </cell>
          <cell r="F432" t="str">
            <v>N/A</v>
          </cell>
          <cell r="G432" t="str">
            <v>0030_CNTRPRTY_RSLTN_GRP</v>
          </cell>
          <cell r="H432" t="str">
            <v>2025-10-31</v>
          </cell>
          <cell r="I432">
            <v>4740</v>
          </cell>
          <cell r="J432">
            <v>0</v>
          </cell>
          <cell r="K432" t="str">
            <v>1</v>
          </cell>
          <cell r="L432" t="str">
            <v>2025-11-13 11:59:38.155713000</v>
          </cell>
        </row>
        <row r="433">
          <cell r="A433" t="str">
            <v>B90.000030_CNTRPRTY_RSLTN_GRP</v>
          </cell>
          <cell r="B433" t="str">
            <v>B90.000030_CNTRPRTY_RSLTN_GRPNOT APPLICABLE1</v>
          </cell>
          <cell r="C433" t="str">
            <v>B90.00</v>
          </cell>
          <cell r="D433" t="str">
            <v>NOT APPLICABLE</v>
          </cell>
          <cell r="E433" t="str">
            <v>BU_LOANTAPE_WORK.OUT_B9000_COUNTERPARTIES</v>
          </cell>
          <cell r="F433" t="str">
            <v>N/A</v>
          </cell>
          <cell r="G433" t="str">
            <v>0030_CNTRPRTY_RSLTN_GRP</v>
          </cell>
          <cell r="H433" t="str">
            <v>2025-10-31</v>
          </cell>
          <cell r="I433">
            <v>4740</v>
          </cell>
          <cell r="J433">
            <v>0</v>
          </cell>
          <cell r="K433" t="str">
            <v>1</v>
          </cell>
          <cell r="L433" t="str">
            <v>2025-11-13 11:59:38.155713000</v>
          </cell>
        </row>
        <row r="434">
          <cell r="A434" t="str">
            <v>B90.000040_CNTRPRTY_NM</v>
          </cell>
          <cell r="B434" t="str">
            <v>B90.000040_CNTRPRTY_NMCOERÊNCIA1</v>
          </cell>
          <cell r="C434" t="str">
            <v>B90.00</v>
          </cell>
          <cell r="D434" t="str">
            <v>COERÊNCIA</v>
          </cell>
          <cell r="E434" t="str">
            <v>BU_LOANTAPE_WORK.OUT_B9000_COUNTERPARTIES</v>
          </cell>
          <cell r="F434" t="str">
            <v>BU_CAPTOOLS_WORK.SIMUL_B9000_COUNTERPARTIES</v>
          </cell>
          <cell r="G434" t="str">
            <v>0040_CNTRPRTY_NM</v>
          </cell>
          <cell r="H434" t="str">
            <v>2025-10-31</v>
          </cell>
          <cell r="I434">
            <v>4740</v>
          </cell>
          <cell r="J434">
            <v>4740</v>
          </cell>
          <cell r="K434" t="str">
            <v>1</v>
          </cell>
          <cell r="L434" t="str">
            <v>2025-11-13 11:59:38.155713000</v>
          </cell>
        </row>
        <row r="435">
          <cell r="A435" t="str">
            <v>B90.000040_CNTRPRTY_NM</v>
          </cell>
          <cell r="B435" t="str">
            <v>B90.000040_CNTRPRTY_NMVALIDADE1</v>
          </cell>
          <cell r="C435" t="str">
            <v>B90.00</v>
          </cell>
          <cell r="D435" t="str">
            <v>VALIDADE</v>
          </cell>
          <cell r="E435" t="str">
            <v>BU_LOANTAPE_WORK.OUT_B9000_COUNTERPARTIES</v>
          </cell>
          <cell r="F435" t="str">
            <v>N/A</v>
          </cell>
          <cell r="G435" t="str">
            <v>0040_CNTRPRTY_NM</v>
          </cell>
          <cell r="H435" t="str">
            <v>2025-10-31</v>
          </cell>
          <cell r="I435">
            <v>4740</v>
          </cell>
          <cell r="J435">
            <v>4740</v>
          </cell>
          <cell r="K435" t="str">
            <v>1</v>
          </cell>
          <cell r="L435" t="str">
            <v>2025-11-13 11:59:38.155713000</v>
          </cell>
        </row>
        <row r="436">
          <cell r="A436" t="str">
            <v>B90.000040_CNTRPRTY_NM</v>
          </cell>
          <cell r="B436" t="str">
            <v>B90.000040_CNTRPRTY_NMCARACTERES ESPECIAIS1</v>
          </cell>
          <cell r="C436" t="str">
            <v>B90.00</v>
          </cell>
          <cell r="D436" t="str">
            <v>CARACTERES ESPECIAIS</v>
          </cell>
          <cell r="E436" t="str">
            <v>BU_LOANTAPE_WORK.OUT_B9000_COUNTERPARTIES</v>
          </cell>
          <cell r="F436" t="str">
            <v>N/A</v>
          </cell>
          <cell r="G436" t="str">
            <v>0040_CNTRPRTY_NM</v>
          </cell>
          <cell r="H436" t="str">
            <v>2025-10-31</v>
          </cell>
          <cell r="I436">
            <v>4740</v>
          </cell>
          <cell r="J436">
            <v>0</v>
          </cell>
          <cell r="K436" t="str">
            <v>1</v>
          </cell>
          <cell r="L436" t="str">
            <v>2025-11-13 11:59:38.155713000</v>
          </cell>
        </row>
        <row r="437">
          <cell r="A437" t="str">
            <v>B90.000040_CNTRPRTY_NM</v>
          </cell>
          <cell r="B437" t="str">
            <v>B90.000040_CNTRPRTY_NMMISSINGS1</v>
          </cell>
          <cell r="C437" t="str">
            <v>B90.00</v>
          </cell>
          <cell r="D437" t="str">
            <v>MISSINGS</v>
          </cell>
          <cell r="E437" t="str">
            <v>BU_LOANTAPE_WORK.OUT_B9000_COUNTERPARTIES</v>
          </cell>
          <cell r="F437" t="str">
            <v>N/A</v>
          </cell>
          <cell r="G437" t="str">
            <v>0040_CNTRPRTY_NM</v>
          </cell>
          <cell r="H437" t="str">
            <v>2025-10-31</v>
          </cell>
          <cell r="I437">
            <v>4740</v>
          </cell>
          <cell r="J437">
            <v>0</v>
          </cell>
          <cell r="K437" t="str">
            <v>1</v>
          </cell>
          <cell r="L437" t="str">
            <v>2025-11-13 11:59:38.155713000</v>
          </cell>
        </row>
        <row r="438">
          <cell r="A438" t="str">
            <v>B90.000040_CNTRPRTY_NM</v>
          </cell>
          <cell r="B438" t="str">
            <v>B90.000040_CNTRPRTY_NMNOT APPLICABLE1</v>
          </cell>
          <cell r="C438" t="str">
            <v>B90.00</v>
          </cell>
          <cell r="D438" t="str">
            <v>NOT APPLICABLE</v>
          </cell>
          <cell r="E438" t="str">
            <v>BU_LOANTAPE_WORK.OUT_B9000_COUNTERPARTIES</v>
          </cell>
          <cell r="F438" t="str">
            <v>N/A</v>
          </cell>
          <cell r="G438" t="str">
            <v>0040_CNTRPRTY_NM</v>
          </cell>
          <cell r="H438" t="str">
            <v>2025-10-31</v>
          </cell>
          <cell r="I438">
            <v>4740</v>
          </cell>
          <cell r="J438">
            <v>0</v>
          </cell>
          <cell r="K438" t="str">
            <v>1</v>
          </cell>
          <cell r="L438" t="str">
            <v>2025-11-13 11:59:38.155713000</v>
          </cell>
        </row>
        <row r="439">
          <cell r="A439" t="str">
            <v>B90.000050_CNTRPRTY_LEI</v>
          </cell>
          <cell r="B439" t="str">
            <v>B90.000050_CNTRPRTY_LEICOERÊNCIA1</v>
          </cell>
          <cell r="C439" t="str">
            <v>B90.00</v>
          </cell>
          <cell r="D439" t="str">
            <v>COERÊNCIA</v>
          </cell>
          <cell r="E439" t="str">
            <v>BU_LOANTAPE_WORK.OUT_B9000_COUNTERPARTIES</v>
          </cell>
          <cell r="F439" t="str">
            <v>BU_CAPTOOLS_WORK.SIMUL_B9000_COUNTERPARTIES</v>
          </cell>
          <cell r="G439" t="str">
            <v>0050_CNTRPRTY_LEI</v>
          </cell>
          <cell r="H439" t="str">
            <v>2025-10-31</v>
          </cell>
          <cell r="I439">
            <v>4740</v>
          </cell>
          <cell r="J439">
            <v>4740</v>
          </cell>
          <cell r="K439" t="str">
            <v>1</v>
          </cell>
          <cell r="L439" t="str">
            <v>2025-11-13 11:59:38.155713000</v>
          </cell>
        </row>
        <row r="440">
          <cell r="A440" t="str">
            <v>B90.000050_CNTRPRTY_LEI</v>
          </cell>
          <cell r="B440" t="str">
            <v>B90.000050_CNTRPRTY_LEIVALIDADE1</v>
          </cell>
          <cell r="C440" t="str">
            <v>B90.00</v>
          </cell>
          <cell r="D440" t="str">
            <v>VALIDADE</v>
          </cell>
          <cell r="E440" t="str">
            <v>BU_LOANTAPE_WORK.OUT_B9000_COUNTERPARTIES</v>
          </cell>
          <cell r="F440" t="str">
            <v>N/A</v>
          </cell>
          <cell r="G440" t="str">
            <v>0050_CNTRPRTY_LEI</v>
          </cell>
          <cell r="H440" t="str">
            <v>2025-10-31</v>
          </cell>
          <cell r="I440">
            <v>4740</v>
          </cell>
          <cell r="J440">
            <v>4740</v>
          </cell>
          <cell r="K440" t="str">
            <v>1</v>
          </cell>
          <cell r="L440" t="str">
            <v>2025-11-13 11:59:38.155713000</v>
          </cell>
        </row>
        <row r="441">
          <cell r="A441" t="str">
            <v>B90.000050_CNTRPRTY_LEI</v>
          </cell>
          <cell r="B441" t="str">
            <v>B90.000050_CNTRPRTY_LEICARACTERES ESPECIAIS1</v>
          </cell>
          <cell r="C441" t="str">
            <v>B90.00</v>
          </cell>
          <cell r="D441" t="str">
            <v>CARACTERES ESPECIAIS</v>
          </cell>
          <cell r="E441" t="str">
            <v>BU_LOANTAPE_WORK.OUT_B9000_COUNTERPARTIES</v>
          </cell>
          <cell r="F441" t="str">
            <v>N/A</v>
          </cell>
          <cell r="G441" t="str">
            <v>0050_CNTRPRTY_LEI</v>
          </cell>
          <cell r="H441" t="str">
            <v>2025-10-31</v>
          </cell>
          <cell r="I441">
            <v>4740</v>
          </cell>
          <cell r="J441">
            <v>0</v>
          </cell>
          <cell r="K441" t="str">
            <v>1</v>
          </cell>
          <cell r="L441" t="str">
            <v>2025-11-13 11:59:38.155713000</v>
          </cell>
        </row>
        <row r="442">
          <cell r="A442" t="str">
            <v>B90.000050_CNTRPRTY_LEI</v>
          </cell>
          <cell r="B442" t="str">
            <v>B90.000050_CNTRPRTY_LEIMISSINGS1</v>
          </cell>
          <cell r="C442" t="str">
            <v>B90.00</v>
          </cell>
          <cell r="D442" t="str">
            <v>MISSINGS</v>
          </cell>
          <cell r="E442" t="str">
            <v>BU_LOANTAPE_WORK.OUT_B9000_COUNTERPARTIES</v>
          </cell>
          <cell r="F442" t="str">
            <v>N/A</v>
          </cell>
          <cell r="G442" t="str">
            <v>0050_CNTRPRTY_LEI</v>
          </cell>
          <cell r="H442" t="str">
            <v>2025-10-31</v>
          </cell>
          <cell r="I442">
            <v>4740</v>
          </cell>
          <cell r="J442">
            <v>0</v>
          </cell>
          <cell r="K442" t="str">
            <v>1</v>
          </cell>
          <cell r="L442" t="str">
            <v>2025-11-13 11:59:38.155713000</v>
          </cell>
        </row>
        <row r="443">
          <cell r="A443" t="str">
            <v>B90.000050_CNTRPRTY_LEI</v>
          </cell>
          <cell r="B443" t="str">
            <v>B90.000050_CNTRPRTY_LEINOT APPLICABLE1</v>
          </cell>
          <cell r="C443" t="str">
            <v>B90.00</v>
          </cell>
          <cell r="D443" t="str">
            <v>NOT APPLICABLE</v>
          </cell>
          <cell r="E443" t="str">
            <v>BU_LOANTAPE_WORK.OUT_B9000_COUNTERPARTIES</v>
          </cell>
          <cell r="F443" t="str">
            <v>N/A</v>
          </cell>
          <cell r="G443" t="str">
            <v>0050_CNTRPRTY_LEI</v>
          </cell>
          <cell r="H443" t="str">
            <v>2025-10-31</v>
          </cell>
          <cell r="I443">
            <v>4740</v>
          </cell>
          <cell r="J443">
            <v>0</v>
          </cell>
          <cell r="K443" t="str">
            <v>1</v>
          </cell>
          <cell r="L443" t="str">
            <v>2025-11-13 11:59:38.155713000</v>
          </cell>
        </row>
        <row r="444">
          <cell r="A444" t="str">
            <v>B90.000060_TYP_CNTRPRTY_ID</v>
          </cell>
          <cell r="B444" t="str">
            <v>B90.000060_TYP_CNTRPRTY_IDCOERÊNCIA1</v>
          </cell>
          <cell r="C444" t="str">
            <v>B90.00</v>
          </cell>
          <cell r="D444" t="str">
            <v>COERÊNCIA</v>
          </cell>
          <cell r="E444" t="str">
            <v>BU_LOANTAPE_WORK.OUT_B9000_COUNTERPARTIES</v>
          </cell>
          <cell r="F444" t="str">
            <v>BU_CAPTOOLS_WORK.SIMUL_B9000_COUNTERPARTIES</v>
          </cell>
          <cell r="G444" t="str">
            <v>0060_TYP_CNTRPRTY_ID</v>
          </cell>
          <cell r="H444" t="str">
            <v>2025-10-31</v>
          </cell>
          <cell r="I444">
            <v>4740</v>
          </cell>
          <cell r="J444">
            <v>2</v>
          </cell>
          <cell r="K444" t="str">
            <v>1</v>
          </cell>
          <cell r="L444" t="str">
            <v>2025-11-13 11:59:38.155713000</v>
          </cell>
        </row>
        <row r="445">
          <cell r="A445" t="str">
            <v>B90.000060_TYP_CNTRPRTY_ID</v>
          </cell>
          <cell r="B445" t="str">
            <v>B90.000060_TYP_CNTRPRTY_IDVALIDADE1</v>
          </cell>
          <cell r="C445" t="str">
            <v>B90.00</v>
          </cell>
          <cell r="D445" t="str">
            <v>VALIDADE</v>
          </cell>
          <cell r="E445" t="str">
            <v>BU_LOANTAPE_WORK.OUT_B9000_COUNTERPARTIES</v>
          </cell>
          <cell r="F445" t="str">
            <v>N/A</v>
          </cell>
          <cell r="G445" t="str">
            <v>0060_TYP_CNTRPRTY_ID</v>
          </cell>
          <cell r="H445" t="str">
            <v>2025-10-31</v>
          </cell>
          <cell r="I445">
            <v>4740</v>
          </cell>
          <cell r="J445">
            <v>0</v>
          </cell>
          <cell r="K445" t="str">
            <v>1</v>
          </cell>
          <cell r="L445" t="str">
            <v>2025-11-13 11:59:38.155713000</v>
          </cell>
        </row>
        <row r="446">
          <cell r="A446" t="str">
            <v>B90.000060_TYP_CNTRPRTY_ID</v>
          </cell>
          <cell r="B446" t="str">
            <v>B90.000060_TYP_CNTRPRTY_IDCARACTERES ESPECIAIS1</v>
          </cell>
          <cell r="C446" t="str">
            <v>B90.00</v>
          </cell>
          <cell r="D446" t="str">
            <v>CARACTERES ESPECIAIS</v>
          </cell>
          <cell r="E446" t="str">
            <v>BU_LOANTAPE_WORK.OUT_B9000_COUNTERPARTIES</v>
          </cell>
          <cell r="F446" t="str">
            <v>N/A</v>
          </cell>
          <cell r="G446" t="str">
            <v>0060_TYP_CNTRPRTY_ID</v>
          </cell>
          <cell r="H446" t="str">
            <v>2025-10-31</v>
          </cell>
          <cell r="I446">
            <v>4740</v>
          </cell>
          <cell r="J446">
            <v>0</v>
          </cell>
          <cell r="K446" t="str">
            <v>1</v>
          </cell>
          <cell r="L446" t="str">
            <v>2025-11-13 11:59:38.155713000</v>
          </cell>
        </row>
        <row r="447">
          <cell r="A447" t="str">
            <v>B90.000060_TYP_CNTRPRTY_ID</v>
          </cell>
          <cell r="B447" t="str">
            <v>B90.000060_TYP_CNTRPRTY_IDMISSINGS1</v>
          </cell>
          <cell r="C447" t="str">
            <v>B90.00</v>
          </cell>
          <cell r="D447" t="str">
            <v>MISSINGS</v>
          </cell>
          <cell r="E447" t="str">
            <v>BU_LOANTAPE_WORK.OUT_B9000_COUNTERPARTIES</v>
          </cell>
          <cell r="F447" t="str">
            <v>N/A</v>
          </cell>
          <cell r="G447" t="str">
            <v>0060_TYP_CNTRPRTY_ID</v>
          </cell>
          <cell r="H447" t="str">
            <v>2025-10-31</v>
          </cell>
          <cell r="I447">
            <v>4740</v>
          </cell>
          <cell r="J447">
            <v>0</v>
          </cell>
          <cell r="K447" t="str">
            <v>1</v>
          </cell>
          <cell r="L447" t="str">
            <v>2025-11-13 11:59:38.155713000</v>
          </cell>
        </row>
        <row r="448">
          <cell r="A448" t="str">
            <v>B90.000060_TYP_CNTRPRTY_ID</v>
          </cell>
          <cell r="B448" t="str">
            <v>B90.000060_TYP_CNTRPRTY_IDNOT APPLICABLE1</v>
          </cell>
          <cell r="C448" t="str">
            <v>B90.00</v>
          </cell>
          <cell r="D448" t="str">
            <v>NOT APPLICABLE</v>
          </cell>
          <cell r="E448" t="str">
            <v>BU_LOANTAPE_WORK.OUT_B9000_COUNTERPARTIES</v>
          </cell>
          <cell r="F448" t="str">
            <v>N/A</v>
          </cell>
          <cell r="G448" t="str">
            <v>0060_TYP_CNTRPRTY_ID</v>
          </cell>
          <cell r="H448" t="str">
            <v>2025-10-31</v>
          </cell>
          <cell r="I448">
            <v>4740</v>
          </cell>
          <cell r="J448">
            <v>0</v>
          </cell>
          <cell r="K448" t="str">
            <v>1</v>
          </cell>
          <cell r="L448" t="str">
            <v>2025-11-13 11:59:38.155713000</v>
          </cell>
        </row>
        <row r="449">
          <cell r="A449" t="str">
            <v>B90.000070_CNTRPRTY_ID</v>
          </cell>
          <cell r="B449" t="str">
            <v>B90.000070_CNTRPRTY_IDCOERÊNCIA1</v>
          </cell>
          <cell r="C449" t="str">
            <v>B90.00</v>
          </cell>
          <cell r="D449" t="str">
            <v>COERÊNCIA</v>
          </cell>
          <cell r="E449" t="str">
            <v>BU_LOANTAPE_WORK.OUT_B9000_COUNTERPARTIES</v>
          </cell>
          <cell r="F449" t="str">
            <v>BU_CAPTOOLS_WORK.SIMUL_B9000_COUNTERPARTIES</v>
          </cell>
          <cell r="G449" t="str">
            <v>0070_CNTRPRTY_ID</v>
          </cell>
          <cell r="H449" t="str">
            <v>2025-10-31</v>
          </cell>
          <cell r="I449">
            <v>4740</v>
          </cell>
          <cell r="J449">
            <v>0</v>
          </cell>
          <cell r="K449" t="str">
            <v>1</v>
          </cell>
          <cell r="L449" t="str">
            <v>2025-11-13 11:59:38.155713000</v>
          </cell>
        </row>
        <row r="450">
          <cell r="A450" t="str">
            <v>B90.000070_CNTRPRTY_ID</v>
          </cell>
          <cell r="B450" t="str">
            <v>B90.000070_CNTRPRTY_IDVALIDADE1</v>
          </cell>
          <cell r="C450" t="str">
            <v>B90.00</v>
          </cell>
          <cell r="D450" t="str">
            <v>VALIDADE</v>
          </cell>
          <cell r="E450" t="str">
            <v>BU_LOANTAPE_WORK.OUT_B9000_COUNTERPARTIES</v>
          </cell>
          <cell r="F450" t="str">
            <v>N/A</v>
          </cell>
          <cell r="G450" t="str">
            <v>0070_CNTRPRTY_ID</v>
          </cell>
          <cell r="H450" t="str">
            <v>2025-10-31</v>
          </cell>
          <cell r="I450">
            <v>4740</v>
          </cell>
          <cell r="J450">
            <v>0</v>
          </cell>
          <cell r="K450" t="str">
            <v>1</v>
          </cell>
          <cell r="L450" t="str">
            <v>2025-11-13 11:59:38.155713000</v>
          </cell>
        </row>
        <row r="451">
          <cell r="A451" t="str">
            <v>B90.000070_CNTRPRTY_ID</v>
          </cell>
          <cell r="B451" t="str">
            <v>B90.000070_CNTRPRTY_IDCARACTERES ESPECIAIS1</v>
          </cell>
          <cell r="C451" t="str">
            <v>B90.00</v>
          </cell>
          <cell r="D451" t="str">
            <v>CARACTERES ESPECIAIS</v>
          </cell>
          <cell r="E451" t="str">
            <v>BU_LOANTAPE_WORK.OUT_B9000_COUNTERPARTIES</v>
          </cell>
          <cell r="F451" t="str">
            <v>N/A</v>
          </cell>
          <cell r="G451" t="str">
            <v>0070_CNTRPRTY_ID</v>
          </cell>
          <cell r="H451" t="str">
            <v>2025-10-31</v>
          </cell>
          <cell r="I451">
            <v>4740</v>
          </cell>
          <cell r="J451">
            <v>0</v>
          </cell>
          <cell r="K451" t="str">
            <v>1</v>
          </cell>
          <cell r="L451" t="str">
            <v>2025-11-13 11:59:38.155713000</v>
          </cell>
        </row>
        <row r="452">
          <cell r="A452" t="str">
            <v>B90.000070_CNTRPRTY_ID</v>
          </cell>
          <cell r="B452" t="str">
            <v>B90.000070_CNTRPRTY_IDMISSINGS1</v>
          </cell>
          <cell r="C452" t="str">
            <v>B90.00</v>
          </cell>
          <cell r="D452" t="str">
            <v>MISSINGS</v>
          </cell>
          <cell r="E452" t="str">
            <v>BU_LOANTAPE_WORK.OUT_B9000_COUNTERPARTIES</v>
          </cell>
          <cell r="F452" t="str">
            <v>N/A</v>
          </cell>
          <cell r="G452" t="str">
            <v>0070_CNTRPRTY_ID</v>
          </cell>
          <cell r="H452" t="str">
            <v>2025-10-31</v>
          </cell>
          <cell r="I452">
            <v>4740</v>
          </cell>
          <cell r="J452">
            <v>0</v>
          </cell>
          <cell r="K452" t="str">
            <v>1</v>
          </cell>
          <cell r="L452" t="str">
            <v>2025-11-13 11:59:38.155713000</v>
          </cell>
        </row>
        <row r="453">
          <cell r="A453" t="str">
            <v>B90.000070_CNTRPRTY_ID</v>
          </cell>
          <cell r="B453" t="str">
            <v>B90.000070_CNTRPRTY_IDNOT APPLICABLE1</v>
          </cell>
          <cell r="C453" t="str">
            <v>B90.00</v>
          </cell>
          <cell r="D453" t="str">
            <v>NOT APPLICABLE</v>
          </cell>
          <cell r="E453" t="str">
            <v>BU_LOANTAPE_WORK.OUT_B9000_COUNTERPARTIES</v>
          </cell>
          <cell r="F453" t="str">
            <v>N/A</v>
          </cell>
          <cell r="G453" t="str">
            <v>0070_CNTRPRTY_ID</v>
          </cell>
          <cell r="H453" t="str">
            <v>2025-10-31</v>
          </cell>
          <cell r="I453">
            <v>4740</v>
          </cell>
          <cell r="J453">
            <v>2</v>
          </cell>
          <cell r="K453" t="str">
            <v>1</v>
          </cell>
          <cell r="L453" t="str">
            <v>2025-11-13 11:59:38.155713000</v>
          </cell>
        </row>
        <row r="454">
          <cell r="A454" t="str">
            <v>B90.000080_CNTRPRTY_TYP</v>
          </cell>
          <cell r="B454" t="str">
            <v>B90.000080_CNTRPRTY_TYPCOERÊNCIA1</v>
          </cell>
          <cell r="C454" t="str">
            <v>B90.00</v>
          </cell>
          <cell r="D454" t="str">
            <v>COERÊNCIA</v>
          </cell>
          <cell r="E454" t="str">
            <v>BU_LOANTAPE_WORK.OUT_B9000_COUNTERPARTIES</v>
          </cell>
          <cell r="F454" t="str">
            <v>BU_CAPTOOLS_WORK.SIMUL_B9000_COUNTERPARTIES</v>
          </cell>
          <cell r="G454" t="str">
            <v>0080_CNTRPRTY_TYP</v>
          </cell>
          <cell r="H454" t="str">
            <v>2025-10-31</v>
          </cell>
          <cell r="I454">
            <v>4740</v>
          </cell>
          <cell r="J454">
            <v>4740</v>
          </cell>
          <cell r="K454" t="str">
            <v>1</v>
          </cell>
          <cell r="L454" t="str">
            <v>2025-11-13 11:59:38.155713000</v>
          </cell>
        </row>
        <row r="455">
          <cell r="A455" t="str">
            <v>B90.000080_CNTRPRTY_TYP</v>
          </cell>
          <cell r="B455" t="str">
            <v>B90.000080_CNTRPRTY_TYPVALIDADE1</v>
          </cell>
          <cell r="C455" t="str">
            <v>B90.00</v>
          </cell>
          <cell r="D455" t="str">
            <v>VALIDADE</v>
          </cell>
          <cell r="E455" t="str">
            <v>BU_LOANTAPE_WORK.OUT_B9000_COUNTERPARTIES</v>
          </cell>
          <cell r="F455" t="str">
            <v>N/A</v>
          </cell>
          <cell r="G455" t="str">
            <v>0080_CNTRPRTY_TYP</v>
          </cell>
          <cell r="H455" t="str">
            <v>2025-10-31</v>
          </cell>
          <cell r="I455">
            <v>4740</v>
          </cell>
          <cell r="J455">
            <v>4740</v>
          </cell>
          <cell r="K455" t="str">
            <v>1</v>
          </cell>
          <cell r="L455" t="str">
            <v>2025-11-13 11:59:38.155713000</v>
          </cell>
        </row>
        <row r="456">
          <cell r="A456" t="str">
            <v>B90.000080_CNTRPRTY_TYP</v>
          </cell>
          <cell r="B456" t="str">
            <v>B90.000080_CNTRPRTY_TYPCARACTERES ESPECIAIS1</v>
          </cell>
          <cell r="C456" t="str">
            <v>B90.00</v>
          </cell>
          <cell r="D456" t="str">
            <v>CARACTERES ESPECIAIS</v>
          </cell>
          <cell r="E456" t="str">
            <v>BU_LOANTAPE_WORK.OUT_B9000_COUNTERPARTIES</v>
          </cell>
          <cell r="F456" t="str">
            <v>N/A</v>
          </cell>
          <cell r="G456" t="str">
            <v>0080_CNTRPRTY_TYP</v>
          </cell>
          <cell r="H456" t="str">
            <v>2025-10-31</v>
          </cell>
          <cell r="I456">
            <v>4740</v>
          </cell>
          <cell r="J456">
            <v>0</v>
          </cell>
          <cell r="K456" t="str">
            <v>1</v>
          </cell>
          <cell r="L456" t="str">
            <v>2025-11-13 11:59:38.155713000</v>
          </cell>
        </row>
        <row r="457">
          <cell r="A457" t="str">
            <v>B90.000080_CNTRPRTY_TYP</v>
          </cell>
          <cell r="B457" t="str">
            <v>B90.000080_CNTRPRTY_TYPMISSINGS1</v>
          </cell>
          <cell r="C457" t="str">
            <v>B90.00</v>
          </cell>
          <cell r="D457" t="str">
            <v>MISSINGS</v>
          </cell>
          <cell r="E457" t="str">
            <v>BU_LOANTAPE_WORK.OUT_B9000_COUNTERPARTIES</v>
          </cell>
          <cell r="F457" t="str">
            <v>N/A</v>
          </cell>
          <cell r="G457" t="str">
            <v>0080_CNTRPRTY_TYP</v>
          </cell>
          <cell r="H457" t="str">
            <v>2025-10-31</v>
          </cell>
          <cell r="I457">
            <v>4740</v>
          </cell>
          <cell r="J457">
            <v>0</v>
          </cell>
          <cell r="K457" t="str">
            <v>1</v>
          </cell>
          <cell r="L457" t="str">
            <v>2025-11-13 11:59:38.155713000</v>
          </cell>
        </row>
        <row r="458">
          <cell r="A458" t="str">
            <v>B90.000080_CNTRPRTY_TYP</v>
          </cell>
          <cell r="B458" t="str">
            <v>B90.000080_CNTRPRTY_TYPNOT APPLICABLE1</v>
          </cell>
          <cell r="C458" t="str">
            <v>B90.00</v>
          </cell>
          <cell r="D458" t="str">
            <v>NOT APPLICABLE</v>
          </cell>
          <cell r="E458" t="str">
            <v>BU_LOANTAPE_WORK.OUT_B9000_COUNTERPARTIES</v>
          </cell>
          <cell r="F458" t="str">
            <v>N/A</v>
          </cell>
          <cell r="G458" t="str">
            <v>0080_CNTRPRTY_TYP</v>
          </cell>
          <cell r="H458" t="str">
            <v>2025-10-31</v>
          </cell>
          <cell r="I458">
            <v>4740</v>
          </cell>
          <cell r="J458">
            <v>0</v>
          </cell>
          <cell r="K458" t="str">
            <v>1</v>
          </cell>
          <cell r="L458" t="str">
            <v>2025-11-13 11:59:38.155713000</v>
          </cell>
        </row>
        <row r="459">
          <cell r="A459" t="str">
            <v>B90.000090_CNTRY_CNTRPRTY</v>
          </cell>
          <cell r="B459" t="str">
            <v>B90.000090_CNTRY_CNTRPRTYCOERÊNCIA1</v>
          </cell>
          <cell r="C459" t="str">
            <v>B90.00</v>
          </cell>
          <cell r="D459" t="str">
            <v>COERÊNCIA</v>
          </cell>
          <cell r="E459" t="str">
            <v>BU_LOANTAPE_WORK.OUT_B9000_COUNTERPARTIES</v>
          </cell>
          <cell r="F459" t="str">
            <v>BU_CAPTOOLS_WORK.SIMUL_B9000_COUNTERPARTIES</v>
          </cell>
          <cell r="G459" t="str">
            <v>0090_CNTRY_CNTRPRTY</v>
          </cell>
          <cell r="H459" t="str">
            <v>2025-10-31</v>
          </cell>
          <cell r="I459">
            <v>4740</v>
          </cell>
          <cell r="J459">
            <v>4740</v>
          </cell>
          <cell r="K459" t="str">
            <v>1</v>
          </cell>
          <cell r="L459" t="str">
            <v>2025-11-13 11:59:38.155713000</v>
          </cell>
        </row>
        <row r="460">
          <cell r="A460" t="str">
            <v>B90.000090_CNTRY_CNTRPRTY</v>
          </cell>
          <cell r="B460" t="str">
            <v>B90.000090_CNTRY_CNTRPRTYVALIDADE1</v>
          </cell>
          <cell r="C460" t="str">
            <v>B90.00</v>
          </cell>
          <cell r="D460" t="str">
            <v>VALIDADE</v>
          </cell>
          <cell r="E460" t="str">
            <v>BU_LOANTAPE_WORK.OUT_B9000_COUNTERPARTIES</v>
          </cell>
          <cell r="F460" t="str">
            <v>N/A</v>
          </cell>
          <cell r="G460" t="str">
            <v>0090_CNTRY_CNTRPRTY</v>
          </cell>
          <cell r="H460" t="str">
            <v>2025-10-31</v>
          </cell>
          <cell r="I460">
            <v>4740</v>
          </cell>
          <cell r="J460">
            <v>4740</v>
          </cell>
          <cell r="K460" t="str">
            <v>1</v>
          </cell>
          <cell r="L460" t="str">
            <v>2025-11-13 11:59:38.155713000</v>
          </cell>
        </row>
        <row r="461">
          <cell r="A461" t="str">
            <v>B90.000090_CNTRY_CNTRPRTY</v>
          </cell>
          <cell r="B461" t="str">
            <v>B90.000090_CNTRY_CNTRPRTYCARACTERES ESPECIAIS1</v>
          </cell>
          <cell r="C461" t="str">
            <v>B90.00</v>
          </cell>
          <cell r="D461" t="str">
            <v>CARACTERES ESPECIAIS</v>
          </cell>
          <cell r="E461" t="str">
            <v>BU_LOANTAPE_WORK.OUT_B9000_COUNTERPARTIES</v>
          </cell>
          <cell r="F461" t="str">
            <v>N/A</v>
          </cell>
          <cell r="G461" t="str">
            <v>0090_CNTRY_CNTRPRTY</v>
          </cell>
          <cell r="H461" t="str">
            <v>2025-10-31</v>
          </cell>
          <cell r="I461">
            <v>4740</v>
          </cell>
          <cell r="J461">
            <v>0</v>
          </cell>
          <cell r="K461" t="str">
            <v>1</v>
          </cell>
          <cell r="L461" t="str">
            <v>2025-11-13 11:59:38.155713000</v>
          </cell>
        </row>
        <row r="462">
          <cell r="A462" t="str">
            <v>B90.000090_CNTRY_CNTRPRTY</v>
          </cell>
          <cell r="B462" t="str">
            <v>B90.000090_CNTRY_CNTRPRTYMISSINGS1</v>
          </cell>
          <cell r="C462" t="str">
            <v>B90.00</v>
          </cell>
          <cell r="D462" t="str">
            <v>MISSINGS</v>
          </cell>
          <cell r="E462" t="str">
            <v>BU_LOANTAPE_WORK.OUT_B9000_COUNTERPARTIES</v>
          </cell>
          <cell r="F462" t="str">
            <v>N/A</v>
          </cell>
          <cell r="G462" t="str">
            <v>0090_CNTRY_CNTRPRTY</v>
          </cell>
          <cell r="H462" t="str">
            <v>2025-10-31</v>
          </cell>
          <cell r="I462">
            <v>4740</v>
          </cell>
          <cell r="J462">
            <v>0</v>
          </cell>
          <cell r="K462" t="str">
            <v>1</v>
          </cell>
          <cell r="L462" t="str">
            <v>2025-11-13 11:59:38.155713000</v>
          </cell>
        </row>
        <row r="463">
          <cell r="A463" t="str">
            <v>B90.000090_CNTRY_CNTRPRTY</v>
          </cell>
          <cell r="B463" t="str">
            <v>B90.000090_CNTRY_CNTRPRTYNOT APPLICABLE1</v>
          </cell>
          <cell r="C463" t="str">
            <v>B90.00</v>
          </cell>
          <cell r="D463" t="str">
            <v>NOT APPLICABLE</v>
          </cell>
          <cell r="E463" t="str">
            <v>BU_LOANTAPE_WORK.OUT_B9000_COUNTERPARTIES</v>
          </cell>
          <cell r="F463" t="str">
            <v>N/A</v>
          </cell>
          <cell r="G463" t="str">
            <v>0090_CNTRY_CNTRPRTY</v>
          </cell>
          <cell r="H463" t="str">
            <v>2025-10-31</v>
          </cell>
          <cell r="I463">
            <v>4740</v>
          </cell>
          <cell r="J463">
            <v>0</v>
          </cell>
          <cell r="K463" t="str">
            <v>1</v>
          </cell>
          <cell r="L463" t="str">
            <v>2025-11-13 11:59:38.155713000</v>
          </cell>
        </row>
        <row r="464">
          <cell r="A464" t="str">
            <v>B90.000100_RLVNT_AMNT_WDC</v>
          </cell>
          <cell r="B464" t="str">
            <v>B90.000100_RLVNT_AMNT_WDCCOERÊNCIA1</v>
          </cell>
          <cell r="C464" t="str">
            <v>B90.00</v>
          </cell>
          <cell r="D464" t="str">
            <v>COERÊNCIA</v>
          </cell>
          <cell r="E464" t="str">
            <v>BU_LOANTAPE_WORK.OUT_B9000_COUNTERPARTIES</v>
          </cell>
          <cell r="F464" t="str">
            <v>BU_CAPTOOLS_WORK.SIMUL_B9000_COUNTERPARTIES</v>
          </cell>
          <cell r="G464" t="str">
            <v>0100_RLVNT_AMNT_WDC</v>
          </cell>
          <cell r="H464" t="str">
            <v>2025-10-31</v>
          </cell>
          <cell r="I464">
            <v>4740</v>
          </cell>
          <cell r="J464">
            <v>4740</v>
          </cell>
          <cell r="K464" t="str">
            <v>1</v>
          </cell>
          <cell r="L464" t="str">
            <v>2025-11-13 11:59:38.155713000</v>
          </cell>
        </row>
        <row r="465">
          <cell r="A465" t="str">
            <v>B90.000100_RLVNT_AMNT_WDC</v>
          </cell>
          <cell r="B465" t="str">
            <v>B90.000100_RLVNT_AMNT_WDCVALIDADE1</v>
          </cell>
          <cell r="C465" t="str">
            <v>B90.00</v>
          </cell>
          <cell r="D465" t="str">
            <v>VALIDADE</v>
          </cell>
          <cell r="E465" t="str">
            <v>BU_LOANTAPE_WORK.OUT_B9000_COUNTERPARTIES</v>
          </cell>
          <cell r="F465" t="str">
            <v>N/A</v>
          </cell>
          <cell r="G465" t="str">
            <v>0100_RLVNT_AMNT_WDC</v>
          </cell>
          <cell r="H465" t="str">
            <v>2025-10-31</v>
          </cell>
          <cell r="I465">
            <v>4740</v>
          </cell>
          <cell r="J465">
            <v>4740</v>
          </cell>
          <cell r="K465" t="str">
            <v>1</v>
          </cell>
          <cell r="L465" t="str">
            <v>2025-11-13 11:59:38.155713000</v>
          </cell>
        </row>
        <row r="466">
          <cell r="A466" t="str">
            <v>B90.000100_RLVNT_AMNT_WDC</v>
          </cell>
          <cell r="B466" t="str">
            <v>B90.000100_RLVNT_AMNT_WDCCARACTERES ESPECIAIS1</v>
          </cell>
          <cell r="C466" t="str">
            <v>B90.00</v>
          </cell>
          <cell r="D466" t="str">
            <v>CARACTERES ESPECIAIS</v>
          </cell>
          <cell r="E466" t="str">
            <v>BU_LOANTAPE_WORK.OUT_B9000_COUNTERPARTIES</v>
          </cell>
          <cell r="F466" t="str">
            <v>N/A</v>
          </cell>
          <cell r="G466" t="str">
            <v>0100_RLVNT_AMNT_WDC</v>
          </cell>
          <cell r="H466" t="str">
            <v>2025-10-31</v>
          </cell>
          <cell r="I466">
            <v>4740</v>
          </cell>
          <cell r="J466">
            <v>0</v>
          </cell>
          <cell r="K466" t="str">
            <v>1</v>
          </cell>
          <cell r="L466" t="str">
            <v>2025-11-13 11:59:38.155713000</v>
          </cell>
        </row>
        <row r="467">
          <cell r="A467" t="str">
            <v>B90.000100_RLVNT_AMNT_WDC</v>
          </cell>
          <cell r="B467" t="str">
            <v>B90.000100_RLVNT_AMNT_WDCMISSINGS1</v>
          </cell>
          <cell r="C467" t="str">
            <v>B90.00</v>
          </cell>
          <cell r="D467" t="str">
            <v>MISSINGS</v>
          </cell>
          <cell r="E467" t="str">
            <v>BU_LOANTAPE_WORK.OUT_B9000_COUNTERPARTIES</v>
          </cell>
          <cell r="F467" t="str">
            <v>N/A</v>
          </cell>
          <cell r="G467" t="str">
            <v>0100_RLVNT_AMNT_WDC</v>
          </cell>
          <cell r="H467" t="str">
            <v>2025-10-31</v>
          </cell>
          <cell r="I467">
            <v>4740</v>
          </cell>
          <cell r="J467">
            <v>0</v>
          </cell>
          <cell r="K467" t="str">
            <v>1</v>
          </cell>
          <cell r="L467" t="str">
            <v>2025-11-13 11:59:38.155713000</v>
          </cell>
        </row>
        <row r="468">
          <cell r="A468" t="str">
            <v>B90.000100_RLVNT_AMNT_WDC</v>
          </cell>
          <cell r="B468" t="str">
            <v>B90.000100_RLVNT_AMNT_WDCNOT APPLICABLE1</v>
          </cell>
          <cell r="C468" t="str">
            <v>B90.00</v>
          </cell>
          <cell r="D468" t="str">
            <v>NOT APPLICABLE</v>
          </cell>
          <cell r="E468" t="str">
            <v>BU_LOANTAPE_WORK.OUT_B9000_COUNTERPARTIES</v>
          </cell>
          <cell r="F468" t="str">
            <v>N/A</v>
          </cell>
          <cell r="G468" t="str">
            <v>0100_RLVNT_AMNT_WDC</v>
          </cell>
          <cell r="H468" t="str">
            <v>2025-10-31</v>
          </cell>
          <cell r="I468">
            <v>4740</v>
          </cell>
          <cell r="J468">
            <v>0</v>
          </cell>
          <cell r="K468" t="str">
            <v>1</v>
          </cell>
          <cell r="L468" t="str">
            <v>2025-11-13 11:59:38.155713000</v>
          </cell>
        </row>
        <row r="469">
          <cell r="A469" t="str">
            <v>LT003CNTRPRTY_RSLTN_GRP</v>
          </cell>
          <cell r="B469" t="str">
            <v>LT003CNTRPRTY_RSLTN_GRPCOERÊNCIA</v>
          </cell>
          <cell r="C469" t="str">
            <v>LT003</v>
          </cell>
          <cell r="D469" t="str">
            <v>COERÊNCIA</v>
          </cell>
          <cell r="E469" t="str">
            <v>BU_LOANTAPE_WORK.LT003_ENTITY</v>
          </cell>
          <cell r="F469" t="str">
            <v>BU_CAPTOOLS_WORK.SIMUL_LT003_ENTITY</v>
          </cell>
          <cell r="G469" t="str">
            <v>CNTRPRTY_RSLTN_GRP</v>
          </cell>
          <cell r="L469" t="str">
            <v>Campo por criar LT IT</v>
          </cell>
        </row>
        <row r="470">
          <cell r="A470" t="str">
            <v>LT003CNTRPRTY_RSLTN_GRP</v>
          </cell>
          <cell r="B470" t="str">
            <v>LT003CNTRPRTY_RSLTN_GRPVALIDADE</v>
          </cell>
          <cell r="C470" t="str">
            <v>LT003</v>
          </cell>
          <cell r="D470" t="str">
            <v>VALIDADE</v>
          </cell>
          <cell r="E470" t="str">
            <v>BU_LOANTAPE_WORK.LT003_ENTITY</v>
          </cell>
          <cell r="F470" t="str">
            <v>N/A</v>
          </cell>
          <cell r="G470" t="str">
            <v>CNTRPRTY_RSLTN_GRP</v>
          </cell>
          <cell r="L470" t="str">
            <v>Campo por criar LT IT</v>
          </cell>
        </row>
        <row r="471">
          <cell r="A471" t="str">
            <v>LT003CNTRPRTY_RSLTN_GRP</v>
          </cell>
          <cell r="B471" t="str">
            <v>LT003CNTRPRTY_RSLTN_GRPCARACTERES ESPECIAIS</v>
          </cell>
          <cell r="C471" t="str">
            <v>LT003</v>
          </cell>
          <cell r="D471" t="str">
            <v>CARACTERES ESPECIAIS</v>
          </cell>
          <cell r="E471" t="str">
            <v>BU_LOANTAPE_WORK.LT003_ENTITY</v>
          </cell>
          <cell r="F471" t="str">
            <v>N/A</v>
          </cell>
          <cell r="G471" t="str">
            <v>CNTRPRTY_RSLTN_GRP</v>
          </cell>
          <cell r="L471" t="str">
            <v>Campo por criar LT IT</v>
          </cell>
        </row>
        <row r="472">
          <cell r="A472" t="str">
            <v>LT003CNTRPRTY_RSLTN_GRP</v>
          </cell>
          <cell r="B472" t="str">
            <v>LT003CNTRPRTY_RSLTN_GRPMISSINGS</v>
          </cell>
          <cell r="C472" t="str">
            <v>LT003</v>
          </cell>
          <cell r="D472" t="str">
            <v>MISSINGS</v>
          </cell>
          <cell r="E472" t="str">
            <v>BU_LOANTAPE_WORK.LT003_ENTITY</v>
          </cell>
          <cell r="F472" t="str">
            <v>N/A</v>
          </cell>
          <cell r="G472" t="str">
            <v>CNTRPRTY_RSLTN_GRP</v>
          </cell>
          <cell r="L472" t="str">
            <v>Campo por criar LT IT</v>
          </cell>
        </row>
        <row r="473">
          <cell r="A473" t="str">
            <v>LT003CNTRPRTY_RSLTN_GRP</v>
          </cell>
          <cell r="B473" t="str">
            <v>LT003CNTRPRTY_RSLTN_GRPNOT APPLICABLE</v>
          </cell>
          <cell r="C473" t="str">
            <v>LT003</v>
          </cell>
          <cell r="D473" t="str">
            <v>NOT APPLICABLE</v>
          </cell>
          <cell r="E473" t="str">
            <v>BU_LOANTAPE_WORK.LT003_ENTITY</v>
          </cell>
          <cell r="F473" t="str">
            <v>N/A</v>
          </cell>
          <cell r="G473" t="str">
            <v>CNTRPRTY_RSLTN_GRP</v>
          </cell>
          <cell r="L473" t="str">
            <v>Campo por criar LT IT</v>
          </cell>
        </row>
        <row r="474">
          <cell r="A474" t="str">
            <v>LT003PRSN_TYP</v>
          </cell>
          <cell r="B474" t="str">
            <v>LT003PRSN_TYPCOERÊNCIA1</v>
          </cell>
          <cell r="C474" t="str">
            <v>LT003</v>
          </cell>
          <cell r="D474" t="str">
            <v>COERÊNCIA</v>
          </cell>
          <cell r="E474" t="str">
            <v>BU_LOANTAPE_WORK.LT003_ENTITY</v>
          </cell>
          <cell r="F474" t="str">
            <v>BU_CAPTOOLS_WORK.SIMUL_LT003_ENTITY</v>
          </cell>
          <cell r="G474" t="str">
            <v>PRSN_TYP</v>
          </cell>
          <cell r="H474" t="str">
            <v>2025-10-31</v>
          </cell>
          <cell r="I474">
            <v>37</v>
          </cell>
          <cell r="J474">
            <v>36</v>
          </cell>
          <cell r="K474" t="str">
            <v>1</v>
          </cell>
          <cell r="L474" t="str">
            <v>2025-11-13 16:19:31.450366000</v>
          </cell>
        </row>
        <row r="475">
          <cell r="A475" t="str">
            <v>LT003PRSN_TYP</v>
          </cell>
          <cell r="B475" t="str">
            <v>LT003PRSN_TYPVALIDADE1</v>
          </cell>
          <cell r="C475" t="str">
            <v>LT003</v>
          </cell>
          <cell r="D475" t="str">
            <v>VALIDADE</v>
          </cell>
          <cell r="E475" t="str">
            <v>BU_LOANTAPE_WORK.LT003_ENTITY</v>
          </cell>
          <cell r="F475" t="str">
            <v>N/A</v>
          </cell>
          <cell r="G475" t="str">
            <v>PRSN_TYP</v>
          </cell>
          <cell r="H475" t="str">
            <v>2025-10-31</v>
          </cell>
          <cell r="I475">
            <v>37</v>
          </cell>
          <cell r="J475">
            <v>37</v>
          </cell>
          <cell r="K475" t="str">
            <v>1</v>
          </cell>
          <cell r="L475" t="str">
            <v>2025-11-13 16:19:31.450366000</v>
          </cell>
        </row>
        <row r="476">
          <cell r="A476" t="str">
            <v>LT003PRSN_TYP</v>
          </cell>
          <cell r="B476" t="str">
            <v>LT003PRSN_TYPCARACTERES ESPECIAIS1</v>
          </cell>
          <cell r="C476" t="str">
            <v>LT003</v>
          </cell>
          <cell r="D476" t="str">
            <v>CARACTERES ESPECIAIS</v>
          </cell>
          <cell r="E476" t="str">
            <v>BU_LOANTAPE_WORK.LT003_ENTITY</v>
          </cell>
          <cell r="F476" t="str">
            <v>N/A</v>
          </cell>
          <cell r="G476" t="str">
            <v>PRSN_TYP</v>
          </cell>
          <cell r="H476" t="str">
            <v>2025-10-31</v>
          </cell>
          <cell r="I476">
            <v>37</v>
          </cell>
          <cell r="J476">
            <v>0</v>
          </cell>
          <cell r="K476" t="str">
            <v>1</v>
          </cell>
          <cell r="L476" t="str">
            <v>2025-11-13 16:19:31.450366000</v>
          </cell>
        </row>
        <row r="477">
          <cell r="A477" t="str">
            <v>LT003PRSN_TYP</v>
          </cell>
          <cell r="B477" t="str">
            <v>LT003PRSN_TYPMISSINGS1</v>
          </cell>
          <cell r="C477" t="str">
            <v>LT003</v>
          </cell>
          <cell r="D477" t="str">
            <v>MISSINGS</v>
          </cell>
          <cell r="E477" t="str">
            <v>BU_LOANTAPE_WORK.LT003_ENTITY</v>
          </cell>
          <cell r="F477" t="str">
            <v>N/A</v>
          </cell>
          <cell r="G477" t="str">
            <v>PRSN_TYP</v>
          </cell>
          <cell r="H477" t="str">
            <v>2025-10-31</v>
          </cell>
          <cell r="I477">
            <v>37</v>
          </cell>
          <cell r="J477">
            <v>0</v>
          </cell>
          <cell r="K477" t="str">
            <v>1</v>
          </cell>
          <cell r="L477" t="str">
            <v>2025-11-13 16:19:31.450366000</v>
          </cell>
        </row>
        <row r="478">
          <cell r="A478" t="str">
            <v>LT003PRSN_TYP</v>
          </cell>
          <cell r="B478" t="str">
            <v>LT003PRSN_TYPNOT APPLICABLE1</v>
          </cell>
          <cell r="C478" t="str">
            <v>LT003</v>
          </cell>
          <cell r="D478" t="str">
            <v>NOT APPLICABLE</v>
          </cell>
          <cell r="E478" t="str">
            <v>BU_LOANTAPE_WORK.LT003_ENTITY</v>
          </cell>
          <cell r="F478" t="str">
            <v>N/A</v>
          </cell>
          <cell r="G478" t="str">
            <v>PRSN_TYP</v>
          </cell>
          <cell r="H478" t="str">
            <v>2025-10-31</v>
          </cell>
          <cell r="I478">
            <v>37</v>
          </cell>
          <cell r="J478">
            <v>0</v>
          </cell>
          <cell r="K478" t="str">
            <v>1</v>
          </cell>
          <cell r="L478" t="str">
            <v>2025-11-13 16:19:31.450366000</v>
          </cell>
        </row>
        <row r="479">
          <cell r="A479" t="str">
            <v>LT003ENTTY_NM</v>
          </cell>
          <cell r="B479" t="str">
            <v>LT003ENTTY_NMCOERÊNCIA1</v>
          </cell>
          <cell r="C479" t="str">
            <v>LT003</v>
          </cell>
          <cell r="D479" t="str">
            <v>COERÊNCIA</v>
          </cell>
          <cell r="E479" t="str">
            <v>BU_LOANTAPE_WORK.LT003_ENTITY</v>
          </cell>
          <cell r="F479" t="str">
            <v>BU_CAPTOOLS_WORK.SIMUL_LT003_ENTITY</v>
          </cell>
          <cell r="G479" t="str">
            <v>ENTTY_NM</v>
          </cell>
          <cell r="H479" t="str">
            <v>2025-10-31</v>
          </cell>
          <cell r="I479">
            <v>37</v>
          </cell>
          <cell r="J479">
            <v>1</v>
          </cell>
          <cell r="K479" t="str">
            <v>1</v>
          </cell>
          <cell r="L479" t="str">
            <v>2025-11-13 16:19:31.450366000</v>
          </cell>
        </row>
        <row r="480">
          <cell r="A480" t="str">
            <v>LT003ENTTY_NM</v>
          </cell>
          <cell r="B480" t="str">
            <v>LT003ENTTY_NMVALIDADE1</v>
          </cell>
          <cell r="C480" t="str">
            <v>LT003</v>
          </cell>
          <cell r="D480" t="str">
            <v>VALIDADE</v>
          </cell>
          <cell r="E480" t="str">
            <v>BU_LOANTAPE_WORK.LT003_ENTITY</v>
          </cell>
          <cell r="F480" t="str">
            <v>N/A</v>
          </cell>
          <cell r="G480" t="str">
            <v>ENTTY_NM</v>
          </cell>
          <cell r="H480" t="str">
            <v>2025-10-31</v>
          </cell>
          <cell r="I480">
            <v>37</v>
          </cell>
          <cell r="J480">
            <v>0</v>
          </cell>
          <cell r="K480" t="str">
            <v>1</v>
          </cell>
          <cell r="L480" t="str">
            <v>2025-11-13 16:19:31.450366000</v>
          </cell>
        </row>
        <row r="481">
          <cell r="A481" t="str">
            <v>LT003ENTTY_NM</v>
          </cell>
          <cell r="B481" t="str">
            <v>LT003ENTTY_NMCARACTERES ESPECIAIS1</v>
          </cell>
          <cell r="C481" t="str">
            <v>LT003</v>
          </cell>
          <cell r="D481" t="str">
            <v>CARACTERES ESPECIAIS</v>
          </cell>
          <cell r="E481" t="str">
            <v>BU_LOANTAPE_WORK.LT003_ENTITY</v>
          </cell>
          <cell r="F481" t="str">
            <v>N/A</v>
          </cell>
          <cell r="G481" t="str">
            <v>ENTTY_NM</v>
          </cell>
          <cell r="H481" t="str">
            <v>2025-10-31</v>
          </cell>
          <cell r="I481">
            <v>37</v>
          </cell>
          <cell r="J481">
            <v>3</v>
          </cell>
          <cell r="K481" t="str">
            <v>1</v>
          </cell>
          <cell r="L481" t="str">
            <v>2025-11-13 16:19:31.450366000</v>
          </cell>
        </row>
        <row r="482">
          <cell r="A482" t="str">
            <v>LT003ENTTY_NM</v>
          </cell>
          <cell r="B482" t="str">
            <v>LT003ENTTY_NMMISSINGS1</v>
          </cell>
          <cell r="C482" t="str">
            <v>LT003</v>
          </cell>
          <cell r="D482" t="str">
            <v>MISSINGS</v>
          </cell>
          <cell r="E482" t="str">
            <v>BU_LOANTAPE_WORK.LT003_ENTITY</v>
          </cell>
          <cell r="F482" t="str">
            <v>N/A</v>
          </cell>
          <cell r="G482" t="str">
            <v>ENTTY_NM</v>
          </cell>
          <cell r="H482" t="str">
            <v>2025-10-31</v>
          </cell>
          <cell r="I482">
            <v>37</v>
          </cell>
          <cell r="J482">
            <v>0</v>
          </cell>
          <cell r="K482" t="str">
            <v>1</v>
          </cell>
          <cell r="L482" t="str">
            <v>2025-11-13 16:19:31.450366000</v>
          </cell>
        </row>
        <row r="483">
          <cell r="A483" t="str">
            <v>LT003ENTTY_NM</v>
          </cell>
          <cell r="B483" t="str">
            <v>LT003ENTTY_NMNOT APPLICABLE1</v>
          </cell>
          <cell r="C483" t="str">
            <v>LT003</v>
          </cell>
          <cell r="D483" t="str">
            <v>NOT APPLICABLE</v>
          </cell>
          <cell r="E483" t="str">
            <v>BU_LOANTAPE_WORK.LT003_ENTITY</v>
          </cell>
          <cell r="F483" t="str">
            <v>N/A</v>
          </cell>
          <cell r="G483" t="str">
            <v>ENTTY_NM</v>
          </cell>
          <cell r="H483" t="str">
            <v>2025-10-31</v>
          </cell>
          <cell r="I483">
            <v>37</v>
          </cell>
          <cell r="J483">
            <v>0</v>
          </cell>
          <cell r="K483" t="str">
            <v>1</v>
          </cell>
          <cell r="L483" t="str">
            <v>2025-11-13 16:19:31.450366000</v>
          </cell>
        </row>
        <row r="484">
          <cell r="A484" t="str">
            <v>LT003LEI</v>
          </cell>
          <cell r="B484" t="str">
            <v>LT003LEICOERÊNCIA1</v>
          </cell>
          <cell r="C484" t="str">
            <v>LT003</v>
          </cell>
          <cell r="D484" t="str">
            <v>COERÊNCIA</v>
          </cell>
          <cell r="E484" t="str">
            <v>BU_LOANTAPE_WORK.LT003_ENTITY</v>
          </cell>
          <cell r="F484" t="str">
            <v>BU_CAPTOOLS_WORK.SIMUL_LT003_ENTITY</v>
          </cell>
          <cell r="G484" t="str">
            <v>LEI</v>
          </cell>
          <cell r="H484" t="str">
            <v>2025-10-31</v>
          </cell>
          <cell r="I484">
            <v>37</v>
          </cell>
          <cell r="J484">
            <v>31</v>
          </cell>
          <cell r="K484" t="str">
            <v>1</v>
          </cell>
          <cell r="L484" t="str">
            <v>2025-11-13 16:19:31.450366000</v>
          </cell>
        </row>
        <row r="485">
          <cell r="A485" t="str">
            <v>LT003LEI</v>
          </cell>
          <cell r="B485" t="str">
            <v>LT003LEIVALIDADE1</v>
          </cell>
          <cell r="C485" t="str">
            <v>LT003</v>
          </cell>
          <cell r="D485" t="str">
            <v>VALIDADE</v>
          </cell>
          <cell r="E485" t="str">
            <v>BU_LOANTAPE_WORK.LT003_ENTITY</v>
          </cell>
          <cell r="F485" t="str">
            <v>N/A</v>
          </cell>
          <cell r="G485" t="str">
            <v>LEI</v>
          </cell>
          <cell r="H485" t="str">
            <v>2025-10-31</v>
          </cell>
          <cell r="I485">
            <v>37</v>
          </cell>
          <cell r="J485">
            <v>0</v>
          </cell>
          <cell r="K485" t="str">
            <v>1</v>
          </cell>
          <cell r="L485" t="str">
            <v>2025-11-13 16:19:31.450366000</v>
          </cell>
        </row>
        <row r="486">
          <cell r="A486" t="str">
            <v>LT003LEI</v>
          </cell>
          <cell r="B486" t="str">
            <v>LT003LEICARACTERES ESPECIAIS1</v>
          </cell>
          <cell r="C486" t="str">
            <v>LT003</v>
          </cell>
          <cell r="D486" t="str">
            <v>CARACTERES ESPECIAIS</v>
          </cell>
          <cell r="E486" t="str">
            <v>BU_LOANTAPE_WORK.LT003_ENTITY</v>
          </cell>
          <cell r="F486" t="str">
            <v>N/A</v>
          </cell>
          <cell r="G486" t="str">
            <v>LEI</v>
          </cell>
          <cell r="H486" t="str">
            <v>2025-10-31</v>
          </cell>
          <cell r="I486">
            <v>37</v>
          </cell>
          <cell r="J486">
            <v>29</v>
          </cell>
          <cell r="K486" t="str">
            <v>1</v>
          </cell>
          <cell r="L486" t="str">
            <v>2025-11-13 16:19:31.450366000</v>
          </cell>
        </row>
        <row r="487">
          <cell r="A487" t="str">
            <v>LT003LEI</v>
          </cell>
          <cell r="B487" t="str">
            <v>LT003LEIMISSINGS1</v>
          </cell>
          <cell r="C487" t="str">
            <v>LT003</v>
          </cell>
          <cell r="D487" t="str">
            <v>MISSINGS</v>
          </cell>
          <cell r="E487" t="str">
            <v>BU_LOANTAPE_WORK.LT003_ENTITY</v>
          </cell>
          <cell r="F487" t="str">
            <v>N/A</v>
          </cell>
          <cell r="G487" t="str">
            <v>LEI</v>
          </cell>
          <cell r="H487" t="str">
            <v>2025-10-31</v>
          </cell>
          <cell r="I487">
            <v>37</v>
          </cell>
          <cell r="J487">
            <v>0</v>
          </cell>
          <cell r="K487" t="str">
            <v>1</v>
          </cell>
          <cell r="L487" t="str">
            <v>2025-11-13 16:19:31.450366000</v>
          </cell>
        </row>
        <row r="488">
          <cell r="A488" t="str">
            <v>LT003LEI</v>
          </cell>
          <cell r="B488" t="str">
            <v>LT003LEINOT APPLICABLE1</v>
          </cell>
          <cell r="C488" t="str">
            <v>LT003</v>
          </cell>
          <cell r="D488" t="str">
            <v>NOT APPLICABLE</v>
          </cell>
          <cell r="E488" t="str">
            <v>BU_LOANTAPE_WORK.LT003_ENTITY</v>
          </cell>
          <cell r="F488" t="str">
            <v>N/A</v>
          </cell>
          <cell r="G488" t="str">
            <v>LEI</v>
          </cell>
          <cell r="H488" t="str">
            <v>2025-10-31</v>
          </cell>
          <cell r="I488">
            <v>37</v>
          </cell>
          <cell r="J488">
            <v>0</v>
          </cell>
          <cell r="K488" t="str">
            <v>1</v>
          </cell>
          <cell r="L488" t="str">
            <v>2025-11-13 16:19:31.450366000</v>
          </cell>
        </row>
        <row r="489">
          <cell r="A489" t="str">
            <v>LT003ENTTY_ID</v>
          </cell>
          <cell r="B489" t="str">
            <v>LT003ENTTY_IDCOERÊNCIA1</v>
          </cell>
          <cell r="C489" t="str">
            <v>LT003</v>
          </cell>
          <cell r="D489" t="str">
            <v>COERÊNCIA</v>
          </cell>
          <cell r="E489" t="str">
            <v>BU_LOANTAPE_WORK.LT003_ENTITY</v>
          </cell>
          <cell r="F489" t="str">
            <v>BU_CAPTOOLS_WORK.SIMUL_LT003_ENTITY</v>
          </cell>
          <cell r="G489" t="str">
            <v>ENTTY_ID</v>
          </cell>
          <cell r="H489" t="str">
            <v>2025-10-31</v>
          </cell>
          <cell r="I489">
            <v>37</v>
          </cell>
          <cell r="J489">
            <v>0</v>
          </cell>
          <cell r="K489" t="str">
            <v>1</v>
          </cell>
          <cell r="L489" t="str">
            <v>2025-11-13 16:19:31.450366000</v>
          </cell>
        </row>
        <row r="490">
          <cell r="A490" t="str">
            <v>LT003ENTTY_ID</v>
          </cell>
          <cell r="B490" t="str">
            <v>LT003ENTTY_IDVALIDADE1</v>
          </cell>
          <cell r="C490" t="str">
            <v>LT003</v>
          </cell>
          <cell r="D490" t="str">
            <v>VALIDADE</v>
          </cell>
          <cell r="E490" t="str">
            <v>BU_LOANTAPE_WORK.LT003_ENTITY</v>
          </cell>
          <cell r="F490" t="str">
            <v>N/A</v>
          </cell>
          <cell r="G490" t="str">
            <v>ENTTY_ID</v>
          </cell>
          <cell r="H490" t="str">
            <v>2025-10-31</v>
          </cell>
          <cell r="I490">
            <v>37</v>
          </cell>
          <cell r="J490">
            <v>0</v>
          </cell>
          <cell r="K490" t="str">
            <v>1</v>
          </cell>
          <cell r="L490" t="str">
            <v>2025-11-13 16:19:31.450366000</v>
          </cell>
        </row>
        <row r="491">
          <cell r="A491" t="str">
            <v>LT003ENTTY_ID</v>
          </cell>
          <cell r="B491" t="str">
            <v>LT003ENTTY_IDCARACTERES ESPECIAIS1</v>
          </cell>
          <cell r="C491" t="str">
            <v>LT003</v>
          </cell>
          <cell r="D491" t="str">
            <v>CARACTERES ESPECIAIS</v>
          </cell>
          <cell r="E491" t="str">
            <v>BU_LOANTAPE_WORK.LT003_ENTITY</v>
          </cell>
          <cell r="F491" t="str">
            <v>N/A</v>
          </cell>
          <cell r="G491" t="str">
            <v>ENTTY_ID</v>
          </cell>
          <cell r="H491" t="str">
            <v>2025-10-31</v>
          </cell>
          <cell r="I491">
            <v>37</v>
          </cell>
          <cell r="J491">
            <v>0</v>
          </cell>
          <cell r="K491" t="str">
            <v>1</v>
          </cell>
          <cell r="L491" t="str">
            <v>2025-11-13 16:19:31.450366000</v>
          </cell>
        </row>
        <row r="492">
          <cell r="A492" t="str">
            <v>LT003ENTTY_ID</v>
          </cell>
          <cell r="B492" t="str">
            <v>LT003ENTTY_IDMISSINGS1</v>
          </cell>
          <cell r="C492" t="str">
            <v>LT003</v>
          </cell>
          <cell r="D492" t="str">
            <v>MISSINGS</v>
          </cell>
          <cell r="E492" t="str">
            <v>BU_LOANTAPE_WORK.LT003_ENTITY</v>
          </cell>
          <cell r="F492" t="str">
            <v>N/A</v>
          </cell>
          <cell r="G492" t="str">
            <v>ENTTY_ID</v>
          </cell>
          <cell r="H492" t="str">
            <v>2025-10-31</v>
          </cell>
          <cell r="I492">
            <v>37</v>
          </cell>
          <cell r="J492">
            <v>0</v>
          </cell>
          <cell r="K492" t="str">
            <v>1</v>
          </cell>
          <cell r="L492" t="str">
            <v>2025-11-13 16:19:31.450366000</v>
          </cell>
        </row>
        <row r="493">
          <cell r="A493" t="str">
            <v>LT003ENTTY_ID</v>
          </cell>
          <cell r="B493" t="str">
            <v>LT003ENTTY_IDNOT APPLICABLE1</v>
          </cell>
          <cell r="C493" t="str">
            <v>LT003</v>
          </cell>
          <cell r="D493" t="str">
            <v>NOT APPLICABLE</v>
          </cell>
          <cell r="E493" t="str">
            <v>BU_LOANTAPE_WORK.LT003_ENTITY</v>
          </cell>
          <cell r="F493" t="str">
            <v>N/A</v>
          </cell>
          <cell r="G493" t="str">
            <v>ENTTY_ID</v>
          </cell>
          <cell r="H493" t="str">
            <v>2025-10-31</v>
          </cell>
          <cell r="I493">
            <v>37</v>
          </cell>
          <cell r="J493">
            <v>0</v>
          </cell>
          <cell r="K493" t="str">
            <v>1</v>
          </cell>
          <cell r="L493" t="str">
            <v>2025-11-13 16:19:31.450366000</v>
          </cell>
        </row>
        <row r="494">
          <cell r="A494" t="str">
            <v>LT003CNTRPRTY_TYP</v>
          </cell>
          <cell r="B494" t="str">
            <v>LT003CNTRPRTY_TYPCOERÊNCIA</v>
          </cell>
          <cell r="C494" t="str">
            <v>LT003</v>
          </cell>
          <cell r="D494" t="str">
            <v>COERÊNCIA</v>
          </cell>
          <cell r="E494" t="str">
            <v>BU_LOANTAPE_WORK.LT003_ENTITY</v>
          </cell>
          <cell r="F494" t="str">
            <v>BU_CAPTOOLS_WORK.SIMUL_LT003_ENTITY</v>
          </cell>
          <cell r="G494" t="str">
            <v>CNTRPRTY_TYP</v>
          </cell>
          <cell r="L494" t="str">
            <v>Campo por criar LT IT</v>
          </cell>
        </row>
        <row r="495">
          <cell r="A495" t="str">
            <v>LT003CNTRPRTY_TYP</v>
          </cell>
          <cell r="B495" t="str">
            <v>LT003CNTRPRTY_TYPVALIDADE</v>
          </cell>
          <cell r="C495" t="str">
            <v>LT003</v>
          </cell>
          <cell r="D495" t="str">
            <v>VALIDADE</v>
          </cell>
          <cell r="E495" t="str">
            <v>BU_LOANTAPE_WORK.LT003_ENTITY</v>
          </cell>
          <cell r="F495" t="str">
            <v>N/A</v>
          </cell>
          <cell r="G495" t="str">
            <v>CNTRPRTY_TYP</v>
          </cell>
          <cell r="L495" t="str">
            <v>Campo por criar LT IT</v>
          </cell>
        </row>
        <row r="496">
          <cell r="A496" t="str">
            <v>LT003CNTRPRTY_TYP</v>
          </cell>
          <cell r="B496" t="str">
            <v>LT003CNTRPRTY_TYPCARACTERES ESPECIAIS</v>
          </cell>
          <cell r="C496" t="str">
            <v>LT003</v>
          </cell>
          <cell r="D496" t="str">
            <v>CARACTERES ESPECIAIS</v>
          </cell>
          <cell r="E496" t="str">
            <v>BU_LOANTAPE_WORK.LT003_ENTITY</v>
          </cell>
          <cell r="F496" t="str">
            <v>N/A</v>
          </cell>
          <cell r="G496" t="str">
            <v>CNTRPRTY_TYP</v>
          </cell>
          <cell r="L496" t="str">
            <v>Campo por criar LT IT</v>
          </cell>
        </row>
        <row r="497">
          <cell r="A497" t="str">
            <v>LT003CNTRPRTY_TYP</v>
          </cell>
          <cell r="B497" t="str">
            <v>LT003CNTRPRTY_TYPMISSINGS</v>
          </cell>
          <cell r="C497" t="str">
            <v>LT003</v>
          </cell>
          <cell r="D497" t="str">
            <v>MISSINGS</v>
          </cell>
          <cell r="E497" t="str">
            <v>BU_LOANTAPE_WORK.LT003_ENTITY</v>
          </cell>
          <cell r="F497" t="str">
            <v>N/A</v>
          </cell>
          <cell r="G497" t="str">
            <v>CNTRPRTY_TYP</v>
          </cell>
          <cell r="L497" t="str">
            <v>Campo por criar LT IT</v>
          </cell>
        </row>
        <row r="498">
          <cell r="A498" t="str">
            <v>LT003CNTRPRTY_TYP</v>
          </cell>
          <cell r="B498" t="str">
            <v>LT003CNTRPRTY_TYPNOT APPLICABLE</v>
          </cell>
          <cell r="C498" t="str">
            <v>LT003</v>
          </cell>
          <cell r="D498" t="str">
            <v>NOT APPLICABLE</v>
          </cell>
          <cell r="E498" t="str">
            <v>BU_LOANTAPE_WORK.LT003_ENTITY</v>
          </cell>
          <cell r="F498" t="str">
            <v>N/A</v>
          </cell>
          <cell r="G498" t="str">
            <v>CNTRPRTY_TYP</v>
          </cell>
          <cell r="L498" t="str">
            <v>Campo por criar LT IT</v>
          </cell>
        </row>
        <row r="499">
          <cell r="A499" t="str">
            <v>LT003CNTRY</v>
          </cell>
          <cell r="B499" t="str">
            <v>LT003CNTRYCOERÊNCIA1</v>
          </cell>
          <cell r="C499" t="str">
            <v>LT003</v>
          </cell>
          <cell r="D499" t="str">
            <v>COERÊNCIA</v>
          </cell>
          <cell r="E499" t="str">
            <v>BU_LOANTAPE_WORK.LT003_ENTITY</v>
          </cell>
          <cell r="F499" t="str">
            <v>BU_CAPTOOLS_WORK.SIMUL_LT003_ENTITY</v>
          </cell>
          <cell r="G499" t="str">
            <v>CNTRY</v>
          </cell>
          <cell r="H499" t="str">
            <v>2025-10-31</v>
          </cell>
          <cell r="I499">
            <v>37</v>
          </cell>
          <cell r="J499">
            <v>1</v>
          </cell>
          <cell r="K499" t="str">
            <v>1</v>
          </cell>
          <cell r="L499" t="str">
            <v>2025-11-13 16:19:31.450366000</v>
          </cell>
        </row>
        <row r="500">
          <cell r="A500" t="str">
            <v>LT003CNTRY</v>
          </cell>
          <cell r="B500" t="str">
            <v>LT003CNTRYVALIDADE1</v>
          </cell>
          <cell r="C500" t="str">
            <v>LT003</v>
          </cell>
          <cell r="D500" t="str">
            <v>VALIDADE</v>
          </cell>
          <cell r="E500" t="str">
            <v>BU_LOANTAPE_WORK.LT003_ENTITY</v>
          </cell>
          <cell r="F500" t="str">
            <v>N/A</v>
          </cell>
          <cell r="G500" t="str">
            <v>CNTRY</v>
          </cell>
          <cell r="H500" t="str">
            <v>2025-10-31</v>
          </cell>
          <cell r="I500">
            <v>37</v>
          </cell>
          <cell r="J500">
            <v>0</v>
          </cell>
          <cell r="K500" t="str">
            <v>1</v>
          </cell>
          <cell r="L500" t="str">
            <v>2025-11-13 16:19:31.450366000</v>
          </cell>
        </row>
        <row r="501">
          <cell r="A501" t="str">
            <v>LT003CNTRY</v>
          </cell>
          <cell r="B501" t="str">
            <v>LT003CNTRYCARACTERES ESPECIAIS1</v>
          </cell>
          <cell r="C501" t="str">
            <v>LT003</v>
          </cell>
          <cell r="D501" t="str">
            <v>CARACTERES ESPECIAIS</v>
          </cell>
          <cell r="E501" t="str">
            <v>BU_LOANTAPE_WORK.LT003_ENTITY</v>
          </cell>
          <cell r="F501" t="str">
            <v>N/A</v>
          </cell>
          <cell r="G501" t="str">
            <v>CNTRY</v>
          </cell>
          <cell r="H501" t="str">
            <v>2025-10-31</v>
          </cell>
          <cell r="I501">
            <v>37</v>
          </cell>
          <cell r="J501">
            <v>0</v>
          </cell>
          <cell r="K501" t="str">
            <v>1</v>
          </cell>
          <cell r="L501" t="str">
            <v>2025-11-13 16:19:31.450366000</v>
          </cell>
        </row>
        <row r="502">
          <cell r="A502" t="str">
            <v>LT003CNTRY</v>
          </cell>
          <cell r="B502" t="str">
            <v>LT003CNTRYMISSINGS1</v>
          </cell>
          <cell r="C502" t="str">
            <v>LT003</v>
          </cell>
          <cell r="D502" t="str">
            <v>MISSINGS</v>
          </cell>
          <cell r="E502" t="str">
            <v>BU_LOANTAPE_WORK.LT003_ENTITY</v>
          </cell>
          <cell r="F502" t="str">
            <v>N/A</v>
          </cell>
          <cell r="G502" t="str">
            <v>CNTRY</v>
          </cell>
          <cell r="H502" t="str">
            <v>2025-10-31</v>
          </cell>
          <cell r="I502">
            <v>37</v>
          </cell>
          <cell r="J502">
            <v>0</v>
          </cell>
          <cell r="K502" t="str">
            <v>1</v>
          </cell>
          <cell r="L502" t="str">
            <v>2025-11-13 16:19:31.450366000</v>
          </cell>
        </row>
        <row r="503">
          <cell r="A503" t="str">
            <v>LT003CNTRY</v>
          </cell>
          <cell r="B503" t="str">
            <v>LT003CNTRYNOT APPLICABLE1</v>
          </cell>
          <cell r="C503" t="str">
            <v>LT003</v>
          </cell>
          <cell r="D503" t="str">
            <v>NOT APPLICABLE</v>
          </cell>
          <cell r="E503" t="str">
            <v>BU_LOANTAPE_WORK.LT003_ENTITY</v>
          </cell>
          <cell r="F503" t="str">
            <v>N/A</v>
          </cell>
          <cell r="G503" t="str">
            <v>CNTRY</v>
          </cell>
          <cell r="H503" t="str">
            <v>2025-10-31</v>
          </cell>
          <cell r="I503">
            <v>37</v>
          </cell>
          <cell r="J503">
            <v>0</v>
          </cell>
          <cell r="K503" t="str">
            <v>1</v>
          </cell>
          <cell r="L503" t="str">
            <v>2025-11-13 16:19:31.450366000</v>
          </cell>
        </row>
        <row r="504">
          <cell r="A504" t="str">
            <v>LT005ENTTY_ID</v>
          </cell>
          <cell r="B504" t="str">
            <v>LT005ENTTY_IDCOERÊNCIA1</v>
          </cell>
          <cell r="C504" t="str">
            <v>LT005</v>
          </cell>
          <cell r="D504" t="str">
            <v>COERÊNCIA</v>
          </cell>
          <cell r="E504" t="str">
            <v>BU_LOANTAPE_WORK.LT005_INSTR_ENT</v>
          </cell>
          <cell r="F504" t="str">
            <v>BU_CAPTOOLS_WORK.SIMUL_LT005_INSTR_ENT</v>
          </cell>
          <cell r="G504" t="str">
            <v>ENTTY_ID</v>
          </cell>
          <cell r="H504" t="str">
            <v>2025-10-31</v>
          </cell>
          <cell r="I504">
            <v>4744</v>
          </cell>
          <cell r="J504">
            <v>0</v>
          </cell>
          <cell r="K504" t="str">
            <v>1</v>
          </cell>
          <cell r="L504" t="str">
            <v>2025-11-13 17:04:14.281380000</v>
          </cell>
        </row>
        <row r="505">
          <cell r="A505" t="str">
            <v>LT005ENTTY_ID</v>
          </cell>
          <cell r="B505" t="str">
            <v>LT005ENTTY_IDVALIDADE1</v>
          </cell>
          <cell r="C505" t="str">
            <v>LT005</v>
          </cell>
          <cell r="D505" t="str">
            <v>VALIDADE</v>
          </cell>
          <cell r="E505" t="str">
            <v>BU_LOANTAPE_WORK.LT005_INSTR_ENT</v>
          </cell>
          <cell r="F505" t="str">
            <v>N/A</v>
          </cell>
          <cell r="G505" t="str">
            <v>ENTTY_ID</v>
          </cell>
          <cell r="H505" t="str">
            <v>2025-10-31</v>
          </cell>
          <cell r="I505">
            <v>4744</v>
          </cell>
          <cell r="J505">
            <v>0</v>
          </cell>
          <cell r="K505" t="str">
            <v>1</v>
          </cell>
          <cell r="L505" t="str">
            <v>2025-11-13 17:04:14.281380000</v>
          </cell>
        </row>
        <row r="506">
          <cell r="A506" t="str">
            <v>LT005ENTTY_ID</v>
          </cell>
          <cell r="B506" t="str">
            <v>LT005ENTTY_IDCARACTERES ESPECIAIS1</v>
          </cell>
          <cell r="C506" t="str">
            <v>LT005</v>
          </cell>
          <cell r="D506" t="str">
            <v>CARACTERES ESPECIAIS</v>
          </cell>
          <cell r="E506" t="str">
            <v>BU_LOANTAPE_WORK.LT005_INSTR_ENT</v>
          </cell>
          <cell r="F506" t="str">
            <v>N/A</v>
          </cell>
          <cell r="G506" t="str">
            <v>ENTTY_ID</v>
          </cell>
          <cell r="H506" t="str">
            <v>2025-10-31</v>
          </cell>
          <cell r="I506">
            <v>4744</v>
          </cell>
          <cell r="J506">
            <v>0</v>
          </cell>
          <cell r="K506" t="str">
            <v>1</v>
          </cell>
          <cell r="L506" t="str">
            <v>2025-11-13 17:04:14.281380000</v>
          </cell>
        </row>
        <row r="507">
          <cell r="A507" t="str">
            <v>LT005ENTTY_ID</v>
          </cell>
          <cell r="B507" t="str">
            <v>LT005ENTTY_IDMISSINGS1</v>
          </cell>
          <cell r="C507" t="str">
            <v>LT005</v>
          </cell>
          <cell r="D507" t="str">
            <v>MISSINGS</v>
          </cell>
          <cell r="E507" t="str">
            <v>BU_LOANTAPE_WORK.LT005_INSTR_ENT</v>
          </cell>
          <cell r="F507" t="str">
            <v>N/A</v>
          </cell>
          <cell r="G507" t="str">
            <v>ENTTY_ID</v>
          </cell>
          <cell r="H507" t="str">
            <v>2025-10-31</v>
          </cell>
          <cell r="I507">
            <v>4744</v>
          </cell>
          <cell r="J507">
            <v>0</v>
          </cell>
          <cell r="K507" t="str">
            <v>1</v>
          </cell>
          <cell r="L507" t="str">
            <v>2025-11-13 17:04:14.281380000</v>
          </cell>
        </row>
        <row r="508">
          <cell r="A508" t="str">
            <v>LT005ENTTY_ID</v>
          </cell>
          <cell r="B508" t="str">
            <v>LT005ENTTY_IDNOT APPLICABLE1</v>
          </cell>
          <cell r="C508" t="str">
            <v>LT005</v>
          </cell>
          <cell r="D508" t="str">
            <v>NOT APPLICABLE</v>
          </cell>
          <cell r="E508" t="str">
            <v>BU_LOANTAPE_WORK.LT005_INSTR_ENT</v>
          </cell>
          <cell r="F508" t="str">
            <v>N/A</v>
          </cell>
          <cell r="G508" t="str">
            <v>ENTTY_ID</v>
          </cell>
          <cell r="H508" t="str">
            <v>2025-10-31</v>
          </cell>
          <cell r="I508">
            <v>4744</v>
          </cell>
          <cell r="J508">
            <v>0</v>
          </cell>
          <cell r="K508" t="str">
            <v>1</v>
          </cell>
          <cell r="L508" t="str">
            <v>2025-11-13 17:04:14.281380000</v>
          </cell>
        </row>
        <row r="509">
          <cell r="A509" t="str">
            <v>LT005INSTRMNT_ID</v>
          </cell>
          <cell r="B509" t="str">
            <v>LT005INSTRMNT_IDCOERÊNCIA1</v>
          </cell>
          <cell r="C509" t="str">
            <v>LT005</v>
          </cell>
          <cell r="D509" t="str">
            <v>COERÊNCIA</v>
          </cell>
          <cell r="E509" t="str">
            <v>BU_LOANTAPE_WORK.LT005_INSTR_ENT</v>
          </cell>
          <cell r="F509" t="str">
            <v>BU_CAPTOOLS_WORK.SIMUL_LT005_INSTR_ENT</v>
          </cell>
          <cell r="G509" t="str">
            <v>INSTRMNT_ID</v>
          </cell>
          <cell r="H509" t="str">
            <v>2025-10-31</v>
          </cell>
          <cell r="I509">
            <v>4744</v>
          </cell>
          <cell r="J509">
            <v>0</v>
          </cell>
          <cell r="K509" t="str">
            <v>1</v>
          </cell>
          <cell r="L509" t="str">
            <v>2025-11-13 17:04:14.281380000</v>
          </cell>
        </row>
        <row r="510">
          <cell r="A510" t="str">
            <v>LT005INSTRMNT_ID</v>
          </cell>
          <cell r="B510" t="str">
            <v>LT005INSTRMNT_IDVALIDADE1</v>
          </cell>
          <cell r="C510" t="str">
            <v>LT005</v>
          </cell>
          <cell r="D510" t="str">
            <v>VALIDADE</v>
          </cell>
          <cell r="E510" t="str">
            <v>BU_LOANTAPE_WORK.LT005_INSTR_ENT</v>
          </cell>
          <cell r="F510" t="str">
            <v>N/A</v>
          </cell>
          <cell r="G510" t="str">
            <v>INSTRMNT_ID</v>
          </cell>
          <cell r="H510" t="str">
            <v>2025-10-31</v>
          </cell>
          <cell r="I510">
            <v>4744</v>
          </cell>
          <cell r="J510">
            <v>0</v>
          </cell>
          <cell r="K510" t="str">
            <v>1</v>
          </cell>
          <cell r="L510" t="str">
            <v>2025-11-13 17:04:14.281380000</v>
          </cell>
        </row>
        <row r="511">
          <cell r="A511" t="str">
            <v>LT005INSTRMNT_ID</v>
          </cell>
          <cell r="B511" t="str">
            <v>LT005INSTRMNT_IDCARACTERES ESPECIAIS1</v>
          </cell>
          <cell r="C511" t="str">
            <v>LT005</v>
          </cell>
          <cell r="D511" t="str">
            <v>CARACTERES ESPECIAIS</v>
          </cell>
          <cell r="E511" t="str">
            <v>BU_LOANTAPE_WORK.LT005_INSTR_ENT</v>
          </cell>
          <cell r="F511" t="str">
            <v>N/A</v>
          </cell>
          <cell r="G511" t="str">
            <v>INSTRMNT_ID</v>
          </cell>
          <cell r="H511" t="str">
            <v>2025-10-31</v>
          </cell>
          <cell r="I511">
            <v>4744</v>
          </cell>
          <cell r="J511">
            <v>0</v>
          </cell>
          <cell r="K511" t="str">
            <v>1</v>
          </cell>
          <cell r="L511" t="str">
            <v>2025-11-13 17:04:14.281380000</v>
          </cell>
        </row>
        <row r="512">
          <cell r="A512" t="str">
            <v>LT005INSTRMNT_ID</v>
          </cell>
          <cell r="B512" t="str">
            <v>LT005INSTRMNT_IDMISSINGS1</v>
          </cell>
          <cell r="C512" t="str">
            <v>LT005</v>
          </cell>
          <cell r="D512" t="str">
            <v>MISSINGS</v>
          </cell>
          <cell r="E512" t="str">
            <v>BU_LOANTAPE_WORK.LT005_INSTR_ENT</v>
          </cell>
          <cell r="F512" t="str">
            <v>N/A</v>
          </cell>
          <cell r="G512" t="str">
            <v>INSTRMNT_ID</v>
          </cell>
          <cell r="H512" t="str">
            <v>2025-10-31</v>
          </cell>
          <cell r="I512">
            <v>4744</v>
          </cell>
          <cell r="J512">
            <v>0</v>
          </cell>
          <cell r="K512" t="str">
            <v>1</v>
          </cell>
          <cell r="L512" t="str">
            <v>2025-11-13 17:04:14.281380000</v>
          </cell>
        </row>
        <row r="513">
          <cell r="A513" t="str">
            <v>LT005INSTRMNT_ID</v>
          </cell>
          <cell r="B513" t="str">
            <v>LT005INSTRMNT_IDNOT APPLICABLE1</v>
          </cell>
          <cell r="C513" t="str">
            <v>LT005</v>
          </cell>
          <cell r="D513" t="str">
            <v>NOT APPLICABLE</v>
          </cell>
          <cell r="E513" t="str">
            <v>BU_LOANTAPE_WORK.LT005_INSTR_ENT</v>
          </cell>
          <cell r="F513" t="str">
            <v>N/A</v>
          </cell>
          <cell r="G513" t="str">
            <v>INSTRMNT_ID</v>
          </cell>
          <cell r="H513" t="str">
            <v>2025-10-31</v>
          </cell>
          <cell r="I513">
            <v>4744</v>
          </cell>
          <cell r="J513">
            <v>0</v>
          </cell>
          <cell r="K513" t="str">
            <v>1</v>
          </cell>
          <cell r="L513" t="str">
            <v>2025-11-13 17:04:14.281380000</v>
          </cell>
        </row>
        <row r="514">
          <cell r="A514" t="str">
            <v>LT005FLAG_INST_TITULOS</v>
          </cell>
          <cell r="B514" t="str">
            <v>LT005FLAG_INST_TITULOSCOERÊNCIA</v>
          </cell>
          <cell r="C514" t="str">
            <v>LT005</v>
          </cell>
          <cell r="D514" t="str">
            <v>COERÊNCIA</v>
          </cell>
          <cell r="F514" t="str">
            <v>BU_CAPTOOLS_WORK.SIMUL_LT005_INSTR_ENT</v>
          </cell>
          <cell r="G514" t="str">
            <v>FLAG_INST_TITULOS</v>
          </cell>
          <cell r="L514" t="str">
            <v>Campo por criar LT IT</v>
          </cell>
        </row>
        <row r="515">
          <cell r="A515" t="str">
            <v>LT005FLAG_INST_TITULOS</v>
          </cell>
          <cell r="B515" t="str">
            <v>LT005FLAG_INST_TITULOSVALIDADE</v>
          </cell>
          <cell r="C515" t="str">
            <v>LT005</v>
          </cell>
          <cell r="D515" t="str">
            <v>VALIDADE</v>
          </cell>
          <cell r="F515" t="str">
            <v>N/A</v>
          </cell>
          <cell r="G515" t="str">
            <v>FLAG_INST_TITULOS</v>
          </cell>
          <cell r="L515" t="str">
            <v>Campo por criar LT IT</v>
          </cell>
        </row>
        <row r="516">
          <cell r="A516" t="str">
            <v>LT005FLAG_INST_TITULOS</v>
          </cell>
          <cell r="B516" t="str">
            <v>LT005FLAG_INST_TITULOSCARACTERES ESPECIAIS</v>
          </cell>
          <cell r="C516" t="str">
            <v>LT005</v>
          </cell>
          <cell r="D516" t="str">
            <v>CARACTERES ESPECIAIS</v>
          </cell>
          <cell r="F516" t="str">
            <v>N/A</v>
          </cell>
          <cell r="G516" t="str">
            <v>FLAG_INST_TITULOS</v>
          </cell>
          <cell r="L516" t="str">
            <v>Campo por criar LT IT</v>
          </cell>
        </row>
        <row r="517">
          <cell r="A517" t="str">
            <v>LT005FLAG_INST_TITULOS</v>
          </cell>
          <cell r="B517" t="str">
            <v>LT005FLAG_INST_TITULOSMISSINGS</v>
          </cell>
          <cell r="C517" t="str">
            <v>LT005</v>
          </cell>
          <cell r="D517" t="str">
            <v>MISSINGS</v>
          </cell>
          <cell r="F517" t="str">
            <v>N/A</v>
          </cell>
          <cell r="G517" t="str">
            <v>FLAG_INST_TITULOS</v>
          </cell>
          <cell r="L517" t="str">
            <v>Campo por criar LT IT</v>
          </cell>
        </row>
        <row r="518">
          <cell r="A518" t="str">
            <v>LT005FLAG_INST_TITULOS</v>
          </cell>
          <cell r="B518" t="str">
            <v>LT005FLAG_INST_TITULOSNOT APPLICABLE</v>
          </cell>
          <cell r="C518" t="str">
            <v>LT005</v>
          </cell>
          <cell r="D518" t="str">
            <v>NOT APPLICABLE</v>
          </cell>
          <cell r="F518" t="str">
            <v>N/A</v>
          </cell>
          <cell r="G518" t="str">
            <v>FLAG_INST_TITULOS</v>
          </cell>
          <cell r="L518" t="str">
            <v>Campo por criar LT IT</v>
          </cell>
        </row>
        <row r="519">
          <cell r="A519" t="str">
            <v>LT005OTSTNDNG_PRNCPL_AMNT</v>
          </cell>
          <cell r="B519" t="str">
            <v>LT005OTSTNDNG_PRNCPL_AMNTCOERÊNCIA</v>
          </cell>
          <cell r="C519" t="str">
            <v>LT005</v>
          </cell>
          <cell r="D519" t="str">
            <v>COERÊNCIA</v>
          </cell>
          <cell r="F519" t="str">
            <v>BU_CAPTOOLS_WORK.SIMUL_LT005_INSTR_ENT</v>
          </cell>
          <cell r="G519" t="str">
            <v>OTSTNDNG_PRNCPL_AMNT</v>
          </cell>
          <cell r="L519" t="str">
            <v>Campo por criar LT IT</v>
          </cell>
        </row>
        <row r="520">
          <cell r="A520" t="str">
            <v>LT005OTSTNDNG_PRNCPL_AMNT</v>
          </cell>
          <cell r="B520" t="str">
            <v>LT005OTSTNDNG_PRNCPL_AMNTVALIDADE</v>
          </cell>
          <cell r="C520" t="str">
            <v>LT005</v>
          </cell>
          <cell r="D520" t="str">
            <v>VALIDADE</v>
          </cell>
          <cell r="F520" t="str">
            <v>N/A</v>
          </cell>
          <cell r="G520" t="str">
            <v>OTSTNDNG_PRNCPL_AMNT</v>
          </cell>
          <cell r="L520" t="str">
            <v>Campo por criar LT IT</v>
          </cell>
        </row>
        <row r="521">
          <cell r="A521" t="str">
            <v>LT005OTSTNDNG_PRNCPL_AMNT</v>
          </cell>
          <cell r="B521" t="str">
            <v>LT005OTSTNDNG_PRNCPL_AMNTCARACTERES ESPECIAIS</v>
          </cell>
          <cell r="C521" t="str">
            <v>LT005</v>
          </cell>
          <cell r="D521" t="str">
            <v>CARACTERES ESPECIAIS</v>
          </cell>
          <cell r="F521" t="str">
            <v>N/A</v>
          </cell>
          <cell r="G521" t="str">
            <v>OTSTNDNG_PRNCPL_AMNT</v>
          </cell>
          <cell r="L521" t="str">
            <v>Campo por criar LT IT</v>
          </cell>
        </row>
        <row r="522">
          <cell r="A522" t="str">
            <v>LT005OTSTNDNG_PRNCPL_AMNT</v>
          </cell>
          <cell r="B522" t="str">
            <v>LT005OTSTNDNG_PRNCPL_AMNTMISSINGS</v>
          </cell>
          <cell r="C522" t="str">
            <v>LT005</v>
          </cell>
          <cell r="D522" t="str">
            <v>MISSINGS</v>
          </cell>
          <cell r="F522" t="str">
            <v>N/A</v>
          </cell>
          <cell r="G522" t="str">
            <v>OTSTNDNG_PRNCPL_AMNT</v>
          </cell>
          <cell r="L522" t="str">
            <v>Campo por criar LT IT</v>
          </cell>
        </row>
        <row r="523">
          <cell r="A523" t="str">
            <v>LT005OTSTNDNG_PRNCPL_AMNT</v>
          </cell>
          <cell r="B523" t="str">
            <v>LT005OTSTNDNG_PRNCPL_AMNTNOT APPLICABLE</v>
          </cell>
          <cell r="C523" t="str">
            <v>LT005</v>
          </cell>
          <cell r="D523" t="str">
            <v>NOT APPLICABLE</v>
          </cell>
          <cell r="F523" t="str">
            <v>N/A</v>
          </cell>
          <cell r="G523" t="str">
            <v>OTSTNDNG_PRNCPL_AMNT</v>
          </cell>
          <cell r="L523" t="str">
            <v>Campo por criar LT IT</v>
          </cell>
        </row>
        <row r="524">
          <cell r="A524" t="str">
            <v>LT005PRTN_AMNT_RPRTNG_ENTTY</v>
          </cell>
          <cell r="B524" t="str">
            <v>LT005PRTN_AMNT_RPRTNG_ENTTYCOERÊNCIA</v>
          </cell>
          <cell r="C524" t="str">
            <v>LT005</v>
          </cell>
          <cell r="D524" t="str">
            <v>COERÊNCIA</v>
          </cell>
          <cell r="F524" t="str">
            <v>BU_CAPTOOLS_WORK.SIMUL_LT005_INSTR_ENT</v>
          </cell>
          <cell r="G524" t="str">
            <v>PRTN_AMNT_RPRTNG_ENTTY</v>
          </cell>
          <cell r="L524" t="str">
            <v>Campo por criar LT IT</v>
          </cell>
        </row>
        <row r="525">
          <cell r="A525" t="str">
            <v>LT005PRTN_AMNT_RPRTNG_ENTTY</v>
          </cell>
          <cell r="B525" t="str">
            <v>LT005PRTN_AMNT_RPRTNG_ENTTYVALIDADE</v>
          </cell>
          <cell r="C525" t="str">
            <v>LT005</v>
          </cell>
          <cell r="D525" t="str">
            <v>VALIDADE</v>
          </cell>
          <cell r="F525" t="str">
            <v>N/A</v>
          </cell>
          <cell r="G525" t="str">
            <v>PRTN_AMNT_RPRTNG_ENTTY</v>
          </cell>
          <cell r="L525" t="str">
            <v>Campo por criar LT IT</v>
          </cell>
        </row>
        <row r="526">
          <cell r="A526" t="str">
            <v>LT005PRTN_AMNT_RPRTNG_ENTTY</v>
          </cell>
          <cell r="B526" t="str">
            <v>LT005PRTN_AMNT_RPRTNG_ENTTYCARACTERES ESPECIAIS</v>
          </cell>
          <cell r="C526" t="str">
            <v>LT005</v>
          </cell>
          <cell r="D526" t="str">
            <v>CARACTERES ESPECIAIS</v>
          </cell>
          <cell r="F526" t="str">
            <v>N/A</v>
          </cell>
          <cell r="G526" t="str">
            <v>PRTN_AMNT_RPRTNG_ENTTY</v>
          </cell>
          <cell r="L526" t="str">
            <v>Campo por criar LT IT</v>
          </cell>
        </row>
        <row r="527">
          <cell r="A527" t="str">
            <v>LT005PRTN_AMNT_RPRTNG_ENTTY</v>
          </cell>
          <cell r="B527" t="str">
            <v>LT005PRTN_AMNT_RPRTNG_ENTTYMISSINGS</v>
          </cell>
          <cell r="C527" t="str">
            <v>LT005</v>
          </cell>
          <cell r="D527" t="str">
            <v>MISSINGS</v>
          </cell>
          <cell r="F527" t="str">
            <v>N/A</v>
          </cell>
          <cell r="G527" t="str">
            <v>PRTN_AMNT_RPRTNG_ENTTY</v>
          </cell>
          <cell r="L527" t="str">
            <v>Campo por criar LT IT</v>
          </cell>
        </row>
        <row r="528">
          <cell r="A528" t="str">
            <v>LT005PRTN_AMNT_RPRTNG_ENTTY</v>
          </cell>
          <cell r="B528" t="str">
            <v>LT005PRTN_AMNT_RPRTNG_ENTTYNOT APPLICABLE</v>
          </cell>
          <cell r="C528" t="str">
            <v>LT005</v>
          </cell>
          <cell r="D528" t="str">
            <v>NOT APPLICABLE</v>
          </cell>
          <cell r="F528" t="str">
            <v>N/A</v>
          </cell>
          <cell r="G528" t="str">
            <v>PRTN_AMNT_RPRTNG_ENTTY</v>
          </cell>
          <cell r="L528" t="str">
            <v>Campo por criar LT IT</v>
          </cell>
        </row>
        <row r="529">
          <cell r="A529" t="str">
            <v>LT005ACCRD_INTRST_INSTRMNT</v>
          </cell>
          <cell r="B529" t="str">
            <v>LT005ACCRD_INTRST_INSTRMNTCOERÊNCIA1</v>
          </cell>
          <cell r="C529" t="str">
            <v>LT005</v>
          </cell>
          <cell r="D529" t="str">
            <v>COERÊNCIA</v>
          </cell>
          <cell r="E529" t="str">
            <v>BU_LOANTAPE_WORK.LT005_INSTR_ENT</v>
          </cell>
          <cell r="F529" t="str">
            <v>BU_CAPTOOLS_WORK.SIMUL_LT005_INSTR_ENT</v>
          </cell>
          <cell r="G529" t="str">
            <v>ACCRD_INTRST_INSTRMNT</v>
          </cell>
          <cell r="H529" t="str">
            <v>2025-10-31</v>
          </cell>
          <cell r="I529">
            <v>4744</v>
          </cell>
          <cell r="J529">
            <v>4738</v>
          </cell>
          <cell r="K529" t="str">
            <v>1</v>
          </cell>
          <cell r="L529" t="str">
            <v>2025-11-13 17:04:14.281380000</v>
          </cell>
        </row>
        <row r="530">
          <cell r="A530" t="str">
            <v>LT005ACCRD_INTRST_INSTRMNT</v>
          </cell>
          <cell r="B530" t="str">
            <v>LT005ACCRD_INTRST_INSTRMNTVALIDADE1</v>
          </cell>
          <cell r="C530" t="str">
            <v>LT005</v>
          </cell>
          <cell r="D530" t="str">
            <v>VALIDADE</v>
          </cell>
          <cell r="E530" t="str">
            <v>BU_LOANTAPE_WORK.LT005_INSTR_ENT</v>
          </cell>
          <cell r="F530" t="str">
            <v>N/A</v>
          </cell>
          <cell r="G530" t="str">
            <v>ACCRD_INTRST_INSTRMNT</v>
          </cell>
          <cell r="H530" t="str">
            <v>2025-10-31</v>
          </cell>
          <cell r="I530">
            <v>4744</v>
          </cell>
          <cell r="J530">
            <v>4733</v>
          </cell>
          <cell r="K530" t="str">
            <v>1</v>
          </cell>
          <cell r="L530" t="str">
            <v>2025-11-13 17:04:14.281380000</v>
          </cell>
        </row>
        <row r="531">
          <cell r="A531" t="str">
            <v>LT005ACCRD_INTRST_INSTRMNT</v>
          </cell>
          <cell r="B531" t="str">
            <v>LT005ACCRD_INTRST_INSTRMNTCARACTERES ESPECIAIS1</v>
          </cell>
          <cell r="C531" t="str">
            <v>LT005</v>
          </cell>
          <cell r="D531" t="str">
            <v>CARACTERES ESPECIAIS</v>
          </cell>
          <cell r="E531" t="str">
            <v>BU_LOANTAPE_WORK.LT005_INSTR_ENT</v>
          </cell>
          <cell r="F531" t="str">
            <v>N/A</v>
          </cell>
          <cell r="G531" t="str">
            <v>ACCRD_INTRST_INSTRMNT</v>
          </cell>
          <cell r="H531" t="str">
            <v>2025-10-31</v>
          </cell>
          <cell r="I531">
            <v>4744</v>
          </cell>
          <cell r="J531">
            <v>0</v>
          </cell>
          <cell r="K531" t="str">
            <v>1</v>
          </cell>
          <cell r="L531" t="str">
            <v>2025-11-13 17:04:14.281380000</v>
          </cell>
        </row>
        <row r="532">
          <cell r="A532" t="str">
            <v>LT005ACCRD_INTRST_INSTRMNT</v>
          </cell>
          <cell r="B532" t="str">
            <v>LT005ACCRD_INTRST_INSTRMNTMISSINGS1</v>
          </cell>
          <cell r="C532" t="str">
            <v>LT005</v>
          </cell>
          <cell r="D532" t="str">
            <v>MISSINGS</v>
          </cell>
          <cell r="E532" t="str">
            <v>BU_LOANTAPE_WORK.LT005_INSTR_ENT</v>
          </cell>
          <cell r="F532" t="str">
            <v>N/A</v>
          </cell>
          <cell r="G532" t="str">
            <v>ACCRD_INTRST_INSTRMNT</v>
          </cell>
          <cell r="H532" t="str">
            <v>2025-10-31</v>
          </cell>
          <cell r="I532">
            <v>4744</v>
          </cell>
          <cell r="J532">
            <v>0</v>
          </cell>
          <cell r="K532" t="str">
            <v>1</v>
          </cell>
          <cell r="L532" t="str">
            <v>2025-11-13 17:04:14.281380000</v>
          </cell>
        </row>
        <row r="533">
          <cell r="A533" t="str">
            <v>LT005ACCRD_INTRST_INSTRMNT</v>
          </cell>
          <cell r="B533" t="str">
            <v>LT005ACCRD_INTRST_INSTRMNTNOT APPLICABLE1</v>
          </cell>
          <cell r="C533" t="str">
            <v>LT005</v>
          </cell>
          <cell r="D533" t="str">
            <v>NOT APPLICABLE</v>
          </cell>
          <cell r="E533" t="str">
            <v>BU_LOANTAPE_WORK.LT005_INSTR_ENT</v>
          </cell>
          <cell r="F533" t="str">
            <v>N/A</v>
          </cell>
          <cell r="G533" t="str">
            <v>ACCRD_INTRST_INSTRMNT</v>
          </cell>
          <cell r="H533" t="str">
            <v>2025-10-31</v>
          </cell>
          <cell r="I533">
            <v>4744</v>
          </cell>
          <cell r="J533">
            <v>0</v>
          </cell>
          <cell r="K533" t="str">
            <v>1</v>
          </cell>
          <cell r="L533" t="str">
            <v>2025-11-13 17:04:14.281380000</v>
          </cell>
        </row>
        <row r="534">
          <cell r="A534" t="str">
            <v>LT002INSTRMNT_ID</v>
          </cell>
          <cell r="B534" t="str">
            <v>LT002INSTRMNT_IDCOERÊNCIA1</v>
          </cell>
          <cell r="C534" t="str">
            <v>LT002</v>
          </cell>
          <cell r="D534" t="str">
            <v>COERÊNCIA</v>
          </cell>
          <cell r="E534" t="str">
            <v>BU_LOANTAPE_WORK.LT002_INSTRUMENT</v>
          </cell>
          <cell r="F534" t="str">
            <v>BU_CAPTOOLS_WORK.SIMUL_LT002_INSTRUMENT</v>
          </cell>
          <cell r="G534" t="str">
            <v>INSTRMNT_ID</v>
          </cell>
          <cell r="H534" t="str">
            <v>2025-10-31</v>
          </cell>
          <cell r="I534">
            <v>4742</v>
          </cell>
          <cell r="J534">
            <v>0</v>
          </cell>
          <cell r="K534" t="str">
            <v>1</v>
          </cell>
          <cell r="L534" t="str">
            <v>2025-11-13 18:10:48.524359000</v>
          </cell>
        </row>
        <row r="535">
          <cell r="A535" t="str">
            <v>LT002INSTRMNT_ID</v>
          </cell>
          <cell r="B535" t="str">
            <v>LT002INSTRMNT_IDVALIDADE1</v>
          </cell>
          <cell r="C535" t="str">
            <v>LT002</v>
          </cell>
          <cell r="D535" t="str">
            <v>VALIDADE</v>
          </cell>
          <cell r="E535" t="str">
            <v>BU_LOANTAPE_WORK.LT002_INSTRUMENT</v>
          </cell>
          <cell r="F535" t="str">
            <v>N/A</v>
          </cell>
          <cell r="G535" t="str">
            <v>INSTRMNT_ID</v>
          </cell>
          <cell r="H535" t="str">
            <v>2025-10-31</v>
          </cell>
          <cell r="I535">
            <v>4742</v>
          </cell>
          <cell r="J535">
            <v>0</v>
          </cell>
          <cell r="K535" t="str">
            <v>1</v>
          </cell>
          <cell r="L535" t="str">
            <v>2025-11-13 18:10:48.524359000</v>
          </cell>
        </row>
        <row r="536">
          <cell r="A536" t="str">
            <v>LT002INSTRMNT_ID</v>
          </cell>
          <cell r="B536" t="str">
            <v>LT002INSTRMNT_IDCARACTERES ESPECIAIS1</v>
          </cell>
          <cell r="C536" t="str">
            <v>LT002</v>
          </cell>
          <cell r="D536" t="str">
            <v>CARACTERES ESPECIAIS</v>
          </cell>
          <cell r="E536" t="str">
            <v>BU_LOANTAPE_WORK.LT002_INSTRUMENT</v>
          </cell>
          <cell r="F536" t="str">
            <v>N/A</v>
          </cell>
          <cell r="G536" t="str">
            <v>INSTRMNT_ID</v>
          </cell>
          <cell r="H536" t="str">
            <v>2025-10-31</v>
          </cell>
          <cell r="I536">
            <v>4742</v>
          </cell>
          <cell r="J536">
            <v>0</v>
          </cell>
          <cell r="K536" t="str">
            <v>1</v>
          </cell>
          <cell r="L536" t="str">
            <v>2025-11-13 18:10:48.524359000</v>
          </cell>
        </row>
        <row r="537">
          <cell r="A537" t="str">
            <v>LT002INSTRMNT_ID</v>
          </cell>
          <cell r="B537" t="str">
            <v>LT002INSTRMNT_IDMISSINGS1</v>
          </cell>
          <cell r="C537" t="str">
            <v>LT002</v>
          </cell>
          <cell r="D537" t="str">
            <v>MISSINGS</v>
          </cell>
          <cell r="E537" t="str">
            <v>BU_LOANTAPE_WORK.LT002_INSTRUMENT</v>
          </cell>
          <cell r="F537" t="str">
            <v>N/A</v>
          </cell>
          <cell r="G537" t="str">
            <v>INSTRMNT_ID</v>
          </cell>
          <cell r="H537" t="str">
            <v>2025-10-31</v>
          </cell>
          <cell r="I537">
            <v>4742</v>
          </cell>
          <cell r="J537">
            <v>0</v>
          </cell>
          <cell r="K537" t="str">
            <v>1</v>
          </cell>
          <cell r="L537" t="str">
            <v>2025-11-13 18:10:48.524359000</v>
          </cell>
        </row>
        <row r="538">
          <cell r="A538" t="str">
            <v>LT002INSTRMNT_ID</v>
          </cell>
          <cell r="B538" t="str">
            <v>LT002INSTRMNT_IDNOT APPLICABLE1</v>
          </cell>
          <cell r="C538" t="str">
            <v>LT002</v>
          </cell>
          <cell r="D538" t="str">
            <v>NOT APPLICABLE</v>
          </cell>
          <cell r="E538" t="str">
            <v>BU_LOANTAPE_WORK.LT002_INSTRUMENT</v>
          </cell>
          <cell r="F538" t="str">
            <v>N/A</v>
          </cell>
          <cell r="G538" t="str">
            <v>INSTRMNT_ID</v>
          </cell>
          <cell r="H538" t="str">
            <v>2025-10-31</v>
          </cell>
          <cell r="I538">
            <v>4742</v>
          </cell>
          <cell r="J538">
            <v>0</v>
          </cell>
          <cell r="K538" t="str">
            <v>1</v>
          </cell>
          <cell r="L538" t="str">
            <v>2025-11-13 18:10:48.524359000</v>
          </cell>
        </row>
        <row r="539">
          <cell r="A539" t="str">
            <v>LT002ISIN</v>
          </cell>
          <cell r="B539" t="str">
            <v>LT002ISINCOERÊNCIA1</v>
          </cell>
          <cell r="C539" t="str">
            <v>LT002</v>
          </cell>
          <cell r="D539" t="str">
            <v>COERÊNCIA</v>
          </cell>
          <cell r="E539" t="str">
            <v>BU_LOANTAPE_WORK.LT002_INSTRUMENT</v>
          </cell>
          <cell r="F539" t="str">
            <v>BU_CAPTOOLS_WORK.SIMUL_LT002_INSTRUMENT</v>
          </cell>
          <cell r="G539" t="str">
            <v>ISIN</v>
          </cell>
          <cell r="H539" t="str">
            <v>2025-10-31</v>
          </cell>
          <cell r="I539">
            <v>4742</v>
          </cell>
          <cell r="J539">
            <v>4734</v>
          </cell>
          <cell r="K539" t="str">
            <v>1</v>
          </cell>
          <cell r="L539" t="str">
            <v>2025-11-13 18:10:48.524359000</v>
          </cell>
        </row>
        <row r="540">
          <cell r="A540" t="str">
            <v>LT002ISIN</v>
          </cell>
          <cell r="B540" t="str">
            <v>LT002ISINVALIDADE1</v>
          </cell>
          <cell r="C540" t="str">
            <v>LT002</v>
          </cell>
          <cell r="D540" t="str">
            <v>VALIDADE</v>
          </cell>
          <cell r="E540" t="str">
            <v>BU_LOANTAPE_WORK.LT002_INSTRUMENT</v>
          </cell>
          <cell r="F540" t="str">
            <v>N/A</v>
          </cell>
          <cell r="G540" t="str">
            <v>ISIN</v>
          </cell>
          <cell r="H540" t="str">
            <v>2025-10-31</v>
          </cell>
          <cell r="I540">
            <v>4742</v>
          </cell>
          <cell r="J540">
            <v>0</v>
          </cell>
          <cell r="K540" t="str">
            <v>1</v>
          </cell>
          <cell r="L540" t="str">
            <v>2025-11-13 18:10:48.524359000</v>
          </cell>
        </row>
        <row r="541">
          <cell r="A541" t="str">
            <v>LT002ISIN</v>
          </cell>
          <cell r="B541" t="str">
            <v>LT002ISINCARACTERES ESPECIAIS1</v>
          </cell>
          <cell r="C541" t="str">
            <v>LT002</v>
          </cell>
          <cell r="D541" t="str">
            <v>CARACTERES ESPECIAIS</v>
          </cell>
          <cell r="E541" t="str">
            <v>BU_LOANTAPE_WORK.LT002_INSTRUMENT</v>
          </cell>
          <cell r="F541" t="str">
            <v>N/A</v>
          </cell>
          <cell r="G541" t="str">
            <v>ISIN</v>
          </cell>
          <cell r="H541" t="str">
            <v>2025-10-31</v>
          </cell>
          <cell r="I541">
            <v>4742</v>
          </cell>
          <cell r="J541">
            <v>4734</v>
          </cell>
          <cell r="K541" t="str">
            <v>1</v>
          </cell>
          <cell r="L541" t="str">
            <v>2025-11-13 18:10:48.524359000</v>
          </cell>
        </row>
        <row r="542">
          <cell r="A542" t="str">
            <v>LT002ISIN</v>
          </cell>
          <cell r="B542" t="str">
            <v>LT002ISINMISSINGS1</v>
          </cell>
          <cell r="C542" t="str">
            <v>LT002</v>
          </cell>
          <cell r="D542" t="str">
            <v>MISSINGS</v>
          </cell>
          <cell r="E542" t="str">
            <v>BU_LOANTAPE_WORK.LT002_INSTRUMENT</v>
          </cell>
          <cell r="F542" t="str">
            <v>N/A</v>
          </cell>
          <cell r="G542" t="str">
            <v>ISIN</v>
          </cell>
          <cell r="H542" t="str">
            <v>2025-10-31</v>
          </cell>
          <cell r="I542">
            <v>4742</v>
          </cell>
          <cell r="J542">
            <v>0</v>
          </cell>
          <cell r="K542" t="str">
            <v>1</v>
          </cell>
          <cell r="L542" t="str">
            <v>2025-11-13 18:10:48.524359000</v>
          </cell>
        </row>
        <row r="543">
          <cell r="A543" t="str">
            <v>LT002ISIN</v>
          </cell>
          <cell r="B543" t="str">
            <v>LT002ISINNOT APPLICABLE1</v>
          </cell>
          <cell r="C543" t="str">
            <v>LT002</v>
          </cell>
          <cell r="D543" t="str">
            <v>NOT APPLICABLE</v>
          </cell>
          <cell r="E543" t="str">
            <v>BU_LOANTAPE_WORK.LT002_INSTRUMENT</v>
          </cell>
          <cell r="F543" t="str">
            <v>N/A</v>
          </cell>
          <cell r="G543" t="str">
            <v>ISIN</v>
          </cell>
          <cell r="H543" t="str">
            <v>2025-10-31</v>
          </cell>
          <cell r="I543">
            <v>4742</v>
          </cell>
          <cell r="J543">
            <v>0</v>
          </cell>
          <cell r="K543" t="str">
            <v>1</v>
          </cell>
          <cell r="L543" t="str">
            <v>2025-11-13 18:10:48.524359000</v>
          </cell>
        </row>
        <row r="544">
          <cell r="A544" t="str">
            <v>LT002ORGNL_AMNT_EUR</v>
          </cell>
          <cell r="B544" t="str">
            <v>LT002ORGNL_AMNT_EURCOERÊNCIA1</v>
          </cell>
          <cell r="C544" t="str">
            <v>LT002</v>
          </cell>
          <cell r="D544" t="str">
            <v>COERÊNCIA</v>
          </cell>
          <cell r="E544" t="str">
            <v>BU_LOANTAPE_WORK.LT002_INSTRUMENT</v>
          </cell>
          <cell r="F544" t="str">
            <v>BU_CAPTOOLS_WORK.SIMUL_LT002_INSTRUMENT</v>
          </cell>
          <cell r="G544" t="str">
            <v>ORGNL_AMNT_EUR</v>
          </cell>
          <cell r="H544" t="str">
            <v>2025-10-31</v>
          </cell>
          <cell r="I544">
            <v>4742</v>
          </cell>
          <cell r="J544">
            <v>0</v>
          </cell>
          <cell r="K544" t="str">
            <v>1</v>
          </cell>
          <cell r="L544" t="str">
            <v>2025-11-13 18:10:48.524359000</v>
          </cell>
        </row>
        <row r="545">
          <cell r="A545" t="str">
            <v>LT002ORGNL_AMNT_EUR</v>
          </cell>
          <cell r="B545" t="str">
            <v>LT002ORGNL_AMNT_EURVALIDADE1</v>
          </cell>
          <cell r="C545" t="str">
            <v>LT002</v>
          </cell>
          <cell r="D545" t="str">
            <v>VALIDADE</v>
          </cell>
          <cell r="E545" t="str">
            <v>BU_LOANTAPE_WORK.LT002_INSTRUMENT</v>
          </cell>
          <cell r="F545" t="str">
            <v>N/A</v>
          </cell>
          <cell r="G545" t="str">
            <v>ORGNL_AMNT_EUR</v>
          </cell>
          <cell r="H545" t="str">
            <v>2025-10-31</v>
          </cell>
          <cell r="I545">
            <v>4742</v>
          </cell>
          <cell r="J545">
            <v>0</v>
          </cell>
          <cell r="K545" t="str">
            <v>1</v>
          </cell>
          <cell r="L545" t="str">
            <v>2025-11-13 18:10:48.524359000</v>
          </cell>
        </row>
        <row r="546">
          <cell r="A546" t="str">
            <v>LT002ORGNL_AMNT_EUR</v>
          </cell>
          <cell r="B546" t="str">
            <v>LT002ORGNL_AMNT_EURCARACTERES ESPECIAIS1</v>
          </cell>
          <cell r="C546" t="str">
            <v>LT002</v>
          </cell>
          <cell r="D546" t="str">
            <v>CARACTERES ESPECIAIS</v>
          </cell>
          <cell r="E546" t="str">
            <v>BU_LOANTAPE_WORK.LT002_INSTRUMENT</v>
          </cell>
          <cell r="F546" t="str">
            <v>N/A</v>
          </cell>
          <cell r="G546" t="str">
            <v>ORGNL_AMNT_EUR</v>
          </cell>
          <cell r="H546" t="str">
            <v>2025-10-31</v>
          </cell>
          <cell r="I546">
            <v>4742</v>
          </cell>
          <cell r="J546">
            <v>0</v>
          </cell>
          <cell r="K546" t="str">
            <v>1</v>
          </cell>
          <cell r="L546" t="str">
            <v>2025-11-13 18:10:48.524359000</v>
          </cell>
        </row>
        <row r="547">
          <cell r="A547" t="str">
            <v>LT002ORGNL_AMNT_EUR</v>
          </cell>
          <cell r="B547" t="str">
            <v>LT002ORGNL_AMNT_EURMISSINGS1</v>
          </cell>
          <cell r="C547" t="str">
            <v>LT002</v>
          </cell>
          <cell r="D547" t="str">
            <v>MISSINGS</v>
          </cell>
          <cell r="E547" t="str">
            <v>BU_LOANTAPE_WORK.LT002_INSTRUMENT</v>
          </cell>
          <cell r="F547" t="str">
            <v>N/A</v>
          </cell>
          <cell r="G547" t="str">
            <v>ORGNL_AMNT_EUR</v>
          </cell>
          <cell r="H547" t="str">
            <v>2025-10-31</v>
          </cell>
          <cell r="I547">
            <v>4742</v>
          </cell>
          <cell r="J547">
            <v>0</v>
          </cell>
          <cell r="K547" t="str">
            <v>1</v>
          </cell>
          <cell r="L547" t="str">
            <v>2025-11-13 18:10:48.524359000</v>
          </cell>
        </row>
        <row r="548">
          <cell r="A548" t="str">
            <v>LT002ORGNL_AMNT_EUR</v>
          </cell>
          <cell r="B548" t="str">
            <v>LT002ORGNL_AMNT_EURNOT APPLICABLE1</v>
          </cell>
          <cell r="C548" t="str">
            <v>LT002</v>
          </cell>
          <cell r="D548" t="str">
            <v>NOT APPLICABLE</v>
          </cell>
          <cell r="E548" t="str">
            <v>BU_LOANTAPE_WORK.LT002_INSTRUMENT</v>
          </cell>
          <cell r="F548" t="str">
            <v>N/A</v>
          </cell>
          <cell r="G548" t="str">
            <v>ORGNL_AMNT_EUR</v>
          </cell>
          <cell r="H548" t="str">
            <v>2025-10-31</v>
          </cell>
          <cell r="I548">
            <v>4742</v>
          </cell>
          <cell r="J548">
            <v>0</v>
          </cell>
          <cell r="K548" t="str">
            <v>1</v>
          </cell>
          <cell r="L548" t="str">
            <v>2025-11-13 18:10:48.524359000</v>
          </cell>
        </row>
        <row r="549">
          <cell r="A549" t="str">
            <v>LT002ORGNL_AMNT_FX</v>
          </cell>
          <cell r="B549" t="str">
            <v>LT002ORGNL_AMNT_FXCOERÊNCIA1</v>
          </cell>
          <cell r="C549" t="str">
            <v>LT002</v>
          </cell>
          <cell r="D549" t="str">
            <v>COERÊNCIA</v>
          </cell>
          <cell r="E549" t="str">
            <v>BU_LOANTAPE_WORK.LT002_INSTRUMENT</v>
          </cell>
          <cell r="F549" t="str">
            <v>BU_CAPTOOLS_WORK.SIMUL_LT002_INSTRUMENT</v>
          </cell>
          <cell r="G549" t="str">
            <v>ORGNL_AMNT_FX</v>
          </cell>
          <cell r="H549" t="str">
            <v>2025-10-31</v>
          </cell>
          <cell r="I549">
            <v>4742</v>
          </cell>
          <cell r="J549">
            <v>0</v>
          </cell>
          <cell r="K549" t="str">
            <v>1</v>
          </cell>
          <cell r="L549" t="str">
            <v>2025-11-13 18:10:48.524359000</v>
          </cell>
        </row>
        <row r="550">
          <cell r="A550" t="str">
            <v>LT002ORGNL_AMNT_FX</v>
          </cell>
          <cell r="B550" t="str">
            <v>LT002ORGNL_AMNT_FXVALIDADE1</v>
          </cell>
          <cell r="C550" t="str">
            <v>LT002</v>
          </cell>
          <cell r="D550" t="str">
            <v>VALIDADE</v>
          </cell>
          <cell r="E550" t="str">
            <v>BU_LOANTAPE_WORK.LT002_INSTRUMENT</v>
          </cell>
          <cell r="F550" t="str">
            <v>N/A</v>
          </cell>
          <cell r="G550" t="str">
            <v>ORGNL_AMNT_FX</v>
          </cell>
          <cell r="H550" t="str">
            <v>2025-10-31</v>
          </cell>
          <cell r="I550">
            <v>4742</v>
          </cell>
          <cell r="J550">
            <v>0</v>
          </cell>
          <cell r="K550" t="str">
            <v>1</v>
          </cell>
          <cell r="L550" t="str">
            <v>2025-11-13 18:10:48.524359000</v>
          </cell>
        </row>
        <row r="551">
          <cell r="A551" t="str">
            <v>LT002ORGNL_AMNT_FX</v>
          </cell>
          <cell r="B551" t="str">
            <v>LT002ORGNL_AMNT_FXCARACTERES ESPECIAIS1</v>
          </cell>
          <cell r="C551" t="str">
            <v>LT002</v>
          </cell>
          <cell r="D551" t="str">
            <v>CARACTERES ESPECIAIS</v>
          </cell>
          <cell r="E551" t="str">
            <v>BU_LOANTAPE_WORK.LT002_INSTRUMENT</v>
          </cell>
          <cell r="F551" t="str">
            <v>N/A</v>
          </cell>
          <cell r="G551" t="str">
            <v>ORGNL_AMNT_FX</v>
          </cell>
          <cell r="H551" t="str">
            <v>2025-10-31</v>
          </cell>
          <cell r="I551">
            <v>4742</v>
          </cell>
          <cell r="J551">
            <v>0</v>
          </cell>
          <cell r="K551" t="str">
            <v>1</v>
          </cell>
          <cell r="L551" t="str">
            <v>2025-11-13 18:10:48.524359000</v>
          </cell>
        </row>
        <row r="552">
          <cell r="A552" t="str">
            <v>LT002ORGNL_AMNT_FX</v>
          </cell>
          <cell r="B552" t="str">
            <v>LT002ORGNL_AMNT_FXMISSINGS1</v>
          </cell>
          <cell r="C552" t="str">
            <v>LT002</v>
          </cell>
          <cell r="D552" t="str">
            <v>MISSINGS</v>
          </cell>
          <cell r="E552" t="str">
            <v>BU_LOANTAPE_WORK.LT002_INSTRUMENT</v>
          </cell>
          <cell r="F552" t="str">
            <v>N/A</v>
          </cell>
          <cell r="G552" t="str">
            <v>ORGNL_AMNT_FX</v>
          </cell>
          <cell r="H552" t="str">
            <v>2025-10-31</v>
          </cell>
          <cell r="I552">
            <v>4742</v>
          </cell>
          <cell r="J552">
            <v>0</v>
          </cell>
          <cell r="K552" t="str">
            <v>1</v>
          </cell>
          <cell r="L552" t="str">
            <v>2025-11-13 18:10:48.524359000</v>
          </cell>
        </row>
        <row r="553">
          <cell r="A553" t="str">
            <v>LT002ORGNL_AMNT_FX</v>
          </cell>
          <cell r="B553" t="str">
            <v>LT002ORGNL_AMNT_FXNOT APPLICABLE1</v>
          </cell>
          <cell r="C553" t="str">
            <v>LT002</v>
          </cell>
          <cell r="D553" t="str">
            <v>NOT APPLICABLE</v>
          </cell>
          <cell r="E553" t="str">
            <v>BU_LOANTAPE_WORK.LT002_INSTRUMENT</v>
          </cell>
          <cell r="F553" t="str">
            <v>N/A</v>
          </cell>
          <cell r="G553" t="str">
            <v>ORGNL_AMNT_FX</v>
          </cell>
          <cell r="H553" t="str">
            <v>2025-10-31</v>
          </cell>
          <cell r="I553">
            <v>4742</v>
          </cell>
          <cell r="J553">
            <v>0</v>
          </cell>
          <cell r="K553" t="str">
            <v>1</v>
          </cell>
          <cell r="L553" t="str">
            <v>2025-11-13 18:10:48.524359000</v>
          </cell>
        </row>
        <row r="554">
          <cell r="A554" t="str">
            <v>LT002CRRNCY_DNMNTN</v>
          </cell>
          <cell r="B554" t="str">
            <v>LT002CRRNCY_DNMNTNCOERÊNCIA1</v>
          </cell>
          <cell r="C554" t="str">
            <v>LT002</v>
          </cell>
          <cell r="D554" t="str">
            <v>COERÊNCIA</v>
          </cell>
          <cell r="E554" t="str">
            <v>BU_LOANTAPE_WORK.LT002_INSTRUMENT</v>
          </cell>
          <cell r="F554" t="str">
            <v>BU_CAPTOOLS_WORK.SIMUL_LT002_INSTRUMENT</v>
          </cell>
          <cell r="G554" t="str">
            <v>CRRNCY_DNMNTN</v>
          </cell>
          <cell r="H554" t="str">
            <v>2025-10-31</v>
          </cell>
          <cell r="I554">
            <v>4742</v>
          </cell>
          <cell r="J554">
            <v>0</v>
          </cell>
          <cell r="K554" t="str">
            <v>1</v>
          </cell>
          <cell r="L554" t="str">
            <v>2025-11-13 18:10:48.524359000</v>
          </cell>
        </row>
        <row r="555">
          <cell r="A555" t="str">
            <v>LT002CRRNCY_DNMNTN</v>
          </cell>
          <cell r="B555" t="str">
            <v>LT002CRRNCY_DNMNTNVALIDADE1</v>
          </cell>
          <cell r="C555" t="str">
            <v>LT002</v>
          </cell>
          <cell r="D555" t="str">
            <v>VALIDADE</v>
          </cell>
          <cell r="E555" t="str">
            <v>BU_LOANTAPE_WORK.LT002_INSTRUMENT</v>
          </cell>
          <cell r="F555" t="str">
            <v>N/A</v>
          </cell>
          <cell r="G555" t="str">
            <v>CRRNCY_DNMNTN</v>
          </cell>
          <cell r="H555" t="str">
            <v>2025-10-31</v>
          </cell>
          <cell r="I555">
            <v>4742</v>
          </cell>
          <cell r="J555">
            <v>0</v>
          </cell>
          <cell r="K555" t="str">
            <v>1</v>
          </cell>
          <cell r="L555" t="str">
            <v>2025-11-13 18:10:48.524359000</v>
          </cell>
        </row>
        <row r="556">
          <cell r="A556" t="str">
            <v>LT002CRRNCY_DNMNTN</v>
          </cell>
          <cell r="B556" t="str">
            <v>LT002CRRNCY_DNMNTNCARACTERES ESPECIAIS1</v>
          </cell>
          <cell r="C556" t="str">
            <v>LT002</v>
          </cell>
          <cell r="D556" t="str">
            <v>CARACTERES ESPECIAIS</v>
          </cell>
          <cell r="E556" t="str">
            <v>BU_LOANTAPE_WORK.LT002_INSTRUMENT</v>
          </cell>
          <cell r="F556" t="str">
            <v>N/A</v>
          </cell>
          <cell r="G556" t="str">
            <v>CRRNCY_DNMNTN</v>
          </cell>
          <cell r="H556" t="str">
            <v>2025-10-31</v>
          </cell>
          <cell r="I556">
            <v>4742</v>
          </cell>
          <cell r="J556">
            <v>0</v>
          </cell>
          <cell r="K556" t="str">
            <v>1</v>
          </cell>
          <cell r="L556" t="str">
            <v>2025-11-13 18:10:48.524359000</v>
          </cell>
        </row>
        <row r="557">
          <cell r="A557" t="str">
            <v>LT002CRRNCY_DNMNTN</v>
          </cell>
          <cell r="B557" t="str">
            <v>LT002CRRNCY_DNMNTNMISSINGS1</v>
          </cell>
          <cell r="C557" t="str">
            <v>LT002</v>
          </cell>
          <cell r="D557" t="str">
            <v>MISSINGS</v>
          </cell>
          <cell r="E557" t="str">
            <v>BU_LOANTAPE_WORK.LT002_INSTRUMENT</v>
          </cell>
          <cell r="F557" t="str">
            <v>N/A</v>
          </cell>
          <cell r="G557" t="str">
            <v>CRRNCY_DNMNTN</v>
          </cell>
          <cell r="H557" t="str">
            <v>2025-10-31</v>
          </cell>
          <cell r="I557">
            <v>4742</v>
          </cell>
          <cell r="J557">
            <v>0</v>
          </cell>
          <cell r="K557" t="str">
            <v>1</v>
          </cell>
          <cell r="L557" t="str">
            <v>2025-11-13 18:10:48.524359000</v>
          </cell>
        </row>
        <row r="558">
          <cell r="A558" t="str">
            <v>LT002CRRNCY_DNMNTN</v>
          </cell>
          <cell r="B558" t="str">
            <v>LT002CRRNCY_DNMNTNNOT APPLICABLE1</v>
          </cell>
          <cell r="C558" t="str">
            <v>LT002</v>
          </cell>
          <cell r="D558" t="str">
            <v>NOT APPLICABLE</v>
          </cell>
          <cell r="E558" t="str">
            <v>BU_LOANTAPE_WORK.LT002_INSTRUMENT</v>
          </cell>
          <cell r="F558" t="str">
            <v>N/A</v>
          </cell>
          <cell r="G558" t="str">
            <v>CRRNCY_DNMNTN</v>
          </cell>
          <cell r="H558" t="str">
            <v>2025-10-31</v>
          </cell>
          <cell r="I558">
            <v>4742</v>
          </cell>
          <cell r="J558">
            <v>0</v>
          </cell>
          <cell r="K558" t="str">
            <v>1</v>
          </cell>
          <cell r="L558" t="str">
            <v>2025-11-13 18:10:48.524359000</v>
          </cell>
        </row>
        <row r="559">
          <cell r="A559" t="str">
            <v>LT002ACCRD_INTRST_INSTRMNT</v>
          </cell>
          <cell r="B559" t="str">
            <v>LT002ACCRD_INTRST_INSTRMNTCOERÊNCIA1</v>
          </cell>
          <cell r="C559" t="str">
            <v>LT002</v>
          </cell>
          <cell r="D559" t="str">
            <v>COERÊNCIA</v>
          </cell>
          <cell r="E559" t="str">
            <v>BU_LOANTAPE_WORK.LT002_INSTRUMENT</v>
          </cell>
          <cell r="F559" t="str">
            <v>BU_CAPTOOLS_WORK.SIMUL_LT002_INSTRUMENT</v>
          </cell>
          <cell r="G559" t="str">
            <v>ACCRD_INTRST_INSTRMNT</v>
          </cell>
          <cell r="H559" t="str">
            <v>2025-10-31</v>
          </cell>
          <cell r="I559">
            <v>4742</v>
          </cell>
          <cell r="J559">
            <v>4738</v>
          </cell>
          <cell r="K559" t="str">
            <v>1</v>
          </cell>
          <cell r="L559" t="str">
            <v>2025-11-13 18:10:48.524359000</v>
          </cell>
        </row>
        <row r="560">
          <cell r="A560" t="str">
            <v>LT002ACCRD_INTRST_INSTRMNT</v>
          </cell>
          <cell r="B560" t="str">
            <v>LT002ACCRD_INTRST_INSTRMNTVALIDADE1</v>
          </cell>
          <cell r="C560" t="str">
            <v>LT002</v>
          </cell>
          <cell r="D560" t="str">
            <v>VALIDADE</v>
          </cell>
          <cell r="E560" t="str">
            <v>BU_LOANTAPE_WORK.LT002_INSTRUMENT</v>
          </cell>
          <cell r="F560" t="str">
            <v>N/A</v>
          </cell>
          <cell r="G560" t="str">
            <v>ACCRD_INTRST_INSTRMNT</v>
          </cell>
          <cell r="H560" t="str">
            <v>2025-10-31</v>
          </cell>
          <cell r="I560">
            <v>4742</v>
          </cell>
          <cell r="J560">
            <v>0</v>
          </cell>
          <cell r="K560" t="str">
            <v>1</v>
          </cell>
          <cell r="L560" t="str">
            <v>2025-11-13 18:10:48.524359000</v>
          </cell>
        </row>
        <row r="561">
          <cell r="A561" t="str">
            <v>LT002ACCRD_INTRST_INSTRMNT</v>
          </cell>
          <cell r="B561" t="str">
            <v>LT002ACCRD_INTRST_INSTRMNTCARACTERES ESPECIAIS1</v>
          </cell>
          <cell r="C561" t="str">
            <v>LT002</v>
          </cell>
          <cell r="D561" t="str">
            <v>CARACTERES ESPECIAIS</v>
          </cell>
          <cell r="E561" t="str">
            <v>BU_LOANTAPE_WORK.LT002_INSTRUMENT</v>
          </cell>
          <cell r="F561" t="str">
            <v>N/A</v>
          </cell>
          <cell r="G561" t="str">
            <v>ACCRD_INTRST_INSTRMNT</v>
          </cell>
          <cell r="H561" t="str">
            <v>2025-10-31</v>
          </cell>
          <cell r="I561">
            <v>4742</v>
          </cell>
          <cell r="J561">
            <v>0</v>
          </cell>
          <cell r="K561" t="str">
            <v>1</v>
          </cell>
          <cell r="L561" t="str">
            <v>2025-11-13 18:10:48.524359000</v>
          </cell>
        </row>
        <row r="562">
          <cell r="A562" t="str">
            <v>LT002ACCRD_INTRST_INSTRMNT</v>
          </cell>
          <cell r="B562" t="str">
            <v>LT002ACCRD_INTRST_INSTRMNTMISSINGS1</v>
          </cell>
          <cell r="C562" t="str">
            <v>LT002</v>
          </cell>
          <cell r="D562" t="str">
            <v>MISSINGS</v>
          </cell>
          <cell r="E562" t="str">
            <v>BU_LOANTAPE_WORK.LT002_INSTRUMENT</v>
          </cell>
          <cell r="F562" t="str">
            <v>N/A</v>
          </cell>
          <cell r="G562" t="str">
            <v>ACCRD_INTRST_INSTRMNT</v>
          </cell>
          <cell r="H562" t="str">
            <v>2025-10-31</v>
          </cell>
          <cell r="I562">
            <v>4742</v>
          </cell>
          <cell r="J562">
            <v>0</v>
          </cell>
          <cell r="K562" t="str">
            <v>1</v>
          </cell>
          <cell r="L562" t="str">
            <v>2025-11-13 18:10:48.524359000</v>
          </cell>
        </row>
        <row r="563">
          <cell r="A563" t="str">
            <v>LT002ACCRD_INTRST_INSTRMNT</v>
          </cell>
          <cell r="B563" t="str">
            <v>LT002ACCRD_INTRST_INSTRMNTNOT APPLICABLE1</v>
          </cell>
          <cell r="C563" t="str">
            <v>LT002</v>
          </cell>
          <cell r="D563" t="str">
            <v>NOT APPLICABLE</v>
          </cell>
          <cell r="E563" t="str">
            <v>BU_LOANTAPE_WORK.LT002_INSTRUMENT</v>
          </cell>
          <cell r="F563" t="str">
            <v>N/A</v>
          </cell>
          <cell r="G563" t="str">
            <v>ACCRD_INTRST_INSTRMNT</v>
          </cell>
          <cell r="H563" t="str">
            <v>2025-10-31</v>
          </cell>
          <cell r="I563">
            <v>4742</v>
          </cell>
          <cell r="J563">
            <v>0</v>
          </cell>
          <cell r="K563" t="str">
            <v>1</v>
          </cell>
          <cell r="L563" t="str">
            <v>2025-11-13 18:10:48.524359000</v>
          </cell>
        </row>
        <row r="564">
          <cell r="A564" t="str">
            <v>LT002TYP_INSTRMNT</v>
          </cell>
          <cell r="B564" t="str">
            <v>LT002TYP_INSTRMNTCOERÊNCIA1</v>
          </cell>
          <cell r="C564" t="str">
            <v>LT002</v>
          </cell>
          <cell r="D564" t="str">
            <v>COERÊNCIA</v>
          </cell>
          <cell r="E564" t="str">
            <v>BU_LOANTAPE_WORK.LT002_INSTRUMENT</v>
          </cell>
          <cell r="F564" t="str">
            <v>BU_CAPTOOLS_WORK.SIMUL_LT002_INSTRUMENT</v>
          </cell>
          <cell r="G564" t="str">
            <v>TYP_INSTRMNT</v>
          </cell>
          <cell r="H564" t="str">
            <v>2025-10-31</v>
          </cell>
          <cell r="I564">
            <v>4742</v>
          </cell>
          <cell r="J564">
            <v>4</v>
          </cell>
          <cell r="K564" t="str">
            <v>1</v>
          </cell>
          <cell r="L564" t="str">
            <v>2025-11-13 18:10:48.524359000</v>
          </cell>
        </row>
        <row r="565">
          <cell r="A565" t="str">
            <v>LT002TYP_INSTRMNT</v>
          </cell>
          <cell r="B565" t="str">
            <v>LT002TYP_INSTRMNTVALIDADE1</v>
          </cell>
          <cell r="C565" t="str">
            <v>LT002</v>
          </cell>
          <cell r="D565" t="str">
            <v>VALIDADE</v>
          </cell>
          <cell r="E565" t="str">
            <v>BU_LOANTAPE_WORK.LT002_INSTRUMENT</v>
          </cell>
          <cell r="F565" t="str">
            <v>N/A</v>
          </cell>
          <cell r="G565" t="str">
            <v>TYP_INSTRMNT</v>
          </cell>
          <cell r="H565" t="str">
            <v>2025-10-31</v>
          </cell>
          <cell r="I565">
            <v>4742</v>
          </cell>
          <cell r="J565">
            <v>0</v>
          </cell>
          <cell r="K565" t="str">
            <v>1</v>
          </cell>
          <cell r="L565" t="str">
            <v>2025-11-13 18:10:48.524359000</v>
          </cell>
        </row>
        <row r="566">
          <cell r="A566" t="str">
            <v>LT002TYP_INSTRMNT</v>
          </cell>
          <cell r="B566" t="str">
            <v>LT002TYP_INSTRMNTCARACTERES ESPECIAIS1</v>
          </cell>
          <cell r="C566" t="str">
            <v>LT002</v>
          </cell>
          <cell r="D566" t="str">
            <v>CARACTERES ESPECIAIS</v>
          </cell>
          <cell r="E566" t="str">
            <v>BU_LOANTAPE_WORK.LT002_INSTRUMENT</v>
          </cell>
          <cell r="F566" t="str">
            <v>N/A</v>
          </cell>
          <cell r="G566" t="str">
            <v>TYP_INSTRMNT</v>
          </cell>
          <cell r="H566" t="str">
            <v>2025-10-31</v>
          </cell>
          <cell r="I566">
            <v>4742</v>
          </cell>
          <cell r="J566">
            <v>0</v>
          </cell>
          <cell r="K566" t="str">
            <v>1</v>
          </cell>
          <cell r="L566" t="str">
            <v>2025-11-13 18:10:48.524359000</v>
          </cell>
        </row>
        <row r="567">
          <cell r="A567" t="str">
            <v>LT002TYP_INSTRMNT</v>
          </cell>
          <cell r="B567" t="str">
            <v>LT002TYP_INSTRMNTMISSINGS1</v>
          </cell>
          <cell r="C567" t="str">
            <v>LT002</v>
          </cell>
          <cell r="D567" t="str">
            <v>MISSINGS</v>
          </cell>
          <cell r="E567" t="str">
            <v>BU_LOANTAPE_WORK.LT002_INSTRUMENT</v>
          </cell>
          <cell r="F567" t="str">
            <v>N/A</v>
          </cell>
          <cell r="G567" t="str">
            <v>TYP_INSTRMNT</v>
          </cell>
          <cell r="H567" t="str">
            <v>2025-10-31</v>
          </cell>
          <cell r="I567">
            <v>4742</v>
          </cell>
          <cell r="J567">
            <v>0</v>
          </cell>
          <cell r="K567" t="str">
            <v>1</v>
          </cell>
          <cell r="L567" t="str">
            <v>2025-11-13 18:10:48.524359000</v>
          </cell>
        </row>
        <row r="568">
          <cell r="A568" t="str">
            <v>LT002TYP_INSTRMNT</v>
          </cell>
          <cell r="B568" t="str">
            <v>LT002TYP_INSTRMNTNOT APPLICABLE1</v>
          </cell>
          <cell r="C568" t="str">
            <v>LT002</v>
          </cell>
          <cell r="D568" t="str">
            <v>NOT APPLICABLE</v>
          </cell>
          <cell r="E568" t="str">
            <v>BU_LOANTAPE_WORK.LT002_INSTRUMENT</v>
          </cell>
          <cell r="F568" t="str">
            <v>N/A</v>
          </cell>
          <cell r="G568" t="str">
            <v>TYP_INSTRMNT</v>
          </cell>
          <cell r="H568" t="str">
            <v>2025-10-31</v>
          </cell>
          <cell r="I568">
            <v>4742</v>
          </cell>
          <cell r="J568">
            <v>0</v>
          </cell>
          <cell r="K568" t="str">
            <v>1</v>
          </cell>
          <cell r="L568" t="str">
            <v>2025-11-13 18:10:48.524359000</v>
          </cell>
        </row>
        <row r="569">
          <cell r="A569" t="str">
            <v>LT002RANK_INSOLV</v>
          </cell>
          <cell r="B569" t="str">
            <v>LT002RANK_INSOLVCOERÊNCIA1</v>
          </cell>
          <cell r="C569" t="str">
            <v>LT002</v>
          </cell>
          <cell r="D569" t="str">
            <v>COERÊNCIA</v>
          </cell>
          <cell r="E569" t="str">
            <v>BU_LOANTAPE_WORK.LT002_INSTRUMENT</v>
          </cell>
          <cell r="F569" t="str">
            <v>BU_CAPTOOLS_WORK.SIMUL_LT002_INSTRUMENT</v>
          </cell>
          <cell r="G569" t="str">
            <v>RANK_INSOLV</v>
          </cell>
          <cell r="H569" t="str">
            <v>2025-10-31</v>
          </cell>
          <cell r="I569">
            <v>4742</v>
          </cell>
          <cell r="J569">
            <v>0</v>
          </cell>
          <cell r="K569" t="str">
            <v>1</v>
          </cell>
          <cell r="L569" t="str">
            <v>2025-11-13 18:10:48.524359000</v>
          </cell>
        </row>
        <row r="570">
          <cell r="A570" t="str">
            <v>LT002RANK_INSOLV</v>
          </cell>
          <cell r="B570" t="str">
            <v>LT002RANK_INSOLVVALIDADE1</v>
          </cell>
          <cell r="C570" t="str">
            <v>LT002</v>
          </cell>
          <cell r="D570" t="str">
            <v>VALIDADE</v>
          </cell>
          <cell r="E570" t="str">
            <v>BU_LOANTAPE_WORK.LT002_INSTRUMENT</v>
          </cell>
          <cell r="F570" t="str">
            <v>N/A</v>
          </cell>
          <cell r="G570" t="str">
            <v>RANK_INSOLV</v>
          </cell>
          <cell r="H570" t="str">
            <v>2025-10-31</v>
          </cell>
          <cell r="I570">
            <v>4742</v>
          </cell>
          <cell r="J570">
            <v>4734</v>
          </cell>
          <cell r="K570" t="str">
            <v>1</v>
          </cell>
          <cell r="L570" t="str">
            <v>2025-11-13 18:10:48.524359000</v>
          </cell>
        </row>
        <row r="571">
          <cell r="A571" t="str">
            <v>LT002RANK_INSOLV</v>
          </cell>
          <cell r="B571" t="str">
            <v>LT002RANK_INSOLVCARACTERES ESPECIAIS1</v>
          </cell>
          <cell r="C571" t="str">
            <v>LT002</v>
          </cell>
          <cell r="D571" t="str">
            <v>CARACTERES ESPECIAIS</v>
          </cell>
          <cell r="E571" t="str">
            <v>BU_LOANTAPE_WORK.LT002_INSTRUMENT</v>
          </cell>
          <cell r="F571" t="str">
            <v>N/A</v>
          </cell>
          <cell r="G571" t="str">
            <v>RANK_INSOLV</v>
          </cell>
          <cell r="H571" t="str">
            <v>2025-10-31</v>
          </cell>
          <cell r="I571">
            <v>4742</v>
          </cell>
          <cell r="J571">
            <v>0</v>
          </cell>
          <cell r="K571" t="str">
            <v>1</v>
          </cell>
          <cell r="L571" t="str">
            <v>2025-11-13 18:10:48.524359000</v>
          </cell>
        </row>
        <row r="572">
          <cell r="A572" t="str">
            <v>LT002RANK_INSOLV</v>
          </cell>
          <cell r="B572" t="str">
            <v>LT002RANK_INSOLVMISSINGS1</v>
          </cell>
          <cell r="C572" t="str">
            <v>LT002</v>
          </cell>
          <cell r="D572" t="str">
            <v>MISSINGS</v>
          </cell>
          <cell r="E572" t="str">
            <v>BU_LOANTAPE_WORK.LT002_INSTRUMENT</v>
          </cell>
          <cell r="F572" t="str">
            <v>N/A</v>
          </cell>
          <cell r="G572" t="str">
            <v>RANK_INSOLV</v>
          </cell>
          <cell r="H572" t="str">
            <v>2025-10-31</v>
          </cell>
          <cell r="I572">
            <v>4742</v>
          </cell>
          <cell r="J572">
            <v>4734</v>
          </cell>
          <cell r="K572" t="str">
            <v>1</v>
          </cell>
          <cell r="L572" t="str">
            <v>2025-11-13 18:10:48.524359000</v>
          </cell>
        </row>
        <row r="573">
          <cell r="A573" t="str">
            <v>LT002RANK_INSOLV</v>
          </cell>
          <cell r="B573" t="str">
            <v>LT002RANK_INSOLVNOT APPLICABLE1</v>
          </cell>
          <cell r="C573" t="str">
            <v>LT002</v>
          </cell>
          <cell r="D573" t="str">
            <v>NOT APPLICABLE</v>
          </cell>
          <cell r="E573" t="str">
            <v>BU_LOANTAPE_WORK.LT002_INSTRUMENT</v>
          </cell>
          <cell r="F573" t="str">
            <v>N/A</v>
          </cell>
          <cell r="G573" t="str">
            <v>RANK_INSOLV</v>
          </cell>
          <cell r="H573" t="str">
            <v>2025-10-31</v>
          </cell>
          <cell r="I573">
            <v>4742</v>
          </cell>
          <cell r="J573">
            <v>0</v>
          </cell>
          <cell r="K573" t="str">
            <v>1</v>
          </cell>
          <cell r="L573" t="str">
            <v>2025-11-13 18:10:48.524359000</v>
          </cell>
        </row>
        <row r="574">
          <cell r="A574" t="str">
            <v>LT002DT_INCPTN</v>
          </cell>
          <cell r="B574" t="str">
            <v>LT002DT_INCPTNCOERÊNCIA1</v>
          </cell>
          <cell r="C574" t="str">
            <v>LT002</v>
          </cell>
          <cell r="D574" t="str">
            <v>COERÊNCIA</v>
          </cell>
          <cell r="E574" t="str">
            <v>BU_LOANTAPE_WORK.LT002_INSTRUMENT</v>
          </cell>
          <cell r="F574" t="str">
            <v>BU_CAPTOOLS_WORK.SIMUL_LT002_INSTRUMENT</v>
          </cell>
          <cell r="G574" t="str">
            <v>DT_INCPTN</v>
          </cell>
          <cell r="H574" t="str">
            <v>2025-10-31</v>
          </cell>
          <cell r="I574">
            <v>4742</v>
          </cell>
          <cell r="J574">
            <v>0</v>
          </cell>
          <cell r="K574" t="str">
            <v>1</v>
          </cell>
          <cell r="L574" t="str">
            <v>2025-11-13 18:10:48.524359000</v>
          </cell>
        </row>
        <row r="575">
          <cell r="A575" t="str">
            <v>LT002DT_INCPTN</v>
          </cell>
          <cell r="B575" t="str">
            <v>LT002DT_INCPTNVALIDADE1</v>
          </cell>
          <cell r="C575" t="str">
            <v>LT002</v>
          </cell>
          <cell r="D575" t="str">
            <v>VALIDADE</v>
          </cell>
          <cell r="E575" t="str">
            <v>BU_LOANTAPE_WORK.LT002_INSTRUMENT</v>
          </cell>
          <cell r="F575" t="str">
            <v>N/A</v>
          </cell>
          <cell r="G575" t="str">
            <v>DT_INCPTN</v>
          </cell>
          <cell r="H575" t="str">
            <v>2025-10-31</v>
          </cell>
          <cell r="I575">
            <v>4742</v>
          </cell>
          <cell r="J575">
            <v>0</v>
          </cell>
          <cell r="K575" t="str">
            <v>1</v>
          </cell>
          <cell r="L575" t="str">
            <v>2025-11-13 18:10:48.524359000</v>
          </cell>
        </row>
        <row r="576">
          <cell r="A576" t="str">
            <v>LT002DT_INCPTN</v>
          </cell>
          <cell r="B576" t="str">
            <v>LT002DT_INCPTNCARACTERES ESPECIAIS1</v>
          </cell>
          <cell r="C576" t="str">
            <v>LT002</v>
          </cell>
          <cell r="D576" t="str">
            <v>CARACTERES ESPECIAIS</v>
          </cell>
          <cell r="E576" t="str">
            <v>BU_LOANTAPE_WORK.LT002_INSTRUMENT</v>
          </cell>
          <cell r="F576" t="str">
            <v>N/A</v>
          </cell>
          <cell r="G576" t="str">
            <v>DT_INCPTN</v>
          </cell>
          <cell r="H576" t="str">
            <v>2025-10-31</v>
          </cell>
          <cell r="I576">
            <v>4742</v>
          </cell>
          <cell r="J576">
            <v>0</v>
          </cell>
          <cell r="K576" t="str">
            <v>1</v>
          </cell>
          <cell r="L576" t="str">
            <v>2025-11-13 18:10:48.524359000</v>
          </cell>
        </row>
        <row r="577">
          <cell r="A577" t="str">
            <v>LT002DT_INCPTN</v>
          </cell>
          <cell r="B577" t="str">
            <v>LT002DT_INCPTNMISSINGS1</v>
          </cell>
          <cell r="C577" t="str">
            <v>LT002</v>
          </cell>
          <cell r="D577" t="str">
            <v>MISSINGS</v>
          </cell>
          <cell r="E577" t="str">
            <v>BU_LOANTAPE_WORK.LT002_INSTRUMENT</v>
          </cell>
          <cell r="F577" t="str">
            <v>N/A</v>
          </cell>
          <cell r="G577" t="str">
            <v>DT_INCPTN</v>
          </cell>
          <cell r="H577" t="str">
            <v>2025-10-31</v>
          </cell>
          <cell r="I577">
            <v>4742</v>
          </cell>
          <cell r="J577">
            <v>0</v>
          </cell>
          <cell r="K577" t="str">
            <v>1</v>
          </cell>
          <cell r="L577" t="str">
            <v>2025-11-13 18:10:48.524359000</v>
          </cell>
        </row>
        <row r="578">
          <cell r="A578" t="str">
            <v>LT002DT_INCPTN</v>
          </cell>
          <cell r="B578" t="str">
            <v>LT002DT_INCPTNNOT APPLICABLE1</v>
          </cell>
          <cell r="C578" t="str">
            <v>LT002</v>
          </cell>
          <cell r="D578" t="str">
            <v>NOT APPLICABLE</v>
          </cell>
          <cell r="E578" t="str">
            <v>BU_LOANTAPE_WORK.LT002_INSTRUMENT</v>
          </cell>
          <cell r="F578" t="str">
            <v>N/A</v>
          </cell>
          <cell r="G578" t="str">
            <v>DT_INCPTN</v>
          </cell>
          <cell r="H578" t="str">
            <v>2025-10-31</v>
          </cell>
          <cell r="I578">
            <v>4742</v>
          </cell>
          <cell r="J578">
            <v>0</v>
          </cell>
          <cell r="K578" t="str">
            <v>1</v>
          </cell>
          <cell r="L578" t="str">
            <v>2025-11-13 18:10:48.524359000</v>
          </cell>
        </row>
        <row r="579">
          <cell r="A579" t="str">
            <v>LT002DT_NXT_INTRST_PYMNT</v>
          </cell>
          <cell r="B579" t="str">
            <v>LT002DT_NXT_INTRST_PYMNTCOERÊNCIA1</v>
          </cell>
          <cell r="C579" t="str">
            <v>LT002</v>
          </cell>
          <cell r="D579" t="str">
            <v>COERÊNCIA</v>
          </cell>
          <cell r="E579" t="str">
            <v>BU_LOANTAPE_WORK.LT002_INSTRUMENT</v>
          </cell>
          <cell r="F579" t="str">
            <v>BU_CAPTOOLS_WORK.SIMUL_LT002_INSTRUMENT</v>
          </cell>
          <cell r="G579" t="str">
            <v>DT_NXT_INTRST_PYMNT</v>
          </cell>
          <cell r="H579" t="str">
            <v>2025-10-31</v>
          </cell>
          <cell r="I579">
            <v>4742</v>
          </cell>
          <cell r="J579">
            <v>4741</v>
          </cell>
          <cell r="K579" t="str">
            <v>1</v>
          </cell>
          <cell r="L579" t="str">
            <v>2025-11-13 18:10:48.524359000</v>
          </cell>
        </row>
        <row r="580">
          <cell r="A580" t="str">
            <v>LT002DT_NXT_INTRST_PYMNT</v>
          </cell>
          <cell r="B580" t="str">
            <v>LT002DT_NXT_INTRST_PYMNTVALIDADE1</v>
          </cell>
          <cell r="C580" t="str">
            <v>LT002</v>
          </cell>
          <cell r="D580" t="str">
            <v>VALIDADE</v>
          </cell>
          <cell r="E580" t="str">
            <v>BU_LOANTAPE_WORK.LT002_INSTRUMENT</v>
          </cell>
          <cell r="F580" t="str">
            <v>N/A</v>
          </cell>
          <cell r="G580" t="str">
            <v>DT_NXT_INTRST_PYMNT</v>
          </cell>
          <cell r="H580" t="str">
            <v>2025-10-31</v>
          </cell>
          <cell r="I580">
            <v>4742</v>
          </cell>
          <cell r="J580">
            <v>11</v>
          </cell>
          <cell r="K580" t="str">
            <v>1</v>
          </cell>
          <cell r="L580" t="str">
            <v>2025-11-13 18:10:48.524359000</v>
          </cell>
        </row>
        <row r="581">
          <cell r="A581" t="str">
            <v>LT002DT_NXT_INTRST_PYMNT</v>
          </cell>
          <cell r="B581" t="str">
            <v>LT002DT_NXT_INTRST_PYMNTCARACTERES ESPECIAIS1</v>
          </cell>
          <cell r="C581" t="str">
            <v>LT002</v>
          </cell>
          <cell r="D581" t="str">
            <v>CARACTERES ESPECIAIS</v>
          </cell>
          <cell r="E581" t="str">
            <v>BU_LOANTAPE_WORK.LT002_INSTRUMENT</v>
          </cell>
          <cell r="F581" t="str">
            <v>N/A</v>
          </cell>
          <cell r="G581" t="str">
            <v>DT_NXT_INTRST_PYMNT</v>
          </cell>
          <cell r="H581" t="str">
            <v>2025-10-31</v>
          </cell>
          <cell r="I581">
            <v>4742</v>
          </cell>
          <cell r="J581">
            <v>0</v>
          </cell>
          <cell r="K581" t="str">
            <v>1</v>
          </cell>
          <cell r="L581" t="str">
            <v>2025-11-13 18:10:48.524359000</v>
          </cell>
        </row>
        <row r="582">
          <cell r="A582" t="str">
            <v>LT002DT_NXT_INTRST_PYMNT</v>
          </cell>
          <cell r="B582" t="str">
            <v>LT002DT_NXT_INTRST_PYMNTMISSINGS1</v>
          </cell>
          <cell r="C582" t="str">
            <v>LT002</v>
          </cell>
          <cell r="D582" t="str">
            <v>MISSINGS</v>
          </cell>
          <cell r="E582" t="str">
            <v>BU_LOANTAPE_WORK.LT002_INSTRUMENT</v>
          </cell>
          <cell r="F582" t="str">
            <v>N/A</v>
          </cell>
          <cell r="G582" t="str">
            <v>DT_NXT_INTRST_PYMNT</v>
          </cell>
          <cell r="H582" t="str">
            <v>2025-10-31</v>
          </cell>
          <cell r="I582">
            <v>4742</v>
          </cell>
          <cell r="J582">
            <v>11</v>
          </cell>
          <cell r="K582" t="str">
            <v>1</v>
          </cell>
          <cell r="L582" t="str">
            <v>2025-11-13 18:10:48.524359000</v>
          </cell>
        </row>
        <row r="583">
          <cell r="A583" t="str">
            <v>LT002DT_NXT_INTRST_PYMNT</v>
          </cell>
          <cell r="B583" t="str">
            <v>LT002DT_NXT_INTRST_PYMNTNOT APPLICABLE1</v>
          </cell>
          <cell r="C583" t="str">
            <v>LT002</v>
          </cell>
          <cell r="D583" t="str">
            <v>NOT APPLICABLE</v>
          </cell>
          <cell r="E583" t="str">
            <v>BU_LOANTAPE_WORK.LT002_INSTRUMENT</v>
          </cell>
          <cell r="F583" t="str">
            <v>N/A</v>
          </cell>
          <cell r="G583" t="str">
            <v>DT_NXT_INTRST_PYMNT</v>
          </cell>
          <cell r="H583" t="str">
            <v>2025-10-31</v>
          </cell>
          <cell r="I583">
            <v>4742</v>
          </cell>
          <cell r="J583">
            <v>0</v>
          </cell>
          <cell r="K583" t="str">
            <v>1</v>
          </cell>
          <cell r="L583" t="str">
            <v>2025-11-13 18:10:48.524359000</v>
          </cell>
        </row>
        <row r="584">
          <cell r="A584" t="str">
            <v>LT002DT_LGL_FNL_MTRTY</v>
          </cell>
          <cell r="B584" t="str">
            <v>LT002DT_LGL_FNL_MTRTYCOERÊNCIA1</v>
          </cell>
          <cell r="C584" t="str">
            <v>LT002</v>
          </cell>
          <cell r="D584" t="str">
            <v>COERÊNCIA</v>
          </cell>
          <cell r="E584" t="str">
            <v>BU_LOANTAPE_WORK.LT002_INSTRUMENT</v>
          </cell>
          <cell r="F584" t="str">
            <v>BU_CAPTOOLS_WORK.SIMUL_LT002_INSTRUMENT</v>
          </cell>
          <cell r="G584" t="str">
            <v>DT_LGL_FNL_MTRTY</v>
          </cell>
          <cell r="H584" t="str">
            <v>2025-10-31</v>
          </cell>
          <cell r="I584">
            <v>4742</v>
          </cell>
          <cell r="J584">
            <v>5</v>
          </cell>
          <cell r="K584" t="str">
            <v>1</v>
          </cell>
          <cell r="L584" t="str">
            <v>2025-11-13 18:10:48.524359000</v>
          </cell>
        </row>
        <row r="585">
          <cell r="A585" t="str">
            <v>LT002DT_LGL_FNL_MTRTY</v>
          </cell>
          <cell r="B585" t="str">
            <v>LT002DT_LGL_FNL_MTRTYVALIDADE1</v>
          </cell>
          <cell r="C585" t="str">
            <v>LT002</v>
          </cell>
          <cell r="D585" t="str">
            <v>VALIDADE</v>
          </cell>
          <cell r="E585" t="str">
            <v>BU_LOANTAPE_WORK.LT002_INSTRUMENT</v>
          </cell>
          <cell r="F585" t="str">
            <v>N/A</v>
          </cell>
          <cell r="G585" t="str">
            <v>DT_LGL_FNL_MTRTY</v>
          </cell>
          <cell r="H585" t="str">
            <v>2025-10-31</v>
          </cell>
          <cell r="I585">
            <v>4742</v>
          </cell>
          <cell r="J585">
            <v>0</v>
          </cell>
          <cell r="K585" t="str">
            <v>1</v>
          </cell>
          <cell r="L585" t="str">
            <v>2025-11-13 18:10:48.524359000</v>
          </cell>
        </row>
        <row r="586">
          <cell r="A586" t="str">
            <v>LT002DT_LGL_FNL_MTRTY</v>
          </cell>
          <cell r="B586" t="str">
            <v>LT002DT_LGL_FNL_MTRTYCARACTERES ESPECIAIS1</v>
          </cell>
          <cell r="C586" t="str">
            <v>LT002</v>
          </cell>
          <cell r="D586" t="str">
            <v>CARACTERES ESPECIAIS</v>
          </cell>
          <cell r="E586" t="str">
            <v>BU_LOANTAPE_WORK.LT002_INSTRUMENT</v>
          </cell>
          <cell r="F586" t="str">
            <v>N/A</v>
          </cell>
          <cell r="G586" t="str">
            <v>DT_LGL_FNL_MTRTY</v>
          </cell>
          <cell r="H586" t="str">
            <v>2025-10-31</v>
          </cell>
          <cell r="I586">
            <v>4742</v>
          </cell>
          <cell r="J586">
            <v>0</v>
          </cell>
          <cell r="K586" t="str">
            <v>1</v>
          </cell>
          <cell r="L586" t="str">
            <v>2025-11-13 18:10:48.524359000</v>
          </cell>
        </row>
        <row r="587">
          <cell r="A587" t="str">
            <v>LT002DT_LGL_FNL_MTRTY</v>
          </cell>
          <cell r="B587" t="str">
            <v>LT002DT_LGL_FNL_MTRTYMISSINGS1</v>
          </cell>
          <cell r="C587" t="str">
            <v>LT002</v>
          </cell>
          <cell r="D587" t="str">
            <v>MISSINGS</v>
          </cell>
          <cell r="E587" t="str">
            <v>BU_LOANTAPE_WORK.LT002_INSTRUMENT</v>
          </cell>
          <cell r="F587" t="str">
            <v>N/A</v>
          </cell>
          <cell r="G587" t="str">
            <v>DT_LGL_FNL_MTRTY</v>
          </cell>
          <cell r="H587" t="str">
            <v>2025-10-31</v>
          </cell>
          <cell r="I587">
            <v>4742</v>
          </cell>
          <cell r="J587">
            <v>0</v>
          </cell>
          <cell r="K587" t="str">
            <v>1</v>
          </cell>
          <cell r="L587" t="str">
            <v>2025-11-13 18:10:48.524359000</v>
          </cell>
        </row>
        <row r="588">
          <cell r="A588" t="str">
            <v>LT002DT_LGL_FNL_MTRTY</v>
          </cell>
          <cell r="B588" t="str">
            <v>LT002DT_LGL_FNL_MTRTYNOT APPLICABLE1</v>
          </cell>
          <cell r="C588" t="str">
            <v>LT002</v>
          </cell>
          <cell r="D588" t="str">
            <v>NOT APPLICABLE</v>
          </cell>
          <cell r="E588" t="str">
            <v>BU_LOANTAPE_WORK.LT002_INSTRUMENT</v>
          </cell>
          <cell r="F588" t="str">
            <v>N/A</v>
          </cell>
          <cell r="G588" t="str">
            <v>DT_LGL_FNL_MTRTY</v>
          </cell>
          <cell r="H588" t="str">
            <v>2025-10-31</v>
          </cell>
          <cell r="I588">
            <v>4742</v>
          </cell>
          <cell r="J588">
            <v>5</v>
          </cell>
          <cell r="K588" t="str">
            <v>1</v>
          </cell>
          <cell r="L588" t="str">
            <v>2025-11-13 18:10:48.524359000</v>
          </cell>
        </row>
        <row r="589">
          <cell r="A589" t="str">
            <v>LT002GOVERNING_LAW</v>
          </cell>
          <cell r="B589" t="str">
            <v>LT002GOVERNING_LAWCOERÊNCIA1</v>
          </cell>
          <cell r="C589" t="str">
            <v>LT002</v>
          </cell>
          <cell r="D589" t="str">
            <v>COERÊNCIA</v>
          </cell>
          <cell r="E589" t="str">
            <v>BU_LOANTAPE_WORK.LT002_INSTRUMENT</v>
          </cell>
          <cell r="F589" t="str">
            <v>BU_CAPTOOLS_WORK.SIMUL_LT002_INSTRUMENT</v>
          </cell>
          <cell r="G589" t="str">
            <v>GOVERNING_LAW</v>
          </cell>
          <cell r="H589" t="str">
            <v>2025-10-31</v>
          </cell>
          <cell r="I589">
            <v>4742</v>
          </cell>
          <cell r="J589">
            <v>4742</v>
          </cell>
          <cell r="K589" t="str">
            <v>1</v>
          </cell>
          <cell r="L589" t="str">
            <v>2025-11-13 18:10:48.524359000</v>
          </cell>
        </row>
        <row r="590">
          <cell r="A590" t="str">
            <v>LT002GOVERNING_LAW</v>
          </cell>
          <cell r="B590" t="str">
            <v>LT002GOVERNING_LAWVALIDADE1</v>
          </cell>
          <cell r="C590" t="str">
            <v>LT002</v>
          </cell>
          <cell r="D590" t="str">
            <v>VALIDADE</v>
          </cell>
          <cell r="E590" t="str">
            <v>BU_LOANTAPE_WORK.LT002_INSTRUMENT</v>
          </cell>
          <cell r="F590" t="str">
            <v>N/A</v>
          </cell>
          <cell r="G590" t="str">
            <v>GOVERNING_LAW</v>
          </cell>
          <cell r="H590" t="str">
            <v>2025-10-31</v>
          </cell>
          <cell r="I590">
            <v>4742</v>
          </cell>
          <cell r="J590">
            <v>4734</v>
          </cell>
          <cell r="K590" t="str">
            <v>1</v>
          </cell>
          <cell r="L590" t="str">
            <v>2025-11-13 18:10:48.524359000</v>
          </cell>
        </row>
        <row r="591">
          <cell r="A591" t="str">
            <v>LT002GOVERNING_LAW</v>
          </cell>
          <cell r="B591" t="str">
            <v>LT002GOVERNING_LAWCARACTERES ESPECIAIS1</v>
          </cell>
          <cell r="C591" t="str">
            <v>LT002</v>
          </cell>
          <cell r="D591" t="str">
            <v>CARACTERES ESPECIAIS</v>
          </cell>
          <cell r="E591" t="str">
            <v>BU_LOANTAPE_WORK.LT002_INSTRUMENT</v>
          </cell>
          <cell r="F591" t="str">
            <v>N/A</v>
          </cell>
          <cell r="G591" t="str">
            <v>GOVERNING_LAW</v>
          </cell>
          <cell r="H591" t="str">
            <v>2025-10-31</v>
          </cell>
          <cell r="I591">
            <v>4742</v>
          </cell>
          <cell r="J591">
            <v>0</v>
          </cell>
          <cell r="K591" t="str">
            <v>1</v>
          </cell>
          <cell r="L591" t="str">
            <v>2025-11-13 18:10:48.524359000</v>
          </cell>
        </row>
        <row r="592">
          <cell r="A592" t="str">
            <v>LT002GOVERNING_LAW</v>
          </cell>
          <cell r="B592" t="str">
            <v>LT002GOVERNING_LAWMISSINGS1</v>
          </cell>
          <cell r="C592" t="str">
            <v>LT002</v>
          </cell>
          <cell r="D592" t="str">
            <v>MISSINGS</v>
          </cell>
          <cell r="E592" t="str">
            <v>BU_LOANTAPE_WORK.LT002_INSTRUMENT</v>
          </cell>
          <cell r="F592" t="str">
            <v>N/A</v>
          </cell>
          <cell r="G592" t="str">
            <v>GOVERNING_LAW</v>
          </cell>
          <cell r="H592" t="str">
            <v>2025-10-31</v>
          </cell>
          <cell r="I592">
            <v>4742</v>
          </cell>
          <cell r="J592">
            <v>0</v>
          </cell>
          <cell r="K592" t="str">
            <v>1</v>
          </cell>
          <cell r="L592" t="str">
            <v>2025-11-13 18:10:48.524359000</v>
          </cell>
        </row>
        <row r="593">
          <cell r="A593" t="str">
            <v>LT002GOVERNING_LAW</v>
          </cell>
          <cell r="B593" t="str">
            <v>LT002GOVERNING_LAWNOT APPLICABLE1</v>
          </cell>
          <cell r="C593" t="str">
            <v>LT002</v>
          </cell>
          <cell r="D593" t="str">
            <v>NOT APPLICABLE</v>
          </cell>
          <cell r="E593" t="str">
            <v>BU_LOANTAPE_WORK.LT002_INSTRUMENT</v>
          </cell>
          <cell r="F593" t="str">
            <v>N/A</v>
          </cell>
          <cell r="G593" t="str">
            <v>GOVERNING_LAW</v>
          </cell>
          <cell r="H593" t="str">
            <v>2025-10-31</v>
          </cell>
          <cell r="I593">
            <v>4742</v>
          </cell>
          <cell r="J593">
            <v>0</v>
          </cell>
          <cell r="K593" t="str">
            <v>1</v>
          </cell>
          <cell r="L593" t="str">
            <v>2025-11-13 18:10:48.524359000</v>
          </cell>
        </row>
        <row r="594">
          <cell r="A594" t="str">
            <v>LT002TRDNG_MTHD</v>
          </cell>
          <cell r="B594" t="str">
            <v>LT002TRDNG_MTHDCOERÊNCIA</v>
          </cell>
          <cell r="C594" t="str">
            <v>LT002</v>
          </cell>
          <cell r="D594" t="str">
            <v>COERÊNCIA</v>
          </cell>
          <cell r="E594" t="str">
            <v>BU_LOANTAPE_WORK.LT002_INSTRUMENT</v>
          </cell>
          <cell r="F594" t="str">
            <v>BU_CAPTOOLS_WORK.SIMUL_LT002_INSTRUMENT</v>
          </cell>
          <cell r="G594" t="str">
            <v>TRDNG_MTHD</v>
          </cell>
          <cell r="L594" t="str">
            <v>Campo por criar LT IT</v>
          </cell>
        </row>
        <row r="595">
          <cell r="A595" t="str">
            <v>LT002TRDNG_MTHD</v>
          </cell>
          <cell r="B595" t="str">
            <v>LT002TRDNG_MTHDVALIDADE</v>
          </cell>
          <cell r="C595" t="str">
            <v>LT002</v>
          </cell>
          <cell r="D595" t="str">
            <v>VALIDADE</v>
          </cell>
          <cell r="E595" t="str">
            <v>BU_LOANTAPE_WORK.LT002_INSTRUMENT</v>
          </cell>
          <cell r="F595" t="str">
            <v>N/A</v>
          </cell>
          <cell r="G595" t="str">
            <v>TRDNG_MTHD</v>
          </cell>
          <cell r="L595" t="str">
            <v>Campo por criar LT IT</v>
          </cell>
        </row>
        <row r="596">
          <cell r="A596" t="str">
            <v>LT002TRDNG_MTHD</v>
          </cell>
          <cell r="B596" t="str">
            <v>LT002TRDNG_MTHDCARACTERES ESPECIAIS</v>
          </cell>
          <cell r="C596" t="str">
            <v>LT002</v>
          </cell>
          <cell r="D596" t="str">
            <v>CARACTERES ESPECIAIS</v>
          </cell>
          <cell r="E596" t="str">
            <v>BU_LOANTAPE_WORK.LT002_INSTRUMENT</v>
          </cell>
          <cell r="F596" t="str">
            <v>N/A</v>
          </cell>
          <cell r="G596" t="str">
            <v>TRDNG_MTHD</v>
          </cell>
          <cell r="L596" t="str">
            <v>Campo por criar LT IT</v>
          </cell>
        </row>
        <row r="597">
          <cell r="A597" t="str">
            <v>LT002TRDNG_MTHD</v>
          </cell>
          <cell r="B597" t="str">
            <v>LT002TRDNG_MTHDMISSINGS</v>
          </cell>
          <cell r="C597" t="str">
            <v>LT002</v>
          </cell>
          <cell r="D597" t="str">
            <v>MISSINGS</v>
          </cell>
          <cell r="E597" t="str">
            <v>BU_LOANTAPE_WORK.LT002_INSTRUMENT</v>
          </cell>
          <cell r="F597" t="str">
            <v>N/A</v>
          </cell>
          <cell r="G597" t="str">
            <v>TRDNG_MTHD</v>
          </cell>
          <cell r="L597" t="str">
            <v>Campo por criar LT IT</v>
          </cell>
        </row>
        <row r="598">
          <cell r="A598" t="str">
            <v>LT002TRDNG_MTHD</v>
          </cell>
          <cell r="B598" t="str">
            <v>LT002TRDNG_MTHDNOT APPLICABLE</v>
          </cell>
          <cell r="C598" t="str">
            <v>LT002</v>
          </cell>
          <cell r="D598" t="str">
            <v>NOT APPLICABLE</v>
          </cell>
          <cell r="E598" t="str">
            <v>BU_LOANTAPE_WORK.LT002_INSTRUMENT</v>
          </cell>
          <cell r="F598" t="str">
            <v>N/A</v>
          </cell>
          <cell r="G598" t="str">
            <v>TRDNG_MTHD</v>
          </cell>
          <cell r="L598" t="str">
            <v>Campo por criar LT IT</v>
          </cell>
        </row>
        <row r="599">
          <cell r="A599" t="str">
            <v>LT002AMNT_SCRTY_EUR</v>
          </cell>
          <cell r="B599" t="str">
            <v>LT002AMNT_SCRTY_EURCOERÊNCIA1</v>
          </cell>
          <cell r="C599" t="str">
            <v>LT002</v>
          </cell>
          <cell r="D599" t="str">
            <v>COERÊNCIA</v>
          </cell>
          <cell r="E599" t="str">
            <v>BU_LOANTAPE_WORK.LT002_INSTRUMENT</v>
          </cell>
          <cell r="F599" t="str">
            <v>BU_CAPTOOLS_WORK.SIMUL_LT002_INSTRUMENT</v>
          </cell>
          <cell r="G599" t="str">
            <v>AMNT_SCRTY_EUR</v>
          </cell>
          <cell r="H599" t="str">
            <v>2025-10-31</v>
          </cell>
          <cell r="I599">
            <v>4742</v>
          </cell>
          <cell r="J599">
            <v>0</v>
          </cell>
          <cell r="K599" t="str">
            <v>1</v>
          </cell>
          <cell r="L599" t="str">
            <v>2025-11-13 18:10:48.524359000</v>
          </cell>
        </row>
        <row r="600">
          <cell r="A600" t="str">
            <v>LT002AMNT_SCRTY_EUR</v>
          </cell>
          <cell r="B600" t="str">
            <v>LT002AMNT_SCRTY_EURVALIDADE1</v>
          </cell>
          <cell r="C600" t="str">
            <v>LT002</v>
          </cell>
          <cell r="D600" t="str">
            <v>VALIDADE</v>
          </cell>
          <cell r="E600" t="str">
            <v>BU_LOANTAPE_WORK.LT002_INSTRUMENT</v>
          </cell>
          <cell r="F600" t="str">
            <v>N/A</v>
          </cell>
          <cell r="G600" t="str">
            <v>AMNT_SCRTY_EUR</v>
          </cell>
          <cell r="H600" t="str">
            <v>2025-10-31</v>
          </cell>
          <cell r="I600">
            <v>4742</v>
          </cell>
          <cell r="J600">
            <v>0</v>
          </cell>
          <cell r="K600" t="str">
            <v>1</v>
          </cell>
          <cell r="L600" t="str">
            <v>2025-11-13 18:10:48.524359000</v>
          </cell>
        </row>
        <row r="601">
          <cell r="A601" t="str">
            <v>LT002AMNT_SCRTY_EUR</v>
          </cell>
          <cell r="B601" t="str">
            <v>LT002AMNT_SCRTY_EURCARACTERES ESPECIAIS1</v>
          </cell>
          <cell r="C601" t="str">
            <v>LT002</v>
          </cell>
          <cell r="D601" t="str">
            <v>CARACTERES ESPECIAIS</v>
          </cell>
          <cell r="E601" t="str">
            <v>BU_LOANTAPE_WORK.LT002_INSTRUMENT</v>
          </cell>
          <cell r="F601" t="str">
            <v>N/A</v>
          </cell>
          <cell r="G601" t="str">
            <v>AMNT_SCRTY_EUR</v>
          </cell>
          <cell r="H601" t="str">
            <v>2025-10-31</v>
          </cell>
          <cell r="I601">
            <v>4742</v>
          </cell>
          <cell r="J601">
            <v>0</v>
          </cell>
          <cell r="K601" t="str">
            <v>1</v>
          </cell>
          <cell r="L601" t="str">
            <v>2025-11-13 18:10:48.524359000</v>
          </cell>
        </row>
        <row r="602">
          <cell r="A602" t="str">
            <v>LT002AMNT_SCRTY_EUR</v>
          </cell>
          <cell r="B602" t="str">
            <v>LT002AMNT_SCRTY_EURMISSINGS1</v>
          </cell>
          <cell r="C602" t="str">
            <v>LT002</v>
          </cell>
          <cell r="D602" t="str">
            <v>MISSINGS</v>
          </cell>
          <cell r="E602" t="str">
            <v>BU_LOANTAPE_WORK.LT002_INSTRUMENT</v>
          </cell>
          <cell r="F602" t="str">
            <v>N/A</v>
          </cell>
          <cell r="G602" t="str">
            <v>AMNT_SCRTY_EUR</v>
          </cell>
          <cell r="H602" t="str">
            <v>2025-10-31</v>
          </cell>
          <cell r="I602">
            <v>4742</v>
          </cell>
          <cell r="J602">
            <v>0</v>
          </cell>
          <cell r="K602" t="str">
            <v>1</v>
          </cell>
          <cell r="L602" t="str">
            <v>2025-11-13 18:10:48.524359000</v>
          </cell>
        </row>
        <row r="603">
          <cell r="A603" t="str">
            <v>LT002AMNT_SCRTY_EUR</v>
          </cell>
          <cell r="B603" t="str">
            <v>LT002AMNT_SCRTY_EURNOT APPLICABLE1</v>
          </cell>
          <cell r="C603" t="str">
            <v>LT002</v>
          </cell>
          <cell r="D603" t="str">
            <v>NOT APPLICABLE</v>
          </cell>
          <cell r="E603" t="str">
            <v>BU_LOANTAPE_WORK.LT002_INSTRUMENT</v>
          </cell>
          <cell r="F603" t="str">
            <v>N/A</v>
          </cell>
          <cell r="G603" t="str">
            <v>AMNT_SCRTY_EUR</v>
          </cell>
          <cell r="H603" t="str">
            <v>2025-10-31</v>
          </cell>
          <cell r="I603">
            <v>4742</v>
          </cell>
          <cell r="J603">
            <v>0</v>
          </cell>
          <cell r="K603" t="str">
            <v>1</v>
          </cell>
          <cell r="L603" t="str">
            <v>2025-11-13 18:10:48.524359000</v>
          </cell>
        </row>
        <row r="604">
          <cell r="A604" t="str">
            <v>LT002AMNT_SCRTY_FX</v>
          </cell>
          <cell r="B604" t="str">
            <v>LT002AMNT_SCRTY_FXCOERÊNCIA1</v>
          </cell>
          <cell r="C604" t="str">
            <v>LT002</v>
          </cell>
          <cell r="D604" t="str">
            <v>COERÊNCIA</v>
          </cell>
          <cell r="E604" t="str">
            <v>BU_LOANTAPE_WORK.LT002_INSTRUMENT</v>
          </cell>
          <cell r="F604" t="str">
            <v>BU_CAPTOOLS_WORK.SIMUL_LT002_INSTRUMENT</v>
          </cell>
          <cell r="G604" t="str">
            <v>AMNT_SCRTY_FX</v>
          </cell>
          <cell r="H604" t="str">
            <v>2025-10-31</v>
          </cell>
          <cell r="I604">
            <v>4742</v>
          </cell>
          <cell r="J604">
            <v>0</v>
          </cell>
          <cell r="K604" t="str">
            <v>1</v>
          </cell>
          <cell r="L604" t="str">
            <v>2025-11-13 18:10:48.524359000</v>
          </cell>
        </row>
        <row r="605">
          <cell r="A605" t="str">
            <v>LT002AMNT_SCRTY_FX</v>
          </cell>
          <cell r="B605" t="str">
            <v>LT002AMNT_SCRTY_FXVALIDADE1</v>
          </cell>
          <cell r="C605" t="str">
            <v>LT002</v>
          </cell>
          <cell r="D605" t="str">
            <v>VALIDADE</v>
          </cell>
          <cell r="E605" t="str">
            <v>BU_LOANTAPE_WORK.LT002_INSTRUMENT</v>
          </cell>
          <cell r="F605" t="str">
            <v>N/A</v>
          </cell>
          <cell r="G605" t="str">
            <v>AMNT_SCRTY_FX</v>
          </cell>
          <cell r="H605" t="str">
            <v>2025-10-31</v>
          </cell>
          <cell r="I605">
            <v>4742</v>
          </cell>
          <cell r="J605">
            <v>0</v>
          </cell>
          <cell r="K605" t="str">
            <v>1</v>
          </cell>
          <cell r="L605" t="str">
            <v>2025-11-13 18:10:48.524359000</v>
          </cell>
        </row>
        <row r="606">
          <cell r="A606" t="str">
            <v>LT002AMNT_SCRTY_FX</v>
          </cell>
          <cell r="B606" t="str">
            <v>LT002AMNT_SCRTY_FXCARACTERES ESPECIAIS1</v>
          </cell>
          <cell r="C606" t="str">
            <v>LT002</v>
          </cell>
          <cell r="D606" t="str">
            <v>CARACTERES ESPECIAIS</v>
          </cell>
          <cell r="E606" t="str">
            <v>BU_LOANTAPE_WORK.LT002_INSTRUMENT</v>
          </cell>
          <cell r="F606" t="str">
            <v>N/A</v>
          </cell>
          <cell r="G606" t="str">
            <v>AMNT_SCRTY_FX</v>
          </cell>
          <cell r="H606" t="str">
            <v>2025-10-31</v>
          </cell>
          <cell r="I606">
            <v>4742</v>
          </cell>
          <cell r="J606">
            <v>0</v>
          </cell>
          <cell r="K606" t="str">
            <v>1</v>
          </cell>
          <cell r="L606" t="str">
            <v>2025-11-13 18:10:48.524359000</v>
          </cell>
        </row>
        <row r="607">
          <cell r="A607" t="str">
            <v>LT002AMNT_SCRTY_FX</v>
          </cell>
          <cell r="B607" t="str">
            <v>LT002AMNT_SCRTY_FXMISSINGS1</v>
          </cell>
          <cell r="C607" t="str">
            <v>LT002</v>
          </cell>
          <cell r="D607" t="str">
            <v>MISSINGS</v>
          </cell>
          <cell r="E607" t="str">
            <v>BU_LOANTAPE_WORK.LT002_INSTRUMENT</v>
          </cell>
          <cell r="F607" t="str">
            <v>N/A</v>
          </cell>
          <cell r="G607" t="str">
            <v>AMNT_SCRTY_FX</v>
          </cell>
          <cell r="H607" t="str">
            <v>2025-10-31</v>
          </cell>
          <cell r="I607">
            <v>4742</v>
          </cell>
          <cell r="J607">
            <v>0</v>
          </cell>
          <cell r="K607" t="str">
            <v>1</v>
          </cell>
          <cell r="L607" t="str">
            <v>2025-11-13 18:10:48.524359000</v>
          </cell>
        </row>
        <row r="608">
          <cell r="A608" t="str">
            <v>LT002AMNT_SCRTY_FX</v>
          </cell>
          <cell r="B608" t="str">
            <v>LT002AMNT_SCRTY_FXNOT APPLICABLE1</v>
          </cell>
          <cell r="C608" t="str">
            <v>LT002</v>
          </cell>
          <cell r="D608" t="str">
            <v>NOT APPLICABLE</v>
          </cell>
          <cell r="E608" t="str">
            <v>BU_LOANTAPE_WORK.LT002_INSTRUMENT</v>
          </cell>
          <cell r="F608" t="str">
            <v>N/A</v>
          </cell>
          <cell r="G608" t="str">
            <v>AMNT_SCRTY_FX</v>
          </cell>
          <cell r="H608" t="str">
            <v>2025-10-31</v>
          </cell>
          <cell r="I608">
            <v>4742</v>
          </cell>
          <cell r="J608">
            <v>0</v>
          </cell>
          <cell r="K608" t="str">
            <v>1</v>
          </cell>
          <cell r="L608" t="str">
            <v>2025-11-13 18:10:48.524359000</v>
          </cell>
        </row>
        <row r="609">
          <cell r="A609" t="str">
            <v>LT002CSD</v>
          </cell>
          <cell r="B609" t="str">
            <v>LT002CSDCOERÊNCIA1</v>
          </cell>
          <cell r="C609" t="str">
            <v>LT002</v>
          </cell>
          <cell r="D609" t="str">
            <v>COERÊNCIA</v>
          </cell>
          <cell r="E609" t="str">
            <v>BU_LOANTAPE_WORK.LT002_INSTRUMENT</v>
          </cell>
          <cell r="F609" t="str">
            <v>BU_CAPTOOLS_WORK.SIMUL_LT002_INSTRUMENT</v>
          </cell>
          <cell r="G609" t="str">
            <v>CSD</v>
          </cell>
          <cell r="H609" t="str">
            <v>2025-10-31</v>
          </cell>
          <cell r="I609">
            <v>4742</v>
          </cell>
          <cell r="J609">
            <v>4734</v>
          </cell>
          <cell r="K609" t="str">
            <v>1</v>
          </cell>
          <cell r="L609" t="str">
            <v>2025-11-13 18:10:48.524359000</v>
          </cell>
        </row>
        <row r="610">
          <cell r="A610" t="str">
            <v>LT002CSD</v>
          </cell>
          <cell r="B610" t="str">
            <v>LT002CSDVALIDADE1</v>
          </cell>
          <cell r="C610" t="str">
            <v>LT002</v>
          </cell>
          <cell r="D610" t="str">
            <v>VALIDADE</v>
          </cell>
          <cell r="E610" t="str">
            <v>BU_LOANTAPE_WORK.LT002_INSTRUMENT</v>
          </cell>
          <cell r="F610" t="str">
            <v>N/A</v>
          </cell>
          <cell r="G610" t="str">
            <v>CSD</v>
          </cell>
          <cell r="H610" t="str">
            <v>2025-10-31</v>
          </cell>
          <cell r="I610">
            <v>4742</v>
          </cell>
          <cell r="J610">
            <v>0</v>
          </cell>
          <cell r="K610" t="str">
            <v>1</v>
          </cell>
          <cell r="L610" t="str">
            <v>2025-11-13 18:10:48.524359000</v>
          </cell>
        </row>
        <row r="611">
          <cell r="A611" t="str">
            <v>LT002CSD</v>
          </cell>
          <cell r="B611" t="str">
            <v>LT002CSDCARACTERES ESPECIAIS1</v>
          </cell>
          <cell r="C611" t="str">
            <v>LT002</v>
          </cell>
          <cell r="D611" t="str">
            <v>CARACTERES ESPECIAIS</v>
          </cell>
          <cell r="E611" t="str">
            <v>BU_LOANTAPE_WORK.LT002_INSTRUMENT</v>
          </cell>
          <cell r="F611" t="str">
            <v>N/A</v>
          </cell>
          <cell r="G611" t="str">
            <v>CSD</v>
          </cell>
          <cell r="H611" t="str">
            <v>2025-10-31</v>
          </cell>
          <cell r="I611">
            <v>4742</v>
          </cell>
          <cell r="J611">
            <v>8</v>
          </cell>
          <cell r="K611" t="str">
            <v>1</v>
          </cell>
          <cell r="L611" t="str">
            <v>2025-11-13 18:10:48.524359000</v>
          </cell>
        </row>
        <row r="612">
          <cell r="A612" t="str">
            <v>LT002CSD</v>
          </cell>
          <cell r="B612" t="str">
            <v>LT002CSDMISSINGS1</v>
          </cell>
          <cell r="C612" t="str">
            <v>LT002</v>
          </cell>
          <cell r="D612" t="str">
            <v>MISSINGS</v>
          </cell>
          <cell r="E612" t="str">
            <v>BU_LOANTAPE_WORK.LT002_INSTRUMENT</v>
          </cell>
          <cell r="F612" t="str">
            <v>N/A</v>
          </cell>
          <cell r="G612" t="str">
            <v>CSD</v>
          </cell>
          <cell r="H612" t="str">
            <v>2025-10-31</v>
          </cell>
          <cell r="I612">
            <v>4742</v>
          </cell>
          <cell r="J612">
            <v>0</v>
          </cell>
          <cell r="K612" t="str">
            <v>1</v>
          </cell>
          <cell r="L612" t="str">
            <v>2025-11-13 18:10:48.524359000</v>
          </cell>
        </row>
        <row r="613">
          <cell r="A613" t="str">
            <v>LT002CSD</v>
          </cell>
          <cell r="B613" t="str">
            <v>LT002CSDNOT APPLICABLE1</v>
          </cell>
          <cell r="C613" t="str">
            <v>LT002</v>
          </cell>
          <cell r="D613" t="str">
            <v>NOT APPLICABLE</v>
          </cell>
          <cell r="E613" t="str">
            <v>BU_LOANTAPE_WORK.LT002_INSTRUMENT</v>
          </cell>
          <cell r="F613" t="str">
            <v>N/A</v>
          </cell>
          <cell r="G613" t="str">
            <v>CSD</v>
          </cell>
          <cell r="H613" t="str">
            <v>2025-10-31</v>
          </cell>
          <cell r="I613">
            <v>4742</v>
          </cell>
          <cell r="J613">
            <v>4734</v>
          </cell>
          <cell r="K613" t="str">
            <v>1</v>
          </cell>
          <cell r="L613" t="str">
            <v>2025-11-13 18:10:48.524359000</v>
          </cell>
        </row>
        <row r="614">
          <cell r="A614" t="str">
            <v>LT002CSD_LEI</v>
          </cell>
          <cell r="B614" t="str">
            <v>LT002CSD_LEICOERÊNCIA1</v>
          </cell>
          <cell r="C614" t="str">
            <v>LT002</v>
          </cell>
          <cell r="D614" t="str">
            <v>COERÊNCIA</v>
          </cell>
          <cell r="E614" t="str">
            <v>BU_LOANTAPE_WORK.LT002_INSTRUMENT</v>
          </cell>
          <cell r="F614" t="str">
            <v>BU_CAPTOOLS_WORK.SIMUL_LT002_INSTRUMENT</v>
          </cell>
          <cell r="G614" t="str">
            <v>CSD_LEI</v>
          </cell>
          <cell r="H614" t="str">
            <v>2025-10-31</v>
          </cell>
          <cell r="I614">
            <v>4742</v>
          </cell>
          <cell r="J614">
            <v>0</v>
          </cell>
          <cell r="K614" t="str">
            <v>1</v>
          </cell>
          <cell r="L614" t="str">
            <v>2025-11-13 18:10:48.524359000</v>
          </cell>
        </row>
        <row r="615">
          <cell r="A615" t="str">
            <v>LT002CSD_LEI</v>
          </cell>
          <cell r="B615" t="str">
            <v>LT002CSD_LEIVALIDADE1</v>
          </cell>
          <cell r="C615" t="str">
            <v>LT002</v>
          </cell>
          <cell r="D615" t="str">
            <v>VALIDADE</v>
          </cell>
          <cell r="E615" t="str">
            <v>BU_LOANTAPE_WORK.LT002_INSTRUMENT</v>
          </cell>
          <cell r="F615" t="str">
            <v>N/A</v>
          </cell>
          <cell r="G615" t="str">
            <v>CSD_LEI</v>
          </cell>
          <cell r="H615" t="str">
            <v>2025-10-31</v>
          </cell>
          <cell r="I615">
            <v>4742</v>
          </cell>
          <cell r="J615">
            <v>0</v>
          </cell>
          <cell r="K615" t="str">
            <v>1</v>
          </cell>
          <cell r="L615" t="str">
            <v>2025-11-13 18:10:48.524359000</v>
          </cell>
        </row>
        <row r="616">
          <cell r="A616" t="str">
            <v>LT002CSD_LEI</v>
          </cell>
          <cell r="B616" t="str">
            <v>LT002CSD_LEICARACTERES ESPECIAIS1</v>
          </cell>
          <cell r="C616" t="str">
            <v>LT002</v>
          </cell>
          <cell r="D616" t="str">
            <v>CARACTERES ESPECIAIS</v>
          </cell>
          <cell r="E616" t="str">
            <v>BU_LOANTAPE_WORK.LT002_INSTRUMENT</v>
          </cell>
          <cell r="F616" t="str">
            <v>N/A</v>
          </cell>
          <cell r="G616" t="str">
            <v>CSD_LEI</v>
          </cell>
          <cell r="H616" t="str">
            <v>2025-10-31</v>
          </cell>
          <cell r="I616">
            <v>4742</v>
          </cell>
          <cell r="J616">
            <v>0</v>
          </cell>
          <cell r="K616" t="str">
            <v>1</v>
          </cell>
          <cell r="L616" t="str">
            <v>2025-11-13 18:10:48.524359000</v>
          </cell>
        </row>
        <row r="617">
          <cell r="A617" t="str">
            <v>LT002CSD_LEI</v>
          </cell>
          <cell r="B617" t="str">
            <v>LT002CSD_LEIMISSINGS1</v>
          </cell>
          <cell r="C617" t="str">
            <v>LT002</v>
          </cell>
          <cell r="D617" t="str">
            <v>MISSINGS</v>
          </cell>
          <cell r="E617" t="str">
            <v>BU_LOANTAPE_WORK.LT002_INSTRUMENT</v>
          </cell>
          <cell r="F617" t="str">
            <v>N/A</v>
          </cell>
          <cell r="G617" t="str">
            <v>CSD_LEI</v>
          </cell>
          <cell r="H617" t="str">
            <v>2025-10-31</v>
          </cell>
          <cell r="I617">
            <v>4742</v>
          </cell>
          <cell r="J617">
            <v>0</v>
          </cell>
          <cell r="K617" t="str">
            <v>1</v>
          </cell>
          <cell r="L617" t="str">
            <v>2025-11-13 18:10:48.524359000</v>
          </cell>
        </row>
        <row r="618">
          <cell r="A618" t="str">
            <v>LT002CSD_LEI</v>
          </cell>
          <cell r="B618" t="str">
            <v>LT002CSD_LEINOT APPLICABLE1</v>
          </cell>
          <cell r="C618" t="str">
            <v>LT002</v>
          </cell>
          <cell r="D618" t="str">
            <v>NOT APPLICABLE</v>
          </cell>
          <cell r="E618" t="str">
            <v>BU_LOANTAPE_WORK.LT002_INSTRUMENT</v>
          </cell>
          <cell r="F618" t="str">
            <v>N/A</v>
          </cell>
          <cell r="G618" t="str">
            <v>CSD_LEI</v>
          </cell>
          <cell r="H618" t="str">
            <v>2025-10-31</v>
          </cell>
          <cell r="I618">
            <v>4742</v>
          </cell>
          <cell r="J618">
            <v>4734</v>
          </cell>
          <cell r="K618" t="str">
            <v>1</v>
          </cell>
          <cell r="L618" t="str">
            <v>2025-11-13 18:10:48.524359000</v>
          </cell>
        </row>
        <row r="619">
          <cell r="A619" t="str">
            <v>LT002PYNG_AGNT</v>
          </cell>
          <cell r="B619" t="str">
            <v>LT002PYNG_AGNTCOERÊNCIA1</v>
          </cell>
          <cell r="C619" t="str">
            <v>LT002</v>
          </cell>
          <cell r="D619" t="str">
            <v>COERÊNCIA</v>
          </cell>
          <cell r="E619" t="str">
            <v>BU_LOANTAPE_WORK.LT002_INSTRUMENT</v>
          </cell>
          <cell r="F619" t="str">
            <v>BU_CAPTOOLS_WORK.SIMUL_LT002_INSTRUMENT</v>
          </cell>
          <cell r="G619" t="str">
            <v>PYNG_AGNT</v>
          </cell>
          <cell r="H619" t="str">
            <v>2025-10-31</v>
          </cell>
          <cell r="I619">
            <v>4742</v>
          </cell>
          <cell r="J619">
            <v>0</v>
          </cell>
          <cell r="K619" t="str">
            <v>1</v>
          </cell>
          <cell r="L619" t="str">
            <v>2025-11-13 18:10:48.524359000</v>
          </cell>
        </row>
        <row r="620">
          <cell r="A620" t="str">
            <v>LT002PYNG_AGNT</v>
          </cell>
          <cell r="B620" t="str">
            <v>LT002PYNG_AGNTVALIDADE1</v>
          </cell>
          <cell r="C620" t="str">
            <v>LT002</v>
          </cell>
          <cell r="D620" t="str">
            <v>VALIDADE</v>
          </cell>
          <cell r="E620" t="str">
            <v>BU_LOANTAPE_WORK.LT002_INSTRUMENT</v>
          </cell>
          <cell r="F620" t="str">
            <v>N/A</v>
          </cell>
          <cell r="G620" t="str">
            <v>PYNG_AGNT</v>
          </cell>
          <cell r="H620" t="str">
            <v>2025-10-31</v>
          </cell>
          <cell r="I620">
            <v>4742</v>
          </cell>
          <cell r="J620">
            <v>0</v>
          </cell>
          <cell r="K620" t="str">
            <v>1</v>
          </cell>
          <cell r="L620" t="str">
            <v>2025-11-13 18:10:48.524359000</v>
          </cell>
        </row>
        <row r="621">
          <cell r="A621" t="str">
            <v>LT002PYNG_AGNT</v>
          </cell>
          <cell r="B621" t="str">
            <v>LT002PYNG_AGNTCARACTERES ESPECIAIS1</v>
          </cell>
          <cell r="C621" t="str">
            <v>LT002</v>
          </cell>
          <cell r="D621" t="str">
            <v>CARACTERES ESPECIAIS</v>
          </cell>
          <cell r="E621" t="str">
            <v>BU_LOANTAPE_WORK.LT002_INSTRUMENT</v>
          </cell>
          <cell r="F621" t="str">
            <v>N/A</v>
          </cell>
          <cell r="G621" t="str">
            <v>PYNG_AGNT</v>
          </cell>
          <cell r="H621" t="str">
            <v>2025-10-31</v>
          </cell>
          <cell r="I621">
            <v>4742</v>
          </cell>
          <cell r="J621">
            <v>0</v>
          </cell>
          <cell r="K621" t="str">
            <v>1</v>
          </cell>
          <cell r="L621" t="str">
            <v>2025-11-13 18:10:48.524359000</v>
          </cell>
        </row>
        <row r="622">
          <cell r="A622" t="str">
            <v>LT002PYNG_AGNT</v>
          </cell>
          <cell r="B622" t="str">
            <v>LT002PYNG_AGNTMISSINGS1</v>
          </cell>
          <cell r="C622" t="str">
            <v>LT002</v>
          </cell>
          <cell r="D622" t="str">
            <v>MISSINGS</v>
          </cell>
          <cell r="E622" t="str">
            <v>BU_LOANTAPE_WORK.LT002_INSTRUMENT</v>
          </cell>
          <cell r="F622" t="str">
            <v>N/A</v>
          </cell>
          <cell r="G622" t="str">
            <v>PYNG_AGNT</v>
          </cell>
          <cell r="H622" t="str">
            <v>2025-10-31</v>
          </cell>
          <cell r="I622">
            <v>4742</v>
          </cell>
          <cell r="J622">
            <v>0</v>
          </cell>
          <cell r="K622" t="str">
            <v>1</v>
          </cell>
          <cell r="L622" t="str">
            <v>2025-11-13 18:10:48.524359000</v>
          </cell>
        </row>
        <row r="623">
          <cell r="A623" t="str">
            <v>LT002PYNG_AGNT</v>
          </cell>
          <cell r="B623" t="str">
            <v>LT002PYNG_AGNTNOT APPLICABLE1</v>
          </cell>
          <cell r="C623" t="str">
            <v>LT002</v>
          </cell>
          <cell r="D623" t="str">
            <v>NOT APPLICABLE</v>
          </cell>
          <cell r="E623" t="str">
            <v>BU_LOANTAPE_WORK.LT002_INSTRUMENT</v>
          </cell>
          <cell r="F623" t="str">
            <v>N/A</v>
          </cell>
          <cell r="G623" t="str">
            <v>PYNG_AGNT</v>
          </cell>
          <cell r="H623" t="str">
            <v>2025-10-31</v>
          </cell>
          <cell r="I623">
            <v>4742</v>
          </cell>
          <cell r="J623">
            <v>4734</v>
          </cell>
          <cell r="K623" t="str">
            <v>1</v>
          </cell>
          <cell r="L623" t="str">
            <v>2025-11-13 18:10:48.524359000</v>
          </cell>
        </row>
        <row r="624">
          <cell r="A624" t="str">
            <v>LT002PYNG_AGNT_LEI</v>
          </cell>
          <cell r="B624" t="str">
            <v>LT002PYNG_AGNT_LEICOERÊNCIA1</v>
          </cell>
          <cell r="C624" t="str">
            <v>LT002</v>
          </cell>
          <cell r="D624" t="str">
            <v>COERÊNCIA</v>
          </cell>
          <cell r="E624" t="str">
            <v>BU_LOANTAPE_WORK.LT002_INSTRUMENT</v>
          </cell>
          <cell r="F624" t="str">
            <v>BU_CAPTOOLS_WORK.SIMUL_LT002_INSTRUMENT</v>
          </cell>
          <cell r="G624" t="str">
            <v>PYNG_AGNT_LEI</v>
          </cell>
          <cell r="H624" t="str">
            <v>2025-10-31</v>
          </cell>
          <cell r="I624">
            <v>4742</v>
          </cell>
          <cell r="J624">
            <v>0</v>
          </cell>
          <cell r="K624" t="str">
            <v>1</v>
          </cell>
          <cell r="L624" t="str">
            <v>2025-11-13 18:10:48.524359000</v>
          </cell>
        </row>
        <row r="625">
          <cell r="A625" t="str">
            <v>LT002PYNG_AGNT_LEI</v>
          </cell>
          <cell r="B625" t="str">
            <v>LT002PYNG_AGNT_LEIVALIDADE1</v>
          </cell>
          <cell r="C625" t="str">
            <v>LT002</v>
          </cell>
          <cell r="D625" t="str">
            <v>VALIDADE</v>
          </cell>
          <cell r="E625" t="str">
            <v>BU_LOANTAPE_WORK.LT002_INSTRUMENT</v>
          </cell>
          <cell r="F625" t="str">
            <v>N/A</v>
          </cell>
          <cell r="G625" t="str">
            <v>PYNG_AGNT_LEI</v>
          </cell>
          <cell r="H625" t="str">
            <v>2025-10-31</v>
          </cell>
          <cell r="I625">
            <v>4742</v>
          </cell>
          <cell r="J625">
            <v>0</v>
          </cell>
          <cell r="K625" t="str">
            <v>1</v>
          </cell>
          <cell r="L625" t="str">
            <v>2025-11-13 18:10:48.524359000</v>
          </cell>
        </row>
        <row r="626">
          <cell r="A626" t="str">
            <v>LT002PYNG_AGNT_LEI</v>
          </cell>
          <cell r="B626" t="str">
            <v>LT002PYNG_AGNT_LEICARACTERES ESPECIAIS1</v>
          </cell>
          <cell r="C626" t="str">
            <v>LT002</v>
          </cell>
          <cell r="D626" t="str">
            <v>CARACTERES ESPECIAIS</v>
          </cell>
          <cell r="E626" t="str">
            <v>BU_LOANTAPE_WORK.LT002_INSTRUMENT</v>
          </cell>
          <cell r="F626" t="str">
            <v>N/A</v>
          </cell>
          <cell r="G626" t="str">
            <v>PYNG_AGNT_LEI</v>
          </cell>
          <cell r="H626" t="str">
            <v>2025-10-31</v>
          </cell>
          <cell r="I626">
            <v>4742</v>
          </cell>
          <cell r="J626">
            <v>0</v>
          </cell>
          <cell r="K626" t="str">
            <v>1</v>
          </cell>
          <cell r="L626" t="str">
            <v>2025-11-13 18:10:48.524359000</v>
          </cell>
        </row>
        <row r="627">
          <cell r="A627" t="str">
            <v>LT002PYNG_AGNT_LEI</v>
          </cell>
          <cell r="B627" t="str">
            <v>LT002PYNG_AGNT_LEIMISSINGS1</v>
          </cell>
          <cell r="C627" t="str">
            <v>LT002</v>
          </cell>
          <cell r="D627" t="str">
            <v>MISSINGS</v>
          </cell>
          <cell r="E627" t="str">
            <v>BU_LOANTAPE_WORK.LT002_INSTRUMENT</v>
          </cell>
          <cell r="F627" t="str">
            <v>N/A</v>
          </cell>
          <cell r="G627" t="str">
            <v>PYNG_AGNT_LEI</v>
          </cell>
          <cell r="H627" t="str">
            <v>2025-10-31</v>
          </cell>
          <cell r="I627">
            <v>4742</v>
          </cell>
          <cell r="J627">
            <v>0</v>
          </cell>
          <cell r="K627" t="str">
            <v>1</v>
          </cell>
          <cell r="L627" t="str">
            <v>2025-11-13 18:10:48.524359000</v>
          </cell>
        </row>
        <row r="628">
          <cell r="A628" t="str">
            <v>LT002PYNG_AGNT_LEI</v>
          </cell>
          <cell r="B628" t="str">
            <v>LT002PYNG_AGNT_LEINOT APPLICABLE1</v>
          </cell>
          <cell r="C628" t="str">
            <v>LT002</v>
          </cell>
          <cell r="D628" t="str">
            <v>NOT APPLICABLE</v>
          </cell>
          <cell r="E628" t="str">
            <v>BU_LOANTAPE_WORK.LT002_INSTRUMENT</v>
          </cell>
          <cell r="F628" t="str">
            <v>N/A</v>
          </cell>
          <cell r="G628" t="str">
            <v>PYNG_AGNT_LEI</v>
          </cell>
          <cell r="H628" t="str">
            <v>2025-10-31</v>
          </cell>
          <cell r="I628">
            <v>4742</v>
          </cell>
          <cell r="J628">
            <v>4734</v>
          </cell>
          <cell r="K628" t="str">
            <v>1</v>
          </cell>
          <cell r="L628" t="str">
            <v>2025-11-13 18:10:48.524359000</v>
          </cell>
        </row>
        <row r="629">
          <cell r="A629" t="str">
            <v>LT002TYP_OWN_FNDS_INDVDL_LVL</v>
          </cell>
          <cell r="B629" t="str">
            <v>LT002TYP_OWN_FNDS_INDVDL_LVLCOERÊNCIA1</v>
          </cell>
          <cell r="C629" t="str">
            <v>LT002</v>
          </cell>
          <cell r="D629" t="str">
            <v>COERÊNCIA</v>
          </cell>
          <cell r="E629" t="str">
            <v>BU_LOANTAPE_WORK.LT002_INSTRUMENT</v>
          </cell>
          <cell r="F629" t="str">
            <v>BU_CAPTOOLS_WORK.SIMUL_LT002_INSTRUMENT</v>
          </cell>
          <cell r="G629" t="str">
            <v>TYP_OWN_FNDS_INDVDL_LVL</v>
          </cell>
          <cell r="H629" t="str">
            <v>2025-10-31</v>
          </cell>
          <cell r="I629">
            <v>4742</v>
          </cell>
          <cell r="J629">
            <v>2</v>
          </cell>
          <cell r="K629" t="str">
            <v>1</v>
          </cell>
          <cell r="L629" t="str">
            <v>2025-11-13 18:10:48.524359000</v>
          </cell>
        </row>
        <row r="630">
          <cell r="A630" t="str">
            <v>LT002TYP_OWN_FNDS_INDVDL_LVL</v>
          </cell>
          <cell r="B630" t="str">
            <v>LT002TYP_OWN_FNDS_INDVDL_LVLVALIDADE1</v>
          </cell>
          <cell r="C630" t="str">
            <v>LT002</v>
          </cell>
          <cell r="D630" t="str">
            <v>VALIDADE</v>
          </cell>
          <cell r="E630" t="str">
            <v>BU_LOANTAPE_WORK.LT002_INSTRUMENT</v>
          </cell>
          <cell r="F630" t="str">
            <v>N/A</v>
          </cell>
          <cell r="G630" t="str">
            <v>TYP_OWN_FNDS_INDVDL_LVL</v>
          </cell>
          <cell r="H630" t="str">
            <v>2025-10-31</v>
          </cell>
          <cell r="I630">
            <v>4742</v>
          </cell>
          <cell r="J630">
            <v>2</v>
          </cell>
          <cell r="K630" t="str">
            <v>1</v>
          </cell>
          <cell r="L630" t="str">
            <v>2025-11-13 18:10:48.524359000</v>
          </cell>
        </row>
        <row r="631">
          <cell r="A631" t="str">
            <v>LT002TYP_OWN_FNDS_INDVDL_LVL</v>
          </cell>
          <cell r="B631" t="str">
            <v>LT002TYP_OWN_FNDS_INDVDL_LVLCARACTERES ESPECIAIS1</v>
          </cell>
          <cell r="C631" t="str">
            <v>LT002</v>
          </cell>
          <cell r="D631" t="str">
            <v>CARACTERES ESPECIAIS</v>
          </cell>
          <cell r="E631" t="str">
            <v>BU_LOANTAPE_WORK.LT002_INSTRUMENT</v>
          </cell>
          <cell r="F631" t="str">
            <v>N/A</v>
          </cell>
          <cell r="G631" t="str">
            <v>TYP_OWN_FNDS_INDVDL_LVL</v>
          </cell>
          <cell r="H631" t="str">
            <v>2025-10-31</v>
          </cell>
          <cell r="I631">
            <v>4742</v>
          </cell>
          <cell r="J631">
            <v>0</v>
          </cell>
          <cell r="K631" t="str">
            <v>1</v>
          </cell>
          <cell r="L631" t="str">
            <v>2025-11-13 18:10:48.524359000</v>
          </cell>
        </row>
        <row r="632">
          <cell r="A632" t="str">
            <v>LT002TYP_OWN_FNDS_INDVDL_LVL</v>
          </cell>
          <cell r="B632" t="str">
            <v>LT002TYP_OWN_FNDS_INDVDL_LVLMISSINGS1</v>
          </cell>
          <cell r="C632" t="str">
            <v>LT002</v>
          </cell>
          <cell r="D632" t="str">
            <v>MISSINGS</v>
          </cell>
          <cell r="E632" t="str">
            <v>BU_LOANTAPE_WORK.LT002_INSTRUMENT</v>
          </cell>
          <cell r="F632" t="str">
            <v>N/A</v>
          </cell>
          <cell r="G632" t="str">
            <v>TYP_OWN_FNDS_INDVDL_LVL</v>
          </cell>
          <cell r="H632" t="str">
            <v>2025-10-31</v>
          </cell>
          <cell r="I632">
            <v>4742</v>
          </cell>
          <cell r="J632">
            <v>0</v>
          </cell>
          <cell r="K632" t="str">
            <v>1</v>
          </cell>
          <cell r="L632" t="str">
            <v>2025-11-13 18:10:48.524359000</v>
          </cell>
        </row>
        <row r="633">
          <cell r="A633" t="str">
            <v>LT002TYP_OWN_FNDS_INDVDL_LVL</v>
          </cell>
          <cell r="B633" t="str">
            <v>LT002TYP_OWN_FNDS_INDVDL_LVLNOT APPLICABLE1</v>
          </cell>
          <cell r="C633" t="str">
            <v>LT002</v>
          </cell>
          <cell r="D633" t="str">
            <v>NOT APPLICABLE</v>
          </cell>
          <cell r="E633" t="str">
            <v>BU_LOANTAPE_WORK.LT002_INSTRUMENT</v>
          </cell>
          <cell r="F633" t="str">
            <v>N/A</v>
          </cell>
          <cell r="G633" t="str">
            <v>TYP_OWN_FNDS_INDVDL_LVL</v>
          </cell>
          <cell r="H633" t="str">
            <v>2025-10-31</v>
          </cell>
          <cell r="I633">
            <v>4742</v>
          </cell>
          <cell r="J633">
            <v>4734</v>
          </cell>
          <cell r="K633" t="str">
            <v>1</v>
          </cell>
          <cell r="L633" t="str">
            <v>2025-11-13 18:10:48.524359000</v>
          </cell>
        </row>
        <row r="634">
          <cell r="A634" t="str">
            <v>LT002ELGBL_AMNT_OWN_FNDS_INDVDL_LVL</v>
          </cell>
          <cell r="B634" t="str">
            <v>LT002ELGBL_AMNT_OWN_FNDS_INDVDL_LVLCOERÊNCIA1</v>
          </cell>
          <cell r="C634" t="str">
            <v>LT002</v>
          </cell>
          <cell r="D634" t="str">
            <v>COERÊNCIA</v>
          </cell>
          <cell r="E634" t="str">
            <v>BU_LOANTAPE_WORK.LT002_INSTRUMENT</v>
          </cell>
          <cell r="F634" t="str">
            <v>BU_CAPTOOLS_WORK.SIMUL_LT002_INSTRUMENT</v>
          </cell>
          <cell r="G634" t="str">
            <v>ELGBL_AMNT_OWN_FNDS_INDVDL_LVL</v>
          </cell>
          <cell r="H634" t="str">
            <v>2025-10-31</v>
          </cell>
          <cell r="I634">
            <v>4742</v>
          </cell>
          <cell r="J634">
            <v>0</v>
          </cell>
          <cell r="K634" t="str">
            <v>1</v>
          </cell>
          <cell r="L634" t="str">
            <v>2025-11-13 18:10:48.524359000</v>
          </cell>
        </row>
        <row r="635">
          <cell r="A635" t="str">
            <v>LT002ELGBL_AMNT_OWN_FNDS_INDVDL_LVL</v>
          </cell>
          <cell r="B635" t="str">
            <v>LT002ELGBL_AMNT_OWN_FNDS_INDVDL_LVLVALIDADE1</v>
          </cell>
          <cell r="C635" t="str">
            <v>LT002</v>
          </cell>
          <cell r="D635" t="str">
            <v>VALIDADE</v>
          </cell>
          <cell r="E635" t="str">
            <v>BU_LOANTAPE_WORK.LT002_INSTRUMENT</v>
          </cell>
          <cell r="F635" t="str">
            <v>N/A</v>
          </cell>
          <cell r="G635" t="str">
            <v>ELGBL_AMNT_OWN_FNDS_INDVDL_LVL</v>
          </cell>
          <cell r="H635" t="str">
            <v>2025-10-31</v>
          </cell>
          <cell r="I635">
            <v>4742</v>
          </cell>
          <cell r="J635">
            <v>0</v>
          </cell>
          <cell r="K635" t="str">
            <v>1</v>
          </cell>
          <cell r="L635" t="str">
            <v>2025-11-13 18:10:48.524359000</v>
          </cell>
        </row>
        <row r="636">
          <cell r="A636" t="str">
            <v>LT002ELGBL_AMNT_OWN_FNDS_INDVDL_LVL</v>
          </cell>
          <cell r="B636" t="str">
            <v>LT002ELGBL_AMNT_OWN_FNDS_INDVDL_LVLCARACTERES ESPECIAIS1</v>
          </cell>
          <cell r="C636" t="str">
            <v>LT002</v>
          </cell>
          <cell r="D636" t="str">
            <v>CARACTERES ESPECIAIS</v>
          </cell>
          <cell r="E636" t="str">
            <v>BU_LOANTAPE_WORK.LT002_INSTRUMENT</v>
          </cell>
          <cell r="F636" t="str">
            <v>N/A</v>
          </cell>
          <cell r="G636" t="str">
            <v>ELGBL_AMNT_OWN_FNDS_INDVDL_LVL</v>
          </cell>
          <cell r="H636" t="str">
            <v>2025-10-31</v>
          </cell>
          <cell r="I636">
            <v>4742</v>
          </cell>
          <cell r="J636">
            <v>0</v>
          </cell>
          <cell r="K636" t="str">
            <v>1</v>
          </cell>
          <cell r="L636" t="str">
            <v>2025-11-13 18:10:48.524359000</v>
          </cell>
        </row>
        <row r="637">
          <cell r="A637" t="str">
            <v>LT002ELGBL_AMNT_OWN_FNDS_INDVDL_LVL</v>
          </cell>
          <cell r="B637" t="str">
            <v>LT002ELGBL_AMNT_OWN_FNDS_INDVDL_LVLMISSINGS1</v>
          </cell>
          <cell r="C637" t="str">
            <v>LT002</v>
          </cell>
          <cell r="D637" t="str">
            <v>MISSINGS</v>
          </cell>
          <cell r="E637" t="str">
            <v>BU_LOANTAPE_WORK.LT002_INSTRUMENT</v>
          </cell>
          <cell r="F637" t="str">
            <v>N/A</v>
          </cell>
          <cell r="G637" t="str">
            <v>ELGBL_AMNT_OWN_FNDS_INDVDL_LVL</v>
          </cell>
          <cell r="H637" t="str">
            <v>2025-10-31</v>
          </cell>
          <cell r="I637">
            <v>4742</v>
          </cell>
          <cell r="J637">
            <v>0</v>
          </cell>
          <cell r="K637" t="str">
            <v>1</v>
          </cell>
          <cell r="L637" t="str">
            <v>2025-11-13 18:10:48.524359000</v>
          </cell>
        </row>
        <row r="638">
          <cell r="A638" t="str">
            <v>LT002ELGBL_AMNT_OWN_FNDS_INDVDL_LVL</v>
          </cell>
          <cell r="B638" t="str">
            <v>LT002ELGBL_AMNT_OWN_FNDS_INDVDL_LVLNOT APPLICABLE1</v>
          </cell>
          <cell r="C638" t="str">
            <v>LT002</v>
          </cell>
          <cell r="D638" t="str">
            <v>NOT APPLICABLE</v>
          </cell>
          <cell r="E638" t="str">
            <v>BU_LOANTAPE_WORK.LT002_INSTRUMENT</v>
          </cell>
          <cell r="F638" t="str">
            <v>N/A</v>
          </cell>
          <cell r="G638" t="str">
            <v>ELGBL_AMNT_OWN_FNDS_INDVDL_LVL</v>
          </cell>
          <cell r="H638" t="str">
            <v>2025-10-31</v>
          </cell>
          <cell r="I638">
            <v>4742</v>
          </cell>
          <cell r="J638">
            <v>0</v>
          </cell>
          <cell r="K638" t="str">
            <v>1</v>
          </cell>
          <cell r="L638" t="str">
            <v>2025-11-13 18:10:48.524359000</v>
          </cell>
        </row>
        <row r="639">
          <cell r="A639" t="str">
            <v>LT002CRRYNG_AMNT_INSTRMNT</v>
          </cell>
          <cell r="B639" t="str">
            <v>LT002CRRYNG_AMNT_INSTRMNTCOERÊNCIA1</v>
          </cell>
          <cell r="C639" t="str">
            <v>LT002</v>
          </cell>
          <cell r="D639" t="str">
            <v>COERÊNCIA</v>
          </cell>
          <cell r="E639" t="str">
            <v>BU_LOANTAPE_WORK.LT002_INSTRUMENT</v>
          </cell>
          <cell r="F639" t="str">
            <v>BU_CAPTOOLS_WORK.SIMUL_LT002_INSTRUMENT</v>
          </cell>
          <cell r="G639" t="str">
            <v>CRRYNG_AMNT_INSTRMNT</v>
          </cell>
          <cell r="H639" t="str">
            <v>2025-10-31</v>
          </cell>
          <cell r="I639">
            <v>4742</v>
          </cell>
          <cell r="J639">
            <v>4738</v>
          </cell>
          <cell r="K639" t="str">
            <v>1</v>
          </cell>
          <cell r="L639" t="str">
            <v>2025-11-13 18:10:48.524359000</v>
          </cell>
        </row>
        <row r="640">
          <cell r="A640" t="str">
            <v>LT002CRRYNG_AMNT_INSTRMNT</v>
          </cell>
          <cell r="B640" t="str">
            <v>LT002CRRYNG_AMNT_INSTRMNTVALIDADE1</v>
          </cell>
          <cell r="C640" t="str">
            <v>LT002</v>
          </cell>
          <cell r="D640" t="str">
            <v>VALIDADE</v>
          </cell>
          <cell r="E640" t="str">
            <v>BU_LOANTAPE_WORK.LT002_INSTRUMENT</v>
          </cell>
          <cell r="F640" t="str">
            <v>N/A</v>
          </cell>
          <cell r="G640" t="str">
            <v>CRRYNG_AMNT_INSTRMNT</v>
          </cell>
          <cell r="H640" t="str">
            <v>2025-10-31</v>
          </cell>
          <cell r="I640">
            <v>4742</v>
          </cell>
          <cell r="J640">
            <v>0</v>
          </cell>
          <cell r="K640" t="str">
            <v>1</v>
          </cell>
          <cell r="L640" t="str">
            <v>2025-11-13 18:10:48.524359000</v>
          </cell>
        </row>
        <row r="641">
          <cell r="A641" t="str">
            <v>LT002CRRYNG_AMNT_INSTRMNT</v>
          </cell>
          <cell r="B641" t="str">
            <v>LT002CRRYNG_AMNT_INSTRMNTCARACTERES ESPECIAIS1</v>
          </cell>
          <cell r="C641" t="str">
            <v>LT002</v>
          </cell>
          <cell r="D641" t="str">
            <v>CARACTERES ESPECIAIS</v>
          </cell>
          <cell r="E641" t="str">
            <v>BU_LOANTAPE_WORK.LT002_INSTRUMENT</v>
          </cell>
          <cell r="F641" t="str">
            <v>N/A</v>
          </cell>
          <cell r="G641" t="str">
            <v>CRRYNG_AMNT_INSTRMNT</v>
          </cell>
          <cell r="H641" t="str">
            <v>2025-10-31</v>
          </cell>
          <cell r="I641">
            <v>4742</v>
          </cell>
          <cell r="J641">
            <v>0</v>
          </cell>
          <cell r="K641" t="str">
            <v>1</v>
          </cell>
          <cell r="L641" t="str">
            <v>2025-11-13 18:10:48.524359000</v>
          </cell>
        </row>
        <row r="642">
          <cell r="A642" t="str">
            <v>LT002CRRYNG_AMNT_INSTRMNT</v>
          </cell>
          <cell r="B642" t="str">
            <v>LT002CRRYNG_AMNT_INSTRMNTMISSINGS1</v>
          </cell>
          <cell r="C642" t="str">
            <v>LT002</v>
          </cell>
          <cell r="D642" t="str">
            <v>MISSINGS</v>
          </cell>
          <cell r="E642" t="str">
            <v>BU_LOANTAPE_WORK.LT002_INSTRUMENT</v>
          </cell>
          <cell r="F642" t="str">
            <v>N/A</v>
          </cell>
          <cell r="G642" t="str">
            <v>CRRYNG_AMNT_INSTRMNT</v>
          </cell>
          <cell r="H642" t="str">
            <v>2025-10-31</v>
          </cell>
          <cell r="I642">
            <v>4742</v>
          </cell>
          <cell r="J642">
            <v>0</v>
          </cell>
          <cell r="K642" t="str">
            <v>1</v>
          </cell>
          <cell r="L642" t="str">
            <v>2025-11-13 18:10:48.524359000</v>
          </cell>
        </row>
        <row r="643">
          <cell r="A643" t="str">
            <v>LT002CRRYNG_AMNT_INSTRMNT</v>
          </cell>
          <cell r="B643" t="str">
            <v>LT002CRRYNG_AMNT_INSTRMNTNOT APPLICABLE1</v>
          </cell>
          <cell r="C643" t="str">
            <v>LT002</v>
          </cell>
          <cell r="D643" t="str">
            <v>NOT APPLICABLE</v>
          </cell>
          <cell r="E643" t="str">
            <v>BU_LOANTAPE_WORK.LT002_INSTRUMENT</v>
          </cell>
          <cell r="F643" t="str">
            <v>N/A</v>
          </cell>
          <cell r="G643" t="str">
            <v>CRRYNG_AMNT_INSTRMNT</v>
          </cell>
          <cell r="H643" t="str">
            <v>2025-10-31</v>
          </cell>
          <cell r="I643">
            <v>4742</v>
          </cell>
          <cell r="J643">
            <v>0</v>
          </cell>
          <cell r="K643" t="str">
            <v>1</v>
          </cell>
          <cell r="L643" t="str">
            <v>2025-11-13 18:10:48.524359000</v>
          </cell>
        </row>
        <row r="644">
          <cell r="A644" t="str">
            <v>LT002ACCNTNG_CLSSFCTN</v>
          </cell>
          <cell r="B644" t="str">
            <v>LT002ACCNTNG_CLSSFCTNCOERÊNCIA1</v>
          </cell>
          <cell r="C644" t="str">
            <v>LT002</v>
          </cell>
          <cell r="D644" t="str">
            <v>COERÊNCIA</v>
          </cell>
          <cell r="E644" t="str">
            <v>BU_LOANTAPE_WORK.LT002_INSTRUMENT</v>
          </cell>
          <cell r="F644" t="str">
            <v>BU_CAPTOOLS_WORK.SIMUL_LT002_INSTRUMENT</v>
          </cell>
          <cell r="G644" t="str">
            <v>ACCNTNG_CLSSFCTN</v>
          </cell>
          <cell r="H644" t="str">
            <v>2025-10-31</v>
          </cell>
          <cell r="I644">
            <v>4742</v>
          </cell>
          <cell r="J644">
            <v>4742</v>
          </cell>
          <cell r="K644" t="str">
            <v>1</v>
          </cell>
          <cell r="L644" t="str">
            <v>2025-11-13 18:10:48.524359000</v>
          </cell>
        </row>
        <row r="645">
          <cell r="A645" t="str">
            <v>LT002ACCNTNG_CLSSFCTN</v>
          </cell>
          <cell r="B645" t="str">
            <v>LT002ACCNTNG_CLSSFCTNVALIDADE1</v>
          </cell>
          <cell r="C645" t="str">
            <v>LT002</v>
          </cell>
          <cell r="D645" t="str">
            <v>VALIDADE</v>
          </cell>
          <cell r="E645" t="str">
            <v>BU_LOANTAPE_WORK.LT002_INSTRUMENT</v>
          </cell>
          <cell r="F645" t="str">
            <v>N/A</v>
          </cell>
          <cell r="G645" t="str">
            <v>ACCNTNG_CLSSFCTN</v>
          </cell>
          <cell r="H645" t="str">
            <v>2025-10-31</v>
          </cell>
          <cell r="I645">
            <v>4742</v>
          </cell>
          <cell r="J645">
            <v>0</v>
          </cell>
          <cell r="K645" t="str">
            <v>1</v>
          </cell>
          <cell r="L645" t="str">
            <v>2025-11-13 18:10:48.524359000</v>
          </cell>
        </row>
        <row r="646">
          <cell r="A646" t="str">
            <v>LT002ACCNTNG_CLSSFCTN</v>
          </cell>
          <cell r="B646" t="str">
            <v>LT002ACCNTNG_CLSSFCTNCARACTERES ESPECIAIS1</v>
          </cell>
          <cell r="C646" t="str">
            <v>LT002</v>
          </cell>
          <cell r="D646" t="str">
            <v>CARACTERES ESPECIAIS</v>
          </cell>
          <cell r="E646" t="str">
            <v>BU_LOANTAPE_WORK.LT002_INSTRUMENT</v>
          </cell>
          <cell r="F646" t="str">
            <v>N/A</v>
          </cell>
          <cell r="G646" t="str">
            <v>ACCNTNG_CLSSFCTN</v>
          </cell>
          <cell r="H646" t="str">
            <v>2025-10-31</v>
          </cell>
          <cell r="I646">
            <v>4742</v>
          </cell>
          <cell r="J646">
            <v>0</v>
          </cell>
          <cell r="K646" t="str">
            <v>1</v>
          </cell>
          <cell r="L646" t="str">
            <v>2025-11-13 18:10:48.524359000</v>
          </cell>
        </row>
        <row r="647">
          <cell r="A647" t="str">
            <v>LT002ACCNTNG_CLSSFCTN</v>
          </cell>
          <cell r="B647" t="str">
            <v>LT002ACCNTNG_CLSSFCTNMISSINGS1</v>
          </cell>
          <cell r="C647" t="str">
            <v>LT002</v>
          </cell>
          <cell r="D647" t="str">
            <v>MISSINGS</v>
          </cell>
          <cell r="E647" t="str">
            <v>BU_LOANTAPE_WORK.LT002_INSTRUMENT</v>
          </cell>
          <cell r="F647" t="str">
            <v>N/A</v>
          </cell>
          <cell r="G647" t="str">
            <v>ACCNTNG_CLSSFCTN</v>
          </cell>
          <cell r="H647" t="str">
            <v>2025-10-31</v>
          </cell>
          <cell r="I647">
            <v>4742</v>
          </cell>
          <cell r="J647">
            <v>0</v>
          </cell>
          <cell r="K647" t="str">
            <v>1</v>
          </cell>
          <cell r="L647" t="str">
            <v>2025-11-13 18:10:48.524359000</v>
          </cell>
        </row>
        <row r="648">
          <cell r="A648" t="str">
            <v>LT002ACCNTNG_CLSSFCTN</v>
          </cell>
          <cell r="B648" t="str">
            <v>LT002ACCNTNG_CLSSFCTNNOT APPLICABLE1</v>
          </cell>
          <cell r="C648" t="str">
            <v>LT002</v>
          </cell>
          <cell r="D648" t="str">
            <v>NOT APPLICABLE</v>
          </cell>
          <cell r="E648" t="str">
            <v>BU_LOANTAPE_WORK.LT002_INSTRUMENT</v>
          </cell>
          <cell r="F648" t="str">
            <v>N/A</v>
          </cell>
          <cell r="G648" t="str">
            <v>ACCNTNG_CLSSFCTN</v>
          </cell>
          <cell r="H648" t="str">
            <v>2025-10-31</v>
          </cell>
          <cell r="I648">
            <v>4742</v>
          </cell>
          <cell r="J648">
            <v>0</v>
          </cell>
          <cell r="K648" t="str">
            <v>1</v>
          </cell>
          <cell r="L648" t="str">
            <v>2025-11-13 18:10:48.524359000</v>
          </cell>
        </row>
        <row r="649">
          <cell r="A649"/>
          <cell r="B649"/>
        </row>
        <row r="650">
          <cell r="A650"/>
          <cell r="B650"/>
        </row>
        <row r="651">
          <cell r="A651"/>
          <cell r="B651"/>
        </row>
        <row r="652">
          <cell r="A652"/>
          <cell r="B652"/>
        </row>
        <row r="653">
          <cell r="A653"/>
          <cell r="B653"/>
        </row>
        <row r="654">
          <cell r="A654"/>
          <cell r="B654"/>
        </row>
        <row r="655">
          <cell r="A655"/>
          <cell r="B655"/>
        </row>
        <row r="656">
          <cell r="A656"/>
          <cell r="B656"/>
        </row>
        <row r="657">
          <cell r="A657"/>
          <cell r="B657"/>
        </row>
        <row r="658">
          <cell r="A658"/>
          <cell r="B658"/>
        </row>
        <row r="659">
          <cell r="A659"/>
          <cell r="B659"/>
        </row>
        <row r="660">
          <cell r="A660"/>
          <cell r="B660"/>
        </row>
        <row r="661">
          <cell r="A661"/>
          <cell r="B661"/>
        </row>
        <row r="662">
          <cell r="A662"/>
          <cell r="B662"/>
        </row>
        <row r="663">
          <cell r="A663"/>
          <cell r="B663"/>
        </row>
        <row r="664">
          <cell r="A664"/>
          <cell r="B664"/>
        </row>
        <row r="665">
          <cell r="A665"/>
          <cell r="B665"/>
        </row>
        <row r="666">
          <cell r="A666"/>
          <cell r="B666"/>
        </row>
        <row r="667">
          <cell r="A667"/>
          <cell r="B667"/>
        </row>
        <row r="668">
          <cell r="A668"/>
          <cell r="B668"/>
        </row>
        <row r="669">
          <cell r="A669"/>
          <cell r="B669"/>
        </row>
        <row r="670">
          <cell r="A670"/>
          <cell r="B670"/>
        </row>
        <row r="671">
          <cell r="A671"/>
          <cell r="B671"/>
        </row>
        <row r="672">
          <cell r="A672"/>
          <cell r="B672"/>
        </row>
        <row r="673">
          <cell r="A673"/>
          <cell r="B673"/>
        </row>
        <row r="674">
          <cell r="A674"/>
          <cell r="B674"/>
        </row>
        <row r="675">
          <cell r="A675"/>
          <cell r="B675"/>
        </row>
        <row r="676">
          <cell r="A676"/>
          <cell r="B676"/>
        </row>
        <row r="677">
          <cell r="A677"/>
          <cell r="B677"/>
        </row>
        <row r="678">
          <cell r="A678"/>
          <cell r="B678"/>
        </row>
        <row r="679">
          <cell r="A679"/>
          <cell r="B679"/>
        </row>
        <row r="680">
          <cell r="A680"/>
          <cell r="B680"/>
        </row>
        <row r="681">
          <cell r="A681"/>
          <cell r="B681"/>
        </row>
        <row r="682">
          <cell r="A682"/>
          <cell r="B682"/>
        </row>
        <row r="683">
          <cell r="A683"/>
          <cell r="B683"/>
        </row>
        <row r="684">
          <cell r="A684"/>
          <cell r="B684"/>
        </row>
        <row r="685">
          <cell r="A685"/>
          <cell r="B685"/>
        </row>
        <row r="686">
          <cell r="A686"/>
          <cell r="B686"/>
        </row>
        <row r="687">
          <cell r="A687"/>
          <cell r="B687"/>
        </row>
        <row r="688">
          <cell r="A688"/>
          <cell r="B688"/>
        </row>
        <row r="689">
          <cell r="A689"/>
          <cell r="B689"/>
        </row>
        <row r="690">
          <cell r="A690"/>
          <cell r="B690"/>
        </row>
        <row r="691">
          <cell r="A691"/>
          <cell r="B691"/>
        </row>
        <row r="692">
          <cell r="A692"/>
          <cell r="B692"/>
        </row>
        <row r="693">
          <cell r="A693"/>
          <cell r="B693"/>
        </row>
        <row r="694">
          <cell r="A694"/>
          <cell r="B694"/>
        </row>
        <row r="695">
          <cell r="A695"/>
          <cell r="B695"/>
        </row>
        <row r="696">
          <cell r="A696"/>
          <cell r="B696"/>
        </row>
        <row r="697">
          <cell r="A697"/>
          <cell r="B697"/>
        </row>
        <row r="698">
          <cell r="A698"/>
          <cell r="B698"/>
        </row>
        <row r="699">
          <cell r="A699"/>
          <cell r="B699"/>
        </row>
        <row r="700">
          <cell r="A700"/>
          <cell r="B700"/>
        </row>
        <row r="701">
          <cell r="A701"/>
          <cell r="B701"/>
        </row>
        <row r="702">
          <cell r="A702"/>
          <cell r="B702"/>
        </row>
        <row r="703">
          <cell r="A703"/>
          <cell r="B703"/>
        </row>
        <row r="704">
          <cell r="A704"/>
          <cell r="B704"/>
        </row>
        <row r="705">
          <cell r="A705"/>
          <cell r="B705"/>
        </row>
        <row r="706">
          <cell r="A706"/>
          <cell r="B706"/>
        </row>
        <row r="707">
          <cell r="A707"/>
          <cell r="B707"/>
        </row>
        <row r="708">
          <cell r="A708"/>
          <cell r="B708"/>
        </row>
        <row r="709">
          <cell r="A709"/>
          <cell r="B709"/>
        </row>
        <row r="710">
          <cell r="A710"/>
          <cell r="B710"/>
        </row>
        <row r="711">
          <cell r="A711"/>
          <cell r="B711"/>
        </row>
        <row r="712">
          <cell r="A712"/>
          <cell r="B712"/>
        </row>
        <row r="713">
          <cell r="A713"/>
          <cell r="B713"/>
        </row>
        <row r="714">
          <cell r="A714"/>
          <cell r="B714"/>
        </row>
        <row r="715">
          <cell r="A715"/>
          <cell r="B715"/>
        </row>
        <row r="716">
          <cell r="A716"/>
          <cell r="B716"/>
        </row>
        <row r="717">
          <cell r="A717"/>
          <cell r="B717"/>
        </row>
        <row r="718">
          <cell r="A718"/>
          <cell r="B718"/>
        </row>
        <row r="719">
          <cell r="A719"/>
          <cell r="B719"/>
        </row>
        <row r="720">
          <cell r="A720"/>
          <cell r="B720"/>
        </row>
        <row r="721">
          <cell r="A721"/>
          <cell r="B721"/>
        </row>
        <row r="722">
          <cell r="A722"/>
          <cell r="B722"/>
        </row>
        <row r="723">
          <cell r="A723"/>
          <cell r="B723"/>
        </row>
        <row r="724">
          <cell r="A724"/>
          <cell r="B724"/>
        </row>
        <row r="725">
          <cell r="A725"/>
          <cell r="B725"/>
        </row>
        <row r="726">
          <cell r="A726"/>
          <cell r="B726"/>
        </row>
        <row r="727">
          <cell r="A727"/>
          <cell r="B727"/>
        </row>
        <row r="728">
          <cell r="A728"/>
          <cell r="B728"/>
        </row>
        <row r="729">
          <cell r="A729"/>
          <cell r="B729"/>
        </row>
        <row r="730">
          <cell r="A730"/>
          <cell r="B730"/>
        </row>
        <row r="731">
          <cell r="A731"/>
          <cell r="B731"/>
        </row>
        <row r="732">
          <cell r="A732"/>
          <cell r="B732"/>
        </row>
        <row r="733">
          <cell r="A733"/>
          <cell r="B733"/>
        </row>
        <row r="734">
          <cell r="A734"/>
          <cell r="B734"/>
        </row>
        <row r="735">
          <cell r="A735"/>
          <cell r="B735"/>
        </row>
        <row r="736">
          <cell r="A736"/>
          <cell r="B736"/>
        </row>
        <row r="737">
          <cell r="A737"/>
          <cell r="B737"/>
        </row>
        <row r="738">
          <cell r="A738"/>
          <cell r="B738"/>
        </row>
        <row r="739">
          <cell r="A739"/>
          <cell r="B739"/>
        </row>
        <row r="740">
          <cell r="A740"/>
          <cell r="B740"/>
        </row>
        <row r="741">
          <cell r="A741"/>
          <cell r="B741"/>
        </row>
        <row r="742">
          <cell r="A742"/>
          <cell r="B742"/>
        </row>
        <row r="743">
          <cell r="A743"/>
          <cell r="B743"/>
        </row>
        <row r="744">
          <cell r="A744"/>
          <cell r="B744"/>
        </row>
        <row r="745">
          <cell r="A745"/>
          <cell r="B745"/>
        </row>
        <row r="746">
          <cell r="A746"/>
          <cell r="B746"/>
        </row>
        <row r="747">
          <cell r="A747"/>
          <cell r="B747"/>
        </row>
        <row r="748">
          <cell r="A748"/>
          <cell r="B748"/>
        </row>
        <row r="749">
          <cell r="A749"/>
          <cell r="B749"/>
        </row>
        <row r="750">
          <cell r="A750"/>
          <cell r="B750"/>
        </row>
        <row r="751">
          <cell r="A751"/>
          <cell r="B751"/>
        </row>
        <row r="752">
          <cell r="A752"/>
          <cell r="B752"/>
        </row>
        <row r="753">
          <cell r="A753"/>
          <cell r="B753"/>
        </row>
        <row r="754">
          <cell r="A754"/>
          <cell r="B754"/>
        </row>
        <row r="755">
          <cell r="A755"/>
          <cell r="B755"/>
        </row>
        <row r="756">
          <cell r="A756"/>
          <cell r="B756"/>
        </row>
        <row r="757">
          <cell r="A757"/>
          <cell r="B757"/>
        </row>
        <row r="758">
          <cell r="A758"/>
          <cell r="B758"/>
        </row>
        <row r="759">
          <cell r="A759"/>
          <cell r="B759"/>
        </row>
        <row r="760">
          <cell r="A760"/>
          <cell r="B760"/>
        </row>
        <row r="761">
          <cell r="A761"/>
          <cell r="B761"/>
        </row>
        <row r="762">
          <cell r="A762"/>
          <cell r="B762"/>
        </row>
        <row r="763">
          <cell r="A763"/>
          <cell r="B763"/>
        </row>
        <row r="764">
          <cell r="A764"/>
          <cell r="B764"/>
        </row>
        <row r="765">
          <cell r="A765"/>
          <cell r="B765"/>
        </row>
        <row r="766">
          <cell r="A766"/>
          <cell r="B766"/>
        </row>
        <row r="767">
          <cell r="A767"/>
          <cell r="B767"/>
        </row>
        <row r="768">
          <cell r="A768"/>
          <cell r="B768"/>
        </row>
        <row r="769">
          <cell r="A769"/>
          <cell r="B769"/>
        </row>
        <row r="770">
          <cell r="A770"/>
          <cell r="B770"/>
        </row>
        <row r="771">
          <cell r="A771"/>
          <cell r="B771"/>
        </row>
        <row r="772">
          <cell r="A772"/>
          <cell r="B772"/>
        </row>
        <row r="773">
          <cell r="A773"/>
          <cell r="B773"/>
        </row>
        <row r="774">
          <cell r="A774"/>
          <cell r="B774"/>
        </row>
        <row r="775">
          <cell r="A775"/>
          <cell r="B775"/>
        </row>
        <row r="776">
          <cell r="A776"/>
          <cell r="B776"/>
        </row>
        <row r="777">
          <cell r="A777"/>
          <cell r="B777"/>
        </row>
        <row r="778">
          <cell r="A778"/>
          <cell r="B778"/>
        </row>
        <row r="779">
          <cell r="A779"/>
          <cell r="B779"/>
        </row>
        <row r="780">
          <cell r="A780"/>
          <cell r="B780"/>
        </row>
        <row r="781">
          <cell r="A781"/>
          <cell r="B781"/>
        </row>
        <row r="782">
          <cell r="A782"/>
          <cell r="B782"/>
        </row>
        <row r="783">
          <cell r="A783"/>
          <cell r="B783"/>
        </row>
        <row r="784">
          <cell r="A784"/>
          <cell r="B784"/>
        </row>
        <row r="785">
          <cell r="A785"/>
          <cell r="B785"/>
        </row>
        <row r="786">
          <cell r="A786"/>
          <cell r="B786"/>
        </row>
        <row r="787">
          <cell r="A787"/>
          <cell r="B787"/>
        </row>
        <row r="788">
          <cell r="A788"/>
          <cell r="B788"/>
        </row>
        <row r="789">
          <cell r="A789"/>
          <cell r="B789"/>
        </row>
        <row r="790">
          <cell r="A790"/>
          <cell r="B790"/>
        </row>
        <row r="791">
          <cell r="A791"/>
          <cell r="B791"/>
        </row>
        <row r="792">
          <cell r="A792"/>
          <cell r="B792"/>
        </row>
        <row r="793">
          <cell r="A793"/>
          <cell r="B793"/>
        </row>
        <row r="794">
          <cell r="A794"/>
          <cell r="B794"/>
        </row>
        <row r="795">
          <cell r="A795"/>
          <cell r="B795"/>
        </row>
        <row r="796">
          <cell r="A796"/>
          <cell r="B796"/>
        </row>
        <row r="797">
          <cell r="A797"/>
          <cell r="B797"/>
        </row>
        <row r="798">
          <cell r="A798"/>
          <cell r="B798"/>
        </row>
        <row r="799">
          <cell r="A799"/>
          <cell r="B799"/>
        </row>
        <row r="800">
          <cell r="A800"/>
          <cell r="B800"/>
        </row>
        <row r="801">
          <cell r="A801"/>
          <cell r="B801"/>
        </row>
        <row r="802">
          <cell r="A802"/>
          <cell r="B802"/>
        </row>
        <row r="803">
          <cell r="A803"/>
          <cell r="B803"/>
        </row>
        <row r="804">
          <cell r="A804"/>
          <cell r="B804"/>
        </row>
        <row r="805">
          <cell r="A805"/>
          <cell r="B805"/>
        </row>
        <row r="806">
          <cell r="A806"/>
          <cell r="B806"/>
        </row>
        <row r="807">
          <cell r="A807"/>
          <cell r="B807"/>
        </row>
        <row r="808">
          <cell r="A808"/>
          <cell r="B808"/>
        </row>
        <row r="809">
          <cell r="A809"/>
          <cell r="B809"/>
        </row>
        <row r="810">
          <cell r="A810"/>
          <cell r="B810"/>
        </row>
        <row r="811">
          <cell r="A811"/>
          <cell r="B811"/>
        </row>
        <row r="812">
          <cell r="A812"/>
          <cell r="B812"/>
        </row>
        <row r="813">
          <cell r="A813"/>
          <cell r="B813"/>
        </row>
        <row r="814">
          <cell r="A814"/>
          <cell r="B814"/>
        </row>
        <row r="815">
          <cell r="A815"/>
          <cell r="B815"/>
        </row>
        <row r="816">
          <cell r="A816"/>
          <cell r="B816"/>
        </row>
        <row r="817">
          <cell r="A817"/>
          <cell r="B817"/>
        </row>
        <row r="818">
          <cell r="A818"/>
          <cell r="B818"/>
        </row>
      </sheetData>
      <sheetData sheetId="2" refreshError="1"/>
      <sheetData sheetId="3">
        <row r="6">
          <cell r="C6" t="str">
            <v xml:space="preserve">4A. Resultados dos controlos 6 a 7 </v>
          </cell>
        </row>
        <row r="8">
          <cell r="A8" t="str">
            <v>Aux_1</v>
          </cell>
          <cell r="B8" t="str">
            <v>Aux_2</v>
          </cell>
          <cell r="C8" t="str">
            <v>TABELA</v>
          </cell>
          <cell r="D8" t="str">
            <v>TIPOLOGIA_TESTE</v>
          </cell>
          <cell r="E8" t="str">
            <v>TABELA_LT</v>
          </cell>
          <cell r="F8" t="str">
            <v>TABELA_SIMUL</v>
          </cell>
          <cell r="G8" t="str">
            <v>CAMPO</v>
          </cell>
          <cell r="H8" t="str">
            <v>REF_DATE</v>
          </cell>
          <cell r="I8" t="str">
            <v>VALOR_MIN</v>
          </cell>
          <cell r="J8" t="str">
            <v>VALOR_MAX</v>
          </cell>
        </row>
        <row r="9">
          <cell r="A9" t="str">
            <v>B02.000010_ROW_NMBR</v>
          </cell>
          <cell r="B9" t="str">
            <v>B02.000010_ROW_NMBR1</v>
          </cell>
          <cell r="C9" t="str">
            <v>B02.00</v>
          </cell>
          <cell r="D9" t="str">
            <v>VALORES EXTREMOS</v>
          </cell>
          <cell r="E9" t="str">
            <v>BU_LOANTAPE_WORK.OUT_B0200_MAIN_LIABILITIES</v>
          </cell>
          <cell r="F9" t="str">
            <v>N/A</v>
          </cell>
          <cell r="G9" t="str">
            <v>0010_ROW_NMBR</v>
          </cell>
          <cell r="H9" t="str">
            <v>2025-10-31</v>
          </cell>
          <cell r="I9" t="str">
            <v>1</v>
          </cell>
          <cell r="J9" t="str">
            <v>8</v>
          </cell>
        </row>
        <row r="10">
          <cell r="A10" t="str">
            <v>B02.000020_UNIQ_ID</v>
          </cell>
          <cell r="B10" t="str">
            <v>B02.000020_UNIQ_ID1</v>
          </cell>
          <cell r="C10" t="str">
            <v>B02.00</v>
          </cell>
          <cell r="D10" t="str">
            <v>VALORES EXTREMOS</v>
          </cell>
          <cell r="E10" t="str">
            <v>BU_LOANTAPE_WORK.OUT_B0200_MAIN_LIABILITIES</v>
          </cell>
          <cell r="F10" t="str">
            <v>N/A</v>
          </cell>
          <cell r="G10" t="str">
            <v>0020_UNIQ_ID</v>
          </cell>
          <cell r="H10" t="str">
            <v>2025-10-31</v>
          </cell>
          <cell r="I10" t="str">
            <v>31641600000000000PTBSREOM0028000</v>
          </cell>
          <cell r="J10" t="str">
            <v>31641600005800007PTSTOCOM0007000</v>
          </cell>
        </row>
        <row r="11">
          <cell r="A11" t="str">
            <v>B02.000030_UNIQ_ID_KNWN_CNTRPRTY</v>
          </cell>
          <cell r="B11" t="str">
            <v>B02.000030_UNIQ_ID_KNWN_CNTRPRTY1</v>
          </cell>
          <cell r="C11" t="str">
            <v>B02.00</v>
          </cell>
          <cell r="D11" t="str">
            <v>VALORES EXTREMOS</v>
          </cell>
          <cell r="E11" t="str">
            <v>BU_LOANTAPE_WORK.OUT_B0200_MAIN_LIABILITIES</v>
          </cell>
          <cell r="F11" t="str">
            <v>N/A</v>
          </cell>
          <cell r="G11" t="str">
            <v>0030_UNIQ_ID_KNWN_CNTRPRTY</v>
          </cell>
          <cell r="H11" t="str">
            <v>2025-10-31</v>
          </cell>
          <cell r="I11" t="str">
            <v>PTBSRDOM0037</v>
          </cell>
          <cell r="J11" t="str">
            <v>PTSTOHOM0002</v>
          </cell>
        </row>
        <row r="12">
          <cell r="A12" t="str">
            <v>B02.000040_TYP_UNIQ_ID_KNWN_CNTRPRTY</v>
          </cell>
          <cell r="B12" t="str">
            <v>B02.000040_TYP_UNIQ_ID_KNWN_CNTRPRTY1</v>
          </cell>
          <cell r="C12" t="str">
            <v>B02.00</v>
          </cell>
          <cell r="D12" t="str">
            <v>VALORES EXTREMOS</v>
          </cell>
          <cell r="E12" t="str">
            <v>BU_LOANTAPE_WORK.OUT_B0200_MAIN_LIABILITIES</v>
          </cell>
          <cell r="F12" t="str">
            <v>N/A</v>
          </cell>
          <cell r="G12" t="str">
            <v>0040_TYP_UNIQ_ID_KNWN_CNTRPRTY</v>
          </cell>
          <cell r="H12" t="str">
            <v>2025-10-31</v>
          </cell>
          <cell r="I12" t="str">
            <v>ISIN</v>
          </cell>
          <cell r="J12" t="str">
            <v>ISIN</v>
          </cell>
        </row>
        <row r="13">
          <cell r="A13" t="str">
            <v>B02.000050_ORGNL_AMNT_EUR</v>
          </cell>
          <cell r="B13" t="str">
            <v>B02.000050_ORGNL_AMNT_EUR1</v>
          </cell>
          <cell r="C13" t="str">
            <v>B02.00</v>
          </cell>
          <cell r="D13" t="str">
            <v>VALORES EXTREMOS</v>
          </cell>
          <cell r="E13" t="str">
            <v>BU_LOANTAPE_WORK.OUT_B0200_MAIN_LIABILITIES</v>
          </cell>
          <cell r="F13" t="str">
            <v>N/A</v>
          </cell>
          <cell r="G13" t="str">
            <v>0050_ORGNL_AMNT_EUR</v>
          </cell>
          <cell r="H13" t="str">
            <v>2025-10-31</v>
          </cell>
          <cell r="I13" t="str">
            <v>7599000.00</v>
          </cell>
          <cell r="J13" t="str">
            <v>1391779674.00</v>
          </cell>
        </row>
        <row r="14">
          <cell r="A14" t="str">
            <v>B02.000060_ORGNL_AMNT_FX</v>
          </cell>
          <cell r="B14" t="str">
            <v>B02.000060_ORGNL_AMNT_FX1</v>
          </cell>
          <cell r="C14" t="str">
            <v>B02.00</v>
          </cell>
          <cell r="D14" t="str">
            <v>VALORES EXTREMOS</v>
          </cell>
          <cell r="E14" t="str">
            <v>BU_LOANTAPE_WORK.OUT_B0200_MAIN_LIABILITIES</v>
          </cell>
          <cell r="F14" t="str">
            <v>N/A</v>
          </cell>
          <cell r="G14" t="str">
            <v>0060_ORGNL_AMNT_FX</v>
          </cell>
          <cell r="H14" t="str">
            <v>2025-10-31</v>
          </cell>
          <cell r="I14" t="str">
            <v>999999999999999.00</v>
          </cell>
          <cell r="J14" t="str">
            <v>999999999999999.00</v>
          </cell>
        </row>
        <row r="15">
          <cell r="A15" t="str">
            <v>B02.000070_CNTRCT_CRRNCY</v>
          </cell>
          <cell r="B15" t="str">
            <v>B02.000070_CNTRCT_CRRNCY1</v>
          </cell>
          <cell r="C15" t="str">
            <v>B02.00</v>
          </cell>
          <cell r="D15" t="str">
            <v>VALORES EXTREMOS</v>
          </cell>
          <cell r="E15" t="str">
            <v>BU_LOANTAPE_WORK.OUT_B0200_MAIN_LIABILITIES</v>
          </cell>
          <cell r="F15" t="str">
            <v>N/A</v>
          </cell>
          <cell r="G15" t="str">
            <v>0070_CNTRCT_CRRNCY</v>
          </cell>
          <cell r="H15" t="str">
            <v>2025-10-31</v>
          </cell>
          <cell r="I15" t="str">
            <v>EUR</v>
          </cell>
          <cell r="J15" t="str">
            <v>EUR</v>
          </cell>
        </row>
        <row r="16">
          <cell r="A16" t="str">
            <v>B02.000080_OTSTNDNG_PRNCPL_AMNT</v>
          </cell>
          <cell r="B16" t="str">
            <v>B02.000080_OTSTNDNG_PRNCPL_AMNT1</v>
          </cell>
          <cell r="C16" t="str">
            <v>B02.00</v>
          </cell>
          <cell r="D16" t="str">
            <v>VALORES EXTREMOS</v>
          </cell>
          <cell r="E16" t="str">
            <v>BU_LOANTAPE_WORK.OUT_B0200_MAIN_LIABILITIES</v>
          </cell>
          <cell r="F16" t="str">
            <v>N/A</v>
          </cell>
          <cell r="G16" t="str">
            <v>0080_OTSTNDNG_PRNCPL_AMNT</v>
          </cell>
          <cell r="H16" t="str">
            <v>2025-10-31</v>
          </cell>
          <cell r="I16" t="str">
            <v>NULL</v>
          </cell>
          <cell r="J16" t="str">
            <v>NULL</v>
          </cell>
        </row>
        <row r="17">
          <cell r="A17" t="str">
            <v>B02.000090_PRTN_AMNT_RPRTNG_ENTTY</v>
          </cell>
          <cell r="B17" t="str">
            <v>B02.000090_PRTN_AMNT_RPRTNG_ENTTY1</v>
          </cell>
          <cell r="C17" t="str">
            <v>B02.00</v>
          </cell>
          <cell r="D17" t="str">
            <v>VALORES EXTREMOS</v>
          </cell>
          <cell r="E17" t="str">
            <v>BU_LOANTAPE_WORK.OUT_B0200_MAIN_LIABILITIES</v>
          </cell>
          <cell r="F17" t="str">
            <v>N/A</v>
          </cell>
          <cell r="G17" t="str">
            <v>0090_PRTN_AMNT_RPRTNG_ENTTY</v>
          </cell>
          <cell r="H17" t="str">
            <v>2025-10-31</v>
          </cell>
          <cell r="I17" t="str">
            <v>NULL</v>
          </cell>
          <cell r="J17" t="str">
            <v>NULL</v>
          </cell>
        </row>
        <row r="18">
          <cell r="A18" t="str">
            <v>B02.000100_ACCRD_INTRST_INSTRMNT</v>
          </cell>
          <cell r="B18" t="str">
            <v>B02.000100_ACCRD_INTRST_INSTRMNT1</v>
          </cell>
          <cell r="C18" t="str">
            <v>B02.00</v>
          </cell>
          <cell r="D18" t="str">
            <v>VALORES EXTREMOS</v>
          </cell>
          <cell r="E18" t="str">
            <v>BU_LOANTAPE_WORK.OUT_B0200_MAIN_LIABILITIES</v>
          </cell>
          <cell r="F18" t="str">
            <v>N/A</v>
          </cell>
          <cell r="G18" t="str">
            <v>0100_ACCRD_INTRST_INSTRMNT</v>
          </cell>
          <cell r="H18" t="str">
            <v>2025-10-31</v>
          </cell>
          <cell r="I18" t="str">
            <v>0.00</v>
          </cell>
          <cell r="J18" t="str">
            <v>0.00</v>
          </cell>
        </row>
        <row r="19">
          <cell r="A19" t="str">
            <v>B02.000110_APPLCBL_FEES_CHARGES</v>
          </cell>
          <cell r="B19" t="str">
            <v>B02.000110_APPLCBL_FEES_CHARGES1</v>
          </cell>
          <cell r="C19" t="str">
            <v>B02.00</v>
          </cell>
          <cell r="D19" t="str">
            <v>VALORES EXTREMOS</v>
          </cell>
          <cell r="E19" t="str">
            <v>BU_LOANTAPE_WORK.OUT_B0200_MAIN_LIABILITIES</v>
          </cell>
          <cell r="F19" t="str">
            <v>N/A</v>
          </cell>
          <cell r="G19" t="str">
            <v>0110_APPLCBL_FEES_CHARGES</v>
          </cell>
          <cell r="H19" t="str">
            <v>2025-10-31</v>
          </cell>
          <cell r="I19" t="str">
            <v>0.00</v>
          </cell>
          <cell r="J19" t="str">
            <v>0.00</v>
          </cell>
        </row>
        <row r="20">
          <cell r="A20" t="str">
            <v>B02.000120_OTSTNDNG_AMNT</v>
          </cell>
          <cell r="B20" t="str">
            <v>B02.000120_OTSTNDNG_AMNT1</v>
          </cell>
          <cell r="C20" t="str">
            <v>B02.00</v>
          </cell>
          <cell r="D20" t="str">
            <v>VALORES EXTREMOS</v>
          </cell>
          <cell r="E20" t="str">
            <v>BU_LOANTAPE_WORK.OUT_B0200_MAIN_LIABILITIES</v>
          </cell>
          <cell r="F20" t="str">
            <v>N/A</v>
          </cell>
          <cell r="G20" t="str">
            <v>0120_OTSTNDNG_AMNT</v>
          </cell>
          <cell r="H20" t="str">
            <v>2025-10-31</v>
          </cell>
          <cell r="I20" t="str">
            <v>NULL</v>
          </cell>
          <cell r="J20" t="str">
            <v>NULL</v>
          </cell>
        </row>
        <row r="21">
          <cell r="A21" t="str">
            <v>B02.000130_RLVNT_AMNT_WDC</v>
          </cell>
          <cell r="B21" t="str">
            <v>B02.000130_RLVNT_AMNT_WDC1</v>
          </cell>
          <cell r="C21" t="str">
            <v>B02.00</v>
          </cell>
          <cell r="D21" t="str">
            <v>VALORES EXTREMOS</v>
          </cell>
          <cell r="E21" t="str">
            <v>BU_LOANTAPE_WORK.OUT_B0200_MAIN_LIABILITIES</v>
          </cell>
          <cell r="F21" t="str">
            <v>N/A</v>
          </cell>
          <cell r="G21" t="str">
            <v>0130_RLVNT_AMNT_WDC</v>
          </cell>
          <cell r="H21" t="str">
            <v>2025-10-31</v>
          </cell>
          <cell r="I21" t="str">
            <v>NULL</v>
          </cell>
          <cell r="J21" t="str">
            <v>NULL</v>
          </cell>
        </row>
        <row r="22">
          <cell r="A22" t="str">
            <v>B02.000140_NTR_LBLTY</v>
          </cell>
          <cell r="B22" t="str">
            <v>B02.000140_NTR_LBLTY1</v>
          </cell>
          <cell r="C22" t="str">
            <v>B02.00</v>
          </cell>
          <cell r="D22" t="str">
            <v>VALORES EXTREMOS</v>
          </cell>
          <cell r="E22" t="str">
            <v>BU_LOANTAPE_WORK.OUT_B0200_MAIN_LIABILITIES</v>
          </cell>
          <cell r="F22" t="str">
            <v>N/A</v>
          </cell>
          <cell r="G22" t="str">
            <v>0140_NTR_LBLTY</v>
          </cell>
          <cell r="H22" t="str">
            <v>2025-10-31</v>
          </cell>
          <cell r="I22" t="str">
            <v>2020</v>
          </cell>
          <cell r="J22" t="str">
            <v>Title of ownership</v>
          </cell>
        </row>
        <row r="23">
          <cell r="A23" t="str">
            <v>B02.000141_NTR_LBLTY_OTHR</v>
          </cell>
          <cell r="B23" t="str">
            <v>B02.000141_NTR_LBLTY_OTHR1</v>
          </cell>
          <cell r="C23" t="str">
            <v>B02.00</v>
          </cell>
          <cell r="D23" t="str">
            <v>VALORES EXTREMOS</v>
          </cell>
          <cell r="E23" t="str">
            <v>BU_LOANTAPE_WORK.OUT_B0200_MAIN_LIABILITIES</v>
          </cell>
          <cell r="F23" t="str">
            <v>N/A</v>
          </cell>
          <cell r="G23" t="str">
            <v>0141_NTR_LBLTY_OTHR</v>
          </cell>
          <cell r="H23" t="str">
            <v>2025-10-31</v>
          </cell>
          <cell r="I23" t="str">
            <v>Not applicable</v>
          </cell>
          <cell r="J23" t="str">
            <v>Not applicable</v>
          </cell>
        </row>
        <row r="24">
          <cell r="A24" t="str">
            <v>B02.000150_FLG_STRCTRLLY_SBRDNTD</v>
          </cell>
          <cell r="B24" t="str">
            <v>B02.000150_FLG_STRCTRLLY_SBRDNTD1</v>
          </cell>
          <cell r="C24" t="str">
            <v>B02.00</v>
          </cell>
          <cell r="D24" t="str">
            <v>VALORES EXTREMOS</v>
          </cell>
          <cell r="E24" t="str">
            <v>BU_LOANTAPE_WORK.OUT_B0200_MAIN_LIABILITIES</v>
          </cell>
          <cell r="F24" t="str">
            <v>N/A</v>
          </cell>
          <cell r="G24" t="str">
            <v>0150_FLG_STRCTRLLY_SBRDNTD</v>
          </cell>
          <cell r="H24" t="str">
            <v>2025-10-31</v>
          </cell>
          <cell r="I24" t="str">
            <v>Not applicable</v>
          </cell>
          <cell r="J24" t="str">
            <v>Not applicable</v>
          </cell>
        </row>
        <row r="25">
          <cell r="A25" t="str">
            <v>B02.000160_RANK_INSOLV</v>
          </cell>
          <cell r="B25" t="str">
            <v>B02.000160_RANK_INSOLV1</v>
          </cell>
          <cell r="C25" t="str">
            <v>B02.00</v>
          </cell>
          <cell r="D25" t="str">
            <v>VALORES EXTREMOS</v>
          </cell>
          <cell r="E25" t="str">
            <v>BU_LOANTAPE_WORK.OUT_B0200_MAIN_LIABILITIES</v>
          </cell>
          <cell r="F25" t="str">
            <v>N/A</v>
          </cell>
          <cell r="G25" t="str">
            <v>0160_RANK_INSOLV</v>
          </cell>
          <cell r="H25" t="str">
            <v>2025-10-31</v>
          </cell>
          <cell r="I25" t="str">
            <v>1</v>
          </cell>
          <cell r="J25" t="str">
            <v>8</v>
          </cell>
        </row>
        <row r="26">
          <cell r="A26" t="str">
            <v>B02.000161_CNTRCTL_SBRDNTN</v>
          </cell>
          <cell r="B26" t="str">
            <v>B02.000161_CNTRCTL_SBRDNTN1</v>
          </cell>
          <cell r="C26" t="str">
            <v>B02.00</v>
          </cell>
          <cell r="D26" t="str">
            <v>VALORES EXTREMOS</v>
          </cell>
          <cell r="E26" t="str">
            <v>BU_LOANTAPE_WORK.OUT_B0200_MAIN_LIABILITIES</v>
          </cell>
          <cell r="F26" t="str">
            <v>N/A</v>
          </cell>
          <cell r="G26" t="str">
            <v>0161_CNTRCTL_SBRDNTN</v>
          </cell>
          <cell r="H26" t="str">
            <v>2025-10-31</v>
          </cell>
          <cell r="I26" t="str">
            <v>999999999999999.00</v>
          </cell>
          <cell r="J26" t="str">
            <v>999999999999999.00</v>
          </cell>
        </row>
        <row r="27">
          <cell r="A27" t="str">
            <v>B02.000162_BAIL_IN_CASCADE</v>
          </cell>
          <cell r="B27" t="str">
            <v>B02.000162_BAIL_IN_CASCADE1</v>
          </cell>
          <cell r="C27" t="str">
            <v>B02.00</v>
          </cell>
          <cell r="D27" t="str">
            <v>VALORES EXTREMOS</v>
          </cell>
          <cell r="E27" t="str">
            <v>BU_LOANTAPE_WORK.OUT_B0200_MAIN_LIABILITIES</v>
          </cell>
          <cell r="F27" t="str">
            <v>N/A</v>
          </cell>
          <cell r="G27" t="str">
            <v>0162_BAIL_IN_CASCADE</v>
          </cell>
          <cell r="H27" t="str">
            <v>2025-10-31</v>
          </cell>
          <cell r="I27" t="str">
            <v>1</v>
          </cell>
          <cell r="J27" t="str">
            <v>8</v>
          </cell>
        </row>
        <row r="28">
          <cell r="A28" t="str">
            <v>B02.000170_DT_INCPTN</v>
          </cell>
          <cell r="B28" t="str">
            <v>B02.000170_DT_INCPTN1</v>
          </cell>
          <cell r="C28" t="str">
            <v>B02.00</v>
          </cell>
          <cell r="D28" t="str">
            <v>VALORES EXTREMOS</v>
          </cell>
          <cell r="E28" t="str">
            <v>BU_LOANTAPE_WORK.OUT_B0200_MAIN_LIABILITIES</v>
          </cell>
          <cell r="F28" t="str">
            <v>N/A</v>
          </cell>
          <cell r="G28" t="str">
            <v>0170_DT_INCPTN</v>
          </cell>
          <cell r="H28" t="str">
            <v>2025-10-31</v>
          </cell>
          <cell r="I28" t="str">
            <v>1992-01-05</v>
          </cell>
          <cell r="J28" t="str">
            <v>2025-05-29</v>
          </cell>
        </row>
        <row r="29">
          <cell r="A29" t="str">
            <v>B02.000180_DT_NXT_INTRST_PYMNT</v>
          </cell>
          <cell r="B29" t="str">
            <v>B02.000180_DT_NXT_INTRST_PYMNT1</v>
          </cell>
          <cell r="C29" t="str">
            <v>B02.00</v>
          </cell>
          <cell r="D29" t="str">
            <v>VALORES EXTREMOS</v>
          </cell>
          <cell r="E29" t="str">
            <v>BU_LOANTAPE_WORK.OUT_B0200_MAIN_LIABILITIES</v>
          </cell>
          <cell r="F29" t="str">
            <v>N/A</v>
          </cell>
          <cell r="G29" t="str">
            <v>0180_DT_NXT_INTRST_PYMNT</v>
          </cell>
          <cell r="H29" t="str">
            <v>2025-10-31</v>
          </cell>
          <cell r="I29" t="str">
            <v xml:space="preserve">          </v>
          </cell>
          <cell r="J29" t="str">
            <v xml:space="preserve">          </v>
          </cell>
        </row>
        <row r="30">
          <cell r="A30" t="str">
            <v>B02.000190_DT_NXT_RDMPTN_PYMNT</v>
          </cell>
          <cell r="B30" t="str">
            <v>B02.000190_DT_NXT_RDMPTN_PYMNT1</v>
          </cell>
          <cell r="C30" t="str">
            <v>B02.00</v>
          </cell>
          <cell r="D30" t="str">
            <v>VALORES EXTREMOS</v>
          </cell>
          <cell r="E30" t="str">
            <v>BU_LOANTAPE_WORK.OUT_B0200_MAIN_LIABILITIES</v>
          </cell>
          <cell r="F30" t="str">
            <v>N/A</v>
          </cell>
          <cell r="G30" t="str">
            <v>0190_DT_NXT_RDMPTN_PYMNT</v>
          </cell>
          <cell r="H30" t="str">
            <v>2025-10-31</v>
          </cell>
          <cell r="I30" t="str">
            <v>2026-10-06</v>
          </cell>
          <cell r="J30" t="str">
            <v>2069-01-14</v>
          </cell>
        </row>
        <row r="31">
          <cell r="A31" t="str">
            <v>B02.000200_DT_ERLST_RDMPTN</v>
          </cell>
          <cell r="B31" t="str">
            <v>B02.000200_DT_ERLST_RDMPTN1</v>
          </cell>
          <cell r="C31" t="str">
            <v>B02.00</v>
          </cell>
          <cell r="D31" t="str">
            <v>VALORES EXTREMOS</v>
          </cell>
          <cell r="E31" t="str">
            <v>BU_LOANTAPE_WORK.OUT_B0200_MAIN_LIABILITIES</v>
          </cell>
          <cell r="F31" t="str">
            <v>N/A</v>
          </cell>
          <cell r="G31" t="str">
            <v>0200_DT_ERLST_RDMPTN</v>
          </cell>
          <cell r="H31" t="str">
            <v>2025-10-31</v>
          </cell>
          <cell r="I31" t="str">
            <v>NULL</v>
          </cell>
          <cell r="J31" t="str">
            <v>NULL</v>
          </cell>
        </row>
        <row r="32">
          <cell r="A32" t="str">
            <v>B02.000210_DT_LGL_FNL_MTRTY</v>
          </cell>
          <cell r="B32" t="str">
            <v>B02.000210_DT_LGL_FNL_MTRTY1</v>
          </cell>
          <cell r="C32" t="str">
            <v>B02.00</v>
          </cell>
          <cell r="D32" t="str">
            <v>VALORES EXTREMOS</v>
          </cell>
          <cell r="E32" t="str">
            <v>BU_LOANTAPE_WORK.OUT_B0200_MAIN_LIABILITIES</v>
          </cell>
          <cell r="F32" t="str">
            <v>N/A</v>
          </cell>
          <cell r="G32" t="str">
            <v>0210_DT_LGL_FNL_MTRTY</v>
          </cell>
          <cell r="H32" t="str">
            <v>2025-10-31</v>
          </cell>
          <cell r="I32" t="str">
            <v>2026-10-06</v>
          </cell>
          <cell r="J32" t="str">
            <v>2069-01-14</v>
          </cell>
        </row>
        <row r="33">
          <cell r="A33" t="str">
            <v>B02.000220_GOVERNING_LAW</v>
          </cell>
          <cell r="B33" t="str">
            <v>B02.000220_GOVERNING_LAW1</v>
          </cell>
          <cell r="C33" t="str">
            <v>B02.00</v>
          </cell>
          <cell r="D33" t="str">
            <v>VALORES EXTREMOS</v>
          </cell>
          <cell r="E33" t="str">
            <v>BU_LOANTAPE_WORK.OUT_B0200_MAIN_LIABILITIES</v>
          </cell>
          <cell r="F33" t="str">
            <v>N/A</v>
          </cell>
          <cell r="G33" t="str">
            <v>0220_GOVERNING_LAW</v>
          </cell>
          <cell r="H33" t="str">
            <v>2025-10-31</v>
          </cell>
          <cell r="I33" t="str">
            <v>PT</v>
          </cell>
          <cell r="J33" t="str">
            <v>PT</v>
          </cell>
        </row>
        <row r="34">
          <cell r="A34" t="str">
            <v>B02.000230_BAIL_IN_RCGNTN_CLS</v>
          </cell>
          <cell r="B34" t="str">
            <v>B02.000230_BAIL_IN_RCGNTN_CLS1</v>
          </cell>
          <cell r="C34" t="str">
            <v>B02.00</v>
          </cell>
          <cell r="D34" t="str">
            <v>VALORES EXTREMOS</v>
          </cell>
          <cell r="E34" t="str">
            <v>BU_LOANTAPE_WORK.OUT_B0200_MAIN_LIABILITIES</v>
          </cell>
          <cell r="F34" t="str">
            <v>N/A</v>
          </cell>
          <cell r="G34" t="str">
            <v>0230_BAIL_IN_RCGNTN_CLS</v>
          </cell>
          <cell r="H34" t="str">
            <v>2025-10-31</v>
          </cell>
          <cell r="I34" t="str">
            <v>Yes, supported by Legal Opinion</v>
          </cell>
          <cell r="J34" t="str">
            <v>Yes, supported by Legal Opinion</v>
          </cell>
        </row>
        <row r="35">
          <cell r="A35" t="str">
            <v>B02.000240_ZERO_COUPON</v>
          </cell>
          <cell r="B35" t="str">
            <v>B02.000240_ZERO_COUPON1</v>
          </cell>
          <cell r="C35" t="str">
            <v>B02.00</v>
          </cell>
          <cell r="D35" t="str">
            <v>VALORES EXTREMOS</v>
          </cell>
          <cell r="E35" t="str">
            <v>BU_LOANTAPE_WORK.OUT_B0200_MAIN_LIABILITIES</v>
          </cell>
          <cell r="F35" t="str">
            <v>N/A</v>
          </cell>
          <cell r="G35" t="str">
            <v>0240_ZERO_COUPON</v>
          </cell>
          <cell r="H35" t="str">
            <v>2025-10-31</v>
          </cell>
          <cell r="I35" t="str">
            <v>No ZCB</v>
          </cell>
          <cell r="J35" t="str">
            <v>No ZCB</v>
          </cell>
        </row>
        <row r="36">
          <cell r="A36" t="str">
            <v>B02.000250_STRCTRD_PRDCT</v>
          </cell>
          <cell r="B36" t="str">
            <v>B02.000250_STRCTRD_PRDCT1</v>
          </cell>
          <cell r="C36" t="str">
            <v>B02.00</v>
          </cell>
          <cell r="D36" t="str">
            <v>VALORES EXTREMOS</v>
          </cell>
          <cell r="E36" t="str">
            <v>BU_LOANTAPE_WORK.OUT_B0200_MAIN_LIABILITIES</v>
          </cell>
          <cell r="F36" t="str">
            <v>N/A</v>
          </cell>
          <cell r="G36" t="str">
            <v>0250_STRCTRD_PRDCT</v>
          </cell>
          <cell r="H36" t="str">
            <v>2025-10-31</v>
          </cell>
          <cell r="I36" t="str">
            <v>Non-structured/Vanilla</v>
          </cell>
          <cell r="J36" t="str">
            <v>Non-structured/Vanilla</v>
          </cell>
        </row>
        <row r="37">
          <cell r="A37" t="str">
            <v>B02.000260_GRNTD_MIN_AMNT_STRCTRD_PRDCT</v>
          </cell>
          <cell r="B37" t="str">
            <v>B02.000260_GRNTD_MIN_AMNT_STRCTRD_PRDCT1</v>
          </cell>
          <cell r="C37" t="str">
            <v>B02.00</v>
          </cell>
          <cell r="D37" t="str">
            <v>VALORES EXTREMOS</v>
          </cell>
          <cell r="E37" t="str">
            <v>BU_LOANTAPE_WORK.OUT_B0200_MAIN_LIABILITIES</v>
          </cell>
          <cell r="F37" t="str">
            <v>N/A</v>
          </cell>
          <cell r="G37" t="str">
            <v>0260_GRNTD_MIN_AMNT_STRCTRD_PRDCT</v>
          </cell>
          <cell r="H37" t="str">
            <v>2025-10-31</v>
          </cell>
          <cell r="I37" t="str">
            <v>999999999999999.00</v>
          </cell>
          <cell r="J37" t="str">
            <v>999999999999999.00</v>
          </cell>
        </row>
        <row r="38">
          <cell r="A38" t="str">
            <v>B02.000270_FV_AMNT_STRCTRD_PRDCT</v>
          </cell>
          <cell r="B38" t="str">
            <v>B02.000270_FV_AMNT_STRCTRD_PRDCT1</v>
          </cell>
          <cell r="C38" t="str">
            <v>B02.00</v>
          </cell>
          <cell r="D38" t="str">
            <v>VALORES EXTREMOS</v>
          </cell>
          <cell r="E38" t="str">
            <v>BU_LOANTAPE_WORK.OUT_B0200_MAIN_LIABILITIES</v>
          </cell>
          <cell r="F38" t="str">
            <v>N/A</v>
          </cell>
          <cell r="G38" t="str">
            <v>0270_FV_AMNT_STRCTRD_PRDCT</v>
          </cell>
          <cell r="H38" t="str">
            <v>2025-10-31</v>
          </cell>
          <cell r="I38" t="str">
            <v>999999999999999.00</v>
          </cell>
          <cell r="J38" t="str">
            <v>999999999999999.00</v>
          </cell>
        </row>
        <row r="39">
          <cell r="A39" t="str">
            <v>B02.000280_FLG_NCNP_DPSTS</v>
          </cell>
          <cell r="B39" t="str">
            <v>B02.000280_FLG_NCNP_DPSTS1</v>
          </cell>
          <cell r="C39" t="str">
            <v>B02.00</v>
          </cell>
          <cell r="D39" t="str">
            <v>VALORES EXTREMOS</v>
          </cell>
          <cell r="E39" t="str">
            <v>BU_LOANTAPE_WORK.OUT_B0200_MAIN_LIABILITIES</v>
          </cell>
          <cell r="F39" t="str">
            <v>N/A</v>
          </cell>
          <cell r="G39" t="str">
            <v>0280_FLG_NCNP_DPSTS</v>
          </cell>
          <cell r="H39" t="str">
            <v>2025-10-31</v>
          </cell>
          <cell r="I39" t="str">
            <v>FALSE</v>
          </cell>
          <cell r="J39" t="str">
            <v>FALSE</v>
          </cell>
        </row>
        <row r="40">
          <cell r="A40" t="str">
            <v>B02.000290_FLG_NCBP_DPSTS</v>
          </cell>
          <cell r="B40" t="str">
            <v>B02.000290_FLG_NCBP_DPSTS1</v>
          </cell>
          <cell r="C40" t="str">
            <v>B02.00</v>
          </cell>
          <cell r="D40" t="str">
            <v>VALORES EXTREMOS</v>
          </cell>
          <cell r="E40" t="str">
            <v>BU_LOANTAPE_WORK.OUT_B0200_MAIN_LIABILITIES</v>
          </cell>
          <cell r="F40" t="str">
            <v>N/A</v>
          </cell>
          <cell r="G40" t="str">
            <v>0290_FLG_NCBP_DPSTS</v>
          </cell>
          <cell r="H40" t="str">
            <v>2025-10-31</v>
          </cell>
          <cell r="I40" t="str">
            <v>FALSE</v>
          </cell>
          <cell r="J40" t="str">
            <v>FALSE</v>
          </cell>
        </row>
        <row r="41">
          <cell r="A41" t="str">
            <v>B02.000300_AMNT_CVRD_ELGBL_DPSTS</v>
          </cell>
          <cell r="B41" t="str">
            <v>B02.000300_AMNT_CVRD_ELGBL_DPSTS1</v>
          </cell>
          <cell r="C41" t="str">
            <v>B02.00</v>
          </cell>
          <cell r="D41" t="str">
            <v>VALORES EXTREMOS</v>
          </cell>
          <cell r="E41" t="str">
            <v>BU_LOANTAPE_WORK.OUT_B0200_MAIN_LIABILITIES</v>
          </cell>
          <cell r="F41" t="str">
            <v>N/A</v>
          </cell>
          <cell r="G41" t="str">
            <v>0300_AMNT_CVRD_ELGBL_DPSTS</v>
          </cell>
          <cell r="H41" t="str">
            <v>2025-10-31</v>
          </cell>
          <cell r="I41" t="str">
            <v>999999999999999.00</v>
          </cell>
          <cell r="J41" t="str">
            <v>999999999999999.00</v>
          </cell>
        </row>
        <row r="42">
          <cell r="A42" t="str">
            <v xml:space="preserve">B02.000310_FLG_CLLTRL_AGRMNTS </v>
          </cell>
          <cell r="B42" t="str">
            <v>B02.000310_FLG_CLLTRL_AGRMNTS 1</v>
          </cell>
          <cell r="C42" t="str">
            <v>B02.00</v>
          </cell>
          <cell r="D42" t="str">
            <v>VALORES EXTREMOS</v>
          </cell>
          <cell r="E42" t="str">
            <v>BU_LOANTAPE_WORK.OUT_B0200_MAIN_LIABILITIES</v>
          </cell>
          <cell r="F42" t="str">
            <v>N/A</v>
          </cell>
          <cell r="G42" t="str">
            <v xml:space="preserve">0310_FLG_CLLTRL_AGRMNTS </v>
          </cell>
          <cell r="H42" t="str">
            <v>2025-10-31</v>
          </cell>
          <cell r="I42" t="str">
            <v>Unsecured</v>
          </cell>
          <cell r="J42" t="str">
            <v>Unsecured</v>
          </cell>
        </row>
        <row r="43">
          <cell r="A43" t="str">
            <v>B02.000320_AMNT_CLLTRL</v>
          </cell>
          <cell r="B43" t="str">
            <v>B02.000320_AMNT_CLLTRL1</v>
          </cell>
          <cell r="C43" t="str">
            <v>B02.00</v>
          </cell>
          <cell r="D43" t="str">
            <v>VALORES EXTREMOS</v>
          </cell>
          <cell r="E43" t="str">
            <v>BU_LOANTAPE_WORK.OUT_B0200_MAIN_LIABILITIES</v>
          </cell>
          <cell r="F43" t="str">
            <v>N/A</v>
          </cell>
          <cell r="G43" t="str">
            <v>0320_AMNT_CLLTRL</v>
          </cell>
          <cell r="H43" t="str">
            <v>2025-10-31</v>
          </cell>
          <cell r="I43" t="str">
            <v>999999999999999.00</v>
          </cell>
          <cell r="J43" t="str">
            <v>999999999999999.00</v>
          </cell>
        </row>
        <row r="44">
          <cell r="A44" t="str">
            <v>B02.000330_AMNT_UNCLLTRLZD</v>
          </cell>
          <cell r="B44" t="str">
            <v>B02.000330_AMNT_UNCLLTRLZD1</v>
          </cell>
          <cell r="C44" t="str">
            <v>B02.00</v>
          </cell>
          <cell r="D44" t="str">
            <v>VALORES EXTREMOS</v>
          </cell>
          <cell r="E44" t="str">
            <v>BU_LOANTAPE_WORK.OUT_B0200_MAIN_LIABILITIES</v>
          </cell>
          <cell r="F44" t="str">
            <v>N/A</v>
          </cell>
          <cell r="G44" t="str">
            <v>0330_AMNT_UNCLLTRLZD</v>
          </cell>
          <cell r="H44" t="str">
            <v>2025-10-31</v>
          </cell>
          <cell r="I44" t="str">
            <v>999999999999999.00</v>
          </cell>
          <cell r="J44" t="str">
            <v>999999999999999.00</v>
          </cell>
        </row>
        <row r="45">
          <cell r="A45" t="str">
            <v>B02.000340_ID_CLLTRL</v>
          </cell>
          <cell r="B45" t="str">
            <v>B02.000340_ID_CLLTRL1</v>
          </cell>
          <cell r="C45" t="str">
            <v>B02.00</v>
          </cell>
          <cell r="D45" t="str">
            <v>VALORES EXTREMOS</v>
          </cell>
          <cell r="E45" t="str">
            <v>BU_LOANTAPE_WORK.OUT_B0200_MAIN_LIABILITIES</v>
          </cell>
          <cell r="F45" t="str">
            <v>N/A</v>
          </cell>
          <cell r="G45" t="str">
            <v>0340_ID_CLLTRL</v>
          </cell>
          <cell r="H45" t="str">
            <v>2025-10-31</v>
          </cell>
          <cell r="I45" t="str">
            <v>Not applicable</v>
          </cell>
          <cell r="J45" t="str">
            <v>Not applicable</v>
          </cell>
        </row>
        <row r="46">
          <cell r="A46" t="str">
            <v>B02.000350_TYP_CLLTRL</v>
          </cell>
          <cell r="B46" t="str">
            <v>B02.000350_TYP_CLLTRL1</v>
          </cell>
          <cell r="C46" t="str">
            <v>B02.00</v>
          </cell>
          <cell r="D46" t="str">
            <v>VALORES EXTREMOS</v>
          </cell>
          <cell r="E46" t="str">
            <v>BU_LOANTAPE_WORK.OUT_B0200_MAIN_LIABILITIES</v>
          </cell>
          <cell r="F46" t="str">
            <v>N/A</v>
          </cell>
          <cell r="G46" t="str">
            <v>0350_TYP_CLLTRL</v>
          </cell>
          <cell r="H46" t="str">
            <v>2025-10-31</v>
          </cell>
          <cell r="I46" t="str">
            <v>Not applicable</v>
          </cell>
          <cell r="J46" t="str">
            <v>Not applicable</v>
          </cell>
        </row>
        <row r="47">
          <cell r="A47" t="str">
            <v>B02.000351_TYP_CLLTRL_OTHR</v>
          </cell>
          <cell r="B47" t="str">
            <v>B02.000351_TYP_CLLTRL_OTHR1</v>
          </cell>
          <cell r="C47" t="str">
            <v>B02.00</v>
          </cell>
          <cell r="D47" t="str">
            <v>VALORES EXTREMOS</v>
          </cell>
          <cell r="E47" t="str">
            <v>BU_LOANTAPE_WORK.OUT_B0200_MAIN_LIABILITIES</v>
          </cell>
          <cell r="F47" t="str">
            <v>N/A</v>
          </cell>
          <cell r="G47" t="str">
            <v>0351_TYP_CLLTRL_OTHR</v>
          </cell>
          <cell r="H47" t="str">
            <v>2025-10-31</v>
          </cell>
          <cell r="I47" t="str">
            <v>Not applicable</v>
          </cell>
          <cell r="J47" t="str">
            <v>Not applicable</v>
          </cell>
        </row>
        <row r="48">
          <cell r="A48" t="str">
            <v>B02.000360_TRDNG_MTHD</v>
          </cell>
          <cell r="B48" t="str">
            <v>B02.000360_TRDNG_MTHD1</v>
          </cell>
          <cell r="C48" t="str">
            <v>B02.00</v>
          </cell>
          <cell r="D48" t="str">
            <v>VALORES EXTREMOS</v>
          </cell>
          <cell r="E48" t="str">
            <v>BU_LOANTAPE_WORK.OUT_B0200_MAIN_LIABILITIES</v>
          </cell>
          <cell r="F48" t="str">
            <v>N/A</v>
          </cell>
          <cell r="G48" t="str">
            <v>0360_TRDNG_MTHD</v>
          </cell>
          <cell r="H48" t="str">
            <v>2025-10-31</v>
          </cell>
          <cell r="I48" t="str">
            <v>NULL</v>
          </cell>
          <cell r="J48" t="str">
            <v>NULL</v>
          </cell>
        </row>
        <row r="49">
          <cell r="A49" t="str">
            <v>B02.000370_AMNT_SCRTY_EUR</v>
          </cell>
          <cell r="B49" t="str">
            <v>B02.000370_AMNT_SCRTY_EUR1</v>
          </cell>
          <cell r="C49" t="str">
            <v>B02.00</v>
          </cell>
          <cell r="D49" t="str">
            <v>VALORES EXTREMOS</v>
          </cell>
          <cell r="E49" t="str">
            <v>BU_LOANTAPE_WORK.OUT_B0200_MAIN_LIABILITIES</v>
          </cell>
          <cell r="F49" t="str">
            <v>N/A</v>
          </cell>
          <cell r="G49" t="str">
            <v>0370_AMNT_SCRTY_EUR</v>
          </cell>
          <cell r="H49" t="str">
            <v>2025-10-31</v>
          </cell>
          <cell r="I49" t="str">
            <v>1.00</v>
          </cell>
          <cell r="J49" t="str">
            <v>100000.00</v>
          </cell>
        </row>
        <row r="50">
          <cell r="A50" t="str">
            <v>B02.000380_AMNT_SCRTY_FX</v>
          </cell>
          <cell r="B50" t="str">
            <v>B02.000380_AMNT_SCRTY_FX1</v>
          </cell>
          <cell r="C50" t="str">
            <v>B02.00</v>
          </cell>
          <cell r="D50" t="str">
            <v>VALORES EXTREMOS</v>
          </cell>
          <cell r="E50" t="str">
            <v>BU_LOANTAPE_WORK.OUT_B0200_MAIN_LIABILITIES</v>
          </cell>
          <cell r="F50" t="str">
            <v>N/A</v>
          </cell>
          <cell r="G50" t="str">
            <v>0380_AMNT_SCRTY_FX</v>
          </cell>
          <cell r="H50" t="str">
            <v>2025-10-31</v>
          </cell>
          <cell r="I50" t="str">
            <v>1.00</v>
          </cell>
          <cell r="J50" t="str">
            <v>100000.00</v>
          </cell>
        </row>
        <row r="51">
          <cell r="A51" t="str">
            <v>B02.000390_NMBR_SCRTS_NOT_RPRTNG_ENTTY</v>
          </cell>
          <cell r="B51" t="str">
            <v>B02.000390_NMBR_SCRTS_NOT_RPRTNG_ENTTY1</v>
          </cell>
          <cell r="C51" t="str">
            <v>B02.00</v>
          </cell>
          <cell r="D51" t="str">
            <v>VALORES EXTREMOS</v>
          </cell>
          <cell r="E51" t="str">
            <v>BU_LOANTAPE_WORK.OUT_B0200_MAIN_LIABILITIES</v>
          </cell>
          <cell r="F51" t="str">
            <v>N/A</v>
          </cell>
          <cell r="G51" t="str">
            <v>0390_NMBR_SCRTS_NOT_RPRTNG_ENTTY</v>
          </cell>
          <cell r="H51" t="str">
            <v>2025-10-31</v>
          </cell>
          <cell r="I51" t="str">
            <v>NULL</v>
          </cell>
          <cell r="J51" t="str">
            <v>NULL</v>
          </cell>
        </row>
        <row r="52">
          <cell r="A52" t="str">
            <v>B02.000391_NMBR_SCRTS_RPRTNG_ENTTY</v>
          </cell>
          <cell r="B52" t="str">
            <v>B02.000391_NMBR_SCRTS_RPRTNG_ENTTY1</v>
          </cell>
          <cell r="C52" t="str">
            <v>B02.00</v>
          </cell>
          <cell r="D52" t="str">
            <v>VALORES EXTREMOS</v>
          </cell>
          <cell r="E52" t="str">
            <v>BU_LOANTAPE_WORK.OUT_B0200_MAIN_LIABILITIES</v>
          </cell>
          <cell r="F52" t="str">
            <v>N/A</v>
          </cell>
          <cell r="G52" t="str">
            <v>0391_NMBR_SCRTS_RPRTNG_ENTTY</v>
          </cell>
          <cell r="H52" t="str">
            <v>2025-10-31</v>
          </cell>
          <cell r="I52" t="str">
            <v>NULL</v>
          </cell>
          <cell r="J52" t="str">
            <v>NULL</v>
          </cell>
        </row>
        <row r="53">
          <cell r="A53" t="str">
            <v>B02.000400_ACCRD_INTRST_SCRTY</v>
          </cell>
          <cell r="B53" t="str">
            <v>B02.000400_ACCRD_INTRST_SCRTY1</v>
          </cell>
          <cell r="C53" t="str">
            <v>B02.00</v>
          </cell>
          <cell r="D53" t="str">
            <v>VALORES EXTREMOS</v>
          </cell>
          <cell r="E53" t="str">
            <v>BU_LOANTAPE_WORK.OUT_B0200_MAIN_LIABILITIES</v>
          </cell>
          <cell r="F53" t="str">
            <v>N/A</v>
          </cell>
          <cell r="G53" t="str">
            <v>0400_ACCRD_INTRST_SCRTY</v>
          </cell>
          <cell r="H53" t="str">
            <v>2025-10-31</v>
          </cell>
          <cell r="I53" t="str">
            <v>NULL</v>
          </cell>
          <cell r="J53" t="str">
            <v>NULL</v>
          </cell>
        </row>
        <row r="54">
          <cell r="A54" t="str">
            <v>B02.000410_FEES_CHARGES_SCRTY</v>
          </cell>
          <cell r="B54" t="str">
            <v>B02.000410_FEES_CHARGES_SCRTY1</v>
          </cell>
          <cell r="C54" t="str">
            <v>B02.00</v>
          </cell>
          <cell r="D54" t="str">
            <v>VALORES EXTREMOS</v>
          </cell>
          <cell r="E54" t="str">
            <v>BU_LOANTAPE_WORK.OUT_B0200_MAIN_LIABILITIES</v>
          </cell>
          <cell r="F54" t="str">
            <v>N/A</v>
          </cell>
          <cell r="G54" t="str">
            <v>0410_FEES_CHARGES_SCRTY</v>
          </cell>
          <cell r="H54" t="str">
            <v>2025-10-31</v>
          </cell>
          <cell r="I54" t="str">
            <v>0.0000</v>
          </cell>
          <cell r="J54" t="str">
            <v>0.0000</v>
          </cell>
        </row>
        <row r="55">
          <cell r="A55" t="str">
            <v>B02.000420_FV_AMNT_SCRTY</v>
          </cell>
          <cell r="B55" t="str">
            <v>B02.000420_FV_AMNT_SCRTY1</v>
          </cell>
          <cell r="C55" t="str">
            <v>B02.00</v>
          </cell>
          <cell r="D55" t="str">
            <v>VALORES EXTREMOS</v>
          </cell>
          <cell r="E55" t="str">
            <v>BU_LOANTAPE_WORK.OUT_B0200_MAIN_LIABILITIES</v>
          </cell>
          <cell r="F55" t="str">
            <v>N/A</v>
          </cell>
          <cell r="G55" t="str">
            <v>0420_FV_AMNT_SCRTY</v>
          </cell>
          <cell r="H55" t="str">
            <v>2025-10-31</v>
          </cell>
          <cell r="I55" t="str">
            <v>999999999999999.0000</v>
          </cell>
          <cell r="J55" t="str">
            <v>999999999999999.0000</v>
          </cell>
        </row>
        <row r="56">
          <cell r="A56" t="str">
            <v>B02.000430_PRNCPL_AMNT_GLBL_NT_EUR</v>
          </cell>
          <cell r="B56" t="str">
            <v>B02.000430_PRNCPL_AMNT_GLBL_NT_EUR1</v>
          </cell>
          <cell r="C56" t="str">
            <v>B02.00</v>
          </cell>
          <cell r="D56" t="str">
            <v>VALORES EXTREMOS</v>
          </cell>
          <cell r="E56" t="str">
            <v>BU_LOANTAPE_WORK.OUT_B0200_MAIN_LIABILITIES</v>
          </cell>
          <cell r="F56" t="str">
            <v>N/A</v>
          </cell>
          <cell r="G56" t="str">
            <v>0430_PRNCPL_AMNT_GLBL_NT_EUR</v>
          </cell>
          <cell r="H56" t="str">
            <v>2025-10-31</v>
          </cell>
          <cell r="I56" t="str">
            <v>999999999999999.00</v>
          </cell>
          <cell r="J56" t="str">
            <v>999999999999999.00</v>
          </cell>
        </row>
        <row r="57">
          <cell r="A57" t="str">
            <v>B02.000431_PRNCPL_AMNT_GLBL_NT_FX</v>
          </cell>
          <cell r="B57" t="str">
            <v>B02.000431_PRNCPL_AMNT_GLBL_NT_FX1</v>
          </cell>
          <cell r="C57" t="str">
            <v>B02.00</v>
          </cell>
          <cell r="D57" t="str">
            <v>VALORES EXTREMOS</v>
          </cell>
          <cell r="E57" t="str">
            <v>BU_LOANTAPE_WORK.OUT_B0200_MAIN_LIABILITIES</v>
          </cell>
          <cell r="F57" t="str">
            <v>N/A</v>
          </cell>
          <cell r="G57" t="str">
            <v>0431_PRNCPL_AMNT_GLBL_NT_FX</v>
          </cell>
          <cell r="H57" t="str">
            <v>2025-10-31</v>
          </cell>
          <cell r="I57" t="str">
            <v>999999999999999.00</v>
          </cell>
          <cell r="J57" t="str">
            <v>999999999999999.00</v>
          </cell>
        </row>
        <row r="58">
          <cell r="A58" t="str">
            <v>B02.000440_NTR_GLBL_NT</v>
          </cell>
          <cell r="B58" t="str">
            <v>B02.000440_NTR_GLBL_NT1</v>
          </cell>
          <cell r="C58" t="str">
            <v>B02.00</v>
          </cell>
          <cell r="D58" t="str">
            <v>VALORES EXTREMOS</v>
          </cell>
          <cell r="E58" t="str">
            <v>BU_LOANTAPE_WORK.OUT_B0200_MAIN_LIABILITIES</v>
          </cell>
          <cell r="F58" t="str">
            <v>N/A</v>
          </cell>
          <cell r="G58" t="str">
            <v>0440_NTR_GLBL_NT</v>
          </cell>
          <cell r="H58" t="str">
            <v>2025-10-31</v>
          </cell>
          <cell r="I58" t="str">
            <v>Not applicable</v>
          </cell>
          <cell r="J58" t="str">
            <v>Not applicable</v>
          </cell>
        </row>
        <row r="59">
          <cell r="A59" t="str">
            <v>B02.000450_CRRNT_POOL_FCTR</v>
          </cell>
          <cell r="B59" t="str">
            <v>B02.000450_CRRNT_POOL_FCTR1</v>
          </cell>
          <cell r="C59" t="str">
            <v>B02.00</v>
          </cell>
          <cell r="D59" t="str">
            <v>VALORES EXTREMOS</v>
          </cell>
          <cell r="E59" t="str">
            <v>BU_LOANTAPE_WORK.OUT_B0200_MAIN_LIABILITIES</v>
          </cell>
          <cell r="F59" t="str">
            <v>N/A</v>
          </cell>
          <cell r="G59" t="str">
            <v>0450_CRRNT_POOL_FCTR</v>
          </cell>
          <cell r="H59" t="str">
            <v>2025-10-31</v>
          </cell>
          <cell r="I59" t="str">
            <v>-9999.999999999</v>
          </cell>
          <cell r="J59" t="str">
            <v>-9999.999999999</v>
          </cell>
        </row>
        <row r="60">
          <cell r="A60" t="str">
            <v>B02.000460_CSD</v>
          </cell>
          <cell r="B60" t="str">
            <v>B02.000460_CSD1</v>
          </cell>
          <cell r="C60" t="str">
            <v>B02.00</v>
          </cell>
          <cell r="D60" t="str">
            <v>VALORES EXTREMOS</v>
          </cell>
          <cell r="E60" t="str">
            <v>BU_LOANTAPE_WORK.OUT_B0200_MAIN_LIABILITIES</v>
          </cell>
          <cell r="F60" t="str">
            <v>N/A</v>
          </cell>
          <cell r="G60" t="str">
            <v>0460_CSD</v>
          </cell>
          <cell r="H60" t="str">
            <v>2025-10-31</v>
          </cell>
          <cell r="I60" t="str">
            <v>INTERBOLSA_PT</v>
          </cell>
          <cell r="J60" t="str">
            <v>INTERBOLSA_PT</v>
          </cell>
        </row>
        <row r="61">
          <cell r="A61" t="str">
            <v>B02.000461_CSD_LEI</v>
          </cell>
          <cell r="B61" t="str">
            <v>B02.000461_CSD_LEI1</v>
          </cell>
          <cell r="C61" t="str">
            <v>B02.00</v>
          </cell>
          <cell r="D61" t="str">
            <v>VALORES EXTREMOS</v>
          </cell>
          <cell r="E61" t="str">
            <v>BU_LOANTAPE_WORK.OUT_B0200_MAIN_LIABILITIES</v>
          </cell>
          <cell r="F61" t="str">
            <v>N/A</v>
          </cell>
          <cell r="G61" t="str">
            <v>0461_CSD_LEI</v>
          </cell>
          <cell r="H61" t="str">
            <v>2025-10-31</v>
          </cell>
          <cell r="I61" t="str">
            <v>529900LG70TCAGWCXT47</v>
          </cell>
          <cell r="J61" t="str">
            <v>529900LG70TCAGWCXT47</v>
          </cell>
        </row>
        <row r="62">
          <cell r="A62" t="str">
            <v>B02.000462_CSD_OTHR</v>
          </cell>
          <cell r="B62" t="str">
            <v>B02.000462_CSD_OTHR1</v>
          </cell>
          <cell r="C62" t="str">
            <v>B02.00</v>
          </cell>
          <cell r="D62" t="str">
            <v>VALORES EXTREMOS</v>
          </cell>
          <cell r="E62" t="str">
            <v>BU_LOANTAPE_WORK.OUT_B0200_MAIN_LIABILITIES</v>
          </cell>
          <cell r="F62" t="str">
            <v>N/A</v>
          </cell>
          <cell r="G62" t="str">
            <v>0462_CSD_OTHR</v>
          </cell>
          <cell r="H62" t="str">
            <v>2025-10-31</v>
          </cell>
          <cell r="I62" t="str">
            <v>Not applicable</v>
          </cell>
          <cell r="J62" t="str">
            <v>Not applicable</v>
          </cell>
        </row>
        <row r="63">
          <cell r="A63" t="str">
            <v>B02.000470_PYNG_AGNT</v>
          </cell>
          <cell r="B63" t="str">
            <v>B02.000470_PYNG_AGNT1</v>
          </cell>
          <cell r="C63" t="str">
            <v>B02.00</v>
          </cell>
          <cell r="D63" t="str">
            <v>VALORES EXTREMOS</v>
          </cell>
          <cell r="E63" t="str">
            <v>BU_LOANTAPE_WORK.OUT_B0200_MAIN_LIABILITIES</v>
          </cell>
          <cell r="F63" t="str">
            <v>N/A</v>
          </cell>
          <cell r="G63" t="str">
            <v>0470_PYNG_AGNT</v>
          </cell>
          <cell r="H63" t="str">
            <v>2025-10-31</v>
          </cell>
          <cell r="I63" t="str">
            <v>BANCO SANTANDER TOTTA S.A.</v>
          </cell>
          <cell r="J63" t="str">
            <v>BANCO SANTANDER TOTTA S.A.</v>
          </cell>
        </row>
        <row r="64">
          <cell r="A64" t="str">
            <v>B02.000471_PYNG_AGNT_LEI</v>
          </cell>
          <cell r="B64" t="str">
            <v>B02.000471_PYNG_AGNT_LEI1</v>
          </cell>
          <cell r="C64" t="str">
            <v>B02.00</v>
          </cell>
          <cell r="D64" t="str">
            <v>VALORES EXTREMOS</v>
          </cell>
          <cell r="E64" t="str">
            <v>BU_LOANTAPE_WORK.OUT_B0200_MAIN_LIABILITIES</v>
          </cell>
          <cell r="F64" t="str">
            <v>N/A</v>
          </cell>
          <cell r="G64" t="str">
            <v>0471_PYNG_AGNT_LEI</v>
          </cell>
          <cell r="H64" t="str">
            <v>2025-10-31</v>
          </cell>
          <cell r="I64" t="str">
            <v>549300URJH9VSI58CS32</v>
          </cell>
          <cell r="J64" t="str">
            <v>549300URJH9VSI58CS32</v>
          </cell>
        </row>
        <row r="65">
          <cell r="A65" t="str">
            <v>B02.000480_TRDNG_VN</v>
          </cell>
          <cell r="B65" t="str">
            <v>B02.000480_TRDNG_VN1</v>
          </cell>
          <cell r="C65" t="str">
            <v>B02.00</v>
          </cell>
          <cell r="D65" t="str">
            <v>VALORES EXTREMOS</v>
          </cell>
          <cell r="E65" t="str">
            <v>BU_LOANTAPE_WORK.OUT_B0200_MAIN_LIABILITIES</v>
          </cell>
          <cell r="F65" t="str">
            <v>N/A</v>
          </cell>
          <cell r="G65" t="str">
            <v>0480_TRDNG_VN</v>
          </cell>
          <cell r="H65" t="str">
            <v>2025-10-31</v>
          </cell>
          <cell r="I65" t="str">
            <v>Not applicable</v>
          </cell>
          <cell r="J65" t="str">
            <v>Not applicable</v>
          </cell>
        </row>
        <row r="66">
          <cell r="A66" t="str">
            <v>B02.000481_TRDNG_VN_LEI</v>
          </cell>
          <cell r="B66" t="str">
            <v>B02.000481_TRDNG_VN_LEI1</v>
          </cell>
          <cell r="C66" t="str">
            <v>B02.00</v>
          </cell>
          <cell r="D66" t="str">
            <v>VALORES EXTREMOS</v>
          </cell>
          <cell r="E66" t="str">
            <v>BU_LOANTAPE_WORK.OUT_B0200_MAIN_LIABILITIES</v>
          </cell>
          <cell r="F66" t="str">
            <v>N/A</v>
          </cell>
          <cell r="G66" t="str">
            <v>0481_TRDNG_VN_LEI</v>
          </cell>
          <cell r="H66" t="str">
            <v>2025-10-31</v>
          </cell>
          <cell r="I66" t="str">
            <v>Not applicable</v>
          </cell>
          <cell r="J66" t="str">
            <v>Not applicable</v>
          </cell>
        </row>
        <row r="67">
          <cell r="A67" t="str">
            <v xml:space="preserve">B02.000490_RGSTRR </v>
          </cell>
          <cell r="B67" t="str">
            <v>B02.000490_RGSTRR 1</v>
          </cell>
          <cell r="C67" t="str">
            <v>B02.00</v>
          </cell>
          <cell r="D67" t="str">
            <v>VALORES EXTREMOS</v>
          </cell>
          <cell r="E67" t="str">
            <v>BU_LOANTAPE_WORK.OUT_B0200_MAIN_LIABILITIES</v>
          </cell>
          <cell r="F67" t="str">
            <v>N/A</v>
          </cell>
          <cell r="G67" t="str">
            <v xml:space="preserve">0490_RGSTRR </v>
          </cell>
          <cell r="H67" t="str">
            <v>2025-10-31</v>
          </cell>
          <cell r="I67" t="str">
            <v>INTERBOLSA_PT</v>
          </cell>
          <cell r="J67" t="str">
            <v>INTERBOLSA_PT</v>
          </cell>
        </row>
        <row r="68">
          <cell r="A68" t="str">
            <v>B02.000491_RGSTRR_LEI</v>
          </cell>
          <cell r="B68" t="str">
            <v>B02.000491_RGSTRR_LEI1</v>
          </cell>
          <cell r="C68" t="str">
            <v>B02.00</v>
          </cell>
          <cell r="D68" t="str">
            <v>VALORES EXTREMOS</v>
          </cell>
          <cell r="E68" t="str">
            <v>BU_LOANTAPE_WORK.OUT_B0200_MAIN_LIABILITIES</v>
          </cell>
          <cell r="F68" t="str">
            <v>N/A</v>
          </cell>
          <cell r="G68" t="str">
            <v>0491_RGSTRR_LEI</v>
          </cell>
          <cell r="H68" t="str">
            <v>2025-10-31</v>
          </cell>
          <cell r="I68" t="str">
            <v>529900LG70TCAGWCXT47</v>
          </cell>
          <cell r="J68" t="str">
            <v>529900LG70TCAGWCXT47</v>
          </cell>
        </row>
        <row r="69">
          <cell r="A69" t="str">
            <v>B02.000500_NNA</v>
          </cell>
          <cell r="B69" t="str">
            <v>B02.000500_NNA1</v>
          </cell>
          <cell r="C69" t="str">
            <v>B02.00</v>
          </cell>
          <cell r="D69" t="str">
            <v>VALORES EXTREMOS</v>
          </cell>
          <cell r="E69" t="str">
            <v>BU_LOANTAPE_WORK.OUT_B0200_MAIN_LIABILITIES</v>
          </cell>
          <cell r="F69" t="str">
            <v>N/A</v>
          </cell>
          <cell r="G69" t="str">
            <v>0500_NNA</v>
          </cell>
          <cell r="H69" t="str">
            <v>2025-10-31</v>
          </cell>
          <cell r="I69" t="str">
            <v>INTERBOLSA_PT</v>
          </cell>
          <cell r="J69" t="str">
            <v>INTERBOLSA_PT</v>
          </cell>
        </row>
        <row r="70">
          <cell r="A70" t="str">
            <v>B02.000501_NNA_LEI</v>
          </cell>
          <cell r="B70" t="str">
            <v>B02.000501_NNA_LEI1</v>
          </cell>
          <cell r="C70" t="str">
            <v>B02.00</v>
          </cell>
          <cell r="D70" t="str">
            <v>VALORES EXTREMOS</v>
          </cell>
          <cell r="E70" t="str">
            <v>BU_LOANTAPE_WORK.OUT_B0200_MAIN_LIABILITIES</v>
          </cell>
          <cell r="F70" t="str">
            <v>N/A</v>
          </cell>
          <cell r="G70" t="str">
            <v>0501_NNA_LEI</v>
          </cell>
          <cell r="H70" t="str">
            <v>2025-10-31</v>
          </cell>
          <cell r="I70" t="str">
            <v>529900LG70TCAGWCXT47</v>
          </cell>
          <cell r="J70" t="str">
            <v>529900LG70TCAGWCXT47</v>
          </cell>
        </row>
        <row r="71">
          <cell r="A71" t="str">
            <v>B02.000510_CMMN_DPSTRY</v>
          </cell>
          <cell r="B71" t="str">
            <v>B02.000510_CMMN_DPSTRY1</v>
          </cell>
          <cell r="C71" t="str">
            <v>B02.00</v>
          </cell>
          <cell r="D71" t="str">
            <v>VALORES EXTREMOS</v>
          </cell>
          <cell r="E71" t="str">
            <v>BU_LOANTAPE_WORK.OUT_B0200_MAIN_LIABILITIES</v>
          </cell>
          <cell r="F71" t="str">
            <v>N/A</v>
          </cell>
          <cell r="G71" t="str">
            <v>0510_CMMN_DPSTRY</v>
          </cell>
          <cell r="H71" t="str">
            <v>2025-10-31</v>
          </cell>
          <cell r="I71" t="str">
            <v>Not applicable</v>
          </cell>
          <cell r="J71" t="str">
            <v>Not applicable</v>
          </cell>
        </row>
        <row r="72">
          <cell r="A72" t="str">
            <v>B02.000511_CMMN_DPSTRY_LEI</v>
          </cell>
          <cell r="B72" t="str">
            <v>B02.000511_CMMN_DPSTRY_LEI1</v>
          </cell>
          <cell r="C72" t="str">
            <v>B02.00</v>
          </cell>
          <cell r="D72" t="str">
            <v>VALORES EXTREMOS</v>
          </cell>
          <cell r="E72" t="str">
            <v>BU_LOANTAPE_WORK.OUT_B0200_MAIN_LIABILITIES</v>
          </cell>
          <cell r="F72" t="str">
            <v>N/A</v>
          </cell>
          <cell r="G72" t="str">
            <v>0511_CMMN_DPSTRY_LEI</v>
          </cell>
          <cell r="H72" t="str">
            <v>2025-10-31</v>
          </cell>
          <cell r="I72" t="str">
            <v>Not applicable</v>
          </cell>
          <cell r="J72" t="str">
            <v>Not applicable</v>
          </cell>
        </row>
        <row r="73">
          <cell r="A73" t="str">
            <v>B02.000520_CMMN_SRVC_PRVDR</v>
          </cell>
          <cell r="B73" t="str">
            <v>B02.000520_CMMN_SRVC_PRVDR1</v>
          </cell>
          <cell r="C73" t="str">
            <v>B02.00</v>
          </cell>
          <cell r="D73" t="str">
            <v>VALORES EXTREMOS</v>
          </cell>
          <cell r="E73" t="str">
            <v>BU_LOANTAPE_WORK.OUT_B0200_MAIN_LIABILITIES</v>
          </cell>
          <cell r="F73" t="str">
            <v>N/A</v>
          </cell>
          <cell r="G73" t="str">
            <v>0520_CMMN_SRVC_PRVDR</v>
          </cell>
          <cell r="H73" t="str">
            <v>2025-10-31</v>
          </cell>
          <cell r="I73" t="str">
            <v>Not applicable</v>
          </cell>
          <cell r="J73" t="str">
            <v>Not applicable</v>
          </cell>
        </row>
        <row r="74">
          <cell r="A74" t="str">
            <v>B02.000521_CMMN_SRVC_PRVDR_LEI</v>
          </cell>
          <cell r="B74" t="str">
            <v>B02.000521_CMMN_SRVC_PRVDR_LEI1</v>
          </cell>
          <cell r="C74" t="str">
            <v>B02.00</v>
          </cell>
          <cell r="D74" t="str">
            <v>VALORES EXTREMOS</v>
          </cell>
          <cell r="E74" t="str">
            <v>BU_LOANTAPE_WORK.OUT_B0200_MAIN_LIABILITIES</v>
          </cell>
          <cell r="F74" t="str">
            <v>N/A</v>
          </cell>
          <cell r="G74" t="str">
            <v>0521_CMMN_SRVC_PRVDR_LEI</v>
          </cell>
          <cell r="H74" t="str">
            <v>2025-10-31</v>
          </cell>
          <cell r="I74" t="str">
            <v>Not applicable</v>
          </cell>
          <cell r="J74" t="str">
            <v>Not applicable</v>
          </cell>
        </row>
        <row r="75">
          <cell r="A75" t="str">
            <v>B02.000530_TYP_OWN_FNDS_IND_LVL</v>
          </cell>
          <cell r="B75" t="str">
            <v>B02.000530_TYP_OWN_FNDS_IND_LVL1</v>
          </cell>
          <cell r="C75" t="str">
            <v>B02.00</v>
          </cell>
          <cell r="D75" t="str">
            <v>VALORES EXTREMOS</v>
          </cell>
          <cell r="E75" t="str">
            <v>BU_LOANTAPE_WORK.OUT_B0200_MAIN_LIABILITIES</v>
          </cell>
          <cell r="F75" t="str">
            <v>N/A</v>
          </cell>
          <cell r="G75" t="str">
            <v>0530_TYP_OWN_FNDS_IND_LVL</v>
          </cell>
          <cell r="H75" t="str">
            <v>2025-10-31</v>
          </cell>
          <cell r="I75" t="str">
            <v>CET1</v>
          </cell>
          <cell r="J75" t="str">
            <v>Fully Compliant T2</v>
          </cell>
        </row>
        <row r="76">
          <cell r="A76" t="str">
            <v>B02.000540_ELGBL_AMNT_OWN_FNDS_IND_LVL</v>
          </cell>
          <cell r="B76" t="str">
            <v>B02.000540_ELGBL_AMNT_OWN_FNDS_IND_LVL1</v>
          </cell>
          <cell r="C76" t="str">
            <v>B02.00</v>
          </cell>
          <cell r="D76" t="str">
            <v>VALORES EXTREMOS</v>
          </cell>
          <cell r="E76" t="str">
            <v>BU_LOANTAPE_WORK.OUT_B0200_MAIN_LIABILITIES</v>
          </cell>
          <cell r="F76" t="str">
            <v>N/A</v>
          </cell>
          <cell r="G76" t="str">
            <v>0540_ELGBL_AMNT_OWN_FNDS_IND_LVL</v>
          </cell>
          <cell r="H76" t="str">
            <v>2025-10-31</v>
          </cell>
          <cell r="I76" t="str">
            <v>0.00</v>
          </cell>
          <cell r="J76" t="str">
            <v>1256723284.00</v>
          </cell>
        </row>
        <row r="77">
          <cell r="A77" t="str">
            <v>B02.000550_TYP_OWN_FNDS_CNSLDTD_LVL</v>
          </cell>
          <cell r="B77" t="str">
            <v>B02.000550_TYP_OWN_FNDS_CNSLDTD_LVL1</v>
          </cell>
          <cell r="C77" t="str">
            <v>B02.00</v>
          </cell>
          <cell r="D77" t="str">
            <v>VALORES EXTREMOS</v>
          </cell>
          <cell r="E77" t="str">
            <v>BU_LOANTAPE_WORK.OUT_B0200_MAIN_LIABILITIES</v>
          </cell>
          <cell r="F77" t="str">
            <v>N/A</v>
          </cell>
          <cell r="G77" t="str">
            <v>0550_TYP_OWN_FNDS_CNSLDTD_LVL</v>
          </cell>
          <cell r="H77" t="str">
            <v>2025-10-31</v>
          </cell>
          <cell r="I77" t="str">
            <v>CET1</v>
          </cell>
          <cell r="J77" t="str">
            <v>Fully Compliant T2</v>
          </cell>
        </row>
        <row r="78">
          <cell r="A78" t="str">
            <v>B02.000560_ELGBL_AMNT_OWN_FNDS_CNSLDTD_LVL</v>
          </cell>
          <cell r="B78" t="str">
            <v>B02.000560_ELGBL_AMNT_OWN_FNDS_CNSLDTD_LVL1</v>
          </cell>
          <cell r="C78" t="str">
            <v>B02.00</v>
          </cell>
          <cell r="D78" t="str">
            <v>VALORES EXTREMOS</v>
          </cell>
          <cell r="E78" t="str">
            <v>BU_LOANTAPE_WORK.OUT_B0200_MAIN_LIABILITIES</v>
          </cell>
          <cell r="F78" t="str">
            <v>N/A</v>
          </cell>
          <cell r="G78" t="str">
            <v>0560_ELGBL_AMNT_OWN_FNDS_CNSLDTD_LVL</v>
          </cell>
          <cell r="H78" t="str">
            <v>2025-10-31</v>
          </cell>
          <cell r="I78" t="str">
            <v>0.00</v>
          </cell>
          <cell r="J78" t="str">
            <v>1256723284.00</v>
          </cell>
        </row>
        <row r="79">
          <cell r="A79" t="str">
            <v>B02.000570_AMNT_SCRTY_INTRST_PRVDD</v>
          </cell>
          <cell r="B79" t="str">
            <v>B02.000570_AMNT_SCRTY_INTRST_PRVDD1</v>
          </cell>
          <cell r="C79" t="str">
            <v>B02.00</v>
          </cell>
          <cell r="D79" t="str">
            <v>VALORES EXTREMOS</v>
          </cell>
          <cell r="E79" t="str">
            <v>BU_LOANTAPE_WORK.OUT_B0200_MAIN_LIABILITIES</v>
          </cell>
          <cell r="F79" t="str">
            <v>N/A</v>
          </cell>
          <cell r="G79" t="str">
            <v>0570_AMNT_SCRTY_INTRST_PRVDD</v>
          </cell>
          <cell r="H79" t="str">
            <v>2025-10-31</v>
          </cell>
          <cell r="I79" t="str">
            <v>0.00</v>
          </cell>
          <cell r="J79" t="str">
            <v>0.00</v>
          </cell>
        </row>
        <row r="80">
          <cell r="A80" t="str">
            <v>B02.000580_SCRTY_INTRST_PRVDR</v>
          </cell>
          <cell r="B80" t="str">
            <v>B02.000580_SCRTY_INTRST_PRVDR1</v>
          </cell>
          <cell r="C80" t="str">
            <v>B02.00</v>
          </cell>
          <cell r="D80" t="str">
            <v>VALORES EXTREMOS</v>
          </cell>
          <cell r="E80" t="str">
            <v>BU_LOANTAPE_WORK.OUT_B0200_MAIN_LIABILITIES</v>
          </cell>
          <cell r="F80" t="str">
            <v>N/A</v>
          </cell>
          <cell r="G80" t="str">
            <v>0580_SCRTY_INTRST_PRVDR</v>
          </cell>
          <cell r="H80" t="str">
            <v>2025-10-31</v>
          </cell>
          <cell r="I80" t="str">
            <v>Not applicable</v>
          </cell>
          <cell r="J80" t="str">
            <v>Not applicable</v>
          </cell>
        </row>
        <row r="81">
          <cell r="A81" t="str">
            <v>B02.000581_SCRTY_INTRST_PRVDR_LEI</v>
          </cell>
          <cell r="B81" t="str">
            <v>B02.000581_SCRTY_INTRST_PRVDR_LEI1</v>
          </cell>
          <cell r="C81" t="str">
            <v>B02.00</v>
          </cell>
          <cell r="D81" t="str">
            <v>VALORES EXTREMOS</v>
          </cell>
          <cell r="E81" t="str">
            <v>BU_LOANTAPE_WORK.OUT_B0200_MAIN_LIABILITIES</v>
          </cell>
          <cell r="F81" t="str">
            <v>N/A</v>
          </cell>
          <cell r="G81" t="str">
            <v>0581_SCRTY_INTRST_PRVDR_LEI</v>
          </cell>
          <cell r="H81" t="str">
            <v>2025-10-31</v>
          </cell>
          <cell r="I81" t="str">
            <v>Not applicable</v>
          </cell>
          <cell r="J81" t="str">
            <v>Not applicable</v>
          </cell>
        </row>
        <row r="82">
          <cell r="A82" t="str">
            <v>B02.000590_TYP_SCRTY_INTRST_PRVDD</v>
          </cell>
          <cell r="B82" t="str">
            <v>B02.000590_TYP_SCRTY_INTRST_PRVDD1</v>
          </cell>
          <cell r="C82" t="str">
            <v>B02.00</v>
          </cell>
          <cell r="D82" t="str">
            <v>VALORES EXTREMOS</v>
          </cell>
          <cell r="E82" t="str">
            <v>BU_LOANTAPE_WORK.OUT_B0200_MAIN_LIABILITIES</v>
          </cell>
          <cell r="F82" t="str">
            <v>N/A</v>
          </cell>
          <cell r="G82" t="str">
            <v>0590_TYP_SCRTY_INTRST_PRVDD</v>
          </cell>
          <cell r="H82" t="str">
            <v>2025-10-31</v>
          </cell>
          <cell r="I82" t="str">
            <v>Not applicable</v>
          </cell>
          <cell r="J82" t="str">
            <v>Not applicable</v>
          </cell>
        </row>
        <row r="83">
          <cell r="A83" t="str">
            <v>B02.000600_FLG_CLLTRL_ASST_PSTN</v>
          </cell>
          <cell r="B83" t="str">
            <v>B02.000600_FLG_CLLTRL_ASST_PSTN1</v>
          </cell>
          <cell r="C83" t="str">
            <v>B02.00</v>
          </cell>
          <cell r="D83" t="str">
            <v>VALORES EXTREMOS</v>
          </cell>
          <cell r="E83" t="str">
            <v>BU_LOANTAPE_WORK.OUT_B0200_MAIN_LIABILITIES</v>
          </cell>
          <cell r="F83" t="str">
            <v>N/A</v>
          </cell>
          <cell r="G83" t="str">
            <v>0600_FLG_CLLTRL_ASST_PSTN</v>
          </cell>
          <cell r="H83" t="str">
            <v>2025-10-31</v>
          </cell>
          <cell r="I83" t="str">
            <v>FALSE</v>
          </cell>
          <cell r="J83" t="str">
            <v>FALSE</v>
          </cell>
        </row>
        <row r="84">
          <cell r="A84" t="str">
            <v>B02.000610_CRRYNG_AMNT_IFRS</v>
          </cell>
          <cell r="B84" t="str">
            <v>B02.000610_CRRYNG_AMNT_IFRS1</v>
          </cell>
          <cell r="C84" t="str">
            <v>B02.00</v>
          </cell>
          <cell r="D84" t="str">
            <v>VALORES EXTREMOS</v>
          </cell>
          <cell r="E84" t="str">
            <v>BU_LOANTAPE_WORK.OUT_B0200_MAIN_LIABILITIES</v>
          </cell>
          <cell r="F84" t="str">
            <v>N/A</v>
          </cell>
          <cell r="G84" t="str">
            <v>0610_CRRYNG_AMNT_IFRS</v>
          </cell>
          <cell r="H84" t="str">
            <v>2025-10-31</v>
          </cell>
          <cell r="I84" t="str">
            <v>7639597.40</v>
          </cell>
          <cell r="J84" t="str">
            <v>1372632707.59</v>
          </cell>
        </row>
        <row r="85">
          <cell r="A85" t="str">
            <v>B02.000620_BLNC_SHT_IFRS</v>
          </cell>
          <cell r="B85" t="str">
            <v>B02.000620_BLNC_SHT_IFRS1</v>
          </cell>
          <cell r="C85" t="str">
            <v>B02.00</v>
          </cell>
          <cell r="D85" t="str">
            <v>VALORES EXTREMOS</v>
          </cell>
          <cell r="E85" t="str">
            <v>BU_LOANTAPE_WORK.OUT_B0200_MAIN_LIABILITIES</v>
          </cell>
          <cell r="F85" t="str">
            <v>N/A</v>
          </cell>
          <cell r="G85" t="str">
            <v>0620_BLNC_SHT_IFRS</v>
          </cell>
          <cell r="H85" t="str">
            <v>2025-10-31</v>
          </cell>
          <cell r="I85" t="str">
            <v>110 Financial liabilities at amortized cost</v>
          </cell>
          <cell r="J85" t="str">
            <v>300 Total equity</v>
          </cell>
        </row>
        <row r="86">
          <cell r="A86" t="str">
            <v>B02.000630_CRRYING_AMNT_NGAAP</v>
          </cell>
          <cell r="B86" t="str">
            <v>B02.000630_CRRYING_AMNT_NGAAP1</v>
          </cell>
          <cell r="C86" t="str">
            <v>B02.00</v>
          </cell>
          <cell r="D86" t="str">
            <v>VALORES EXTREMOS</v>
          </cell>
          <cell r="E86" t="str">
            <v>BU_LOANTAPE_WORK.OUT_B0200_MAIN_LIABILITIES</v>
          </cell>
          <cell r="F86" t="str">
            <v>N/A</v>
          </cell>
          <cell r="G86" t="str">
            <v>0630_CRRYING_AMNT_NGAAP</v>
          </cell>
          <cell r="H86" t="str">
            <v>2025-10-31</v>
          </cell>
          <cell r="I86" t="str">
            <v>999999999999999.00</v>
          </cell>
          <cell r="J86" t="str">
            <v>999999999999999.00</v>
          </cell>
        </row>
        <row r="87">
          <cell r="A87" t="str">
            <v>B02.000640_BLNC_SHT_NGAAP</v>
          </cell>
          <cell r="B87" t="str">
            <v>B02.000640_BLNC_SHT_NGAAP1</v>
          </cell>
          <cell r="C87" t="str">
            <v>B02.00</v>
          </cell>
          <cell r="D87" t="str">
            <v>VALORES EXTREMOS</v>
          </cell>
          <cell r="E87" t="str">
            <v>BU_LOANTAPE_WORK.OUT_B0200_MAIN_LIABILITIES</v>
          </cell>
          <cell r="F87" t="str">
            <v>N/A</v>
          </cell>
          <cell r="G87" t="str">
            <v>0640_BLNC_SHT_NGAAP</v>
          </cell>
          <cell r="H87" t="str">
            <v>2025-10-31</v>
          </cell>
          <cell r="I87" t="str">
            <v>Not applicable</v>
          </cell>
          <cell r="J87" t="str">
            <v>Not applicable</v>
          </cell>
        </row>
        <row r="88">
          <cell r="A88" t="str">
            <v>B02.005000_FLG_SHRHLDR_NOT_RSLTN_GRP</v>
          </cell>
          <cell r="B88" t="str">
            <v>B02.005000_FLG_SHRHLDR_NOT_RSLTN_GRP1</v>
          </cell>
          <cell r="C88" t="str">
            <v>B02.00</v>
          </cell>
          <cell r="D88" t="str">
            <v>VALORES EXTREMOS</v>
          </cell>
          <cell r="E88" t="str">
            <v>BU_LOANTAPE_WORK.OUT_B0200_MAIN_LIABILITIES</v>
          </cell>
          <cell r="F88" t="str">
            <v>N/A</v>
          </cell>
          <cell r="G88" t="str">
            <v>5000_FLG_SHRHLDR_NOT_RSLTN_GRP</v>
          </cell>
          <cell r="H88" t="str">
            <v>2025-10-31</v>
          </cell>
          <cell r="I88" t="str">
            <v>FALSE</v>
          </cell>
          <cell r="J88" t="str">
            <v>FALSE</v>
          </cell>
        </row>
        <row r="89">
          <cell r="A89" t="str">
            <v>B02.005010_FLG_ART21_7A_SRMR</v>
          </cell>
          <cell r="B89" t="str">
            <v>B02.005010_FLG_ART21_7A_SRMR1</v>
          </cell>
          <cell r="C89" t="str">
            <v>B02.00</v>
          </cell>
          <cell r="D89" t="str">
            <v>VALORES EXTREMOS</v>
          </cell>
          <cell r="E89" t="str">
            <v>BU_LOANTAPE_WORK.OUT_B0200_MAIN_LIABILITIES</v>
          </cell>
          <cell r="F89" t="str">
            <v>N/A</v>
          </cell>
          <cell r="G89" t="str">
            <v>5010_FLG_ART21_7A_SRMR</v>
          </cell>
          <cell r="H89" t="str">
            <v>2025-10-31</v>
          </cell>
          <cell r="I89" t="str">
            <v>TRUE</v>
          </cell>
          <cell r="J89" t="str">
            <v>TRUE</v>
          </cell>
        </row>
        <row r="90">
          <cell r="A90" t="str">
            <v>B90.000010_ROW_NMBR</v>
          </cell>
          <cell r="B90" t="str">
            <v>B90.000010_ROW_NMBR1</v>
          </cell>
          <cell r="C90" t="str">
            <v>B90.00</v>
          </cell>
          <cell r="D90" t="str">
            <v>VALORES EXTREMOS</v>
          </cell>
          <cell r="E90" t="str">
            <v>BU_LOANTAPE_WORK.OUT_B9000_COUNTERPARTIES</v>
          </cell>
          <cell r="F90" t="str">
            <v>N/A</v>
          </cell>
          <cell r="G90" t="str">
            <v>0010_ROW_NMBR</v>
          </cell>
          <cell r="H90" t="str">
            <v>2025-10-31</v>
          </cell>
          <cell r="I90" t="str">
            <v>1</v>
          </cell>
          <cell r="J90" t="str">
            <v>4740</v>
          </cell>
        </row>
        <row r="91">
          <cell r="A91" t="str">
            <v>B90.000011_TAB_ORIGIN</v>
          </cell>
          <cell r="B91" t="str">
            <v>B90.000011_TAB_ORIGIN1</v>
          </cell>
          <cell r="C91" t="str">
            <v>B90.00</v>
          </cell>
          <cell r="D91" t="str">
            <v>VALORES EXTREMOS</v>
          </cell>
          <cell r="E91" t="str">
            <v>BU_LOANTAPE_WORK.OUT_B9000_COUNTERPARTIES</v>
          </cell>
          <cell r="F91" t="str">
            <v>N/A</v>
          </cell>
          <cell r="G91" t="str">
            <v>0011_TAB_ORIGIN</v>
          </cell>
          <cell r="H91" t="str">
            <v>2025-10-31</v>
          </cell>
          <cell r="I91" t="str">
            <v>B0200</v>
          </cell>
          <cell r="J91" t="str">
            <v>B0500</v>
          </cell>
        </row>
        <row r="92">
          <cell r="A92" t="str">
            <v>B90.000020_UNIQ_ID_KNWN_CNTRPRTY</v>
          </cell>
          <cell r="B92" t="str">
            <v>B90.000020_UNIQ_ID_KNWN_CNTRPRTY1</v>
          </cell>
          <cell r="C92" t="str">
            <v>B90.00</v>
          </cell>
          <cell r="D92" t="str">
            <v>VALORES EXTREMOS</v>
          </cell>
          <cell r="E92" t="str">
            <v>BU_LOANTAPE_WORK.OUT_B9000_COUNTERPARTIES</v>
          </cell>
          <cell r="F92" t="str">
            <v>N/A</v>
          </cell>
          <cell r="G92" t="str">
            <v>0020_UNIQ_ID_KNWN_CNTRPRTY</v>
          </cell>
          <cell r="H92" t="str">
            <v>2025-10-31</v>
          </cell>
          <cell r="I92" t="str">
            <v>31000000000000000962304890482490P_0000_00000000000_000006511000505</v>
          </cell>
          <cell r="J92" t="str">
            <v>PTSTOHOM0002</v>
          </cell>
        </row>
        <row r="93">
          <cell r="A93" t="str">
            <v>B90.000030_CNTRPRTY_RSLTN_GRP</v>
          </cell>
          <cell r="B93" t="str">
            <v>B90.000030_CNTRPRTY_RSLTN_GRP1</v>
          </cell>
          <cell r="C93" t="str">
            <v>B90.00</v>
          </cell>
          <cell r="D93" t="str">
            <v>VALORES EXTREMOS</v>
          </cell>
          <cell r="E93" t="str">
            <v>BU_LOANTAPE_WORK.OUT_B9000_COUNTERPARTIES</v>
          </cell>
          <cell r="F93" t="str">
            <v>N/A</v>
          </cell>
          <cell r="G93" t="str">
            <v>0030_CNTRPRTY_RSLTN_GRP</v>
          </cell>
          <cell r="H93" t="str">
            <v>2025-10-31</v>
          </cell>
          <cell r="I93" t="str">
            <v>NULL</v>
          </cell>
          <cell r="J93" t="str">
            <v>NULL</v>
          </cell>
        </row>
        <row r="94">
          <cell r="A94" t="str">
            <v>B90.000040_CNTRPRTY_NM</v>
          </cell>
          <cell r="B94" t="str">
            <v>B90.000040_CNTRPRTY_NM1</v>
          </cell>
          <cell r="C94" t="str">
            <v>B90.00</v>
          </cell>
          <cell r="D94" t="str">
            <v>VALORES EXTREMOS</v>
          </cell>
          <cell r="E94" t="str">
            <v>BU_LOANTAPE_WORK.OUT_B9000_COUNTERPARTIES</v>
          </cell>
          <cell r="F94" t="str">
            <v>N/A</v>
          </cell>
          <cell r="G94" t="str">
            <v>0040_CNTRPRTY_NM</v>
          </cell>
          <cell r="H94" t="str">
            <v>2025-10-31</v>
          </cell>
          <cell r="I94" t="str">
            <v>NULL</v>
          </cell>
          <cell r="J94" t="str">
            <v>NULL</v>
          </cell>
        </row>
        <row r="95">
          <cell r="A95" t="str">
            <v>B90.000050_CNTRPRTY_LEI</v>
          </cell>
          <cell r="B95" t="str">
            <v>B90.000050_CNTRPRTY_LEI1</v>
          </cell>
          <cell r="C95" t="str">
            <v>B90.00</v>
          </cell>
          <cell r="D95" t="str">
            <v>VALORES EXTREMOS</v>
          </cell>
          <cell r="E95" t="str">
            <v>BU_LOANTAPE_WORK.OUT_B9000_COUNTERPARTIES</v>
          </cell>
          <cell r="F95" t="str">
            <v>N/A</v>
          </cell>
          <cell r="G95" t="str">
            <v>0050_CNTRPRTY_LEI</v>
          </cell>
          <cell r="H95" t="str">
            <v>2025-10-31</v>
          </cell>
          <cell r="I95" t="str">
            <v>NULL</v>
          </cell>
          <cell r="J95" t="str">
            <v>NULL</v>
          </cell>
        </row>
        <row r="96">
          <cell r="A96" t="str">
            <v>B90.000060_TYP_CNTRPRTY_ID</v>
          </cell>
          <cell r="B96" t="str">
            <v>B90.000060_TYP_CNTRPRTY_ID1</v>
          </cell>
          <cell r="C96" t="str">
            <v>B90.00</v>
          </cell>
          <cell r="D96" t="str">
            <v>VALORES EXTREMOS</v>
          </cell>
          <cell r="E96" t="str">
            <v>BU_LOANTAPE_WORK.OUT_B9000_COUNTERPARTIES</v>
          </cell>
          <cell r="F96" t="str">
            <v>N/A</v>
          </cell>
          <cell r="G96" t="str">
            <v>0060_TYP_CNTRPRTY_ID</v>
          </cell>
          <cell r="H96" t="str">
            <v>2025-10-31</v>
          </cell>
          <cell r="I96" t="str">
            <v>LEI</v>
          </cell>
          <cell r="J96" t="str">
            <v>LEI</v>
          </cell>
        </row>
        <row r="97">
          <cell r="A97" t="str">
            <v>B90.000070_CNTRPRTY_ID</v>
          </cell>
          <cell r="B97" t="str">
            <v>B90.000070_CNTRPRTY_ID1</v>
          </cell>
          <cell r="C97" t="str">
            <v>B90.00</v>
          </cell>
          <cell r="D97" t="str">
            <v>VALORES EXTREMOS</v>
          </cell>
          <cell r="E97" t="str">
            <v>BU_LOANTAPE_WORK.OUT_B9000_COUNTERPARTIES</v>
          </cell>
          <cell r="F97" t="str">
            <v>N/A</v>
          </cell>
          <cell r="G97" t="str">
            <v>0070_CNTRPRTY_ID</v>
          </cell>
          <cell r="H97" t="str">
            <v>2025-10-31</v>
          </cell>
          <cell r="I97" t="str">
            <v>0000003686</v>
          </cell>
          <cell r="J97" t="str">
            <v>Not applicable</v>
          </cell>
        </row>
        <row r="98">
          <cell r="A98" t="str">
            <v>B90.000080_CNTRPRTY_TYP</v>
          </cell>
          <cell r="B98" t="str">
            <v>B90.000080_CNTRPRTY_TYP1</v>
          </cell>
          <cell r="C98" t="str">
            <v>B90.00</v>
          </cell>
          <cell r="D98" t="str">
            <v>VALORES EXTREMOS</v>
          </cell>
          <cell r="E98" t="str">
            <v>BU_LOANTAPE_WORK.OUT_B9000_COUNTERPARTIES</v>
          </cell>
          <cell r="F98" t="str">
            <v>N/A</v>
          </cell>
          <cell r="G98" t="str">
            <v>0080_CNTRPRTY_TYP</v>
          </cell>
          <cell r="H98" t="str">
            <v>2025-10-31</v>
          </cell>
          <cell r="I98" t="str">
            <v>NULL</v>
          </cell>
          <cell r="J98" t="str">
            <v>NULL</v>
          </cell>
        </row>
        <row r="99">
          <cell r="A99" t="str">
            <v>B90.000090_CNTRY_CNTRPRTY</v>
          </cell>
          <cell r="B99" t="str">
            <v>B90.000090_CNTRY_CNTRPRTY1</v>
          </cell>
          <cell r="C99" t="str">
            <v>B90.00</v>
          </cell>
          <cell r="D99" t="str">
            <v>VALORES EXTREMOS</v>
          </cell>
          <cell r="E99" t="str">
            <v>BU_LOANTAPE_WORK.OUT_B9000_COUNTERPARTIES</v>
          </cell>
          <cell r="F99" t="str">
            <v>N/A</v>
          </cell>
          <cell r="G99" t="str">
            <v>0090_CNTRY_CNTRPRTY</v>
          </cell>
          <cell r="H99" t="str">
            <v>2025-10-31</v>
          </cell>
          <cell r="I99" t="str">
            <v>NULL</v>
          </cell>
          <cell r="J99" t="str">
            <v>NULL</v>
          </cell>
        </row>
        <row r="100">
          <cell r="A100" t="str">
            <v>B90.000100_RLVNT_AMNT_WDC</v>
          </cell>
          <cell r="B100" t="str">
            <v>B90.000100_RLVNT_AMNT_WDC1</v>
          </cell>
          <cell r="C100" t="str">
            <v>B90.00</v>
          </cell>
          <cell r="D100" t="str">
            <v>VALORES EXTREMOS</v>
          </cell>
          <cell r="E100" t="str">
            <v>BU_LOANTAPE_WORK.OUT_B9000_COUNTERPARTIES</v>
          </cell>
          <cell r="F100" t="str">
            <v>N/A</v>
          </cell>
          <cell r="G100" t="str">
            <v>0100_RLVNT_AMNT_WDC</v>
          </cell>
          <cell r="H100" t="str">
            <v>2025-10-31</v>
          </cell>
          <cell r="I100" t="str">
            <v>NULL</v>
          </cell>
          <cell r="J100" t="str">
            <v>NULL</v>
          </cell>
        </row>
        <row r="101">
          <cell r="A101" t="str">
            <v>LT003CNTRPRTY_RSLTN_GRP</v>
          </cell>
          <cell r="B101" t="str">
            <v>LT003CNTRPRTY_RSLTN_GRP</v>
          </cell>
          <cell r="C101" t="str">
            <v>LT003</v>
          </cell>
          <cell r="D101" t="str">
            <v>VALORES EXTREMOS</v>
          </cell>
          <cell r="E101" t="str">
            <v>BU_LOANTAPE_WORK.LT003_ENTITY</v>
          </cell>
          <cell r="F101" t="str">
            <v>N/A</v>
          </cell>
          <cell r="G101" t="str">
            <v>CNTRPRTY_RSLTN_GRP</v>
          </cell>
        </row>
        <row r="102">
          <cell r="A102" t="str">
            <v>LT003PRSN_TYP</v>
          </cell>
          <cell r="B102" t="str">
            <v>LT003PRSN_TYP1</v>
          </cell>
          <cell r="C102" t="str">
            <v>LT003</v>
          </cell>
          <cell r="D102" t="str">
            <v>VALORES EXTREMOS</v>
          </cell>
          <cell r="E102" t="str">
            <v>BU_LOANTAPE_WORK.LT003_ENTITY</v>
          </cell>
          <cell r="F102" t="str">
            <v>N/A</v>
          </cell>
          <cell r="G102" t="str">
            <v>PRSN_TYP</v>
          </cell>
          <cell r="H102" t="str">
            <v>2025-10-31</v>
          </cell>
          <cell r="I102" t="str">
            <v>NULL</v>
          </cell>
          <cell r="J102" t="str">
            <v>NULL</v>
          </cell>
        </row>
        <row r="103">
          <cell r="A103" t="str">
            <v>LT003ENTTY_NM</v>
          </cell>
          <cell r="B103" t="str">
            <v>LT003ENTTY_NM1</v>
          </cell>
          <cell r="C103" t="str">
            <v>LT003</v>
          </cell>
          <cell r="D103" t="str">
            <v>VALORES EXTREMOS</v>
          </cell>
          <cell r="E103" t="str">
            <v>BU_LOANTAPE_WORK.LT003_ENTITY</v>
          </cell>
          <cell r="F103" t="str">
            <v>N/A</v>
          </cell>
          <cell r="G103" t="str">
            <v>ENTTY_NM</v>
          </cell>
          <cell r="H103" t="str">
            <v>2025-10-31</v>
          </cell>
          <cell r="I103" t="str">
            <v>AUTO-ESTRADAS XXI-SUBCONCESSIONARIA TRANSMONTANA SA</v>
          </cell>
          <cell r="J103" t="str">
            <v>VENTOS DO SEIXO AMARELO ENERGIAS RENOVAVEIS S A</v>
          </cell>
        </row>
        <row r="104">
          <cell r="A104" t="str">
            <v>LT003LEI</v>
          </cell>
          <cell r="B104" t="str">
            <v>LT003LEI1</v>
          </cell>
          <cell r="C104" t="str">
            <v>LT003</v>
          </cell>
          <cell r="D104" t="str">
            <v>VALORES EXTREMOS</v>
          </cell>
          <cell r="E104" t="str">
            <v>BU_LOANTAPE_WORK.LT003_ENTITY</v>
          </cell>
          <cell r="F104" t="str">
            <v>N/A</v>
          </cell>
          <cell r="G104" t="str">
            <v>LEI</v>
          </cell>
          <cell r="H104" t="str">
            <v>2025-10-31</v>
          </cell>
          <cell r="I104" t="str">
            <v>213800KJCGV5D6QLZH29</v>
          </cell>
          <cell r="J104" t="str">
            <v>80H66LPTVDLM0P28XF25</v>
          </cell>
        </row>
        <row r="105">
          <cell r="A105" t="str">
            <v>LT003ENTTY_ID</v>
          </cell>
          <cell r="B105" t="str">
            <v>LT003ENTTY_ID1</v>
          </cell>
          <cell r="C105" t="str">
            <v>LT003</v>
          </cell>
          <cell r="D105" t="str">
            <v>VALORES EXTREMOS</v>
          </cell>
          <cell r="E105" t="str">
            <v>BU_LOANTAPE_WORK.LT003_ENTITY</v>
          </cell>
          <cell r="F105" t="str">
            <v>N/A</v>
          </cell>
          <cell r="G105" t="str">
            <v>ENTTY_ID</v>
          </cell>
          <cell r="H105" t="str">
            <v>2025-10-31</v>
          </cell>
          <cell r="I105" t="str">
            <v>0000000000</v>
          </cell>
          <cell r="J105" t="str">
            <v>8046309205</v>
          </cell>
        </row>
        <row r="106">
          <cell r="A106" t="str">
            <v>LT003CNTRPRTY_TYP</v>
          </cell>
          <cell r="B106" t="str">
            <v>LT003CNTRPRTY_TYP</v>
          </cell>
          <cell r="C106" t="str">
            <v>LT003</v>
          </cell>
          <cell r="D106" t="str">
            <v>VALORES EXTREMOS</v>
          </cell>
          <cell r="E106" t="str">
            <v>BU_LOANTAPE_WORK.LT003_ENTITY</v>
          </cell>
          <cell r="F106" t="str">
            <v>N/A</v>
          </cell>
          <cell r="G106" t="str">
            <v>CNTRPRTY_TYP</v>
          </cell>
        </row>
        <row r="107">
          <cell r="A107" t="str">
            <v>LT003CNTRY</v>
          </cell>
          <cell r="B107" t="str">
            <v>LT003CNTRY1</v>
          </cell>
          <cell r="C107" t="str">
            <v>LT003</v>
          </cell>
          <cell r="D107" t="str">
            <v>VALORES EXTREMOS</v>
          </cell>
          <cell r="E107" t="str">
            <v>BU_LOANTAPE_WORK.LT003_ENTITY</v>
          </cell>
          <cell r="F107" t="str">
            <v>N/A</v>
          </cell>
          <cell r="G107" t="str">
            <v>CNTRY</v>
          </cell>
          <cell r="H107" t="str">
            <v>2025-10-31</v>
          </cell>
          <cell r="I107" t="str">
            <v>BR</v>
          </cell>
          <cell r="J107" t="str">
            <v>PT</v>
          </cell>
        </row>
        <row r="108">
          <cell r="A108" t="str">
            <v>LT005ENTTY_ID</v>
          </cell>
          <cell r="B108" t="str">
            <v>LT005ENTTY_ID1</v>
          </cell>
          <cell r="C108" t="str">
            <v>LT005</v>
          </cell>
          <cell r="D108" t="str">
            <v>VALORES EXTREMOS</v>
          </cell>
          <cell r="E108" t="str">
            <v>BU_LOANTAPE_WORK.LT005_INSTR_ENT</v>
          </cell>
          <cell r="F108" t="str">
            <v>N/A</v>
          </cell>
          <cell r="G108" t="str">
            <v>ENTTY_ID</v>
          </cell>
          <cell r="H108" t="str">
            <v>2025-10-31</v>
          </cell>
          <cell r="I108" t="str">
            <v>0000000000</v>
          </cell>
          <cell r="J108" t="str">
            <v>8046309205</v>
          </cell>
        </row>
        <row r="109">
          <cell r="A109" t="str">
            <v>LT005INSTRMNT_ID</v>
          </cell>
          <cell r="B109" t="str">
            <v>LT005INSTRMNT_ID1</v>
          </cell>
          <cell r="C109" t="str">
            <v>LT005</v>
          </cell>
          <cell r="D109" t="str">
            <v>VALORES EXTREMOS</v>
          </cell>
          <cell r="E109" t="str">
            <v>BU_LOANTAPE_WORK.LT005_INSTR_ENT</v>
          </cell>
          <cell r="F109" t="str">
            <v>N/A</v>
          </cell>
          <cell r="G109" t="str">
            <v>INSTRMNT_ID</v>
          </cell>
          <cell r="H109" t="str">
            <v>2025-10-31</v>
          </cell>
          <cell r="I109" t="str">
            <v>31000000000000000962304890482490</v>
          </cell>
          <cell r="J109" t="str">
            <v>89000020240000766V0050000C2745I3</v>
          </cell>
        </row>
        <row r="110">
          <cell r="A110" t="str">
            <v>LT005FLAG_INST_TITULOS</v>
          </cell>
          <cell r="B110" t="str">
            <v>LT005FLAG_INST_TITULOS</v>
          </cell>
          <cell r="C110" t="str">
            <v>LT005</v>
          </cell>
          <cell r="D110" t="str">
            <v>VALORES EXTREMOS</v>
          </cell>
          <cell r="E110" t="str">
            <v>BU_LOANTAPE_WORK.LT005_INSTR_ENT</v>
          </cell>
          <cell r="F110" t="str">
            <v>N/A</v>
          </cell>
          <cell r="G110" t="str">
            <v>FLAG_INST_TITULOS</v>
          </cell>
        </row>
        <row r="111">
          <cell r="A111" t="str">
            <v>LT005OTSTNDNG_PRNCPL_AMNT</v>
          </cell>
          <cell r="B111" t="str">
            <v>LT005OTSTNDNG_PRNCPL_AMNT</v>
          </cell>
          <cell r="C111" t="str">
            <v>LT005</v>
          </cell>
          <cell r="D111" t="str">
            <v>VALORES EXTREMOS</v>
          </cell>
          <cell r="E111" t="str">
            <v>BU_LOANTAPE_WORK.LT005_INSTR_ENT</v>
          </cell>
          <cell r="F111" t="str">
            <v>N/A</v>
          </cell>
          <cell r="G111" t="str">
            <v>OTSTNDNG_PRNCPL_AMNT</v>
          </cell>
        </row>
        <row r="112">
          <cell r="A112" t="str">
            <v>LT005PRTN_AMNT_RPRTNG_ENTTY</v>
          </cell>
          <cell r="B112" t="str">
            <v>LT005PRTN_AMNT_RPRTNG_ENTTY</v>
          </cell>
          <cell r="C112" t="str">
            <v>LT005</v>
          </cell>
          <cell r="D112" t="str">
            <v>VALORES EXTREMOS</v>
          </cell>
          <cell r="E112" t="str">
            <v>BU_LOANTAPE_WORK.LT005_INSTR_ENT</v>
          </cell>
          <cell r="F112" t="str">
            <v>N/A</v>
          </cell>
          <cell r="G112" t="str">
            <v>PRTN_AMNT_RPRTNG_ENTTY</v>
          </cell>
        </row>
        <row r="113">
          <cell r="A113" t="str">
            <v>LT005ACCRD_INTRST_INSTRMNT</v>
          </cell>
          <cell r="B113" t="str">
            <v>LT005ACCRD_INTRST_INSTRMNT1</v>
          </cell>
          <cell r="C113" t="str">
            <v>LT005</v>
          </cell>
          <cell r="D113" t="str">
            <v>VALORES EXTREMOS</v>
          </cell>
          <cell r="E113" t="str">
            <v>BU_LOANTAPE_WORK.LT005_INSTR_ENT</v>
          </cell>
          <cell r="F113" t="str">
            <v>N/A</v>
          </cell>
          <cell r="G113" t="str">
            <v>ACCRD_INTRST_INSTRMNT</v>
          </cell>
          <cell r="H113" t="str">
            <v>2025-10-31</v>
          </cell>
          <cell r="I113" t="str">
            <v>0.00</v>
          </cell>
          <cell r="J113" t="str">
            <v>0.00</v>
          </cell>
        </row>
        <row r="114">
          <cell r="A114" t="str">
            <v>LT002INSTRMNT_ID</v>
          </cell>
          <cell r="B114" t="str">
            <v>LT002INSTRMNT_ID1</v>
          </cell>
          <cell r="C114" t="str">
            <v>LT002</v>
          </cell>
          <cell r="D114" t="str">
            <v>VALORES EXTREMOS</v>
          </cell>
          <cell r="E114" t="str">
            <v>BU_LOANTAPE_WORK.LT002_INSTRUMENT</v>
          </cell>
          <cell r="F114" t="str">
            <v>N/A</v>
          </cell>
          <cell r="G114" t="str">
            <v>INSTRMNT_ID</v>
          </cell>
          <cell r="H114" t="str">
            <v>2025-10-31</v>
          </cell>
          <cell r="I114" t="str">
            <v>31000000000000000962304890482490</v>
          </cell>
          <cell r="J114" t="str">
            <v>89000020240000766V0050000C2745I3</v>
          </cell>
        </row>
        <row r="115">
          <cell r="A115" t="str">
            <v>LT002ISIN</v>
          </cell>
          <cell r="B115" t="str">
            <v>LT002ISIN1</v>
          </cell>
          <cell r="C115" t="str">
            <v>LT002</v>
          </cell>
          <cell r="D115" t="str">
            <v>VALORES EXTREMOS</v>
          </cell>
          <cell r="E115" t="str">
            <v>BU_LOANTAPE_WORK.LT002_INSTRUMENT</v>
          </cell>
          <cell r="F115" t="str">
            <v>N/A</v>
          </cell>
          <cell r="G115" t="str">
            <v>ISIN</v>
          </cell>
          <cell r="H115" t="str">
            <v>2025-10-31</v>
          </cell>
          <cell r="I115" t="str">
            <v>PTBSRDOM0037</v>
          </cell>
          <cell r="J115" t="str">
            <v>PTSTOHOM0002</v>
          </cell>
        </row>
        <row r="116">
          <cell r="A116" t="str">
            <v>LT002ORGNL_AMNT_EUR</v>
          </cell>
          <cell r="B116" t="str">
            <v>LT002ORGNL_AMNT_EUR1</v>
          </cell>
          <cell r="C116" t="str">
            <v>LT002</v>
          </cell>
          <cell r="D116" t="str">
            <v>VALORES EXTREMOS</v>
          </cell>
          <cell r="E116" t="str">
            <v>BU_LOANTAPE_WORK.LT002_INSTRUMENT</v>
          </cell>
          <cell r="F116" t="str">
            <v>N/A</v>
          </cell>
          <cell r="G116" t="str">
            <v>ORGNL_AMNT_EUR</v>
          </cell>
          <cell r="H116" t="str">
            <v>2025-10-31</v>
          </cell>
          <cell r="I116" t="str">
            <v>7599000.00</v>
          </cell>
          <cell r="J116" t="str">
            <v>999999999999999.00</v>
          </cell>
        </row>
        <row r="117">
          <cell r="A117" t="str">
            <v>LT002ORGNL_AMNT_FX</v>
          </cell>
          <cell r="B117" t="str">
            <v>LT002ORGNL_AMNT_FX1</v>
          </cell>
          <cell r="C117" t="str">
            <v>LT002</v>
          </cell>
          <cell r="D117" t="str">
            <v>VALORES EXTREMOS</v>
          </cell>
          <cell r="E117" t="str">
            <v>BU_LOANTAPE_WORK.LT002_INSTRUMENT</v>
          </cell>
          <cell r="F117" t="str">
            <v>N/A</v>
          </cell>
          <cell r="G117" t="str">
            <v>ORGNL_AMNT_FX</v>
          </cell>
          <cell r="H117" t="str">
            <v>2025-10-31</v>
          </cell>
          <cell r="I117" t="str">
            <v>999999999999999.00</v>
          </cell>
          <cell r="J117" t="str">
            <v>999999999999999.00</v>
          </cell>
        </row>
        <row r="118">
          <cell r="A118" t="str">
            <v>LT002CRRNCY_DNMNTN</v>
          </cell>
          <cell r="B118" t="str">
            <v>LT002CRRNCY_DNMNTN1</v>
          </cell>
          <cell r="C118" t="str">
            <v>LT002</v>
          </cell>
          <cell r="D118" t="str">
            <v>VALORES EXTREMOS</v>
          </cell>
          <cell r="E118" t="str">
            <v>BU_LOANTAPE_WORK.LT002_INSTRUMENT</v>
          </cell>
          <cell r="F118" t="str">
            <v>N/A</v>
          </cell>
          <cell r="G118" t="str">
            <v>CRRNCY_DNMNTN</v>
          </cell>
          <cell r="H118" t="str">
            <v>2025-10-31</v>
          </cell>
          <cell r="I118" t="str">
            <v>EUR</v>
          </cell>
          <cell r="J118" t="str">
            <v>EUR</v>
          </cell>
        </row>
        <row r="119">
          <cell r="A119" t="str">
            <v>LT002ACCRD_INTRST_INSTRMNT</v>
          </cell>
          <cell r="B119" t="str">
            <v>LT002ACCRD_INTRST_INSTRMNT1</v>
          </cell>
          <cell r="C119" t="str">
            <v>LT002</v>
          </cell>
          <cell r="D119" t="str">
            <v>VALORES EXTREMOS</v>
          </cell>
          <cell r="E119" t="str">
            <v>BU_LOANTAPE_WORK.LT002_INSTRUMENT</v>
          </cell>
          <cell r="F119" t="str">
            <v>N/A</v>
          </cell>
          <cell r="G119" t="str">
            <v>ACCRD_INTRST_INSTRMNT</v>
          </cell>
          <cell r="H119" t="str">
            <v>2025-10-31</v>
          </cell>
          <cell r="I119" t="str">
            <v>0.00</v>
          </cell>
          <cell r="J119" t="str">
            <v>486501.45</v>
          </cell>
        </row>
        <row r="120">
          <cell r="A120" t="str">
            <v>LT002TYP_INSTRMNT</v>
          </cell>
          <cell r="B120" t="str">
            <v>LT002TYP_INSTRMNT1</v>
          </cell>
          <cell r="C120" t="str">
            <v>LT002</v>
          </cell>
          <cell r="D120" t="str">
            <v>VALORES EXTREMOS</v>
          </cell>
          <cell r="E120" t="str">
            <v>BU_LOANTAPE_WORK.LT002_INSTRUMENT</v>
          </cell>
          <cell r="F120" t="str">
            <v>N/A</v>
          </cell>
          <cell r="G120" t="str">
            <v>TYP_INSTRMNT</v>
          </cell>
          <cell r="H120" t="str">
            <v>2025-10-31</v>
          </cell>
          <cell r="I120" t="str">
            <v>1000</v>
          </cell>
          <cell r="J120" t="str">
            <v>Title of ownership</v>
          </cell>
        </row>
        <row r="121">
          <cell r="A121" t="str">
            <v>LT002RANK_INSOLV</v>
          </cell>
          <cell r="B121" t="str">
            <v>LT002RANK_INSOLV1</v>
          </cell>
          <cell r="C121" t="str">
            <v>LT002</v>
          </cell>
          <cell r="D121" t="str">
            <v>VALORES EXTREMOS</v>
          </cell>
          <cell r="E121" t="str">
            <v>BU_LOANTAPE_WORK.LT002_INSTRUMENT</v>
          </cell>
          <cell r="F121" t="str">
            <v>N/A</v>
          </cell>
          <cell r="G121" t="str">
            <v>RANK_INSOLV</v>
          </cell>
          <cell r="H121" t="str">
            <v>2025-10-31</v>
          </cell>
          <cell r="J121" t="str">
            <v>8</v>
          </cell>
        </row>
        <row r="122">
          <cell r="A122" t="str">
            <v>LT002DT_INCPTN</v>
          </cell>
          <cell r="B122" t="str">
            <v>LT002DT_INCPTN1</v>
          </cell>
          <cell r="C122" t="str">
            <v>LT002</v>
          </cell>
          <cell r="D122" t="str">
            <v>VALORES EXTREMOS</v>
          </cell>
          <cell r="E122" t="str">
            <v>BU_LOANTAPE_WORK.LT002_INSTRUMENT</v>
          </cell>
          <cell r="F122" t="str">
            <v>N/A</v>
          </cell>
          <cell r="G122" t="str">
            <v>DT_INCPTN</v>
          </cell>
          <cell r="H122" t="str">
            <v>2025-10-31</v>
          </cell>
          <cell r="I122" t="str">
            <v>1992-01-05</v>
          </cell>
          <cell r="J122" t="str">
            <v>2025-10-13</v>
          </cell>
        </row>
        <row r="123">
          <cell r="A123" t="str">
            <v>LT002DT_NXT_INTRST_PYMNT</v>
          </cell>
          <cell r="B123" t="str">
            <v>LT002DT_NXT_INTRST_PYMNT1</v>
          </cell>
          <cell r="C123" t="str">
            <v>LT002</v>
          </cell>
          <cell r="D123" t="str">
            <v>VALORES EXTREMOS</v>
          </cell>
          <cell r="E123" t="str">
            <v>BU_LOANTAPE_WORK.LT002_INSTRUMENT</v>
          </cell>
          <cell r="F123" t="str">
            <v>N/A</v>
          </cell>
          <cell r="G123" t="str">
            <v>DT_NXT_INTRST_PYMNT</v>
          </cell>
          <cell r="H123" t="str">
            <v>2025-10-31</v>
          </cell>
          <cell r="I123" t="str">
            <v xml:space="preserve">          </v>
          </cell>
          <cell r="J123" t="str">
            <v>ATP</v>
          </cell>
        </row>
        <row r="124">
          <cell r="A124" t="str">
            <v>LT002DT_LGL_FNL_MTRTY</v>
          </cell>
          <cell r="B124" t="str">
            <v>LT002DT_LGL_FNL_MTRTY1</v>
          </cell>
          <cell r="C124" t="str">
            <v>LT002</v>
          </cell>
          <cell r="D124" t="str">
            <v>VALORES EXTREMOS</v>
          </cell>
          <cell r="E124" t="str">
            <v>BU_LOANTAPE_WORK.LT002_INSTRUMENT</v>
          </cell>
          <cell r="F124" t="str">
            <v>N/A</v>
          </cell>
          <cell r="G124" t="str">
            <v>DT_LGL_FNL_MTRTY</v>
          </cell>
          <cell r="H124" t="str">
            <v>2025-10-31</v>
          </cell>
          <cell r="I124" t="str">
            <v>2025-10-31</v>
          </cell>
          <cell r="J124" t="str">
            <v>2069-01-14</v>
          </cell>
        </row>
        <row r="125">
          <cell r="A125" t="str">
            <v>LT002GOVERNING_LAW</v>
          </cell>
          <cell r="B125" t="str">
            <v>LT002GOVERNING_LAW1</v>
          </cell>
          <cell r="C125" t="str">
            <v>LT002</v>
          </cell>
          <cell r="D125" t="str">
            <v>VALORES EXTREMOS</v>
          </cell>
          <cell r="E125" t="str">
            <v>BU_LOANTAPE_WORK.LT002_INSTRUMENT</v>
          </cell>
          <cell r="F125" t="str">
            <v>N/A</v>
          </cell>
          <cell r="G125" t="str">
            <v>GOVERNING_LAW</v>
          </cell>
          <cell r="H125" t="str">
            <v>2025-10-31</v>
          </cell>
          <cell r="I125" t="str">
            <v>PT</v>
          </cell>
          <cell r="J125" t="str">
            <v>PT</v>
          </cell>
        </row>
        <row r="126">
          <cell r="A126" t="str">
            <v>LT002TRDNG_MTHD</v>
          </cell>
          <cell r="B126" t="str">
            <v>LT002TRDNG_MTHD</v>
          </cell>
          <cell r="C126" t="str">
            <v>LT002</v>
          </cell>
          <cell r="D126" t="str">
            <v>VALORES EXTREMOS</v>
          </cell>
          <cell r="E126" t="str">
            <v>BU_LOANTAPE_WORK.LT002_INSTRUMENT</v>
          </cell>
          <cell r="F126" t="str">
            <v>N/A</v>
          </cell>
          <cell r="G126" t="str">
            <v>TRDNG_MTHD</v>
          </cell>
        </row>
        <row r="127">
          <cell r="A127" t="str">
            <v>LT002AMNT_SCRTY_EUR</v>
          </cell>
          <cell r="B127" t="str">
            <v>LT002AMNT_SCRTY_EUR1</v>
          </cell>
          <cell r="C127" t="str">
            <v>LT002</v>
          </cell>
          <cell r="D127" t="str">
            <v>VALORES EXTREMOS</v>
          </cell>
          <cell r="E127" t="str">
            <v>BU_LOANTAPE_WORK.LT002_INSTRUMENT</v>
          </cell>
          <cell r="F127" t="str">
            <v>N/A</v>
          </cell>
          <cell r="G127" t="str">
            <v>AMNT_SCRTY_EUR</v>
          </cell>
          <cell r="H127" t="str">
            <v>2025-10-31</v>
          </cell>
          <cell r="I127" t="str">
            <v>1.00</v>
          </cell>
          <cell r="J127" t="str">
            <v>999999999999999.00</v>
          </cell>
        </row>
        <row r="128">
          <cell r="A128" t="str">
            <v>LT002AMNT_SCRTY_FX</v>
          </cell>
          <cell r="B128" t="str">
            <v>LT002AMNT_SCRTY_FX1</v>
          </cell>
          <cell r="C128" t="str">
            <v>LT002</v>
          </cell>
          <cell r="D128" t="str">
            <v>VALORES EXTREMOS</v>
          </cell>
          <cell r="E128" t="str">
            <v>BU_LOANTAPE_WORK.LT002_INSTRUMENT</v>
          </cell>
          <cell r="F128" t="str">
            <v>N/A</v>
          </cell>
          <cell r="G128" t="str">
            <v>AMNT_SCRTY_FX</v>
          </cell>
          <cell r="H128" t="str">
            <v>2025-10-31</v>
          </cell>
          <cell r="I128" t="str">
            <v>1.00</v>
          </cell>
          <cell r="J128" t="str">
            <v>999999999999999.00</v>
          </cell>
        </row>
        <row r="129">
          <cell r="A129" t="str">
            <v>LT002CSD</v>
          </cell>
          <cell r="B129" t="str">
            <v>LT002CSD1</v>
          </cell>
          <cell r="C129" t="str">
            <v>LT002</v>
          </cell>
          <cell r="D129" t="str">
            <v>VALORES EXTREMOS</v>
          </cell>
          <cell r="E129" t="str">
            <v>BU_LOANTAPE_WORK.LT002_INSTRUMENT</v>
          </cell>
          <cell r="F129" t="str">
            <v>N/A</v>
          </cell>
          <cell r="G129" t="str">
            <v>CSD</v>
          </cell>
          <cell r="H129" t="str">
            <v>2025-10-31</v>
          </cell>
          <cell r="I129" t="str">
            <v>INTERBOLSA_PT</v>
          </cell>
          <cell r="J129" t="str">
            <v>Not applicable</v>
          </cell>
        </row>
        <row r="130">
          <cell r="A130" t="str">
            <v>LT002CSD_LEI</v>
          </cell>
          <cell r="B130" t="str">
            <v>LT002CSD_LEI1</v>
          </cell>
          <cell r="C130" t="str">
            <v>LT002</v>
          </cell>
          <cell r="D130" t="str">
            <v>VALORES EXTREMOS</v>
          </cell>
          <cell r="E130" t="str">
            <v>BU_LOANTAPE_WORK.LT002_INSTRUMENT</v>
          </cell>
          <cell r="F130" t="str">
            <v>N/A</v>
          </cell>
          <cell r="G130" t="str">
            <v>CSD_LEI</v>
          </cell>
          <cell r="H130" t="str">
            <v>2025-10-31</v>
          </cell>
          <cell r="I130" t="str">
            <v>529900LG70TCAGWCXT47</v>
          </cell>
          <cell r="J130" t="str">
            <v>Not applicable</v>
          </cell>
        </row>
        <row r="131">
          <cell r="A131" t="str">
            <v>LT002PYNG_AGNT</v>
          </cell>
          <cell r="B131" t="str">
            <v>LT002PYNG_AGNT1</v>
          </cell>
          <cell r="C131" t="str">
            <v>LT002</v>
          </cell>
          <cell r="D131" t="str">
            <v>VALORES EXTREMOS</v>
          </cell>
          <cell r="E131" t="str">
            <v>BU_LOANTAPE_WORK.LT002_INSTRUMENT</v>
          </cell>
          <cell r="F131" t="str">
            <v>N/A</v>
          </cell>
          <cell r="G131" t="str">
            <v>PYNG_AGNT</v>
          </cell>
          <cell r="H131" t="str">
            <v>2025-10-31</v>
          </cell>
          <cell r="I131" t="str">
            <v>BANCO SANTANDER TOTTA S.A.</v>
          </cell>
          <cell r="J131" t="str">
            <v>Not applicable</v>
          </cell>
        </row>
        <row r="132">
          <cell r="A132" t="str">
            <v>LT002PYNG_AGNT_LEI</v>
          </cell>
          <cell r="B132" t="str">
            <v>LT002PYNG_AGNT_LEI1</v>
          </cell>
          <cell r="C132" t="str">
            <v>LT002</v>
          </cell>
          <cell r="D132" t="str">
            <v>VALORES EXTREMOS</v>
          </cell>
          <cell r="E132" t="str">
            <v>BU_LOANTAPE_WORK.LT002_INSTRUMENT</v>
          </cell>
          <cell r="F132" t="str">
            <v>N/A</v>
          </cell>
          <cell r="G132" t="str">
            <v>PYNG_AGNT_LEI</v>
          </cell>
          <cell r="H132" t="str">
            <v>2025-10-31</v>
          </cell>
          <cell r="I132" t="str">
            <v>549300URJH9VSI58CS32</v>
          </cell>
          <cell r="J132" t="str">
            <v>Not applicable</v>
          </cell>
        </row>
        <row r="133">
          <cell r="A133" t="str">
            <v>LT002TYP_OWN_FNDS_INDVDL_LVL</v>
          </cell>
          <cell r="B133" t="str">
            <v>LT002TYP_OWN_FNDS_INDVDL_LVL1</v>
          </cell>
          <cell r="C133" t="str">
            <v>LT002</v>
          </cell>
          <cell r="D133" t="str">
            <v>VALORES EXTREMOS</v>
          </cell>
          <cell r="E133" t="str">
            <v>BU_LOANTAPE_WORK.LT002_INSTRUMENT</v>
          </cell>
          <cell r="F133" t="str">
            <v>N/A</v>
          </cell>
          <cell r="G133" t="str">
            <v>TYP_OWN_FNDS_INDVDL_LVL</v>
          </cell>
          <cell r="H133" t="str">
            <v>2025-10-31</v>
          </cell>
          <cell r="I133" t="str">
            <v>CET1</v>
          </cell>
          <cell r="J133" t="str">
            <v>Not applicable</v>
          </cell>
        </row>
        <row r="134">
          <cell r="A134" t="str">
            <v>LT002ELGBL_AMNT_OWN_FNDS_INDVDL_LVL</v>
          </cell>
          <cell r="B134" t="str">
            <v>LT002ELGBL_AMNT_OWN_FNDS_INDVDL_LVL1</v>
          </cell>
          <cell r="C134" t="str">
            <v>LT002</v>
          </cell>
          <cell r="D134" t="str">
            <v>VALORES EXTREMOS</v>
          </cell>
          <cell r="E134" t="str">
            <v>BU_LOANTAPE_WORK.LT002_INSTRUMENT</v>
          </cell>
          <cell r="F134" t="str">
            <v>N/A</v>
          </cell>
          <cell r="G134" t="str">
            <v>ELGBL_AMNT_OWN_FNDS_INDVDL_LVL</v>
          </cell>
          <cell r="H134" t="str">
            <v>2025-10-31</v>
          </cell>
          <cell r="I134" t="str">
            <v>0.00</v>
          </cell>
          <cell r="J134" t="str">
            <v>999999999999999.00</v>
          </cell>
        </row>
        <row r="135">
          <cell r="A135" t="str">
            <v>LT002CRRYNG_AMNT_INSTRMNT</v>
          </cell>
          <cell r="B135" t="str">
            <v>LT002CRRYNG_AMNT_INSTRMNT1</v>
          </cell>
          <cell r="C135" t="str">
            <v>LT002</v>
          </cell>
          <cell r="D135" t="str">
            <v>VALORES EXTREMOS</v>
          </cell>
          <cell r="E135" t="str">
            <v>BU_LOANTAPE_WORK.LT002_INSTRUMENT</v>
          </cell>
          <cell r="F135" t="str">
            <v>N/A</v>
          </cell>
          <cell r="G135" t="str">
            <v>CRRYNG_AMNT_INSTRMNT</v>
          </cell>
          <cell r="H135" t="str">
            <v>2025-10-31</v>
          </cell>
          <cell r="I135" t="str">
            <v>-1372632707.59</v>
          </cell>
          <cell r="J135" t="str">
            <v>40366166.42</v>
          </cell>
        </row>
        <row r="136">
          <cell r="A136" t="str">
            <v>LT002ACCNTNG_CLSSFCTN</v>
          </cell>
          <cell r="B136" t="str">
            <v>LT002ACCNTNG_CLSSFCTN1</v>
          </cell>
          <cell r="C136" t="str">
            <v>LT002</v>
          </cell>
          <cell r="D136" t="str">
            <v>VALORES EXTREMOS</v>
          </cell>
          <cell r="E136" t="str">
            <v>BU_LOANTAPE_WORK.LT002_INSTRUMENT</v>
          </cell>
          <cell r="F136" t="str">
            <v>N/A</v>
          </cell>
          <cell r="G136" t="str">
            <v>ACCNTNG_CLSSFCTN</v>
          </cell>
          <cell r="H136" t="str">
            <v>2025-10-31</v>
          </cell>
          <cell r="I136" t="str">
            <v>110 Financial liabilities at amortized cost</v>
          </cell>
          <cell r="J136" t="str">
            <v>6</v>
          </cell>
        </row>
        <row r="137">
          <cell r="A137"/>
          <cell r="B137"/>
        </row>
        <row r="138">
          <cell r="A138"/>
          <cell r="B138"/>
        </row>
        <row r="139">
          <cell r="A139"/>
          <cell r="B139"/>
        </row>
        <row r="140">
          <cell r="A140"/>
          <cell r="B140"/>
        </row>
        <row r="141">
          <cell r="A141"/>
          <cell r="B141"/>
        </row>
        <row r="142">
          <cell r="A142"/>
          <cell r="B142"/>
        </row>
        <row r="143">
          <cell r="A143"/>
          <cell r="B143"/>
        </row>
        <row r="144">
          <cell r="A144"/>
          <cell r="B144"/>
        </row>
        <row r="145">
          <cell r="A145"/>
          <cell r="B145"/>
        </row>
        <row r="146">
          <cell r="A146"/>
          <cell r="B146"/>
        </row>
        <row r="147">
          <cell r="A147"/>
          <cell r="B147"/>
        </row>
        <row r="148">
          <cell r="A148"/>
          <cell r="B148"/>
        </row>
        <row r="149">
          <cell r="A149"/>
          <cell r="B149"/>
        </row>
        <row r="150">
          <cell r="A150"/>
          <cell r="B150"/>
        </row>
        <row r="151">
          <cell r="A151"/>
          <cell r="B151"/>
        </row>
        <row r="152">
          <cell r="A152"/>
          <cell r="B152"/>
        </row>
        <row r="153">
          <cell r="A153"/>
          <cell r="B153"/>
        </row>
        <row r="154">
          <cell r="A154"/>
          <cell r="B154"/>
        </row>
        <row r="155">
          <cell r="A155"/>
          <cell r="B155"/>
        </row>
        <row r="156">
          <cell r="A156"/>
          <cell r="B156"/>
        </row>
        <row r="157">
          <cell r="A157"/>
          <cell r="B157"/>
        </row>
        <row r="158">
          <cell r="A158"/>
          <cell r="B158"/>
        </row>
        <row r="159">
          <cell r="A159"/>
          <cell r="B159"/>
        </row>
        <row r="160">
          <cell r="A160"/>
          <cell r="B160"/>
        </row>
        <row r="161">
          <cell r="A161"/>
          <cell r="B161"/>
        </row>
        <row r="162">
          <cell r="A162"/>
          <cell r="B162"/>
        </row>
        <row r="163">
          <cell r="A163"/>
          <cell r="B163"/>
        </row>
        <row r="164">
          <cell r="A164"/>
          <cell r="B164"/>
        </row>
        <row r="165">
          <cell r="A165"/>
          <cell r="B165"/>
        </row>
        <row r="166">
          <cell r="A166"/>
          <cell r="B166"/>
        </row>
        <row r="167">
          <cell r="A167"/>
          <cell r="B167"/>
        </row>
        <row r="168">
          <cell r="A168"/>
          <cell r="B168"/>
        </row>
        <row r="169">
          <cell r="A169"/>
          <cell r="B169"/>
        </row>
        <row r="170">
          <cell r="A170"/>
          <cell r="B170"/>
        </row>
      </sheetData>
      <sheetData sheetId="4">
        <row r="8">
          <cell r="D8" t="str">
            <v>Issues</v>
          </cell>
          <cell r="G8" t="str">
            <v>Field</v>
          </cell>
          <cell r="H8" t="str">
            <v>Aux ID8 (=8) E ID9 (=9)</v>
          </cell>
          <cell r="I8" t="str">
            <v>Concluídos por IT (=1)</v>
          </cell>
          <cell r="J8" t="str">
            <v>Concluídos na Simulação (=1)</v>
          </cell>
        </row>
        <row r="9">
          <cell r="D9">
            <v>0</v>
          </cell>
          <cell r="G9" t="str">
            <v>0010_row_nmbr</v>
          </cell>
          <cell r="H9">
            <v>8</v>
          </cell>
          <cell r="I9">
            <v>1</v>
          </cell>
          <cell r="J9">
            <v>1</v>
          </cell>
        </row>
        <row r="10">
          <cell r="D10">
            <v>0</v>
          </cell>
          <cell r="G10" t="str">
            <v>0030_uniq_id_knwn_cntrprty</v>
          </cell>
          <cell r="H10">
            <v>8</v>
          </cell>
          <cell r="I10">
            <v>1</v>
          </cell>
          <cell r="J10">
            <v>0</v>
          </cell>
        </row>
        <row r="11">
          <cell r="D11">
            <v>0</v>
          </cell>
          <cell r="G11" t="str">
            <v>0040_typ_uniq_id_knwn_cntrprty</v>
          </cell>
          <cell r="H11">
            <v>8</v>
          </cell>
          <cell r="I11">
            <v>1</v>
          </cell>
          <cell r="J11">
            <v>1</v>
          </cell>
        </row>
        <row r="12">
          <cell r="D12">
            <v>0</v>
          </cell>
          <cell r="G12" t="str">
            <v>0070_cntrct_crrncy</v>
          </cell>
          <cell r="H12">
            <v>8</v>
          </cell>
          <cell r="I12">
            <v>1</v>
          </cell>
          <cell r="J12">
            <v>1</v>
          </cell>
        </row>
        <row r="13">
          <cell r="D13">
            <v>0</v>
          </cell>
          <cell r="G13" t="str">
            <v>0080_otstndng_prncpl_amnt</v>
          </cell>
          <cell r="H13">
            <v>8</v>
          </cell>
          <cell r="I13">
            <v>0</v>
          </cell>
          <cell r="J13">
            <v>0</v>
          </cell>
        </row>
        <row r="14">
          <cell r="D14">
            <v>0</v>
          </cell>
          <cell r="G14" t="str">
            <v>0080_otstndng_prncpl_amnt</v>
          </cell>
          <cell r="H14">
            <v>8</v>
          </cell>
          <cell r="I14">
            <v>0</v>
          </cell>
          <cell r="J14">
            <v>0</v>
          </cell>
        </row>
        <row r="15">
          <cell r="D15">
            <v>0</v>
          </cell>
          <cell r="G15" t="str">
            <v>0090_prtn_amnt_rprtng_entty</v>
          </cell>
          <cell r="H15">
            <v>8</v>
          </cell>
          <cell r="I15">
            <v>0</v>
          </cell>
          <cell r="J15">
            <v>0</v>
          </cell>
        </row>
        <row r="16">
          <cell r="D16">
            <v>0</v>
          </cell>
          <cell r="G16" t="str">
            <v>0100_accrd_intrst_instrmnt</v>
          </cell>
          <cell r="H16">
            <v>8</v>
          </cell>
          <cell r="I16">
            <v>1</v>
          </cell>
          <cell r="J16">
            <v>0</v>
          </cell>
        </row>
        <row r="17">
          <cell r="D17">
            <v>0</v>
          </cell>
          <cell r="G17" t="str">
            <v>0100_accrd_intrst_instrmnt</v>
          </cell>
          <cell r="H17">
            <v>8</v>
          </cell>
          <cell r="I17">
            <v>1</v>
          </cell>
          <cell r="J17">
            <v>0</v>
          </cell>
        </row>
        <row r="18">
          <cell r="D18">
            <v>0</v>
          </cell>
          <cell r="G18" t="str">
            <v>0120_otstndng_amnt</v>
          </cell>
          <cell r="H18">
            <v>8</v>
          </cell>
          <cell r="I18">
            <v>0</v>
          </cell>
          <cell r="J18">
            <v>0</v>
          </cell>
        </row>
        <row r="19">
          <cell r="D19">
            <v>0</v>
          </cell>
          <cell r="G19" t="str">
            <v>0120_otstndng_amnt</v>
          </cell>
          <cell r="H19">
            <v>8</v>
          </cell>
          <cell r="I19">
            <v>0</v>
          </cell>
          <cell r="J19">
            <v>0</v>
          </cell>
        </row>
        <row r="20">
          <cell r="D20">
            <v>0</v>
          </cell>
          <cell r="G20" t="str">
            <v>0130_rlvnt_amnt_wdc</v>
          </cell>
          <cell r="H20">
            <v>8</v>
          </cell>
          <cell r="I20">
            <v>0</v>
          </cell>
          <cell r="J20">
            <v>0</v>
          </cell>
        </row>
        <row r="21">
          <cell r="D21">
            <v>0</v>
          </cell>
          <cell r="G21" t="str">
            <v>0140_ntr_lblty</v>
          </cell>
          <cell r="H21">
            <v>8</v>
          </cell>
          <cell r="I21">
            <v>1</v>
          </cell>
          <cell r="J21">
            <v>0</v>
          </cell>
        </row>
        <row r="22">
          <cell r="D22">
            <v>0</v>
          </cell>
          <cell r="G22" t="str">
            <v>0141_ntr_lblty_othr</v>
          </cell>
          <cell r="H22">
            <v>8</v>
          </cell>
          <cell r="I22">
            <v>1</v>
          </cell>
          <cell r="J22">
            <v>1</v>
          </cell>
        </row>
        <row r="23">
          <cell r="D23">
            <v>0</v>
          </cell>
          <cell r="G23" t="str">
            <v>0160_rank_insolv</v>
          </cell>
          <cell r="H23">
            <v>8</v>
          </cell>
          <cell r="I23">
            <v>1</v>
          </cell>
          <cell r="J23">
            <v>1</v>
          </cell>
        </row>
        <row r="24">
          <cell r="D24">
            <v>0</v>
          </cell>
          <cell r="G24" t="str">
            <v>0162_bail_in_cascade</v>
          </cell>
          <cell r="H24">
            <v>8</v>
          </cell>
          <cell r="I24">
            <v>1</v>
          </cell>
          <cell r="J24">
            <v>1</v>
          </cell>
        </row>
        <row r="25">
          <cell r="D25">
            <v>0</v>
          </cell>
          <cell r="G25" t="str">
            <v>0180_dt_nxt_intrst_pymnt</v>
          </cell>
          <cell r="H25">
            <v>8</v>
          </cell>
          <cell r="I25">
            <v>1</v>
          </cell>
          <cell r="J25">
            <v>0</v>
          </cell>
        </row>
        <row r="26">
          <cell r="D26">
            <v>0</v>
          </cell>
          <cell r="G26" t="str">
            <v>0180_dt_nxt_intrst_pymnt</v>
          </cell>
          <cell r="H26">
            <v>8</v>
          </cell>
          <cell r="I26">
            <v>1</v>
          </cell>
          <cell r="J26">
            <v>0</v>
          </cell>
        </row>
        <row r="27">
          <cell r="D27">
            <v>0</v>
          </cell>
          <cell r="G27" t="str">
            <v>0200_dt_erlst_rdmptn</v>
          </cell>
          <cell r="H27">
            <v>8</v>
          </cell>
          <cell r="I27">
            <v>1</v>
          </cell>
          <cell r="J27">
            <v>1</v>
          </cell>
        </row>
        <row r="28">
          <cell r="D28">
            <v>0</v>
          </cell>
          <cell r="G28" t="str">
            <v>0210_dt_lgl_fnl_mtrty</v>
          </cell>
          <cell r="H28">
            <v>8</v>
          </cell>
          <cell r="I28">
            <v>1</v>
          </cell>
          <cell r="J28">
            <v>1</v>
          </cell>
        </row>
        <row r="29">
          <cell r="D29">
            <v>0</v>
          </cell>
          <cell r="G29" t="str">
            <v>0220_governing_law</v>
          </cell>
          <cell r="H29">
            <v>8</v>
          </cell>
          <cell r="I29">
            <v>1</v>
          </cell>
          <cell r="J29">
            <v>1</v>
          </cell>
        </row>
        <row r="30">
          <cell r="D30">
            <v>0</v>
          </cell>
          <cell r="G30" t="str">
            <v>0250_strctrd_prdct</v>
          </cell>
          <cell r="H30">
            <v>8</v>
          </cell>
          <cell r="I30">
            <v>1</v>
          </cell>
          <cell r="J30">
            <v>1</v>
          </cell>
        </row>
        <row r="31">
          <cell r="D31">
            <v>0</v>
          </cell>
          <cell r="G31" t="str">
            <v>0260_grntd_min_amnt_strctrd_prdct</v>
          </cell>
          <cell r="H31">
            <v>8</v>
          </cell>
          <cell r="I31">
            <v>1</v>
          </cell>
          <cell r="J31">
            <v>1</v>
          </cell>
        </row>
        <row r="32">
          <cell r="D32">
            <v>0</v>
          </cell>
          <cell r="G32" t="str">
            <v>0270_fv_amnt_strctrd_prdct</v>
          </cell>
          <cell r="H32">
            <v>8</v>
          </cell>
          <cell r="I32">
            <v>1</v>
          </cell>
          <cell r="J32">
            <v>1</v>
          </cell>
        </row>
        <row r="33">
          <cell r="D33">
            <v>0</v>
          </cell>
          <cell r="G33" t="str">
            <v>0300_amnt_cvrd_elgbl_dpsts</v>
          </cell>
          <cell r="H33">
            <v>8</v>
          </cell>
          <cell r="I33">
            <v>1</v>
          </cell>
          <cell r="J33">
            <v>1</v>
          </cell>
        </row>
        <row r="34">
          <cell r="D34">
            <v>0</v>
          </cell>
          <cell r="G34" t="str">
            <v>0310_flg_clltrl_agrmnts</v>
          </cell>
          <cell r="H34">
            <v>8</v>
          </cell>
          <cell r="I34">
            <v>0</v>
          </cell>
          <cell r="J34">
            <v>0</v>
          </cell>
        </row>
        <row r="35">
          <cell r="D35">
            <v>0</v>
          </cell>
          <cell r="G35" t="str">
            <v>0320_amnt_clltrl</v>
          </cell>
          <cell r="H35">
            <v>8</v>
          </cell>
          <cell r="I35">
            <v>1</v>
          </cell>
          <cell r="J35">
            <v>1</v>
          </cell>
        </row>
        <row r="36">
          <cell r="D36">
            <v>0</v>
          </cell>
          <cell r="G36" t="str">
            <v>0330_amnt_unclltrlzd</v>
          </cell>
          <cell r="H36">
            <v>8</v>
          </cell>
          <cell r="I36">
            <v>1</v>
          </cell>
          <cell r="J36">
            <v>1</v>
          </cell>
        </row>
        <row r="37">
          <cell r="D37">
            <v>0</v>
          </cell>
          <cell r="G37" t="str">
            <v>0350_typ_clltrl</v>
          </cell>
          <cell r="H37">
            <v>8</v>
          </cell>
          <cell r="I37">
            <v>1</v>
          </cell>
          <cell r="J37">
            <v>1</v>
          </cell>
        </row>
        <row r="38">
          <cell r="D38">
            <v>0</v>
          </cell>
          <cell r="G38" t="str">
            <v>0351_typ_clltrl_othr</v>
          </cell>
          <cell r="H38">
            <v>8</v>
          </cell>
          <cell r="I38">
            <v>1</v>
          </cell>
          <cell r="J38">
            <v>1</v>
          </cell>
        </row>
        <row r="39">
          <cell r="D39">
            <v>0</v>
          </cell>
          <cell r="G39" t="str">
            <v>0370_amnt_scrty_eur</v>
          </cell>
          <cell r="H39">
            <v>8</v>
          </cell>
          <cell r="I39">
            <v>1</v>
          </cell>
          <cell r="J39">
            <v>1</v>
          </cell>
        </row>
        <row r="40">
          <cell r="D40">
            <v>0</v>
          </cell>
          <cell r="G40" t="str">
            <v>0370_amnt_scrty_eur</v>
          </cell>
          <cell r="H40">
            <v>8</v>
          </cell>
          <cell r="I40">
            <v>1</v>
          </cell>
          <cell r="J40">
            <v>1</v>
          </cell>
        </row>
        <row r="41">
          <cell r="D41">
            <v>0</v>
          </cell>
          <cell r="G41" t="str">
            <v>0390_nmbr_scrts_not_rprtng_entty</v>
          </cell>
          <cell r="H41">
            <v>8</v>
          </cell>
          <cell r="I41">
            <v>0</v>
          </cell>
          <cell r="J41">
            <v>0</v>
          </cell>
        </row>
        <row r="42">
          <cell r="D42">
            <v>0</v>
          </cell>
          <cell r="G42" t="str">
            <v>0391_nmbr_scrts_rprtng_entty</v>
          </cell>
          <cell r="H42">
            <v>8</v>
          </cell>
          <cell r="I42">
            <v>0</v>
          </cell>
          <cell r="J42">
            <v>0</v>
          </cell>
        </row>
        <row r="43">
          <cell r="D43">
            <v>0</v>
          </cell>
          <cell r="G43" t="str">
            <v>0400_accrd_intrst_scrty</v>
          </cell>
          <cell r="H43">
            <v>8</v>
          </cell>
          <cell r="I43">
            <v>0</v>
          </cell>
          <cell r="J43">
            <v>0</v>
          </cell>
        </row>
        <row r="44">
          <cell r="D44">
            <v>0</v>
          </cell>
          <cell r="G44" t="str">
            <v>0400_accrd_intrst_scrty</v>
          </cell>
          <cell r="H44">
            <v>8</v>
          </cell>
          <cell r="I44">
            <v>0</v>
          </cell>
          <cell r="J44">
            <v>0</v>
          </cell>
        </row>
        <row r="45">
          <cell r="D45">
            <v>0</v>
          </cell>
          <cell r="G45" t="str">
            <v>0610_crryng_amnt_ifrs</v>
          </cell>
          <cell r="H45">
            <v>8</v>
          </cell>
          <cell r="I45">
            <v>1</v>
          </cell>
          <cell r="J45">
            <v>0</v>
          </cell>
        </row>
        <row r="46">
          <cell r="D46">
            <v>0</v>
          </cell>
          <cell r="G46" t="str">
            <v>0030_uniq_id_knwn_cntrprty</v>
          </cell>
          <cell r="H46">
            <v>8</v>
          </cell>
          <cell r="I46">
            <v>1</v>
          </cell>
          <cell r="J46">
            <v>0</v>
          </cell>
        </row>
        <row r="47">
          <cell r="D47">
            <v>0</v>
          </cell>
          <cell r="G47" t="str">
            <v>0070_cntrct_crrncy</v>
          </cell>
          <cell r="H47">
            <v>8</v>
          </cell>
          <cell r="I47">
            <v>1</v>
          </cell>
          <cell r="J47">
            <v>1</v>
          </cell>
        </row>
        <row r="48">
          <cell r="D48">
            <v>0</v>
          </cell>
          <cell r="G48" t="str">
            <v>0080_otstndng_prncpl_amnt</v>
          </cell>
          <cell r="H48">
            <v>8</v>
          </cell>
          <cell r="I48">
            <v>0</v>
          </cell>
          <cell r="J48">
            <v>0</v>
          </cell>
        </row>
        <row r="49">
          <cell r="D49">
            <v>0</v>
          </cell>
          <cell r="G49" t="str">
            <v>0090_prtn_amnt_rprtng_entty</v>
          </cell>
          <cell r="H49">
            <v>8</v>
          </cell>
          <cell r="I49">
            <v>0</v>
          </cell>
          <cell r="J49">
            <v>0</v>
          </cell>
        </row>
        <row r="50">
          <cell r="D50">
            <v>0</v>
          </cell>
          <cell r="G50" t="str">
            <v>0100_accrd_intrst_instrmnt</v>
          </cell>
          <cell r="H50">
            <v>8</v>
          </cell>
          <cell r="I50">
            <v>1</v>
          </cell>
          <cell r="J50">
            <v>0</v>
          </cell>
        </row>
        <row r="51">
          <cell r="D51">
            <v>0</v>
          </cell>
          <cell r="G51" t="str">
            <v>0110_applcbl_fees_charges</v>
          </cell>
          <cell r="H51">
            <v>8</v>
          </cell>
          <cell r="I51">
            <v>1</v>
          </cell>
          <cell r="J51">
            <v>1</v>
          </cell>
        </row>
        <row r="52">
          <cell r="D52">
            <v>0</v>
          </cell>
          <cell r="G52" t="str">
            <v>0120_otstndng_amnt</v>
          </cell>
          <cell r="H52">
            <v>8</v>
          </cell>
          <cell r="I52">
            <v>0</v>
          </cell>
          <cell r="J52">
            <v>0</v>
          </cell>
        </row>
        <row r="53">
          <cell r="D53">
            <v>0</v>
          </cell>
          <cell r="G53" t="str">
            <v>0120_otstndng_amnt</v>
          </cell>
          <cell r="H53">
            <v>8</v>
          </cell>
          <cell r="I53">
            <v>0</v>
          </cell>
          <cell r="J53">
            <v>0</v>
          </cell>
        </row>
        <row r="54">
          <cell r="D54">
            <v>0</v>
          </cell>
          <cell r="G54" t="str">
            <v>0130_rlvnt_amnt_wdc</v>
          </cell>
          <cell r="H54">
            <v>8</v>
          </cell>
          <cell r="I54">
            <v>0</v>
          </cell>
          <cell r="J54">
            <v>0</v>
          </cell>
        </row>
        <row r="55">
          <cell r="D55">
            <v>0</v>
          </cell>
          <cell r="G55" t="str">
            <v>0130_rlvnt_amnt_wdc</v>
          </cell>
          <cell r="H55">
            <v>8</v>
          </cell>
          <cell r="I55">
            <v>0</v>
          </cell>
          <cell r="J55">
            <v>0</v>
          </cell>
        </row>
        <row r="56">
          <cell r="D56">
            <v>0</v>
          </cell>
          <cell r="G56" t="str">
            <v>0140_ntr_lblty</v>
          </cell>
          <cell r="H56">
            <v>8</v>
          </cell>
          <cell r="I56">
            <v>1</v>
          </cell>
          <cell r="J56">
            <v>0</v>
          </cell>
        </row>
        <row r="57">
          <cell r="D57">
            <v>0</v>
          </cell>
          <cell r="G57" t="str">
            <v>0160_rank_insolv</v>
          </cell>
          <cell r="H57">
            <v>8</v>
          </cell>
          <cell r="I57">
            <v>1</v>
          </cell>
          <cell r="J57">
            <v>1</v>
          </cell>
        </row>
        <row r="58">
          <cell r="D58">
            <v>0</v>
          </cell>
          <cell r="G58" t="str">
            <v>0170_dt_incptn</v>
          </cell>
          <cell r="H58">
            <v>8</v>
          </cell>
          <cell r="I58">
            <v>1</v>
          </cell>
          <cell r="J58">
            <v>1</v>
          </cell>
        </row>
        <row r="59">
          <cell r="D59">
            <v>0</v>
          </cell>
          <cell r="G59" t="str">
            <v>0170_dt_incptn</v>
          </cell>
          <cell r="H59">
            <v>8</v>
          </cell>
          <cell r="I59">
            <v>1</v>
          </cell>
          <cell r="J59">
            <v>1</v>
          </cell>
        </row>
        <row r="60">
          <cell r="D60">
            <v>0</v>
          </cell>
          <cell r="G60" t="str">
            <v>0180_dt_nxt_intrst_pymnt</v>
          </cell>
          <cell r="H60">
            <v>8</v>
          </cell>
          <cell r="I60">
            <v>1</v>
          </cell>
          <cell r="J60">
            <v>0</v>
          </cell>
        </row>
        <row r="61">
          <cell r="D61">
            <v>0</v>
          </cell>
          <cell r="G61" t="str">
            <v>0200_dt_erlst_rdmptn</v>
          </cell>
          <cell r="H61">
            <v>8</v>
          </cell>
          <cell r="I61">
            <v>1</v>
          </cell>
          <cell r="J61">
            <v>1</v>
          </cell>
        </row>
        <row r="62">
          <cell r="D62">
            <v>0</v>
          </cell>
          <cell r="G62" t="str">
            <v>0210_dt_lgl_fnl_mtrty</v>
          </cell>
          <cell r="H62">
            <v>8</v>
          </cell>
          <cell r="I62">
            <v>1</v>
          </cell>
          <cell r="J62">
            <v>1</v>
          </cell>
        </row>
        <row r="63">
          <cell r="D63">
            <v>0</v>
          </cell>
          <cell r="G63" t="str">
            <v>0220_governing_law</v>
          </cell>
          <cell r="H63">
            <v>8</v>
          </cell>
          <cell r="I63">
            <v>1</v>
          </cell>
          <cell r="J63">
            <v>1</v>
          </cell>
        </row>
        <row r="64">
          <cell r="D64">
            <v>0</v>
          </cell>
          <cell r="G64" t="str">
            <v>0230_bail_in_rcgntn_cls</v>
          </cell>
          <cell r="H64">
            <v>8</v>
          </cell>
          <cell r="I64">
            <v>1</v>
          </cell>
          <cell r="J64">
            <v>1</v>
          </cell>
        </row>
        <row r="65">
          <cell r="D65">
            <v>0</v>
          </cell>
          <cell r="G65" t="str">
            <v>0250_strctrd_prdct</v>
          </cell>
          <cell r="H65">
            <v>8</v>
          </cell>
          <cell r="I65">
            <v>1</v>
          </cell>
          <cell r="J65">
            <v>1</v>
          </cell>
        </row>
        <row r="66">
          <cell r="D66">
            <v>0</v>
          </cell>
          <cell r="G66" t="str">
            <v>0310_flg_clltrl_agrmnts</v>
          </cell>
          <cell r="H66">
            <v>8</v>
          </cell>
          <cell r="I66">
            <v>0</v>
          </cell>
          <cell r="J66">
            <v>0</v>
          </cell>
        </row>
        <row r="67">
          <cell r="D67">
            <v>0</v>
          </cell>
          <cell r="G67" t="str">
            <v>0330_amnt_unclltrlzd</v>
          </cell>
          <cell r="H67">
            <v>8</v>
          </cell>
          <cell r="I67">
            <v>1</v>
          </cell>
          <cell r="J67">
            <v>1</v>
          </cell>
        </row>
        <row r="68">
          <cell r="D68">
            <v>0</v>
          </cell>
          <cell r="G68" t="str">
            <v>0330_amnt_unclltrlzd</v>
          </cell>
          <cell r="H68">
            <v>8</v>
          </cell>
          <cell r="I68">
            <v>1</v>
          </cell>
          <cell r="J68">
            <v>1</v>
          </cell>
        </row>
        <row r="69">
          <cell r="D69">
            <v>0</v>
          </cell>
          <cell r="G69" t="str">
            <v>0350_typ_clltrl</v>
          </cell>
          <cell r="H69">
            <v>8</v>
          </cell>
          <cell r="I69">
            <v>1</v>
          </cell>
          <cell r="J69">
            <v>1</v>
          </cell>
        </row>
        <row r="70">
          <cell r="D70">
            <v>0</v>
          </cell>
          <cell r="G70" t="str">
            <v>0350_typ_clltrl</v>
          </cell>
          <cell r="H70">
            <v>8</v>
          </cell>
          <cell r="I70">
            <v>1</v>
          </cell>
          <cell r="J70">
            <v>1</v>
          </cell>
        </row>
        <row r="71">
          <cell r="D71">
            <v>0</v>
          </cell>
          <cell r="G71" t="str">
            <v>0440_ntr_glbl_nt</v>
          </cell>
          <cell r="H71">
            <v>8</v>
          </cell>
          <cell r="I71">
            <v>1</v>
          </cell>
          <cell r="J71">
            <v>1</v>
          </cell>
        </row>
        <row r="72">
          <cell r="D72">
            <v>0</v>
          </cell>
          <cell r="G72" t="str">
            <v>0530_typ_own_fnds_ind_lvl</v>
          </cell>
          <cell r="H72">
            <v>8</v>
          </cell>
          <cell r="I72">
            <v>1</v>
          </cell>
          <cell r="J72">
            <v>0</v>
          </cell>
        </row>
        <row r="73">
          <cell r="D73">
            <v>0</v>
          </cell>
          <cell r="G73" t="str">
            <v>0540_elgbl_amnt_own_fnds_ind_lvl</v>
          </cell>
          <cell r="H73">
            <v>8</v>
          </cell>
          <cell r="I73">
            <v>1</v>
          </cell>
          <cell r="J73">
            <v>0</v>
          </cell>
        </row>
        <row r="74">
          <cell r="D74">
            <v>0</v>
          </cell>
          <cell r="G74" t="str">
            <v>0550_typ_own_fnds_cnsldtd_lvl</v>
          </cell>
          <cell r="H74">
            <v>8</v>
          </cell>
          <cell r="I74">
            <v>1</v>
          </cell>
          <cell r="J74">
            <v>0</v>
          </cell>
        </row>
        <row r="75">
          <cell r="D75">
            <v>0</v>
          </cell>
          <cell r="G75" t="str">
            <v>0560_elgbl_amnt_own_fnds_cnsldtd_lvl</v>
          </cell>
          <cell r="H75">
            <v>8</v>
          </cell>
          <cell r="I75">
            <v>1</v>
          </cell>
          <cell r="J75">
            <v>1</v>
          </cell>
        </row>
        <row r="76">
          <cell r="D76">
            <v>0</v>
          </cell>
          <cell r="G76" t="str">
            <v>0590_typ_scrty_intrst_prvdd</v>
          </cell>
          <cell r="H76">
            <v>8</v>
          </cell>
          <cell r="I76">
            <v>1</v>
          </cell>
          <cell r="J76">
            <v>1</v>
          </cell>
        </row>
        <row r="77">
          <cell r="D77">
            <v>0</v>
          </cell>
          <cell r="G77" t="str">
            <v>0610_crryng_amnt_ifrs</v>
          </cell>
          <cell r="H77">
            <v>8</v>
          </cell>
          <cell r="I77">
            <v>1</v>
          </cell>
          <cell r="J77">
            <v>0</v>
          </cell>
        </row>
        <row r="78">
          <cell r="D78">
            <v>0</v>
          </cell>
          <cell r="G78" t="str">
            <v>0620_blnc_sht_ifrs</v>
          </cell>
          <cell r="H78">
            <v>8</v>
          </cell>
          <cell r="I78">
            <v>1</v>
          </cell>
          <cell r="J78">
            <v>0</v>
          </cell>
        </row>
        <row r="79">
          <cell r="D79">
            <v>0</v>
          </cell>
          <cell r="G79" t="str">
            <v>0010_row_nmbr</v>
          </cell>
          <cell r="H79">
            <v>9</v>
          </cell>
          <cell r="I79">
            <v>1</v>
          </cell>
          <cell r="J79">
            <v>1</v>
          </cell>
        </row>
        <row r="80">
          <cell r="D80">
            <v>0</v>
          </cell>
          <cell r="G80" t="str">
            <v>0020_uniq_id</v>
          </cell>
          <cell r="H80">
            <v>9</v>
          </cell>
          <cell r="I80">
            <v>1</v>
          </cell>
          <cell r="J80">
            <v>0</v>
          </cell>
        </row>
        <row r="81">
          <cell r="D81">
            <v>0</v>
          </cell>
          <cell r="G81" t="str">
            <v>0030_uniq_id_knwn_cntrprty</v>
          </cell>
          <cell r="H81">
            <v>9</v>
          </cell>
          <cell r="I81">
            <v>1</v>
          </cell>
          <cell r="J81">
            <v>0</v>
          </cell>
        </row>
        <row r="82">
          <cell r="D82">
            <v>0</v>
          </cell>
          <cell r="G82" t="str">
            <v>0040_typ_uniq_id_knwn_cntrprty</v>
          </cell>
          <cell r="H82">
            <v>9</v>
          </cell>
          <cell r="I82">
            <v>1</v>
          </cell>
          <cell r="J82">
            <v>1</v>
          </cell>
        </row>
        <row r="83">
          <cell r="D83">
            <v>0</v>
          </cell>
          <cell r="G83" t="str">
            <v>0050_orgnl_amnt_eur</v>
          </cell>
          <cell r="H83">
            <v>9</v>
          </cell>
          <cell r="I83">
            <v>1</v>
          </cell>
          <cell r="J83">
            <v>1</v>
          </cell>
        </row>
        <row r="84">
          <cell r="D84">
            <v>0</v>
          </cell>
          <cell r="G84" t="str">
            <v>0060_orgnl_amnt_fx</v>
          </cell>
          <cell r="H84">
            <v>9</v>
          </cell>
          <cell r="I84">
            <v>1</v>
          </cell>
          <cell r="J84">
            <v>0</v>
          </cell>
        </row>
        <row r="85">
          <cell r="D85">
            <v>0</v>
          </cell>
          <cell r="G85" t="str">
            <v>0070_cntrct_crrncy</v>
          </cell>
          <cell r="H85">
            <v>9</v>
          </cell>
          <cell r="I85">
            <v>1</v>
          </cell>
          <cell r="J85">
            <v>1</v>
          </cell>
        </row>
        <row r="86">
          <cell r="D86">
            <v>0</v>
          </cell>
          <cell r="G86" t="str">
            <v>0080_otstndng_prncpl_amnt</v>
          </cell>
          <cell r="H86">
            <v>9</v>
          </cell>
          <cell r="I86">
            <v>0</v>
          </cell>
          <cell r="J86">
            <v>0</v>
          </cell>
        </row>
        <row r="87">
          <cell r="D87">
            <v>0</v>
          </cell>
          <cell r="G87" t="str">
            <v>0090_prtn_amnt_rprtng_entty</v>
          </cell>
          <cell r="H87">
            <v>9</v>
          </cell>
          <cell r="I87">
            <v>0</v>
          </cell>
          <cell r="J87">
            <v>0</v>
          </cell>
        </row>
        <row r="88">
          <cell r="D88">
            <v>0</v>
          </cell>
          <cell r="G88" t="str">
            <v>0100_accrd_intrst_instrmnt</v>
          </cell>
          <cell r="H88">
            <v>9</v>
          </cell>
          <cell r="I88">
            <v>1</v>
          </cell>
          <cell r="J88">
            <v>0</v>
          </cell>
        </row>
        <row r="89">
          <cell r="D89">
            <v>0</v>
          </cell>
          <cell r="G89" t="str">
            <v>0110_applcbl_fees_charges</v>
          </cell>
          <cell r="H89">
            <v>9</v>
          </cell>
          <cell r="I89">
            <v>1</v>
          </cell>
          <cell r="J89">
            <v>1</v>
          </cell>
        </row>
        <row r="90">
          <cell r="D90">
            <v>0</v>
          </cell>
          <cell r="G90" t="str">
            <v>0120_otstndng_amnt</v>
          </cell>
          <cell r="H90">
            <v>9</v>
          </cell>
          <cell r="I90">
            <v>0</v>
          </cell>
          <cell r="J90">
            <v>0</v>
          </cell>
        </row>
        <row r="91">
          <cell r="D91">
            <v>0</v>
          </cell>
          <cell r="G91" t="str">
            <v>0130_rlvnt_amnt_wdc</v>
          </cell>
          <cell r="H91">
            <v>9</v>
          </cell>
          <cell r="I91">
            <v>0</v>
          </cell>
          <cell r="J91">
            <v>0</v>
          </cell>
        </row>
        <row r="92">
          <cell r="D92">
            <v>0</v>
          </cell>
          <cell r="G92" t="str">
            <v>0140_ntr_lblty</v>
          </cell>
          <cell r="H92">
            <v>9</v>
          </cell>
          <cell r="I92">
            <v>1</v>
          </cell>
          <cell r="J92">
            <v>0</v>
          </cell>
        </row>
        <row r="93">
          <cell r="D93">
            <v>0</v>
          </cell>
          <cell r="G93" t="str">
            <v>0141_ntr_lblty_othr</v>
          </cell>
          <cell r="H93">
            <v>9</v>
          </cell>
          <cell r="I93">
            <v>1</v>
          </cell>
          <cell r="J93">
            <v>1</v>
          </cell>
        </row>
        <row r="94">
          <cell r="D94">
            <v>0</v>
          </cell>
          <cell r="G94" t="str">
            <v>0150_flg_strctrlly_sbrdntd</v>
          </cell>
          <cell r="H94">
            <v>9</v>
          </cell>
          <cell r="I94">
            <v>1</v>
          </cell>
          <cell r="J94">
            <v>1</v>
          </cell>
        </row>
        <row r="95">
          <cell r="D95">
            <v>0</v>
          </cell>
          <cell r="G95" t="str">
            <v>0160_rank_insolv</v>
          </cell>
          <cell r="H95">
            <v>9</v>
          </cell>
          <cell r="I95">
            <v>1</v>
          </cell>
          <cell r="J95">
            <v>1</v>
          </cell>
        </row>
        <row r="96">
          <cell r="D96">
            <v>0</v>
          </cell>
          <cell r="G96" t="str">
            <v>0161_cntrctl_sbrdntn</v>
          </cell>
          <cell r="H96">
            <v>9</v>
          </cell>
          <cell r="I96">
            <v>1</v>
          </cell>
          <cell r="J96">
            <v>1</v>
          </cell>
        </row>
        <row r="97">
          <cell r="D97">
            <v>0</v>
          </cell>
          <cell r="G97" t="str">
            <v>0162_bail_in_cascade</v>
          </cell>
          <cell r="H97">
            <v>9</v>
          </cell>
          <cell r="I97">
            <v>1</v>
          </cell>
          <cell r="J97">
            <v>1</v>
          </cell>
        </row>
        <row r="98">
          <cell r="D98">
            <v>0</v>
          </cell>
          <cell r="G98" t="str">
            <v>0170_dt_incptn</v>
          </cell>
          <cell r="H98">
            <v>9</v>
          </cell>
          <cell r="I98">
            <v>1</v>
          </cell>
          <cell r="J98">
            <v>1</v>
          </cell>
        </row>
        <row r="99">
          <cell r="D99">
            <v>0</v>
          </cell>
          <cell r="G99" t="str">
            <v>0180_dt_nxt_intrst_pymnt</v>
          </cell>
          <cell r="H99">
            <v>9</v>
          </cell>
          <cell r="I99">
            <v>1</v>
          </cell>
          <cell r="J99">
            <v>0</v>
          </cell>
        </row>
        <row r="100">
          <cell r="D100">
            <v>0</v>
          </cell>
          <cell r="G100" t="str">
            <v>0190_dt_nxt_rdmptn_pymnt</v>
          </cell>
          <cell r="H100">
            <v>9</v>
          </cell>
          <cell r="I100">
            <v>1</v>
          </cell>
          <cell r="J100">
            <v>1</v>
          </cell>
        </row>
        <row r="101">
          <cell r="D101">
            <v>0</v>
          </cell>
          <cell r="G101" t="str">
            <v>0200_dt_erlst_rdmptn</v>
          </cell>
          <cell r="H101">
            <v>9</v>
          </cell>
          <cell r="I101">
            <v>1</v>
          </cell>
          <cell r="J101">
            <v>1</v>
          </cell>
        </row>
        <row r="102">
          <cell r="D102">
            <v>0</v>
          </cell>
          <cell r="G102" t="str">
            <v>0210_dt_lgl_fnl_mtrty</v>
          </cell>
          <cell r="H102">
            <v>9</v>
          </cell>
          <cell r="I102">
            <v>1</v>
          </cell>
          <cell r="J102">
            <v>1</v>
          </cell>
        </row>
        <row r="103">
          <cell r="D103">
            <v>0</v>
          </cell>
          <cell r="G103" t="str">
            <v>0220_governing_law</v>
          </cell>
          <cell r="H103">
            <v>9</v>
          </cell>
          <cell r="I103">
            <v>1</v>
          </cell>
          <cell r="J103">
            <v>1</v>
          </cell>
        </row>
        <row r="104">
          <cell r="D104">
            <v>0</v>
          </cell>
          <cell r="G104" t="str">
            <v>0230_bail_in_rcgntn_cls</v>
          </cell>
          <cell r="H104">
            <v>9</v>
          </cell>
          <cell r="I104">
            <v>1</v>
          </cell>
          <cell r="J104">
            <v>1</v>
          </cell>
        </row>
        <row r="105">
          <cell r="D105">
            <v>0</v>
          </cell>
          <cell r="G105" t="str">
            <v>0240_zero_coupon</v>
          </cell>
          <cell r="H105">
            <v>9</v>
          </cell>
          <cell r="I105">
            <v>1</v>
          </cell>
          <cell r="J105">
            <v>1</v>
          </cell>
        </row>
        <row r="106">
          <cell r="D106">
            <v>0</v>
          </cell>
          <cell r="G106" t="str">
            <v>0250_strctrd_prdct</v>
          </cell>
          <cell r="H106">
            <v>9</v>
          </cell>
          <cell r="I106">
            <v>1</v>
          </cell>
          <cell r="J106">
            <v>1</v>
          </cell>
        </row>
        <row r="107">
          <cell r="D107">
            <v>0</v>
          </cell>
          <cell r="G107" t="str">
            <v>0260_grntd_min_amnt_strctrd_prdct</v>
          </cell>
          <cell r="H107">
            <v>9</v>
          </cell>
          <cell r="I107">
            <v>1</v>
          </cell>
          <cell r="J107">
            <v>1</v>
          </cell>
        </row>
        <row r="108">
          <cell r="D108">
            <v>0</v>
          </cell>
          <cell r="G108" t="str">
            <v>0270_fv_amnt_strctrd_prdct</v>
          </cell>
          <cell r="H108">
            <v>9</v>
          </cell>
          <cell r="I108">
            <v>1</v>
          </cell>
          <cell r="J108">
            <v>1</v>
          </cell>
        </row>
        <row r="109">
          <cell r="D109">
            <v>0</v>
          </cell>
          <cell r="G109" t="str">
            <v>0280_flg_ncnp_dpsts</v>
          </cell>
          <cell r="H109">
            <v>9</v>
          </cell>
          <cell r="I109">
            <v>1</v>
          </cell>
          <cell r="J109">
            <v>1</v>
          </cell>
        </row>
        <row r="110">
          <cell r="D110">
            <v>0</v>
          </cell>
          <cell r="G110" t="str">
            <v>0290_flg_ncbp_dpsts</v>
          </cell>
          <cell r="H110">
            <v>9</v>
          </cell>
          <cell r="I110">
            <v>1</v>
          </cell>
          <cell r="J110">
            <v>1</v>
          </cell>
        </row>
        <row r="111">
          <cell r="D111">
            <v>0</v>
          </cell>
          <cell r="G111" t="str">
            <v>0300_amnt_cvrd_elgbl_dpsts</v>
          </cell>
          <cell r="H111">
            <v>9</v>
          </cell>
          <cell r="I111">
            <v>1</v>
          </cell>
          <cell r="J111">
            <v>1</v>
          </cell>
        </row>
        <row r="112">
          <cell r="D112">
            <v>0</v>
          </cell>
          <cell r="G112" t="str">
            <v>0310_flg_clltrl_agrmnts</v>
          </cell>
          <cell r="H112">
            <v>9</v>
          </cell>
          <cell r="I112">
            <v>0</v>
          </cell>
          <cell r="J112">
            <v>0</v>
          </cell>
        </row>
        <row r="113">
          <cell r="D113">
            <v>0</v>
          </cell>
          <cell r="G113" t="str">
            <v>0320_amnt_clltrl</v>
          </cell>
          <cell r="H113">
            <v>9</v>
          </cell>
          <cell r="I113">
            <v>1</v>
          </cell>
          <cell r="J113">
            <v>1</v>
          </cell>
        </row>
        <row r="114">
          <cell r="D114">
            <v>0</v>
          </cell>
          <cell r="G114" t="str">
            <v>0330_amnt_unclltrlzd</v>
          </cell>
          <cell r="H114">
            <v>9</v>
          </cell>
          <cell r="I114">
            <v>1</v>
          </cell>
          <cell r="J114">
            <v>1</v>
          </cell>
        </row>
        <row r="115">
          <cell r="D115">
            <v>0</v>
          </cell>
          <cell r="G115" t="str">
            <v>0340_id_clltrl</v>
          </cell>
          <cell r="H115">
            <v>9</v>
          </cell>
          <cell r="I115">
            <v>1</v>
          </cell>
          <cell r="J115">
            <v>1</v>
          </cell>
        </row>
        <row r="116">
          <cell r="D116">
            <v>0</v>
          </cell>
          <cell r="G116" t="str">
            <v>0350_typ_clltrl</v>
          </cell>
          <cell r="H116">
            <v>9</v>
          </cell>
          <cell r="I116">
            <v>1</v>
          </cell>
          <cell r="J116">
            <v>1</v>
          </cell>
        </row>
        <row r="117">
          <cell r="D117">
            <v>0</v>
          </cell>
          <cell r="G117" t="str">
            <v>0351_typ_clltrl_othr</v>
          </cell>
          <cell r="H117">
            <v>9</v>
          </cell>
          <cell r="I117">
            <v>1</v>
          </cell>
          <cell r="J117">
            <v>1</v>
          </cell>
        </row>
        <row r="118">
          <cell r="D118">
            <v>0</v>
          </cell>
          <cell r="G118" t="str">
            <v>0360_trdng_mthd</v>
          </cell>
          <cell r="H118">
            <v>9</v>
          </cell>
          <cell r="I118">
            <v>0</v>
          </cell>
          <cell r="J118">
            <v>0</v>
          </cell>
        </row>
        <row r="119">
          <cell r="D119">
            <v>0</v>
          </cell>
          <cell r="G119" t="str">
            <v>0370_amnt_scrty_eur</v>
          </cell>
          <cell r="H119">
            <v>9</v>
          </cell>
          <cell r="I119">
            <v>1</v>
          </cell>
          <cell r="J119">
            <v>1</v>
          </cell>
        </row>
        <row r="120">
          <cell r="D120">
            <v>0</v>
          </cell>
          <cell r="G120" t="str">
            <v>0380_amnt_scrty_fx</v>
          </cell>
          <cell r="H120">
            <v>9</v>
          </cell>
          <cell r="I120">
            <v>1</v>
          </cell>
          <cell r="J120">
            <v>0</v>
          </cell>
        </row>
        <row r="121">
          <cell r="D121">
            <v>0</v>
          </cell>
          <cell r="G121" t="str">
            <v>0390_nmbr_scrts_not_rprtng_entty</v>
          </cell>
          <cell r="H121">
            <v>9</v>
          </cell>
          <cell r="I121">
            <v>0</v>
          </cell>
          <cell r="J121">
            <v>0</v>
          </cell>
        </row>
        <row r="122">
          <cell r="D122">
            <v>0</v>
          </cell>
          <cell r="G122" t="str">
            <v>0391_nmbr_scrts_rprtng_entty</v>
          </cell>
          <cell r="H122">
            <v>9</v>
          </cell>
          <cell r="I122">
            <v>0</v>
          </cell>
          <cell r="J122">
            <v>0</v>
          </cell>
        </row>
        <row r="123">
          <cell r="D123">
            <v>0</v>
          </cell>
          <cell r="G123" t="str">
            <v>0400_accrd_intrst_scrty</v>
          </cell>
          <cell r="H123">
            <v>9</v>
          </cell>
          <cell r="I123">
            <v>0</v>
          </cell>
          <cell r="J123">
            <v>0</v>
          </cell>
        </row>
        <row r="124">
          <cell r="D124">
            <v>0</v>
          </cell>
          <cell r="G124" t="str">
            <v>0410_fees_charges_scrty</v>
          </cell>
          <cell r="H124">
            <v>9</v>
          </cell>
          <cell r="I124">
            <v>1</v>
          </cell>
          <cell r="J124">
            <v>1</v>
          </cell>
        </row>
        <row r="125">
          <cell r="D125">
            <v>0</v>
          </cell>
          <cell r="G125" t="str">
            <v>0420_fv_amnt_scrty</v>
          </cell>
          <cell r="H125">
            <v>9</v>
          </cell>
          <cell r="I125">
            <v>1</v>
          </cell>
          <cell r="J125">
            <v>1</v>
          </cell>
        </row>
        <row r="126">
          <cell r="D126">
            <v>0</v>
          </cell>
          <cell r="G126" t="str">
            <v>0430_prncpl_amnt_glbl_nt_eur</v>
          </cell>
          <cell r="H126">
            <v>9</v>
          </cell>
          <cell r="I126">
            <v>1</v>
          </cell>
          <cell r="J126">
            <v>1</v>
          </cell>
        </row>
        <row r="127">
          <cell r="D127">
            <v>0</v>
          </cell>
          <cell r="G127" t="str">
            <v>0431_prncpl_amnt_glbl_nt_fx</v>
          </cell>
          <cell r="H127">
            <v>9</v>
          </cell>
          <cell r="I127">
            <v>1</v>
          </cell>
          <cell r="J127">
            <v>1</v>
          </cell>
        </row>
        <row r="128">
          <cell r="D128">
            <v>0</v>
          </cell>
          <cell r="G128" t="str">
            <v>0440_ntr_glbl_nt</v>
          </cell>
          <cell r="H128">
            <v>9</v>
          </cell>
          <cell r="I128">
            <v>1</v>
          </cell>
          <cell r="J128">
            <v>1</v>
          </cell>
        </row>
        <row r="129">
          <cell r="D129">
            <v>0</v>
          </cell>
          <cell r="G129" t="str">
            <v>0450_crrnt_pool_fctr</v>
          </cell>
          <cell r="H129">
            <v>9</v>
          </cell>
          <cell r="I129">
            <v>1</v>
          </cell>
          <cell r="J129">
            <v>1</v>
          </cell>
        </row>
        <row r="130">
          <cell r="D130">
            <v>0</v>
          </cell>
          <cell r="G130" t="str">
            <v>0460_csd</v>
          </cell>
          <cell r="H130">
            <v>9</v>
          </cell>
          <cell r="I130">
            <v>1</v>
          </cell>
          <cell r="J130">
            <v>1</v>
          </cell>
        </row>
        <row r="131">
          <cell r="D131">
            <v>0</v>
          </cell>
          <cell r="G131" t="str">
            <v>0461_csd_lei</v>
          </cell>
          <cell r="H131">
            <v>9</v>
          </cell>
          <cell r="I131">
            <v>1</v>
          </cell>
          <cell r="J131">
            <v>1</v>
          </cell>
        </row>
        <row r="132">
          <cell r="D132">
            <v>0</v>
          </cell>
          <cell r="G132" t="str">
            <v>0462_csd_othr</v>
          </cell>
          <cell r="H132">
            <v>9</v>
          </cell>
          <cell r="I132">
            <v>1</v>
          </cell>
          <cell r="J132">
            <v>1</v>
          </cell>
        </row>
        <row r="133">
          <cell r="D133">
            <v>0</v>
          </cell>
          <cell r="G133" t="str">
            <v>0470_pyng_agnt</v>
          </cell>
          <cell r="H133">
            <v>9</v>
          </cell>
          <cell r="I133">
            <v>1</v>
          </cell>
          <cell r="J133">
            <v>1</v>
          </cell>
        </row>
        <row r="134">
          <cell r="D134">
            <v>0</v>
          </cell>
          <cell r="G134" t="str">
            <v>0471_pyng_agnt_lei</v>
          </cell>
          <cell r="H134">
            <v>9</v>
          </cell>
          <cell r="I134">
            <v>1</v>
          </cell>
          <cell r="J134">
            <v>1</v>
          </cell>
        </row>
        <row r="135">
          <cell r="D135">
            <v>0</v>
          </cell>
          <cell r="G135" t="str">
            <v>0480_trdng_vn</v>
          </cell>
          <cell r="H135">
            <v>9</v>
          </cell>
          <cell r="I135">
            <v>1</v>
          </cell>
          <cell r="J135">
            <v>1</v>
          </cell>
        </row>
        <row r="136">
          <cell r="D136">
            <v>0</v>
          </cell>
          <cell r="G136" t="str">
            <v>0481_trdng_vn_lei</v>
          </cell>
          <cell r="H136">
            <v>9</v>
          </cell>
          <cell r="I136">
            <v>1</v>
          </cell>
          <cell r="J136">
            <v>1</v>
          </cell>
        </row>
        <row r="137">
          <cell r="D137">
            <v>0</v>
          </cell>
          <cell r="G137" t="str">
            <v>0490_rgstrr</v>
          </cell>
          <cell r="H137">
            <v>9</v>
          </cell>
          <cell r="I137">
            <v>1</v>
          </cell>
          <cell r="J137">
            <v>1</v>
          </cell>
        </row>
        <row r="138">
          <cell r="D138">
            <v>0</v>
          </cell>
          <cell r="G138" t="str">
            <v>0491_rgstrr_lei</v>
          </cell>
          <cell r="H138">
            <v>9</v>
          </cell>
          <cell r="I138">
            <v>1</v>
          </cell>
          <cell r="J138">
            <v>1</v>
          </cell>
        </row>
        <row r="139">
          <cell r="D139">
            <v>0</v>
          </cell>
          <cell r="G139" t="str">
            <v>0500_nna</v>
          </cell>
          <cell r="H139">
            <v>9</v>
          </cell>
          <cell r="I139">
            <v>1</v>
          </cell>
          <cell r="J139">
            <v>1</v>
          </cell>
        </row>
        <row r="140">
          <cell r="D140">
            <v>0</v>
          </cell>
          <cell r="G140" t="str">
            <v>0501_nna_lei</v>
          </cell>
          <cell r="H140">
            <v>9</v>
          </cell>
          <cell r="I140">
            <v>1</v>
          </cell>
          <cell r="J140">
            <v>1</v>
          </cell>
        </row>
        <row r="141">
          <cell r="D141">
            <v>0</v>
          </cell>
          <cell r="G141" t="str">
            <v>0510_cmmn_dpstry</v>
          </cell>
          <cell r="H141">
            <v>9</v>
          </cell>
          <cell r="I141">
            <v>1</v>
          </cell>
          <cell r="J141">
            <v>1</v>
          </cell>
        </row>
        <row r="142">
          <cell r="D142">
            <v>0</v>
          </cell>
          <cell r="G142" t="str">
            <v>0511_cmmn_dpstry_lei</v>
          </cell>
          <cell r="H142">
            <v>9</v>
          </cell>
          <cell r="I142">
            <v>1</v>
          </cell>
          <cell r="J142">
            <v>1</v>
          </cell>
        </row>
        <row r="143">
          <cell r="D143">
            <v>0</v>
          </cell>
          <cell r="G143" t="str">
            <v>0520_cmmn_srvc_prvdr</v>
          </cell>
          <cell r="H143">
            <v>9</v>
          </cell>
          <cell r="I143">
            <v>1</v>
          </cell>
          <cell r="J143">
            <v>1</v>
          </cell>
        </row>
        <row r="144">
          <cell r="D144">
            <v>0</v>
          </cell>
          <cell r="G144" t="str">
            <v>0521_cmmn_srvc_prvdr_lei</v>
          </cell>
          <cell r="H144">
            <v>9</v>
          </cell>
          <cell r="I144">
            <v>1</v>
          </cell>
          <cell r="J144">
            <v>1</v>
          </cell>
        </row>
        <row r="145">
          <cell r="D145">
            <v>0</v>
          </cell>
          <cell r="G145" t="str">
            <v>0530_typ_own_fnds_ind_lvl</v>
          </cell>
          <cell r="H145">
            <v>9</v>
          </cell>
          <cell r="I145">
            <v>1</v>
          </cell>
          <cell r="J145">
            <v>0</v>
          </cell>
        </row>
        <row r="146">
          <cell r="D146">
            <v>0</v>
          </cell>
          <cell r="G146" t="str">
            <v>0540_elgbl_amnt_own_fnds_ind_lvl</v>
          </cell>
          <cell r="H146">
            <v>9</v>
          </cell>
          <cell r="I146">
            <v>1</v>
          </cell>
          <cell r="J146">
            <v>0</v>
          </cell>
        </row>
        <row r="147">
          <cell r="D147">
            <v>0</v>
          </cell>
          <cell r="G147" t="str">
            <v>0550_typ_own_fnds_cnsldtd_lvl</v>
          </cell>
          <cell r="H147">
            <v>9</v>
          </cell>
          <cell r="I147">
            <v>1</v>
          </cell>
          <cell r="J147">
            <v>0</v>
          </cell>
        </row>
        <row r="148">
          <cell r="D148">
            <v>0</v>
          </cell>
          <cell r="G148" t="str">
            <v>0560_elgbl_amnt_own_fnds_cnsldtd_lvl</v>
          </cell>
          <cell r="H148">
            <v>9</v>
          </cell>
          <cell r="I148">
            <v>1</v>
          </cell>
          <cell r="J148">
            <v>1</v>
          </cell>
        </row>
        <row r="149">
          <cell r="D149">
            <v>0</v>
          </cell>
          <cell r="G149" t="str">
            <v>0570_amnt_scrty_intrst_prvdd</v>
          </cell>
          <cell r="H149">
            <v>9</v>
          </cell>
          <cell r="I149">
            <v>1</v>
          </cell>
          <cell r="J149">
            <v>1</v>
          </cell>
        </row>
        <row r="150">
          <cell r="D150">
            <v>0</v>
          </cell>
          <cell r="G150" t="str">
            <v>0580_scrty_intrst_prvdr</v>
          </cell>
          <cell r="H150">
            <v>9</v>
          </cell>
          <cell r="I150">
            <v>1</v>
          </cell>
          <cell r="J150">
            <v>1</v>
          </cell>
        </row>
        <row r="151">
          <cell r="D151">
            <v>0</v>
          </cell>
          <cell r="G151" t="str">
            <v>0581_scrty_intrst_prvdr_lei</v>
          </cell>
          <cell r="H151">
            <v>9</v>
          </cell>
          <cell r="I151">
            <v>1</v>
          </cell>
          <cell r="J151">
            <v>1</v>
          </cell>
        </row>
        <row r="152">
          <cell r="D152">
            <v>0</v>
          </cell>
          <cell r="G152" t="str">
            <v>0590_typ_scrty_intrst_prvdd</v>
          </cell>
          <cell r="H152">
            <v>9</v>
          </cell>
          <cell r="I152">
            <v>1</v>
          </cell>
          <cell r="J152">
            <v>1</v>
          </cell>
        </row>
        <row r="153">
          <cell r="D153">
            <v>0</v>
          </cell>
          <cell r="G153" t="str">
            <v>0600_flg_clltrl_asst_pstn</v>
          </cell>
          <cell r="H153">
            <v>9</v>
          </cell>
          <cell r="I153">
            <v>1</v>
          </cell>
          <cell r="J153">
            <v>1</v>
          </cell>
        </row>
        <row r="154">
          <cell r="D154">
            <v>0</v>
          </cell>
          <cell r="G154" t="str">
            <v>0610_crryng_amnt_ifrs</v>
          </cell>
          <cell r="H154">
            <v>9</v>
          </cell>
          <cell r="I154">
            <v>1</v>
          </cell>
          <cell r="J154">
            <v>0</v>
          </cell>
        </row>
        <row r="155">
          <cell r="D155">
            <v>0</v>
          </cell>
          <cell r="G155" t="str">
            <v>0620_blnc_sht_ifrs</v>
          </cell>
          <cell r="H155">
            <v>9</v>
          </cell>
          <cell r="I155">
            <v>1</v>
          </cell>
          <cell r="J155">
            <v>0</v>
          </cell>
        </row>
        <row r="156">
          <cell r="D156">
            <v>0</v>
          </cell>
          <cell r="G156" t="str">
            <v>0630_crrying_amnt_ngaap</v>
          </cell>
          <cell r="H156">
            <v>9</v>
          </cell>
          <cell r="I156">
            <v>1</v>
          </cell>
          <cell r="J156">
            <v>1</v>
          </cell>
        </row>
        <row r="157">
          <cell r="D157">
            <v>0</v>
          </cell>
          <cell r="G157" t="str">
            <v>0640_blnc_sht_ngaap</v>
          </cell>
          <cell r="H157">
            <v>9</v>
          </cell>
          <cell r="I157">
            <v>1</v>
          </cell>
          <cell r="J157">
            <v>1</v>
          </cell>
        </row>
        <row r="158">
          <cell r="D158">
            <v>0</v>
          </cell>
          <cell r="G158" t="str">
            <v>5000_flg_shrhldr_not_rsltn_grp</v>
          </cell>
          <cell r="H158">
            <v>9</v>
          </cell>
          <cell r="I158">
            <v>1</v>
          </cell>
          <cell r="J158">
            <v>1</v>
          </cell>
        </row>
        <row r="159">
          <cell r="D159">
            <v>0</v>
          </cell>
          <cell r="G159" t="str">
            <v>5010_flg_art21_7a_srmr</v>
          </cell>
          <cell r="H159">
            <v>9</v>
          </cell>
          <cell r="I159">
            <v>1</v>
          </cell>
          <cell r="J159">
            <v>1</v>
          </cell>
        </row>
        <row r="160">
          <cell r="D160">
            <v>9999</v>
          </cell>
          <cell r="G160" t="str">
            <v>5000_flg_shrhldr_not_rsltn_grp</v>
          </cell>
          <cell r="H160">
            <v>8</v>
          </cell>
          <cell r="I160">
            <v>1</v>
          </cell>
          <cell r="J160">
            <v>1</v>
          </cell>
        </row>
        <row r="161">
          <cell r="D161">
            <v>9999</v>
          </cell>
          <cell r="G161" t="str">
            <v>5010_flg_art21_7a_srmr</v>
          </cell>
          <cell r="H161">
            <v>8</v>
          </cell>
          <cell r="I161">
            <v>1</v>
          </cell>
          <cell r="J161">
            <v>1</v>
          </cell>
        </row>
        <row r="162">
          <cell r="D162">
            <v>9999</v>
          </cell>
          <cell r="G162" t="str">
            <v>0180_dt_nxt_intrst_pymnt</v>
          </cell>
          <cell r="H162">
            <v>8</v>
          </cell>
          <cell r="I162">
            <v>1</v>
          </cell>
          <cell r="J162">
            <v>0</v>
          </cell>
        </row>
        <row r="163">
          <cell r="D163">
            <v>9999</v>
          </cell>
          <cell r="G163" t="str">
            <v>0200_dt_erlst_rdmptn</v>
          </cell>
          <cell r="H163">
            <v>8</v>
          </cell>
          <cell r="I163">
            <v>1</v>
          </cell>
          <cell r="J163">
            <v>1</v>
          </cell>
        </row>
        <row r="164">
          <cell r="D164">
            <v>9999</v>
          </cell>
          <cell r="G164" t="str">
            <v>0210_dt_lgl_fnl_mtrty</v>
          </cell>
          <cell r="H164">
            <v>8</v>
          </cell>
          <cell r="I164">
            <v>1</v>
          </cell>
          <cell r="J164">
            <v>1</v>
          </cell>
        </row>
        <row r="165">
          <cell r="D165">
            <v>0</v>
          </cell>
          <cell r="G165" t="str">
            <v>0030_cntrprty_rsltn_grp</v>
          </cell>
          <cell r="H165">
            <v>8</v>
          </cell>
          <cell r="I165">
            <v>0</v>
          </cell>
          <cell r="J165">
            <v>0</v>
          </cell>
        </row>
        <row r="166">
          <cell r="D166">
            <v>0</v>
          </cell>
          <cell r="G166" t="str">
            <v>0030_cntrprty_rsltn_grp</v>
          </cell>
          <cell r="H166">
            <v>8</v>
          </cell>
          <cell r="I166">
            <v>0</v>
          </cell>
          <cell r="J166">
            <v>0</v>
          </cell>
        </row>
        <row r="167">
          <cell r="D167">
            <v>0</v>
          </cell>
          <cell r="G167" t="str">
            <v>0080_cntrprty_typ</v>
          </cell>
          <cell r="H167">
            <v>8</v>
          </cell>
          <cell r="I167">
            <v>0</v>
          </cell>
          <cell r="J167">
            <v>0</v>
          </cell>
        </row>
        <row r="168">
          <cell r="D168">
            <v>0</v>
          </cell>
          <cell r="G168" t="str">
            <v>0090_cntry_cntrprty</v>
          </cell>
          <cell r="H168">
            <v>8</v>
          </cell>
          <cell r="I168">
            <v>0</v>
          </cell>
          <cell r="J168">
            <v>0</v>
          </cell>
        </row>
        <row r="169">
          <cell r="D169">
            <v>0</v>
          </cell>
          <cell r="G169" t="str">
            <v>0100_rlvnt_amnt_wdc</v>
          </cell>
          <cell r="H169">
            <v>8</v>
          </cell>
          <cell r="I169">
            <v>0</v>
          </cell>
          <cell r="J169">
            <v>0</v>
          </cell>
        </row>
        <row r="170">
          <cell r="D170">
            <v>0</v>
          </cell>
          <cell r="G170" t="str">
            <v>0010_row_nmbr</v>
          </cell>
          <cell r="H170">
            <v>9</v>
          </cell>
          <cell r="I170">
            <v>1</v>
          </cell>
          <cell r="J170">
            <v>1</v>
          </cell>
        </row>
        <row r="171">
          <cell r="D171">
            <v>0</v>
          </cell>
          <cell r="G171" t="str">
            <v>0011_tab_origin</v>
          </cell>
          <cell r="H171">
            <v>9</v>
          </cell>
          <cell r="I171">
            <v>0</v>
          </cell>
          <cell r="J171">
            <v>0</v>
          </cell>
        </row>
        <row r="172">
          <cell r="D172">
            <v>0</v>
          </cell>
          <cell r="G172" t="str">
            <v>0020_uniq_id_knwn_cntrprty</v>
          </cell>
          <cell r="H172">
            <v>9</v>
          </cell>
          <cell r="I172">
            <v>0</v>
          </cell>
          <cell r="J172">
            <v>0</v>
          </cell>
        </row>
        <row r="173">
          <cell r="D173">
            <v>0</v>
          </cell>
          <cell r="G173" t="str">
            <v>0030_cntrprty_rsltn_grp</v>
          </cell>
          <cell r="H173">
            <v>9</v>
          </cell>
          <cell r="I173">
            <v>0</v>
          </cell>
          <cell r="J173">
            <v>0</v>
          </cell>
        </row>
        <row r="174">
          <cell r="D174">
            <v>0</v>
          </cell>
          <cell r="G174" t="str">
            <v>0040_cntrprty_nm</v>
          </cell>
          <cell r="H174">
            <v>9</v>
          </cell>
          <cell r="I174">
            <v>0</v>
          </cell>
          <cell r="J174">
            <v>0</v>
          </cell>
        </row>
        <row r="175">
          <cell r="D175">
            <v>0</v>
          </cell>
          <cell r="G175" t="str">
            <v>0050_cntrprty_lei</v>
          </cell>
          <cell r="H175">
            <v>9</v>
          </cell>
          <cell r="I175">
            <v>0</v>
          </cell>
          <cell r="J175">
            <v>0</v>
          </cell>
        </row>
        <row r="176">
          <cell r="D176">
            <v>0</v>
          </cell>
          <cell r="G176" t="str">
            <v>0060_typ_cntrprty_id</v>
          </cell>
          <cell r="H176">
            <v>9</v>
          </cell>
          <cell r="I176">
            <v>0</v>
          </cell>
          <cell r="J176">
            <v>0</v>
          </cell>
        </row>
        <row r="177">
          <cell r="D177">
            <v>0</v>
          </cell>
          <cell r="G177" t="str">
            <v>0070_cntrprty_id</v>
          </cell>
          <cell r="H177">
            <v>9</v>
          </cell>
          <cell r="I177">
            <v>0</v>
          </cell>
          <cell r="J177">
            <v>0</v>
          </cell>
        </row>
        <row r="178">
          <cell r="D178">
            <v>0</v>
          </cell>
          <cell r="G178" t="str">
            <v>0080_cntrprty_typ</v>
          </cell>
          <cell r="H178">
            <v>9</v>
          </cell>
          <cell r="I178">
            <v>0</v>
          </cell>
          <cell r="J178">
            <v>0</v>
          </cell>
        </row>
        <row r="179">
          <cell r="D179">
            <v>0</v>
          </cell>
          <cell r="G179" t="str">
            <v>0090_cntry_cntrprty</v>
          </cell>
          <cell r="H179">
            <v>9</v>
          </cell>
          <cell r="I179">
            <v>0</v>
          </cell>
          <cell r="J179">
            <v>0</v>
          </cell>
        </row>
        <row r="180">
          <cell r="D180">
            <v>0</v>
          </cell>
          <cell r="G180" t="str">
            <v>0100_rlvnt_amnt_wdc</v>
          </cell>
          <cell r="H180">
            <v>9</v>
          </cell>
          <cell r="I180">
            <v>0</v>
          </cell>
          <cell r="J180">
            <v>0</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DE652E79-8982-455B-8FED-B1625E5A567B}">
    <nsvFilter filterId="{00000000-0001-0000-0300-000000000000}" ref="B4:V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73964CFB-C778-42CC-B6A8-52BEDF13E002}">
    <nsvFilter filterId="{00000000-0001-0000-0400-000000000000}" ref="B4:AJ19"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49A8C707-3916-45F7-8861-EF38C1156D62}">
    <nsvFilter filterId="{00000000-0001-0000-0800-000000000000}" ref="B4:AI15"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theme/theme1.xml><?xml version="1.0" encoding="utf-8"?>
<a:theme xmlns:a="http://schemas.openxmlformats.org/drawingml/2006/main" name="Office Theme">
  <a:themeElements>
    <a:clrScheme name="Graph Colours">
      <a:dk1>
        <a:sysClr val="windowText" lastClr="000000"/>
      </a:dk1>
      <a:lt1>
        <a:sysClr val="window" lastClr="FFFFFF"/>
      </a:lt1>
      <a:dk2>
        <a:srgbClr val="44546A"/>
      </a:dk2>
      <a:lt2>
        <a:srgbClr val="E7E6E6"/>
      </a:lt2>
      <a:accent1>
        <a:srgbClr val="750000"/>
      </a:accent1>
      <a:accent2>
        <a:srgbClr val="FFE084"/>
      </a:accent2>
      <a:accent3>
        <a:srgbClr val="C0E2C2"/>
      </a:accent3>
      <a:accent4>
        <a:srgbClr val="63E2E9"/>
      </a:accent4>
      <a:accent5>
        <a:srgbClr val="FF595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8.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70"/>
  <sheetViews>
    <sheetView showGridLines="0" tabSelected="1" zoomScale="80" zoomScaleNormal="80" workbookViewId="0">
      <selection activeCell="A7" sqref="A7:XFD53"/>
    </sheetView>
  </sheetViews>
  <sheetFormatPr defaultColWidth="0" defaultRowHeight="14.4" zeroHeight="1" x14ac:dyDescent="0.3"/>
  <cols>
    <col min="1" max="1" width="3.6640625" customWidth="1"/>
    <col min="2" max="3" width="8.6640625" customWidth="1"/>
    <col min="4" max="4" width="24.33203125" bestFit="1" customWidth="1"/>
    <col min="5" max="5" width="8.6640625" customWidth="1"/>
    <col min="6" max="7" width="12.33203125" bestFit="1" customWidth="1"/>
    <col min="8" max="8" width="11.6640625" bestFit="1" customWidth="1"/>
    <col min="9" max="9" width="15.33203125" bestFit="1" customWidth="1"/>
    <col min="10" max="10" width="15.33203125" customWidth="1"/>
    <col min="11" max="11" width="24.33203125" customWidth="1"/>
    <col min="12" max="12" width="8.6640625" customWidth="1"/>
    <col min="13" max="14" width="12.33203125" hidden="1" customWidth="1"/>
    <col min="15" max="25" width="8.6640625" hidden="1" customWidth="1"/>
    <col min="26" max="27" width="8.6640625" customWidth="1"/>
    <col min="28" max="28" width="3.6640625" customWidth="1"/>
    <col min="29" max="46" width="0" hidden="1" customWidth="1"/>
    <col min="47" max="16384" width="8.6640625" hidden="1"/>
  </cols>
  <sheetData>
    <row r="1" spans="1:28" ht="10.199999999999999" customHeight="1" x14ac:dyDescent="0.45">
      <c r="A1" s="1"/>
      <c r="B1" s="1"/>
      <c r="C1" s="1"/>
      <c r="D1" s="1"/>
      <c r="E1" s="1"/>
      <c r="F1" s="1"/>
      <c r="G1" s="1"/>
      <c r="H1" s="1"/>
      <c r="I1" s="1"/>
      <c r="J1" s="1"/>
      <c r="K1" s="1"/>
      <c r="L1" s="1"/>
      <c r="M1" s="1"/>
      <c r="N1" s="1"/>
      <c r="O1" s="1"/>
      <c r="P1" s="1"/>
      <c r="Q1" s="1"/>
      <c r="R1" s="1"/>
      <c r="S1" s="1"/>
      <c r="T1" s="1"/>
      <c r="U1" s="1"/>
      <c r="V1" s="1"/>
      <c r="W1" s="1"/>
      <c r="X1" s="1"/>
      <c r="Y1" s="1"/>
      <c r="Z1" s="1"/>
      <c r="AA1" s="1"/>
      <c r="AB1" s="1"/>
    </row>
    <row r="2" spans="1:28" ht="13.35" customHeight="1" x14ac:dyDescent="0.45">
      <c r="A2" s="1"/>
      <c r="B2" s="1"/>
      <c r="C2" s="1"/>
      <c r="D2" s="1"/>
      <c r="E2" s="1"/>
      <c r="F2" s="1"/>
      <c r="G2" s="1"/>
      <c r="H2" s="1"/>
      <c r="I2" s="1"/>
      <c r="J2" s="1"/>
      <c r="K2" s="1"/>
      <c r="L2" s="1"/>
      <c r="M2" s="1"/>
      <c r="N2" s="1"/>
      <c r="O2" s="1"/>
      <c r="P2" s="1"/>
      <c r="Q2" s="1"/>
      <c r="R2" s="1"/>
      <c r="S2" s="1"/>
      <c r="T2" s="1"/>
      <c r="U2" s="1"/>
      <c r="V2" s="1"/>
      <c r="W2" s="1"/>
      <c r="X2" s="1"/>
      <c r="Y2" s="1"/>
      <c r="Z2" s="1"/>
      <c r="AA2" s="1"/>
      <c r="AB2" s="1"/>
    </row>
    <row r="3" spans="1:28" ht="13.35" customHeight="1" x14ac:dyDescent="0.45">
      <c r="A3" s="1"/>
      <c r="B3" s="1"/>
      <c r="C3" s="1"/>
      <c r="D3" s="1"/>
      <c r="E3" s="1"/>
      <c r="F3" s="1"/>
      <c r="G3" s="1"/>
      <c r="H3" s="1"/>
      <c r="I3" s="1"/>
      <c r="J3" s="1"/>
      <c r="K3" s="1"/>
      <c r="L3" s="1"/>
      <c r="M3" s="1"/>
      <c r="N3" s="1"/>
      <c r="O3" s="1"/>
      <c r="P3" s="1"/>
      <c r="Q3" s="1"/>
      <c r="R3" s="1"/>
      <c r="S3" s="1"/>
      <c r="T3" s="1"/>
      <c r="U3" s="1"/>
      <c r="V3" s="1"/>
      <c r="W3" s="1"/>
      <c r="X3" s="1"/>
      <c r="Y3" s="1"/>
      <c r="Z3" s="1"/>
      <c r="AA3" s="1"/>
      <c r="AB3" s="1"/>
    </row>
    <row r="4" spans="1:28" ht="10.199999999999999" customHeight="1" x14ac:dyDescent="0.45">
      <c r="A4" s="1"/>
      <c r="B4" s="1"/>
      <c r="C4" s="1"/>
      <c r="D4" s="1"/>
      <c r="E4" s="1"/>
      <c r="F4" s="1"/>
      <c r="G4" s="1"/>
      <c r="H4" s="1"/>
      <c r="I4" s="1"/>
      <c r="J4" s="1"/>
      <c r="K4" s="1"/>
      <c r="L4" s="1"/>
      <c r="M4" s="1"/>
      <c r="N4" s="1"/>
      <c r="O4" s="1"/>
      <c r="P4" s="1"/>
      <c r="Q4" s="1"/>
      <c r="R4" s="1"/>
      <c r="S4" s="1"/>
      <c r="T4" s="1"/>
      <c r="U4" s="1"/>
      <c r="V4" s="1"/>
      <c r="W4" s="1"/>
      <c r="X4" s="1"/>
      <c r="Y4" s="1"/>
      <c r="Z4" s="1"/>
      <c r="AA4" s="1"/>
      <c r="AB4" s="1"/>
    </row>
    <row r="5" spans="1:28" ht="2.85" customHeight="1" x14ac:dyDescent="0.45">
      <c r="A5" s="3"/>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3"/>
    <row r="7" spans="1:28" ht="17.399999999999999" x14ac:dyDescent="0.45">
      <c r="B7" s="1"/>
      <c r="C7" s="1"/>
      <c r="D7" s="1"/>
      <c r="E7" s="1"/>
      <c r="F7" s="1"/>
      <c r="G7" s="1"/>
      <c r="H7" s="1"/>
      <c r="I7" s="1"/>
      <c r="J7" s="1"/>
      <c r="K7" s="1"/>
      <c r="L7" s="1"/>
      <c r="M7" s="1"/>
      <c r="N7" s="1"/>
      <c r="O7" s="1"/>
      <c r="P7" s="1"/>
      <c r="Q7" s="1"/>
      <c r="R7" s="1"/>
      <c r="S7" s="1"/>
      <c r="T7" s="1"/>
      <c r="U7" s="1"/>
      <c r="V7" s="1"/>
      <c r="W7" s="1"/>
      <c r="X7" s="1"/>
      <c r="Y7" s="1"/>
      <c r="Z7" s="1"/>
      <c r="AA7" s="1"/>
    </row>
    <row r="8" spans="1:28" ht="17.399999999999999" x14ac:dyDescent="0.45">
      <c r="B8" s="1"/>
      <c r="C8" s="1"/>
      <c r="D8" s="1"/>
      <c r="E8" s="1"/>
      <c r="F8" s="1"/>
      <c r="G8" s="1"/>
      <c r="H8" s="1"/>
      <c r="I8" s="1"/>
      <c r="J8" s="1"/>
      <c r="K8" s="1"/>
      <c r="L8" s="1"/>
      <c r="M8" s="1"/>
      <c r="N8" s="1"/>
      <c r="O8" s="1"/>
      <c r="P8" s="1"/>
      <c r="Q8" s="1"/>
      <c r="R8" s="1"/>
      <c r="S8" s="1"/>
      <c r="T8" s="1"/>
      <c r="U8" s="1"/>
      <c r="V8" s="1"/>
      <c r="W8" s="1"/>
      <c r="X8" s="1"/>
      <c r="Y8" s="1"/>
      <c r="Z8" s="1"/>
      <c r="AA8" s="1"/>
    </row>
    <row r="9" spans="1:28" ht="17.399999999999999" x14ac:dyDescent="0.45">
      <c r="B9" s="1"/>
      <c r="C9" s="257"/>
      <c r="D9" s="258"/>
      <c r="E9" s="258"/>
      <c r="F9" s="258"/>
      <c r="G9" s="258"/>
      <c r="H9" s="258"/>
      <c r="I9" s="258"/>
      <c r="J9" s="258"/>
      <c r="K9" s="258"/>
      <c r="L9" s="258"/>
      <c r="M9" s="258"/>
      <c r="N9" s="258"/>
      <c r="O9" s="258"/>
      <c r="P9" s="258"/>
      <c r="Q9" s="258"/>
      <c r="R9" s="258"/>
      <c r="S9" s="258"/>
      <c r="T9" s="258"/>
      <c r="U9" s="258"/>
      <c r="V9" s="258"/>
      <c r="W9" s="258"/>
      <c r="X9" s="258"/>
      <c r="Y9" s="258"/>
      <c r="Z9" s="268"/>
      <c r="AA9" s="1"/>
    </row>
    <row r="10" spans="1:28" ht="17.399999999999999" x14ac:dyDescent="0.45">
      <c r="B10" s="1"/>
      <c r="C10" s="259"/>
      <c r="D10" s="260"/>
      <c r="E10" s="260"/>
      <c r="F10" s="260"/>
      <c r="G10" s="260"/>
      <c r="H10" s="260"/>
      <c r="I10" s="260"/>
      <c r="J10" s="260"/>
      <c r="K10" s="260"/>
      <c r="L10" s="260"/>
      <c r="M10" s="260"/>
      <c r="N10" s="260"/>
      <c r="O10" s="260"/>
      <c r="P10" s="260"/>
      <c r="Q10" s="260"/>
      <c r="R10" s="260"/>
      <c r="S10" s="260"/>
      <c r="T10" s="260"/>
      <c r="U10" s="260"/>
      <c r="V10" s="260"/>
      <c r="W10" s="2"/>
      <c r="X10" s="2"/>
      <c r="Y10" s="2"/>
      <c r="Z10" s="269"/>
      <c r="AA10" s="1"/>
    </row>
    <row r="11" spans="1:28" ht="17.399999999999999" hidden="1" x14ac:dyDescent="0.45">
      <c r="B11" s="1"/>
      <c r="C11" s="259"/>
      <c r="D11" s="261" t="s">
        <v>870</v>
      </c>
      <c r="E11" s="260"/>
      <c r="F11" s="260"/>
      <c r="G11" s="260"/>
      <c r="H11" s="260"/>
      <c r="I11" s="260"/>
      <c r="J11" s="260"/>
      <c r="K11" s="260"/>
      <c r="L11" s="260"/>
      <c r="M11" s="260"/>
      <c r="N11" s="260"/>
      <c r="O11" s="260"/>
      <c r="P11" s="260"/>
      <c r="Q11" s="260"/>
      <c r="R11" s="260"/>
      <c r="S11" s="260"/>
      <c r="T11" s="260"/>
      <c r="U11" s="260"/>
      <c r="V11" s="260"/>
      <c r="W11" s="2"/>
      <c r="X11" s="2"/>
      <c r="Y11" s="2"/>
      <c r="Z11" s="269"/>
      <c r="AA11" s="1"/>
    </row>
    <row r="12" spans="1:28" ht="4.95" hidden="1" customHeight="1" x14ac:dyDescent="0.45">
      <c r="B12" s="1"/>
      <c r="C12" s="259"/>
      <c r="D12" s="262"/>
      <c r="E12" s="260"/>
      <c r="F12" s="260"/>
      <c r="G12" s="260"/>
      <c r="H12" s="2"/>
      <c r="I12" s="2"/>
      <c r="J12" s="2"/>
      <c r="K12" s="2"/>
      <c r="L12" s="2"/>
      <c r="M12" s="2"/>
      <c r="N12" s="2"/>
      <c r="O12" s="2"/>
      <c r="P12" s="2"/>
      <c r="Q12" s="2"/>
      <c r="R12" s="2"/>
      <c r="S12" s="2"/>
      <c r="T12" s="2"/>
      <c r="U12" s="2"/>
      <c r="V12" s="2"/>
      <c r="W12" s="2"/>
      <c r="X12" s="2"/>
      <c r="Y12" s="2"/>
      <c r="Z12" s="269"/>
      <c r="AA12" s="1"/>
    </row>
    <row r="13" spans="1:28" ht="19.2" hidden="1" x14ac:dyDescent="0.5">
      <c r="B13" s="1"/>
      <c r="C13" s="259"/>
      <c r="D13" s="488" t="s">
        <v>874</v>
      </c>
      <c r="E13" s="488"/>
      <c r="F13" s="480" t="s">
        <v>871</v>
      </c>
      <c r="G13" s="481"/>
      <c r="H13" s="481"/>
      <c r="I13" s="481"/>
      <c r="J13" s="482"/>
      <c r="L13" s="271" t="s">
        <v>877</v>
      </c>
      <c r="O13" s="2"/>
      <c r="P13" s="2"/>
      <c r="Q13" s="2"/>
      <c r="R13" s="2"/>
      <c r="S13" s="2"/>
      <c r="T13" s="2"/>
      <c r="U13" s="2"/>
      <c r="V13" s="2"/>
      <c r="W13" s="2"/>
      <c r="X13" s="2"/>
      <c r="Y13" s="2"/>
      <c r="Z13" s="269"/>
      <c r="AA13" s="1"/>
    </row>
    <row r="14" spans="1:28" ht="34.200000000000003" hidden="1" customHeight="1" x14ac:dyDescent="0.45">
      <c r="B14" s="1"/>
      <c r="C14" s="259"/>
      <c r="D14" s="488"/>
      <c r="E14" s="488"/>
      <c r="F14" s="301" t="s">
        <v>801</v>
      </c>
      <c r="G14" s="302" t="s">
        <v>235</v>
      </c>
      <c r="H14" s="303" t="s">
        <v>147</v>
      </c>
      <c r="I14" s="305" t="s">
        <v>879</v>
      </c>
      <c r="J14" s="304" t="s">
        <v>882</v>
      </c>
      <c r="L14" s="459"/>
      <c r="M14" s="460"/>
      <c r="N14" s="460"/>
      <c r="O14" s="460"/>
      <c r="P14" s="460"/>
      <c r="Q14" s="460"/>
      <c r="R14" s="460"/>
      <c r="S14" s="460"/>
      <c r="T14" s="460"/>
      <c r="U14" s="460"/>
      <c r="V14" s="460"/>
      <c r="W14" s="460"/>
      <c r="X14" s="460"/>
      <c r="Y14" s="461"/>
      <c r="Z14" s="269"/>
      <c r="AA14" s="1"/>
    </row>
    <row r="15" spans="1:28" ht="19.2" hidden="1" x14ac:dyDescent="0.5">
      <c r="B15" s="1"/>
      <c r="C15" s="263" t="s">
        <v>860</v>
      </c>
      <c r="D15" s="502" t="s">
        <v>0</v>
      </c>
      <c r="E15" s="503"/>
      <c r="F15" s="503"/>
      <c r="G15" s="503"/>
      <c r="H15" s="503"/>
      <c r="I15" s="503"/>
      <c r="J15" s="504"/>
      <c r="L15" s="462"/>
      <c r="M15" s="463"/>
      <c r="N15" s="463"/>
      <c r="O15" s="463"/>
      <c r="P15" s="463"/>
      <c r="Q15" s="463"/>
      <c r="R15" s="463"/>
      <c r="S15" s="463"/>
      <c r="T15" s="463"/>
      <c r="U15" s="463"/>
      <c r="V15" s="463"/>
      <c r="W15" s="463"/>
      <c r="X15" s="463"/>
      <c r="Y15" s="464"/>
      <c r="Z15" s="269"/>
      <c r="AA15" s="1"/>
    </row>
    <row r="16" spans="1:28" ht="19.2" hidden="1" customHeight="1" x14ac:dyDescent="0.5">
      <c r="B16" s="1"/>
      <c r="C16" s="264" t="s">
        <v>861</v>
      </c>
      <c r="D16" s="286" t="s">
        <v>872</v>
      </c>
      <c r="E16" s="287"/>
      <c r="F16" s="288">
        <f>COUNTIFS('2. Status Detalhe Campos'!B:B,"B02.00",'2. Status Detalhe Campos'!C:C,"Loan Tape",'2. Status Detalhe Campos'!J:J,'1. Status Resumo'!$F$14)</f>
        <v>0</v>
      </c>
      <c r="G16" s="289">
        <f>COUNTIFS('2. Status Detalhe Campos'!B:B,"B02.00",'2. Status Detalhe Campos'!C:C,"Loan Tape",'2. Status Detalhe Campos'!J:J,'1. Status Resumo'!$G$14)</f>
        <v>12</v>
      </c>
      <c r="H16" s="288">
        <f>COUNTIFS('2. Status Detalhe Campos'!B:B,"B02.00",'2. Status Detalhe Campos'!C:C,"Loan Tape",'2. Status Detalhe Campos'!J:J,'1. Status Resumo'!$H$14)</f>
        <v>6</v>
      </c>
      <c r="I16" s="288">
        <f>COUNTIFS('2. Status Detalhe Campos'!B:B,"B02.00",'2. Status Detalhe Campos'!C:C,"Loan Tape",'2. Status Detalhe Campos'!J:J,'1. Status Resumo'!$I$14)</f>
        <v>7</v>
      </c>
      <c r="J16" s="290">
        <f>COUNTIFS('2. Status Detalhe Campos'!B:B,"B02.00",'2. Status Detalhe Campos'!C:C,"Loan Tape",'2. Status Detalhe Campos'!J:J,'1. Status Resumo'!$J$14)</f>
        <v>3</v>
      </c>
      <c r="K16" s="292">
        <f>SUM(F16:J16)</f>
        <v>28</v>
      </c>
      <c r="L16" s="462"/>
      <c r="M16" s="463"/>
      <c r="N16" s="463"/>
      <c r="O16" s="463"/>
      <c r="P16" s="463"/>
      <c r="Q16" s="463"/>
      <c r="R16" s="463"/>
      <c r="S16" s="463"/>
      <c r="T16" s="463"/>
      <c r="U16" s="463"/>
      <c r="V16" s="463"/>
      <c r="W16" s="463"/>
      <c r="X16" s="463"/>
      <c r="Y16" s="464"/>
      <c r="Z16" s="269"/>
      <c r="AA16" s="1"/>
    </row>
    <row r="17" spans="2:27" ht="19.2" hidden="1" x14ac:dyDescent="0.5">
      <c r="B17" s="1"/>
      <c r="C17" s="265" t="s">
        <v>862</v>
      </c>
      <c r="D17" s="306" t="s">
        <v>875</v>
      </c>
      <c r="E17" s="307"/>
      <c r="F17" s="308">
        <f>COUNTIFS('2. Status Detalhe Campos'!B:B,"B02.00",'2. Status Detalhe Campos'!C:C,"Tabela Output",'2. Status Detalhe Campos'!J:J,'1. Status Resumo'!F14)</f>
        <v>0</v>
      </c>
      <c r="G17" s="309">
        <f>COUNTIFS('2. Status Detalhe Campos'!B:B,"B02.00",'2. Status Detalhe Campos'!C:C,"Tabela Output",'2. Status Detalhe Campos'!J:J,'1. Status Resumo'!G14)</f>
        <v>5</v>
      </c>
      <c r="H17" s="310">
        <f>COUNTIFS('2. Status Detalhe Campos'!B:B,"B02.00",'2. Status Detalhe Campos'!C:C,"Tabela Output",'2. Status Detalhe Campos'!J:J,'1. Status Resumo'!H14)</f>
        <v>61</v>
      </c>
      <c r="I17" s="310">
        <f>COUNTIFS('2. Status Detalhe Campos'!B:B,"B02.00",'2. Status Detalhe Campos'!C:C,"Tabela Output",'2. Status Detalhe Campos'!J:J,'1. Status Resumo'!I14)</f>
        <v>7</v>
      </c>
      <c r="J17" s="311">
        <f>COUNTIFS('2. Status Detalhe Campos'!B:B,"B02.00",'2. Status Detalhe Campos'!C:C,"Tabela Output",'2. Status Detalhe Campos'!J:J,'1. Status Resumo'!J14)</f>
        <v>8</v>
      </c>
      <c r="K17" s="292">
        <f>SUM(F17:J17)</f>
        <v>81</v>
      </c>
      <c r="L17" s="462"/>
      <c r="M17" s="463"/>
      <c r="N17" s="463"/>
      <c r="O17" s="463"/>
      <c r="P17" s="463"/>
      <c r="Q17" s="463"/>
      <c r="R17" s="463"/>
      <c r="S17" s="463"/>
      <c r="T17" s="463"/>
      <c r="U17" s="463"/>
      <c r="V17" s="463"/>
      <c r="W17" s="463"/>
      <c r="X17" s="463"/>
      <c r="Y17" s="464"/>
      <c r="Z17" s="269"/>
      <c r="AA17" s="1"/>
    </row>
    <row r="18" spans="2:27" ht="19.2" hidden="1" x14ac:dyDescent="0.5">
      <c r="B18" s="1"/>
      <c r="C18" s="264" t="s">
        <v>869</v>
      </c>
      <c r="D18" s="500" t="s">
        <v>873</v>
      </c>
      <c r="E18" s="501"/>
      <c r="F18" s="285">
        <f>SUM(F16:F17)</f>
        <v>0</v>
      </c>
      <c r="G18" s="285">
        <f>SUM(G16:G17)</f>
        <v>17</v>
      </c>
      <c r="H18" s="285">
        <f>SUM(H16:H17)</f>
        <v>67</v>
      </c>
      <c r="I18" s="285">
        <f>SUM(I16:I17)</f>
        <v>14</v>
      </c>
      <c r="J18" s="293">
        <f>SUM(J16:J17)</f>
        <v>11</v>
      </c>
      <c r="K18" s="292">
        <f>SUM(F18:J18)</f>
        <v>109</v>
      </c>
      <c r="L18" s="462"/>
      <c r="M18" s="463"/>
      <c r="N18" s="463"/>
      <c r="O18" s="463"/>
      <c r="P18" s="463"/>
      <c r="Q18" s="463"/>
      <c r="R18" s="463"/>
      <c r="S18" s="463"/>
      <c r="T18" s="463"/>
      <c r="U18" s="463"/>
      <c r="V18" s="463"/>
      <c r="W18" s="463"/>
      <c r="X18" s="463"/>
      <c r="Y18" s="464"/>
      <c r="Z18" s="269"/>
      <c r="AA18" s="1"/>
    </row>
    <row r="19" spans="2:27" ht="19.2" hidden="1" x14ac:dyDescent="0.5">
      <c r="B19" s="1"/>
      <c r="C19" s="265" t="s">
        <v>863</v>
      </c>
      <c r="D19" s="502" t="s">
        <v>819</v>
      </c>
      <c r="E19" s="503"/>
      <c r="F19" s="503"/>
      <c r="G19" s="503"/>
      <c r="H19" s="503"/>
      <c r="I19" s="503"/>
      <c r="J19" s="504"/>
      <c r="L19" s="462"/>
      <c r="M19" s="463"/>
      <c r="N19" s="463"/>
      <c r="O19" s="463"/>
      <c r="P19" s="463"/>
      <c r="Q19" s="463"/>
      <c r="R19" s="463"/>
      <c r="S19" s="463"/>
      <c r="T19" s="463"/>
      <c r="U19" s="463"/>
      <c r="V19" s="463"/>
      <c r="W19" s="463"/>
      <c r="X19" s="463"/>
      <c r="Y19" s="464"/>
      <c r="Z19" s="269"/>
      <c r="AA19" s="1"/>
    </row>
    <row r="20" spans="2:27" ht="19.2" hidden="1" x14ac:dyDescent="0.5">
      <c r="B20" s="1"/>
      <c r="C20" s="265" t="s">
        <v>864</v>
      </c>
      <c r="D20" s="286" t="s">
        <v>872</v>
      </c>
      <c r="E20" s="287"/>
      <c r="F20" s="288">
        <f>COUNTIFS('2. Status Detalhe Campos'!B:B,"B05.00",'2. Status Detalhe Campos'!C:C,"Loan Tape",'2. Status Detalhe Campos'!J:J,'1. Status Resumo'!F14)</f>
        <v>2</v>
      </c>
      <c r="G20" s="289">
        <f>COUNTIFS('2. Status Detalhe Campos'!B:B,"B05.00",'2. Status Detalhe Campos'!C:C,"Loan Tape",'2. Status Detalhe Campos'!J:J,'1. Status Resumo'!G14)</f>
        <v>0</v>
      </c>
      <c r="H20" s="288">
        <f>COUNTIFS('2. Status Detalhe Campos'!B:B,"B05.00",'2. Status Detalhe Campos'!C:C,"Loan Tape",'2. Status Detalhe Campos'!J:J,'1. Status Resumo'!H14)</f>
        <v>0</v>
      </c>
      <c r="I20" s="288">
        <f>COUNTIFS('2. Status Detalhe Campos'!B:B,"B05.00",'2. Status Detalhe Campos'!C:C,"Loan Tape",'2. Status Detalhe Campos'!J:J,'1. Status Resumo'!I14)</f>
        <v>0</v>
      </c>
      <c r="J20" s="290">
        <f>COUNTIFS('2. Status Detalhe Campos'!B:B,"B05.00",'2. Status Detalhe Campos'!C:C,"Loan Tape",'2. Status Detalhe Campos'!J:J,'1. Status Resumo'!J14)</f>
        <v>2</v>
      </c>
      <c r="K20" s="292">
        <f t="shared" ref="K20:K21" si="0">SUM(F20:J20)</f>
        <v>4</v>
      </c>
      <c r="L20" s="462"/>
      <c r="M20" s="463"/>
      <c r="N20" s="463"/>
      <c r="O20" s="463"/>
      <c r="P20" s="463"/>
      <c r="Q20" s="463"/>
      <c r="R20" s="463"/>
      <c r="S20" s="463"/>
      <c r="T20" s="463"/>
      <c r="U20" s="463"/>
      <c r="V20" s="463"/>
      <c r="W20" s="463"/>
      <c r="X20" s="463"/>
      <c r="Y20" s="464"/>
      <c r="Z20" s="269"/>
      <c r="AA20" s="1"/>
    </row>
    <row r="21" spans="2:27" ht="19.2" hidden="1" x14ac:dyDescent="0.5">
      <c r="B21" s="1"/>
      <c r="C21" s="265" t="s">
        <v>865</v>
      </c>
      <c r="D21" s="306" t="s">
        <v>875</v>
      </c>
      <c r="E21" s="307"/>
      <c r="F21" s="308">
        <f>COUNTIFS('2. Status Detalhe Campos'!B:B,"B05.00",'2. Status Detalhe Campos'!C:C,"Tabela Output",'2. Status Detalhe Campos'!J:J,'1. Status Resumo'!F14)</f>
        <v>13</v>
      </c>
      <c r="G21" s="309">
        <f>COUNTIFS('2. Status Detalhe Campos'!B:B,"B05.00",'2. Status Detalhe Campos'!C:C,"Tabela Output",'2. Status Detalhe Campos'!J:J,'1. Status Resumo'!G14)</f>
        <v>0</v>
      </c>
      <c r="H21" s="310">
        <f>COUNTIFS('2. Status Detalhe Campos'!B:B,"B05.00",'2. Status Detalhe Campos'!C:C,"Tabela Output",'2. Status Detalhe Campos'!J:J,'1. Status Resumo'!H14)</f>
        <v>0</v>
      </c>
      <c r="I21" s="310">
        <f>COUNTIFS('2. Status Detalhe Campos'!B:B,"B05.00",'2. Status Detalhe Campos'!C:C,"Tabela Output",'2. Status Detalhe Campos'!J:J,'1. Status Resumo'!I14)</f>
        <v>0</v>
      </c>
      <c r="J21" s="311">
        <f>COUNTIFS('2. Status Detalhe Campos'!B:B,"B05.00",'2. Status Detalhe Campos'!C:C,"Tabela Output",'2. Status Detalhe Campos'!J:J,'1. Status Resumo'!J14)</f>
        <v>2</v>
      </c>
      <c r="K21" s="292">
        <f t="shared" si="0"/>
        <v>15</v>
      </c>
      <c r="L21" s="462"/>
      <c r="M21" s="463"/>
      <c r="N21" s="463"/>
      <c r="O21" s="463"/>
      <c r="P21" s="463"/>
      <c r="Q21" s="463"/>
      <c r="R21" s="463"/>
      <c r="S21" s="463"/>
      <c r="T21" s="463"/>
      <c r="U21" s="463"/>
      <c r="V21" s="463"/>
      <c r="W21" s="463"/>
      <c r="X21" s="463"/>
      <c r="Y21" s="464"/>
      <c r="Z21" s="269"/>
      <c r="AA21" s="1"/>
    </row>
    <row r="22" spans="2:27" ht="19.2" hidden="1" x14ac:dyDescent="0.5">
      <c r="B22" s="1"/>
      <c r="C22" s="264" t="s">
        <v>869</v>
      </c>
      <c r="D22" s="500" t="s">
        <v>873</v>
      </c>
      <c r="E22" s="501"/>
      <c r="F22" s="285">
        <f>SUM(F20:F21)</f>
        <v>15</v>
      </c>
      <c r="G22" s="285">
        <f>SUM(G20:G21)</f>
        <v>0</v>
      </c>
      <c r="H22" s="285">
        <f>SUM(H20:H21)</f>
        <v>0</v>
      </c>
      <c r="I22" s="285">
        <f>SUM(I20:I21)</f>
        <v>0</v>
      </c>
      <c r="J22" s="293">
        <f>SUM(J20:J21)</f>
        <v>4</v>
      </c>
      <c r="K22" s="292">
        <f>SUM(F22:J22)</f>
        <v>19</v>
      </c>
      <c r="L22" s="462"/>
      <c r="M22" s="463"/>
      <c r="N22" s="463"/>
      <c r="O22" s="463"/>
      <c r="P22" s="463"/>
      <c r="Q22" s="463"/>
      <c r="R22" s="463"/>
      <c r="S22" s="463"/>
      <c r="T22" s="463"/>
      <c r="U22" s="463"/>
      <c r="V22" s="463"/>
      <c r="W22" s="463"/>
      <c r="X22" s="463"/>
      <c r="Y22" s="464"/>
      <c r="Z22" s="269"/>
      <c r="AA22" s="1"/>
    </row>
    <row r="23" spans="2:27" ht="19.2" hidden="1" x14ac:dyDescent="0.5">
      <c r="B23" s="1"/>
      <c r="C23" s="264" t="s">
        <v>866</v>
      </c>
      <c r="D23" s="502" t="s">
        <v>840</v>
      </c>
      <c r="E23" s="503"/>
      <c r="F23" s="503"/>
      <c r="G23" s="503"/>
      <c r="H23" s="503"/>
      <c r="I23" s="503"/>
      <c r="J23" s="504"/>
      <c r="L23" s="462"/>
      <c r="M23" s="463"/>
      <c r="N23" s="463"/>
      <c r="O23" s="463"/>
      <c r="P23" s="463"/>
      <c r="Q23" s="463"/>
      <c r="R23" s="463"/>
      <c r="S23" s="463"/>
      <c r="T23" s="463"/>
      <c r="U23" s="463"/>
      <c r="V23" s="463"/>
      <c r="W23" s="463"/>
      <c r="X23" s="463"/>
      <c r="Y23" s="464"/>
      <c r="Z23" s="269"/>
      <c r="AA23" s="1"/>
    </row>
    <row r="24" spans="2:27" ht="19.2" hidden="1" x14ac:dyDescent="0.5">
      <c r="B24" s="1"/>
      <c r="C24" s="264" t="s">
        <v>867</v>
      </c>
      <c r="D24" s="286" t="s">
        <v>872</v>
      </c>
      <c r="E24" s="287"/>
      <c r="F24" s="288">
        <f>COUNTIFS('2. Status Detalhe Campos'!B:B,"B90.00",'2. Status Detalhe Campos'!C:C,"Loan Tape",'2. Status Detalhe Campos'!J:J,'1. Status Resumo'!$F$14)</f>
        <v>1</v>
      </c>
      <c r="G24" s="289">
        <f>COUNTIFS('2. Status Detalhe Campos'!B:B,"B90.00",'2. Status Detalhe Campos'!C:C,"Loan Tape",'2. Status Detalhe Campos'!J:J,'1. Status Resumo'!$G$14)</f>
        <v>8</v>
      </c>
      <c r="H24" s="288">
        <f>COUNTIFS('2. Status Detalhe Campos'!B:B,"B90.00",'2. Status Detalhe Campos'!C:C,"Loan Tape",'2. Status Detalhe Campos'!J:J,'1. Status Resumo'!$H$14)</f>
        <v>0</v>
      </c>
      <c r="I24" s="288">
        <f>COUNTIFS('2. Status Detalhe Campos'!B:B,"B90.00",'2. Status Detalhe Campos'!C:C,"Loan Tape",'2. Status Detalhe Campos'!J:J,'1. Status Resumo'!$I$14)</f>
        <v>0</v>
      </c>
      <c r="J24" s="290">
        <f>COUNTIFS('2. Status Detalhe Campos'!B:B,"B90.00",'2. Status Detalhe Campos'!C:C,"Loan Tape",'2. Status Detalhe Campos'!J:J,'1. Status Resumo'!$J$14)</f>
        <v>2</v>
      </c>
      <c r="K24" s="292">
        <f>SUM(F24:J24)</f>
        <v>11</v>
      </c>
      <c r="L24" s="462"/>
      <c r="M24" s="463"/>
      <c r="N24" s="463"/>
      <c r="O24" s="463"/>
      <c r="P24" s="463"/>
      <c r="Q24" s="463"/>
      <c r="R24" s="463"/>
      <c r="S24" s="463"/>
      <c r="T24" s="463"/>
      <c r="U24" s="463"/>
      <c r="V24" s="463"/>
      <c r="W24" s="463"/>
      <c r="X24" s="463"/>
      <c r="Y24" s="464"/>
      <c r="Z24" s="269"/>
      <c r="AA24" s="1"/>
    </row>
    <row r="25" spans="2:27" ht="19.2" hidden="1" x14ac:dyDescent="0.5">
      <c r="B25" s="1"/>
      <c r="C25" s="264" t="s">
        <v>868</v>
      </c>
      <c r="D25" s="306" t="s">
        <v>883</v>
      </c>
      <c r="E25" s="307"/>
      <c r="F25" s="308">
        <f>COUNTIFS('2. Status Detalhe Campos'!B:B,"B90.00",'2. Status Detalhe Campos'!C:C,"Tabela Output",'2. Status Detalhe Campos'!J:J,'1. Status Resumo'!$F$14)</f>
        <v>0</v>
      </c>
      <c r="G25" s="309">
        <f>COUNTIFS('2. Status Detalhe Campos'!B:B,"B90.00",'2. Status Detalhe Campos'!C:C,"Tabela Output",'2. Status Detalhe Campos'!J:J,'1. Status Resumo'!$G$14)</f>
        <v>3</v>
      </c>
      <c r="H25" s="310">
        <f>COUNTIFS('2. Status Detalhe Campos'!B:B,"B90.00",'2. Status Detalhe Campos'!C:C,"Tabela Output",'2. Status Detalhe Campos'!J:J,'1. Status Resumo'!$H$14)</f>
        <v>0</v>
      </c>
      <c r="I25" s="310">
        <f>COUNTIFS('2. Status Detalhe Campos'!B:B,"B90.00",'2. Status Detalhe Campos'!C:C,"Tabela Output",'2. Status Detalhe Campos'!J:J,'1. Status Resumo'!$I$14)</f>
        <v>0</v>
      </c>
      <c r="J25" s="311">
        <f>COUNTIFS('2. Status Detalhe Campos'!B:B,"B90.00",'2. Status Detalhe Campos'!C:C,"Tabela Output",'2. Status Detalhe Campos'!J:J,'1. Status Resumo'!$J$14)</f>
        <v>8</v>
      </c>
      <c r="K25" s="292">
        <f>SUM(F25:J25)</f>
        <v>11</v>
      </c>
      <c r="L25" s="462"/>
      <c r="M25" s="463"/>
      <c r="N25" s="463"/>
      <c r="O25" s="463"/>
      <c r="P25" s="463"/>
      <c r="Q25" s="463"/>
      <c r="R25" s="463"/>
      <c r="S25" s="463"/>
      <c r="T25" s="463"/>
      <c r="U25" s="463"/>
      <c r="V25" s="463"/>
      <c r="W25" s="463"/>
      <c r="X25" s="463"/>
      <c r="Y25" s="464"/>
      <c r="Z25" s="269"/>
      <c r="AA25" s="1"/>
    </row>
    <row r="26" spans="2:27" ht="19.2" hidden="1" x14ac:dyDescent="0.5">
      <c r="B26" s="1"/>
      <c r="C26" s="264" t="s">
        <v>869</v>
      </c>
      <c r="D26" s="498" t="s">
        <v>873</v>
      </c>
      <c r="E26" s="499"/>
      <c r="F26" s="291">
        <f>SUM(F24:F25)</f>
        <v>1</v>
      </c>
      <c r="G26" s="291">
        <f>SUM(G24:G25)</f>
        <v>11</v>
      </c>
      <c r="H26" s="291">
        <f>SUM(H24:H25)</f>
        <v>0</v>
      </c>
      <c r="I26" s="291">
        <f>SUM(I24:I25)</f>
        <v>0</v>
      </c>
      <c r="J26" s="294">
        <f>SUM(J24:J25)</f>
        <v>10</v>
      </c>
      <c r="K26" s="292">
        <f>SUM(F26:J26)</f>
        <v>22</v>
      </c>
      <c r="L26" s="462"/>
      <c r="M26" s="463"/>
      <c r="N26" s="463"/>
      <c r="O26" s="463"/>
      <c r="P26" s="463"/>
      <c r="Q26" s="463"/>
      <c r="R26" s="463"/>
      <c r="S26" s="463"/>
      <c r="T26" s="463"/>
      <c r="U26" s="463"/>
      <c r="V26" s="463"/>
      <c r="W26" s="463"/>
      <c r="X26" s="463"/>
      <c r="Y26" s="464"/>
      <c r="Z26" s="269"/>
      <c r="AA26" s="1"/>
    </row>
    <row r="27" spans="2:27" ht="19.2" hidden="1" x14ac:dyDescent="0.5">
      <c r="B27" s="1"/>
      <c r="C27" s="264"/>
      <c r="D27" s="312"/>
      <c r="E27" s="312"/>
      <c r="F27" s="313"/>
      <c r="G27" s="313"/>
      <c r="H27" s="313"/>
      <c r="I27" s="313"/>
      <c r="J27" s="313"/>
      <c r="K27" s="292"/>
      <c r="L27" s="462"/>
      <c r="M27" s="463"/>
      <c r="N27" s="463"/>
      <c r="O27" s="463"/>
      <c r="P27" s="463"/>
      <c r="Q27" s="463"/>
      <c r="R27" s="463"/>
      <c r="S27" s="463"/>
      <c r="T27" s="463"/>
      <c r="U27" s="463"/>
      <c r="V27" s="463"/>
      <c r="W27" s="463"/>
      <c r="X27" s="463"/>
      <c r="Y27" s="464"/>
      <c r="Z27" s="269"/>
      <c r="AA27" s="1"/>
    </row>
    <row r="28" spans="2:27" ht="17.399999999999999" hidden="1" x14ac:dyDescent="0.45">
      <c r="B28" s="1"/>
      <c r="C28" s="264"/>
      <c r="D28" s="314" t="s">
        <v>893</v>
      </c>
      <c r="E28" s="315"/>
      <c r="F28" s="315"/>
      <c r="G28" s="315"/>
      <c r="H28" s="315"/>
      <c r="I28" s="315"/>
      <c r="J28" s="315"/>
      <c r="K28" s="315"/>
      <c r="L28" s="462"/>
      <c r="M28" s="463"/>
      <c r="N28" s="463"/>
      <c r="O28" s="463"/>
      <c r="P28" s="463"/>
      <c r="Q28" s="463"/>
      <c r="R28" s="463"/>
      <c r="S28" s="463"/>
      <c r="T28" s="463"/>
      <c r="U28" s="463"/>
      <c r="V28" s="463"/>
      <c r="W28" s="463"/>
      <c r="X28" s="463"/>
      <c r="Y28" s="464"/>
      <c r="Z28" s="269"/>
      <c r="AA28" s="1"/>
    </row>
    <row r="29" spans="2:27" ht="4.95" hidden="1" customHeight="1" x14ac:dyDescent="0.45">
      <c r="B29" s="1"/>
      <c r="C29" s="264"/>
      <c r="D29" s="316"/>
      <c r="E29" s="315"/>
      <c r="F29" s="315"/>
      <c r="G29" s="315"/>
      <c r="H29" s="317"/>
      <c r="I29" s="317"/>
      <c r="J29" s="317"/>
      <c r="K29" s="317"/>
      <c r="L29" s="462"/>
      <c r="M29" s="463"/>
      <c r="N29" s="463"/>
      <c r="O29" s="463"/>
      <c r="P29" s="463"/>
      <c r="Q29" s="463"/>
      <c r="R29" s="463"/>
      <c r="S29" s="463"/>
      <c r="T29" s="463"/>
      <c r="U29" s="463"/>
      <c r="V29" s="463"/>
      <c r="W29" s="463"/>
      <c r="X29" s="463"/>
      <c r="Y29" s="464"/>
      <c r="Z29" s="269"/>
      <c r="AA29" s="1"/>
    </row>
    <row r="30" spans="2:27" ht="19.2" hidden="1" x14ac:dyDescent="0.5">
      <c r="B30" s="1"/>
      <c r="C30" s="264"/>
      <c r="D30" s="487" t="s">
        <v>874</v>
      </c>
      <c r="E30" s="486"/>
      <c r="F30" s="505" t="s">
        <v>871</v>
      </c>
      <c r="G30" s="505"/>
      <c r="H30" s="505"/>
      <c r="I30" s="505"/>
      <c r="J30" s="506"/>
      <c r="L30" s="462"/>
      <c r="M30" s="463"/>
      <c r="N30" s="463"/>
      <c r="O30" s="463"/>
      <c r="P30" s="463"/>
      <c r="Q30" s="463"/>
      <c r="R30" s="463"/>
      <c r="S30" s="463"/>
      <c r="T30" s="463"/>
      <c r="U30" s="463"/>
      <c r="V30" s="463"/>
      <c r="W30" s="463"/>
      <c r="X30" s="463"/>
      <c r="Y30" s="464"/>
      <c r="Z30" s="269"/>
      <c r="AA30" s="1"/>
    </row>
    <row r="31" spans="2:27" ht="28.95" hidden="1" customHeight="1" x14ac:dyDescent="0.45">
      <c r="B31" s="1"/>
      <c r="C31" s="264"/>
      <c r="D31" s="487"/>
      <c r="E31" s="486"/>
      <c r="F31" s="318" t="s">
        <v>801</v>
      </c>
      <c r="G31" s="302" t="s">
        <v>235</v>
      </c>
      <c r="H31" s="303" t="s">
        <v>147</v>
      </c>
      <c r="I31" s="305" t="s">
        <v>879</v>
      </c>
      <c r="J31" s="304" t="s">
        <v>882</v>
      </c>
      <c r="L31" s="462"/>
      <c r="M31" s="463"/>
      <c r="N31" s="463"/>
      <c r="O31" s="463"/>
      <c r="P31" s="463"/>
      <c r="Q31" s="463"/>
      <c r="R31" s="463"/>
      <c r="S31" s="463"/>
      <c r="T31" s="463"/>
      <c r="U31" s="463"/>
      <c r="V31" s="463"/>
      <c r="W31" s="463"/>
      <c r="X31" s="463"/>
      <c r="Y31" s="464"/>
      <c r="Z31" s="269"/>
      <c r="AA31" s="1"/>
    </row>
    <row r="32" spans="2:27" ht="19.2" hidden="1" x14ac:dyDescent="0.5">
      <c r="B32" s="1"/>
      <c r="C32" s="264"/>
      <c r="D32" s="323" t="s">
        <v>0</v>
      </c>
      <c r="E32" s="324"/>
      <c r="F32" s="424">
        <f>COUNTIFS('2. Status Detalhe Campos'!$B:$B,$D$32,'2. Status Detalhe Campos'!$C:$C,"Controlos",'2. Status Detalhe Campos'!$J:$J,F$31)</f>
        <v>29</v>
      </c>
      <c r="G32" s="424">
        <f>COUNTIFS('2. Status Detalhe Campos'!$B:$B,$D$32,'2. Status Detalhe Campos'!$C:$C,"Controlos",'2. Status Detalhe Campos'!$J:$J,G$31)</f>
        <v>0</v>
      </c>
      <c r="H32" s="424">
        <f>COUNTIFS('2. Status Detalhe Campos'!$B:$B,$D$32,'2. Status Detalhe Campos'!$C:$C,"Controlos",'2. Status Detalhe Campos'!$J:$J,H$31)</f>
        <v>92</v>
      </c>
      <c r="I32" s="424">
        <f>COUNTIFS('2. Status Detalhe Campos'!$B:$B,$D$32,'2. Status Detalhe Campos'!$C:$C,"Controlos",'2. Status Detalhe Campos'!$J:$J,I$31)</f>
        <v>6</v>
      </c>
      <c r="J32" s="426">
        <f>COUNTIFS('2. Status Detalhe Campos'!$B:$B,$D$32,'2. Status Detalhe Campos'!$C:$C,"Controlos",'2. Status Detalhe Campos'!$J:$J,J$31)</f>
        <v>27</v>
      </c>
      <c r="K32" s="292">
        <f>SUM(F32:J32)</f>
        <v>154</v>
      </c>
      <c r="L32" s="462"/>
      <c r="M32" s="463"/>
      <c r="N32" s="463"/>
      <c r="O32" s="463"/>
      <c r="P32" s="463"/>
      <c r="Q32" s="463"/>
      <c r="R32" s="463"/>
      <c r="S32" s="463"/>
      <c r="T32" s="463"/>
      <c r="U32" s="463"/>
      <c r="V32" s="463"/>
      <c r="W32" s="463"/>
      <c r="X32" s="463"/>
      <c r="Y32" s="464"/>
      <c r="Z32" s="269"/>
      <c r="AA32" s="1"/>
    </row>
    <row r="33" spans="2:27" ht="19.2" hidden="1" customHeight="1" x14ac:dyDescent="0.5">
      <c r="B33" s="1"/>
      <c r="C33" s="264"/>
      <c r="D33" s="323" t="s">
        <v>819</v>
      </c>
      <c r="E33" s="324"/>
      <c r="F33" s="424">
        <v>18</v>
      </c>
      <c r="G33" s="424">
        <f>COUNTIFS('2. Status Detalhe Campos'!$B:$B,$D$33,'2. Status Detalhe Campos'!$C:$C,"Controlos",'2. Status Detalhe Campos'!$J:$J,G$31)</f>
        <v>0</v>
      </c>
      <c r="H33" s="424">
        <f>COUNTIFS('2. Status Detalhe Campos'!$B:$B,$D$33,'2. Status Detalhe Campos'!$C:$C,"Controlos",'2. Status Detalhe Campos'!$J:$J,H$31)</f>
        <v>0</v>
      </c>
      <c r="I33" s="424">
        <f>COUNTIFS('2. Status Detalhe Campos'!$B:$B,$D$33,'2. Status Detalhe Campos'!$C:$C,"Controlos",'2. Status Detalhe Campos'!$J:$J,I$31)</f>
        <v>0</v>
      </c>
      <c r="J33" s="425">
        <v>3</v>
      </c>
      <c r="K33" s="292">
        <f>SUM(F33:J33)</f>
        <v>21</v>
      </c>
      <c r="L33" s="462"/>
      <c r="M33" s="463"/>
      <c r="N33" s="463"/>
      <c r="O33" s="463"/>
      <c r="P33" s="463"/>
      <c r="Q33" s="463"/>
      <c r="R33" s="463"/>
      <c r="S33" s="463"/>
      <c r="T33" s="463"/>
      <c r="U33" s="463"/>
      <c r="V33" s="463"/>
      <c r="W33" s="463"/>
      <c r="X33" s="463"/>
      <c r="Y33" s="464"/>
      <c r="Z33" s="269"/>
      <c r="AA33" s="1"/>
    </row>
    <row r="34" spans="2:27" ht="19.2" hidden="1" x14ac:dyDescent="0.5">
      <c r="B34" s="1"/>
      <c r="C34" s="264"/>
      <c r="D34" s="323" t="s">
        <v>840</v>
      </c>
      <c r="E34" s="324"/>
      <c r="F34" s="424">
        <v>13</v>
      </c>
      <c r="G34" s="424">
        <f>COUNTIFS('2. Status Detalhe Campos'!$B:$B,$D$34,'2. Status Detalhe Campos'!$C:$C,"Controlos",'2. Status Detalhe Campos'!$J:$J,G$31)</f>
        <v>0</v>
      </c>
      <c r="H34" s="424">
        <f>COUNTIFS('2. Status Detalhe Campos'!$B:$B,$D$34,'2. Status Detalhe Campos'!$C:$C,"Controlos",'2. Status Detalhe Campos'!$J:$J,H$31)</f>
        <v>0</v>
      </c>
      <c r="I34" s="424">
        <f>COUNTIFS('2. Status Detalhe Campos'!$B:$B,$D$34,'2. Status Detalhe Campos'!$C:$C,"Controlos",'2. Status Detalhe Campos'!$J:$J,I$31)</f>
        <v>0</v>
      </c>
      <c r="J34" s="425">
        <v>3</v>
      </c>
      <c r="K34" s="292">
        <f>SUM(F34:J34)</f>
        <v>16</v>
      </c>
      <c r="L34" s="462"/>
      <c r="M34" s="463"/>
      <c r="N34" s="463"/>
      <c r="O34" s="463"/>
      <c r="P34" s="463"/>
      <c r="Q34" s="463"/>
      <c r="R34" s="463"/>
      <c r="S34" s="463"/>
      <c r="T34" s="463"/>
      <c r="U34" s="463"/>
      <c r="V34" s="463"/>
      <c r="W34" s="463"/>
      <c r="X34" s="463"/>
      <c r="Y34" s="464"/>
      <c r="Z34" s="269"/>
      <c r="AA34" s="1"/>
    </row>
    <row r="35" spans="2:27" ht="19.2" hidden="1" x14ac:dyDescent="0.5">
      <c r="B35" s="1"/>
      <c r="C35" s="264"/>
      <c r="D35" s="321" t="s">
        <v>873</v>
      </c>
      <c r="E35" s="322"/>
      <c r="F35" s="319">
        <f>SUM(F32:F34)</f>
        <v>60</v>
      </c>
      <c r="G35" s="319">
        <f>SUM(G32:G34)</f>
        <v>0</v>
      </c>
      <c r="H35" s="319">
        <f>SUM(H32:H34)</f>
        <v>92</v>
      </c>
      <c r="I35" s="319">
        <f>SUM(I32:I34)</f>
        <v>6</v>
      </c>
      <c r="J35" s="320">
        <f>SUM(J32:J34)</f>
        <v>33</v>
      </c>
      <c r="K35" s="292">
        <f>SUM(F35:J35)</f>
        <v>191</v>
      </c>
      <c r="L35" s="462"/>
      <c r="M35" s="463"/>
      <c r="N35" s="463"/>
      <c r="O35" s="463"/>
      <c r="P35" s="463"/>
      <c r="Q35" s="463"/>
      <c r="R35" s="463"/>
      <c r="S35" s="463"/>
      <c r="T35" s="463"/>
      <c r="U35" s="463"/>
      <c r="V35" s="463"/>
      <c r="W35" s="463"/>
      <c r="X35" s="463"/>
      <c r="Y35" s="464"/>
      <c r="Z35" s="269"/>
      <c r="AA35" s="1"/>
    </row>
    <row r="36" spans="2:27" ht="19.2" hidden="1" x14ac:dyDescent="0.5">
      <c r="B36" s="1"/>
      <c r="C36" s="264"/>
      <c r="D36" s="312"/>
      <c r="E36" s="312"/>
      <c r="F36" s="313"/>
      <c r="G36" s="313"/>
      <c r="H36" s="313"/>
      <c r="I36" s="313"/>
      <c r="J36" s="313"/>
      <c r="K36" s="292"/>
      <c r="L36" s="462"/>
      <c r="M36" s="463"/>
      <c r="N36" s="463"/>
      <c r="O36" s="463"/>
      <c r="P36" s="463"/>
      <c r="Q36" s="463"/>
      <c r="R36" s="463"/>
      <c r="S36" s="463"/>
      <c r="T36" s="463"/>
      <c r="U36" s="463"/>
      <c r="V36" s="463"/>
      <c r="W36" s="463"/>
      <c r="X36" s="463"/>
      <c r="Y36" s="464"/>
      <c r="Z36" s="269"/>
      <c r="AA36" s="1"/>
    </row>
    <row r="37" spans="2:27" ht="19.2" x14ac:dyDescent="0.5">
      <c r="B37" s="1"/>
      <c r="C37" s="264"/>
      <c r="D37" s="314" t="s">
        <v>1131</v>
      </c>
      <c r="E37" s="313"/>
      <c r="F37" s="313"/>
      <c r="G37" s="313"/>
      <c r="H37" s="313"/>
      <c r="I37" s="313"/>
      <c r="J37" s="313"/>
      <c r="K37" s="292"/>
      <c r="L37" s="292"/>
      <c r="M37" s="292"/>
      <c r="N37" s="292"/>
      <c r="O37" s="292"/>
      <c r="P37" s="292"/>
      <c r="Q37" s="292"/>
      <c r="R37" s="292"/>
      <c r="S37" s="292"/>
      <c r="T37" s="292"/>
      <c r="U37" s="292"/>
      <c r="V37" s="292"/>
      <c r="W37" s="292"/>
      <c r="X37" s="292"/>
      <c r="Y37" s="292"/>
      <c r="Z37" s="269"/>
      <c r="AA37" s="1"/>
    </row>
    <row r="38" spans="2:27" ht="4.95" customHeight="1" x14ac:dyDescent="0.5">
      <c r="B38" s="1"/>
      <c r="C38" s="264"/>
      <c r="D38" s="312"/>
      <c r="E38" s="313"/>
      <c r="F38" s="313"/>
      <c r="G38" s="313"/>
      <c r="H38" s="313"/>
      <c r="I38" s="313"/>
      <c r="J38" s="313"/>
      <c r="K38" s="292"/>
      <c r="L38" s="292"/>
      <c r="M38" s="292"/>
      <c r="N38" s="292"/>
      <c r="O38" s="292"/>
      <c r="P38" s="292"/>
      <c r="Q38" s="292"/>
      <c r="R38" s="292"/>
      <c r="S38" s="292"/>
      <c r="T38" s="292"/>
      <c r="U38" s="292"/>
      <c r="V38" s="292"/>
      <c r="W38" s="292"/>
      <c r="X38" s="292"/>
      <c r="Y38" s="292"/>
      <c r="Z38" s="269"/>
      <c r="AA38" s="1"/>
    </row>
    <row r="39" spans="2:27" ht="19.2" x14ac:dyDescent="0.5">
      <c r="B39" s="1"/>
      <c r="C39" s="264"/>
      <c r="D39" s="485" t="s">
        <v>874</v>
      </c>
      <c r="E39" s="486"/>
      <c r="F39" s="449" t="s">
        <v>871</v>
      </c>
      <c r="G39" s="450"/>
      <c r="H39" s="450"/>
      <c r="I39" s="453"/>
      <c r="J39" s="445"/>
      <c r="K39" s="292"/>
      <c r="L39" s="292"/>
      <c r="M39" s="292"/>
      <c r="N39" s="292"/>
      <c r="O39" s="292"/>
      <c r="P39" s="292"/>
      <c r="Q39" s="292"/>
      <c r="R39" s="292"/>
      <c r="S39" s="292"/>
      <c r="T39" s="292"/>
      <c r="U39" s="292"/>
      <c r="V39" s="292"/>
      <c r="W39" s="292"/>
      <c r="X39" s="292"/>
      <c r="Y39" s="292"/>
      <c r="Z39" s="269"/>
      <c r="AA39" s="1"/>
    </row>
    <row r="40" spans="2:27" ht="28.95" customHeight="1" x14ac:dyDescent="0.45">
      <c r="B40" s="1"/>
      <c r="C40" s="264"/>
      <c r="D40" s="487"/>
      <c r="E40" s="486"/>
      <c r="F40" s="447" t="s">
        <v>1128</v>
      </c>
      <c r="G40" s="447" t="s">
        <v>1129</v>
      </c>
      <c r="H40" s="302" t="s">
        <v>235</v>
      </c>
      <c r="I40" s="304" t="s">
        <v>1130</v>
      </c>
      <c r="J40" s="451"/>
      <c r="K40" s="292"/>
      <c r="L40" s="292"/>
      <c r="M40" s="292"/>
      <c r="N40" s="292"/>
      <c r="O40" s="292"/>
      <c r="P40" s="292"/>
      <c r="Q40" s="292"/>
      <c r="R40" s="292"/>
      <c r="S40" s="292"/>
      <c r="T40" s="292"/>
      <c r="U40" s="292"/>
      <c r="V40" s="292"/>
      <c r="W40" s="292"/>
      <c r="X40" s="292"/>
      <c r="Y40" s="292"/>
      <c r="Z40" s="269"/>
      <c r="AA40" s="1"/>
    </row>
    <row r="41" spans="2:27" ht="19.2" x14ac:dyDescent="0.5">
      <c r="B41" s="1"/>
      <c r="C41" s="264"/>
      <c r="D41" s="323" t="s">
        <v>0</v>
      </c>
      <c r="E41" s="324"/>
      <c r="F41" s="424">
        <f>COUNTIFS('2. Status Detalhe Campos'!$B:$B,'1. Status Resumo'!$D$41,'2. Status Detalhe Campos'!$I:$I,'1. Status Resumo'!F40)</f>
        <v>13</v>
      </c>
      <c r="G41" s="424">
        <f>COUNTIFS('2. Status Detalhe Campos'!$B:$B,'1. Status Resumo'!$D$41,'2. Status Detalhe Campos'!$I:$I,'1. Status Resumo'!G40)</f>
        <v>61</v>
      </c>
      <c r="H41" s="424">
        <f>COUNTIFS('2. Status Detalhe Campos'!$B:$B,'1. Status Resumo'!$D$41,'2. Status Detalhe Campos'!$I:$I,'1. Status Resumo'!H40)</f>
        <v>0</v>
      </c>
      <c r="I41" s="425">
        <f>COUNTIFS('2. Status Detalhe Campos'!$B:$B,'1. Status Resumo'!$D$41,'2. Status Detalhe Campos'!$I:$I,'1. Status Resumo'!I40)</f>
        <v>7</v>
      </c>
      <c r="J41" s="292">
        <f>SUM(E41:I41)</f>
        <v>81</v>
      </c>
      <c r="K41" s="292"/>
      <c r="L41" s="292"/>
      <c r="M41" s="292"/>
      <c r="N41" s="292"/>
      <c r="O41" s="292"/>
      <c r="P41" s="292"/>
      <c r="Q41" s="292"/>
      <c r="R41" s="292"/>
      <c r="S41" s="292"/>
      <c r="T41" s="292"/>
      <c r="U41" s="292"/>
      <c r="V41" s="292"/>
      <c r="W41" s="292"/>
      <c r="X41" s="292"/>
      <c r="Y41" s="292"/>
      <c r="Z41" s="269"/>
      <c r="AA41" s="1"/>
    </row>
    <row r="42" spans="2:27" ht="19.2" x14ac:dyDescent="0.5">
      <c r="B42" s="1"/>
      <c r="C42" s="264"/>
      <c r="D42" s="323" t="s">
        <v>840</v>
      </c>
      <c r="E42" s="324"/>
      <c r="F42" s="424">
        <f>COUNTIFS('2. Status Detalhe Campos'!$B:$B,'1. Status Resumo'!$D$42,'2. Status Detalhe Campos'!$I:$I,'1. Status Resumo'!F40)</f>
        <v>6</v>
      </c>
      <c r="G42" s="424">
        <f>COUNTIFS('2. Status Detalhe Campos'!$B:$B,'1. Status Resumo'!$D$42,'2. Status Detalhe Campos'!$I:$I,'1. Status Resumo'!G40)</f>
        <v>4</v>
      </c>
      <c r="H42" s="424">
        <f>COUNTIFS('2. Status Detalhe Campos'!$B:$B,'1. Status Resumo'!$D$42,'2. Status Detalhe Campos'!$I:$I,'1. Status Resumo'!H40)</f>
        <v>0</v>
      </c>
      <c r="I42" s="425">
        <f>COUNTIFS('2. Status Detalhe Campos'!$B:$B,'1. Status Resumo'!$D$42,'2. Status Detalhe Campos'!$I:$I,'1. Status Resumo'!I40)</f>
        <v>1</v>
      </c>
      <c r="J42" s="292">
        <f>SUM(E42:I42)</f>
        <v>11</v>
      </c>
      <c r="K42" s="292"/>
      <c r="L42" s="292"/>
      <c r="M42" s="292"/>
      <c r="N42" s="292"/>
      <c r="O42" s="292"/>
      <c r="P42" s="292"/>
      <c r="Q42" s="292"/>
      <c r="R42" s="292"/>
      <c r="S42" s="292"/>
      <c r="T42" s="292"/>
      <c r="U42" s="292"/>
      <c r="V42" s="292"/>
      <c r="W42" s="292"/>
      <c r="X42" s="292"/>
      <c r="Y42" s="292"/>
      <c r="Z42" s="269"/>
      <c r="AA42" s="1"/>
    </row>
    <row r="43" spans="2:27" ht="19.2" x14ac:dyDescent="0.5">
      <c r="B43" s="1"/>
      <c r="C43" s="264"/>
      <c r="D43" s="448" t="s">
        <v>873</v>
      </c>
      <c r="E43" s="322"/>
      <c r="F43" s="319">
        <f>SUM(F41:F42)</f>
        <v>19</v>
      </c>
      <c r="G43" s="319">
        <f t="shared" ref="G43:I43" si="1">SUM(G41:G42)</f>
        <v>65</v>
      </c>
      <c r="H43" s="319">
        <f t="shared" si="1"/>
        <v>0</v>
      </c>
      <c r="I43" s="446">
        <f t="shared" si="1"/>
        <v>8</v>
      </c>
      <c r="J43" s="452"/>
      <c r="K43" s="292"/>
      <c r="L43" s="292"/>
      <c r="M43" s="292"/>
      <c r="N43" s="292"/>
      <c r="O43" s="292"/>
      <c r="P43" s="292"/>
      <c r="Q43" s="292"/>
      <c r="R43" s="292"/>
      <c r="S43" s="292"/>
      <c r="T43" s="292"/>
      <c r="U43" s="292"/>
      <c r="V43" s="292"/>
      <c r="W43" s="292"/>
      <c r="X43" s="292"/>
      <c r="Y43" s="292"/>
      <c r="Z43" s="269"/>
      <c r="AA43" s="1"/>
    </row>
    <row r="44" spans="2:27" ht="19.2" x14ac:dyDescent="0.5">
      <c r="B44" s="1"/>
      <c r="C44" s="264"/>
      <c r="D44" s="452"/>
      <c r="E44" s="452"/>
      <c r="F44" s="452"/>
      <c r="G44" s="452"/>
      <c r="H44" s="452"/>
      <c r="I44" s="452"/>
      <c r="J44" s="452"/>
      <c r="K44" s="292"/>
      <c r="L44" s="292"/>
      <c r="M44" s="292"/>
      <c r="N44" s="292"/>
      <c r="O44" s="292"/>
      <c r="P44" s="292"/>
      <c r="Q44" s="292"/>
      <c r="R44" s="292"/>
      <c r="S44" s="292"/>
      <c r="T44" s="292"/>
      <c r="U44" s="292"/>
      <c r="V44" s="292"/>
      <c r="W44" s="292"/>
      <c r="X44" s="292"/>
      <c r="Y44" s="292"/>
      <c r="Z44" s="269"/>
      <c r="AA44" s="1"/>
    </row>
    <row r="45" spans="2:27" ht="38.4" x14ac:dyDescent="0.5">
      <c r="B45" s="1"/>
      <c r="C45" s="264"/>
      <c r="D45" s="507" t="s">
        <v>1069</v>
      </c>
      <c r="E45" s="508"/>
      <c r="F45" s="438" t="s">
        <v>1134</v>
      </c>
      <c r="G45" s="483" t="s">
        <v>1135</v>
      </c>
      <c r="H45" s="484"/>
      <c r="I45" s="452"/>
      <c r="J45" s="452"/>
      <c r="K45" s="292"/>
      <c r="L45" s="292"/>
      <c r="M45" s="292"/>
      <c r="N45" s="292"/>
      <c r="O45" s="292"/>
      <c r="P45" s="292"/>
      <c r="Q45" s="292"/>
      <c r="R45" s="292"/>
      <c r="S45" s="292"/>
      <c r="T45" s="292"/>
      <c r="U45" s="292"/>
      <c r="V45" s="292"/>
      <c r="W45" s="292"/>
      <c r="X45" s="292"/>
      <c r="Y45" s="292"/>
      <c r="Z45" s="269"/>
      <c r="AA45" s="1"/>
    </row>
    <row r="46" spans="2:27" ht="19.2" x14ac:dyDescent="0.5">
      <c r="B46" s="1"/>
      <c r="C46" s="264"/>
      <c r="D46" s="439" t="s">
        <v>1132</v>
      </c>
      <c r="E46" s="440"/>
      <c r="F46" s="441">
        <f>+SUM(F47:F48)</f>
        <v>40</v>
      </c>
      <c r="G46" s="441">
        <f t="shared" ref="G46" si="2">+SUM(G47:G48)</f>
        <v>0</v>
      </c>
      <c r="H46" s="457">
        <f>+G46/F46</f>
        <v>0</v>
      </c>
      <c r="I46" s="452"/>
      <c r="J46" s="452"/>
      <c r="K46" s="292"/>
      <c r="L46" s="292"/>
      <c r="M46" s="292"/>
      <c r="N46" s="292"/>
      <c r="O46" s="292"/>
      <c r="P46" s="292"/>
      <c r="Q46" s="292"/>
      <c r="R46" s="292"/>
      <c r="S46" s="292"/>
      <c r="T46" s="292"/>
      <c r="U46" s="292"/>
      <c r="V46" s="292"/>
      <c r="W46" s="292"/>
      <c r="X46" s="292"/>
      <c r="Y46" s="292"/>
      <c r="Z46" s="269"/>
      <c r="AA46" s="1"/>
    </row>
    <row r="47" spans="2:27" ht="19.2" x14ac:dyDescent="0.5">
      <c r="B47" s="1"/>
      <c r="C47" s="264"/>
      <c r="D47" s="286" t="s">
        <v>0</v>
      </c>
      <c r="E47" s="287"/>
      <c r="F47" s="288">
        <v>39</v>
      </c>
      <c r="G47" s="289">
        <v>0</v>
      </c>
      <c r="H47" s="454">
        <f>+G47/F47</f>
        <v>0</v>
      </c>
      <c r="I47" s="465" t="s">
        <v>38</v>
      </c>
      <c r="J47" s="452"/>
      <c r="K47" s="292"/>
      <c r="L47" s="292"/>
      <c r="M47" s="292"/>
      <c r="N47" s="292"/>
      <c r="O47" s="292"/>
      <c r="P47" s="292"/>
      <c r="Q47" s="292"/>
      <c r="R47" s="292"/>
      <c r="S47" s="292"/>
      <c r="T47" s="292"/>
      <c r="U47" s="292"/>
      <c r="V47" s="292"/>
      <c r="W47" s="292"/>
      <c r="X47" s="292"/>
      <c r="Y47" s="292"/>
      <c r="Z47" s="269"/>
      <c r="AA47" s="1"/>
    </row>
    <row r="48" spans="2:27" ht="19.2" x14ac:dyDescent="0.5">
      <c r="B48" s="1"/>
      <c r="C48" s="264"/>
      <c r="D48" s="306" t="s">
        <v>840</v>
      </c>
      <c r="E48" s="307"/>
      <c r="F48" s="308">
        <v>1</v>
      </c>
      <c r="G48" s="309">
        <v>0</v>
      </c>
      <c r="H48" s="456">
        <f t="shared" ref="H48" si="3">+G48/F48</f>
        <v>0</v>
      </c>
      <c r="I48" s="466"/>
      <c r="J48" s="452"/>
      <c r="K48" s="292"/>
      <c r="L48" s="292"/>
      <c r="M48" s="292"/>
      <c r="N48" s="292"/>
      <c r="O48" s="292"/>
      <c r="P48" s="292"/>
      <c r="Q48" s="292"/>
      <c r="R48" s="292"/>
      <c r="S48" s="292"/>
      <c r="T48" s="292"/>
      <c r="U48" s="292"/>
      <c r="V48" s="292"/>
      <c r="W48" s="292"/>
      <c r="X48" s="292"/>
      <c r="Y48" s="292"/>
      <c r="Z48" s="269"/>
      <c r="AA48" s="1"/>
    </row>
    <row r="49" spans="2:29" ht="19.2" x14ac:dyDescent="0.5">
      <c r="B49" s="1"/>
      <c r="C49" s="264"/>
      <c r="D49" s="435" t="s">
        <v>1133</v>
      </c>
      <c r="E49" s="436"/>
      <c r="F49" s="437">
        <f>+SUM(F50:F51)</f>
        <v>40</v>
      </c>
      <c r="G49" s="437">
        <f t="shared" ref="G49" si="4">+SUM(G50:G51)</f>
        <v>0</v>
      </c>
      <c r="H49" s="458">
        <f>+G49/F49</f>
        <v>0</v>
      </c>
      <c r="I49" s="466"/>
      <c r="J49" s="452"/>
      <c r="K49" s="292"/>
      <c r="L49" s="292"/>
      <c r="M49" s="292"/>
      <c r="N49" s="292"/>
      <c r="O49" s="292"/>
      <c r="P49" s="292"/>
      <c r="Q49" s="292"/>
      <c r="R49" s="292"/>
      <c r="S49" s="292"/>
      <c r="T49" s="292"/>
      <c r="U49" s="292"/>
      <c r="V49" s="292"/>
      <c r="W49" s="292"/>
      <c r="X49" s="292"/>
      <c r="Y49" s="292"/>
      <c r="Z49" s="269"/>
      <c r="AA49" s="1"/>
    </row>
    <row r="50" spans="2:29" ht="19.2" x14ac:dyDescent="0.5">
      <c r="B50" s="1"/>
      <c r="C50" s="264"/>
      <c r="D50" s="286" t="s">
        <v>0</v>
      </c>
      <c r="E50" s="287"/>
      <c r="F50" s="288">
        <v>36</v>
      </c>
      <c r="G50" s="289">
        <v>0</v>
      </c>
      <c r="H50" s="454">
        <f t="shared" ref="H50:H51" si="5">+G50/F50</f>
        <v>0</v>
      </c>
      <c r="I50" s="465" t="s">
        <v>1136</v>
      </c>
      <c r="J50" s="452"/>
      <c r="K50" s="292"/>
      <c r="L50" s="292"/>
      <c r="M50" s="292"/>
      <c r="N50" s="292"/>
      <c r="O50" s="292"/>
      <c r="P50" s="292"/>
      <c r="Q50" s="292"/>
      <c r="R50" s="292"/>
      <c r="S50" s="292"/>
      <c r="T50" s="292"/>
      <c r="U50" s="292"/>
      <c r="V50" s="292"/>
      <c r="W50" s="292"/>
      <c r="X50" s="292"/>
      <c r="Y50" s="292"/>
      <c r="Z50" s="269"/>
      <c r="AA50" s="1"/>
    </row>
    <row r="51" spans="2:29" ht="19.2" x14ac:dyDescent="0.5">
      <c r="B51" s="1"/>
      <c r="C51" s="264"/>
      <c r="D51" s="442" t="s">
        <v>840</v>
      </c>
      <c r="E51" s="443"/>
      <c r="F51" s="444">
        <v>4</v>
      </c>
      <c r="G51" s="444">
        <v>0</v>
      </c>
      <c r="H51" s="455">
        <f t="shared" si="5"/>
        <v>0</v>
      </c>
      <c r="I51" s="465" t="s">
        <v>1137</v>
      </c>
      <c r="J51" s="452"/>
      <c r="K51" s="292"/>
      <c r="L51" s="292"/>
      <c r="M51" s="292"/>
      <c r="N51" s="292"/>
      <c r="O51" s="292"/>
      <c r="P51" s="292"/>
      <c r="Q51" s="292"/>
      <c r="R51" s="292"/>
      <c r="S51" s="292"/>
      <c r="T51" s="292"/>
      <c r="U51" s="292"/>
      <c r="V51" s="292"/>
      <c r="W51" s="292"/>
      <c r="X51" s="292"/>
      <c r="Y51" s="292"/>
      <c r="Z51" s="269"/>
      <c r="AA51" s="1"/>
    </row>
    <row r="52" spans="2:29" ht="17.399999999999999" x14ac:dyDescent="0.45">
      <c r="B52" s="1"/>
      <c r="C52" s="266"/>
      <c r="D52" s="267"/>
      <c r="E52" s="267"/>
      <c r="F52" s="267"/>
      <c r="G52" s="267"/>
      <c r="H52" s="267"/>
      <c r="I52" s="267"/>
      <c r="J52" s="267"/>
      <c r="K52" s="267"/>
      <c r="L52" s="267"/>
      <c r="M52" s="267"/>
      <c r="N52" s="267"/>
      <c r="O52" s="267"/>
      <c r="P52" s="267"/>
      <c r="Q52" s="267"/>
      <c r="R52" s="267"/>
      <c r="S52" s="267"/>
      <c r="T52" s="267"/>
      <c r="U52" s="267"/>
      <c r="V52" s="267"/>
      <c r="W52" s="267"/>
      <c r="X52" s="267"/>
      <c r="Y52" s="267"/>
      <c r="Z52" s="270"/>
      <c r="AA52" s="1"/>
    </row>
    <row r="53" spans="2:29" ht="17.399999999999999" x14ac:dyDescent="0.45">
      <c r="B53" s="1"/>
      <c r="C53" s="1"/>
      <c r="D53" s="1"/>
      <c r="E53" s="1"/>
      <c r="F53" s="1"/>
      <c r="G53" s="1"/>
      <c r="H53" s="1"/>
      <c r="I53" s="1"/>
      <c r="J53" s="1"/>
      <c r="K53" s="1"/>
      <c r="L53" s="1"/>
      <c r="M53" s="1"/>
      <c r="N53" s="1"/>
      <c r="O53" s="1"/>
      <c r="P53" s="1"/>
      <c r="Q53" s="1"/>
      <c r="R53" s="1"/>
      <c r="S53" s="1"/>
      <c r="T53" s="1"/>
      <c r="U53" s="1"/>
      <c r="V53" s="1"/>
      <c r="W53" s="1"/>
      <c r="X53" s="1"/>
      <c r="Y53" s="1"/>
      <c r="Z53" s="1"/>
      <c r="AA53" s="1"/>
    </row>
    <row r="54" spans="2:29" ht="17.399999999999999" hidden="1" x14ac:dyDescent="0.45">
      <c r="B54" s="1"/>
      <c r="C54" s="1"/>
      <c r="D54" s="1"/>
      <c r="E54" s="1"/>
      <c r="F54" s="1"/>
      <c r="G54" s="1"/>
      <c r="H54" s="1"/>
      <c r="I54" s="1"/>
      <c r="J54" s="1"/>
      <c r="K54" s="1"/>
      <c r="L54" s="1"/>
      <c r="M54" s="1"/>
      <c r="N54" s="1"/>
      <c r="O54" s="1"/>
      <c r="P54" s="1"/>
      <c r="Q54" s="1"/>
      <c r="R54" s="1"/>
      <c r="S54" s="1"/>
      <c r="T54" s="1"/>
      <c r="U54" s="1"/>
      <c r="V54" s="1"/>
      <c r="W54" s="1"/>
      <c r="X54" s="1"/>
      <c r="Y54" s="1"/>
      <c r="Z54" s="1"/>
      <c r="AA54" s="1"/>
    </row>
    <row r="55" spans="2:29" ht="17.399999999999999" hidden="1" x14ac:dyDescent="0.45">
      <c r="B55" s="1"/>
      <c r="C55" s="257"/>
      <c r="D55" s="258"/>
      <c r="E55" s="258"/>
      <c r="F55" s="258"/>
      <c r="G55" s="258"/>
      <c r="H55" s="258"/>
      <c r="I55" s="258"/>
      <c r="J55" s="258"/>
      <c r="K55" s="258"/>
      <c r="L55" s="258"/>
      <c r="M55" s="258"/>
      <c r="N55" s="258"/>
      <c r="O55" s="258"/>
      <c r="P55" s="258"/>
      <c r="Q55" s="258"/>
      <c r="R55" s="258"/>
      <c r="S55" s="258"/>
      <c r="T55" s="258"/>
      <c r="U55" s="258"/>
      <c r="V55" s="258"/>
      <c r="W55" s="258"/>
      <c r="X55" s="258"/>
      <c r="Y55" s="258"/>
      <c r="Z55" s="268"/>
      <c r="AA55" s="1"/>
    </row>
    <row r="56" spans="2:29" ht="17.399999999999999" hidden="1" x14ac:dyDescent="0.45">
      <c r="B56" s="1"/>
      <c r="C56" s="259"/>
      <c r="D56" s="260"/>
      <c r="E56" s="260"/>
      <c r="F56" s="260"/>
      <c r="G56" s="260"/>
      <c r="H56" s="260"/>
      <c r="I56" s="260"/>
      <c r="J56" s="260"/>
      <c r="K56" s="260"/>
      <c r="L56" s="260"/>
      <c r="M56" s="260"/>
      <c r="N56" s="260"/>
      <c r="O56" s="260"/>
      <c r="P56" s="260"/>
      <c r="Q56" s="260"/>
      <c r="R56" s="260"/>
      <c r="S56" s="260"/>
      <c r="T56" s="260"/>
      <c r="U56" s="260"/>
      <c r="V56" s="260"/>
      <c r="W56" s="2"/>
      <c r="X56" s="2"/>
      <c r="Y56" s="2"/>
      <c r="Z56" s="269"/>
      <c r="AA56" s="1"/>
    </row>
    <row r="57" spans="2:29" ht="22.2" hidden="1" x14ac:dyDescent="0.55000000000000004">
      <c r="B57" s="1"/>
      <c r="C57" s="259"/>
      <c r="D57" s="273" t="s">
        <v>0</v>
      </c>
      <c r="E57" s="272"/>
      <c r="F57" s="272"/>
      <c r="G57" s="272"/>
      <c r="H57" s="272"/>
      <c r="I57" s="272"/>
      <c r="J57" s="272"/>
      <c r="K57" s="272"/>
      <c r="L57" s="272"/>
      <c r="M57" s="272"/>
      <c r="N57" s="272"/>
      <c r="O57" s="272"/>
      <c r="P57" s="272"/>
      <c r="Q57" s="272"/>
      <c r="R57" s="272"/>
      <c r="S57" s="272"/>
      <c r="T57" s="272"/>
      <c r="U57" s="272"/>
      <c r="V57" s="272"/>
      <c r="W57" s="272"/>
      <c r="X57" s="272"/>
      <c r="Y57" s="272"/>
      <c r="Z57" s="269"/>
      <c r="AA57" s="1"/>
    </row>
    <row r="58" spans="2:29" ht="17.399999999999999" hidden="1" x14ac:dyDescent="0.45">
      <c r="B58" s="1"/>
      <c r="C58" s="259"/>
      <c r="D58" s="262"/>
      <c r="E58" s="262"/>
      <c r="F58" s="262"/>
      <c r="G58" s="262"/>
      <c r="H58" s="262"/>
      <c r="I58" s="262"/>
      <c r="J58" s="262"/>
      <c r="K58" s="262"/>
      <c r="L58" s="262"/>
      <c r="M58" s="262"/>
      <c r="N58" s="262"/>
      <c r="O58" s="262"/>
      <c r="P58" s="262"/>
      <c r="Q58" s="262"/>
      <c r="R58" s="262"/>
      <c r="S58" s="262"/>
      <c r="T58" s="262"/>
      <c r="U58" s="262"/>
      <c r="V58" s="262"/>
      <c r="W58" s="262"/>
      <c r="X58" s="262"/>
      <c r="Y58" s="262"/>
      <c r="Z58" s="269"/>
      <c r="AA58" s="1"/>
    </row>
    <row r="59" spans="2:29" ht="17.399999999999999" hidden="1" x14ac:dyDescent="0.45">
      <c r="B59" s="1"/>
      <c r="C59" s="259"/>
      <c r="L59" s="271"/>
      <c r="O59" s="2"/>
      <c r="P59" s="271"/>
      <c r="Q59" s="2"/>
      <c r="R59" s="2"/>
      <c r="S59" s="2"/>
      <c r="T59" s="2"/>
      <c r="U59" s="2"/>
      <c r="V59" s="2"/>
      <c r="W59" s="2"/>
      <c r="X59" s="2"/>
      <c r="Y59" s="2"/>
      <c r="Z59" s="269"/>
      <c r="AA59" s="1"/>
    </row>
    <row r="60" spans="2:29" ht="17.399999999999999" hidden="1" x14ac:dyDescent="0.45">
      <c r="B60" s="1"/>
      <c r="C60" s="259"/>
      <c r="P60" s="271" t="s">
        <v>877</v>
      </c>
      <c r="Z60" s="269"/>
      <c r="AA60" s="1"/>
    </row>
    <row r="61" spans="2:29" ht="17.7" hidden="1" customHeight="1" x14ac:dyDescent="0.45">
      <c r="B61" s="1"/>
      <c r="C61" s="263" t="s">
        <v>860</v>
      </c>
      <c r="P61" s="489" t="s">
        <v>1100</v>
      </c>
      <c r="Q61" s="490"/>
      <c r="R61" s="490"/>
      <c r="S61" s="490"/>
      <c r="T61" s="490"/>
      <c r="U61" s="490"/>
      <c r="V61" s="490"/>
      <c r="W61" s="490"/>
      <c r="X61" s="490"/>
      <c r="Y61" s="491"/>
      <c r="Z61" s="269"/>
      <c r="AA61" s="1"/>
      <c r="AC61" s="282"/>
    </row>
    <row r="62" spans="2:29" ht="17.399999999999999" hidden="1" x14ac:dyDescent="0.45">
      <c r="B62" s="1"/>
      <c r="C62" s="264" t="s">
        <v>861</v>
      </c>
      <c r="P62" s="492"/>
      <c r="Q62" s="493"/>
      <c r="R62" s="493"/>
      <c r="S62" s="493"/>
      <c r="T62" s="493"/>
      <c r="U62" s="493"/>
      <c r="V62" s="493"/>
      <c r="W62" s="493"/>
      <c r="X62" s="493"/>
      <c r="Y62" s="494"/>
      <c r="Z62" s="269"/>
      <c r="AA62" s="1"/>
      <c r="AC62" s="283"/>
    </row>
    <row r="63" spans="2:29" ht="17.399999999999999" hidden="1" x14ac:dyDescent="0.45">
      <c r="B63" s="1"/>
      <c r="C63" s="265" t="s">
        <v>862</v>
      </c>
      <c r="P63" s="492"/>
      <c r="Q63" s="493"/>
      <c r="R63" s="493"/>
      <c r="S63" s="493"/>
      <c r="T63" s="493"/>
      <c r="U63" s="493"/>
      <c r="V63" s="493"/>
      <c r="W63" s="493"/>
      <c r="X63" s="493"/>
      <c r="Y63" s="494"/>
      <c r="Z63" s="269"/>
      <c r="AA63" s="1"/>
      <c r="AC63" s="283"/>
    </row>
    <row r="64" spans="2:29" ht="17.399999999999999" hidden="1" x14ac:dyDescent="0.45">
      <c r="B64" s="1"/>
      <c r="C64" s="265"/>
      <c r="P64" s="492"/>
      <c r="Q64" s="493"/>
      <c r="R64" s="493"/>
      <c r="S64" s="493"/>
      <c r="T64" s="493"/>
      <c r="U64" s="493"/>
      <c r="V64" s="493"/>
      <c r="W64" s="493"/>
      <c r="X64" s="493"/>
      <c r="Y64" s="494"/>
      <c r="Z64" s="269"/>
      <c r="AA64" s="1"/>
      <c r="AC64" s="283"/>
    </row>
    <row r="65" spans="2:29" ht="17.399999999999999" hidden="1" x14ac:dyDescent="0.45">
      <c r="B65" s="1"/>
      <c r="C65" s="264" t="s">
        <v>869</v>
      </c>
      <c r="P65" s="492"/>
      <c r="Q65" s="493"/>
      <c r="R65" s="493"/>
      <c r="S65" s="493"/>
      <c r="T65" s="493"/>
      <c r="U65" s="493"/>
      <c r="V65" s="493"/>
      <c r="W65" s="493"/>
      <c r="X65" s="493"/>
      <c r="Y65" s="494"/>
      <c r="Z65" s="269"/>
      <c r="AA65" s="1"/>
      <c r="AC65" s="283"/>
    </row>
    <row r="66" spans="2:29" ht="17.399999999999999" hidden="1" x14ac:dyDescent="0.45">
      <c r="B66" s="1"/>
      <c r="C66" s="264"/>
      <c r="P66" s="492"/>
      <c r="Q66" s="493"/>
      <c r="R66" s="493"/>
      <c r="S66" s="493"/>
      <c r="T66" s="493"/>
      <c r="U66" s="493"/>
      <c r="V66" s="493"/>
      <c r="W66" s="493"/>
      <c r="X66" s="493"/>
      <c r="Y66" s="494"/>
      <c r="Z66" s="269"/>
      <c r="AA66" s="1"/>
      <c r="AC66" s="283"/>
    </row>
    <row r="67" spans="2:29" ht="17.399999999999999" hidden="1" x14ac:dyDescent="0.45">
      <c r="B67" s="1"/>
      <c r="C67" s="264"/>
      <c r="P67" s="492"/>
      <c r="Q67" s="493"/>
      <c r="R67" s="493"/>
      <c r="S67" s="493"/>
      <c r="T67" s="493"/>
      <c r="U67" s="493"/>
      <c r="V67" s="493"/>
      <c r="W67" s="493"/>
      <c r="X67" s="493"/>
      <c r="Y67" s="494"/>
      <c r="Z67" s="269"/>
      <c r="AA67" s="1"/>
      <c r="AC67" s="283"/>
    </row>
    <row r="68" spans="2:29" ht="17.399999999999999" hidden="1" x14ac:dyDescent="0.45">
      <c r="B68" s="1"/>
      <c r="C68" s="264"/>
      <c r="P68" s="492"/>
      <c r="Q68" s="493"/>
      <c r="R68" s="493"/>
      <c r="S68" s="493"/>
      <c r="T68" s="493"/>
      <c r="U68" s="493"/>
      <c r="V68" s="493"/>
      <c r="W68" s="493"/>
      <c r="X68" s="493"/>
      <c r="Y68" s="494"/>
      <c r="Z68" s="269"/>
      <c r="AA68" s="1"/>
      <c r="AC68" s="283"/>
    </row>
    <row r="69" spans="2:29" ht="17.399999999999999" hidden="1" x14ac:dyDescent="0.45">
      <c r="B69" s="1"/>
      <c r="C69" s="264"/>
      <c r="P69" s="492"/>
      <c r="Q69" s="493"/>
      <c r="R69" s="493"/>
      <c r="S69" s="493"/>
      <c r="T69" s="493"/>
      <c r="U69" s="493"/>
      <c r="V69" s="493"/>
      <c r="W69" s="493"/>
      <c r="X69" s="493"/>
      <c r="Y69" s="494"/>
      <c r="Z69" s="269"/>
      <c r="AA69" s="1"/>
      <c r="AC69" s="283"/>
    </row>
    <row r="70" spans="2:29" ht="17.399999999999999" hidden="1" x14ac:dyDescent="0.45">
      <c r="B70" s="1"/>
      <c r="C70" s="264"/>
      <c r="P70" s="492"/>
      <c r="Q70" s="493"/>
      <c r="R70" s="493"/>
      <c r="S70" s="493"/>
      <c r="T70" s="493"/>
      <c r="U70" s="493"/>
      <c r="V70" s="493"/>
      <c r="W70" s="493"/>
      <c r="X70" s="493"/>
      <c r="Y70" s="494"/>
      <c r="Z70" s="269"/>
      <c r="AA70" s="1"/>
      <c r="AC70" s="283"/>
    </row>
    <row r="71" spans="2:29" ht="17.399999999999999" hidden="1" x14ac:dyDescent="0.45">
      <c r="B71" s="1"/>
      <c r="C71" s="264"/>
      <c r="P71" s="492"/>
      <c r="Q71" s="493"/>
      <c r="R71" s="493"/>
      <c r="S71" s="493"/>
      <c r="T71" s="493"/>
      <c r="U71" s="493"/>
      <c r="V71" s="493"/>
      <c r="W71" s="493"/>
      <c r="X71" s="493"/>
      <c r="Y71" s="494"/>
      <c r="Z71" s="269"/>
      <c r="AA71" s="1"/>
      <c r="AC71" s="283"/>
    </row>
    <row r="72" spans="2:29" ht="17.399999999999999" hidden="1" x14ac:dyDescent="0.45">
      <c r="B72" s="1"/>
      <c r="C72" s="264"/>
      <c r="P72" s="492"/>
      <c r="Q72" s="493"/>
      <c r="R72" s="493"/>
      <c r="S72" s="493"/>
      <c r="T72" s="493"/>
      <c r="U72" s="493"/>
      <c r="V72" s="493"/>
      <c r="W72" s="493"/>
      <c r="X72" s="493"/>
      <c r="Y72" s="494"/>
      <c r="Z72" s="269"/>
      <c r="AA72" s="1"/>
      <c r="AC72" s="283"/>
    </row>
    <row r="73" spans="2:29" ht="17.399999999999999" hidden="1" x14ac:dyDescent="0.45">
      <c r="B73" s="1"/>
      <c r="C73" s="264"/>
      <c r="P73" s="492"/>
      <c r="Q73" s="493"/>
      <c r="R73" s="493"/>
      <c r="S73" s="493"/>
      <c r="T73" s="493"/>
      <c r="U73" s="493"/>
      <c r="V73" s="493"/>
      <c r="W73" s="493"/>
      <c r="X73" s="493"/>
      <c r="Y73" s="494"/>
      <c r="Z73" s="269"/>
      <c r="AA73" s="1"/>
      <c r="AC73" s="283"/>
    </row>
    <row r="74" spans="2:29" ht="17.399999999999999" hidden="1" x14ac:dyDescent="0.45">
      <c r="B74" s="1"/>
      <c r="C74" s="264"/>
      <c r="D74" s="274" t="s">
        <v>881</v>
      </c>
      <c r="E74" s="280">
        <v>45959</v>
      </c>
      <c r="F74" s="280">
        <v>45968</v>
      </c>
      <c r="G74" s="281" t="s">
        <v>880</v>
      </c>
      <c r="I74" s="279"/>
      <c r="J74" s="274" t="s">
        <v>881</v>
      </c>
      <c r="K74" s="280">
        <v>45959</v>
      </c>
      <c r="L74" s="280">
        <v>45968</v>
      </c>
      <c r="M74" s="281" t="s">
        <v>880</v>
      </c>
      <c r="P74" s="492"/>
      <c r="Q74" s="493"/>
      <c r="R74" s="493"/>
      <c r="S74" s="493"/>
      <c r="T74" s="493"/>
      <c r="U74" s="493"/>
      <c r="V74" s="493"/>
      <c r="W74" s="493"/>
      <c r="X74" s="493"/>
      <c r="Y74" s="494"/>
      <c r="Z74" s="269"/>
      <c r="AA74" s="1"/>
      <c r="AC74" s="283"/>
    </row>
    <row r="75" spans="2:29" ht="17.399999999999999" hidden="1" x14ac:dyDescent="0.45">
      <c r="B75" s="1"/>
      <c r="C75" s="264"/>
      <c r="D75" s="275" t="s">
        <v>801</v>
      </c>
      <c r="E75" s="295">
        <f>COUNTIFS('2. Status Detalhe Campos'!B:B,"B02.00",'2. Status Detalhe Campos'!C:C,"Loan Tape",'2. Status Detalhe Campos'!K:K,"Por iniciar")</f>
        <v>0</v>
      </c>
      <c r="F75" s="295">
        <f>COUNTIFS('2. Status Detalhe Campos'!B:B,"B02.00",'2. Status Detalhe Campos'!C:C,"Loan Tape",'2. Status Detalhe Campos'!J:J,"Por iniciar")</f>
        <v>0</v>
      </c>
      <c r="G75" s="295">
        <f>+F75-E75</f>
        <v>0</v>
      </c>
      <c r="H75" s="434" t="e">
        <f>+IF(F75=0,NA(),F75)</f>
        <v>#N/A</v>
      </c>
      <c r="I75" s="279"/>
      <c r="J75" s="275" t="s">
        <v>801</v>
      </c>
      <c r="K75" s="298">
        <f>COUNTIFS('2. Status Detalhe Campos'!B:B,"B02.00",'2. Status Detalhe Campos'!C:C,"Tabela Output",'2. Status Detalhe Campos'!K:K,"Por iniciar")</f>
        <v>0</v>
      </c>
      <c r="L75" s="298">
        <f>COUNTIFS('2. Status Detalhe Campos'!B:B,"B02.00",'2. Status Detalhe Campos'!C:C,"Tabela Output",'2. Status Detalhe Campos'!J:J,"Por iniciar")</f>
        <v>0</v>
      </c>
      <c r="M75" s="298">
        <f>+L75-K75</f>
        <v>0</v>
      </c>
      <c r="N75" s="434" t="e">
        <f>+IF(L75=0,NA(),L75)</f>
        <v>#N/A</v>
      </c>
      <c r="P75" s="492"/>
      <c r="Q75" s="493"/>
      <c r="R75" s="493"/>
      <c r="S75" s="493"/>
      <c r="T75" s="493"/>
      <c r="U75" s="493"/>
      <c r="V75" s="493"/>
      <c r="W75" s="493"/>
      <c r="X75" s="493"/>
      <c r="Y75" s="494"/>
      <c r="Z75" s="269"/>
      <c r="AA75" s="1"/>
      <c r="AC75" s="283"/>
    </row>
    <row r="76" spans="2:29" ht="17.399999999999999" hidden="1" x14ac:dyDescent="0.45">
      <c r="B76" s="1"/>
      <c r="C76" s="264"/>
      <c r="D76" s="275" t="s">
        <v>235</v>
      </c>
      <c r="E76" s="295">
        <f>COUNTIFS('2. Status Detalhe Campos'!B:B,"B02.00",'2. Status Detalhe Campos'!C:C,"Loan Tape",'2. Status Detalhe Campos'!K:K,"Em curso")</f>
        <v>12</v>
      </c>
      <c r="F76" s="295">
        <f>COUNTIFS('2. Status Detalhe Campos'!B:B,"B02.00",'2. Status Detalhe Campos'!C:C,"Loan Tape",'2. Status Detalhe Campos'!J:J,"Em curso")</f>
        <v>12</v>
      </c>
      <c r="G76" s="295">
        <f t="shared" ref="G76:G80" si="6">+F76-E76</f>
        <v>0</v>
      </c>
      <c r="H76" s="434">
        <f t="shared" ref="H76:H79" si="7">+IF(F76=0,NA(),F76)</f>
        <v>12</v>
      </c>
      <c r="I76" s="279"/>
      <c r="J76" s="275" t="s">
        <v>235</v>
      </c>
      <c r="K76" s="298">
        <f>COUNTIFS('2. Status Detalhe Campos'!B:B,"B02.00",'2. Status Detalhe Campos'!C:C,"Tabela Output",'2. Status Detalhe Campos'!K:K,"Em curso")</f>
        <v>5</v>
      </c>
      <c r="L76" s="298">
        <f>COUNTIFS('2. Status Detalhe Campos'!B:B,"B02.00",'2. Status Detalhe Campos'!C:C,"Tabela Output",'2. Status Detalhe Campos'!J:J,"Em curso")</f>
        <v>5</v>
      </c>
      <c r="M76" s="298">
        <f t="shared" ref="M76:M79" si="8">+L76-K76</f>
        <v>0</v>
      </c>
      <c r="N76" s="434">
        <f t="shared" ref="N76:N79" si="9">+IF(L76=0,NA(),L76)</f>
        <v>5</v>
      </c>
      <c r="P76" s="492"/>
      <c r="Q76" s="493"/>
      <c r="R76" s="493"/>
      <c r="S76" s="493"/>
      <c r="T76" s="493"/>
      <c r="U76" s="493"/>
      <c r="V76" s="493"/>
      <c r="W76" s="493"/>
      <c r="X76" s="493"/>
      <c r="Y76" s="494"/>
      <c r="Z76" s="269"/>
      <c r="AA76" s="1"/>
      <c r="AC76" s="284"/>
    </row>
    <row r="77" spans="2:29" ht="17.399999999999999" hidden="1" x14ac:dyDescent="0.45">
      <c r="B77" s="1"/>
      <c r="C77" s="264"/>
      <c r="D77" s="275" t="s">
        <v>876</v>
      </c>
      <c r="E77" s="295">
        <f>COUNTIFS('2. Status Detalhe Campos'!B:B,"B02.00",'2. Status Detalhe Campos'!C:C,"Loan Tape",'2. Status Detalhe Campos'!K:K,"Concluído")</f>
        <v>6</v>
      </c>
      <c r="F77" s="295">
        <f>COUNTIFS('2. Status Detalhe Campos'!B:B,"B02.00",'2. Status Detalhe Campos'!C:C,"Loan Tape",'2. Status Detalhe Campos'!J:J,"Concluído")</f>
        <v>6</v>
      </c>
      <c r="G77" s="295">
        <f t="shared" si="6"/>
        <v>0</v>
      </c>
      <c r="H77" s="434">
        <f t="shared" si="7"/>
        <v>6</v>
      </c>
      <c r="I77" s="279"/>
      <c r="J77" s="275" t="s">
        <v>876</v>
      </c>
      <c r="K77" s="298">
        <f>COUNTIFS('2. Status Detalhe Campos'!B:B,"B02.00",'2. Status Detalhe Campos'!C:C,"Tabela Output",'2. Status Detalhe Campos'!K:K,"Concluído")</f>
        <v>61</v>
      </c>
      <c r="L77" s="298">
        <f>COUNTIFS('2. Status Detalhe Campos'!B:B,"B02.00",'2. Status Detalhe Campos'!C:C,"Tabela Output",'2. Status Detalhe Campos'!J:J,"Concluído")</f>
        <v>61</v>
      </c>
      <c r="M77" s="298">
        <f t="shared" si="8"/>
        <v>0</v>
      </c>
      <c r="N77" s="434">
        <f t="shared" si="9"/>
        <v>61</v>
      </c>
      <c r="P77" s="492"/>
      <c r="Q77" s="493"/>
      <c r="R77" s="493"/>
      <c r="S77" s="493"/>
      <c r="T77" s="493"/>
      <c r="U77" s="493"/>
      <c r="V77" s="493"/>
      <c r="W77" s="493"/>
      <c r="X77" s="493"/>
      <c r="Y77" s="494"/>
      <c r="Z77" s="269"/>
      <c r="AA77" s="1"/>
    </row>
    <row r="78" spans="2:29" ht="17.399999999999999" hidden="1" x14ac:dyDescent="0.45">
      <c r="B78" s="1"/>
      <c r="C78" s="264"/>
      <c r="D78" s="275" t="s">
        <v>882</v>
      </c>
      <c r="E78" s="296">
        <f>COUNTIFS('2. Status Detalhe Campos'!B:B,"B02.00",'2. Status Detalhe Campos'!C:C,"Loan Tape",'2. Status Detalhe Campos'!K:K,"Pendente de desenvolv.")</f>
        <v>3</v>
      </c>
      <c r="F78" s="296">
        <f>COUNTIFS('2. Status Detalhe Campos'!B:B,"B02.00",'2. Status Detalhe Campos'!C:C,"Loan Tape",'2. Status Detalhe Campos'!J:J,"Pendente de desenvolv.")</f>
        <v>3</v>
      </c>
      <c r="G78" s="296">
        <f t="shared" si="6"/>
        <v>0</v>
      </c>
      <c r="H78" s="434">
        <f t="shared" si="7"/>
        <v>3</v>
      </c>
      <c r="I78" s="279"/>
      <c r="J78" s="275" t="s">
        <v>882</v>
      </c>
      <c r="K78" s="299">
        <f>COUNTIFS('2. Status Detalhe Campos'!B:B,"B02.00",'2. Status Detalhe Campos'!C:C,"Tabela Output",'2. Status Detalhe Campos'!K:K,"Pendente de desenvolv.")</f>
        <v>8</v>
      </c>
      <c r="L78" s="299">
        <f>COUNTIFS('2. Status Detalhe Campos'!B:B,"B02.00",'2. Status Detalhe Campos'!C:C,"Tabela Output",'2. Status Detalhe Campos'!J:J,"Pendente de desenvolv.")</f>
        <v>8</v>
      </c>
      <c r="M78" s="299">
        <f t="shared" si="8"/>
        <v>0</v>
      </c>
      <c r="N78" s="434">
        <f t="shared" si="9"/>
        <v>8</v>
      </c>
      <c r="P78" s="492"/>
      <c r="Q78" s="493"/>
      <c r="R78" s="493"/>
      <c r="S78" s="493"/>
      <c r="T78" s="493"/>
      <c r="U78" s="493"/>
      <c r="V78" s="493"/>
      <c r="W78" s="493"/>
      <c r="X78" s="493"/>
      <c r="Y78" s="494"/>
      <c r="Z78" s="269"/>
      <c r="AA78" s="1"/>
    </row>
    <row r="79" spans="2:29" ht="17.399999999999999" hidden="1" x14ac:dyDescent="0.45">
      <c r="B79" s="1"/>
      <c r="C79" s="264"/>
      <c r="D79" s="276" t="s">
        <v>878</v>
      </c>
      <c r="E79" s="297">
        <f>COUNTIFS('2. Status Detalhe Campos'!B:B,"B02.00",'2. Status Detalhe Campos'!C:C,"Loan Tape",'2. Status Detalhe Campos'!K:K,"Com incidências")</f>
        <v>7</v>
      </c>
      <c r="F79" s="297">
        <f>COUNTIFS('2. Status Detalhe Campos'!B:B,"B02.00",'2. Status Detalhe Campos'!C:C,"Loan Tape",'2. Status Detalhe Campos'!J:J,"Com incidências")</f>
        <v>7</v>
      </c>
      <c r="G79" s="297">
        <f t="shared" si="6"/>
        <v>0</v>
      </c>
      <c r="H79" s="434">
        <f t="shared" si="7"/>
        <v>7</v>
      </c>
      <c r="I79" s="279"/>
      <c r="J79" s="276" t="s">
        <v>878</v>
      </c>
      <c r="K79" s="300">
        <f>COUNTIFS('2. Status Detalhe Campos'!B:B,"B02.00",'2. Status Detalhe Campos'!C:C,"Tabela Output",'2. Status Detalhe Campos'!K:K,"Com incidências")</f>
        <v>7</v>
      </c>
      <c r="L79" s="300">
        <f>COUNTIFS('2. Status Detalhe Campos'!B:B,"B02.00",'2. Status Detalhe Campos'!C:C,"Tabela Output",'2. Status Detalhe Campos'!J:J,"Com incidências")</f>
        <v>7</v>
      </c>
      <c r="M79" s="300">
        <f t="shared" si="8"/>
        <v>0</v>
      </c>
      <c r="N79" s="434">
        <f t="shared" si="9"/>
        <v>7</v>
      </c>
      <c r="P79" s="492"/>
      <c r="Q79" s="493"/>
      <c r="R79" s="493"/>
      <c r="S79" s="493"/>
      <c r="T79" s="493"/>
      <c r="U79" s="493"/>
      <c r="V79" s="493"/>
      <c r="W79" s="493"/>
      <c r="X79" s="493"/>
      <c r="Y79" s="494"/>
      <c r="Z79" s="269"/>
      <c r="AA79" s="1"/>
    </row>
    <row r="80" spans="2:29" ht="17.399999999999999" hidden="1" x14ac:dyDescent="0.45">
      <c r="B80" s="1"/>
      <c r="C80" s="264"/>
      <c r="D80" s="277" t="s">
        <v>873</v>
      </c>
      <c r="E80" s="278">
        <f>SUM(E75:E79)</f>
        <v>28</v>
      </c>
      <c r="F80" s="278">
        <f t="shared" ref="F80" si="10">SUM(F75:F79)</f>
        <v>28</v>
      </c>
      <c r="G80" s="278">
        <f t="shared" si="6"/>
        <v>0</v>
      </c>
      <c r="I80" s="279"/>
      <c r="J80" s="277" t="s">
        <v>873</v>
      </c>
      <c r="K80" s="278">
        <f>SUM(K75:K79)</f>
        <v>81</v>
      </c>
      <c r="L80" s="278">
        <f>SUM(L75:L79)</f>
        <v>81</v>
      </c>
      <c r="M80" s="278">
        <f t="shared" ref="M80" si="11">+L80-K80</f>
        <v>0</v>
      </c>
      <c r="P80" s="495"/>
      <c r="Q80" s="496"/>
      <c r="R80" s="496"/>
      <c r="S80" s="496"/>
      <c r="T80" s="496"/>
      <c r="U80" s="496"/>
      <c r="V80" s="496"/>
      <c r="W80" s="496"/>
      <c r="X80" s="496"/>
      <c r="Y80" s="497"/>
      <c r="Z80" s="269"/>
      <c r="AA80" s="1"/>
    </row>
    <row r="81" spans="2:29" ht="17.399999999999999" hidden="1" x14ac:dyDescent="0.45">
      <c r="B81" s="1"/>
      <c r="C81" s="264"/>
      <c r="D81" s="2"/>
      <c r="Z81" s="269"/>
      <c r="AA81" s="1"/>
    </row>
    <row r="82" spans="2:29" ht="17.399999999999999" hidden="1" x14ac:dyDescent="0.45">
      <c r="B82" s="1"/>
      <c r="C82" s="264"/>
      <c r="Z82" s="269"/>
      <c r="AA82" s="1"/>
    </row>
    <row r="83" spans="2:29" ht="22.2" hidden="1" x14ac:dyDescent="0.55000000000000004">
      <c r="B83" s="1"/>
      <c r="C83" s="259"/>
      <c r="D83" s="273" t="s">
        <v>819</v>
      </c>
      <c r="E83" s="272"/>
      <c r="F83" s="272"/>
      <c r="G83" s="272"/>
      <c r="H83" s="272"/>
      <c r="I83" s="272"/>
      <c r="J83" s="272"/>
      <c r="K83" s="272"/>
      <c r="L83" s="272"/>
      <c r="M83" s="272"/>
      <c r="N83" s="272"/>
      <c r="O83" s="272"/>
      <c r="P83" s="272"/>
      <c r="Q83" s="272"/>
      <c r="R83" s="272"/>
      <c r="S83" s="272"/>
      <c r="T83" s="272"/>
      <c r="U83" s="272"/>
      <c r="V83" s="272"/>
      <c r="W83" s="272"/>
      <c r="X83" s="272"/>
      <c r="Y83" s="272"/>
      <c r="Z83" s="269"/>
      <c r="AA83" s="1"/>
    </row>
    <row r="84" spans="2:29" ht="17.399999999999999" hidden="1" x14ac:dyDescent="0.45">
      <c r="B84" s="1"/>
      <c r="C84" s="259"/>
      <c r="D84" s="262"/>
      <c r="E84" s="262"/>
      <c r="F84" s="262"/>
      <c r="G84" s="262"/>
      <c r="H84" s="262"/>
      <c r="I84" s="262"/>
      <c r="J84" s="262"/>
      <c r="K84" s="262"/>
      <c r="L84" s="262"/>
      <c r="M84" s="262"/>
      <c r="N84" s="262"/>
      <c r="O84" s="262"/>
      <c r="P84" s="262"/>
      <c r="Q84" s="262"/>
      <c r="R84" s="262"/>
      <c r="S84" s="262"/>
      <c r="T84" s="262"/>
      <c r="U84" s="262"/>
      <c r="V84" s="262"/>
      <c r="W84" s="262"/>
      <c r="X84" s="262"/>
      <c r="Y84" s="262"/>
      <c r="Z84" s="269"/>
      <c r="AA84" s="1"/>
    </row>
    <row r="85" spans="2:29" ht="17.399999999999999" hidden="1" x14ac:dyDescent="0.45">
      <c r="B85" s="1"/>
      <c r="C85" s="259"/>
      <c r="L85" s="271"/>
      <c r="O85" s="2"/>
      <c r="Q85" s="2"/>
      <c r="R85" s="2"/>
      <c r="S85" s="2"/>
      <c r="T85" s="2"/>
      <c r="U85" s="2"/>
      <c r="V85" s="2"/>
      <c r="W85" s="2"/>
      <c r="X85" s="2"/>
      <c r="Y85" s="2"/>
      <c r="Z85" s="269"/>
      <c r="AA85" s="1"/>
    </row>
    <row r="86" spans="2:29" ht="17.399999999999999" hidden="1" x14ac:dyDescent="0.45">
      <c r="B86" s="1"/>
      <c r="C86" s="259"/>
      <c r="P86" s="271" t="s">
        <v>877</v>
      </c>
      <c r="Z86" s="269"/>
      <c r="AA86" s="1"/>
    </row>
    <row r="87" spans="2:29" ht="17.7" hidden="1" customHeight="1" x14ac:dyDescent="0.45">
      <c r="B87" s="1"/>
      <c r="C87" s="263" t="s">
        <v>860</v>
      </c>
      <c r="P87" s="471" t="s">
        <v>1098</v>
      </c>
      <c r="Q87" s="472"/>
      <c r="R87" s="472"/>
      <c r="S87" s="472"/>
      <c r="T87" s="472"/>
      <c r="U87" s="472"/>
      <c r="V87" s="472"/>
      <c r="W87" s="472"/>
      <c r="X87" s="472"/>
      <c r="Y87" s="473"/>
      <c r="Z87" s="269"/>
      <c r="AA87" s="1"/>
      <c r="AC87" s="282"/>
    </row>
    <row r="88" spans="2:29" ht="17.399999999999999" hidden="1" x14ac:dyDescent="0.45">
      <c r="B88" s="1"/>
      <c r="C88" s="264" t="s">
        <v>861</v>
      </c>
      <c r="P88" s="474"/>
      <c r="Q88" s="475"/>
      <c r="R88" s="475"/>
      <c r="S88" s="475"/>
      <c r="T88" s="475"/>
      <c r="U88" s="475"/>
      <c r="V88" s="475"/>
      <c r="W88" s="475"/>
      <c r="X88" s="475"/>
      <c r="Y88" s="476"/>
      <c r="Z88" s="269"/>
      <c r="AA88" s="1"/>
      <c r="AC88" s="283"/>
    </row>
    <row r="89" spans="2:29" ht="17.399999999999999" hidden="1" x14ac:dyDescent="0.45">
      <c r="B89" s="1"/>
      <c r="C89" s="265" t="s">
        <v>862</v>
      </c>
      <c r="P89" s="474"/>
      <c r="Q89" s="475"/>
      <c r="R89" s="475"/>
      <c r="S89" s="475"/>
      <c r="T89" s="475"/>
      <c r="U89" s="475"/>
      <c r="V89" s="475"/>
      <c r="W89" s="475"/>
      <c r="X89" s="475"/>
      <c r="Y89" s="476"/>
      <c r="Z89" s="269"/>
      <c r="AA89" s="1"/>
      <c r="AC89" s="283"/>
    </row>
    <row r="90" spans="2:29" ht="17.399999999999999" hidden="1" x14ac:dyDescent="0.45">
      <c r="B90" s="1"/>
      <c r="C90" s="265"/>
      <c r="P90" s="474"/>
      <c r="Q90" s="475"/>
      <c r="R90" s="475"/>
      <c r="S90" s="475"/>
      <c r="T90" s="475"/>
      <c r="U90" s="475"/>
      <c r="V90" s="475"/>
      <c r="W90" s="475"/>
      <c r="X90" s="475"/>
      <c r="Y90" s="476"/>
      <c r="Z90" s="269"/>
      <c r="AA90" s="1"/>
      <c r="AC90" s="283"/>
    </row>
    <row r="91" spans="2:29" ht="17.399999999999999" hidden="1" x14ac:dyDescent="0.45">
      <c r="B91" s="1"/>
      <c r="C91" s="264" t="s">
        <v>869</v>
      </c>
      <c r="P91" s="474"/>
      <c r="Q91" s="475"/>
      <c r="R91" s="475"/>
      <c r="S91" s="475"/>
      <c r="T91" s="475"/>
      <c r="U91" s="475"/>
      <c r="V91" s="475"/>
      <c r="W91" s="475"/>
      <c r="X91" s="475"/>
      <c r="Y91" s="476"/>
      <c r="Z91" s="269"/>
      <c r="AA91" s="1"/>
      <c r="AC91" s="283"/>
    </row>
    <row r="92" spans="2:29" ht="17.399999999999999" hidden="1" x14ac:dyDescent="0.45">
      <c r="B92" s="1"/>
      <c r="C92" s="264"/>
      <c r="P92" s="474"/>
      <c r="Q92" s="475"/>
      <c r="R92" s="475"/>
      <c r="S92" s="475"/>
      <c r="T92" s="475"/>
      <c r="U92" s="475"/>
      <c r="V92" s="475"/>
      <c r="W92" s="475"/>
      <c r="X92" s="475"/>
      <c r="Y92" s="476"/>
      <c r="Z92" s="269"/>
      <c r="AA92" s="1"/>
      <c r="AC92" s="283"/>
    </row>
    <row r="93" spans="2:29" ht="17.399999999999999" hidden="1" x14ac:dyDescent="0.45">
      <c r="B93" s="1"/>
      <c r="C93" s="264"/>
      <c r="P93" s="474"/>
      <c r="Q93" s="475"/>
      <c r="R93" s="475"/>
      <c r="S93" s="475"/>
      <c r="T93" s="475"/>
      <c r="U93" s="475"/>
      <c r="V93" s="475"/>
      <c r="W93" s="475"/>
      <c r="X93" s="475"/>
      <c r="Y93" s="476"/>
      <c r="Z93" s="269"/>
      <c r="AA93" s="1"/>
      <c r="AC93" s="283"/>
    </row>
    <row r="94" spans="2:29" ht="17.399999999999999" hidden="1" x14ac:dyDescent="0.45">
      <c r="B94" s="1"/>
      <c r="C94" s="264"/>
      <c r="P94" s="474"/>
      <c r="Q94" s="475"/>
      <c r="R94" s="475"/>
      <c r="S94" s="475"/>
      <c r="T94" s="475"/>
      <c r="U94" s="475"/>
      <c r="V94" s="475"/>
      <c r="W94" s="475"/>
      <c r="X94" s="475"/>
      <c r="Y94" s="476"/>
      <c r="Z94" s="269"/>
      <c r="AA94" s="1"/>
      <c r="AC94" s="283"/>
    </row>
    <row r="95" spans="2:29" ht="17.399999999999999" hidden="1" x14ac:dyDescent="0.45">
      <c r="B95" s="1"/>
      <c r="C95" s="264"/>
      <c r="P95" s="474"/>
      <c r="Q95" s="475"/>
      <c r="R95" s="475"/>
      <c r="S95" s="475"/>
      <c r="T95" s="475"/>
      <c r="U95" s="475"/>
      <c r="V95" s="475"/>
      <c r="W95" s="475"/>
      <c r="X95" s="475"/>
      <c r="Y95" s="476"/>
      <c r="Z95" s="269"/>
      <c r="AA95" s="1"/>
      <c r="AC95" s="283"/>
    </row>
    <row r="96" spans="2:29" ht="17.399999999999999" hidden="1" x14ac:dyDescent="0.45">
      <c r="B96" s="1"/>
      <c r="C96" s="264"/>
      <c r="P96" s="474"/>
      <c r="Q96" s="475"/>
      <c r="R96" s="475"/>
      <c r="S96" s="475"/>
      <c r="T96" s="475"/>
      <c r="U96" s="475"/>
      <c r="V96" s="475"/>
      <c r="W96" s="475"/>
      <c r="X96" s="475"/>
      <c r="Y96" s="476"/>
      <c r="Z96" s="269"/>
      <c r="AA96" s="1"/>
      <c r="AC96" s="283"/>
    </row>
    <row r="97" spans="2:29" ht="17.399999999999999" hidden="1" x14ac:dyDescent="0.45">
      <c r="B97" s="1"/>
      <c r="C97" s="264"/>
      <c r="P97" s="474"/>
      <c r="Q97" s="475"/>
      <c r="R97" s="475"/>
      <c r="S97" s="475"/>
      <c r="T97" s="475"/>
      <c r="U97" s="475"/>
      <c r="V97" s="475"/>
      <c r="W97" s="475"/>
      <c r="X97" s="475"/>
      <c r="Y97" s="476"/>
      <c r="Z97" s="269"/>
      <c r="AA97" s="1"/>
      <c r="AC97" s="283"/>
    </row>
    <row r="98" spans="2:29" ht="17.399999999999999" hidden="1" x14ac:dyDescent="0.45">
      <c r="B98" s="1"/>
      <c r="C98" s="264"/>
      <c r="P98" s="474"/>
      <c r="Q98" s="475"/>
      <c r="R98" s="475"/>
      <c r="S98" s="475"/>
      <c r="T98" s="475"/>
      <c r="U98" s="475"/>
      <c r="V98" s="475"/>
      <c r="W98" s="475"/>
      <c r="X98" s="475"/>
      <c r="Y98" s="476"/>
      <c r="Z98" s="269"/>
      <c r="AA98" s="1"/>
      <c r="AC98" s="283"/>
    </row>
    <row r="99" spans="2:29" ht="17.399999999999999" hidden="1" x14ac:dyDescent="0.45">
      <c r="B99" s="1"/>
      <c r="C99" s="264"/>
      <c r="P99" s="474"/>
      <c r="Q99" s="475"/>
      <c r="R99" s="475"/>
      <c r="S99" s="475"/>
      <c r="T99" s="475"/>
      <c r="U99" s="475"/>
      <c r="V99" s="475"/>
      <c r="W99" s="475"/>
      <c r="X99" s="475"/>
      <c r="Y99" s="476"/>
      <c r="Z99" s="269"/>
      <c r="AA99" s="1"/>
      <c r="AC99" s="283"/>
    </row>
    <row r="100" spans="2:29" ht="17.399999999999999" hidden="1" x14ac:dyDescent="0.45">
      <c r="B100" s="1"/>
      <c r="C100" s="264"/>
      <c r="D100" s="274" t="s">
        <v>881</v>
      </c>
      <c r="E100" s="280">
        <v>45952</v>
      </c>
      <c r="F100" s="280">
        <v>45968</v>
      </c>
      <c r="G100" s="281" t="s">
        <v>880</v>
      </c>
      <c r="I100" s="279"/>
      <c r="J100" s="274" t="s">
        <v>881</v>
      </c>
      <c r="K100" s="280">
        <v>45952</v>
      </c>
      <c r="L100" s="280">
        <v>45968</v>
      </c>
      <c r="M100" s="281" t="s">
        <v>880</v>
      </c>
      <c r="P100" s="474"/>
      <c r="Q100" s="475"/>
      <c r="R100" s="475"/>
      <c r="S100" s="475"/>
      <c r="T100" s="475"/>
      <c r="U100" s="475"/>
      <c r="V100" s="475"/>
      <c r="W100" s="475"/>
      <c r="X100" s="475"/>
      <c r="Y100" s="476"/>
      <c r="Z100" s="269"/>
      <c r="AA100" s="1"/>
      <c r="AC100" s="283"/>
    </row>
    <row r="101" spans="2:29" ht="17.399999999999999" hidden="1" x14ac:dyDescent="0.45">
      <c r="B101" s="1"/>
      <c r="C101" s="264"/>
      <c r="D101" s="275" t="s">
        <v>801</v>
      </c>
      <c r="E101" s="295">
        <f>COUNTIFS('2. Status Detalhe Campos'!B:B,"B05.00",'2. Status Detalhe Campos'!C:C,"Loan Tape",'2. Status Detalhe Campos'!K:K,"Por iniciar")</f>
        <v>2</v>
      </c>
      <c r="F101" s="295">
        <f>COUNTIFS('2. Status Detalhe Campos'!B:B,"B05.00",'2. Status Detalhe Campos'!C:C,"Loan Tape",'2. Status Detalhe Campos'!J:J,"Por iniciar")</f>
        <v>2</v>
      </c>
      <c r="G101" s="295">
        <f>+F101-E101</f>
        <v>0</v>
      </c>
      <c r="H101" s="434">
        <f>+IF(F101=0,NA(),F101)</f>
        <v>2</v>
      </c>
      <c r="I101" s="279"/>
      <c r="J101" s="275" t="s">
        <v>801</v>
      </c>
      <c r="K101" s="298">
        <f>COUNTIFS('2. Status Detalhe Campos'!B:B,"B05.00",'2. Status Detalhe Campos'!C:C,"Tabela Output",'2. Status Detalhe Campos'!K:K,"Por iniciar")</f>
        <v>13</v>
      </c>
      <c r="L101" s="298">
        <f>COUNTIFS('2. Status Detalhe Campos'!B:B,"B05.00",'2. Status Detalhe Campos'!C:C,"Tabela Output",'2. Status Detalhe Campos'!J:J,"Por iniciar")</f>
        <v>13</v>
      </c>
      <c r="M101" s="298">
        <f>+L101-K101</f>
        <v>0</v>
      </c>
      <c r="N101" s="434">
        <f>+IF(L101=0,NA(),L101)</f>
        <v>13</v>
      </c>
      <c r="P101" s="474"/>
      <c r="Q101" s="475"/>
      <c r="R101" s="475"/>
      <c r="S101" s="475"/>
      <c r="T101" s="475"/>
      <c r="U101" s="475"/>
      <c r="V101" s="475"/>
      <c r="W101" s="475"/>
      <c r="X101" s="475"/>
      <c r="Y101" s="476"/>
      <c r="Z101" s="269"/>
      <c r="AA101" s="1"/>
      <c r="AC101" s="283"/>
    </row>
    <row r="102" spans="2:29" ht="17.399999999999999" hidden="1" x14ac:dyDescent="0.45">
      <c r="B102" s="1"/>
      <c r="C102" s="264"/>
      <c r="D102" s="275" t="s">
        <v>235</v>
      </c>
      <c r="E102" s="295">
        <f>COUNTIFS('2. Status Detalhe Campos'!B:B,"B05.00",'2. Status Detalhe Campos'!C:C,"Loan Tape",'2. Status Detalhe Campos'!K:K,"Em curso")</f>
        <v>0</v>
      </c>
      <c r="F102" s="295">
        <f>COUNTIFS('2. Status Detalhe Campos'!B:B,"B05.00",'2. Status Detalhe Campos'!C:C,"Loan Tape",'2. Status Detalhe Campos'!J:J,"Em curso")</f>
        <v>0</v>
      </c>
      <c r="G102" s="295">
        <f t="shared" ref="G102:G105" si="12">+F102-E102</f>
        <v>0</v>
      </c>
      <c r="H102" s="434" t="e">
        <f t="shared" ref="H102:H105" si="13">+IF(F102=0,NA(),F102)</f>
        <v>#N/A</v>
      </c>
      <c r="I102" s="279"/>
      <c r="J102" s="275" t="s">
        <v>235</v>
      </c>
      <c r="K102" s="298">
        <f>COUNTIFS('2. Status Detalhe Campos'!B:B,"B05.00",'2. Status Detalhe Campos'!C:C,"Tabela Output",'2. Status Detalhe Campos'!K:K,"Em curso")</f>
        <v>0</v>
      </c>
      <c r="L102" s="298">
        <f>COUNTIFS('2. Status Detalhe Campos'!B:B,"B05.00",'2. Status Detalhe Campos'!C:C,"Tabela Output",'2. Status Detalhe Campos'!J:J,"Em curso")</f>
        <v>0</v>
      </c>
      <c r="M102" s="298">
        <f t="shared" ref="M102:M105" si="14">+L102-K102</f>
        <v>0</v>
      </c>
      <c r="N102" s="434" t="e">
        <f t="shared" ref="N102:N105" si="15">+IF(L102=0,NA(),L102)</f>
        <v>#N/A</v>
      </c>
      <c r="P102" s="474"/>
      <c r="Q102" s="475"/>
      <c r="R102" s="475"/>
      <c r="S102" s="475"/>
      <c r="T102" s="475"/>
      <c r="U102" s="475"/>
      <c r="V102" s="475"/>
      <c r="W102" s="475"/>
      <c r="X102" s="475"/>
      <c r="Y102" s="476"/>
      <c r="Z102" s="269"/>
      <c r="AA102" s="1"/>
      <c r="AC102" s="284"/>
    </row>
    <row r="103" spans="2:29" ht="17.399999999999999" hidden="1" x14ac:dyDescent="0.45">
      <c r="B103" s="1"/>
      <c r="C103" s="264"/>
      <c r="D103" s="275" t="s">
        <v>876</v>
      </c>
      <c r="E103" s="295">
        <f>COUNTIFS('2. Status Detalhe Campos'!B:B,"B05.00",'2. Status Detalhe Campos'!C:C,"Loan Tape",'2. Status Detalhe Campos'!K:K,"Concluídos")</f>
        <v>0</v>
      </c>
      <c r="F103" s="295">
        <f>COUNTIFS('2. Status Detalhe Campos'!B:B,"B05.00",'2. Status Detalhe Campos'!C:C,"Loan Tape",'2. Status Detalhe Campos'!J:J,"Concluídos")</f>
        <v>0</v>
      </c>
      <c r="G103" s="295">
        <f t="shared" si="12"/>
        <v>0</v>
      </c>
      <c r="H103" s="434" t="e">
        <f t="shared" si="13"/>
        <v>#N/A</v>
      </c>
      <c r="I103" s="279"/>
      <c r="J103" s="275" t="s">
        <v>876</v>
      </c>
      <c r="K103" s="298">
        <f>COUNTIFS('2. Status Detalhe Campos'!B:B,"B05.00",'2. Status Detalhe Campos'!C:C,"Tabela Output",'2. Status Detalhe Campos'!K:K,"Concluídos")</f>
        <v>0</v>
      </c>
      <c r="L103" s="298">
        <f>COUNTIFS('2. Status Detalhe Campos'!B:B,"B05.00",'2. Status Detalhe Campos'!C:C,"Tabela Output",'2. Status Detalhe Campos'!J:J,"Concluídos")</f>
        <v>0</v>
      </c>
      <c r="M103" s="298">
        <f t="shared" si="14"/>
        <v>0</v>
      </c>
      <c r="N103" s="434" t="e">
        <f t="shared" si="15"/>
        <v>#N/A</v>
      </c>
      <c r="P103" s="474"/>
      <c r="Q103" s="475"/>
      <c r="R103" s="475"/>
      <c r="S103" s="475"/>
      <c r="T103" s="475"/>
      <c r="U103" s="475"/>
      <c r="V103" s="475"/>
      <c r="W103" s="475"/>
      <c r="X103" s="475"/>
      <c r="Y103" s="476"/>
      <c r="Z103" s="269"/>
      <c r="AA103" s="1"/>
    </row>
    <row r="104" spans="2:29" ht="17.399999999999999" hidden="1" x14ac:dyDescent="0.45">
      <c r="B104" s="1"/>
      <c r="C104" s="264"/>
      <c r="D104" s="275" t="s">
        <v>882</v>
      </c>
      <c r="E104" s="296">
        <f>COUNTIFS('2. Status Detalhe Campos'!B:B,"B05.00",'2. Status Detalhe Campos'!C:C,"Loan Tape",'2. Status Detalhe Campos'!K:K,"Pendente de desenvolv.")</f>
        <v>2</v>
      </c>
      <c r="F104" s="296">
        <f>COUNTIFS('2. Status Detalhe Campos'!B:B,"B05.00",'2. Status Detalhe Campos'!C:C,"Loan Tape",'2. Status Detalhe Campos'!J:J,"Pendente de desenvolv.")</f>
        <v>2</v>
      </c>
      <c r="G104" s="296">
        <f t="shared" si="12"/>
        <v>0</v>
      </c>
      <c r="H104" s="434">
        <f t="shared" si="13"/>
        <v>2</v>
      </c>
      <c r="I104" s="279"/>
      <c r="J104" s="275" t="s">
        <v>882</v>
      </c>
      <c r="K104" s="299">
        <f>COUNTIFS('2. Status Detalhe Campos'!B:B,"B05.00",'2. Status Detalhe Campos'!C:C,"Tabela Output",'2. Status Detalhe Campos'!K:K,"Pendente de desenvolv.")</f>
        <v>2</v>
      </c>
      <c r="L104" s="299">
        <f>COUNTIFS('2. Status Detalhe Campos'!B:B,"B05.00",'2. Status Detalhe Campos'!C:C,"Tabela Output",'2. Status Detalhe Campos'!J:J,"Pendente de desenvolv.")</f>
        <v>2</v>
      </c>
      <c r="M104" s="299">
        <f t="shared" si="14"/>
        <v>0</v>
      </c>
      <c r="N104" s="434">
        <f t="shared" si="15"/>
        <v>2</v>
      </c>
      <c r="P104" s="474"/>
      <c r="Q104" s="475"/>
      <c r="R104" s="475"/>
      <c r="S104" s="475"/>
      <c r="T104" s="475"/>
      <c r="U104" s="475"/>
      <c r="V104" s="475"/>
      <c r="W104" s="475"/>
      <c r="X104" s="475"/>
      <c r="Y104" s="476"/>
      <c r="Z104" s="269"/>
      <c r="AA104" s="1"/>
    </row>
    <row r="105" spans="2:29" ht="17.399999999999999" hidden="1" x14ac:dyDescent="0.45">
      <c r="B105" s="1"/>
      <c r="C105" s="264"/>
      <c r="D105" s="276" t="s">
        <v>878</v>
      </c>
      <c r="E105" s="297">
        <f>COUNTIFS('2. Status Detalhe Campos'!B:B,"B05.00",'2. Status Detalhe Campos'!C:C,"Loan Tape",'2. Status Detalhe Campos'!K:K,"Com incidências")</f>
        <v>0</v>
      </c>
      <c r="F105" s="297">
        <f>COUNTIFS('2. Status Detalhe Campos'!B:B,"B05.00",'2. Status Detalhe Campos'!C:C,"Loan Tape",'2. Status Detalhe Campos'!J:J,"Com incidências")</f>
        <v>0</v>
      </c>
      <c r="G105" s="297">
        <f t="shared" si="12"/>
        <v>0</v>
      </c>
      <c r="H105" s="434" t="e">
        <f t="shared" si="13"/>
        <v>#N/A</v>
      </c>
      <c r="I105" s="279"/>
      <c r="J105" s="276" t="s">
        <v>878</v>
      </c>
      <c r="K105" s="300">
        <f>COUNTIFS('2. Status Detalhe Campos'!B:B,"B05.00",'2. Status Detalhe Campos'!C:C,"Tabela Output",'2. Status Detalhe Campos'!K:K,"Com incidências")</f>
        <v>0</v>
      </c>
      <c r="L105" s="300">
        <f>COUNTIFS('2. Status Detalhe Campos'!B:B,"B05.00",'2. Status Detalhe Campos'!C:C,"Tabela Output",'2. Status Detalhe Campos'!J:J,"Com incidências")</f>
        <v>0</v>
      </c>
      <c r="M105" s="300">
        <f t="shared" si="14"/>
        <v>0</v>
      </c>
      <c r="N105" s="434" t="e">
        <f t="shared" si="15"/>
        <v>#N/A</v>
      </c>
      <c r="P105" s="474"/>
      <c r="Q105" s="475"/>
      <c r="R105" s="475"/>
      <c r="S105" s="475"/>
      <c r="T105" s="475"/>
      <c r="U105" s="475"/>
      <c r="V105" s="475"/>
      <c r="W105" s="475"/>
      <c r="X105" s="475"/>
      <c r="Y105" s="476"/>
      <c r="Z105" s="269"/>
      <c r="AA105" s="1"/>
    </row>
    <row r="106" spans="2:29" ht="17.399999999999999" hidden="1" x14ac:dyDescent="0.45">
      <c r="B106" s="1"/>
      <c r="C106" s="264"/>
      <c r="D106" s="277" t="s">
        <v>873</v>
      </c>
      <c r="E106" s="278">
        <f>SUM(E101:E105)</f>
        <v>4</v>
      </c>
      <c r="F106" s="278">
        <f t="shared" ref="F106" si="16">SUM(F101:F105)</f>
        <v>4</v>
      </c>
      <c r="G106" s="278">
        <f t="shared" ref="G106" si="17">SUM(G101:G105)</f>
        <v>0</v>
      </c>
      <c r="I106" s="279"/>
      <c r="J106" s="277" t="s">
        <v>873</v>
      </c>
      <c r="K106" s="278">
        <f>SUM(K101:K105)</f>
        <v>15</v>
      </c>
      <c r="L106" s="278">
        <f>SUM(L101:L105)</f>
        <v>15</v>
      </c>
      <c r="M106" s="278">
        <f>SUM(M101:M105)</f>
        <v>0</v>
      </c>
      <c r="P106" s="477"/>
      <c r="Q106" s="478"/>
      <c r="R106" s="478"/>
      <c r="S106" s="478"/>
      <c r="T106" s="478"/>
      <c r="U106" s="478"/>
      <c r="V106" s="478"/>
      <c r="W106" s="478"/>
      <c r="X106" s="478"/>
      <c r="Y106" s="479"/>
      <c r="Z106" s="269"/>
      <c r="AA106" s="1"/>
    </row>
    <row r="107" spans="2:29" ht="17.399999999999999" hidden="1" x14ac:dyDescent="0.45">
      <c r="B107" s="1"/>
      <c r="C107" s="264"/>
      <c r="Z107" s="269"/>
      <c r="AA107" s="1"/>
    </row>
    <row r="108" spans="2:29" ht="22.2" hidden="1" x14ac:dyDescent="0.55000000000000004">
      <c r="B108" s="1"/>
      <c r="C108" s="259"/>
      <c r="D108" s="273" t="s">
        <v>840</v>
      </c>
      <c r="E108" s="272"/>
      <c r="F108" s="272"/>
      <c r="G108" s="272"/>
      <c r="H108" s="272"/>
      <c r="I108" s="272"/>
      <c r="J108" s="272"/>
      <c r="K108" s="272"/>
      <c r="L108" s="272"/>
      <c r="M108" s="272"/>
      <c r="N108" s="272"/>
      <c r="O108" s="272"/>
      <c r="P108" s="272"/>
      <c r="Q108" s="272"/>
      <c r="R108" s="272"/>
      <c r="S108" s="272"/>
      <c r="T108" s="272"/>
      <c r="U108" s="272"/>
      <c r="V108" s="272"/>
      <c r="W108" s="272"/>
      <c r="X108" s="272"/>
      <c r="Y108" s="272"/>
      <c r="Z108" s="269"/>
      <c r="AA108" s="1"/>
    </row>
    <row r="109" spans="2:29" ht="17.399999999999999" hidden="1" x14ac:dyDescent="0.45">
      <c r="B109" s="1"/>
      <c r="C109" s="259"/>
      <c r="D109" s="262"/>
      <c r="E109" s="262"/>
      <c r="F109" s="262"/>
      <c r="G109" s="262"/>
      <c r="H109" s="262"/>
      <c r="I109" s="262"/>
      <c r="J109" s="262"/>
      <c r="K109" s="262"/>
      <c r="L109" s="262"/>
      <c r="M109" s="262"/>
      <c r="N109" s="262"/>
      <c r="O109" s="262"/>
      <c r="P109" s="262"/>
      <c r="Q109" s="262"/>
      <c r="R109" s="262"/>
      <c r="S109" s="262"/>
      <c r="T109" s="262"/>
      <c r="U109" s="262"/>
      <c r="V109" s="262"/>
      <c r="W109" s="262"/>
      <c r="X109" s="262"/>
      <c r="Y109" s="262"/>
      <c r="Z109" s="269"/>
      <c r="AA109" s="1"/>
    </row>
    <row r="110" spans="2:29" ht="17.399999999999999" hidden="1" x14ac:dyDescent="0.45">
      <c r="B110" s="1"/>
      <c r="C110" s="259"/>
      <c r="L110" s="271"/>
      <c r="O110" s="2"/>
      <c r="P110" s="271"/>
      <c r="Q110" s="2"/>
      <c r="R110" s="2"/>
      <c r="S110" s="2"/>
      <c r="T110" s="2"/>
      <c r="U110" s="2"/>
      <c r="V110" s="2"/>
      <c r="W110" s="2"/>
      <c r="X110" s="2"/>
      <c r="Y110" s="2"/>
      <c r="Z110" s="269"/>
      <c r="AA110" s="1"/>
    </row>
    <row r="111" spans="2:29" ht="17.399999999999999" hidden="1" x14ac:dyDescent="0.45">
      <c r="B111" s="1"/>
      <c r="C111" s="259"/>
      <c r="P111" s="271" t="s">
        <v>877</v>
      </c>
      <c r="Z111" s="269"/>
      <c r="AA111" s="1"/>
    </row>
    <row r="112" spans="2:29" ht="17.7" hidden="1" customHeight="1" x14ac:dyDescent="0.45">
      <c r="B112" s="1"/>
      <c r="C112" s="263" t="s">
        <v>860</v>
      </c>
      <c r="P112" s="471" t="s">
        <v>1102</v>
      </c>
      <c r="Q112" s="472"/>
      <c r="R112" s="472"/>
      <c r="S112" s="472"/>
      <c r="T112" s="472"/>
      <c r="U112" s="472"/>
      <c r="V112" s="472"/>
      <c r="W112" s="472"/>
      <c r="X112" s="472"/>
      <c r="Y112" s="473"/>
      <c r="Z112" s="269"/>
      <c r="AA112" s="1"/>
      <c r="AC112" s="282"/>
    </row>
    <row r="113" spans="2:29" ht="17.399999999999999" hidden="1" x14ac:dyDescent="0.45">
      <c r="B113" s="1"/>
      <c r="C113" s="264" t="s">
        <v>861</v>
      </c>
      <c r="P113" s="474"/>
      <c r="Q113" s="475"/>
      <c r="R113" s="475"/>
      <c r="S113" s="475"/>
      <c r="T113" s="475"/>
      <c r="U113" s="475"/>
      <c r="V113" s="475"/>
      <c r="W113" s="475"/>
      <c r="X113" s="475"/>
      <c r="Y113" s="476"/>
      <c r="Z113" s="269"/>
      <c r="AA113" s="1"/>
      <c r="AC113" s="283"/>
    </row>
    <row r="114" spans="2:29" ht="17.399999999999999" hidden="1" x14ac:dyDescent="0.45">
      <c r="B114" s="1"/>
      <c r="C114" s="265" t="s">
        <v>862</v>
      </c>
      <c r="P114" s="474"/>
      <c r="Q114" s="475"/>
      <c r="R114" s="475"/>
      <c r="S114" s="475"/>
      <c r="T114" s="475"/>
      <c r="U114" s="475"/>
      <c r="V114" s="475"/>
      <c r="W114" s="475"/>
      <c r="X114" s="475"/>
      <c r="Y114" s="476"/>
      <c r="Z114" s="269"/>
      <c r="AA114" s="1"/>
      <c r="AC114" s="283"/>
    </row>
    <row r="115" spans="2:29" ht="17.399999999999999" hidden="1" x14ac:dyDescent="0.45">
      <c r="B115" s="1"/>
      <c r="C115" s="265"/>
      <c r="P115" s="474"/>
      <c r="Q115" s="475"/>
      <c r="R115" s="475"/>
      <c r="S115" s="475"/>
      <c r="T115" s="475"/>
      <c r="U115" s="475"/>
      <c r="V115" s="475"/>
      <c r="W115" s="475"/>
      <c r="X115" s="475"/>
      <c r="Y115" s="476"/>
      <c r="Z115" s="269"/>
      <c r="AA115" s="1"/>
      <c r="AC115" s="283"/>
    </row>
    <row r="116" spans="2:29" ht="17.399999999999999" hidden="1" x14ac:dyDescent="0.45">
      <c r="B116" s="1"/>
      <c r="C116" s="264" t="s">
        <v>869</v>
      </c>
      <c r="P116" s="474"/>
      <c r="Q116" s="475"/>
      <c r="R116" s="475"/>
      <c r="S116" s="475"/>
      <c r="T116" s="475"/>
      <c r="U116" s="475"/>
      <c r="V116" s="475"/>
      <c r="W116" s="475"/>
      <c r="X116" s="475"/>
      <c r="Y116" s="476"/>
      <c r="Z116" s="269"/>
      <c r="AA116" s="1"/>
      <c r="AC116" s="283"/>
    </row>
    <row r="117" spans="2:29" ht="17.399999999999999" hidden="1" x14ac:dyDescent="0.45">
      <c r="B117" s="1"/>
      <c r="C117" s="264"/>
      <c r="P117" s="474"/>
      <c r="Q117" s="475"/>
      <c r="R117" s="475"/>
      <c r="S117" s="475"/>
      <c r="T117" s="475"/>
      <c r="U117" s="475"/>
      <c r="V117" s="475"/>
      <c r="W117" s="475"/>
      <c r="X117" s="475"/>
      <c r="Y117" s="476"/>
      <c r="Z117" s="269"/>
      <c r="AA117" s="1"/>
      <c r="AC117" s="283"/>
    </row>
    <row r="118" spans="2:29" ht="17.399999999999999" hidden="1" x14ac:dyDescent="0.45">
      <c r="B118" s="1"/>
      <c r="C118" s="264"/>
      <c r="P118" s="474"/>
      <c r="Q118" s="475"/>
      <c r="R118" s="475"/>
      <c r="S118" s="475"/>
      <c r="T118" s="475"/>
      <c r="U118" s="475"/>
      <c r="V118" s="475"/>
      <c r="W118" s="475"/>
      <c r="X118" s="475"/>
      <c r="Y118" s="476"/>
      <c r="Z118" s="269"/>
      <c r="AA118" s="1"/>
      <c r="AC118" s="283"/>
    </row>
    <row r="119" spans="2:29" ht="17.399999999999999" hidden="1" x14ac:dyDescent="0.45">
      <c r="B119" s="1"/>
      <c r="C119" s="264"/>
      <c r="P119" s="474"/>
      <c r="Q119" s="475"/>
      <c r="R119" s="475"/>
      <c r="S119" s="475"/>
      <c r="T119" s="475"/>
      <c r="U119" s="475"/>
      <c r="V119" s="475"/>
      <c r="W119" s="475"/>
      <c r="X119" s="475"/>
      <c r="Y119" s="476"/>
      <c r="Z119" s="269"/>
      <c r="AA119" s="1"/>
      <c r="AC119" s="283"/>
    </row>
    <row r="120" spans="2:29" ht="17.399999999999999" hidden="1" x14ac:dyDescent="0.45">
      <c r="B120" s="1"/>
      <c r="C120" s="264"/>
      <c r="P120" s="474"/>
      <c r="Q120" s="475"/>
      <c r="R120" s="475"/>
      <c r="S120" s="475"/>
      <c r="T120" s="475"/>
      <c r="U120" s="475"/>
      <c r="V120" s="475"/>
      <c r="W120" s="475"/>
      <c r="X120" s="475"/>
      <c r="Y120" s="476"/>
      <c r="Z120" s="269"/>
      <c r="AA120" s="1"/>
      <c r="AC120" s="283"/>
    </row>
    <row r="121" spans="2:29" ht="17.399999999999999" hidden="1" x14ac:dyDescent="0.45">
      <c r="B121" s="1"/>
      <c r="C121" s="264"/>
      <c r="P121" s="474"/>
      <c r="Q121" s="475"/>
      <c r="R121" s="475"/>
      <c r="S121" s="475"/>
      <c r="T121" s="475"/>
      <c r="U121" s="475"/>
      <c r="V121" s="475"/>
      <c r="W121" s="475"/>
      <c r="X121" s="475"/>
      <c r="Y121" s="476"/>
      <c r="Z121" s="269"/>
      <c r="AA121" s="1"/>
      <c r="AC121" s="283"/>
    </row>
    <row r="122" spans="2:29" ht="17.399999999999999" hidden="1" x14ac:dyDescent="0.45">
      <c r="B122" s="1"/>
      <c r="C122" s="264"/>
      <c r="P122" s="474"/>
      <c r="Q122" s="475"/>
      <c r="R122" s="475"/>
      <c r="S122" s="475"/>
      <c r="T122" s="475"/>
      <c r="U122" s="475"/>
      <c r="V122" s="475"/>
      <c r="W122" s="475"/>
      <c r="X122" s="475"/>
      <c r="Y122" s="476"/>
      <c r="Z122" s="269"/>
      <c r="AA122" s="1"/>
      <c r="AC122" s="283"/>
    </row>
    <row r="123" spans="2:29" ht="17.399999999999999" hidden="1" x14ac:dyDescent="0.45">
      <c r="B123" s="1"/>
      <c r="C123" s="264"/>
      <c r="P123" s="474"/>
      <c r="Q123" s="475"/>
      <c r="R123" s="475"/>
      <c r="S123" s="475"/>
      <c r="T123" s="475"/>
      <c r="U123" s="475"/>
      <c r="V123" s="475"/>
      <c r="W123" s="475"/>
      <c r="X123" s="475"/>
      <c r="Y123" s="476"/>
      <c r="Z123" s="269"/>
      <c r="AA123" s="1"/>
      <c r="AC123" s="283"/>
    </row>
    <row r="124" spans="2:29" ht="17.399999999999999" hidden="1" x14ac:dyDescent="0.45">
      <c r="B124" s="1"/>
      <c r="C124" s="264"/>
      <c r="P124" s="474"/>
      <c r="Q124" s="475"/>
      <c r="R124" s="475"/>
      <c r="S124" s="475"/>
      <c r="T124" s="475"/>
      <c r="U124" s="475"/>
      <c r="V124" s="475"/>
      <c r="W124" s="475"/>
      <c r="X124" s="475"/>
      <c r="Y124" s="476"/>
      <c r="Z124" s="269"/>
      <c r="AA124" s="1"/>
      <c r="AC124" s="283"/>
    </row>
    <row r="125" spans="2:29" ht="17.399999999999999" hidden="1" x14ac:dyDescent="0.45">
      <c r="B125" s="1"/>
      <c r="C125" s="264"/>
      <c r="D125" s="274" t="s">
        <v>881</v>
      </c>
      <c r="E125" s="280">
        <v>45952</v>
      </c>
      <c r="F125" s="280">
        <v>45968</v>
      </c>
      <c r="G125" s="281" t="s">
        <v>880</v>
      </c>
      <c r="I125" s="279"/>
      <c r="J125" s="274" t="s">
        <v>881</v>
      </c>
      <c r="K125" s="280">
        <v>45952</v>
      </c>
      <c r="L125" s="280">
        <v>45968</v>
      </c>
      <c r="M125" s="281" t="s">
        <v>880</v>
      </c>
      <c r="P125" s="474"/>
      <c r="Q125" s="475"/>
      <c r="R125" s="475"/>
      <c r="S125" s="475"/>
      <c r="T125" s="475"/>
      <c r="U125" s="475"/>
      <c r="V125" s="475"/>
      <c r="W125" s="475"/>
      <c r="X125" s="475"/>
      <c r="Y125" s="476"/>
      <c r="Z125" s="269"/>
      <c r="AA125" s="1"/>
      <c r="AC125" s="283"/>
    </row>
    <row r="126" spans="2:29" ht="17.399999999999999" hidden="1" x14ac:dyDescent="0.45">
      <c r="B126" s="1"/>
      <c r="C126" s="264"/>
      <c r="D126" s="275" t="s">
        <v>801</v>
      </c>
      <c r="E126" s="295">
        <f>COUNTIFS('2. Status Detalhe Campos'!B:B,"B90.00",'2. Status Detalhe Campos'!C:C,"Loan Tape",'2. Status Detalhe Campos'!K:K,"Por iniciar")</f>
        <v>1</v>
      </c>
      <c r="F126" s="295">
        <f>COUNTIFS('2. Status Detalhe Campos'!B:B,"B90.00",'2. Status Detalhe Campos'!C:C,"Loan Tape",'2. Status Detalhe Campos'!J:J,"Por iniciar")</f>
        <v>1</v>
      </c>
      <c r="G126" s="295">
        <f>+F126-E126</f>
        <v>0</v>
      </c>
      <c r="H126" s="434">
        <f>+IF(F126=0,NA(),F126)</f>
        <v>1</v>
      </c>
      <c r="I126" s="279"/>
      <c r="J126" s="275" t="s">
        <v>801</v>
      </c>
      <c r="K126" s="298">
        <f>COUNTIFS('2. Status Detalhe Campos'!B:B,"B90.00",'2. Status Detalhe Campos'!C:C,"Tabela Output",'2. Status Detalhe Campos'!K:K,"Por iniciar")</f>
        <v>0</v>
      </c>
      <c r="L126" s="298">
        <f>COUNTIFS('2. Status Detalhe Campos'!B:B,"B90.00",'2. Status Detalhe Campos'!C:C,"Tabela Output",'2. Status Detalhe Campos'!J:J,"Por iniciar")</f>
        <v>0</v>
      </c>
      <c r="M126" s="298">
        <f>+L126-K126</f>
        <v>0</v>
      </c>
      <c r="N126" s="434" t="e">
        <f>+IF(L126=0,NA(),L126)</f>
        <v>#N/A</v>
      </c>
      <c r="P126" s="474"/>
      <c r="Q126" s="475"/>
      <c r="R126" s="475"/>
      <c r="S126" s="475"/>
      <c r="T126" s="475"/>
      <c r="U126" s="475"/>
      <c r="V126" s="475"/>
      <c r="W126" s="475"/>
      <c r="X126" s="475"/>
      <c r="Y126" s="476"/>
      <c r="Z126" s="269"/>
      <c r="AA126" s="1"/>
      <c r="AC126" s="283"/>
    </row>
    <row r="127" spans="2:29" ht="17.399999999999999" hidden="1" x14ac:dyDescent="0.45">
      <c r="B127" s="1"/>
      <c r="C127" s="264"/>
      <c r="D127" s="275" t="s">
        <v>235</v>
      </c>
      <c r="E127" s="295">
        <f>COUNTIFS('2. Status Detalhe Campos'!B:B,"B90.00",'2. Status Detalhe Campos'!C:C,"Loan Tape",'2. Status Detalhe Campos'!K:K,"Em curso")</f>
        <v>8</v>
      </c>
      <c r="F127" s="295">
        <f>COUNTIFS('2. Status Detalhe Campos'!B:B,"B90.00",'2. Status Detalhe Campos'!C:C,"Loan Tape",'2. Status Detalhe Campos'!J:J,"Em curso")</f>
        <v>8</v>
      </c>
      <c r="G127" s="295">
        <f t="shared" ref="G127:G130" si="18">+F127-E127</f>
        <v>0</v>
      </c>
      <c r="H127" s="434">
        <f t="shared" ref="H127:H130" si="19">+IF(F127=0,NA(),F127)</f>
        <v>8</v>
      </c>
      <c r="I127" s="279"/>
      <c r="J127" s="275" t="s">
        <v>235</v>
      </c>
      <c r="K127" s="298">
        <f>COUNTIFS('2. Status Detalhe Campos'!B:B,"B90.00",'2. Status Detalhe Campos'!C:C,"Tabela Output",'2. Status Detalhe Campos'!K:K,"Em curso")</f>
        <v>3</v>
      </c>
      <c r="L127" s="298">
        <f>COUNTIFS('2. Status Detalhe Campos'!B:B,"B90.00",'2. Status Detalhe Campos'!C:C,"Tabela Output",'2. Status Detalhe Campos'!J:J,"Em curso")</f>
        <v>3</v>
      </c>
      <c r="M127" s="298">
        <f t="shared" ref="M127:M130" si="20">+L127-K127</f>
        <v>0</v>
      </c>
      <c r="N127" s="434">
        <f t="shared" ref="N127:N130" si="21">+IF(L127=0,NA(),L127)</f>
        <v>3</v>
      </c>
      <c r="P127" s="474"/>
      <c r="Q127" s="475"/>
      <c r="R127" s="475"/>
      <c r="S127" s="475"/>
      <c r="T127" s="475"/>
      <c r="U127" s="475"/>
      <c r="V127" s="475"/>
      <c r="W127" s="475"/>
      <c r="X127" s="475"/>
      <c r="Y127" s="476"/>
      <c r="Z127" s="269"/>
      <c r="AA127" s="1"/>
      <c r="AC127" s="284"/>
    </row>
    <row r="128" spans="2:29" ht="17.399999999999999" hidden="1" x14ac:dyDescent="0.45">
      <c r="B128" s="1"/>
      <c r="C128" s="264"/>
      <c r="D128" s="275" t="s">
        <v>876</v>
      </c>
      <c r="E128" s="295">
        <f>COUNTIFS('2. Status Detalhe Campos'!B:B,"B90.00",'2. Status Detalhe Campos'!C:C,"Loan Tape",'2. Status Detalhe Campos'!K:K,"Concluídos")</f>
        <v>0</v>
      </c>
      <c r="F128" s="295">
        <f>COUNTIFS('2. Status Detalhe Campos'!B:B,"B90.00",'2. Status Detalhe Campos'!C:C,"Loan Tape",'2. Status Detalhe Campos'!J:J,"Concluídos")</f>
        <v>0</v>
      </c>
      <c r="G128" s="295">
        <f t="shared" si="18"/>
        <v>0</v>
      </c>
      <c r="H128" s="434" t="e">
        <f t="shared" si="19"/>
        <v>#N/A</v>
      </c>
      <c r="I128" s="279"/>
      <c r="J128" s="275" t="s">
        <v>876</v>
      </c>
      <c r="K128" s="298">
        <f>COUNTIFS('2. Status Detalhe Campos'!B:B,"B90.00",'2. Status Detalhe Campos'!C:C,"Tabela Output",'2. Status Detalhe Campos'!K:K,"Concluídos")</f>
        <v>0</v>
      </c>
      <c r="L128" s="298">
        <f>COUNTIFS('2. Status Detalhe Campos'!B:B,"B90.00",'2. Status Detalhe Campos'!C:C,"Tabela Output",'2. Status Detalhe Campos'!J:J,"Concluídos")</f>
        <v>0</v>
      </c>
      <c r="M128" s="298">
        <f t="shared" si="20"/>
        <v>0</v>
      </c>
      <c r="N128" s="434" t="e">
        <f t="shared" si="21"/>
        <v>#N/A</v>
      </c>
      <c r="P128" s="474"/>
      <c r="Q128" s="475"/>
      <c r="R128" s="475"/>
      <c r="S128" s="475"/>
      <c r="T128" s="475"/>
      <c r="U128" s="475"/>
      <c r="V128" s="475"/>
      <c r="W128" s="475"/>
      <c r="X128" s="475"/>
      <c r="Y128" s="476"/>
      <c r="Z128" s="269"/>
      <c r="AA128" s="1"/>
    </row>
    <row r="129" spans="2:27" ht="17.399999999999999" hidden="1" x14ac:dyDescent="0.45">
      <c r="B129" s="1"/>
      <c r="C129" s="264"/>
      <c r="D129" s="275" t="s">
        <v>882</v>
      </c>
      <c r="E129" s="296">
        <f>COUNTIFS('2. Status Detalhe Campos'!B:B,"B90.00",'2. Status Detalhe Campos'!C:C,"Loan Tape",'2. Status Detalhe Campos'!K:K,"Pendente de desenvolv.")</f>
        <v>2</v>
      </c>
      <c r="F129" s="296">
        <f>COUNTIFS('2. Status Detalhe Campos'!B:B,"B90.00",'2. Status Detalhe Campos'!C:C,"Loan Tape",'2. Status Detalhe Campos'!J:J,"Pendente de desenvolv.")</f>
        <v>2</v>
      </c>
      <c r="G129" s="296">
        <f t="shared" si="18"/>
        <v>0</v>
      </c>
      <c r="H129" s="434">
        <f t="shared" si="19"/>
        <v>2</v>
      </c>
      <c r="I129" s="279"/>
      <c r="J129" s="275" t="s">
        <v>882</v>
      </c>
      <c r="K129" s="299">
        <f>COUNTIFS('2. Status Detalhe Campos'!B:B,"B90.00",'2. Status Detalhe Campos'!C:C,"Tabela Output",'2. Status Detalhe Campos'!K:K,"Pendente de desenvolv.")</f>
        <v>8</v>
      </c>
      <c r="L129" s="299">
        <f>COUNTIFS('2. Status Detalhe Campos'!B:B,"B90.00",'2. Status Detalhe Campos'!C:C,"Tabela Output",'2. Status Detalhe Campos'!J:J,"Pendente de desenvolv.")</f>
        <v>8</v>
      </c>
      <c r="M129" s="299">
        <f t="shared" si="20"/>
        <v>0</v>
      </c>
      <c r="N129" s="434">
        <f t="shared" si="21"/>
        <v>8</v>
      </c>
      <c r="P129" s="474"/>
      <c r="Q129" s="475"/>
      <c r="R129" s="475"/>
      <c r="S129" s="475"/>
      <c r="T129" s="475"/>
      <c r="U129" s="475"/>
      <c r="V129" s="475"/>
      <c r="W129" s="475"/>
      <c r="X129" s="475"/>
      <c r="Y129" s="476"/>
      <c r="Z129" s="269"/>
      <c r="AA129" s="1"/>
    </row>
    <row r="130" spans="2:27" ht="17.399999999999999" hidden="1" x14ac:dyDescent="0.45">
      <c r="B130" s="1"/>
      <c r="C130" s="264"/>
      <c r="D130" s="276" t="s">
        <v>878</v>
      </c>
      <c r="E130" s="297">
        <f>COUNTIFS('2. Status Detalhe Campos'!B:B,"B90.00",'2. Status Detalhe Campos'!C:C,"Loan Tape",'2. Status Detalhe Campos'!K:K,"Com incidências")</f>
        <v>0</v>
      </c>
      <c r="F130" s="297">
        <f>COUNTIFS('2. Status Detalhe Campos'!B:B,"B90.00",'2. Status Detalhe Campos'!C:C,"Loan Tape",'2. Status Detalhe Campos'!J:J,"Com incidências")</f>
        <v>0</v>
      </c>
      <c r="G130" s="297">
        <f t="shared" si="18"/>
        <v>0</v>
      </c>
      <c r="H130" s="434" t="e">
        <f t="shared" si="19"/>
        <v>#N/A</v>
      </c>
      <c r="I130" s="279"/>
      <c r="J130" s="276" t="s">
        <v>878</v>
      </c>
      <c r="K130" s="300">
        <f>COUNTIFS('2. Status Detalhe Campos'!B:B,"B90.00",'2. Status Detalhe Campos'!C:C,"Tabela Output",'2. Status Detalhe Campos'!K:K,"Com incidências")</f>
        <v>0</v>
      </c>
      <c r="L130" s="300">
        <f>COUNTIFS('2. Status Detalhe Campos'!B:B,"B90.00",'2. Status Detalhe Campos'!C:C,"Tabela Output",'2. Status Detalhe Campos'!J:J,"Com incidências")</f>
        <v>0</v>
      </c>
      <c r="M130" s="300">
        <f t="shared" si="20"/>
        <v>0</v>
      </c>
      <c r="N130" s="434" t="e">
        <f t="shared" si="21"/>
        <v>#N/A</v>
      </c>
      <c r="P130" s="474"/>
      <c r="Q130" s="475"/>
      <c r="R130" s="475"/>
      <c r="S130" s="475"/>
      <c r="T130" s="475"/>
      <c r="U130" s="475"/>
      <c r="V130" s="475"/>
      <c r="W130" s="475"/>
      <c r="X130" s="475"/>
      <c r="Y130" s="476"/>
      <c r="Z130" s="269"/>
      <c r="AA130" s="1"/>
    </row>
    <row r="131" spans="2:27" ht="17.399999999999999" hidden="1" x14ac:dyDescent="0.45">
      <c r="B131" s="1"/>
      <c r="C131" s="264"/>
      <c r="D131" s="277" t="s">
        <v>873</v>
      </c>
      <c r="E131" s="278">
        <f>SUM(E126:E130)</f>
        <v>11</v>
      </c>
      <c r="F131" s="278">
        <f t="shared" ref="F131" si="22">SUM(F126:F130)</f>
        <v>11</v>
      </c>
      <c r="G131" s="278">
        <f t="shared" ref="G131" si="23">SUM(G126:G130)</f>
        <v>0</v>
      </c>
      <c r="I131" s="279"/>
      <c r="J131" s="277" t="s">
        <v>873</v>
      </c>
      <c r="K131" s="278">
        <f>SUM(K126:K130)</f>
        <v>11</v>
      </c>
      <c r="L131" s="278">
        <f>SUM(L126:L130)</f>
        <v>11</v>
      </c>
      <c r="M131" s="278">
        <f>SUM(M126:M130)</f>
        <v>0</v>
      </c>
      <c r="P131" s="477"/>
      <c r="Q131" s="478"/>
      <c r="R131" s="478"/>
      <c r="S131" s="478"/>
      <c r="T131" s="478"/>
      <c r="U131" s="478"/>
      <c r="V131" s="478"/>
      <c r="W131" s="478"/>
      <c r="X131" s="478"/>
      <c r="Y131" s="479"/>
      <c r="Z131" s="269"/>
      <c r="AA131" s="1"/>
    </row>
    <row r="132" spans="2:27" ht="17.399999999999999" hidden="1" x14ac:dyDescent="0.45">
      <c r="B132" s="1"/>
      <c r="C132" s="266"/>
      <c r="D132" s="267"/>
      <c r="E132" s="267"/>
      <c r="F132" s="267"/>
      <c r="G132" s="267"/>
      <c r="H132" s="267"/>
      <c r="I132" s="267"/>
      <c r="J132" s="267"/>
      <c r="K132" s="267"/>
      <c r="L132" s="267"/>
      <c r="M132" s="267"/>
      <c r="N132" s="267"/>
      <c r="O132" s="267"/>
      <c r="P132" s="267"/>
      <c r="Q132" s="267"/>
      <c r="R132" s="267"/>
      <c r="S132" s="267"/>
      <c r="T132" s="267"/>
      <c r="U132" s="267"/>
      <c r="V132" s="267"/>
      <c r="W132" s="267"/>
      <c r="X132" s="267"/>
      <c r="Y132" s="267"/>
      <c r="Z132" s="270"/>
      <c r="AA132" s="1"/>
    </row>
    <row r="133" spans="2:27" ht="17.399999999999999" hidden="1" x14ac:dyDescent="0.4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2:27" ht="17.399999999999999" hidden="1" x14ac:dyDescent="0.4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2:27" ht="17.399999999999999" hidden="1" x14ac:dyDescent="0.45">
      <c r="B135" s="326"/>
      <c r="C135" s="257"/>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68"/>
      <c r="AA135" s="326"/>
    </row>
    <row r="136" spans="2:27" ht="17.399999999999999" hidden="1" x14ac:dyDescent="0.45">
      <c r="B136" s="326"/>
      <c r="C136" s="259"/>
      <c r="D136" s="260"/>
      <c r="E136" s="260"/>
      <c r="F136" s="260"/>
      <c r="G136" s="260"/>
      <c r="H136" s="260"/>
      <c r="I136" s="260"/>
      <c r="J136" s="260"/>
      <c r="K136" s="260"/>
      <c r="L136" s="260"/>
      <c r="M136" s="260"/>
      <c r="N136" s="260"/>
      <c r="O136" s="260"/>
      <c r="P136" s="260"/>
      <c r="Q136" s="260"/>
      <c r="R136" s="260"/>
      <c r="S136" s="260"/>
      <c r="T136" s="260"/>
      <c r="U136" s="260"/>
      <c r="V136" s="260"/>
      <c r="W136" s="2"/>
      <c r="X136" s="2"/>
      <c r="Y136" s="2"/>
      <c r="Z136" s="269"/>
      <c r="AA136" s="326"/>
    </row>
    <row r="137" spans="2:27" ht="17.399999999999999" hidden="1" x14ac:dyDescent="0.45">
      <c r="B137" s="326"/>
      <c r="C137" s="259"/>
      <c r="D137" s="260"/>
      <c r="E137" s="260"/>
      <c r="F137" s="260"/>
      <c r="G137" s="260"/>
      <c r="H137" s="260"/>
      <c r="I137" s="260"/>
      <c r="J137" s="260"/>
      <c r="K137" s="260"/>
      <c r="M137" s="260"/>
      <c r="N137" s="260"/>
      <c r="O137" s="260"/>
      <c r="P137" s="260"/>
      <c r="Q137" s="260"/>
      <c r="R137" s="260"/>
      <c r="S137" s="2"/>
      <c r="T137" s="2"/>
      <c r="U137" s="2"/>
      <c r="Z137" s="269"/>
      <c r="AA137" s="326"/>
    </row>
    <row r="138" spans="2:27" ht="17.399999999999999" hidden="1" x14ac:dyDescent="0.45">
      <c r="B138" s="326"/>
      <c r="C138" s="259"/>
      <c r="D138" s="513" t="s">
        <v>895</v>
      </c>
      <c r="E138" s="513"/>
      <c r="F138" s="513"/>
      <c r="G138" s="513"/>
      <c r="H138" s="513"/>
      <c r="I138" s="513"/>
      <c r="J138" s="260"/>
      <c r="K138" s="260"/>
      <c r="L138" s="260"/>
      <c r="M138" s="327"/>
      <c r="N138" s="327"/>
      <c r="O138" s="327"/>
      <c r="P138" s="327"/>
      <c r="Q138" s="327"/>
      <c r="R138" s="327"/>
      <c r="S138" s="327"/>
      <c r="T138" s="327"/>
      <c r="U138" s="327"/>
      <c r="V138" s="327"/>
      <c r="W138" s="327"/>
      <c r="X138" s="327"/>
      <c r="Y138" s="260"/>
      <c r="Z138" s="269"/>
      <c r="AA138" s="326"/>
    </row>
    <row r="139" spans="2:27" ht="4.95" hidden="1" customHeight="1" x14ac:dyDescent="0.45">
      <c r="B139" s="326"/>
      <c r="C139" s="259"/>
      <c r="D139" s="325"/>
      <c r="E139" s="325"/>
      <c r="F139" s="325"/>
      <c r="G139" s="325"/>
      <c r="H139" s="325"/>
      <c r="I139" s="325"/>
      <c r="J139" s="2"/>
      <c r="K139" s="260"/>
      <c r="L139" s="260"/>
      <c r="M139" s="327"/>
      <c r="N139" s="327"/>
      <c r="O139" s="327"/>
      <c r="P139" s="327"/>
      <c r="Q139" s="327"/>
      <c r="R139" s="327"/>
      <c r="S139" s="327"/>
      <c r="T139" s="327"/>
      <c r="U139" s="327"/>
      <c r="V139" s="327"/>
      <c r="W139" s="327"/>
      <c r="X139" s="327"/>
      <c r="Y139" s="260"/>
      <c r="Z139" s="269"/>
      <c r="AA139" s="326"/>
    </row>
    <row r="140" spans="2:27" ht="18" hidden="1" customHeight="1" x14ac:dyDescent="0.45">
      <c r="B140" s="326"/>
      <c r="C140" s="259"/>
      <c r="D140" s="509" t="s">
        <v>887</v>
      </c>
      <c r="E140" s="339"/>
      <c r="F140" s="514" t="s">
        <v>890</v>
      </c>
      <c r="G140" s="516" t="s">
        <v>1058</v>
      </c>
      <c r="H140" s="511" t="s">
        <v>891</v>
      </c>
      <c r="I140" s="432" t="s">
        <v>892</v>
      </c>
      <c r="J140" s="432"/>
      <c r="K140" s="467" t="s">
        <v>1073</v>
      </c>
      <c r="L140" s="468"/>
      <c r="N140" s="271" t="s">
        <v>877</v>
      </c>
      <c r="O140" s="327"/>
      <c r="P140" s="327"/>
      <c r="Q140" s="327"/>
      <c r="R140" s="327"/>
      <c r="S140" s="327"/>
      <c r="T140" s="327"/>
      <c r="U140" s="327"/>
      <c r="V140" s="327"/>
      <c r="W140" s="327"/>
      <c r="X140" s="327"/>
      <c r="Y140" s="260"/>
      <c r="Z140" s="269"/>
      <c r="AA140" s="326"/>
    </row>
    <row r="141" spans="2:27" ht="34.200000000000003" hidden="1" customHeight="1" x14ac:dyDescent="0.45">
      <c r="B141" s="326"/>
      <c r="C141" s="259"/>
      <c r="D141" s="510"/>
      <c r="E141" s="329"/>
      <c r="F141" s="515"/>
      <c r="G141" s="517"/>
      <c r="H141" s="512"/>
      <c r="I141" s="340" t="s">
        <v>1059</v>
      </c>
      <c r="J141" s="328" t="s">
        <v>1060</v>
      </c>
      <c r="K141" s="469"/>
      <c r="L141" s="470"/>
      <c r="N141" s="471" t="s">
        <v>1103</v>
      </c>
      <c r="O141" s="472"/>
      <c r="P141" s="472"/>
      <c r="Q141" s="472"/>
      <c r="R141" s="472"/>
      <c r="S141" s="472"/>
      <c r="T141" s="472"/>
      <c r="U141" s="472"/>
      <c r="V141" s="472"/>
      <c r="W141" s="472"/>
      <c r="X141" s="472"/>
      <c r="Y141" s="473"/>
      <c r="Z141" s="269"/>
      <c r="AA141" s="326"/>
    </row>
    <row r="142" spans="2:27" ht="19.2" hidden="1" x14ac:dyDescent="0.45">
      <c r="B142" s="326"/>
      <c r="C142" s="259"/>
      <c r="D142" s="373" t="s">
        <v>0</v>
      </c>
      <c r="E142" s="374"/>
      <c r="F142" s="375">
        <f>+SUM(F143,F146,F149)</f>
        <v>156</v>
      </c>
      <c r="G142" s="376">
        <f>+SUM(G143,G146,G149)/$F$142</f>
        <v>0.42948717948717946</v>
      </c>
      <c r="H142" s="376">
        <f t="shared" ref="H142:J142" si="24">+SUM(H143,H146,H149)/$F$142</f>
        <v>0.53205128205128205</v>
      </c>
      <c r="I142" s="376">
        <f t="shared" si="24"/>
        <v>3.8461538461538464E-2</v>
      </c>
      <c r="J142" s="376">
        <f t="shared" si="24"/>
        <v>0</v>
      </c>
      <c r="K142" s="396"/>
      <c r="L142" s="395"/>
      <c r="N142" s="474"/>
      <c r="O142" s="475"/>
      <c r="P142" s="475"/>
      <c r="Q142" s="475"/>
      <c r="R142" s="475"/>
      <c r="S142" s="475"/>
      <c r="T142" s="475"/>
      <c r="U142" s="475"/>
      <c r="V142" s="475"/>
      <c r="W142" s="475"/>
      <c r="X142" s="475"/>
      <c r="Y142" s="476"/>
      <c r="Z142" s="269"/>
      <c r="AA142" s="326"/>
    </row>
    <row r="143" spans="2:27" ht="19.2" hidden="1" x14ac:dyDescent="0.45">
      <c r="B143" s="326"/>
      <c r="C143" s="259"/>
      <c r="D143" s="412" t="s">
        <v>888</v>
      </c>
      <c r="E143" s="377"/>
      <c r="F143" s="378">
        <f>+SUM(F144:F145)</f>
        <v>39</v>
      </c>
      <c r="G143" s="379">
        <f>+SUM(G144:G145)</f>
        <v>21</v>
      </c>
      <c r="H143" s="379">
        <f t="shared" ref="H143:J143" si="25">+SUM(H144:H145)</f>
        <v>18</v>
      </c>
      <c r="I143" s="379">
        <f t="shared" si="25"/>
        <v>0</v>
      </c>
      <c r="J143" s="379">
        <f t="shared" si="25"/>
        <v>0</v>
      </c>
      <c r="K143" s="397"/>
      <c r="L143" s="398"/>
      <c r="N143" s="474"/>
      <c r="O143" s="475"/>
      <c r="P143" s="475"/>
      <c r="Q143" s="475"/>
      <c r="R143" s="475"/>
      <c r="S143" s="475"/>
      <c r="T143" s="475"/>
      <c r="U143" s="475"/>
      <c r="V143" s="475"/>
      <c r="W143" s="475"/>
      <c r="X143" s="475"/>
      <c r="Y143" s="476"/>
      <c r="Z143" s="269"/>
      <c r="AA143" s="326"/>
    </row>
    <row r="144" spans="2:27" ht="17.399999999999999" hidden="1" x14ac:dyDescent="0.45">
      <c r="B144" s="326"/>
      <c r="C144" s="259"/>
      <c r="D144" s="414" t="s">
        <v>896</v>
      </c>
      <c r="E144" s="380"/>
      <c r="F144" s="381">
        <v>30</v>
      </c>
      <c r="G144" s="382">
        <f>IF(F144-SUM(H144:J144)&lt;0,"REVER --&gt;",F144-SUM(H144:J144))</f>
        <v>15</v>
      </c>
      <c r="H144" s="382">
        <v>15</v>
      </c>
      <c r="I144" s="382">
        <v>0</v>
      </c>
      <c r="J144" s="382">
        <v>0</v>
      </c>
      <c r="K144" s="399"/>
      <c r="L144" s="400"/>
      <c r="N144" s="474"/>
      <c r="O144" s="475"/>
      <c r="P144" s="475"/>
      <c r="Q144" s="475"/>
      <c r="R144" s="475"/>
      <c r="S144" s="475"/>
      <c r="T144" s="475"/>
      <c r="U144" s="475"/>
      <c r="V144" s="475"/>
      <c r="W144" s="475"/>
      <c r="X144" s="475"/>
      <c r="Y144" s="476"/>
      <c r="Z144" s="269"/>
      <c r="AA144" s="326"/>
    </row>
    <row r="145" spans="2:27" ht="17.399999999999999" hidden="1" x14ac:dyDescent="0.45">
      <c r="B145" s="326"/>
      <c r="C145" s="259"/>
      <c r="D145" s="415" t="s">
        <v>897</v>
      </c>
      <c r="E145" s="383"/>
      <c r="F145" s="384">
        <v>9</v>
      </c>
      <c r="G145" s="385">
        <f>+F145-SUM(H145:J145)</f>
        <v>6</v>
      </c>
      <c r="H145" s="385">
        <v>3</v>
      </c>
      <c r="I145" s="385">
        <v>0</v>
      </c>
      <c r="J145" s="385">
        <v>0</v>
      </c>
      <c r="K145" s="401"/>
      <c r="L145" s="402"/>
      <c r="N145" s="474"/>
      <c r="O145" s="475"/>
      <c r="P145" s="475"/>
      <c r="Q145" s="475"/>
      <c r="R145" s="475"/>
      <c r="S145" s="475"/>
      <c r="T145" s="475"/>
      <c r="U145" s="475"/>
      <c r="V145" s="475"/>
      <c r="W145" s="475"/>
      <c r="X145" s="475"/>
      <c r="Y145" s="476"/>
      <c r="Z145" s="269"/>
      <c r="AA145" s="326"/>
    </row>
    <row r="146" spans="2:27" ht="19.2" hidden="1" x14ac:dyDescent="0.45">
      <c r="B146" s="326"/>
      <c r="C146" s="259"/>
      <c r="D146" s="412" t="s">
        <v>889</v>
      </c>
      <c r="E146" s="377"/>
      <c r="F146" s="378">
        <f>+SUM(F147:F148)</f>
        <v>36</v>
      </c>
      <c r="G146" s="379">
        <f>+SUM(G147:G148)</f>
        <v>21</v>
      </c>
      <c r="H146" s="379">
        <f t="shared" ref="H146" si="26">+SUM(H147:H148)</f>
        <v>15</v>
      </c>
      <c r="I146" s="379">
        <v>0</v>
      </c>
      <c r="J146" s="379">
        <f t="shared" ref="J146" si="27">+SUM(J147:J148)</f>
        <v>0</v>
      </c>
      <c r="K146" s="403"/>
      <c r="L146" s="404"/>
      <c r="N146" s="474"/>
      <c r="O146" s="475"/>
      <c r="P146" s="475"/>
      <c r="Q146" s="475"/>
      <c r="R146" s="475"/>
      <c r="S146" s="475"/>
      <c r="T146" s="475"/>
      <c r="U146" s="475"/>
      <c r="V146" s="475"/>
      <c r="W146" s="475"/>
      <c r="X146" s="475"/>
      <c r="Y146" s="476"/>
      <c r="Z146" s="269"/>
      <c r="AA146" s="326"/>
    </row>
    <row r="147" spans="2:27" ht="17.399999999999999" hidden="1" x14ac:dyDescent="0.45">
      <c r="B147" s="326"/>
      <c r="C147" s="259"/>
      <c r="D147" s="414" t="s">
        <v>896</v>
      </c>
      <c r="E147" s="380"/>
      <c r="F147" s="381">
        <v>33</v>
      </c>
      <c r="G147" s="382">
        <f>+F147-SUM(H147:J147)</f>
        <v>19</v>
      </c>
      <c r="H147" s="382">
        <v>14</v>
      </c>
      <c r="I147" s="382">
        <v>0</v>
      </c>
      <c r="J147" s="382">
        <v>0</v>
      </c>
      <c r="K147" s="409"/>
      <c r="L147" s="410"/>
      <c r="N147" s="474"/>
      <c r="O147" s="475"/>
      <c r="P147" s="475"/>
      <c r="Q147" s="475"/>
      <c r="R147" s="475"/>
      <c r="S147" s="475"/>
      <c r="T147" s="475"/>
      <c r="U147" s="475"/>
      <c r="V147" s="475"/>
      <c r="W147" s="475"/>
      <c r="X147" s="475"/>
      <c r="Y147" s="476"/>
      <c r="Z147" s="269"/>
      <c r="AA147" s="326"/>
    </row>
    <row r="148" spans="2:27" ht="17.399999999999999" hidden="1" x14ac:dyDescent="0.45">
      <c r="B148" s="326"/>
      <c r="C148" s="259"/>
      <c r="D148" s="415" t="s">
        <v>897</v>
      </c>
      <c r="E148" s="383"/>
      <c r="F148" s="384">
        <v>3</v>
      </c>
      <c r="G148" s="385">
        <f>+F148-SUM(H148:J148)</f>
        <v>2</v>
      </c>
      <c r="H148" s="385">
        <v>1</v>
      </c>
      <c r="I148" s="385">
        <v>0</v>
      </c>
      <c r="J148" s="385">
        <v>0</v>
      </c>
      <c r="K148" s="401"/>
      <c r="L148" s="402"/>
      <c r="N148" s="474"/>
      <c r="O148" s="475"/>
      <c r="P148" s="475"/>
      <c r="Q148" s="475"/>
      <c r="R148" s="475"/>
      <c r="S148" s="475"/>
      <c r="T148" s="475"/>
      <c r="U148" s="475"/>
      <c r="V148" s="475"/>
      <c r="W148" s="475"/>
      <c r="X148" s="475"/>
      <c r="Y148" s="476"/>
      <c r="Z148" s="269"/>
      <c r="AA148" s="326"/>
    </row>
    <row r="149" spans="2:27" ht="19.2" hidden="1" x14ac:dyDescent="0.45">
      <c r="B149" s="326"/>
      <c r="C149" s="259"/>
      <c r="D149" s="413" t="s">
        <v>894</v>
      </c>
      <c r="E149" s="386"/>
      <c r="F149" s="387">
        <v>81</v>
      </c>
      <c r="G149" s="388">
        <f>+F149-SUM(H149:J149)</f>
        <v>25</v>
      </c>
      <c r="H149" s="388">
        <v>50</v>
      </c>
      <c r="I149" s="388">
        <v>6</v>
      </c>
      <c r="J149" s="388">
        <v>0</v>
      </c>
      <c r="K149" s="431" t="s">
        <v>1072</v>
      </c>
      <c r="L149" s="411"/>
      <c r="M149" s="430" t="s">
        <v>1070</v>
      </c>
      <c r="N149" s="474"/>
      <c r="O149" s="475"/>
      <c r="P149" s="475"/>
      <c r="Q149" s="475"/>
      <c r="R149" s="475"/>
      <c r="S149" s="475"/>
      <c r="T149" s="475"/>
      <c r="U149" s="475"/>
      <c r="V149" s="475"/>
      <c r="W149" s="475"/>
      <c r="X149" s="475"/>
      <c r="Y149" s="476"/>
      <c r="Z149" s="269"/>
      <c r="AA149" s="326"/>
    </row>
    <row r="150" spans="2:27" ht="19.2" hidden="1" x14ac:dyDescent="0.45">
      <c r="B150" s="326"/>
      <c r="C150" s="259"/>
      <c r="D150" s="373" t="s">
        <v>819</v>
      </c>
      <c r="E150" s="389"/>
      <c r="F150" s="375">
        <f>+SUM(F151,F154,F157)</f>
        <v>21</v>
      </c>
      <c r="G150" s="376">
        <f>+SUM(G151,G154,G157)/$F$150</f>
        <v>1</v>
      </c>
      <c r="H150" s="376">
        <f t="shared" ref="H150" si="28">+SUM(H151,H154,H157)/$F$142</f>
        <v>0</v>
      </c>
      <c r="I150" s="376">
        <f t="shared" ref="I150" si="29">+SUM(I151,I154,I157)/$F$142</f>
        <v>0</v>
      </c>
      <c r="J150" s="376">
        <f t="shared" ref="J150" si="30">+SUM(J151,J154,J157)/$F$142</f>
        <v>0</v>
      </c>
      <c r="K150" s="405"/>
      <c r="L150" s="393"/>
      <c r="N150" s="474"/>
      <c r="O150" s="475"/>
      <c r="P150" s="475"/>
      <c r="Q150" s="475"/>
      <c r="R150" s="475"/>
      <c r="S150" s="475"/>
      <c r="T150" s="475"/>
      <c r="U150" s="475"/>
      <c r="V150" s="475"/>
      <c r="W150" s="475"/>
      <c r="X150" s="475"/>
      <c r="Y150" s="476"/>
      <c r="Z150" s="269"/>
      <c r="AA150" s="326"/>
    </row>
    <row r="151" spans="2:27" ht="19.2" hidden="1" x14ac:dyDescent="0.45">
      <c r="B151" s="326"/>
      <c r="C151" s="259"/>
      <c r="D151" s="416" t="s">
        <v>888</v>
      </c>
      <c r="E151" s="377"/>
      <c r="F151" s="378">
        <f>+SUM(F152:F153)</f>
        <v>0</v>
      </c>
      <c r="G151" s="379">
        <f>+SUM(G152:G153)</f>
        <v>0</v>
      </c>
      <c r="H151" s="379">
        <f t="shared" ref="H151" si="31">+SUM(H152:H153)</f>
        <v>0</v>
      </c>
      <c r="I151" s="379">
        <f t="shared" ref="I151" si="32">+SUM(I152:I153)</f>
        <v>0</v>
      </c>
      <c r="J151" s="379">
        <f t="shared" ref="J151" si="33">+SUM(J152:J153)</f>
        <v>0</v>
      </c>
      <c r="K151" s="403"/>
      <c r="L151" s="404"/>
      <c r="N151" s="474"/>
      <c r="O151" s="475"/>
      <c r="P151" s="475"/>
      <c r="Q151" s="475"/>
      <c r="R151" s="475"/>
      <c r="S151" s="475"/>
      <c r="T151" s="475"/>
      <c r="U151" s="475"/>
      <c r="V151" s="475"/>
      <c r="W151" s="475"/>
      <c r="X151" s="475"/>
      <c r="Y151" s="476"/>
      <c r="Z151" s="269"/>
      <c r="AA151" s="326"/>
    </row>
    <row r="152" spans="2:27" ht="17.399999999999999" hidden="1" x14ac:dyDescent="0.45">
      <c r="B152" s="326"/>
      <c r="C152" s="259"/>
      <c r="D152" s="417" t="s">
        <v>896</v>
      </c>
      <c r="E152" s="380"/>
      <c r="F152" s="381">
        <v>0</v>
      </c>
      <c r="G152" s="382">
        <f>+F152-SUM(H152:J152)</f>
        <v>0</v>
      </c>
      <c r="H152" s="382">
        <v>0</v>
      </c>
      <c r="I152" s="382">
        <v>0</v>
      </c>
      <c r="J152" s="382">
        <v>0</v>
      </c>
      <c r="K152" s="399"/>
      <c r="L152" s="400"/>
      <c r="N152" s="474"/>
      <c r="O152" s="475"/>
      <c r="P152" s="475"/>
      <c r="Q152" s="475"/>
      <c r="R152" s="475"/>
      <c r="S152" s="475"/>
      <c r="T152" s="475"/>
      <c r="U152" s="475"/>
      <c r="V152" s="475"/>
      <c r="W152" s="475"/>
      <c r="X152" s="475"/>
      <c r="Y152" s="476"/>
      <c r="Z152" s="269"/>
      <c r="AA152" s="326"/>
    </row>
    <row r="153" spans="2:27" ht="17.399999999999999" hidden="1" x14ac:dyDescent="0.45">
      <c r="B153" s="326"/>
      <c r="C153" s="259"/>
      <c r="D153" s="418" t="s">
        <v>897</v>
      </c>
      <c r="E153" s="383"/>
      <c r="F153" s="384">
        <v>0</v>
      </c>
      <c r="G153" s="385">
        <f>+F153-SUM(H153:J153)</f>
        <v>0</v>
      </c>
      <c r="H153" s="385">
        <v>0</v>
      </c>
      <c r="I153" s="385">
        <v>0</v>
      </c>
      <c r="J153" s="385">
        <v>0</v>
      </c>
      <c r="K153" s="401"/>
      <c r="L153" s="402"/>
      <c r="N153" s="474"/>
      <c r="O153" s="475"/>
      <c r="P153" s="475"/>
      <c r="Q153" s="475"/>
      <c r="R153" s="475"/>
      <c r="S153" s="475"/>
      <c r="T153" s="475"/>
      <c r="U153" s="475"/>
      <c r="V153" s="475"/>
      <c r="W153" s="475"/>
      <c r="X153" s="475"/>
      <c r="Y153" s="476"/>
      <c r="Z153" s="269"/>
      <c r="AA153" s="326"/>
    </row>
    <row r="154" spans="2:27" ht="19.2" hidden="1" x14ac:dyDescent="0.45">
      <c r="B154" s="326"/>
      <c r="C154" s="259"/>
      <c r="D154" s="416" t="s">
        <v>889</v>
      </c>
      <c r="E154" s="377"/>
      <c r="F154" s="378">
        <f>+SUM(F155:F156)</f>
        <v>5</v>
      </c>
      <c r="G154" s="379">
        <f>+SUM(G155:G156)</f>
        <v>5</v>
      </c>
      <c r="H154" s="379">
        <f t="shared" ref="H154" si="34">+SUM(H155:H156)</f>
        <v>0</v>
      </c>
      <c r="I154" s="379">
        <f t="shared" ref="I154" si="35">+SUM(I155:I156)</f>
        <v>0</v>
      </c>
      <c r="J154" s="379">
        <f t="shared" ref="J154" si="36">+SUM(J155:J156)</f>
        <v>0</v>
      </c>
      <c r="K154" s="403"/>
      <c r="L154" s="404"/>
      <c r="N154" s="474"/>
      <c r="O154" s="475"/>
      <c r="P154" s="475"/>
      <c r="Q154" s="475"/>
      <c r="R154" s="475"/>
      <c r="S154" s="475"/>
      <c r="T154" s="475"/>
      <c r="U154" s="475"/>
      <c r="V154" s="475"/>
      <c r="W154" s="475"/>
      <c r="X154" s="475"/>
      <c r="Y154" s="476"/>
      <c r="Z154" s="269"/>
      <c r="AA154" s="326"/>
    </row>
    <row r="155" spans="2:27" ht="17.399999999999999" hidden="1" x14ac:dyDescent="0.45">
      <c r="B155" s="326"/>
      <c r="C155" s="259"/>
      <c r="D155" s="417" t="s">
        <v>896</v>
      </c>
      <c r="E155" s="380"/>
      <c r="F155" s="381">
        <v>5</v>
      </c>
      <c r="G155" s="382">
        <f>+F155-SUM(H155:J155)</f>
        <v>5</v>
      </c>
      <c r="H155" s="382">
        <v>0</v>
      </c>
      <c r="I155" s="382">
        <v>0</v>
      </c>
      <c r="J155" s="382">
        <v>0</v>
      </c>
      <c r="K155" s="399"/>
      <c r="L155" s="400"/>
      <c r="N155" s="474"/>
      <c r="O155" s="475"/>
      <c r="P155" s="475"/>
      <c r="Q155" s="475"/>
      <c r="R155" s="475"/>
      <c r="S155" s="475"/>
      <c r="T155" s="475"/>
      <c r="U155" s="475"/>
      <c r="V155" s="475"/>
      <c r="W155" s="475"/>
      <c r="X155" s="475"/>
      <c r="Y155" s="476"/>
      <c r="Z155" s="269"/>
      <c r="AA155" s="326"/>
    </row>
    <row r="156" spans="2:27" ht="17.399999999999999" hidden="1" x14ac:dyDescent="0.45">
      <c r="B156" s="326"/>
      <c r="C156" s="259"/>
      <c r="D156" s="418" t="s">
        <v>897</v>
      </c>
      <c r="E156" s="383"/>
      <c r="F156" s="384">
        <v>0</v>
      </c>
      <c r="G156" s="385">
        <f>+F156-SUM(H156:J156)</f>
        <v>0</v>
      </c>
      <c r="H156" s="385">
        <v>0</v>
      </c>
      <c r="I156" s="385">
        <v>0</v>
      </c>
      <c r="J156" s="385">
        <v>0</v>
      </c>
      <c r="K156" s="401"/>
      <c r="L156" s="402"/>
      <c r="N156" s="474"/>
      <c r="O156" s="475"/>
      <c r="P156" s="475"/>
      <c r="Q156" s="475"/>
      <c r="R156" s="475"/>
      <c r="S156" s="475"/>
      <c r="T156" s="475"/>
      <c r="U156" s="475"/>
      <c r="V156" s="475"/>
      <c r="W156" s="475"/>
      <c r="X156" s="475"/>
      <c r="Y156" s="476"/>
      <c r="Z156" s="269"/>
      <c r="AA156" s="326"/>
    </row>
    <row r="157" spans="2:27" ht="19.2" hidden="1" x14ac:dyDescent="0.45">
      <c r="B157" s="326"/>
      <c r="C157" s="259"/>
      <c r="D157" s="419" t="s">
        <v>894</v>
      </c>
      <c r="E157" s="386"/>
      <c r="F157" s="387">
        <v>16</v>
      </c>
      <c r="G157" s="388">
        <f>+F157-SUM(H157:J157)</f>
        <v>16</v>
      </c>
      <c r="H157" s="388">
        <v>0</v>
      </c>
      <c r="I157" s="388">
        <v>0</v>
      </c>
      <c r="J157" s="388">
        <v>0</v>
      </c>
      <c r="K157" s="406"/>
      <c r="L157" s="407"/>
      <c r="N157" s="474"/>
      <c r="O157" s="475"/>
      <c r="P157" s="475"/>
      <c r="Q157" s="475"/>
      <c r="R157" s="475"/>
      <c r="S157" s="475"/>
      <c r="T157" s="475"/>
      <c r="U157" s="475"/>
      <c r="V157" s="475"/>
      <c r="W157" s="475"/>
      <c r="X157" s="475"/>
      <c r="Y157" s="476"/>
      <c r="Z157" s="269"/>
      <c r="AA157" s="326"/>
    </row>
    <row r="158" spans="2:27" ht="19.2" hidden="1" x14ac:dyDescent="0.45">
      <c r="B158" s="326"/>
      <c r="C158" s="259"/>
      <c r="D158" s="373" t="s">
        <v>840</v>
      </c>
      <c r="E158" s="389"/>
      <c r="F158" s="375">
        <f>+SUM(F159,F162,F165)</f>
        <v>16</v>
      </c>
      <c r="G158" s="376">
        <f>+SUM(G159,G162,G165)/$F$158</f>
        <v>1</v>
      </c>
      <c r="H158" s="376">
        <f t="shared" ref="H158" si="37">+SUM(H159,H162,H165)/$F$142</f>
        <v>0</v>
      </c>
      <c r="I158" s="376">
        <f t="shared" ref="I158" si="38">+SUM(I159,I162,I165)/$F$142</f>
        <v>0</v>
      </c>
      <c r="J158" s="376">
        <f t="shared" ref="J158" si="39">+SUM(J159,J162,J165)/$F$142</f>
        <v>0</v>
      </c>
      <c r="K158" s="405"/>
      <c r="L158" s="393"/>
      <c r="N158" s="474"/>
      <c r="O158" s="475"/>
      <c r="P158" s="475"/>
      <c r="Q158" s="475"/>
      <c r="R158" s="475"/>
      <c r="S158" s="475"/>
      <c r="T158" s="475"/>
      <c r="U158" s="475"/>
      <c r="V158" s="475"/>
      <c r="W158" s="475"/>
      <c r="X158" s="475"/>
      <c r="Y158" s="476"/>
      <c r="Z158" s="269"/>
      <c r="AA158" s="326"/>
    </row>
    <row r="159" spans="2:27" ht="19.2" hidden="1" x14ac:dyDescent="0.45">
      <c r="B159" s="326"/>
      <c r="C159" s="259"/>
      <c r="D159" s="416" t="s">
        <v>888</v>
      </c>
      <c r="E159" s="377"/>
      <c r="F159" s="378">
        <f>+SUM(F160:F161)</f>
        <v>1</v>
      </c>
      <c r="G159" s="379">
        <f>+SUM(G160:G161)</f>
        <v>1</v>
      </c>
      <c r="H159" s="379">
        <f t="shared" ref="H159" si="40">+SUM(H160:H161)</f>
        <v>0</v>
      </c>
      <c r="I159" s="379">
        <f t="shared" ref="I159" si="41">+SUM(I160:I161)</f>
        <v>0</v>
      </c>
      <c r="J159" s="379">
        <f t="shared" ref="J159" si="42">+SUM(J160:J161)</f>
        <v>0</v>
      </c>
      <c r="K159" s="403"/>
      <c r="L159" s="404"/>
      <c r="N159" s="474"/>
      <c r="O159" s="475"/>
      <c r="P159" s="475"/>
      <c r="Q159" s="475"/>
      <c r="R159" s="475"/>
      <c r="S159" s="475"/>
      <c r="T159" s="475"/>
      <c r="U159" s="475"/>
      <c r="V159" s="475"/>
      <c r="W159" s="475"/>
      <c r="X159" s="475"/>
      <c r="Y159" s="476"/>
      <c r="Z159" s="269"/>
      <c r="AA159" s="326"/>
    </row>
    <row r="160" spans="2:27" ht="17.399999999999999" hidden="1" x14ac:dyDescent="0.45">
      <c r="B160" s="326"/>
      <c r="C160" s="259"/>
      <c r="D160" s="417" t="s">
        <v>896</v>
      </c>
      <c r="E160" s="380"/>
      <c r="F160" s="381">
        <v>1</v>
      </c>
      <c r="G160" s="382">
        <f>+F160-SUM(H160:J160)</f>
        <v>1</v>
      </c>
      <c r="H160" s="382">
        <v>0</v>
      </c>
      <c r="I160" s="382">
        <v>0</v>
      </c>
      <c r="J160" s="382">
        <v>0</v>
      </c>
      <c r="K160" s="399"/>
      <c r="L160" s="400"/>
      <c r="N160" s="474"/>
      <c r="O160" s="475"/>
      <c r="P160" s="475"/>
      <c r="Q160" s="475"/>
      <c r="R160" s="475"/>
      <c r="S160" s="475"/>
      <c r="T160" s="475"/>
      <c r="U160" s="475"/>
      <c r="V160" s="475"/>
      <c r="W160" s="475"/>
      <c r="X160" s="475"/>
      <c r="Y160" s="476"/>
      <c r="Z160" s="269"/>
      <c r="AA160" s="326"/>
    </row>
    <row r="161" spans="2:27" ht="17.399999999999999" hidden="1" x14ac:dyDescent="0.45">
      <c r="B161" s="326"/>
      <c r="C161" s="259"/>
      <c r="D161" s="418" t="s">
        <v>897</v>
      </c>
      <c r="E161" s="383"/>
      <c r="F161" s="384">
        <v>0</v>
      </c>
      <c r="G161" s="385">
        <f>+F161-SUM(H161:J161)</f>
        <v>0</v>
      </c>
      <c r="H161" s="385">
        <v>0</v>
      </c>
      <c r="I161" s="385">
        <v>0</v>
      </c>
      <c r="J161" s="385">
        <v>0</v>
      </c>
      <c r="K161" s="401"/>
      <c r="L161" s="402"/>
      <c r="N161" s="474"/>
      <c r="O161" s="475"/>
      <c r="P161" s="475"/>
      <c r="Q161" s="475"/>
      <c r="R161" s="475"/>
      <c r="S161" s="475"/>
      <c r="T161" s="475"/>
      <c r="U161" s="475"/>
      <c r="V161" s="475"/>
      <c r="W161" s="475"/>
      <c r="X161" s="475"/>
      <c r="Y161" s="476"/>
      <c r="Z161" s="269"/>
      <c r="AA161" s="326"/>
    </row>
    <row r="162" spans="2:27" ht="19.2" hidden="1" x14ac:dyDescent="0.45">
      <c r="B162" s="326"/>
      <c r="C162" s="259"/>
      <c r="D162" s="416" t="s">
        <v>889</v>
      </c>
      <c r="E162" s="377"/>
      <c r="F162" s="378">
        <f>+SUM(F163:F164)</f>
        <v>4</v>
      </c>
      <c r="G162" s="379">
        <f>+SUM(G163:G164)</f>
        <v>4</v>
      </c>
      <c r="H162" s="379">
        <f t="shared" ref="H162" si="43">+SUM(H163:H164)</f>
        <v>0</v>
      </c>
      <c r="I162" s="379">
        <f t="shared" ref="I162" si="44">+SUM(I163:I164)</f>
        <v>0</v>
      </c>
      <c r="J162" s="379">
        <f t="shared" ref="J162" si="45">+SUM(J163:J164)</f>
        <v>0</v>
      </c>
      <c r="K162" s="403"/>
      <c r="L162" s="404"/>
      <c r="N162" s="474"/>
      <c r="O162" s="475"/>
      <c r="P162" s="475"/>
      <c r="Q162" s="475"/>
      <c r="R162" s="475"/>
      <c r="S162" s="475"/>
      <c r="T162" s="475"/>
      <c r="U162" s="475"/>
      <c r="V162" s="475"/>
      <c r="W162" s="475"/>
      <c r="X162" s="475"/>
      <c r="Y162" s="476"/>
      <c r="Z162" s="269"/>
      <c r="AA162" s="326"/>
    </row>
    <row r="163" spans="2:27" ht="17.399999999999999" hidden="1" x14ac:dyDescent="0.45">
      <c r="B163" s="326"/>
      <c r="C163" s="259"/>
      <c r="D163" s="417" t="s">
        <v>896</v>
      </c>
      <c r="E163" s="380"/>
      <c r="F163" s="381">
        <v>3</v>
      </c>
      <c r="G163" s="382">
        <f>+F163-SUM(H163:J163)</f>
        <v>3</v>
      </c>
      <c r="H163" s="382">
        <v>0</v>
      </c>
      <c r="I163" s="382">
        <v>0</v>
      </c>
      <c r="J163" s="382">
        <v>0</v>
      </c>
      <c r="K163" s="399"/>
      <c r="L163" s="400"/>
      <c r="N163" s="474"/>
      <c r="O163" s="475"/>
      <c r="P163" s="475"/>
      <c r="Q163" s="475"/>
      <c r="R163" s="475"/>
      <c r="S163" s="475"/>
      <c r="T163" s="475"/>
      <c r="U163" s="475"/>
      <c r="V163" s="475"/>
      <c r="W163" s="475"/>
      <c r="X163" s="475"/>
      <c r="Y163" s="476"/>
      <c r="Z163" s="269"/>
      <c r="AA163" s="326"/>
    </row>
    <row r="164" spans="2:27" ht="17.399999999999999" hidden="1" x14ac:dyDescent="0.45">
      <c r="B164" s="326"/>
      <c r="C164" s="259"/>
      <c r="D164" s="418" t="s">
        <v>897</v>
      </c>
      <c r="E164" s="383"/>
      <c r="F164" s="384">
        <v>1</v>
      </c>
      <c r="G164" s="385">
        <f>+F164-SUM(H164:J164)</f>
        <v>1</v>
      </c>
      <c r="H164" s="385">
        <v>0</v>
      </c>
      <c r="I164" s="385">
        <v>0</v>
      </c>
      <c r="J164" s="385">
        <v>0</v>
      </c>
      <c r="K164" s="401"/>
      <c r="L164" s="402"/>
      <c r="N164" s="474"/>
      <c r="O164" s="475"/>
      <c r="P164" s="475"/>
      <c r="Q164" s="475"/>
      <c r="R164" s="475"/>
      <c r="S164" s="475"/>
      <c r="T164" s="475"/>
      <c r="U164" s="475"/>
      <c r="V164" s="475"/>
      <c r="W164" s="475"/>
      <c r="X164" s="475"/>
      <c r="Y164" s="476"/>
      <c r="Z164" s="269"/>
      <c r="AA164" s="326"/>
    </row>
    <row r="165" spans="2:27" ht="19.2" hidden="1" x14ac:dyDescent="0.45">
      <c r="B165" s="326"/>
      <c r="C165" s="259"/>
      <c r="D165" s="419" t="s">
        <v>894</v>
      </c>
      <c r="E165" s="386"/>
      <c r="F165" s="387">
        <v>11</v>
      </c>
      <c r="G165" s="388">
        <f>+F165-SUM(H165:J165)</f>
        <v>11</v>
      </c>
      <c r="H165" s="388">
        <v>0</v>
      </c>
      <c r="I165" s="388">
        <v>0</v>
      </c>
      <c r="J165" s="388">
        <v>0</v>
      </c>
      <c r="K165" s="406"/>
      <c r="L165" s="407"/>
      <c r="N165" s="474"/>
      <c r="O165" s="475"/>
      <c r="P165" s="475"/>
      <c r="Q165" s="475"/>
      <c r="R165" s="475"/>
      <c r="S165" s="475"/>
      <c r="T165" s="475"/>
      <c r="U165" s="475"/>
      <c r="V165" s="475"/>
      <c r="W165" s="475"/>
      <c r="X165" s="475"/>
      <c r="Y165" s="476"/>
      <c r="Z165" s="269"/>
      <c r="AA165" s="326"/>
    </row>
    <row r="166" spans="2:27" ht="19.2" hidden="1" x14ac:dyDescent="0.45">
      <c r="B166" s="326"/>
      <c r="C166" s="259"/>
      <c r="D166" s="390" t="s">
        <v>873</v>
      </c>
      <c r="E166" s="391"/>
      <c r="F166" s="392">
        <f>+SUM(F142,F150,F158)</f>
        <v>193</v>
      </c>
      <c r="G166" s="392">
        <f>+SUM(G143,G146,G149,G151,G154,G157,G159,G162,G165)</f>
        <v>104</v>
      </c>
      <c r="H166" s="392">
        <f>+SUM(H143,H146,H149,H151,H154,H157,H159,H162,H165)</f>
        <v>83</v>
      </c>
      <c r="I166" s="392">
        <f>+SUM(I143,I146,I149,I151,I154,I157,I159,I162,I165)</f>
        <v>6</v>
      </c>
      <c r="J166" s="392">
        <f>+SUM(J143,J146,J149,J151,J154,J157,J159,J162,J165)</f>
        <v>0</v>
      </c>
      <c r="K166" s="408"/>
      <c r="L166" s="394"/>
      <c r="N166" s="477"/>
      <c r="O166" s="478"/>
      <c r="P166" s="478"/>
      <c r="Q166" s="478"/>
      <c r="R166" s="478"/>
      <c r="S166" s="478"/>
      <c r="T166" s="478"/>
      <c r="U166" s="478"/>
      <c r="V166" s="478"/>
      <c r="W166" s="478"/>
      <c r="X166" s="478"/>
      <c r="Y166" s="479"/>
      <c r="Z166" s="269"/>
      <c r="AA166" s="326"/>
    </row>
    <row r="167" spans="2:27" ht="17.399999999999999" hidden="1" x14ac:dyDescent="0.45">
      <c r="B167" s="326"/>
      <c r="C167" s="266"/>
      <c r="D167" s="267"/>
      <c r="E167" s="267"/>
      <c r="F167" s="267"/>
      <c r="G167" s="267"/>
      <c r="H167" s="267"/>
      <c r="I167" s="267"/>
      <c r="J167" s="267"/>
      <c r="K167" s="267"/>
      <c r="L167" s="267"/>
      <c r="M167" s="267"/>
      <c r="N167" s="267"/>
      <c r="O167" s="267"/>
      <c r="P167" s="267"/>
      <c r="Q167" s="267"/>
      <c r="R167" s="267"/>
      <c r="S167" s="267"/>
      <c r="T167" s="267"/>
      <c r="U167" s="267"/>
      <c r="V167" s="267"/>
      <c r="W167" s="267"/>
      <c r="X167" s="267"/>
      <c r="Y167" s="267"/>
      <c r="Z167" s="270"/>
      <c r="AA167" s="326"/>
    </row>
    <row r="168" spans="2:27" hidden="1" x14ac:dyDescent="0.3">
      <c r="B168" s="326"/>
      <c r="C168" s="326"/>
      <c r="D168" s="326"/>
      <c r="E168" s="326"/>
      <c r="F168" s="326"/>
      <c r="G168" s="326"/>
      <c r="H168" s="326"/>
      <c r="I168" s="326"/>
      <c r="J168" s="326"/>
      <c r="K168" s="326"/>
      <c r="L168" s="326"/>
      <c r="M168" s="326"/>
      <c r="N168" s="326"/>
      <c r="O168" s="326"/>
      <c r="P168" s="326"/>
      <c r="Q168" s="326"/>
      <c r="R168" s="326"/>
      <c r="S168" s="326"/>
      <c r="T168" s="326"/>
      <c r="U168" s="326"/>
      <c r="V168" s="326"/>
      <c r="W168" s="326"/>
      <c r="X168" s="326"/>
      <c r="Y168" s="326"/>
      <c r="Z168" s="326"/>
      <c r="AA168" s="326"/>
    </row>
    <row r="169" spans="2:27" hidden="1" x14ac:dyDescent="0.3">
      <c r="B169" s="326"/>
      <c r="C169" s="326"/>
      <c r="D169" s="326"/>
      <c r="E169" s="326"/>
      <c r="F169" s="326"/>
      <c r="G169" s="326"/>
      <c r="H169" s="326"/>
      <c r="I169" s="326"/>
      <c r="J169" s="326"/>
      <c r="K169" s="326"/>
      <c r="L169" s="326"/>
      <c r="M169" s="326"/>
      <c r="N169" s="326"/>
      <c r="O169" s="326"/>
      <c r="P169" s="326"/>
      <c r="Q169" s="326"/>
      <c r="R169" s="326"/>
      <c r="S169" s="326"/>
      <c r="T169" s="326"/>
      <c r="U169" s="326"/>
      <c r="V169" s="326"/>
      <c r="W169" s="326"/>
      <c r="X169" s="326"/>
      <c r="Y169" s="326"/>
      <c r="Z169" s="326"/>
      <c r="AA169" s="326"/>
    </row>
    <row r="170" spans="2:27" x14ac:dyDescent="0.3"/>
  </sheetData>
  <mergeCells count="23">
    <mergeCell ref="D140:D141"/>
    <mergeCell ref="H140:H141"/>
    <mergeCell ref="D138:I138"/>
    <mergeCell ref="F140:F141"/>
    <mergeCell ref="G140:G141"/>
    <mergeCell ref="D39:E40"/>
    <mergeCell ref="D13:E14"/>
    <mergeCell ref="P112:Y131"/>
    <mergeCell ref="P61:Y80"/>
    <mergeCell ref="D26:E26"/>
    <mergeCell ref="D18:E18"/>
    <mergeCell ref="D22:E22"/>
    <mergeCell ref="D15:J15"/>
    <mergeCell ref="D19:J19"/>
    <mergeCell ref="D23:J23"/>
    <mergeCell ref="D30:E31"/>
    <mergeCell ref="F30:J30"/>
    <mergeCell ref="D45:E45"/>
    <mergeCell ref="K140:L141"/>
    <mergeCell ref="N141:Y166"/>
    <mergeCell ref="F13:J13"/>
    <mergeCell ref="P87:Y106"/>
    <mergeCell ref="G45:H4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13"/>
  <sheetViews>
    <sheetView showGridLines="0" zoomScale="70" zoomScaleNormal="70" workbookViewId="0">
      <pane ySplit="7" topLeftCell="A8" activePane="bottomLeft" state="frozen"/>
      <selection pane="bottomLeft" activeCell="B1" sqref="B1"/>
    </sheetView>
  </sheetViews>
  <sheetFormatPr defaultColWidth="0" defaultRowHeight="14.4" x14ac:dyDescent="0.3"/>
  <cols>
    <col min="1" max="1" width="3.6640625" style="112" customWidth="1"/>
    <col min="2" max="2" width="7.5546875" style="112" bestFit="1" customWidth="1"/>
    <col min="3" max="3" width="13.6640625" style="112" bestFit="1" customWidth="1"/>
    <col min="4" max="4" width="25.6640625" style="112" bestFit="1" customWidth="1"/>
    <col min="5" max="5" width="36" style="112" bestFit="1" customWidth="1"/>
    <col min="6" max="6" width="41" style="112" customWidth="1"/>
    <col min="7" max="9" width="24.33203125" style="251" customWidth="1"/>
    <col min="10" max="10" width="15.33203125" style="251" customWidth="1"/>
    <col min="11" max="11" width="18.6640625" style="251" customWidth="1"/>
    <col min="12" max="12" width="25.33203125" style="112" customWidth="1"/>
    <col min="13" max="13" width="19.33203125" style="112" customWidth="1"/>
    <col min="14" max="14" width="25.44140625" style="112" customWidth="1"/>
    <col min="15" max="15" width="3.6640625" style="112" customWidth="1"/>
    <col min="16" max="16" width="24.6640625" style="112" hidden="1" customWidth="1"/>
    <col min="17" max="17" width="23.6640625" style="112" hidden="1" customWidth="1"/>
    <col min="18" max="18" width="32.6640625" style="112" hidden="1" customWidth="1"/>
    <col min="19" max="19" width="22" style="112" hidden="1" customWidth="1"/>
    <col min="20" max="20" width="15.5546875" style="112" hidden="1" customWidth="1"/>
    <col min="21" max="21" width="10.33203125" style="112" hidden="1" customWidth="1"/>
    <col min="22" max="22" width="14.33203125" style="112" hidden="1" customWidth="1"/>
    <col min="23" max="23" width="14.6640625" style="112" hidden="1" customWidth="1"/>
    <col min="24" max="24" width="6.33203125" style="112" hidden="1" customWidth="1"/>
    <col min="25" max="25" width="3.6640625" style="112" hidden="1" customWidth="1"/>
    <col min="26" max="35" width="0" style="112" hidden="1" customWidth="1"/>
    <col min="36" max="16384" width="8.6640625" style="112" hidden="1"/>
  </cols>
  <sheetData>
    <row r="1" spans="1:24" s="113" customFormat="1" ht="10.199999999999999" customHeight="1" x14ac:dyDescent="0.3">
      <c r="A1" s="111"/>
      <c r="B1" s="111"/>
      <c r="C1" s="111"/>
      <c r="D1" s="111"/>
      <c r="E1" s="111"/>
      <c r="F1" s="111"/>
      <c r="G1" s="254"/>
      <c r="H1" s="254"/>
      <c r="I1" s="254"/>
      <c r="J1" s="254"/>
      <c r="K1" s="254"/>
      <c r="L1" s="111"/>
      <c r="M1" s="111"/>
      <c r="N1" s="111"/>
      <c r="O1" s="111"/>
      <c r="P1" s="112"/>
      <c r="Q1" s="112"/>
      <c r="R1" s="112"/>
      <c r="S1" s="112"/>
      <c r="T1" s="112"/>
      <c r="U1" s="112"/>
      <c r="V1" s="112"/>
      <c r="W1" s="112"/>
      <c r="X1" s="112"/>
    </row>
    <row r="2" spans="1:24" s="113" customFormat="1" ht="13.35" customHeight="1" x14ac:dyDescent="0.3">
      <c r="A2" s="111"/>
      <c r="B2" s="111"/>
      <c r="C2" s="111"/>
      <c r="D2" s="111"/>
      <c r="E2" s="111"/>
      <c r="F2" s="111"/>
      <c r="G2" s="254"/>
      <c r="H2" s="254"/>
      <c r="I2" s="254"/>
      <c r="J2" s="254"/>
      <c r="K2" s="254"/>
      <c r="L2" s="111"/>
      <c r="M2" s="111"/>
      <c r="N2" s="111"/>
      <c r="O2" s="111"/>
      <c r="P2" s="112"/>
      <c r="Q2" s="112"/>
      <c r="R2" s="112"/>
      <c r="S2" s="112"/>
      <c r="T2" s="112"/>
      <c r="U2" s="112"/>
      <c r="V2" s="112"/>
      <c r="W2" s="112"/>
      <c r="X2" s="112"/>
    </row>
    <row r="3" spans="1:24" s="113" customFormat="1" ht="13.35" customHeight="1" x14ac:dyDescent="0.3">
      <c r="A3" s="111"/>
      <c r="B3" s="111"/>
      <c r="C3" s="111"/>
      <c r="D3" s="111"/>
      <c r="E3" s="111"/>
      <c r="F3" s="111"/>
      <c r="G3" s="254"/>
      <c r="H3" s="254"/>
      <c r="I3" s="254"/>
      <c r="J3" s="254"/>
      <c r="K3" s="254"/>
      <c r="L3" s="111"/>
      <c r="M3" s="111"/>
      <c r="N3" s="111"/>
      <c r="O3" s="111"/>
      <c r="P3" s="112"/>
      <c r="Q3" s="112"/>
      <c r="R3" s="112"/>
      <c r="S3" s="112"/>
      <c r="T3" s="112"/>
      <c r="U3" s="112"/>
      <c r="V3" s="112"/>
      <c r="W3" s="112"/>
      <c r="X3" s="112"/>
    </row>
    <row r="4" spans="1:24" s="113" customFormat="1" ht="10.199999999999999" customHeight="1" x14ac:dyDescent="0.3">
      <c r="A4" s="111"/>
      <c r="B4" s="111"/>
      <c r="C4" s="111"/>
      <c r="D4" s="111"/>
      <c r="E4" s="111"/>
      <c r="F4" s="111"/>
      <c r="G4" s="254"/>
      <c r="H4" s="254"/>
      <c r="I4" s="254"/>
      <c r="J4" s="254"/>
      <c r="K4" s="254"/>
      <c r="L4" s="111"/>
      <c r="M4" s="111"/>
      <c r="N4" s="111"/>
      <c r="O4" s="111"/>
      <c r="P4" s="112"/>
      <c r="Q4" s="112"/>
      <c r="R4" s="112"/>
      <c r="S4" s="112"/>
      <c r="T4" s="112"/>
      <c r="U4" s="112"/>
      <c r="V4" s="112"/>
      <c r="W4" s="112"/>
      <c r="X4" s="112"/>
    </row>
    <row r="5" spans="1:24" s="113" customFormat="1" ht="2.85" customHeight="1" x14ac:dyDescent="0.3">
      <c r="A5" s="114"/>
      <c r="B5" s="114"/>
      <c r="C5" s="114"/>
      <c r="D5" s="114"/>
      <c r="E5" s="114"/>
      <c r="F5" s="114"/>
      <c r="G5" s="255"/>
      <c r="H5" s="255"/>
      <c r="I5" s="255"/>
      <c r="J5" s="255"/>
      <c r="K5" s="255"/>
      <c r="L5" s="114"/>
      <c r="M5" s="114"/>
      <c r="N5" s="114"/>
      <c r="O5" s="114"/>
      <c r="P5" s="112"/>
      <c r="Q5" s="112"/>
      <c r="R5" s="112"/>
      <c r="S5" s="112"/>
      <c r="T5" s="112"/>
      <c r="U5" s="112"/>
      <c r="V5" s="112"/>
      <c r="W5" s="112"/>
      <c r="X5" s="112"/>
    </row>
    <row r="7" spans="1:24" ht="17.399999999999999" x14ac:dyDescent="0.3">
      <c r="B7" s="4" t="s">
        <v>108</v>
      </c>
      <c r="C7" s="4" t="s">
        <v>109</v>
      </c>
      <c r="D7" s="4" t="s">
        <v>611</v>
      </c>
      <c r="E7" s="4" t="s">
        <v>116</v>
      </c>
      <c r="F7" s="4" t="s">
        <v>605</v>
      </c>
      <c r="G7" s="4" t="s">
        <v>115</v>
      </c>
      <c r="H7" s="4" t="s">
        <v>609</v>
      </c>
      <c r="I7" s="5" t="s">
        <v>1126</v>
      </c>
      <c r="J7" s="5" t="s">
        <v>113</v>
      </c>
      <c r="K7" s="6" t="s">
        <v>114</v>
      </c>
      <c r="L7" s="5" t="s">
        <v>110</v>
      </c>
      <c r="M7" s="5" t="s">
        <v>111</v>
      </c>
      <c r="N7" s="5" t="s">
        <v>112</v>
      </c>
    </row>
    <row r="8" spans="1:24" ht="16.2" x14ac:dyDescent="0.3">
      <c r="B8" s="253" t="s">
        <v>0</v>
      </c>
      <c r="C8" s="253" t="s">
        <v>872</v>
      </c>
      <c r="D8" s="253" t="s">
        <v>1</v>
      </c>
      <c r="E8" s="253" t="s">
        <v>3</v>
      </c>
      <c r="F8" s="253" t="s">
        <v>157</v>
      </c>
      <c r="G8" s="256" t="s">
        <v>147</v>
      </c>
      <c r="H8" s="256" t="s">
        <v>147</v>
      </c>
      <c r="I8" s="256"/>
      <c r="J8" s="256" t="s">
        <v>879</v>
      </c>
      <c r="K8" s="256" t="s">
        <v>879</v>
      </c>
      <c r="L8" s="253"/>
      <c r="M8" s="253"/>
      <c r="N8" s="253"/>
    </row>
    <row r="9" spans="1:24" ht="16.2" x14ac:dyDescent="0.3">
      <c r="B9" s="253" t="s">
        <v>0</v>
      </c>
      <c r="C9" s="253" t="s">
        <v>872</v>
      </c>
      <c r="D9" s="253" t="s">
        <v>1</v>
      </c>
      <c r="E9" s="253" t="s">
        <v>4</v>
      </c>
      <c r="F9" s="253" t="s">
        <v>157</v>
      </c>
      <c r="G9" s="256" t="s">
        <v>147</v>
      </c>
      <c r="H9" s="256" t="s">
        <v>147</v>
      </c>
      <c r="I9" s="256"/>
      <c r="J9" s="256" t="s">
        <v>879</v>
      </c>
      <c r="K9" s="256" t="s">
        <v>879</v>
      </c>
      <c r="L9" s="253"/>
      <c r="M9" s="253"/>
      <c r="N9" s="253"/>
    </row>
    <row r="10" spans="1:24" ht="16.2" x14ac:dyDescent="0.3">
      <c r="B10" s="253" t="s">
        <v>0</v>
      </c>
      <c r="C10" s="253" t="s">
        <v>872</v>
      </c>
      <c r="D10" s="253" t="s">
        <v>1</v>
      </c>
      <c r="E10" s="253" t="s">
        <v>5</v>
      </c>
      <c r="F10" s="253" t="s">
        <v>179</v>
      </c>
      <c r="G10" s="256" t="s">
        <v>147</v>
      </c>
      <c r="H10" s="256" t="s">
        <v>147</v>
      </c>
      <c r="I10" s="256"/>
      <c r="J10" s="256" t="s">
        <v>147</v>
      </c>
      <c r="K10" s="256" t="s">
        <v>147</v>
      </c>
      <c r="L10" s="253"/>
      <c r="M10" s="253"/>
      <c r="N10" s="253"/>
    </row>
    <row r="11" spans="1:24" ht="16.2" x14ac:dyDescent="0.3">
      <c r="B11" s="253" t="s">
        <v>0</v>
      </c>
      <c r="C11" s="253" t="s">
        <v>872</v>
      </c>
      <c r="D11" s="253" t="s">
        <v>1</v>
      </c>
      <c r="E11" s="253" t="s">
        <v>6</v>
      </c>
      <c r="F11" s="253" t="s">
        <v>179</v>
      </c>
      <c r="G11" s="256" t="s">
        <v>147</v>
      </c>
      <c r="H11" s="256" t="s">
        <v>147</v>
      </c>
      <c r="I11" s="256"/>
      <c r="J11" s="256" t="s">
        <v>879</v>
      </c>
      <c r="K11" s="256" t="s">
        <v>879</v>
      </c>
      <c r="L11" s="253"/>
      <c r="M11" s="253"/>
      <c r="N11" s="253"/>
    </row>
    <row r="12" spans="1:24" ht="16.2" x14ac:dyDescent="0.3">
      <c r="B12" s="253" t="s">
        <v>0</v>
      </c>
      <c r="C12" s="253" t="s">
        <v>872</v>
      </c>
      <c r="D12" s="253" t="s">
        <v>1</v>
      </c>
      <c r="E12" s="253" t="s">
        <v>7</v>
      </c>
      <c r="F12" s="253" t="s">
        <v>157</v>
      </c>
      <c r="G12" s="256" t="s">
        <v>147</v>
      </c>
      <c r="H12" s="256" t="s">
        <v>147</v>
      </c>
      <c r="I12" s="256"/>
      <c r="J12" s="256" t="s">
        <v>147</v>
      </c>
      <c r="K12" s="256" t="s">
        <v>147</v>
      </c>
      <c r="L12" s="253"/>
      <c r="M12" s="253"/>
      <c r="N12" s="253"/>
    </row>
    <row r="13" spans="1:24" ht="16.2" x14ac:dyDescent="0.3">
      <c r="B13" s="253" t="s">
        <v>0</v>
      </c>
      <c r="C13" s="253" t="s">
        <v>872</v>
      </c>
      <c r="D13" s="253" t="s">
        <v>612</v>
      </c>
      <c r="E13" s="253" t="s">
        <v>8</v>
      </c>
      <c r="F13" s="253" t="s">
        <v>179</v>
      </c>
      <c r="G13" s="256" t="s">
        <v>147</v>
      </c>
      <c r="H13" s="256" t="s">
        <v>202</v>
      </c>
      <c r="I13" s="256"/>
      <c r="J13" s="256" t="s">
        <v>882</v>
      </c>
      <c r="K13" s="256" t="s">
        <v>882</v>
      </c>
      <c r="L13" s="253"/>
      <c r="M13" s="253"/>
      <c r="N13" s="253"/>
    </row>
    <row r="14" spans="1:24" ht="16.2" x14ac:dyDescent="0.3">
      <c r="B14" s="253" t="s">
        <v>0</v>
      </c>
      <c r="C14" s="253" t="s">
        <v>872</v>
      </c>
      <c r="D14" s="253" t="s">
        <v>612</v>
      </c>
      <c r="E14" s="253" t="s">
        <v>9</v>
      </c>
      <c r="F14" s="253" t="s">
        <v>179</v>
      </c>
      <c r="G14" s="256" t="s">
        <v>147</v>
      </c>
      <c r="H14" s="256" t="s">
        <v>202</v>
      </c>
      <c r="I14" s="256"/>
      <c r="J14" s="256" t="s">
        <v>882</v>
      </c>
      <c r="K14" s="256" t="s">
        <v>882</v>
      </c>
      <c r="L14" s="253"/>
      <c r="M14" s="253"/>
      <c r="N14" s="253"/>
    </row>
    <row r="15" spans="1:24" ht="16.2" x14ac:dyDescent="0.3">
      <c r="B15" s="253" t="s">
        <v>0</v>
      </c>
      <c r="C15" s="253" t="s">
        <v>872</v>
      </c>
      <c r="D15" s="253" t="s">
        <v>1</v>
      </c>
      <c r="E15" s="253" t="s">
        <v>16</v>
      </c>
      <c r="F15" s="253" t="s">
        <v>219</v>
      </c>
      <c r="G15" s="256" t="s">
        <v>147</v>
      </c>
      <c r="H15" s="256" t="s">
        <v>202</v>
      </c>
      <c r="I15" s="256"/>
      <c r="J15" s="256" t="s">
        <v>235</v>
      </c>
      <c r="K15" s="256" t="s">
        <v>235</v>
      </c>
      <c r="L15" s="253"/>
      <c r="M15" s="253"/>
      <c r="N15" s="253"/>
    </row>
    <row r="16" spans="1:24" ht="16.2" x14ac:dyDescent="0.3">
      <c r="B16" s="253" t="s">
        <v>0</v>
      </c>
      <c r="C16" s="253" t="s">
        <v>872</v>
      </c>
      <c r="D16" s="253" t="s">
        <v>2</v>
      </c>
      <c r="E16" s="253" t="s">
        <v>16</v>
      </c>
      <c r="F16" s="253" t="s">
        <v>219</v>
      </c>
      <c r="G16" s="256" t="s">
        <v>147</v>
      </c>
      <c r="H16" s="256" t="s">
        <v>202</v>
      </c>
      <c r="I16" s="256"/>
      <c r="J16" s="256" t="s">
        <v>235</v>
      </c>
      <c r="K16" s="256" t="s">
        <v>235</v>
      </c>
      <c r="L16" s="253"/>
      <c r="M16" s="253"/>
      <c r="N16" s="253"/>
    </row>
    <row r="17" spans="2:14" ht="16.2" x14ac:dyDescent="0.3">
      <c r="B17" s="253" t="s">
        <v>0</v>
      </c>
      <c r="C17" s="253" t="s">
        <v>872</v>
      </c>
      <c r="D17" s="253" t="s">
        <v>1</v>
      </c>
      <c r="E17" s="253" t="s">
        <v>15</v>
      </c>
      <c r="F17" s="253" t="s">
        <v>157</v>
      </c>
      <c r="G17" s="256" t="s">
        <v>147</v>
      </c>
      <c r="H17" s="256" t="s">
        <v>147</v>
      </c>
      <c r="I17" s="256"/>
      <c r="J17" s="256" t="s">
        <v>879</v>
      </c>
      <c r="K17" s="256" t="s">
        <v>879</v>
      </c>
      <c r="L17" s="253"/>
      <c r="M17" s="253"/>
      <c r="N17" s="253"/>
    </row>
    <row r="18" spans="2:14" ht="16.2" x14ac:dyDescent="0.3">
      <c r="B18" s="253" t="s">
        <v>0</v>
      </c>
      <c r="C18" s="253" t="s">
        <v>872</v>
      </c>
      <c r="D18" s="253" t="s">
        <v>1</v>
      </c>
      <c r="E18" s="253" t="s">
        <v>14</v>
      </c>
      <c r="F18" s="253" t="s">
        <v>179</v>
      </c>
      <c r="G18" s="256" t="s">
        <v>147</v>
      </c>
      <c r="H18" s="256" t="s">
        <v>147</v>
      </c>
      <c r="I18" s="256"/>
      <c r="J18" s="256" t="s">
        <v>235</v>
      </c>
      <c r="K18" s="256" t="s">
        <v>235</v>
      </c>
      <c r="L18" s="253"/>
      <c r="M18" s="253"/>
      <c r="N18" s="253"/>
    </row>
    <row r="19" spans="2:14" ht="16.2" x14ac:dyDescent="0.3">
      <c r="B19" s="253" t="s">
        <v>0</v>
      </c>
      <c r="C19" s="253" t="s">
        <v>872</v>
      </c>
      <c r="D19" s="253" t="s">
        <v>1</v>
      </c>
      <c r="E19" s="253" t="s">
        <v>13</v>
      </c>
      <c r="F19" s="253" t="s">
        <v>157</v>
      </c>
      <c r="G19" s="256" t="s">
        <v>147</v>
      </c>
      <c r="H19" s="256" t="s">
        <v>147</v>
      </c>
      <c r="I19" s="256"/>
      <c r="J19" s="256" t="s">
        <v>147</v>
      </c>
      <c r="K19" s="256" t="s">
        <v>147</v>
      </c>
      <c r="L19" s="253"/>
      <c r="M19" s="253"/>
      <c r="N19" s="253"/>
    </row>
    <row r="20" spans="2:14" ht="16.2" x14ac:dyDescent="0.3">
      <c r="B20" s="253" t="s">
        <v>0</v>
      </c>
      <c r="C20" s="253" t="s">
        <v>872</v>
      </c>
      <c r="D20" s="253" t="s">
        <v>1</v>
      </c>
      <c r="E20" s="253" t="s">
        <v>12</v>
      </c>
      <c r="F20" s="253" t="s">
        <v>179</v>
      </c>
      <c r="G20" s="256" t="s">
        <v>147</v>
      </c>
      <c r="H20" s="256" t="s">
        <v>202</v>
      </c>
      <c r="I20" s="256"/>
      <c r="J20" s="256" t="s">
        <v>235</v>
      </c>
      <c r="K20" s="256" t="s">
        <v>235</v>
      </c>
      <c r="L20" s="253"/>
      <c r="M20" s="253"/>
      <c r="N20" s="253"/>
    </row>
    <row r="21" spans="2:14" ht="16.2" x14ac:dyDescent="0.3">
      <c r="B21" s="253" t="s">
        <v>0</v>
      </c>
      <c r="C21" s="253" t="s">
        <v>872</v>
      </c>
      <c r="D21" s="253" t="s">
        <v>1</v>
      </c>
      <c r="E21" s="253" t="s">
        <v>11</v>
      </c>
      <c r="F21" s="253" t="s">
        <v>157</v>
      </c>
      <c r="G21" s="256" t="s">
        <v>147</v>
      </c>
      <c r="H21" s="256" t="s">
        <v>147</v>
      </c>
      <c r="I21" s="256"/>
      <c r="J21" s="256" t="s">
        <v>235</v>
      </c>
      <c r="K21" s="256" t="s">
        <v>235</v>
      </c>
      <c r="L21" s="253"/>
      <c r="M21" s="253"/>
      <c r="N21" s="253"/>
    </row>
    <row r="22" spans="2:14" ht="16.2" x14ac:dyDescent="0.3">
      <c r="B22" s="253" t="s">
        <v>0</v>
      </c>
      <c r="C22" s="253" t="s">
        <v>872</v>
      </c>
      <c r="D22" s="253" t="s">
        <v>1</v>
      </c>
      <c r="E22" s="253" t="s">
        <v>10</v>
      </c>
      <c r="F22" s="253" t="s">
        <v>157</v>
      </c>
      <c r="G22" s="256" t="s">
        <v>147</v>
      </c>
      <c r="H22" s="256" t="s">
        <v>147</v>
      </c>
      <c r="I22" s="256"/>
      <c r="J22" s="256" t="s">
        <v>147</v>
      </c>
      <c r="K22" s="256" t="s">
        <v>147</v>
      </c>
      <c r="L22" s="253"/>
      <c r="M22" s="253"/>
      <c r="N22" s="253"/>
    </row>
    <row r="23" spans="2:14" ht="16.2" x14ac:dyDescent="0.3">
      <c r="B23" s="253" t="s">
        <v>0</v>
      </c>
      <c r="C23" s="253" t="s">
        <v>872</v>
      </c>
      <c r="D23" s="253" t="s">
        <v>1</v>
      </c>
      <c r="E23" s="253" t="s">
        <v>613</v>
      </c>
      <c r="F23" s="253" t="s">
        <v>235</v>
      </c>
      <c r="G23" s="256" t="s">
        <v>235</v>
      </c>
      <c r="H23" s="256" t="s">
        <v>202</v>
      </c>
      <c r="I23" s="256"/>
      <c r="J23" s="256" t="s">
        <v>882</v>
      </c>
      <c r="K23" s="256" t="s">
        <v>882</v>
      </c>
      <c r="L23" s="253"/>
      <c r="M23" s="253"/>
      <c r="N23" s="253"/>
    </row>
    <row r="24" spans="2:14" ht="16.2" x14ac:dyDescent="0.3">
      <c r="B24" s="253" t="s">
        <v>0</v>
      </c>
      <c r="C24" s="253" t="s">
        <v>872</v>
      </c>
      <c r="D24" s="253" t="s">
        <v>1</v>
      </c>
      <c r="E24" s="253" t="s">
        <v>98</v>
      </c>
      <c r="F24" s="253" t="s">
        <v>179</v>
      </c>
      <c r="G24" s="256" t="s">
        <v>147</v>
      </c>
      <c r="H24" s="256" t="s">
        <v>147</v>
      </c>
      <c r="I24" s="256"/>
      <c r="J24" s="256" t="s">
        <v>235</v>
      </c>
      <c r="K24" s="256" t="s">
        <v>235</v>
      </c>
      <c r="L24" s="253"/>
      <c r="M24" s="253"/>
      <c r="N24" s="253"/>
    </row>
    <row r="25" spans="2:14" ht="16.2" x14ac:dyDescent="0.3">
      <c r="B25" s="253" t="s">
        <v>0</v>
      </c>
      <c r="C25" s="253" t="s">
        <v>872</v>
      </c>
      <c r="D25" s="253" t="s">
        <v>1</v>
      </c>
      <c r="E25" s="253" t="s">
        <v>99</v>
      </c>
      <c r="F25" s="253" t="s">
        <v>179</v>
      </c>
      <c r="G25" s="256" t="s">
        <v>147</v>
      </c>
      <c r="H25" s="256" t="s">
        <v>147</v>
      </c>
      <c r="I25" s="256"/>
      <c r="J25" s="256" t="s">
        <v>879</v>
      </c>
      <c r="K25" s="256" t="s">
        <v>879</v>
      </c>
      <c r="L25" s="253"/>
      <c r="M25" s="253"/>
      <c r="N25" s="253"/>
    </row>
    <row r="26" spans="2:14" ht="16.2" x14ac:dyDescent="0.3">
      <c r="B26" s="253" t="s">
        <v>0</v>
      </c>
      <c r="C26" s="253" t="s">
        <v>872</v>
      </c>
      <c r="D26" s="253" t="s">
        <v>1</v>
      </c>
      <c r="E26" s="253" t="s">
        <v>100</v>
      </c>
      <c r="F26" s="253" t="s">
        <v>179</v>
      </c>
      <c r="G26" s="256" t="s">
        <v>147</v>
      </c>
      <c r="H26" s="256" t="s">
        <v>147</v>
      </c>
      <c r="I26" s="256"/>
      <c r="J26" s="256" t="s">
        <v>147</v>
      </c>
      <c r="K26" s="256" t="s">
        <v>147</v>
      </c>
      <c r="L26" s="253"/>
      <c r="M26" s="253"/>
      <c r="N26" s="253"/>
    </row>
    <row r="27" spans="2:14" ht="16.2" x14ac:dyDescent="0.3">
      <c r="B27" s="253" t="s">
        <v>0</v>
      </c>
      <c r="C27" s="253" t="s">
        <v>872</v>
      </c>
      <c r="D27" s="253" t="s">
        <v>1</v>
      </c>
      <c r="E27" s="253" t="s">
        <v>101</v>
      </c>
      <c r="F27" s="253" t="s">
        <v>179</v>
      </c>
      <c r="G27" s="256" t="s">
        <v>147</v>
      </c>
      <c r="H27" s="256" t="s">
        <v>147</v>
      </c>
      <c r="I27" s="256"/>
      <c r="J27" s="256" t="s">
        <v>235</v>
      </c>
      <c r="K27" s="256" t="s">
        <v>235</v>
      </c>
      <c r="L27" s="253"/>
      <c r="M27" s="253"/>
      <c r="N27" s="253"/>
    </row>
    <row r="28" spans="2:14" ht="16.2" x14ac:dyDescent="0.3">
      <c r="B28" s="253" t="s">
        <v>0</v>
      </c>
      <c r="C28" s="253" t="s">
        <v>872</v>
      </c>
      <c r="D28" s="253" t="s">
        <v>1</v>
      </c>
      <c r="E28" s="253" t="s">
        <v>102</v>
      </c>
      <c r="F28" s="253" t="s">
        <v>179</v>
      </c>
      <c r="G28" s="256" t="s">
        <v>147</v>
      </c>
      <c r="H28" s="256" t="s">
        <v>202</v>
      </c>
      <c r="I28" s="256"/>
      <c r="J28" s="256" t="s">
        <v>147</v>
      </c>
      <c r="K28" s="256" t="s">
        <v>147</v>
      </c>
      <c r="L28" s="253"/>
      <c r="M28" s="253"/>
      <c r="N28" s="253"/>
    </row>
    <row r="29" spans="2:14" ht="16.2" x14ac:dyDescent="0.3">
      <c r="B29" s="253" t="s">
        <v>0</v>
      </c>
      <c r="C29" s="253" t="s">
        <v>872</v>
      </c>
      <c r="D29" s="253" t="s">
        <v>1</v>
      </c>
      <c r="E29" s="253" t="s">
        <v>103</v>
      </c>
      <c r="F29" s="253" t="s">
        <v>179</v>
      </c>
      <c r="G29" s="256" t="s">
        <v>147</v>
      </c>
      <c r="H29" s="256" t="s">
        <v>147</v>
      </c>
      <c r="I29" s="256"/>
      <c r="J29" s="256" t="s">
        <v>235</v>
      </c>
      <c r="K29" s="256" t="s">
        <v>235</v>
      </c>
      <c r="L29" s="253"/>
      <c r="M29" s="253"/>
      <c r="N29" s="253"/>
    </row>
    <row r="30" spans="2:14" ht="16.2" x14ac:dyDescent="0.3">
      <c r="B30" s="253" t="s">
        <v>0</v>
      </c>
      <c r="C30" s="253" t="s">
        <v>872</v>
      </c>
      <c r="D30" s="253" t="s">
        <v>1</v>
      </c>
      <c r="E30" s="253" t="s">
        <v>105</v>
      </c>
      <c r="F30" s="253" t="s">
        <v>179</v>
      </c>
      <c r="G30" s="256" t="s">
        <v>147</v>
      </c>
      <c r="H30" s="256" t="s">
        <v>147</v>
      </c>
      <c r="I30" s="256"/>
      <c r="J30" s="256" t="s">
        <v>235</v>
      </c>
      <c r="K30" s="256" t="s">
        <v>235</v>
      </c>
      <c r="L30" s="253"/>
      <c r="M30" s="253"/>
      <c r="N30" s="253"/>
    </row>
    <row r="31" spans="2:14" ht="16.2" x14ac:dyDescent="0.3">
      <c r="B31" s="253" t="s">
        <v>0</v>
      </c>
      <c r="C31" s="253" t="s">
        <v>872</v>
      </c>
      <c r="D31" s="253" t="s">
        <v>1</v>
      </c>
      <c r="E31" s="253" t="s">
        <v>104</v>
      </c>
      <c r="F31" s="253" t="s">
        <v>179</v>
      </c>
      <c r="G31" s="256" t="s">
        <v>147</v>
      </c>
      <c r="H31" s="256" t="s">
        <v>147</v>
      </c>
      <c r="I31" s="256"/>
      <c r="J31" s="256" t="s">
        <v>879</v>
      </c>
      <c r="K31" s="256" t="s">
        <v>879</v>
      </c>
      <c r="L31" s="253"/>
      <c r="M31" s="253"/>
      <c r="N31" s="253"/>
    </row>
    <row r="32" spans="2:14" ht="16.2" x14ac:dyDescent="0.3">
      <c r="B32" s="253" t="s">
        <v>0</v>
      </c>
      <c r="C32" s="253" t="s">
        <v>872</v>
      </c>
      <c r="D32" s="253" t="s">
        <v>1</v>
      </c>
      <c r="E32" s="253" t="s">
        <v>106</v>
      </c>
      <c r="F32" s="253" t="s">
        <v>157</v>
      </c>
      <c r="G32" s="256" t="s">
        <v>147</v>
      </c>
      <c r="H32" s="256" t="s">
        <v>147</v>
      </c>
      <c r="I32" s="256"/>
      <c r="J32" s="256" t="s">
        <v>235</v>
      </c>
      <c r="K32" s="256" t="s">
        <v>235</v>
      </c>
      <c r="L32" s="253"/>
      <c r="M32" s="253"/>
      <c r="N32" s="253"/>
    </row>
    <row r="33" spans="2:14" ht="16.2" x14ac:dyDescent="0.3">
      <c r="B33" s="253" t="s">
        <v>0</v>
      </c>
      <c r="C33" s="253" t="s">
        <v>872</v>
      </c>
      <c r="D33" s="253" t="s">
        <v>1</v>
      </c>
      <c r="E33" s="253" t="s">
        <v>107</v>
      </c>
      <c r="F33" s="253" t="s">
        <v>157</v>
      </c>
      <c r="G33" s="256" t="s">
        <v>147</v>
      </c>
      <c r="H33" s="256" t="s">
        <v>147</v>
      </c>
      <c r="I33" s="256"/>
      <c r="J33" s="256" t="s">
        <v>879</v>
      </c>
      <c r="K33" s="256" t="s">
        <v>879</v>
      </c>
      <c r="L33" s="253"/>
      <c r="M33" s="253"/>
      <c r="N33" s="253"/>
    </row>
    <row r="34" spans="2:14" ht="16.2" x14ac:dyDescent="0.3">
      <c r="B34" s="253" t="s">
        <v>0</v>
      </c>
      <c r="C34" s="253" t="s">
        <v>872</v>
      </c>
      <c r="D34" s="253" t="s">
        <v>886</v>
      </c>
      <c r="E34" s="253" t="s">
        <v>884</v>
      </c>
      <c r="F34" s="253" t="s">
        <v>157</v>
      </c>
      <c r="G34" s="256" t="s">
        <v>147</v>
      </c>
      <c r="H34" s="256" t="s">
        <v>147</v>
      </c>
      <c r="I34" s="256"/>
      <c r="J34" s="256" t="s">
        <v>235</v>
      </c>
      <c r="K34" s="256" t="s">
        <v>235</v>
      </c>
      <c r="L34" s="253"/>
      <c r="M34" s="253"/>
      <c r="N34" s="253"/>
    </row>
    <row r="35" spans="2:14" ht="16.2" x14ac:dyDescent="0.3">
      <c r="B35" s="253" t="s">
        <v>0</v>
      </c>
      <c r="C35" s="253" t="s">
        <v>872</v>
      </c>
      <c r="D35" s="253" t="s">
        <v>886</v>
      </c>
      <c r="E35" s="253" t="s">
        <v>885</v>
      </c>
      <c r="F35" s="253" t="s">
        <v>157</v>
      </c>
      <c r="G35" s="256" t="s">
        <v>147</v>
      </c>
      <c r="H35" s="256" t="s">
        <v>147</v>
      </c>
      <c r="I35" s="256"/>
      <c r="J35" s="256" t="s">
        <v>235</v>
      </c>
      <c r="K35" s="256" t="s">
        <v>235</v>
      </c>
      <c r="L35" s="253"/>
      <c r="M35" s="253"/>
      <c r="N35" s="253"/>
    </row>
    <row r="36" spans="2:14" ht="16.2" x14ac:dyDescent="0.3">
      <c r="B36" s="253" t="s">
        <v>0</v>
      </c>
      <c r="C36" s="253" t="s">
        <v>818</v>
      </c>
      <c r="D36" s="253" t="s">
        <v>17</v>
      </c>
      <c r="E36" s="253" t="s">
        <v>18</v>
      </c>
      <c r="F36" s="253" t="s">
        <v>146</v>
      </c>
      <c r="G36" s="256" t="s">
        <v>147</v>
      </c>
      <c r="H36" s="256" t="str">
        <f>+VLOOKUP(B36&amp;"_"&amp;E36,'B02.00'!A:X,24,FALSE)</f>
        <v>Concluído</v>
      </c>
      <c r="I36" s="256" t="s">
        <v>1129</v>
      </c>
      <c r="J36" s="256" t="s">
        <v>147</v>
      </c>
      <c r="K36" s="256" t="s">
        <v>147</v>
      </c>
      <c r="L36" s="253"/>
      <c r="M36" s="253"/>
      <c r="N36" s="253"/>
    </row>
    <row r="37" spans="2:14" ht="16.2" x14ac:dyDescent="0.3">
      <c r="B37" s="253" t="s">
        <v>0</v>
      </c>
      <c r="C37" s="253" t="s">
        <v>818</v>
      </c>
      <c r="D37" s="253" t="s">
        <v>17</v>
      </c>
      <c r="E37" s="253" t="s">
        <v>19</v>
      </c>
      <c r="F37" s="253" t="s">
        <v>157</v>
      </c>
      <c r="G37" s="256" t="s">
        <v>147</v>
      </c>
      <c r="H37" s="256" t="str">
        <f>+VLOOKUP(B37&amp;"_"&amp;E37,'B02.00'!A:X,24,FALSE)</f>
        <v>Concluído</v>
      </c>
      <c r="I37" s="256" t="s">
        <v>1129</v>
      </c>
      <c r="J37" s="256" t="s">
        <v>879</v>
      </c>
      <c r="K37" s="256" t="s">
        <v>879</v>
      </c>
      <c r="L37" s="253"/>
      <c r="M37" s="253"/>
      <c r="N37" s="253"/>
    </row>
    <row r="38" spans="2:14" ht="16.2" x14ac:dyDescent="0.3">
      <c r="B38" s="253" t="s">
        <v>0</v>
      </c>
      <c r="C38" s="253" t="s">
        <v>818</v>
      </c>
      <c r="D38" s="253" t="s">
        <v>17</v>
      </c>
      <c r="E38" s="253" t="s">
        <v>20</v>
      </c>
      <c r="F38" s="253" t="s">
        <v>157</v>
      </c>
      <c r="G38" s="256" t="s">
        <v>147</v>
      </c>
      <c r="H38" s="256" t="str">
        <f>+VLOOKUP(B38&amp;"_"&amp;E38,'B02.00'!A:X,24,FALSE)</f>
        <v>Concluído</v>
      </c>
      <c r="I38" s="256" t="s">
        <v>1129</v>
      </c>
      <c r="J38" s="256" t="s">
        <v>879</v>
      </c>
      <c r="K38" s="256" t="s">
        <v>879</v>
      </c>
      <c r="L38" s="253"/>
      <c r="M38" s="253"/>
      <c r="N38" s="253"/>
    </row>
    <row r="39" spans="2:14" ht="16.2" x14ac:dyDescent="0.3">
      <c r="B39" s="253" t="s">
        <v>0</v>
      </c>
      <c r="C39" s="253" t="s">
        <v>818</v>
      </c>
      <c r="D39" s="253" t="s">
        <v>17</v>
      </c>
      <c r="E39" s="253" t="s">
        <v>21</v>
      </c>
      <c r="F39" s="253" t="s">
        <v>146</v>
      </c>
      <c r="G39" s="256" t="s">
        <v>147</v>
      </c>
      <c r="H39" s="256" t="str">
        <f>+VLOOKUP(B39&amp;"_"&amp;E39,'B02.00'!A:X,24,FALSE)</f>
        <v>Concluído</v>
      </c>
      <c r="I39" s="256" t="s">
        <v>1129</v>
      </c>
      <c r="J39" s="256" t="s">
        <v>147</v>
      </c>
      <c r="K39" s="256" t="s">
        <v>147</v>
      </c>
      <c r="L39" s="253"/>
      <c r="M39" s="253"/>
      <c r="N39" s="253"/>
    </row>
    <row r="40" spans="2:14" ht="16.2" x14ac:dyDescent="0.3">
      <c r="B40" s="253" t="s">
        <v>0</v>
      </c>
      <c r="C40" s="253" t="s">
        <v>818</v>
      </c>
      <c r="D40" s="253" t="s">
        <v>17</v>
      </c>
      <c r="E40" s="253" t="s">
        <v>22</v>
      </c>
      <c r="F40" s="253" t="s">
        <v>179</v>
      </c>
      <c r="G40" s="256" t="s">
        <v>147</v>
      </c>
      <c r="H40" s="256" t="str">
        <f>+VLOOKUP(B40&amp;"_"&amp;E40,'B02.00'!A:X,24,FALSE)</f>
        <v>Concluído</v>
      </c>
      <c r="I40" s="256" t="s">
        <v>1129</v>
      </c>
      <c r="J40" s="256" t="s">
        <v>147</v>
      </c>
      <c r="K40" s="256" t="s">
        <v>147</v>
      </c>
      <c r="L40" s="253"/>
      <c r="M40" s="253"/>
      <c r="N40" s="253"/>
    </row>
    <row r="41" spans="2:14" ht="16.2" x14ac:dyDescent="0.3">
      <c r="B41" s="253" t="s">
        <v>0</v>
      </c>
      <c r="C41" s="253" t="s">
        <v>818</v>
      </c>
      <c r="D41" s="253" t="s">
        <v>17</v>
      </c>
      <c r="E41" s="253" t="s">
        <v>23</v>
      </c>
      <c r="F41" s="253" t="s">
        <v>179</v>
      </c>
      <c r="G41" s="256" t="s">
        <v>147</v>
      </c>
      <c r="H41" s="256" t="str">
        <f>+VLOOKUP(B41&amp;"_"&amp;E41,'B02.00'!A:X,24,FALSE)</f>
        <v>Concluído</v>
      </c>
      <c r="I41" s="256" t="s">
        <v>1129</v>
      </c>
      <c r="J41" s="256" t="s">
        <v>879</v>
      </c>
      <c r="K41" s="256" t="s">
        <v>879</v>
      </c>
      <c r="L41" s="253"/>
      <c r="M41" s="253"/>
      <c r="N41" s="253"/>
    </row>
    <row r="42" spans="2:14" ht="16.2" x14ac:dyDescent="0.3">
      <c r="B42" s="253" t="s">
        <v>0</v>
      </c>
      <c r="C42" s="253" t="s">
        <v>818</v>
      </c>
      <c r="D42" s="253" t="s">
        <v>17</v>
      </c>
      <c r="E42" s="253" t="s">
        <v>24</v>
      </c>
      <c r="F42" s="253" t="s">
        <v>157</v>
      </c>
      <c r="G42" s="256" t="s">
        <v>147</v>
      </c>
      <c r="H42" s="256" t="str">
        <f>+VLOOKUP(B42&amp;"_"&amp;E42,'B02.00'!A:X,24,FALSE)</f>
        <v>Concluído</v>
      </c>
      <c r="I42" s="256" t="s">
        <v>1129</v>
      </c>
      <c r="J42" s="256" t="s">
        <v>147</v>
      </c>
      <c r="K42" s="256" t="s">
        <v>147</v>
      </c>
      <c r="L42" s="253"/>
      <c r="M42" s="253"/>
      <c r="N42" s="253"/>
    </row>
    <row r="43" spans="2:14" ht="16.2" x14ac:dyDescent="0.3">
      <c r="B43" s="253" t="s">
        <v>0</v>
      </c>
      <c r="C43" s="253" t="s">
        <v>818</v>
      </c>
      <c r="D43" s="253" t="s">
        <v>17</v>
      </c>
      <c r="E43" s="253" t="s">
        <v>25</v>
      </c>
      <c r="F43" s="253" t="s">
        <v>179</v>
      </c>
      <c r="G43" s="256" t="s">
        <v>147</v>
      </c>
      <c r="H43" s="256" t="str">
        <f>+VLOOKUP(B43&amp;"_"&amp;E43,'B02.00'!A:X,24,FALSE)</f>
        <v>Não Concluído</v>
      </c>
      <c r="I43" s="256" t="s">
        <v>1128</v>
      </c>
      <c r="J43" s="256" t="s">
        <v>882</v>
      </c>
      <c r="K43" s="256" t="s">
        <v>882</v>
      </c>
      <c r="L43" s="253"/>
      <c r="M43" s="253"/>
      <c r="N43" s="253"/>
    </row>
    <row r="44" spans="2:14" ht="16.2" x14ac:dyDescent="0.3">
      <c r="B44" s="253" t="s">
        <v>0</v>
      </c>
      <c r="C44" s="253" t="s">
        <v>818</v>
      </c>
      <c r="D44" s="253" t="s">
        <v>17</v>
      </c>
      <c r="E44" s="253" t="s">
        <v>26</v>
      </c>
      <c r="F44" s="253" t="s">
        <v>179</v>
      </c>
      <c r="G44" s="256" t="s">
        <v>147</v>
      </c>
      <c r="H44" s="256" t="str">
        <f>+VLOOKUP(B44&amp;"_"&amp;E44,'B02.00'!A:X,24,FALSE)</f>
        <v>Não Concluído</v>
      </c>
      <c r="I44" s="256" t="s">
        <v>1129</v>
      </c>
      <c r="J44" s="256" t="s">
        <v>882</v>
      </c>
      <c r="K44" s="256" t="s">
        <v>882</v>
      </c>
      <c r="L44" s="253"/>
      <c r="M44" s="253"/>
      <c r="N44" s="253"/>
    </row>
    <row r="45" spans="2:14" ht="16.2" x14ac:dyDescent="0.3">
      <c r="B45" s="253" t="s">
        <v>0</v>
      </c>
      <c r="C45" s="253" t="s">
        <v>818</v>
      </c>
      <c r="D45" s="253" t="s">
        <v>17</v>
      </c>
      <c r="E45" s="253" t="s">
        <v>27</v>
      </c>
      <c r="F45" s="253" t="s">
        <v>219</v>
      </c>
      <c r="G45" s="256" t="s">
        <v>147</v>
      </c>
      <c r="H45" s="256" t="str">
        <f>+VLOOKUP(B45&amp;"_"&amp;E45,'B02.00'!A:X,24,FALSE)</f>
        <v>Concluído</v>
      </c>
      <c r="I45" s="256" t="s">
        <v>1130</v>
      </c>
      <c r="J45" s="256" t="s">
        <v>235</v>
      </c>
      <c r="K45" s="256" t="s">
        <v>235</v>
      </c>
      <c r="L45" s="253"/>
      <c r="M45" s="253"/>
      <c r="N45" s="253"/>
    </row>
    <row r="46" spans="2:14" ht="16.2" x14ac:dyDescent="0.3">
      <c r="B46" s="253" t="s">
        <v>0</v>
      </c>
      <c r="C46" s="253" t="s">
        <v>818</v>
      </c>
      <c r="D46" s="253" t="s">
        <v>17</v>
      </c>
      <c r="E46" s="253" t="s">
        <v>28</v>
      </c>
      <c r="F46" s="253" t="s">
        <v>146</v>
      </c>
      <c r="G46" s="256" t="s">
        <v>147</v>
      </c>
      <c r="H46" s="256" t="str">
        <f>+VLOOKUP(B46&amp;"_"&amp;E46,'B02.00'!A:X,24,FALSE)</f>
        <v>Concluído</v>
      </c>
      <c r="I46" s="256" t="s">
        <v>1129</v>
      </c>
      <c r="J46" s="256" t="s">
        <v>147</v>
      </c>
      <c r="K46" s="256" t="s">
        <v>147</v>
      </c>
      <c r="L46" s="253"/>
      <c r="M46" s="253"/>
      <c r="N46" s="253"/>
    </row>
    <row r="47" spans="2:14" ht="16.2" x14ac:dyDescent="0.3">
      <c r="B47" s="253" t="s">
        <v>0</v>
      </c>
      <c r="C47" s="253" t="s">
        <v>818</v>
      </c>
      <c r="D47" s="253" t="s">
        <v>17</v>
      </c>
      <c r="E47" s="253" t="s">
        <v>29</v>
      </c>
      <c r="F47" s="253" t="s">
        <v>146</v>
      </c>
      <c r="G47" s="256" t="s">
        <v>147</v>
      </c>
      <c r="H47" s="256" t="str">
        <f>+VLOOKUP(B47&amp;"_"&amp;E47,'B02.00'!A:X,24,FALSE)</f>
        <v>Não Concluído</v>
      </c>
      <c r="I47" s="256" t="s">
        <v>1130</v>
      </c>
      <c r="J47" s="256" t="s">
        <v>882</v>
      </c>
      <c r="K47" s="256" t="s">
        <v>882</v>
      </c>
      <c r="L47" s="253"/>
      <c r="M47" s="253"/>
      <c r="N47" s="253"/>
    </row>
    <row r="48" spans="2:14" ht="16.2" x14ac:dyDescent="0.3">
      <c r="B48" s="253" t="s">
        <v>0</v>
      </c>
      <c r="C48" s="253" t="s">
        <v>818</v>
      </c>
      <c r="D48" s="253" t="s">
        <v>17</v>
      </c>
      <c r="E48" s="253" t="s">
        <v>30</v>
      </c>
      <c r="F48" s="253" t="s">
        <v>235</v>
      </c>
      <c r="G48" s="256" t="s">
        <v>202</v>
      </c>
      <c r="H48" s="256" t="str">
        <f>+VLOOKUP(B48&amp;"_"&amp;E48,'B02.00'!A:X,24,FALSE)</f>
        <v>Não Concluído</v>
      </c>
      <c r="I48" s="256" t="s">
        <v>1130</v>
      </c>
      <c r="J48" s="256" t="s">
        <v>882</v>
      </c>
      <c r="K48" s="256" t="s">
        <v>882</v>
      </c>
      <c r="L48" s="253"/>
      <c r="M48" s="253"/>
      <c r="N48" s="253"/>
    </row>
    <row r="49" spans="2:14" ht="16.2" x14ac:dyDescent="0.3">
      <c r="B49" s="253" t="s">
        <v>0</v>
      </c>
      <c r="C49" s="253" t="s">
        <v>818</v>
      </c>
      <c r="D49" s="253" t="s">
        <v>17</v>
      </c>
      <c r="E49" s="253" t="s">
        <v>31</v>
      </c>
      <c r="F49" s="253" t="s">
        <v>157</v>
      </c>
      <c r="G49" s="256" t="s">
        <v>147</v>
      </c>
      <c r="H49" s="256" t="str">
        <f>+VLOOKUP(B49&amp;"_"&amp;E49,'B02.00'!A:X,24,FALSE)</f>
        <v>Concluído</v>
      </c>
      <c r="I49" s="256" t="s">
        <v>1128</v>
      </c>
      <c r="J49" s="256" t="s">
        <v>879</v>
      </c>
      <c r="K49" s="256" t="s">
        <v>879</v>
      </c>
      <c r="L49" s="253"/>
      <c r="M49" s="253"/>
      <c r="N49" s="253"/>
    </row>
    <row r="50" spans="2:14" ht="16.2" x14ac:dyDescent="0.3">
      <c r="B50" s="253" t="s">
        <v>0</v>
      </c>
      <c r="C50" s="253" t="s">
        <v>818</v>
      </c>
      <c r="D50" s="253" t="s">
        <v>17</v>
      </c>
      <c r="E50" s="253" t="s">
        <v>32</v>
      </c>
      <c r="F50" s="253" t="s">
        <v>146</v>
      </c>
      <c r="G50" s="256" t="s">
        <v>147</v>
      </c>
      <c r="H50" s="256" t="str">
        <f>+VLOOKUP(B50&amp;"_"&amp;E50,'B02.00'!A:X,24,FALSE)</f>
        <v>Concluído</v>
      </c>
      <c r="I50" s="256" t="s">
        <v>1129</v>
      </c>
      <c r="J50" s="256" t="s">
        <v>147</v>
      </c>
      <c r="K50" s="256" t="s">
        <v>147</v>
      </c>
      <c r="L50" s="253"/>
      <c r="M50" s="253"/>
      <c r="N50" s="253"/>
    </row>
    <row r="51" spans="2:14" ht="16.2" x14ac:dyDescent="0.3">
      <c r="B51" s="253" t="s">
        <v>0</v>
      </c>
      <c r="C51" s="253" t="s">
        <v>818</v>
      </c>
      <c r="D51" s="253" t="s">
        <v>17</v>
      </c>
      <c r="E51" s="253" t="s">
        <v>33</v>
      </c>
      <c r="F51" s="253" t="s">
        <v>146</v>
      </c>
      <c r="G51" s="256" t="s">
        <v>147</v>
      </c>
      <c r="H51" s="256" t="str">
        <f>+VLOOKUP(B51&amp;"_"&amp;E51,'B02.00'!A:X,24,FALSE)</f>
        <v>Concluído</v>
      </c>
      <c r="I51" s="256" t="s">
        <v>1129</v>
      </c>
      <c r="J51" s="256" t="s">
        <v>147</v>
      </c>
      <c r="K51" s="256" t="s">
        <v>147</v>
      </c>
      <c r="L51" s="253"/>
      <c r="M51" s="253"/>
      <c r="N51" s="253"/>
    </row>
    <row r="52" spans="2:14" ht="16.2" x14ac:dyDescent="0.3">
      <c r="B52" s="253" t="s">
        <v>0</v>
      </c>
      <c r="C52" s="253" t="s">
        <v>818</v>
      </c>
      <c r="D52" s="253" t="s">
        <v>17</v>
      </c>
      <c r="E52" s="253" t="s">
        <v>34</v>
      </c>
      <c r="F52" s="253" t="s">
        <v>179</v>
      </c>
      <c r="G52" s="256" t="s">
        <v>147</v>
      </c>
      <c r="H52" s="256" t="str">
        <f>+VLOOKUP(B52&amp;"_"&amp;E52,'B02.00'!A:X,24,FALSE)</f>
        <v>Concluído</v>
      </c>
      <c r="I52" s="256" t="s">
        <v>1129</v>
      </c>
      <c r="J52" s="256" t="s">
        <v>147</v>
      </c>
      <c r="K52" s="256" t="s">
        <v>147</v>
      </c>
      <c r="L52" s="253"/>
      <c r="M52" s="253"/>
      <c r="N52" s="253"/>
    </row>
    <row r="53" spans="2:14" ht="16.2" x14ac:dyDescent="0.3">
      <c r="B53" s="253" t="s">
        <v>0</v>
      </c>
      <c r="C53" s="253" t="s">
        <v>818</v>
      </c>
      <c r="D53" s="253" t="s">
        <v>17</v>
      </c>
      <c r="E53" s="253" t="s">
        <v>35</v>
      </c>
      <c r="F53" s="253" t="s">
        <v>146</v>
      </c>
      <c r="G53" s="256" t="s">
        <v>147</v>
      </c>
      <c r="H53" s="256" t="str">
        <f>+VLOOKUP(B53&amp;"_"&amp;E53,'B02.00'!A:X,24,FALSE)</f>
        <v>Concluído</v>
      </c>
      <c r="I53" s="256" t="s">
        <v>1129</v>
      </c>
      <c r="J53" s="256" t="s">
        <v>147</v>
      </c>
      <c r="K53" s="256" t="s">
        <v>147</v>
      </c>
      <c r="L53" s="253"/>
      <c r="M53" s="253"/>
      <c r="N53" s="253"/>
    </row>
    <row r="54" spans="2:14" ht="16.2" x14ac:dyDescent="0.3">
      <c r="B54" s="253" t="s">
        <v>0</v>
      </c>
      <c r="C54" s="253" t="s">
        <v>818</v>
      </c>
      <c r="D54" s="253" t="s">
        <v>17</v>
      </c>
      <c r="E54" s="253" t="s">
        <v>36</v>
      </c>
      <c r="F54" s="253" t="s">
        <v>146</v>
      </c>
      <c r="G54" s="256" t="s">
        <v>147</v>
      </c>
      <c r="H54" s="256" t="str">
        <f>+VLOOKUP(B54&amp;"_"&amp;E54,'B02.00'!A:X,24,FALSE)</f>
        <v>Concluído</v>
      </c>
      <c r="I54" s="256" t="s">
        <v>1129</v>
      </c>
      <c r="J54" s="256" t="s">
        <v>147</v>
      </c>
      <c r="K54" s="256" t="s">
        <v>147</v>
      </c>
      <c r="L54" s="253"/>
      <c r="M54" s="253"/>
      <c r="N54" s="253"/>
    </row>
    <row r="55" spans="2:14" ht="16.2" x14ac:dyDescent="0.3">
      <c r="B55" s="253" t="s">
        <v>0</v>
      </c>
      <c r="C55" s="253" t="s">
        <v>818</v>
      </c>
      <c r="D55" s="253" t="s">
        <v>17</v>
      </c>
      <c r="E55" s="253" t="s">
        <v>37</v>
      </c>
      <c r="F55" s="253" t="s">
        <v>157</v>
      </c>
      <c r="G55" s="256" t="s">
        <v>147</v>
      </c>
      <c r="H55" s="256" t="str">
        <f>+VLOOKUP(B55&amp;"_"&amp;E55,'B02.00'!A:X,24,FALSE)</f>
        <v>Concluído</v>
      </c>
      <c r="I55" s="256" t="s">
        <v>1129</v>
      </c>
      <c r="J55" s="256" t="s">
        <v>147</v>
      </c>
      <c r="K55" s="256" t="s">
        <v>147</v>
      </c>
      <c r="L55" s="253"/>
      <c r="M55" s="253"/>
      <c r="N55" s="253"/>
    </row>
    <row r="56" spans="2:14" ht="16.2" x14ac:dyDescent="0.3">
      <c r="B56" s="253" t="s">
        <v>0</v>
      </c>
      <c r="C56" s="253" t="s">
        <v>818</v>
      </c>
      <c r="D56" s="253" t="s">
        <v>17</v>
      </c>
      <c r="E56" s="253" t="s">
        <v>38</v>
      </c>
      <c r="F56" s="253" t="s">
        <v>179</v>
      </c>
      <c r="G56" s="256" t="s">
        <v>147</v>
      </c>
      <c r="H56" s="256" t="str">
        <f>+VLOOKUP(B56&amp;"_"&amp;E56,'B02.00'!A:X,24,FALSE)</f>
        <v>Concluído</v>
      </c>
      <c r="I56" s="256" t="s">
        <v>1128</v>
      </c>
      <c r="J56" s="256" t="s">
        <v>235</v>
      </c>
      <c r="K56" s="256" t="s">
        <v>235</v>
      </c>
      <c r="L56" s="253"/>
      <c r="M56" s="253"/>
      <c r="N56" s="253"/>
    </row>
    <row r="57" spans="2:14" ht="16.2" x14ac:dyDescent="0.3">
      <c r="B57" s="253" t="s">
        <v>0</v>
      </c>
      <c r="C57" s="253" t="s">
        <v>818</v>
      </c>
      <c r="D57" s="253" t="s">
        <v>17</v>
      </c>
      <c r="E57" s="253" t="s">
        <v>39</v>
      </c>
      <c r="F57" s="253" t="s">
        <v>146</v>
      </c>
      <c r="G57" s="256" t="s">
        <v>147</v>
      </c>
      <c r="H57" s="256" t="str">
        <f>+VLOOKUP(B57&amp;"_"&amp;E57,'B02.00'!A:X,24,FALSE)</f>
        <v>Concluído</v>
      </c>
      <c r="I57" s="256" t="s">
        <v>1128</v>
      </c>
      <c r="J57" s="256" t="s">
        <v>147</v>
      </c>
      <c r="K57" s="256" t="s">
        <v>147</v>
      </c>
      <c r="L57" s="253"/>
      <c r="M57" s="253"/>
      <c r="N57" s="253"/>
    </row>
    <row r="58" spans="2:14" ht="16.2" x14ac:dyDescent="0.3">
      <c r="B58" s="253" t="s">
        <v>0</v>
      </c>
      <c r="C58" s="253" t="s">
        <v>818</v>
      </c>
      <c r="D58" s="253" t="s">
        <v>17</v>
      </c>
      <c r="E58" s="253" t="s">
        <v>40</v>
      </c>
      <c r="F58" s="253" t="s">
        <v>146</v>
      </c>
      <c r="G58" s="256" t="s">
        <v>147</v>
      </c>
      <c r="H58" s="256" t="str">
        <f>+VLOOKUP(B58&amp;"_"&amp;E58,'B02.00'!A:X,24,FALSE)</f>
        <v>Concluído</v>
      </c>
      <c r="I58" s="256" t="s">
        <v>1128</v>
      </c>
      <c r="J58" s="256" t="s">
        <v>147</v>
      </c>
      <c r="K58" s="256" t="s">
        <v>147</v>
      </c>
      <c r="L58" s="253"/>
      <c r="M58" s="253"/>
      <c r="N58" s="253"/>
    </row>
    <row r="59" spans="2:14" ht="16.2" x14ac:dyDescent="0.3">
      <c r="B59" s="253" t="s">
        <v>0</v>
      </c>
      <c r="C59" s="253" t="s">
        <v>818</v>
      </c>
      <c r="D59" s="253" t="s">
        <v>17</v>
      </c>
      <c r="E59" s="253" t="s">
        <v>41</v>
      </c>
      <c r="F59" s="253" t="s">
        <v>157</v>
      </c>
      <c r="G59" s="256" t="s">
        <v>147</v>
      </c>
      <c r="H59" s="256" t="str">
        <f>+VLOOKUP(B59&amp;"_"&amp;E59,'B02.00'!A:X,24,FALSE)</f>
        <v>Concluído</v>
      </c>
      <c r="I59" s="256" t="s">
        <v>1128</v>
      </c>
      <c r="J59" s="256" t="s">
        <v>147</v>
      </c>
      <c r="K59" s="256" t="s">
        <v>147</v>
      </c>
      <c r="L59" s="253"/>
      <c r="M59" s="253"/>
      <c r="N59" s="253"/>
    </row>
    <row r="60" spans="2:14" ht="16.2" x14ac:dyDescent="0.3">
      <c r="B60" s="253" t="s">
        <v>0</v>
      </c>
      <c r="C60" s="253" t="s">
        <v>818</v>
      </c>
      <c r="D60" s="253" t="s">
        <v>17</v>
      </c>
      <c r="E60" s="253" t="s">
        <v>42</v>
      </c>
      <c r="F60" s="253" t="s">
        <v>157</v>
      </c>
      <c r="G60" s="256" t="s">
        <v>147</v>
      </c>
      <c r="H60" s="256" t="str">
        <f>+VLOOKUP(B60&amp;"_"&amp;E60,'B02.00'!A:X,24,FALSE)</f>
        <v>Concluído</v>
      </c>
      <c r="I60" s="256" t="s">
        <v>1128</v>
      </c>
      <c r="J60" s="256" t="s">
        <v>147</v>
      </c>
      <c r="K60" s="256" t="s">
        <v>147</v>
      </c>
      <c r="L60" s="253"/>
      <c r="M60" s="253"/>
      <c r="N60" s="253"/>
    </row>
    <row r="61" spans="2:14" ht="16.2" x14ac:dyDescent="0.3">
      <c r="B61" s="253" t="s">
        <v>0</v>
      </c>
      <c r="C61" s="253" t="s">
        <v>818</v>
      </c>
      <c r="D61" s="253" t="s">
        <v>17</v>
      </c>
      <c r="E61" s="253" t="s">
        <v>43</v>
      </c>
      <c r="F61" s="253" t="s">
        <v>146</v>
      </c>
      <c r="G61" s="256" t="s">
        <v>147</v>
      </c>
      <c r="H61" s="256" t="str">
        <f>+VLOOKUP(B61&amp;"_"&amp;E61,'B02.00'!A:X,24,FALSE)</f>
        <v>Concluído</v>
      </c>
      <c r="I61" s="256" t="s">
        <v>1129</v>
      </c>
      <c r="J61" s="256" t="s">
        <v>147</v>
      </c>
      <c r="K61" s="256" t="s">
        <v>147</v>
      </c>
      <c r="L61" s="253"/>
      <c r="M61" s="253"/>
      <c r="N61" s="253"/>
    </row>
    <row r="62" spans="2:14" ht="16.2" x14ac:dyDescent="0.3">
      <c r="B62" s="253" t="s">
        <v>0</v>
      </c>
      <c r="C62" s="253" t="s">
        <v>818</v>
      </c>
      <c r="D62" s="253" t="s">
        <v>17</v>
      </c>
      <c r="E62" s="253" t="s">
        <v>44</v>
      </c>
      <c r="F62" s="253" t="s">
        <v>146</v>
      </c>
      <c r="G62" s="256" t="s">
        <v>147</v>
      </c>
      <c r="H62" s="256" t="str">
        <f>+VLOOKUP(B62&amp;"_"&amp;E62,'B02.00'!A:X,24,FALSE)</f>
        <v>Concluído</v>
      </c>
      <c r="I62" s="256" t="s">
        <v>1129</v>
      </c>
      <c r="J62" s="256" t="s">
        <v>147</v>
      </c>
      <c r="K62" s="256" t="s">
        <v>147</v>
      </c>
      <c r="L62" s="253"/>
      <c r="M62" s="253"/>
      <c r="N62" s="253"/>
    </row>
    <row r="63" spans="2:14" ht="16.2" x14ac:dyDescent="0.3">
      <c r="B63" s="253" t="s">
        <v>0</v>
      </c>
      <c r="C63" s="253" t="s">
        <v>818</v>
      </c>
      <c r="D63" s="253" t="s">
        <v>17</v>
      </c>
      <c r="E63" s="253" t="s">
        <v>45</v>
      </c>
      <c r="F63" s="253" t="s">
        <v>146</v>
      </c>
      <c r="G63" s="256" t="s">
        <v>147</v>
      </c>
      <c r="H63" s="256" t="str">
        <f>+VLOOKUP(B63&amp;"_"&amp;E63,'B02.00'!A:X,24,FALSE)</f>
        <v>Concluído</v>
      </c>
      <c r="I63" s="256" t="s">
        <v>1129</v>
      </c>
      <c r="J63" s="256" t="s">
        <v>147</v>
      </c>
      <c r="K63" s="256" t="s">
        <v>147</v>
      </c>
      <c r="L63" s="253"/>
      <c r="M63" s="253"/>
      <c r="N63" s="253"/>
    </row>
    <row r="64" spans="2:14" ht="16.2" x14ac:dyDescent="0.3">
      <c r="B64" s="253" t="s">
        <v>0</v>
      </c>
      <c r="C64" s="253" t="s">
        <v>818</v>
      </c>
      <c r="D64" s="253" t="s">
        <v>17</v>
      </c>
      <c r="E64" s="253" t="s">
        <v>817</v>
      </c>
      <c r="F64" s="253" t="s">
        <v>146</v>
      </c>
      <c r="G64" s="256" t="s">
        <v>147</v>
      </c>
      <c r="H64" s="256" t="s">
        <v>147</v>
      </c>
      <c r="I64" s="256" t="s">
        <v>1129</v>
      </c>
      <c r="J64" s="256" t="s">
        <v>147</v>
      </c>
      <c r="K64" s="256" t="s">
        <v>147</v>
      </c>
      <c r="L64" s="253"/>
      <c r="M64" s="253"/>
      <c r="N64" s="253"/>
    </row>
    <row r="65" spans="2:14" ht="16.2" x14ac:dyDescent="0.3">
      <c r="B65" s="253" t="s">
        <v>0</v>
      </c>
      <c r="C65" s="253" t="s">
        <v>818</v>
      </c>
      <c r="D65" s="253" t="s">
        <v>17</v>
      </c>
      <c r="E65" s="253" t="s">
        <v>46</v>
      </c>
      <c r="F65" s="253" t="s">
        <v>146</v>
      </c>
      <c r="G65" s="256" t="s">
        <v>147</v>
      </c>
      <c r="H65" s="256" t="str">
        <f>+VLOOKUP(B65&amp;"_"&amp;E65,'B02.00'!A:X,24,FALSE)</f>
        <v>Concluído</v>
      </c>
      <c r="I65" s="256" t="s">
        <v>1129</v>
      </c>
      <c r="J65" s="256" t="s">
        <v>147</v>
      </c>
      <c r="K65" s="256" t="s">
        <v>147</v>
      </c>
      <c r="L65" s="253"/>
      <c r="M65" s="253"/>
      <c r="N65" s="253"/>
    </row>
    <row r="66" spans="2:14" ht="16.2" x14ac:dyDescent="0.3">
      <c r="B66" s="253" t="s">
        <v>0</v>
      </c>
      <c r="C66" s="253" t="s">
        <v>818</v>
      </c>
      <c r="D66" s="253" t="s">
        <v>17</v>
      </c>
      <c r="E66" s="253" t="s">
        <v>47</v>
      </c>
      <c r="F66" s="253" t="s">
        <v>146</v>
      </c>
      <c r="G66" s="256" t="s">
        <v>147</v>
      </c>
      <c r="H66" s="256" t="str">
        <f>+VLOOKUP(B66&amp;"_"&amp;E66,'B02.00'!A:X,24,FALSE)</f>
        <v>Concluído</v>
      </c>
      <c r="I66" s="256" t="s">
        <v>1129</v>
      </c>
      <c r="J66" s="256" t="s">
        <v>147</v>
      </c>
      <c r="K66" s="256" t="s">
        <v>147</v>
      </c>
      <c r="L66" s="253"/>
      <c r="M66" s="253"/>
      <c r="N66" s="253"/>
    </row>
    <row r="67" spans="2:14" ht="16.2" x14ac:dyDescent="0.3">
      <c r="B67" s="253" t="s">
        <v>0</v>
      </c>
      <c r="C67" s="253" t="s">
        <v>818</v>
      </c>
      <c r="D67" s="253" t="s">
        <v>17</v>
      </c>
      <c r="E67" s="253" t="s">
        <v>48</v>
      </c>
      <c r="F67" s="253" t="s">
        <v>146</v>
      </c>
      <c r="G67" s="256" t="s">
        <v>147</v>
      </c>
      <c r="H67" s="256" t="str">
        <f>+VLOOKUP(B67&amp;"_"&amp;E67,'B02.00'!A:X,24,FALSE)</f>
        <v>Concluído</v>
      </c>
      <c r="I67" s="256" t="s">
        <v>1129</v>
      </c>
      <c r="J67" s="256" t="s">
        <v>147</v>
      </c>
      <c r="K67" s="256" t="s">
        <v>147</v>
      </c>
      <c r="L67" s="253"/>
      <c r="M67" s="253"/>
      <c r="N67" s="253"/>
    </row>
    <row r="68" spans="2:14" ht="16.2" x14ac:dyDescent="0.3">
      <c r="B68" s="253" t="s">
        <v>0</v>
      </c>
      <c r="C68" s="253" t="s">
        <v>818</v>
      </c>
      <c r="D68" s="253" t="s">
        <v>17</v>
      </c>
      <c r="E68" s="253" t="s">
        <v>49</v>
      </c>
      <c r="F68" s="253" t="s">
        <v>146</v>
      </c>
      <c r="G68" s="256" t="s">
        <v>147</v>
      </c>
      <c r="H68" s="256" t="str">
        <f>+VLOOKUP(B68&amp;"_"&amp;E68,'B02.00'!A:X,24,FALSE)</f>
        <v>Concluído</v>
      </c>
      <c r="I68" s="256" t="s">
        <v>1129</v>
      </c>
      <c r="J68" s="256" t="s">
        <v>147</v>
      </c>
      <c r="K68" s="256" t="s">
        <v>147</v>
      </c>
      <c r="L68" s="253"/>
      <c r="M68" s="253"/>
      <c r="N68" s="253"/>
    </row>
    <row r="69" spans="2:14" ht="16.2" x14ac:dyDescent="0.3">
      <c r="B69" s="253" t="s">
        <v>0</v>
      </c>
      <c r="C69" s="253" t="s">
        <v>818</v>
      </c>
      <c r="D69" s="253" t="s">
        <v>17</v>
      </c>
      <c r="E69" s="253" t="s">
        <v>50</v>
      </c>
      <c r="F69" s="253" t="s">
        <v>146</v>
      </c>
      <c r="G69" s="256" t="s">
        <v>147</v>
      </c>
      <c r="H69" s="256" t="str">
        <f>+VLOOKUP(B69&amp;"_"&amp;E69,'B02.00'!A:X,24,FALSE)</f>
        <v>Concluído</v>
      </c>
      <c r="I69" s="256" t="s">
        <v>1129</v>
      </c>
      <c r="J69" s="256" t="s">
        <v>147</v>
      </c>
      <c r="K69" s="256" t="s">
        <v>147</v>
      </c>
      <c r="L69" s="253"/>
      <c r="M69" s="253"/>
      <c r="N69" s="253"/>
    </row>
    <row r="70" spans="2:14" ht="16.2" x14ac:dyDescent="0.3">
      <c r="B70" s="253" t="s">
        <v>0</v>
      </c>
      <c r="C70" s="253" t="s">
        <v>818</v>
      </c>
      <c r="D70" s="253" t="s">
        <v>17</v>
      </c>
      <c r="E70" s="253" t="s">
        <v>51</v>
      </c>
      <c r="F70" s="253" t="s">
        <v>146</v>
      </c>
      <c r="G70" s="256" t="s">
        <v>147</v>
      </c>
      <c r="H70" s="256" t="str">
        <f>+VLOOKUP(B70&amp;"_"&amp;E70,'B02.00'!A:X,24,FALSE)</f>
        <v>Concluído</v>
      </c>
      <c r="I70" s="256" t="s">
        <v>1129</v>
      </c>
      <c r="J70" s="256" t="s">
        <v>147</v>
      </c>
      <c r="K70" s="256" t="s">
        <v>147</v>
      </c>
      <c r="L70" s="253"/>
      <c r="M70" s="253"/>
      <c r="N70" s="253"/>
    </row>
    <row r="71" spans="2:14" ht="16.2" x14ac:dyDescent="0.3">
      <c r="B71" s="253" t="s">
        <v>0</v>
      </c>
      <c r="C71" s="253" t="s">
        <v>818</v>
      </c>
      <c r="D71" s="253" t="s">
        <v>17</v>
      </c>
      <c r="E71" s="253" t="s">
        <v>52</v>
      </c>
      <c r="F71" s="253" t="s">
        <v>146</v>
      </c>
      <c r="G71" s="256" t="s">
        <v>147</v>
      </c>
      <c r="H71" s="256" t="str">
        <f>+VLOOKUP(B71&amp;"_"&amp;E71,'B02.00'!A:X,24,FALSE)</f>
        <v>Concluído</v>
      </c>
      <c r="I71" s="256" t="s">
        <v>1129</v>
      </c>
      <c r="J71" s="256" t="s">
        <v>147</v>
      </c>
      <c r="K71" s="256" t="s">
        <v>147</v>
      </c>
      <c r="L71" s="253"/>
      <c r="M71" s="253"/>
      <c r="N71" s="253"/>
    </row>
    <row r="72" spans="2:14" ht="16.2" x14ac:dyDescent="0.3">
      <c r="B72" s="253" t="s">
        <v>0</v>
      </c>
      <c r="C72" s="253" t="s">
        <v>818</v>
      </c>
      <c r="D72" s="253" t="s">
        <v>17</v>
      </c>
      <c r="E72" s="253" t="s">
        <v>53</v>
      </c>
      <c r="F72" s="253" t="s">
        <v>146</v>
      </c>
      <c r="G72" s="256" t="s">
        <v>147</v>
      </c>
      <c r="H72" s="256" t="str">
        <f>+VLOOKUP(B72&amp;"_"&amp;E72,'B02.00'!A:X,24,FALSE)</f>
        <v>Concluído</v>
      </c>
      <c r="I72" s="256" t="s">
        <v>1129</v>
      </c>
      <c r="J72" s="256" t="s">
        <v>147</v>
      </c>
      <c r="K72" s="256" t="s">
        <v>147</v>
      </c>
      <c r="L72" s="253"/>
      <c r="M72" s="253"/>
      <c r="N72" s="253"/>
    </row>
    <row r="73" spans="2:14" ht="16.2" x14ac:dyDescent="0.3">
      <c r="B73" s="253" t="s">
        <v>0</v>
      </c>
      <c r="C73" s="253" t="s">
        <v>818</v>
      </c>
      <c r="D73" s="253" t="s">
        <v>17</v>
      </c>
      <c r="E73" s="253" t="s">
        <v>54</v>
      </c>
      <c r="F73" s="253" t="s">
        <v>146</v>
      </c>
      <c r="G73" s="256" t="s">
        <v>147</v>
      </c>
      <c r="H73" s="256" t="str">
        <f>+VLOOKUP(B73&amp;"_"&amp;E73,'B02.00'!A:X,24,FALSE)</f>
        <v>Concluído</v>
      </c>
      <c r="I73" s="256" t="s">
        <v>1129</v>
      </c>
      <c r="J73" s="256" t="s">
        <v>147</v>
      </c>
      <c r="K73" s="256" t="s">
        <v>147</v>
      </c>
      <c r="L73" s="253"/>
      <c r="M73" s="253"/>
      <c r="N73" s="253"/>
    </row>
    <row r="74" spans="2:14" ht="16.2" x14ac:dyDescent="0.3">
      <c r="B74" s="253" t="s">
        <v>0</v>
      </c>
      <c r="C74" s="253" t="s">
        <v>818</v>
      </c>
      <c r="D74" s="253" t="s">
        <v>17</v>
      </c>
      <c r="E74" s="253" t="s">
        <v>55</v>
      </c>
      <c r="F74" s="253" t="s">
        <v>146</v>
      </c>
      <c r="G74" s="256" t="s">
        <v>147</v>
      </c>
      <c r="H74" s="256" t="str">
        <f>+VLOOKUP(B74&amp;"_"&amp;E74,'B02.00'!A:X,24,FALSE)</f>
        <v>Concluído</v>
      </c>
      <c r="I74" s="256" t="s">
        <v>1129</v>
      </c>
      <c r="J74" s="256" t="s">
        <v>147</v>
      </c>
      <c r="K74" s="256" t="s">
        <v>147</v>
      </c>
      <c r="L74" s="253"/>
      <c r="M74" s="253"/>
      <c r="N74" s="253"/>
    </row>
    <row r="75" spans="2:14" ht="16.2" x14ac:dyDescent="0.3">
      <c r="B75" s="253" t="s">
        <v>0</v>
      </c>
      <c r="C75" s="253" t="s">
        <v>818</v>
      </c>
      <c r="D75" s="253" t="s">
        <v>17</v>
      </c>
      <c r="E75" s="253" t="s">
        <v>56</v>
      </c>
      <c r="F75" s="253" t="s">
        <v>235</v>
      </c>
      <c r="G75" s="256" t="s">
        <v>202</v>
      </c>
      <c r="H75" s="256" t="str">
        <f>+VLOOKUP(B75&amp;"_"&amp;E75,'B02.00'!A:X,24,FALSE)</f>
        <v>Não Concluído</v>
      </c>
      <c r="I75" s="256" t="s">
        <v>1128</v>
      </c>
      <c r="J75" s="256" t="s">
        <v>882</v>
      </c>
      <c r="K75" s="256" t="s">
        <v>882</v>
      </c>
      <c r="L75" s="253"/>
      <c r="M75" s="253"/>
      <c r="N75" s="253"/>
    </row>
    <row r="76" spans="2:14" ht="16.2" x14ac:dyDescent="0.3">
      <c r="B76" s="253" t="s">
        <v>0</v>
      </c>
      <c r="C76" s="253" t="s">
        <v>818</v>
      </c>
      <c r="D76" s="253" t="s">
        <v>17</v>
      </c>
      <c r="E76" s="253" t="s">
        <v>57</v>
      </c>
      <c r="F76" s="253" t="s">
        <v>179</v>
      </c>
      <c r="G76" s="256" t="s">
        <v>147</v>
      </c>
      <c r="H76" s="256" t="str">
        <f>+VLOOKUP(B76&amp;"_"&amp;E76,'B02.00'!A:X,24,FALSE)</f>
        <v>Concluído</v>
      </c>
      <c r="I76" s="256" t="s">
        <v>1129</v>
      </c>
      <c r="J76" s="256" t="s">
        <v>147</v>
      </c>
      <c r="K76" s="256" t="s">
        <v>147</v>
      </c>
      <c r="L76" s="253"/>
      <c r="M76" s="253"/>
      <c r="N76" s="253"/>
    </row>
    <row r="77" spans="2:14" ht="16.2" x14ac:dyDescent="0.3">
      <c r="B77" s="253" t="s">
        <v>0</v>
      </c>
      <c r="C77" s="253" t="s">
        <v>818</v>
      </c>
      <c r="D77" s="253" t="s">
        <v>17</v>
      </c>
      <c r="E77" s="253" t="s">
        <v>58</v>
      </c>
      <c r="F77" s="253" t="s">
        <v>179</v>
      </c>
      <c r="G77" s="256" t="s">
        <v>147</v>
      </c>
      <c r="H77" s="256" t="str">
        <f>+VLOOKUP(B77&amp;"_"&amp;E77,'B02.00'!A:X,24,FALSE)</f>
        <v>Concluído</v>
      </c>
      <c r="I77" s="256" t="s">
        <v>1129</v>
      </c>
      <c r="J77" s="256" t="s">
        <v>235</v>
      </c>
      <c r="K77" s="256" t="s">
        <v>235</v>
      </c>
      <c r="L77" s="253"/>
      <c r="M77" s="253"/>
      <c r="N77" s="253"/>
    </row>
    <row r="78" spans="2:14" ht="16.2" x14ac:dyDescent="0.3">
      <c r="B78" s="253" t="s">
        <v>0</v>
      </c>
      <c r="C78" s="253" t="s">
        <v>818</v>
      </c>
      <c r="D78" s="253" t="s">
        <v>17</v>
      </c>
      <c r="E78" s="253" t="s">
        <v>59</v>
      </c>
      <c r="F78" s="253" t="s">
        <v>235</v>
      </c>
      <c r="G78" s="256" t="s">
        <v>202</v>
      </c>
      <c r="H78" s="256" t="str">
        <f>+VLOOKUP(B78&amp;"_"&amp;E78,'B02.00'!A:X,24,FALSE)</f>
        <v>Não Concluído</v>
      </c>
      <c r="I78" s="256" t="s">
        <v>1128</v>
      </c>
      <c r="J78" s="256" t="s">
        <v>882</v>
      </c>
      <c r="K78" s="256" t="s">
        <v>882</v>
      </c>
      <c r="L78" s="253"/>
      <c r="M78" s="253"/>
      <c r="N78" s="253"/>
    </row>
    <row r="79" spans="2:14" ht="16.2" x14ac:dyDescent="0.3">
      <c r="B79" s="253" t="s">
        <v>0</v>
      </c>
      <c r="C79" s="253" t="s">
        <v>818</v>
      </c>
      <c r="D79" s="253" t="s">
        <v>17</v>
      </c>
      <c r="E79" s="253" t="s">
        <v>60</v>
      </c>
      <c r="F79" s="253" t="s">
        <v>235</v>
      </c>
      <c r="G79" s="256" t="s">
        <v>202</v>
      </c>
      <c r="H79" s="256" t="str">
        <f>+VLOOKUP(B79&amp;"_"&amp;E79,'B02.00'!A:X,24,FALSE)</f>
        <v>Não Concluído</v>
      </c>
      <c r="I79" s="256" t="s">
        <v>1128</v>
      </c>
      <c r="J79" s="256" t="s">
        <v>882</v>
      </c>
      <c r="K79" s="256" t="s">
        <v>882</v>
      </c>
      <c r="L79" s="253"/>
      <c r="M79" s="253"/>
      <c r="N79" s="253"/>
    </row>
    <row r="80" spans="2:14" ht="16.2" x14ac:dyDescent="0.3">
      <c r="B80" s="253" t="s">
        <v>0</v>
      </c>
      <c r="C80" s="253" t="s">
        <v>818</v>
      </c>
      <c r="D80" s="253" t="s">
        <v>17</v>
      </c>
      <c r="E80" s="253" t="s">
        <v>61</v>
      </c>
      <c r="F80" s="253" t="s">
        <v>235</v>
      </c>
      <c r="G80" s="256" t="s">
        <v>202</v>
      </c>
      <c r="H80" s="256" t="str">
        <f>+VLOOKUP(B80&amp;"_"&amp;E80,'B02.00'!A:X,24,FALSE)</f>
        <v>Não Concluído</v>
      </c>
      <c r="I80" s="256" t="s">
        <v>1130</v>
      </c>
      <c r="J80" s="256" t="s">
        <v>882</v>
      </c>
      <c r="K80" s="256" t="s">
        <v>882</v>
      </c>
      <c r="L80" s="253"/>
      <c r="M80" s="253"/>
      <c r="N80" s="253"/>
    </row>
    <row r="81" spans="2:14" ht="16.2" x14ac:dyDescent="0.3">
      <c r="B81" s="253" t="s">
        <v>0</v>
      </c>
      <c r="C81" s="253" t="s">
        <v>818</v>
      </c>
      <c r="D81" s="253" t="s">
        <v>17</v>
      </c>
      <c r="E81" s="253" t="s">
        <v>62</v>
      </c>
      <c r="F81" s="253" t="s">
        <v>146</v>
      </c>
      <c r="G81" s="256" t="s">
        <v>147</v>
      </c>
      <c r="H81" s="256" t="str">
        <f>+VLOOKUP(B81&amp;"_"&amp;E81,'B02.00'!A:X,24,FALSE)</f>
        <v>Concluído</v>
      </c>
      <c r="I81" s="256" t="s">
        <v>1129</v>
      </c>
      <c r="J81" s="256" t="s">
        <v>147</v>
      </c>
      <c r="K81" s="256" t="s">
        <v>147</v>
      </c>
      <c r="L81" s="253"/>
      <c r="M81" s="253"/>
      <c r="N81" s="253"/>
    </row>
    <row r="82" spans="2:14" ht="16.2" x14ac:dyDescent="0.3">
      <c r="B82" s="253" t="s">
        <v>0</v>
      </c>
      <c r="C82" s="253" t="s">
        <v>818</v>
      </c>
      <c r="D82" s="253" t="s">
        <v>17</v>
      </c>
      <c r="E82" s="253" t="s">
        <v>63</v>
      </c>
      <c r="F82" s="253" t="s">
        <v>146</v>
      </c>
      <c r="G82" s="256" t="s">
        <v>147</v>
      </c>
      <c r="H82" s="256" t="str">
        <f>+VLOOKUP(B82&amp;"_"&amp;E82,'B02.00'!A:X,24,FALSE)</f>
        <v>Concluído</v>
      </c>
      <c r="I82" s="256" t="s">
        <v>1129</v>
      </c>
      <c r="J82" s="256" t="s">
        <v>147</v>
      </c>
      <c r="K82" s="256" t="s">
        <v>147</v>
      </c>
      <c r="L82" s="253"/>
      <c r="M82" s="253"/>
      <c r="N82" s="253"/>
    </row>
    <row r="83" spans="2:14" ht="16.2" x14ac:dyDescent="0.3">
      <c r="B83" s="253" t="s">
        <v>0</v>
      </c>
      <c r="C83" s="253" t="s">
        <v>818</v>
      </c>
      <c r="D83" s="253" t="s">
        <v>17</v>
      </c>
      <c r="E83" s="253" t="s">
        <v>64</v>
      </c>
      <c r="F83" s="253" t="s">
        <v>146</v>
      </c>
      <c r="G83" s="256" t="s">
        <v>147</v>
      </c>
      <c r="H83" s="256" t="str">
        <f>+VLOOKUP(B83&amp;"_"&amp;E83,'B02.00'!A:X,24,FALSE)</f>
        <v>Concluído</v>
      </c>
      <c r="I83" s="256" t="s">
        <v>1129</v>
      </c>
      <c r="J83" s="256" t="s">
        <v>147</v>
      </c>
      <c r="K83" s="256" t="s">
        <v>147</v>
      </c>
      <c r="L83" s="253"/>
      <c r="M83" s="253"/>
      <c r="N83" s="253"/>
    </row>
    <row r="84" spans="2:14" ht="16.2" x14ac:dyDescent="0.3">
      <c r="B84" s="253" t="s">
        <v>0</v>
      </c>
      <c r="C84" s="253" t="s">
        <v>818</v>
      </c>
      <c r="D84" s="253" t="s">
        <v>17</v>
      </c>
      <c r="E84" s="253" t="s">
        <v>65</v>
      </c>
      <c r="F84" s="253" t="s">
        <v>146</v>
      </c>
      <c r="G84" s="256" t="s">
        <v>147</v>
      </c>
      <c r="H84" s="256" t="str">
        <f>+VLOOKUP(B84&amp;"_"&amp;E84,'B02.00'!A:X,24,FALSE)</f>
        <v>Concluído</v>
      </c>
      <c r="I84" s="256" t="s">
        <v>1129</v>
      </c>
      <c r="J84" s="256" t="s">
        <v>147</v>
      </c>
      <c r="K84" s="256" t="s">
        <v>147</v>
      </c>
      <c r="L84" s="253"/>
      <c r="M84" s="253"/>
      <c r="N84" s="253"/>
    </row>
    <row r="85" spans="2:14" ht="16.2" x14ac:dyDescent="0.3">
      <c r="B85" s="253" t="s">
        <v>0</v>
      </c>
      <c r="C85" s="253" t="s">
        <v>818</v>
      </c>
      <c r="D85" s="253" t="s">
        <v>17</v>
      </c>
      <c r="E85" s="253" t="s">
        <v>66</v>
      </c>
      <c r="F85" s="253" t="s">
        <v>146</v>
      </c>
      <c r="G85" s="256" t="s">
        <v>147</v>
      </c>
      <c r="H85" s="256" t="str">
        <f>+VLOOKUP(B85&amp;"_"&amp;E85,'B02.00'!A:X,24,FALSE)</f>
        <v>Concluído</v>
      </c>
      <c r="I85" s="256" t="s">
        <v>1129</v>
      </c>
      <c r="J85" s="256" t="s">
        <v>147</v>
      </c>
      <c r="K85" s="256" t="s">
        <v>147</v>
      </c>
      <c r="L85" s="253"/>
      <c r="M85" s="253"/>
      <c r="N85" s="253"/>
    </row>
    <row r="86" spans="2:14" ht="16.2" x14ac:dyDescent="0.3">
      <c r="B86" s="253" t="s">
        <v>0</v>
      </c>
      <c r="C86" s="253" t="s">
        <v>818</v>
      </c>
      <c r="D86" s="253" t="s">
        <v>17</v>
      </c>
      <c r="E86" s="253" t="s">
        <v>67</v>
      </c>
      <c r="F86" s="253" t="s">
        <v>146</v>
      </c>
      <c r="G86" s="256" t="s">
        <v>147</v>
      </c>
      <c r="H86" s="256" t="str">
        <f>+VLOOKUP(B86&amp;"_"&amp;E86,'B02.00'!A:X,24,FALSE)</f>
        <v>Concluído</v>
      </c>
      <c r="I86" s="256" t="s">
        <v>1129</v>
      </c>
      <c r="J86" s="256" t="s">
        <v>147</v>
      </c>
      <c r="K86" s="256" t="s">
        <v>147</v>
      </c>
      <c r="L86" s="253"/>
      <c r="M86" s="253"/>
      <c r="N86" s="253"/>
    </row>
    <row r="87" spans="2:14" ht="16.2" x14ac:dyDescent="0.3">
      <c r="B87" s="253" t="s">
        <v>0</v>
      </c>
      <c r="C87" s="253" t="s">
        <v>818</v>
      </c>
      <c r="D87" s="253" t="s">
        <v>17</v>
      </c>
      <c r="E87" s="253" t="s">
        <v>68</v>
      </c>
      <c r="F87" s="253" t="s">
        <v>179</v>
      </c>
      <c r="G87" s="256" t="s">
        <v>147</v>
      </c>
      <c r="H87" s="256" t="str">
        <f>+VLOOKUP(B87&amp;"_"&amp;E87,'B02.00'!A:X,24,FALSE)</f>
        <v>Concluído</v>
      </c>
      <c r="I87" s="256" t="s">
        <v>1129</v>
      </c>
      <c r="J87" s="256" t="s">
        <v>147</v>
      </c>
      <c r="K87" s="256" t="s">
        <v>147</v>
      </c>
      <c r="L87" s="253"/>
      <c r="M87" s="253"/>
      <c r="N87" s="253"/>
    </row>
    <row r="88" spans="2:14" ht="16.2" x14ac:dyDescent="0.3">
      <c r="B88" s="253" t="s">
        <v>0</v>
      </c>
      <c r="C88" s="253" t="s">
        <v>818</v>
      </c>
      <c r="D88" s="253" t="s">
        <v>17</v>
      </c>
      <c r="E88" s="253" t="s">
        <v>69</v>
      </c>
      <c r="F88" s="253" t="s">
        <v>179</v>
      </c>
      <c r="G88" s="256" t="s">
        <v>147</v>
      </c>
      <c r="H88" s="256" t="str">
        <f>+VLOOKUP(B88&amp;"_"&amp;E88,'B02.00'!A:X,24,FALSE)</f>
        <v>Concluído</v>
      </c>
      <c r="I88" s="256" t="s">
        <v>1129</v>
      </c>
      <c r="J88" s="256" t="s">
        <v>147</v>
      </c>
      <c r="K88" s="256" t="s">
        <v>147</v>
      </c>
      <c r="L88" s="253"/>
      <c r="M88" s="253"/>
      <c r="N88" s="253"/>
    </row>
    <row r="89" spans="2:14" ht="16.2" x14ac:dyDescent="0.3">
      <c r="B89" s="253" t="s">
        <v>0</v>
      </c>
      <c r="C89" s="253" t="s">
        <v>818</v>
      </c>
      <c r="D89" s="253" t="s">
        <v>17</v>
      </c>
      <c r="E89" s="253" t="s">
        <v>70</v>
      </c>
      <c r="F89" s="253" t="s">
        <v>146</v>
      </c>
      <c r="G89" s="256" t="s">
        <v>147</v>
      </c>
      <c r="H89" s="256" t="str">
        <f>+VLOOKUP(B89&amp;"_"&amp;E89,'B02.00'!A:X,24,FALSE)</f>
        <v>Concluído</v>
      </c>
      <c r="I89" s="256" t="s">
        <v>1129</v>
      </c>
      <c r="J89" s="256" t="s">
        <v>147</v>
      </c>
      <c r="K89" s="256" t="s">
        <v>147</v>
      </c>
      <c r="L89" s="253"/>
      <c r="M89" s="253"/>
      <c r="N89" s="253"/>
    </row>
    <row r="90" spans="2:14" ht="16.2" x14ac:dyDescent="0.3">
      <c r="B90" s="253" t="s">
        <v>0</v>
      </c>
      <c r="C90" s="253" t="s">
        <v>818</v>
      </c>
      <c r="D90" s="253" t="s">
        <v>17</v>
      </c>
      <c r="E90" s="253" t="s">
        <v>71</v>
      </c>
      <c r="F90" s="253" t="s">
        <v>179</v>
      </c>
      <c r="G90" s="256" t="s">
        <v>147</v>
      </c>
      <c r="H90" s="256" t="str">
        <f>+VLOOKUP(B90&amp;"_"&amp;E90,'B02.00'!A:X,24,FALSE)</f>
        <v>Concluído</v>
      </c>
      <c r="I90" s="256" t="s">
        <v>1129</v>
      </c>
      <c r="J90" s="256" t="s">
        <v>147</v>
      </c>
      <c r="K90" s="256" t="s">
        <v>147</v>
      </c>
      <c r="L90" s="253"/>
      <c r="M90" s="253"/>
      <c r="N90" s="253"/>
    </row>
    <row r="91" spans="2:14" ht="16.2" x14ac:dyDescent="0.3">
      <c r="B91" s="253" t="s">
        <v>0</v>
      </c>
      <c r="C91" s="253" t="s">
        <v>818</v>
      </c>
      <c r="D91" s="253" t="s">
        <v>17</v>
      </c>
      <c r="E91" s="253" t="s">
        <v>72</v>
      </c>
      <c r="F91" s="253" t="s">
        <v>179</v>
      </c>
      <c r="G91" s="256" t="s">
        <v>147</v>
      </c>
      <c r="H91" s="256" t="str">
        <f>+VLOOKUP(B91&amp;"_"&amp;E91,'B02.00'!A:X,24,FALSE)</f>
        <v>Concluído</v>
      </c>
      <c r="I91" s="256" t="s">
        <v>1129</v>
      </c>
      <c r="J91" s="256" t="s">
        <v>147</v>
      </c>
      <c r="K91" s="256" t="s">
        <v>147</v>
      </c>
      <c r="L91" s="253"/>
      <c r="M91" s="253"/>
      <c r="N91" s="253"/>
    </row>
    <row r="92" spans="2:14" ht="16.2" x14ac:dyDescent="0.3">
      <c r="B92" s="253" t="s">
        <v>0</v>
      </c>
      <c r="C92" s="253" t="s">
        <v>818</v>
      </c>
      <c r="D92" s="253" t="s">
        <v>17</v>
      </c>
      <c r="E92" s="253" t="s">
        <v>73</v>
      </c>
      <c r="F92" s="253" t="s">
        <v>146</v>
      </c>
      <c r="G92" s="256" t="s">
        <v>147</v>
      </c>
      <c r="H92" s="256" t="str">
        <f>+VLOOKUP(B92&amp;"_"&amp;E92,'B02.00'!A:X,24,FALSE)</f>
        <v>Concluído</v>
      </c>
      <c r="I92" s="256" t="s">
        <v>1129</v>
      </c>
      <c r="J92" s="256" t="s">
        <v>147</v>
      </c>
      <c r="K92" s="256" t="s">
        <v>147</v>
      </c>
      <c r="L92" s="253"/>
      <c r="M92" s="253"/>
      <c r="N92" s="253"/>
    </row>
    <row r="93" spans="2:14" ht="16.2" x14ac:dyDescent="0.3">
      <c r="B93" s="253" t="s">
        <v>0</v>
      </c>
      <c r="C93" s="253" t="s">
        <v>818</v>
      </c>
      <c r="D93" s="253" t="s">
        <v>17</v>
      </c>
      <c r="E93" s="253" t="s">
        <v>74</v>
      </c>
      <c r="F93" s="253" t="s">
        <v>146</v>
      </c>
      <c r="G93" s="256" t="s">
        <v>147</v>
      </c>
      <c r="H93" s="256" t="str">
        <f>+VLOOKUP(B93&amp;"_"&amp;E93,'B02.00'!A:X,24,FALSE)</f>
        <v>Concluído</v>
      </c>
      <c r="I93" s="256" t="s">
        <v>1129</v>
      </c>
      <c r="J93" s="256" t="s">
        <v>147</v>
      </c>
      <c r="K93" s="256" t="s">
        <v>147</v>
      </c>
      <c r="L93" s="253"/>
      <c r="M93" s="253"/>
      <c r="N93" s="253"/>
    </row>
    <row r="94" spans="2:14" ht="16.2" x14ac:dyDescent="0.3">
      <c r="B94" s="253" t="s">
        <v>0</v>
      </c>
      <c r="C94" s="253" t="s">
        <v>818</v>
      </c>
      <c r="D94" s="253" t="s">
        <v>17</v>
      </c>
      <c r="E94" s="253" t="s">
        <v>75</v>
      </c>
      <c r="F94" s="253" t="s">
        <v>146</v>
      </c>
      <c r="G94" s="256" t="s">
        <v>147</v>
      </c>
      <c r="H94" s="256" t="str">
        <f>+VLOOKUP(B94&amp;"_"&amp;E94,'B02.00'!A:X,24,FALSE)</f>
        <v>Concluído</v>
      </c>
      <c r="I94" s="256" t="s">
        <v>1129</v>
      </c>
      <c r="J94" s="256" t="s">
        <v>147</v>
      </c>
      <c r="K94" s="256" t="s">
        <v>147</v>
      </c>
      <c r="L94" s="253"/>
      <c r="M94" s="253"/>
      <c r="N94" s="253"/>
    </row>
    <row r="95" spans="2:14" ht="16.2" x14ac:dyDescent="0.3">
      <c r="B95" s="253" t="s">
        <v>0</v>
      </c>
      <c r="C95" s="253" t="s">
        <v>818</v>
      </c>
      <c r="D95" s="253" t="s">
        <v>17</v>
      </c>
      <c r="E95" s="253" t="s">
        <v>76</v>
      </c>
      <c r="F95" s="253" t="s">
        <v>146</v>
      </c>
      <c r="G95" s="256" t="s">
        <v>147</v>
      </c>
      <c r="H95" s="256" t="str">
        <f>+VLOOKUP(B95&amp;"_"&amp;E95,'B02.00'!A:X,24,FALSE)</f>
        <v>Concluído</v>
      </c>
      <c r="I95" s="256" t="s">
        <v>1129</v>
      </c>
      <c r="J95" s="256" t="s">
        <v>147</v>
      </c>
      <c r="K95" s="256" t="s">
        <v>147</v>
      </c>
      <c r="L95" s="253"/>
      <c r="M95" s="253"/>
      <c r="N95" s="253"/>
    </row>
    <row r="96" spans="2:14" ht="16.2" x14ac:dyDescent="0.3">
      <c r="B96" s="253" t="s">
        <v>0</v>
      </c>
      <c r="C96" s="253" t="s">
        <v>818</v>
      </c>
      <c r="D96" s="253" t="s">
        <v>17</v>
      </c>
      <c r="E96" s="253" t="s">
        <v>77</v>
      </c>
      <c r="F96" s="253" t="s">
        <v>146</v>
      </c>
      <c r="G96" s="256" t="s">
        <v>147</v>
      </c>
      <c r="H96" s="256" t="str">
        <f>+VLOOKUP(B96&amp;"_"&amp;E96,'B02.00'!A:X,24,FALSE)</f>
        <v>Concluído</v>
      </c>
      <c r="I96" s="256" t="s">
        <v>1129</v>
      </c>
      <c r="J96" s="256" t="s">
        <v>147</v>
      </c>
      <c r="K96" s="256" t="s">
        <v>147</v>
      </c>
      <c r="L96" s="253"/>
      <c r="M96" s="253"/>
      <c r="N96" s="253"/>
    </row>
    <row r="97" spans="2:14" ht="16.2" x14ac:dyDescent="0.3">
      <c r="B97" s="253" t="s">
        <v>0</v>
      </c>
      <c r="C97" s="253" t="s">
        <v>818</v>
      </c>
      <c r="D97" s="253" t="s">
        <v>17</v>
      </c>
      <c r="E97" s="253" t="s">
        <v>78</v>
      </c>
      <c r="F97" s="253" t="s">
        <v>146</v>
      </c>
      <c r="G97" s="256" t="s">
        <v>147</v>
      </c>
      <c r="H97" s="256" t="str">
        <f>+VLOOKUP(B97&amp;"_"&amp;E97,'B02.00'!A:X,24,FALSE)</f>
        <v>Concluído</v>
      </c>
      <c r="I97" s="256" t="s">
        <v>1129</v>
      </c>
      <c r="J97" s="256" t="s">
        <v>147</v>
      </c>
      <c r="K97" s="256" t="s">
        <v>147</v>
      </c>
      <c r="L97" s="253"/>
      <c r="M97" s="253"/>
      <c r="N97" s="253"/>
    </row>
    <row r="98" spans="2:14" ht="16.2" x14ac:dyDescent="0.3">
      <c r="B98" s="253" t="s">
        <v>0</v>
      </c>
      <c r="C98" s="253" t="s">
        <v>818</v>
      </c>
      <c r="D98" s="253" t="s">
        <v>17</v>
      </c>
      <c r="E98" s="253" t="s">
        <v>79</v>
      </c>
      <c r="F98" s="253" t="s">
        <v>146</v>
      </c>
      <c r="G98" s="256" t="s">
        <v>147</v>
      </c>
      <c r="H98" s="256" t="str">
        <f>+VLOOKUP(B98&amp;"_"&amp;E98,'B02.00'!A:X,24,FALSE)</f>
        <v>Concluído</v>
      </c>
      <c r="I98" s="256" t="s">
        <v>1129</v>
      </c>
      <c r="J98" s="256" t="s">
        <v>147</v>
      </c>
      <c r="K98" s="256" t="s">
        <v>147</v>
      </c>
      <c r="L98" s="253"/>
      <c r="M98" s="253"/>
      <c r="N98" s="253"/>
    </row>
    <row r="99" spans="2:14" ht="16.2" x14ac:dyDescent="0.3">
      <c r="B99" s="253" t="s">
        <v>0</v>
      </c>
      <c r="C99" s="253" t="s">
        <v>818</v>
      </c>
      <c r="D99" s="253" t="s">
        <v>17</v>
      </c>
      <c r="E99" s="253" t="s">
        <v>80</v>
      </c>
      <c r="F99" s="253" t="s">
        <v>146</v>
      </c>
      <c r="G99" s="256" t="s">
        <v>147</v>
      </c>
      <c r="H99" s="256" t="str">
        <f>+VLOOKUP(B99&amp;"_"&amp;E99,'B02.00'!A:X,24,FALSE)</f>
        <v>Concluído</v>
      </c>
      <c r="I99" s="256" t="s">
        <v>1129</v>
      </c>
      <c r="J99" s="256" t="s">
        <v>147</v>
      </c>
      <c r="K99" s="256" t="s">
        <v>147</v>
      </c>
      <c r="L99" s="253"/>
      <c r="M99" s="253"/>
      <c r="N99" s="253"/>
    </row>
    <row r="100" spans="2:14" ht="16.2" x14ac:dyDescent="0.3">
      <c r="B100" s="253" t="s">
        <v>0</v>
      </c>
      <c r="C100" s="253" t="s">
        <v>818</v>
      </c>
      <c r="D100" s="253" t="s">
        <v>17</v>
      </c>
      <c r="E100" s="253" t="s">
        <v>81</v>
      </c>
      <c r="F100" s="253" t="s">
        <v>146</v>
      </c>
      <c r="G100" s="256" t="s">
        <v>147</v>
      </c>
      <c r="H100" s="256" t="str">
        <f>+VLOOKUP(B100&amp;"_"&amp;E100,'B02.00'!A:X,24,FALSE)</f>
        <v>Concluído</v>
      </c>
      <c r="I100" s="256" t="s">
        <v>1129</v>
      </c>
      <c r="J100" s="256" t="s">
        <v>147</v>
      </c>
      <c r="K100" s="256" t="s">
        <v>147</v>
      </c>
      <c r="L100" s="253"/>
      <c r="M100" s="253"/>
      <c r="N100" s="253"/>
    </row>
    <row r="101" spans="2:14" ht="16.2" x14ac:dyDescent="0.3">
      <c r="B101" s="253" t="s">
        <v>0</v>
      </c>
      <c r="C101" s="253" t="s">
        <v>818</v>
      </c>
      <c r="D101" s="253" t="s">
        <v>17</v>
      </c>
      <c r="E101" s="253" t="s">
        <v>82</v>
      </c>
      <c r="F101" s="253" t="s">
        <v>146</v>
      </c>
      <c r="G101" s="256" t="s">
        <v>147</v>
      </c>
      <c r="H101" s="256" t="str">
        <f>+VLOOKUP(B101&amp;"_"&amp;E101,'B02.00'!A:X,24,FALSE)</f>
        <v>Concluído</v>
      </c>
      <c r="I101" s="256" t="s">
        <v>1129</v>
      </c>
      <c r="J101" s="256" t="s">
        <v>147</v>
      </c>
      <c r="K101" s="256" t="s">
        <v>147</v>
      </c>
      <c r="L101" s="253"/>
      <c r="M101" s="253"/>
      <c r="N101" s="253"/>
    </row>
    <row r="102" spans="2:14" ht="16.2" x14ac:dyDescent="0.3">
      <c r="B102" s="253" t="s">
        <v>0</v>
      </c>
      <c r="C102" s="253" t="s">
        <v>818</v>
      </c>
      <c r="D102" s="253" t="s">
        <v>17</v>
      </c>
      <c r="E102" s="253" t="s">
        <v>83</v>
      </c>
      <c r="F102" s="253" t="s">
        <v>179</v>
      </c>
      <c r="G102" s="256" t="s">
        <v>147</v>
      </c>
      <c r="H102" s="256" t="str">
        <f>+VLOOKUP(B102&amp;"_"&amp;E102,'B02.00'!A:X,24,FALSE)</f>
        <v>Concluído</v>
      </c>
      <c r="I102" s="256" t="s">
        <v>1128</v>
      </c>
      <c r="J102" s="256" t="s">
        <v>879</v>
      </c>
      <c r="K102" s="256" t="s">
        <v>879</v>
      </c>
      <c r="L102" s="253"/>
      <c r="M102" s="253"/>
      <c r="N102" s="253"/>
    </row>
    <row r="103" spans="2:14" ht="16.2" x14ac:dyDescent="0.3">
      <c r="B103" s="253" t="s">
        <v>0</v>
      </c>
      <c r="C103" s="253" t="s">
        <v>818</v>
      </c>
      <c r="D103" s="253" t="s">
        <v>17</v>
      </c>
      <c r="E103" s="253" t="s">
        <v>84</v>
      </c>
      <c r="F103" s="253" t="s">
        <v>179</v>
      </c>
      <c r="G103" s="256" t="s">
        <v>147</v>
      </c>
      <c r="H103" s="256" t="str">
        <f>+VLOOKUP(B103&amp;"_"&amp;E103,'B02.00'!A:X,24,FALSE)</f>
        <v>Concluído</v>
      </c>
      <c r="I103" s="256" t="s">
        <v>1130</v>
      </c>
      <c r="J103" s="256" t="s">
        <v>235</v>
      </c>
      <c r="K103" s="256" t="s">
        <v>235</v>
      </c>
      <c r="L103" s="253"/>
      <c r="M103" s="253"/>
      <c r="N103" s="253"/>
    </row>
    <row r="104" spans="2:14" ht="16.2" x14ac:dyDescent="0.3">
      <c r="B104" s="253" t="s">
        <v>0</v>
      </c>
      <c r="C104" s="253" t="s">
        <v>818</v>
      </c>
      <c r="D104" s="253" t="s">
        <v>17</v>
      </c>
      <c r="E104" s="253" t="s">
        <v>85</v>
      </c>
      <c r="F104" s="253" t="s">
        <v>146</v>
      </c>
      <c r="G104" s="256" t="s">
        <v>147</v>
      </c>
      <c r="H104" s="256" t="str">
        <f>+VLOOKUP(B104&amp;"_"&amp;E104,'B02.00'!A:X,24,FALSE)</f>
        <v>Concluído</v>
      </c>
      <c r="I104" s="256" t="s">
        <v>1128</v>
      </c>
      <c r="J104" s="256" t="s">
        <v>879</v>
      </c>
      <c r="K104" s="256" t="s">
        <v>879</v>
      </c>
      <c r="L104" s="253"/>
      <c r="M104" s="253"/>
      <c r="N104" s="253"/>
    </row>
    <row r="105" spans="2:14" ht="16.2" x14ac:dyDescent="0.3">
      <c r="B105" s="253" t="s">
        <v>0</v>
      </c>
      <c r="C105" s="253" t="s">
        <v>818</v>
      </c>
      <c r="D105" s="253" t="s">
        <v>17</v>
      </c>
      <c r="E105" s="253" t="s">
        <v>86</v>
      </c>
      <c r="F105" s="253" t="s">
        <v>146</v>
      </c>
      <c r="G105" s="256" t="s">
        <v>147</v>
      </c>
      <c r="H105" s="256" t="str">
        <f>+VLOOKUP(B105&amp;"_"&amp;E105,'B02.00'!A:X,24,FALSE)</f>
        <v>Concluído</v>
      </c>
      <c r="I105" s="256" t="s">
        <v>1130</v>
      </c>
      <c r="J105" s="256" t="s">
        <v>147</v>
      </c>
      <c r="K105" s="256" t="s">
        <v>147</v>
      </c>
      <c r="L105" s="253"/>
      <c r="M105" s="253"/>
      <c r="N105" s="253"/>
    </row>
    <row r="106" spans="2:14" ht="16.2" x14ac:dyDescent="0.3">
      <c r="B106" s="253" t="s">
        <v>0</v>
      </c>
      <c r="C106" s="253" t="s">
        <v>818</v>
      </c>
      <c r="D106" s="253" t="s">
        <v>17</v>
      </c>
      <c r="E106" s="253" t="s">
        <v>87</v>
      </c>
      <c r="F106" s="253" t="s">
        <v>146</v>
      </c>
      <c r="G106" s="256" t="s">
        <v>147</v>
      </c>
      <c r="H106" s="256" t="str">
        <f>+VLOOKUP(B106&amp;"_"&amp;E106,'B02.00'!A:X,24,FALSE)</f>
        <v>Concluído</v>
      </c>
      <c r="I106" s="256" t="s">
        <v>1129</v>
      </c>
      <c r="J106" s="256" t="s">
        <v>147</v>
      </c>
      <c r="K106" s="256" t="s">
        <v>147</v>
      </c>
      <c r="L106" s="253"/>
      <c r="M106" s="253"/>
      <c r="N106" s="253"/>
    </row>
    <row r="107" spans="2:14" ht="16.2" x14ac:dyDescent="0.3">
      <c r="B107" s="253" t="s">
        <v>0</v>
      </c>
      <c r="C107" s="253" t="s">
        <v>818</v>
      </c>
      <c r="D107" s="253" t="s">
        <v>17</v>
      </c>
      <c r="E107" s="253" t="s">
        <v>88</v>
      </c>
      <c r="F107" s="253" t="s">
        <v>146</v>
      </c>
      <c r="G107" s="256" t="s">
        <v>147</v>
      </c>
      <c r="H107" s="256" t="str">
        <f>+VLOOKUP(B107&amp;"_"&amp;E107,'B02.00'!A:X,24,FALSE)</f>
        <v>Concluído</v>
      </c>
      <c r="I107" s="256" t="s">
        <v>1129</v>
      </c>
      <c r="J107" s="256" t="s">
        <v>147</v>
      </c>
      <c r="K107" s="256" t="s">
        <v>147</v>
      </c>
      <c r="L107" s="253"/>
      <c r="M107" s="253"/>
      <c r="N107" s="253"/>
    </row>
    <row r="108" spans="2:14" ht="16.2" x14ac:dyDescent="0.3">
      <c r="B108" s="253" t="s">
        <v>0</v>
      </c>
      <c r="C108" s="253" t="s">
        <v>818</v>
      </c>
      <c r="D108" s="253" t="s">
        <v>17</v>
      </c>
      <c r="E108" s="253" t="s">
        <v>89</v>
      </c>
      <c r="F108" s="253" t="s">
        <v>146</v>
      </c>
      <c r="G108" s="256" t="s">
        <v>147</v>
      </c>
      <c r="H108" s="256" t="str">
        <f>+VLOOKUP(B108&amp;"_"&amp;E108,'B02.00'!A:X,24,FALSE)</f>
        <v>Concluído</v>
      </c>
      <c r="I108" s="256" t="s">
        <v>1129</v>
      </c>
      <c r="J108" s="256" t="s">
        <v>147</v>
      </c>
      <c r="K108" s="256" t="s">
        <v>147</v>
      </c>
      <c r="L108" s="253"/>
      <c r="M108" s="253"/>
      <c r="N108" s="253"/>
    </row>
    <row r="109" spans="2:14" ht="16.2" x14ac:dyDescent="0.3">
      <c r="B109" s="253" t="s">
        <v>0</v>
      </c>
      <c r="C109" s="253" t="s">
        <v>818</v>
      </c>
      <c r="D109" s="253" t="s">
        <v>17</v>
      </c>
      <c r="E109" s="253" t="s">
        <v>90</v>
      </c>
      <c r="F109" s="253" t="s">
        <v>146</v>
      </c>
      <c r="G109" s="256" t="s">
        <v>147</v>
      </c>
      <c r="H109" s="256" t="str">
        <f>+VLOOKUP(B109&amp;"_"&amp;E109,'B02.00'!A:X,24,FALSE)</f>
        <v>Concluído</v>
      </c>
      <c r="I109" s="256" t="s">
        <v>1129</v>
      </c>
      <c r="J109" s="256" t="s">
        <v>147</v>
      </c>
      <c r="K109" s="256" t="s">
        <v>147</v>
      </c>
      <c r="L109" s="253"/>
      <c r="M109" s="253"/>
      <c r="N109" s="253"/>
    </row>
    <row r="110" spans="2:14" ht="16.2" x14ac:dyDescent="0.3">
      <c r="B110" s="253" t="s">
        <v>0</v>
      </c>
      <c r="C110" s="253" t="s">
        <v>818</v>
      </c>
      <c r="D110" s="253" t="s">
        <v>17</v>
      </c>
      <c r="E110" s="253" t="s">
        <v>91</v>
      </c>
      <c r="F110" s="253" t="s">
        <v>146</v>
      </c>
      <c r="G110" s="256" t="s">
        <v>147</v>
      </c>
      <c r="H110" s="256" t="str">
        <f>+VLOOKUP(B110&amp;"_"&amp;E110,'B02.00'!A:X,24,FALSE)</f>
        <v>Concluído</v>
      </c>
      <c r="I110" s="256" t="s">
        <v>1129</v>
      </c>
      <c r="J110" s="256" t="s">
        <v>147</v>
      </c>
      <c r="K110" s="256" t="s">
        <v>147</v>
      </c>
      <c r="L110" s="253"/>
      <c r="M110" s="253"/>
      <c r="N110" s="253"/>
    </row>
    <row r="111" spans="2:14" ht="16.2" x14ac:dyDescent="0.3">
      <c r="B111" s="253" t="s">
        <v>0</v>
      </c>
      <c r="C111" s="253" t="s">
        <v>818</v>
      </c>
      <c r="D111" s="253" t="s">
        <v>17</v>
      </c>
      <c r="E111" s="253" t="s">
        <v>92</v>
      </c>
      <c r="F111" s="253" t="s">
        <v>157</v>
      </c>
      <c r="G111" s="256" t="s">
        <v>147</v>
      </c>
      <c r="H111" s="256" t="str">
        <f>+VLOOKUP(B111&amp;"_"&amp;E111,'B02.00'!A:X,24,FALSE)</f>
        <v>Concluído</v>
      </c>
      <c r="I111" s="256" t="s">
        <v>1130</v>
      </c>
      <c r="J111" s="256" t="s">
        <v>235</v>
      </c>
      <c r="K111" s="256" t="s">
        <v>235</v>
      </c>
      <c r="L111" s="253"/>
      <c r="M111" s="253"/>
      <c r="N111" s="253"/>
    </row>
    <row r="112" spans="2:14" ht="16.2" x14ac:dyDescent="0.3">
      <c r="B112" s="253" t="s">
        <v>0</v>
      </c>
      <c r="C112" s="253" t="s">
        <v>818</v>
      </c>
      <c r="D112" s="253" t="s">
        <v>17</v>
      </c>
      <c r="E112" s="253" t="s">
        <v>93</v>
      </c>
      <c r="F112" s="253" t="s">
        <v>157</v>
      </c>
      <c r="G112" s="256" t="s">
        <v>147</v>
      </c>
      <c r="H112" s="256" t="str">
        <f>+VLOOKUP(B112&amp;"_"&amp;E112,'B02.00'!A:X,24,FALSE)</f>
        <v>Concluído</v>
      </c>
      <c r="I112" s="256" t="s">
        <v>1128</v>
      </c>
      <c r="J112" s="256" t="s">
        <v>879</v>
      </c>
      <c r="K112" s="256" t="s">
        <v>879</v>
      </c>
      <c r="L112" s="253"/>
      <c r="M112" s="253"/>
      <c r="N112" s="253"/>
    </row>
    <row r="113" spans="2:14" ht="16.2" x14ac:dyDescent="0.3">
      <c r="B113" s="253" t="s">
        <v>0</v>
      </c>
      <c r="C113" s="253" t="s">
        <v>818</v>
      </c>
      <c r="D113" s="253" t="s">
        <v>17</v>
      </c>
      <c r="E113" s="253" t="s">
        <v>94</v>
      </c>
      <c r="F113" s="253" t="s">
        <v>146</v>
      </c>
      <c r="G113" s="256" t="s">
        <v>147</v>
      </c>
      <c r="H113" s="256" t="str">
        <f>+VLOOKUP(B113&amp;"_"&amp;E113,'B02.00'!A:X,24,FALSE)</f>
        <v>Concluído</v>
      </c>
      <c r="I113" s="256" t="s">
        <v>1129</v>
      </c>
      <c r="J113" s="256" t="s">
        <v>147</v>
      </c>
      <c r="K113" s="256" t="s">
        <v>147</v>
      </c>
      <c r="L113" s="253"/>
      <c r="M113" s="253"/>
      <c r="N113" s="253"/>
    </row>
    <row r="114" spans="2:14" ht="16.2" x14ac:dyDescent="0.3">
      <c r="B114" s="253" t="s">
        <v>0</v>
      </c>
      <c r="C114" s="253" t="s">
        <v>818</v>
      </c>
      <c r="D114" s="253" t="s">
        <v>17</v>
      </c>
      <c r="E114" s="253" t="s">
        <v>95</v>
      </c>
      <c r="F114" s="253" t="s">
        <v>146</v>
      </c>
      <c r="G114" s="256" t="s">
        <v>147</v>
      </c>
      <c r="H114" s="256" t="str">
        <f>+VLOOKUP(B114&amp;"_"&amp;E114,'B02.00'!A:X,24,FALSE)</f>
        <v>Concluído</v>
      </c>
      <c r="I114" s="256" t="s">
        <v>1129</v>
      </c>
      <c r="J114" s="256" t="s">
        <v>147</v>
      </c>
      <c r="K114" s="256" t="s">
        <v>147</v>
      </c>
      <c r="L114" s="253"/>
      <c r="M114" s="253"/>
      <c r="N114" s="253"/>
    </row>
    <row r="115" spans="2:14" ht="16.2" x14ac:dyDescent="0.3">
      <c r="B115" s="253" t="s">
        <v>0</v>
      </c>
      <c r="C115" s="253" t="s">
        <v>818</v>
      </c>
      <c r="D115" s="253" t="s">
        <v>17</v>
      </c>
      <c r="E115" s="253" t="s">
        <v>96</v>
      </c>
      <c r="F115" s="253" t="s">
        <v>146</v>
      </c>
      <c r="G115" s="256" t="s">
        <v>147</v>
      </c>
      <c r="H115" s="256" t="str">
        <f>+VLOOKUP(B115&amp;"_"&amp;E115,'B02.00'!A:X,24,FALSE)</f>
        <v>Concluído</v>
      </c>
      <c r="I115" s="256" t="s">
        <v>1129</v>
      </c>
      <c r="J115" s="256" t="s">
        <v>147</v>
      </c>
      <c r="K115" s="256" t="s">
        <v>147</v>
      </c>
      <c r="L115" s="253"/>
      <c r="M115" s="253"/>
      <c r="N115" s="253"/>
    </row>
    <row r="116" spans="2:14" ht="16.2" x14ac:dyDescent="0.3">
      <c r="B116" s="253" t="s">
        <v>0</v>
      </c>
      <c r="C116" s="253" t="s">
        <v>818</v>
      </c>
      <c r="D116" s="253" t="s">
        <v>17</v>
      </c>
      <c r="E116" s="253" t="s">
        <v>97</v>
      </c>
      <c r="F116" s="253" t="s">
        <v>146</v>
      </c>
      <c r="G116" s="256" t="s">
        <v>147</v>
      </c>
      <c r="H116" s="256" t="str">
        <f>+VLOOKUP(B116&amp;"_"&amp;E116,'B02.00'!A:X,24,FALSE)</f>
        <v>Concluído</v>
      </c>
      <c r="I116" s="256" t="s">
        <v>1129</v>
      </c>
      <c r="J116" s="256" t="s">
        <v>147</v>
      </c>
      <c r="K116" s="256" t="s">
        <v>147</v>
      </c>
      <c r="L116" s="253"/>
      <c r="M116" s="253"/>
      <c r="N116" s="253"/>
    </row>
    <row r="117" spans="2:14" ht="16.2" x14ac:dyDescent="0.3">
      <c r="B117" s="253" t="s">
        <v>819</v>
      </c>
      <c r="C117" s="253" t="s">
        <v>872</v>
      </c>
      <c r="D117" s="253" t="s">
        <v>824</v>
      </c>
      <c r="E117" s="253" t="s">
        <v>820</v>
      </c>
      <c r="F117" s="253" t="s">
        <v>157</v>
      </c>
      <c r="G117" s="256" t="s">
        <v>147</v>
      </c>
      <c r="H117" s="256" t="s">
        <v>147</v>
      </c>
      <c r="I117" s="256"/>
      <c r="J117" s="256" t="s">
        <v>801</v>
      </c>
      <c r="K117" s="256" t="s">
        <v>801</v>
      </c>
      <c r="L117" s="253"/>
      <c r="M117" s="253"/>
      <c r="N117" s="253"/>
    </row>
    <row r="118" spans="2:14" ht="16.2" x14ac:dyDescent="0.3">
      <c r="B118" s="253" t="s">
        <v>819</v>
      </c>
      <c r="C118" s="253" t="s">
        <v>872</v>
      </c>
      <c r="D118" s="253" t="s">
        <v>824</v>
      </c>
      <c r="E118" s="253" t="s">
        <v>821</v>
      </c>
      <c r="F118" s="253" t="s">
        <v>157</v>
      </c>
      <c r="G118" s="256" t="s">
        <v>147</v>
      </c>
      <c r="H118" s="256" t="s">
        <v>147</v>
      </c>
      <c r="I118" s="256"/>
      <c r="J118" s="256" t="s">
        <v>801</v>
      </c>
      <c r="K118" s="256" t="s">
        <v>801</v>
      </c>
      <c r="L118" s="253"/>
      <c r="M118" s="253"/>
      <c r="N118" s="253"/>
    </row>
    <row r="119" spans="2:14" ht="16.2" x14ac:dyDescent="0.3">
      <c r="B119" s="253" t="s">
        <v>819</v>
      </c>
      <c r="C119" s="253" t="s">
        <v>872</v>
      </c>
      <c r="D119" s="253" t="s">
        <v>653</v>
      </c>
      <c r="E119" s="253" t="s">
        <v>822</v>
      </c>
      <c r="F119" s="253" t="s">
        <v>179</v>
      </c>
      <c r="G119" s="256" t="s">
        <v>147</v>
      </c>
      <c r="H119" s="256" t="s">
        <v>202</v>
      </c>
      <c r="I119" s="256"/>
      <c r="J119" s="256" t="s">
        <v>882</v>
      </c>
      <c r="K119" s="256" t="s">
        <v>882</v>
      </c>
      <c r="L119" s="253"/>
      <c r="M119" s="253"/>
      <c r="N119" s="253"/>
    </row>
    <row r="120" spans="2:14" ht="16.2" x14ac:dyDescent="0.3">
      <c r="B120" s="253" t="s">
        <v>819</v>
      </c>
      <c r="C120" s="253" t="s">
        <v>872</v>
      </c>
      <c r="D120" s="253" t="s">
        <v>653</v>
      </c>
      <c r="E120" s="253" t="s">
        <v>823</v>
      </c>
      <c r="F120" s="253" t="s">
        <v>235</v>
      </c>
      <c r="G120" s="256" t="s">
        <v>202</v>
      </c>
      <c r="H120" s="256" t="s">
        <v>202</v>
      </c>
      <c r="I120" s="256"/>
      <c r="J120" s="256" t="s">
        <v>882</v>
      </c>
      <c r="K120" s="256" t="s">
        <v>882</v>
      </c>
      <c r="L120" s="253"/>
      <c r="M120" s="253"/>
      <c r="N120" s="253"/>
    </row>
    <row r="121" spans="2:14" ht="16.2" x14ac:dyDescent="0.3">
      <c r="B121" s="253" t="s">
        <v>819</v>
      </c>
      <c r="C121" s="253" t="s">
        <v>818</v>
      </c>
      <c r="D121" s="253" t="s">
        <v>839</v>
      </c>
      <c r="E121" s="253" t="s">
        <v>18</v>
      </c>
      <c r="F121" s="253" t="s">
        <v>146</v>
      </c>
      <c r="G121" s="256" t="s">
        <v>147</v>
      </c>
      <c r="H121" s="256" t="s">
        <v>147</v>
      </c>
      <c r="I121" s="256"/>
      <c r="J121" s="256" t="s">
        <v>801</v>
      </c>
      <c r="K121" s="256" t="s">
        <v>801</v>
      </c>
      <c r="L121" s="253"/>
      <c r="M121" s="253"/>
      <c r="N121" s="253"/>
    </row>
    <row r="122" spans="2:14" ht="16.2" x14ac:dyDescent="0.3">
      <c r="B122" s="253" t="s">
        <v>819</v>
      </c>
      <c r="C122" s="253" t="s">
        <v>818</v>
      </c>
      <c r="D122" s="253" t="s">
        <v>839</v>
      </c>
      <c r="E122" s="253" t="s">
        <v>825</v>
      </c>
      <c r="F122" s="253" t="s">
        <v>157</v>
      </c>
      <c r="G122" s="256" t="s">
        <v>147</v>
      </c>
      <c r="H122" s="256" t="s">
        <v>147</v>
      </c>
      <c r="I122" s="256"/>
      <c r="J122" s="256" t="s">
        <v>801</v>
      </c>
      <c r="K122" s="256" t="s">
        <v>801</v>
      </c>
      <c r="L122" s="253"/>
      <c r="M122" s="253"/>
      <c r="N122" s="253"/>
    </row>
    <row r="123" spans="2:14" ht="16.2" x14ac:dyDescent="0.3">
      <c r="B123" s="253" t="s">
        <v>819</v>
      </c>
      <c r="C123" s="253" t="s">
        <v>818</v>
      </c>
      <c r="D123" s="253" t="s">
        <v>839</v>
      </c>
      <c r="E123" s="253" t="s">
        <v>826</v>
      </c>
      <c r="F123" s="253" t="s">
        <v>146</v>
      </c>
      <c r="G123" s="256" t="s">
        <v>147</v>
      </c>
      <c r="H123" s="256" t="s">
        <v>147</v>
      </c>
      <c r="I123" s="256"/>
      <c r="J123" s="256" t="s">
        <v>801</v>
      </c>
      <c r="K123" s="256" t="s">
        <v>801</v>
      </c>
      <c r="L123" s="253"/>
      <c r="M123" s="253"/>
      <c r="N123" s="253"/>
    </row>
    <row r="124" spans="2:14" ht="16.2" x14ac:dyDescent="0.3">
      <c r="B124" s="253" t="s">
        <v>819</v>
      </c>
      <c r="C124" s="253" t="s">
        <v>818</v>
      </c>
      <c r="D124" s="253" t="s">
        <v>839</v>
      </c>
      <c r="E124" s="253" t="s">
        <v>827</v>
      </c>
      <c r="F124" s="253" t="s">
        <v>146</v>
      </c>
      <c r="G124" s="256" t="s">
        <v>147</v>
      </c>
      <c r="H124" s="256" t="s">
        <v>147</v>
      </c>
      <c r="I124" s="256"/>
      <c r="J124" s="256" t="s">
        <v>801</v>
      </c>
      <c r="K124" s="256" t="s">
        <v>801</v>
      </c>
      <c r="L124" s="253"/>
      <c r="M124" s="253"/>
      <c r="N124" s="253"/>
    </row>
    <row r="125" spans="2:14" ht="16.2" x14ac:dyDescent="0.3">
      <c r="B125" s="253" t="s">
        <v>819</v>
      </c>
      <c r="C125" s="253" t="s">
        <v>818</v>
      </c>
      <c r="D125" s="253" t="s">
        <v>839</v>
      </c>
      <c r="E125" s="253" t="s">
        <v>828</v>
      </c>
      <c r="F125" s="253" t="s">
        <v>146</v>
      </c>
      <c r="G125" s="256" t="s">
        <v>147</v>
      </c>
      <c r="H125" s="256" t="s">
        <v>147</v>
      </c>
      <c r="I125" s="256"/>
      <c r="J125" s="256" t="s">
        <v>801</v>
      </c>
      <c r="K125" s="256" t="s">
        <v>801</v>
      </c>
      <c r="L125" s="253"/>
      <c r="M125" s="253"/>
      <c r="N125" s="253"/>
    </row>
    <row r="126" spans="2:14" ht="16.2" x14ac:dyDescent="0.3">
      <c r="B126" s="253" t="s">
        <v>819</v>
      </c>
      <c r="C126" s="253" t="s">
        <v>818</v>
      </c>
      <c r="D126" s="253" t="s">
        <v>839</v>
      </c>
      <c r="E126" s="253" t="s">
        <v>829</v>
      </c>
      <c r="F126" s="253" t="s">
        <v>157</v>
      </c>
      <c r="G126" s="256" t="s">
        <v>147</v>
      </c>
      <c r="H126" s="256" t="s">
        <v>147</v>
      </c>
      <c r="I126" s="256"/>
      <c r="J126" s="256" t="s">
        <v>801</v>
      </c>
      <c r="K126" s="256" t="s">
        <v>801</v>
      </c>
      <c r="L126" s="253"/>
      <c r="M126" s="253"/>
      <c r="N126" s="253"/>
    </row>
    <row r="127" spans="2:14" ht="16.2" x14ac:dyDescent="0.3">
      <c r="B127" s="253" t="s">
        <v>819</v>
      </c>
      <c r="C127" s="253" t="s">
        <v>818</v>
      </c>
      <c r="D127" s="253" t="s">
        <v>839</v>
      </c>
      <c r="E127" s="253" t="s">
        <v>830</v>
      </c>
      <c r="F127" s="253" t="s">
        <v>179</v>
      </c>
      <c r="G127" s="256" t="s">
        <v>147</v>
      </c>
      <c r="H127" s="256" t="s">
        <v>202</v>
      </c>
      <c r="I127" s="256"/>
      <c r="J127" s="256" t="s">
        <v>882</v>
      </c>
      <c r="K127" s="256" t="s">
        <v>882</v>
      </c>
      <c r="L127" s="253"/>
      <c r="M127" s="253"/>
      <c r="N127" s="253"/>
    </row>
    <row r="128" spans="2:14" ht="16.2" x14ac:dyDescent="0.3">
      <c r="B128" s="253" t="s">
        <v>819</v>
      </c>
      <c r="C128" s="253" t="s">
        <v>818</v>
      </c>
      <c r="D128" s="253" t="s">
        <v>839</v>
      </c>
      <c r="E128" s="253" t="s">
        <v>831</v>
      </c>
      <c r="F128" s="253" t="s">
        <v>146</v>
      </c>
      <c r="G128" s="256" t="s">
        <v>147</v>
      </c>
      <c r="H128" s="256" t="s">
        <v>147</v>
      </c>
      <c r="I128" s="256"/>
      <c r="J128" s="256" t="s">
        <v>801</v>
      </c>
      <c r="K128" s="256" t="s">
        <v>801</v>
      </c>
      <c r="L128" s="253"/>
      <c r="M128" s="253"/>
      <c r="N128" s="253"/>
    </row>
    <row r="129" spans="2:14" ht="16.2" x14ac:dyDescent="0.3">
      <c r="B129" s="253" t="s">
        <v>819</v>
      </c>
      <c r="C129" s="253" t="s">
        <v>818</v>
      </c>
      <c r="D129" s="253" t="s">
        <v>839</v>
      </c>
      <c r="E129" s="253" t="s">
        <v>832</v>
      </c>
      <c r="F129" s="253" t="s">
        <v>146</v>
      </c>
      <c r="G129" s="256" t="s">
        <v>147</v>
      </c>
      <c r="H129" s="256" t="s">
        <v>147</v>
      </c>
      <c r="I129" s="256"/>
      <c r="J129" s="256" t="s">
        <v>801</v>
      </c>
      <c r="K129" s="256" t="s">
        <v>801</v>
      </c>
      <c r="L129" s="253"/>
      <c r="M129" s="253"/>
      <c r="N129" s="253"/>
    </row>
    <row r="130" spans="2:14" ht="16.2" x14ac:dyDescent="0.3">
      <c r="B130" s="253" t="s">
        <v>819</v>
      </c>
      <c r="C130" s="253" t="s">
        <v>818</v>
      </c>
      <c r="D130" s="253" t="s">
        <v>839</v>
      </c>
      <c r="E130" s="253" t="s">
        <v>833</v>
      </c>
      <c r="F130" s="253" t="s">
        <v>235</v>
      </c>
      <c r="G130" s="256" t="s">
        <v>202</v>
      </c>
      <c r="H130" s="256" t="s">
        <v>202</v>
      </c>
      <c r="I130" s="256"/>
      <c r="J130" s="256" t="s">
        <v>882</v>
      </c>
      <c r="K130" s="256" t="s">
        <v>882</v>
      </c>
      <c r="L130" s="253"/>
      <c r="M130" s="253"/>
      <c r="N130" s="253"/>
    </row>
    <row r="131" spans="2:14" ht="16.2" x14ac:dyDescent="0.3">
      <c r="B131" s="253" t="s">
        <v>819</v>
      </c>
      <c r="C131" s="253" t="s">
        <v>818</v>
      </c>
      <c r="D131" s="253" t="s">
        <v>839</v>
      </c>
      <c r="E131" s="253" t="s">
        <v>834</v>
      </c>
      <c r="F131" s="253" t="s">
        <v>146</v>
      </c>
      <c r="G131" s="256" t="s">
        <v>147</v>
      </c>
      <c r="H131" s="256" t="s">
        <v>147</v>
      </c>
      <c r="I131" s="256"/>
      <c r="J131" s="256" t="s">
        <v>801</v>
      </c>
      <c r="K131" s="256" t="s">
        <v>801</v>
      </c>
      <c r="L131" s="253"/>
      <c r="M131" s="253"/>
      <c r="N131" s="253"/>
    </row>
    <row r="132" spans="2:14" ht="16.2" x14ac:dyDescent="0.3">
      <c r="B132" s="253" t="s">
        <v>819</v>
      </c>
      <c r="C132" s="253" t="s">
        <v>818</v>
      </c>
      <c r="D132" s="253" t="s">
        <v>839</v>
      </c>
      <c r="E132" s="253" t="s">
        <v>835</v>
      </c>
      <c r="F132" s="253" t="s">
        <v>146</v>
      </c>
      <c r="G132" s="256" t="s">
        <v>147</v>
      </c>
      <c r="H132" s="256" t="s">
        <v>147</v>
      </c>
      <c r="I132" s="256"/>
      <c r="J132" s="256" t="s">
        <v>801</v>
      </c>
      <c r="K132" s="256" t="s">
        <v>801</v>
      </c>
      <c r="L132" s="253"/>
      <c r="M132" s="253"/>
      <c r="N132" s="253"/>
    </row>
    <row r="133" spans="2:14" ht="16.2" x14ac:dyDescent="0.3">
      <c r="B133" s="253" t="s">
        <v>819</v>
      </c>
      <c r="C133" s="253" t="s">
        <v>818</v>
      </c>
      <c r="D133" s="253" t="s">
        <v>839</v>
      </c>
      <c r="E133" s="253" t="s">
        <v>836</v>
      </c>
      <c r="F133" s="253" t="s">
        <v>146</v>
      </c>
      <c r="G133" s="256" t="s">
        <v>147</v>
      </c>
      <c r="H133" s="256" t="s">
        <v>147</v>
      </c>
      <c r="I133" s="256"/>
      <c r="J133" s="256" t="s">
        <v>801</v>
      </c>
      <c r="K133" s="256" t="s">
        <v>801</v>
      </c>
      <c r="L133" s="253"/>
      <c r="M133" s="253"/>
      <c r="N133" s="253"/>
    </row>
    <row r="134" spans="2:14" ht="16.2" x14ac:dyDescent="0.3">
      <c r="B134" s="253" t="s">
        <v>819</v>
      </c>
      <c r="C134" s="253" t="s">
        <v>818</v>
      </c>
      <c r="D134" s="253" t="s">
        <v>839</v>
      </c>
      <c r="E134" s="253" t="s">
        <v>837</v>
      </c>
      <c r="F134" s="253" t="s">
        <v>146</v>
      </c>
      <c r="G134" s="256" t="s">
        <v>147</v>
      </c>
      <c r="H134" s="256" t="s">
        <v>147</v>
      </c>
      <c r="I134" s="256"/>
      <c r="J134" s="256" t="s">
        <v>801</v>
      </c>
      <c r="K134" s="256" t="s">
        <v>801</v>
      </c>
      <c r="L134" s="253"/>
      <c r="M134" s="253"/>
      <c r="N134" s="253"/>
    </row>
    <row r="135" spans="2:14" ht="16.2" x14ac:dyDescent="0.3">
      <c r="B135" s="253" t="s">
        <v>819</v>
      </c>
      <c r="C135" s="253" t="s">
        <v>818</v>
      </c>
      <c r="D135" s="253" t="s">
        <v>839</v>
      </c>
      <c r="E135" s="253" t="s">
        <v>838</v>
      </c>
      <c r="F135" s="253" t="s">
        <v>146</v>
      </c>
      <c r="G135" s="256" t="s">
        <v>147</v>
      </c>
      <c r="H135" s="256" t="s">
        <v>147</v>
      </c>
      <c r="I135" s="256"/>
      <c r="J135" s="256" t="s">
        <v>801</v>
      </c>
      <c r="K135" s="256" t="s">
        <v>801</v>
      </c>
      <c r="L135" s="253"/>
      <c r="M135" s="253"/>
      <c r="N135" s="253"/>
    </row>
    <row r="136" spans="2:14" ht="16.2" x14ac:dyDescent="0.3">
      <c r="B136" s="253" t="s">
        <v>840</v>
      </c>
      <c r="C136" s="253" t="s">
        <v>872</v>
      </c>
      <c r="D136" s="253" t="s">
        <v>769</v>
      </c>
      <c r="E136" s="253" t="s">
        <v>841</v>
      </c>
      <c r="F136" s="253" t="s">
        <v>179</v>
      </c>
      <c r="G136" s="256" t="s">
        <v>147</v>
      </c>
      <c r="H136" s="256" t="s">
        <v>202</v>
      </c>
      <c r="I136" s="256"/>
      <c r="J136" s="256" t="s">
        <v>882</v>
      </c>
      <c r="K136" s="256" t="s">
        <v>882</v>
      </c>
      <c r="L136" s="253"/>
      <c r="M136" s="253"/>
      <c r="N136" s="253"/>
    </row>
    <row r="137" spans="2:14" ht="16.2" x14ac:dyDescent="0.3">
      <c r="B137" s="253" t="s">
        <v>840</v>
      </c>
      <c r="C137" s="253" t="s">
        <v>872</v>
      </c>
      <c r="D137" s="253" t="s">
        <v>769</v>
      </c>
      <c r="E137" s="253" t="s">
        <v>842</v>
      </c>
      <c r="F137" s="253" t="s">
        <v>157</v>
      </c>
      <c r="G137" s="256" t="s">
        <v>147</v>
      </c>
      <c r="H137" s="256" t="s">
        <v>147</v>
      </c>
      <c r="I137" s="256"/>
      <c r="J137" s="256" t="s">
        <v>235</v>
      </c>
      <c r="K137" s="256" t="s">
        <v>235</v>
      </c>
      <c r="L137" s="253"/>
      <c r="M137" s="253"/>
      <c r="N137" s="253"/>
    </row>
    <row r="138" spans="2:14" ht="16.2" x14ac:dyDescent="0.3">
      <c r="B138" s="253" t="s">
        <v>840</v>
      </c>
      <c r="C138" s="253" t="s">
        <v>872</v>
      </c>
      <c r="D138" s="253" t="s">
        <v>769</v>
      </c>
      <c r="E138" s="253" t="s">
        <v>843</v>
      </c>
      <c r="F138" s="253" t="s">
        <v>157</v>
      </c>
      <c r="G138" s="256" t="s">
        <v>147</v>
      </c>
      <c r="H138" s="256" t="s">
        <v>147</v>
      </c>
      <c r="I138" s="256"/>
      <c r="J138" s="256" t="s">
        <v>235</v>
      </c>
      <c r="K138" s="256" t="s">
        <v>235</v>
      </c>
      <c r="L138" s="253"/>
      <c r="M138" s="253"/>
      <c r="N138" s="253"/>
    </row>
    <row r="139" spans="2:14" ht="16.2" x14ac:dyDescent="0.3">
      <c r="B139" s="253" t="s">
        <v>840</v>
      </c>
      <c r="C139" s="253" t="s">
        <v>872</v>
      </c>
      <c r="D139" s="253" t="s">
        <v>769</v>
      </c>
      <c r="E139" s="253" t="s">
        <v>797</v>
      </c>
      <c r="F139" s="253" t="s">
        <v>157</v>
      </c>
      <c r="G139" s="256" t="s">
        <v>147</v>
      </c>
      <c r="H139" s="256" t="s">
        <v>147</v>
      </c>
      <c r="I139" s="256"/>
      <c r="J139" s="256" t="s">
        <v>235</v>
      </c>
      <c r="K139" s="256" t="s">
        <v>235</v>
      </c>
      <c r="L139" s="253"/>
      <c r="M139" s="253"/>
      <c r="N139" s="253"/>
    </row>
    <row r="140" spans="2:14" ht="16.2" x14ac:dyDescent="0.3">
      <c r="B140" s="253" t="s">
        <v>840</v>
      </c>
      <c r="C140" s="253" t="s">
        <v>872</v>
      </c>
      <c r="D140" s="253" t="s">
        <v>653</v>
      </c>
      <c r="E140" s="253" t="s">
        <v>844</v>
      </c>
      <c r="F140" s="253" t="s">
        <v>157</v>
      </c>
      <c r="G140" s="256" t="s">
        <v>147</v>
      </c>
      <c r="H140" s="256" t="s">
        <v>147</v>
      </c>
      <c r="I140" s="256"/>
      <c r="J140" s="256" t="s">
        <v>235</v>
      </c>
      <c r="K140" s="256" t="s">
        <v>235</v>
      </c>
      <c r="L140" s="253"/>
      <c r="M140" s="253"/>
      <c r="N140" s="253"/>
    </row>
    <row r="141" spans="2:14" ht="16.2" x14ac:dyDescent="0.3">
      <c r="B141" s="253" t="s">
        <v>840</v>
      </c>
      <c r="C141" s="253" t="s">
        <v>872</v>
      </c>
      <c r="D141" s="253" t="s">
        <v>769</v>
      </c>
      <c r="E141" s="253" t="s">
        <v>845</v>
      </c>
      <c r="F141" s="253" t="s">
        <v>801</v>
      </c>
      <c r="G141" s="256" t="s">
        <v>202</v>
      </c>
      <c r="H141" s="256" t="s">
        <v>202</v>
      </c>
      <c r="I141" s="256"/>
      <c r="J141" s="256" t="s">
        <v>882</v>
      </c>
      <c r="K141" s="256" t="s">
        <v>882</v>
      </c>
      <c r="L141" s="253"/>
      <c r="M141" s="253"/>
      <c r="N141" s="253"/>
    </row>
    <row r="142" spans="2:14" ht="16.2" x14ac:dyDescent="0.3">
      <c r="B142" s="253" t="s">
        <v>840</v>
      </c>
      <c r="C142" s="253" t="s">
        <v>872</v>
      </c>
      <c r="D142" s="253" t="s">
        <v>769</v>
      </c>
      <c r="E142" s="253" t="s">
        <v>810</v>
      </c>
      <c r="F142" s="253" t="s">
        <v>235</v>
      </c>
      <c r="G142" s="256" t="s">
        <v>202</v>
      </c>
      <c r="H142" s="256" t="s">
        <v>202</v>
      </c>
      <c r="I142" s="256"/>
      <c r="J142" s="256" t="s">
        <v>801</v>
      </c>
      <c r="K142" s="256" t="s">
        <v>801</v>
      </c>
      <c r="L142" s="253"/>
      <c r="M142" s="253"/>
      <c r="N142" s="253"/>
    </row>
    <row r="143" spans="2:14" ht="16.2" x14ac:dyDescent="0.3">
      <c r="B143" s="253" t="s">
        <v>840</v>
      </c>
      <c r="C143" s="253" t="s">
        <v>872</v>
      </c>
      <c r="D143" s="253" t="s">
        <v>2</v>
      </c>
      <c r="E143" s="253" t="s">
        <v>8</v>
      </c>
      <c r="F143" s="253" t="s">
        <v>157</v>
      </c>
      <c r="G143" s="256" t="s">
        <v>147</v>
      </c>
      <c r="H143" s="256" t="s">
        <v>147</v>
      </c>
      <c r="I143" s="256"/>
      <c r="J143" s="256" t="s">
        <v>235</v>
      </c>
      <c r="K143" s="256" t="s">
        <v>235</v>
      </c>
      <c r="L143" s="253"/>
      <c r="M143" s="253"/>
      <c r="N143" s="253"/>
    </row>
    <row r="144" spans="2:14" ht="16.2" x14ac:dyDescent="0.3">
      <c r="B144" s="253" t="s">
        <v>840</v>
      </c>
      <c r="C144" s="253" t="s">
        <v>872</v>
      </c>
      <c r="D144" s="253" t="s">
        <v>2</v>
      </c>
      <c r="E144" s="253" t="s">
        <v>9</v>
      </c>
      <c r="F144" s="253" t="s">
        <v>157</v>
      </c>
      <c r="G144" s="256" t="s">
        <v>147</v>
      </c>
      <c r="H144" s="256" t="s">
        <v>147</v>
      </c>
      <c r="I144" s="256"/>
      <c r="J144" s="256" t="s">
        <v>235</v>
      </c>
      <c r="K144" s="256" t="s">
        <v>235</v>
      </c>
      <c r="L144" s="253"/>
      <c r="M144" s="253"/>
      <c r="N144" s="253"/>
    </row>
    <row r="145" spans="1:15" ht="16.2" x14ac:dyDescent="0.3">
      <c r="B145" s="253" t="s">
        <v>840</v>
      </c>
      <c r="C145" s="253" t="s">
        <v>872</v>
      </c>
      <c r="D145" s="253" t="s">
        <v>2</v>
      </c>
      <c r="E145" s="253" t="s">
        <v>16</v>
      </c>
      <c r="F145" s="253" t="s">
        <v>157</v>
      </c>
      <c r="G145" s="256" t="s">
        <v>147</v>
      </c>
      <c r="H145" s="256" t="s">
        <v>147</v>
      </c>
      <c r="I145" s="256"/>
      <c r="J145" s="256" t="s">
        <v>235</v>
      </c>
      <c r="K145" s="256" t="s">
        <v>235</v>
      </c>
      <c r="L145" s="253"/>
      <c r="M145" s="253"/>
      <c r="N145" s="253"/>
    </row>
    <row r="146" spans="1:15" ht="16.2" x14ac:dyDescent="0.3">
      <c r="B146" s="253" t="s">
        <v>840</v>
      </c>
      <c r="C146" s="253" t="s">
        <v>872</v>
      </c>
      <c r="D146" s="253" t="s">
        <v>846</v>
      </c>
      <c r="E146" s="253" t="s">
        <v>821</v>
      </c>
      <c r="F146" s="253" t="s">
        <v>157</v>
      </c>
      <c r="G146" s="256" t="s">
        <v>147</v>
      </c>
      <c r="H146" s="256" t="s">
        <v>147</v>
      </c>
      <c r="I146" s="256"/>
      <c r="J146" s="256" t="s">
        <v>235</v>
      </c>
      <c r="K146" s="256" t="s">
        <v>235</v>
      </c>
      <c r="L146" s="253"/>
      <c r="M146" s="253"/>
      <c r="N146" s="253"/>
    </row>
    <row r="147" spans="1:15" ht="16.2" x14ac:dyDescent="0.3">
      <c r="B147" s="253" t="s">
        <v>840</v>
      </c>
      <c r="C147" s="253" t="s">
        <v>818</v>
      </c>
      <c r="D147" s="253" t="s">
        <v>857</v>
      </c>
      <c r="E147" s="253" t="s">
        <v>18</v>
      </c>
      <c r="F147" s="253" t="s">
        <v>146</v>
      </c>
      <c r="G147" s="256" t="s">
        <v>147</v>
      </c>
      <c r="H147" s="256" t="s">
        <v>147</v>
      </c>
      <c r="I147" s="256" t="s">
        <v>1129</v>
      </c>
      <c r="J147" s="256" t="s">
        <v>235</v>
      </c>
      <c r="K147" s="256" t="s">
        <v>235</v>
      </c>
      <c r="L147" s="253"/>
      <c r="M147" s="253"/>
      <c r="N147" s="253"/>
    </row>
    <row r="148" spans="1:15" ht="16.2" x14ac:dyDescent="0.3">
      <c r="B148" s="253" t="s">
        <v>840</v>
      </c>
      <c r="C148" s="253" t="s">
        <v>818</v>
      </c>
      <c r="D148" s="253" t="s">
        <v>857</v>
      </c>
      <c r="E148" s="253" t="s">
        <v>847</v>
      </c>
      <c r="F148" s="253" t="s">
        <v>146</v>
      </c>
      <c r="G148" s="256" t="s">
        <v>147</v>
      </c>
      <c r="H148" s="256" t="s">
        <v>147</v>
      </c>
      <c r="I148" s="256" t="s">
        <v>1129</v>
      </c>
      <c r="J148" s="256" t="s">
        <v>235</v>
      </c>
      <c r="K148" s="256" t="s">
        <v>235</v>
      </c>
      <c r="L148" s="253"/>
      <c r="M148" s="253"/>
      <c r="N148" s="253"/>
    </row>
    <row r="149" spans="1:15" ht="16.2" x14ac:dyDescent="0.3">
      <c r="B149" s="253" t="s">
        <v>840</v>
      </c>
      <c r="C149" s="253" t="s">
        <v>818</v>
      </c>
      <c r="D149" s="253" t="s">
        <v>857</v>
      </c>
      <c r="E149" s="253" t="s">
        <v>848</v>
      </c>
      <c r="F149" s="253" t="s">
        <v>146</v>
      </c>
      <c r="G149" s="256" t="s">
        <v>147</v>
      </c>
      <c r="H149" s="256" t="s">
        <v>147</v>
      </c>
      <c r="I149" s="256" t="s">
        <v>1129</v>
      </c>
      <c r="J149" s="256" t="s">
        <v>235</v>
      </c>
      <c r="K149" s="256" t="s">
        <v>235</v>
      </c>
      <c r="L149" s="253"/>
      <c r="M149" s="253"/>
      <c r="N149" s="253"/>
    </row>
    <row r="150" spans="1:15" ht="16.2" x14ac:dyDescent="0.3">
      <c r="B150" s="253" t="s">
        <v>840</v>
      </c>
      <c r="C150" s="253" t="s">
        <v>818</v>
      </c>
      <c r="D150" s="253" t="s">
        <v>857</v>
      </c>
      <c r="E150" s="253" t="s">
        <v>849</v>
      </c>
      <c r="F150" s="253" t="s">
        <v>179</v>
      </c>
      <c r="G150" s="256" t="s">
        <v>147</v>
      </c>
      <c r="H150" s="256" t="s">
        <v>202</v>
      </c>
      <c r="I150" s="256" t="s">
        <v>1128</v>
      </c>
      <c r="J150" s="256" t="s">
        <v>882</v>
      </c>
      <c r="K150" s="256" t="s">
        <v>882</v>
      </c>
      <c r="L150" s="253"/>
      <c r="M150" s="253"/>
      <c r="N150" s="253"/>
    </row>
    <row r="151" spans="1:15" ht="16.2" x14ac:dyDescent="0.3">
      <c r="B151" s="253" t="s">
        <v>840</v>
      </c>
      <c r="C151" s="253" t="s">
        <v>818</v>
      </c>
      <c r="D151" s="253" t="s">
        <v>857</v>
      </c>
      <c r="E151" s="253" t="s">
        <v>850</v>
      </c>
      <c r="F151" s="253" t="s">
        <v>157</v>
      </c>
      <c r="G151" s="256" t="s">
        <v>147</v>
      </c>
      <c r="H151" s="256" t="s">
        <v>202</v>
      </c>
      <c r="I151" s="256" t="s">
        <v>1128</v>
      </c>
      <c r="J151" s="256" t="s">
        <v>882</v>
      </c>
      <c r="K151" s="256" t="s">
        <v>882</v>
      </c>
      <c r="L151" s="253"/>
      <c r="M151" s="253"/>
      <c r="N151" s="253"/>
    </row>
    <row r="152" spans="1:15" ht="16.2" x14ac:dyDescent="0.3">
      <c r="B152" s="253" t="s">
        <v>840</v>
      </c>
      <c r="C152" s="253" t="s">
        <v>818</v>
      </c>
      <c r="D152" s="253" t="s">
        <v>857</v>
      </c>
      <c r="E152" s="253" t="s">
        <v>851</v>
      </c>
      <c r="F152" s="253" t="s">
        <v>157</v>
      </c>
      <c r="G152" s="256" t="s">
        <v>147</v>
      </c>
      <c r="H152" s="256" t="s">
        <v>202</v>
      </c>
      <c r="I152" s="256" t="s">
        <v>1128</v>
      </c>
      <c r="J152" s="256" t="s">
        <v>882</v>
      </c>
      <c r="K152" s="256" t="s">
        <v>882</v>
      </c>
      <c r="L152" s="253"/>
      <c r="M152" s="253"/>
      <c r="N152" s="253"/>
    </row>
    <row r="153" spans="1:15" ht="16.2" x14ac:dyDescent="0.3">
      <c r="B153" s="253" t="s">
        <v>840</v>
      </c>
      <c r="C153" s="253" t="s">
        <v>818</v>
      </c>
      <c r="D153" s="253" t="s">
        <v>857</v>
      </c>
      <c r="E153" s="253" t="s">
        <v>852</v>
      </c>
      <c r="F153" s="253" t="s">
        <v>146</v>
      </c>
      <c r="G153" s="256" t="s">
        <v>147</v>
      </c>
      <c r="H153" s="256" t="s">
        <v>202</v>
      </c>
      <c r="I153" s="256" t="s">
        <v>1128</v>
      </c>
      <c r="J153" s="256" t="s">
        <v>882</v>
      </c>
      <c r="K153" s="256" t="s">
        <v>882</v>
      </c>
      <c r="L153" s="253"/>
      <c r="M153" s="253"/>
      <c r="N153" s="253"/>
    </row>
    <row r="154" spans="1:15" ht="16.2" x14ac:dyDescent="0.3">
      <c r="B154" s="253" t="s">
        <v>840</v>
      </c>
      <c r="C154" s="253" t="s">
        <v>818</v>
      </c>
      <c r="D154" s="253" t="s">
        <v>857</v>
      </c>
      <c r="E154" s="253" t="s">
        <v>853</v>
      </c>
      <c r="F154" s="253" t="s">
        <v>157</v>
      </c>
      <c r="G154" s="256" t="s">
        <v>147</v>
      </c>
      <c r="H154" s="256" t="s">
        <v>202</v>
      </c>
      <c r="I154" s="256" t="s">
        <v>1129</v>
      </c>
      <c r="J154" s="256" t="s">
        <v>882</v>
      </c>
      <c r="K154" s="256" t="s">
        <v>882</v>
      </c>
      <c r="L154" s="253"/>
      <c r="M154" s="253"/>
      <c r="N154" s="253"/>
    </row>
    <row r="155" spans="1:15" ht="16.2" x14ac:dyDescent="0.3">
      <c r="B155" s="253" t="s">
        <v>840</v>
      </c>
      <c r="C155" s="253" t="s">
        <v>818</v>
      </c>
      <c r="D155" s="253" t="s">
        <v>857</v>
      </c>
      <c r="E155" s="253" t="s">
        <v>854</v>
      </c>
      <c r="F155" s="253" t="s">
        <v>801</v>
      </c>
      <c r="G155" s="256" t="s">
        <v>202</v>
      </c>
      <c r="H155" s="256" t="s">
        <v>202</v>
      </c>
      <c r="I155" s="256" t="s">
        <v>1128</v>
      </c>
      <c r="J155" s="256" t="s">
        <v>882</v>
      </c>
      <c r="K155" s="256" t="s">
        <v>882</v>
      </c>
      <c r="L155" s="253"/>
      <c r="M155" s="253"/>
      <c r="N155" s="253"/>
    </row>
    <row r="156" spans="1:15" ht="16.2" x14ac:dyDescent="0.3">
      <c r="B156" s="253" t="s">
        <v>840</v>
      </c>
      <c r="C156" s="253" t="s">
        <v>818</v>
      </c>
      <c r="D156" s="253" t="s">
        <v>857</v>
      </c>
      <c r="E156" s="253" t="s">
        <v>855</v>
      </c>
      <c r="F156" s="253" t="s">
        <v>235</v>
      </c>
      <c r="G156" s="256" t="s">
        <v>202</v>
      </c>
      <c r="H156" s="256" t="s">
        <v>202</v>
      </c>
      <c r="I156" s="256" t="s">
        <v>1128</v>
      </c>
      <c r="J156" s="256" t="s">
        <v>882</v>
      </c>
      <c r="K156" s="256" t="s">
        <v>882</v>
      </c>
      <c r="L156" s="253"/>
      <c r="M156" s="253"/>
      <c r="N156" s="253"/>
    </row>
    <row r="157" spans="1:15" s="252" customFormat="1" ht="16.2" x14ac:dyDescent="0.3">
      <c r="A157" s="112"/>
      <c r="B157" s="253" t="s">
        <v>840</v>
      </c>
      <c r="C157" s="253" t="s">
        <v>818</v>
      </c>
      <c r="D157" s="253" t="s">
        <v>857</v>
      </c>
      <c r="E157" s="253" t="s">
        <v>856</v>
      </c>
      <c r="F157" s="253" t="s">
        <v>146</v>
      </c>
      <c r="G157" s="256" t="s">
        <v>147</v>
      </c>
      <c r="H157" s="256" t="s">
        <v>202</v>
      </c>
      <c r="I157" s="256" t="s">
        <v>1130</v>
      </c>
      <c r="J157" s="256" t="s">
        <v>882</v>
      </c>
      <c r="K157" s="256" t="s">
        <v>882</v>
      </c>
      <c r="L157" s="253"/>
      <c r="M157" s="253"/>
      <c r="N157" s="253"/>
      <c r="O157"/>
    </row>
    <row r="158" spans="1:15" ht="16.2" x14ac:dyDescent="0.3">
      <c r="B158" s="253" t="s">
        <v>0</v>
      </c>
      <c r="C158" s="372" t="s">
        <v>1069</v>
      </c>
      <c r="D158" s="253" t="s">
        <v>17</v>
      </c>
      <c r="E158" s="253" t="s">
        <v>911</v>
      </c>
      <c r="F158" s="253" t="s">
        <v>1057</v>
      </c>
      <c r="G158" s="256" t="s">
        <v>1057</v>
      </c>
      <c r="H158" s="256" t="s">
        <v>1057</v>
      </c>
      <c r="I158" s="256"/>
      <c r="J158" s="256" t="str">
        <f>+VLOOKUP(E158,Controlos!A:I,9,FALSE)</f>
        <v>Concluído</v>
      </c>
      <c r="K158" s="256" t="s">
        <v>147</v>
      </c>
      <c r="L158" s="253"/>
      <c r="M158" s="253"/>
      <c r="N158" s="253"/>
    </row>
    <row r="159" spans="1:15" ht="16.2" x14ac:dyDescent="0.3">
      <c r="B159" s="253" t="s">
        <v>0</v>
      </c>
      <c r="C159" s="372" t="s">
        <v>1069</v>
      </c>
      <c r="D159" s="253" t="s">
        <v>17</v>
      </c>
      <c r="E159" s="253" t="s">
        <v>912</v>
      </c>
      <c r="F159" s="253" t="s">
        <v>1057</v>
      </c>
      <c r="G159" s="256" t="s">
        <v>1057</v>
      </c>
      <c r="H159" s="256" t="s">
        <v>1057</v>
      </c>
      <c r="I159" s="256"/>
      <c r="J159" s="256" t="str">
        <f>+VLOOKUP(E159,Controlos!A:I,9,FALSE)</f>
        <v>Por iniciar</v>
      </c>
      <c r="K159" s="256" t="s">
        <v>801</v>
      </c>
      <c r="L159" s="253"/>
      <c r="M159" s="253"/>
      <c r="N159" s="253"/>
    </row>
    <row r="160" spans="1:15" ht="16.2" x14ac:dyDescent="0.3">
      <c r="B160" s="253" t="s">
        <v>0</v>
      </c>
      <c r="C160" s="372" t="s">
        <v>1069</v>
      </c>
      <c r="D160" s="253" t="s">
        <v>17</v>
      </c>
      <c r="E160" s="253" t="s">
        <v>913</v>
      </c>
      <c r="F160" s="253" t="s">
        <v>1057</v>
      </c>
      <c r="G160" s="256" t="s">
        <v>1057</v>
      </c>
      <c r="H160" s="256" t="s">
        <v>1057</v>
      </c>
      <c r="I160" s="256"/>
      <c r="J160" s="256" t="str">
        <f>+VLOOKUP(E160,Controlos!A:I,9,FALSE)</f>
        <v>Concluído</v>
      </c>
      <c r="K160" s="256" t="s">
        <v>147</v>
      </c>
      <c r="L160" s="253"/>
      <c r="M160" s="253"/>
      <c r="N160" s="253"/>
    </row>
    <row r="161" spans="2:14" ht="16.2" x14ac:dyDescent="0.3">
      <c r="B161" s="253" t="s">
        <v>0</v>
      </c>
      <c r="C161" s="372" t="s">
        <v>1069</v>
      </c>
      <c r="D161" s="253" t="s">
        <v>17</v>
      </c>
      <c r="E161" s="253" t="s">
        <v>914</v>
      </c>
      <c r="F161" s="253" t="s">
        <v>1057</v>
      </c>
      <c r="G161" s="256" t="s">
        <v>1057</v>
      </c>
      <c r="H161" s="256" t="s">
        <v>1057</v>
      </c>
      <c r="I161" s="256"/>
      <c r="J161" s="256" t="str">
        <f>+VLOOKUP(E161,Controlos!A:I,9,FALSE)</f>
        <v>Concluído</v>
      </c>
      <c r="K161" s="256" t="s">
        <v>147</v>
      </c>
      <c r="L161" s="253"/>
      <c r="M161" s="253"/>
      <c r="N161" s="253"/>
    </row>
    <row r="162" spans="2:14" ht="16.2" x14ac:dyDescent="0.3">
      <c r="B162" s="253" t="s">
        <v>0</v>
      </c>
      <c r="C162" s="372" t="s">
        <v>1069</v>
      </c>
      <c r="D162" s="253" t="s">
        <v>17</v>
      </c>
      <c r="E162" s="253" t="s">
        <v>915</v>
      </c>
      <c r="F162" s="253" t="s">
        <v>1057</v>
      </c>
      <c r="G162" s="256" t="s">
        <v>1057</v>
      </c>
      <c r="H162" s="256" t="s">
        <v>1057</v>
      </c>
      <c r="I162" s="256"/>
      <c r="J162" s="256" t="str">
        <f>+VLOOKUP(E162,Controlos!A:I,9,FALSE)</f>
        <v>Pendente de desenvolv.</v>
      </c>
      <c r="K162" s="256" t="s">
        <v>882</v>
      </c>
      <c r="L162" s="253"/>
      <c r="M162" s="253"/>
      <c r="N162" s="253"/>
    </row>
    <row r="163" spans="2:14" ht="16.2" x14ac:dyDescent="0.3">
      <c r="B163" s="253" t="s">
        <v>0</v>
      </c>
      <c r="C163" s="372" t="s">
        <v>1069</v>
      </c>
      <c r="D163" s="253" t="s">
        <v>17</v>
      </c>
      <c r="E163" s="253" t="s">
        <v>916</v>
      </c>
      <c r="F163" s="253" t="s">
        <v>1057</v>
      </c>
      <c r="G163" s="256" t="s">
        <v>1057</v>
      </c>
      <c r="H163" s="256" t="s">
        <v>1057</v>
      </c>
      <c r="I163" s="256"/>
      <c r="J163" s="256" t="str">
        <f>+VLOOKUP(E163,Controlos!A:I,9,FALSE)</f>
        <v>Pendente de desenvolv.</v>
      </c>
      <c r="K163" s="256" t="s">
        <v>882</v>
      </c>
      <c r="L163" s="253"/>
      <c r="M163" s="253"/>
      <c r="N163" s="253"/>
    </row>
    <row r="164" spans="2:14" ht="16.2" x14ac:dyDescent="0.3">
      <c r="B164" s="253" t="s">
        <v>0</v>
      </c>
      <c r="C164" s="372" t="s">
        <v>1069</v>
      </c>
      <c r="D164" s="253" t="s">
        <v>17</v>
      </c>
      <c r="E164" s="253" t="s">
        <v>917</v>
      </c>
      <c r="F164" s="253" t="s">
        <v>1057</v>
      </c>
      <c r="G164" s="256" t="s">
        <v>1057</v>
      </c>
      <c r="H164" s="256" t="s">
        <v>1057</v>
      </c>
      <c r="I164" s="256"/>
      <c r="J164" s="256" t="str">
        <f>+VLOOKUP(E164,Controlos!A:I,9,FALSE)</f>
        <v>Pendente de desenvolv.</v>
      </c>
      <c r="K164" s="256" t="s">
        <v>882</v>
      </c>
      <c r="L164" s="253"/>
      <c r="M164" s="253"/>
      <c r="N164" s="253"/>
    </row>
    <row r="165" spans="2:14" ht="16.2" x14ac:dyDescent="0.3">
      <c r="B165" s="253" t="s">
        <v>0</v>
      </c>
      <c r="C165" s="372" t="s">
        <v>1069</v>
      </c>
      <c r="D165" s="253" t="s">
        <v>17</v>
      </c>
      <c r="E165" s="253" t="s">
        <v>918</v>
      </c>
      <c r="F165" s="253" t="s">
        <v>1057</v>
      </c>
      <c r="G165" s="256" t="s">
        <v>1057</v>
      </c>
      <c r="H165" s="256" t="s">
        <v>1057</v>
      </c>
      <c r="I165" s="256"/>
      <c r="J165" s="256" t="str">
        <f>+VLOOKUP(E165,Controlos!A:I,9,FALSE)</f>
        <v>Por iniciar</v>
      </c>
      <c r="K165" s="256" t="s">
        <v>801</v>
      </c>
      <c r="L165" s="253"/>
      <c r="M165" s="253"/>
      <c r="N165" s="253"/>
    </row>
    <row r="166" spans="2:14" ht="16.2" x14ac:dyDescent="0.3">
      <c r="B166" s="253" t="s">
        <v>0</v>
      </c>
      <c r="C166" s="372" t="s">
        <v>1069</v>
      </c>
      <c r="D166" s="253" t="s">
        <v>17</v>
      </c>
      <c r="E166" s="253" t="s">
        <v>919</v>
      </c>
      <c r="F166" s="253" t="s">
        <v>1057</v>
      </c>
      <c r="G166" s="256" t="s">
        <v>1057</v>
      </c>
      <c r="H166" s="256" t="s">
        <v>1057</v>
      </c>
      <c r="I166" s="256"/>
      <c r="J166" s="256" t="str">
        <f>+VLOOKUP(E166,Controlos!A:I,9,FALSE)</f>
        <v>Por iniciar</v>
      </c>
      <c r="K166" s="256" t="s">
        <v>801</v>
      </c>
      <c r="L166" s="253"/>
      <c r="M166" s="253"/>
      <c r="N166" s="253"/>
    </row>
    <row r="167" spans="2:14" ht="16.2" x14ac:dyDescent="0.3">
      <c r="B167" s="253" t="s">
        <v>0</v>
      </c>
      <c r="C167" s="372" t="s">
        <v>1069</v>
      </c>
      <c r="D167" s="253" t="s">
        <v>17</v>
      </c>
      <c r="E167" s="253" t="s">
        <v>920</v>
      </c>
      <c r="F167" s="253" t="s">
        <v>1057</v>
      </c>
      <c r="G167" s="256" t="s">
        <v>1057</v>
      </c>
      <c r="H167" s="256" t="s">
        <v>1057</v>
      </c>
      <c r="I167" s="256"/>
      <c r="J167" s="256" t="str">
        <f>+VLOOKUP(E167,Controlos!A:I,9,FALSE)</f>
        <v>Pendente de desenvolv.</v>
      </c>
      <c r="K167" s="256" t="s">
        <v>882</v>
      </c>
      <c r="L167" s="253"/>
      <c r="M167" s="253"/>
      <c r="N167" s="253"/>
    </row>
    <row r="168" spans="2:14" ht="16.2" x14ac:dyDescent="0.3">
      <c r="B168" s="253" t="s">
        <v>0</v>
      </c>
      <c r="C168" s="372" t="s">
        <v>1069</v>
      </c>
      <c r="D168" s="253" t="s">
        <v>17</v>
      </c>
      <c r="E168" s="253" t="s">
        <v>921</v>
      </c>
      <c r="F168" s="253" t="s">
        <v>1057</v>
      </c>
      <c r="G168" s="256" t="s">
        <v>1057</v>
      </c>
      <c r="H168" s="256" t="s">
        <v>1057</v>
      </c>
      <c r="I168" s="256"/>
      <c r="J168" s="256" t="str">
        <f>+VLOOKUP(E168,Controlos!A:I,9,FALSE)</f>
        <v>Pendente de desenvolv.</v>
      </c>
      <c r="K168" s="256" t="s">
        <v>882</v>
      </c>
      <c r="L168" s="253"/>
      <c r="M168" s="253"/>
      <c r="N168" s="253"/>
    </row>
    <row r="169" spans="2:14" ht="16.2" x14ac:dyDescent="0.3">
      <c r="B169" s="253" t="s">
        <v>0</v>
      </c>
      <c r="C169" s="372" t="s">
        <v>1069</v>
      </c>
      <c r="D169" s="253" t="s">
        <v>17</v>
      </c>
      <c r="E169" s="253" t="s">
        <v>922</v>
      </c>
      <c r="F169" s="253" t="s">
        <v>1057</v>
      </c>
      <c r="G169" s="256" t="s">
        <v>1057</v>
      </c>
      <c r="H169" s="256" t="s">
        <v>1057</v>
      </c>
      <c r="I169" s="256"/>
      <c r="J169" s="256" t="str">
        <f>+VLOOKUP(E169,Controlos!A:I,9,FALSE)</f>
        <v>Pendente de desenvolv.</v>
      </c>
      <c r="K169" s="256" t="s">
        <v>882</v>
      </c>
      <c r="L169" s="253"/>
      <c r="M169" s="253"/>
      <c r="N169" s="253"/>
    </row>
    <row r="170" spans="2:14" ht="16.2" x14ac:dyDescent="0.3">
      <c r="B170" s="253" t="s">
        <v>0</v>
      </c>
      <c r="C170" s="372" t="s">
        <v>1069</v>
      </c>
      <c r="D170" s="253" t="s">
        <v>17</v>
      </c>
      <c r="E170" s="253" t="s">
        <v>923</v>
      </c>
      <c r="F170" s="253" t="s">
        <v>1057</v>
      </c>
      <c r="G170" s="256" t="s">
        <v>1057</v>
      </c>
      <c r="H170" s="256" t="s">
        <v>1057</v>
      </c>
      <c r="I170" s="256"/>
      <c r="J170" s="256" t="str">
        <f>+VLOOKUP(E170,Controlos!A:I,9,FALSE)</f>
        <v>Por iniciar</v>
      </c>
      <c r="K170" s="256" t="s">
        <v>801</v>
      </c>
      <c r="L170" s="253"/>
      <c r="M170" s="253"/>
      <c r="N170" s="253"/>
    </row>
    <row r="171" spans="2:14" ht="16.2" x14ac:dyDescent="0.3">
      <c r="B171" s="253" t="s">
        <v>0</v>
      </c>
      <c r="C171" s="372" t="s">
        <v>1069</v>
      </c>
      <c r="D171" s="253" t="s">
        <v>17</v>
      </c>
      <c r="E171" s="253" t="s">
        <v>924</v>
      </c>
      <c r="F171" s="253" t="s">
        <v>1057</v>
      </c>
      <c r="G171" s="256" t="s">
        <v>1057</v>
      </c>
      <c r="H171" s="256" t="s">
        <v>1057</v>
      </c>
      <c r="I171" s="256"/>
      <c r="J171" s="256" t="str">
        <f>+VLOOKUP(E171,Controlos!A:I,9,FALSE)</f>
        <v>Concluído</v>
      </c>
      <c r="K171" s="256" t="s">
        <v>147</v>
      </c>
      <c r="L171" s="253"/>
      <c r="M171" s="253"/>
      <c r="N171" s="253"/>
    </row>
    <row r="172" spans="2:14" ht="16.2" x14ac:dyDescent="0.3">
      <c r="B172" s="253" t="s">
        <v>0</v>
      </c>
      <c r="C172" s="372" t="s">
        <v>1069</v>
      </c>
      <c r="D172" s="253" t="s">
        <v>17</v>
      </c>
      <c r="E172" s="253" t="s">
        <v>925</v>
      </c>
      <c r="F172" s="253" t="s">
        <v>1057</v>
      </c>
      <c r="G172" s="256" t="s">
        <v>1057</v>
      </c>
      <c r="H172" s="256" t="s">
        <v>1057</v>
      </c>
      <c r="I172" s="256"/>
      <c r="J172" s="256" t="str">
        <f>+VLOOKUP(E172,Controlos!A:I,9,FALSE)</f>
        <v>Concluído</v>
      </c>
      <c r="K172" s="256" t="s">
        <v>147</v>
      </c>
      <c r="L172" s="253"/>
      <c r="M172" s="253"/>
      <c r="N172" s="253"/>
    </row>
    <row r="173" spans="2:14" ht="16.2" x14ac:dyDescent="0.3">
      <c r="B173" s="253" t="s">
        <v>0</v>
      </c>
      <c r="C173" s="372" t="s">
        <v>1069</v>
      </c>
      <c r="D173" s="253" t="s">
        <v>17</v>
      </c>
      <c r="E173" s="253" t="s">
        <v>926</v>
      </c>
      <c r="F173" s="253" t="s">
        <v>1057</v>
      </c>
      <c r="G173" s="256" t="s">
        <v>1057</v>
      </c>
      <c r="H173" s="256" t="s">
        <v>1057</v>
      </c>
      <c r="I173" s="256"/>
      <c r="J173" s="256" t="str">
        <f>+VLOOKUP(E173,Controlos!A:I,9,FALSE)</f>
        <v>Concluído</v>
      </c>
      <c r="K173" s="256" t="s">
        <v>147</v>
      </c>
      <c r="L173" s="253"/>
      <c r="M173" s="253"/>
      <c r="N173" s="253"/>
    </row>
    <row r="174" spans="2:14" ht="16.2" x14ac:dyDescent="0.3">
      <c r="B174" s="253" t="s">
        <v>0</v>
      </c>
      <c r="C174" s="372" t="s">
        <v>1069</v>
      </c>
      <c r="D174" s="253" t="s">
        <v>17</v>
      </c>
      <c r="E174" s="253" t="s">
        <v>927</v>
      </c>
      <c r="F174" s="253" t="s">
        <v>1057</v>
      </c>
      <c r="G174" s="256" t="s">
        <v>1057</v>
      </c>
      <c r="H174" s="256" t="s">
        <v>1057</v>
      </c>
      <c r="I174" s="256"/>
      <c r="J174" s="256" t="str">
        <f>+VLOOKUP(E174,Controlos!A:I,9,FALSE)</f>
        <v>Por iniciar</v>
      </c>
      <c r="K174" s="256" t="s">
        <v>801</v>
      </c>
      <c r="L174" s="253"/>
      <c r="M174" s="253"/>
      <c r="N174" s="253"/>
    </row>
    <row r="175" spans="2:14" ht="16.2" x14ac:dyDescent="0.3">
      <c r="B175" s="253" t="s">
        <v>0</v>
      </c>
      <c r="C175" s="372" t="s">
        <v>1069</v>
      </c>
      <c r="D175" s="253" t="s">
        <v>17</v>
      </c>
      <c r="E175" s="253" t="s">
        <v>928</v>
      </c>
      <c r="F175" s="253" t="s">
        <v>1057</v>
      </c>
      <c r="G175" s="256" t="s">
        <v>1057</v>
      </c>
      <c r="H175" s="256" t="s">
        <v>1057</v>
      </c>
      <c r="I175" s="256"/>
      <c r="J175" s="256" t="str">
        <f>+VLOOKUP(E175,Controlos!A:I,9,FALSE)</f>
        <v>Por iniciar</v>
      </c>
      <c r="K175" s="256" t="s">
        <v>801</v>
      </c>
      <c r="L175" s="253"/>
      <c r="M175" s="253"/>
      <c r="N175" s="253"/>
    </row>
    <row r="176" spans="2:14" ht="16.2" x14ac:dyDescent="0.3">
      <c r="B176" s="253" t="s">
        <v>0</v>
      </c>
      <c r="C176" s="372" t="s">
        <v>1069</v>
      </c>
      <c r="D176" s="253" t="s">
        <v>17</v>
      </c>
      <c r="E176" s="253" t="s">
        <v>929</v>
      </c>
      <c r="F176" s="253" t="s">
        <v>1057</v>
      </c>
      <c r="G176" s="256" t="s">
        <v>1057</v>
      </c>
      <c r="H176" s="256" t="s">
        <v>1057</v>
      </c>
      <c r="I176" s="256"/>
      <c r="J176" s="256" t="str">
        <f>+VLOOKUP(E176,Controlos!A:I,9,FALSE)</f>
        <v>Concluído</v>
      </c>
      <c r="K176" s="256" t="s">
        <v>147</v>
      </c>
      <c r="L176" s="253"/>
      <c r="M176" s="253"/>
      <c r="N176" s="253"/>
    </row>
    <row r="177" spans="2:14" ht="16.2" x14ac:dyDescent="0.3">
      <c r="B177" s="253" t="s">
        <v>0</v>
      </c>
      <c r="C177" s="372" t="s">
        <v>1069</v>
      </c>
      <c r="D177" s="253" t="s">
        <v>17</v>
      </c>
      <c r="E177" s="253" t="s">
        <v>930</v>
      </c>
      <c r="F177" s="253" t="s">
        <v>1057</v>
      </c>
      <c r="G177" s="256" t="s">
        <v>1057</v>
      </c>
      <c r="H177" s="256" t="s">
        <v>1057</v>
      </c>
      <c r="I177" s="256"/>
      <c r="J177" s="256" t="str">
        <f>+VLOOKUP(E177,Controlos!A:I,9,FALSE)</f>
        <v>Concluído</v>
      </c>
      <c r="K177" s="256" t="s">
        <v>801</v>
      </c>
      <c r="L177" s="253"/>
      <c r="M177" s="253"/>
      <c r="N177" s="253"/>
    </row>
    <row r="178" spans="2:14" ht="16.2" x14ac:dyDescent="0.3">
      <c r="B178" s="253" t="s">
        <v>0</v>
      </c>
      <c r="C178" s="372" t="s">
        <v>1069</v>
      </c>
      <c r="D178" s="253" t="s">
        <v>17</v>
      </c>
      <c r="E178" s="253" t="s">
        <v>931</v>
      </c>
      <c r="F178" s="253" t="s">
        <v>1057</v>
      </c>
      <c r="G178" s="256" t="s">
        <v>1057</v>
      </c>
      <c r="H178" s="256" t="s">
        <v>1057</v>
      </c>
      <c r="I178" s="256"/>
      <c r="J178" s="256" t="str">
        <f>+VLOOKUP(E178,Controlos!A:I,9,FALSE)</f>
        <v>Concluído</v>
      </c>
      <c r="K178" s="256" t="s">
        <v>147</v>
      </c>
      <c r="L178" s="253"/>
      <c r="M178" s="253"/>
      <c r="N178" s="253"/>
    </row>
    <row r="179" spans="2:14" ht="16.2" x14ac:dyDescent="0.3">
      <c r="B179" s="253" t="s">
        <v>0</v>
      </c>
      <c r="C179" s="372" t="s">
        <v>1069</v>
      </c>
      <c r="D179" s="253" t="s">
        <v>17</v>
      </c>
      <c r="E179" s="253" t="s">
        <v>932</v>
      </c>
      <c r="F179" s="253" t="s">
        <v>1057</v>
      </c>
      <c r="G179" s="256" t="s">
        <v>1057</v>
      </c>
      <c r="H179" s="256" t="s">
        <v>1057</v>
      </c>
      <c r="I179" s="256"/>
      <c r="J179" s="256" t="str">
        <f>+VLOOKUP(E179,Controlos!A:I,9,FALSE)</f>
        <v>Concluído</v>
      </c>
      <c r="K179" s="256" t="s">
        <v>147</v>
      </c>
      <c r="L179" s="253"/>
      <c r="M179" s="253"/>
      <c r="N179" s="253"/>
    </row>
    <row r="180" spans="2:14" ht="16.2" x14ac:dyDescent="0.3">
      <c r="B180" s="253" t="s">
        <v>0</v>
      </c>
      <c r="C180" s="372" t="s">
        <v>1069</v>
      </c>
      <c r="D180" s="253" t="s">
        <v>17</v>
      </c>
      <c r="E180" s="253" t="s">
        <v>933</v>
      </c>
      <c r="F180" s="253" t="s">
        <v>1057</v>
      </c>
      <c r="G180" s="256" t="s">
        <v>1057</v>
      </c>
      <c r="H180" s="256" t="s">
        <v>1057</v>
      </c>
      <c r="I180" s="256"/>
      <c r="J180" s="256" t="str">
        <f>+VLOOKUP(E180,Controlos!A:I,9,FALSE)</f>
        <v>Concluído</v>
      </c>
      <c r="K180" s="256" t="s">
        <v>147</v>
      </c>
      <c r="L180" s="253"/>
      <c r="M180" s="253"/>
      <c r="N180" s="253"/>
    </row>
    <row r="181" spans="2:14" ht="16.2" x14ac:dyDescent="0.3">
      <c r="B181" s="253" t="s">
        <v>0</v>
      </c>
      <c r="C181" s="372" t="s">
        <v>1069</v>
      </c>
      <c r="D181" s="253" t="s">
        <v>17</v>
      </c>
      <c r="E181" s="253" t="s">
        <v>934</v>
      </c>
      <c r="F181" s="253" t="s">
        <v>1057</v>
      </c>
      <c r="G181" s="256" t="s">
        <v>1057</v>
      </c>
      <c r="H181" s="256" t="s">
        <v>1057</v>
      </c>
      <c r="I181" s="256"/>
      <c r="J181" s="256" t="str">
        <f>+VLOOKUP(E181,Controlos!A:I,9,FALSE)</f>
        <v>Concluído</v>
      </c>
      <c r="K181" s="256" t="s">
        <v>147</v>
      </c>
      <c r="L181" s="253"/>
      <c r="M181" s="253"/>
      <c r="N181" s="253"/>
    </row>
    <row r="182" spans="2:14" ht="16.2" x14ac:dyDescent="0.3">
      <c r="B182" s="253" t="s">
        <v>0</v>
      </c>
      <c r="C182" s="372" t="s">
        <v>1069</v>
      </c>
      <c r="D182" s="253" t="s">
        <v>17</v>
      </c>
      <c r="E182" s="253" t="s">
        <v>935</v>
      </c>
      <c r="F182" s="253" t="s">
        <v>1057</v>
      </c>
      <c r="G182" s="256" t="s">
        <v>1057</v>
      </c>
      <c r="H182" s="256" t="s">
        <v>1057</v>
      </c>
      <c r="I182" s="256"/>
      <c r="J182" s="256" t="str">
        <f>+VLOOKUP(E182,Controlos!A:I,9,FALSE)</f>
        <v>Concluído</v>
      </c>
      <c r="K182" s="256" t="s">
        <v>147</v>
      </c>
      <c r="L182" s="253"/>
      <c r="M182" s="253"/>
      <c r="N182" s="253"/>
    </row>
    <row r="183" spans="2:14" ht="16.2" x14ac:dyDescent="0.3">
      <c r="B183" s="253" t="s">
        <v>0</v>
      </c>
      <c r="C183" s="372" t="s">
        <v>1069</v>
      </c>
      <c r="D183" s="253" t="s">
        <v>17</v>
      </c>
      <c r="E183" s="253" t="s">
        <v>936</v>
      </c>
      <c r="F183" s="253" t="s">
        <v>1057</v>
      </c>
      <c r="G183" s="256" t="s">
        <v>1057</v>
      </c>
      <c r="H183" s="256" t="s">
        <v>1057</v>
      </c>
      <c r="I183" s="256"/>
      <c r="J183" s="256" t="str">
        <f>+VLOOKUP(E183,Controlos!A:I,9,FALSE)</f>
        <v>Pendente de desenvolv.</v>
      </c>
      <c r="K183" s="256" t="s">
        <v>147</v>
      </c>
      <c r="L183" s="253"/>
      <c r="M183" s="253"/>
      <c r="N183" s="253"/>
    </row>
    <row r="184" spans="2:14" ht="16.2" x14ac:dyDescent="0.3">
      <c r="B184" s="253" t="s">
        <v>0</v>
      </c>
      <c r="C184" s="372" t="s">
        <v>1069</v>
      </c>
      <c r="D184" s="253" t="s">
        <v>17</v>
      </c>
      <c r="E184" s="253" t="s">
        <v>937</v>
      </c>
      <c r="F184" s="253" t="s">
        <v>1057</v>
      </c>
      <c r="G184" s="256" t="s">
        <v>1057</v>
      </c>
      <c r="H184" s="256" t="s">
        <v>1057</v>
      </c>
      <c r="I184" s="256"/>
      <c r="J184" s="256" t="str">
        <f>+VLOOKUP(E184,Controlos!A:I,9,FALSE)</f>
        <v>Concluído</v>
      </c>
      <c r="K184" s="256" t="s">
        <v>147</v>
      </c>
      <c r="L184" s="253"/>
      <c r="M184" s="253"/>
      <c r="N184" s="253"/>
    </row>
    <row r="185" spans="2:14" ht="16.2" x14ac:dyDescent="0.3">
      <c r="B185" s="253" t="s">
        <v>0</v>
      </c>
      <c r="C185" s="372" t="s">
        <v>1069</v>
      </c>
      <c r="D185" s="253" t="s">
        <v>17</v>
      </c>
      <c r="E185" s="253" t="s">
        <v>938</v>
      </c>
      <c r="F185" s="253" t="s">
        <v>1057</v>
      </c>
      <c r="G185" s="256" t="s">
        <v>1057</v>
      </c>
      <c r="H185" s="256" t="s">
        <v>1057</v>
      </c>
      <c r="I185" s="256"/>
      <c r="J185" s="256" t="str">
        <f>+VLOOKUP(E185,Controlos!A:I,9,FALSE)</f>
        <v>Concluído</v>
      </c>
      <c r="K185" s="256" t="s">
        <v>147</v>
      </c>
      <c r="L185" s="253"/>
      <c r="M185" s="253"/>
      <c r="N185" s="253"/>
    </row>
    <row r="186" spans="2:14" ht="16.2" x14ac:dyDescent="0.3">
      <c r="B186" s="253" t="s">
        <v>0</v>
      </c>
      <c r="C186" s="372" t="s">
        <v>1069</v>
      </c>
      <c r="D186" s="253" t="s">
        <v>17</v>
      </c>
      <c r="E186" s="253" t="s">
        <v>939</v>
      </c>
      <c r="F186" s="253" t="s">
        <v>1057</v>
      </c>
      <c r="G186" s="256" t="s">
        <v>1057</v>
      </c>
      <c r="H186" s="256" t="s">
        <v>1057</v>
      </c>
      <c r="I186" s="256"/>
      <c r="J186" s="256" t="str">
        <f>+VLOOKUP(E186,Controlos!A:I,9,FALSE)</f>
        <v>Concluído</v>
      </c>
      <c r="K186" s="256" t="s">
        <v>147</v>
      </c>
      <c r="L186" s="253"/>
      <c r="M186" s="253"/>
      <c r="N186" s="253"/>
    </row>
    <row r="187" spans="2:14" ht="16.2" x14ac:dyDescent="0.3">
      <c r="B187" s="253" t="s">
        <v>0</v>
      </c>
      <c r="C187" s="372" t="s">
        <v>1069</v>
      </c>
      <c r="D187" s="253" t="s">
        <v>17</v>
      </c>
      <c r="E187" s="253" t="s">
        <v>940</v>
      </c>
      <c r="F187" s="253" t="s">
        <v>1057</v>
      </c>
      <c r="G187" s="256" t="s">
        <v>1057</v>
      </c>
      <c r="H187" s="256" t="s">
        <v>1057</v>
      </c>
      <c r="I187" s="256"/>
      <c r="J187" s="256" t="str">
        <f>+VLOOKUP(E187,Controlos!A:I,9,FALSE)</f>
        <v>Concluído</v>
      </c>
      <c r="K187" s="256" t="s">
        <v>147</v>
      </c>
      <c r="L187" s="253"/>
      <c r="M187" s="253"/>
      <c r="N187" s="253"/>
    </row>
    <row r="188" spans="2:14" ht="16.2" x14ac:dyDescent="0.3">
      <c r="B188" s="253" t="s">
        <v>0</v>
      </c>
      <c r="C188" s="372" t="s">
        <v>1069</v>
      </c>
      <c r="D188" s="253" t="s">
        <v>17</v>
      </c>
      <c r="E188" s="253" t="s">
        <v>941</v>
      </c>
      <c r="F188" s="253" t="s">
        <v>1057</v>
      </c>
      <c r="G188" s="256" t="s">
        <v>1057</v>
      </c>
      <c r="H188" s="256" t="s">
        <v>1057</v>
      </c>
      <c r="I188" s="256"/>
      <c r="J188" s="256" t="str">
        <f>+VLOOKUP(E188,Controlos!A:I,9,FALSE)</f>
        <v>Concluído</v>
      </c>
      <c r="K188" s="256" t="s">
        <v>147</v>
      </c>
      <c r="L188" s="253"/>
      <c r="M188" s="253"/>
      <c r="N188" s="253"/>
    </row>
    <row r="189" spans="2:14" ht="16.2" x14ac:dyDescent="0.3">
      <c r="B189" s="253" t="s">
        <v>0</v>
      </c>
      <c r="C189" s="372" t="s">
        <v>1069</v>
      </c>
      <c r="D189" s="253" t="s">
        <v>17</v>
      </c>
      <c r="E189" s="253" t="s">
        <v>942</v>
      </c>
      <c r="F189" s="253" t="s">
        <v>1057</v>
      </c>
      <c r="G189" s="256" t="s">
        <v>1057</v>
      </c>
      <c r="H189" s="256" t="s">
        <v>1057</v>
      </c>
      <c r="I189" s="256"/>
      <c r="J189" s="256" t="str">
        <f>+VLOOKUP(E189,Controlos!A:I,9,FALSE)</f>
        <v>Concluído</v>
      </c>
      <c r="K189" s="256" t="s">
        <v>147</v>
      </c>
      <c r="L189" s="253"/>
      <c r="M189" s="253"/>
      <c r="N189" s="253"/>
    </row>
    <row r="190" spans="2:14" ht="16.2" x14ac:dyDescent="0.3">
      <c r="B190" s="253" t="s">
        <v>0</v>
      </c>
      <c r="C190" s="372" t="s">
        <v>1069</v>
      </c>
      <c r="D190" s="253" t="s">
        <v>17</v>
      </c>
      <c r="E190" s="253" t="s">
        <v>943</v>
      </c>
      <c r="F190" s="253" t="s">
        <v>1057</v>
      </c>
      <c r="G190" s="256" t="s">
        <v>1057</v>
      </c>
      <c r="H190" s="256" t="s">
        <v>1057</v>
      </c>
      <c r="I190" s="256"/>
      <c r="J190" s="256" t="str">
        <f>+VLOOKUP(E190,Controlos!A:I,9,FALSE)</f>
        <v>Pendente de desenvolv.</v>
      </c>
      <c r="K190" s="256" t="s">
        <v>882</v>
      </c>
      <c r="L190" s="253"/>
      <c r="M190" s="253"/>
      <c r="N190" s="253"/>
    </row>
    <row r="191" spans="2:14" ht="16.2" x14ac:dyDescent="0.3">
      <c r="B191" s="253" t="s">
        <v>0</v>
      </c>
      <c r="C191" s="372" t="s">
        <v>1069</v>
      </c>
      <c r="D191" s="253" t="s">
        <v>17</v>
      </c>
      <c r="E191" s="253" t="s">
        <v>944</v>
      </c>
      <c r="F191" s="253" t="s">
        <v>1057</v>
      </c>
      <c r="G191" s="256" t="s">
        <v>1057</v>
      </c>
      <c r="H191" s="256" t="s">
        <v>1057</v>
      </c>
      <c r="I191" s="256"/>
      <c r="J191" s="256" t="str">
        <f>+VLOOKUP(E191,Controlos!A:I,9,FALSE)</f>
        <v>Pendente de desenvolv.</v>
      </c>
      <c r="K191" s="256" t="s">
        <v>882</v>
      </c>
      <c r="L191" s="253"/>
      <c r="M191" s="253"/>
      <c r="N191" s="253"/>
    </row>
    <row r="192" spans="2:14" ht="16.2" x14ac:dyDescent="0.3">
      <c r="B192" s="253" t="s">
        <v>0</v>
      </c>
      <c r="C192" s="372" t="s">
        <v>1069</v>
      </c>
      <c r="D192" s="253" t="s">
        <v>17</v>
      </c>
      <c r="E192" s="253" t="s">
        <v>945</v>
      </c>
      <c r="F192" s="253" t="s">
        <v>1057</v>
      </c>
      <c r="G192" s="256" t="s">
        <v>1057</v>
      </c>
      <c r="H192" s="256" t="s">
        <v>1057</v>
      </c>
      <c r="I192" s="256"/>
      <c r="J192" s="256" t="str">
        <f>+VLOOKUP(E192,Controlos!A:I,9,FALSE)</f>
        <v>Pendente de desenvolv.</v>
      </c>
      <c r="K192" s="256" t="s">
        <v>882</v>
      </c>
      <c r="L192" s="253"/>
      <c r="M192" s="253"/>
      <c r="N192" s="253"/>
    </row>
    <row r="193" spans="1:14" ht="16.2" x14ac:dyDescent="0.3">
      <c r="B193" s="253" t="s">
        <v>0</v>
      </c>
      <c r="C193" s="372" t="s">
        <v>1069</v>
      </c>
      <c r="D193" s="253" t="s">
        <v>17</v>
      </c>
      <c r="E193" s="253" t="s">
        <v>946</v>
      </c>
      <c r="F193" s="253" t="s">
        <v>1057</v>
      </c>
      <c r="G193" s="256" t="s">
        <v>1057</v>
      </c>
      <c r="H193" s="256" t="s">
        <v>1057</v>
      </c>
      <c r="I193" s="256"/>
      <c r="J193" s="256" t="str">
        <f>+VLOOKUP(E193,Controlos!A:I,9,FALSE)</f>
        <v>Pendente de desenvolv.</v>
      </c>
      <c r="K193" s="256" t="s">
        <v>882</v>
      </c>
      <c r="L193" s="253"/>
      <c r="M193" s="253"/>
      <c r="N193" s="253"/>
    </row>
    <row r="194" spans="1:14" ht="16.2" x14ac:dyDescent="0.3">
      <c r="B194" s="253" t="s">
        <v>0</v>
      </c>
      <c r="C194" s="372" t="s">
        <v>1069</v>
      </c>
      <c r="D194" s="253" t="s">
        <v>17</v>
      </c>
      <c r="E194" s="253" t="s">
        <v>947</v>
      </c>
      <c r="F194" s="253" t="s">
        <v>1057</v>
      </c>
      <c r="G194" s="256" t="s">
        <v>1057</v>
      </c>
      <c r="H194" s="256" t="s">
        <v>1057</v>
      </c>
      <c r="I194" s="256"/>
      <c r="J194" s="256" t="str">
        <f>+VLOOKUP(E194,Controlos!A:I,9,FALSE)</f>
        <v>Por iniciar</v>
      </c>
      <c r="K194" s="256" t="s">
        <v>801</v>
      </c>
      <c r="L194" s="253"/>
      <c r="M194" s="253"/>
      <c r="N194" s="253"/>
    </row>
    <row r="195" spans="1:14" ht="16.2" x14ac:dyDescent="0.3">
      <c r="B195" s="253" t="s">
        <v>0</v>
      </c>
      <c r="C195" s="372" t="s">
        <v>1069</v>
      </c>
      <c r="D195" s="253" t="s">
        <v>17</v>
      </c>
      <c r="E195" s="253" t="s">
        <v>948</v>
      </c>
      <c r="F195" s="253" t="s">
        <v>1057</v>
      </c>
      <c r="G195" s="256" t="s">
        <v>1057</v>
      </c>
      <c r="H195" s="256" t="s">
        <v>1057</v>
      </c>
      <c r="I195" s="256"/>
      <c r="J195" s="256" t="str">
        <f>+VLOOKUP(E195,Controlos!A:I,9,FALSE)</f>
        <v>Por iniciar</v>
      </c>
      <c r="K195" s="256" t="s">
        <v>801</v>
      </c>
      <c r="L195" s="253"/>
      <c r="M195" s="253"/>
      <c r="N195" s="253"/>
    </row>
    <row r="196" spans="1:14" ht="16.2" x14ac:dyDescent="0.3">
      <c r="B196" s="253" t="s">
        <v>0</v>
      </c>
      <c r="C196" s="372" t="s">
        <v>1069</v>
      </c>
      <c r="D196" s="253" t="s">
        <v>17</v>
      </c>
      <c r="E196" s="253" t="s">
        <v>949</v>
      </c>
      <c r="F196" s="253" t="s">
        <v>1057</v>
      </c>
      <c r="G196" s="256" t="s">
        <v>1057</v>
      </c>
      <c r="H196" s="256" t="s">
        <v>1057</v>
      </c>
      <c r="I196" s="256"/>
      <c r="J196" s="256" t="str">
        <f>+VLOOKUP(E196,Controlos!A:I,9,FALSE)</f>
        <v>Concluído</v>
      </c>
      <c r="K196" s="256" t="s">
        <v>147</v>
      </c>
      <c r="L196" s="253"/>
      <c r="M196" s="253"/>
      <c r="N196" s="253"/>
    </row>
    <row r="197" spans="1:14" ht="16.2" x14ac:dyDescent="0.3">
      <c r="B197" s="253" t="s">
        <v>0</v>
      </c>
      <c r="C197" s="372" t="s">
        <v>1069</v>
      </c>
      <c r="D197" s="253" t="s">
        <v>17</v>
      </c>
      <c r="E197" s="253" t="s">
        <v>950</v>
      </c>
      <c r="F197" s="253" t="s">
        <v>1057</v>
      </c>
      <c r="G197" s="256" t="s">
        <v>1057</v>
      </c>
      <c r="H197" s="256" t="s">
        <v>1057</v>
      </c>
      <c r="I197" s="256"/>
      <c r="J197" s="256" t="str">
        <f>+VLOOKUP(E197,Controlos!A:I,9,FALSE)</f>
        <v>Pendente de desenvolv.</v>
      </c>
      <c r="K197" s="256" t="s">
        <v>882</v>
      </c>
      <c r="L197" s="253"/>
      <c r="M197" s="253"/>
      <c r="N197" s="253"/>
    </row>
    <row r="198" spans="1:14" ht="16.2" x14ac:dyDescent="0.3">
      <c r="B198" s="253" t="s">
        <v>0</v>
      </c>
      <c r="C198" s="372" t="s">
        <v>1069</v>
      </c>
      <c r="D198" s="253" t="s">
        <v>17</v>
      </c>
      <c r="E198" s="253" t="s">
        <v>951</v>
      </c>
      <c r="F198" s="253" t="s">
        <v>1057</v>
      </c>
      <c r="G198" s="256" t="s">
        <v>1057</v>
      </c>
      <c r="H198" s="256" t="s">
        <v>1057</v>
      </c>
      <c r="I198" s="256"/>
      <c r="J198" s="256" t="str">
        <f>+VLOOKUP(E198,Controlos!A:I,9,FALSE)</f>
        <v>Pendente de desenvolv.</v>
      </c>
      <c r="K198" s="256" t="s">
        <v>882</v>
      </c>
      <c r="L198" s="253"/>
      <c r="M198" s="253"/>
      <c r="N198" s="253"/>
    </row>
    <row r="199" spans="1:14" ht="16.2" x14ac:dyDescent="0.3">
      <c r="B199" s="253" t="s">
        <v>0</v>
      </c>
      <c r="C199" s="372" t="s">
        <v>1069</v>
      </c>
      <c r="D199" s="253" t="s">
        <v>17</v>
      </c>
      <c r="E199" s="253" t="s">
        <v>952</v>
      </c>
      <c r="F199" s="253" t="s">
        <v>1057</v>
      </c>
      <c r="G199" s="256" t="s">
        <v>1057</v>
      </c>
      <c r="H199" s="256" t="s">
        <v>1057</v>
      </c>
      <c r="I199" s="256"/>
      <c r="J199" s="256" t="str">
        <f>+VLOOKUP(E199,Controlos!A:I,9,FALSE)</f>
        <v>Por iniciar</v>
      </c>
      <c r="K199" s="256" t="s">
        <v>801</v>
      </c>
      <c r="L199" s="253"/>
      <c r="M199" s="253"/>
      <c r="N199" s="253"/>
    </row>
    <row r="200" spans="1:14" ht="16.2" x14ac:dyDescent="0.3">
      <c r="B200" s="253" t="s">
        <v>0</v>
      </c>
      <c r="C200" s="372" t="s">
        <v>1069</v>
      </c>
      <c r="D200" s="253" t="s">
        <v>17</v>
      </c>
      <c r="E200" s="253" t="s">
        <v>953</v>
      </c>
      <c r="F200" s="253" t="s">
        <v>1057</v>
      </c>
      <c r="G200" s="256" t="s">
        <v>1057</v>
      </c>
      <c r="H200" s="256" t="s">
        <v>1057</v>
      </c>
      <c r="I200" s="256"/>
      <c r="J200" s="256" t="str">
        <f>+VLOOKUP(E200,Controlos!A:I,9,FALSE)</f>
        <v>Concluído</v>
      </c>
      <c r="K200" s="256" t="s">
        <v>147</v>
      </c>
      <c r="L200" s="253"/>
      <c r="M200" s="253"/>
      <c r="N200" s="253"/>
    </row>
    <row r="201" spans="1:14" ht="16.2" x14ac:dyDescent="0.3">
      <c r="B201" s="253" t="s">
        <v>0</v>
      </c>
      <c r="C201" s="372" t="s">
        <v>1069</v>
      </c>
      <c r="D201" s="253" t="s">
        <v>17</v>
      </c>
      <c r="E201" s="253" t="s">
        <v>954</v>
      </c>
      <c r="F201" s="253" t="s">
        <v>1057</v>
      </c>
      <c r="G201" s="256" t="s">
        <v>1057</v>
      </c>
      <c r="H201" s="256" t="s">
        <v>1057</v>
      </c>
      <c r="I201" s="256"/>
      <c r="J201" s="256" t="str">
        <f>+VLOOKUP(E201,Controlos!A:I,9,FALSE)</f>
        <v>Pendente de desenvolv.</v>
      </c>
      <c r="K201" s="256" t="s">
        <v>882</v>
      </c>
      <c r="L201" s="253"/>
      <c r="M201" s="253"/>
      <c r="N201" s="253"/>
    </row>
    <row r="202" spans="1:14" ht="16.2" x14ac:dyDescent="0.3">
      <c r="B202" s="253" t="s">
        <v>0</v>
      </c>
      <c r="C202" s="372" t="s">
        <v>1069</v>
      </c>
      <c r="D202" s="253" t="s">
        <v>17</v>
      </c>
      <c r="E202" s="253" t="s">
        <v>954</v>
      </c>
      <c r="F202" s="253" t="s">
        <v>1057</v>
      </c>
      <c r="G202" s="256" t="s">
        <v>1057</v>
      </c>
      <c r="H202" s="256" t="s">
        <v>1057</v>
      </c>
      <c r="I202" s="256"/>
      <c r="J202" s="256" t="str">
        <f>+VLOOKUP(E202,Controlos!A:I,9,FALSE)</f>
        <v>Pendente de desenvolv.</v>
      </c>
      <c r="K202" s="256" t="s">
        <v>882</v>
      </c>
      <c r="L202" s="253"/>
      <c r="M202" s="253"/>
      <c r="N202" s="253"/>
    </row>
    <row r="203" spans="1:14" ht="16.2" x14ac:dyDescent="0.3">
      <c r="B203" s="253" t="s">
        <v>0</v>
      </c>
      <c r="C203" s="372" t="s">
        <v>1069</v>
      </c>
      <c r="D203" s="253" t="s">
        <v>17</v>
      </c>
      <c r="E203" s="253" t="s">
        <v>955</v>
      </c>
      <c r="F203" s="253" t="s">
        <v>1057</v>
      </c>
      <c r="G203" s="256" t="s">
        <v>1057</v>
      </c>
      <c r="H203" s="256" t="s">
        <v>1057</v>
      </c>
      <c r="I203" s="256"/>
      <c r="J203" s="256" t="str">
        <f>+VLOOKUP(E203,Controlos!A:I,9,FALSE)</f>
        <v>Pendente de desenvolv.</v>
      </c>
      <c r="K203" s="256" t="s">
        <v>882</v>
      </c>
      <c r="L203" s="253"/>
      <c r="M203" s="253"/>
      <c r="N203" s="253"/>
    </row>
    <row r="204" spans="1:14" ht="16.2" x14ac:dyDescent="0.3">
      <c r="B204" s="253" t="s">
        <v>0</v>
      </c>
      <c r="C204" s="372" t="s">
        <v>1069</v>
      </c>
      <c r="D204" s="253" t="s">
        <v>17</v>
      </c>
      <c r="E204" s="253" t="s">
        <v>955</v>
      </c>
      <c r="F204" s="253" t="s">
        <v>1057</v>
      </c>
      <c r="G204" s="256" t="s">
        <v>1057</v>
      </c>
      <c r="H204" s="256" t="s">
        <v>1057</v>
      </c>
      <c r="I204" s="256"/>
      <c r="J204" s="256" t="str">
        <f>+VLOOKUP(E204,Controlos!A:I,9,FALSE)</f>
        <v>Pendente de desenvolv.</v>
      </c>
      <c r="K204" s="256" t="s">
        <v>882</v>
      </c>
      <c r="L204" s="253"/>
      <c r="M204" s="253"/>
      <c r="N204" s="253"/>
    </row>
    <row r="205" spans="1:14" ht="16.2" x14ac:dyDescent="0.3">
      <c r="B205" s="253" t="s">
        <v>0</v>
      </c>
      <c r="C205" s="372" t="s">
        <v>1069</v>
      </c>
      <c r="D205" s="253" t="s">
        <v>17</v>
      </c>
      <c r="E205" s="253" t="s">
        <v>956</v>
      </c>
      <c r="F205" s="253" t="s">
        <v>1057</v>
      </c>
      <c r="G205" s="256" t="s">
        <v>1057</v>
      </c>
      <c r="H205" s="256" t="s">
        <v>1057</v>
      </c>
      <c r="I205" s="256"/>
      <c r="J205" s="256" t="str">
        <f>+VLOOKUP(E205,Controlos!A:I,9,FALSE)</f>
        <v>Por iniciar</v>
      </c>
      <c r="K205" s="256" t="s">
        <v>801</v>
      </c>
      <c r="L205" s="253"/>
      <c r="M205" s="253"/>
      <c r="N205" s="253"/>
    </row>
    <row r="206" spans="1:14" ht="16.2" x14ac:dyDescent="0.3">
      <c r="B206" s="253" t="s">
        <v>0</v>
      </c>
      <c r="C206" s="372" t="s">
        <v>1069</v>
      </c>
      <c r="D206" s="253" t="s">
        <v>17</v>
      </c>
      <c r="E206" s="253" t="s">
        <v>957</v>
      </c>
      <c r="F206" s="253" t="s">
        <v>1057</v>
      </c>
      <c r="G206" s="256" t="s">
        <v>1057</v>
      </c>
      <c r="H206" s="256" t="s">
        <v>1057</v>
      </c>
      <c r="I206" s="256"/>
      <c r="J206" s="256" t="str">
        <f>+VLOOKUP(E206,Controlos!A:I,9,FALSE)</f>
        <v>Concluído</v>
      </c>
      <c r="K206" s="256" t="s">
        <v>147</v>
      </c>
      <c r="L206" s="253"/>
      <c r="M206" s="253"/>
      <c r="N206" s="253"/>
    </row>
    <row r="207" spans="1:14" ht="16.2" x14ac:dyDescent="0.3">
      <c r="A207" s="112" t="s">
        <v>1101</v>
      </c>
      <c r="B207" s="253" t="s">
        <v>0</v>
      </c>
      <c r="C207" s="372" t="s">
        <v>1069</v>
      </c>
      <c r="D207" s="253" t="s">
        <v>17</v>
      </c>
      <c r="E207" s="253" t="s">
        <v>958</v>
      </c>
      <c r="F207" s="253" t="s">
        <v>1057</v>
      </c>
      <c r="G207" s="256" t="s">
        <v>1057</v>
      </c>
      <c r="H207" s="256" t="s">
        <v>1057</v>
      </c>
      <c r="I207" s="256"/>
      <c r="J207" s="256" t="str">
        <f>+VLOOKUP(E207,Controlos!A:I,9,FALSE)</f>
        <v>Concluído</v>
      </c>
      <c r="K207" s="256" t="s">
        <v>801</v>
      </c>
      <c r="L207" s="253"/>
      <c r="M207" s="253"/>
      <c r="N207" s="253"/>
    </row>
    <row r="208" spans="1:14" ht="16.2" x14ac:dyDescent="0.3">
      <c r="A208" s="112" t="s">
        <v>1101</v>
      </c>
      <c r="B208" s="253" t="s">
        <v>0</v>
      </c>
      <c r="C208" s="372" t="s">
        <v>1069</v>
      </c>
      <c r="D208" s="253" t="s">
        <v>17</v>
      </c>
      <c r="E208" s="253" t="s">
        <v>958</v>
      </c>
      <c r="F208" s="253" t="s">
        <v>1057</v>
      </c>
      <c r="G208" s="256" t="s">
        <v>1057</v>
      </c>
      <c r="H208" s="256" t="s">
        <v>1057</v>
      </c>
      <c r="I208" s="256"/>
      <c r="J208" s="256" t="str">
        <f>+VLOOKUP(E208,Controlos!A:I,9,FALSE)</f>
        <v>Concluído</v>
      </c>
      <c r="K208" s="256" t="s">
        <v>801</v>
      </c>
      <c r="L208" s="253"/>
      <c r="M208" s="253"/>
      <c r="N208" s="253"/>
    </row>
    <row r="209" spans="2:14" ht="16.2" x14ac:dyDescent="0.3">
      <c r="B209" s="253" t="s">
        <v>0</v>
      </c>
      <c r="C209" s="372" t="s">
        <v>1069</v>
      </c>
      <c r="D209" s="253" t="s">
        <v>17</v>
      </c>
      <c r="E209" s="253" t="s">
        <v>959</v>
      </c>
      <c r="F209" s="253" t="s">
        <v>1057</v>
      </c>
      <c r="G209" s="256" t="s">
        <v>1057</v>
      </c>
      <c r="H209" s="256" t="s">
        <v>1057</v>
      </c>
      <c r="I209" s="256"/>
      <c r="J209" s="256" t="str">
        <f>+VLOOKUP(E209,Controlos!A:I,9,FALSE)</f>
        <v>Por iniciar</v>
      </c>
      <c r="K209" s="256" t="s">
        <v>801</v>
      </c>
      <c r="L209" s="253"/>
      <c r="M209" s="253"/>
      <c r="N209" s="253"/>
    </row>
    <row r="210" spans="2:14" ht="16.2" x14ac:dyDescent="0.3">
      <c r="B210" s="253" t="s">
        <v>0</v>
      </c>
      <c r="C210" s="372" t="s">
        <v>1069</v>
      </c>
      <c r="D210" s="253" t="s">
        <v>17</v>
      </c>
      <c r="E210" s="253" t="s">
        <v>960</v>
      </c>
      <c r="F210" s="253" t="s">
        <v>1057</v>
      </c>
      <c r="G210" s="256" t="s">
        <v>1057</v>
      </c>
      <c r="H210" s="256" t="s">
        <v>1057</v>
      </c>
      <c r="I210" s="256"/>
      <c r="J210" s="256" t="str">
        <f>+VLOOKUP(E210,Controlos!A:I,9,FALSE)</f>
        <v>Concluído</v>
      </c>
      <c r="K210" s="256" t="s">
        <v>147</v>
      </c>
      <c r="L210" s="253"/>
      <c r="M210" s="253"/>
      <c r="N210" s="253"/>
    </row>
    <row r="211" spans="2:14" ht="16.2" x14ac:dyDescent="0.3">
      <c r="B211" s="253" t="s">
        <v>0</v>
      </c>
      <c r="C211" s="372" t="s">
        <v>1069</v>
      </c>
      <c r="D211" s="253" t="s">
        <v>17</v>
      </c>
      <c r="E211" s="253" t="s">
        <v>961</v>
      </c>
      <c r="F211" s="253" t="s">
        <v>1057</v>
      </c>
      <c r="G211" s="256" t="s">
        <v>1057</v>
      </c>
      <c r="H211" s="256" t="s">
        <v>1057</v>
      </c>
      <c r="I211" s="256"/>
      <c r="J211" s="256" t="str">
        <f>+VLOOKUP(E211,Controlos!A:I,9,FALSE)</f>
        <v>Concluído</v>
      </c>
      <c r="K211" s="256" t="s">
        <v>801</v>
      </c>
      <c r="L211" s="253"/>
      <c r="M211" s="253"/>
      <c r="N211" s="253"/>
    </row>
    <row r="212" spans="2:14" ht="16.2" x14ac:dyDescent="0.3">
      <c r="B212" s="253" t="s">
        <v>0</v>
      </c>
      <c r="C212" s="372" t="s">
        <v>1069</v>
      </c>
      <c r="D212" s="253" t="s">
        <v>17</v>
      </c>
      <c r="E212" s="253" t="s">
        <v>962</v>
      </c>
      <c r="F212" s="253" t="s">
        <v>1057</v>
      </c>
      <c r="G212" s="256" t="s">
        <v>1057</v>
      </c>
      <c r="H212" s="256" t="s">
        <v>1057</v>
      </c>
      <c r="I212" s="256"/>
      <c r="J212" s="256" t="str">
        <f>+VLOOKUP(E212,Controlos!A:I,9,FALSE)</f>
        <v>Concluído</v>
      </c>
      <c r="K212" s="256" t="s">
        <v>147</v>
      </c>
      <c r="L212" s="253"/>
      <c r="M212" s="253"/>
      <c r="N212" s="253"/>
    </row>
    <row r="213" spans="2:14" ht="16.2" x14ac:dyDescent="0.3">
      <c r="B213" s="253" t="s">
        <v>0</v>
      </c>
      <c r="C213" s="372" t="s">
        <v>1069</v>
      </c>
      <c r="D213" s="253" t="s">
        <v>17</v>
      </c>
      <c r="E213" s="253" t="s">
        <v>963</v>
      </c>
      <c r="F213" s="253" t="s">
        <v>1057</v>
      </c>
      <c r="G213" s="256" t="s">
        <v>1057</v>
      </c>
      <c r="H213" s="256" t="s">
        <v>1057</v>
      </c>
      <c r="I213" s="256"/>
      <c r="J213" s="256" t="str">
        <f>+VLOOKUP(E213,Controlos!A:I,9,FALSE)</f>
        <v>Concluído</v>
      </c>
      <c r="K213" s="256" t="s">
        <v>147</v>
      </c>
      <c r="L213" s="253"/>
      <c r="M213" s="253"/>
      <c r="N213" s="253"/>
    </row>
    <row r="214" spans="2:14" ht="16.2" x14ac:dyDescent="0.3">
      <c r="B214" s="253" t="s">
        <v>0</v>
      </c>
      <c r="C214" s="372" t="s">
        <v>1069</v>
      </c>
      <c r="D214" s="253" t="s">
        <v>17</v>
      </c>
      <c r="E214" s="253" t="s">
        <v>964</v>
      </c>
      <c r="F214" s="253" t="s">
        <v>1057</v>
      </c>
      <c r="G214" s="256" t="s">
        <v>1057</v>
      </c>
      <c r="H214" s="256" t="s">
        <v>1057</v>
      </c>
      <c r="I214" s="256"/>
      <c r="J214" s="256" t="str">
        <f>+VLOOKUP(E214,Controlos!A:I,9,FALSE)</f>
        <v>Concluído</v>
      </c>
      <c r="K214" s="256" t="s">
        <v>147</v>
      </c>
      <c r="L214" s="253"/>
      <c r="M214" s="253"/>
      <c r="N214" s="253"/>
    </row>
    <row r="215" spans="2:14" ht="16.2" x14ac:dyDescent="0.3">
      <c r="B215" s="253" t="s">
        <v>0</v>
      </c>
      <c r="C215" s="372" t="s">
        <v>1069</v>
      </c>
      <c r="D215" s="253" t="s">
        <v>17</v>
      </c>
      <c r="E215" s="253" t="s">
        <v>965</v>
      </c>
      <c r="F215" s="253" t="s">
        <v>1057</v>
      </c>
      <c r="G215" s="256" t="s">
        <v>1057</v>
      </c>
      <c r="H215" s="256" t="s">
        <v>1057</v>
      </c>
      <c r="I215" s="256"/>
      <c r="J215" s="256" t="str">
        <f>+VLOOKUP(E215,Controlos!A:I,9,FALSE)</f>
        <v>Pendente de desenvolv.</v>
      </c>
      <c r="K215" s="256" t="s">
        <v>147</v>
      </c>
      <c r="L215" s="253"/>
      <c r="M215" s="253"/>
      <c r="N215" s="253"/>
    </row>
    <row r="216" spans="2:14" ht="16.2" x14ac:dyDescent="0.3">
      <c r="B216" s="253" t="s">
        <v>0</v>
      </c>
      <c r="C216" s="372" t="s">
        <v>1069</v>
      </c>
      <c r="D216" s="253" t="s">
        <v>17</v>
      </c>
      <c r="E216" s="253" t="s">
        <v>966</v>
      </c>
      <c r="F216" s="253" t="s">
        <v>1057</v>
      </c>
      <c r="G216" s="256" t="s">
        <v>1057</v>
      </c>
      <c r="H216" s="256" t="s">
        <v>1057</v>
      </c>
      <c r="I216" s="256"/>
      <c r="J216" s="256" t="str">
        <f>+VLOOKUP(E216,Controlos!A:I,9,FALSE)</f>
        <v>Concluído</v>
      </c>
      <c r="K216" s="256" t="s">
        <v>147</v>
      </c>
      <c r="L216" s="253"/>
      <c r="M216" s="253"/>
      <c r="N216" s="253"/>
    </row>
    <row r="217" spans="2:14" ht="16.2" x14ac:dyDescent="0.3">
      <c r="B217" s="253" t="s">
        <v>0</v>
      </c>
      <c r="C217" s="372" t="s">
        <v>1069</v>
      </c>
      <c r="D217" s="253" t="s">
        <v>17</v>
      </c>
      <c r="E217" s="253" t="s">
        <v>966</v>
      </c>
      <c r="F217" s="253" t="s">
        <v>1057</v>
      </c>
      <c r="G217" s="256" t="s">
        <v>1057</v>
      </c>
      <c r="H217" s="256" t="s">
        <v>1057</v>
      </c>
      <c r="I217" s="256"/>
      <c r="J217" s="256" t="str">
        <f>+VLOOKUP(E217,Controlos!A:I,9,FALSE)</f>
        <v>Concluído</v>
      </c>
      <c r="K217" s="256" t="s">
        <v>147</v>
      </c>
      <c r="L217" s="253"/>
      <c r="M217" s="253"/>
      <c r="N217" s="253"/>
    </row>
    <row r="218" spans="2:14" ht="16.2" x14ac:dyDescent="0.3">
      <c r="B218" s="253" t="s">
        <v>0</v>
      </c>
      <c r="C218" s="372" t="s">
        <v>1069</v>
      </c>
      <c r="D218" s="253" t="s">
        <v>17</v>
      </c>
      <c r="E218" s="253" t="s">
        <v>967</v>
      </c>
      <c r="F218" s="253" t="s">
        <v>1057</v>
      </c>
      <c r="G218" s="256" t="s">
        <v>1057</v>
      </c>
      <c r="H218" s="256" t="s">
        <v>1057</v>
      </c>
      <c r="I218" s="256"/>
      <c r="J218" s="256" t="str">
        <f>+VLOOKUP(E218,Controlos!A:I,9,FALSE)</f>
        <v>Concluído</v>
      </c>
      <c r="K218" s="256" t="s">
        <v>147</v>
      </c>
      <c r="L218" s="253"/>
      <c r="M218" s="253"/>
      <c r="N218" s="253"/>
    </row>
    <row r="219" spans="2:14" ht="16.2" x14ac:dyDescent="0.3">
      <c r="B219" s="253" t="s">
        <v>0</v>
      </c>
      <c r="C219" s="372" t="s">
        <v>1069</v>
      </c>
      <c r="D219" s="253" t="s">
        <v>17</v>
      </c>
      <c r="E219" s="253" t="s">
        <v>967</v>
      </c>
      <c r="F219" s="253" t="s">
        <v>1057</v>
      </c>
      <c r="G219" s="256" t="s">
        <v>1057</v>
      </c>
      <c r="H219" s="256" t="s">
        <v>1057</v>
      </c>
      <c r="I219" s="256"/>
      <c r="J219" s="256" t="str">
        <f>+VLOOKUP(E219,Controlos!A:I,9,FALSE)</f>
        <v>Concluído</v>
      </c>
      <c r="K219" s="256" t="s">
        <v>147</v>
      </c>
      <c r="L219" s="253"/>
      <c r="M219" s="253"/>
      <c r="N219" s="253"/>
    </row>
    <row r="220" spans="2:14" ht="16.2" x14ac:dyDescent="0.3">
      <c r="B220" s="253" t="s">
        <v>0</v>
      </c>
      <c r="C220" s="372" t="s">
        <v>1069</v>
      </c>
      <c r="D220" s="253" t="s">
        <v>17</v>
      </c>
      <c r="E220" s="253" t="s">
        <v>968</v>
      </c>
      <c r="F220" s="253" t="s">
        <v>1057</v>
      </c>
      <c r="G220" s="256" t="s">
        <v>1057</v>
      </c>
      <c r="H220" s="256" t="s">
        <v>1057</v>
      </c>
      <c r="I220" s="256"/>
      <c r="J220" s="256" t="str">
        <f>+VLOOKUP(E220,Controlos!A:I,9,FALSE)</f>
        <v>Concluído</v>
      </c>
      <c r="K220" s="256" t="s">
        <v>147</v>
      </c>
      <c r="L220" s="253"/>
      <c r="M220" s="253"/>
      <c r="N220" s="253"/>
    </row>
    <row r="221" spans="2:14" ht="16.2" x14ac:dyDescent="0.3">
      <c r="B221" s="253" t="s">
        <v>0</v>
      </c>
      <c r="C221" s="372" t="s">
        <v>1069</v>
      </c>
      <c r="D221" s="253" t="s">
        <v>17</v>
      </c>
      <c r="E221" s="253" t="s">
        <v>969</v>
      </c>
      <c r="F221" s="253" t="s">
        <v>1057</v>
      </c>
      <c r="G221" s="256" t="s">
        <v>1057</v>
      </c>
      <c r="H221" s="256" t="s">
        <v>1057</v>
      </c>
      <c r="I221" s="256"/>
      <c r="J221" s="256" t="str">
        <f>+VLOOKUP(E221,Controlos!A:I,9,FALSE)</f>
        <v>Por iniciar</v>
      </c>
      <c r="K221" s="256" t="s">
        <v>801</v>
      </c>
      <c r="L221" s="253"/>
      <c r="M221" s="253"/>
      <c r="N221" s="253"/>
    </row>
    <row r="222" spans="2:14" ht="16.2" x14ac:dyDescent="0.3">
      <c r="B222" s="253" t="s">
        <v>0</v>
      </c>
      <c r="C222" s="372" t="s">
        <v>1069</v>
      </c>
      <c r="D222" s="253" t="s">
        <v>17</v>
      </c>
      <c r="E222" s="253" t="s">
        <v>970</v>
      </c>
      <c r="F222" s="253" t="s">
        <v>1057</v>
      </c>
      <c r="G222" s="256" t="s">
        <v>1057</v>
      </c>
      <c r="H222" s="256" t="s">
        <v>1057</v>
      </c>
      <c r="I222" s="256"/>
      <c r="J222" s="256" t="str">
        <f>+VLOOKUP(E222,Controlos!A:I,9,FALSE)</f>
        <v>Por iniciar</v>
      </c>
      <c r="K222" s="256" t="s">
        <v>801</v>
      </c>
      <c r="L222" s="253"/>
      <c r="M222" s="253"/>
      <c r="N222" s="253"/>
    </row>
    <row r="223" spans="2:14" ht="16.2" x14ac:dyDescent="0.3">
      <c r="B223" s="253" t="s">
        <v>0</v>
      </c>
      <c r="C223" s="372" t="s">
        <v>1069</v>
      </c>
      <c r="D223" s="253" t="s">
        <v>17</v>
      </c>
      <c r="E223" s="253" t="s">
        <v>971</v>
      </c>
      <c r="F223" s="253" t="s">
        <v>1057</v>
      </c>
      <c r="G223" s="256" t="s">
        <v>1057</v>
      </c>
      <c r="H223" s="256" t="s">
        <v>1057</v>
      </c>
      <c r="I223" s="256"/>
      <c r="J223" s="256" t="str">
        <f>+VLOOKUP(E223,Controlos!A:I,9,FALSE)</f>
        <v>Por iniciar</v>
      </c>
      <c r="K223" s="256" t="s">
        <v>801</v>
      </c>
      <c r="L223" s="253"/>
      <c r="M223" s="253"/>
      <c r="N223" s="253"/>
    </row>
    <row r="224" spans="2:14" ht="16.2" x14ac:dyDescent="0.3">
      <c r="B224" s="253" t="s">
        <v>0</v>
      </c>
      <c r="C224" s="372" t="s">
        <v>1069</v>
      </c>
      <c r="D224" s="253" t="s">
        <v>17</v>
      </c>
      <c r="E224" s="253" t="s">
        <v>972</v>
      </c>
      <c r="F224" s="253" t="s">
        <v>1057</v>
      </c>
      <c r="G224" s="256" t="s">
        <v>1057</v>
      </c>
      <c r="H224" s="256" t="s">
        <v>1057</v>
      </c>
      <c r="I224" s="256"/>
      <c r="J224" s="256" t="str">
        <f>+VLOOKUP(E224,Controlos!A:I,9,FALSE)</f>
        <v>Concluído</v>
      </c>
      <c r="K224" s="256" t="s">
        <v>147</v>
      </c>
      <c r="L224" s="253"/>
      <c r="M224" s="253"/>
      <c r="N224" s="253"/>
    </row>
    <row r="225" spans="2:14" ht="16.2" x14ac:dyDescent="0.3">
      <c r="B225" s="253" t="s">
        <v>0</v>
      </c>
      <c r="C225" s="372" t="s">
        <v>1069</v>
      </c>
      <c r="D225" s="253" t="s">
        <v>17</v>
      </c>
      <c r="E225" s="253" t="s">
        <v>973</v>
      </c>
      <c r="F225" s="253" t="s">
        <v>1057</v>
      </c>
      <c r="G225" s="256" t="s">
        <v>1057</v>
      </c>
      <c r="H225" s="256" t="s">
        <v>1057</v>
      </c>
      <c r="I225" s="256"/>
      <c r="J225" s="256" t="str">
        <f>+VLOOKUP(E225,Controlos!A:I,9,FALSE)</f>
        <v>Concluído</v>
      </c>
      <c r="K225" s="256" t="s">
        <v>147</v>
      </c>
      <c r="L225" s="253"/>
      <c r="M225" s="253"/>
      <c r="N225" s="253"/>
    </row>
    <row r="226" spans="2:14" ht="16.2" x14ac:dyDescent="0.3">
      <c r="B226" s="253" t="s">
        <v>0</v>
      </c>
      <c r="C226" s="372" t="s">
        <v>1069</v>
      </c>
      <c r="D226" s="253" t="s">
        <v>17</v>
      </c>
      <c r="E226" s="253" t="s">
        <v>974</v>
      </c>
      <c r="F226" s="253" t="s">
        <v>1057</v>
      </c>
      <c r="G226" s="256" t="s">
        <v>1057</v>
      </c>
      <c r="H226" s="256" t="s">
        <v>1057</v>
      </c>
      <c r="I226" s="256"/>
      <c r="J226" s="256" t="str">
        <f>+VLOOKUP(E226,Controlos!A:I,9,FALSE)</f>
        <v>Por iniciar</v>
      </c>
      <c r="K226" s="256" t="s">
        <v>801</v>
      </c>
      <c r="L226" s="253"/>
      <c r="M226" s="253"/>
      <c r="N226" s="253"/>
    </row>
    <row r="227" spans="2:14" ht="16.2" x14ac:dyDescent="0.3">
      <c r="B227" s="253" t="s">
        <v>0</v>
      </c>
      <c r="C227" s="372" t="s">
        <v>1069</v>
      </c>
      <c r="D227" s="253" t="s">
        <v>17</v>
      </c>
      <c r="E227" s="253" t="s">
        <v>975</v>
      </c>
      <c r="F227" s="253" t="s">
        <v>1057</v>
      </c>
      <c r="G227" s="256" t="s">
        <v>1057</v>
      </c>
      <c r="H227" s="256" t="s">
        <v>1057</v>
      </c>
      <c r="I227" s="256"/>
      <c r="J227" s="256" t="str">
        <f>+VLOOKUP(E227,Controlos!A:I,9,FALSE)</f>
        <v>Por iniciar</v>
      </c>
      <c r="K227" s="256" t="s">
        <v>801</v>
      </c>
      <c r="L227" s="253"/>
      <c r="M227" s="253"/>
      <c r="N227" s="253"/>
    </row>
    <row r="228" spans="2:14" ht="16.2" x14ac:dyDescent="0.3">
      <c r="B228" s="253" t="s">
        <v>0</v>
      </c>
      <c r="C228" s="372" t="s">
        <v>1069</v>
      </c>
      <c r="D228" s="253" t="s">
        <v>17</v>
      </c>
      <c r="E228" s="253" t="s">
        <v>976</v>
      </c>
      <c r="F228" s="253" t="s">
        <v>1057</v>
      </c>
      <c r="G228" s="256" t="s">
        <v>1057</v>
      </c>
      <c r="H228" s="256" t="s">
        <v>1057</v>
      </c>
      <c r="I228" s="256"/>
      <c r="J228" s="256" t="str">
        <f>+VLOOKUP(E228,Controlos!A:I,9,FALSE)</f>
        <v>Concluído</v>
      </c>
      <c r="K228" s="256" t="s">
        <v>147</v>
      </c>
      <c r="L228" s="253"/>
      <c r="M228" s="253"/>
      <c r="N228" s="253"/>
    </row>
    <row r="229" spans="2:14" ht="16.2" x14ac:dyDescent="0.3">
      <c r="B229" s="253" t="s">
        <v>0</v>
      </c>
      <c r="C229" s="372" t="s">
        <v>1069</v>
      </c>
      <c r="D229" s="253" t="s">
        <v>17</v>
      </c>
      <c r="E229" s="253" t="s">
        <v>977</v>
      </c>
      <c r="F229" s="253" t="s">
        <v>1057</v>
      </c>
      <c r="G229" s="256" t="s">
        <v>1057</v>
      </c>
      <c r="H229" s="256" t="s">
        <v>1057</v>
      </c>
      <c r="I229" s="256"/>
      <c r="J229" s="256" t="str">
        <f>+VLOOKUP(E229,Controlos!A:I,9,FALSE)</f>
        <v>Por iniciar</v>
      </c>
      <c r="K229" s="256" t="s">
        <v>801</v>
      </c>
      <c r="L229" s="253"/>
      <c r="M229" s="253"/>
      <c r="N229" s="253"/>
    </row>
    <row r="230" spans="2:14" ht="16.2" x14ac:dyDescent="0.3">
      <c r="B230" s="253" t="s">
        <v>0</v>
      </c>
      <c r="C230" s="372" t="s">
        <v>1069</v>
      </c>
      <c r="D230" s="253" t="s">
        <v>17</v>
      </c>
      <c r="E230" s="253" t="s">
        <v>978</v>
      </c>
      <c r="F230" s="253" t="s">
        <v>1057</v>
      </c>
      <c r="G230" s="256" t="s">
        <v>1057</v>
      </c>
      <c r="H230" s="256" t="s">
        <v>1057</v>
      </c>
      <c r="I230" s="256"/>
      <c r="J230" s="256" t="str">
        <f>+VLOOKUP(E230,Controlos!A:I,9,FALSE)</f>
        <v>Por iniciar</v>
      </c>
      <c r="K230" s="256" t="s">
        <v>801</v>
      </c>
      <c r="L230" s="253"/>
      <c r="M230" s="253"/>
      <c r="N230" s="253"/>
    </row>
    <row r="231" spans="2:14" ht="16.2" x14ac:dyDescent="0.3">
      <c r="B231" s="253" t="s">
        <v>0</v>
      </c>
      <c r="C231" s="372" t="s">
        <v>1069</v>
      </c>
      <c r="D231" s="253" t="s">
        <v>17</v>
      </c>
      <c r="E231" s="253" t="s">
        <v>979</v>
      </c>
      <c r="F231" s="253" t="s">
        <v>1057</v>
      </c>
      <c r="G231" s="256" t="s">
        <v>1057</v>
      </c>
      <c r="H231" s="256" t="s">
        <v>1057</v>
      </c>
      <c r="I231" s="256"/>
      <c r="J231" s="256" t="str">
        <f>+VLOOKUP(E231,Controlos!A:I,9,FALSE)</f>
        <v>Concluído</v>
      </c>
      <c r="K231" s="256" t="s">
        <v>147</v>
      </c>
      <c r="L231" s="253"/>
      <c r="M231" s="253"/>
      <c r="N231" s="253"/>
    </row>
    <row r="232" spans="2:14" ht="16.2" x14ac:dyDescent="0.3">
      <c r="B232" s="253" t="s">
        <v>0</v>
      </c>
      <c r="C232" s="372" t="s">
        <v>1069</v>
      </c>
      <c r="D232" s="253" t="s">
        <v>17</v>
      </c>
      <c r="E232" s="253" t="s">
        <v>980</v>
      </c>
      <c r="F232" s="253" t="s">
        <v>1057</v>
      </c>
      <c r="G232" s="256" t="s">
        <v>1057</v>
      </c>
      <c r="H232" s="256" t="s">
        <v>1057</v>
      </c>
      <c r="I232" s="256"/>
      <c r="J232" s="256" t="str">
        <f>+VLOOKUP(E232,Controlos!A:I,9,FALSE)</f>
        <v>Concluído</v>
      </c>
      <c r="K232" s="256" t="s">
        <v>147</v>
      </c>
      <c r="L232" s="253"/>
      <c r="M232" s="253"/>
      <c r="N232" s="253"/>
    </row>
    <row r="233" spans="2:14" ht="16.2" x14ac:dyDescent="0.3">
      <c r="B233" s="253" t="s">
        <v>0</v>
      </c>
      <c r="C233" s="372" t="s">
        <v>1069</v>
      </c>
      <c r="D233" s="253" t="s">
        <v>17</v>
      </c>
      <c r="E233" s="253" t="s">
        <v>981</v>
      </c>
      <c r="F233" s="253" t="s">
        <v>1057</v>
      </c>
      <c r="G233" s="256" t="s">
        <v>1057</v>
      </c>
      <c r="H233" s="256" t="s">
        <v>1057</v>
      </c>
      <c r="I233" s="256"/>
      <c r="J233" s="256" t="str">
        <f>+VLOOKUP(E233,Controlos!A:I,9,FALSE)</f>
        <v>Por iniciar</v>
      </c>
      <c r="K233" s="256" t="s">
        <v>801</v>
      </c>
      <c r="L233" s="253"/>
      <c r="M233" s="253"/>
      <c r="N233" s="253"/>
    </row>
    <row r="234" spans="2:14" ht="16.2" x14ac:dyDescent="0.3">
      <c r="B234" s="253" t="s">
        <v>0</v>
      </c>
      <c r="C234" s="372" t="s">
        <v>1069</v>
      </c>
      <c r="D234" s="253" t="s">
        <v>17</v>
      </c>
      <c r="E234" s="253" t="s">
        <v>982</v>
      </c>
      <c r="F234" s="253" t="s">
        <v>1057</v>
      </c>
      <c r="G234" s="256" t="s">
        <v>1057</v>
      </c>
      <c r="H234" s="256" t="s">
        <v>1057</v>
      </c>
      <c r="I234" s="256"/>
      <c r="J234" s="256" t="str">
        <f>+VLOOKUP(E234,Controlos!A:I,9,FALSE)</f>
        <v>Concluído</v>
      </c>
      <c r="K234" s="256" t="s">
        <v>147</v>
      </c>
      <c r="L234" s="253"/>
      <c r="M234" s="253"/>
      <c r="N234" s="253"/>
    </row>
    <row r="235" spans="2:14" ht="16.2" x14ac:dyDescent="0.3">
      <c r="B235" s="253" t="s">
        <v>0</v>
      </c>
      <c r="C235" s="372" t="s">
        <v>1069</v>
      </c>
      <c r="D235" s="253" t="s">
        <v>17</v>
      </c>
      <c r="E235" s="253" t="s">
        <v>983</v>
      </c>
      <c r="F235" s="253" t="s">
        <v>1057</v>
      </c>
      <c r="G235" s="256" t="s">
        <v>1057</v>
      </c>
      <c r="H235" s="256" t="s">
        <v>1057</v>
      </c>
      <c r="I235" s="256"/>
      <c r="J235" s="256" t="str">
        <f>+VLOOKUP(E235,Controlos!A:I,9,FALSE)</f>
        <v>Pendente de desenvolv.</v>
      </c>
      <c r="K235" s="256" t="s">
        <v>882</v>
      </c>
      <c r="L235" s="253"/>
      <c r="M235" s="253"/>
      <c r="N235" s="253"/>
    </row>
    <row r="236" spans="2:14" ht="16.2" x14ac:dyDescent="0.3">
      <c r="B236" s="253" t="s">
        <v>0</v>
      </c>
      <c r="C236" s="372" t="s">
        <v>1069</v>
      </c>
      <c r="D236" s="253" t="s">
        <v>17</v>
      </c>
      <c r="E236" s="253" t="s">
        <v>984</v>
      </c>
      <c r="F236" s="253" t="s">
        <v>1057</v>
      </c>
      <c r="G236" s="256" t="s">
        <v>1057</v>
      </c>
      <c r="H236" s="256" t="s">
        <v>1057</v>
      </c>
      <c r="I236" s="256"/>
      <c r="J236" s="256" t="str">
        <f>+VLOOKUP(E236,Controlos!A:I,9,FALSE)</f>
        <v>Pendente de desenvolv.</v>
      </c>
      <c r="K236" s="256" t="s">
        <v>882</v>
      </c>
      <c r="L236" s="253"/>
      <c r="M236" s="253"/>
      <c r="N236" s="253"/>
    </row>
    <row r="237" spans="2:14" ht="16.2" x14ac:dyDescent="0.3">
      <c r="B237" s="253" t="s">
        <v>0</v>
      </c>
      <c r="C237" s="372" t="s">
        <v>1069</v>
      </c>
      <c r="D237" s="253" t="s">
        <v>17</v>
      </c>
      <c r="E237" s="253" t="s">
        <v>985</v>
      </c>
      <c r="F237" s="253" t="s">
        <v>1057</v>
      </c>
      <c r="G237" s="256" t="s">
        <v>1057</v>
      </c>
      <c r="H237" s="256" t="s">
        <v>1057</v>
      </c>
      <c r="I237" s="256"/>
      <c r="J237" s="256" t="str">
        <f>+VLOOKUP(E237,Controlos!A:I,9,FALSE)</f>
        <v>Por iniciar</v>
      </c>
      <c r="K237" s="256" t="s">
        <v>801</v>
      </c>
      <c r="L237" s="253"/>
      <c r="M237" s="253"/>
      <c r="N237" s="253"/>
    </row>
    <row r="238" spans="2:14" ht="16.2" x14ac:dyDescent="0.3">
      <c r="B238" s="253" t="s">
        <v>0</v>
      </c>
      <c r="C238" s="372" t="s">
        <v>1069</v>
      </c>
      <c r="D238" s="253" t="s">
        <v>17</v>
      </c>
      <c r="E238" s="253" t="s">
        <v>986</v>
      </c>
      <c r="F238" s="253" t="s">
        <v>1057</v>
      </c>
      <c r="G238" s="256" t="s">
        <v>1057</v>
      </c>
      <c r="H238" s="256" t="s">
        <v>1057</v>
      </c>
      <c r="I238" s="256"/>
      <c r="J238" s="256" t="str">
        <f>+VLOOKUP(E238,Controlos!A:I,9,FALSE)</f>
        <v>Concluído</v>
      </c>
      <c r="K238" s="256" t="s">
        <v>147</v>
      </c>
      <c r="L238" s="253"/>
      <c r="M238" s="253"/>
      <c r="N238" s="253"/>
    </row>
    <row r="239" spans="2:14" ht="16.2" x14ac:dyDescent="0.3">
      <c r="B239" s="253" t="s">
        <v>0</v>
      </c>
      <c r="C239" s="372" t="s">
        <v>1069</v>
      </c>
      <c r="D239" s="253" t="s">
        <v>17</v>
      </c>
      <c r="E239" s="253" t="s">
        <v>987</v>
      </c>
      <c r="F239" s="253" t="s">
        <v>1057</v>
      </c>
      <c r="G239" s="256" t="s">
        <v>1057</v>
      </c>
      <c r="H239" s="256" t="s">
        <v>1057</v>
      </c>
      <c r="I239" s="256"/>
      <c r="J239" s="256" t="str">
        <f>+VLOOKUP(E239,Controlos!A:I,9,FALSE)</f>
        <v>Pendente de desenvolv.</v>
      </c>
      <c r="K239" s="256" t="s">
        <v>882</v>
      </c>
      <c r="L239" s="253"/>
      <c r="M239" s="253"/>
      <c r="N239" s="253"/>
    </row>
    <row r="240" spans="2:14" ht="16.2" x14ac:dyDescent="0.3">
      <c r="B240" s="253" t="s">
        <v>0</v>
      </c>
      <c r="C240" s="372" t="s">
        <v>1069</v>
      </c>
      <c r="D240" s="253" t="s">
        <v>17</v>
      </c>
      <c r="E240" s="253" t="s">
        <v>988</v>
      </c>
      <c r="F240" s="253" t="s">
        <v>1057</v>
      </c>
      <c r="G240" s="256" t="s">
        <v>1057</v>
      </c>
      <c r="H240" s="256" t="s">
        <v>1057</v>
      </c>
      <c r="I240" s="256"/>
      <c r="J240" s="256" t="str">
        <f>+VLOOKUP(E240,Controlos!A:I,9,FALSE)</f>
        <v>Pendente de desenvolv.</v>
      </c>
      <c r="K240" s="256" t="s">
        <v>882</v>
      </c>
      <c r="L240" s="253"/>
      <c r="M240" s="253"/>
      <c r="N240" s="253"/>
    </row>
    <row r="241" spans="2:14" ht="16.2" x14ac:dyDescent="0.3">
      <c r="B241" s="253" t="s">
        <v>0</v>
      </c>
      <c r="C241" s="372" t="s">
        <v>1069</v>
      </c>
      <c r="D241" s="253" t="s">
        <v>17</v>
      </c>
      <c r="E241" s="253" t="s">
        <v>989</v>
      </c>
      <c r="F241" s="253" t="s">
        <v>1057</v>
      </c>
      <c r="G241" s="256" t="s">
        <v>1057</v>
      </c>
      <c r="H241" s="256" t="s">
        <v>1057</v>
      </c>
      <c r="I241" s="256"/>
      <c r="J241" s="256" t="str">
        <f>+VLOOKUP(E241,Controlos!A:I,9,FALSE)</f>
        <v>Por iniciar</v>
      </c>
      <c r="K241" s="256" t="s">
        <v>801</v>
      </c>
      <c r="L241" s="253"/>
      <c r="M241" s="253"/>
      <c r="N241" s="253"/>
    </row>
    <row r="242" spans="2:14" ht="16.2" x14ac:dyDescent="0.3">
      <c r="B242" s="253" t="s">
        <v>0</v>
      </c>
      <c r="C242" s="372" t="s">
        <v>1069</v>
      </c>
      <c r="D242" s="253" t="s">
        <v>17</v>
      </c>
      <c r="E242" s="253" t="s">
        <v>990</v>
      </c>
      <c r="F242" s="253" t="s">
        <v>1057</v>
      </c>
      <c r="G242" s="256" t="s">
        <v>1057</v>
      </c>
      <c r="H242" s="256" t="s">
        <v>1057</v>
      </c>
      <c r="I242" s="256"/>
      <c r="J242" s="256" t="str">
        <f>+VLOOKUP(E242,Controlos!A:I,9,FALSE)</f>
        <v>Com incidências</v>
      </c>
      <c r="K242" s="256" t="s">
        <v>1099</v>
      </c>
      <c r="L242" s="253"/>
      <c r="M242" s="253"/>
      <c r="N242" s="253"/>
    </row>
    <row r="243" spans="2:14" ht="16.2" x14ac:dyDescent="0.3">
      <c r="B243" s="253" t="s">
        <v>0</v>
      </c>
      <c r="C243" s="372" t="s">
        <v>1069</v>
      </c>
      <c r="D243" s="253" t="s">
        <v>17</v>
      </c>
      <c r="E243" s="253" t="s">
        <v>991</v>
      </c>
      <c r="F243" s="253" t="s">
        <v>1057</v>
      </c>
      <c r="G243" s="256" t="s">
        <v>1057</v>
      </c>
      <c r="H243" s="256" t="s">
        <v>1057</v>
      </c>
      <c r="I243" s="256"/>
      <c r="J243" s="256" t="str">
        <f>+VLOOKUP(E243,Controlos!A:I,9,FALSE)</f>
        <v>Com incidências</v>
      </c>
      <c r="K243" s="256" t="s">
        <v>1099</v>
      </c>
      <c r="L243" s="253"/>
      <c r="M243" s="253"/>
      <c r="N243" s="253"/>
    </row>
    <row r="244" spans="2:14" ht="16.2" x14ac:dyDescent="0.3">
      <c r="B244" s="253" t="s">
        <v>0</v>
      </c>
      <c r="C244" s="372" t="s">
        <v>1069</v>
      </c>
      <c r="D244" s="253" t="s">
        <v>17</v>
      </c>
      <c r="E244" s="253" t="s">
        <v>992</v>
      </c>
      <c r="F244" s="253" t="s">
        <v>1057</v>
      </c>
      <c r="G244" s="256" t="s">
        <v>1057</v>
      </c>
      <c r="H244" s="256" t="s">
        <v>1057</v>
      </c>
      <c r="I244" s="256"/>
      <c r="J244" s="256" t="str">
        <f>+VLOOKUP(E244,Controlos!A:I,9,FALSE)</f>
        <v>Concluído</v>
      </c>
      <c r="K244" s="256" t="s">
        <v>147</v>
      </c>
      <c r="L244" s="253"/>
      <c r="M244" s="253"/>
      <c r="N244" s="253"/>
    </row>
    <row r="245" spans="2:14" ht="16.2" x14ac:dyDescent="0.3">
      <c r="B245" s="253" t="s">
        <v>0</v>
      </c>
      <c r="C245" s="372" t="s">
        <v>1069</v>
      </c>
      <c r="D245" s="253" t="s">
        <v>17</v>
      </c>
      <c r="E245" s="253" t="s">
        <v>993</v>
      </c>
      <c r="F245" s="253" t="s">
        <v>1057</v>
      </c>
      <c r="G245" s="256" t="s">
        <v>1057</v>
      </c>
      <c r="H245" s="256" t="s">
        <v>1057</v>
      </c>
      <c r="I245" s="256"/>
      <c r="J245" s="256" t="str">
        <f>+VLOOKUP(E245,Controlos!A:I,9,FALSE)</f>
        <v>Concluído</v>
      </c>
      <c r="K245" s="256" t="s">
        <v>147</v>
      </c>
      <c r="L245" s="253"/>
      <c r="M245" s="253"/>
      <c r="N245" s="253"/>
    </row>
    <row r="246" spans="2:14" ht="16.2" x14ac:dyDescent="0.3">
      <c r="B246" s="253" t="s">
        <v>0</v>
      </c>
      <c r="C246" s="372" t="s">
        <v>1069</v>
      </c>
      <c r="D246" s="253" t="s">
        <v>17</v>
      </c>
      <c r="E246" s="253" t="s">
        <v>994</v>
      </c>
      <c r="F246" s="253" t="s">
        <v>1057</v>
      </c>
      <c r="G246" s="256" t="s">
        <v>1057</v>
      </c>
      <c r="H246" s="256" t="s">
        <v>1057</v>
      </c>
      <c r="I246" s="256"/>
      <c r="J246" s="256" t="str">
        <f>+VLOOKUP(E246,Controlos!A:I,9,FALSE)</f>
        <v>Concluído</v>
      </c>
      <c r="K246" s="256" t="s">
        <v>147</v>
      </c>
      <c r="L246" s="253"/>
      <c r="M246" s="253"/>
      <c r="N246" s="253"/>
    </row>
    <row r="247" spans="2:14" ht="16.2" x14ac:dyDescent="0.3">
      <c r="B247" s="253" t="s">
        <v>0</v>
      </c>
      <c r="C247" s="372" t="s">
        <v>1069</v>
      </c>
      <c r="D247" s="253" t="s">
        <v>17</v>
      </c>
      <c r="E247" s="253" t="s">
        <v>995</v>
      </c>
      <c r="F247" s="253" t="s">
        <v>1057</v>
      </c>
      <c r="G247" s="256" t="s">
        <v>1057</v>
      </c>
      <c r="H247" s="256" t="s">
        <v>1057</v>
      </c>
      <c r="I247" s="256"/>
      <c r="J247" s="256" t="str">
        <f>+VLOOKUP(E247,Controlos!A:I,9,FALSE)</f>
        <v>Concluído</v>
      </c>
      <c r="K247" s="256" t="s">
        <v>147</v>
      </c>
      <c r="L247" s="253"/>
      <c r="M247" s="253"/>
      <c r="N247" s="253"/>
    </row>
    <row r="248" spans="2:14" ht="16.2" x14ac:dyDescent="0.3">
      <c r="B248" s="253" t="s">
        <v>0</v>
      </c>
      <c r="C248" s="372" t="s">
        <v>1069</v>
      </c>
      <c r="D248" s="253" t="s">
        <v>17</v>
      </c>
      <c r="E248" s="253" t="s">
        <v>996</v>
      </c>
      <c r="F248" s="253" t="s">
        <v>1057</v>
      </c>
      <c r="G248" s="256" t="s">
        <v>1057</v>
      </c>
      <c r="H248" s="256" t="s">
        <v>1057</v>
      </c>
      <c r="I248" s="256"/>
      <c r="J248" s="256" t="str">
        <f>+VLOOKUP(E248,Controlos!A:I,9,FALSE)</f>
        <v>Por iniciar</v>
      </c>
      <c r="K248" s="256" t="s">
        <v>801</v>
      </c>
      <c r="L248" s="253"/>
      <c r="M248" s="253"/>
      <c r="N248" s="253"/>
    </row>
    <row r="249" spans="2:14" ht="16.2" x14ac:dyDescent="0.3">
      <c r="B249" s="253" t="s">
        <v>0</v>
      </c>
      <c r="C249" s="372" t="s">
        <v>1069</v>
      </c>
      <c r="D249" s="253" t="s">
        <v>17</v>
      </c>
      <c r="E249" s="253" t="s">
        <v>997</v>
      </c>
      <c r="F249" s="253" t="s">
        <v>1057</v>
      </c>
      <c r="G249" s="256" t="s">
        <v>1057</v>
      </c>
      <c r="H249" s="256" t="s">
        <v>1057</v>
      </c>
      <c r="I249" s="256"/>
      <c r="J249" s="256" t="str">
        <f>+VLOOKUP(E249,Controlos!A:I,9,FALSE)</f>
        <v>Concluído</v>
      </c>
      <c r="K249" s="256" t="s">
        <v>801</v>
      </c>
      <c r="L249" s="253"/>
      <c r="M249" s="253"/>
      <c r="N249" s="253"/>
    </row>
    <row r="250" spans="2:14" ht="16.2" x14ac:dyDescent="0.3">
      <c r="B250" s="253" t="s">
        <v>0</v>
      </c>
      <c r="C250" s="372" t="s">
        <v>1069</v>
      </c>
      <c r="D250" s="253" t="s">
        <v>17</v>
      </c>
      <c r="E250" s="253" t="s">
        <v>998</v>
      </c>
      <c r="F250" s="253" t="s">
        <v>1057</v>
      </c>
      <c r="G250" s="256" t="s">
        <v>1057</v>
      </c>
      <c r="H250" s="256" t="s">
        <v>1057</v>
      </c>
      <c r="I250" s="256"/>
      <c r="J250" s="256" t="str">
        <f>+VLOOKUP(E250,Controlos!A:I,9,FALSE)</f>
        <v>Concluído</v>
      </c>
      <c r="K250" s="256" t="s">
        <v>147</v>
      </c>
      <c r="L250" s="253"/>
      <c r="M250" s="253"/>
      <c r="N250" s="253"/>
    </row>
    <row r="251" spans="2:14" ht="16.2" x14ac:dyDescent="0.3">
      <c r="B251" s="253" t="s">
        <v>0</v>
      </c>
      <c r="C251" s="372" t="s">
        <v>1069</v>
      </c>
      <c r="D251" s="253" t="s">
        <v>17</v>
      </c>
      <c r="E251" s="253" t="s">
        <v>999</v>
      </c>
      <c r="F251" s="253" t="s">
        <v>1057</v>
      </c>
      <c r="G251" s="256" t="s">
        <v>1057</v>
      </c>
      <c r="H251" s="256" t="s">
        <v>1057</v>
      </c>
      <c r="I251" s="256"/>
      <c r="J251" s="256" t="str">
        <f>+VLOOKUP(E251,Controlos!A:I,9,FALSE)</f>
        <v>Concluído</v>
      </c>
      <c r="K251" s="256" t="s">
        <v>801</v>
      </c>
      <c r="L251" s="253"/>
      <c r="M251" s="253"/>
      <c r="N251" s="253"/>
    </row>
    <row r="252" spans="2:14" ht="16.2" x14ac:dyDescent="0.3">
      <c r="B252" s="253" t="s">
        <v>0</v>
      </c>
      <c r="C252" s="372" t="s">
        <v>1069</v>
      </c>
      <c r="D252" s="253" t="s">
        <v>17</v>
      </c>
      <c r="E252" s="253" t="s">
        <v>1000</v>
      </c>
      <c r="F252" s="253" t="s">
        <v>1057</v>
      </c>
      <c r="G252" s="256" t="s">
        <v>1057</v>
      </c>
      <c r="H252" s="256" t="s">
        <v>1057</v>
      </c>
      <c r="I252" s="256"/>
      <c r="J252" s="256" t="str">
        <f>+VLOOKUP(E252,Controlos!A:I,9,FALSE)</f>
        <v>Concluído</v>
      </c>
      <c r="K252" s="256" t="s">
        <v>147</v>
      </c>
      <c r="L252" s="253"/>
      <c r="M252" s="253"/>
      <c r="N252" s="253"/>
    </row>
    <row r="253" spans="2:14" ht="16.2" x14ac:dyDescent="0.3">
      <c r="B253" s="253" t="s">
        <v>0</v>
      </c>
      <c r="C253" s="372" t="s">
        <v>1069</v>
      </c>
      <c r="D253" s="253" t="s">
        <v>17</v>
      </c>
      <c r="E253" s="253" t="s">
        <v>1001</v>
      </c>
      <c r="F253" s="253" t="s">
        <v>1057</v>
      </c>
      <c r="G253" s="256" t="s">
        <v>1057</v>
      </c>
      <c r="H253" s="256" t="s">
        <v>1057</v>
      </c>
      <c r="I253" s="256"/>
      <c r="J253" s="256" t="str">
        <f>+VLOOKUP(E253,Controlos!A:I,9,FALSE)</f>
        <v>Concluído</v>
      </c>
      <c r="K253" s="256" t="s">
        <v>147</v>
      </c>
      <c r="L253" s="253"/>
      <c r="M253" s="253"/>
      <c r="N253" s="253"/>
    </row>
    <row r="254" spans="2:14" ht="16.2" x14ac:dyDescent="0.3">
      <c r="B254" s="253" t="s">
        <v>0</v>
      </c>
      <c r="C254" s="372" t="s">
        <v>1069</v>
      </c>
      <c r="D254" s="253" t="s">
        <v>17</v>
      </c>
      <c r="E254" s="253" t="s">
        <v>1002</v>
      </c>
      <c r="F254" s="253" t="s">
        <v>1057</v>
      </c>
      <c r="G254" s="256" t="s">
        <v>1057</v>
      </c>
      <c r="H254" s="256" t="s">
        <v>1057</v>
      </c>
      <c r="I254" s="256"/>
      <c r="J254" s="256" t="str">
        <f>+VLOOKUP(E254,Controlos!A:I,9,FALSE)</f>
        <v>Concluído</v>
      </c>
      <c r="K254" s="256" t="s">
        <v>147</v>
      </c>
      <c r="L254" s="253"/>
      <c r="M254" s="253"/>
      <c r="N254" s="253"/>
    </row>
    <row r="255" spans="2:14" ht="16.2" x14ac:dyDescent="0.3">
      <c r="B255" s="253" t="s">
        <v>0</v>
      </c>
      <c r="C255" s="372" t="s">
        <v>1069</v>
      </c>
      <c r="D255" s="253" t="s">
        <v>17</v>
      </c>
      <c r="E255" s="253" t="s">
        <v>1003</v>
      </c>
      <c r="F255" s="253" t="s">
        <v>1057</v>
      </c>
      <c r="G255" s="256" t="s">
        <v>1057</v>
      </c>
      <c r="H255" s="256" t="s">
        <v>1057</v>
      </c>
      <c r="I255" s="256"/>
      <c r="J255" s="256" t="str">
        <f>+VLOOKUP(E255,Controlos!A:I,9,FALSE)</f>
        <v>Concluído</v>
      </c>
      <c r="K255" s="256" t="s">
        <v>147</v>
      </c>
      <c r="L255" s="253"/>
      <c r="M255" s="253"/>
      <c r="N255" s="253"/>
    </row>
    <row r="256" spans="2:14" ht="16.2" x14ac:dyDescent="0.3">
      <c r="B256" s="253" t="s">
        <v>0</v>
      </c>
      <c r="C256" s="372" t="s">
        <v>1069</v>
      </c>
      <c r="D256" s="253" t="s">
        <v>17</v>
      </c>
      <c r="E256" s="253" t="s">
        <v>1004</v>
      </c>
      <c r="F256" s="253" t="s">
        <v>1057</v>
      </c>
      <c r="G256" s="256" t="s">
        <v>1057</v>
      </c>
      <c r="H256" s="256" t="s">
        <v>1057</v>
      </c>
      <c r="I256" s="256"/>
      <c r="J256" s="256" t="str">
        <f>+VLOOKUP(E256,Controlos!A:I,9,FALSE)</f>
        <v>Concluído</v>
      </c>
      <c r="K256" s="256" t="s">
        <v>147</v>
      </c>
      <c r="L256" s="253"/>
      <c r="M256" s="253"/>
      <c r="N256" s="253"/>
    </row>
    <row r="257" spans="2:14" ht="16.2" x14ac:dyDescent="0.3">
      <c r="B257" s="253" t="s">
        <v>0</v>
      </c>
      <c r="C257" s="372" t="s">
        <v>1069</v>
      </c>
      <c r="D257" s="253" t="s">
        <v>17</v>
      </c>
      <c r="E257" s="253" t="s">
        <v>1005</v>
      </c>
      <c r="F257" s="253" t="s">
        <v>1057</v>
      </c>
      <c r="G257" s="256" t="s">
        <v>1057</v>
      </c>
      <c r="H257" s="256" t="s">
        <v>1057</v>
      </c>
      <c r="I257" s="256"/>
      <c r="J257" s="256" t="str">
        <f>+VLOOKUP(E257,Controlos!A:I,9,FALSE)</f>
        <v>Concluído</v>
      </c>
      <c r="K257" s="256" t="s">
        <v>147</v>
      </c>
      <c r="L257" s="253"/>
      <c r="M257" s="253"/>
      <c r="N257" s="253"/>
    </row>
    <row r="258" spans="2:14" ht="16.2" x14ac:dyDescent="0.3">
      <c r="B258" s="253" t="s">
        <v>0</v>
      </c>
      <c r="C258" s="372" t="s">
        <v>1069</v>
      </c>
      <c r="D258" s="253" t="s">
        <v>17</v>
      </c>
      <c r="E258" s="253" t="s">
        <v>1006</v>
      </c>
      <c r="F258" s="253" t="s">
        <v>1057</v>
      </c>
      <c r="G258" s="256" t="s">
        <v>1057</v>
      </c>
      <c r="H258" s="256" t="s">
        <v>1057</v>
      </c>
      <c r="I258" s="256"/>
      <c r="J258" s="256" t="str">
        <f>+VLOOKUP(E258,Controlos!A:I,9,FALSE)</f>
        <v>Concluído</v>
      </c>
      <c r="K258" s="256" t="s">
        <v>147</v>
      </c>
      <c r="L258" s="253"/>
      <c r="M258" s="253"/>
      <c r="N258" s="253"/>
    </row>
    <row r="259" spans="2:14" ht="16.2" x14ac:dyDescent="0.3">
      <c r="B259" s="253" t="s">
        <v>0</v>
      </c>
      <c r="C259" s="372" t="s">
        <v>1069</v>
      </c>
      <c r="D259" s="253" t="s">
        <v>17</v>
      </c>
      <c r="E259" s="253" t="s">
        <v>1007</v>
      </c>
      <c r="F259" s="253" t="s">
        <v>1057</v>
      </c>
      <c r="G259" s="256" t="s">
        <v>1057</v>
      </c>
      <c r="H259" s="256" t="s">
        <v>1057</v>
      </c>
      <c r="I259" s="256"/>
      <c r="J259" s="256" t="str">
        <f>+VLOOKUP(E259,Controlos!A:I,9,FALSE)</f>
        <v>Concluído</v>
      </c>
      <c r="K259" s="256" t="s">
        <v>147</v>
      </c>
      <c r="L259" s="253"/>
      <c r="M259" s="253"/>
      <c r="N259" s="253"/>
    </row>
    <row r="260" spans="2:14" ht="16.2" x14ac:dyDescent="0.3">
      <c r="B260" s="253" t="s">
        <v>0</v>
      </c>
      <c r="C260" s="372" t="s">
        <v>1069</v>
      </c>
      <c r="D260" s="253" t="s">
        <v>17</v>
      </c>
      <c r="E260" s="253" t="s">
        <v>1008</v>
      </c>
      <c r="F260" s="253" t="s">
        <v>1057</v>
      </c>
      <c r="G260" s="256" t="s">
        <v>1057</v>
      </c>
      <c r="H260" s="256" t="s">
        <v>1057</v>
      </c>
      <c r="I260" s="256"/>
      <c r="J260" s="256" t="str">
        <f>+VLOOKUP(E260,Controlos!A:I,9,FALSE)</f>
        <v>Concluído</v>
      </c>
      <c r="K260" s="256" t="s">
        <v>147</v>
      </c>
      <c r="L260" s="253"/>
      <c r="M260" s="253"/>
      <c r="N260" s="253"/>
    </row>
    <row r="261" spans="2:14" ht="16.2" x14ac:dyDescent="0.3">
      <c r="B261" s="253" t="s">
        <v>0</v>
      </c>
      <c r="C261" s="372" t="s">
        <v>1069</v>
      </c>
      <c r="D261" s="253" t="s">
        <v>17</v>
      </c>
      <c r="E261" s="253" t="s">
        <v>1009</v>
      </c>
      <c r="F261" s="253" t="s">
        <v>1057</v>
      </c>
      <c r="G261" s="256" t="s">
        <v>1057</v>
      </c>
      <c r="H261" s="256" t="s">
        <v>1057</v>
      </c>
      <c r="I261" s="256"/>
      <c r="J261" s="256" t="str">
        <f>+VLOOKUP(E261,Controlos!A:I,9,FALSE)</f>
        <v>Pendente de desenvolv.</v>
      </c>
      <c r="K261" s="256" t="s">
        <v>147</v>
      </c>
      <c r="L261" s="253"/>
      <c r="M261" s="253"/>
      <c r="N261" s="253"/>
    </row>
    <row r="262" spans="2:14" ht="16.2" x14ac:dyDescent="0.3">
      <c r="B262" s="253" t="s">
        <v>0</v>
      </c>
      <c r="C262" s="372" t="s">
        <v>1069</v>
      </c>
      <c r="D262" s="253" t="s">
        <v>17</v>
      </c>
      <c r="E262" s="253" t="s">
        <v>1010</v>
      </c>
      <c r="F262" s="253" t="s">
        <v>1057</v>
      </c>
      <c r="G262" s="256" t="s">
        <v>1057</v>
      </c>
      <c r="H262" s="256" t="s">
        <v>1057</v>
      </c>
      <c r="I262" s="256"/>
      <c r="J262" s="256" t="str">
        <f>+VLOOKUP(E262,Controlos!A:I,9,FALSE)</f>
        <v>Concluído</v>
      </c>
      <c r="K262" s="256" t="s">
        <v>147</v>
      </c>
      <c r="L262" s="253"/>
      <c r="M262" s="253"/>
      <c r="N262" s="253"/>
    </row>
    <row r="263" spans="2:14" ht="16.2" x14ac:dyDescent="0.3">
      <c r="B263" s="253" t="s">
        <v>0</v>
      </c>
      <c r="C263" s="372" t="s">
        <v>1069</v>
      </c>
      <c r="D263" s="253" t="s">
        <v>17</v>
      </c>
      <c r="E263" s="253" t="s">
        <v>1011</v>
      </c>
      <c r="F263" s="253" t="s">
        <v>1057</v>
      </c>
      <c r="G263" s="256" t="s">
        <v>1057</v>
      </c>
      <c r="H263" s="256" t="s">
        <v>1057</v>
      </c>
      <c r="I263" s="256"/>
      <c r="J263" s="256" t="str">
        <f>+VLOOKUP(E263,Controlos!A:I,9,FALSE)</f>
        <v>Concluído</v>
      </c>
      <c r="K263" s="256" t="s">
        <v>147</v>
      </c>
      <c r="L263" s="253"/>
      <c r="M263" s="253"/>
      <c r="N263" s="253"/>
    </row>
    <row r="264" spans="2:14" ht="16.2" x14ac:dyDescent="0.3">
      <c r="B264" s="253" t="s">
        <v>0</v>
      </c>
      <c r="C264" s="372" t="s">
        <v>1069</v>
      </c>
      <c r="D264" s="253" t="s">
        <v>17</v>
      </c>
      <c r="E264" s="253" t="s">
        <v>1012</v>
      </c>
      <c r="F264" s="253" t="s">
        <v>1057</v>
      </c>
      <c r="G264" s="256" t="s">
        <v>1057</v>
      </c>
      <c r="H264" s="256" t="s">
        <v>1057</v>
      </c>
      <c r="I264" s="256"/>
      <c r="J264" s="256" t="str">
        <f>+VLOOKUP(E264,Controlos!A:I,9,FALSE)</f>
        <v>Com incidências</v>
      </c>
      <c r="K264" s="256" t="s">
        <v>1099</v>
      </c>
      <c r="L264" s="253"/>
      <c r="M264" s="253"/>
      <c r="N264" s="253"/>
    </row>
    <row r="265" spans="2:14" ht="16.2" x14ac:dyDescent="0.3">
      <c r="B265" s="253" t="s">
        <v>0</v>
      </c>
      <c r="C265" s="372" t="s">
        <v>1069</v>
      </c>
      <c r="D265" s="253" t="s">
        <v>17</v>
      </c>
      <c r="E265" s="253" t="s">
        <v>1013</v>
      </c>
      <c r="F265" s="253" t="s">
        <v>1057</v>
      </c>
      <c r="G265" s="256" t="s">
        <v>1057</v>
      </c>
      <c r="H265" s="256" t="s">
        <v>1057</v>
      </c>
      <c r="I265" s="256"/>
      <c r="J265" s="256" t="str">
        <f>+VLOOKUP(E265,Controlos!A:I,9,FALSE)</f>
        <v>Concluído</v>
      </c>
      <c r="K265" s="256" t="s">
        <v>147</v>
      </c>
      <c r="L265" s="253"/>
      <c r="M265" s="253"/>
      <c r="N265" s="253"/>
    </row>
    <row r="266" spans="2:14" ht="16.2" x14ac:dyDescent="0.3">
      <c r="B266" s="253" t="s">
        <v>0</v>
      </c>
      <c r="C266" s="372" t="s">
        <v>1069</v>
      </c>
      <c r="D266" s="253" t="s">
        <v>17</v>
      </c>
      <c r="E266" s="253" t="s">
        <v>1014</v>
      </c>
      <c r="F266" s="253" t="s">
        <v>1057</v>
      </c>
      <c r="G266" s="256" t="s">
        <v>1057</v>
      </c>
      <c r="H266" s="256" t="s">
        <v>1057</v>
      </c>
      <c r="I266" s="256"/>
      <c r="J266" s="256" t="str">
        <f>+VLOOKUP(E266,Controlos!A:I,9,FALSE)</f>
        <v>Com incidências</v>
      </c>
      <c r="K266" s="256" t="s">
        <v>1099</v>
      </c>
      <c r="L266" s="253"/>
      <c r="M266" s="253"/>
      <c r="N266" s="253"/>
    </row>
    <row r="267" spans="2:14" ht="16.2" x14ac:dyDescent="0.3">
      <c r="B267" s="253" t="s">
        <v>0</v>
      </c>
      <c r="C267" s="372" t="s">
        <v>1069</v>
      </c>
      <c r="D267" s="253" t="s">
        <v>17</v>
      </c>
      <c r="E267" s="253" t="s">
        <v>1015</v>
      </c>
      <c r="F267" s="253" t="s">
        <v>1057</v>
      </c>
      <c r="G267" s="256" t="s">
        <v>1057</v>
      </c>
      <c r="H267" s="256" t="s">
        <v>1057</v>
      </c>
      <c r="I267" s="256"/>
      <c r="J267" s="256" t="str">
        <f>+VLOOKUP(E267,Controlos!A:I,9,FALSE)</f>
        <v>Pendente de desenvolv.</v>
      </c>
      <c r="K267" s="256" t="s">
        <v>882</v>
      </c>
      <c r="L267" s="253"/>
      <c r="M267" s="253"/>
      <c r="N267" s="253"/>
    </row>
    <row r="268" spans="2:14" ht="16.2" x14ac:dyDescent="0.3">
      <c r="B268" s="253" t="s">
        <v>0</v>
      </c>
      <c r="C268" s="372" t="s">
        <v>1069</v>
      </c>
      <c r="D268" s="253" t="s">
        <v>17</v>
      </c>
      <c r="E268" s="253" t="s">
        <v>1016</v>
      </c>
      <c r="F268" s="253" t="s">
        <v>1057</v>
      </c>
      <c r="G268" s="256" t="s">
        <v>1057</v>
      </c>
      <c r="H268" s="256" t="s">
        <v>1057</v>
      </c>
      <c r="I268" s="256"/>
      <c r="J268" s="256" t="str">
        <f>+VLOOKUP(E268,Controlos!A:I,9,FALSE)</f>
        <v>Concluído</v>
      </c>
      <c r="K268" s="256" t="s">
        <v>147</v>
      </c>
      <c r="L268" s="253"/>
      <c r="M268" s="253"/>
      <c r="N268" s="253"/>
    </row>
    <row r="269" spans="2:14" ht="16.2" x14ac:dyDescent="0.3">
      <c r="B269" s="253" t="s">
        <v>0</v>
      </c>
      <c r="C269" s="372" t="s">
        <v>1069</v>
      </c>
      <c r="D269" s="253" t="s">
        <v>17</v>
      </c>
      <c r="E269" s="253" t="s">
        <v>1017</v>
      </c>
      <c r="F269" s="253" t="s">
        <v>1057</v>
      </c>
      <c r="G269" s="256" t="s">
        <v>1057</v>
      </c>
      <c r="H269" s="256" t="s">
        <v>1057</v>
      </c>
      <c r="I269" s="256"/>
      <c r="J269" s="256" t="str">
        <f>+VLOOKUP(E269,Controlos!A:I,9,FALSE)</f>
        <v>Por iniciar</v>
      </c>
      <c r="K269" s="256" t="s">
        <v>801</v>
      </c>
      <c r="L269" s="253"/>
      <c r="M269" s="253"/>
      <c r="N269" s="253"/>
    </row>
    <row r="270" spans="2:14" ht="16.2" x14ac:dyDescent="0.3">
      <c r="B270" s="253" t="s">
        <v>0</v>
      </c>
      <c r="C270" s="372" t="s">
        <v>1069</v>
      </c>
      <c r="D270" s="253" t="s">
        <v>17</v>
      </c>
      <c r="E270" s="253" t="s">
        <v>1018</v>
      </c>
      <c r="F270" s="253" t="s">
        <v>1057</v>
      </c>
      <c r="G270" s="256" t="s">
        <v>1057</v>
      </c>
      <c r="H270" s="256" t="s">
        <v>1057</v>
      </c>
      <c r="I270" s="256"/>
      <c r="J270" s="256" t="str">
        <f>+VLOOKUP(E270,Controlos!A:I,9,FALSE)</f>
        <v>Pendente de desenvolv.</v>
      </c>
      <c r="K270" s="256" t="s">
        <v>882</v>
      </c>
      <c r="L270" s="253"/>
      <c r="M270" s="253"/>
      <c r="N270" s="253"/>
    </row>
    <row r="271" spans="2:14" ht="16.2" x14ac:dyDescent="0.3">
      <c r="B271" s="253" t="s">
        <v>0</v>
      </c>
      <c r="C271" s="372" t="s">
        <v>1069</v>
      </c>
      <c r="D271" s="253" t="s">
        <v>17</v>
      </c>
      <c r="E271" s="253" t="s">
        <v>1019</v>
      </c>
      <c r="F271" s="253" t="s">
        <v>1057</v>
      </c>
      <c r="G271" s="256" t="s">
        <v>1057</v>
      </c>
      <c r="H271" s="256" t="s">
        <v>1057</v>
      </c>
      <c r="I271" s="256"/>
      <c r="J271" s="256" t="str">
        <f>+VLOOKUP(E271,Controlos!A:I,9,FALSE)</f>
        <v>Pendente de desenvolv.</v>
      </c>
      <c r="K271" s="256" t="s">
        <v>882</v>
      </c>
      <c r="L271" s="253"/>
      <c r="M271" s="253"/>
      <c r="N271" s="253"/>
    </row>
    <row r="272" spans="2:14" ht="16.2" x14ac:dyDescent="0.3">
      <c r="B272" s="253" t="s">
        <v>0</v>
      </c>
      <c r="C272" s="372" t="s">
        <v>1069</v>
      </c>
      <c r="D272" s="253" t="s">
        <v>17</v>
      </c>
      <c r="E272" s="253" t="s">
        <v>1020</v>
      </c>
      <c r="F272" s="253" t="s">
        <v>1057</v>
      </c>
      <c r="G272" s="256" t="s">
        <v>1057</v>
      </c>
      <c r="H272" s="256" t="s">
        <v>1057</v>
      </c>
      <c r="I272" s="256"/>
      <c r="J272" s="256" t="str">
        <f>+VLOOKUP(E272,Controlos!A:I,9,FALSE)</f>
        <v>Pendente de desenvolv.</v>
      </c>
      <c r="K272" s="256" t="s">
        <v>882</v>
      </c>
      <c r="L272" s="253"/>
      <c r="M272" s="253"/>
      <c r="N272" s="253"/>
    </row>
    <row r="273" spans="2:14" ht="16.2" x14ac:dyDescent="0.3">
      <c r="B273" s="253" t="s">
        <v>0</v>
      </c>
      <c r="C273" s="372" t="s">
        <v>1069</v>
      </c>
      <c r="D273" s="253" t="s">
        <v>17</v>
      </c>
      <c r="E273" s="253" t="s">
        <v>1021</v>
      </c>
      <c r="F273" s="253" t="s">
        <v>1057</v>
      </c>
      <c r="G273" s="256" t="s">
        <v>1057</v>
      </c>
      <c r="H273" s="256" t="s">
        <v>1057</v>
      </c>
      <c r="I273" s="256"/>
      <c r="J273" s="256" t="str">
        <f>+VLOOKUP(E273,Controlos!A:I,9,FALSE)</f>
        <v>Concluído</v>
      </c>
      <c r="K273" s="256" t="s">
        <v>147</v>
      </c>
      <c r="L273" s="253"/>
      <c r="M273" s="253"/>
      <c r="N273" s="253"/>
    </row>
    <row r="274" spans="2:14" ht="16.2" x14ac:dyDescent="0.3">
      <c r="B274" s="253" t="s">
        <v>0</v>
      </c>
      <c r="C274" s="372" t="s">
        <v>1069</v>
      </c>
      <c r="D274" s="253" t="s">
        <v>17</v>
      </c>
      <c r="E274" s="253" t="s">
        <v>1022</v>
      </c>
      <c r="F274" s="253" t="s">
        <v>1057</v>
      </c>
      <c r="G274" s="256" t="s">
        <v>1057</v>
      </c>
      <c r="H274" s="256" t="s">
        <v>1057</v>
      </c>
      <c r="I274" s="256"/>
      <c r="J274" s="256" t="str">
        <f>+VLOOKUP(E274,Controlos!A:I,9,FALSE)</f>
        <v>Concluído</v>
      </c>
      <c r="K274" s="256" t="s">
        <v>147</v>
      </c>
      <c r="L274" s="253"/>
      <c r="M274" s="253"/>
      <c r="N274" s="253"/>
    </row>
    <row r="275" spans="2:14" ht="16.2" x14ac:dyDescent="0.3">
      <c r="B275" s="253" t="s">
        <v>0</v>
      </c>
      <c r="C275" s="372" t="s">
        <v>1069</v>
      </c>
      <c r="D275" s="253" t="s">
        <v>17</v>
      </c>
      <c r="E275" s="253" t="s">
        <v>1023</v>
      </c>
      <c r="F275" s="253" t="s">
        <v>1057</v>
      </c>
      <c r="G275" s="256" t="s">
        <v>1057</v>
      </c>
      <c r="H275" s="256" t="s">
        <v>1057</v>
      </c>
      <c r="I275" s="256"/>
      <c r="J275" s="256" t="str">
        <f>+VLOOKUP(E275,Controlos!A:I,9,FALSE)</f>
        <v>Concluído</v>
      </c>
      <c r="K275" s="256" t="s">
        <v>147</v>
      </c>
      <c r="L275" s="253"/>
      <c r="M275" s="253"/>
      <c r="N275" s="253"/>
    </row>
    <row r="276" spans="2:14" ht="16.2" x14ac:dyDescent="0.3">
      <c r="B276" s="253" t="s">
        <v>0</v>
      </c>
      <c r="C276" s="372" t="s">
        <v>1069</v>
      </c>
      <c r="D276" s="253" t="s">
        <v>17</v>
      </c>
      <c r="E276" s="253" t="s">
        <v>1024</v>
      </c>
      <c r="F276" s="253" t="s">
        <v>1057</v>
      </c>
      <c r="G276" s="256" t="s">
        <v>1057</v>
      </c>
      <c r="H276" s="256" t="s">
        <v>1057</v>
      </c>
      <c r="I276" s="256"/>
      <c r="J276" s="256" t="str">
        <f>+VLOOKUP(E276,Controlos!A:I,9,FALSE)</f>
        <v>Concluído</v>
      </c>
      <c r="K276" s="256" t="s">
        <v>147</v>
      </c>
      <c r="L276" s="253"/>
      <c r="M276" s="253"/>
      <c r="N276" s="253"/>
    </row>
    <row r="277" spans="2:14" ht="16.2" x14ac:dyDescent="0.3">
      <c r="B277" s="253" t="s">
        <v>0</v>
      </c>
      <c r="C277" s="372" t="s">
        <v>1069</v>
      </c>
      <c r="D277" s="253" t="s">
        <v>17</v>
      </c>
      <c r="E277" s="253" t="s">
        <v>1025</v>
      </c>
      <c r="F277" s="253" t="s">
        <v>1057</v>
      </c>
      <c r="G277" s="256" t="s">
        <v>1057</v>
      </c>
      <c r="H277" s="256" t="s">
        <v>1057</v>
      </c>
      <c r="I277" s="256"/>
      <c r="J277" s="256" t="str">
        <f>+VLOOKUP(E277,Controlos!A:I,9,FALSE)</f>
        <v>Concluído</v>
      </c>
      <c r="K277" s="256" t="s">
        <v>147</v>
      </c>
      <c r="L277" s="253"/>
      <c r="M277" s="253"/>
      <c r="N277" s="253"/>
    </row>
    <row r="278" spans="2:14" ht="16.2" x14ac:dyDescent="0.3">
      <c r="B278" s="253" t="s">
        <v>0</v>
      </c>
      <c r="C278" s="372" t="s">
        <v>1069</v>
      </c>
      <c r="D278" s="253" t="s">
        <v>17</v>
      </c>
      <c r="E278" s="253" t="s">
        <v>1026</v>
      </c>
      <c r="F278" s="253" t="s">
        <v>1057</v>
      </c>
      <c r="G278" s="256" t="s">
        <v>1057</v>
      </c>
      <c r="H278" s="256" t="s">
        <v>1057</v>
      </c>
      <c r="I278" s="256"/>
      <c r="J278" s="256" t="str">
        <f>+VLOOKUP(E278,Controlos!A:I,9,FALSE)</f>
        <v>Concluído</v>
      </c>
      <c r="K278" s="256" t="s">
        <v>147</v>
      </c>
      <c r="L278" s="253"/>
      <c r="M278" s="253"/>
      <c r="N278" s="253"/>
    </row>
    <row r="279" spans="2:14" ht="16.2" x14ac:dyDescent="0.3">
      <c r="B279" s="253" t="s">
        <v>0</v>
      </c>
      <c r="C279" s="372" t="s">
        <v>1069</v>
      </c>
      <c r="D279" s="253" t="s">
        <v>17</v>
      </c>
      <c r="E279" s="253" t="s">
        <v>1027</v>
      </c>
      <c r="F279" s="253" t="s">
        <v>1057</v>
      </c>
      <c r="G279" s="256" t="s">
        <v>1057</v>
      </c>
      <c r="H279" s="256" t="s">
        <v>1057</v>
      </c>
      <c r="I279" s="256"/>
      <c r="J279" s="256" t="str">
        <f>+VLOOKUP(E279,Controlos!A:I,9,FALSE)</f>
        <v>Concluído</v>
      </c>
      <c r="K279" s="256" t="s">
        <v>147</v>
      </c>
      <c r="L279" s="253"/>
      <c r="M279" s="253"/>
      <c r="N279" s="253"/>
    </row>
    <row r="280" spans="2:14" ht="16.2" x14ac:dyDescent="0.3">
      <c r="B280" s="253" t="s">
        <v>0</v>
      </c>
      <c r="C280" s="372" t="s">
        <v>1069</v>
      </c>
      <c r="D280" s="253" t="s">
        <v>17</v>
      </c>
      <c r="E280" s="253" t="s">
        <v>1028</v>
      </c>
      <c r="F280" s="253" t="s">
        <v>1057</v>
      </c>
      <c r="G280" s="256" t="s">
        <v>1057</v>
      </c>
      <c r="H280" s="256" t="s">
        <v>1057</v>
      </c>
      <c r="I280" s="256"/>
      <c r="J280" s="256" t="str">
        <f>+VLOOKUP(E280,Controlos!A:I,9,FALSE)</f>
        <v>Concluído</v>
      </c>
      <c r="K280" s="256" t="s">
        <v>147</v>
      </c>
      <c r="L280" s="253"/>
      <c r="M280" s="253"/>
      <c r="N280" s="253"/>
    </row>
    <row r="281" spans="2:14" ht="16.2" x14ac:dyDescent="0.3">
      <c r="B281" s="253" t="s">
        <v>0</v>
      </c>
      <c r="C281" s="372" t="s">
        <v>1069</v>
      </c>
      <c r="D281" s="253" t="s">
        <v>17</v>
      </c>
      <c r="E281" s="253" t="s">
        <v>1029</v>
      </c>
      <c r="F281" s="253" t="s">
        <v>1057</v>
      </c>
      <c r="G281" s="256" t="s">
        <v>1057</v>
      </c>
      <c r="H281" s="256" t="s">
        <v>1057</v>
      </c>
      <c r="I281" s="256"/>
      <c r="J281" s="256" t="str">
        <f>+VLOOKUP(E281,Controlos!A:I,9,FALSE)</f>
        <v>Com incidências</v>
      </c>
      <c r="K281" s="256" t="s">
        <v>1099</v>
      </c>
      <c r="L281" s="253"/>
      <c r="M281" s="253"/>
      <c r="N281" s="253"/>
    </row>
    <row r="282" spans="2:14" ht="16.2" x14ac:dyDescent="0.3">
      <c r="B282" s="253" t="s">
        <v>0</v>
      </c>
      <c r="C282" s="372" t="s">
        <v>1069</v>
      </c>
      <c r="D282" s="253" t="s">
        <v>17</v>
      </c>
      <c r="E282" s="253" t="s">
        <v>1030</v>
      </c>
      <c r="F282" s="253" t="s">
        <v>1057</v>
      </c>
      <c r="G282" s="256" t="s">
        <v>1057</v>
      </c>
      <c r="H282" s="256" t="s">
        <v>1057</v>
      </c>
      <c r="I282" s="256"/>
      <c r="J282" s="256" t="str">
        <f>+VLOOKUP(E282,Controlos!A:I,9,FALSE)</f>
        <v>Concluído</v>
      </c>
      <c r="K282" s="256" t="s">
        <v>801</v>
      </c>
      <c r="L282" s="253"/>
      <c r="M282" s="253"/>
      <c r="N282" s="253"/>
    </row>
    <row r="283" spans="2:14" ht="16.2" x14ac:dyDescent="0.3">
      <c r="B283" s="253" t="s">
        <v>0</v>
      </c>
      <c r="C283" s="372" t="s">
        <v>1069</v>
      </c>
      <c r="D283" s="253" t="s">
        <v>17</v>
      </c>
      <c r="E283" s="253" t="s">
        <v>1031</v>
      </c>
      <c r="F283" s="253" t="s">
        <v>1057</v>
      </c>
      <c r="G283" s="256" t="s">
        <v>1057</v>
      </c>
      <c r="H283" s="256" t="s">
        <v>1057</v>
      </c>
      <c r="I283" s="256"/>
      <c r="J283" s="256" t="str">
        <f>+VLOOKUP(E283,Controlos!A:I,9,FALSE)</f>
        <v>Concluído</v>
      </c>
      <c r="K283" s="256" t="s">
        <v>147</v>
      </c>
      <c r="L283" s="253"/>
      <c r="M283" s="253"/>
      <c r="N283" s="253"/>
    </row>
    <row r="284" spans="2:14" ht="16.2" x14ac:dyDescent="0.3">
      <c r="B284" s="253" t="s">
        <v>0</v>
      </c>
      <c r="C284" s="372" t="s">
        <v>1069</v>
      </c>
      <c r="D284" s="253" t="s">
        <v>17</v>
      </c>
      <c r="E284" s="253" t="s">
        <v>1032</v>
      </c>
      <c r="F284" s="253" t="s">
        <v>1057</v>
      </c>
      <c r="G284" s="256" t="s">
        <v>1057</v>
      </c>
      <c r="H284" s="256" t="s">
        <v>1057</v>
      </c>
      <c r="I284" s="256"/>
      <c r="J284" s="256" t="str">
        <f>+VLOOKUP(E284,Controlos!A:I,9,FALSE)</f>
        <v>Concluído</v>
      </c>
      <c r="K284" s="256" t="s">
        <v>147</v>
      </c>
      <c r="L284" s="253"/>
      <c r="M284" s="253"/>
      <c r="N284" s="253"/>
    </row>
    <row r="285" spans="2:14" ht="16.2" x14ac:dyDescent="0.3">
      <c r="B285" s="253" t="s">
        <v>0</v>
      </c>
      <c r="C285" s="372" t="s">
        <v>1069</v>
      </c>
      <c r="D285" s="253" t="s">
        <v>17</v>
      </c>
      <c r="E285" s="253" t="s">
        <v>1033</v>
      </c>
      <c r="F285" s="253" t="s">
        <v>1057</v>
      </c>
      <c r="G285" s="256" t="s">
        <v>1057</v>
      </c>
      <c r="H285" s="256" t="s">
        <v>1057</v>
      </c>
      <c r="I285" s="256"/>
      <c r="J285" s="256" t="str">
        <f>+VLOOKUP(E285,Controlos!A:I,9,FALSE)</f>
        <v>Concluído</v>
      </c>
      <c r="K285" s="256" t="s">
        <v>147</v>
      </c>
      <c r="L285" s="253"/>
      <c r="M285" s="253"/>
      <c r="N285" s="253"/>
    </row>
    <row r="286" spans="2:14" ht="16.2" x14ac:dyDescent="0.3">
      <c r="B286" s="253" t="s">
        <v>0</v>
      </c>
      <c r="C286" s="372" t="s">
        <v>1069</v>
      </c>
      <c r="D286" s="253" t="s">
        <v>17</v>
      </c>
      <c r="E286" s="253" t="s">
        <v>1034</v>
      </c>
      <c r="F286" s="253" t="s">
        <v>1057</v>
      </c>
      <c r="G286" s="256" t="s">
        <v>1057</v>
      </c>
      <c r="H286" s="256" t="s">
        <v>1057</v>
      </c>
      <c r="I286" s="256"/>
      <c r="J286" s="256" t="str">
        <f>+VLOOKUP(E286,Controlos!A:I,9,FALSE)</f>
        <v>Concluído</v>
      </c>
      <c r="K286" s="256" t="s">
        <v>147</v>
      </c>
      <c r="L286" s="253"/>
      <c r="M286" s="253"/>
      <c r="N286" s="253"/>
    </row>
    <row r="287" spans="2:14" ht="16.2" x14ac:dyDescent="0.3">
      <c r="B287" s="253" t="s">
        <v>0</v>
      </c>
      <c r="C287" s="372" t="s">
        <v>1069</v>
      </c>
      <c r="D287" s="253" t="s">
        <v>17</v>
      </c>
      <c r="E287" s="253" t="s">
        <v>1035</v>
      </c>
      <c r="F287" s="253" t="s">
        <v>1057</v>
      </c>
      <c r="G287" s="256" t="s">
        <v>1057</v>
      </c>
      <c r="H287" s="256" t="s">
        <v>1057</v>
      </c>
      <c r="I287" s="256"/>
      <c r="J287" s="256" t="str">
        <f>+VLOOKUP(E287,Controlos!A:I,9,FALSE)</f>
        <v>Concluído</v>
      </c>
      <c r="K287" s="256" t="s">
        <v>147</v>
      </c>
      <c r="L287" s="253"/>
      <c r="M287" s="253"/>
      <c r="N287" s="253"/>
    </row>
    <row r="288" spans="2:14" ht="16.2" x14ac:dyDescent="0.3">
      <c r="B288" s="253" t="s">
        <v>0</v>
      </c>
      <c r="C288" s="372" t="s">
        <v>1069</v>
      </c>
      <c r="D288" s="253" t="s">
        <v>17</v>
      </c>
      <c r="E288" s="253" t="s">
        <v>1036</v>
      </c>
      <c r="F288" s="253" t="s">
        <v>1057</v>
      </c>
      <c r="G288" s="256" t="s">
        <v>1057</v>
      </c>
      <c r="H288" s="256" t="s">
        <v>1057</v>
      </c>
      <c r="I288" s="256"/>
      <c r="J288" s="256" t="str">
        <f>+VLOOKUP(E288,Controlos!A:I,9,FALSE)</f>
        <v>Concluído</v>
      </c>
      <c r="K288" s="256" t="s">
        <v>147</v>
      </c>
      <c r="L288" s="253"/>
      <c r="M288" s="253"/>
      <c r="N288" s="253"/>
    </row>
    <row r="289" spans="2:14" ht="16.2" x14ac:dyDescent="0.3">
      <c r="B289" s="253" t="s">
        <v>0</v>
      </c>
      <c r="C289" s="372" t="s">
        <v>1069</v>
      </c>
      <c r="D289" s="253" t="s">
        <v>17</v>
      </c>
      <c r="E289" s="253" t="s">
        <v>1037</v>
      </c>
      <c r="F289" s="253" t="s">
        <v>1057</v>
      </c>
      <c r="G289" s="256" t="s">
        <v>1057</v>
      </c>
      <c r="H289" s="256" t="s">
        <v>1057</v>
      </c>
      <c r="I289" s="256"/>
      <c r="J289" s="256" t="str">
        <f>+VLOOKUP(E289,Controlos!A:I,9,FALSE)</f>
        <v>Concluído</v>
      </c>
      <c r="K289" s="256" t="s">
        <v>147</v>
      </c>
      <c r="L289" s="253"/>
      <c r="M289" s="253"/>
      <c r="N289" s="253"/>
    </row>
    <row r="290" spans="2:14" ht="16.2" x14ac:dyDescent="0.3">
      <c r="B290" s="253" t="s">
        <v>0</v>
      </c>
      <c r="C290" s="372" t="s">
        <v>1069</v>
      </c>
      <c r="D290" s="253" t="s">
        <v>17</v>
      </c>
      <c r="E290" s="253" t="s">
        <v>1038</v>
      </c>
      <c r="F290" s="253" t="s">
        <v>1057</v>
      </c>
      <c r="G290" s="256" t="s">
        <v>1057</v>
      </c>
      <c r="H290" s="256" t="s">
        <v>1057</v>
      </c>
      <c r="I290" s="256"/>
      <c r="J290" s="256" t="str">
        <f>+VLOOKUP(E290,Controlos!A:I,9,FALSE)</f>
        <v>Concluído</v>
      </c>
      <c r="K290" s="256" t="s">
        <v>147</v>
      </c>
      <c r="L290" s="253"/>
      <c r="M290" s="253"/>
      <c r="N290" s="253"/>
    </row>
    <row r="291" spans="2:14" ht="16.2" x14ac:dyDescent="0.3">
      <c r="B291" s="253" t="s">
        <v>0</v>
      </c>
      <c r="C291" s="372" t="s">
        <v>1069</v>
      </c>
      <c r="D291" s="253" t="s">
        <v>17</v>
      </c>
      <c r="E291" s="253" t="s">
        <v>1039</v>
      </c>
      <c r="F291" s="253" t="s">
        <v>1057</v>
      </c>
      <c r="G291" s="256" t="s">
        <v>1057</v>
      </c>
      <c r="H291" s="256" t="s">
        <v>1057</v>
      </c>
      <c r="I291" s="256"/>
      <c r="J291" s="256" t="str">
        <f>+VLOOKUP(E291,Controlos!A:I,9,FALSE)</f>
        <v>Concluído</v>
      </c>
      <c r="K291" s="256" t="s">
        <v>147</v>
      </c>
      <c r="L291" s="253"/>
      <c r="M291" s="253"/>
      <c r="N291" s="253"/>
    </row>
    <row r="292" spans="2:14" ht="16.2" x14ac:dyDescent="0.3">
      <c r="B292" s="253" t="s">
        <v>0</v>
      </c>
      <c r="C292" s="372" t="s">
        <v>1069</v>
      </c>
      <c r="D292" s="253" t="s">
        <v>17</v>
      </c>
      <c r="E292" s="253" t="s">
        <v>1040</v>
      </c>
      <c r="F292" s="253" t="s">
        <v>1057</v>
      </c>
      <c r="G292" s="256" t="s">
        <v>1057</v>
      </c>
      <c r="H292" s="256" t="s">
        <v>1057</v>
      </c>
      <c r="I292" s="256"/>
      <c r="J292" s="256" t="str">
        <f>+VLOOKUP(E292,Controlos!A:I,9,FALSE)</f>
        <v>Concluído</v>
      </c>
      <c r="K292" s="256" t="s">
        <v>147</v>
      </c>
      <c r="L292" s="253"/>
      <c r="M292" s="253"/>
      <c r="N292" s="253"/>
    </row>
    <row r="293" spans="2:14" ht="16.2" x14ac:dyDescent="0.3">
      <c r="B293" s="253" t="s">
        <v>0</v>
      </c>
      <c r="C293" s="372" t="s">
        <v>1069</v>
      </c>
      <c r="D293" s="253" t="s">
        <v>17</v>
      </c>
      <c r="E293" s="253" t="s">
        <v>1041</v>
      </c>
      <c r="F293" s="253" t="s">
        <v>1057</v>
      </c>
      <c r="G293" s="256" t="s">
        <v>1057</v>
      </c>
      <c r="H293" s="256" t="s">
        <v>1057</v>
      </c>
      <c r="I293" s="256"/>
      <c r="J293" s="256" t="str">
        <f>+VLOOKUP(E293,Controlos!A:I,9,FALSE)</f>
        <v>Concluído</v>
      </c>
      <c r="K293" s="256" t="s">
        <v>147</v>
      </c>
      <c r="L293" s="253"/>
      <c r="M293" s="253"/>
      <c r="N293" s="253"/>
    </row>
    <row r="294" spans="2:14" ht="16.2" x14ac:dyDescent="0.3">
      <c r="B294" s="253" t="s">
        <v>0</v>
      </c>
      <c r="C294" s="372" t="s">
        <v>1069</v>
      </c>
      <c r="D294" s="253" t="s">
        <v>17</v>
      </c>
      <c r="E294" s="253" t="s">
        <v>1042</v>
      </c>
      <c r="F294" s="253" t="s">
        <v>1057</v>
      </c>
      <c r="G294" s="256" t="s">
        <v>1057</v>
      </c>
      <c r="H294" s="256" t="s">
        <v>1057</v>
      </c>
      <c r="I294" s="256"/>
      <c r="J294" s="256" t="str">
        <f>+VLOOKUP(E294,Controlos!A:I,9,FALSE)</f>
        <v>Por iniciar</v>
      </c>
      <c r="K294" s="256" t="s">
        <v>801</v>
      </c>
      <c r="L294" s="253"/>
      <c r="M294" s="253"/>
      <c r="N294" s="253"/>
    </row>
    <row r="295" spans="2:14" ht="16.2" x14ac:dyDescent="0.3">
      <c r="B295" s="253" t="s">
        <v>0</v>
      </c>
      <c r="C295" s="372" t="s">
        <v>1069</v>
      </c>
      <c r="D295" s="253" t="s">
        <v>17</v>
      </c>
      <c r="E295" s="253" t="s">
        <v>1043</v>
      </c>
      <c r="F295" s="253" t="s">
        <v>1057</v>
      </c>
      <c r="G295" s="256" t="s">
        <v>1057</v>
      </c>
      <c r="H295" s="256" t="s">
        <v>1057</v>
      </c>
      <c r="I295" s="256"/>
      <c r="J295" s="256" t="str">
        <f>+VLOOKUP(E295,Controlos!A:I,9,FALSE)</f>
        <v>Por iniciar</v>
      </c>
      <c r="K295" s="256" t="s">
        <v>801</v>
      </c>
      <c r="L295" s="253"/>
      <c r="M295" s="253"/>
      <c r="N295" s="253"/>
    </row>
    <row r="296" spans="2:14" ht="16.2" x14ac:dyDescent="0.3">
      <c r="B296" s="253" t="s">
        <v>0</v>
      </c>
      <c r="C296" s="372" t="s">
        <v>1069</v>
      </c>
      <c r="D296" s="253" t="s">
        <v>17</v>
      </c>
      <c r="E296" s="253" t="s">
        <v>1044</v>
      </c>
      <c r="F296" s="253" t="s">
        <v>1057</v>
      </c>
      <c r="G296" s="256" t="s">
        <v>1057</v>
      </c>
      <c r="H296" s="256" t="s">
        <v>1057</v>
      </c>
      <c r="I296" s="256"/>
      <c r="J296" s="256" t="str">
        <f>+VLOOKUP(E296,Controlos!A:I,9,FALSE)</f>
        <v>Por iniciar</v>
      </c>
      <c r="K296" s="256" t="s">
        <v>801</v>
      </c>
      <c r="L296" s="253"/>
      <c r="M296" s="253"/>
      <c r="N296" s="253"/>
    </row>
    <row r="297" spans="2:14" ht="16.2" x14ac:dyDescent="0.3">
      <c r="B297" s="253" t="s">
        <v>0</v>
      </c>
      <c r="C297" s="372" t="s">
        <v>1069</v>
      </c>
      <c r="D297" s="253" t="s">
        <v>17</v>
      </c>
      <c r="E297" s="253" t="s">
        <v>1045</v>
      </c>
      <c r="F297" s="253" t="s">
        <v>1057</v>
      </c>
      <c r="G297" s="256" t="s">
        <v>1057</v>
      </c>
      <c r="H297" s="256" t="s">
        <v>1057</v>
      </c>
      <c r="I297" s="256"/>
      <c r="J297" s="256" t="str">
        <f>+VLOOKUP(E297,Controlos!A:I,9,FALSE)</f>
        <v>Concluído</v>
      </c>
      <c r="K297" s="256" t="s">
        <v>147</v>
      </c>
      <c r="L297" s="253"/>
      <c r="M297" s="253"/>
      <c r="N297" s="253"/>
    </row>
    <row r="298" spans="2:14" ht="16.2" x14ac:dyDescent="0.3">
      <c r="B298" s="253" t="s">
        <v>0</v>
      </c>
      <c r="C298" s="372" t="s">
        <v>1069</v>
      </c>
      <c r="D298" s="253" t="s">
        <v>17</v>
      </c>
      <c r="E298" s="253" t="s">
        <v>1046</v>
      </c>
      <c r="F298" s="253" t="s">
        <v>1057</v>
      </c>
      <c r="G298" s="256" t="s">
        <v>1057</v>
      </c>
      <c r="H298" s="256" t="s">
        <v>1057</v>
      </c>
      <c r="I298" s="256"/>
      <c r="J298" s="256" t="str">
        <f>+VLOOKUP(E298,Controlos!A:I,9,FALSE)</f>
        <v>Concluído</v>
      </c>
      <c r="K298" s="256" t="s">
        <v>147</v>
      </c>
      <c r="L298" s="253"/>
      <c r="M298" s="253"/>
      <c r="N298" s="253"/>
    </row>
    <row r="299" spans="2:14" ht="16.2" x14ac:dyDescent="0.3">
      <c r="B299" s="253" t="s">
        <v>0</v>
      </c>
      <c r="C299" s="372" t="s">
        <v>1069</v>
      </c>
      <c r="D299" s="253" t="s">
        <v>17</v>
      </c>
      <c r="E299" s="253" t="s">
        <v>1047</v>
      </c>
      <c r="F299" s="253" t="s">
        <v>1057</v>
      </c>
      <c r="G299" s="256" t="s">
        <v>1057</v>
      </c>
      <c r="H299" s="256" t="s">
        <v>1057</v>
      </c>
      <c r="I299" s="256"/>
      <c r="J299" s="256" t="str">
        <f>+VLOOKUP(E299,Controlos!A:I,9,FALSE)</f>
        <v>Concluído</v>
      </c>
      <c r="K299" s="256" t="s">
        <v>147</v>
      </c>
      <c r="L299" s="253"/>
      <c r="M299" s="253"/>
      <c r="N299" s="253"/>
    </row>
    <row r="300" spans="2:14" ht="16.2" x14ac:dyDescent="0.3">
      <c r="B300" s="253" t="s">
        <v>0</v>
      </c>
      <c r="C300" s="372" t="s">
        <v>1069</v>
      </c>
      <c r="D300" s="253" t="s">
        <v>17</v>
      </c>
      <c r="E300" s="253" t="s">
        <v>1048</v>
      </c>
      <c r="F300" s="253" t="s">
        <v>1057</v>
      </c>
      <c r="G300" s="256" t="s">
        <v>1057</v>
      </c>
      <c r="H300" s="256" t="s">
        <v>1057</v>
      </c>
      <c r="I300" s="256"/>
      <c r="J300" s="256" t="str">
        <f>+VLOOKUP(E300,Controlos!A:I,9,FALSE)</f>
        <v>Concluído</v>
      </c>
      <c r="K300" s="256" t="s">
        <v>147</v>
      </c>
      <c r="L300" s="253"/>
      <c r="M300" s="253"/>
      <c r="N300" s="253"/>
    </row>
    <row r="301" spans="2:14" ht="16.2" x14ac:dyDescent="0.3">
      <c r="B301" s="253" t="s">
        <v>0</v>
      </c>
      <c r="C301" s="372" t="s">
        <v>1069</v>
      </c>
      <c r="D301" s="253" t="s">
        <v>17</v>
      </c>
      <c r="E301" s="253" t="s">
        <v>1049</v>
      </c>
      <c r="F301" s="253" t="s">
        <v>1057</v>
      </c>
      <c r="G301" s="256" t="s">
        <v>1057</v>
      </c>
      <c r="H301" s="256" t="s">
        <v>1057</v>
      </c>
      <c r="I301" s="256"/>
      <c r="J301" s="256" t="str">
        <f>+VLOOKUP(E301,Controlos!A:I,9,FALSE)</f>
        <v>Concluído</v>
      </c>
      <c r="K301" s="256" t="s">
        <v>147</v>
      </c>
      <c r="L301" s="253"/>
      <c r="M301" s="253"/>
      <c r="N301" s="253"/>
    </row>
    <row r="302" spans="2:14" ht="16.2" x14ac:dyDescent="0.3">
      <c r="B302" s="253" t="s">
        <v>0</v>
      </c>
      <c r="C302" s="372" t="s">
        <v>1069</v>
      </c>
      <c r="D302" s="253" t="s">
        <v>17</v>
      </c>
      <c r="E302" s="253" t="s">
        <v>1050</v>
      </c>
      <c r="F302" s="253" t="s">
        <v>1057</v>
      </c>
      <c r="G302" s="256" t="s">
        <v>1057</v>
      </c>
      <c r="H302" s="256" t="s">
        <v>1057</v>
      </c>
      <c r="I302" s="256"/>
      <c r="J302" s="256" t="str">
        <f>+VLOOKUP(E302,Controlos!A:I,9,FALSE)</f>
        <v>Concluído</v>
      </c>
      <c r="K302" s="256" t="s">
        <v>147</v>
      </c>
      <c r="L302" s="253"/>
      <c r="M302" s="253"/>
      <c r="N302" s="253"/>
    </row>
    <row r="303" spans="2:14" ht="16.2" x14ac:dyDescent="0.3">
      <c r="B303" s="253" t="s">
        <v>0</v>
      </c>
      <c r="C303" s="372" t="s">
        <v>1069</v>
      </c>
      <c r="D303" s="253" t="s">
        <v>17</v>
      </c>
      <c r="E303" s="253" t="s">
        <v>1051</v>
      </c>
      <c r="F303" s="253" t="s">
        <v>1057</v>
      </c>
      <c r="G303" s="256" t="s">
        <v>1057</v>
      </c>
      <c r="H303" s="256" t="s">
        <v>1057</v>
      </c>
      <c r="I303" s="256"/>
      <c r="J303" s="256" t="str">
        <f>+VLOOKUP(E303,Controlos!A:I,9,FALSE)</f>
        <v>Por iniciar</v>
      </c>
      <c r="K303" s="256" t="s">
        <v>801</v>
      </c>
      <c r="L303" s="253"/>
      <c r="M303" s="253"/>
      <c r="N303" s="253"/>
    </row>
    <row r="304" spans="2:14" ht="16.2" x14ac:dyDescent="0.3">
      <c r="B304" s="253" t="s">
        <v>0</v>
      </c>
      <c r="C304" s="372" t="s">
        <v>1069</v>
      </c>
      <c r="D304" s="253" t="s">
        <v>17</v>
      </c>
      <c r="E304" s="253" t="s">
        <v>1052</v>
      </c>
      <c r="F304" s="253" t="s">
        <v>1057</v>
      </c>
      <c r="G304" s="256" t="s">
        <v>1057</v>
      </c>
      <c r="H304" s="256" t="s">
        <v>1057</v>
      </c>
      <c r="I304" s="256"/>
      <c r="J304" s="256" t="str">
        <f>+VLOOKUP(E304,Controlos!A:I,9,FALSE)</f>
        <v>Por iniciar</v>
      </c>
      <c r="K304" s="256" t="s">
        <v>801</v>
      </c>
      <c r="L304" s="253"/>
      <c r="M304" s="253"/>
      <c r="N304" s="253"/>
    </row>
    <row r="305" spans="2:14" ht="16.2" x14ac:dyDescent="0.3">
      <c r="B305" s="253" t="s">
        <v>0</v>
      </c>
      <c r="C305" s="372" t="s">
        <v>1069</v>
      </c>
      <c r="D305" s="253" t="s">
        <v>17</v>
      </c>
      <c r="E305" s="253" t="s">
        <v>1053</v>
      </c>
      <c r="F305" s="253" t="s">
        <v>1057</v>
      </c>
      <c r="G305" s="256" t="s">
        <v>1057</v>
      </c>
      <c r="H305" s="256" t="s">
        <v>1057</v>
      </c>
      <c r="I305" s="256"/>
      <c r="J305" s="256" t="str">
        <f>+VLOOKUP(E305,Controlos!A:I,9,FALSE)</f>
        <v>Concluído</v>
      </c>
      <c r="K305" s="256" t="s">
        <v>147</v>
      </c>
      <c r="L305" s="253"/>
      <c r="M305" s="253"/>
      <c r="N305" s="253"/>
    </row>
    <row r="306" spans="2:14" ht="16.2" x14ac:dyDescent="0.3">
      <c r="B306" s="253" t="s">
        <v>0</v>
      </c>
      <c r="C306" s="372" t="s">
        <v>1069</v>
      </c>
      <c r="D306" s="253" t="s">
        <v>17</v>
      </c>
      <c r="E306" s="253" t="s">
        <v>1054</v>
      </c>
      <c r="F306" s="253" t="s">
        <v>1057</v>
      </c>
      <c r="G306" s="256" t="s">
        <v>1057</v>
      </c>
      <c r="H306" s="256" t="s">
        <v>1057</v>
      </c>
      <c r="I306" s="256"/>
      <c r="J306" s="256" t="str">
        <f>+VLOOKUP(E306,Controlos!A:I,9,FALSE)</f>
        <v>Com incidências</v>
      </c>
      <c r="K306" s="256" t="s">
        <v>1099</v>
      </c>
      <c r="L306" s="253"/>
      <c r="M306" s="253"/>
      <c r="N306" s="253"/>
    </row>
    <row r="307" spans="2:14" ht="16.2" x14ac:dyDescent="0.3">
      <c r="B307" s="253" t="s">
        <v>0</v>
      </c>
      <c r="C307" s="372" t="s">
        <v>1069</v>
      </c>
      <c r="D307" s="253" t="s">
        <v>17</v>
      </c>
      <c r="E307" s="253" t="s">
        <v>1055</v>
      </c>
      <c r="F307" s="253" t="s">
        <v>1057</v>
      </c>
      <c r="G307" s="256" t="s">
        <v>1057</v>
      </c>
      <c r="H307" s="256" t="s">
        <v>1057</v>
      </c>
      <c r="I307" s="256"/>
      <c r="J307" s="256" t="str">
        <f>+VLOOKUP(E307,Controlos!A:I,9,FALSE)</f>
        <v>Concluído</v>
      </c>
      <c r="K307" s="256" t="s">
        <v>147</v>
      </c>
      <c r="L307" s="253"/>
      <c r="M307" s="253"/>
      <c r="N307" s="253"/>
    </row>
    <row r="308" spans="2:14" ht="16.2" x14ac:dyDescent="0.3">
      <c r="B308" s="253" t="s">
        <v>0</v>
      </c>
      <c r="C308" s="372" t="s">
        <v>1069</v>
      </c>
      <c r="D308" s="253" t="s">
        <v>17</v>
      </c>
      <c r="E308" s="253" t="s">
        <v>1056</v>
      </c>
      <c r="F308" s="253" t="s">
        <v>1057</v>
      </c>
      <c r="G308" s="256" t="s">
        <v>1057</v>
      </c>
      <c r="H308" s="256" t="s">
        <v>1057</v>
      </c>
      <c r="I308" s="256"/>
      <c r="J308" s="256" t="str">
        <f>+VLOOKUP(E308,Controlos!A:I,9,FALSE)</f>
        <v>Concluído</v>
      </c>
      <c r="K308" s="256" t="s">
        <v>147</v>
      </c>
      <c r="L308" s="253"/>
      <c r="M308" s="253"/>
      <c r="N308" s="253"/>
    </row>
    <row r="309" spans="2:14" ht="16.2" x14ac:dyDescent="0.3">
      <c r="B309" s="253" t="s">
        <v>0</v>
      </c>
      <c r="C309" s="372" t="s">
        <v>1069</v>
      </c>
      <c r="D309" s="253" t="s">
        <v>17</v>
      </c>
      <c r="E309" s="253" t="s">
        <v>1076</v>
      </c>
      <c r="F309" s="253" t="s">
        <v>1057</v>
      </c>
      <c r="G309" s="256" t="s">
        <v>1057</v>
      </c>
      <c r="H309" s="256" t="s">
        <v>1057</v>
      </c>
      <c r="I309" s="256"/>
      <c r="J309" s="256" t="str">
        <f>+VLOOKUP(E309,Controlos!A:I,9,FALSE)</f>
        <v>Rever</v>
      </c>
      <c r="K309" s="256" t="s">
        <v>147</v>
      </c>
      <c r="L309" s="253"/>
      <c r="M309" s="253"/>
      <c r="N309" s="253"/>
    </row>
    <row r="310" spans="2:14" ht="16.2" x14ac:dyDescent="0.3">
      <c r="B310" s="253" t="s">
        <v>0</v>
      </c>
      <c r="C310" s="372" t="s">
        <v>1069</v>
      </c>
      <c r="D310" s="253" t="s">
        <v>17</v>
      </c>
      <c r="E310" s="253" t="s">
        <v>1077</v>
      </c>
      <c r="F310" s="253" t="s">
        <v>1057</v>
      </c>
      <c r="G310" s="256" t="s">
        <v>1057</v>
      </c>
      <c r="H310" s="256" t="s">
        <v>1057</v>
      </c>
      <c r="I310" s="256"/>
      <c r="J310" s="256" t="str">
        <f>+VLOOKUP(E310,Controlos!A:I,9,FALSE)</f>
        <v>Rever</v>
      </c>
      <c r="K310" s="256" t="s">
        <v>147</v>
      </c>
      <c r="L310" s="253"/>
      <c r="M310" s="253"/>
      <c r="N310" s="253"/>
    </row>
    <row r="311" spans="2:14" ht="16.2" x14ac:dyDescent="0.3">
      <c r="B311" s="253" t="s">
        <v>0</v>
      </c>
      <c r="C311" s="372" t="s">
        <v>1069</v>
      </c>
      <c r="D311" s="253" t="s">
        <v>17</v>
      </c>
      <c r="E311" s="253" t="s">
        <v>1078</v>
      </c>
      <c r="F311" s="253" t="s">
        <v>1057</v>
      </c>
      <c r="G311" s="256" t="s">
        <v>1057</v>
      </c>
      <c r="H311" s="256" t="s">
        <v>1057</v>
      </c>
      <c r="I311" s="256"/>
      <c r="J311" s="256" t="str">
        <f>+VLOOKUP(E311,Controlos!A:I,9,FALSE)</f>
        <v>Por iniciar</v>
      </c>
      <c r="K311" s="256" t="s">
        <v>801</v>
      </c>
      <c r="L311" s="253"/>
      <c r="M311" s="253"/>
      <c r="N311" s="253"/>
    </row>
    <row r="312" spans="2:14" ht="16.2" x14ac:dyDescent="0.3">
      <c r="B312" s="427" t="s">
        <v>0</v>
      </c>
      <c r="C312" s="428" t="s">
        <v>1069</v>
      </c>
      <c r="D312" s="427" t="s">
        <v>17</v>
      </c>
      <c r="E312" s="427" t="s">
        <v>1079</v>
      </c>
      <c r="F312" s="427" t="s">
        <v>1057</v>
      </c>
      <c r="G312" s="429" t="s">
        <v>1057</v>
      </c>
      <c r="H312" s="429" t="s">
        <v>1057</v>
      </c>
      <c r="I312" s="429"/>
      <c r="J312" s="256" t="str">
        <f>+VLOOKUP(E312,Controlos!A:I,9,FALSE)</f>
        <v>Concluído</v>
      </c>
      <c r="K312" s="429" t="s">
        <v>147</v>
      </c>
      <c r="L312" s="427"/>
      <c r="M312" s="427"/>
      <c r="N312" s="427"/>
    </row>
    <row r="313" spans="2:14" ht="16.2" x14ac:dyDescent="0.3">
      <c r="B313" s="427" t="s">
        <v>0</v>
      </c>
      <c r="C313" s="428" t="s">
        <v>1069</v>
      </c>
      <c r="D313" s="427" t="s">
        <v>17</v>
      </c>
      <c r="E313" s="427" t="s">
        <v>1080</v>
      </c>
      <c r="F313" s="427" t="s">
        <v>1057</v>
      </c>
      <c r="G313" s="429" t="s">
        <v>1057</v>
      </c>
      <c r="H313" s="429" t="s">
        <v>1057</v>
      </c>
      <c r="I313" s="429"/>
      <c r="J313" s="256" t="str">
        <f>+VLOOKUP(E313,Controlos!A:I,9,FALSE)</f>
        <v>Concluído</v>
      </c>
      <c r="K313" s="429" t="s">
        <v>801</v>
      </c>
      <c r="L313" s="427"/>
      <c r="M313" s="427"/>
      <c r="N313" s="427"/>
    </row>
  </sheetData>
  <autoFilter ref="B7:N313" xr:uid="{00000000-0001-0000-0000-000000000000}"/>
  <conditionalFormatting sqref="G8:K313">
    <cfRule type="cellIs" dxfId="7" priority="1" operator="equal">
      <formula>"Não Concluído"</formula>
    </cfRule>
    <cfRule type="cellIs" dxfId="6" priority="2" operator="equal">
      <formula>"Por iniciar"</formula>
    </cfRule>
    <cfRule type="cellIs" dxfId="5" priority="3" operator="equal">
      <formula>"Em curso"</formula>
    </cfRule>
    <cfRule type="cellIs" dxfId="4" priority="4"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8C70074A-63AE-46CC-9F28-1D92D4068A49}">
          <x14:formula1>
            <xm:f>Aux!$B$24:$B$29</xm:f>
          </x14:formula1>
          <xm:sqref>J8:K157 J158:J313</xm:sqref>
        </x14:dataValidation>
        <x14:dataValidation type="list" allowBlank="1" showInputMessage="1" showErrorMessage="1" xr:uid="{E1177E11-089B-4540-AEE4-04ECB504E887}">
          <x14:formula1>
            <xm:f>Aux!$B$18:$B$21</xm:f>
          </x14:formula1>
          <xm:sqref>K158:K313 G8:H1048576 I158:I1048576</xm:sqref>
        </x14:dataValidation>
        <x14:dataValidation type="list" allowBlank="1" showInputMessage="1" showErrorMessage="1" xr:uid="{090E3AEB-AA03-4FD8-B4BC-C5DCC4365A56}">
          <x14:formula1>
            <xm:f>Aux!$B$9:$B$15</xm:f>
          </x14:formula1>
          <xm:sqref>F8:F1048576</xm:sqref>
        </x14:dataValidation>
        <x14:dataValidation type="list" allowBlank="1" showInputMessage="1" showErrorMessage="1" xr:uid="{33C497E1-8FBE-4FA8-B9AD-B1B1163C9A9D}">
          <x14:formula1>
            <xm:f>Aux!$B$32:$B$36</xm:f>
          </x14:formula1>
          <xm:sqref>I8:I157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tabColor theme="7" tint="0.79998168889431442"/>
  </sheetPr>
  <dimension ref="A1:AD36"/>
  <sheetViews>
    <sheetView showGridLines="0" zoomScaleNormal="100" workbookViewId="0"/>
  </sheetViews>
  <sheetFormatPr defaultColWidth="0" defaultRowHeight="14.4" x14ac:dyDescent="0.3"/>
  <cols>
    <col min="1" max="1" width="3.6640625" customWidth="1"/>
    <col min="2" max="2" width="12.44140625" bestFit="1" customWidth="1"/>
    <col min="3" max="3" width="13.6640625" bestFit="1" customWidth="1"/>
    <col min="4" max="4" width="25.6640625" bestFit="1" customWidth="1"/>
    <col min="5" max="5" width="27.33203125" bestFit="1" customWidth="1"/>
    <col min="6" max="6" width="27.33203125" customWidth="1"/>
    <col min="7" max="7" width="12.6640625" bestFit="1" customWidth="1"/>
    <col min="8" max="8" width="15.6640625" customWidth="1"/>
    <col min="9" max="9" width="24.33203125" customWidth="1"/>
    <col min="10" max="10" width="18.33203125" bestFit="1" customWidth="1"/>
    <col min="11" max="11" width="21.6640625" bestFit="1" customWidth="1"/>
    <col min="12" max="12" width="15.33203125" bestFit="1" customWidth="1"/>
    <col min="13" max="13" width="12.33203125" bestFit="1" customWidth="1"/>
    <col min="14" max="14" width="3.6640625" customWidth="1"/>
    <col min="15" max="15" width="24.6640625" hidden="1" customWidth="1"/>
    <col min="16" max="16" width="23.6640625" hidden="1" customWidth="1"/>
    <col min="17" max="17" width="32.6640625" hidden="1" customWidth="1"/>
    <col min="18" max="18" width="22" hidden="1" customWidth="1"/>
    <col min="19" max="19" width="15.5546875" hidden="1" customWidth="1"/>
    <col min="20" max="20" width="10.33203125" hidden="1" customWidth="1"/>
    <col min="21" max="21" width="14.33203125" hidden="1" customWidth="1"/>
    <col min="22" max="22" width="14.6640625" hidden="1" customWidth="1"/>
    <col min="23" max="23" width="6.33203125" hidden="1" customWidth="1"/>
    <col min="24" max="24" width="3.6640625" hidden="1" customWidth="1"/>
    <col min="25" max="30" width="0" hidden="1" customWidth="1"/>
    <col min="31" max="16384" width="8.6640625" hidden="1"/>
  </cols>
  <sheetData>
    <row r="1" spans="1:23" s="2" customFormat="1" ht="10.199999999999999" customHeight="1" x14ac:dyDescent="0.45">
      <c r="A1" s="1"/>
      <c r="B1" s="1"/>
      <c r="C1" s="1"/>
      <c r="D1" s="1"/>
      <c r="E1" s="1"/>
      <c r="F1" s="1"/>
      <c r="G1" s="1"/>
      <c r="H1" s="1"/>
      <c r="I1" s="1"/>
      <c r="J1" s="1"/>
      <c r="K1" s="1"/>
      <c r="L1" s="1"/>
      <c r="M1" s="1"/>
      <c r="N1" s="1"/>
      <c r="O1"/>
      <c r="P1"/>
      <c r="Q1"/>
      <c r="R1"/>
      <c r="S1"/>
      <c r="T1"/>
      <c r="U1"/>
      <c r="V1"/>
      <c r="W1"/>
    </row>
    <row r="2" spans="1:23" s="2" customFormat="1" ht="13.35" customHeight="1" x14ac:dyDescent="0.45">
      <c r="A2" s="1"/>
      <c r="B2" s="1"/>
      <c r="C2" s="1"/>
      <c r="D2" s="1"/>
      <c r="E2" s="1"/>
      <c r="F2" s="1"/>
      <c r="G2" s="1"/>
      <c r="H2" s="1"/>
      <c r="I2" s="1"/>
      <c r="J2" s="1"/>
      <c r="K2" s="1"/>
      <c r="L2" s="1"/>
      <c r="M2" s="1"/>
      <c r="N2" s="1"/>
      <c r="O2"/>
      <c r="P2"/>
      <c r="Q2"/>
      <c r="R2"/>
      <c r="S2"/>
      <c r="T2"/>
      <c r="U2"/>
      <c r="V2"/>
      <c r="W2"/>
    </row>
    <row r="3" spans="1:23" s="2" customFormat="1" ht="13.35" customHeight="1" x14ac:dyDescent="0.45">
      <c r="A3" s="1"/>
      <c r="B3" s="1"/>
      <c r="C3" s="1"/>
      <c r="D3" s="1"/>
      <c r="E3" s="1"/>
      <c r="F3" s="1"/>
      <c r="G3" s="1"/>
      <c r="H3" s="1"/>
      <c r="I3" s="1"/>
      <c r="J3" s="1"/>
      <c r="K3" s="1"/>
      <c r="L3" s="1"/>
      <c r="M3" s="1"/>
      <c r="N3" s="1"/>
      <c r="O3"/>
      <c r="P3"/>
      <c r="Q3"/>
      <c r="R3"/>
      <c r="S3"/>
      <c r="T3"/>
      <c r="U3"/>
      <c r="V3"/>
      <c r="W3"/>
    </row>
    <row r="4" spans="1:23" s="2" customFormat="1" ht="10.199999999999999" customHeight="1" x14ac:dyDescent="0.45">
      <c r="A4" s="1"/>
      <c r="B4" s="1"/>
      <c r="C4" s="1"/>
      <c r="D4" s="1"/>
      <c r="E4" s="1"/>
      <c r="F4" s="1"/>
      <c r="G4" s="1"/>
      <c r="H4" s="1"/>
      <c r="I4" s="1"/>
      <c r="J4" s="1"/>
      <c r="K4" s="1"/>
      <c r="L4" s="1"/>
      <c r="M4" s="1"/>
      <c r="N4" s="1"/>
      <c r="O4"/>
      <c r="P4"/>
      <c r="Q4"/>
      <c r="R4"/>
      <c r="S4"/>
      <c r="T4"/>
      <c r="U4"/>
      <c r="V4"/>
      <c r="W4"/>
    </row>
    <row r="5" spans="1:23" s="2" customFormat="1" ht="2.85" customHeight="1" x14ac:dyDescent="0.45">
      <c r="A5" s="3"/>
      <c r="B5" s="3"/>
      <c r="C5" s="3"/>
      <c r="D5" s="3"/>
      <c r="E5" s="3"/>
      <c r="F5" s="3"/>
      <c r="G5" s="3"/>
      <c r="H5" s="3"/>
      <c r="I5" s="3"/>
      <c r="J5" s="3"/>
      <c r="K5" s="3"/>
      <c r="L5" s="3"/>
      <c r="M5" s="3"/>
      <c r="N5" s="3"/>
      <c r="O5"/>
      <c r="P5"/>
      <c r="Q5"/>
      <c r="R5"/>
      <c r="S5"/>
      <c r="T5"/>
      <c r="U5"/>
      <c r="V5"/>
      <c r="W5"/>
    </row>
    <row r="7" spans="1:23" x14ac:dyDescent="0.3">
      <c r="B7" s="109" t="s">
        <v>606</v>
      </c>
      <c r="C7" s="110"/>
      <c r="D7" s="110"/>
    </row>
    <row r="8" spans="1:23" ht="4.95" customHeight="1" x14ac:dyDescent="0.3"/>
    <row r="9" spans="1:23" x14ac:dyDescent="0.3">
      <c r="B9" t="s">
        <v>157</v>
      </c>
    </row>
    <row r="10" spans="1:23" x14ac:dyDescent="0.3">
      <c r="B10" t="s">
        <v>219</v>
      </c>
    </row>
    <row r="11" spans="1:23" x14ac:dyDescent="0.3">
      <c r="B11" t="s">
        <v>179</v>
      </c>
    </row>
    <row r="12" spans="1:23" x14ac:dyDescent="0.3">
      <c r="B12" t="s">
        <v>607</v>
      </c>
    </row>
    <row r="13" spans="1:23" x14ac:dyDescent="0.3">
      <c r="B13" t="s">
        <v>608</v>
      </c>
    </row>
    <row r="14" spans="1:23" x14ac:dyDescent="0.3">
      <c r="B14" t="s">
        <v>1057</v>
      </c>
    </row>
    <row r="15" spans="1:23" x14ac:dyDescent="0.3">
      <c r="B15" t="s">
        <v>235</v>
      </c>
    </row>
    <row r="17" spans="2:4" x14ac:dyDescent="0.3">
      <c r="B17" s="109" t="s">
        <v>610</v>
      </c>
      <c r="C17" s="108"/>
      <c r="D17" s="108"/>
    </row>
    <row r="18" spans="2:4" x14ac:dyDescent="0.3">
      <c r="B18" t="s">
        <v>235</v>
      </c>
    </row>
    <row r="19" spans="2:4" x14ac:dyDescent="0.3">
      <c r="B19" t="s">
        <v>147</v>
      </c>
    </row>
    <row r="20" spans="2:4" x14ac:dyDescent="0.3">
      <c r="B20" t="s">
        <v>1057</v>
      </c>
    </row>
    <row r="21" spans="2:4" x14ac:dyDescent="0.3">
      <c r="B21" t="s">
        <v>859</v>
      </c>
    </row>
    <row r="23" spans="2:4" x14ac:dyDescent="0.3">
      <c r="B23" s="109" t="s">
        <v>858</v>
      </c>
      <c r="C23" s="108"/>
      <c r="D23" s="108"/>
    </row>
    <row r="24" spans="2:4" x14ac:dyDescent="0.3">
      <c r="B24" t="s">
        <v>235</v>
      </c>
    </row>
    <row r="25" spans="2:4" x14ac:dyDescent="0.3">
      <c r="B25" t="s">
        <v>801</v>
      </c>
    </row>
    <row r="26" spans="2:4" x14ac:dyDescent="0.3">
      <c r="B26" t="s">
        <v>147</v>
      </c>
    </row>
    <row r="27" spans="2:4" x14ac:dyDescent="0.3">
      <c r="B27" t="s">
        <v>879</v>
      </c>
    </row>
    <row r="28" spans="2:4" x14ac:dyDescent="0.3">
      <c r="B28" t="s">
        <v>1057</v>
      </c>
    </row>
    <row r="29" spans="2:4" x14ac:dyDescent="0.3">
      <c r="B29" t="s">
        <v>882</v>
      </c>
    </row>
    <row r="31" spans="2:4" x14ac:dyDescent="0.3">
      <c r="B31" s="109" t="s">
        <v>1127</v>
      </c>
      <c r="C31" s="108"/>
      <c r="D31" s="108"/>
    </row>
    <row r="32" spans="2:4" x14ac:dyDescent="0.3">
      <c r="B32" t="s">
        <v>1128</v>
      </c>
    </row>
    <row r="33" spans="2:2" x14ac:dyDescent="0.3">
      <c r="B33" t="s">
        <v>1129</v>
      </c>
    </row>
    <row r="34" spans="2:2" x14ac:dyDescent="0.3">
      <c r="B34" t="s">
        <v>1130</v>
      </c>
    </row>
    <row r="35" spans="2:2" x14ac:dyDescent="0.3">
      <c r="B35" t="s">
        <v>235</v>
      </c>
    </row>
    <row r="36" spans="2:2" x14ac:dyDescent="0.3">
      <c r="B36" t="s">
        <v>1057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21E7E-F812-4830-AADA-C9D76AE079EB}">
  <dimension ref="A1:AS157"/>
  <sheetViews>
    <sheetView showGridLines="0" topLeftCell="H1" zoomScale="80" zoomScaleNormal="80" workbookViewId="0">
      <selection activeCell="H10" sqref="H10"/>
    </sheetView>
  </sheetViews>
  <sheetFormatPr defaultRowHeight="13.8" zeroHeight="1" x14ac:dyDescent="0.25"/>
  <cols>
    <col min="1" max="7" width="0" style="568" hidden="1" customWidth="1"/>
    <col min="8" max="8" width="4.109375" style="568" customWidth="1"/>
    <col min="9" max="9" width="20.109375" style="568" customWidth="1"/>
    <col min="10" max="10" width="46.109375" style="568" bestFit="1" customWidth="1"/>
    <col min="11" max="13" width="0" style="568" hidden="1" customWidth="1"/>
    <col min="14" max="15" width="19.33203125" style="568" customWidth="1"/>
    <col min="16" max="16" width="0" style="568" hidden="1" customWidth="1"/>
    <col min="17" max="17" width="19.33203125" style="568" customWidth="1"/>
    <col min="18" max="19" width="0" style="568" hidden="1" customWidth="1"/>
    <col min="20" max="20" width="19.33203125" style="568" customWidth="1"/>
    <col min="21" max="21" width="0" style="568" hidden="1" customWidth="1"/>
    <col min="22" max="22" width="19.33203125" style="568" customWidth="1"/>
    <col min="23" max="23" width="0" style="568" hidden="1" customWidth="1"/>
    <col min="24" max="25" width="19.33203125" style="568" customWidth="1"/>
    <col min="26" max="26" width="0" style="568" hidden="1" customWidth="1"/>
    <col min="27" max="34" width="19.33203125" style="568" customWidth="1"/>
    <col min="35" max="35" width="4.109375" style="568" customWidth="1"/>
    <col min="36" max="56" width="0" style="568" hidden="1" customWidth="1"/>
    <col min="57" max="16384" width="8.88671875" style="568"/>
  </cols>
  <sheetData>
    <row r="1" spans="1:45" x14ac:dyDescent="0.25">
      <c r="A1" s="567" t="s">
        <v>1351</v>
      </c>
      <c r="B1" s="567"/>
      <c r="C1" s="567"/>
      <c r="D1" s="567"/>
      <c r="E1" s="567"/>
      <c r="F1" s="567"/>
      <c r="G1" s="567"/>
      <c r="H1" s="567"/>
      <c r="I1" s="567"/>
      <c r="J1" s="567"/>
      <c r="K1" s="567"/>
      <c r="L1" s="567"/>
      <c r="M1" s="567"/>
      <c r="N1" s="567"/>
      <c r="O1" s="567"/>
      <c r="P1" s="567"/>
      <c r="Q1" s="567"/>
      <c r="R1" s="567"/>
      <c r="S1" s="567"/>
      <c r="T1" s="567"/>
      <c r="U1" s="567"/>
      <c r="V1" s="567"/>
      <c r="W1" s="567"/>
      <c r="X1" s="567"/>
      <c r="Y1" s="567"/>
      <c r="Z1" s="567"/>
      <c r="AA1" s="567"/>
      <c r="AB1" s="567"/>
      <c r="AC1" s="567"/>
      <c r="AD1" s="567"/>
      <c r="AE1" s="567"/>
      <c r="AF1" s="567"/>
      <c r="AG1" s="567"/>
      <c r="AH1" s="567"/>
      <c r="AI1" s="567"/>
      <c r="AJ1" s="567"/>
      <c r="AK1" s="567"/>
      <c r="AL1" s="567"/>
      <c r="AM1" s="567"/>
      <c r="AN1" s="567"/>
      <c r="AO1" s="567"/>
      <c r="AP1" s="567"/>
      <c r="AQ1" s="567"/>
      <c r="AR1" s="567"/>
      <c r="AS1" s="567"/>
    </row>
    <row r="2" spans="1:45" x14ac:dyDescent="0.25">
      <c r="A2" s="567"/>
      <c r="B2" s="567"/>
      <c r="C2" s="567"/>
      <c r="D2" s="567"/>
      <c r="E2" s="567"/>
      <c r="F2" s="567"/>
      <c r="G2" s="567"/>
      <c r="H2" s="567"/>
      <c r="I2" s="567"/>
      <c r="J2" s="567"/>
      <c r="K2" s="567"/>
      <c r="L2" s="567"/>
      <c r="M2" s="567"/>
      <c r="N2" s="567"/>
      <c r="O2" s="567"/>
      <c r="P2" s="567"/>
      <c r="Q2" s="567"/>
      <c r="R2" s="567"/>
      <c r="S2" s="567"/>
      <c r="T2" s="567"/>
      <c r="U2" s="567"/>
      <c r="V2" s="567"/>
      <c r="W2" s="567"/>
      <c r="X2" s="567"/>
      <c r="Y2" s="567"/>
      <c r="Z2" s="567"/>
      <c r="AA2" s="567"/>
      <c r="AB2" s="567"/>
      <c r="AC2" s="567"/>
      <c r="AD2" s="567"/>
      <c r="AE2" s="567"/>
      <c r="AF2" s="567"/>
      <c r="AG2" s="567"/>
      <c r="AH2" s="567"/>
      <c r="AI2" s="567"/>
      <c r="AJ2" s="567"/>
      <c r="AK2" s="567"/>
      <c r="AL2" s="567"/>
      <c r="AM2" s="567"/>
      <c r="AN2" s="567"/>
      <c r="AO2" s="567"/>
      <c r="AP2" s="567"/>
      <c r="AQ2" s="567"/>
      <c r="AR2" s="567"/>
      <c r="AS2" s="567"/>
    </row>
    <row r="3" spans="1:45" x14ac:dyDescent="0.25">
      <c r="A3" s="567"/>
      <c r="B3" s="567"/>
      <c r="C3" s="567"/>
      <c r="D3" s="567"/>
      <c r="E3" s="567"/>
      <c r="F3" s="567"/>
      <c r="G3" s="567"/>
      <c r="H3" s="567"/>
      <c r="I3" s="567"/>
      <c r="J3" s="567"/>
      <c r="K3" s="567"/>
      <c r="L3" s="567"/>
      <c r="M3" s="567"/>
      <c r="N3" s="567"/>
      <c r="O3" s="567"/>
      <c r="P3" s="567"/>
      <c r="Q3" s="567"/>
      <c r="R3" s="567"/>
      <c r="S3" s="567"/>
      <c r="T3" s="567"/>
      <c r="U3" s="567"/>
      <c r="V3" s="567"/>
      <c r="W3" s="567"/>
      <c r="X3" s="567"/>
      <c r="Y3" s="567"/>
      <c r="Z3" s="567"/>
      <c r="AA3" s="567"/>
      <c r="AB3" s="567"/>
      <c r="AC3" s="567"/>
      <c r="AD3" s="567"/>
      <c r="AE3" s="567"/>
      <c r="AF3" s="567"/>
      <c r="AG3" s="567"/>
      <c r="AH3" s="567"/>
      <c r="AI3" s="567"/>
      <c r="AJ3" s="567"/>
      <c r="AK3" s="567"/>
      <c r="AL3" s="567"/>
      <c r="AM3" s="567"/>
      <c r="AN3" s="567"/>
      <c r="AO3" s="567"/>
      <c r="AP3" s="567"/>
      <c r="AQ3" s="567"/>
      <c r="AR3" s="567"/>
      <c r="AS3" s="567"/>
    </row>
    <row r="4" spans="1:45" ht="3" customHeight="1" x14ac:dyDescent="0.25">
      <c r="A4" s="569"/>
      <c r="B4" s="569"/>
      <c r="C4" s="569"/>
      <c r="D4" s="569"/>
      <c r="E4" s="569"/>
      <c r="F4" s="569"/>
      <c r="G4" s="569"/>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569"/>
      <c r="AK4" s="569"/>
      <c r="AL4" s="569"/>
      <c r="AM4" s="569"/>
      <c r="AN4" s="569"/>
      <c r="AO4" s="569"/>
      <c r="AP4" s="569"/>
      <c r="AQ4" s="569"/>
      <c r="AR4" s="569"/>
      <c r="AS4" s="569"/>
    </row>
    <row r="5" spans="1:45" x14ac:dyDescent="0.25"/>
    <row r="6" spans="1:45" ht="14.4" thickBot="1" x14ac:dyDescent="0.3">
      <c r="I6" s="571" t="s">
        <v>1138</v>
      </c>
      <c r="J6" s="572"/>
      <c r="K6" s="572"/>
      <c r="L6" s="572"/>
      <c r="M6" s="572"/>
      <c r="N6" s="572"/>
      <c r="O6" s="572"/>
      <c r="P6" s="572"/>
      <c r="Q6" s="572"/>
      <c r="R6" s="572"/>
      <c r="S6" s="572"/>
      <c r="T6" s="572"/>
      <c r="U6" s="572"/>
      <c r="V6" s="572"/>
      <c r="W6" s="572"/>
      <c r="X6" s="572"/>
      <c r="Y6" s="572"/>
      <c r="Z6" s="572"/>
      <c r="AA6" s="572"/>
      <c r="AB6" s="572"/>
      <c r="AC6" s="572"/>
      <c r="AD6" s="572"/>
      <c r="AE6" s="572"/>
      <c r="AF6" s="572"/>
      <c r="AG6" s="572"/>
      <c r="AH6" s="572"/>
    </row>
    <row r="7" spans="1:45" x14ac:dyDescent="0.25"/>
    <row r="8" spans="1:45" x14ac:dyDescent="0.25">
      <c r="I8" s="573" t="s">
        <v>1139</v>
      </c>
      <c r="J8" s="574" t="s">
        <v>1140</v>
      </c>
      <c r="K8" s="575"/>
      <c r="L8" s="575"/>
    </row>
    <row r="9" spans="1:45" s="576" customFormat="1" x14ac:dyDescent="0.25">
      <c r="B9" s="577" t="s">
        <v>1141</v>
      </c>
      <c r="C9" s="578"/>
      <c r="D9" s="578"/>
      <c r="E9" s="578"/>
      <c r="F9" s="578"/>
      <c r="G9" s="579"/>
      <c r="H9" s="568"/>
      <c r="P9" s="580"/>
      <c r="Q9" s="580"/>
      <c r="R9" s="580"/>
      <c r="S9" s="580"/>
      <c r="T9" s="580"/>
      <c r="U9" s="580"/>
      <c r="V9" s="580"/>
      <c r="W9" s="580"/>
      <c r="X9" s="580"/>
      <c r="Y9" s="580"/>
      <c r="Z9" s="580"/>
      <c r="AA9" s="580"/>
      <c r="AB9" s="580"/>
      <c r="AC9" s="580"/>
      <c r="AD9" s="580"/>
      <c r="AE9" s="580"/>
      <c r="AF9" s="580"/>
      <c r="AG9" s="580"/>
      <c r="AH9" s="580"/>
    </row>
    <row r="10" spans="1:45" ht="66" x14ac:dyDescent="0.25">
      <c r="B10" s="581" t="s">
        <v>1142</v>
      </c>
      <c r="C10" s="582" t="s">
        <v>1143</v>
      </c>
      <c r="D10" s="582" t="s">
        <v>1144</v>
      </c>
      <c r="E10" s="582" t="s">
        <v>1145</v>
      </c>
      <c r="F10" s="582" t="s">
        <v>907</v>
      </c>
      <c r="G10" s="583" t="s">
        <v>1146</v>
      </c>
      <c r="H10" s="584" t="s">
        <v>1070</v>
      </c>
      <c r="I10" s="585" t="s">
        <v>1106</v>
      </c>
      <c r="J10" s="586" t="s">
        <v>1107</v>
      </c>
      <c r="K10" s="586" t="s">
        <v>1147</v>
      </c>
      <c r="L10" s="586" t="s">
        <v>1148</v>
      </c>
      <c r="M10" s="586" t="s">
        <v>1108</v>
      </c>
      <c r="N10" s="586" t="s">
        <v>1109</v>
      </c>
      <c r="O10" s="586" t="s">
        <v>1110</v>
      </c>
      <c r="P10" s="586" t="s">
        <v>1149</v>
      </c>
      <c r="Q10" s="586" t="s">
        <v>1111</v>
      </c>
      <c r="R10" s="586" t="s">
        <v>1150</v>
      </c>
      <c r="S10" s="586" t="s">
        <v>1151</v>
      </c>
      <c r="T10" s="586" t="s">
        <v>1112</v>
      </c>
      <c r="U10" s="586" t="s">
        <v>1152</v>
      </c>
      <c r="V10" s="586" t="s">
        <v>1113</v>
      </c>
      <c r="W10" s="586" t="s">
        <v>1153</v>
      </c>
      <c r="X10" s="586" t="s">
        <v>1114</v>
      </c>
      <c r="Y10" s="586" t="s">
        <v>1115</v>
      </c>
      <c r="Z10" s="586" t="s">
        <v>1154</v>
      </c>
      <c r="AA10" s="586" t="s">
        <v>1116</v>
      </c>
      <c r="AB10" s="586" t="s">
        <v>1117</v>
      </c>
      <c r="AC10" s="586" t="s">
        <v>1118</v>
      </c>
      <c r="AD10" s="586" t="s">
        <v>1119</v>
      </c>
      <c r="AE10" s="586" t="s">
        <v>1120</v>
      </c>
      <c r="AF10" s="586" t="s">
        <v>1121</v>
      </c>
      <c r="AG10" s="586" t="s">
        <v>1122</v>
      </c>
      <c r="AH10" s="587" t="s">
        <v>1123</v>
      </c>
    </row>
    <row r="11" spans="1:45" x14ac:dyDescent="0.25">
      <c r="A11" s="576" t="str">
        <f>+I11&amp;J11</f>
        <v>B02.000010_ROW_NMBR</v>
      </c>
      <c r="B11" s="588">
        <f>+VLOOKUP(I11&amp;J11,[1]Auxiliar!B:C,2,FALSE)</f>
        <v>2</v>
      </c>
      <c r="C11" s="589">
        <f>+VLOOKUP(I11&amp;J11,[1]Auxiliar!E:F,2,FALSE)</f>
        <v>2</v>
      </c>
      <c r="D11" s="589">
        <f>+VLOOKUP(I11&amp;J11,[1]Auxiliar!H:I,2,FALSE)</f>
        <v>2</v>
      </c>
      <c r="E11" s="589">
        <f>+VLOOKUP(I11&amp;J11,[1]Auxiliar!K:L,2,FALSE)</f>
        <v>2</v>
      </c>
      <c r="F11" s="589">
        <f>+VLOOKUP(I11&amp;J11,[1]Auxiliar!N:O,2,FALSE)</f>
        <v>2</v>
      </c>
      <c r="G11" s="590">
        <f>+VLOOKUP(I11&amp;J11,[1]Auxiliar!Q:R,2,FALSE)</f>
        <v>2</v>
      </c>
      <c r="H11" s="576" t="str">
        <f>+"c"&amp;LEFT(J11,4)</f>
        <v>c0010</v>
      </c>
      <c r="I11" s="591" t="s">
        <v>0</v>
      </c>
      <c r="J11" s="592" t="s">
        <v>1155</v>
      </c>
      <c r="K11" s="592"/>
      <c r="L11" s="592" t="e">
        <f>+VLOOKUP(J11,#REF!,3,FALSE)</f>
        <v>#REF!</v>
      </c>
      <c r="M11" s="593"/>
      <c r="N11" s="594" t="s">
        <v>1156</v>
      </c>
      <c r="O11" s="595">
        <v>8</v>
      </c>
      <c r="P11" s="596" t="str">
        <f>+IFERROR(VLOOKUP(B11,'[1]ID1&amp;5'!K:L,2,FALSE),"-")</f>
        <v>-</v>
      </c>
      <c r="Q11" s="595">
        <v>0</v>
      </c>
      <c r="R11" s="595" t="str">
        <f>+IFERROR(VLOOKUP(CONCATENATE(A11,$C$10,C11),'[1]ID1&amp;5'!B:J,8,FALSE),"-")</f>
        <v>-</v>
      </c>
      <c r="S11" s="596" t="str">
        <f>+IFERROR(VLOOKUP(C11,'[1]ID1&amp;5'!K:L,2,FALSE),"-")</f>
        <v>-</v>
      </c>
      <c r="T11" s="595">
        <v>0</v>
      </c>
      <c r="U11" s="596" t="str">
        <f>+IFERROR(VLOOKUP(D11,'[1]ID1&amp;5'!K:L,2,FALSE),"-")</f>
        <v>-</v>
      </c>
      <c r="V11" s="593">
        <v>0</v>
      </c>
      <c r="W11" s="596" t="str">
        <f>+IFERROR(VLOOKUP(E11,'[1]ID1&amp;5'!K:L,2,FALSE),"-")</f>
        <v>-</v>
      </c>
      <c r="X11" s="595">
        <v>0</v>
      </c>
      <c r="Y11" s="597">
        <f>+X11/O11</f>
        <v>0</v>
      </c>
      <c r="Z11" s="596" t="str">
        <f>+IFERROR(VLOOKUP(F11,'[1]ID1&amp;5'!K:L,2,FALSE),"-")</f>
        <v>-</v>
      </c>
      <c r="AA11" s="595">
        <v>0</v>
      </c>
      <c r="AB11" s="597">
        <f>+AA11/O11</f>
        <v>0</v>
      </c>
      <c r="AC11" s="598">
        <v>1</v>
      </c>
      <c r="AD11" s="598">
        <v>8</v>
      </c>
      <c r="AE11" s="593">
        <v>0</v>
      </c>
      <c r="AF11" s="593">
        <v>0</v>
      </c>
      <c r="AG11" s="598"/>
      <c r="AH11" s="433" t="s">
        <v>1125</v>
      </c>
      <c r="AI11" s="576" t="s">
        <v>147</v>
      </c>
    </row>
    <row r="12" spans="1:45" x14ac:dyDescent="0.25">
      <c r="A12" s="576" t="str">
        <f>+I12&amp;J12</f>
        <v>B02.000020_UNIQ_ID</v>
      </c>
      <c r="B12" s="588">
        <f>+VLOOKUP(I12&amp;J12,[1]Auxiliar!B:C,2,FALSE)</f>
        <v>2</v>
      </c>
      <c r="C12" s="589">
        <f>+VLOOKUP(I12&amp;J12,[1]Auxiliar!E:F,2,FALSE)</f>
        <v>2</v>
      </c>
      <c r="D12" s="589">
        <f>+VLOOKUP(I12&amp;J12,[1]Auxiliar!H:I,2,FALSE)</f>
        <v>2</v>
      </c>
      <c r="E12" s="589">
        <f>+VLOOKUP(I12&amp;J12,[1]Auxiliar!K:L,2,FALSE)</f>
        <v>2</v>
      </c>
      <c r="F12" s="589">
        <f>+VLOOKUP(I12&amp;J12,[1]Auxiliar!N:O,2,FALSE)</f>
        <v>2</v>
      </c>
      <c r="G12" s="590">
        <f>+VLOOKUP(I12&amp;J12,[1]Auxiliar!Q:R,2,FALSE)</f>
        <v>2</v>
      </c>
      <c r="H12" s="576" t="str">
        <f>+"c"&amp;LEFT(J12,4)</f>
        <v>c0020</v>
      </c>
      <c r="I12" s="591" t="s">
        <v>0</v>
      </c>
      <c r="J12" s="592" t="s">
        <v>1157</v>
      </c>
      <c r="K12" s="592"/>
      <c r="L12" s="592" t="e">
        <f>+VLOOKUP(J12,#REF!,3,FALSE)</f>
        <v>#REF!</v>
      </c>
      <c r="M12" s="593"/>
      <c r="N12" s="594" t="s">
        <v>1156</v>
      </c>
      <c r="O12" s="595">
        <v>8</v>
      </c>
      <c r="P12" s="596" t="str">
        <f>+IFERROR(VLOOKUP(B12,'[1]ID1&amp;5'!K:L,2,FALSE),"-")</f>
        <v>-</v>
      </c>
      <c r="Q12" s="595">
        <v>0</v>
      </c>
      <c r="R12" s="595" t="str">
        <f>+IFERROR(VLOOKUP(CONCATENATE(A12,$C$10,C12),'[1]ID1&amp;5'!B:J,8,FALSE),"-")</f>
        <v>-</v>
      </c>
      <c r="S12" s="596" t="str">
        <f>+IFERROR(VLOOKUP(C12,'[1]ID1&amp;5'!K:L,2,FALSE),"-")</f>
        <v>-</v>
      </c>
      <c r="T12" s="595">
        <v>0</v>
      </c>
      <c r="U12" s="596" t="str">
        <f>+IFERROR(VLOOKUP(D12,'[1]ID1&amp;5'!K:L,2,FALSE),"-")</f>
        <v>-</v>
      </c>
      <c r="V12" s="593">
        <v>0</v>
      </c>
      <c r="W12" s="596" t="str">
        <f>+IFERROR(VLOOKUP(E12,'[1]ID1&amp;5'!K:L,2,FALSE),"-")</f>
        <v>-</v>
      </c>
      <c r="X12" s="595">
        <v>0</v>
      </c>
      <c r="Y12" s="597">
        <f>+X12/O12</f>
        <v>0</v>
      </c>
      <c r="Z12" s="596" t="str">
        <f>+IFERROR(VLOOKUP(F12,'[1]ID1&amp;5'!K:L,2,FALSE),"-")</f>
        <v>-</v>
      </c>
      <c r="AA12" s="595">
        <v>0</v>
      </c>
      <c r="AB12" s="597">
        <f>+AA12/O12</f>
        <v>0</v>
      </c>
      <c r="AC12" s="598" t="s">
        <v>1158</v>
      </c>
      <c r="AD12" s="598" t="s">
        <v>1159</v>
      </c>
      <c r="AE12" s="593">
        <v>0</v>
      </c>
      <c r="AF12" s="593">
        <v>0</v>
      </c>
      <c r="AG12" s="598"/>
      <c r="AH12" s="433" t="s">
        <v>1125</v>
      </c>
      <c r="AI12" s="576" t="s">
        <v>879</v>
      </c>
    </row>
    <row r="13" spans="1:45" x14ac:dyDescent="0.25">
      <c r="A13" s="576" t="str">
        <f>+I13&amp;J13</f>
        <v>B02.000030_UNIQ_ID_KNWN_CNTRPRTY</v>
      </c>
      <c r="B13" s="588">
        <f>+VLOOKUP(I13&amp;J13,[1]Auxiliar!B:C,2,FALSE)</f>
        <v>2</v>
      </c>
      <c r="C13" s="589">
        <f>+VLOOKUP(I13&amp;J13,[1]Auxiliar!E:F,2,FALSE)</f>
        <v>2</v>
      </c>
      <c r="D13" s="589">
        <f>+VLOOKUP(I13&amp;J13,[1]Auxiliar!H:I,2,FALSE)</f>
        <v>2</v>
      </c>
      <c r="E13" s="589">
        <f>+VLOOKUP(I13&amp;J13,[1]Auxiliar!K:L,2,FALSE)</f>
        <v>2</v>
      </c>
      <c r="F13" s="589">
        <f>+VLOOKUP(I13&amp;J13,[1]Auxiliar!N:O,2,FALSE)</f>
        <v>2</v>
      </c>
      <c r="G13" s="590">
        <f>+VLOOKUP(I13&amp;J13,[1]Auxiliar!Q:R,2,FALSE)</f>
        <v>2</v>
      </c>
      <c r="H13" s="576" t="str">
        <f>+"c"&amp;LEFT(J13,4)</f>
        <v>c0030</v>
      </c>
      <c r="I13" s="591" t="s">
        <v>0</v>
      </c>
      <c r="J13" s="592" t="s">
        <v>1160</v>
      </c>
      <c r="K13" s="592"/>
      <c r="L13" s="592" t="e">
        <f>+VLOOKUP(J13,#REF!,3,FALSE)</f>
        <v>#REF!</v>
      </c>
      <c r="M13" s="593"/>
      <c r="N13" s="594" t="s">
        <v>1156</v>
      </c>
      <c r="O13" s="595">
        <v>8</v>
      </c>
      <c r="P13" s="596" t="str">
        <f>+IFERROR(VLOOKUP(B13,'[1]ID1&amp;5'!K:L,2,FALSE),"-")</f>
        <v>-</v>
      </c>
      <c r="Q13" s="595">
        <v>0</v>
      </c>
      <c r="R13" s="595" t="str">
        <f>+IFERROR(VLOOKUP(CONCATENATE(A13,$C$10,C13),'[1]ID1&amp;5'!B:J,8,FALSE),"-")</f>
        <v>-</v>
      </c>
      <c r="S13" s="596" t="str">
        <f>+IFERROR(VLOOKUP(C13,'[1]ID1&amp;5'!K:L,2,FALSE),"-")</f>
        <v>-</v>
      </c>
      <c r="T13" s="595">
        <v>0</v>
      </c>
      <c r="U13" s="596" t="str">
        <f>+IFERROR(VLOOKUP(D13,'[1]ID1&amp;5'!K:L,2,FALSE),"-")</f>
        <v>-</v>
      </c>
      <c r="V13" s="593">
        <v>0</v>
      </c>
      <c r="W13" s="596" t="str">
        <f>+IFERROR(VLOOKUP(E13,'[1]ID1&amp;5'!K:L,2,FALSE),"-")</f>
        <v>-</v>
      </c>
      <c r="X13" s="595">
        <v>0</v>
      </c>
      <c r="Y13" s="597">
        <f>+X13/O13</f>
        <v>0</v>
      </c>
      <c r="Z13" s="596" t="str">
        <f>+IFERROR(VLOOKUP(F13,'[1]ID1&amp;5'!K:L,2,FALSE),"-")</f>
        <v>-</v>
      </c>
      <c r="AA13" s="595">
        <v>0</v>
      </c>
      <c r="AB13" s="597">
        <f>+AA13/O13</f>
        <v>0</v>
      </c>
      <c r="AC13" s="598" t="s">
        <v>1161</v>
      </c>
      <c r="AD13" s="598" t="s">
        <v>1162</v>
      </c>
      <c r="AE13" s="593">
        <v>0</v>
      </c>
      <c r="AF13" s="593">
        <v>0</v>
      </c>
      <c r="AG13" s="598"/>
      <c r="AH13" s="433" t="s">
        <v>1125</v>
      </c>
      <c r="AI13" s="576" t="s">
        <v>879</v>
      </c>
    </row>
    <row r="14" spans="1:45" x14ac:dyDescent="0.25">
      <c r="A14" s="576" t="str">
        <f>+I14&amp;J14</f>
        <v>B02.000040_TYP_UNIQ_ID_KNWN_CNTRPRTY</v>
      </c>
      <c r="B14" s="588">
        <f>+VLOOKUP(I14&amp;J14,[1]Auxiliar!B:C,2,FALSE)</f>
        <v>2</v>
      </c>
      <c r="C14" s="589">
        <f>+VLOOKUP(I14&amp;J14,[1]Auxiliar!E:F,2,FALSE)</f>
        <v>2</v>
      </c>
      <c r="D14" s="589">
        <f>+VLOOKUP(I14&amp;J14,[1]Auxiliar!H:I,2,FALSE)</f>
        <v>2</v>
      </c>
      <c r="E14" s="589">
        <f>+VLOOKUP(I14&amp;J14,[1]Auxiliar!K:L,2,FALSE)</f>
        <v>2</v>
      </c>
      <c r="F14" s="589">
        <f>+VLOOKUP(I14&amp;J14,[1]Auxiliar!N:O,2,FALSE)</f>
        <v>2</v>
      </c>
      <c r="G14" s="590">
        <f>+VLOOKUP(I14&amp;J14,[1]Auxiliar!Q:R,2,FALSE)</f>
        <v>2</v>
      </c>
      <c r="H14" s="576" t="str">
        <f>+"c"&amp;LEFT(J14,4)</f>
        <v>c0040</v>
      </c>
      <c r="I14" s="591" t="s">
        <v>0</v>
      </c>
      <c r="J14" s="592" t="s">
        <v>1163</v>
      </c>
      <c r="K14" s="592"/>
      <c r="L14" s="592" t="e">
        <f>+VLOOKUP(J14,#REF!,3,FALSE)</f>
        <v>#REF!</v>
      </c>
      <c r="M14" s="593"/>
      <c r="N14" s="594" t="s">
        <v>1156</v>
      </c>
      <c r="O14" s="595">
        <v>8</v>
      </c>
      <c r="P14" s="596" t="str">
        <f>+IFERROR(VLOOKUP(B14,'[1]ID1&amp;5'!K:L,2,FALSE),"-")</f>
        <v>-</v>
      </c>
      <c r="Q14" s="595">
        <v>0</v>
      </c>
      <c r="R14" s="595" t="str">
        <f>+IFERROR(VLOOKUP(CONCATENATE(A14,$C$10,C14),'[1]ID1&amp;5'!B:J,8,FALSE),"-")</f>
        <v>-</v>
      </c>
      <c r="S14" s="596" t="str">
        <f>+IFERROR(VLOOKUP(C14,'[1]ID1&amp;5'!K:L,2,FALSE),"-")</f>
        <v>-</v>
      </c>
      <c r="T14" s="595">
        <v>0</v>
      </c>
      <c r="U14" s="596" t="str">
        <f>+IFERROR(VLOOKUP(D14,'[1]ID1&amp;5'!K:L,2,FALSE),"-")</f>
        <v>-</v>
      </c>
      <c r="V14" s="593">
        <v>0</v>
      </c>
      <c r="W14" s="596" t="str">
        <f>+IFERROR(VLOOKUP(E14,'[1]ID1&amp;5'!K:L,2,FALSE),"-")</f>
        <v>-</v>
      </c>
      <c r="X14" s="595">
        <v>0</v>
      </c>
      <c r="Y14" s="597">
        <f>+X14/O14</f>
        <v>0</v>
      </c>
      <c r="Z14" s="596" t="str">
        <f>+IFERROR(VLOOKUP(F14,'[1]ID1&amp;5'!K:L,2,FALSE),"-")</f>
        <v>-</v>
      </c>
      <c r="AA14" s="595">
        <v>0</v>
      </c>
      <c r="AB14" s="597">
        <f>+AA14/O14</f>
        <v>0</v>
      </c>
      <c r="AC14" s="598" t="s">
        <v>1164</v>
      </c>
      <c r="AD14" s="598" t="s">
        <v>1164</v>
      </c>
      <c r="AE14" s="593">
        <v>0</v>
      </c>
      <c r="AF14" s="593">
        <v>0</v>
      </c>
      <c r="AG14" s="598"/>
      <c r="AH14" s="433" t="s">
        <v>1125</v>
      </c>
      <c r="AI14" s="576" t="s">
        <v>147</v>
      </c>
    </row>
    <row r="15" spans="1:45" x14ac:dyDescent="0.25">
      <c r="A15" s="576" t="str">
        <f>+I15&amp;J15</f>
        <v>B02.000050_ORGNL_AMNT_EUR</v>
      </c>
      <c r="B15" s="588">
        <f>+VLOOKUP(I15&amp;J15,[1]Auxiliar!B:C,2,FALSE)</f>
        <v>2</v>
      </c>
      <c r="C15" s="589">
        <f>+VLOOKUP(I15&amp;J15,[1]Auxiliar!E:F,2,FALSE)</f>
        <v>2</v>
      </c>
      <c r="D15" s="589">
        <f>+VLOOKUP(I15&amp;J15,[1]Auxiliar!H:I,2,FALSE)</f>
        <v>2</v>
      </c>
      <c r="E15" s="589">
        <f>+VLOOKUP(I15&amp;J15,[1]Auxiliar!K:L,2,FALSE)</f>
        <v>2</v>
      </c>
      <c r="F15" s="589">
        <f>+VLOOKUP(I15&amp;J15,[1]Auxiliar!N:O,2,FALSE)</f>
        <v>2</v>
      </c>
      <c r="G15" s="590">
        <f>+VLOOKUP(I15&amp;J15,[1]Auxiliar!Q:R,2,FALSE)</f>
        <v>2</v>
      </c>
      <c r="H15" s="576" t="str">
        <f>+"c"&amp;LEFT(J15,4)</f>
        <v>c0050</v>
      </c>
      <c r="I15" s="591" t="s">
        <v>0</v>
      </c>
      <c r="J15" s="592" t="s">
        <v>1165</v>
      </c>
      <c r="K15" s="592"/>
      <c r="L15" s="592" t="e">
        <f>+VLOOKUP(J15,#REF!,3,FALSE)</f>
        <v>#REF!</v>
      </c>
      <c r="M15" s="593"/>
      <c r="N15" s="594" t="s">
        <v>1156</v>
      </c>
      <c r="O15" s="595">
        <v>8</v>
      </c>
      <c r="P15" s="596" t="str">
        <f>+IFERROR(VLOOKUP(B15,'[1]ID1&amp;5'!K:L,2,FALSE),"-")</f>
        <v>-</v>
      </c>
      <c r="Q15" s="595">
        <v>0</v>
      </c>
      <c r="R15" s="595" t="str">
        <f>+IFERROR(VLOOKUP(CONCATENATE(A15,$C$10,C15),'[1]ID1&amp;5'!B:J,8,FALSE),"-")</f>
        <v>-</v>
      </c>
      <c r="S15" s="596" t="str">
        <f>+IFERROR(VLOOKUP(C15,'[1]ID1&amp;5'!K:L,2,FALSE),"-")</f>
        <v>-</v>
      </c>
      <c r="T15" s="595">
        <v>0</v>
      </c>
      <c r="U15" s="596" t="str">
        <f>+IFERROR(VLOOKUP(D15,'[1]ID1&amp;5'!K:L,2,FALSE),"-")</f>
        <v>-</v>
      </c>
      <c r="V15" s="593">
        <v>0</v>
      </c>
      <c r="W15" s="596" t="str">
        <f>+IFERROR(VLOOKUP(E15,'[1]ID1&amp;5'!K:L,2,FALSE),"-")</f>
        <v>-</v>
      </c>
      <c r="X15" s="595">
        <v>0</v>
      </c>
      <c r="Y15" s="597">
        <f>+X15/O15</f>
        <v>0</v>
      </c>
      <c r="Z15" s="596" t="str">
        <f>+IFERROR(VLOOKUP(F15,'[1]ID1&amp;5'!K:L,2,FALSE),"-")</f>
        <v>-</v>
      </c>
      <c r="AA15" s="595">
        <v>0</v>
      </c>
      <c r="AB15" s="597">
        <f>+AA15/O15</f>
        <v>0</v>
      </c>
      <c r="AC15" s="598" t="s">
        <v>1166</v>
      </c>
      <c r="AD15" s="598" t="s">
        <v>1167</v>
      </c>
      <c r="AE15" s="593">
        <v>0</v>
      </c>
      <c r="AF15" s="593">
        <v>0</v>
      </c>
      <c r="AG15" s="598"/>
      <c r="AH15" s="433" t="s">
        <v>1125</v>
      </c>
      <c r="AI15" s="576" t="s">
        <v>147</v>
      </c>
    </row>
    <row r="16" spans="1:45" x14ac:dyDescent="0.25">
      <c r="A16" s="576" t="str">
        <f>+I16&amp;J16</f>
        <v>B02.000060_ORGNL_AMNT_FX</v>
      </c>
      <c r="B16" s="588">
        <f>+VLOOKUP(I16&amp;J16,[1]Auxiliar!B:C,2,FALSE)</f>
        <v>2</v>
      </c>
      <c r="C16" s="589">
        <f>+VLOOKUP(I16&amp;J16,[1]Auxiliar!E:F,2,FALSE)</f>
        <v>2</v>
      </c>
      <c r="D16" s="589">
        <f>+VLOOKUP(I16&amp;J16,[1]Auxiliar!H:I,2,FALSE)</f>
        <v>2</v>
      </c>
      <c r="E16" s="589">
        <f>+VLOOKUP(I16&amp;J16,[1]Auxiliar!K:L,2,FALSE)</f>
        <v>2</v>
      </c>
      <c r="F16" s="589">
        <f>+VLOOKUP(I16&amp;J16,[1]Auxiliar!N:O,2,FALSE)</f>
        <v>2</v>
      </c>
      <c r="G16" s="590">
        <f>+VLOOKUP(I16&amp;J16,[1]Auxiliar!Q:R,2,FALSE)</f>
        <v>2</v>
      </c>
      <c r="H16" s="576" t="str">
        <f>+"c"&amp;LEFT(J16,4)</f>
        <v>c0060</v>
      </c>
      <c r="I16" s="591" t="s">
        <v>0</v>
      </c>
      <c r="J16" s="592" t="s">
        <v>1168</v>
      </c>
      <c r="K16" s="592"/>
      <c r="L16" s="592" t="e">
        <f>+VLOOKUP(J16,#REF!,3,FALSE)</f>
        <v>#REF!</v>
      </c>
      <c r="M16" s="593"/>
      <c r="N16" s="594" t="s">
        <v>1156</v>
      </c>
      <c r="O16" s="595">
        <v>8</v>
      </c>
      <c r="P16" s="596" t="str">
        <f>+IFERROR(VLOOKUP(B16,'[1]ID1&amp;5'!K:L,2,FALSE),"-")</f>
        <v>-</v>
      </c>
      <c r="Q16" s="595">
        <v>0</v>
      </c>
      <c r="R16" s="595" t="str">
        <f>+IFERROR(VLOOKUP(CONCATENATE(A16,$C$10,C16),'[1]ID1&amp;5'!B:J,8,FALSE),"-")</f>
        <v>-</v>
      </c>
      <c r="S16" s="596" t="str">
        <f>+IFERROR(VLOOKUP(C16,'[1]ID1&amp;5'!K:L,2,FALSE),"-")</f>
        <v>-</v>
      </c>
      <c r="T16" s="595">
        <v>0</v>
      </c>
      <c r="U16" s="596" t="str">
        <f>+IFERROR(VLOOKUP(D16,'[1]ID1&amp;5'!K:L,2,FALSE),"-")</f>
        <v>-</v>
      </c>
      <c r="V16" s="593">
        <v>0</v>
      </c>
      <c r="W16" s="596" t="str">
        <f>+IFERROR(VLOOKUP(E16,'[1]ID1&amp;5'!K:L,2,FALSE),"-")</f>
        <v>-</v>
      </c>
      <c r="X16" s="595">
        <v>0</v>
      </c>
      <c r="Y16" s="597">
        <f>+X16/O16</f>
        <v>0</v>
      </c>
      <c r="Z16" s="596" t="str">
        <f>+IFERROR(VLOOKUP(F16,'[1]ID1&amp;5'!K:L,2,FALSE),"-")</f>
        <v>-</v>
      </c>
      <c r="AA16" s="595">
        <v>8</v>
      </c>
      <c r="AB16" s="597">
        <f>+AA16/O16</f>
        <v>1</v>
      </c>
      <c r="AC16" s="598" t="s">
        <v>1169</v>
      </c>
      <c r="AD16" s="598" t="s">
        <v>1169</v>
      </c>
      <c r="AE16" s="593">
        <v>0</v>
      </c>
      <c r="AF16" s="593">
        <v>0</v>
      </c>
      <c r="AG16" s="599" t="s">
        <v>1170</v>
      </c>
      <c r="AH16" s="433" t="s">
        <v>1125</v>
      </c>
      <c r="AI16" s="576" t="s">
        <v>879</v>
      </c>
    </row>
    <row r="17" spans="1:35" x14ac:dyDescent="0.25">
      <c r="A17" s="576" t="str">
        <f>+I17&amp;J17</f>
        <v>B02.000070_CNTRCT_CRRNCY</v>
      </c>
      <c r="B17" s="588">
        <f>+VLOOKUP(I17&amp;J17,[1]Auxiliar!B:C,2,FALSE)</f>
        <v>2</v>
      </c>
      <c r="C17" s="589">
        <f>+VLOOKUP(I17&amp;J17,[1]Auxiliar!E:F,2,FALSE)</f>
        <v>2</v>
      </c>
      <c r="D17" s="589">
        <f>+VLOOKUP(I17&amp;J17,[1]Auxiliar!H:I,2,FALSE)</f>
        <v>2</v>
      </c>
      <c r="E17" s="589">
        <f>+VLOOKUP(I17&amp;J17,[1]Auxiliar!K:L,2,FALSE)</f>
        <v>2</v>
      </c>
      <c r="F17" s="589">
        <f>+VLOOKUP(I17&amp;J17,[1]Auxiliar!N:O,2,FALSE)</f>
        <v>2</v>
      </c>
      <c r="G17" s="590">
        <f>+VLOOKUP(I17&amp;J17,[1]Auxiliar!Q:R,2,FALSE)</f>
        <v>2</v>
      </c>
      <c r="H17" s="576" t="str">
        <f>+"c"&amp;LEFT(J17,4)</f>
        <v>c0070</v>
      </c>
      <c r="I17" s="591" t="s">
        <v>0</v>
      </c>
      <c r="J17" s="592" t="s">
        <v>1171</v>
      </c>
      <c r="K17" s="592"/>
      <c r="L17" s="592" t="e">
        <f>+VLOOKUP(J17,#REF!,3,FALSE)</f>
        <v>#REF!</v>
      </c>
      <c r="M17" s="593"/>
      <c r="N17" s="594" t="s">
        <v>1156</v>
      </c>
      <c r="O17" s="595">
        <v>8</v>
      </c>
      <c r="P17" s="596" t="str">
        <f>+IFERROR(VLOOKUP(B17,'[1]ID1&amp;5'!K:L,2,FALSE),"-")</f>
        <v>-</v>
      </c>
      <c r="Q17" s="595">
        <v>0</v>
      </c>
      <c r="R17" s="595" t="str">
        <f>+IFERROR(VLOOKUP(CONCATENATE(A17,$C$10,C17),'[1]ID1&amp;5'!B:J,8,FALSE),"-")</f>
        <v>-</v>
      </c>
      <c r="S17" s="596" t="str">
        <f>+IFERROR(VLOOKUP(C17,'[1]ID1&amp;5'!K:L,2,FALSE),"-")</f>
        <v>-</v>
      </c>
      <c r="T17" s="595">
        <v>0</v>
      </c>
      <c r="U17" s="596" t="str">
        <f>+IFERROR(VLOOKUP(D17,'[1]ID1&amp;5'!K:L,2,FALSE),"-")</f>
        <v>-</v>
      </c>
      <c r="V17" s="593">
        <v>0</v>
      </c>
      <c r="W17" s="596" t="str">
        <f>+IFERROR(VLOOKUP(E17,'[1]ID1&amp;5'!K:L,2,FALSE),"-")</f>
        <v>-</v>
      </c>
      <c r="X17" s="595">
        <v>0</v>
      </c>
      <c r="Y17" s="597">
        <f>+X17/O17</f>
        <v>0</v>
      </c>
      <c r="Z17" s="596" t="str">
        <f>+IFERROR(VLOOKUP(F17,'[1]ID1&amp;5'!K:L,2,FALSE),"-")</f>
        <v>-</v>
      </c>
      <c r="AA17" s="595">
        <v>0</v>
      </c>
      <c r="AB17" s="597">
        <f>+AA17/O17</f>
        <v>0</v>
      </c>
      <c r="AC17" s="598" t="s">
        <v>1172</v>
      </c>
      <c r="AD17" s="598" t="s">
        <v>1172</v>
      </c>
      <c r="AE17" s="593">
        <v>0</v>
      </c>
      <c r="AF17" s="593">
        <v>0</v>
      </c>
      <c r="AG17" s="598"/>
      <c r="AH17" s="433" t="s">
        <v>1125</v>
      </c>
      <c r="AI17" s="576" t="s">
        <v>147</v>
      </c>
    </row>
    <row r="18" spans="1:35" x14ac:dyDescent="0.25">
      <c r="A18" s="576" t="str">
        <f>+I18&amp;J18</f>
        <v>B02.000080_OTSTNDNG_PRNCPL_AMNT</v>
      </c>
      <c r="B18" s="588">
        <f>+VLOOKUP(I18&amp;J18,[1]Auxiliar!B:C,2,FALSE)</f>
        <v>2</v>
      </c>
      <c r="C18" s="589">
        <f>+VLOOKUP(I18&amp;J18,[1]Auxiliar!E:F,2,FALSE)</f>
        <v>2</v>
      </c>
      <c r="D18" s="589">
        <f>+VLOOKUP(I18&amp;J18,[1]Auxiliar!H:I,2,FALSE)</f>
        <v>2</v>
      </c>
      <c r="E18" s="589">
        <f>+VLOOKUP(I18&amp;J18,[1]Auxiliar!K:L,2,FALSE)</f>
        <v>2</v>
      </c>
      <c r="F18" s="589">
        <f>+VLOOKUP(I18&amp;J18,[1]Auxiliar!N:O,2,FALSE)</f>
        <v>2</v>
      </c>
      <c r="G18" s="590">
        <f>+VLOOKUP(I18&amp;J18,[1]Auxiliar!Q:R,2,FALSE)</f>
        <v>2</v>
      </c>
      <c r="H18" s="576" t="str">
        <f>+"c"&amp;LEFT(J18,4)</f>
        <v>c0080</v>
      </c>
      <c r="I18" s="591" t="s">
        <v>0</v>
      </c>
      <c r="J18" s="592" t="s">
        <v>1173</v>
      </c>
      <c r="K18" s="592"/>
      <c r="L18" s="592" t="e">
        <f>+VLOOKUP(J18,#REF!,3,FALSE)</f>
        <v>#REF!</v>
      </c>
      <c r="M18" s="593"/>
      <c r="N18" s="594" t="s">
        <v>1156</v>
      </c>
      <c r="O18" s="595">
        <v>8</v>
      </c>
      <c r="P18" s="596" t="str">
        <f>+IFERROR(VLOOKUP(B18,'[1]ID1&amp;5'!K:L,2,FALSE),"-")</f>
        <v>-</v>
      </c>
      <c r="Q18" s="595">
        <v>8</v>
      </c>
      <c r="R18" s="595" t="str">
        <f>+IFERROR(VLOOKUP(CONCATENATE(A18,$C$10,C18),'[1]ID1&amp;5'!B:J,8,FALSE),"-")</f>
        <v>-</v>
      </c>
      <c r="S18" s="596" t="str">
        <f>+IFERROR(VLOOKUP(C18,'[1]ID1&amp;5'!K:L,2,FALSE),"-")</f>
        <v>-</v>
      </c>
      <c r="T18" s="595">
        <v>0</v>
      </c>
      <c r="U18" s="596" t="str">
        <f>+IFERROR(VLOOKUP(D18,'[1]ID1&amp;5'!K:L,2,FALSE),"-")</f>
        <v>-</v>
      </c>
      <c r="V18" s="593">
        <v>0</v>
      </c>
      <c r="W18" s="596" t="str">
        <f>+IFERROR(VLOOKUP(E18,'[1]ID1&amp;5'!K:L,2,FALSE),"-")</f>
        <v>-</v>
      </c>
      <c r="X18" s="595">
        <v>0</v>
      </c>
      <c r="Y18" s="597">
        <f>+X18/O18</f>
        <v>0</v>
      </c>
      <c r="Z18" s="596" t="str">
        <f>+IFERROR(VLOOKUP(F18,'[1]ID1&amp;5'!K:L,2,FALSE),"-")</f>
        <v>-</v>
      </c>
      <c r="AA18" s="595">
        <v>0</v>
      </c>
      <c r="AB18" s="597">
        <f>+AA18/O18</f>
        <v>0</v>
      </c>
      <c r="AC18" s="598" t="s">
        <v>1166</v>
      </c>
      <c r="AD18" s="598" t="s">
        <v>1174</v>
      </c>
      <c r="AE18" s="593">
        <v>0</v>
      </c>
      <c r="AF18" s="593">
        <v>0</v>
      </c>
      <c r="AG18" s="598"/>
      <c r="AH18" s="433" t="s">
        <v>1125</v>
      </c>
      <c r="AI18" s="576" t="s">
        <v>882</v>
      </c>
    </row>
    <row r="19" spans="1:35" x14ac:dyDescent="0.25">
      <c r="A19" s="576" t="str">
        <f>+I19&amp;J19</f>
        <v>B02.000090_PRTN_AMNT_RPRTNG_ENTTY</v>
      </c>
      <c r="B19" s="588">
        <f>+VLOOKUP(I19&amp;J19,[1]Auxiliar!B:C,2,FALSE)</f>
        <v>2</v>
      </c>
      <c r="C19" s="589">
        <f>+VLOOKUP(I19&amp;J19,[1]Auxiliar!E:F,2,FALSE)</f>
        <v>2</v>
      </c>
      <c r="D19" s="589">
        <f>+VLOOKUP(I19&amp;J19,[1]Auxiliar!H:I,2,FALSE)</f>
        <v>2</v>
      </c>
      <c r="E19" s="589">
        <f>+VLOOKUP(I19&amp;J19,[1]Auxiliar!K:L,2,FALSE)</f>
        <v>2</v>
      </c>
      <c r="F19" s="589">
        <f>+VLOOKUP(I19&amp;J19,[1]Auxiliar!N:O,2,FALSE)</f>
        <v>2</v>
      </c>
      <c r="G19" s="590">
        <f>+VLOOKUP(I19&amp;J19,[1]Auxiliar!Q:R,2,FALSE)</f>
        <v>2</v>
      </c>
      <c r="H19" s="576" t="str">
        <f>+"c"&amp;LEFT(J19,4)</f>
        <v>c0090</v>
      </c>
      <c r="I19" s="591" t="s">
        <v>0</v>
      </c>
      <c r="J19" s="592" t="s">
        <v>1175</v>
      </c>
      <c r="K19" s="592"/>
      <c r="L19" s="592" t="e">
        <f>+VLOOKUP(J19,#REF!,3,FALSE)</f>
        <v>#REF!</v>
      </c>
      <c r="M19" s="593"/>
      <c r="N19" s="594" t="s">
        <v>1156</v>
      </c>
      <c r="O19" s="595">
        <v>8</v>
      </c>
      <c r="P19" s="596" t="str">
        <f>+IFERROR(VLOOKUP(B19,'[1]ID1&amp;5'!K:L,2,FALSE),"-")</f>
        <v>-</v>
      </c>
      <c r="Q19" s="595">
        <v>8</v>
      </c>
      <c r="R19" s="595" t="str">
        <f>+IFERROR(VLOOKUP(CONCATENATE(A19,$C$10,C19),'[1]ID1&amp;5'!B:J,8,FALSE),"-")</f>
        <v>-</v>
      </c>
      <c r="S19" s="596" t="str">
        <f>+IFERROR(VLOOKUP(C19,'[1]ID1&amp;5'!K:L,2,FALSE),"-")</f>
        <v>-</v>
      </c>
      <c r="T19" s="595">
        <v>0</v>
      </c>
      <c r="U19" s="596" t="str">
        <f>+IFERROR(VLOOKUP(D19,'[1]ID1&amp;5'!K:L,2,FALSE),"-")</f>
        <v>-</v>
      </c>
      <c r="V19" s="593">
        <v>0</v>
      </c>
      <c r="W19" s="596" t="str">
        <f>+IFERROR(VLOOKUP(E19,'[1]ID1&amp;5'!K:L,2,FALSE),"-")</f>
        <v>-</v>
      </c>
      <c r="X19" s="595">
        <v>0</v>
      </c>
      <c r="Y19" s="597">
        <f>+X19/O19</f>
        <v>0</v>
      </c>
      <c r="Z19" s="596" t="str">
        <f>+IFERROR(VLOOKUP(F19,'[1]ID1&amp;5'!K:L,2,FALSE),"-")</f>
        <v>-</v>
      </c>
      <c r="AA19" s="595">
        <v>0</v>
      </c>
      <c r="AB19" s="597">
        <f>+AA19/O19</f>
        <v>0</v>
      </c>
      <c r="AC19" s="598" t="s">
        <v>1176</v>
      </c>
      <c r="AD19" s="598" t="s">
        <v>1177</v>
      </c>
      <c r="AE19" s="593">
        <v>0</v>
      </c>
      <c r="AF19" s="593">
        <v>0</v>
      </c>
      <c r="AG19" s="598"/>
      <c r="AH19" s="433" t="s">
        <v>1125</v>
      </c>
      <c r="AI19" s="576" t="s">
        <v>882</v>
      </c>
    </row>
    <row r="20" spans="1:35" x14ac:dyDescent="0.25">
      <c r="A20" s="576" t="str">
        <f>+I20&amp;J20</f>
        <v>B02.000100_ACCRD_INTRST_INSTRMNT</v>
      </c>
      <c r="B20" s="588">
        <f>+VLOOKUP(I20&amp;J20,[1]Auxiliar!B:C,2,FALSE)</f>
        <v>2</v>
      </c>
      <c r="C20" s="589">
        <f>+VLOOKUP(I20&amp;J20,[1]Auxiliar!E:F,2,FALSE)</f>
        <v>2</v>
      </c>
      <c r="D20" s="589">
        <f>+VLOOKUP(I20&amp;J20,[1]Auxiliar!H:I,2,FALSE)</f>
        <v>2</v>
      </c>
      <c r="E20" s="589">
        <f>+VLOOKUP(I20&amp;J20,[1]Auxiliar!K:L,2,FALSE)</f>
        <v>2</v>
      </c>
      <c r="F20" s="589">
        <f>+VLOOKUP(I20&amp;J20,[1]Auxiliar!N:O,2,FALSE)</f>
        <v>2</v>
      </c>
      <c r="G20" s="590">
        <f>+VLOOKUP(I20&amp;J20,[1]Auxiliar!Q:R,2,FALSE)</f>
        <v>2</v>
      </c>
      <c r="H20" s="576" t="str">
        <f>+"c"&amp;LEFT(J20,4)</f>
        <v>c0100</v>
      </c>
      <c r="I20" s="591" t="s">
        <v>0</v>
      </c>
      <c r="J20" s="592" t="s">
        <v>1178</v>
      </c>
      <c r="K20" s="592"/>
      <c r="L20" s="592" t="e">
        <f>+VLOOKUP(J20,#REF!,3,FALSE)</f>
        <v>#REF!</v>
      </c>
      <c r="M20" s="593"/>
      <c r="N20" s="594" t="s">
        <v>1156</v>
      </c>
      <c r="O20" s="595">
        <v>8</v>
      </c>
      <c r="P20" s="596" t="str">
        <f>+IFERROR(VLOOKUP(B20,'[1]ID1&amp;5'!K:L,2,FALSE),"-")</f>
        <v>-</v>
      </c>
      <c r="Q20" s="595">
        <v>4</v>
      </c>
      <c r="R20" s="595" t="str">
        <f>+IFERROR(VLOOKUP(CONCATENATE(A20,$C$10,C20),'[1]ID1&amp;5'!B:J,8,FALSE),"-")</f>
        <v>-</v>
      </c>
      <c r="S20" s="596" t="str">
        <f>+IFERROR(VLOOKUP(C20,'[1]ID1&amp;5'!K:L,2,FALSE),"-")</f>
        <v>-</v>
      </c>
      <c r="T20" s="595">
        <v>0</v>
      </c>
      <c r="U20" s="596" t="str">
        <f>+IFERROR(VLOOKUP(D20,'[1]ID1&amp;5'!K:L,2,FALSE),"-")</f>
        <v>-</v>
      </c>
      <c r="V20" s="593">
        <v>0</v>
      </c>
      <c r="W20" s="596" t="str">
        <f>+IFERROR(VLOOKUP(E20,'[1]ID1&amp;5'!K:L,2,FALSE),"-")</f>
        <v>-</v>
      </c>
      <c r="X20" s="595">
        <v>0</v>
      </c>
      <c r="Y20" s="597">
        <f>+X20/O20</f>
        <v>0</v>
      </c>
      <c r="Z20" s="596" t="str">
        <f>+IFERROR(VLOOKUP(F20,'[1]ID1&amp;5'!K:L,2,FALSE),"-")</f>
        <v>-</v>
      </c>
      <c r="AA20" s="595">
        <v>0</v>
      </c>
      <c r="AB20" s="597">
        <f>+AA20/O20</f>
        <v>0</v>
      </c>
      <c r="AC20" s="598" t="s">
        <v>1176</v>
      </c>
      <c r="AD20" s="598" t="s">
        <v>1179</v>
      </c>
      <c r="AE20" s="593">
        <v>0</v>
      </c>
      <c r="AF20" s="593">
        <v>0</v>
      </c>
      <c r="AG20" s="598"/>
      <c r="AH20" s="433" t="s">
        <v>1125</v>
      </c>
      <c r="AI20" s="576" t="s">
        <v>235</v>
      </c>
    </row>
    <row r="21" spans="1:35" x14ac:dyDescent="0.25">
      <c r="A21" s="576" t="str">
        <f>+I21&amp;J21</f>
        <v>B02.000110_APPLCBL_FEES_CHARGES</v>
      </c>
      <c r="B21" s="588">
        <f>+VLOOKUP(I21&amp;J21,[1]Auxiliar!B:C,2,FALSE)</f>
        <v>2</v>
      </c>
      <c r="C21" s="589">
        <f>+VLOOKUP(I21&amp;J21,[1]Auxiliar!E:F,2,FALSE)</f>
        <v>2</v>
      </c>
      <c r="D21" s="589">
        <f>+VLOOKUP(I21&amp;J21,[1]Auxiliar!H:I,2,FALSE)</f>
        <v>2</v>
      </c>
      <c r="E21" s="589">
        <f>+VLOOKUP(I21&amp;J21,[1]Auxiliar!K:L,2,FALSE)</f>
        <v>2</v>
      </c>
      <c r="F21" s="589">
        <f>+VLOOKUP(I21&amp;J21,[1]Auxiliar!N:O,2,FALSE)</f>
        <v>2</v>
      </c>
      <c r="G21" s="590">
        <f>+VLOOKUP(I21&amp;J21,[1]Auxiliar!Q:R,2,FALSE)</f>
        <v>2</v>
      </c>
      <c r="H21" s="576" t="str">
        <f>+"c"&amp;LEFT(J21,4)</f>
        <v>c0110</v>
      </c>
      <c r="I21" s="591" t="s">
        <v>0</v>
      </c>
      <c r="J21" s="592" t="s">
        <v>1180</v>
      </c>
      <c r="K21" s="592"/>
      <c r="L21" s="592" t="e">
        <f>+VLOOKUP(J21,#REF!,3,FALSE)</f>
        <v>#REF!</v>
      </c>
      <c r="M21" s="593"/>
      <c r="N21" s="594" t="s">
        <v>1156</v>
      </c>
      <c r="O21" s="595">
        <v>8</v>
      </c>
      <c r="P21" s="596" t="str">
        <f>+IFERROR(VLOOKUP(B21,'[1]ID1&amp;5'!K:L,2,FALSE),"-")</f>
        <v>-</v>
      </c>
      <c r="Q21" s="595">
        <v>0</v>
      </c>
      <c r="R21" s="595" t="str">
        <f>+IFERROR(VLOOKUP(CONCATENATE(A21,$C$10,C21),'[1]ID1&amp;5'!B:J,8,FALSE),"-")</f>
        <v>-</v>
      </c>
      <c r="S21" s="596" t="str">
        <f>+IFERROR(VLOOKUP(C21,'[1]ID1&amp;5'!K:L,2,FALSE),"-")</f>
        <v>-</v>
      </c>
      <c r="T21" s="595">
        <v>0</v>
      </c>
      <c r="U21" s="596" t="str">
        <f>+IFERROR(VLOOKUP(D21,'[1]ID1&amp;5'!K:L,2,FALSE),"-")</f>
        <v>-</v>
      </c>
      <c r="V21" s="593">
        <v>0</v>
      </c>
      <c r="W21" s="596" t="str">
        <f>+IFERROR(VLOOKUP(E21,'[1]ID1&amp;5'!K:L,2,FALSE),"-")</f>
        <v>-</v>
      </c>
      <c r="X21" s="595">
        <v>0</v>
      </c>
      <c r="Y21" s="597">
        <f>+X21/O21</f>
        <v>0</v>
      </c>
      <c r="Z21" s="596" t="str">
        <f>+IFERROR(VLOOKUP(F21,'[1]ID1&amp;5'!K:L,2,FALSE),"-")</f>
        <v>-</v>
      </c>
      <c r="AA21" s="595">
        <v>0</v>
      </c>
      <c r="AB21" s="597">
        <f>+AA21/O21</f>
        <v>0</v>
      </c>
      <c r="AC21" s="598" t="s">
        <v>1176</v>
      </c>
      <c r="AD21" s="598" t="s">
        <v>1176</v>
      </c>
      <c r="AE21" s="593">
        <v>0</v>
      </c>
      <c r="AF21" s="593">
        <v>0</v>
      </c>
      <c r="AG21" s="598"/>
      <c r="AH21" s="433" t="s">
        <v>1125</v>
      </c>
      <c r="AI21" s="576" t="s">
        <v>147</v>
      </c>
    </row>
    <row r="22" spans="1:35" x14ac:dyDescent="0.25">
      <c r="A22" s="576" t="str">
        <f>+I22&amp;J22</f>
        <v>B02.000120_OTSTNDNG_AMNT</v>
      </c>
      <c r="B22" s="588">
        <f>+VLOOKUP(I22&amp;J22,[1]Auxiliar!B:C,2,FALSE)</f>
        <v>2</v>
      </c>
      <c r="C22" s="589">
        <f>+VLOOKUP(I22&amp;J22,[1]Auxiliar!E:F,2,FALSE)</f>
        <v>2</v>
      </c>
      <c r="D22" s="589">
        <f>+VLOOKUP(I22&amp;J22,[1]Auxiliar!H:I,2,FALSE)</f>
        <v>2</v>
      </c>
      <c r="E22" s="589">
        <f>+VLOOKUP(I22&amp;J22,[1]Auxiliar!K:L,2,FALSE)</f>
        <v>2</v>
      </c>
      <c r="F22" s="589">
        <f>+VLOOKUP(I22&amp;J22,[1]Auxiliar!N:O,2,FALSE)</f>
        <v>2</v>
      </c>
      <c r="G22" s="590">
        <f>+VLOOKUP(I22&amp;J22,[1]Auxiliar!Q:R,2,FALSE)</f>
        <v>2</v>
      </c>
      <c r="H22" s="576" t="str">
        <f>+"c"&amp;LEFT(J22,4)</f>
        <v>c0120</v>
      </c>
      <c r="I22" s="591" t="s">
        <v>0</v>
      </c>
      <c r="J22" s="592" t="s">
        <v>1181</v>
      </c>
      <c r="K22" s="592"/>
      <c r="L22" s="592" t="e">
        <f>+VLOOKUP(J22,#REF!,3,FALSE)</f>
        <v>#REF!</v>
      </c>
      <c r="M22" s="593"/>
      <c r="N22" s="594" t="s">
        <v>1156</v>
      </c>
      <c r="O22" s="595">
        <v>8</v>
      </c>
      <c r="P22" s="596" t="str">
        <f>+IFERROR(VLOOKUP(B22,'[1]ID1&amp;5'!K:L,2,FALSE),"-")</f>
        <v>-</v>
      </c>
      <c r="Q22" s="595">
        <v>8</v>
      </c>
      <c r="R22" s="595" t="str">
        <f>+IFERROR(VLOOKUP(CONCATENATE(A22,$C$10,C22),'[1]ID1&amp;5'!B:J,8,FALSE),"-")</f>
        <v>-</v>
      </c>
      <c r="S22" s="596" t="str">
        <f>+IFERROR(VLOOKUP(C22,'[1]ID1&amp;5'!K:L,2,FALSE),"-")</f>
        <v>-</v>
      </c>
      <c r="T22" s="595">
        <v>0</v>
      </c>
      <c r="U22" s="596" t="str">
        <f>+IFERROR(VLOOKUP(D22,'[1]ID1&amp;5'!K:L,2,FALSE),"-")</f>
        <v>-</v>
      </c>
      <c r="V22" s="593">
        <v>0</v>
      </c>
      <c r="W22" s="596" t="str">
        <f>+IFERROR(VLOOKUP(E22,'[1]ID1&amp;5'!K:L,2,FALSE),"-")</f>
        <v>-</v>
      </c>
      <c r="X22" s="595">
        <v>0</v>
      </c>
      <c r="Y22" s="597">
        <f>+X22/O22</f>
        <v>0</v>
      </c>
      <c r="Z22" s="596" t="str">
        <f>+IFERROR(VLOOKUP(F22,'[1]ID1&amp;5'!K:L,2,FALSE),"-")</f>
        <v>-</v>
      </c>
      <c r="AA22" s="595">
        <v>0</v>
      </c>
      <c r="AB22" s="597">
        <f>+AA22/O22</f>
        <v>0</v>
      </c>
      <c r="AC22" s="598" t="s">
        <v>1182</v>
      </c>
      <c r="AD22" s="598" t="s">
        <v>1174</v>
      </c>
      <c r="AE22" s="593">
        <v>0</v>
      </c>
      <c r="AF22" s="593">
        <v>0</v>
      </c>
      <c r="AG22" s="598"/>
      <c r="AH22" s="433" t="s">
        <v>1125</v>
      </c>
      <c r="AI22" s="576" t="s">
        <v>882</v>
      </c>
    </row>
    <row r="23" spans="1:35" x14ac:dyDescent="0.25">
      <c r="A23" s="576" t="str">
        <f>+I23&amp;J23</f>
        <v>B02.000130_RLVNT_AMNT_WDC</v>
      </c>
      <c r="B23" s="588">
        <f>+VLOOKUP(I23&amp;J23,[1]Auxiliar!B:C,2,FALSE)</f>
        <v>2</v>
      </c>
      <c r="C23" s="589">
        <f>+VLOOKUP(I23&amp;J23,[1]Auxiliar!E:F,2,FALSE)</f>
        <v>2</v>
      </c>
      <c r="D23" s="589">
        <f>+VLOOKUP(I23&amp;J23,[1]Auxiliar!H:I,2,FALSE)</f>
        <v>2</v>
      </c>
      <c r="E23" s="589">
        <f>+VLOOKUP(I23&amp;J23,[1]Auxiliar!K:L,2,FALSE)</f>
        <v>2</v>
      </c>
      <c r="F23" s="589">
        <f>+VLOOKUP(I23&amp;J23,[1]Auxiliar!N:O,2,FALSE)</f>
        <v>2</v>
      </c>
      <c r="G23" s="590">
        <f>+VLOOKUP(I23&amp;J23,[1]Auxiliar!Q:R,2,FALSE)</f>
        <v>2</v>
      </c>
      <c r="H23" s="576" t="str">
        <f>+"c"&amp;LEFT(J23,4)</f>
        <v>c0130</v>
      </c>
      <c r="I23" s="591" t="s">
        <v>0</v>
      </c>
      <c r="J23" s="592" t="s">
        <v>1183</v>
      </c>
      <c r="K23" s="592"/>
      <c r="L23" s="592" t="e">
        <f>+VLOOKUP(J23,#REF!,3,FALSE)</f>
        <v>#REF!</v>
      </c>
      <c r="M23" s="593"/>
      <c r="N23" s="594" t="s">
        <v>1156</v>
      </c>
      <c r="O23" s="595">
        <v>8</v>
      </c>
      <c r="P23" s="596" t="str">
        <f>+IFERROR(VLOOKUP(B23,'[1]ID1&amp;5'!K:L,2,FALSE),"-")</f>
        <v>-</v>
      </c>
      <c r="Q23" s="595">
        <v>8</v>
      </c>
      <c r="R23" s="595" t="str">
        <f>+IFERROR(VLOOKUP(CONCATENATE(A23,$C$10,C23),'[1]ID1&amp;5'!B:J,8,FALSE),"-")</f>
        <v>-</v>
      </c>
      <c r="S23" s="596" t="str">
        <f>+IFERROR(VLOOKUP(C23,'[1]ID1&amp;5'!K:L,2,FALSE),"-")</f>
        <v>-</v>
      </c>
      <c r="T23" s="595">
        <v>0</v>
      </c>
      <c r="U23" s="596" t="str">
        <f>+IFERROR(VLOOKUP(D23,'[1]ID1&amp;5'!K:L,2,FALSE),"-")</f>
        <v>-</v>
      </c>
      <c r="V23" s="593">
        <v>0</v>
      </c>
      <c r="W23" s="596" t="str">
        <f>+IFERROR(VLOOKUP(E23,'[1]ID1&amp;5'!K:L,2,FALSE),"-")</f>
        <v>-</v>
      </c>
      <c r="X23" s="595">
        <v>0</v>
      </c>
      <c r="Y23" s="597">
        <f>+X23/O23</f>
        <v>0</v>
      </c>
      <c r="Z23" s="596" t="str">
        <f>+IFERROR(VLOOKUP(F23,'[1]ID1&amp;5'!K:L,2,FALSE),"-")</f>
        <v>-</v>
      </c>
      <c r="AA23" s="595">
        <v>0</v>
      </c>
      <c r="AB23" s="597">
        <f>+AA23/O23</f>
        <v>0</v>
      </c>
      <c r="AC23" s="598" t="s">
        <v>1182</v>
      </c>
      <c r="AD23" s="598" t="s">
        <v>1174</v>
      </c>
      <c r="AE23" s="593">
        <v>0</v>
      </c>
      <c r="AF23" s="593">
        <v>0</v>
      </c>
      <c r="AG23" s="598"/>
      <c r="AH23" s="433" t="s">
        <v>1125</v>
      </c>
      <c r="AI23" s="576" t="s">
        <v>882</v>
      </c>
    </row>
    <row r="24" spans="1:35" x14ac:dyDescent="0.25">
      <c r="A24" s="576" t="str">
        <f>+I24&amp;J24</f>
        <v>B02.000140_NTR_LBLTY</v>
      </c>
      <c r="B24" s="588">
        <f>+VLOOKUP(I24&amp;J24,[1]Auxiliar!B:C,2,FALSE)</f>
        <v>2</v>
      </c>
      <c r="C24" s="589">
        <f>+VLOOKUP(I24&amp;J24,[1]Auxiliar!E:F,2,FALSE)</f>
        <v>2</v>
      </c>
      <c r="D24" s="589">
        <f>+VLOOKUP(I24&amp;J24,[1]Auxiliar!H:I,2,FALSE)</f>
        <v>2</v>
      </c>
      <c r="E24" s="589">
        <f>+VLOOKUP(I24&amp;J24,[1]Auxiliar!K:L,2,FALSE)</f>
        <v>2</v>
      </c>
      <c r="F24" s="589">
        <f>+VLOOKUP(I24&amp;J24,[1]Auxiliar!N:O,2,FALSE)</f>
        <v>2</v>
      </c>
      <c r="G24" s="590">
        <f>+VLOOKUP(I24&amp;J24,[1]Auxiliar!Q:R,2,FALSE)</f>
        <v>2</v>
      </c>
      <c r="H24" s="576" t="str">
        <f>+"c"&amp;LEFT(J24,4)</f>
        <v>c0140</v>
      </c>
      <c r="I24" s="591" t="s">
        <v>0</v>
      </c>
      <c r="J24" s="592" t="s">
        <v>1184</v>
      </c>
      <c r="K24" s="592"/>
      <c r="L24" s="592" t="e">
        <f>+VLOOKUP(J24,#REF!,3,FALSE)</f>
        <v>#REF!</v>
      </c>
      <c r="M24" s="593"/>
      <c r="N24" s="594" t="s">
        <v>1156</v>
      </c>
      <c r="O24" s="595">
        <v>8</v>
      </c>
      <c r="P24" s="596" t="str">
        <f>+IFERROR(VLOOKUP(B24,'[1]ID1&amp;5'!K:L,2,FALSE),"-")</f>
        <v>-</v>
      </c>
      <c r="Q24" s="595">
        <v>4</v>
      </c>
      <c r="R24" s="595" t="str">
        <f>+IFERROR(VLOOKUP(CONCATENATE(A24,$C$10,C24),'[1]ID1&amp;5'!B:J,8,FALSE),"-")</f>
        <v>-</v>
      </c>
      <c r="S24" s="596" t="str">
        <f>+IFERROR(VLOOKUP(C24,'[1]ID1&amp;5'!K:L,2,FALSE),"-")</f>
        <v>-</v>
      </c>
      <c r="T24" s="595">
        <v>0</v>
      </c>
      <c r="U24" s="596" t="str">
        <f>+IFERROR(VLOOKUP(D24,'[1]ID1&amp;5'!K:L,2,FALSE),"-")</f>
        <v>-</v>
      </c>
      <c r="V24" s="593">
        <v>0</v>
      </c>
      <c r="W24" s="596" t="str">
        <f>+IFERROR(VLOOKUP(E24,'[1]ID1&amp;5'!K:L,2,FALSE),"-")</f>
        <v>-</v>
      </c>
      <c r="X24" s="595">
        <v>0</v>
      </c>
      <c r="Y24" s="597">
        <f>+X24/O24</f>
        <v>0</v>
      </c>
      <c r="Z24" s="596" t="str">
        <f>+IFERROR(VLOOKUP(F24,'[1]ID1&amp;5'!K:L,2,FALSE),"-")</f>
        <v>-</v>
      </c>
      <c r="AA24" s="595">
        <v>0</v>
      </c>
      <c r="AB24" s="597">
        <f>+AA24/O24</f>
        <v>0</v>
      </c>
      <c r="AC24" s="598" t="s">
        <v>1185</v>
      </c>
      <c r="AD24" s="598" t="s">
        <v>1186</v>
      </c>
      <c r="AE24" s="593">
        <v>0</v>
      </c>
      <c r="AF24" s="593">
        <v>0</v>
      </c>
      <c r="AG24" s="598"/>
      <c r="AH24" s="433" t="s">
        <v>1125</v>
      </c>
      <c r="AI24" s="576" t="s">
        <v>879</v>
      </c>
    </row>
    <row r="25" spans="1:35" x14ac:dyDescent="0.25">
      <c r="A25" s="576" t="str">
        <f>+I25&amp;J25</f>
        <v>B02.000141_NTR_LBLTY_OTHR</v>
      </c>
      <c r="B25" s="588">
        <f>+VLOOKUP(I25&amp;J25,[1]Auxiliar!B:C,2,FALSE)</f>
        <v>2</v>
      </c>
      <c r="C25" s="589">
        <f>+VLOOKUP(I25&amp;J25,[1]Auxiliar!E:F,2,FALSE)</f>
        <v>2</v>
      </c>
      <c r="D25" s="589">
        <f>+VLOOKUP(I25&amp;J25,[1]Auxiliar!H:I,2,FALSE)</f>
        <v>2</v>
      </c>
      <c r="E25" s="589">
        <f>+VLOOKUP(I25&amp;J25,[1]Auxiliar!K:L,2,FALSE)</f>
        <v>2</v>
      </c>
      <c r="F25" s="589">
        <f>+VLOOKUP(I25&amp;J25,[1]Auxiliar!N:O,2,FALSE)</f>
        <v>2</v>
      </c>
      <c r="G25" s="590">
        <f>+VLOOKUP(I25&amp;J25,[1]Auxiliar!Q:R,2,FALSE)</f>
        <v>2</v>
      </c>
      <c r="H25" s="576" t="str">
        <f>+"c"&amp;LEFT(J25,4)</f>
        <v>c0141</v>
      </c>
      <c r="I25" s="591" t="s">
        <v>0</v>
      </c>
      <c r="J25" s="592" t="s">
        <v>1187</v>
      </c>
      <c r="K25" s="592"/>
      <c r="L25" s="592" t="e">
        <f>+VLOOKUP(J25,#REF!,3,FALSE)</f>
        <v>#REF!</v>
      </c>
      <c r="M25" s="593"/>
      <c r="N25" s="594" t="s">
        <v>1156</v>
      </c>
      <c r="O25" s="595">
        <v>8</v>
      </c>
      <c r="P25" s="596" t="str">
        <f>+IFERROR(VLOOKUP(B25,'[1]ID1&amp;5'!K:L,2,FALSE),"-")</f>
        <v>-</v>
      </c>
      <c r="Q25" s="595">
        <v>0</v>
      </c>
      <c r="R25" s="595" t="str">
        <f>+IFERROR(VLOOKUP(CONCATENATE(A25,$C$10,C25),'[1]ID1&amp;5'!B:J,8,FALSE),"-")</f>
        <v>-</v>
      </c>
      <c r="S25" s="596" t="str">
        <f>+IFERROR(VLOOKUP(C25,'[1]ID1&amp;5'!K:L,2,FALSE),"-")</f>
        <v>-</v>
      </c>
      <c r="T25" s="595">
        <v>0</v>
      </c>
      <c r="U25" s="596" t="str">
        <f>+IFERROR(VLOOKUP(D25,'[1]ID1&amp;5'!K:L,2,FALSE),"-")</f>
        <v>-</v>
      </c>
      <c r="V25" s="593">
        <v>0</v>
      </c>
      <c r="W25" s="596" t="str">
        <f>+IFERROR(VLOOKUP(E25,'[1]ID1&amp;5'!K:L,2,FALSE),"-")</f>
        <v>-</v>
      </c>
      <c r="X25" s="595">
        <v>0</v>
      </c>
      <c r="Y25" s="597">
        <f>+X25/O25</f>
        <v>0</v>
      </c>
      <c r="Z25" s="596" t="str">
        <f>+IFERROR(VLOOKUP(F25,'[1]ID1&amp;5'!K:L,2,FALSE),"-")</f>
        <v>-</v>
      </c>
      <c r="AA25" s="595">
        <v>8</v>
      </c>
      <c r="AB25" s="597">
        <f>+AA25/O25</f>
        <v>1</v>
      </c>
      <c r="AC25" s="598" t="s">
        <v>907</v>
      </c>
      <c r="AD25" s="598" t="s">
        <v>907</v>
      </c>
      <c r="AE25" s="593">
        <v>0</v>
      </c>
      <c r="AF25" s="593">
        <v>1</v>
      </c>
      <c r="AG25" s="599" t="s">
        <v>1188</v>
      </c>
      <c r="AH25" s="433" t="s">
        <v>1125</v>
      </c>
      <c r="AI25" s="576" t="s">
        <v>147</v>
      </c>
    </row>
    <row r="26" spans="1:35" x14ac:dyDescent="0.25">
      <c r="A26" s="576" t="str">
        <f>+I26&amp;J26</f>
        <v>B02.000150_FLG_STRCTRLLY_SBRDNTD</v>
      </c>
      <c r="B26" s="588">
        <f>+VLOOKUP(I26&amp;J26,[1]Auxiliar!B:C,2,FALSE)</f>
        <v>2</v>
      </c>
      <c r="C26" s="589">
        <f>+VLOOKUP(I26&amp;J26,[1]Auxiliar!E:F,2,FALSE)</f>
        <v>2</v>
      </c>
      <c r="D26" s="589">
        <f>+VLOOKUP(I26&amp;J26,[1]Auxiliar!H:I,2,FALSE)</f>
        <v>2</v>
      </c>
      <c r="E26" s="589">
        <f>+VLOOKUP(I26&amp;J26,[1]Auxiliar!K:L,2,FALSE)</f>
        <v>2</v>
      </c>
      <c r="F26" s="589">
        <f>+VLOOKUP(I26&amp;J26,[1]Auxiliar!N:O,2,FALSE)</f>
        <v>2</v>
      </c>
      <c r="G26" s="590">
        <f>+VLOOKUP(I26&amp;J26,[1]Auxiliar!Q:R,2,FALSE)</f>
        <v>2</v>
      </c>
      <c r="H26" s="576" t="str">
        <f>+"c"&amp;LEFT(J26,4)</f>
        <v>c0150</v>
      </c>
      <c r="I26" s="591" t="s">
        <v>0</v>
      </c>
      <c r="J26" s="592" t="s">
        <v>1189</v>
      </c>
      <c r="K26" s="592"/>
      <c r="L26" s="592" t="e">
        <f>+VLOOKUP(J26,#REF!,3,FALSE)</f>
        <v>#REF!</v>
      </c>
      <c r="M26" s="593"/>
      <c r="N26" s="594" t="s">
        <v>1156</v>
      </c>
      <c r="O26" s="595">
        <v>8</v>
      </c>
      <c r="P26" s="596" t="str">
        <f>+IFERROR(VLOOKUP(B26,'[1]ID1&amp;5'!K:L,2,FALSE),"-")</f>
        <v>-</v>
      </c>
      <c r="Q26" s="595">
        <v>0</v>
      </c>
      <c r="R26" s="595" t="str">
        <f>+IFERROR(VLOOKUP(CONCATENATE(A26,$C$10,C26),'[1]ID1&amp;5'!B:J,8,FALSE),"-")</f>
        <v>-</v>
      </c>
      <c r="S26" s="596" t="str">
        <f>+IFERROR(VLOOKUP(C26,'[1]ID1&amp;5'!K:L,2,FALSE),"-")</f>
        <v>-</v>
      </c>
      <c r="T26" s="595">
        <v>0</v>
      </c>
      <c r="U26" s="596" t="str">
        <f>+IFERROR(VLOOKUP(D26,'[1]ID1&amp;5'!K:L,2,FALSE),"-")</f>
        <v>-</v>
      </c>
      <c r="V26" s="593">
        <v>0</v>
      </c>
      <c r="W26" s="596" t="str">
        <f>+IFERROR(VLOOKUP(E26,'[1]ID1&amp;5'!K:L,2,FALSE),"-")</f>
        <v>-</v>
      </c>
      <c r="X26" s="595">
        <v>0</v>
      </c>
      <c r="Y26" s="597">
        <f>+X26/O26</f>
        <v>0</v>
      </c>
      <c r="Z26" s="596" t="str">
        <f>+IFERROR(VLOOKUP(F26,'[1]ID1&amp;5'!K:L,2,FALSE),"-")</f>
        <v>-</v>
      </c>
      <c r="AA26" s="595">
        <v>8</v>
      </c>
      <c r="AB26" s="597">
        <f>+AA26/O26</f>
        <v>1</v>
      </c>
      <c r="AC26" s="598" t="s">
        <v>907</v>
      </c>
      <c r="AD26" s="598" t="s">
        <v>907</v>
      </c>
      <c r="AE26" s="593">
        <v>0</v>
      </c>
      <c r="AF26" s="593">
        <v>1</v>
      </c>
      <c r="AG26" s="599" t="s">
        <v>1188</v>
      </c>
      <c r="AH26" s="433" t="s">
        <v>1125</v>
      </c>
      <c r="AI26" s="576" t="s">
        <v>147</v>
      </c>
    </row>
    <row r="27" spans="1:35" x14ac:dyDescent="0.25">
      <c r="A27" s="576" t="str">
        <f>+I27&amp;J27</f>
        <v>B02.000160_RANK_INSOLV</v>
      </c>
      <c r="B27" s="588">
        <f>+VLOOKUP(I27&amp;J27,[1]Auxiliar!B:C,2,FALSE)</f>
        <v>2</v>
      </c>
      <c r="C27" s="589">
        <f>+VLOOKUP(I27&amp;J27,[1]Auxiliar!E:F,2,FALSE)</f>
        <v>2</v>
      </c>
      <c r="D27" s="589">
        <f>+VLOOKUP(I27&amp;J27,[1]Auxiliar!H:I,2,FALSE)</f>
        <v>2</v>
      </c>
      <c r="E27" s="589">
        <f>+VLOOKUP(I27&amp;J27,[1]Auxiliar!K:L,2,FALSE)</f>
        <v>2</v>
      </c>
      <c r="F27" s="589">
        <f>+VLOOKUP(I27&amp;J27,[1]Auxiliar!N:O,2,FALSE)</f>
        <v>2</v>
      </c>
      <c r="G27" s="590">
        <f>+VLOOKUP(I27&amp;J27,[1]Auxiliar!Q:R,2,FALSE)</f>
        <v>2</v>
      </c>
      <c r="H27" s="576" t="str">
        <f>+"c"&amp;LEFT(J27,4)</f>
        <v>c0160</v>
      </c>
      <c r="I27" s="591" t="s">
        <v>0</v>
      </c>
      <c r="J27" s="592" t="s">
        <v>1190</v>
      </c>
      <c r="K27" s="592"/>
      <c r="L27" s="592" t="e">
        <f>+VLOOKUP(J27,#REF!,3,FALSE)</f>
        <v>#REF!</v>
      </c>
      <c r="M27" s="593"/>
      <c r="N27" s="594" t="s">
        <v>1156</v>
      </c>
      <c r="O27" s="595">
        <v>8</v>
      </c>
      <c r="P27" s="596" t="str">
        <f>+IFERROR(VLOOKUP(B27,'[1]ID1&amp;5'!K:L,2,FALSE),"-")</f>
        <v>-</v>
      </c>
      <c r="Q27" s="595">
        <v>0</v>
      </c>
      <c r="R27" s="595" t="str">
        <f>+IFERROR(VLOOKUP(CONCATENATE(A27,$C$10,C27),'[1]ID1&amp;5'!B:J,8,FALSE),"-")</f>
        <v>-</v>
      </c>
      <c r="S27" s="596" t="str">
        <f>+IFERROR(VLOOKUP(C27,'[1]ID1&amp;5'!K:L,2,FALSE),"-")</f>
        <v>-</v>
      </c>
      <c r="T27" s="595">
        <v>0</v>
      </c>
      <c r="U27" s="596" t="str">
        <f>+IFERROR(VLOOKUP(D27,'[1]ID1&amp;5'!K:L,2,FALSE),"-")</f>
        <v>-</v>
      </c>
      <c r="V27" s="593">
        <v>0</v>
      </c>
      <c r="W27" s="596" t="str">
        <f>+IFERROR(VLOOKUP(E27,'[1]ID1&amp;5'!K:L,2,FALSE),"-")</f>
        <v>-</v>
      </c>
      <c r="X27" s="595">
        <v>0</v>
      </c>
      <c r="Y27" s="597">
        <f>+X27/O27</f>
        <v>0</v>
      </c>
      <c r="Z27" s="596" t="str">
        <f>+IFERROR(VLOOKUP(F27,'[1]ID1&amp;5'!K:L,2,FALSE),"-")</f>
        <v>-</v>
      </c>
      <c r="AA27" s="595">
        <v>0</v>
      </c>
      <c r="AB27" s="597">
        <f>+AA27/O27</f>
        <v>0</v>
      </c>
      <c r="AC27" s="598">
        <v>1</v>
      </c>
      <c r="AD27" s="598">
        <v>8</v>
      </c>
      <c r="AE27" s="593">
        <v>0</v>
      </c>
      <c r="AF27" s="593">
        <v>0</v>
      </c>
      <c r="AG27" s="598"/>
      <c r="AH27" s="433" t="s">
        <v>1125</v>
      </c>
      <c r="AI27" s="576" t="s">
        <v>147</v>
      </c>
    </row>
    <row r="28" spans="1:35" x14ac:dyDescent="0.25">
      <c r="A28" s="576" t="str">
        <f>+I28&amp;J28</f>
        <v>B02.000161_CNTRCTL_SBRDNTN</v>
      </c>
      <c r="B28" s="588">
        <f>+VLOOKUP(I28&amp;J28,[1]Auxiliar!B:C,2,FALSE)</f>
        <v>2</v>
      </c>
      <c r="C28" s="589">
        <f>+VLOOKUP(I28&amp;J28,[1]Auxiliar!E:F,2,FALSE)</f>
        <v>2</v>
      </c>
      <c r="D28" s="589">
        <f>+VLOOKUP(I28&amp;J28,[1]Auxiliar!H:I,2,FALSE)</f>
        <v>2</v>
      </c>
      <c r="E28" s="589">
        <f>+VLOOKUP(I28&amp;J28,[1]Auxiliar!K:L,2,FALSE)</f>
        <v>2</v>
      </c>
      <c r="F28" s="589">
        <f>+VLOOKUP(I28&amp;J28,[1]Auxiliar!N:O,2,FALSE)</f>
        <v>2</v>
      </c>
      <c r="G28" s="590">
        <f>+VLOOKUP(I28&amp;J28,[1]Auxiliar!Q:R,2,FALSE)</f>
        <v>2</v>
      </c>
      <c r="H28" s="576" t="str">
        <f>+"c"&amp;LEFT(J28,4)</f>
        <v>c0161</v>
      </c>
      <c r="I28" s="591" t="s">
        <v>0</v>
      </c>
      <c r="J28" s="592" t="s">
        <v>1191</v>
      </c>
      <c r="K28" s="592"/>
      <c r="L28" s="592" t="e">
        <f>+VLOOKUP(J28,#REF!,3,FALSE)</f>
        <v>#REF!</v>
      </c>
      <c r="M28" s="593"/>
      <c r="N28" s="594" t="s">
        <v>1156</v>
      </c>
      <c r="O28" s="595">
        <v>8</v>
      </c>
      <c r="P28" s="596" t="str">
        <f>+IFERROR(VLOOKUP(B28,'[1]ID1&amp;5'!K:L,2,FALSE),"-")</f>
        <v>-</v>
      </c>
      <c r="Q28" s="595">
        <v>0</v>
      </c>
      <c r="R28" s="595" t="str">
        <f>+IFERROR(VLOOKUP(CONCATENATE(A28,$C$10,C28),'[1]ID1&amp;5'!B:J,8,FALSE),"-")</f>
        <v>-</v>
      </c>
      <c r="S28" s="596" t="str">
        <f>+IFERROR(VLOOKUP(C28,'[1]ID1&amp;5'!K:L,2,FALSE),"-")</f>
        <v>-</v>
      </c>
      <c r="T28" s="595">
        <v>0</v>
      </c>
      <c r="U28" s="596" t="str">
        <f>+IFERROR(VLOOKUP(D28,'[1]ID1&amp;5'!K:L,2,FALSE),"-")</f>
        <v>-</v>
      </c>
      <c r="V28" s="593">
        <v>0</v>
      </c>
      <c r="W28" s="596" t="str">
        <f>+IFERROR(VLOOKUP(E28,'[1]ID1&amp;5'!K:L,2,FALSE),"-")</f>
        <v>-</v>
      </c>
      <c r="X28" s="595">
        <v>0</v>
      </c>
      <c r="Y28" s="597">
        <f>+X28/O28</f>
        <v>0</v>
      </c>
      <c r="Z28" s="596" t="str">
        <f>+IFERROR(VLOOKUP(F28,'[1]ID1&amp;5'!K:L,2,FALSE),"-")</f>
        <v>-</v>
      </c>
      <c r="AA28" s="595">
        <v>8</v>
      </c>
      <c r="AB28" s="597">
        <f>+AA28/O28</f>
        <v>1</v>
      </c>
      <c r="AC28" s="598" t="s">
        <v>1169</v>
      </c>
      <c r="AD28" s="598" t="s">
        <v>1169</v>
      </c>
      <c r="AE28" s="593">
        <v>0</v>
      </c>
      <c r="AF28" s="593">
        <v>0</v>
      </c>
      <c r="AG28" s="599" t="s">
        <v>1188</v>
      </c>
      <c r="AH28" s="433" t="s">
        <v>1125</v>
      </c>
      <c r="AI28" s="576" t="s">
        <v>147</v>
      </c>
    </row>
    <row r="29" spans="1:35" x14ac:dyDescent="0.25">
      <c r="A29" s="576" t="str">
        <f>+I29&amp;J29</f>
        <v>B02.000162_BAIL_IN_CASCADE</v>
      </c>
      <c r="B29" s="588">
        <f>+VLOOKUP(I29&amp;J29,[1]Auxiliar!B:C,2,FALSE)</f>
        <v>2</v>
      </c>
      <c r="C29" s="589">
        <f>+VLOOKUP(I29&amp;J29,[1]Auxiliar!E:F,2,FALSE)</f>
        <v>2</v>
      </c>
      <c r="D29" s="589">
        <f>+VLOOKUP(I29&amp;J29,[1]Auxiliar!H:I,2,FALSE)</f>
        <v>2</v>
      </c>
      <c r="E29" s="589">
        <f>+VLOOKUP(I29&amp;J29,[1]Auxiliar!K:L,2,FALSE)</f>
        <v>2</v>
      </c>
      <c r="F29" s="589">
        <f>+VLOOKUP(I29&amp;J29,[1]Auxiliar!N:O,2,FALSE)</f>
        <v>2</v>
      </c>
      <c r="G29" s="590">
        <f>+VLOOKUP(I29&amp;J29,[1]Auxiliar!Q:R,2,FALSE)</f>
        <v>2</v>
      </c>
      <c r="H29" s="576" t="str">
        <f>+"c"&amp;LEFT(J29,4)</f>
        <v>c0162</v>
      </c>
      <c r="I29" s="591" t="s">
        <v>0</v>
      </c>
      <c r="J29" s="592" t="s">
        <v>1192</v>
      </c>
      <c r="K29" s="592"/>
      <c r="L29" s="592" t="e">
        <f>+VLOOKUP(J29,#REF!,3,FALSE)</f>
        <v>#REF!</v>
      </c>
      <c r="M29" s="593"/>
      <c r="N29" s="594" t="s">
        <v>1156</v>
      </c>
      <c r="O29" s="595">
        <v>8</v>
      </c>
      <c r="P29" s="596" t="str">
        <f>+IFERROR(VLOOKUP(B29,'[1]ID1&amp;5'!K:L,2,FALSE),"-")</f>
        <v>-</v>
      </c>
      <c r="Q29" s="595">
        <v>0</v>
      </c>
      <c r="R29" s="595" t="str">
        <f>+IFERROR(VLOOKUP(CONCATENATE(A29,$C$10,C29),'[1]ID1&amp;5'!B:J,8,FALSE),"-")</f>
        <v>-</v>
      </c>
      <c r="S29" s="596" t="str">
        <f>+IFERROR(VLOOKUP(C29,'[1]ID1&amp;5'!K:L,2,FALSE),"-")</f>
        <v>-</v>
      </c>
      <c r="T29" s="595">
        <v>0</v>
      </c>
      <c r="U29" s="596" t="str">
        <f>+IFERROR(VLOOKUP(D29,'[1]ID1&amp;5'!K:L,2,FALSE),"-")</f>
        <v>-</v>
      </c>
      <c r="V29" s="593">
        <v>0</v>
      </c>
      <c r="W29" s="596" t="str">
        <f>+IFERROR(VLOOKUP(E29,'[1]ID1&amp;5'!K:L,2,FALSE),"-")</f>
        <v>-</v>
      </c>
      <c r="X29" s="595">
        <v>0</v>
      </c>
      <c r="Y29" s="597">
        <f>+X29/O29</f>
        <v>0</v>
      </c>
      <c r="Z29" s="596" t="str">
        <f>+IFERROR(VLOOKUP(F29,'[1]ID1&amp;5'!K:L,2,FALSE),"-")</f>
        <v>-</v>
      </c>
      <c r="AA29" s="595">
        <v>0</v>
      </c>
      <c r="AB29" s="597">
        <f>+AA29/O29</f>
        <v>0</v>
      </c>
      <c r="AC29" s="598">
        <v>1</v>
      </c>
      <c r="AD29" s="598">
        <v>8</v>
      </c>
      <c r="AE29" s="593">
        <v>0</v>
      </c>
      <c r="AF29" s="593">
        <v>0</v>
      </c>
      <c r="AG29" s="598"/>
      <c r="AH29" s="433" t="s">
        <v>1125</v>
      </c>
      <c r="AI29" s="576" t="s">
        <v>147</v>
      </c>
    </row>
    <row r="30" spans="1:35" x14ac:dyDescent="0.25">
      <c r="A30" s="576" t="str">
        <f>+I30&amp;J30</f>
        <v>B02.000170_DT_INCPTN</v>
      </c>
      <c r="B30" s="588">
        <f>+VLOOKUP(I30&amp;J30,[1]Auxiliar!B:C,2,FALSE)</f>
        <v>2</v>
      </c>
      <c r="C30" s="589">
        <f>+VLOOKUP(I30&amp;J30,[1]Auxiliar!E:F,2,FALSE)</f>
        <v>2</v>
      </c>
      <c r="D30" s="589">
        <f>+VLOOKUP(I30&amp;J30,[1]Auxiliar!H:I,2,FALSE)</f>
        <v>2</v>
      </c>
      <c r="E30" s="589">
        <f>+VLOOKUP(I30&amp;J30,[1]Auxiliar!K:L,2,FALSE)</f>
        <v>2</v>
      </c>
      <c r="F30" s="589">
        <f>+VLOOKUP(I30&amp;J30,[1]Auxiliar!N:O,2,FALSE)</f>
        <v>2</v>
      </c>
      <c r="G30" s="590">
        <f>+VLOOKUP(I30&amp;J30,[1]Auxiliar!Q:R,2,FALSE)</f>
        <v>2</v>
      </c>
      <c r="H30" s="576" t="str">
        <f>+"c"&amp;LEFT(J30,4)</f>
        <v>c0170</v>
      </c>
      <c r="I30" s="591" t="s">
        <v>0</v>
      </c>
      <c r="J30" s="592" t="s">
        <v>1193</v>
      </c>
      <c r="K30" s="592"/>
      <c r="L30" s="592" t="e">
        <f>+VLOOKUP(J30,#REF!,3,FALSE)</f>
        <v>#REF!</v>
      </c>
      <c r="M30" s="593"/>
      <c r="N30" s="594" t="s">
        <v>1156</v>
      </c>
      <c r="O30" s="595">
        <v>8</v>
      </c>
      <c r="P30" s="596" t="str">
        <f>+IFERROR(VLOOKUP(B30,'[1]ID1&amp;5'!K:L,2,FALSE),"-")</f>
        <v>-</v>
      </c>
      <c r="Q30" s="595">
        <v>0</v>
      </c>
      <c r="R30" s="595" t="str">
        <f>+IFERROR(VLOOKUP(CONCATENATE(A30,$C$10,C30),'[1]ID1&amp;5'!B:J,8,FALSE),"-")</f>
        <v>-</v>
      </c>
      <c r="S30" s="596" t="str">
        <f>+IFERROR(VLOOKUP(C30,'[1]ID1&amp;5'!K:L,2,FALSE),"-")</f>
        <v>-</v>
      </c>
      <c r="T30" s="595">
        <v>0</v>
      </c>
      <c r="U30" s="596" t="str">
        <f>+IFERROR(VLOOKUP(D30,'[1]ID1&amp;5'!K:L,2,FALSE),"-")</f>
        <v>-</v>
      </c>
      <c r="V30" s="593">
        <v>0</v>
      </c>
      <c r="W30" s="596" t="str">
        <f>+IFERROR(VLOOKUP(E30,'[1]ID1&amp;5'!K:L,2,FALSE),"-")</f>
        <v>-</v>
      </c>
      <c r="X30" s="595">
        <v>0</v>
      </c>
      <c r="Y30" s="597">
        <f>+X30/O30</f>
        <v>0</v>
      </c>
      <c r="Z30" s="596" t="str">
        <f>+IFERROR(VLOOKUP(F30,'[1]ID1&amp;5'!K:L,2,FALSE),"-")</f>
        <v>-</v>
      </c>
      <c r="AA30" s="595">
        <v>0</v>
      </c>
      <c r="AB30" s="597">
        <f>+AA30/O30</f>
        <v>0</v>
      </c>
      <c r="AC30" s="600">
        <v>33608</v>
      </c>
      <c r="AD30" s="600">
        <v>45806</v>
      </c>
      <c r="AE30" s="593">
        <v>1</v>
      </c>
      <c r="AF30" s="593">
        <v>0</v>
      </c>
      <c r="AG30" s="598"/>
      <c r="AH30" s="433" t="s">
        <v>1125</v>
      </c>
      <c r="AI30" s="576" t="s">
        <v>147</v>
      </c>
    </row>
    <row r="31" spans="1:35" x14ac:dyDescent="0.25">
      <c r="A31" s="576" t="str">
        <f>+I31&amp;J31</f>
        <v>B02.000180_DT_NXT_INTRST_PYMNT</v>
      </c>
      <c r="B31" s="588">
        <f>+VLOOKUP(I31&amp;J31,[1]Auxiliar!B:C,2,FALSE)</f>
        <v>2</v>
      </c>
      <c r="C31" s="589">
        <f>+VLOOKUP(I31&amp;J31,[1]Auxiliar!E:F,2,FALSE)</f>
        <v>2</v>
      </c>
      <c r="D31" s="589">
        <f>+VLOOKUP(I31&amp;J31,[1]Auxiliar!H:I,2,FALSE)</f>
        <v>2</v>
      </c>
      <c r="E31" s="589">
        <f>+VLOOKUP(I31&amp;J31,[1]Auxiliar!K:L,2,FALSE)</f>
        <v>2</v>
      </c>
      <c r="F31" s="589">
        <f>+VLOOKUP(I31&amp;J31,[1]Auxiliar!N:O,2,FALSE)</f>
        <v>2</v>
      </c>
      <c r="G31" s="590">
        <f>+VLOOKUP(I31&amp;J31,[1]Auxiliar!Q:R,2,FALSE)</f>
        <v>2</v>
      </c>
      <c r="H31" s="576" t="str">
        <f>+"c"&amp;LEFT(J31,4)</f>
        <v>c0180</v>
      </c>
      <c r="I31" s="591" t="s">
        <v>0</v>
      </c>
      <c r="J31" s="592" t="s">
        <v>1194</v>
      </c>
      <c r="K31" s="592"/>
      <c r="L31" s="592" t="e">
        <f>+VLOOKUP(J31,#REF!,3,FALSE)</f>
        <v>#REF!</v>
      </c>
      <c r="M31" s="593"/>
      <c r="N31" s="594" t="s">
        <v>1156</v>
      </c>
      <c r="O31" s="595">
        <v>8</v>
      </c>
      <c r="P31" s="596" t="str">
        <f>+IFERROR(VLOOKUP(B31,'[1]ID1&amp;5'!K:L,2,FALSE),"-")</f>
        <v>-</v>
      </c>
      <c r="Q31" s="595">
        <v>8</v>
      </c>
      <c r="R31" s="595" t="str">
        <f>+IFERROR(VLOOKUP(CONCATENATE(A31,$C$10,C31),'[1]ID1&amp;5'!B:J,8,FALSE),"-")</f>
        <v>-</v>
      </c>
      <c r="S31" s="596" t="str">
        <f>+IFERROR(VLOOKUP(C31,'[1]ID1&amp;5'!K:L,2,FALSE),"-")</f>
        <v>-</v>
      </c>
      <c r="T31" s="595">
        <v>0</v>
      </c>
      <c r="U31" s="596" t="str">
        <f>+IFERROR(VLOOKUP(D31,'[1]ID1&amp;5'!K:L,2,FALSE),"-")</f>
        <v>-</v>
      </c>
      <c r="V31" s="593">
        <v>0</v>
      </c>
      <c r="W31" s="596" t="str">
        <f>+IFERROR(VLOOKUP(E31,'[1]ID1&amp;5'!K:L,2,FALSE),"-")</f>
        <v>-</v>
      </c>
      <c r="X31" s="595">
        <v>0</v>
      </c>
      <c r="Y31" s="597">
        <f>+X31/O31</f>
        <v>0</v>
      </c>
      <c r="Z31" s="596" t="str">
        <f>+IFERROR(VLOOKUP(F31,'[1]ID1&amp;5'!K:L,2,FALSE),"-")</f>
        <v>-</v>
      </c>
      <c r="AA31" s="595">
        <v>4</v>
      </c>
      <c r="AB31" s="597">
        <f>+AA31/O31</f>
        <v>0.5</v>
      </c>
      <c r="AC31" s="598" t="s">
        <v>909</v>
      </c>
      <c r="AD31" s="599" t="s">
        <v>1195</v>
      </c>
      <c r="AE31" s="593">
        <v>0</v>
      </c>
      <c r="AF31" s="593">
        <v>0</v>
      </c>
      <c r="AG31" s="599" t="s">
        <v>1196</v>
      </c>
      <c r="AH31" s="433" t="s">
        <v>1125</v>
      </c>
      <c r="AI31" s="576" t="s">
        <v>235</v>
      </c>
    </row>
    <row r="32" spans="1:35" x14ac:dyDescent="0.25">
      <c r="A32" s="576" t="str">
        <f>+I32&amp;J32</f>
        <v>B02.000190_DT_NXT_RDMPTN_PYMNT</v>
      </c>
      <c r="B32" s="588">
        <f>+VLOOKUP(I32&amp;J32,[1]Auxiliar!B:C,2,FALSE)</f>
        <v>2</v>
      </c>
      <c r="C32" s="589">
        <f>+VLOOKUP(I32&amp;J32,[1]Auxiliar!E:F,2,FALSE)</f>
        <v>2</v>
      </c>
      <c r="D32" s="589">
        <f>+VLOOKUP(I32&amp;J32,[1]Auxiliar!H:I,2,FALSE)</f>
        <v>2</v>
      </c>
      <c r="E32" s="589">
        <f>+VLOOKUP(I32&amp;J32,[1]Auxiliar!K:L,2,FALSE)</f>
        <v>2</v>
      </c>
      <c r="F32" s="589">
        <f>+VLOOKUP(I32&amp;J32,[1]Auxiliar!N:O,2,FALSE)</f>
        <v>2</v>
      </c>
      <c r="G32" s="590">
        <f>+VLOOKUP(I32&amp;J32,[1]Auxiliar!Q:R,2,FALSE)</f>
        <v>2</v>
      </c>
      <c r="H32" s="576" t="str">
        <f>+"c"&amp;LEFT(J32,4)</f>
        <v>c0190</v>
      </c>
      <c r="I32" s="591" t="s">
        <v>0</v>
      </c>
      <c r="J32" s="592" t="s">
        <v>1197</v>
      </c>
      <c r="K32" s="592"/>
      <c r="L32" s="592" t="e">
        <f>+VLOOKUP(J32,#REF!,3,FALSE)</f>
        <v>#REF!</v>
      </c>
      <c r="M32" s="593"/>
      <c r="N32" s="594" t="s">
        <v>1156</v>
      </c>
      <c r="O32" s="595">
        <v>8</v>
      </c>
      <c r="P32" s="596" t="str">
        <f>+IFERROR(VLOOKUP(B32,'[1]ID1&amp;5'!K:L,2,FALSE),"-")</f>
        <v>-</v>
      </c>
      <c r="Q32" s="595">
        <v>1</v>
      </c>
      <c r="R32" s="595" t="str">
        <f>+IFERROR(VLOOKUP(CONCATENATE(A32,$C$10,C32),'[1]ID1&amp;5'!B:J,8,FALSE),"-")</f>
        <v>-</v>
      </c>
      <c r="S32" s="596" t="str">
        <f>+IFERROR(VLOOKUP(C32,'[1]ID1&amp;5'!K:L,2,FALSE),"-")</f>
        <v>-</v>
      </c>
      <c r="T32" s="595">
        <v>0</v>
      </c>
      <c r="U32" s="596" t="str">
        <f>+IFERROR(VLOOKUP(D32,'[1]ID1&amp;5'!K:L,2,FALSE),"-")</f>
        <v>-</v>
      </c>
      <c r="V32" s="593">
        <v>0</v>
      </c>
      <c r="W32" s="596" t="str">
        <f>+IFERROR(VLOOKUP(E32,'[1]ID1&amp;5'!K:L,2,FALSE),"-")</f>
        <v>-</v>
      </c>
      <c r="X32" s="595">
        <v>0</v>
      </c>
      <c r="Y32" s="597">
        <f>+X32/O32</f>
        <v>0</v>
      </c>
      <c r="Z32" s="596" t="str">
        <f>+IFERROR(VLOOKUP(F32,'[1]ID1&amp;5'!K:L,2,FALSE),"-")</f>
        <v>-</v>
      </c>
      <c r="AA32" s="595">
        <v>4</v>
      </c>
      <c r="AB32" s="597">
        <f>+AA32/O32</f>
        <v>0.5</v>
      </c>
      <c r="AC32" s="598" t="s">
        <v>909</v>
      </c>
      <c r="AD32" s="599" t="s">
        <v>1198</v>
      </c>
      <c r="AE32" s="593">
        <v>0</v>
      </c>
      <c r="AF32" s="593">
        <v>0</v>
      </c>
      <c r="AG32" s="599" t="s">
        <v>1199</v>
      </c>
      <c r="AH32" s="433" t="s">
        <v>1125</v>
      </c>
      <c r="AI32" s="576" t="s">
        <v>147</v>
      </c>
    </row>
    <row r="33" spans="1:35" x14ac:dyDescent="0.25">
      <c r="A33" s="576" t="str">
        <f>+I33&amp;J33</f>
        <v>B02.000200_DT_ERLST_RDMPTN</v>
      </c>
      <c r="B33" s="588">
        <f>+VLOOKUP(I33&amp;J33,[1]Auxiliar!B:C,2,FALSE)</f>
        <v>2</v>
      </c>
      <c r="C33" s="589">
        <f>+VLOOKUP(I33&amp;J33,[1]Auxiliar!E:F,2,FALSE)</f>
        <v>2</v>
      </c>
      <c r="D33" s="589">
        <f>+VLOOKUP(I33&amp;J33,[1]Auxiliar!H:I,2,FALSE)</f>
        <v>2</v>
      </c>
      <c r="E33" s="589">
        <f>+VLOOKUP(I33&amp;J33,[1]Auxiliar!K:L,2,FALSE)</f>
        <v>2</v>
      </c>
      <c r="F33" s="589">
        <f>+VLOOKUP(I33&amp;J33,[1]Auxiliar!N:O,2,FALSE)</f>
        <v>2</v>
      </c>
      <c r="G33" s="590">
        <f>+VLOOKUP(I33&amp;J33,[1]Auxiliar!Q:R,2,FALSE)</f>
        <v>2</v>
      </c>
      <c r="H33" s="576" t="str">
        <f>+"c"&amp;LEFT(J33,4)</f>
        <v>c0200</v>
      </c>
      <c r="I33" s="591" t="s">
        <v>0</v>
      </c>
      <c r="J33" s="592" t="s">
        <v>1124</v>
      </c>
      <c r="K33" s="592"/>
      <c r="L33" s="592" t="e">
        <f>+VLOOKUP(J33,#REF!,3,FALSE)</f>
        <v>#REF!</v>
      </c>
      <c r="M33" s="593"/>
      <c r="N33" s="594" t="s">
        <v>1156</v>
      </c>
      <c r="O33" s="595">
        <v>8</v>
      </c>
      <c r="P33" s="596" t="str">
        <f>+IFERROR(VLOOKUP(B33,'[1]ID1&amp;5'!K:L,2,FALSE),"-")</f>
        <v>-</v>
      </c>
      <c r="Q33" s="595">
        <v>0</v>
      </c>
      <c r="R33" s="595" t="str">
        <f>+IFERROR(VLOOKUP(CONCATENATE(A33,$C$10,C33),'[1]ID1&amp;5'!B:J,8,FALSE),"-")</f>
        <v>-</v>
      </c>
      <c r="S33" s="596" t="str">
        <f>+IFERROR(VLOOKUP(C33,'[1]ID1&amp;5'!K:L,2,FALSE),"-")</f>
        <v>-</v>
      </c>
      <c r="T33" s="595">
        <v>0</v>
      </c>
      <c r="U33" s="596" t="str">
        <f>+IFERROR(VLOOKUP(D33,'[1]ID1&amp;5'!K:L,2,FALSE),"-")</f>
        <v>-</v>
      </c>
      <c r="V33" s="593">
        <v>0</v>
      </c>
      <c r="W33" s="596" t="str">
        <f>+IFERROR(VLOOKUP(E33,'[1]ID1&amp;5'!K:L,2,FALSE),"-")</f>
        <v>-</v>
      </c>
      <c r="X33" s="595">
        <v>0</v>
      </c>
      <c r="Y33" s="597">
        <f>+X33/O33</f>
        <v>0</v>
      </c>
      <c r="Z33" s="596" t="str">
        <f>+IFERROR(VLOOKUP(F33,'[1]ID1&amp;5'!K:L,2,FALSE),"-")</f>
        <v>-</v>
      </c>
      <c r="AA33" s="595">
        <v>8</v>
      </c>
      <c r="AB33" s="597">
        <f>+AA33/O33</f>
        <v>1</v>
      </c>
      <c r="AC33" s="598" t="s">
        <v>909</v>
      </c>
      <c r="AD33" s="598" t="s">
        <v>909</v>
      </c>
      <c r="AE33" s="593">
        <v>0</v>
      </c>
      <c r="AF33" s="593">
        <v>0</v>
      </c>
      <c r="AG33" s="599" t="s">
        <v>1188</v>
      </c>
      <c r="AH33" s="433" t="s">
        <v>1125</v>
      </c>
      <c r="AI33" s="576" t="s">
        <v>147</v>
      </c>
    </row>
    <row r="34" spans="1:35" x14ac:dyDescent="0.25">
      <c r="A34" s="576" t="str">
        <f>+I34&amp;J34</f>
        <v>B02.000210_DT_LGL_FNL_MTRTY</v>
      </c>
      <c r="B34" s="588">
        <f>+VLOOKUP(I34&amp;J34,[1]Auxiliar!B:C,2,FALSE)</f>
        <v>2</v>
      </c>
      <c r="C34" s="589">
        <f>+VLOOKUP(I34&amp;J34,[1]Auxiliar!E:F,2,FALSE)</f>
        <v>2</v>
      </c>
      <c r="D34" s="589">
        <f>+VLOOKUP(I34&amp;J34,[1]Auxiliar!H:I,2,FALSE)</f>
        <v>2</v>
      </c>
      <c r="E34" s="589">
        <f>+VLOOKUP(I34&amp;J34,[1]Auxiliar!K:L,2,FALSE)</f>
        <v>2</v>
      </c>
      <c r="F34" s="589">
        <f>+VLOOKUP(I34&amp;J34,[1]Auxiliar!N:O,2,FALSE)</f>
        <v>2</v>
      </c>
      <c r="G34" s="590">
        <f>+VLOOKUP(I34&amp;J34,[1]Auxiliar!Q:R,2,FALSE)</f>
        <v>2</v>
      </c>
      <c r="H34" s="576" t="str">
        <f>+"c"&amp;LEFT(J34,4)</f>
        <v>c0210</v>
      </c>
      <c r="I34" s="591" t="s">
        <v>0</v>
      </c>
      <c r="J34" s="592" t="s">
        <v>1200</v>
      </c>
      <c r="K34" s="592"/>
      <c r="L34" s="592" t="e">
        <f>+VLOOKUP(J34,#REF!,3,FALSE)</f>
        <v>#REF!</v>
      </c>
      <c r="M34" s="593"/>
      <c r="N34" s="594" t="s">
        <v>1156</v>
      </c>
      <c r="O34" s="595">
        <v>8</v>
      </c>
      <c r="P34" s="596" t="str">
        <f>+IFERROR(VLOOKUP(B34,'[1]ID1&amp;5'!K:L,2,FALSE),"-")</f>
        <v>-</v>
      </c>
      <c r="Q34" s="595">
        <v>1</v>
      </c>
      <c r="R34" s="595" t="str">
        <f>+IFERROR(VLOOKUP(CONCATENATE(A34,$C$10,C34),'[1]ID1&amp;5'!B:J,8,FALSE),"-")</f>
        <v>-</v>
      </c>
      <c r="S34" s="596" t="str">
        <f>+IFERROR(VLOOKUP(C34,'[1]ID1&amp;5'!K:L,2,FALSE),"-")</f>
        <v>-</v>
      </c>
      <c r="T34" s="595">
        <v>0</v>
      </c>
      <c r="U34" s="596" t="str">
        <f>+IFERROR(VLOOKUP(D34,'[1]ID1&amp;5'!K:L,2,FALSE),"-")</f>
        <v>-</v>
      </c>
      <c r="V34" s="593">
        <v>0</v>
      </c>
      <c r="W34" s="596" t="str">
        <f>+IFERROR(VLOOKUP(E34,'[1]ID1&amp;5'!K:L,2,FALSE),"-")</f>
        <v>-</v>
      </c>
      <c r="X34" s="595">
        <v>0</v>
      </c>
      <c r="Y34" s="597">
        <f>+X34/O34</f>
        <v>0</v>
      </c>
      <c r="Z34" s="596" t="str">
        <f>+IFERROR(VLOOKUP(F34,'[1]ID1&amp;5'!K:L,2,FALSE),"-")</f>
        <v>-</v>
      </c>
      <c r="AA34" s="595">
        <v>4</v>
      </c>
      <c r="AB34" s="597">
        <f>+AA34/O34</f>
        <v>0.5</v>
      </c>
      <c r="AC34" s="598" t="s">
        <v>909</v>
      </c>
      <c r="AD34" s="599" t="s">
        <v>1198</v>
      </c>
      <c r="AE34" s="593">
        <v>0</v>
      </c>
      <c r="AF34" s="593">
        <v>0</v>
      </c>
      <c r="AG34" s="599" t="s">
        <v>1199</v>
      </c>
      <c r="AH34" s="433" t="s">
        <v>1125</v>
      </c>
      <c r="AI34" s="576" t="s">
        <v>147</v>
      </c>
    </row>
    <row r="35" spans="1:35" x14ac:dyDescent="0.25">
      <c r="A35" s="576" t="str">
        <f>+I35&amp;J35</f>
        <v>B02.000220_GOVERNING_LAW</v>
      </c>
      <c r="B35" s="588">
        <f>+VLOOKUP(I35&amp;J35,[1]Auxiliar!B:C,2,FALSE)</f>
        <v>2</v>
      </c>
      <c r="C35" s="589">
        <f>+VLOOKUP(I35&amp;J35,[1]Auxiliar!E:F,2,FALSE)</f>
        <v>2</v>
      </c>
      <c r="D35" s="589">
        <f>+VLOOKUP(I35&amp;J35,[1]Auxiliar!H:I,2,FALSE)</f>
        <v>2</v>
      </c>
      <c r="E35" s="589">
        <f>+VLOOKUP(I35&amp;J35,[1]Auxiliar!K:L,2,FALSE)</f>
        <v>2</v>
      </c>
      <c r="F35" s="589">
        <f>+VLOOKUP(I35&amp;J35,[1]Auxiliar!N:O,2,FALSE)</f>
        <v>2</v>
      </c>
      <c r="G35" s="590">
        <f>+VLOOKUP(I35&amp;J35,[1]Auxiliar!Q:R,2,FALSE)</f>
        <v>2</v>
      </c>
      <c r="H35" s="576" t="str">
        <f>+"c"&amp;LEFT(J35,4)</f>
        <v>c0220</v>
      </c>
      <c r="I35" s="591" t="s">
        <v>0</v>
      </c>
      <c r="J35" s="592" t="s">
        <v>1201</v>
      </c>
      <c r="K35" s="592"/>
      <c r="L35" s="592" t="e">
        <f>+VLOOKUP(J35,#REF!,3,FALSE)</f>
        <v>#REF!</v>
      </c>
      <c r="M35" s="593"/>
      <c r="N35" s="594" t="s">
        <v>1156</v>
      </c>
      <c r="O35" s="595">
        <v>8</v>
      </c>
      <c r="P35" s="596" t="str">
        <f>+IFERROR(VLOOKUP(B35,'[1]ID1&amp;5'!K:L,2,FALSE),"-")</f>
        <v>-</v>
      </c>
      <c r="Q35" s="595">
        <v>0</v>
      </c>
      <c r="R35" s="595" t="str">
        <f>+IFERROR(VLOOKUP(CONCATENATE(A35,$C$10,C35),'[1]ID1&amp;5'!B:J,8,FALSE),"-")</f>
        <v>-</v>
      </c>
      <c r="S35" s="596" t="str">
        <f>+IFERROR(VLOOKUP(C35,'[1]ID1&amp;5'!K:L,2,FALSE),"-")</f>
        <v>-</v>
      </c>
      <c r="T35" s="595">
        <v>0</v>
      </c>
      <c r="U35" s="596" t="str">
        <f>+IFERROR(VLOOKUP(D35,'[1]ID1&amp;5'!K:L,2,FALSE),"-")</f>
        <v>-</v>
      </c>
      <c r="V35" s="593">
        <v>0</v>
      </c>
      <c r="W35" s="596" t="str">
        <f>+IFERROR(VLOOKUP(E35,'[1]ID1&amp;5'!K:L,2,FALSE),"-")</f>
        <v>-</v>
      </c>
      <c r="X35" s="595">
        <v>0</v>
      </c>
      <c r="Y35" s="597">
        <f>+X35/O35</f>
        <v>0</v>
      </c>
      <c r="Z35" s="596" t="str">
        <f>+IFERROR(VLOOKUP(F35,'[1]ID1&amp;5'!K:L,2,FALSE),"-")</f>
        <v>-</v>
      </c>
      <c r="AA35" s="595">
        <v>0</v>
      </c>
      <c r="AB35" s="597">
        <f>+AA35/O35</f>
        <v>0</v>
      </c>
      <c r="AC35" s="598" t="s">
        <v>1202</v>
      </c>
      <c r="AD35" s="598" t="s">
        <v>1202</v>
      </c>
      <c r="AE35" s="593">
        <v>0</v>
      </c>
      <c r="AF35" s="593">
        <v>0</v>
      </c>
      <c r="AG35" s="598"/>
      <c r="AH35" s="433" t="s">
        <v>1125</v>
      </c>
      <c r="AI35" s="576" t="s">
        <v>147</v>
      </c>
    </row>
    <row r="36" spans="1:35" x14ac:dyDescent="0.25">
      <c r="A36" s="576" t="str">
        <f>+I36&amp;J36</f>
        <v>B02.000230_BAIL_IN_RCGNTN_CLS</v>
      </c>
      <c r="B36" s="588">
        <f>+VLOOKUP(I36&amp;J36,[1]Auxiliar!B:C,2,FALSE)</f>
        <v>2</v>
      </c>
      <c r="C36" s="589">
        <f>+VLOOKUP(I36&amp;J36,[1]Auxiliar!E:F,2,FALSE)</f>
        <v>2</v>
      </c>
      <c r="D36" s="589">
        <f>+VLOOKUP(I36&amp;J36,[1]Auxiliar!H:I,2,FALSE)</f>
        <v>2</v>
      </c>
      <c r="E36" s="589">
        <f>+VLOOKUP(I36&amp;J36,[1]Auxiliar!K:L,2,FALSE)</f>
        <v>2</v>
      </c>
      <c r="F36" s="589">
        <f>+VLOOKUP(I36&amp;J36,[1]Auxiliar!N:O,2,FALSE)</f>
        <v>2</v>
      </c>
      <c r="G36" s="590">
        <f>+VLOOKUP(I36&amp;J36,[1]Auxiliar!Q:R,2,FALSE)</f>
        <v>2</v>
      </c>
      <c r="H36" s="576" t="str">
        <f>+"c"&amp;LEFT(J36,4)</f>
        <v>c0230</v>
      </c>
      <c r="I36" s="591" t="s">
        <v>0</v>
      </c>
      <c r="J36" s="592" t="s">
        <v>1203</v>
      </c>
      <c r="K36" s="592"/>
      <c r="L36" s="592" t="e">
        <f>+VLOOKUP(J36,#REF!,3,FALSE)</f>
        <v>#REF!</v>
      </c>
      <c r="M36" s="593"/>
      <c r="N36" s="594" t="s">
        <v>1156</v>
      </c>
      <c r="O36" s="595">
        <v>8</v>
      </c>
      <c r="P36" s="596" t="str">
        <f>+IFERROR(VLOOKUP(B36,'[1]ID1&amp;5'!K:L,2,FALSE),"-")</f>
        <v>-</v>
      </c>
      <c r="Q36" s="595">
        <v>0</v>
      </c>
      <c r="R36" s="595" t="str">
        <f>+IFERROR(VLOOKUP(CONCATENATE(A36,$C$10,C36),'[1]ID1&amp;5'!B:J,8,FALSE),"-")</f>
        <v>-</v>
      </c>
      <c r="S36" s="596" t="str">
        <f>+IFERROR(VLOOKUP(C36,'[1]ID1&amp;5'!K:L,2,FALSE),"-")</f>
        <v>-</v>
      </c>
      <c r="T36" s="595">
        <v>0</v>
      </c>
      <c r="U36" s="596" t="str">
        <f>+IFERROR(VLOOKUP(D36,'[1]ID1&amp;5'!K:L,2,FALSE),"-")</f>
        <v>-</v>
      </c>
      <c r="V36" s="593">
        <v>0</v>
      </c>
      <c r="W36" s="596" t="str">
        <f>+IFERROR(VLOOKUP(E36,'[1]ID1&amp;5'!K:L,2,FALSE),"-")</f>
        <v>-</v>
      </c>
      <c r="X36" s="595">
        <v>0</v>
      </c>
      <c r="Y36" s="597">
        <f>+X36/O36</f>
        <v>0</v>
      </c>
      <c r="Z36" s="596" t="str">
        <f>+IFERROR(VLOOKUP(F36,'[1]ID1&amp;5'!K:L,2,FALSE),"-")</f>
        <v>-</v>
      </c>
      <c r="AA36" s="595">
        <v>0</v>
      </c>
      <c r="AB36" s="597">
        <f>+AA36/O36</f>
        <v>0</v>
      </c>
      <c r="AC36" s="598" t="s">
        <v>1204</v>
      </c>
      <c r="AD36" s="598" t="s">
        <v>1204</v>
      </c>
      <c r="AE36" s="593">
        <v>0</v>
      </c>
      <c r="AF36" s="593">
        <v>0</v>
      </c>
      <c r="AG36" s="598"/>
      <c r="AH36" s="433" t="s">
        <v>1125</v>
      </c>
      <c r="AI36" s="576" t="s">
        <v>147</v>
      </c>
    </row>
    <row r="37" spans="1:35" x14ac:dyDescent="0.25">
      <c r="A37" s="576" t="str">
        <f>+I37&amp;J37</f>
        <v>B02.000240_ZERO_COUPON</v>
      </c>
      <c r="B37" s="588">
        <f>+VLOOKUP(I37&amp;J37,[1]Auxiliar!B:C,2,FALSE)</f>
        <v>2</v>
      </c>
      <c r="C37" s="589">
        <f>+VLOOKUP(I37&amp;J37,[1]Auxiliar!E:F,2,FALSE)</f>
        <v>2</v>
      </c>
      <c r="D37" s="589">
        <f>+VLOOKUP(I37&amp;J37,[1]Auxiliar!H:I,2,FALSE)</f>
        <v>2</v>
      </c>
      <c r="E37" s="589">
        <f>+VLOOKUP(I37&amp;J37,[1]Auxiliar!K:L,2,FALSE)</f>
        <v>2</v>
      </c>
      <c r="F37" s="589">
        <f>+VLOOKUP(I37&amp;J37,[1]Auxiliar!N:O,2,FALSE)</f>
        <v>2</v>
      </c>
      <c r="G37" s="590">
        <f>+VLOOKUP(I37&amp;J37,[1]Auxiliar!Q:R,2,FALSE)</f>
        <v>2</v>
      </c>
      <c r="H37" s="576" t="str">
        <f>+"c"&amp;LEFT(J37,4)</f>
        <v>c0240</v>
      </c>
      <c r="I37" s="591" t="s">
        <v>0</v>
      </c>
      <c r="J37" s="592" t="s">
        <v>1205</v>
      </c>
      <c r="K37" s="592"/>
      <c r="L37" s="592" t="e">
        <f>+VLOOKUP(J37,#REF!,3,FALSE)</f>
        <v>#REF!</v>
      </c>
      <c r="M37" s="593"/>
      <c r="N37" s="594" t="s">
        <v>1156</v>
      </c>
      <c r="O37" s="595">
        <v>8</v>
      </c>
      <c r="P37" s="596" t="str">
        <f>+IFERROR(VLOOKUP(B37,'[1]ID1&amp;5'!K:L,2,FALSE),"-")</f>
        <v>-</v>
      </c>
      <c r="Q37" s="595">
        <v>0</v>
      </c>
      <c r="R37" s="595" t="str">
        <f>+IFERROR(VLOOKUP(CONCATENATE(A37,$C$10,C37),'[1]ID1&amp;5'!B:J,8,FALSE),"-")</f>
        <v>-</v>
      </c>
      <c r="S37" s="596" t="str">
        <f>+IFERROR(VLOOKUP(C37,'[1]ID1&amp;5'!K:L,2,FALSE),"-")</f>
        <v>-</v>
      </c>
      <c r="T37" s="595">
        <v>0</v>
      </c>
      <c r="U37" s="596" t="str">
        <f>+IFERROR(VLOOKUP(D37,'[1]ID1&amp;5'!K:L,2,FALSE),"-")</f>
        <v>-</v>
      </c>
      <c r="V37" s="593">
        <v>0</v>
      </c>
      <c r="W37" s="596" t="str">
        <f>+IFERROR(VLOOKUP(E37,'[1]ID1&amp;5'!K:L,2,FALSE),"-")</f>
        <v>-</v>
      </c>
      <c r="X37" s="595">
        <v>0</v>
      </c>
      <c r="Y37" s="597">
        <f>+X37/O37</f>
        <v>0</v>
      </c>
      <c r="Z37" s="596" t="str">
        <f>+IFERROR(VLOOKUP(F37,'[1]ID1&amp;5'!K:L,2,FALSE),"-")</f>
        <v>-</v>
      </c>
      <c r="AA37" s="595">
        <v>0</v>
      </c>
      <c r="AB37" s="597">
        <f>+AA37/O37</f>
        <v>0</v>
      </c>
      <c r="AC37" s="598" t="s">
        <v>1206</v>
      </c>
      <c r="AD37" s="598" t="s">
        <v>1206</v>
      </c>
      <c r="AE37" s="593">
        <v>0</v>
      </c>
      <c r="AF37" s="593">
        <v>0</v>
      </c>
      <c r="AG37" s="598"/>
      <c r="AH37" s="433" t="s">
        <v>1125</v>
      </c>
      <c r="AI37" s="576" t="s">
        <v>147</v>
      </c>
    </row>
    <row r="38" spans="1:35" x14ac:dyDescent="0.25">
      <c r="A38" s="576" t="str">
        <f>+I38&amp;J38</f>
        <v>B02.000250_STRCTRD_PRDCT</v>
      </c>
      <c r="B38" s="588">
        <f>+VLOOKUP(I38&amp;J38,[1]Auxiliar!B:C,2,FALSE)</f>
        <v>2</v>
      </c>
      <c r="C38" s="589">
        <f>+VLOOKUP(I38&amp;J38,[1]Auxiliar!E:F,2,FALSE)</f>
        <v>2</v>
      </c>
      <c r="D38" s="589">
        <f>+VLOOKUP(I38&amp;J38,[1]Auxiliar!H:I,2,FALSE)</f>
        <v>2</v>
      </c>
      <c r="E38" s="589">
        <f>+VLOOKUP(I38&amp;J38,[1]Auxiliar!K:L,2,FALSE)</f>
        <v>2</v>
      </c>
      <c r="F38" s="589">
        <f>+VLOOKUP(I38&amp;J38,[1]Auxiliar!N:O,2,FALSE)</f>
        <v>2</v>
      </c>
      <c r="G38" s="590">
        <f>+VLOOKUP(I38&amp;J38,[1]Auxiliar!Q:R,2,FALSE)</f>
        <v>2</v>
      </c>
      <c r="H38" s="576" t="str">
        <f>+"c"&amp;LEFT(J38,4)</f>
        <v>c0250</v>
      </c>
      <c r="I38" s="591" t="s">
        <v>0</v>
      </c>
      <c r="J38" s="592" t="s">
        <v>1207</v>
      </c>
      <c r="K38" s="592"/>
      <c r="L38" s="592" t="e">
        <f>+VLOOKUP(J38,#REF!,3,FALSE)</f>
        <v>#REF!</v>
      </c>
      <c r="M38" s="593"/>
      <c r="N38" s="594" t="s">
        <v>1156</v>
      </c>
      <c r="O38" s="595">
        <v>8</v>
      </c>
      <c r="P38" s="596" t="str">
        <f>+IFERROR(VLOOKUP(B38,'[1]ID1&amp;5'!K:L,2,FALSE),"-")</f>
        <v>-</v>
      </c>
      <c r="Q38" s="595">
        <v>0</v>
      </c>
      <c r="R38" s="595" t="str">
        <f>+IFERROR(VLOOKUP(CONCATENATE(A38,$C$10,C38),'[1]ID1&amp;5'!B:J,8,FALSE),"-")</f>
        <v>-</v>
      </c>
      <c r="S38" s="596" t="str">
        <f>+IFERROR(VLOOKUP(C38,'[1]ID1&amp;5'!K:L,2,FALSE),"-")</f>
        <v>-</v>
      </c>
      <c r="T38" s="595">
        <v>0</v>
      </c>
      <c r="U38" s="596" t="str">
        <f>+IFERROR(VLOOKUP(D38,'[1]ID1&amp;5'!K:L,2,FALSE),"-")</f>
        <v>-</v>
      </c>
      <c r="V38" s="593">
        <v>0</v>
      </c>
      <c r="W38" s="596" t="str">
        <f>+IFERROR(VLOOKUP(E38,'[1]ID1&amp;5'!K:L,2,FALSE),"-")</f>
        <v>-</v>
      </c>
      <c r="X38" s="595">
        <v>0</v>
      </c>
      <c r="Y38" s="597">
        <f>+X38/O38</f>
        <v>0</v>
      </c>
      <c r="Z38" s="596" t="str">
        <f>+IFERROR(VLOOKUP(F38,'[1]ID1&amp;5'!K:L,2,FALSE),"-")</f>
        <v>-</v>
      </c>
      <c r="AA38" s="595">
        <v>0</v>
      </c>
      <c r="AB38" s="597">
        <f>+AA38/O38</f>
        <v>0</v>
      </c>
      <c r="AC38" s="598" t="s">
        <v>1208</v>
      </c>
      <c r="AD38" s="598" t="s">
        <v>1208</v>
      </c>
      <c r="AE38" s="593">
        <v>0</v>
      </c>
      <c r="AF38" s="593">
        <v>0</v>
      </c>
      <c r="AG38" s="598"/>
      <c r="AH38" s="433" t="s">
        <v>1125</v>
      </c>
      <c r="AI38" s="576" t="s">
        <v>147</v>
      </c>
    </row>
    <row r="39" spans="1:35" x14ac:dyDescent="0.25">
      <c r="A39" s="576" t="str">
        <f>+I39&amp;J39</f>
        <v>B02.000260_GRNTD_MIN_AMNT_STRCTRD_PRDCT</v>
      </c>
      <c r="B39" s="588">
        <f>+VLOOKUP(I39&amp;J39,[1]Auxiliar!B:C,2,FALSE)</f>
        <v>2</v>
      </c>
      <c r="C39" s="589">
        <f>+VLOOKUP(I39&amp;J39,[1]Auxiliar!E:F,2,FALSE)</f>
        <v>2</v>
      </c>
      <c r="D39" s="589">
        <f>+VLOOKUP(I39&amp;J39,[1]Auxiliar!H:I,2,FALSE)</f>
        <v>2</v>
      </c>
      <c r="E39" s="589">
        <f>+VLOOKUP(I39&amp;J39,[1]Auxiliar!K:L,2,FALSE)</f>
        <v>2</v>
      </c>
      <c r="F39" s="589">
        <f>+VLOOKUP(I39&amp;J39,[1]Auxiliar!N:O,2,FALSE)</f>
        <v>2</v>
      </c>
      <c r="G39" s="590">
        <f>+VLOOKUP(I39&amp;J39,[1]Auxiliar!Q:R,2,FALSE)</f>
        <v>2</v>
      </c>
      <c r="H39" s="576" t="str">
        <f>+"c"&amp;LEFT(J39,4)</f>
        <v>c0260</v>
      </c>
      <c r="I39" s="591" t="s">
        <v>0</v>
      </c>
      <c r="J39" s="592" t="s">
        <v>1209</v>
      </c>
      <c r="K39" s="592"/>
      <c r="L39" s="592" t="e">
        <f>+VLOOKUP(J39,#REF!,3,FALSE)</f>
        <v>#REF!</v>
      </c>
      <c r="M39" s="593"/>
      <c r="N39" s="594" t="s">
        <v>1156</v>
      </c>
      <c r="O39" s="595">
        <v>8</v>
      </c>
      <c r="P39" s="596" t="str">
        <f>+IFERROR(VLOOKUP(B39,'[1]ID1&amp;5'!K:L,2,FALSE),"-")</f>
        <v>-</v>
      </c>
      <c r="Q39" s="595">
        <v>0</v>
      </c>
      <c r="R39" s="595" t="str">
        <f>+IFERROR(VLOOKUP(CONCATENATE(A39,$C$10,C39),'[1]ID1&amp;5'!B:J,8,FALSE),"-")</f>
        <v>-</v>
      </c>
      <c r="S39" s="596" t="str">
        <f>+IFERROR(VLOOKUP(C39,'[1]ID1&amp;5'!K:L,2,FALSE),"-")</f>
        <v>-</v>
      </c>
      <c r="T39" s="595">
        <v>0</v>
      </c>
      <c r="U39" s="596" t="str">
        <f>+IFERROR(VLOOKUP(D39,'[1]ID1&amp;5'!K:L,2,FALSE),"-")</f>
        <v>-</v>
      </c>
      <c r="V39" s="593">
        <v>0</v>
      </c>
      <c r="W39" s="596" t="str">
        <f>+IFERROR(VLOOKUP(E39,'[1]ID1&amp;5'!K:L,2,FALSE),"-")</f>
        <v>-</v>
      </c>
      <c r="X39" s="595">
        <v>0</v>
      </c>
      <c r="Y39" s="597">
        <f>+X39/O39</f>
        <v>0</v>
      </c>
      <c r="Z39" s="596" t="str">
        <f>+IFERROR(VLOOKUP(F39,'[1]ID1&amp;5'!K:L,2,FALSE),"-")</f>
        <v>-</v>
      </c>
      <c r="AA39" s="595">
        <v>8</v>
      </c>
      <c r="AB39" s="597">
        <f>+AA39/O39</f>
        <v>1</v>
      </c>
      <c r="AC39" s="598" t="s">
        <v>1169</v>
      </c>
      <c r="AD39" s="598" t="s">
        <v>1169</v>
      </c>
      <c r="AE39" s="593">
        <v>0</v>
      </c>
      <c r="AF39" s="593">
        <v>0</v>
      </c>
      <c r="AG39" s="599" t="s">
        <v>1188</v>
      </c>
      <c r="AH39" s="433" t="s">
        <v>1125</v>
      </c>
      <c r="AI39" s="576" t="s">
        <v>147</v>
      </c>
    </row>
    <row r="40" spans="1:35" x14ac:dyDescent="0.25">
      <c r="A40" s="576" t="str">
        <f>+I40&amp;J40</f>
        <v>B02.000270_FV_AMNT_STRCTRD_PRDCT</v>
      </c>
      <c r="B40" s="588">
        <f>+VLOOKUP(I40&amp;J40,[1]Auxiliar!B:C,2,FALSE)</f>
        <v>2</v>
      </c>
      <c r="C40" s="589">
        <f>+VLOOKUP(I40&amp;J40,[1]Auxiliar!E:F,2,FALSE)</f>
        <v>2</v>
      </c>
      <c r="D40" s="589">
        <f>+VLOOKUP(I40&amp;J40,[1]Auxiliar!H:I,2,FALSE)</f>
        <v>2</v>
      </c>
      <c r="E40" s="589">
        <f>+VLOOKUP(I40&amp;J40,[1]Auxiliar!K:L,2,FALSE)</f>
        <v>2</v>
      </c>
      <c r="F40" s="589">
        <f>+VLOOKUP(I40&amp;J40,[1]Auxiliar!N:O,2,FALSE)</f>
        <v>2</v>
      </c>
      <c r="G40" s="590">
        <f>+VLOOKUP(I40&amp;J40,[1]Auxiliar!Q:R,2,FALSE)</f>
        <v>2</v>
      </c>
      <c r="H40" s="576" t="str">
        <f>+"c"&amp;LEFT(J40,4)</f>
        <v>c0270</v>
      </c>
      <c r="I40" s="591" t="s">
        <v>0</v>
      </c>
      <c r="J40" s="592" t="s">
        <v>1210</v>
      </c>
      <c r="K40" s="592"/>
      <c r="L40" s="592" t="e">
        <f>+VLOOKUP(J40,#REF!,3,FALSE)</f>
        <v>#REF!</v>
      </c>
      <c r="M40" s="593"/>
      <c r="N40" s="594" t="s">
        <v>1156</v>
      </c>
      <c r="O40" s="595">
        <v>8</v>
      </c>
      <c r="P40" s="596" t="str">
        <f>+IFERROR(VLOOKUP(B40,'[1]ID1&amp;5'!K:L,2,FALSE),"-")</f>
        <v>-</v>
      </c>
      <c r="Q40" s="595">
        <v>0</v>
      </c>
      <c r="R40" s="595" t="str">
        <f>+IFERROR(VLOOKUP(CONCATENATE(A40,$C$10,C40),'[1]ID1&amp;5'!B:J,8,FALSE),"-")</f>
        <v>-</v>
      </c>
      <c r="S40" s="596" t="str">
        <f>+IFERROR(VLOOKUP(C40,'[1]ID1&amp;5'!K:L,2,FALSE),"-")</f>
        <v>-</v>
      </c>
      <c r="T40" s="595">
        <v>0</v>
      </c>
      <c r="U40" s="596" t="str">
        <f>+IFERROR(VLOOKUP(D40,'[1]ID1&amp;5'!K:L,2,FALSE),"-")</f>
        <v>-</v>
      </c>
      <c r="V40" s="593">
        <v>0</v>
      </c>
      <c r="W40" s="596" t="str">
        <f>+IFERROR(VLOOKUP(E40,'[1]ID1&amp;5'!K:L,2,FALSE),"-")</f>
        <v>-</v>
      </c>
      <c r="X40" s="595">
        <v>0</v>
      </c>
      <c r="Y40" s="597">
        <f>+X40/O40</f>
        <v>0</v>
      </c>
      <c r="Z40" s="596" t="str">
        <f>+IFERROR(VLOOKUP(F40,'[1]ID1&amp;5'!K:L,2,FALSE),"-")</f>
        <v>-</v>
      </c>
      <c r="AA40" s="595">
        <v>8</v>
      </c>
      <c r="AB40" s="597">
        <f>+AA40/O40</f>
        <v>1</v>
      </c>
      <c r="AC40" s="598" t="s">
        <v>1169</v>
      </c>
      <c r="AD40" s="598" t="s">
        <v>1169</v>
      </c>
      <c r="AE40" s="593">
        <v>0</v>
      </c>
      <c r="AF40" s="593">
        <v>0</v>
      </c>
      <c r="AG40" s="599" t="s">
        <v>1188</v>
      </c>
      <c r="AH40" s="433" t="s">
        <v>1125</v>
      </c>
      <c r="AI40" s="576" t="s">
        <v>147</v>
      </c>
    </row>
    <row r="41" spans="1:35" x14ac:dyDescent="0.25">
      <c r="A41" s="576" t="str">
        <f>+I41&amp;J41</f>
        <v>B02.000280_FLG_NCNP_DPSTS</v>
      </c>
      <c r="B41" s="588">
        <f>+VLOOKUP(I41&amp;J41,[1]Auxiliar!B:C,2,FALSE)</f>
        <v>2</v>
      </c>
      <c r="C41" s="589">
        <f>+VLOOKUP(I41&amp;J41,[1]Auxiliar!E:F,2,FALSE)</f>
        <v>2</v>
      </c>
      <c r="D41" s="589">
        <f>+VLOOKUP(I41&amp;J41,[1]Auxiliar!H:I,2,FALSE)</f>
        <v>2</v>
      </c>
      <c r="E41" s="589">
        <f>+VLOOKUP(I41&amp;J41,[1]Auxiliar!K:L,2,FALSE)</f>
        <v>2</v>
      </c>
      <c r="F41" s="589">
        <f>+VLOOKUP(I41&amp;J41,[1]Auxiliar!N:O,2,FALSE)</f>
        <v>2</v>
      </c>
      <c r="G41" s="590">
        <f>+VLOOKUP(I41&amp;J41,[1]Auxiliar!Q:R,2,FALSE)</f>
        <v>2</v>
      </c>
      <c r="H41" s="576" t="str">
        <f>+"c"&amp;LEFT(J41,4)</f>
        <v>c0280</v>
      </c>
      <c r="I41" s="591" t="s">
        <v>0</v>
      </c>
      <c r="J41" s="592" t="s">
        <v>1211</v>
      </c>
      <c r="K41" s="592"/>
      <c r="L41" s="592" t="e">
        <f>+VLOOKUP(J41,#REF!,3,FALSE)</f>
        <v>#REF!</v>
      </c>
      <c r="M41" s="593"/>
      <c r="N41" s="594" t="s">
        <v>1156</v>
      </c>
      <c r="O41" s="595">
        <v>8</v>
      </c>
      <c r="P41" s="596" t="str">
        <f>+IFERROR(VLOOKUP(B41,'[1]ID1&amp;5'!K:L,2,FALSE),"-")</f>
        <v>-</v>
      </c>
      <c r="Q41" s="595">
        <v>0</v>
      </c>
      <c r="R41" s="595" t="str">
        <f>+IFERROR(VLOOKUP(CONCATENATE(A41,$C$10,C41),'[1]ID1&amp;5'!B:J,8,FALSE),"-")</f>
        <v>-</v>
      </c>
      <c r="S41" s="596" t="str">
        <f>+IFERROR(VLOOKUP(C41,'[1]ID1&amp;5'!K:L,2,FALSE),"-")</f>
        <v>-</v>
      </c>
      <c r="T41" s="595">
        <v>0</v>
      </c>
      <c r="U41" s="596" t="str">
        <f>+IFERROR(VLOOKUP(D41,'[1]ID1&amp;5'!K:L,2,FALSE),"-")</f>
        <v>-</v>
      </c>
      <c r="V41" s="593">
        <v>0</v>
      </c>
      <c r="W41" s="596" t="str">
        <f>+IFERROR(VLOOKUP(E41,'[1]ID1&amp;5'!K:L,2,FALSE),"-")</f>
        <v>-</v>
      </c>
      <c r="X41" s="595">
        <v>0</v>
      </c>
      <c r="Y41" s="597">
        <f>+X41/O41</f>
        <v>0</v>
      </c>
      <c r="Z41" s="596" t="str">
        <f>+IFERROR(VLOOKUP(F41,'[1]ID1&amp;5'!K:L,2,FALSE),"-")</f>
        <v>-</v>
      </c>
      <c r="AA41" s="595">
        <v>0</v>
      </c>
      <c r="AB41" s="597">
        <f>+AA41/O41</f>
        <v>0</v>
      </c>
      <c r="AC41" s="598" t="b">
        <v>0</v>
      </c>
      <c r="AD41" s="598" t="b">
        <v>0</v>
      </c>
      <c r="AE41" s="593">
        <v>0</v>
      </c>
      <c r="AF41" s="593">
        <v>0</v>
      </c>
      <c r="AG41" s="598"/>
      <c r="AH41" s="433" t="s">
        <v>1125</v>
      </c>
      <c r="AI41" s="576" t="s">
        <v>147</v>
      </c>
    </row>
    <row r="42" spans="1:35" x14ac:dyDescent="0.25">
      <c r="A42" s="576" t="str">
        <f>+I42&amp;J42</f>
        <v>B02.000290_FLG_NCBP_DPSTS</v>
      </c>
      <c r="B42" s="588">
        <f>+VLOOKUP(I42&amp;J42,[1]Auxiliar!B:C,2,FALSE)</f>
        <v>2</v>
      </c>
      <c r="C42" s="589">
        <f>+VLOOKUP(I42&amp;J42,[1]Auxiliar!E:F,2,FALSE)</f>
        <v>2</v>
      </c>
      <c r="D42" s="589">
        <f>+VLOOKUP(I42&amp;J42,[1]Auxiliar!H:I,2,FALSE)</f>
        <v>2</v>
      </c>
      <c r="E42" s="589">
        <f>+VLOOKUP(I42&amp;J42,[1]Auxiliar!K:L,2,FALSE)</f>
        <v>2</v>
      </c>
      <c r="F42" s="589">
        <f>+VLOOKUP(I42&amp;J42,[1]Auxiliar!N:O,2,FALSE)</f>
        <v>2</v>
      </c>
      <c r="G42" s="590">
        <f>+VLOOKUP(I42&amp;J42,[1]Auxiliar!Q:R,2,FALSE)</f>
        <v>2</v>
      </c>
      <c r="H42" s="576" t="str">
        <f>+"c"&amp;LEFT(J42,4)</f>
        <v>c0290</v>
      </c>
      <c r="I42" s="591" t="s">
        <v>0</v>
      </c>
      <c r="J42" s="592" t="s">
        <v>1212</v>
      </c>
      <c r="K42" s="592"/>
      <c r="L42" s="592" t="e">
        <f>+VLOOKUP(J42,#REF!,3,FALSE)</f>
        <v>#REF!</v>
      </c>
      <c r="M42" s="593"/>
      <c r="N42" s="594" t="s">
        <v>1156</v>
      </c>
      <c r="O42" s="595">
        <v>8</v>
      </c>
      <c r="P42" s="596" t="str">
        <f>+IFERROR(VLOOKUP(B42,'[1]ID1&amp;5'!K:L,2,FALSE),"-")</f>
        <v>-</v>
      </c>
      <c r="Q42" s="595">
        <v>0</v>
      </c>
      <c r="R42" s="595" t="str">
        <f>+IFERROR(VLOOKUP(CONCATENATE(A42,$C$10,C42),'[1]ID1&amp;5'!B:J,8,FALSE),"-")</f>
        <v>-</v>
      </c>
      <c r="S42" s="596" t="str">
        <f>+IFERROR(VLOOKUP(C42,'[1]ID1&amp;5'!K:L,2,FALSE),"-")</f>
        <v>-</v>
      </c>
      <c r="T42" s="595">
        <v>0</v>
      </c>
      <c r="U42" s="596" t="str">
        <f>+IFERROR(VLOOKUP(D42,'[1]ID1&amp;5'!K:L,2,FALSE),"-")</f>
        <v>-</v>
      </c>
      <c r="V42" s="593">
        <v>0</v>
      </c>
      <c r="W42" s="596" t="str">
        <f>+IFERROR(VLOOKUP(E42,'[1]ID1&amp;5'!K:L,2,FALSE),"-")</f>
        <v>-</v>
      </c>
      <c r="X42" s="595">
        <v>0</v>
      </c>
      <c r="Y42" s="597">
        <f>+X42/O42</f>
        <v>0</v>
      </c>
      <c r="Z42" s="596" t="str">
        <f>+IFERROR(VLOOKUP(F42,'[1]ID1&amp;5'!K:L,2,FALSE),"-")</f>
        <v>-</v>
      </c>
      <c r="AA42" s="595">
        <v>0</v>
      </c>
      <c r="AB42" s="597">
        <f>+AA42/O42</f>
        <v>0</v>
      </c>
      <c r="AC42" s="598" t="b">
        <v>0</v>
      </c>
      <c r="AD42" s="598" t="b">
        <v>0</v>
      </c>
      <c r="AE42" s="593">
        <v>0</v>
      </c>
      <c r="AF42" s="593">
        <v>0</v>
      </c>
      <c r="AG42" s="598"/>
      <c r="AH42" s="433" t="s">
        <v>1125</v>
      </c>
      <c r="AI42" s="576" t="s">
        <v>147</v>
      </c>
    </row>
    <row r="43" spans="1:35" x14ac:dyDescent="0.25">
      <c r="A43" s="576" t="str">
        <f>+I43&amp;J43</f>
        <v>B02.000300_AMNT_CVRD_ELGBL_DPSTS</v>
      </c>
      <c r="B43" s="588">
        <f>+VLOOKUP(I43&amp;J43,[1]Auxiliar!B:C,2,FALSE)</f>
        <v>2</v>
      </c>
      <c r="C43" s="589">
        <f>+VLOOKUP(I43&amp;J43,[1]Auxiliar!E:F,2,FALSE)</f>
        <v>2</v>
      </c>
      <c r="D43" s="589">
        <f>+VLOOKUP(I43&amp;J43,[1]Auxiliar!H:I,2,FALSE)</f>
        <v>2</v>
      </c>
      <c r="E43" s="589">
        <f>+VLOOKUP(I43&amp;J43,[1]Auxiliar!K:L,2,FALSE)</f>
        <v>2</v>
      </c>
      <c r="F43" s="589">
        <f>+VLOOKUP(I43&amp;J43,[1]Auxiliar!N:O,2,FALSE)</f>
        <v>2</v>
      </c>
      <c r="G43" s="590">
        <f>+VLOOKUP(I43&amp;J43,[1]Auxiliar!Q:R,2,FALSE)</f>
        <v>2</v>
      </c>
      <c r="H43" s="576" t="str">
        <f>+"c"&amp;LEFT(J43,4)</f>
        <v>c0300</v>
      </c>
      <c r="I43" s="591" t="s">
        <v>0</v>
      </c>
      <c r="J43" s="592" t="s">
        <v>1213</v>
      </c>
      <c r="K43" s="592"/>
      <c r="L43" s="592" t="e">
        <f>+VLOOKUP(J43,#REF!,3,FALSE)</f>
        <v>#REF!</v>
      </c>
      <c r="M43" s="593"/>
      <c r="N43" s="594" t="s">
        <v>1156</v>
      </c>
      <c r="O43" s="595">
        <v>8</v>
      </c>
      <c r="P43" s="596" t="str">
        <f>+IFERROR(VLOOKUP(B43,'[1]ID1&amp;5'!K:L,2,FALSE),"-")</f>
        <v>-</v>
      </c>
      <c r="Q43" s="595">
        <v>0</v>
      </c>
      <c r="R43" s="595" t="str">
        <f>+IFERROR(VLOOKUP(CONCATENATE(A43,$C$10,C43),'[1]ID1&amp;5'!B:J,8,FALSE),"-")</f>
        <v>-</v>
      </c>
      <c r="S43" s="596" t="str">
        <f>+IFERROR(VLOOKUP(C43,'[1]ID1&amp;5'!K:L,2,FALSE),"-")</f>
        <v>-</v>
      </c>
      <c r="T43" s="595">
        <v>0</v>
      </c>
      <c r="U43" s="596" t="str">
        <f>+IFERROR(VLOOKUP(D43,'[1]ID1&amp;5'!K:L,2,FALSE),"-")</f>
        <v>-</v>
      </c>
      <c r="V43" s="593">
        <v>0</v>
      </c>
      <c r="W43" s="596" t="str">
        <f>+IFERROR(VLOOKUP(E43,'[1]ID1&amp;5'!K:L,2,FALSE),"-")</f>
        <v>-</v>
      </c>
      <c r="X43" s="595">
        <v>0</v>
      </c>
      <c r="Y43" s="597">
        <f>+X43/O43</f>
        <v>0</v>
      </c>
      <c r="Z43" s="596" t="str">
        <f>+IFERROR(VLOOKUP(F43,'[1]ID1&amp;5'!K:L,2,FALSE),"-")</f>
        <v>-</v>
      </c>
      <c r="AA43" s="595">
        <v>8</v>
      </c>
      <c r="AB43" s="597">
        <f>+AA43/O43</f>
        <v>1</v>
      </c>
      <c r="AC43" s="598" t="s">
        <v>1169</v>
      </c>
      <c r="AD43" s="598" t="s">
        <v>1169</v>
      </c>
      <c r="AE43" s="593">
        <v>0</v>
      </c>
      <c r="AF43" s="593">
        <v>0</v>
      </c>
      <c r="AG43" s="599" t="s">
        <v>1188</v>
      </c>
      <c r="AH43" s="433" t="s">
        <v>1125</v>
      </c>
      <c r="AI43" s="576" t="s">
        <v>147</v>
      </c>
    </row>
    <row r="44" spans="1:35" x14ac:dyDescent="0.25">
      <c r="A44" s="576" t="str">
        <f>+I44&amp;J44</f>
        <v xml:space="preserve">B02.000310_FLG_CLLTRL_AGRMNTS </v>
      </c>
      <c r="B44" s="588">
        <f>+VLOOKUP(I44&amp;J44,[1]Auxiliar!B:C,2,FALSE)</f>
        <v>2</v>
      </c>
      <c r="C44" s="589">
        <f>+VLOOKUP(I44&amp;J44,[1]Auxiliar!E:F,2,FALSE)</f>
        <v>2</v>
      </c>
      <c r="D44" s="589">
        <f>+VLOOKUP(I44&amp;J44,[1]Auxiliar!H:I,2,FALSE)</f>
        <v>2</v>
      </c>
      <c r="E44" s="589">
        <f>+VLOOKUP(I44&amp;J44,[1]Auxiliar!K:L,2,FALSE)</f>
        <v>2</v>
      </c>
      <c r="F44" s="589">
        <f>+VLOOKUP(I44&amp;J44,[1]Auxiliar!N:O,2,FALSE)</f>
        <v>2</v>
      </c>
      <c r="G44" s="590">
        <f>+VLOOKUP(I44&amp;J44,[1]Auxiliar!Q:R,2,FALSE)</f>
        <v>2</v>
      </c>
      <c r="H44" s="576" t="str">
        <f>+"c"&amp;LEFT(J44,4)</f>
        <v>c0310</v>
      </c>
      <c r="I44" s="591" t="s">
        <v>0</v>
      </c>
      <c r="J44" s="592" t="s">
        <v>1214</v>
      </c>
      <c r="K44" s="592"/>
      <c r="L44" s="592" t="e">
        <f>+VLOOKUP(J44,#REF!,3,FALSE)</f>
        <v>#REF!</v>
      </c>
      <c r="M44" s="593"/>
      <c r="N44" s="594" t="s">
        <v>1156</v>
      </c>
      <c r="O44" s="595">
        <v>8</v>
      </c>
      <c r="P44" s="596" t="str">
        <f>+IFERROR(VLOOKUP(B44,'[1]ID1&amp;5'!K:L,2,FALSE),"-")</f>
        <v>-</v>
      </c>
      <c r="Q44" s="595">
        <v>0</v>
      </c>
      <c r="R44" s="595" t="str">
        <f>+IFERROR(VLOOKUP(CONCATENATE(A44,$C$10,C44),'[1]ID1&amp;5'!B:J,8,FALSE),"-")</f>
        <v>-</v>
      </c>
      <c r="S44" s="596" t="str">
        <f>+IFERROR(VLOOKUP(C44,'[1]ID1&amp;5'!K:L,2,FALSE),"-")</f>
        <v>-</v>
      </c>
      <c r="T44" s="595">
        <v>0</v>
      </c>
      <c r="U44" s="596" t="str">
        <f>+IFERROR(VLOOKUP(D44,'[1]ID1&amp;5'!K:L,2,FALSE),"-")</f>
        <v>-</v>
      </c>
      <c r="V44" s="593">
        <v>0</v>
      </c>
      <c r="W44" s="596" t="str">
        <f>+IFERROR(VLOOKUP(E44,'[1]ID1&amp;5'!K:L,2,FALSE),"-")</f>
        <v>-</v>
      </c>
      <c r="X44" s="595">
        <v>0</v>
      </c>
      <c r="Y44" s="597">
        <f>+X44/O44</f>
        <v>0</v>
      </c>
      <c r="Z44" s="596" t="str">
        <f>+IFERROR(VLOOKUP(F44,'[1]ID1&amp;5'!K:L,2,FALSE),"-")</f>
        <v>-</v>
      </c>
      <c r="AA44" s="595">
        <v>0</v>
      </c>
      <c r="AB44" s="597">
        <f>+AA44/O44</f>
        <v>0</v>
      </c>
      <c r="AC44" s="598" t="s">
        <v>1215</v>
      </c>
      <c r="AD44" s="598" t="s">
        <v>1215</v>
      </c>
      <c r="AE44" s="593">
        <v>0</v>
      </c>
      <c r="AF44" s="593">
        <v>0</v>
      </c>
      <c r="AG44" s="598"/>
      <c r="AH44" s="433" t="s">
        <v>1125</v>
      </c>
      <c r="AI44" s="576" t="s">
        <v>147</v>
      </c>
    </row>
    <row r="45" spans="1:35" x14ac:dyDescent="0.25">
      <c r="A45" s="576" t="str">
        <f>+I45&amp;J45</f>
        <v>B02.000320_AMNT_CLLTRL</v>
      </c>
      <c r="B45" s="588">
        <f>+VLOOKUP(I45&amp;J45,[1]Auxiliar!B:C,2,FALSE)</f>
        <v>2</v>
      </c>
      <c r="C45" s="589">
        <f>+VLOOKUP(I45&amp;J45,[1]Auxiliar!E:F,2,FALSE)</f>
        <v>2</v>
      </c>
      <c r="D45" s="589">
        <f>+VLOOKUP(I45&amp;J45,[1]Auxiliar!H:I,2,FALSE)</f>
        <v>2</v>
      </c>
      <c r="E45" s="589">
        <f>+VLOOKUP(I45&amp;J45,[1]Auxiliar!K:L,2,FALSE)</f>
        <v>2</v>
      </c>
      <c r="F45" s="589">
        <f>+VLOOKUP(I45&amp;J45,[1]Auxiliar!N:O,2,FALSE)</f>
        <v>2</v>
      </c>
      <c r="G45" s="590">
        <f>+VLOOKUP(I45&amp;J45,[1]Auxiliar!Q:R,2,FALSE)</f>
        <v>2</v>
      </c>
      <c r="H45" s="576" t="str">
        <f>+"c"&amp;LEFT(J45,4)</f>
        <v>c0320</v>
      </c>
      <c r="I45" s="591" t="s">
        <v>0</v>
      </c>
      <c r="J45" s="592" t="s">
        <v>1216</v>
      </c>
      <c r="K45" s="592"/>
      <c r="L45" s="592" t="e">
        <f>+VLOOKUP(J45,#REF!,3,FALSE)</f>
        <v>#REF!</v>
      </c>
      <c r="M45" s="593"/>
      <c r="N45" s="594" t="s">
        <v>1156</v>
      </c>
      <c r="O45" s="595">
        <v>8</v>
      </c>
      <c r="P45" s="596" t="str">
        <f>+IFERROR(VLOOKUP(B45,'[1]ID1&amp;5'!K:L,2,FALSE),"-")</f>
        <v>-</v>
      </c>
      <c r="Q45" s="595">
        <v>0</v>
      </c>
      <c r="R45" s="595" t="str">
        <f>+IFERROR(VLOOKUP(CONCATENATE(A45,$C$10,C45),'[1]ID1&amp;5'!B:J,8,FALSE),"-")</f>
        <v>-</v>
      </c>
      <c r="S45" s="596" t="str">
        <f>+IFERROR(VLOOKUP(C45,'[1]ID1&amp;5'!K:L,2,FALSE),"-")</f>
        <v>-</v>
      </c>
      <c r="T45" s="595">
        <v>0</v>
      </c>
      <c r="U45" s="596" t="str">
        <f>+IFERROR(VLOOKUP(D45,'[1]ID1&amp;5'!K:L,2,FALSE),"-")</f>
        <v>-</v>
      </c>
      <c r="V45" s="593">
        <v>0</v>
      </c>
      <c r="W45" s="596" t="str">
        <f>+IFERROR(VLOOKUP(E45,'[1]ID1&amp;5'!K:L,2,FALSE),"-")</f>
        <v>-</v>
      </c>
      <c r="X45" s="595">
        <v>0</v>
      </c>
      <c r="Y45" s="597">
        <f>+X45/O45</f>
        <v>0</v>
      </c>
      <c r="Z45" s="596" t="str">
        <f>+IFERROR(VLOOKUP(F45,'[1]ID1&amp;5'!K:L,2,FALSE),"-")</f>
        <v>-</v>
      </c>
      <c r="AA45" s="595">
        <v>8</v>
      </c>
      <c r="AB45" s="597">
        <f>+AA45/O45</f>
        <v>1</v>
      </c>
      <c r="AC45" s="598" t="s">
        <v>1169</v>
      </c>
      <c r="AD45" s="598" t="s">
        <v>1169</v>
      </c>
      <c r="AE45" s="593">
        <v>0</v>
      </c>
      <c r="AF45" s="593">
        <v>0</v>
      </c>
      <c r="AG45" s="599" t="s">
        <v>1188</v>
      </c>
      <c r="AH45" s="433" t="s">
        <v>1125</v>
      </c>
      <c r="AI45" s="576" t="s">
        <v>147</v>
      </c>
    </row>
    <row r="46" spans="1:35" x14ac:dyDescent="0.25">
      <c r="A46" s="576" t="str">
        <f>+I46&amp;J46</f>
        <v>B02.000330_AMNT_UNCLLTRLZD</v>
      </c>
      <c r="B46" s="588">
        <f>+VLOOKUP(I46&amp;J46,[1]Auxiliar!B:C,2,FALSE)</f>
        <v>2</v>
      </c>
      <c r="C46" s="589">
        <f>+VLOOKUP(I46&amp;J46,[1]Auxiliar!E:F,2,FALSE)</f>
        <v>2</v>
      </c>
      <c r="D46" s="589">
        <f>+VLOOKUP(I46&amp;J46,[1]Auxiliar!H:I,2,FALSE)</f>
        <v>2</v>
      </c>
      <c r="E46" s="589">
        <f>+VLOOKUP(I46&amp;J46,[1]Auxiliar!K:L,2,FALSE)</f>
        <v>2</v>
      </c>
      <c r="F46" s="589">
        <f>+VLOOKUP(I46&amp;J46,[1]Auxiliar!N:O,2,FALSE)</f>
        <v>2</v>
      </c>
      <c r="G46" s="590">
        <f>+VLOOKUP(I46&amp;J46,[1]Auxiliar!Q:R,2,FALSE)</f>
        <v>2</v>
      </c>
      <c r="H46" s="576" t="str">
        <f>+"c"&amp;LEFT(J46,4)</f>
        <v>c0330</v>
      </c>
      <c r="I46" s="591" t="s">
        <v>0</v>
      </c>
      <c r="J46" s="592" t="s">
        <v>1217</v>
      </c>
      <c r="K46" s="592"/>
      <c r="L46" s="592" t="e">
        <f>+VLOOKUP(J46,#REF!,3,FALSE)</f>
        <v>#REF!</v>
      </c>
      <c r="M46" s="593"/>
      <c r="N46" s="594" t="s">
        <v>1156</v>
      </c>
      <c r="O46" s="595">
        <v>8</v>
      </c>
      <c r="P46" s="596" t="str">
        <f>+IFERROR(VLOOKUP(B46,'[1]ID1&amp;5'!K:L,2,FALSE),"-")</f>
        <v>-</v>
      </c>
      <c r="Q46" s="595">
        <v>0</v>
      </c>
      <c r="R46" s="595" t="str">
        <f>+IFERROR(VLOOKUP(CONCATENATE(A46,$C$10,C46),'[1]ID1&amp;5'!B:J,8,FALSE),"-")</f>
        <v>-</v>
      </c>
      <c r="S46" s="596" t="str">
        <f>+IFERROR(VLOOKUP(C46,'[1]ID1&amp;5'!K:L,2,FALSE),"-")</f>
        <v>-</v>
      </c>
      <c r="T46" s="595">
        <v>0</v>
      </c>
      <c r="U46" s="596" t="str">
        <f>+IFERROR(VLOOKUP(D46,'[1]ID1&amp;5'!K:L,2,FALSE),"-")</f>
        <v>-</v>
      </c>
      <c r="V46" s="593">
        <v>0</v>
      </c>
      <c r="W46" s="596" t="str">
        <f>+IFERROR(VLOOKUP(E46,'[1]ID1&amp;5'!K:L,2,FALSE),"-")</f>
        <v>-</v>
      </c>
      <c r="X46" s="595">
        <v>0</v>
      </c>
      <c r="Y46" s="597">
        <f>+X46/O46</f>
        <v>0</v>
      </c>
      <c r="Z46" s="596" t="str">
        <f>+IFERROR(VLOOKUP(F46,'[1]ID1&amp;5'!K:L,2,FALSE),"-")</f>
        <v>-</v>
      </c>
      <c r="AA46" s="595">
        <v>8</v>
      </c>
      <c r="AB46" s="597">
        <f>+AA46/O46</f>
        <v>1</v>
      </c>
      <c r="AC46" s="598" t="s">
        <v>1169</v>
      </c>
      <c r="AD46" s="598" t="s">
        <v>1169</v>
      </c>
      <c r="AE46" s="593">
        <v>0</v>
      </c>
      <c r="AF46" s="593">
        <v>0</v>
      </c>
      <c r="AG46" s="599" t="s">
        <v>1188</v>
      </c>
      <c r="AH46" s="433" t="s">
        <v>1125</v>
      </c>
      <c r="AI46" s="576" t="s">
        <v>147</v>
      </c>
    </row>
    <row r="47" spans="1:35" x14ac:dyDescent="0.25">
      <c r="A47" s="576" t="str">
        <f>+I47&amp;J47</f>
        <v>B02.000340_ID_CLLTRL</v>
      </c>
      <c r="B47" s="588">
        <f>+VLOOKUP(I47&amp;J47,[1]Auxiliar!B:C,2,FALSE)</f>
        <v>2</v>
      </c>
      <c r="C47" s="589">
        <f>+VLOOKUP(I47&amp;J47,[1]Auxiliar!E:F,2,FALSE)</f>
        <v>2</v>
      </c>
      <c r="D47" s="589">
        <f>+VLOOKUP(I47&amp;J47,[1]Auxiliar!H:I,2,FALSE)</f>
        <v>2</v>
      </c>
      <c r="E47" s="589">
        <f>+VLOOKUP(I47&amp;J47,[1]Auxiliar!K:L,2,FALSE)</f>
        <v>2</v>
      </c>
      <c r="F47" s="589">
        <f>+VLOOKUP(I47&amp;J47,[1]Auxiliar!N:O,2,FALSE)</f>
        <v>2</v>
      </c>
      <c r="G47" s="590">
        <f>+VLOOKUP(I47&amp;J47,[1]Auxiliar!Q:R,2,FALSE)</f>
        <v>2</v>
      </c>
      <c r="H47" s="576" t="str">
        <f>+"c"&amp;LEFT(J47,4)</f>
        <v>c0340</v>
      </c>
      <c r="I47" s="591" t="s">
        <v>0</v>
      </c>
      <c r="J47" s="592" t="s">
        <v>1218</v>
      </c>
      <c r="K47" s="592"/>
      <c r="L47" s="592" t="e">
        <f>+VLOOKUP(J47,#REF!,3,FALSE)</f>
        <v>#REF!</v>
      </c>
      <c r="M47" s="593"/>
      <c r="N47" s="594" t="s">
        <v>1156</v>
      </c>
      <c r="O47" s="595">
        <v>8</v>
      </c>
      <c r="P47" s="596" t="str">
        <f>+IFERROR(VLOOKUP(B47,'[1]ID1&amp;5'!K:L,2,FALSE),"-")</f>
        <v>-</v>
      </c>
      <c r="Q47" s="595">
        <v>0</v>
      </c>
      <c r="R47" s="595" t="str">
        <f>+IFERROR(VLOOKUP(CONCATENATE(A47,$C$10,C47),'[1]ID1&amp;5'!B:J,8,FALSE),"-")</f>
        <v>-</v>
      </c>
      <c r="S47" s="596" t="str">
        <f>+IFERROR(VLOOKUP(C47,'[1]ID1&amp;5'!K:L,2,FALSE),"-")</f>
        <v>-</v>
      </c>
      <c r="T47" s="595">
        <v>0</v>
      </c>
      <c r="U47" s="596" t="str">
        <f>+IFERROR(VLOOKUP(D47,'[1]ID1&amp;5'!K:L,2,FALSE),"-")</f>
        <v>-</v>
      </c>
      <c r="V47" s="593">
        <v>0</v>
      </c>
      <c r="W47" s="596" t="str">
        <f>+IFERROR(VLOOKUP(E47,'[1]ID1&amp;5'!K:L,2,FALSE),"-")</f>
        <v>-</v>
      </c>
      <c r="X47" s="595">
        <v>0</v>
      </c>
      <c r="Y47" s="597">
        <f>+X47/O47</f>
        <v>0</v>
      </c>
      <c r="Z47" s="596" t="str">
        <f>+IFERROR(VLOOKUP(F47,'[1]ID1&amp;5'!K:L,2,FALSE),"-")</f>
        <v>-</v>
      </c>
      <c r="AA47" s="595">
        <v>8</v>
      </c>
      <c r="AB47" s="597">
        <f>+AA47/O47</f>
        <v>1</v>
      </c>
      <c r="AC47" s="598" t="s">
        <v>907</v>
      </c>
      <c r="AD47" s="598" t="s">
        <v>907</v>
      </c>
      <c r="AE47" s="593">
        <v>0</v>
      </c>
      <c r="AF47" s="593">
        <v>1</v>
      </c>
      <c r="AG47" s="599" t="s">
        <v>1188</v>
      </c>
      <c r="AH47" s="433" t="s">
        <v>1125</v>
      </c>
      <c r="AI47" s="576" t="s">
        <v>147</v>
      </c>
    </row>
    <row r="48" spans="1:35" x14ac:dyDescent="0.25">
      <c r="A48" s="576" t="str">
        <f>+I48&amp;J48</f>
        <v>B02.000350_TYP_CLLTRL</v>
      </c>
      <c r="B48" s="588">
        <f>+VLOOKUP(I48&amp;J48,[1]Auxiliar!B:C,2,FALSE)</f>
        <v>2</v>
      </c>
      <c r="C48" s="589">
        <f>+VLOOKUP(I48&amp;J48,[1]Auxiliar!E:F,2,FALSE)</f>
        <v>2</v>
      </c>
      <c r="D48" s="589">
        <f>+VLOOKUP(I48&amp;J48,[1]Auxiliar!H:I,2,FALSE)</f>
        <v>2</v>
      </c>
      <c r="E48" s="589">
        <f>+VLOOKUP(I48&amp;J48,[1]Auxiliar!K:L,2,FALSE)</f>
        <v>2</v>
      </c>
      <c r="F48" s="589">
        <f>+VLOOKUP(I48&amp;J48,[1]Auxiliar!N:O,2,FALSE)</f>
        <v>2</v>
      </c>
      <c r="G48" s="590">
        <f>+VLOOKUP(I48&amp;J48,[1]Auxiliar!Q:R,2,FALSE)</f>
        <v>2</v>
      </c>
      <c r="H48" s="576" t="str">
        <f>+"c"&amp;LEFT(J48,4)</f>
        <v>c0350</v>
      </c>
      <c r="I48" s="591" t="s">
        <v>0</v>
      </c>
      <c r="J48" s="592" t="s">
        <v>1219</v>
      </c>
      <c r="K48" s="592"/>
      <c r="L48" s="592" t="e">
        <f>+VLOOKUP(J48,#REF!,3,FALSE)</f>
        <v>#REF!</v>
      </c>
      <c r="M48" s="593"/>
      <c r="N48" s="594" t="s">
        <v>1156</v>
      </c>
      <c r="O48" s="595">
        <v>8</v>
      </c>
      <c r="P48" s="596" t="str">
        <f>+IFERROR(VLOOKUP(B48,'[1]ID1&amp;5'!K:L,2,FALSE),"-")</f>
        <v>-</v>
      </c>
      <c r="Q48" s="595">
        <v>0</v>
      </c>
      <c r="R48" s="595" t="str">
        <f>+IFERROR(VLOOKUP(CONCATENATE(A48,$C$10,C48),'[1]ID1&amp;5'!B:J,8,FALSE),"-")</f>
        <v>-</v>
      </c>
      <c r="S48" s="596" t="str">
        <f>+IFERROR(VLOOKUP(C48,'[1]ID1&amp;5'!K:L,2,FALSE),"-")</f>
        <v>-</v>
      </c>
      <c r="T48" s="595">
        <v>0</v>
      </c>
      <c r="U48" s="596" t="str">
        <f>+IFERROR(VLOOKUP(D48,'[1]ID1&amp;5'!K:L,2,FALSE),"-")</f>
        <v>-</v>
      </c>
      <c r="V48" s="593">
        <v>0</v>
      </c>
      <c r="W48" s="596" t="str">
        <f>+IFERROR(VLOOKUP(E48,'[1]ID1&amp;5'!K:L,2,FALSE),"-")</f>
        <v>-</v>
      </c>
      <c r="X48" s="595">
        <v>0</v>
      </c>
      <c r="Y48" s="597">
        <f>+X48/O48</f>
        <v>0</v>
      </c>
      <c r="Z48" s="596" t="str">
        <f>+IFERROR(VLOOKUP(F48,'[1]ID1&amp;5'!K:L,2,FALSE),"-")</f>
        <v>-</v>
      </c>
      <c r="AA48" s="595">
        <v>8</v>
      </c>
      <c r="AB48" s="597">
        <f>+AA48/O48</f>
        <v>1</v>
      </c>
      <c r="AC48" s="598" t="s">
        <v>907</v>
      </c>
      <c r="AD48" s="598" t="s">
        <v>907</v>
      </c>
      <c r="AE48" s="593">
        <v>0</v>
      </c>
      <c r="AF48" s="593">
        <v>0</v>
      </c>
      <c r="AG48" s="599" t="s">
        <v>1188</v>
      </c>
      <c r="AH48" s="433" t="s">
        <v>1125</v>
      </c>
      <c r="AI48" s="576" t="s">
        <v>147</v>
      </c>
    </row>
    <row r="49" spans="1:35" x14ac:dyDescent="0.25">
      <c r="A49" s="576" t="str">
        <f>+I49&amp;J49</f>
        <v>B02.000351_TYP_CLLTRL_OTHR</v>
      </c>
      <c r="B49" s="588">
        <f>+VLOOKUP(I49&amp;J49,[1]Auxiliar!B:C,2,FALSE)</f>
        <v>2</v>
      </c>
      <c r="C49" s="589">
        <f>+VLOOKUP(I49&amp;J49,[1]Auxiliar!E:F,2,FALSE)</f>
        <v>2</v>
      </c>
      <c r="D49" s="589">
        <f>+VLOOKUP(I49&amp;J49,[1]Auxiliar!H:I,2,FALSE)</f>
        <v>2</v>
      </c>
      <c r="E49" s="589">
        <f>+VLOOKUP(I49&amp;J49,[1]Auxiliar!K:L,2,FALSE)</f>
        <v>2</v>
      </c>
      <c r="F49" s="589">
        <f>+VLOOKUP(I49&amp;J49,[1]Auxiliar!N:O,2,FALSE)</f>
        <v>2</v>
      </c>
      <c r="G49" s="590">
        <f>+VLOOKUP(I49&amp;J49,[1]Auxiliar!Q:R,2,FALSE)</f>
        <v>2</v>
      </c>
      <c r="H49" s="576" t="str">
        <f>+"c"&amp;LEFT(J49,4)</f>
        <v>c0351</v>
      </c>
      <c r="I49" s="591" t="s">
        <v>0</v>
      </c>
      <c r="J49" s="592" t="s">
        <v>1220</v>
      </c>
      <c r="K49" s="592"/>
      <c r="L49" s="592" t="e">
        <f>+VLOOKUP(J49,#REF!,3,FALSE)</f>
        <v>#REF!</v>
      </c>
      <c r="M49" s="593"/>
      <c r="N49" s="594" t="s">
        <v>1156</v>
      </c>
      <c r="O49" s="595">
        <v>8</v>
      </c>
      <c r="P49" s="596" t="str">
        <f>+IFERROR(VLOOKUP(B49,'[1]ID1&amp;5'!K:L,2,FALSE),"-")</f>
        <v>-</v>
      </c>
      <c r="Q49" s="595">
        <v>0</v>
      </c>
      <c r="R49" s="595" t="str">
        <f>+IFERROR(VLOOKUP(CONCATENATE(A49,$C$10,C49),'[1]ID1&amp;5'!B:J,8,FALSE),"-")</f>
        <v>-</v>
      </c>
      <c r="S49" s="596" t="str">
        <f>+IFERROR(VLOOKUP(C49,'[1]ID1&amp;5'!K:L,2,FALSE),"-")</f>
        <v>-</v>
      </c>
      <c r="T49" s="595">
        <v>0</v>
      </c>
      <c r="U49" s="596" t="str">
        <f>+IFERROR(VLOOKUP(D49,'[1]ID1&amp;5'!K:L,2,FALSE),"-")</f>
        <v>-</v>
      </c>
      <c r="V49" s="593">
        <v>0</v>
      </c>
      <c r="W49" s="596" t="str">
        <f>+IFERROR(VLOOKUP(E49,'[1]ID1&amp;5'!K:L,2,FALSE),"-")</f>
        <v>-</v>
      </c>
      <c r="X49" s="595">
        <v>0</v>
      </c>
      <c r="Y49" s="597">
        <f>+X49/O49</f>
        <v>0</v>
      </c>
      <c r="Z49" s="596" t="str">
        <f>+IFERROR(VLOOKUP(F49,'[1]ID1&amp;5'!K:L,2,FALSE),"-")</f>
        <v>-</v>
      </c>
      <c r="AA49" s="595">
        <v>8</v>
      </c>
      <c r="AB49" s="597">
        <f>+AA49/O49</f>
        <v>1</v>
      </c>
      <c r="AC49" s="598" t="s">
        <v>907</v>
      </c>
      <c r="AD49" s="598" t="s">
        <v>907</v>
      </c>
      <c r="AE49" s="593">
        <v>0</v>
      </c>
      <c r="AF49" s="593">
        <v>1</v>
      </c>
      <c r="AG49" s="599" t="s">
        <v>1188</v>
      </c>
      <c r="AH49" s="433" t="s">
        <v>1125</v>
      </c>
      <c r="AI49" s="576" t="s">
        <v>147</v>
      </c>
    </row>
    <row r="50" spans="1:35" x14ac:dyDescent="0.25">
      <c r="A50" s="576" t="str">
        <f>+I50&amp;J50</f>
        <v>B02.000360_TRDNG_MTHD</v>
      </c>
      <c r="B50" s="588">
        <f>+VLOOKUP(I50&amp;J50,[1]Auxiliar!B:C,2,FALSE)</f>
        <v>2</v>
      </c>
      <c r="C50" s="589">
        <f>+VLOOKUP(I50&amp;J50,[1]Auxiliar!E:F,2,FALSE)</f>
        <v>2</v>
      </c>
      <c r="D50" s="589">
        <f>+VLOOKUP(I50&amp;J50,[1]Auxiliar!H:I,2,FALSE)</f>
        <v>2</v>
      </c>
      <c r="E50" s="589">
        <f>+VLOOKUP(I50&amp;J50,[1]Auxiliar!K:L,2,FALSE)</f>
        <v>2</v>
      </c>
      <c r="F50" s="589">
        <f>+VLOOKUP(I50&amp;J50,[1]Auxiliar!N:O,2,FALSE)</f>
        <v>2</v>
      </c>
      <c r="G50" s="590">
        <f>+VLOOKUP(I50&amp;J50,[1]Auxiliar!Q:R,2,FALSE)</f>
        <v>2</v>
      </c>
      <c r="H50" s="576" t="str">
        <f>+"c"&amp;LEFT(J50,4)</f>
        <v>c0360</v>
      </c>
      <c r="I50" s="591" t="s">
        <v>0</v>
      </c>
      <c r="J50" s="592" t="s">
        <v>1221</v>
      </c>
      <c r="K50" s="592"/>
      <c r="L50" s="592" t="e">
        <f>+VLOOKUP(J50,#REF!,3,FALSE)</f>
        <v>#REF!</v>
      </c>
      <c r="M50" s="593"/>
      <c r="N50" s="594" t="s">
        <v>1156</v>
      </c>
      <c r="O50" s="595">
        <v>8</v>
      </c>
      <c r="P50" s="596" t="str">
        <f>+IFERROR(VLOOKUP(B50,'[1]ID1&amp;5'!K:L,2,FALSE),"-")</f>
        <v>-</v>
      </c>
      <c r="Q50" s="595">
        <v>8</v>
      </c>
      <c r="R50" s="595" t="str">
        <f>+IFERROR(VLOOKUP(CONCATENATE(A50,$C$10,C50),'[1]ID1&amp;5'!B:J,8,FALSE),"-")</f>
        <v>-</v>
      </c>
      <c r="S50" s="596" t="str">
        <f>+IFERROR(VLOOKUP(C50,'[1]ID1&amp;5'!K:L,2,FALSE),"-")</f>
        <v>-</v>
      </c>
      <c r="T50" s="595">
        <v>0</v>
      </c>
      <c r="U50" s="596" t="str">
        <f>+IFERROR(VLOOKUP(D50,'[1]ID1&amp;5'!K:L,2,FALSE),"-")</f>
        <v>-</v>
      </c>
      <c r="V50" s="593">
        <v>0</v>
      </c>
      <c r="W50" s="596" t="str">
        <f>+IFERROR(VLOOKUP(E50,'[1]ID1&amp;5'!K:L,2,FALSE),"-")</f>
        <v>-</v>
      </c>
      <c r="X50" s="595">
        <v>0</v>
      </c>
      <c r="Y50" s="597">
        <f>+X50/O50</f>
        <v>0</v>
      </c>
      <c r="Z50" s="596" t="str">
        <f>+IFERROR(VLOOKUP(F50,'[1]ID1&amp;5'!K:L,2,FALSE),"-")</f>
        <v>-</v>
      </c>
      <c r="AA50" s="595">
        <v>0</v>
      </c>
      <c r="AB50" s="597">
        <f>+AA50/O50</f>
        <v>0</v>
      </c>
      <c r="AC50" s="598" t="s">
        <v>1222</v>
      </c>
      <c r="AD50" s="598" t="s">
        <v>1223</v>
      </c>
      <c r="AE50" s="593">
        <v>0</v>
      </c>
      <c r="AF50" s="593">
        <v>0</v>
      </c>
      <c r="AG50" s="598"/>
      <c r="AH50" s="433" t="s">
        <v>1125</v>
      </c>
      <c r="AI50" s="576" t="s">
        <v>882</v>
      </c>
    </row>
    <row r="51" spans="1:35" x14ac:dyDescent="0.25">
      <c r="A51" s="576" t="str">
        <f>+I51&amp;J51</f>
        <v>B02.000370_AMNT_SCRTY_EUR</v>
      </c>
      <c r="B51" s="588">
        <f>+VLOOKUP(I51&amp;J51,[1]Auxiliar!B:C,2,FALSE)</f>
        <v>2</v>
      </c>
      <c r="C51" s="589">
        <f>+VLOOKUP(I51&amp;J51,[1]Auxiliar!E:F,2,FALSE)</f>
        <v>2</v>
      </c>
      <c r="D51" s="589">
        <f>+VLOOKUP(I51&amp;J51,[1]Auxiliar!H:I,2,FALSE)</f>
        <v>2</v>
      </c>
      <c r="E51" s="589">
        <f>+VLOOKUP(I51&amp;J51,[1]Auxiliar!K:L,2,FALSE)</f>
        <v>2</v>
      </c>
      <c r="F51" s="589">
        <f>+VLOOKUP(I51&amp;J51,[1]Auxiliar!N:O,2,FALSE)</f>
        <v>2</v>
      </c>
      <c r="G51" s="590">
        <f>+VLOOKUP(I51&amp;J51,[1]Auxiliar!Q:R,2,FALSE)</f>
        <v>2</v>
      </c>
      <c r="H51" s="576" t="str">
        <f>+"c"&amp;LEFT(J51,4)</f>
        <v>c0370</v>
      </c>
      <c r="I51" s="591" t="s">
        <v>0</v>
      </c>
      <c r="J51" s="592" t="s">
        <v>1224</v>
      </c>
      <c r="K51" s="592"/>
      <c r="L51" s="592" t="e">
        <f>+VLOOKUP(J51,#REF!,3,FALSE)</f>
        <v>#REF!</v>
      </c>
      <c r="M51" s="593"/>
      <c r="N51" s="594" t="s">
        <v>1156</v>
      </c>
      <c r="O51" s="595">
        <v>8</v>
      </c>
      <c r="P51" s="596" t="str">
        <f>+IFERROR(VLOOKUP(B51,'[1]ID1&amp;5'!K:L,2,FALSE),"-")</f>
        <v>-</v>
      </c>
      <c r="Q51" s="595">
        <v>0</v>
      </c>
      <c r="R51" s="595" t="str">
        <f>+IFERROR(VLOOKUP(CONCATENATE(A51,$C$10,C51),'[1]ID1&amp;5'!B:J,8,FALSE),"-")</f>
        <v>-</v>
      </c>
      <c r="S51" s="596" t="str">
        <f>+IFERROR(VLOOKUP(C51,'[1]ID1&amp;5'!K:L,2,FALSE),"-")</f>
        <v>-</v>
      </c>
      <c r="T51" s="595">
        <v>0</v>
      </c>
      <c r="U51" s="596" t="str">
        <f>+IFERROR(VLOOKUP(D51,'[1]ID1&amp;5'!K:L,2,FALSE),"-")</f>
        <v>-</v>
      </c>
      <c r="V51" s="593">
        <v>0</v>
      </c>
      <c r="W51" s="596" t="str">
        <f>+IFERROR(VLOOKUP(E51,'[1]ID1&amp;5'!K:L,2,FALSE),"-")</f>
        <v>-</v>
      </c>
      <c r="X51" s="595">
        <v>0</v>
      </c>
      <c r="Y51" s="597">
        <f>+X51/O51</f>
        <v>0</v>
      </c>
      <c r="Z51" s="596" t="str">
        <f>+IFERROR(VLOOKUP(F51,'[1]ID1&amp;5'!K:L,2,FALSE),"-")</f>
        <v>-</v>
      </c>
      <c r="AA51" s="595">
        <v>0</v>
      </c>
      <c r="AB51" s="597">
        <f>+AA51/O51</f>
        <v>0</v>
      </c>
      <c r="AC51" s="598" t="s">
        <v>1225</v>
      </c>
      <c r="AD51" s="598" t="s">
        <v>1226</v>
      </c>
      <c r="AE51" s="593">
        <v>0</v>
      </c>
      <c r="AF51" s="593">
        <v>0</v>
      </c>
      <c r="AG51" s="598"/>
      <c r="AH51" s="433" t="s">
        <v>1125</v>
      </c>
      <c r="AI51" s="576" t="s">
        <v>147</v>
      </c>
    </row>
    <row r="52" spans="1:35" x14ac:dyDescent="0.25">
      <c r="A52" s="576" t="str">
        <f>+I52&amp;J52</f>
        <v>B02.000380_AMNT_SCRTY_FX</v>
      </c>
      <c r="B52" s="588">
        <f>+VLOOKUP(I52&amp;J52,[1]Auxiliar!B:C,2,FALSE)</f>
        <v>2</v>
      </c>
      <c r="C52" s="589">
        <f>+VLOOKUP(I52&amp;J52,[1]Auxiliar!E:F,2,FALSE)</f>
        <v>2</v>
      </c>
      <c r="D52" s="589">
        <f>+VLOOKUP(I52&amp;J52,[1]Auxiliar!H:I,2,FALSE)</f>
        <v>2</v>
      </c>
      <c r="E52" s="589">
        <f>+VLOOKUP(I52&amp;J52,[1]Auxiliar!K:L,2,FALSE)</f>
        <v>2</v>
      </c>
      <c r="F52" s="589">
        <f>+VLOOKUP(I52&amp;J52,[1]Auxiliar!N:O,2,FALSE)</f>
        <v>2</v>
      </c>
      <c r="G52" s="590">
        <f>+VLOOKUP(I52&amp;J52,[1]Auxiliar!Q:R,2,FALSE)</f>
        <v>2</v>
      </c>
      <c r="H52" s="576" t="str">
        <f>+"c"&amp;LEFT(J52,4)</f>
        <v>c0380</v>
      </c>
      <c r="I52" s="591" t="s">
        <v>0</v>
      </c>
      <c r="J52" s="592" t="s">
        <v>1227</v>
      </c>
      <c r="K52" s="592"/>
      <c r="L52" s="592" t="e">
        <f>+VLOOKUP(J52,#REF!,3,FALSE)</f>
        <v>#REF!</v>
      </c>
      <c r="M52" s="593"/>
      <c r="N52" s="594" t="s">
        <v>1156</v>
      </c>
      <c r="O52" s="595">
        <v>8</v>
      </c>
      <c r="P52" s="596" t="str">
        <f>+IFERROR(VLOOKUP(B52,'[1]ID1&amp;5'!K:L,2,FALSE),"-")</f>
        <v>-</v>
      </c>
      <c r="Q52" s="595">
        <v>0</v>
      </c>
      <c r="R52" s="595" t="str">
        <f>+IFERROR(VLOOKUP(CONCATENATE(A52,$C$10,C52),'[1]ID1&amp;5'!B:J,8,FALSE),"-")</f>
        <v>-</v>
      </c>
      <c r="S52" s="596" t="str">
        <f>+IFERROR(VLOOKUP(C52,'[1]ID1&amp;5'!K:L,2,FALSE),"-")</f>
        <v>-</v>
      </c>
      <c r="T52" s="595">
        <v>0</v>
      </c>
      <c r="U52" s="596" t="str">
        <f>+IFERROR(VLOOKUP(D52,'[1]ID1&amp;5'!K:L,2,FALSE),"-")</f>
        <v>-</v>
      </c>
      <c r="V52" s="593">
        <v>0</v>
      </c>
      <c r="W52" s="596" t="str">
        <f>+IFERROR(VLOOKUP(E52,'[1]ID1&amp;5'!K:L,2,FALSE),"-")</f>
        <v>-</v>
      </c>
      <c r="X52" s="595">
        <v>0</v>
      </c>
      <c r="Y52" s="597">
        <f>+X52/O52</f>
        <v>0</v>
      </c>
      <c r="Z52" s="596" t="str">
        <f>+IFERROR(VLOOKUP(F52,'[1]ID1&amp;5'!K:L,2,FALSE),"-")</f>
        <v>-</v>
      </c>
      <c r="AA52" s="595">
        <v>0</v>
      </c>
      <c r="AB52" s="597">
        <f>+AA52/O52</f>
        <v>0</v>
      </c>
      <c r="AC52" s="598" t="s">
        <v>1225</v>
      </c>
      <c r="AD52" s="598" t="s">
        <v>1226</v>
      </c>
      <c r="AE52" s="593">
        <v>0</v>
      </c>
      <c r="AF52" s="593">
        <v>0</v>
      </c>
      <c r="AG52" s="598"/>
      <c r="AH52" s="433" t="s">
        <v>1125</v>
      </c>
      <c r="AI52" s="576" t="s">
        <v>235</v>
      </c>
    </row>
    <row r="53" spans="1:35" x14ac:dyDescent="0.25">
      <c r="A53" s="576" t="str">
        <f>+I53&amp;J53</f>
        <v>B02.000390_NMBR_SCRTS_NOT_RPRTNG_ENTTY</v>
      </c>
      <c r="B53" s="588">
        <f>+VLOOKUP(I53&amp;J53,[1]Auxiliar!B:C,2,FALSE)</f>
        <v>2</v>
      </c>
      <c r="C53" s="589">
        <f>+VLOOKUP(I53&amp;J53,[1]Auxiliar!E:F,2,FALSE)</f>
        <v>2</v>
      </c>
      <c r="D53" s="589">
        <f>+VLOOKUP(I53&amp;J53,[1]Auxiliar!H:I,2,FALSE)</f>
        <v>2</v>
      </c>
      <c r="E53" s="589">
        <f>+VLOOKUP(I53&amp;J53,[1]Auxiliar!K:L,2,FALSE)</f>
        <v>2</v>
      </c>
      <c r="F53" s="589">
        <f>+VLOOKUP(I53&amp;J53,[1]Auxiliar!N:O,2,FALSE)</f>
        <v>2</v>
      </c>
      <c r="G53" s="590">
        <f>+VLOOKUP(I53&amp;J53,[1]Auxiliar!Q:R,2,FALSE)</f>
        <v>2</v>
      </c>
      <c r="H53" s="576" t="str">
        <f>+"c"&amp;LEFT(J53,4)</f>
        <v>c0390</v>
      </c>
      <c r="I53" s="591" t="s">
        <v>0</v>
      </c>
      <c r="J53" s="592" t="s">
        <v>1228</v>
      </c>
      <c r="K53" s="592"/>
      <c r="L53" s="592" t="e">
        <f>+VLOOKUP(J53,#REF!,3,FALSE)</f>
        <v>#REF!</v>
      </c>
      <c r="M53" s="593"/>
      <c r="N53" s="594" t="s">
        <v>1156</v>
      </c>
      <c r="O53" s="595">
        <v>8</v>
      </c>
      <c r="P53" s="596" t="str">
        <f>+IFERROR(VLOOKUP(B53,'[1]ID1&amp;5'!K:L,2,FALSE),"-")</f>
        <v>-</v>
      </c>
      <c r="Q53" s="595">
        <v>8</v>
      </c>
      <c r="R53" s="595" t="str">
        <f>+IFERROR(VLOOKUP(CONCATENATE(A53,$C$10,C53),'[1]ID1&amp;5'!B:J,8,FALSE),"-")</f>
        <v>-</v>
      </c>
      <c r="S53" s="596" t="str">
        <f>+IFERROR(VLOOKUP(C53,'[1]ID1&amp;5'!K:L,2,FALSE),"-")</f>
        <v>-</v>
      </c>
      <c r="T53" s="595">
        <v>0</v>
      </c>
      <c r="U53" s="596" t="str">
        <f>+IFERROR(VLOOKUP(D53,'[1]ID1&amp;5'!K:L,2,FALSE),"-")</f>
        <v>-</v>
      </c>
      <c r="V53" s="593">
        <v>0</v>
      </c>
      <c r="W53" s="596" t="str">
        <f>+IFERROR(VLOOKUP(E53,'[1]ID1&amp;5'!K:L,2,FALSE),"-")</f>
        <v>-</v>
      </c>
      <c r="X53" s="595">
        <v>0</v>
      </c>
      <c r="Y53" s="597">
        <f>+X53/O53</f>
        <v>0</v>
      </c>
      <c r="Z53" s="596" t="str">
        <f>+IFERROR(VLOOKUP(F53,'[1]ID1&amp;5'!K:L,2,FALSE),"-")</f>
        <v>-</v>
      </c>
      <c r="AA53" s="595">
        <v>0</v>
      </c>
      <c r="AB53" s="597">
        <f>+AA53/O53</f>
        <v>0</v>
      </c>
      <c r="AC53" s="598">
        <v>2000</v>
      </c>
      <c r="AD53" s="598">
        <v>1385452938</v>
      </c>
      <c r="AE53" s="593">
        <v>0</v>
      </c>
      <c r="AF53" s="593">
        <v>0</v>
      </c>
      <c r="AG53" s="598"/>
      <c r="AH53" s="433" t="s">
        <v>1125</v>
      </c>
      <c r="AI53" s="576" t="s">
        <v>882</v>
      </c>
    </row>
    <row r="54" spans="1:35" x14ac:dyDescent="0.25">
      <c r="A54" s="576" t="str">
        <f>+I54&amp;J54</f>
        <v>B02.000391_NMBR_SCRTS_RPRTNG_ENTTY</v>
      </c>
      <c r="B54" s="588">
        <f>+VLOOKUP(I54&amp;J54,[1]Auxiliar!B:C,2,FALSE)</f>
        <v>2</v>
      </c>
      <c r="C54" s="589">
        <f>+VLOOKUP(I54&amp;J54,[1]Auxiliar!E:F,2,FALSE)</f>
        <v>2</v>
      </c>
      <c r="D54" s="589">
        <f>+VLOOKUP(I54&amp;J54,[1]Auxiliar!H:I,2,FALSE)</f>
        <v>2</v>
      </c>
      <c r="E54" s="589">
        <f>+VLOOKUP(I54&amp;J54,[1]Auxiliar!K:L,2,FALSE)</f>
        <v>2</v>
      </c>
      <c r="F54" s="589">
        <f>+VLOOKUP(I54&amp;J54,[1]Auxiliar!N:O,2,FALSE)</f>
        <v>2</v>
      </c>
      <c r="G54" s="590">
        <f>+VLOOKUP(I54&amp;J54,[1]Auxiliar!Q:R,2,FALSE)</f>
        <v>2</v>
      </c>
      <c r="H54" s="576" t="str">
        <f>+"c"&amp;LEFT(J54,4)</f>
        <v>c0391</v>
      </c>
      <c r="I54" s="591" t="s">
        <v>0</v>
      </c>
      <c r="J54" s="592" t="s">
        <v>1229</v>
      </c>
      <c r="K54" s="592"/>
      <c r="L54" s="592" t="e">
        <f>+VLOOKUP(J54,#REF!,3,FALSE)</f>
        <v>#REF!</v>
      </c>
      <c r="M54" s="593"/>
      <c r="N54" s="594" t="s">
        <v>1156</v>
      </c>
      <c r="O54" s="595">
        <v>8</v>
      </c>
      <c r="P54" s="596" t="str">
        <f>+IFERROR(VLOOKUP(B54,'[1]ID1&amp;5'!K:L,2,FALSE),"-")</f>
        <v>-</v>
      </c>
      <c r="Q54" s="595">
        <v>8</v>
      </c>
      <c r="R54" s="595" t="str">
        <f>+IFERROR(VLOOKUP(CONCATENATE(A54,$C$10,C54),'[1]ID1&amp;5'!B:J,8,FALSE),"-")</f>
        <v>-</v>
      </c>
      <c r="S54" s="596" t="str">
        <f>+IFERROR(VLOOKUP(C54,'[1]ID1&amp;5'!K:L,2,FALSE),"-")</f>
        <v>-</v>
      </c>
      <c r="T54" s="595">
        <v>0</v>
      </c>
      <c r="U54" s="596" t="str">
        <f>+IFERROR(VLOOKUP(D54,'[1]ID1&amp;5'!K:L,2,FALSE),"-")</f>
        <v>-</v>
      </c>
      <c r="V54" s="593">
        <v>0</v>
      </c>
      <c r="W54" s="596" t="str">
        <f>+IFERROR(VLOOKUP(E54,'[1]ID1&amp;5'!K:L,2,FALSE),"-")</f>
        <v>-</v>
      </c>
      <c r="X54" s="595">
        <v>0</v>
      </c>
      <c r="Y54" s="597">
        <f>+X54/O54</f>
        <v>0</v>
      </c>
      <c r="Z54" s="596" t="str">
        <f>+IFERROR(VLOOKUP(F54,'[1]ID1&amp;5'!K:L,2,FALSE),"-")</f>
        <v>-</v>
      </c>
      <c r="AA54" s="595">
        <v>0</v>
      </c>
      <c r="AB54" s="597">
        <f>+AA54/O54</f>
        <v>0</v>
      </c>
      <c r="AC54" s="598">
        <v>0</v>
      </c>
      <c r="AD54" s="598">
        <v>6326736</v>
      </c>
      <c r="AE54" s="593">
        <v>0</v>
      </c>
      <c r="AF54" s="593">
        <v>0</v>
      </c>
      <c r="AG54" s="598"/>
      <c r="AH54" s="433" t="s">
        <v>1125</v>
      </c>
      <c r="AI54" s="576" t="s">
        <v>882</v>
      </c>
    </row>
    <row r="55" spans="1:35" x14ac:dyDescent="0.25">
      <c r="A55" s="576" t="str">
        <f>+I55&amp;J55</f>
        <v>B02.000400_ACCRD_INTRST_SCRTY</v>
      </c>
      <c r="B55" s="588">
        <f>+VLOOKUP(I55&amp;J55,[1]Auxiliar!B:C,2,FALSE)</f>
        <v>2</v>
      </c>
      <c r="C55" s="589">
        <f>+VLOOKUP(I55&amp;J55,[1]Auxiliar!E:F,2,FALSE)</f>
        <v>2</v>
      </c>
      <c r="D55" s="589">
        <f>+VLOOKUP(I55&amp;J55,[1]Auxiliar!H:I,2,FALSE)</f>
        <v>2</v>
      </c>
      <c r="E55" s="589">
        <f>+VLOOKUP(I55&amp;J55,[1]Auxiliar!K:L,2,FALSE)</f>
        <v>2</v>
      </c>
      <c r="F55" s="589">
        <f>+VLOOKUP(I55&amp;J55,[1]Auxiliar!N:O,2,FALSE)</f>
        <v>2</v>
      </c>
      <c r="G55" s="590">
        <f>+VLOOKUP(I55&amp;J55,[1]Auxiliar!Q:R,2,FALSE)</f>
        <v>2</v>
      </c>
      <c r="H55" s="576" t="str">
        <f>+"c"&amp;LEFT(J55,4)</f>
        <v>c0400</v>
      </c>
      <c r="I55" s="591" t="s">
        <v>0</v>
      </c>
      <c r="J55" s="592" t="s">
        <v>1230</v>
      </c>
      <c r="K55" s="592"/>
      <c r="L55" s="592" t="e">
        <f>+VLOOKUP(J55,#REF!,3,FALSE)</f>
        <v>#REF!</v>
      </c>
      <c r="M55" s="593"/>
      <c r="N55" s="594" t="s">
        <v>1156</v>
      </c>
      <c r="O55" s="595">
        <v>8</v>
      </c>
      <c r="P55" s="596" t="str">
        <f>+IFERROR(VLOOKUP(B55,'[1]ID1&amp;5'!K:L,2,FALSE),"-")</f>
        <v>-</v>
      </c>
      <c r="Q55" s="595">
        <v>8</v>
      </c>
      <c r="R55" s="595" t="str">
        <f>+IFERROR(VLOOKUP(CONCATENATE(A55,$C$10,C55),'[1]ID1&amp;5'!B:J,8,FALSE),"-")</f>
        <v>-</v>
      </c>
      <c r="S55" s="596" t="str">
        <f>+IFERROR(VLOOKUP(C55,'[1]ID1&amp;5'!K:L,2,FALSE),"-")</f>
        <v>-</v>
      </c>
      <c r="T55" s="595">
        <v>0</v>
      </c>
      <c r="U55" s="596" t="str">
        <f>+IFERROR(VLOOKUP(D55,'[1]ID1&amp;5'!K:L,2,FALSE),"-")</f>
        <v>-</v>
      </c>
      <c r="V55" s="593">
        <v>0</v>
      </c>
      <c r="W55" s="596" t="str">
        <f>+IFERROR(VLOOKUP(E55,'[1]ID1&amp;5'!K:L,2,FALSE),"-")</f>
        <v>-</v>
      </c>
      <c r="X55" s="595">
        <v>0</v>
      </c>
      <c r="Y55" s="597">
        <f>+X55/O55</f>
        <v>0</v>
      </c>
      <c r="Z55" s="596" t="str">
        <f>+IFERROR(VLOOKUP(F55,'[1]ID1&amp;5'!K:L,2,FALSE),"-")</f>
        <v>-</v>
      </c>
      <c r="AA55" s="595">
        <v>0</v>
      </c>
      <c r="AB55" s="597">
        <f>+AA55/O55</f>
        <v>0</v>
      </c>
      <c r="AC55" s="598" t="s">
        <v>1231</v>
      </c>
      <c r="AD55" s="598" t="s">
        <v>1232</v>
      </c>
      <c r="AE55" s="593">
        <v>0</v>
      </c>
      <c r="AF55" s="593">
        <v>0</v>
      </c>
      <c r="AG55" s="598"/>
      <c r="AH55" s="433" t="s">
        <v>1125</v>
      </c>
      <c r="AI55" s="576" t="s">
        <v>882</v>
      </c>
    </row>
    <row r="56" spans="1:35" x14ac:dyDescent="0.25">
      <c r="A56" s="576" t="str">
        <f>+I56&amp;J56</f>
        <v>B02.000410_FEES_CHARGES_SCRTY</v>
      </c>
      <c r="B56" s="588">
        <f>+VLOOKUP(I56&amp;J56,[1]Auxiliar!B:C,2,FALSE)</f>
        <v>2</v>
      </c>
      <c r="C56" s="589">
        <f>+VLOOKUP(I56&amp;J56,[1]Auxiliar!E:F,2,FALSE)</f>
        <v>2</v>
      </c>
      <c r="D56" s="589">
        <f>+VLOOKUP(I56&amp;J56,[1]Auxiliar!H:I,2,FALSE)</f>
        <v>2</v>
      </c>
      <c r="E56" s="589">
        <f>+VLOOKUP(I56&amp;J56,[1]Auxiliar!K:L,2,FALSE)</f>
        <v>2</v>
      </c>
      <c r="F56" s="589">
        <f>+VLOOKUP(I56&amp;J56,[1]Auxiliar!N:O,2,FALSE)</f>
        <v>2</v>
      </c>
      <c r="G56" s="590">
        <f>+VLOOKUP(I56&amp;J56,[1]Auxiliar!Q:R,2,FALSE)</f>
        <v>2</v>
      </c>
      <c r="H56" s="576" t="str">
        <f>+"c"&amp;LEFT(J56,4)</f>
        <v>c0410</v>
      </c>
      <c r="I56" s="591" t="s">
        <v>0</v>
      </c>
      <c r="J56" s="592" t="s">
        <v>1233</v>
      </c>
      <c r="K56" s="592"/>
      <c r="L56" s="592" t="e">
        <f>+VLOOKUP(J56,#REF!,3,FALSE)</f>
        <v>#REF!</v>
      </c>
      <c r="M56" s="593"/>
      <c r="N56" s="594" t="s">
        <v>1156</v>
      </c>
      <c r="O56" s="595">
        <v>8</v>
      </c>
      <c r="P56" s="596" t="str">
        <f>+IFERROR(VLOOKUP(B56,'[1]ID1&amp;5'!K:L,2,FALSE),"-")</f>
        <v>-</v>
      </c>
      <c r="Q56" s="595">
        <v>0</v>
      </c>
      <c r="R56" s="595" t="str">
        <f>+IFERROR(VLOOKUP(CONCATENATE(A56,$C$10,C56),'[1]ID1&amp;5'!B:J,8,FALSE),"-")</f>
        <v>-</v>
      </c>
      <c r="S56" s="596" t="str">
        <f>+IFERROR(VLOOKUP(C56,'[1]ID1&amp;5'!K:L,2,FALSE),"-")</f>
        <v>-</v>
      </c>
      <c r="T56" s="595">
        <v>0</v>
      </c>
      <c r="U56" s="596" t="str">
        <f>+IFERROR(VLOOKUP(D56,'[1]ID1&amp;5'!K:L,2,FALSE),"-")</f>
        <v>-</v>
      </c>
      <c r="V56" s="593">
        <v>0</v>
      </c>
      <c r="W56" s="596" t="str">
        <f>+IFERROR(VLOOKUP(E56,'[1]ID1&amp;5'!K:L,2,FALSE),"-")</f>
        <v>-</v>
      </c>
      <c r="X56" s="595">
        <v>0</v>
      </c>
      <c r="Y56" s="597">
        <f>+X56/O56</f>
        <v>0</v>
      </c>
      <c r="Z56" s="596" t="str">
        <f>+IFERROR(VLOOKUP(F56,'[1]ID1&amp;5'!K:L,2,FALSE),"-")</f>
        <v>-</v>
      </c>
      <c r="AA56" s="595">
        <v>0</v>
      </c>
      <c r="AB56" s="597">
        <f>+AA56/O56</f>
        <v>0</v>
      </c>
      <c r="AC56" s="598" t="s">
        <v>1231</v>
      </c>
      <c r="AD56" s="598" t="s">
        <v>1231</v>
      </c>
      <c r="AE56" s="593">
        <v>0</v>
      </c>
      <c r="AF56" s="593">
        <v>0</v>
      </c>
      <c r="AG56" s="599" t="s">
        <v>1188</v>
      </c>
      <c r="AH56" s="433" t="s">
        <v>1125</v>
      </c>
      <c r="AI56" s="576" t="s">
        <v>147</v>
      </c>
    </row>
    <row r="57" spans="1:35" x14ac:dyDescent="0.25">
      <c r="A57" s="576" t="str">
        <f>+I57&amp;J57</f>
        <v>B02.000420_FV_AMNT_SCRTY</v>
      </c>
      <c r="B57" s="588">
        <f>+VLOOKUP(I57&amp;J57,[1]Auxiliar!B:C,2,FALSE)</f>
        <v>2</v>
      </c>
      <c r="C57" s="589">
        <f>+VLOOKUP(I57&amp;J57,[1]Auxiliar!E:F,2,FALSE)</f>
        <v>2</v>
      </c>
      <c r="D57" s="589">
        <f>+VLOOKUP(I57&amp;J57,[1]Auxiliar!H:I,2,FALSE)</f>
        <v>2</v>
      </c>
      <c r="E57" s="589">
        <f>+VLOOKUP(I57&amp;J57,[1]Auxiliar!K:L,2,FALSE)</f>
        <v>2</v>
      </c>
      <c r="F57" s="589">
        <f>+VLOOKUP(I57&amp;J57,[1]Auxiliar!N:O,2,FALSE)</f>
        <v>2</v>
      </c>
      <c r="G57" s="590">
        <f>+VLOOKUP(I57&amp;J57,[1]Auxiliar!Q:R,2,FALSE)</f>
        <v>2</v>
      </c>
      <c r="H57" s="576" t="str">
        <f>+"c"&amp;LEFT(J57,4)</f>
        <v>c0420</v>
      </c>
      <c r="I57" s="591" t="s">
        <v>0</v>
      </c>
      <c r="J57" s="592" t="s">
        <v>1234</v>
      </c>
      <c r="K57" s="592"/>
      <c r="L57" s="592" t="e">
        <f>+VLOOKUP(J57,#REF!,3,FALSE)</f>
        <v>#REF!</v>
      </c>
      <c r="M57" s="593"/>
      <c r="N57" s="594" t="s">
        <v>1156</v>
      </c>
      <c r="O57" s="595">
        <v>8</v>
      </c>
      <c r="P57" s="596" t="str">
        <f>+IFERROR(VLOOKUP(B57,'[1]ID1&amp;5'!K:L,2,FALSE),"-")</f>
        <v>-</v>
      </c>
      <c r="Q57" s="595">
        <v>0</v>
      </c>
      <c r="R57" s="595" t="str">
        <f>+IFERROR(VLOOKUP(CONCATENATE(A57,$C$10,C57),'[1]ID1&amp;5'!B:J,8,FALSE),"-")</f>
        <v>-</v>
      </c>
      <c r="S57" s="596" t="str">
        <f>+IFERROR(VLOOKUP(C57,'[1]ID1&amp;5'!K:L,2,FALSE),"-")</f>
        <v>-</v>
      </c>
      <c r="T57" s="595">
        <v>0</v>
      </c>
      <c r="U57" s="596" t="str">
        <f>+IFERROR(VLOOKUP(D57,'[1]ID1&amp;5'!K:L,2,FALSE),"-")</f>
        <v>-</v>
      </c>
      <c r="V57" s="593">
        <v>0</v>
      </c>
      <c r="W57" s="596" t="str">
        <f>+IFERROR(VLOOKUP(E57,'[1]ID1&amp;5'!K:L,2,FALSE),"-")</f>
        <v>-</v>
      </c>
      <c r="X57" s="595">
        <v>0</v>
      </c>
      <c r="Y57" s="597">
        <f>+X57/O57</f>
        <v>0</v>
      </c>
      <c r="Z57" s="596" t="str">
        <f>+IFERROR(VLOOKUP(F57,'[1]ID1&amp;5'!K:L,2,FALSE),"-")</f>
        <v>-</v>
      </c>
      <c r="AA57" s="595">
        <v>8</v>
      </c>
      <c r="AB57" s="597">
        <f>+AA57/O57</f>
        <v>1</v>
      </c>
      <c r="AC57" s="598" t="s">
        <v>1235</v>
      </c>
      <c r="AD57" s="598" t="s">
        <v>1235</v>
      </c>
      <c r="AE57" s="593">
        <v>0</v>
      </c>
      <c r="AF57" s="593">
        <v>0</v>
      </c>
      <c r="AG57" s="599" t="s">
        <v>1188</v>
      </c>
      <c r="AH57" s="433" t="s">
        <v>1125</v>
      </c>
      <c r="AI57" s="576" t="s">
        <v>147</v>
      </c>
    </row>
    <row r="58" spans="1:35" x14ac:dyDescent="0.25">
      <c r="A58" s="576" t="str">
        <f>+I58&amp;J58</f>
        <v>B02.000430_PRNCPL_AMNT_GLBL_NT_EUR</v>
      </c>
      <c r="B58" s="588">
        <f>+VLOOKUP(I58&amp;J58,[1]Auxiliar!B:C,2,FALSE)</f>
        <v>2</v>
      </c>
      <c r="C58" s="589">
        <f>+VLOOKUP(I58&amp;J58,[1]Auxiliar!E:F,2,FALSE)</f>
        <v>2</v>
      </c>
      <c r="D58" s="589">
        <f>+VLOOKUP(I58&amp;J58,[1]Auxiliar!H:I,2,FALSE)</f>
        <v>2</v>
      </c>
      <c r="E58" s="589">
        <f>+VLOOKUP(I58&amp;J58,[1]Auxiliar!K:L,2,FALSE)</f>
        <v>2</v>
      </c>
      <c r="F58" s="589">
        <f>+VLOOKUP(I58&amp;J58,[1]Auxiliar!N:O,2,FALSE)</f>
        <v>2</v>
      </c>
      <c r="G58" s="590">
        <f>+VLOOKUP(I58&amp;J58,[1]Auxiliar!Q:R,2,FALSE)</f>
        <v>2</v>
      </c>
      <c r="H58" s="576" t="str">
        <f>+"c"&amp;LEFT(J58,4)</f>
        <v>c0430</v>
      </c>
      <c r="I58" s="591" t="s">
        <v>0</v>
      </c>
      <c r="J58" s="592" t="s">
        <v>1236</v>
      </c>
      <c r="K58" s="592"/>
      <c r="L58" s="592" t="e">
        <f>+VLOOKUP(J58,#REF!,3,FALSE)</f>
        <v>#REF!</v>
      </c>
      <c r="M58" s="593"/>
      <c r="N58" s="594" t="s">
        <v>1156</v>
      </c>
      <c r="O58" s="595">
        <v>8</v>
      </c>
      <c r="P58" s="596" t="str">
        <f>+IFERROR(VLOOKUP(B58,'[1]ID1&amp;5'!K:L,2,FALSE),"-")</f>
        <v>-</v>
      </c>
      <c r="Q58" s="595">
        <v>0</v>
      </c>
      <c r="R58" s="595" t="str">
        <f>+IFERROR(VLOOKUP(CONCATENATE(A58,$C$10,C58),'[1]ID1&amp;5'!B:J,8,FALSE),"-")</f>
        <v>-</v>
      </c>
      <c r="S58" s="596" t="str">
        <f>+IFERROR(VLOOKUP(C58,'[1]ID1&amp;5'!K:L,2,FALSE),"-")</f>
        <v>-</v>
      </c>
      <c r="T58" s="595">
        <v>0</v>
      </c>
      <c r="U58" s="596" t="str">
        <f>+IFERROR(VLOOKUP(D58,'[1]ID1&amp;5'!K:L,2,FALSE),"-")</f>
        <v>-</v>
      </c>
      <c r="V58" s="593">
        <v>0</v>
      </c>
      <c r="W58" s="596" t="str">
        <f>+IFERROR(VLOOKUP(E58,'[1]ID1&amp;5'!K:L,2,FALSE),"-")</f>
        <v>-</v>
      </c>
      <c r="X58" s="595">
        <v>0</v>
      </c>
      <c r="Y58" s="597">
        <f>+X58/O58</f>
        <v>0</v>
      </c>
      <c r="Z58" s="596" t="str">
        <f>+IFERROR(VLOOKUP(F58,'[1]ID1&amp;5'!K:L,2,FALSE),"-")</f>
        <v>-</v>
      </c>
      <c r="AA58" s="595">
        <v>8</v>
      </c>
      <c r="AB58" s="597">
        <f>+AA58/O58</f>
        <v>1</v>
      </c>
      <c r="AC58" s="598" t="s">
        <v>1169</v>
      </c>
      <c r="AD58" s="598" t="s">
        <v>1169</v>
      </c>
      <c r="AE58" s="593">
        <v>0</v>
      </c>
      <c r="AF58" s="593">
        <v>0</v>
      </c>
      <c r="AG58" s="599" t="s">
        <v>1188</v>
      </c>
      <c r="AH58" s="433" t="s">
        <v>1125</v>
      </c>
      <c r="AI58" s="576" t="s">
        <v>147</v>
      </c>
    </row>
    <row r="59" spans="1:35" x14ac:dyDescent="0.25">
      <c r="A59" s="576" t="str">
        <f>+I59&amp;J59</f>
        <v>B02.000431_PRNCPL_AMNT_GLBL_NT_FX</v>
      </c>
      <c r="B59" s="588">
        <f>+VLOOKUP(I59&amp;J59,[1]Auxiliar!B:C,2,FALSE)</f>
        <v>2</v>
      </c>
      <c r="C59" s="589">
        <f>+VLOOKUP(I59&amp;J59,[1]Auxiliar!E:F,2,FALSE)</f>
        <v>2</v>
      </c>
      <c r="D59" s="589">
        <f>+VLOOKUP(I59&amp;J59,[1]Auxiliar!H:I,2,FALSE)</f>
        <v>2</v>
      </c>
      <c r="E59" s="589">
        <f>+VLOOKUP(I59&amp;J59,[1]Auxiliar!K:L,2,FALSE)</f>
        <v>2</v>
      </c>
      <c r="F59" s="589">
        <f>+VLOOKUP(I59&amp;J59,[1]Auxiliar!N:O,2,FALSE)</f>
        <v>2</v>
      </c>
      <c r="G59" s="590">
        <f>+VLOOKUP(I59&amp;J59,[1]Auxiliar!Q:R,2,FALSE)</f>
        <v>2</v>
      </c>
      <c r="H59" s="576" t="str">
        <f>+"c"&amp;LEFT(J59,4)</f>
        <v>c0431</v>
      </c>
      <c r="I59" s="591" t="s">
        <v>0</v>
      </c>
      <c r="J59" s="592" t="s">
        <v>1237</v>
      </c>
      <c r="K59" s="592"/>
      <c r="L59" s="592" t="e">
        <f>+VLOOKUP(J59,#REF!,3,FALSE)</f>
        <v>#REF!</v>
      </c>
      <c r="M59" s="593"/>
      <c r="N59" s="594" t="s">
        <v>1156</v>
      </c>
      <c r="O59" s="595">
        <v>8</v>
      </c>
      <c r="P59" s="596" t="str">
        <f>+IFERROR(VLOOKUP(B59,'[1]ID1&amp;5'!K:L,2,FALSE),"-")</f>
        <v>-</v>
      </c>
      <c r="Q59" s="595">
        <v>0</v>
      </c>
      <c r="R59" s="595" t="str">
        <f>+IFERROR(VLOOKUP(CONCATENATE(A59,$C$10,C59),'[1]ID1&amp;5'!B:J,8,FALSE),"-")</f>
        <v>-</v>
      </c>
      <c r="S59" s="596" t="str">
        <f>+IFERROR(VLOOKUP(C59,'[1]ID1&amp;5'!K:L,2,FALSE),"-")</f>
        <v>-</v>
      </c>
      <c r="T59" s="595">
        <v>0</v>
      </c>
      <c r="U59" s="596" t="str">
        <f>+IFERROR(VLOOKUP(D59,'[1]ID1&amp;5'!K:L,2,FALSE),"-")</f>
        <v>-</v>
      </c>
      <c r="V59" s="593">
        <v>0</v>
      </c>
      <c r="W59" s="596" t="str">
        <f>+IFERROR(VLOOKUP(E59,'[1]ID1&amp;5'!K:L,2,FALSE),"-")</f>
        <v>-</v>
      </c>
      <c r="X59" s="595">
        <v>0</v>
      </c>
      <c r="Y59" s="597">
        <f>+X59/O59</f>
        <v>0</v>
      </c>
      <c r="Z59" s="596" t="str">
        <f>+IFERROR(VLOOKUP(F59,'[1]ID1&amp;5'!K:L,2,FALSE),"-")</f>
        <v>-</v>
      </c>
      <c r="AA59" s="595">
        <v>8</v>
      </c>
      <c r="AB59" s="597">
        <f>+AA59/O59</f>
        <v>1</v>
      </c>
      <c r="AC59" s="598" t="s">
        <v>1169</v>
      </c>
      <c r="AD59" s="598" t="s">
        <v>1169</v>
      </c>
      <c r="AE59" s="593">
        <v>0</v>
      </c>
      <c r="AF59" s="593">
        <v>0</v>
      </c>
      <c r="AG59" s="599" t="s">
        <v>1188</v>
      </c>
      <c r="AH59" s="433" t="s">
        <v>1125</v>
      </c>
      <c r="AI59" s="576" t="s">
        <v>147</v>
      </c>
    </row>
    <row r="60" spans="1:35" x14ac:dyDescent="0.25">
      <c r="A60" s="576" t="str">
        <f>+I60&amp;J60</f>
        <v>B02.000440_NTR_GLBL_NT</v>
      </c>
      <c r="B60" s="588">
        <f>+VLOOKUP(I60&amp;J60,[1]Auxiliar!B:C,2,FALSE)</f>
        <v>2</v>
      </c>
      <c r="C60" s="589">
        <f>+VLOOKUP(I60&amp;J60,[1]Auxiliar!E:F,2,FALSE)</f>
        <v>2</v>
      </c>
      <c r="D60" s="589">
        <f>+VLOOKUP(I60&amp;J60,[1]Auxiliar!H:I,2,FALSE)</f>
        <v>2</v>
      </c>
      <c r="E60" s="589">
        <f>+VLOOKUP(I60&amp;J60,[1]Auxiliar!K:L,2,FALSE)</f>
        <v>2</v>
      </c>
      <c r="F60" s="589">
        <f>+VLOOKUP(I60&amp;J60,[1]Auxiliar!N:O,2,FALSE)</f>
        <v>2</v>
      </c>
      <c r="G60" s="590">
        <f>+VLOOKUP(I60&amp;J60,[1]Auxiliar!Q:R,2,FALSE)</f>
        <v>2</v>
      </c>
      <c r="H60" s="576" t="str">
        <f>+"c"&amp;LEFT(J60,4)</f>
        <v>c0440</v>
      </c>
      <c r="I60" s="591" t="s">
        <v>0</v>
      </c>
      <c r="J60" s="592" t="s">
        <v>1238</v>
      </c>
      <c r="K60" s="592"/>
      <c r="L60" s="592" t="e">
        <f>+VLOOKUP(J60,#REF!,3,FALSE)</f>
        <v>#REF!</v>
      </c>
      <c r="M60" s="593"/>
      <c r="N60" s="594" t="s">
        <v>1156</v>
      </c>
      <c r="O60" s="595">
        <v>8</v>
      </c>
      <c r="P60" s="596" t="str">
        <f>+IFERROR(VLOOKUP(B60,'[1]ID1&amp;5'!K:L,2,FALSE),"-")</f>
        <v>-</v>
      </c>
      <c r="Q60" s="595">
        <v>0</v>
      </c>
      <c r="R60" s="595" t="str">
        <f>+IFERROR(VLOOKUP(CONCATENATE(A60,$C$10,C60),'[1]ID1&amp;5'!B:J,8,FALSE),"-")</f>
        <v>-</v>
      </c>
      <c r="S60" s="596" t="str">
        <f>+IFERROR(VLOOKUP(C60,'[1]ID1&amp;5'!K:L,2,FALSE),"-")</f>
        <v>-</v>
      </c>
      <c r="T60" s="595">
        <v>0</v>
      </c>
      <c r="U60" s="596" t="str">
        <f>+IFERROR(VLOOKUP(D60,'[1]ID1&amp;5'!K:L,2,FALSE),"-")</f>
        <v>-</v>
      </c>
      <c r="V60" s="593">
        <v>0</v>
      </c>
      <c r="W60" s="596" t="str">
        <f>+IFERROR(VLOOKUP(E60,'[1]ID1&amp;5'!K:L,2,FALSE),"-")</f>
        <v>-</v>
      </c>
      <c r="X60" s="595">
        <v>0</v>
      </c>
      <c r="Y60" s="597">
        <f>+X60/O60</f>
        <v>0</v>
      </c>
      <c r="Z60" s="596" t="str">
        <f>+IFERROR(VLOOKUP(F60,'[1]ID1&amp;5'!K:L,2,FALSE),"-")</f>
        <v>-</v>
      </c>
      <c r="AA60" s="595">
        <v>8</v>
      </c>
      <c r="AB60" s="597">
        <f>+AA60/O60</f>
        <v>1</v>
      </c>
      <c r="AC60" s="598" t="s">
        <v>907</v>
      </c>
      <c r="AD60" s="598" t="s">
        <v>907</v>
      </c>
      <c r="AE60" s="593">
        <v>0</v>
      </c>
      <c r="AF60" s="593">
        <v>0</v>
      </c>
      <c r="AG60" s="599" t="s">
        <v>1188</v>
      </c>
      <c r="AH60" s="433" t="s">
        <v>1125</v>
      </c>
      <c r="AI60" s="576" t="s">
        <v>147</v>
      </c>
    </row>
    <row r="61" spans="1:35" x14ac:dyDescent="0.25">
      <c r="A61" s="576" t="str">
        <f>+I61&amp;J61</f>
        <v>B02.000450_CRRNT_POOL_FCTR</v>
      </c>
      <c r="B61" s="588">
        <f>+VLOOKUP(I61&amp;J61,[1]Auxiliar!B:C,2,FALSE)</f>
        <v>2</v>
      </c>
      <c r="C61" s="589">
        <f>+VLOOKUP(I61&amp;J61,[1]Auxiliar!E:F,2,FALSE)</f>
        <v>2</v>
      </c>
      <c r="D61" s="589">
        <f>+VLOOKUP(I61&amp;J61,[1]Auxiliar!H:I,2,FALSE)</f>
        <v>2</v>
      </c>
      <c r="E61" s="589">
        <f>+VLOOKUP(I61&amp;J61,[1]Auxiliar!K:L,2,FALSE)</f>
        <v>2</v>
      </c>
      <c r="F61" s="589">
        <f>+VLOOKUP(I61&amp;J61,[1]Auxiliar!N:O,2,FALSE)</f>
        <v>2</v>
      </c>
      <c r="G61" s="590">
        <f>+VLOOKUP(I61&amp;J61,[1]Auxiliar!Q:R,2,FALSE)</f>
        <v>2</v>
      </c>
      <c r="H61" s="576" t="str">
        <f>+"c"&amp;LEFT(J61,4)</f>
        <v>c0450</v>
      </c>
      <c r="I61" s="591" t="s">
        <v>0</v>
      </c>
      <c r="J61" s="592" t="s">
        <v>1239</v>
      </c>
      <c r="K61" s="592"/>
      <c r="L61" s="592" t="e">
        <f>+VLOOKUP(J61,#REF!,3,FALSE)</f>
        <v>#REF!</v>
      </c>
      <c r="M61" s="593"/>
      <c r="N61" s="594" t="s">
        <v>1156</v>
      </c>
      <c r="O61" s="595">
        <v>8</v>
      </c>
      <c r="P61" s="596" t="str">
        <f>+IFERROR(VLOOKUP(B61,'[1]ID1&amp;5'!K:L,2,FALSE),"-")</f>
        <v>-</v>
      </c>
      <c r="Q61" s="595">
        <v>0</v>
      </c>
      <c r="R61" s="595" t="str">
        <f>+IFERROR(VLOOKUP(CONCATENATE(A61,$C$10,C61),'[1]ID1&amp;5'!B:J,8,FALSE),"-")</f>
        <v>-</v>
      </c>
      <c r="S61" s="596" t="str">
        <f>+IFERROR(VLOOKUP(C61,'[1]ID1&amp;5'!K:L,2,FALSE),"-")</f>
        <v>-</v>
      </c>
      <c r="T61" s="595">
        <v>0</v>
      </c>
      <c r="U61" s="596" t="str">
        <f>+IFERROR(VLOOKUP(D61,'[1]ID1&amp;5'!K:L,2,FALSE),"-")</f>
        <v>-</v>
      </c>
      <c r="V61" s="593">
        <v>0</v>
      </c>
      <c r="W61" s="596" t="str">
        <f>+IFERROR(VLOOKUP(E61,'[1]ID1&amp;5'!K:L,2,FALSE),"-")</f>
        <v>-</v>
      </c>
      <c r="X61" s="595">
        <v>0</v>
      </c>
      <c r="Y61" s="597">
        <f>+X61/O61</f>
        <v>0</v>
      </c>
      <c r="Z61" s="596" t="str">
        <f>+IFERROR(VLOOKUP(F61,'[1]ID1&amp;5'!K:L,2,FALSE),"-")</f>
        <v>-</v>
      </c>
      <c r="AA61" s="595">
        <v>8</v>
      </c>
      <c r="AB61" s="597">
        <f>+AA61/O61</f>
        <v>1</v>
      </c>
      <c r="AC61" s="598" t="s">
        <v>1240</v>
      </c>
      <c r="AD61" s="598" t="s">
        <v>1240</v>
      </c>
      <c r="AE61" s="593">
        <v>0</v>
      </c>
      <c r="AF61" s="593">
        <v>0</v>
      </c>
      <c r="AG61" s="599" t="s">
        <v>1188</v>
      </c>
      <c r="AH61" s="433" t="s">
        <v>1125</v>
      </c>
      <c r="AI61" s="576" t="s">
        <v>147</v>
      </c>
    </row>
    <row r="62" spans="1:35" x14ac:dyDescent="0.25">
      <c r="A62" s="576" t="str">
        <f>+I62&amp;J62</f>
        <v>B02.000460_CSD</v>
      </c>
      <c r="B62" s="588">
        <f>+VLOOKUP(I62&amp;J62,[1]Auxiliar!B:C,2,FALSE)</f>
        <v>2</v>
      </c>
      <c r="C62" s="589">
        <f>+VLOOKUP(I62&amp;J62,[1]Auxiliar!E:F,2,FALSE)</f>
        <v>2</v>
      </c>
      <c r="D62" s="589">
        <f>+VLOOKUP(I62&amp;J62,[1]Auxiliar!H:I,2,FALSE)</f>
        <v>2</v>
      </c>
      <c r="E62" s="589">
        <f>+VLOOKUP(I62&amp;J62,[1]Auxiliar!K:L,2,FALSE)</f>
        <v>2</v>
      </c>
      <c r="F62" s="589">
        <f>+VLOOKUP(I62&amp;J62,[1]Auxiliar!N:O,2,FALSE)</f>
        <v>2</v>
      </c>
      <c r="G62" s="590">
        <f>+VLOOKUP(I62&amp;J62,[1]Auxiliar!Q:R,2,FALSE)</f>
        <v>2</v>
      </c>
      <c r="H62" s="576" t="str">
        <f>+"c"&amp;LEFT(J62,4)</f>
        <v>c0460</v>
      </c>
      <c r="I62" s="591" t="s">
        <v>0</v>
      </c>
      <c r="J62" s="592" t="s">
        <v>1241</v>
      </c>
      <c r="K62" s="592"/>
      <c r="L62" s="592" t="e">
        <f>+VLOOKUP(J62,#REF!,3,FALSE)</f>
        <v>#REF!</v>
      </c>
      <c r="M62" s="593"/>
      <c r="N62" s="594" t="s">
        <v>1156</v>
      </c>
      <c r="O62" s="595">
        <v>8</v>
      </c>
      <c r="P62" s="596" t="str">
        <f>+IFERROR(VLOOKUP(B62,'[1]ID1&amp;5'!K:L,2,FALSE),"-")</f>
        <v>-</v>
      </c>
      <c r="Q62" s="595">
        <v>0</v>
      </c>
      <c r="R62" s="595" t="str">
        <f>+IFERROR(VLOOKUP(CONCATENATE(A62,$C$10,C62),'[1]ID1&amp;5'!B:J,8,FALSE),"-")</f>
        <v>-</v>
      </c>
      <c r="S62" s="596" t="str">
        <f>+IFERROR(VLOOKUP(C62,'[1]ID1&amp;5'!K:L,2,FALSE),"-")</f>
        <v>-</v>
      </c>
      <c r="T62" s="595">
        <v>0</v>
      </c>
      <c r="U62" s="596" t="str">
        <f>+IFERROR(VLOOKUP(D62,'[1]ID1&amp;5'!K:L,2,FALSE),"-")</f>
        <v>-</v>
      </c>
      <c r="V62" s="593">
        <v>0</v>
      </c>
      <c r="W62" s="596" t="str">
        <f>+IFERROR(VLOOKUP(E62,'[1]ID1&amp;5'!K:L,2,FALSE),"-")</f>
        <v>-</v>
      </c>
      <c r="X62" s="595">
        <v>0</v>
      </c>
      <c r="Y62" s="597">
        <f>+X62/O62</f>
        <v>0</v>
      </c>
      <c r="Z62" s="596" t="str">
        <f>+IFERROR(VLOOKUP(F62,'[1]ID1&amp;5'!K:L,2,FALSE),"-")</f>
        <v>-</v>
      </c>
      <c r="AA62" s="595">
        <v>0</v>
      </c>
      <c r="AB62" s="597">
        <f>+AA62/O62</f>
        <v>0</v>
      </c>
      <c r="AC62" s="598" t="s">
        <v>1242</v>
      </c>
      <c r="AD62" s="598" t="s">
        <v>1242</v>
      </c>
      <c r="AE62" s="593">
        <v>0</v>
      </c>
      <c r="AF62" s="593">
        <v>0</v>
      </c>
      <c r="AG62" s="598"/>
      <c r="AH62" s="433" t="s">
        <v>1125</v>
      </c>
      <c r="AI62" s="576" t="s">
        <v>147</v>
      </c>
    </row>
    <row r="63" spans="1:35" x14ac:dyDescent="0.25">
      <c r="A63" s="576" t="str">
        <f>+I63&amp;J63</f>
        <v>B02.000461_CSD_LEI</v>
      </c>
      <c r="B63" s="588">
        <f>+VLOOKUP(I63&amp;J63,[1]Auxiliar!B:C,2,FALSE)</f>
        <v>2</v>
      </c>
      <c r="C63" s="589">
        <f>+VLOOKUP(I63&amp;J63,[1]Auxiliar!E:F,2,FALSE)</f>
        <v>2</v>
      </c>
      <c r="D63" s="589">
        <f>+VLOOKUP(I63&amp;J63,[1]Auxiliar!H:I,2,FALSE)</f>
        <v>2</v>
      </c>
      <c r="E63" s="589">
        <f>+VLOOKUP(I63&amp;J63,[1]Auxiliar!K:L,2,FALSE)</f>
        <v>2</v>
      </c>
      <c r="F63" s="589">
        <f>+VLOOKUP(I63&amp;J63,[1]Auxiliar!N:O,2,FALSE)</f>
        <v>2</v>
      </c>
      <c r="G63" s="590">
        <f>+VLOOKUP(I63&amp;J63,[1]Auxiliar!Q:R,2,FALSE)</f>
        <v>2</v>
      </c>
      <c r="H63" s="576" t="str">
        <f>+"c"&amp;LEFT(J63,4)</f>
        <v>c0461</v>
      </c>
      <c r="I63" s="591" t="s">
        <v>0</v>
      </c>
      <c r="J63" s="592" t="s">
        <v>1243</v>
      </c>
      <c r="K63" s="592"/>
      <c r="L63" s="592" t="e">
        <f>+VLOOKUP(J63,#REF!,3,FALSE)</f>
        <v>#REF!</v>
      </c>
      <c r="M63" s="593"/>
      <c r="N63" s="594" t="s">
        <v>1156</v>
      </c>
      <c r="O63" s="595">
        <v>8</v>
      </c>
      <c r="P63" s="596" t="str">
        <f>+IFERROR(VLOOKUP(B63,'[1]ID1&amp;5'!K:L,2,FALSE),"-")</f>
        <v>-</v>
      </c>
      <c r="Q63" s="595">
        <v>0</v>
      </c>
      <c r="R63" s="595" t="str">
        <f>+IFERROR(VLOOKUP(CONCATENATE(A63,$C$10,C63),'[1]ID1&amp;5'!B:J,8,FALSE),"-")</f>
        <v>-</v>
      </c>
      <c r="S63" s="596" t="str">
        <f>+IFERROR(VLOOKUP(C63,'[1]ID1&amp;5'!K:L,2,FALSE),"-")</f>
        <v>-</v>
      </c>
      <c r="T63" s="595">
        <v>0</v>
      </c>
      <c r="U63" s="596" t="str">
        <f>+IFERROR(VLOOKUP(D63,'[1]ID1&amp;5'!K:L,2,FALSE),"-")</f>
        <v>-</v>
      </c>
      <c r="V63" s="593">
        <v>0</v>
      </c>
      <c r="W63" s="596" t="str">
        <f>+IFERROR(VLOOKUP(E63,'[1]ID1&amp;5'!K:L,2,FALSE),"-")</f>
        <v>-</v>
      </c>
      <c r="X63" s="595">
        <v>0</v>
      </c>
      <c r="Y63" s="597">
        <f>+X63/O63</f>
        <v>0</v>
      </c>
      <c r="Z63" s="596" t="str">
        <f>+IFERROR(VLOOKUP(F63,'[1]ID1&amp;5'!K:L,2,FALSE),"-")</f>
        <v>-</v>
      </c>
      <c r="AA63" s="595">
        <v>0</v>
      </c>
      <c r="AB63" s="597">
        <f>+AA63/O63</f>
        <v>0</v>
      </c>
      <c r="AC63" s="598" t="s">
        <v>1244</v>
      </c>
      <c r="AD63" s="598" t="s">
        <v>1244</v>
      </c>
      <c r="AE63" s="593">
        <v>0</v>
      </c>
      <c r="AF63" s="593">
        <v>0</v>
      </c>
      <c r="AG63" s="598"/>
      <c r="AH63" s="433" t="s">
        <v>1125</v>
      </c>
      <c r="AI63" s="576" t="s">
        <v>147</v>
      </c>
    </row>
    <row r="64" spans="1:35" x14ac:dyDescent="0.25">
      <c r="A64" s="576" t="str">
        <f>+I64&amp;J64</f>
        <v>B02.000462_CSD_OTHR</v>
      </c>
      <c r="B64" s="588">
        <f>+VLOOKUP(I64&amp;J64,[1]Auxiliar!B:C,2,FALSE)</f>
        <v>2</v>
      </c>
      <c r="C64" s="589">
        <f>+VLOOKUP(I64&amp;J64,[1]Auxiliar!E:F,2,FALSE)</f>
        <v>2</v>
      </c>
      <c r="D64" s="589">
        <f>+VLOOKUP(I64&amp;J64,[1]Auxiliar!H:I,2,FALSE)</f>
        <v>2</v>
      </c>
      <c r="E64" s="589">
        <f>+VLOOKUP(I64&amp;J64,[1]Auxiliar!K:L,2,FALSE)</f>
        <v>2</v>
      </c>
      <c r="F64" s="589">
        <f>+VLOOKUP(I64&amp;J64,[1]Auxiliar!N:O,2,FALSE)</f>
        <v>2</v>
      </c>
      <c r="G64" s="590">
        <f>+VLOOKUP(I64&amp;J64,[1]Auxiliar!Q:R,2,FALSE)</f>
        <v>2</v>
      </c>
      <c r="H64" s="576" t="str">
        <f>+"c"&amp;LEFT(J64,4)</f>
        <v>c0462</v>
      </c>
      <c r="I64" s="591" t="s">
        <v>0</v>
      </c>
      <c r="J64" s="592" t="s">
        <v>1245</v>
      </c>
      <c r="K64" s="592"/>
      <c r="L64" s="592" t="e">
        <f>+VLOOKUP(J64,#REF!,3,FALSE)</f>
        <v>#REF!</v>
      </c>
      <c r="M64" s="593"/>
      <c r="N64" s="594" t="s">
        <v>1156</v>
      </c>
      <c r="O64" s="595">
        <v>8</v>
      </c>
      <c r="P64" s="596" t="str">
        <f>+IFERROR(VLOOKUP(B64,'[1]ID1&amp;5'!K:L,2,FALSE),"-")</f>
        <v>-</v>
      </c>
      <c r="Q64" s="595">
        <v>0</v>
      </c>
      <c r="R64" s="595" t="str">
        <f>+IFERROR(VLOOKUP(CONCATENATE(A64,$C$10,C64),'[1]ID1&amp;5'!B:J,8,FALSE),"-")</f>
        <v>-</v>
      </c>
      <c r="S64" s="596" t="str">
        <f>+IFERROR(VLOOKUP(C64,'[1]ID1&amp;5'!K:L,2,FALSE),"-")</f>
        <v>-</v>
      </c>
      <c r="T64" s="595">
        <v>0</v>
      </c>
      <c r="U64" s="596" t="str">
        <f>+IFERROR(VLOOKUP(D64,'[1]ID1&amp;5'!K:L,2,FALSE),"-")</f>
        <v>-</v>
      </c>
      <c r="V64" s="593">
        <v>0</v>
      </c>
      <c r="W64" s="596" t="str">
        <f>+IFERROR(VLOOKUP(E64,'[1]ID1&amp;5'!K:L,2,FALSE),"-")</f>
        <v>-</v>
      </c>
      <c r="X64" s="595">
        <v>0</v>
      </c>
      <c r="Y64" s="597">
        <f>+X64/O64</f>
        <v>0</v>
      </c>
      <c r="Z64" s="596" t="str">
        <f>+IFERROR(VLOOKUP(F64,'[1]ID1&amp;5'!K:L,2,FALSE),"-")</f>
        <v>-</v>
      </c>
      <c r="AA64" s="595">
        <v>8</v>
      </c>
      <c r="AB64" s="597">
        <f>+AA64/O64</f>
        <v>1</v>
      </c>
      <c r="AC64" s="598" t="s">
        <v>907</v>
      </c>
      <c r="AD64" s="598" t="s">
        <v>907</v>
      </c>
      <c r="AE64" s="593">
        <v>0</v>
      </c>
      <c r="AF64" s="593">
        <v>1</v>
      </c>
      <c r="AG64" s="599" t="s">
        <v>1188</v>
      </c>
      <c r="AH64" s="433" t="s">
        <v>1125</v>
      </c>
      <c r="AI64" s="576" t="s">
        <v>147</v>
      </c>
    </row>
    <row r="65" spans="1:35" x14ac:dyDescent="0.25">
      <c r="A65" s="576" t="str">
        <f>+I65&amp;J65</f>
        <v>B02.000470_PYNG_AGNT</v>
      </c>
      <c r="B65" s="588">
        <f>+VLOOKUP(I65&amp;J65,[1]Auxiliar!B:C,2,FALSE)</f>
        <v>2</v>
      </c>
      <c r="C65" s="589">
        <f>+VLOOKUP(I65&amp;J65,[1]Auxiliar!E:F,2,FALSE)</f>
        <v>2</v>
      </c>
      <c r="D65" s="589">
        <f>+VLOOKUP(I65&amp;J65,[1]Auxiliar!H:I,2,FALSE)</f>
        <v>2</v>
      </c>
      <c r="E65" s="589">
        <f>+VLOOKUP(I65&amp;J65,[1]Auxiliar!K:L,2,FALSE)</f>
        <v>2</v>
      </c>
      <c r="F65" s="589">
        <f>+VLOOKUP(I65&amp;J65,[1]Auxiliar!N:O,2,FALSE)</f>
        <v>2</v>
      </c>
      <c r="G65" s="590">
        <f>+VLOOKUP(I65&amp;J65,[1]Auxiliar!Q:R,2,FALSE)</f>
        <v>2</v>
      </c>
      <c r="H65" s="576" t="str">
        <f>+"c"&amp;LEFT(J65,4)</f>
        <v>c0470</v>
      </c>
      <c r="I65" s="591" t="s">
        <v>0</v>
      </c>
      <c r="J65" s="592" t="s">
        <v>1246</v>
      </c>
      <c r="K65" s="592"/>
      <c r="L65" s="592" t="e">
        <f>+VLOOKUP(J65,#REF!,3,FALSE)</f>
        <v>#REF!</v>
      </c>
      <c r="M65" s="593"/>
      <c r="N65" s="594" t="s">
        <v>1156</v>
      </c>
      <c r="O65" s="595">
        <v>8</v>
      </c>
      <c r="P65" s="596" t="str">
        <f>+IFERROR(VLOOKUP(B65,'[1]ID1&amp;5'!K:L,2,FALSE),"-")</f>
        <v>-</v>
      </c>
      <c r="Q65" s="595">
        <v>0</v>
      </c>
      <c r="R65" s="595" t="str">
        <f>+IFERROR(VLOOKUP(CONCATENATE(A65,$C$10,C65),'[1]ID1&amp;5'!B:J,8,FALSE),"-")</f>
        <v>-</v>
      </c>
      <c r="S65" s="596" t="str">
        <f>+IFERROR(VLOOKUP(C65,'[1]ID1&amp;5'!K:L,2,FALSE),"-")</f>
        <v>-</v>
      </c>
      <c r="T65" s="595">
        <v>0</v>
      </c>
      <c r="U65" s="596" t="str">
        <f>+IFERROR(VLOOKUP(D65,'[1]ID1&amp;5'!K:L,2,FALSE),"-")</f>
        <v>-</v>
      </c>
      <c r="V65" s="593">
        <v>0</v>
      </c>
      <c r="W65" s="596" t="str">
        <f>+IFERROR(VLOOKUP(E65,'[1]ID1&amp;5'!K:L,2,FALSE),"-")</f>
        <v>-</v>
      </c>
      <c r="X65" s="595">
        <v>0</v>
      </c>
      <c r="Y65" s="597">
        <f>+X65/O65</f>
        <v>0</v>
      </c>
      <c r="Z65" s="596" t="str">
        <f>+IFERROR(VLOOKUP(F65,'[1]ID1&amp;5'!K:L,2,FALSE),"-")</f>
        <v>-</v>
      </c>
      <c r="AA65" s="595">
        <v>0</v>
      </c>
      <c r="AB65" s="597">
        <f>+AA65/O65</f>
        <v>0</v>
      </c>
      <c r="AC65" s="598" t="s">
        <v>1247</v>
      </c>
      <c r="AD65" s="598" t="s">
        <v>1247</v>
      </c>
      <c r="AE65" s="593">
        <v>0</v>
      </c>
      <c r="AF65" s="593">
        <v>0</v>
      </c>
      <c r="AG65" s="598"/>
      <c r="AH65" s="433" t="s">
        <v>1125</v>
      </c>
      <c r="AI65" s="576" t="s">
        <v>147</v>
      </c>
    </row>
    <row r="66" spans="1:35" x14ac:dyDescent="0.25">
      <c r="A66" s="576" t="str">
        <f>+I66&amp;J66</f>
        <v>B02.000471_PYNG_AGNT_LEI</v>
      </c>
      <c r="B66" s="588">
        <f>+VLOOKUP(I66&amp;J66,[1]Auxiliar!B:C,2,FALSE)</f>
        <v>2</v>
      </c>
      <c r="C66" s="589">
        <f>+VLOOKUP(I66&amp;J66,[1]Auxiliar!E:F,2,FALSE)</f>
        <v>2</v>
      </c>
      <c r="D66" s="589">
        <f>+VLOOKUP(I66&amp;J66,[1]Auxiliar!H:I,2,FALSE)</f>
        <v>2</v>
      </c>
      <c r="E66" s="589">
        <f>+VLOOKUP(I66&amp;J66,[1]Auxiliar!K:L,2,FALSE)</f>
        <v>2</v>
      </c>
      <c r="F66" s="589">
        <f>+VLOOKUP(I66&amp;J66,[1]Auxiliar!N:O,2,FALSE)</f>
        <v>2</v>
      </c>
      <c r="G66" s="590">
        <f>+VLOOKUP(I66&amp;J66,[1]Auxiliar!Q:R,2,FALSE)</f>
        <v>2</v>
      </c>
      <c r="H66" s="576" t="str">
        <f>+"c"&amp;LEFT(J66,4)</f>
        <v>c0471</v>
      </c>
      <c r="I66" s="591" t="s">
        <v>0</v>
      </c>
      <c r="J66" s="592" t="s">
        <v>1248</v>
      </c>
      <c r="K66" s="592"/>
      <c r="L66" s="592" t="e">
        <f>+VLOOKUP(J66,#REF!,3,FALSE)</f>
        <v>#REF!</v>
      </c>
      <c r="M66" s="593"/>
      <c r="N66" s="594" t="s">
        <v>1156</v>
      </c>
      <c r="O66" s="595">
        <v>8</v>
      </c>
      <c r="P66" s="596" t="str">
        <f>+IFERROR(VLOOKUP(B66,'[1]ID1&amp;5'!K:L,2,FALSE),"-")</f>
        <v>-</v>
      </c>
      <c r="Q66" s="595">
        <v>0</v>
      </c>
      <c r="R66" s="595" t="str">
        <f>+IFERROR(VLOOKUP(CONCATENATE(A66,$C$10,C66),'[1]ID1&amp;5'!B:J,8,FALSE),"-")</f>
        <v>-</v>
      </c>
      <c r="S66" s="596" t="str">
        <f>+IFERROR(VLOOKUP(C66,'[1]ID1&amp;5'!K:L,2,FALSE),"-")</f>
        <v>-</v>
      </c>
      <c r="T66" s="595">
        <v>0</v>
      </c>
      <c r="U66" s="596" t="str">
        <f>+IFERROR(VLOOKUP(D66,'[1]ID1&amp;5'!K:L,2,FALSE),"-")</f>
        <v>-</v>
      </c>
      <c r="V66" s="593">
        <v>0</v>
      </c>
      <c r="W66" s="596" t="str">
        <f>+IFERROR(VLOOKUP(E66,'[1]ID1&amp;5'!K:L,2,FALSE),"-")</f>
        <v>-</v>
      </c>
      <c r="X66" s="595">
        <v>0</v>
      </c>
      <c r="Y66" s="597">
        <f>+X66/O66</f>
        <v>0</v>
      </c>
      <c r="Z66" s="596" t="str">
        <f>+IFERROR(VLOOKUP(F66,'[1]ID1&amp;5'!K:L,2,FALSE),"-")</f>
        <v>-</v>
      </c>
      <c r="AA66" s="595">
        <v>0</v>
      </c>
      <c r="AB66" s="597">
        <f>+AA66/O66</f>
        <v>0</v>
      </c>
      <c r="AC66" s="598" t="s">
        <v>1249</v>
      </c>
      <c r="AD66" s="598" t="s">
        <v>1249</v>
      </c>
      <c r="AE66" s="593">
        <v>0</v>
      </c>
      <c r="AF66" s="593">
        <v>0</v>
      </c>
      <c r="AG66" s="598"/>
      <c r="AH66" s="433" t="s">
        <v>1125</v>
      </c>
      <c r="AI66" s="576" t="s">
        <v>147</v>
      </c>
    </row>
    <row r="67" spans="1:35" x14ac:dyDescent="0.25">
      <c r="A67" s="576" t="str">
        <f>+I67&amp;J67</f>
        <v>B02.000480_TRDNG_VN</v>
      </c>
      <c r="B67" s="588">
        <f>+VLOOKUP(I67&amp;J67,[1]Auxiliar!B:C,2,FALSE)</f>
        <v>2</v>
      </c>
      <c r="C67" s="589">
        <f>+VLOOKUP(I67&amp;J67,[1]Auxiliar!E:F,2,FALSE)</f>
        <v>2</v>
      </c>
      <c r="D67" s="589">
        <f>+VLOOKUP(I67&amp;J67,[1]Auxiliar!H:I,2,FALSE)</f>
        <v>2</v>
      </c>
      <c r="E67" s="589">
        <f>+VLOOKUP(I67&amp;J67,[1]Auxiliar!K:L,2,FALSE)</f>
        <v>2</v>
      </c>
      <c r="F67" s="589">
        <f>+VLOOKUP(I67&amp;J67,[1]Auxiliar!N:O,2,FALSE)</f>
        <v>2</v>
      </c>
      <c r="G67" s="590">
        <f>+VLOOKUP(I67&amp;J67,[1]Auxiliar!Q:R,2,FALSE)</f>
        <v>2</v>
      </c>
      <c r="H67" s="576" t="str">
        <f>+"c"&amp;LEFT(J67,4)</f>
        <v>c0480</v>
      </c>
      <c r="I67" s="591" t="s">
        <v>0</v>
      </c>
      <c r="J67" s="592" t="s">
        <v>1250</v>
      </c>
      <c r="K67" s="592"/>
      <c r="L67" s="592" t="e">
        <f>+VLOOKUP(J67,#REF!,3,FALSE)</f>
        <v>#REF!</v>
      </c>
      <c r="M67" s="593"/>
      <c r="N67" s="594" t="s">
        <v>1156</v>
      </c>
      <c r="O67" s="595">
        <v>8</v>
      </c>
      <c r="P67" s="596" t="str">
        <f>+IFERROR(VLOOKUP(B67,'[1]ID1&amp;5'!K:L,2,FALSE),"-")</f>
        <v>-</v>
      </c>
      <c r="Q67" s="595">
        <v>0</v>
      </c>
      <c r="R67" s="595" t="str">
        <f>+IFERROR(VLOOKUP(CONCATENATE(A67,$C$10,C67),'[1]ID1&amp;5'!B:J,8,FALSE),"-")</f>
        <v>-</v>
      </c>
      <c r="S67" s="596" t="str">
        <f>+IFERROR(VLOOKUP(C67,'[1]ID1&amp;5'!K:L,2,FALSE),"-")</f>
        <v>-</v>
      </c>
      <c r="T67" s="595">
        <v>0</v>
      </c>
      <c r="U67" s="596" t="str">
        <f>+IFERROR(VLOOKUP(D67,'[1]ID1&amp;5'!K:L,2,FALSE),"-")</f>
        <v>-</v>
      </c>
      <c r="V67" s="593">
        <v>0</v>
      </c>
      <c r="W67" s="596" t="str">
        <f>+IFERROR(VLOOKUP(E67,'[1]ID1&amp;5'!K:L,2,FALSE),"-")</f>
        <v>-</v>
      </c>
      <c r="X67" s="595">
        <v>0</v>
      </c>
      <c r="Y67" s="597">
        <f>+X67/O67</f>
        <v>0</v>
      </c>
      <c r="Z67" s="596" t="str">
        <f>+IFERROR(VLOOKUP(F67,'[1]ID1&amp;5'!K:L,2,FALSE),"-")</f>
        <v>-</v>
      </c>
      <c r="AA67" s="595">
        <v>8</v>
      </c>
      <c r="AB67" s="597">
        <f>+AA67/O67</f>
        <v>1</v>
      </c>
      <c r="AC67" s="598" t="s">
        <v>907</v>
      </c>
      <c r="AD67" s="598" t="s">
        <v>907</v>
      </c>
      <c r="AE67" s="593">
        <v>0</v>
      </c>
      <c r="AF67" s="593">
        <v>0</v>
      </c>
      <c r="AG67" s="599" t="s">
        <v>1188</v>
      </c>
      <c r="AH67" s="433" t="s">
        <v>1125</v>
      </c>
      <c r="AI67" s="576" t="s">
        <v>147</v>
      </c>
    </row>
    <row r="68" spans="1:35" x14ac:dyDescent="0.25">
      <c r="A68" s="576" t="str">
        <f>+I68&amp;J68</f>
        <v>B02.000481_TRDNG_VN_LEI</v>
      </c>
      <c r="B68" s="588">
        <f>+VLOOKUP(I68&amp;J68,[1]Auxiliar!B:C,2,FALSE)</f>
        <v>2</v>
      </c>
      <c r="C68" s="589">
        <f>+VLOOKUP(I68&amp;J68,[1]Auxiliar!E:F,2,FALSE)</f>
        <v>2</v>
      </c>
      <c r="D68" s="589">
        <f>+VLOOKUP(I68&amp;J68,[1]Auxiliar!H:I,2,FALSE)</f>
        <v>2</v>
      </c>
      <c r="E68" s="589">
        <f>+VLOOKUP(I68&amp;J68,[1]Auxiliar!K:L,2,FALSE)</f>
        <v>2</v>
      </c>
      <c r="F68" s="589">
        <f>+VLOOKUP(I68&amp;J68,[1]Auxiliar!N:O,2,FALSE)</f>
        <v>2</v>
      </c>
      <c r="G68" s="590">
        <f>+VLOOKUP(I68&amp;J68,[1]Auxiliar!Q:R,2,FALSE)</f>
        <v>2</v>
      </c>
      <c r="H68" s="576" t="str">
        <f>+"c"&amp;LEFT(J68,4)</f>
        <v>c0481</v>
      </c>
      <c r="I68" s="591" t="s">
        <v>0</v>
      </c>
      <c r="J68" s="592" t="s">
        <v>1251</v>
      </c>
      <c r="K68" s="592"/>
      <c r="L68" s="592" t="e">
        <f>+VLOOKUP(J68,#REF!,3,FALSE)</f>
        <v>#REF!</v>
      </c>
      <c r="M68" s="593"/>
      <c r="N68" s="594" t="s">
        <v>1156</v>
      </c>
      <c r="O68" s="595">
        <v>8</v>
      </c>
      <c r="P68" s="596" t="str">
        <f>+IFERROR(VLOOKUP(B68,'[1]ID1&amp;5'!K:L,2,FALSE),"-")</f>
        <v>-</v>
      </c>
      <c r="Q68" s="595">
        <v>0</v>
      </c>
      <c r="R68" s="595" t="str">
        <f>+IFERROR(VLOOKUP(CONCATENATE(A68,$C$10,C68),'[1]ID1&amp;5'!B:J,8,FALSE),"-")</f>
        <v>-</v>
      </c>
      <c r="S68" s="596" t="str">
        <f>+IFERROR(VLOOKUP(C68,'[1]ID1&amp;5'!K:L,2,FALSE),"-")</f>
        <v>-</v>
      </c>
      <c r="T68" s="595">
        <v>0</v>
      </c>
      <c r="U68" s="596" t="str">
        <f>+IFERROR(VLOOKUP(D68,'[1]ID1&amp;5'!K:L,2,FALSE),"-")</f>
        <v>-</v>
      </c>
      <c r="V68" s="593">
        <v>0</v>
      </c>
      <c r="W68" s="596" t="str">
        <f>+IFERROR(VLOOKUP(E68,'[1]ID1&amp;5'!K:L,2,FALSE),"-")</f>
        <v>-</v>
      </c>
      <c r="X68" s="595">
        <v>0</v>
      </c>
      <c r="Y68" s="597">
        <f>+X68/O68</f>
        <v>0</v>
      </c>
      <c r="Z68" s="596" t="str">
        <f>+IFERROR(VLOOKUP(F68,'[1]ID1&amp;5'!K:L,2,FALSE),"-")</f>
        <v>-</v>
      </c>
      <c r="AA68" s="595">
        <v>8</v>
      </c>
      <c r="AB68" s="597">
        <f>+AA68/O68</f>
        <v>1</v>
      </c>
      <c r="AC68" s="598" t="s">
        <v>907</v>
      </c>
      <c r="AD68" s="598" t="s">
        <v>907</v>
      </c>
      <c r="AE68" s="593">
        <v>0</v>
      </c>
      <c r="AF68" s="593">
        <v>0</v>
      </c>
      <c r="AG68" s="599" t="s">
        <v>1188</v>
      </c>
      <c r="AH68" s="433" t="s">
        <v>1125</v>
      </c>
      <c r="AI68" s="576" t="s">
        <v>147</v>
      </c>
    </row>
    <row r="69" spans="1:35" x14ac:dyDescent="0.25">
      <c r="A69" s="576" t="str">
        <f>+I69&amp;J69</f>
        <v>B02.000490_RGSTRR</v>
      </c>
      <c r="B69" s="588">
        <f>+VLOOKUP(I69&amp;J69,[1]Auxiliar!B:C,2,FALSE)</f>
        <v>1</v>
      </c>
      <c r="C69" s="589">
        <f>+VLOOKUP(I69&amp;J69,[1]Auxiliar!E:F,2,FALSE)</f>
        <v>1</v>
      </c>
      <c r="D69" s="589">
        <f>+VLOOKUP(I69&amp;J69,[1]Auxiliar!H:I,2,FALSE)</f>
        <v>1</v>
      </c>
      <c r="E69" s="589">
        <f>+VLOOKUP(I69&amp;J69,[1]Auxiliar!K:L,2,FALSE)</f>
        <v>1</v>
      </c>
      <c r="F69" s="589">
        <f>+VLOOKUP(I69&amp;J69,[1]Auxiliar!N:O,2,FALSE)</f>
        <v>1</v>
      </c>
      <c r="G69" s="590">
        <f>+VLOOKUP(I69&amp;J69,[1]Auxiliar!Q:R,2,FALSE)</f>
        <v>1</v>
      </c>
      <c r="H69" s="576" t="str">
        <f>+"c"&amp;LEFT(J69,4)</f>
        <v>c0490</v>
      </c>
      <c r="I69" s="591" t="s">
        <v>0</v>
      </c>
      <c r="J69" s="592" t="s">
        <v>1252</v>
      </c>
      <c r="K69" s="592"/>
      <c r="L69" s="592" t="e">
        <f>+VLOOKUP(J69,#REF!,3,FALSE)</f>
        <v>#REF!</v>
      </c>
      <c r="M69" s="593"/>
      <c r="N69" s="594" t="s">
        <v>1156</v>
      </c>
      <c r="O69" s="595">
        <v>8</v>
      </c>
      <c r="P69" s="596" t="str">
        <f>+IFERROR(VLOOKUP(B69,'[1]ID1&amp;5'!K:L,2,FALSE),"-")</f>
        <v>-</v>
      </c>
      <c r="Q69" s="595">
        <v>0</v>
      </c>
      <c r="R69" s="595" t="str">
        <f>+IFERROR(VLOOKUP(CONCATENATE(A69,$C$10,C69),'[1]ID1&amp;5'!B:J,8,FALSE),"-")</f>
        <v>-</v>
      </c>
      <c r="S69" s="596" t="str">
        <f>+IFERROR(VLOOKUP(C69,'[1]ID1&amp;5'!K:L,2,FALSE),"-")</f>
        <v>-</v>
      </c>
      <c r="T69" s="595">
        <v>0</v>
      </c>
      <c r="U69" s="596" t="str">
        <f>+IFERROR(VLOOKUP(D69,'[1]ID1&amp;5'!K:L,2,FALSE),"-")</f>
        <v>-</v>
      </c>
      <c r="V69" s="593">
        <v>0</v>
      </c>
      <c r="W69" s="596" t="str">
        <f>+IFERROR(VLOOKUP(E69,'[1]ID1&amp;5'!K:L,2,FALSE),"-")</f>
        <v>-</v>
      </c>
      <c r="X69" s="595">
        <v>0</v>
      </c>
      <c r="Y69" s="597">
        <f>+X69/O69</f>
        <v>0</v>
      </c>
      <c r="Z69" s="596" t="str">
        <f>+IFERROR(VLOOKUP(F69,'[1]ID1&amp;5'!K:L,2,FALSE),"-")</f>
        <v>-</v>
      </c>
      <c r="AA69" s="595">
        <v>0</v>
      </c>
      <c r="AB69" s="597">
        <f>+AA69/O69</f>
        <v>0</v>
      </c>
      <c r="AC69" s="598" t="s">
        <v>1242</v>
      </c>
      <c r="AD69" s="598" t="s">
        <v>1242</v>
      </c>
      <c r="AE69" s="593">
        <v>0</v>
      </c>
      <c r="AF69" s="593">
        <v>0</v>
      </c>
      <c r="AG69" s="598"/>
      <c r="AH69" s="433" t="s">
        <v>1125</v>
      </c>
      <c r="AI69" s="576" t="s">
        <v>147</v>
      </c>
    </row>
    <row r="70" spans="1:35" x14ac:dyDescent="0.25">
      <c r="A70" s="576" t="str">
        <f>+I70&amp;J70</f>
        <v>B02.000491_RGSTRR_LEI</v>
      </c>
      <c r="B70" s="588">
        <f>+VLOOKUP(I70&amp;J70,[1]Auxiliar!B:C,2,FALSE)</f>
        <v>2</v>
      </c>
      <c r="C70" s="589">
        <f>+VLOOKUP(I70&amp;J70,[1]Auxiliar!E:F,2,FALSE)</f>
        <v>2</v>
      </c>
      <c r="D70" s="589">
        <f>+VLOOKUP(I70&amp;J70,[1]Auxiliar!H:I,2,FALSE)</f>
        <v>2</v>
      </c>
      <c r="E70" s="589">
        <f>+VLOOKUP(I70&amp;J70,[1]Auxiliar!K:L,2,FALSE)</f>
        <v>2</v>
      </c>
      <c r="F70" s="589">
        <f>+VLOOKUP(I70&amp;J70,[1]Auxiliar!N:O,2,FALSE)</f>
        <v>2</v>
      </c>
      <c r="G70" s="590">
        <f>+VLOOKUP(I70&amp;J70,[1]Auxiliar!Q:R,2,FALSE)</f>
        <v>2</v>
      </c>
      <c r="H70" s="576" t="str">
        <f>+"c"&amp;LEFT(J70,4)</f>
        <v>c0491</v>
      </c>
      <c r="I70" s="591" t="s">
        <v>0</v>
      </c>
      <c r="J70" s="592" t="s">
        <v>1253</v>
      </c>
      <c r="K70" s="592"/>
      <c r="L70" s="592" t="e">
        <f>+VLOOKUP(J70,#REF!,3,FALSE)</f>
        <v>#REF!</v>
      </c>
      <c r="M70" s="593"/>
      <c r="N70" s="594" t="s">
        <v>1156</v>
      </c>
      <c r="O70" s="595">
        <v>8</v>
      </c>
      <c r="P70" s="596" t="str">
        <f>+IFERROR(VLOOKUP(B70,'[1]ID1&amp;5'!K:L,2,FALSE),"-")</f>
        <v>-</v>
      </c>
      <c r="Q70" s="595">
        <v>0</v>
      </c>
      <c r="R70" s="595" t="str">
        <f>+IFERROR(VLOOKUP(CONCATENATE(A70,$C$10,C70),'[1]ID1&amp;5'!B:J,8,FALSE),"-")</f>
        <v>-</v>
      </c>
      <c r="S70" s="596" t="str">
        <f>+IFERROR(VLOOKUP(C70,'[1]ID1&amp;5'!K:L,2,FALSE),"-")</f>
        <v>-</v>
      </c>
      <c r="T70" s="595">
        <v>0</v>
      </c>
      <c r="U70" s="596" t="str">
        <f>+IFERROR(VLOOKUP(D70,'[1]ID1&amp;5'!K:L,2,FALSE),"-")</f>
        <v>-</v>
      </c>
      <c r="V70" s="593">
        <v>0</v>
      </c>
      <c r="W70" s="596" t="str">
        <f>+IFERROR(VLOOKUP(E70,'[1]ID1&amp;5'!K:L,2,FALSE),"-")</f>
        <v>-</v>
      </c>
      <c r="X70" s="595">
        <v>0</v>
      </c>
      <c r="Y70" s="597">
        <f>+X70/O70</f>
        <v>0</v>
      </c>
      <c r="Z70" s="596" t="str">
        <f>+IFERROR(VLOOKUP(F70,'[1]ID1&amp;5'!K:L,2,FALSE),"-")</f>
        <v>-</v>
      </c>
      <c r="AA70" s="595">
        <v>0</v>
      </c>
      <c r="AB70" s="597">
        <f>+AA70/O70</f>
        <v>0</v>
      </c>
      <c r="AC70" s="598" t="s">
        <v>1244</v>
      </c>
      <c r="AD70" s="598" t="s">
        <v>1244</v>
      </c>
      <c r="AE70" s="593">
        <v>0</v>
      </c>
      <c r="AF70" s="593">
        <v>0</v>
      </c>
      <c r="AG70" s="598"/>
      <c r="AH70" s="433" t="s">
        <v>1125</v>
      </c>
      <c r="AI70" s="576" t="s">
        <v>147</v>
      </c>
    </row>
    <row r="71" spans="1:35" x14ac:dyDescent="0.25">
      <c r="A71" s="576" t="str">
        <f>+I71&amp;J71</f>
        <v>B02.000500_NNA</v>
      </c>
      <c r="B71" s="588">
        <f>+VLOOKUP(I71&amp;J71,[1]Auxiliar!B:C,2,FALSE)</f>
        <v>2</v>
      </c>
      <c r="C71" s="589">
        <f>+VLOOKUP(I71&amp;J71,[1]Auxiliar!E:F,2,FALSE)</f>
        <v>2</v>
      </c>
      <c r="D71" s="589">
        <f>+VLOOKUP(I71&amp;J71,[1]Auxiliar!H:I,2,FALSE)</f>
        <v>2</v>
      </c>
      <c r="E71" s="589">
        <f>+VLOOKUP(I71&amp;J71,[1]Auxiliar!K:L,2,FALSE)</f>
        <v>2</v>
      </c>
      <c r="F71" s="589">
        <f>+VLOOKUP(I71&amp;J71,[1]Auxiliar!N:O,2,FALSE)</f>
        <v>2</v>
      </c>
      <c r="G71" s="590">
        <f>+VLOOKUP(I71&amp;J71,[1]Auxiliar!Q:R,2,FALSE)</f>
        <v>2</v>
      </c>
      <c r="H71" s="576" t="str">
        <f>+"c"&amp;LEFT(J71,4)</f>
        <v>c0500</v>
      </c>
      <c r="I71" s="591" t="s">
        <v>0</v>
      </c>
      <c r="J71" s="592" t="s">
        <v>1254</v>
      </c>
      <c r="K71" s="592"/>
      <c r="L71" s="592" t="e">
        <f>+VLOOKUP(J71,#REF!,3,FALSE)</f>
        <v>#REF!</v>
      </c>
      <c r="M71" s="593"/>
      <c r="N71" s="594" t="s">
        <v>1156</v>
      </c>
      <c r="O71" s="595">
        <v>8</v>
      </c>
      <c r="P71" s="596" t="str">
        <f>+IFERROR(VLOOKUP(B71,'[1]ID1&amp;5'!K:L,2,FALSE),"-")</f>
        <v>-</v>
      </c>
      <c r="Q71" s="595">
        <v>0</v>
      </c>
      <c r="R71" s="595" t="str">
        <f>+IFERROR(VLOOKUP(CONCATENATE(A71,$C$10,C71),'[1]ID1&amp;5'!B:J,8,FALSE),"-")</f>
        <v>-</v>
      </c>
      <c r="S71" s="596" t="str">
        <f>+IFERROR(VLOOKUP(C71,'[1]ID1&amp;5'!K:L,2,FALSE),"-")</f>
        <v>-</v>
      </c>
      <c r="T71" s="595">
        <v>0</v>
      </c>
      <c r="U71" s="596" t="str">
        <f>+IFERROR(VLOOKUP(D71,'[1]ID1&amp;5'!K:L,2,FALSE),"-")</f>
        <v>-</v>
      </c>
      <c r="V71" s="593">
        <v>0</v>
      </c>
      <c r="W71" s="596" t="str">
        <f>+IFERROR(VLOOKUP(E71,'[1]ID1&amp;5'!K:L,2,FALSE),"-")</f>
        <v>-</v>
      </c>
      <c r="X71" s="595">
        <v>0</v>
      </c>
      <c r="Y71" s="597">
        <f>+X71/O71</f>
        <v>0</v>
      </c>
      <c r="Z71" s="596" t="str">
        <f>+IFERROR(VLOOKUP(F71,'[1]ID1&amp;5'!K:L,2,FALSE),"-")</f>
        <v>-</v>
      </c>
      <c r="AA71" s="595">
        <v>0</v>
      </c>
      <c r="AB71" s="597">
        <f>+AA71/O71</f>
        <v>0</v>
      </c>
      <c r="AC71" s="598" t="s">
        <v>1242</v>
      </c>
      <c r="AD71" s="598" t="s">
        <v>1242</v>
      </c>
      <c r="AE71" s="593">
        <v>0</v>
      </c>
      <c r="AF71" s="593">
        <v>0</v>
      </c>
      <c r="AG71" s="598"/>
      <c r="AH71" s="433" t="s">
        <v>1125</v>
      </c>
      <c r="AI71" s="576" t="s">
        <v>147</v>
      </c>
    </row>
    <row r="72" spans="1:35" x14ac:dyDescent="0.25">
      <c r="A72" s="576" t="str">
        <f>+I72&amp;J72</f>
        <v>B02.000501_NNA_LEI</v>
      </c>
      <c r="B72" s="588">
        <f>+VLOOKUP(I72&amp;J72,[1]Auxiliar!B:C,2,FALSE)</f>
        <v>2</v>
      </c>
      <c r="C72" s="589">
        <f>+VLOOKUP(I72&amp;J72,[1]Auxiliar!E:F,2,FALSE)</f>
        <v>2</v>
      </c>
      <c r="D72" s="589">
        <f>+VLOOKUP(I72&amp;J72,[1]Auxiliar!H:I,2,FALSE)</f>
        <v>2</v>
      </c>
      <c r="E72" s="589">
        <f>+VLOOKUP(I72&amp;J72,[1]Auxiliar!K:L,2,FALSE)</f>
        <v>2</v>
      </c>
      <c r="F72" s="589">
        <f>+VLOOKUP(I72&amp;J72,[1]Auxiliar!N:O,2,FALSE)</f>
        <v>2</v>
      </c>
      <c r="G72" s="590">
        <f>+VLOOKUP(I72&amp;J72,[1]Auxiliar!Q:R,2,FALSE)</f>
        <v>2</v>
      </c>
      <c r="H72" s="576" t="str">
        <f>+"c"&amp;LEFT(J72,4)</f>
        <v>c0501</v>
      </c>
      <c r="I72" s="591" t="s">
        <v>0</v>
      </c>
      <c r="J72" s="592" t="s">
        <v>1255</v>
      </c>
      <c r="K72" s="592"/>
      <c r="L72" s="592" t="e">
        <f>+VLOOKUP(J72,#REF!,3,FALSE)</f>
        <v>#REF!</v>
      </c>
      <c r="M72" s="593"/>
      <c r="N72" s="594" t="s">
        <v>1156</v>
      </c>
      <c r="O72" s="595">
        <v>8</v>
      </c>
      <c r="P72" s="596" t="str">
        <f>+IFERROR(VLOOKUP(B72,'[1]ID1&amp;5'!K:L,2,FALSE),"-")</f>
        <v>-</v>
      </c>
      <c r="Q72" s="595">
        <v>0</v>
      </c>
      <c r="R72" s="595" t="str">
        <f>+IFERROR(VLOOKUP(CONCATENATE(A72,$C$10,C72),'[1]ID1&amp;5'!B:J,8,FALSE),"-")</f>
        <v>-</v>
      </c>
      <c r="S72" s="596" t="str">
        <f>+IFERROR(VLOOKUP(C72,'[1]ID1&amp;5'!K:L,2,FALSE),"-")</f>
        <v>-</v>
      </c>
      <c r="T72" s="595">
        <v>0</v>
      </c>
      <c r="U72" s="596" t="str">
        <f>+IFERROR(VLOOKUP(D72,'[1]ID1&amp;5'!K:L,2,FALSE),"-")</f>
        <v>-</v>
      </c>
      <c r="V72" s="593">
        <v>0</v>
      </c>
      <c r="W72" s="596" t="str">
        <f>+IFERROR(VLOOKUP(E72,'[1]ID1&amp;5'!K:L,2,FALSE),"-")</f>
        <v>-</v>
      </c>
      <c r="X72" s="595">
        <v>0</v>
      </c>
      <c r="Y72" s="597">
        <f>+X72/O72</f>
        <v>0</v>
      </c>
      <c r="Z72" s="596" t="str">
        <f>+IFERROR(VLOOKUP(F72,'[1]ID1&amp;5'!K:L,2,FALSE),"-")</f>
        <v>-</v>
      </c>
      <c r="AA72" s="595">
        <v>0</v>
      </c>
      <c r="AB72" s="597">
        <f>+AA72/O72</f>
        <v>0</v>
      </c>
      <c r="AC72" s="598" t="s">
        <v>1244</v>
      </c>
      <c r="AD72" s="598" t="s">
        <v>1244</v>
      </c>
      <c r="AE72" s="593">
        <v>0</v>
      </c>
      <c r="AF72" s="593">
        <v>0</v>
      </c>
      <c r="AG72" s="598"/>
      <c r="AH72" s="433" t="s">
        <v>1125</v>
      </c>
      <c r="AI72" s="576" t="s">
        <v>147</v>
      </c>
    </row>
    <row r="73" spans="1:35" x14ac:dyDescent="0.25">
      <c r="A73" s="576" t="str">
        <f>+I73&amp;J73</f>
        <v>B02.000510_CMMN_DPSTRY</v>
      </c>
      <c r="B73" s="588">
        <f>+VLOOKUP(I73&amp;J73,[1]Auxiliar!B:C,2,FALSE)</f>
        <v>2</v>
      </c>
      <c r="C73" s="589">
        <f>+VLOOKUP(I73&amp;J73,[1]Auxiliar!E:F,2,FALSE)</f>
        <v>2</v>
      </c>
      <c r="D73" s="589">
        <f>+VLOOKUP(I73&amp;J73,[1]Auxiliar!H:I,2,FALSE)</f>
        <v>2</v>
      </c>
      <c r="E73" s="589">
        <f>+VLOOKUP(I73&amp;J73,[1]Auxiliar!K:L,2,FALSE)</f>
        <v>2</v>
      </c>
      <c r="F73" s="589">
        <f>+VLOOKUP(I73&amp;J73,[1]Auxiliar!N:O,2,FALSE)</f>
        <v>2</v>
      </c>
      <c r="G73" s="590">
        <f>+VLOOKUP(I73&amp;J73,[1]Auxiliar!Q:R,2,FALSE)</f>
        <v>2</v>
      </c>
      <c r="H73" s="576" t="str">
        <f>+"c"&amp;LEFT(J73,4)</f>
        <v>c0510</v>
      </c>
      <c r="I73" s="591" t="s">
        <v>0</v>
      </c>
      <c r="J73" s="592" t="s">
        <v>1256</v>
      </c>
      <c r="K73" s="592"/>
      <c r="L73" s="592" t="e">
        <f>+VLOOKUP(J73,#REF!,3,FALSE)</f>
        <v>#REF!</v>
      </c>
      <c r="M73" s="593"/>
      <c r="N73" s="594" t="s">
        <v>1156</v>
      </c>
      <c r="O73" s="595">
        <v>8</v>
      </c>
      <c r="P73" s="596" t="str">
        <f>+IFERROR(VLOOKUP(B73,'[1]ID1&amp;5'!K:L,2,FALSE),"-")</f>
        <v>-</v>
      </c>
      <c r="Q73" s="595">
        <v>0</v>
      </c>
      <c r="R73" s="595" t="str">
        <f>+IFERROR(VLOOKUP(CONCATENATE(A73,$C$10,C73),'[1]ID1&amp;5'!B:J,8,FALSE),"-")</f>
        <v>-</v>
      </c>
      <c r="S73" s="596" t="str">
        <f>+IFERROR(VLOOKUP(C73,'[1]ID1&amp;5'!K:L,2,FALSE),"-")</f>
        <v>-</v>
      </c>
      <c r="T73" s="595">
        <v>0</v>
      </c>
      <c r="U73" s="596" t="str">
        <f>+IFERROR(VLOOKUP(D73,'[1]ID1&amp;5'!K:L,2,FALSE),"-")</f>
        <v>-</v>
      </c>
      <c r="V73" s="593">
        <v>0</v>
      </c>
      <c r="W73" s="596" t="str">
        <f>+IFERROR(VLOOKUP(E73,'[1]ID1&amp;5'!K:L,2,FALSE),"-")</f>
        <v>-</v>
      </c>
      <c r="X73" s="595">
        <v>0</v>
      </c>
      <c r="Y73" s="597">
        <f>+X73/O73</f>
        <v>0</v>
      </c>
      <c r="Z73" s="596" t="str">
        <f>+IFERROR(VLOOKUP(F73,'[1]ID1&amp;5'!K:L,2,FALSE),"-")</f>
        <v>-</v>
      </c>
      <c r="AA73" s="595">
        <v>8</v>
      </c>
      <c r="AB73" s="597">
        <f>+AA73/O73</f>
        <v>1</v>
      </c>
      <c r="AC73" s="598" t="s">
        <v>907</v>
      </c>
      <c r="AD73" s="598" t="s">
        <v>907</v>
      </c>
      <c r="AE73" s="593">
        <v>0</v>
      </c>
      <c r="AF73" s="593">
        <v>0</v>
      </c>
      <c r="AG73" s="599" t="s">
        <v>1188</v>
      </c>
      <c r="AH73" s="433" t="s">
        <v>1125</v>
      </c>
      <c r="AI73" s="576" t="s">
        <v>147</v>
      </c>
    </row>
    <row r="74" spans="1:35" x14ac:dyDescent="0.25">
      <c r="A74" s="576" t="str">
        <f>+I74&amp;J74</f>
        <v>B02.000511_CMMN_DPSTRY_LEI</v>
      </c>
      <c r="B74" s="588">
        <f>+VLOOKUP(I74&amp;J74,[1]Auxiliar!B:C,2,FALSE)</f>
        <v>2</v>
      </c>
      <c r="C74" s="589">
        <f>+VLOOKUP(I74&amp;J74,[1]Auxiliar!E:F,2,FALSE)</f>
        <v>2</v>
      </c>
      <c r="D74" s="589">
        <f>+VLOOKUP(I74&amp;J74,[1]Auxiliar!H:I,2,FALSE)</f>
        <v>2</v>
      </c>
      <c r="E74" s="589">
        <f>+VLOOKUP(I74&amp;J74,[1]Auxiliar!K:L,2,FALSE)</f>
        <v>2</v>
      </c>
      <c r="F74" s="589">
        <f>+VLOOKUP(I74&amp;J74,[1]Auxiliar!N:O,2,FALSE)</f>
        <v>2</v>
      </c>
      <c r="G74" s="590">
        <f>+VLOOKUP(I74&amp;J74,[1]Auxiliar!Q:R,2,FALSE)</f>
        <v>2</v>
      </c>
      <c r="H74" s="576" t="str">
        <f>+"c"&amp;LEFT(J74,4)</f>
        <v>c0511</v>
      </c>
      <c r="I74" s="591" t="s">
        <v>0</v>
      </c>
      <c r="J74" s="592" t="s">
        <v>1257</v>
      </c>
      <c r="K74" s="592"/>
      <c r="L74" s="592" t="e">
        <f>+VLOOKUP(J74,#REF!,3,FALSE)</f>
        <v>#REF!</v>
      </c>
      <c r="M74" s="593"/>
      <c r="N74" s="594" t="s">
        <v>1156</v>
      </c>
      <c r="O74" s="595">
        <v>8</v>
      </c>
      <c r="P74" s="596" t="str">
        <f>+IFERROR(VLOOKUP(B74,'[1]ID1&amp;5'!K:L,2,FALSE),"-")</f>
        <v>-</v>
      </c>
      <c r="Q74" s="595">
        <v>0</v>
      </c>
      <c r="R74" s="595" t="str">
        <f>+IFERROR(VLOOKUP(CONCATENATE(A74,$C$10,C74),'[1]ID1&amp;5'!B:J,8,FALSE),"-")</f>
        <v>-</v>
      </c>
      <c r="S74" s="596" t="str">
        <f>+IFERROR(VLOOKUP(C74,'[1]ID1&amp;5'!K:L,2,FALSE),"-")</f>
        <v>-</v>
      </c>
      <c r="T74" s="595">
        <v>0</v>
      </c>
      <c r="U74" s="596" t="str">
        <f>+IFERROR(VLOOKUP(D74,'[1]ID1&amp;5'!K:L,2,FALSE),"-")</f>
        <v>-</v>
      </c>
      <c r="V74" s="593">
        <v>0</v>
      </c>
      <c r="W74" s="596" t="str">
        <f>+IFERROR(VLOOKUP(E74,'[1]ID1&amp;5'!K:L,2,FALSE),"-")</f>
        <v>-</v>
      </c>
      <c r="X74" s="595">
        <v>0</v>
      </c>
      <c r="Y74" s="597">
        <f>+X74/O74</f>
        <v>0</v>
      </c>
      <c r="Z74" s="596" t="str">
        <f>+IFERROR(VLOOKUP(F74,'[1]ID1&amp;5'!K:L,2,FALSE),"-")</f>
        <v>-</v>
      </c>
      <c r="AA74" s="595">
        <v>8</v>
      </c>
      <c r="AB74" s="597">
        <f>+AA74/O74</f>
        <v>1</v>
      </c>
      <c r="AC74" s="598" t="s">
        <v>907</v>
      </c>
      <c r="AD74" s="598" t="s">
        <v>907</v>
      </c>
      <c r="AE74" s="593">
        <v>0</v>
      </c>
      <c r="AF74" s="593">
        <v>0</v>
      </c>
      <c r="AG74" s="599" t="s">
        <v>1188</v>
      </c>
      <c r="AH74" s="433" t="s">
        <v>1125</v>
      </c>
      <c r="AI74" s="576" t="s">
        <v>147</v>
      </c>
    </row>
    <row r="75" spans="1:35" x14ac:dyDescent="0.25">
      <c r="A75" s="576" t="str">
        <f>+I75&amp;J75</f>
        <v>B02.000520_CMMN_SRVC_PRVDR</v>
      </c>
      <c r="B75" s="588">
        <f>+VLOOKUP(I75&amp;J75,[1]Auxiliar!B:C,2,FALSE)</f>
        <v>2</v>
      </c>
      <c r="C75" s="589">
        <f>+VLOOKUP(I75&amp;J75,[1]Auxiliar!E:F,2,FALSE)</f>
        <v>2</v>
      </c>
      <c r="D75" s="589">
        <f>+VLOOKUP(I75&amp;J75,[1]Auxiliar!H:I,2,FALSE)</f>
        <v>2</v>
      </c>
      <c r="E75" s="589">
        <f>+VLOOKUP(I75&amp;J75,[1]Auxiliar!K:L,2,FALSE)</f>
        <v>2</v>
      </c>
      <c r="F75" s="589">
        <f>+VLOOKUP(I75&amp;J75,[1]Auxiliar!N:O,2,FALSE)</f>
        <v>2</v>
      </c>
      <c r="G75" s="590">
        <f>+VLOOKUP(I75&amp;J75,[1]Auxiliar!Q:R,2,FALSE)</f>
        <v>2</v>
      </c>
      <c r="H75" s="576" t="str">
        <f>+"c"&amp;LEFT(J75,4)</f>
        <v>c0520</v>
      </c>
      <c r="I75" s="591" t="s">
        <v>0</v>
      </c>
      <c r="J75" s="592" t="s">
        <v>1258</v>
      </c>
      <c r="K75" s="592"/>
      <c r="L75" s="592" t="e">
        <f>+VLOOKUP(J75,#REF!,3,FALSE)</f>
        <v>#REF!</v>
      </c>
      <c r="M75" s="593"/>
      <c r="N75" s="594" t="s">
        <v>1156</v>
      </c>
      <c r="O75" s="595">
        <v>8</v>
      </c>
      <c r="P75" s="596" t="str">
        <f>+IFERROR(VLOOKUP(B75,'[1]ID1&amp;5'!K:L,2,FALSE),"-")</f>
        <v>-</v>
      </c>
      <c r="Q75" s="595">
        <v>0</v>
      </c>
      <c r="R75" s="595" t="str">
        <f>+IFERROR(VLOOKUP(CONCATENATE(A75,$C$10,C75),'[1]ID1&amp;5'!B:J,8,FALSE),"-")</f>
        <v>-</v>
      </c>
      <c r="S75" s="596" t="str">
        <f>+IFERROR(VLOOKUP(C75,'[1]ID1&amp;5'!K:L,2,FALSE),"-")</f>
        <v>-</v>
      </c>
      <c r="T75" s="595">
        <v>0</v>
      </c>
      <c r="U75" s="596" t="str">
        <f>+IFERROR(VLOOKUP(D75,'[1]ID1&amp;5'!K:L,2,FALSE),"-")</f>
        <v>-</v>
      </c>
      <c r="V75" s="593">
        <v>0</v>
      </c>
      <c r="W75" s="596" t="str">
        <f>+IFERROR(VLOOKUP(E75,'[1]ID1&amp;5'!K:L,2,FALSE),"-")</f>
        <v>-</v>
      </c>
      <c r="X75" s="595">
        <v>0</v>
      </c>
      <c r="Y75" s="597">
        <f>+X75/O75</f>
        <v>0</v>
      </c>
      <c r="Z75" s="596" t="str">
        <f>+IFERROR(VLOOKUP(F75,'[1]ID1&amp;5'!K:L,2,FALSE),"-")</f>
        <v>-</v>
      </c>
      <c r="AA75" s="595">
        <v>8</v>
      </c>
      <c r="AB75" s="597">
        <f>+AA75/O75</f>
        <v>1</v>
      </c>
      <c r="AC75" s="598" t="s">
        <v>907</v>
      </c>
      <c r="AD75" s="598" t="s">
        <v>907</v>
      </c>
      <c r="AE75" s="593">
        <v>0</v>
      </c>
      <c r="AF75" s="593">
        <v>0</v>
      </c>
      <c r="AG75" s="599" t="s">
        <v>1188</v>
      </c>
      <c r="AH75" s="433" t="s">
        <v>1125</v>
      </c>
      <c r="AI75" s="576" t="s">
        <v>147</v>
      </c>
    </row>
    <row r="76" spans="1:35" x14ac:dyDescent="0.25">
      <c r="A76" s="576" t="str">
        <f>+I76&amp;J76</f>
        <v>B02.000521_CMMN_SRVC_PRVDR_LEI</v>
      </c>
      <c r="B76" s="588">
        <f>+VLOOKUP(I76&amp;J76,[1]Auxiliar!B:C,2,FALSE)</f>
        <v>2</v>
      </c>
      <c r="C76" s="589">
        <f>+VLOOKUP(I76&amp;J76,[1]Auxiliar!E:F,2,FALSE)</f>
        <v>2</v>
      </c>
      <c r="D76" s="589">
        <f>+VLOOKUP(I76&amp;J76,[1]Auxiliar!H:I,2,FALSE)</f>
        <v>2</v>
      </c>
      <c r="E76" s="589">
        <f>+VLOOKUP(I76&amp;J76,[1]Auxiliar!K:L,2,FALSE)</f>
        <v>2</v>
      </c>
      <c r="F76" s="589">
        <f>+VLOOKUP(I76&amp;J76,[1]Auxiliar!N:O,2,FALSE)</f>
        <v>2</v>
      </c>
      <c r="G76" s="590">
        <f>+VLOOKUP(I76&amp;J76,[1]Auxiliar!Q:R,2,FALSE)</f>
        <v>2</v>
      </c>
      <c r="H76" s="576" t="str">
        <f>+"c"&amp;LEFT(J76,4)</f>
        <v>c0521</v>
      </c>
      <c r="I76" s="591" t="s">
        <v>0</v>
      </c>
      <c r="J76" s="592" t="s">
        <v>1259</v>
      </c>
      <c r="K76" s="592"/>
      <c r="L76" s="592" t="e">
        <f>+VLOOKUP(J76,#REF!,3,FALSE)</f>
        <v>#REF!</v>
      </c>
      <c r="M76" s="593"/>
      <c r="N76" s="594" t="s">
        <v>1156</v>
      </c>
      <c r="O76" s="595">
        <v>8</v>
      </c>
      <c r="P76" s="596" t="str">
        <f>+IFERROR(VLOOKUP(B76,'[1]ID1&amp;5'!K:L,2,FALSE),"-")</f>
        <v>-</v>
      </c>
      <c r="Q76" s="595">
        <v>0</v>
      </c>
      <c r="R76" s="595" t="str">
        <f>+IFERROR(VLOOKUP(CONCATENATE(A76,$C$10,C76),'[1]ID1&amp;5'!B:J,8,FALSE),"-")</f>
        <v>-</v>
      </c>
      <c r="S76" s="596" t="str">
        <f>+IFERROR(VLOOKUP(C76,'[1]ID1&amp;5'!K:L,2,FALSE),"-")</f>
        <v>-</v>
      </c>
      <c r="T76" s="595">
        <v>0</v>
      </c>
      <c r="U76" s="596" t="str">
        <f>+IFERROR(VLOOKUP(D76,'[1]ID1&amp;5'!K:L,2,FALSE),"-")</f>
        <v>-</v>
      </c>
      <c r="V76" s="593">
        <v>0</v>
      </c>
      <c r="W76" s="596" t="str">
        <f>+IFERROR(VLOOKUP(E76,'[1]ID1&amp;5'!K:L,2,FALSE),"-")</f>
        <v>-</v>
      </c>
      <c r="X76" s="595">
        <v>0</v>
      </c>
      <c r="Y76" s="597">
        <f>+X76/O76</f>
        <v>0</v>
      </c>
      <c r="Z76" s="596" t="str">
        <f>+IFERROR(VLOOKUP(F76,'[1]ID1&amp;5'!K:L,2,FALSE),"-")</f>
        <v>-</v>
      </c>
      <c r="AA76" s="595">
        <v>8</v>
      </c>
      <c r="AB76" s="597">
        <f>+AA76/O76</f>
        <v>1</v>
      </c>
      <c r="AC76" s="598" t="s">
        <v>907</v>
      </c>
      <c r="AD76" s="598" t="s">
        <v>907</v>
      </c>
      <c r="AE76" s="593">
        <v>0</v>
      </c>
      <c r="AF76" s="593">
        <v>0</v>
      </c>
      <c r="AG76" s="599" t="s">
        <v>1188</v>
      </c>
      <c r="AH76" s="433" t="s">
        <v>1125</v>
      </c>
      <c r="AI76" s="576" t="s">
        <v>147</v>
      </c>
    </row>
    <row r="77" spans="1:35" x14ac:dyDescent="0.25">
      <c r="A77" s="576" t="str">
        <f>+I77&amp;J77</f>
        <v>B02.000530_TYP_OWN_FNDS_IND_LVL</v>
      </c>
      <c r="B77" s="588">
        <f>+VLOOKUP(I77&amp;J77,[1]Auxiliar!B:C,2,FALSE)</f>
        <v>2</v>
      </c>
      <c r="C77" s="589">
        <f>+VLOOKUP(I77&amp;J77,[1]Auxiliar!E:F,2,FALSE)</f>
        <v>2</v>
      </c>
      <c r="D77" s="589">
        <f>+VLOOKUP(I77&amp;J77,[1]Auxiliar!H:I,2,FALSE)</f>
        <v>2</v>
      </c>
      <c r="E77" s="589">
        <f>+VLOOKUP(I77&amp;J77,[1]Auxiliar!K:L,2,FALSE)</f>
        <v>2</v>
      </c>
      <c r="F77" s="589">
        <f>+VLOOKUP(I77&amp;J77,[1]Auxiliar!N:O,2,FALSE)</f>
        <v>2</v>
      </c>
      <c r="G77" s="590">
        <f>+VLOOKUP(I77&amp;J77,[1]Auxiliar!Q:R,2,FALSE)</f>
        <v>2</v>
      </c>
      <c r="H77" s="576" t="str">
        <f>+"c"&amp;LEFT(J77,4)</f>
        <v>c0530</v>
      </c>
      <c r="I77" s="591" t="s">
        <v>0</v>
      </c>
      <c r="J77" s="592" t="s">
        <v>1260</v>
      </c>
      <c r="K77" s="592"/>
      <c r="L77" s="592" t="e">
        <f>+VLOOKUP(J77,#REF!,3,FALSE)</f>
        <v>#REF!</v>
      </c>
      <c r="M77" s="593"/>
      <c r="N77" s="594" t="s">
        <v>1156</v>
      </c>
      <c r="O77" s="595">
        <v>8</v>
      </c>
      <c r="P77" s="596" t="str">
        <f>+IFERROR(VLOOKUP(B77,'[1]ID1&amp;5'!K:L,2,FALSE),"-")</f>
        <v>-</v>
      </c>
      <c r="Q77" s="595">
        <v>2</v>
      </c>
      <c r="R77" s="595" t="str">
        <f>+IFERROR(VLOOKUP(CONCATENATE(A77,$C$10,C77),'[1]ID1&amp;5'!B:J,8,FALSE),"-")</f>
        <v>-</v>
      </c>
      <c r="S77" s="596" t="str">
        <f>+IFERROR(VLOOKUP(C77,'[1]ID1&amp;5'!K:L,2,FALSE),"-")</f>
        <v>-</v>
      </c>
      <c r="T77" s="595">
        <v>0</v>
      </c>
      <c r="U77" s="596" t="str">
        <f>+IFERROR(VLOOKUP(D77,'[1]ID1&amp;5'!K:L,2,FALSE),"-")</f>
        <v>-</v>
      </c>
      <c r="V77" s="593">
        <v>0</v>
      </c>
      <c r="W77" s="596" t="str">
        <f>+IFERROR(VLOOKUP(E77,'[1]ID1&amp;5'!K:L,2,FALSE),"-")</f>
        <v>-</v>
      </c>
      <c r="X77" s="595">
        <v>0</v>
      </c>
      <c r="Y77" s="597">
        <f>+X77/O77</f>
        <v>0</v>
      </c>
      <c r="Z77" s="596" t="str">
        <f>+IFERROR(VLOOKUP(F77,'[1]ID1&amp;5'!K:L,2,FALSE),"-")</f>
        <v>-</v>
      </c>
      <c r="AA77" s="595">
        <v>0</v>
      </c>
      <c r="AB77" s="597">
        <f>+AA77/O77</f>
        <v>0</v>
      </c>
      <c r="AC77" s="598" t="s">
        <v>1261</v>
      </c>
      <c r="AD77" s="598" t="s">
        <v>1262</v>
      </c>
      <c r="AE77" s="593">
        <v>0</v>
      </c>
      <c r="AF77" s="593">
        <v>0</v>
      </c>
      <c r="AG77" s="598"/>
      <c r="AH77" s="433" t="s">
        <v>1125</v>
      </c>
      <c r="AI77" s="576" t="s">
        <v>879</v>
      </c>
    </row>
    <row r="78" spans="1:35" x14ac:dyDescent="0.25">
      <c r="A78" s="576" t="str">
        <f>+I78&amp;J78</f>
        <v>B02.000540_ELGBL_AMNT_OWN_FNDS_IND_LVL</v>
      </c>
      <c r="B78" s="588">
        <f>+VLOOKUP(I78&amp;J78,[1]Auxiliar!B:C,2,FALSE)</f>
        <v>2</v>
      </c>
      <c r="C78" s="589">
        <f>+VLOOKUP(I78&amp;J78,[1]Auxiliar!E:F,2,FALSE)</f>
        <v>2</v>
      </c>
      <c r="D78" s="589">
        <f>+VLOOKUP(I78&amp;J78,[1]Auxiliar!H:I,2,FALSE)</f>
        <v>2</v>
      </c>
      <c r="E78" s="589">
        <f>+VLOOKUP(I78&amp;J78,[1]Auxiliar!K:L,2,FALSE)</f>
        <v>2</v>
      </c>
      <c r="F78" s="589">
        <f>+VLOOKUP(I78&amp;J78,[1]Auxiliar!N:O,2,FALSE)</f>
        <v>2</v>
      </c>
      <c r="G78" s="590">
        <f>+VLOOKUP(I78&amp;J78,[1]Auxiliar!Q:R,2,FALSE)</f>
        <v>2</v>
      </c>
      <c r="H78" s="576" t="str">
        <f>+"c"&amp;LEFT(J78,4)</f>
        <v>c0540</v>
      </c>
      <c r="I78" s="591" t="s">
        <v>0</v>
      </c>
      <c r="J78" s="592" t="s">
        <v>1263</v>
      </c>
      <c r="K78" s="592"/>
      <c r="L78" s="592" t="e">
        <f>+VLOOKUP(J78,#REF!,3,FALSE)</f>
        <v>#REF!</v>
      </c>
      <c r="M78" s="593"/>
      <c r="N78" s="594" t="s">
        <v>1156</v>
      </c>
      <c r="O78" s="595">
        <v>8</v>
      </c>
      <c r="P78" s="596" t="str">
        <f>+IFERROR(VLOOKUP(B78,'[1]ID1&amp;5'!K:L,2,FALSE),"-")</f>
        <v>-</v>
      </c>
      <c r="Q78" s="595">
        <v>0</v>
      </c>
      <c r="R78" s="595" t="str">
        <f>+IFERROR(VLOOKUP(CONCATENATE(A78,$C$10,C78),'[1]ID1&amp;5'!B:J,8,FALSE),"-")</f>
        <v>-</v>
      </c>
      <c r="S78" s="596" t="str">
        <f>+IFERROR(VLOOKUP(C78,'[1]ID1&amp;5'!K:L,2,FALSE),"-")</f>
        <v>-</v>
      </c>
      <c r="T78" s="595">
        <v>0</v>
      </c>
      <c r="U78" s="596" t="str">
        <f>+IFERROR(VLOOKUP(D78,'[1]ID1&amp;5'!K:L,2,FALSE),"-")</f>
        <v>-</v>
      </c>
      <c r="V78" s="593">
        <v>0</v>
      </c>
      <c r="W78" s="596" t="str">
        <f>+IFERROR(VLOOKUP(E78,'[1]ID1&amp;5'!K:L,2,FALSE),"-")</f>
        <v>-</v>
      </c>
      <c r="X78" s="595">
        <v>0</v>
      </c>
      <c r="Y78" s="597">
        <f>+X78/O78</f>
        <v>0</v>
      </c>
      <c r="Z78" s="596" t="str">
        <f>+IFERROR(VLOOKUP(F78,'[1]ID1&amp;5'!K:L,2,FALSE),"-")</f>
        <v>-</v>
      </c>
      <c r="AA78" s="595">
        <v>0</v>
      </c>
      <c r="AB78" s="597">
        <f>+AA78/O78</f>
        <v>0</v>
      </c>
      <c r="AC78" s="598" t="s">
        <v>1176</v>
      </c>
      <c r="AD78" s="598" t="s">
        <v>1264</v>
      </c>
      <c r="AE78" s="593">
        <v>0</v>
      </c>
      <c r="AF78" s="593">
        <v>0</v>
      </c>
      <c r="AG78" s="598"/>
      <c r="AH78" s="433" t="s">
        <v>1125</v>
      </c>
      <c r="AI78" s="576" t="s">
        <v>235</v>
      </c>
    </row>
    <row r="79" spans="1:35" x14ac:dyDescent="0.25">
      <c r="A79" s="576" t="str">
        <f>+I79&amp;J79</f>
        <v>B02.000550_TYP_OWN_FNDS_CNSLDTD_LVL</v>
      </c>
      <c r="B79" s="588">
        <f>+VLOOKUP(I79&amp;J79,[1]Auxiliar!B:C,2,FALSE)</f>
        <v>2</v>
      </c>
      <c r="C79" s="589">
        <f>+VLOOKUP(I79&amp;J79,[1]Auxiliar!E:F,2,FALSE)</f>
        <v>2</v>
      </c>
      <c r="D79" s="589">
        <f>+VLOOKUP(I79&amp;J79,[1]Auxiliar!H:I,2,FALSE)</f>
        <v>2</v>
      </c>
      <c r="E79" s="589">
        <f>+VLOOKUP(I79&amp;J79,[1]Auxiliar!K:L,2,FALSE)</f>
        <v>2</v>
      </c>
      <c r="F79" s="589">
        <f>+VLOOKUP(I79&amp;J79,[1]Auxiliar!N:O,2,FALSE)</f>
        <v>2</v>
      </c>
      <c r="G79" s="590">
        <f>+VLOOKUP(I79&amp;J79,[1]Auxiliar!Q:R,2,FALSE)</f>
        <v>2</v>
      </c>
      <c r="H79" s="576" t="str">
        <f>+"c"&amp;LEFT(J79,4)</f>
        <v>c0550</v>
      </c>
      <c r="I79" s="591" t="s">
        <v>0</v>
      </c>
      <c r="J79" s="592" t="s">
        <v>1265</v>
      </c>
      <c r="K79" s="592"/>
      <c r="L79" s="592" t="e">
        <f>+VLOOKUP(J79,#REF!,3,FALSE)</f>
        <v>#REF!</v>
      </c>
      <c r="M79" s="593"/>
      <c r="N79" s="594" t="s">
        <v>1156</v>
      </c>
      <c r="O79" s="595">
        <v>8</v>
      </c>
      <c r="P79" s="596" t="str">
        <f>+IFERROR(VLOOKUP(B79,'[1]ID1&amp;5'!K:L,2,FALSE),"-")</f>
        <v>-</v>
      </c>
      <c r="Q79" s="595">
        <v>2</v>
      </c>
      <c r="R79" s="595" t="str">
        <f>+IFERROR(VLOOKUP(CONCATENATE(A79,$C$10,C79),'[1]ID1&amp;5'!B:J,8,FALSE),"-")</f>
        <v>-</v>
      </c>
      <c r="S79" s="596" t="str">
        <f>+IFERROR(VLOOKUP(C79,'[1]ID1&amp;5'!K:L,2,FALSE),"-")</f>
        <v>-</v>
      </c>
      <c r="T79" s="595">
        <v>0</v>
      </c>
      <c r="U79" s="596" t="str">
        <f>+IFERROR(VLOOKUP(D79,'[1]ID1&amp;5'!K:L,2,FALSE),"-")</f>
        <v>-</v>
      </c>
      <c r="V79" s="593">
        <v>0</v>
      </c>
      <c r="W79" s="596" t="str">
        <f>+IFERROR(VLOOKUP(E79,'[1]ID1&amp;5'!K:L,2,FALSE),"-")</f>
        <v>-</v>
      </c>
      <c r="X79" s="595">
        <v>0</v>
      </c>
      <c r="Y79" s="597">
        <f>+X79/O79</f>
        <v>0</v>
      </c>
      <c r="Z79" s="596" t="str">
        <f>+IFERROR(VLOOKUP(F79,'[1]ID1&amp;5'!K:L,2,FALSE),"-")</f>
        <v>-</v>
      </c>
      <c r="AA79" s="595">
        <v>0</v>
      </c>
      <c r="AB79" s="597">
        <f>+AA79/O79</f>
        <v>0</v>
      </c>
      <c r="AC79" s="598" t="s">
        <v>1261</v>
      </c>
      <c r="AD79" s="598" t="s">
        <v>1262</v>
      </c>
      <c r="AE79" s="593">
        <v>0</v>
      </c>
      <c r="AF79" s="593">
        <v>0</v>
      </c>
      <c r="AG79" s="598"/>
      <c r="AH79" s="433" t="s">
        <v>1125</v>
      </c>
      <c r="AI79" s="576" t="s">
        <v>879</v>
      </c>
    </row>
    <row r="80" spans="1:35" x14ac:dyDescent="0.25">
      <c r="A80" s="576" t="str">
        <f>+I80&amp;J80</f>
        <v>B02.000560_ELGBL_AMNT_OWN_FNDS_CNSLDTD_LVL</v>
      </c>
      <c r="B80" s="588">
        <f>+VLOOKUP(I80&amp;J80,[1]Auxiliar!B:C,2,FALSE)</f>
        <v>2</v>
      </c>
      <c r="C80" s="589">
        <f>+VLOOKUP(I80&amp;J80,[1]Auxiliar!E:F,2,FALSE)</f>
        <v>2</v>
      </c>
      <c r="D80" s="589">
        <f>+VLOOKUP(I80&amp;J80,[1]Auxiliar!H:I,2,FALSE)</f>
        <v>2</v>
      </c>
      <c r="E80" s="589">
        <f>+VLOOKUP(I80&amp;J80,[1]Auxiliar!K:L,2,FALSE)</f>
        <v>2</v>
      </c>
      <c r="F80" s="589">
        <f>+VLOOKUP(I80&amp;J80,[1]Auxiliar!N:O,2,FALSE)</f>
        <v>2</v>
      </c>
      <c r="G80" s="590">
        <f>+VLOOKUP(I80&amp;J80,[1]Auxiliar!Q:R,2,FALSE)</f>
        <v>2</v>
      </c>
      <c r="H80" s="576" t="str">
        <f>+"c"&amp;LEFT(J80,4)</f>
        <v>c0560</v>
      </c>
      <c r="I80" s="591" t="s">
        <v>0</v>
      </c>
      <c r="J80" s="592" t="s">
        <v>1266</v>
      </c>
      <c r="K80" s="592"/>
      <c r="L80" s="592" t="e">
        <f>+VLOOKUP(J80,#REF!,3,FALSE)</f>
        <v>#REF!</v>
      </c>
      <c r="M80" s="593"/>
      <c r="N80" s="594" t="s">
        <v>1156</v>
      </c>
      <c r="O80" s="595">
        <v>8</v>
      </c>
      <c r="P80" s="596" t="str">
        <f>+IFERROR(VLOOKUP(B80,'[1]ID1&amp;5'!K:L,2,FALSE),"-")</f>
        <v>-</v>
      </c>
      <c r="Q80" s="595">
        <v>0</v>
      </c>
      <c r="R80" s="595" t="str">
        <f>+IFERROR(VLOOKUP(CONCATENATE(A80,$C$10,C80),'[1]ID1&amp;5'!B:J,8,FALSE),"-")</f>
        <v>-</v>
      </c>
      <c r="S80" s="596" t="str">
        <f>+IFERROR(VLOOKUP(C80,'[1]ID1&amp;5'!K:L,2,FALSE),"-")</f>
        <v>-</v>
      </c>
      <c r="T80" s="595">
        <v>0</v>
      </c>
      <c r="U80" s="596" t="str">
        <f>+IFERROR(VLOOKUP(D80,'[1]ID1&amp;5'!K:L,2,FALSE),"-")</f>
        <v>-</v>
      </c>
      <c r="V80" s="593">
        <v>0</v>
      </c>
      <c r="W80" s="596" t="str">
        <f>+IFERROR(VLOOKUP(E80,'[1]ID1&amp;5'!K:L,2,FALSE),"-")</f>
        <v>-</v>
      </c>
      <c r="X80" s="595">
        <v>0</v>
      </c>
      <c r="Y80" s="597">
        <f>+X80/O80</f>
        <v>0</v>
      </c>
      <c r="Z80" s="596" t="str">
        <f>+IFERROR(VLOOKUP(F80,'[1]ID1&amp;5'!K:L,2,FALSE),"-")</f>
        <v>-</v>
      </c>
      <c r="AA80" s="595">
        <v>0</v>
      </c>
      <c r="AB80" s="597">
        <f>+AA80/O80</f>
        <v>0</v>
      </c>
      <c r="AC80" s="598" t="s">
        <v>1176</v>
      </c>
      <c r="AD80" s="598" t="s">
        <v>1264</v>
      </c>
      <c r="AE80" s="593">
        <v>0</v>
      </c>
      <c r="AF80" s="593">
        <v>0</v>
      </c>
      <c r="AG80" s="598"/>
      <c r="AH80" s="433" t="s">
        <v>1125</v>
      </c>
      <c r="AI80" s="576" t="s">
        <v>147</v>
      </c>
    </row>
    <row r="81" spans="1:35" x14ac:dyDescent="0.25">
      <c r="A81" s="576" t="str">
        <f>+I81&amp;J81</f>
        <v>B02.000570_AMNT_SCRTY_INTRST_PRVDD</v>
      </c>
      <c r="B81" s="588">
        <f>+VLOOKUP(I81&amp;J81,[1]Auxiliar!B:C,2,FALSE)</f>
        <v>2</v>
      </c>
      <c r="C81" s="589">
        <f>+VLOOKUP(I81&amp;J81,[1]Auxiliar!E:F,2,FALSE)</f>
        <v>2</v>
      </c>
      <c r="D81" s="589">
        <f>+VLOOKUP(I81&amp;J81,[1]Auxiliar!H:I,2,FALSE)</f>
        <v>2</v>
      </c>
      <c r="E81" s="589">
        <f>+VLOOKUP(I81&amp;J81,[1]Auxiliar!K:L,2,FALSE)</f>
        <v>2</v>
      </c>
      <c r="F81" s="589">
        <f>+VLOOKUP(I81&amp;J81,[1]Auxiliar!N:O,2,FALSE)</f>
        <v>2</v>
      </c>
      <c r="G81" s="590">
        <f>+VLOOKUP(I81&amp;J81,[1]Auxiliar!Q:R,2,FALSE)</f>
        <v>2</v>
      </c>
      <c r="H81" s="576" t="str">
        <f>+"c"&amp;LEFT(J81,4)</f>
        <v>c0570</v>
      </c>
      <c r="I81" s="591" t="s">
        <v>0</v>
      </c>
      <c r="J81" s="592" t="s">
        <v>1267</v>
      </c>
      <c r="K81" s="592"/>
      <c r="L81" s="592" t="e">
        <f>+VLOOKUP(J81,#REF!,3,FALSE)</f>
        <v>#REF!</v>
      </c>
      <c r="M81" s="593"/>
      <c r="N81" s="594" t="s">
        <v>1156</v>
      </c>
      <c r="O81" s="595">
        <v>8</v>
      </c>
      <c r="P81" s="596" t="str">
        <f>+IFERROR(VLOOKUP(B81,'[1]ID1&amp;5'!K:L,2,FALSE),"-")</f>
        <v>-</v>
      </c>
      <c r="Q81" s="595">
        <v>0</v>
      </c>
      <c r="R81" s="595" t="str">
        <f>+IFERROR(VLOOKUP(CONCATENATE(A81,$C$10,C81),'[1]ID1&amp;5'!B:J,8,FALSE),"-")</f>
        <v>-</v>
      </c>
      <c r="S81" s="596" t="str">
        <f>+IFERROR(VLOOKUP(C81,'[1]ID1&amp;5'!K:L,2,FALSE),"-")</f>
        <v>-</v>
      </c>
      <c r="T81" s="595">
        <v>0</v>
      </c>
      <c r="U81" s="596" t="str">
        <f>+IFERROR(VLOOKUP(D81,'[1]ID1&amp;5'!K:L,2,FALSE),"-")</f>
        <v>-</v>
      </c>
      <c r="V81" s="593">
        <v>0</v>
      </c>
      <c r="W81" s="596" t="str">
        <f>+IFERROR(VLOOKUP(E81,'[1]ID1&amp;5'!K:L,2,FALSE),"-")</f>
        <v>-</v>
      </c>
      <c r="X81" s="595">
        <v>0</v>
      </c>
      <c r="Y81" s="597">
        <f>+X81/O81</f>
        <v>0</v>
      </c>
      <c r="Z81" s="596" t="str">
        <f>+IFERROR(VLOOKUP(F81,'[1]ID1&amp;5'!K:L,2,FALSE),"-")</f>
        <v>-</v>
      </c>
      <c r="AA81" s="595">
        <v>0</v>
      </c>
      <c r="AB81" s="597">
        <f>+AA81/O81</f>
        <v>0</v>
      </c>
      <c r="AC81" s="598" t="s">
        <v>1176</v>
      </c>
      <c r="AD81" s="598" t="s">
        <v>1176</v>
      </c>
      <c r="AE81" s="593">
        <v>0</v>
      </c>
      <c r="AF81" s="593">
        <v>0</v>
      </c>
      <c r="AG81" s="599" t="s">
        <v>1188</v>
      </c>
      <c r="AH81" s="433" t="s">
        <v>1125</v>
      </c>
      <c r="AI81" s="576" t="s">
        <v>147</v>
      </c>
    </row>
    <row r="82" spans="1:35" x14ac:dyDescent="0.25">
      <c r="A82" s="576" t="str">
        <f>+I82&amp;J82</f>
        <v>B02.000580_SCRTY_INTRST_PRVDR</v>
      </c>
      <c r="B82" s="588">
        <f>+VLOOKUP(I82&amp;J82,[1]Auxiliar!B:C,2,FALSE)</f>
        <v>2</v>
      </c>
      <c r="C82" s="589">
        <f>+VLOOKUP(I82&amp;J82,[1]Auxiliar!E:F,2,FALSE)</f>
        <v>2</v>
      </c>
      <c r="D82" s="589">
        <f>+VLOOKUP(I82&amp;J82,[1]Auxiliar!H:I,2,FALSE)</f>
        <v>2</v>
      </c>
      <c r="E82" s="589">
        <f>+VLOOKUP(I82&amp;J82,[1]Auxiliar!K:L,2,FALSE)</f>
        <v>2</v>
      </c>
      <c r="F82" s="589">
        <f>+VLOOKUP(I82&amp;J82,[1]Auxiliar!N:O,2,FALSE)</f>
        <v>2</v>
      </c>
      <c r="G82" s="590">
        <f>+VLOOKUP(I82&amp;J82,[1]Auxiliar!Q:R,2,FALSE)</f>
        <v>2</v>
      </c>
      <c r="H82" s="576" t="str">
        <f>+"c"&amp;LEFT(J82,4)</f>
        <v>c0580</v>
      </c>
      <c r="I82" s="591" t="s">
        <v>0</v>
      </c>
      <c r="J82" s="592" t="s">
        <v>1268</v>
      </c>
      <c r="K82" s="592"/>
      <c r="L82" s="592" t="e">
        <f>+VLOOKUP(J82,#REF!,3,FALSE)</f>
        <v>#REF!</v>
      </c>
      <c r="M82" s="593"/>
      <c r="N82" s="594" t="s">
        <v>1156</v>
      </c>
      <c r="O82" s="595">
        <v>8</v>
      </c>
      <c r="P82" s="596" t="str">
        <f>+IFERROR(VLOOKUP(B82,'[1]ID1&amp;5'!K:L,2,FALSE),"-")</f>
        <v>-</v>
      </c>
      <c r="Q82" s="595">
        <v>0</v>
      </c>
      <c r="R82" s="595" t="str">
        <f>+IFERROR(VLOOKUP(CONCATENATE(A82,$C$10,C82),'[1]ID1&amp;5'!B:J,8,FALSE),"-")</f>
        <v>-</v>
      </c>
      <c r="S82" s="596" t="str">
        <f>+IFERROR(VLOOKUP(C82,'[1]ID1&amp;5'!K:L,2,FALSE),"-")</f>
        <v>-</v>
      </c>
      <c r="T82" s="595">
        <v>0</v>
      </c>
      <c r="U82" s="596" t="str">
        <f>+IFERROR(VLOOKUP(D82,'[1]ID1&amp;5'!K:L,2,FALSE),"-")</f>
        <v>-</v>
      </c>
      <c r="V82" s="593">
        <v>0</v>
      </c>
      <c r="W82" s="596" t="str">
        <f>+IFERROR(VLOOKUP(E82,'[1]ID1&amp;5'!K:L,2,FALSE),"-")</f>
        <v>-</v>
      </c>
      <c r="X82" s="595">
        <v>0</v>
      </c>
      <c r="Y82" s="597">
        <f>+X82/O82</f>
        <v>0</v>
      </c>
      <c r="Z82" s="596" t="str">
        <f>+IFERROR(VLOOKUP(F82,'[1]ID1&amp;5'!K:L,2,FALSE),"-")</f>
        <v>-</v>
      </c>
      <c r="AA82" s="595">
        <v>8</v>
      </c>
      <c r="AB82" s="597">
        <f>+AA82/O82</f>
        <v>1</v>
      </c>
      <c r="AC82" s="598" t="s">
        <v>907</v>
      </c>
      <c r="AD82" s="598" t="s">
        <v>907</v>
      </c>
      <c r="AE82" s="593">
        <v>0</v>
      </c>
      <c r="AF82" s="593">
        <v>0</v>
      </c>
      <c r="AG82" s="599" t="s">
        <v>1188</v>
      </c>
      <c r="AH82" s="433" t="s">
        <v>1125</v>
      </c>
      <c r="AI82" s="576" t="s">
        <v>147</v>
      </c>
    </row>
    <row r="83" spans="1:35" x14ac:dyDescent="0.25">
      <c r="A83" s="576" t="str">
        <f>+I83&amp;J83</f>
        <v>B02.000581_SCRTY_INTRST_PRVDR_LEI</v>
      </c>
      <c r="B83" s="588">
        <f>+VLOOKUP(I83&amp;J83,[1]Auxiliar!B:C,2,FALSE)</f>
        <v>2</v>
      </c>
      <c r="C83" s="589">
        <f>+VLOOKUP(I83&amp;J83,[1]Auxiliar!E:F,2,FALSE)</f>
        <v>2</v>
      </c>
      <c r="D83" s="589">
        <f>+VLOOKUP(I83&amp;J83,[1]Auxiliar!H:I,2,FALSE)</f>
        <v>2</v>
      </c>
      <c r="E83" s="589">
        <f>+VLOOKUP(I83&amp;J83,[1]Auxiliar!K:L,2,FALSE)</f>
        <v>2</v>
      </c>
      <c r="F83" s="589">
        <f>+VLOOKUP(I83&amp;J83,[1]Auxiliar!N:O,2,FALSE)</f>
        <v>2</v>
      </c>
      <c r="G83" s="590">
        <f>+VLOOKUP(I83&amp;J83,[1]Auxiliar!Q:R,2,FALSE)</f>
        <v>2</v>
      </c>
      <c r="H83" s="576" t="str">
        <f>+"c"&amp;LEFT(J83,4)</f>
        <v>c0581</v>
      </c>
      <c r="I83" s="591" t="s">
        <v>0</v>
      </c>
      <c r="J83" s="592" t="s">
        <v>1269</v>
      </c>
      <c r="K83" s="592"/>
      <c r="L83" s="592" t="e">
        <f>+VLOOKUP(J83,#REF!,3,FALSE)</f>
        <v>#REF!</v>
      </c>
      <c r="M83" s="593"/>
      <c r="N83" s="594" t="s">
        <v>1156</v>
      </c>
      <c r="O83" s="595">
        <v>8</v>
      </c>
      <c r="P83" s="596" t="str">
        <f>+IFERROR(VLOOKUP(B83,'[1]ID1&amp;5'!K:L,2,FALSE),"-")</f>
        <v>-</v>
      </c>
      <c r="Q83" s="595">
        <v>0</v>
      </c>
      <c r="R83" s="595" t="str">
        <f>+IFERROR(VLOOKUP(CONCATENATE(A83,$C$10,C83),'[1]ID1&amp;5'!B:J,8,FALSE),"-")</f>
        <v>-</v>
      </c>
      <c r="S83" s="596" t="str">
        <f>+IFERROR(VLOOKUP(C83,'[1]ID1&amp;5'!K:L,2,FALSE),"-")</f>
        <v>-</v>
      </c>
      <c r="T83" s="595">
        <v>0</v>
      </c>
      <c r="U83" s="596" t="str">
        <f>+IFERROR(VLOOKUP(D83,'[1]ID1&amp;5'!K:L,2,FALSE),"-")</f>
        <v>-</v>
      </c>
      <c r="V83" s="593">
        <v>0</v>
      </c>
      <c r="W83" s="596" t="str">
        <f>+IFERROR(VLOOKUP(E83,'[1]ID1&amp;5'!K:L,2,FALSE),"-")</f>
        <v>-</v>
      </c>
      <c r="X83" s="595">
        <v>0</v>
      </c>
      <c r="Y83" s="597">
        <f>+X83/O83</f>
        <v>0</v>
      </c>
      <c r="Z83" s="596" t="str">
        <f>+IFERROR(VLOOKUP(F83,'[1]ID1&amp;5'!K:L,2,FALSE),"-")</f>
        <v>-</v>
      </c>
      <c r="AA83" s="595">
        <v>8</v>
      </c>
      <c r="AB83" s="597">
        <f>+AA83/O83</f>
        <v>1</v>
      </c>
      <c r="AC83" s="598" t="s">
        <v>907</v>
      </c>
      <c r="AD83" s="598" t="s">
        <v>907</v>
      </c>
      <c r="AE83" s="593">
        <v>0</v>
      </c>
      <c r="AF83" s="593">
        <v>0</v>
      </c>
      <c r="AG83" s="599" t="s">
        <v>1188</v>
      </c>
      <c r="AH83" s="433" t="s">
        <v>1125</v>
      </c>
      <c r="AI83" s="576" t="s">
        <v>147</v>
      </c>
    </row>
    <row r="84" spans="1:35" x14ac:dyDescent="0.25">
      <c r="A84" s="576" t="str">
        <f>+I84&amp;J84</f>
        <v>B02.000590_TYP_SCRTY_INTRST_PRVDD</v>
      </c>
      <c r="B84" s="588">
        <f>+VLOOKUP(I84&amp;J84,[1]Auxiliar!B:C,2,FALSE)</f>
        <v>2</v>
      </c>
      <c r="C84" s="589">
        <f>+VLOOKUP(I84&amp;J84,[1]Auxiliar!E:F,2,FALSE)</f>
        <v>2</v>
      </c>
      <c r="D84" s="589">
        <f>+VLOOKUP(I84&amp;J84,[1]Auxiliar!H:I,2,FALSE)</f>
        <v>2</v>
      </c>
      <c r="E84" s="589">
        <f>+VLOOKUP(I84&amp;J84,[1]Auxiliar!K:L,2,FALSE)</f>
        <v>2</v>
      </c>
      <c r="F84" s="589">
        <f>+VLOOKUP(I84&amp;J84,[1]Auxiliar!N:O,2,FALSE)</f>
        <v>2</v>
      </c>
      <c r="G84" s="590">
        <f>+VLOOKUP(I84&amp;J84,[1]Auxiliar!Q:R,2,FALSE)</f>
        <v>2</v>
      </c>
      <c r="H84" s="576" t="str">
        <f>+"c"&amp;LEFT(J84,4)</f>
        <v>c0590</v>
      </c>
      <c r="I84" s="591" t="s">
        <v>0</v>
      </c>
      <c r="J84" s="592" t="s">
        <v>1270</v>
      </c>
      <c r="K84" s="592"/>
      <c r="L84" s="592" t="e">
        <f>+VLOOKUP(J84,#REF!,3,FALSE)</f>
        <v>#REF!</v>
      </c>
      <c r="M84" s="593"/>
      <c r="N84" s="594" t="s">
        <v>1156</v>
      </c>
      <c r="O84" s="595">
        <v>8</v>
      </c>
      <c r="P84" s="596" t="str">
        <f>+IFERROR(VLOOKUP(B84,'[1]ID1&amp;5'!K:L,2,FALSE),"-")</f>
        <v>-</v>
      </c>
      <c r="Q84" s="595">
        <v>0</v>
      </c>
      <c r="R84" s="595" t="str">
        <f>+IFERROR(VLOOKUP(CONCATENATE(A84,$C$10,C84),'[1]ID1&amp;5'!B:J,8,FALSE),"-")</f>
        <v>-</v>
      </c>
      <c r="S84" s="596" t="str">
        <f>+IFERROR(VLOOKUP(C84,'[1]ID1&amp;5'!K:L,2,FALSE),"-")</f>
        <v>-</v>
      </c>
      <c r="T84" s="595">
        <v>0</v>
      </c>
      <c r="U84" s="596" t="str">
        <f>+IFERROR(VLOOKUP(D84,'[1]ID1&amp;5'!K:L,2,FALSE),"-")</f>
        <v>-</v>
      </c>
      <c r="V84" s="593">
        <v>0</v>
      </c>
      <c r="W84" s="596" t="str">
        <f>+IFERROR(VLOOKUP(E84,'[1]ID1&amp;5'!K:L,2,FALSE),"-")</f>
        <v>-</v>
      </c>
      <c r="X84" s="595">
        <v>0</v>
      </c>
      <c r="Y84" s="597">
        <f>+X84/O84</f>
        <v>0</v>
      </c>
      <c r="Z84" s="596" t="str">
        <f>+IFERROR(VLOOKUP(F84,'[1]ID1&amp;5'!K:L,2,FALSE),"-")</f>
        <v>-</v>
      </c>
      <c r="AA84" s="595">
        <v>8</v>
      </c>
      <c r="AB84" s="597">
        <f>+AA84/O84</f>
        <v>1</v>
      </c>
      <c r="AC84" s="598" t="s">
        <v>907</v>
      </c>
      <c r="AD84" s="598" t="s">
        <v>907</v>
      </c>
      <c r="AE84" s="593">
        <v>0</v>
      </c>
      <c r="AF84" s="593">
        <v>0</v>
      </c>
      <c r="AG84" s="599" t="s">
        <v>1188</v>
      </c>
      <c r="AH84" s="433" t="s">
        <v>1125</v>
      </c>
      <c r="AI84" s="576" t="s">
        <v>147</v>
      </c>
    </row>
    <row r="85" spans="1:35" x14ac:dyDescent="0.25">
      <c r="A85" s="576" t="str">
        <f>+I85&amp;J85</f>
        <v>B02.000600_FLG_CLLTRL_ASST_PSTN</v>
      </c>
      <c r="B85" s="588">
        <f>+VLOOKUP(I85&amp;J85,[1]Auxiliar!B:C,2,FALSE)</f>
        <v>2</v>
      </c>
      <c r="C85" s="589">
        <f>+VLOOKUP(I85&amp;J85,[1]Auxiliar!E:F,2,FALSE)</f>
        <v>2</v>
      </c>
      <c r="D85" s="589">
        <f>+VLOOKUP(I85&amp;J85,[1]Auxiliar!H:I,2,FALSE)</f>
        <v>2</v>
      </c>
      <c r="E85" s="589">
        <f>+VLOOKUP(I85&amp;J85,[1]Auxiliar!K:L,2,FALSE)</f>
        <v>2</v>
      </c>
      <c r="F85" s="589">
        <f>+VLOOKUP(I85&amp;J85,[1]Auxiliar!N:O,2,FALSE)</f>
        <v>2</v>
      </c>
      <c r="G85" s="590">
        <f>+VLOOKUP(I85&amp;J85,[1]Auxiliar!Q:R,2,FALSE)</f>
        <v>2</v>
      </c>
      <c r="H85" s="576" t="str">
        <f>+"c"&amp;LEFT(J85,4)</f>
        <v>c0600</v>
      </c>
      <c r="I85" s="591" t="s">
        <v>0</v>
      </c>
      <c r="J85" s="592" t="s">
        <v>1271</v>
      </c>
      <c r="K85" s="592"/>
      <c r="L85" s="592" t="e">
        <f>+VLOOKUP(J85,#REF!,3,FALSE)</f>
        <v>#REF!</v>
      </c>
      <c r="M85" s="593"/>
      <c r="N85" s="594" t="s">
        <v>1156</v>
      </c>
      <c r="O85" s="595">
        <v>8</v>
      </c>
      <c r="P85" s="596" t="str">
        <f>+IFERROR(VLOOKUP(B85,'[1]ID1&amp;5'!K:L,2,FALSE),"-")</f>
        <v>-</v>
      </c>
      <c r="Q85" s="595">
        <v>0</v>
      </c>
      <c r="R85" s="595" t="str">
        <f>+IFERROR(VLOOKUP(CONCATENATE(A85,$C$10,C85),'[1]ID1&amp;5'!B:J,8,FALSE),"-")</f>
        <v>-</v>
      </c>
      <c r="S85" s="596" t="str">
        <f>+IFERROR(VLOOKUP(C85,'[1]ID1&amp;5'!K:L,2,FALSE),"-")</f>
        <v>-</v>
      </c>
      <c r="T85" s="595">
        <v>0</v>
      </c>
      <c r="U85" s="596" t="str">
        <f>+IFERROR(VLOOKUP(D85,'[1]ID1&amp;5'!K:L,2,FALSE),"-")</f>
        <v>-</v>
      </c>
      <c r="V85" s="593">
        <v>0</v>
      </c>
      <c r="W85" s="596" t="str">
        <f>+IFERROR(VLOOKUP(E85,'[1]ID1&amp;5'!K:L,2,FALSE),"-")</f>
        <v>-</v>
      </c>
      <c r="X85" s="595">
        <v>0</v>
      </c>
      <c r="Y85" s="597">
        <f>+X85/O85</f>
        <v>0</v>
      </c>
      <c r="Z85" s="596" t="str">
        <f>+IFERROR(VLOOKUP(F85,'[1]ID1&amp;5'!K:L,2,FALSE),"-")</f>
        <v>-</v>
      </c>
      <c r="AA85" s="595">
        <v>0</v>
      </c>
      <c r="AB85" s="597">
        <f>+AA85/O85</f>
        <v>0</v>
      </c>
      <c r="AC85" s="598" t="b">
        <v>0</v>
      </c>
      <c r="AD85" s="598" t="b">
        <v>0</v>
      </c>
      <c r="AE85" s="593">
        <v>0</v>
      </c>
      <c r="AF85" s="593">
        <v>0</v>
      </c>
      <c r="AG85" s="599" t="s">
        <v>1188</v>
      </c>
      <c r="AH85" s="433" t="s">
        <v>1125</v>
      </c>
      <c r="AI85" s="576" t="s">
        <v>147</v>
      </c>
    </row>
    <row r="86" spans="1:35" x14ac:dyDescent="0.25">
      <c r="A86" s="576" t="str">
        <f>+I86&amp;J86</f>
        <v>B02.000610_CRRYNG_AMNT_IFRS</v>
      </c>
      <c r="B86" s="588">
        <f>+VLOOKUP(I86&amp;J86,[1]Auxiliar!B:C,2,FALSE)</f>
        <v>2</v>
      </c>
      <c r="C86" s="589">
        <f>+VLOOKUP(I86&amp;J86,[1]Auxiliar!E:F,2,FALSE)</f>
        <v>2</v>
      </c>
      <c r="D86" s="589">
        <f>+VLOOKUP(I86&amp;J86,[1]Auxiliar!H:I,2,FALSE)</f>
        <v>2</v>
      </c>
      <c r="E86" s="589">
        <f>+VLOOKUP(I86&amp;J86,[1]Auxiliar!K:L,2,FALSE)</f>
        <v>2</v>
      </c>
      <c r="F86" s="589">
        <f>+VLOOKUP(I86&amp;J86,[1]Auxiliar!N:O,2,FALSE)</f>
        <v>2</v>
      </c>
      <c r="G86" s="590">
        <f>+VLOOKUP(I86&amp;J86,[1]Auxiliar!Q:R,2,FALSE)</f>
        <v>2</v>
      </c>
      <c r="H86" s="576" t="str">
        <f>+"c"&amp;LEFT(J86,4)</f>
        <v>c0610</v>
      </c>
      <c r="I86" s="591" t="s">
        <v>0</v>
      </c>
      <c r="J86" s="592" t="s">
        <v>1272</v>
      </c>
      <c r="K86" s="592"/>
      <c r="L86" s="592" t="e">
        <f>+VLOOKUP(J86,#REF!,3,FALSE)</f>
        <v>#REF!</v>
      </c>
      <c r="M86" s="593"/>
      <c r="N86" s="594" t="s">
        <v>1156</v>
      </c>
      <c r="O86" s="595">
        <v>8</v>
      </c>
      <c r="P86" s="596" t="str">
        <f>+IFERROR(VLOOKUP(B86,'[1]ID1&amp;5'!K:L,2,FALSE),"-")</f>
        <v>-</v>
      </c>
      <c r="Q86" s="595">
        <v>0</v>
      </c>
      <c r="R86" s="595" t="str">
        <f>+IFERROR(VLOOKUP(CONCATENATE(A86,$C$10,C86),'[1]ID1&amp;5'!B:J,8,FALSE),"-")</f>
        <v>-</v>
      </c>
      <c r="S86" s="596" t="str">
        <f>+IFERROR(VLOOKUP(C86,'[1]ID1&amp;5'!K:L,2,FALSE),"-")</f>
        <v>-</v>
      </c>
      <c r="T86" s="595">
        <v>0</v>
      </c>
      <c r="U86" s="596" t="str">
        <f>+IFERROR(VLOOKUP(D86,'[1]ID1&amp;5'!K:L,2,FALSE),"-")</f>
        <v>-</v>
      </c>
      <c r="V86" s="593">
        <v>0</v>
      </c>
      <c r="W86" s="596" t="str">
        <f>+IFERROR(VLOOKUP(E86,'[1]ID1&amp;5'!K:L,2,FALSE),"-")</f>
        <v>-</v>
      </c>
      <c r="X86" s="595">
        <v>0</v>
      </c>
      <c r="Y86" s="597">
        <f>+X86/O86</f>
        <v>0</v>
      </c>
      <c r="Z86" s="596" t="str">
        <f>+IFERROR(VLOOKUP(F86,'[1]ID1&amp;5'!K:L,2,FALSE),"-")</f>
        <v>-</v>
      </c>
      <c r="AA86" s="595">
        <v>0</v>
      </c>
      <c r="AB86" s="597">
        <f>+AA86/O86</f>
        <v>0</v>
      </c>
      <c r="AC86" s="598" t="s">
        <v>1273</v>
      </c>
      <c r="AD86" s="598" t="s">
        <v>1274</v>
      </c>
      <c r="AE86" s="593">
        <v>0</v>
      </c>
      <c r="AF86" s="593">
        <v>0</v>
      </c>
      <c r="AG86" s="598"/>
      <c r="AH86" s="433" t="s">
        <v>1125</v>
      </c>
      <c r="AI86" s="576" t="s">
        <v>235</v>
      </c>
    </row>
    <row r="87" spans="1:35" x14ac:dyDescent="0.25">
      <c r="A87" s="576" t="str">
        <f>+I87&amp;J87</f>
        <v>B02.000620_BLNC_SHT_IFRS</v>
      </c>
      <c r="B87" s="588">
        <f>+VLOOKUP(I87&amp;J87,[1]Auxiliar!B:C,2,FALSE)</f>
        <v>2</v>
      </c>
      <c r="C87" s="589">
        <f>+VLOOKUP(I87&amp;J87,[1]Auxiliar!E:F,2,FALSE)</f>
        <v>2</v>
      </c>
      <c r="D87" s="589">
        <f>+VLOOKUP(I87&amp;J87,[1]Auxiliar!H:I,2,FALSE)</f>
        <v>2</v>
      </c>
      <c r="E87" s="589">
        <f>+VLOOKUP(I87&amp;J87,[1]Auxiliar!K:L,2,FALSE)</f>
        <v>2</v>
      </c>
      <c r="F87" s="589">
        <f>+VLOOKUP(I87&amp;J87,[1]Auxiliar!N:O,2,FALSE)</f>
        <v>2</v>
      </c>
      <c r="G87" s="590">
        <f>+VLOOKUP(I87&amp;J87,[1]Auxiliar!Q:R,2,FALSE)</f>
        <v>2</v>
      </c>
      <c r="H87" s="576" t="str">
        <f>+"c"&amp;LEFT(J87,4)</f>
        <v>c0620</v>
      </c>
      <c r="I87" s="591" t="s">
        <v>0</v>
      </c>
      <c r="J87" s="592" t="s">
        <v>1275</v>
      </c>
      <c r="K87" s="592"/>
      <c r="L87" s="592" t="e">
        <f>+VLOOKUP(J87,#REF!,3,FALSE)</f>
        <v>#REF!</v>
      </c>
      <c r="M87" s="593"/>
      <c r="N87" s="594" t="s">
        <v>1156</v>
      </c>
      <c r="O87" s="595">
        <v>8</v>
      </c>
      <c r="P87" s="596" t="str">
        <f>+IFERROR(VLOOKUP(B87,'[1]ID1&amp;5'!K:L,2,FALSE),"-")</f>
        <v>-</v>
      </c>
      <c r="Q87" s="595">
        <v>0</v>
      </c>
      <c r="R87" s="595" t="str">
        <f>+IFERROR(VLOOKUP(CONCATENATE(A87,$C$10,C87),'[1]ID1&amp;5'!B:J,8,FALSE),"-")</f>
        <v>-</v>
      </c>
      <c r="S87" s="596" t="str">
        <f>+IFERROR(VLOOKUP(C87,'[1]ID1&amp;5'!K:L,2,FALSE),"-")</f>
        <v>-</v>
      </c>
      <c r="T87" s="595">
        <v>0</v>
      </c>
      <c r="U87" s="596" t="str">
        <f>+IFERROR(VLOOKUP(D87,'[1]ID1&amp;5'!K:L,2,FALSE),"-")</f>
        <v>-</v>
      </c>
      <c r="V87" s="593">
        <v>0</v>
      </c>
      <c r="W87" s="596" t="str">
        <f>+IFERROR(VLOOKUP(E87,'[1]ID1&amp;5'!K:L,2,FALSE),"-")</f>
        <v>-</v>
      </c>
      <c r="X87" s="595">
        <v>0</v>
      </c>
      <c r="Y87" s="597">
        <f>+X87/O87</f>
        <v>0</v>
      </c>
      <c r="Z87" s="596" t="str">
        <f>+IFERROR(VLOOKUP(F87,'[1]ID1&amp;5'!K:L,2,FALSE),"-")</f>
        <v>-</v>
      </c>
      <c r="AA87" s="595">
        <v>0</v>
      </c>
      <c r="AB87" s="597">
        <f>+AA87/O87</f>
        <v>0</v>
      </c>
      <c r="AC87" s="598" t="s">
        <v>1276</v>
      </c>
      <c r="AD87" s="598" t="s">
        <v>1277</v>
      </c>
      <c r="AE87" s="593">
        <v>0</v>
      </c>
      <c r="AF87" s="593">
        <v>0</v>
      </c>
      <c r="AG87" s="598"/>
      <c r="AH87" s="433" t="s">
        <v>1125</v>
      </c>
      <c r="AI87" s="576" t="s">
        <v>879</v>
      </c>
    </row>
    <row r="88" spans="1:35" x14ac:dyDescent="0.25">
      <c r="A88" s="576" t="str">
        <f>+I88&amp;J88</f>
        <v>B02.000630_CRRYING_AMNT_NGAAP</v>
      </c>
      <c r="B88" s="588">
        <f>+VLOOKUP(I88&amp;J88,[1]Auxiliar!B:C,2,FALSE)</f>
        <v>2</v>
      </c>
      <c r="C88" s="589">
        <f>+VLOOKUP(I88&amp;J88,[1]Auxiliar!E:F,2,FALSE)</f>
        <v>2</v>
      </c>
      <c r="D88" s="589">
        <f>+VLOOKUP(I88&amp;J88,[1]Auxiliar!H:I,2,FALSE)</f>
        <v>2</v>
      </c>
      <c r="E88" s="589">
        <f>+VLOOKUP(I88&amp;J88,[1]Auxiliar!K:L,2,FALSE)</f>
        <v>2</v>
      </c>
      <c r="F88" s="589">
        <f>+VLOOKUP(I88&amp;J88,[1]Auxiliar!N:O,2,FALSE)</f>
        <v>2</v>
      </c>
      <c r="G88" s="590">
        <f>+VLOOKUP(I88&amp;J88,[1]Auxiliar!Q:R,2,FALSE)</f>
        <v>2</v>
      </c>
      <c r="H88" s="576" t="str">
        <f>+"c"&amp;LEFT(J88,4)</f>
        <v>c0630</v>
      </c>
      <c r="I88" s="591" t="s">
        <v>0</v>
      </c>
      <c r="J88" s="592" t="s">
        <v>1278</v>
      </c>
      <c r="K88" s="592"/>
      <c r="L88" s="592" t="e">
        <f>+VLOOKUP(J88,#REF!,3,FALSE)</f>
        <v>#REF!</v>
      </c>
      <c r="M88" s="593"/>
      <c r="N88" s="594" t="s">
        <v>1156</v>
      </c>
      <c r="O88" s="595">
        <v>8</v>
      </c>
      <c r="P88" s="596" t="str">
        <f>+IFERROR(VLOOKUP(B88,'[1]ID1&amp;5'!K:L,2,FALSE),"-")</f>
        <v>-</v>
      </c>
      <c r="Q88" s="595">
        <v>0</v>
      </c>
      <c r="R88" s="595" t="str">
        <f>+IFERROR(VLOOKUP(CONCATENATE(A88,$C$10,C88),'[1]ID1&amp;5'!B:J,8,FALSE),"-")</f>
        <v>-</v>
      </c>
      <c r="S88" s="596" t="str">
        <f>+IFERROR(VLOOKUP(C88,'[1]ID1&amp;5'!K:L,2,FALSE),"-")</f>
        <v>-</v>
      </c>
      <c r="T88" s="595">
        <v>0</v>
      </c>
      <c r="U88" s="596" t="str">
        <f>+IFERROR(VLOOKUP(D88,'[1]ID1&amp;5'!K:L,2,FALSE),"-")</f>
        <v>-</v>
      </c>
      <c r="V88" s="593">
        <v>0</v>
      </c>
      <c r="W88" s="596" t="str">
        <f>+IFERROR(VLOOKUP(E88,'[1]ID1&amp;5'!K:L,2,FALSE),"-")</f>
        <v>-</v>
      </c>
      <c r="X88" s="595">
        <v>0</v>
      </c>
      <c r="Y88" s="597">
        <f>+X88/O88</f>
        <v>0</v>
      </c>
      <c r="Z88" s="596" t="str">
        <f>+IFERROR(VLOOKUP(F88,'[1]ID1&amp;5'!K:L,2,FALSE),"-")</f>
        <v>-</v>
      </c>
      <c r="AA88" s="595">
        <v>8</v>
      </c>
      <c r="AB88" s="597">
        <f>+AA88/O88</f>
        <v>1</v>
      </c>
      <c r="AC88" s="598" t="s">
        <v>1169</v>
      </c>
      <c r="AD88" s="598" t="s">
        <v>1169</v>
      </c>
      <c r="AE88" s="593">
        <v>0</v>
      </c>
      <c r="AF88" s="593">
        <v>0</v>
      </c>
      <c r="AG88" s="599" t="s">
        <v>1188</v>
      </c>
      <c r="AH88" s="433" t="s">
        <v>1125</v>
      </c>
      <c r="AI88" s="576" t="s">
        <v>147</v>
      </c>
    </row>
    <row r="89" spans="1:35" x14ac:dyDescent="0.25">
      <c r="A89" s="576" t="str">
        <f>+I89&amp;J89</f>
        <v>B02.000640_BLNC_SHT_NGAAP</v>
      </c>
      <c r="B89" s="588">
        <f>+VLOOKUP(I89&amp;J89,[1]Auxiliar!B:C,2,FALSE)</f>
        <v>2</v>
      </c>
      <c r="C89" s="589">
        <f>+VLOOKUP(I89&amp;J89,[1]Auxiliar!E:F,2,FALSE)</f>
        <v>2</v>
      </c>
      <c r="D89" s="589">
        <f>+VLOOKUP(I89&amp;J89,[1]Auxiliar!H:I,2,FALSE)</f>
        <v>2</v>
      </c>
      <c r="E89" s="589">
        <f>+VLOOKUP(I89&amp;J89,[1]Auxiliar!K:L,2,FALSE)</f>
        <v>2</v>
      </c>
      <c r="F89" s="589">
        <f>+VLOOKUP(I89&amp;J89,[1]Auxiliar!N:O,2,FALSE)</f>
        <v>2</v>
      </c>
      <c r="G89" s="590">
        <f>+VLOOKUP(I89&amp;J89,[1]Auxiliar!Q:R,2,FALSE)</f>
        <v>2</v>
      </c>
      <c r="H89" s="576" t="str">
        <f>+"c"&amp;LEFT(J89,4)</f>
        <v>c0640</v>
      </c>
      <c r="I89" s="591" t="s">
        <v>0</v>
      </c>
      <c r="J89" s="592" t="s">
        <v>1279</v>
      </c>
      <c r="K89" s="592"/>
      <c r="L89" s="592" t="e">
        <f>+VLOOKUP(J89,#REF!,3,FALSE)</f>
        <v>#REF!</v>
      </c>
      <c r="M89" s="593"/>
      <c r="N89" s="594" t="s">
        <v>1156</v>
      </c>
      <c r="O89" s="595">
        <v>8</v>
      </c>
      <c r="P89" s="596" t="str">
        <f>+IFERROR(VLOOKUP(B89,'[1]ID1&amp;5'!K:L,2,FALSE),"-")</f>
        <v>-</v>
      </c>
      <c r="Q89" s="595">
        <v>0</v>
      </c>
      <c r="R89" s="595" t="str">
        <f>+IFERROR(VLOOKUP(CONCATENATE(A89,$C$10,C89),'[1]ID1&amp;5'!B:J,8,FALSE),"-")</f>
        <v>-</v>
      </c>
      <c r="S89" s="596" t="str">
        <f>+IFERROR(VLOOKUP(C89,'[1]ID1&amp;5'!K:L,2,FALSE),"-")</f>
        <v>-</v>
      </c>
      <c r="T89" s="595">
        <v>0</v>
      </c>
      <c r="U89" s="596" t="str">
        <f>+IFERROR(VLOOKUP(D89,'[1]ID1&amp;5'!K:L,2,FALSE),"-")</f>
        <v>-</v>
      </c>
      <c r="V89" s="593">
        <v>0</v>
      </c>
      <c r="W89" s="596" t="str">
        <f>+IFERROR(VLOOKUP(E89,'[1]ID1&amp;5'!K:L,2,FALSE),"-")</f>
        <v>-</v>
      </c>
      <c r="X89" s="595">
        <v>0</v>
      </c>
      <c r="Y89" s="597">
        <f>+X89/O89</f>
        <v>0</v>
      </c>
      <c r="Z89" s="596" t="str">
        <f>+IFERROR(VLOOKUP(F89,'[1]ID1&amp;5'!K:L,2,FALSE),"-")</f>
        <v>-</v>
      </c>
      <c r="AA89" s="595">
        <v>8</v>
      </c>
      <c r="AB89" s="597">
        <f>+AA89/O89</f>
        <v>1</v>
      </c>
      <c r="AC89" s="598" t="s">
        <v>907</v>
      </c>
      <c r="AD89" s="598" t="s">
        <v>907</v>
      </c>
      <c r="AE89" s="593">
        <v>0</v>
      </c>
      <c r="AF89" s="593">
        <v>0</v>
      </c>
      <c r="AG89" s="599" t="s">
        <v>1188</v>
      </c>
      <c r="AH89" s="433" t="s">
        <v>1125</v>
      </c>
      <c r="AI89" s="576" t="s">
        <v>147</v>
      </c>
    </row>
    <row r="90" spans="1:35" x14ac:dyDescent="0.25">
      <c r="A90" s="576" t="str">
        <f>+I90&amp;J90</f>
        <v>B02.005000_FLG_SHRHLDR_NOT_RSLTN_GRP</v>
      </c>
      <c r="B90" s="588">
        <f>+VLOOKUP(I90&amp;J90,[1]Auxiliar!B:C,2,FALSE)</f>
        <v>2</v>
      </c>
      <c r="C90" s="589">
        <f>+VLOOKUP(I90&amp;J90,[1]Auxiliar!E:F,2,FALSE)</f>
        <v>2</v>
      </c>
      <c r="D90" s="589">
        <f>+VLOOKUP(I90&amp;J90,[1]Auxiliar!H:I,2,FALSE)</f>
        <v>2</v>
      </c>
      <c r="E90" s="589">
        <f>+VLOOKUP(I90&amp;J90,[1]Auxiliar!K:L,2,FALSE)</f>
        <v>2</v>
      </c>
      <c r="F90" s="589">
        <f>+VLOOKUP(I90&amp;J90,[1]Auxiliar!N:O,2,FALSE)</f>
        <v>2</v>
      </c>
      <c r="G90" s="590">
        <f>+VLOOKUP(I90&amp;J90,[1]Auxiliar!Q:R,2,FALSE)</f>
        <v>2</v>
      </c>
      <c r="H90" s="576" t="str">
        <f>+"c"&amp;LEFT(J90,4)</f>
        <v>c5000</v>
      </c>
      <c r="I90" s="591" t="s">
        <v>0</v>
      </c>
      <c r="J90" s="592" t="s">
        <v>1280</v>
      </c>
      <c r="K90" s="592"/>
      <c r="L90" s="592" t="e">
        <f>+VLOOKUP(J90,#REF!,3,FALSE)</f>
        <v>#REF!</v>
      </c>
      <c r="M90" s="593"/>
      <c r="N90" s="594" t="s">
        <v>1156</v>
      </c>
      <c r="O90" s="595">
        <v>8</v>
      </c>
      <c r="P90" s="596" t="str">
        <f>+IFERROR(VLOOKUP(B90,'[1]ID1&amp;5'!K:L,2,FALSE),"-")</f>
        <v>-</v>
      </c>
      <c r="Q90" s="595">
        <v>0</v>
      </c>
      <c r="R90" s="595" t="str">
        <f>+IFERROR(VLOOKUP(CONCATENATE(A90,$C$10,C90),'[1]ID1&amp;5'!B:J,8,FALSE),"-")</f>
        <v>-</v>
      </c>
      <c r="S90" s="596" t="str">
        <f>+IFERROR(VLOOKUP(C90,'[1]ID1&amp;5'!K:L,2,FALSE),"-")</f>
        <v>-</v>
      </c>
      <c r="T90" s="595">
        <v>0</v>
      </c>
      <c r="U90" s="596" t="str">
        <f>+IFERROR(VLOOKUP(D90,'[1]ID1&amp;5'!K:L,2,FALSE),"-")</f>
        <v>-</v>
      </c>
      <c r="V90" s="593">
        <v>0</v>
      </c>
      <c r="W90" s="596" t="str">
        <f>+IFERROR(VLOOKUP(E90,'[1]ID1&amp;5'!K:L,2,FALSE),"-")</f>
        <v>-</v>
      </c>
      <c r="X90" s="595">
        <v>0</v>
      </c>
      <c r="Y90" s="597">
        <f>+X90/O90</f>
        <v>0</v>
      </c>
      <c r="Z90" s="596" t="str">
        <f>+IFERROR(VLOOKUP(F90,'[1]ID1&amp;5'!K:L,2,FALSE),"-")</f>
        <v>-</v>
      </c>
      <c r="AA90" s="595">
        <v>0</v>
      </c>
      <c r="AB90" s="597">
        <f>+AA90/O90</f>
        <v>0</v>
      </c>
      <c r="AC90" s="598" t="b">
        <v>0</v>
      </c>
      <c r="AD90" s="598" t="b">
        <v>0</v>
      </c>
      <c r="AE90" s="593">
        <v>0</v>
      </c>
      <c r="AF90" s="593">
        <v>0</v>
      </c>
      <c r="AG90" s="599" t="s">
        <v>1188</v>
      </c>
      <c r="AH90" s="433" t="s">
        <v>1125</v>
      </c>
      <c r="AI90" s="576" t="s">
        <v>147</v>
      </c>
    </row>
    <row r="91" spans="1:35" x14ac:dyDescent="0.25">
      <c r="A91" s="576" t="str">
        <f>+I91&amp;J91</f>
        <v>B02.005010_FLG_ART21_7A_SRMR</v>
      </c>
      <c r="B91" s="588">
        <f>+VLOOKUP(I91&amp;J91,[1]Auxiliar!B:C,2,FALSE)</f>
        <v>2</v>
      </c>
      <c r="C91" s="589">
        <f>+VLOOKUP(I91&amp;J91,[1]Auxiliar!E:F,2,FALSE)</f>
        <v>2</v>
      </c>
      <c r="D91" s="589">
        <f>+VLOOKUP(I91&amp;J91,[1]Auxiliar!H:I,2,FALSE)</f>
        <v>2</v>
      </c>
      <c r="E91" s="589">
        <f>+VLOOKUP(I91&amp;J91,[1]Auxiliar!K:L,2,FALSE)</f>
        <v>2</v>
      </c>
      <c r="F91" s="589">
        <f>+VLOOKUP(I91&amp;J91,[1]Auxiliar!N:O,2,FALSE)</f>
        <v>2</v>
      </c>
      <c r="G91" s="590">
        <f>+VLOOKUP(I91&amp;J91,[1]Auxiliar!Q:R,2,FALSE)</f>
        <v>2</v>
      </c>
      <c r="H91" s="576" t="str">
        <f>+"c"&amp;LEFT(J91,4)</f>
        <v>c5010</v>
      </c>
      <c r="I91" s="591" t="s">
        <v>0</v>
      </c>
      <c r="J91" s="592" t="s">
        <v>1281</v>
      </c>
      <c r="K91" s="592"/>
      <c r="L91" s="592" t="e">
        <f>+VLOOKUP(J91,#REF!,3,FALSE)</f>
        <v>#REF!</v>
      </c>
      <c r="M91" s="593"/>
      <c r="N91" s="594" t="s">
        <v>1156</v>
      </c>
      <c r="O91" s="595">
        <v>8</v>
      </c>
      <c r="P91" s="596" t="str">
        <f>+IFERROR(VLOOKUP(B91,'[1]ID1&amp;5'!K:L,2,FALSE),"-")</f>
        <v>-</v>
      </c>
      <c r="Q91" s="595">
        <v>0</v>
      </c>
      <c r="R91" s="595" t="str">
        <f>+IFERROR(VLOOKUP(CONCATENATE(A91,$C$10,C91),'[1]ID1&amp;5'!B:J,8,FALSE),"-")</f>
        <v>-</v>
      </c>
      <c r="S91" s="596" t="str">
        <f>+IFERROR(VLOOKUP(C91,'[1]ID1&amp;5'!K:L,2,FALSE),"-")</f>
        <v>-</v>
      </c>
      <c r="T91" s="595">
        <v>0</v>
      </c>
      <c r="U91" s="596" t="str">
        <f>+IFERROR(VLOOKUP(D91,'[1]ID1&amp;5'!K:L,2,FALSE),"-")</f>
        <v>-</v>
      </c>
      <c r="V91" s="593">
        <v>0</v>
      </c>
      <c r="W91" s="596" t="str">
        <f>+IFERROR(VLOOKUP(E91,'[1]ID1&amp;5'!K:L,2,FALSE),"-")</f>
        <v>-</v>
      </c>
      <c r="X91" s="595">
        <v>0</v>
      </c>
      <c r="Y91" s="597">
        <f>+X91/O91</f>
        <v>0</v>
      </c>
      <c r="Z91" s="596" t="str">
        <f>+IFERROR(VLOOKUP(F91,'[1]ID1&amp;5'!K:L,2,FALSE),"-")</f>
        <v>-</v>
      </c>
      <c r="AA91" s="595">
        <v>0</v>
      </c>
      <c r="AB91" s="597">
        <f>+AA91/O91</f>
        <v>0</v>
      </c>
      <c r="AC91" s="598" t="b">
        <v>1</v>
      </c>
      <c r="AD91" s="598" t="b">
        <v>1</v>
      </c>
      <c r="AE91" s="593">
        <v>0</v>
      </c>
      <c r="AF91" s="593">
        <v>0</v>
      </c>
      <c r="AG91" s="599" t="s">
        <v>1188</v>
      </c>
      <c r="AH91" s="433" t="s">
        <v>1125</v>
      </c>
      <c r="AI91" s="576" t="s">
        <v>147</v>
      </c>
    </row>
    <row r="92" spans="1:35" x14ac:dyDescent="0.25">
      <c r="H92" s="576" t="str">
        <f>+"c"&amp;LEFT(J92,4)</f>
        <v>c0010</v>
      </c>
      <c r="I92" s="591" t="s">
        <v>840</v>
      </c>
      <c r="J92" s="592" t="s">
        <v>1155</v>
      </c>
      <c r="K92" s="592"/>
      <c r="L92" s="592" t="e">
        <f>+VLOOKUP(J92,#REF!,3,FALSE)</f>
        <v>#REF!</v>
      </c>
      <c r="M92" s="593"/>
      <c r="N92" s="594" t="s">
        <v>1156</v>
      </c>
      <c r="O92" s="595">
        <v>10</v>
      </c>
      <c r="P92" s="596" t="str">
        <f>+IFERROR(VLOOKUP(B92,'[1]ID1&amp;5'!K:L,2,FALSE),"-")</f>
        <v>-</v>
      </c>
      <c r="Q92" s="595">
        <v>0</v>
      </c>
      <c r="R92" s="595" t="str">
        <f>+IFERROR(VLOOKUP(CONCATENATE(A92,$C$10,C92),'[1]ID1&amp;5'!B:J,8,FALSE),"-")</f>
        <v>-</v>
      </c>
      <c r="S92" s="596" t="str">
        <f>+IFERROR(VLOOKUP(C92,'[1]ID1&amp;5'!K:L,2,FALSE),"-")</f>
        <v>-</v>
      </c>
      <c r="T92" s="595">
        <v>0</v>
      </c>
      <c r="U92" s="596" t="str">
        <f>+IFERROR(VLOOKUP(D92,'[1]ID1&amp;5'!K:L,2,FALSE),"-")</f>
        <v>-</v>
      </c>
      <c r="V92" s="593">
        <v>0</v>
      </c>
      <c r="W92" s="596" t="str">
        <f>+IFERROR(VLOOKUP(E92,'[1]ID1&amp;5'!K:L,2,FALSE),"-")</f>
        <v>-</v>
      </c>
      <c r="X92" s="595">
        <v>0</v>
      </c>
      <c r="Y92" s="597">
        <f>+X92/O92</f>
        <v>0</v>
      </c>
      <c r="Z92" s="596" t="str">
        <f>+IFERROR(VLOOKUP(F92,'[1]ID1&amp;5'!K:L,2,FALSE),"-")</f>
        <v>-</v>
      </c>
      <c r="AA92" s="595">
        <v>0</v>
      </c>
      <c r="AB92" s="597">
        <f>+AA92/O92</f>
        <v>0</v>
      </c>
      <c r="AC92" s="598">
        <v>1</v>
      </c>
      <c r="AD92" s="598">
        <v>10</v>
      </c>
      <c r="AE92" s="593">
        <v>0</v>
      </c>
      <c r="AF92" s="593">
        <v>0</v>
      </c>
      <c r="AG92" s="598"/>
      <c r="AH92" s="433" t="s">
        <v>1125</v>
      </c>
      <c r="AI92" s="576" t="s">
        <v>147</v>
      </c>
    </row>
    <row r="93" spans="1:35" x14ac:dyDescent="0.25">
      <c r="H93" s="576" t="str">
        <f>+"c"&amp;LEFT(J93,4)</f>
        <v>c0011</v>
      </c>
      <c r="I93" s="591" t="s">
        <v>840</v>
      </c>
      <c r="J93" s="592" t="s">
        <v>1282</v>
      </c>
      <c r="K93" s="592"/>
      <c r="L93" s="592"/>
      <c r="M93" s="593"/>
      <c r="N93" s="594" t="s">
        <v>1156</v>
      </c>
      <c r="O93" s="595">
        <v>10</v>
      </c>
      <c r="P93" s="596" t="str">
        <f>+IFERROR(VLOOKUP(B93,'[1]ID1&amp;5'!K:L,2,FALSE),"-")</f>
        <v>-</v>
      </c>
      <c r="Q93" s="595">
        <v>0</v>
      </c>
      <c r="R93" s="595" t="str">
        <f>+IFERROR(VLOOKUP(CONCATENATE(A93,$C$10,C93),'[1]ID1&amp;5'!B:J,8,FALSE),"-")</f>
        <v>-</v>
      </c>
      <c r="S93" s="596" t="str">
        <f>+IFERROR(VLOOKUP(C93,'[1]ID1&amp;5'!K:L,2,FALSE),"-")</f>
        <v>-</v>
      </c>
      <c r="T93" s="595">
        <v>0</v>
      </c>
      <c r="U93" s="596" t="str">
        <f>+IFERROR(VLOOKUP(D93,'[1]ID1&amp;5'!K:L,2,FALSE),"-")</f>
        <v>-</v>
      </c>
      <c r="V93" s="593">
        <v>0</v>
      </c>
      <c r="W93" s="596" t="str">
        <f>+IFERROR(VLOOKUP(E93,'[1]ID1&amp;5'!K:L,2,FALSE),"-")</f>
        <v>-</v>
      </c>
      <c r="X93" s="595">
        <v>0</v>
      </c>
      <c r="Y93" s="597">
        <f>+X93/O93</f>
        <v>0</v>
      </c>
      <c r="Z93" s="596" t="str">
        <f>+IFERROR(VLOOKUP(F93,'[1]ID1&amp;5'!K:L,2,FALSE),"-")</f>
        <v>-</v>
      </c>
      <c r="AA93" s="595">
        <v>0</v>
      </c>
      <c r="AB93" s="597">
        <f>+AA93/O93</f>
        <v>0</v>
      </c>
      <c r="AC93" s="598" t="s">
        <v>762</v>
      </c>
      <c r="AD93" s="598" t="s">
        <v>762</v>
      </c>
      <c r="AE93" s="593">
        <v>0</v>
      </c>
      <c r="AF93" s="593">
        <v>0</v>
      </c>
      <c r="AG93" s="598"/>
      <c r="AH93" s="433" t="s">
        <v>1125</v>
      </c>
      <c r="AI93" s="576" t="s">
        <v>147</v>
      </c>
    </row>
    <row r="94" spans="1:35" x14ac:dyDescent="0.25">
      <c r="H94" s="576" t="str">
        <f>+"c"&amp;LEFT(J94,4)</f>
        <v>c0020</v>
      </c>
      <c r="I94" s="591" t="s">
        <v>840</v>
      </c>
      <c r="J94" s="592" t="s">
        <v>1283</v>
      </c>
      <c r="K94" s="592"/>
      <c r="L94" s="592"/>
      <c r="M94" s="593"/>
      <c r="N94" s="594" t="s">
        <v>1156</v>
      </c>
      <c r="O94" s="595">
        <v>10</v>
      </c>
      <c r="P94" s="596" t="str">
        <f>+IFERROR(VLOOKUP(B94,'[1]ID1&amp;5'!K:L,2,FALSE),"-")</f>
        <v>-</v>
      </c>
      <c r="Q94" s="595">
        <v>0</v>
      </c>
      <c r="R94" s="595" t="str">
        <f>+IFERROR(VLOOKUP(CONCATENATE(A94,$C$10,C94),'[1]ID1&amp;5'!B:J,8,FALSE),"-")</f>
        <v>-</v>
      </c>
      <c r="S94" s="596" t="str">
        <f>+IFERROR(VLOOKUP(C94,'[1]ID1&amp;5'!K:L,2,FALSE),"-")</f>
        <v>-</v>
      </c>
      <c r="T94" s="595">
        <v>0</v>
      </c>
      <c r="U94" s="596" t="str">
        <f>+IFERROR(VLOOKUP(D94,'[1]ID1&amp;5'!K:L,2,FALSE),"-")</f>
        <v>-</v>
      </c>
      <c r="V94" s="593">
        <v>0</v>
      </c>
      <c r="W94" s="596" t="str">
        <f>+IFERROR(VLOOKUP(E94,'[1]ID1&amp;5'!K:L,2,FALSE),"-")</f>
        <v>-</v>
      </c>
      <c r="X94" s="595">
        <v>0</v>
      </c>
      <c r="Y94" s="597">
        <f>+X94/O94</f>
        <v>0</v>
      </c>
      <c r="Z94" s="596" t="str">
        <f>+IFERROR(VLOOKUP(F94,'[1]ID1&amp;5'!K:L,2,FALSE),"-")</f>
        <v>-</v>
      </c>
      <c r="AA94" s="595">
        <v>0</v>
      </c>
      <c r="AB94" s="597">
        <f>+AA94/O94</f>
        <v>0</v>
      </c>
      <c r="AC94" s="599" t="s">
        <v>1161</v>
      </c>
      <c r="AD94" s="598" t="s">
        <v>1162</v>
      </c>
      <c r="AE94" s="593">
        <v>0</v>
      </c>
      <c r="AF94" s="593">
        <v>0</v>
      </c>
      <c r="AG94" s="598"/>
      <c r="AH94" s="433" t="s">
        <v>1125</v>
      </c>
      <c r="AI94" s="576" t="s">
        <v>147</v>
      </c>
    </row>
    <row r="95" spans="1:35" x14ac:dyDescent="0.25">
      <c r="H95" s="576" t="str">
        <f>+"c"&amp;LEFT(J95,4)</f>
        <v>c0030</v>
      </c>
      <c r="I95" s="591" t="s">
        <v>840</v>
      </c>
      <c r="J95" s="592" t="s">
        <v>1284</v>
      </c>
      <c r="K95" s="592"/>
      <c r="L95" s="592"/>
      <c r="M95" s="593"/>
      <c r="N95" s="594" t="s">
        <v>1156</v>
      </c>
      <c r="O95" s="595">
        <v>10</v>
      </c>
      <c r="P95" s="596" t="str">
        <f>+IFERROR(VLOOKUP(B95,'[1]ID1&amp;5'!K:L,2,FALSE),"-")</f>
        <v>-</v>
      </c>
      <c r="Q95" s="595">
        <v>10</v>
      </c>
      <c r="R95" s="595" t="str">
        <f>+IFERROR(VLOOKUP(CONCATENATE(A95,$C$10,C95),'[1]ID1&amp;5'!B:J,8,FALSE),"-")</f>
        <v>-</v>
      </c>
      <c r="S95" s="596" t="str">
        <f>+IFERROR(VLOOKUP(C95,'[1]ID1&amp;5'!K:L,2,FALSE),"-")</f>
        <v>-</v>
      </c>
      <c r="T95" s="595">
        <v>0</v>
      </c>
      <c r="U95" s="596" t="str">
        <f>+IFERROR(VLOOKUP(D95,'[1]ID1&amp;5'!K:L,2,FALSE),"-")</f>
        <v>-</v>
      </c>
      <c r="V95" s="593">
        <v>0</v>
      </c>
      <c r="W95" s="596" t="str">
        <f>+IFERROR(VLOOKUP(E95,'[1]ID1&amp;5'!K:L,2,FALSE),"-")</f>
        <v>-</v>
      </c>
      <c r="X95" s="595">
        <v>0</v>
      </c>
      <c r="Y95" s="597">
        <f>+X95/O95</f>
        <v>0</v>
      </c>
      <c r="Z95" s="596" t="str">
        <f>+IFERROR(VLOOKUP(F95,'[1]ID1&amp;5'!K:L,2,FALSE),"-")</f>
        <v>-</v>
      </c>
      <c r="AA95" s="595">
        <v>0</v>
      </c>
      <c r="AB95" s="597">
        <f>+AA95/O95</f>
        <v>0</v>
      </c>
      <c r="AC95" s="598" t="s">
        <v>1285</v>
      </c>
      <c r="AD95" s="598" t="s">
        <v>1286</v>
      </c>
      <c r="AE95" s="593">
        <v>0</v>
      </c>
      <c r="AF95" s="593">
        <v>0</v>
      </c>
      <c r="AG95" s="598"/>
      <c r="AH95" s="433" t="s">
        <v>1125</v>
      </c>
      <c r="AI95" s="576" t="s">
        <v>147</v>
      </c>
    </row>
    <row r="96" spans="1:35" x14ac:dyDescent="0.25">
      <c r="H96" s="576" t="str">
        <f>+"c"&amp;LEFT(J96,4)</f>
        <v>c0040</v>
      </c>
      <c r="I96" s="591" t="s">
        <v>840</v>
      </c>
      <c r="J96" s="592" t="s">
        <v>1287</v>
      </c>
      <c r="K96" s="592"/>
      <c r="L96" s="592"/>
      <c r="M96" s="593"/>
      <c r="N96" s="594" t="s">
        <v>1156</v>
      </c>
      <c r="O96" s="595">
        <v>10</v>
      </c>
      <c r="P96" s="596" t="str">
        <f>+IFERROR(VLOOKUP(B96,'[1]ID1&amp;5'!K:L,2,FALSE),"-")</f>
        <v>-</v>
      </c>
      <c r="Q96" s="595">
        <v>10</v>
      </c>
      <c r="R96" s="595" t="str">
        <f>+IFERROR(VLOOKUP(CONCATENATE(A96,$C$10,C96),'[1]ID1&amp;5'!B:J,8,FALSE),"-")</f>
        <v>-</v>
      </c>
      <c r="S96" s="596" t="str">
        <f>+IFERROR(VLOOKUP(C96,'[1]ID1&amp;5'!K:L,2,FALSE),"-")</f>
        <v>-</v>
      </c>
      <c r="T96" s="595">
        <v>0</v>
      </c>
      <c r="U96" s="596" t="str">
        <f>+IFERROR(VLOOKUP(D96,'[1]ID1&amp;5'!K:L,2,FALSE),"-")</f>
        <v>-</v>
      </c>
      <c r="V96" s="593">
        <v>0</v>
      </c>
      <c r="W96" s="596" t="str">
        <f>+IFERROR(VLOOKUP(E96,'[1]ID1&amp;5'!K:L,2,FALSE),"-")</f>
        <v>-</v>
      </c>
      <c r="X96" s="595">
        <v>0</v>
      </c>
      <c r="Y96" s="597">
        <f>+X96/O96</f>
        <v>0</v>
      </c>
      <c r="Z96" s="596" t="str">
        <f>+IFERROR(VLOOKUP(F96,'[1]ID1&amp;5'!K:L,2,FALSE),"-")</f>
        <v>-</v>
      </c>
      <c r="AA96" s="595">
        <v>2</v>
      </c>
      <c r="AB96" s="597">
        <f>+AA96/O96</f>
        <v>0.2</v>
      </c>
      <c r="AC96" s="598" t="s">
        <v>1288</v>
      </c>
      <c r="AD96" s="598" t="s">
        <v>907</v>
      </c>
      <c r="AE96" s="593">
        <v>0</v>
      </c>
      <c r="AF96" s="593">
        <v>0</v>
      </c>
      <c r="AG96" s="598" t="s">
        <v>1289</v>
      </c>
      <c r="AH96" s="433" t="s">
        <v>1125</v>
      </c>
      <c r="AI96" s="576" t="s">
        <v>147</v>
      </c>
    </row>
    <row r="97" spans="8:35" x14ac:dyDescent="0.25">
      <c r="H97" s="576" t="str">
        <f>+"c"&amp;LEFT(J97,4)</f>
        <v>c0050</v>
      </c>
      <c r="I97" s="591" t="s">
        <v>840</v>
      </c>
      <c r="J97" s="592" t="s">
        <v>1290</v>
      </c>
      <c r="K97" s="592"/>
      <c r="L97" s="592"/>
      <c r="M97" s="593"/>
      <c r="N97" s="594" t="s">
        <v>1156</v>
      </c>
      <c r="O97" s="595">
        <v>10</v>
      </c>
      <c r="P97" s="596" t="str">
        <f>+IFERROR(VLOOKUP(B97,'[1]ID1&amp;5'!K:L,2,FALSE),"-")</f>
        <v>-</v>
      </c>
      <c r="Q97" s="595">
        <v>10</v>
      </c>
      <c r="R97" s="595" t="str">
        <f>+IFERROR(VLOOKUP(CONCATENATE(A97,$C$10,C97),'[1]ID1&amp;5'!B:J,8,FALSE),"-")</f>
        <v>-</v>
      </c>
      <c r="S97" s="596" t="str">
        <f>+IFERROR(VLOOKUP(C97,'[1]ID1&amp;5'!K:L,2,FALSE),"-")</f>
        <v>-</v>
      </c>
      <c r="T97" s="595">
        <v>0</v>
      </c>
      <c r="U97" s="596" t="str">
        <f>+IFERROR(VLOOKUP(D97,'[1]ID1&amp;5'!K:L,2,FALSE),"-")</f>
        <v>-</v>
      </c>
      <c r="V97" s="593">
        <v>0</v>
      </c>
      <c r="W97" s="596" t="str">
        <f>+IFERROR(VLOOKUP(E97,'[1]ID1&amp;5'!K:L,2,FALSE),"-")</f>
        <v>-</v>
      </c>
      <c r="X97" s="595">
        <v>0</v>
      </c>
      <c r="Y97" s="597">
        <f>+X97/O97</f>
        <v>0</v>
      </c>
      <c r="Z97" s="596" t="str">
        <f>+IFERROR(VLOOKUP(F97,'[1]ID1&amp;5'!K:L,2,FALSE),"-")</f>
        <v>-</v>
      </c>
      <c r="AA97" s="595">
        <v>2</v>
      </c>
      <c r="AB97" s="597">
        <f>+AA97/O97</f>
        <v>0.2</v>
      </c>
      <c r="AC97" s="598" t="s">
        <v>1249</v>
      </c>
      <c r="AD97" s="598" t="s">
        <v>907</v>
      </c>
      <c r="AE97" s="593">
        <v>0</v>
      </c>
      <c r="AF97" s="593">
        <v>0</v>
      </c>
      <c r="AG97" s="598" t="s">
        <v>1289</v>
      </c>
      <c r="AH97" s="433" t="s">
        <v>1125</v>
      </c>
      <c r="AI97" s="576" t="s">
        <v>147</v>
      </c>
    </row>
    <row r="98" spans="8:35" x14ac:dyDescent="0.25">
      <c r="H98" s="576" t="str">
        <f>+"c"&amp;LEFT(J98,4)</f>
        <v>c0060</v>
      </c>
      <c r="I98" s="591" t="s">
        <v>840</v>
      </c>
      <c r="J98" s="592" t="s">
        <v>1291</v>
      </c>
      <c r="K98" s="592"/>
      <c r="L98" s="592"/>
      <c r="M98" s="593"/>
      <c r="N98" s="594" t="s">
        <v>1156</v>
      </c>
      <c r="O98" s="595">
        <v>10</v>
      </c>
      <c r="P98" s="596" t="str">
        <f>+IFERROR(VLOOKUP(B98,'[1]ID1&amp;5'!K:L,2,FALSE),"-")</f>
        <v>-</v>
      </c>
      <c r="Q98" s="595">
        <v>2</v>
      </c>
      <c r="R98" s="595" t="str">
        <f>+IFERROR(VLOOKUP(CONCATENATE(A98,$C$10,C98),'[1]ID1&amp;5'!B:J,8,FALSE),"-")</f>
        <v>-</v>
      </c>
      <c r="S98" s="596" t="str">
        <f>+IFERROR(VLOOKUP(C98,'[1]ID1&amp;5'!K:L,2,FALSE),"-")</f>
        <v>-</v>
      </c>
      <c r="T98" s="595">
        <v>0</v>
      </c>
      <c r="U98" s="596" t="str">
        <f>+IFERROR(VLOOKUP(D98,'[1]ID1&amp;5'!K:L,2,FALSE),"-")</f>
        <v>-</v>
      </c>
      <c r="V98" s="593">
        <v>0</v>
      </c>
      <c r="W98" s="596" t="str">
        <f>+IFERROR(VLOOKUP(E98,'[1]ID1&amp;5'!K:L,2,FALSE),"-")</f>
        <v>-</v>
      </c>
      <c r="X98" s="595">
        <v>0</v>
      </c>
      <c r="Y98" s="597">
        <f>+X98/O98</f>
        <v>0</v>
      </c>
      <c r="Z98" s="596" t="str">
        <f>+IFERROR(VLOOKUP(F98,'[1]ID1&amp;5'!K:L,2,FALSE),"-")</f>
        <v>-</v>
      </c>
      <c r="AA98" s="595">
        <v>2</v>
      </c>
      <c r="AB98" s="597">
        <f>+AA98/O98</f>
        <v>0.2</v>
      </c>
      <c r="AC98" s="598" t="s">
        <v>1292</v>
      </c>
      <c r="AD98" s="598" t="s">
        <v>907</v>
      </c>
      <c r="AE98" s="593">
        <v>0</v>
      </c>
      <c r="AF98" s="593">
        <v>0</v>
      </c>
      <c r="AG98" s="598" t="s">
        <v>1289</v>
      </c>
      <c r="AH98" s="433" t="s">
        <v>1125</v>
      </c>
      <c r="AI98" s="576" t="s">
        <v>147</v>
      </c>
    </row>
    <row r="99" spans="8:35" x14ac:dyDescent="0.25">
      <c r="H99" s="576" t="str">
        <f>+"c"&amp;LEFT(J99,4)</f>
        <v>c0070</v>
      </c>
      <c r="I99" s="591" t="s">
        <v>840</v>
      </c>
      <c r="J99" s="592" t="s">
        <v>1293</v>
      </c>
      <c r="K99" s="592"/>
      <c r="L99" s="592"/>
      <c r="M99" s="593"/>
      <c r="N99" s="594" t="s">
        <v>1156</v>
      </c>
      <c r="O99" s="595">
        <v>10</v>
      </c>
      <c r="P99" s="596" t="str">
        <f>+IFERROR(VLOOKUP(B99,'[1]ID1&amp;5'!K:L,2,FALSE),"-")</f>
        <v>-</v>
      </c>
      <c r="Q99" s="595">
        <v>0</v>
      </c>
      <c r="R99" s="595" t="str">
        <f>+IFERROR(VLOOKUP(CONCATENATE(A99,$C$10,C99),'[1]ID1&amp;5'!B:J,8,FALSE),"-")</f>
        <v>-</v>
      </c>
      <c r="S99" s="596" t="str">
        <f>+IFERROR(VLOOKUP(C99,'[1]ID1&amp;5'!K:L,2,FALSE),"-")</f>
        <v>-</v>
      </c>
      <c r="T99" s="595">
        <v>0</v>
      </c>
      <c r="U99" s="596" t="str">
        <f>+IFERROR(VLOOKUP(D99,'[1]ID1&amp;5'!K:L,2,FALSE),"-")</f>
        <v>-</v>
      </c>
      <c r="V99" s="593">
        <v>0</v>
      </c>
      <c r="W99" s="596" t="str">
        <f>+IFERROR(VLOOKUP(E99,'[1]ID1&amp;5'!K:L,2,FALSE),"-")</f>
        <v>-</v>
      </c>
      <c r="X99" s="595">
        <v>0</v>
      </c>
      <c r="Y99" s="597">
        <f>+X99/O99</f>
        <v>0</v>
      </c>
      <c r="Z99" s="596" t="str">
        <f>+IFERROR(VLOOKUP(F99,'[1]ID1&amp;5'!K:L,2,FALSE),"-")</f>
        <v>-</v>
      </c>
      <c r="AA99" s="595">
        <v>2</v>
      </c>
      <c r="AB99" s="597">
        <f>+AA99/O99</f>
        <v>0.2</v>
      </c>
      <c r="AC99" s="599" t="s">
        <v>1294</v>
      </c>
      <c r="AD99" s="598" t="s">
        <v>907</v>
      </c>
      <c r="AE99" s="593">
        <v>0</v>
      </c>
      <c r="AF99" s="593">
        <v>1</v>
      </c>
      <c r="AG99" s="598" t="s">
        <v>1289</v>
      </c>
      <c r="AH99" s="433" t="s">
        <v>1125</v>
      </c>
      <c r="AI99" s="576" t="s">
        <v>147</v>
      </c>
    </row>
    <row r="100" spans="8:35" x14ac:dyDescent="0.25">
      <c r="H100" s="576" t="str">
        <f>+"c"&amp;LEFT(J100,4)</f>
        <v>c0080</v>
      </c>
      <c r="I100" s="591" t="s">
        <v>840</v>
      </c>
      <c r="J100" s="592" t="s">
        <v>1295</v>
      </c>
      <c r="K100" s="592"/>
      <c r="L100" s="592"/>
      <c r="M100" s="593"/>
      <c r="N100" s="594" t="s">
        <v>1156</v>
      </c>
      <c r="O100" s="595">
        <v>10</v>
      </c>
      <c r="P100" s="596" t="str">
        <f>+IFERROR(VLOOKUP(B100,'[1]ID1&amp;5'!K:L,2,FALSE),"-")</f>
        <v>-</v>
      </c>
      <c r="Q100" s="595">
        <v>10</v>
      </c>
      <c r="R100" s="595" t="str">
        <f>+IFERROR(VLOOKUP(CONCATENATE(A100,$C$10,C100),'[1]ID1&amp;5'!B:J,8,FALSE),"-")</f>
        <v>-</v>
      </c>
      <c r="S100" s="596" t="str">
        <f>+IFERROR(VLOOKUP(C100,'[1]ID1&amp;5'!K:L,2,FALSE),"-")</f>
        <v>-</v>
      </c>
      <c r="T100" s="595">
        <v>0</v>
      </c>
      <c r="U100" s="596" t="str">
        <f>+IFERROR(VLOOKUP(D100,'[1]ID1&amp;5'!K:L,2,FALSE),"-")</f>
        <v>-</v>
      </c>
      <c r="V100" s="593">
        <v>0</v>
      </c>
      <c r="W100" s="596" t="str">
        <f>+IFERROR(VLOOKUP(E100,'[1]ID1&amp;5'!K:L,2,FALSE),"-")</f>
        <v>-</v>
      </c>
      <c r="X100" s="595">
        <v>0</v>
      </c>
      <c r="Y100" s="597">
        <f>+X100/O100</f>
        <v>0</v>
      </c>
      <c r="Z100" s="596" t="str">
        <f>+IFERROR(VLOOKUP(F100,'[1]ID1&amp;5'!K:L,2,FALSE),"-")</f>
        <v>-</v>
      </c>
      <c r="AA100" s="595">
        <v>0</v>
      </c>
      <c r="AB100" s="597">
        <f>+AA100/O100</f>
        <v>0</v>
      </c>
      <c r="AC100" s="598" t="s">
        <v>1296</v>
      </c>
      <c r="AD100" s="598" t="s">
        <v>1297</v>
      </c>
      <c r="AE100" s="593">
        <v>0</v>
      </c>
      <c r="AF100" s="593">
        <v>0</v>
      </c>
      <c r="AG100" s="598"/>
      <c r="AH100" s="433" t="s">
        <v>1125</v>
      </c>
      <c r="AI100" s="576" t="s">
        <v>147</v>
      </c>
    </row>
    <row r="101" spans="8:35" x14ac:dyDescent="0.25">
      <c r="H101" s="576" t="str">
        <f>+"c"&amp;LEFT(J101,4)</f>
        <v>c0090</v>
      </c>
      <c r="I101" s="591" t="s">
        <v>840</v>
      </c>
      <c r="J101" s="592" t="s">
        <v>1298</v>
      </c>
      <c r="K101" s="592"/>
      <c r="L101" s="592"/>
      <c r="M101" s="593"/>
      <c r="N101" s="594" t="s">
        <v>1156</v>
      </c>
      <c r="O101" s="595">
        <v>10</v>
      </c>
      <c r="P101" s="596" t="str">
        <f>+IFERROR(VLOOKUP(B101,'[1]ID1&amp;5'!K:L,2,FALSE),"-")</f>
        <v>-</v>
      </c>
      <c r="Q101" s="595">
        <v>10</v>
      </c>
      <c r="R101" s="595" t="str">
        <f>+IFERROR(VLOOKUP(CONCATENATE(A101,$C$10,C101),'[1]ID1&amp;5'!B:J,8,FALSE),"-")</f>
        <v>-</v>
      </c>
      <c r="S101" s="596" t="str">
        <f>+IFERROR(VLOOKUP(C101,'[1]ID1&amp;5'!K:L,2,FALSE),"-")</f>
        <v>-</v>
      </c>
      <c r="T101" s="595">
        <v>0</v>
      </c>
      <c r="U101" s="596" t="str">
        <f>+IFERROR(VLOOKUP(D101,'[1]ID1&amp;5'!K:L,2,FALSE),"-")</f>
        <v>-</v>
      </c>
      <c r="V101" s="593">
        <v>0</v>
      </c>
      <c r="W101" s="596" t="str">
        <f>+IFERROR(VLOOKUP(E101,'[1]ID1&amp;5'!K:L,2,FALSE),"-")</f>
        <v>-</v>
      </c>
      <c r="X101" s="595">
        <v>0</v>
      </c>
      <c r="Y101" s="597">
        <f>+X101/O101</f>
        <v>0</v>
      </c>
      <c r="Z101" s="596" t="str">
        <f>+IFERROR(VLOOKUP(F101,'[1]ID1&amp;5'!K:L,2,FALSE),"-")</f>
        <v>-</v>
      </c>
      <c r="AA101" s="595">
        <v>2</v>
      </c>
      <c r="AB101" s="597">
        <f>+AA101/O101</f>
        <v>0.2</v>
      </c>
      <c r="AC101" s="598">
        <v>99</v>
      </c>
      <c r="AD101" s="598" t="s">
        <v>1202</v>
      </c>
      <c r="AE101" s="593">
        <v>1</v>
      </c>
      <c r="AF101" s="593">
        <v>0</v>
      </c>
      <c r="AG101" s="598" t="s">
        <v>1289</v>
      </c>
      <c r="AH101" s="433" t="s">
        <v>1125</v>
      </c>
      <c r="AI101" s="576" t="s">
        <v>147</v>
      </c>
    </row>
    <row r="102" spans="8:35" x14ac:dyDescent="0.25">
      <c r="H102" s="576" t="str">
        <f>+"c"&amp;LEFT(J102,4)</f>
        <v>c0100</v>
      </c>
      <c r="I102" s="591" t="s">
        <v>840</v>
      </c>
      <c r="J102" s="592" t="s">
        <v>1299</v>
      </c>
      <c r="K102" s="592"/>
      <c r="L102" s="592"/>
      <c r="M102" s="593"/>
      <c r="N102" s="594" t="s">
        <v>1156</v>
      </c>
      <c r="O102" s="595">
        <v>10</v>
      </c>
      <c r="P102" s="596" t="str">
        <f>+IFERROR(VLOOKUP(B102,'[1]ID1&amp;5'!K:L,2,FALSE),"-")</f>
        <v>-</v>
      </c>
      <c r="Q102" s="595">
        <v>10</v>
      </c>
      <c r="R102" s="595" t="str">
        <f>+IFERROR(VLOOKUP(CONCATENATE(A102,$C$10,C102),'[1]ID1&amp;5'!B:J,8,FALSE),"-")</f>
        <v>-</v>
      </c>
      <c r="S102" s="596" t="str">
        <f>+IFERROR(VLOOKUP(C102,'[1]ID1&amp;5'!K:L,2,FALSE),"-")</f>
        <v>-</v>
      </c>
      <c r="T102" s="595">
        <v>0</v>
      </c>
      <c r="U102" s="596" t="str">
        <f>+IFERROR(VLOOKUP(D102,'[1]ID1&amp;5'!K:L,2,FALSE),"-")</f>
        <v>-</v>
      </c>
      <c r="V102" s="593">
        <v>0</v>
      </c>
      <c r="W102" s="596" t="str">
        <f>+IFERROR(VLOOKUP(E102,'[1]ID1&amp;5'!K:L,2,FALSE),"-")</f>
        <v>-</v>
      </c>
      <c r="X102" s="595">
        <v>0</v>
      </c>
      <c r="Y102" s="597">
        <f>+X102/O102</f>
        <v>0</v>
      </c>
      <c r="Z102" s="596" t="str">
        <f>+IFERROR(VLOOKUP(F102,'[1]ID1&amp;5'!K:L,2,FALSE),"-")</f>
        <v>-</v>
      </c>
      <c r="AA102" s="595">
        <v>0</v>
      </c>
      <c r="AB102" s="597">
        <f>+AA102/O102</f>
        <v>0</v>
      </c>
      <c r="AC102" s="598">
        <v>0</v>
      </c>
      <c r="AD102" s="598">
        <v>1383690177</v>
      </c>
      <c r="AE102" s="593">
        <v>1</v>
      </c>
      <c r="AF102" s="593">
        <v>0</v>
      </c>
      <c r="AG102" s="598"/>
      <c r="AH102" s="433" t="s">
        <v>1125</v>
      </c>
      <c r="AI102" s="576" t="s">
        <v>147</v>
      </c>
    </row>
    <row r="103" spans="8:35" x14ac:dyDescent="0.25"/>
    <row r="104" spans="8:35" hidden="1" x14ac:dyDescent="0.25">
      <c r="I104" s="591" t="s">
        <v>1300</v>
      </c>
      <c r="J104" s="592" t="s">
        <v>1301</v>
      </c>
      <c r="K104" s="592"/>
      <c r="L104" s="592"/>
      <c r="M104" s="593" t="e">
        <f>+COUNTIF('[1]ID1&amp;5'!A:A,'3. Status Testes'!I104&amp;'[1]1. Status'!J104)+COUNTIF('[1]ID6&amp;7'!A:A,'[1]1. Status'!I104&amp;'[1]1. Status'!J104)</f>
        <v>#VALUE!</v>
      </c>
      <c r="N104" s="601" t="str">
        <f>+IFERROR(VLOOKUP(CONCATENATE(A104,$B$10,B104),'[1]ID1&amp;5'!B:J,7,FALSE),"-")</f>
        <v>-</v>
      </c>
      <c r="O104" s="595" t="str">
        <f>+IFERROR(VLOOKUP(CONCATENATE(A104,$B$10,B104),'[1]ID1&amp;5'!B:J,8,FALSE),"-")</f>
        <v>-</v>
      </c>
      <c r="P104" s="596" t="str">
        <f>+IFERROR(VLOOKUP(B104,'[1]ID1&amp;5'!K:L,2,FALSE),"-")</f>
        <v>-</v>
      </c>
      <c r="Q104" s="595" t="str">
        <f>+IFERROR(VLOOKUP(CONCATENATE(A104,$B$10,B104),'[1]ID1&amp;5'!B:J,9,FALSE),"-")</f>
        <v>-</v>
      </c>
      <c r="R104" s="595" t="str">
        <f>+IFERROR(VLOOKUP(CONCATENATE(A104,$C$10,C104),'[1]ID1&amp;5'!B:J,8,FALSE),"-")</f>
        <v>-</v>
      </c>
      <c r="S104" s="596" t="str">
        <f>+IFERROR(VLOOKUP(C104,'[1]ID1&amp;5'!K:L,2,FALSE),"-")</f>
        <v>-</v>
      </c>
      <c r="T104" s="595" t="str">
        <f>+IFERROR(VLOOKUP(CONCATENATE(A104,$C$10,C104),'[1]ID1&amp;5'!B:J,9,FALSE),"-")</f>
        <v>-</v>
      </c>
      <c r="U104" s="596" t="str">
        <f>+IFERROR(VLOOKUP(D104,'[1]ID1&amp;5'!K:L,2,FALSE),"-")</f>
        <v>-</v>
      </c>
      <c r="V104" s="593" t="str">
        <f>+IFERROR(VLOOKUP(CONCATENATE(A104,$D$10,D104),'[1]ID1&amp;5'!B:J,9,FALSE),"-")</f>
        <v>-</v>
      </c>
      <c r="W104" s="596" t="str">
        <f>+IFERROR(VLOOKUP(E104,'[1]ID1&amp;5'!K:L,2,FALSE),"-")</f>
        <v>-</v>
      </c>
      <c r="X104" s="595" t="str">
        <f>+IFERROR(VLOOKUP(CONCATENATE(A104,$E$10,E104),'[1]ID1&amp;5'!B:J,9,FALSE),"-")</f>
        <v>-</v>
      </c>
      <c r="Y104" s="597" t="e">
        <f>+X104/O104</f>
        <v>#VALUE!</v>
      </c>
      <c r="Z104" s="596" t="str">
        <f>+IFERROR(VLOOKUP(F104,'[1]ID1&amp;5'!K:L,2,FALSE),"-")</f>
        <v>-</v>
      </c>
      <c r="AA104" s="595" t="str">
        <f>+IFERROR(VLOOKUP(CONCATENATE(A104,$F$10,F104),'[1]ID1&amp;5'!B:J,9,FALSE),"-")</f>
        <v>-</v>
      </c>
      <c r="AB104" s="597" t="e">
        <f>+AA104/O104</f>
        <v>#VALUE!</v>
      </c>
      <c r="AC104" s="593" t="str">
        <f>+IFERROR(VLOOKUP(A104&amp;G104,'[1]ID6&amp;7'!B:J,8,FALSE),"-")</f>
        <v>-</v>
      </c>
      <c r="AD104" s="593" t="str">
        <f>+IFERROR(VLOOKUP(A104&amp;G104,'[1]ID6&amp;7'!B:J,9,FALSE),"-")</f>
        <v>-</v>
      </c>
      <c r="AE104" s="593" t="str">
        <f>+IF(IFERROR(VLOOKUP(J104,'[1]ID8&amp;9'!G:G,1,FALSE),"")=J104,IF(VLOOKUP(J104,'[1]ID8&amp;9'!G:J,3,FALSE)+VLOOKUP(J104,'[1]ID8&amp;9'!G:J,4,FALSE)=2,_xlfn.MAXIFS('[1]ID8&amp;9'!D:D,'[1]ID8&amp;9'!G:G,J104,'[1]ID8&amp;9'!H:H,8,'[1]ID8&amp;9'!I:I,1,'[1]ID8&amp;9'!J:J,1),"Campo por concluir"),"Sem aplicabilidade")</f>
        <v>Sem aplicabilidade</v>
      </c>
      <c r="AF104" s="593" t="str">
        <f>+IF(IFERROR(VLOOKUP(J104,'[1]ID8&amp;9'!G:G,1,FALSE),"")=J104,IF(VLOOKUP(J104,'[1]ID8&amp;9'!G:J,3,FALSE)+VLOOKUP(J104,'[1]ID8&amp;9'!G:J,4,FALSE)=2,_xlfn.MAXIFS('[1]ID8&amp;9'!D:D,'[1]ID8&amp;9'!G:G,J104,'[1]ID8&amp;9'!H:H,9,'[1]ID8&amp;9'!I:I,1,'[1]ID8&amp;9'!J:J,1),"Campo por concluir"),"Sem aplicabilidade")</f>
        <v>Sem aplicabilidade</v>
      </c>
      <c r="AG104" s="598"/>
      <c r="AH104" s="433" t="s">
        <v>1125</v>
      </c>
      <c r="AI104" s="576" t="s">
        <v>147</v>
      </c>
    </row>
    <row r="105" spans="8:35" hidden="1" x14ac:dyDescent="0.25">
      <c r="I105" s="591" t="s">
        <v>1300</v>
      </c>
      <c r="J105" s="592" t="s">
        <v>1302</v>
      </c>
      <c r="K105" s="592"/>
      <c r="L105" s="592"/>
      <c r="M105" s="593" t="e">
        <f>+COUNTIF('[1]ID1&amp;5'!A:A,'3. Status Testes'!I105&amp;'[1]1. Status'!J105)+COUNTIF('[1]ID6&amp;7'!A:A,'[1]1. Status'!I105&amp;'[1]1. Status'!J105)</f>
        <v>#VALUE!</v>
      </c>
      <c r="N105" s="601" t="str">
        <f>+IFERROR(VLOOKUP(CONCATENATE(A105,$B$10,B105),'[1]ID1&amp;5'!B:J,7,FALSE),"-")</f>
        <v>-</v>
      </c>
      <c r="O105" s="595" t="str">
        <f>+IFERROR(VLOOKUP(CONCATENATE(A105,$B$10,B105),'[1]ID1&amp;5'!B:J,8,FALSE),"-")</f>
        <v>-</v>
      </c>
      <c r="P105" s="596" t="str">
        <f>+IFERROR(VLOOKUP(B105,'[1]ID1&amp;5'!K:L,2,FALSE),"-")</f>
        <v>-</v>
      </c>
      <c r="Q105" s="595" t="str">
        <f>+IFERROR(VLOOKUP(CONCATENATE(A105,$B$10,B105),'[1]ID1&amp;5'!B:J,9,FALSE),"-")</f>
        <v>-</v>
      </c>
      <c r="R105" s="595" t="str">
        <f>+IFERROR(VLOOKUP(CONCATENATE(A105,$C$10,C105),'[1]ID1&amp;5'!B:J,8,FALSE),"-")</f>
        <v>-</v>
      </c>
      <c r="S105" s="596" t="str">
        <f>+IFERROR(VLOOKUP(C105,'[1]ID1&amp;5'!K:L,2,FALSE),"-")</f>
        <v>-</v>
      </c>
      <c r="T105" s="595" t="str">
        <f>+IFERROR(VLOOKUP(CONCATENATE(A105,$C$10,C105),'[1]ID1&amp;5'!B:J,9,FALSE),"-")</f>
        <v>-</v>
      </c>
      <c r="U105" s="596" t="str">
        <f>+IFERROR(VLOOKUP(D105,'[1]ID1&amp;5'!K:L,2,FALSE),"-")</f>
        <v>-</v>
      </c>
      <c r="V105" s="593" t="str">
        <f>+IFERROR(VLOOKUP(CONCATENATE(A105,$D$10,D105),'[1]ID1&amp;5'!B:J,9,FALSE),"-")</f>
        <v>-</v>
      </c>
      <c r="W105" s="596" t="str">
        <f>+IFERROR(VLOOKUP(E105,'[1]ID1&amp;5'!K:L,2,FALSE),"-")</f>
        <v>-</v>
      </c>
      <c r="X105" s="595" t="str">
        <f>+IFERROR(VLOOKUP(CONCATENATE(A105,$E$10,E105),'[1]ID1&amp;5'!B:J,9,FALSE),"-")</f>
        <v>-</v>
      </c>
      <c r="Y105" s="597" t="e">
        <f>+X105/O105</f>
        <v>#VALUE!</v>
      </c>
      <c r="Z105" s="596" t="str">
        <f>+IFERROR(VLOOKUP(F105,'[1]ID1&amp;5'!K:L,2,FALSE),"-")</f>
        <v>-</v>
      </c>
      <c r="AA105" s="595" t="str">
        <f>+IFERROR(VLOOKUP(CONCATENATE(A105,$F$10,F105),'[1]ID1&amp;5'!B:J,9,FALSE),"-")</f>
        <v>-</v>
      </c>
      <c r="AB105" s="597" t="e">
        <f>+AA105/O105</f>
        <v>#VALUE!</v>
      </c>
      <c r="AC105" s="593" t="str">
        <f>+IFERROR(VLOOKUP(A105&amp;G105,'[1]ID6&amp;7'!B:J,8,FALSE),"-")</f>
        <v>-</v>
      </c>
      <c r="AD105" s="593" t="str">
        <f>+IFERROR(VLOOKUP(A105&amp;G105,'[1]ID6&amp;7'!B:J,9,FALSE),"-")</f>
        <v>-</v>
      </c>
      <c r="AE105" s="593" t="str">
        <f>+IF(IFERROR(VLOOKUP(J105,'[1]ID8&amp;9'!G:G,1,FALSE),"")=J105,IF(VLOOKUP(J105,'[1]ID8&amp;9'!G:J,3,FALSE)+VLOOKUP(J105,'[1]ID8&amp;9'!G:J,4,FALSE)=2,_xlfn.MAXIFS('[1]ID8&amp;9'!D:D,'[1]ID8&amp;9'!G:G,J105,'[1]ID8&amp;9'!H:H,8,'[1]ID8&amp;9'!I:I,1,'[1]ID8&amp;9'!J:J,1),"Campo por concluir"),"Sem aplicabilidade")</f>
        <v>Sem aplicabilidade</v>
      </c>
      <c r="AF105" s="593" t="str">
        <f>+IF(IFERROR(VLOOKUP(J105,'[1]ID8&amp;9'!G:G,1,FALSE),"")=J105,IF(VLOOKUP(J105,'[1]ID8&amp;9'!G:J,3,FALSE)+VLOOKUP(J105,'[1]ID8&amp;9'!G:J,4,FALSE)=2,_xlfn.MAXIFS('[1]ID8&amp;9'!D:D,'[1]ID8&amp;9'!G:G,J105,'[1]ID8&amp;9'!H:H,9,'[1]ID8&amp;9'!I:I,1,'[1]ID8&amp;9'!J:J,1),"Campo por concluir"),"Sem aplicabilidade")</f>
        <v>Sem aplicabilidade</v>
      </c>
      <c r="AG105" s="598"/>
      <c r="AH105" s="433" t="s">
        <v>1125</v>
      </c>
      <c r="AI105" s="576" t="s">
        <v>147</v>
      </c>
    </row>
    <row r="106" spans="8:35" hidden="1" x14ac:dyDescent="0.25">
      <c r="I106" s="591" t="s">
        <v>1300</v>
      </c>
      <c r="J106" s="592" t="s">
        <v>1303</v>
      </c>
      <c r="K106" s="592"/>
      <c r="L106" s="592"/>
      <c r="M106" s="593" t="e">
        <f>+COUNTIF('[1]ID1&amp;5'!A:A,'3. Status Testes'!I106&amp;'[1]1. Status'!J106)+COUNTIF('[1]ID6&amp;7'!A:A,'[1]1. Status'!I106&amp;'[1]1. Status'!J106)</f>
        <v>#VALUE!</v>
      </c>
      <c r="N106" s="601" t="str">
        <f>+IFERROR(VLOOKUP(CONCATENATE(A106,$B$10,B106),'[1]ID1&amp;5'!B:J,7,FALSE),"-")</f>
        <v>-</v>
      </c>
      <c r="O106" s="595" t="str">
        <f>+IFERROR(VLOOKUP(CONCATENATE(A106,$B$10,B106),'[1]ID1&amp;5'!B:J,8,FALSE),"-")</f>
        <v>-</v>
      </c>
      <c r="P106" s="596" t="str">
        <f>+IFERROR(VLOOKUP(B106,'[1]ID1&amp;5'!K:L,2,FALSE),"-")</f>
        <v>-</v>
      </c>
      <c r="Q106" s="595" t="str">
        <f>+IFERROR(VLOOKUP(CONCATENATE(A106,$B$10,B106),'[1]ID1&amp;5'!B:J,9,FALSE),"-")</f>
        <v>-</v>
      </c>
      <c r="R106" s="595" t="str">
        <f>+IFERROR(VLOOKUP(CONCATENATE(A106,$C$10,C106),'[1]ID1&amp;5'!B:J,8,FALSE),"-")</f>
        <v>-</v>
      </c>
      <c r="S106" s="596" t="str">
        <f>+IFERROR(VLOOKUP(C106,'[1]ID1&amp;5'!K:L,2,FALSE),"-")</f>
        <v>-</v>
      </c>
      <c r="T106" s="595" t="str">
        <f>+IFERROR(VLOOKUP(CONCATENATE(A106,$C$10,C106),'[1]ID1&amp;5'!B:J,9,FALSE),"-")</f>
        <v>-</v>
      </c>
      <c r="U106" s="596" t="str">
        <f>+IFERROR(VLOOKUP(D106,'[1]ID1&amp;5'!K:L,2,FALSE),"-")</f>
        <v>-</v>
      </c>
      <c r="V106" s="593" t="str">
        <f>+IFERROR(VLOOKUP(CONCATENATE(A106,$D$10,D106),'[1]ID1&amp;5'!B:J,9,FALSE),"-")</f>
        <v>-</v>
      </c>
      <c r="W106" s="596" t="str">
        <f>+IFERROR(VLOOKUP(E106,'[1]ID1&amp;5'!K:L,2,FALSE),"-")</f>
        <v>-</v>
      </c>
      <c r="X106" s="595" t="str">
        <f>+IFERROR(VLOOKUP(CONCATENATE(A106,$E$10,E106),'[1]ID1&amp;5'!B:J,9,FALSE),"-")</f>
        <v>-</v>
      </c>
      <c r="Y106" s="597" t="e">
        <f>+X106/O106</f>
        <v>#VALUE!</v>
      </c>
      <c r="Z106" s="596" t="str">
        <f>+IFERROR(VLOOKUP(F106,'[1]ID1&amp;5'!K:L,2,FALSE),"-")</f>
        <v>-</v>
      </c>
      <c r="AA106" s="595" t="str">
        <f>+IFERROR(VLOOKUP(CONCATENATE(A106,$F$10,F106),'[1]ID1&amp;5'!B:J,9,FALSE),"-")</f>
        <v>-</v>
      </c>
      <c r="AB106" s="597" t="e">
        <f>+AA106/O106</f>
        <v>#VALUE!</v>
      </c>
      <c r="AC106" s="593" t="str">
        <f>+IFERROR(VLOOKUP(A106&amp;G106,'[1]ID6&amp;7'!B:J,8,FALSE),"-")</f>
        <v>-</v>
      </c>
      <c r="AD106" s="593" t="str">
        <f>+IFERROR(VLOOKUP(A106&amp;G106,'[1]ID6&amp;7'!B:J,9,FALSE),"-")</f>
        <v>-</v>
      </c>
      <c r="AE106" s="593" t="str">
        <f>+IF(IFERROR(VLOOKUP(J106,'[1]ID8&amp;9'!G:G,1,FALSE),"")=J106,IF(VLOOKUP(J106,'[1]ID8&amp;9'!G:J,3,FALSE)+VLOOKUP(J106,'[1]ID8&amp;9'!G:J,4,FALSE)=2,_xlfn.MAXIFS('[1]ID8&amp;9'!D:D,'[1]ID8&amp;9'!G:G,J106,'[1]ID8&amp;9'!H:H,8,'[1]ID8&amp;9'!I:I,1,'[1]ID8&amp;9'!J:J,1),"Campo por concluir"),"Sem aplicabilidade")</f>
        <v>Sem aplicabilidade</v>
      </c>
      <c r="AF106" s="593" t="str">
        <f>+IF(IFERROR(VLOOKUP(J106,'[1]ID8&amp;9'!G:G,1,FALSE),"")=J106,IF(VLOOKUP(J106,'[1]ID8&amp;9'!G:J,3,FALSE)+VLOOKUP(J106,'[1]ID8&amp;9'!G:J,4,FALSE)=2,_xlfn.MAXIFS('[1]ID8&amp;9'!D:D,'[1]ID8&amp;9'!G:G,J106,'[1]ID8&amp;9'!H:H,9,'[1]ID8&amp;9'!I:I,1,'[1]ID8&amp;9'!J:J,1),"Campo por concluir"),"Sem aplicabilidade")</f>
        <v>Sem aplicabilidade</v>
      </c>
      <c r="AG106" s="598"/>
      <c r="AH106" s="433" t="s">
        <v>1125</v>
      </c>
      <c r="AI106" s="576" t="s">
        <v>147</v>
      </c>
    </row>
    <row r="107" spans="8:35" hidden="1" x14ac:dyDescent="0.25">
      <c r="I107" s="591" t="s">
        <v>1300</v>
      </c>
      <c r="J107" s="592" t="s">
        <v>1292</v>
      </c>
      <c r="K107" s="592"/>
      <c r="L107" s="592"/>
      <c r="M107" s="593" t="e">
        <f>+COUNTIF('[1]ID1&amp;5'!A:A,'3. Status Testes'!I107&amp;'[1]1. Status'!J107)+COUNTIF('[1]ID6&amp;7'!A:A,'[1]1. Status'!I107&amp;'[1]1. Status'!J107)</f>
        <v>#VALUE!</v>
      </c>
      <c r="N107" s="601" t="str">
        <f>+IFERROR(VLOOKUP(CONCATENATE(A107,$B$10,B107),'[1]ID1&amp;5'!B:J,7,FALSE),"-")</f>
        <v>-</v>
      </c>
      <c r="O107" s="595" t="str">
        <f>+IFERROR(VLOOKUP(CONCATENATE(A107,$B$10,B107),'[1]ID1&amp;5'!B:J,8,FALSE),"-")</f>
        <v>-</v>
      </c>
      <c r="P107" s="596" t="str">
        <f>+IFERROR(VLOOKUP(B107,'[1]ID1&amp;5'!K:L,2,FALSE),"-")</f>
        <v>-</v>
      </c>
      <c r="Q107" s="595" t="str">
        <f>+IFERROR(VLOOKUP(CONCATENATE(A107,$B$10,B107),'[1]ID1&amp;5'!B:J,9,FALSE),"-")</f>
        <v>-</v>
      </c>
      <c r="R107" s="595" t="str">
        <f>+IFERROR(VLOOKUP(CONCATENATE(A107,$C$10,C107),'[1]ID1&amp;5'!B:J,8,FALSE),"-")</f>
        <v>-</v>
      </c>
      <c r="S107" s="596" t="str">
        <f>+IFERROR(VLOOKUP(C107,'[1]ID1&amp;5'!K:L,2,FALSE),"-")</f>
        <v>-</v>
      </c>
      <c r="T107" s="595" t="str">
        <f>+IFERROR(VLOOKUP(CONCATENATE(A107,$C$10,C107),'[1]ID1&amp;5'!B:J,9,FALSE),"-")</f>
        <v>-</v>
      </c>
      <c r="U107" s="596" t="str">
        <f>+IFERROR(VLOOKUP(D107,'[1]ID1&amp;5'!K:L,2,FALSE),"-")</f>
        <v>-</v>
      </c>
      <c r="V107" s="593" t="str">
        <f>+IFERROR(VLOOKUP(CONCATENATE(A107,$D$10,D107),'[1]ID1&amp;5'!B:J,9,FALSE),"-")</f>
        <v>-</v>
      </c>
      <c r="W107" s="596" t="str">
        <f>+IFERROR(VLOOKUP(E107,'[1]ID1&amp;5'!K:L,2,FALSE),"-")</f>
        <v>-</v>
      </c>
      <c r="X107" s="595" t="str">
        <f>+IFERROR(VLOOKUP(CONCATENATE(A107,$E$10,E107),'[1]ID1&amp;5'!B:J,9,FALSE),"-")</f>
        <v>-</v>
      </c>
      <c r="Y107" s="597" t="e">
        <f>+X107/O107</f>
        <v>#VALUE!</v>
      </c>
      <c r="Z107" s="596" t="str">
        <f>+IFERROR(VLOOKUP(F107,'[1]ID1&amp;5'!K:L,2,FALSE),"-")</f>
        <v>-</v>
      </c>
      <c r="AA107" s="595" t="str">
        <f>+IFERROR(VLOOKUP(CONCATENATE(A107,$F$10,F107),'[1]ID1&amp;5'!B:J,9,FALSE),"-")</f>
        <v>-</v>
      </c>
      <c r="AB107" s="597" t="e">
        <f>+AA107/O107</f>
        <v>#VALUE!</v>
      </c>
      <c r="AC107" s="593" t="str">
        <f>+IFERROR(VLOOKUP(A107&amp;G107,'[1]ID6&amp;7'!B:J,8,FALSE),"-")</f>
        <v>-</v>
      </c>
      <c r="AD107" s="593" t="str">
        <f>+IFERROR(VLOOKUP(A107&amp;G107,'[1]ID6&amp;7'!B:J,9,FALSE),"-")</f>
        <v>-</v>
      </c>
      <c r="AE107" s="593" t="str">
        <f>+IF(IFERROR(VLOOKUP(J107,'[1]ID8&amp;9'!G:G,1,FALSE),"")=J107,IF(VLOOKUP(J107,'[1]ID8&amp;9'!G:J,3,FALSE)+VLOOKUP(J107,'[1]ID8&amp;9'!G:J,4,FALSE)=2,_xlfn.MAXIFS('[1]ID8&amp;9'!D:D,'[1]ID8&amp;9'!G:G,J107,'[1]ID8&amp;9'!H:H,8,'[1]ID8&amp;9'!I:I,1,'[1]ID8&amp;9'!J:J,1),"Campo por concluir"),"Sem aplicabilidade")</f>
        <v>Sem aplicabilidade</v>
      </c>
      <c r="AF107" s="593" t="str">
        <f>+IF(IFERROR(VLOOKUP(J107,'[1]ID8&amp;9'!G:G,1,FALSE),"")=J107,IF(VLOOKUP(J107,'[1]ID8&amp;9'!G:J,3,FALSE)+VLOOKUP(J107,'[1]ID8&amp;9'!G:J,4,FALSE)=2,_xlfn.MAXIFS('[1]ID8&amp;9'!D:D,'[1]ID8&amp;9'!G:G,J107,'[1]ID8&amp;9'!H:H,9,'[1]ID8&amp;9'!I:I,1,'[1]ID8&amp;9'!J:J,1),"Campo por concluir"),"Sem aplicabilidade")</f>
        <v>Sem aplicabilidade</v>
      </c>
      <c r="AG107" s="598"/>
      <c r="AH107" s="433" t="s">
        <v>1125</v>
      </c>
      <c r="AI107" s="576" t="s">
        <v>147</v>
      </c>
    </row>
    <row r="108" spans="8:35" hidden="1" x14ac:dyDescent="0.25">
      <c r="I108" s="591" t="s">
        <v>1300</v>
      </c>
      <c r="J108" s="592" t="s">
        <v>1304</v>
      </c>
      <c r="K108" s="592"/>
      <c r="L108" s="592"/>
      <c r="M108" s="593" t="e">
        <f>+COUNTIF('[1]ID1&amp;5'!A:A,'3. Status Testes'!I108&amp;'[1]1. Status'!J108)+COUNTIF('[1]ID6&amp;7'!A:A,'[1]1. Status'!I108&amp;'[1]1. Status'!J108)</f>
        <v>#VALUE!</v>
      </c>
      <c r="N108" s="601" t="str">
        <f>+IFERROR(VLOOKUP(CONCATENATE(A108,$B$10,B108),'[1]ID1&amp;5'!B:J,7,FALSE),"-")</f>
        <v>-</v>
      </c>
      <c r="O108" s="595" t="str">
        <f>+IFERROR(VLOOKUP(CONCATENATE(A108,$B$10,B108),'[1]ID1&amp;5'!B:J,8,FALSE),"-")</f>
        <v>-</v>
      </c>
      <c r="P108" s="596" t="str">
        <f>+IFERROR(VLOOKUP(B108,'[1]ID1&amp;5'!K:L,2,FALSE),"-")</f>
        <v>-</v>
      </c>
      <c r="Q108" s="595" t="str">
        <f>+IFERROR(VLOOKUP(CONCATENATE(A108,$B$10,B108),'[1]ID1&amp;5'!B:J,9,FALSE),"-")</f>
        <v>-</v>
      </c>
      <c r="R108" s="595" t="str">
        <f>+IFERROR(VLOOKUP(CONCATENATE(A108,$C$10,C108),'[1]ID1&amp;5'!B:J,8,FALSE),"-")</f>
        <v>-</v>
      </c>
      <c r="S108" s="596" t="str">
        <f>+IFERROR(VLOOKUP(C108,'[1]ID1&amp;5'!K:L,2,FALSE),"-")</f>
        <v>-</v>
      </c>
      <c r="T108" s="595" t="str">
        <f>+IFERROR(VLOOKUP(CONCATENATE(A108,$C$10,C108),'[1]ID1&amp;5'!B:J,9,FALSE),"-")</f>
        <v>-</v>
      </c>
      <c r="U108" s="596" t="str">
        <f>+IFERROR(VLOOKUP(D108,'[1]ID1&amp;5'!K:L,2,FALSE),"-")</f>
        <v>-</v>
      </c>
      <c r="V108" s="593" t="str">
        <f>+IFERROR(VLOOKUP(CONCATENATE(A108,$D$10,D108),'[1]ID1&amp;5'!B:J,9,FALSE),"-")</f>
        <v>-</v>
      </c>
      <c r="W108" s="596" t="str">
        <f>+IFERROR(VLOOKUP(E108,'[1]ID1&amp;5'!K:L,2,FALSE),"-")</f>
        <v>-</v>
      </c>
      <c r="X108" s="595" t="str">
        <f>+IFERROR(VLOOKUP(CONCATENATE(A108,$E$10,E108),'[1]ID1&amp;5'!B:J,9,FALSE),"-")</f>
        <v>-</v>
      </c>
      <c r="Y108" s="597" t="e">
        <f>+X108/O108</f>
        <v>#VALUE!</v>
      </c>
      <c r="Z108" s="596" t="str">
        <f>+IFERROR(VLOOKUP(F108,'[1]ID1&amp;5'!K:L,2,FALSE),"-")</f>
        <v>-</v>
      </c>
      <c r="AA108" s="595" t="str">
        <f>+IFERROR(VLOOKUP(CONCATENATE(A108,$F$10,F108),'[1]ID1&amp;5'!B:J,9,FALSE),"-")</f>
        <v>-</v>
      </c>
      <c r="AB108" s="597" t="e">
        <f>+AA108/O108</f>
        <v>#VALUE!</v>
      </c>
      <c r="AC108" s="593" t="str">
        <f>+IFERROR(VLOOKUP(A108&amp;G108,'[1]ID6&amp;7'!B:J,8,FALSE),"-")</f>
        <v>-</v>
      </c>
      <c r="AD108" s="593" t="str">
        <f>+IFERROR(VLOOKUP(A108&amp;G108,'[1]ID6&amp;7'!B:J,9,FALSE),"-")</f>
        <v>-</v>
      </c>
      <c r="AE108" s="593" t="str">
        <f>+IF(IFERROR(VLOOKUP(J108,'[1]ID8&amp;9'!G:G,1,FALSE),"")=J108,IF(VLOOKUP(J108,'[1]ID8&amp;9'!G:J,3,FALSE)+VLOOKUP(J108,'[1]ID8&amp;9'!G:J,4,FALSE)=2,_xlfn.MAXIFS('[1]ID8&amp;9'!D:D,'[1]ID8&amp;9'!G:G,J108,'[1]ID8&amp;9'!H:H,8,'[1]ID8&amp;9'!I:I,1,'[1]ID8&amp;9'!J:J,1),"Campo por concluir"),"Sem aplicabilidade")</f>
        <v>Sem aplicabilidade</v>
      </c>
      <c r="AF108" s="593" t="str">
        <f>+IF(IFERROR(VLOOKUP(J108,'[1]ID8&amp;9'!G:G,1,FALSE),"")=J108,IF(VLOOKUP(J108,'[1]ID8&amp;9'!G:J,3,FALSE)+VLOOKUP(J108,'[1]ID8&amp;9'!G:J,4,FALSE)=2,_xlfn.MAXIFS('[1]ID8&amp;9'!D:D,'[1]ID8&amp;9'!G:G,J108,'[1]ID8&amp;9'!H:H,9,'[1]ID8&amp;9'!I:I,1,'[1]ID8&amp;9'!J:J,1),"Campo por concluir"),"Sem aplicabilidade")</f>
        <v>Sem aplicabilidade</v>
      </c>
      <c r="AG108" s="598"/>
      <c r="AH108" s="433" t="s">
        <v>1125</v>
      </c>
      <c r="AI108" s="576" t="s">
        <v>147</v>
      </c>
    </row>
    <row r="109" spans="8:35" hidden="1" x14ac:dyDescent="0.25">
      <c r="I109" s="591" t="s">
        <v>1300</v>
      </c>
      <c r="J109" s="592" t="s">
        <v>1305</v>
      </c>
      <c r="K109" s="592"/>
      <c r="L109" s="592"/>
      <c r="M109" s="593" t="e">
        <f>+COUNTIF('[1]ID1&amp;5'!A:A,'3. Status Testes'!I109&amp;'[1]1. Status'!J109)+COUNTIF('[1]ID6&amp;7'!A:A,'[1]1. Status'!I109&amp;'[1]1. Status'!J109)</f>
        <v>#VALUE!</v>
      </c>
      <c r="N109" s="601" t="str">
        <f>+IFERROR(VLOOKUP(CONCATENATE(A109,$B$10,B109),'[1]ID1&amp;5'!B:J,7,FALSE),"-")</f>
        <v>-</v>
      </c>
      <c r="O109" s="595" t="str">
        <f>+IFERROR(VLOOKUP(CONCATENATE(A109,$B$10,B109),'[1]ID1&amp;5'!B:J,8,FALSE),"-")</f>
        <v>-</v>
      </c>
      <c r="P109" s="596" t="str">
        <f>+IFERROR(VLOOKUP(B109,'[1]ID1&amp;5'!K:L,2,FALSE),"-")</f>
        <v>-</v>
      </c>
      <c r="Q109" s="595" t="str">
        <f>+IFERROR(VLOOKUP(CONCATENATE(A109,$B$10,B109),'[1]ID1&amp;5'!B:J,9,FALSE),"-")</f>
        <v>-</v>
      </c>
      <c r="R109" s="595" t="str">
        <f>+IFERROR(VLOOKUP(CONCATENATE(A109,$C$10,C109),'[1]ID1&amp;5'!B:J,8,FALSE),"-")</f>
        <v>-</v>
      </c>
      <c r="S109" s="596" t="str">
        <f>+IFERROR(VLOOKUP(C109,'[1]ID1&amp;5'!K:L,2,FALSE),"-")</f>
        <v>-</v>
      </c>
      <c r="T109" s="595" t="str">
        <f>+IFERROR(VLOOKUP(CONCATENATE(A109,$C$10,C109),'[1]ID1&amp;5'!B:J,9,FALSE),"-")</f>
        <v>-</v>
      </c>
      <c r="U109" s="596" t="str">
        <f>+IFERROR(VLOOKUP(D109,'[1]ID1&amp;5'!K:L,2,FALSE),"-")</f>
        <v>-</v>
      </c>
      <c r="V109" s="593" t="str">
        <f>+IFERROR(VLOOKUP(CONCATENATE(A109,$D$10,D109),'[1]ID1&amp;5'!B:J,9,FALSE),"-")</f>
        <v>-</v>
      </c>
      <c r="W109" s="596" t="str">
        <f>+IFERROR(VLOOKUP(E109,'[1]ID1&amp;5'!K:L,2,FALSE),"-")</f>
        <v>-</v>
      </c>
      <c r="X109" s="595" t="str">
        <f>+IFERROR(VLOOKUP(CONCATENATE(A109,$E$10,E109),'[1]ID1&amp;5'!B:J,9,FALSE),"-")</f>
        <v>-</v>
      </c>
      <c r="Y109" s="597" t="e">
        <f>+X109/O109</f>
        <v>#VALUE!</v>
      </c>
      <c r="Z109" s="596" t="str">
        <f>+IFERROR(VLOOKUP(F109,'[1]ID1&amp;5'!K:L,2,FALSE),"-")</f>
        <v>-</v>
      </c>
      <c r="AA109" s="595" t="str">
        <f>+IFERROR(VLOOKUP(CONCATENATE(A109,$F$10,F109),'[1]ID1&amp;5'!B:J,9,FALSE),"-")</f>
        <v>-</v>
      </c>
      <c r="AB109" s="597" t="e">
        <f>+AA109/O109</f>
        <v>#VALUE!</v>
      </c>
      <c r="AC109" s="593" t="str">
        <f>+IFERROR(VLOOKUP(A109&amp;G109,'[1]ID6&amp;7'!B:J,8,FALSE),"-")</f>
        <v>-</v>
      </c>
      <c r="AD109" s="593" t="str">
        <f>+IFERROR(VLOOKUP(A109&amp;G109,'[1]ID6&amp;7'!B:J,9,FALSE),"-")</f>
        <v>-</v>
      </c>
      <c r="AE109" s="593" t="str">
        <f>+IF(IFERROR(VLOOKUP(J109,'[1]ID8&amp;9'!G:G,1,FALSE),"")=J109,IF(VLOOKUP(J109,'[1]ID8&amp;9'!G:J,3,FALSE)+VLOOKUP(J109,'[1]ID8&amp;9'!G:J,4,FALSE)=2,_xlfn.MAXIFS('[1]ID8&amp;9'!D:D,'[1]ID8&amp;9'!G:G,J109,'[1]ID8&amp;9'!H:H,8,'[1]ID8&amp;9'!I:I,1,'[1]ID8&amp;9'!J:J,1),"Campo por concluir"),"Sem aplicabilidade")</f>
        <v>Sem aplicabilidade</v>
      </c>
      <c r="AF109" s="593" t="str">
        <f>+IF(IFERROR(VLOOKUP(J109,'[1]ID8&amp;9'!G:G,1,FALSE),"")=J109,IF(VLOOKUP(J109,'[1]ID8&amp;9'!G:J,3,FALSE)+VLOOKUP(J109,'[1]ID8&amp;9'!G:J,4,FALSE)=2,_xlfn.MAXIFS('[1]ID8&amp;9'!D:D,'[1]ID8&amp;9'!G:G,J109,'[1]ID8&amp;9'!H:H,9,'[1]ID8&amp;9'!I:I,1,'[1]ID8&amp;9'!J:J,1),"Campo por concluir"),"Sem aplicabilidade")</f>
        <v>Sem aplicabilidade</v>
      </c>
      <c r="AG109" s="598"/>
      <c r="AH109" s="433" t="s">
        <v>1125</v>
      </c>
      <c r="AI109" s="576" t="s">
        <v>147</v>
      </c>
    </row>
    <row r="110" spans="8:35" hidden="1" x14ac:dyDescent="0.25">
      <c r="I110" s="591" t="s">
        <v>1300</v>
      </c>
      <c r="J110" s="592" t="s">
        <v>1306</v>
      </c>
      <c r="K110" s="592"/>
      <c r="L110" s="592"/>
      <c r="M110" s="593" t="e">
        <f>+COUNTIF('[1]ID1&amp;5'!A:A,'3. Status Testes'!I110&amp;'[1]1. Status'!J110)+COUNTIF('[1]ID6&amp;7'!A:A,'[1]1. Status'!I110&amp;'[1]1. Status'!J110)</f>
        <v>#VALUE!</v>
      </c>
      <c r="N110" s="601" t="str">
        <f>+IFERROR(VLOOKUP(CONCATENATE(A110,$B$10,B110),'[1]ID1&amp;5'!B:J,7,FALSE),"-")</f>
        <v>-</v>
      </c>
      <c r="O110" s="595" t="str">
        <f>+IFERROR(VLOOKUP(CONCATENATE(A110,$B$10,B110),'[1]ID1&amp;5'!B:J,8,FALSE),"-")</f>
        <v>-</v>
      </c>
      <c r="P110" s="596" t="str">
        <f>+IFERROR(VLOOKUP(B110,'[1]ID1&amp;5'!K:L,2,FALSE),"-")</f>
        <v>-</v>
      </c>
      <c r="Q110" s="595" t="str">
        <f>+IFERROR(VLOOKUP(CONCATENATE(A110,$B$10,B110),'[1]ID1&amp;5'!B:J,9,FALSE),"-")</f>
        <v>-</v>
      </c>
      <c r="R110" s="595" t="str">
        <f>+IFERROR(VLOOKUP(CONCATENATE(A110,$C$10,C110),'[1]ID1&amp;5'!B:J,8,FALSE),"-")</f>
        <v>-</v>
      </c>
      <c r="S110" s="596" t="str">
        <f>+IFERROR(VLOOKUP(C110,'[1]ID1&amp;5'!K:L,2,FALSE),"-")</f>
        <v>-</v>
      </c>
      <c r="T110" s="595" t="str">
        <f>+IFERROR(VLOOKUP(CONCATENATE(A110,$C$10,C110),'[1]ID1&amp;5'!B:J,9,FALSE),"-")</f>
        <v>-</v>
      </c>
      <c r="U110" s="596" t="str">
        <f>+IFERROR(VLOOKUP(D110,'[1]ID1&amp;5'!K:L,2,FALSE),"-")</f>
        <v>-</v>
      </c>
      <c r="V110" s="593" t="str">
        <f>+IFERROR(VLOOKUP(CONCATENATE(A110,$D$10,D110),'[1]ID1&amp;5'!B:J,9,FALSE),"-")</f>
        <v>-</v>
      </c>
      <c r="W110" s="596" t="str">
        <f>+IFERROR(VLOOKUP(E110,'[1]ID1&amp;5'!K:L,2,FALSE),"-")</f>
        <v>-</v>
      </c>
      <c r="X110" s="595" t="str">
        <f>+IFERROR(VLOOKUP(CONCATENATE(A110,$E$10,E110),'[1]ID1&amp;5'!B:J,9,FALSE),"-")</f>
        <v>-</v>
      </c>
      <c r="Y110" s="597" t="e">
        <f>+X110/O110</f>
        <v>#VALUE!</v>
      </c>
      <c r="Z110" s="596" t="str">
        <f>+IFERROR(VLOOKUP(F110,'[1]ID1&amp;5'!K:L,2,FALSE),"-")</f>
        <v>-</v>
      </c>
      <c r="AA110" s="595" t="str">
        <f>+IFERROR(VLOOKUP(CONCATENATE(A110,$F$10,F110),'[1]ID1&amp;5'!B:J,9,FALSE),"-")</f>
        <v>-</v>
      </c>
      <c r="AB110" s="597" t="e">
        <f>+AA110/O110</f>
        <v>#VALUE!</v>
      </c>
      <c r="AC110" s="593" t="str">
        <f>+IFERROR(VLOOKUP(A110&amp;G110,'[1]ID6&amp;7'!B:J,8,FALSE),"-")</f>
        <v>-</v>
      </c>
      <c r="AD110" s="593" t="str">
        <f>+IFERROR(VLOOKUP(A110&amp;G110,'[1]ID6&amp;7'!B:J,9,FALSE),"-")</f>
        <v>-</v>
      </c>
      <c r="AE110" s="593" t="str">
        <f>+IF(IFERROR(VLOOKUP(J110,'[1]ID8&amp;9'!G:G,1,FALSE),"")=J110,IF(VLOOKUP(J110,'[1]ID8&amp;9'!G:J,3,FALSE)+VLOOKUP(J110,'[1]ID8&amp;9'!G:J,4,FALSE)=2,_xlfn.MAXIFS('[1]ID8&amp;9'!D:D,'[1]ID8&amp;9'!G:G,J110,'[1]ID8&amp;9'!H:H,8,'[1]ID8&amp;9'!I:I,1,'[1]ID8&amp;9'!J:J,1),"Campo por concluir"),"Sem aplicabilidade")</f>
        <v>Sem aplicabilidade</v>
      </c>
      <c r="AF110" s="593" t="str">
        <f>+IF(IFERROR(VLOOKUP(J110,'[1]ID8&amp;9'!G:G,1,FALSE),"")=J110,IF(VLOOKUP(J110,'[1]ID8&amp;9'!G:J,3,FALSE)+VLOOKUP(J110,'[1]ID8&amp;9'!G:J,4,FALSE)=2,_xlfn.MAXIFS('[1]ID8&amp;9'!D:D,'[1]ID8&amp;9'!G:G,J110,'[1]ID8&amp;9'!H:H,9,'[1]ID8&amp;9'!I:I,1,'[1]ID8&amp;9'!J:J,1),"Campo por concluir"),"Sem aplicabilidade")</f>
        <v>Sem aplicabilidade</v>
      </c>
      <c r="AG110" s="598"/>
      <c r="AH110" s="433" t="s">
        <v>1125</v>
      </c>
      <c r="AI110" s="576" t="s">
        <v>147</v>
      </c>
    </row>
    <row r="111" spans="8:35" hidden="1" x14ac:dyDescent="0.25">
      <c r="I111" s="591" t="s">
        <v>1307</v>
      </c>
      <c r="J111" s="592" t="s">
        <v>1304</v>
      </c>
      <c r="K111" s="592"/>
      <c r="L111" s="592"/>
      <c r="M111" s="593" t="e">
        <f>+COUNTIF('[1]ID1&amp;5'!A:A,'3. Status Testes'!I111&amp;'[1]1. Status'!J111)+COUNTIF('[1]ID6&amp;7'!A:A,'[1]1. Status'!I111&amp;'[1]1. Status'!J111)</f>
        <v>#VALUE!</v>
      </c>
      <c r="N111" s="601" t="str">
        <f>+IFERROR(VLOOKUP(CONCATENATE(A111,$B$10,B111),'[1]ID1&amp;5'!B:J,7,FALSE),"-")</f>
        <v>-</v>
      </c>
      <c r="O111" s="595" t="str">
        <f>+IFERROR(VLOOKUP(CONCATENATE(A111,$B$10,B111),'[1]ID1&amp;5'!B:J,8,FALSE),"-")</f>
        <v>-</v>
      </c>
      <c r="P111" s="596" t="str">
        <f>+IFERROR(VLOOKUP(B111,'[1]ID1&amp;5'!K:L,2,FALSE),"-")</f>
        <v>-</v>
      </c>
      <c r="Q111" s="595" t="str">
        <f>+IFERROR(VLOOKUP(CONCATENATE(A111,$B$10,B111),'[1]ID1&amp;5'!B:J,9,FALSE),"-")</f>
        <v>-</v>
      </c>
      <c r="R111" s="595" t="str">
        <f>+IFERROR(VLOOKUP(CONCATENATE(A111,$C$10,C111),'[1]ID1&amp;5'!B:J,8,FALSE),"-")</f>
        <v>-</v>
      </c>
      <c r="S111" s="596" t="str">
        <f>+IFERROR(VLOOKUP(C111,'[1]ID1&amp;5'!K:L,2,FALSE),"-")</f>
        <v>-</v>
      </c>
      <c r="T111" s="595" t="str">
        <f>+IFERROR(VLOOKUP(CONCATENATE(A111,$C$10,C111),'[1]ID1&amp;5'!B:J,9,FALSE),"-")</f>
        <v>-</v>
      </c>
      <c r="U111" s="596" t="str">
        <f>+IFERROR(VLOOKUP(D111,'[1]ID1&amp;5'!K:L,2,FALSE),"-")</f>
        <v>-</v>
      </c>
      <c r="V111" s="593" t="str">
        <f>+IFERROR(VLOOKUP(CONCATENATE(A111,$D$10,D111),'[1]ID1&amp;5'!B:J,9,FALSE),"-")</f>
        <v>-</v>
      </c>
      <c r="W111" s="596" t="str">
        <f>+IFERROR(VLOOKUP(E111,'[1]ID1&amp;5'!K:L,2,FALSE),"-")</f>
        <v>-</v>
      </c>
      <c r="X111" s="595" t="str">
        <f>+IFERROR(VLOOKUP(CONCATENATE(A111,$E$10,E111),'[1]ID1&amp;5'!B:J,9,FALSE),"-")</f>
        <v>-</v>
      </c>
      <c r="Y111" s="597" t="e">
        <f>+X111/O111</f>
        <v>#VALUE!</v>
      </c>
      <c r="Z111" s="596" t="str">
        <f>+IFERROR(VLOOKUP(F111,'[1]ID1&amp;5'!K:L,2,FALSE),"-")</f>
        <v>-</v>
      </c>
      <c r="AA111" s="595" t="str">
        <f>+IFERROR(VLOOKUP(CONCATENATE(A111,$F$10,F111),'[1]ID1&amp;5'!B:J,9,FALSE),"-")</f>
        <v>-</v>
      </c>
      <c r="AB111" s="597" t="e">
        <f>+AA111/O111</f>
        <v>#VALUE!</v>
      </c>
      <c r="AC111" s="593" t="str">
        <f>+IFERROR(VLOOKUP(A111&amp;G111,'[1]ID6&amp;7'!B:J,8,FALSE),"-")</f>
        <v>-</v>
      </c>
      <c r="AD111" s="593" t="str">
        <f>+IFERROR(VLOOKUP(A111&amp;G111,'[1]ID6&amp;7'!B:J,9,FALSE),"-")</f>
        <v>-</v>
      </c>
      <c r="AE111" s="593" t="str">
        <f>+IF(IFERROR(VLOOKUP(J111,'[1]ID8&amp;9'!G:G,1,FALSE),"")=J111,IF(VLOOKUP(J111,'[1]ID8&amp;9'!G:J,3,FALSE)+VLOOKUP(J111,'[1]ID8&amp;9'!G:J,4,FALSE)=2,_xlfn.MAXIFS('[1]ID8&amp;9'!D:D,'[1]ID8&amp;9'!G:G,J111,'[1]ID8&amp;9'!H:H,8,'[1]ID8&amp;9'!I:I,1,'[1]ID8&amp;9'!J:J,1),"Campo por concluir"),"Sem aplicabilidade")</f>
        <v>Sem aplicabilidade</v>
      </c>
      <c r="AF111" s="593" t="str">
        <f>+IF(IFERROR(VLOOKUP(J111,'[1]ID8&amp;9'!G:G,1,FALSE),"")=J111,IF(VLOOKUP(J111,'[1]ID8&amp;9'!G:J,3,FALSE)+VLOOKUP(J111,'[1]ID8&amp;9'!G:J,4,FALSE)=2,_xlfn.MAXIFS('[1]ID8&amp;9'!D:D,'[1]ID8&amp;9'!G:G,J111,'[1]ID8&amp;9'!H:H,9,'[1]ID8&amp;9'!I:I,1,'[1]ID8&amp;9'!J:J,1),"Campo por concluir"),"Sem aplicabilidade")</f>
        <v>Sem aplicabilidade</v>
      </c>
      <c r="AG111" s="598"/>
      <c r="AH111" s="433" t="s">
        <v>1125</v>
      </c>
      <c r="AI111" s="576" t="s">
        <v>147</v>
      </c>
    </row>
    <row r="112" spans="8:35" hidden="1" x14ac:dyDescent="0.25">
      <c r="I112" s="591" t="s">
        <v>1307</v>
      </c>
      <c r="J112" s="592" t="s">
        <v>1308</v>
      </c>
      <c r="K112" s="592"/>
      <c r="L112" s="592"/>
      <c r="M112" s="593" t="e">
        <f>+COUNTIF('[1]ID1&amp;5'!A:A,'3. Status Testes'!I112&amp;'[1]1. Status'!J112)+COUNTIF('[1]ID6&amp;7'!A:A,'[1]1. Status'!I112&amp;'[1]1. Status'!J112)</f>
        <v>#VALUE!</v>
      </c>
      <c r="N112" s="601" t="str">
        <f>+IFERROR(VLOOKUP(CONCATENATE(A112,$B$10,B112),'[1]ID1&amp;5'!B:J,7,FALSE),"-")</f>
        <v>-</v>
      </c>
      <c r="O112" s="595" t="str">
        <f>+IFERROR(VLOOKUP(CONCATENATE(A112,$B$10,B112),'[1]ID1&amp;5'!B:J,8,FALSE),"-")</f>
        <v>-</v>
      </c>
      <c r="P112" s="596" t="str">
        <f>+IFERROR(VLOOKUP(B112,'[1]ID1&amp;5'!K:L,2,FALSE),"-")</f>
        <v>-</v>
      </c>
      <c r="Q112" s="595" t="str">
        <f>+IFERROR(VLOOKUP(CONCATENATE(A112,$B$10,B112),'[1]ID1&amp;5'!B:J,9,FALSE),"-")</f>
        <v>-</v>
      </c>
      <c r="R112" s="595" t="str">
        <f>+IFERROR(VLOOKUP(CONCATENATE(A112,$C$10,C112),'[1]ID1&amp;5'!B:J,8,FALSE),"-")</f>
        <v>-</v>
      </c>
      <c r="S112" s="596" t="str">
        <f>+IFERROR(VLOOKUP(C112,'[1]ID1&amp;5'!K:L,2,FALSE),"-")</f>
        <v>-</v>
      </c>
      <c r="T112" s="595" t="str">
        <f>+IFERROR(VLOOKUP(CONCATENATE(A112,$C$10,C112),'[1]ID1&amp;5'!B:J,9,FALSE),"-")</f>
        <v>-</v>
      </c>
      <c r="U112" s="596" t="str">
        <f>+IFERROR(VLOOKUP(D112,'[1]ID1&amp;5'!K:L,2,FALSE),"-")</f>
        <v>-</v>
      </c>
      <c r="V112" s="593" t="str">
        <f>+IFERROR(VLOOKUP(CONCATENATE(A112,$D$10,D112),'[1]ID1&amp;5'!B:J,9,FALSE),"-")</f>
        <v>-</v>
      </c>
      <c r="W112" s="596" t="str">
        <f>+IFERROR(VLOOKUP(E112,'[1]ID1&amp;5'!K:L,2,FALSE),"-")</f>
        <v>-</v>
      </c>
      <c r="X112" s="595" t="str">
        <f>+IFERROR(VLOOKUP(CONCATENATE(A112,$E$10,E112),'[1]ID1&amp;5'!B:J,9,FALSE),"-")</f>
        <v>-</v>
      </c>
      <c r="Y112" s="597" t="e">
        <f>+X112/O112</f>
        <v>#VALUE!</v>
      </c>
      <c r="Z112" s="596" t="str">
        <f>+IFERROR(VLOOKUP(F112,'[1]ID1&amp;5'!K:L,2,FALSE),"-")</f>
        <v>-</v>
      </c>
      <c r="AA112" s="595" t="str">
        <f>+IFERROR(VLOOKUP(CONCATENATE(A112,$F$10,F112),'[1]ID1&amp;5'!B:J,9,FALSE),"-")</f>
        <v>-</v>
      </c>
      <c r="AB112" s="597" t="e">
        <f>+AA112/O112</f>
        <v>#VALUE!</v>
      </c>
      <c r="AC112" s="593" t="str">
        <f>+IFERROR(VLOOKUP(A112&amp;G112,'[1]ID6&amp;7'!B:J,8,FALSE),"-")</f>
        <v>-</v>
      </c>
      <c r="AD112" s="593" t="str">
        <f>+IFERROR(VLOOKUP(A112&amp;G112,'[1]ID6&amp;7'!B:J,9,FALSE),"-")</f>
        <v>-</v>
      </c>
      <c r="AE112" s="593" t="str">
        <f>+IF(IFERROR(VLOOKUP(J112,'[1]ID8&amp;9'!G:G,1,FALSE),"")=J112,IF(VLOOKUP(J112,'[1]ID8&amp;9'!G:J,3,FALSE)+VLOOKUP(J112,'[1]ID8&amp;9'!G:J,4,FALSE)=2,_xlfn.MAXIFS('[1]ID8&amp;9'!D:D,'[1]ID8&amp;9'!G:G,J112,'[1]ID8&amp;9'!H:H,8,'[1]ID8&amp;9'!I:I,1,'[1]ID8&amp;9'!J:J,1),"Campo por concluir"),"Sem aplicabilidade")</f>
        <v>Sem aplicabilidade</v>
      </c>
      <c r="AF112" s="593" t="str">
        <f>+IF(IFERROR(VLOOKUP(J112,'[1]ID8&amp;9'!G:G,1,FALSE),"")=J112,IF(VLOOKUP(J112,'[1]ID8&amp;9'!G:J,3,FALSE)+VLOOKUP(J112,'[1]ID8&amp;9'!G:J,4,FALSE)=2,_xlfn.MAXIFS('[1]ID8&amp;9'!D:D,'[1]ID8&amp;9'!G:G,J112,'[1]ID8&amp;9'!H:H,9,'[1]ID8&amp;9'!I:I,1,'[1]ID8&amp;9'!J:J,1),"Campo por concluir"),"Sem aplicabilidade")</f>
        <v>Sem aplicabilidade</v>
      </c>
      <c r="AG112" s="598"/>
      <c r="AH112" s="433" t="s">
        <v>1125</v>
      </c>
      <c r="AI112" s="576" t="s">
        <v>147</v>
      </c>
    </row>
    <row r="113" spans="9:35" hidden="1" x14ac:dyDescent="0.25">
      <c r="I113" s="591" t="s">
        <v>1307</v>
      </c>
      <c r="J113" s="592" t="s">
        <v>1309</v>
      </c>
      <c r="K113" s="592"/>
      <c r="L113" s="592"/>
      <c r="M113" s="593" t="e">
        <f>+COUNTIF('[1]ID1&amp;5'!A:A,'3. Status Testes'!I113&amp;'[1]1. Status'!J113)+COUNTIF('[1]ID6&amp;7'!A:A,'[1]1. Status'!I113&amp;'[1]1. Status'!J113)</f>
        <v>#VALUE!</v>
      </c>
      <c r="N113" s="601" t="str">
        <f>+IFERROR(VLOOKUP(CONCATENATE(A113,$B$10,B113),'[1]ID1&amp;5'!B:J,7,FALSE),"-")</f>
        <v>-</v>
      </c>
      <c r="O113" s="595" t="str">
        <f>+IFERROR(VLOOKUP(CONCATENATE(A113,$B$10,B113),'[1]ID1&amp;5'!B:J,8,FALSE),"-")</f>
        <v>-</v>
      </c>
      <c r="P113" s="596" t="str">
        <f>+IFERROR(VLOOKUP(B113,'[1]ID1&amp;5'!K:L,2,FALSE),"-")</f>
        <v>-</v>
      </c>
      <c r="Q113" s="595" t="str">
        <f>+IFERROR(VLOOKUP(CONCATENATE(A113,$B$10,B113),'[1]ID1&amp;5'!B:J,9,FALSE),"-")</f>
        <v>-</v>
      </c>
      <c r="R113" s="595" t="str">
        <f>+IFERROR(VLOOKUP(CONCATENATE(A113,$C$10,C113),'[1]ID1&amp;5'!B:J,8,FALSE),"-")</f>
        <v>-</v>
      </c>
      <c r="S113" s="596" t="str">
        <f>+IFERROR(VLOOKUP(C113,'[1]ID1&amp;5'!K:L,2,FALSE),"-")</f>
        <v>-</v>
      </c>
      <c r="T113" s="595" t="str">
        <f>+IFERROR(VLOOKUP(CONCATENATE(A113,$C$10,C113),'[1]ID1&amp;5'!B:J,9,FALSE),"-")</f>
        <v>-</v>
      </c>
      <c r="U113" s="596" t="str">
        <f>+IFERROR(VLOOKUP(D113,'[1]ID1&amp;5'!K:L,2,FALSE),"-")</f>
        <v>-</v>
      </c>
      <c r="V113" s="593" t="str">
        <f>+IFERROR(VLOOKUP(CONCATENATE(A113,$D$10,D113),'[1]ID1&amp;5'!B:J,9,FALSE),"-")</f>
        <v>-</v>
      </c>
      <c r="W113" s="596" t="str">
        <f>+IFERROR(VLOOKUP(E113,'[1]ID1&amp;5'!K:L,2,FALSE),"-")</f>
        <v>-</v>
      </c>
      <c r="X113" s="595" t="str">
        <f>+IFERROR(VLOOKUP(CONCATENATE(A113,$E$10,E113),'[1]ID1&amp;5'!B:J,9,FALSE),"-")</f>
        <v>-</v>
      </c>
      <c r="Y113" s="597" t="e">
        <f>+X113/O113</f>
        <v>#VALUE!</v>
      </c>
      <c r="Z113" s="596" t="str">
        <f>+IFERROR(VLOOKUP(F113,'[1]ID1&amp;5'!K:L,2,FALSE),"-")</f>
        <v>-</v>
      </c>
      <c r="AA113" s="595" t="str">
        <f>+IFERROR(VLOOKUP(CONCATENATE(A113,$F$10,F113),'[1]ID1&amp;5'!B:J,9,FALSE),"-")</f>
        <v>-</v>
      </c>
      <c r="AB113" s="597" t="e">
        <f>+AA113/O113</f>
        <v>#VALUE!</v>
      </c>
      <c r="AC113" s="593" t="str">
        <f>+IFERROR(VLOOKUP(A113&amp;G113,'[1]ID6&amp;7'!B:J,8,FALSE),"-")</f>
        <v>-</v>
      </c>
      <c r="AD113" s="593" t="str">
        <f>+IFERROR(VLOOKUP(A113&amp;G113,'[1]ID6&amp;7'!B:J,9,FALSE),"-")</f>
        <v>-</v>
      </c>
      <c r="AE113" s="593" t="str">
        <f>+IF(IFERROR(VLOOKUP(J113,'[1]ID8&amp;9'!G:G,1,FALSE),"")=J113,IF(VLOOKUP(J113,'[1]ID8&amp;9'!G:J,3,FALSE)+VLOOKUP(J113,'[1]ID8&amp;9'!G:J,4,FALSE)=2,_xlfn.MAXIFS('[1]ID8&amp;9'!D:D,'[1]ID8&amp;9'!G:G,J113,'[1]ID8&amp;9'!H:H,8,'[1]ID8&amp;9'!I:I,1,'[1]ID8&amp;9'!J:J,1),"Campo por concluir"),"Sem aplicabilidade")</f>
        <v>Sem aplicabilidade</v>
      </c>
      <c r="AF113" s="593" t="str">
        <f>+IF(IFERROR(VLOOKUP(J113,'[1]ID8&amp;9'!G:G,1,FALSE),"")=J113,IF(VLOOKUP(J113,'[1]ID8&amp;9'!G:J,3,FALSE)+VLOOKUP(J113,'[1]ID8&amp;9'!G:J,4,FALSE)=2,_xlfn.MAXIFS('[1]ID8&amp;9'!D:D,'[1]ID8&amp;9'!G:G,J113,'[1]ID8&amp;9'!H:H,9,'[1]ID8&amp;9'!I:I,1,'[1]ID8&amp;9'!J:J,1),"Campo por concluir"),"Sem aplicabilidade")</f>
        <v>Sem aplicabilidade</v>
      </c>
      <c r="AG113" s="598"/>
      <c r="AH113" s="433" t="s">
        <v>1125</v>
      </c>
      <c r="AI113" s="576" t="s">
        <v>147</v>
      </c>
    </row>
    <row r="114" spans="9:35" hidden="1" x14ac:dyDescent="0.25">
      <c r="I114" s="591" t="s">
        <v>1307</v>
      </c>
      <c r="J114" s="592" t="s">
        <v>1310</v>
      </c>
      <c r="K114" s="592"/>
      <c r="L114" s="592"/>
      <c r="M114" s="593" t="e">
        <f>+COUNTIF('[1]ID1&amp;5'!A:A,'3. Status Testes'!I114&amp;'[1]1. Status'!J114)+COUNTIF('[1]ID6&amp;7'!A:A,'[1]1. Status'!I114&amp;'[1]1. Status'!J114)</f>
        <v>#VALUE!</v>
      </c>
      <c r="N114" s="601" t="str">
        <f>+IFERROR(VLOOKUP(CONCATENATE(A114,$B$10,B114),'[1]ID1&amp;5'!B:J,7,FALSE),"-")</f>
        <v>-</v>
      </c>
      <c r="O114" s="595" t="str">
        <f>+IFERROR(VLOOKUP(CONCATENATE(A114,$B$10,B114),'[1]ID1&amp;5'!B:J,8,FALSE),"-")</f>
        <v>-</v>
      </c>
      <c r="P114" s="596" t="str">
        <f>+IFERROR(VLOOKUP(B114,'[1]ID1&amp;5'!K:L,2,FALSE),"-")</f>
        <v>-</v>
      </c>
      <c r="Q114" s="595" t="str">
        <f>+IFERROR(VLOOKUP(CONCATENATE(A114,$B$10,B114),'[1]ID1&amp;5'!B:J,9,FALSE),"-")</f>
        <v>-</v>
      </c>
      <c r="R114" s="595" t="str">
        <f>+IFERROR(VLOOKUP(CONCATENATE(A114,$C$10,C114),'[1]ID1&amp;5'!B:J,8,FALSE),"-")</f>
        <v>-</v>
      </c>
      <c r="S114" s="596" t="str">
        <f>+IFERROR(VLOOKUP(C114,'[1]ID1&amp;5'!K:L,2,FALSE),"-")</f>
        <v>-</v>
      </c>
      <c r="T114" s="595" t="str">
        <f>+IFERROR(VLOOKUP(CONCATENATE(A114,$C$10,C114),'[1]ID1&amp;5'!B:J,9,FALSE),"-")</f>
        <v>-</v>
      </c>
      <c r="U114" s="596" t="str">
        <f>+IFERROR(VLOOKUP(D114,'[1]ID1&amp;5'!K:L,2,FALSE),"-")</f>
        <v>-</v>
      </c>
      <c r="V114" s="593" t="str">
        <f>+IFERROR(VLOOKUP(CONCATENATE(A114,$D$10,D114),'[1]ID1&amp;5'!B:J,9,FALSE),"-")</f>
        <v>-</v>
      </c>
      <c r="W114" s="596" t="str">
        <f>+IFERROR(VLOOKUP(E114,'[1]ID1&amp;5'!K:L,2,FALSE),"-")</f>
        <v>-</v>
      </c>
      <c r="X114" s="595" t="str">
        <f>+IFERROR(VLOOKUP(CONCATENATE(A114,$E$10,E114),'[1]ID1&amp;5'!B:J,9,FALSE),"-")</f>
        <v>-</v>
      </c>
      <c r="Y114" s="597" t="e">
        <f>+X114/O114</f>
        <v>#VALUE!</v>
      </c>
      <c r="Z114" s="596" t="str">
        <f>+IFERROR(VLOOKUP(F114,'[1]ID1&amp;5'!K:L,2,FALSE),"-")</f>
        <v>-</v>
      </c>
      <c r="AA114" s="595" t="str">
        <f>+IFERROR(VLOOKUP(CONCATENATE(A114,$F$10,F114),'[1]ID1&amp;5'!B:J,9,FALSE),"-")</f>
        <v>-</v>
      </c>
      <c r="AB114" s="597" t="e">
        <f>+AA114/O114</f>
        <v>#VALUE!</v>
      </c>
      <c r="AC114" s="593" t="str">
        <f>+IFERROR(VLOOKUP(A114&amp;G114,'[1]ID6&amp;7'!B:J,8,FALSE),"-")</f>
        <v>-</v>
      </c>
      <c r="AD114" s="593" t="str">
        <f>+IFERROR(VLOOKUP(A114&amp;G114,'[1]ID6&amp;7'!B:J,9,FALSE),"-")</f>
        <v>-</v>
      </c>
      <c r="AE114" s="593" t="str">
        <f>+IF(IFERROR(VLOOKUP(J114,'[1]ID8&amp;9'!G:G,1,FALSE),"")=J114,IF(VLOOKUP(J114,'[1]ID8&amp;9'!G:J,3,FALSE)+VLOOKUP(J114,'[1]ID8&amp;9'!G:J,4,FALSE)=2,_xlfn.MAXIFS('[1]ID8&amp;9'!D:D,'[1]ID8&amp;9'!G:G,J114,'[1]ID8&amp;9'!H:H,8,'[1]ID8&amp;9'!I:I,1,'[1]ID8&amp;9'!J:J,1),"Campo por concluir"),"Sem aplicabilidade")</f>
        <v>Sem aplicabilidade</v>
      </c>
      <c r="AF114" s="593" t="str">
        <f>+IF(IFERROR(VLOOKUP(J114,'[1]ID8&amp;9'!G:G,1,FALSE),"")=J114,IF(VLOOKUP(J114,'[1]ID8&amp;9'!G:J,3,FALSE)+VLOOKUP(J114,'[1]ID8&amp;9'!G:J,4,FALSE)=2,_xlfn.MAXIFS('[1]ID8&amp;9'!D:D,'[1]ID8&amp;9'!G:G,J114,'[1]ID8&amp;9'!H:H,9,'[1]ID8&amp;9'!I:I,1,'[1]ID8&amp;9'!J:J,1),"Campo por concluir"),"Sem aplicabilidade")</f>
        <v>Sem aplicabilidade</v>
      </c>
      <c r="AG114" s="598"/>
      <c r="AH114" s="433" t="s">
        <v>1125</v>
      </c>
      <c r="AI114" s="576" t="s">
        <v>147</v>
      </c>
    </row>
    <row r="115" spans="9:35" hidden="1" x14ac:dyDescent="0.25">
      <c r="I115" s="591" t="s">
        <v>1307</v>
      </c>
      <c r="J115" s="592" t="s">
        <v>1311</v>
      </c>
      <c r="K115" s="592"/>
      <c r="L115" s="592"/>
      <c r="M115" s="593" t="e">
        <f>+COUNTIF('[1]ID1&amp;5'!A:A,'3. Status Testes'!I115&amp;'[1]1. Status'!J115)+COUNTIF('[1]ID6&amp;7'!A:A,'[1]1. Status'!I115&amp;'[1]1. Status'!J115)</f>
        <v>#VALUE!</v>
      </c>
      <c r="N115" s="601" t="str">
        <f>+IFERROR(VLOOKUP(CONCATENATE(A115,$B$10,B115),'[1]ID1&amp;5'!B:J,7,FALSE),"-")</f>
        <v>-</v>
      </c>
      <c r="O115" s="595" t="str">
        <f>+IFERROR(VLOOKUP(CONCATENATE(A115,$B$10,B115),'[1]ID1&amp;5'!B:J,8,FALSE),"-")</f>
        <v>-</v>
      </c>
      <c r="P115" s="596" t="str">
        <f>+IFERROR(VLOOKUP(B115,'[1]ID1&amp;5'!K:L,2,FALSE),"-")</f>
        <v>-</v>
      </c>
      <c r="Q115" s="595" t="str">
        <f>+IFERROR(VLOOKUP(CONCATENATE(A115,$B$10,B115),'[1]ID1&amp;5'!B:J,9,FALSE),"-")</f>
        <v>-</v>
      </c>
      <c r="R115" s="595" t="str">
        <f>+IFERROR(VLOOKUP(CONCATENATE(A115,$C$10,C115),'[1]ID1&amp;5'!B:J,8,FALSE),"-")</f>
        <v>-</v>
      </c>
      <c r="S115" s="596" t="str">
        <f>+IFERROR(VLOOKUP(C115,'[1]ID1&amp;5'!K:L,2,FALSE),"-")</f>
        <v>-</v>
      </c>
      <c r="T115" s="595" t="str">
        <f>+IFERROR(VLOOKUP(CONCATENATE(A115,$C$10,C115),'[1]ID1&amp;5'!B:J,9,FALSE),"-")</f>
        <v>-</v>
      </c>
      <c r="U115" s="596" t="str">
        <f>+IFERROR(VLOOKUP(D115,'[1]ID1&amp;5'!K:L,2,FALSE),"-")</f>
        <v>-</v>
      </c>
      <c r="V115" s="593" t="str">
        <f>+IFERROR(VLOOKUP(CONCATENATE(A115,$D$10,D115),'[1]ID1&amp;5'!B:J,9,FALSE),"-")</f>
        <v>-</v>
      </c>
      <c r="W115" s="596" t="str">
        <f>+IFERROR(VLOOKUP(E115,'[1]ID1&amp;5'!K:L,2,FALSE),"-")</f>
        <v>-</v>
      </c>
      <c r="X115" s="595" t="str">
        <f>+IFERROR(VLOOKUP(CONCATENATE(A115,$E$10,E115),'[1]ID1&amp;5'!B:J,9,FALSE),"-")</f>
        <v>-</v>
      </c>
      <c r="Y115" s="597" t="e">
        <f>+X115/O115</f>
        <v>#VALUE!</v>
      </c>
      <c r="Z115" s="596" t="str">
        <f>+IFERROR(VLOOKUP(F115,'[1]ID1&amp;5'!K:L,2,FALSE),"-")</f>
        <v>-</v>
      </c>
      <c r="AA115" s="595" t="str">
        <f>+IFERROR(VLOOKUP(CONCATENATE(A115,$F$10,F115),'[1]ID1&amp;5'!B:J,9,FALSE),"-")</f>
        <v>-</v>
      </c>
      <c r="AB115" s="597" t="e">
        <f>+AA115/O115</f>
        <v>#VALUE!</v>
      </c>
      <c r="AC115" s="593" t="str">
        <f>+IFERROR(VLOOKUP(A115&amp;G115,'[1]ID6&amp;7'!B:J,8,FALSE),"-")</f>
        <v>-</v>
      </c>
      <c r="AD115" s="593" t="str">
        <f>+IFERROR(VLOOKUP(A115&amp;G115,'[1]ID6&amp;7'!B:J,9,FALSE),"-")</f>
        <v>-</v>
      </c>
      <c r="AE115" s="593" t="str">
        <f>+IF(IFERROR(VLOOKUP(J115,'[1]ID8&amp;9'!G:G,1,FALSE),"")=J115,IF(VLOOKUP(J115,'[1]ID8&amp;9'!G:J,3,FALSE)+VLOOKUP(J115,'[1]ID8&amp;9'!G:J,4,FALSE)=2,_xlfn.MAXIFS('[1]ID8&amp;9'!D:D,'[1]ID8&amp;9'!G:G,J115,'[1]ID8&amp;9'!H:H,8,'[1]ID8&amp;9'!I:I,1,'[1]ID8&amp;9'!J:J,1),"Campo por concluir"),"Sem aplicabilidade")</f>
        <v>Sem aplicabilidade</v>
      </c>
      <c r="AF115" s="593" t="str">
        <f>+IF(IFERROR(VLOOKUP(J115,'[1]ID8&amp;9'!G:G,1,FALSE),"")=J115,IF(VLOOKUP(J115,'[1]ID8&amp;9'!G:J,3,FALSE)+VLOOKUP(J115,'[1]ID8&amp;9'!G:J,4,FALSE)=2,_xlfn.MAXIFS('[1]ID8&amp;9'!D:D,'[1]ID8&amp;9'!G:G,J115,'[1]ID8&amp;9'!H:H,9,'[1]ID8&amp;9'!I:I,1,'[1]ID8&amp;9'!J:J,1),"Campo por concluir"),"Sem aplicabilidade")</f>
        <v>Sem aplicabilidade</v>
      </c>
      <c r="AG115" s="598"/>
      <c r="AH115" s="433" t="s">
        <v>1125</v>
      </c>
      <c r="AI115" s="576" t="s">
        <v>147</v>
      </c>
    </row>
    <row r="116" spans="9:35" hidden="1" x14ac:dyDescent="0.25">
      <c r="I116" s="591" t="s">
        <v>1307</v>
      </c>
      <c r="J116" s="592" t="s">
        <v>1312</v>
      </c>
      <c r="K116" s="592"/>
      <c r="L116" s="592"/>
      <c r="M116" s="593" t="e">
        <f>+COUNTIF('[1]ID1&amp;5'!A:A,'3. Status Testes'!I116&amp;'[1]1. Status'!J116)+COUNTIF('[1]ID6&amp;7'!A:A,'[1]1. Status'!I116&amp;'[1]1. Status'!J116)</f>
        <v>#VALUE!</v>
      </c>
      <c r="N116" s="601" t="str">
        <f>+IFERROR(VLOOKUP(CONCATENATE(A116,$B$10,B116),'[1]ID1&amp;5'!B:J,7,FALSE),"-")</f>
        <v>-</v>
      </c>
      <c r="O116" s="595" t="str">
        <f>+IFERROR(VLOOKUP(CONCATENATE(A116,$B$10,B116),'[1]ID1&amp;5'!B:J,8,FALSE),"-")</f>
        <v>-</v>
      </c>
      <c r="P116" s="596" t="str">
        <f>+IFERROR(VLOOKUP(B116,'[1]ID1&amp;5'!K:L,2,FALSE),"-")</f>
        <v>-</v>
      </c>
      <c r="Q116" s="595" t="str">
        <f>+IFERROR(VLOOKUP(CONCATENATE(A116,$B$10,B116),'[1]ID1&amp;5'!B:J,9,FALSE),"-")</f>
        <v>-</v>
      </c>
      <c r="R116" s="595" t="str">
        <f>+IFERROR(VLOOKUP(CONCATENATE(A116,$C$10,C116),'[1]ID1&amp;5'!B:J,8,FALSE),"-")</f>
        <v>-</v>
      </c>
      <c r="S116" s="596" t="str">
        <f>+IFERROR(VLOOKUP(C116,'[1]ID1&amp;5'!K:L,2,FALSE),"-")</f>
        <v>-</v>
      </c>
      <c r="T116" s="595" t="str">
        <f>+IFERROR(VLOOKUP(CONCATENATE(A116,$C$10,C116),'[1]ID1&amp;5'!B:J,9,FALSE),"-")</f>
        <v>-</v>
      </c>
      <c r="U116" s="596" t="str">
        <f>+IFERROR(VLOOKUP(D116,'[1]ID1&amp;5'!K:L,2,FALSE),"-")</f>
        <v>-</v>
      </c>
      <c r="V116" s="593" t="str">
        <f>+IFERROR(VLOOKUP(CONCATENATE(A116,$D$10,D116),'[1]ID1&amp;5'!B:J,9,FALSE),"-")</f>
        <v>-</v>
      </c>
      <c r="W116" s="596" t="str">
        <f>+IFERROR(VLOOKUP(E116,'[1]ID1&amp;5'!K:L,2,FALSE),"-")</f>
        <v>-</v>
      </c>
      <c r="X116" s="595" t="str">
        <f>+IFERROR(VLOOKUP(CONCATENATE(A116,$E$10,E116),'[1]ID1&amp;5'!B:J,9,FALSE),"-")</f>
        <v>-</v>
      </c>
      <c r="Y116" s="597" t="e">
        <f>+X116/O116</f>
        <v>#VALUE!</v>
      </c>
      <c r="Z116" s="596" t="str">
        <f>+IFERROR(VLOOKUP(F116,'[1]ID1&amp;5'!K:L,2,FALSE),"-")</f>
        <v>-</v>
      </c>
      <c r="AA116" s="595" t="str">
        <f>+IFERROR(VLOOKUP(CONCATENATE(A116,$F$10,F116),'[1]ID1&amp;5'!B:J,9,FALSE),"-")</f>
        <v>-</v>
      </c>
      <c r="AB116" s="597" t="e">
        <f>+AA116/O116</f>
        <v>#VALUE!</v>
      </c>
      <c r="AC116" s="593" t="str">
        <f>+IFERROR(VLOOKUP(A116&amp;G116,'[1]ID6&amp;7'!B:J,8,FALSE),"-")</f>
        <v>-</v>
      </c>
      <c r="AD116" s="593" t="str">
        <f>+IFERROR(VLOOKUP(A116&amp;G116,'[1]ID6&amp;7'!B:J,9,FALSE),"-")</f>
        <v>-</v>
      </c>
      <c r="AE116" s="593" t="str">
        <f>+IF(IFERROR(VLOOKUP(J116,'[1]ID8&amp;9'!G:G,1,FALSE),"")=J116,IF(VLOOKUP(J116,'[1]ID8&amp;9'!G:J,3,FALSE)+VLOOKUP(J116,'[1]ID8&amp;9'!G:J,4,FALSE)=2,_xlfn.MAXIFS('[1]ID8&amp;9'!D:D,'[1]ID8&amp;9'!G:G,J116,'[1]ID8&amp;9'!H:H,8,'[1]ID8&amp;9'!I:I,1,'[1]ID8&amp;9'!J:J,1),"Campo por concluir"),"Sem aplicabilidade")</f>
        <v>Sem aplicabilidade</v>
      </c>
      <c r="AF116" s="593" t="str">
        <f>+IF(IFERROR(VLOOKUP(J116,'[1]ID8&amp;9'!G:G,1,FALSE),"")=J116,IF(VLOOKUP(J116,'[1]ID8&amp;9'!G:J,3,FALSE)+VLOOKUP(J116,'[1]ID8&amp;9'!G:J,4,FALSE)=2,_xlfn.MAXIFS('[1]ID8&amp;9'!D:D,'[1]ID8&amp;9'!G:G,J116,'[1]ID8&amp;9'!H:H,9,'[1]ID8&amp;9'!I:I,1,'[1]ID8&amp;9'!J:J,1),"Campo por concluir"),"Sem aplicabilidade")</f>
        <v>Sem aplicabilidade</v>
      </c>
      <c r="AG116" s="598"/>
      <c r="AH116" s="433" t="s">
        <v>1125</v>
      </c>
      <c r="AI116" s="576" t="s">
        <v>147</v>
      </c>
    </row>
    <row r="117" spans="9:35" hidden="1" x14ac:dyDescent="0.25">
      <c r="I117" s="591" t="s">
        <v>1313</v>
      </c>
      <c r="J117" s="592" t="s">
        <v>1308</v>
      </c>
      <c r="K117" s="592"/>
      <c r="L117" s="592"/>
      <c r="M117" s="593" t="e">
        <f>+COUNTIF('[1]ID1&amp;5'!A:A,'3. Status Testes'!I117&amp;'[1]1. Status'!J117)+COUNTIF('[1]ID6&amp;7'!A:A,'[1]1. Status'!I117&amp;'[1]1. Status'!J117)</f>
        <v>#VALUE!</v>
      </c>
      <c r="N117" s="601" t="str">
        <f>+IFERROR(VLOOKUP(CONCATENATE(A117,$B$10,B117),'[1]ID1&amp;5'!B:J,7,FALSE),"-")</f>
        <v>-</v>
      </c>
      <c r="O117" s="595" t="str">
        <f>+IFERROR(VLOOKUP(CONCATENATE(A117,$B$10,B117),'[1]ID1&amp;5'!B:J,8,FALSE),"-")</f>
        <v>-</v>
      </c>
      <c r="P117" s="596" t="str">
        <f>+IFERROR(VLOOKUP(B117,'[1]ID1&amp;5'!K:L,2,FALSE),"-")</f>
        <v>-</v>
      </c>
      <c r="Q117" s="595" t="str">
        <f>+IFERROR(VLOOKUP(CONCATENATE(A117,$B$10,B117),'[1]ID1&amp;5'!B:J,9,FALSE),"-")</f>
        <v>-</v>
      </c>
      <c r="R117" s="595" t="str">
        <f>+IFERROR(VLOOKUP(CONCATENATE(A117,$C$10,C117),'[1]ID1&amp;5'!B:J,8,FALSE),"-")</f>
        <v>-</v>
      </c>
      <c r="S117" s="596" t="str">
        <f>+IFERROR(VLOOKUP(C117,'[1]ID1&amp;5'!K:L,2,FALSE),"-")</f>
        <v>-</v>
      </c>
      <c r="T117" s="595" t="str">
        <f>+IFERROR(VLOOKUP(CONCATENATE(A117,$C$10,C117),'[1]ID1&amp;5'!B:J,9,FALSE),"-")</f>
        <v>-</v>
      </c>
      <c r="U117" s="596" t="str">
        <f>+IFERROR(VLOOKUP(D117,'[1]ID1&amp;5'!K:L,2,FALSE),"-")</f>
        <v>-</v>
      </c>
      <c r="V117" s="593" t="str">
        <f>+IFERROR(VLOOKUP(CONCATENATE(A117,$D$10,D117),'[1]ID1&amp;5'!B:J,9,FALSE),"-")</f>
        <v>-</v>
      </c>
      <c r="W117" s="596" t="str">
        <f>+IFERROR(VLOOKUP(E117,'[1]ID1&amp;5'!K:L,2,FALSE),"-")</f>
        <v>-</v>
      </c>
      <c r="X117" s="595" t="str">
        <f>+IFERROR(VLOOKUP(CONCATENATE(A117,$E$10,E117),'[1]ID1&amp;5'!B:J,9,FALSE),"-")</f>
        <v>-</v>
      </c>
      <c r="Y117" s="597" t="e">
        <f>+X117/O117</f>
        <v>#VALUE!</v>
      </c>
      <c r="Z117" s="596" t="str">
        <f>+IFERROR(VLOOKUP(F117,'[1]ID1&amp;5'!K:L,2,FALSE),"-")</f>
        <v>-</v>
      </c>
      <c r="AA117" s="595" t="str">
        <f>+IFERROR(VLOOKUP(CONCATENATE(A117,$F$10,F117),'[1]ID1&amp;5'!B:J,9,FALSE),"-")</f>
        <v>-</v>
      </c>
      <c r="AB117" s="597" t="e">
        <f>+AA117/O117</f>
        <v>#VALUE!</v>
      </c>
      <c r="AC117" s="593" t="str">
        <f>+IFERROR(VLOOKUP(A117&amp;G117,'[1]ID6&amp;7'!B:J,8,FALSE),"-")</f>
        <v>-</v>
      </c>
      <c r="AD117" s="593" t="str">
        <f>+IFERROR(VLOOKUP(A117&amp;G117,'[1]ID6&amp;7'!B:J,9,FALSE),"-")</f>
        <v>-</v>
      </c>
      <c r="AE117" s="593" t="str">
        <f>+IF(IFERROR(VLOOKUP(J117,'[1]ID8&amp;9'!G:G,1,FALSE),"")=J117,IF(VLOOKUP(J117,'[1]ID8&amp;9'!G:J,3,FALSE)+VLOOKUP(J117,'[1]ID8&amp;9'!G:J,4,FALSE)=2,_xlfn.MAXIFS('[1]ID8&amp;9'!D:D,'[1]ID8&amp;9'!G:G,J117,'[1]ID8&amp;9'!H:H,8,'[1]ID8&amp;9'!I:I,1,'[1]ID8&amp;9'!J:J,1),"Campo por concluir"),"Sem aplicabilidade")</f>
        <v>Sem aplicabilidade</v>
      </c>
      <c r="AF117" s="593" t="str">
        <f>+IF(IFERROR(VLOOKUP(J117,'[1]ID8&amp;9'!G:G,1,FALSE),"")=J117,IF(VLOOKUP(J117,'[1]ID8&amp;9'!G:J,3,FALSE)+VLOOKUP(J117,'[1]ID8&amp;9'!G:J,4,FALSE)=2,_xlfn.MAXIFS('[1]ID8&amp;9'!D:D,'[1]ID8&amp;9'!G:G,J117,'[1]ID8&amp;9'!H:H,9,'[1]ID8&amp;9'!I:I,1,'[1]ID8&amp;9'!J:J,1),"Campo por concluir"),"Sem aplicabilidade")</f>
        <v>Sem aplicabilidade</v>
      </c>
      <c r="AG117" s="598"/>
      <c r="AH117" s="433" t="s">
        <v>1125</v>
      </c>
    </row>
    <row r="118" spans="9:35" hidden="1" x14ac:dyDescent="0.25">
      <c r="I118" s="591" t="s">
        <v>1313</v>
      </c>
      <c r="J118" s="592" t="s">
        <v>1164</v>
      </c>
      <c r="K118" s="592"/>
      <c r="L118" s="592"/>
      <c r="M118" s="593" t="e">
        <f>+COUNTIF('[1]ID1&amp;5'!A:A,'3. Status Testes'!I118&amp;'[1]1. Status'!J118)+COUNTIF('[1]ID6&amp;7'!A:A,'[1]1. Status'!I118&amp;'[1]1. Status'!J118)</f>
        <v>#VALUE!</v>
      </c>
      <c r="N118" s="601" t="str">
        <f>+IFERROR(VLOOKUP(CONCATENATE(A118,$B$10,B118),'[1]ID1&amp;5'!B:J,7,FALSE),"-")</f>
        <v>-</v>
      </c>
      <c r="O118" s="595" t="str">
        <f>+IFERROR(VLOOKUP(CONCATENATE(A118,$B$10,B118),'[1]ID1&amp;5'!B:J,8,FALSE),"-")</f>
        <v>-</v>
      </c>
      <c r="P118" s="596" t="str">
        <f>+IFERROR(VLOOKUP(B118,'[1]ID1&amp;5'!K:L,2,FALSE),"-")</f>
        <v>-</v>
      </c>
      <c r="Q118" s="595" t="str">
        <f>+IFERROR(VLOOKUP(CONCATENATE(A118,$B$10,B118),'[1]ID1&amp;5'!B:J,9,FALSE),"-")</f>
        <v>-</v>
      </c>
      <c r="R118" s="595" t="str">
        <f>+IFERROR(VLOOKUP(CONCATENATE(A118,$C$10,C118),'[1]ID1&amp;5'!B:J,8,FALSE),"-")</f>
        <v>-</v>
      </c>
      <c r="S118" s="596" t="str">
        <f>+IFERROR(VLOOKUP(C118,'[1]ID1&amp;5'!K:L,2,FALSE),"-")</f>
        <v>-</v>
      </c>
      <c r="T118" s="595" t="str">
        <f>+IFERROR(VLOOKUP(CONCATENATE(A118,$C$10,C118),'[1]ID1&amp;5'!B:J,9,FALSE),"-")</f>
        <v>-</v>
      </c>
      <c r="U118" s="596" t="str">
        <f>+IFERROR(VLOOKUP(D118,'[1]ID1&amp;5'!K:L,2,FALSE),"-")</f>
        <v>-</v>
      </c>
      <c r="V118" s="593" t="str">
        <f>+IFERROR(VLOOKUP(CONCATENATE(A118,$D$10,D118),'[1]ID1&amp;5'!B:J,9,FALSE),"-")</f>
        <v>-</v>
      </c>
      <c r="W118" s="596" t="str">
        <f>+IFERROR(VLOOKUP(E118,'[1]ID1&amp;5'!K:L,2,FALSE),"-")</f>
        <v>-</v>
      </c>
      <c r="X118" s="595" t="str">
        <f>+IFERROR(VLOOKUP(CONCATENATE(A118,$E$10,E118),'[1]ID1&amp;5'!B:J,9,FALSE),"-")</f>
        <v>-</v>
      </c>
      <c r="Y118" s="597" t="e">
        <f>+X118/O118</f>
        <v>#VALUE!</v>
      </c>
      <c r="Z118" s="596" t="str">
        <f>+IFERROR(VLOOKUP(F118,'[1]ID1&amp;5'!K:L,2,FALSE),"-")</f>
        <v>-</v>
      </c>
      <c r="AA118" s="595" t="str">
        <f>+IFERROR(VLOOKUP(CONCATENATE(A118,$F$10,F118),'[1]ID1&amp;5'!B:J,9,FALSE),"-")</f>
        <v>-</v>
      </c>
      <c r="AB118" s="597" t="e">
        <f>+AA118/O118</f>
        <v>#VALUE!</v>
      </c>
      <c r="AC118" s="593" t="str">
        <f>+IFERROR(VLOOKUP(A118&amp;G118,'[1]ID6&amp;7'!B:J,8,FALSE),"-")</f>
        <v>-</v>
      </c>
      <c r="AD118" s="593" t="str">
        <f>+IFERROR(VLOOKUP(A118&amp;G118,'[1]ID6&amp;7'!B:J,9,FALSE),"-")</f>
        <v>-</v>
      </c>
      <c r="AE118" s="593" t="str">
        <f>+IF(IFERROR(VLOOKUP(J118,'[1]ID8&amp;9'!G:G,1,FALSE),"")=J118,IF(VLOOKUP(J118,'[1]ID8&amp;9'!G:J,3,FALSE)+VLOOKUP(J118,'[1]ID8&amp;9'!G:J,4,FALSE)=2,_xlfn.MAXIFS('[1]ID8&amp;9'!D:D,'[1]ID8&amp;9'!G:G,J118,'[1]ID8&amp;9'!H:H,8,'[1]ID8&amp;9'!I:I,1,'[1]ID8&amp;9'!J:J,1),"Campo por concluir"),"Sem aplicabilidade")</f>
        <v>Sem aplicabilidade</v>
      </c>
      <c r="AF118" s="593" t="str">
        <f>+IF(IFERROR(VLOOKUP(J118,'[1]ID8&amp;9'!G:G,1,FALSE),"")=J118,IF(VLOOKUP(J118,'[1]ID8&amp;9'!G:J,3,FALSE)+VLOOKUP(J118,'[1]ID8&amp;9'!G:J,4,FALSE)=2,_xlfn.MAXIFS('[1]ID8&amp;9'!D:D,'[1]ID8&amp;9'!G:G,J118,'[1]ID8&amp;9'!H:H,9,'[1]ID8&amp;9'!I:I,1,'[1]ID8&amp;9'!J:J,1),"Campo por concluir"),"Sem aplicabilidade")</f>
        <v>Sem aplicabilidade</v>
      </c>
      <c r="AG118" s="598"/>
      <c r="AH118" s="433" t="s">
        <v>1125</v>
      </c>
    </row>
    <row r="119" spans="9:35" hidden="1" x14ac:dyDescent="0.25">
      <c r="I119" s="591" t="s">
        <v>1313</v>
      </c>
      <c r="J119" s="592" t="s">
        <v>1314</v>
      </c>
      <c r="K119" s="592"/>
      <c r="L119" s="592"/>
      <c r="M119" s="593" t="e">
        <f>+COUNTIF('[1]ID1&amp;5'!A:A,'3. Status Testes'!I119&amp;'[1]1. Status'!J119)+COUNTIF('[1]ID6&amp;7'!A:A,'[1]1. Status'!I119&amp;'[1]1. Status'!J119)</f>
        <v>#VALUE!</v>
      </c>
      <c r="N119" s="601" t="str">
        <f>+IFERROR(VLOOKUP(CONCATENATE(A119,$B$10,B119),'[1]ID1&amp;5'!B:J,7,FALSE),"-")</f>
        <v>-</v>
      </c>
      <c r="O119" s="595" t="str">
        <f>+IFERROR(VLOOKUP(CONCATENATE(A119,$B$10,B119),'[1]ID1&amp;5'!B:J,8,FALSE),"-")</f>
        <v>-</v>
      </c>
      <c r="P119" s="596" t="str">
        <f>+IFERROR(VLOOKUP(B119,'[1]ID1&amp;5'!K:L,2,FALSE),"-")</f>
        <v>-</v>
      </c>
      <c r="Q119" s="595" t="str">
        <f>+IFERROR(VLOOKUP(CONCATENATE(A119,$B$10,B119),'[1]ID1&amp;5'!B:J,9,FALSE),"-")</f>
        <v>-</v>
      </c>
      <c r="R119" s="595" t="str">
        <f>+IFERROR(VLOOKUP(CONCATENATE(A119,$C$10,C119),'[1]ID1&amp;5'!B:J,8,FALSE),"-")</f>
        <v>-</v>
      </c>
      <c r="S119" s="596" t="str">
        <f>+IFERROR(VLOOKUP(C119,'[1]ID1&amp;5'!K:L,2,FALSE),"-")</f>
        <v>-</v>
      </c>
      <c r="T119" s="595" t="str">
        <f>+IFERROR(VLOOKUP(CONCATENATE(A119,$C$10,C119),'[1]ID1&amp;5'!B:J,9,FALSE),"-")</f>
        <v>-</v>
      </c>
      <c r="U119" s="596" t="str">
        <f>+IFERROR(VLOOKUP(D119,'[1]ID1&amp;5'!K:L,2,FALSE),"-")</f>
        <v>-</v>
      </c>
      <c r="V119" s="593" t="str">
        <f>+IFERROR(VLOOKUP(CONCATENATE(A119,$D$10,D119),'[1]ID1&amp;5'!B:J,9,FALSE),"-")</f>
        <v>-</v>
      </c>
      <c r="W119" s="596" t="str">
        <f>+IFERROR(VLOOKUP(E119,'[1]ID1&amp;5'!K:L,2,FALSE),"-")</f>
        <v>-</v>
      </c>
      <c r="X119" s="595" t="str">
        <f>+IFERROR(VLOOKUP(CONCATENATE(A119,$E$10,E119),'[1]ID1&amp;5'!B:J,9,FALSE),"-")</f>
        <v>-</v>
      </c>
      <c r="Y119" s="597" t="e">
        <f>+X119/O119</f>
        <v>#VALUE!</v>
      </c>
      <c r="Z119" s="596" t="str">
        <f>+IFERROR(VLOOKUP(F119,'[1]ID1&amp;5'!K:L,2,FALSE),"-")</f>
        <v>-</v>
      </c>
      <c r="AA119" s="595" t="str">
        <f>+IFERROR(VLOOKUP(CONCATENATE(A119,$F$10,F119),'[1]ID1&amp;5'!B:J,9,FALSE),"-")</f>
        <v>-</v>
      </c>
      <c r="AB119" s="597" t="e">
        <f>+AA119/O119</f>
        <v>#VALUE!</v>
      </c>
      <c r="AC119" s="593" t="str">
        <f>+IFERROR(VLOOKUP(A119&amp;G119,'[1]ID6&amp;7'!B:J,8,FALSE),"-")</f>
        <v>-</v>
      </c>
      <c r="AD119" s="593" t="str">
        <f>+IFERROR(VLOOKUP(A119&amp;G119,'[1]ID6&amp;7'!B:J,9,FALSE),"-")</f>
        <v>-</v>
      </c>
      <c r="AE119" s="593" t="str">
        <f>+IF(IFERROR(VLOOKUP(J119,'[1]ID8&amp;9'!G:G,1,FALSE),"")=J119,IF(VLOOKUP(J119,'[1]ID8&amp;9'!G:J,3,FALSE)+VLOOKUP(J119,'[1]ID8&amp;9'!G:J,4,FALSE)=2,_xlfn.MAXIFS('[1]ID8&amp;9'!D:D,'[1]ID8&amp;9'!G:G,J119,'[1]ID8&amp;9'!H:H,8,'[1]ID8&amp;9'!I:I,1,'[1]ID8&amp;9'!J:J,1),"Campo por concluir"),"Sem aplicabilidade")</f>
        <v>Sem aplicabilidade</v>
      </c>
      <c r="AF119" s="593" t="str">
        <f>+IF(IFERROR(VLOOKUP(J119,'[1]ID8&amp;9'!G:G,1,FALSE),"")=J119,IF(VLOOKUP(J119,'[1]ID8&amp;9'!G:J,3,FALSE)+VLOOKUP(J119,'[1]ID8&amp;9'!G:J,4,FALSE)=2,_xlfn.MAXIFS('[1]ID8&amp;9'!D:D,'[1]ID8&amp;9'!G:G,J119,'[1]ID8&amp;9'!H:H,9,'[1]ID8&amp;9'!I:I,1,'[1]ID8&amp;9'!J:J,1),"Campo por concluir"),"Sem aplicabilidade")</f>
        <v>Sem aplicabilidade</v>
      </c>
      <c r="AG119" s="598"/>
      <c r="AH119" s="433" t="s">
        <v>1125</v>
      </c>
    </row>
    <row r="120" spans="9:35" hidden="1" x14ac:dyDescent="0.25">
      <c r="I120" s="591" t="s">
        <v>1313</v>
      </c>
      <c r="J120" s="592" t="s">
        <v>1315</v>
      </c>
      <c r="K120" s="592"/>
      <c r="L120" s="592"/>
      <c r="M120" s="593" t="e">
        <f>+COUNTIF('[1]ID1&amp;5'!A:A,'3. Status Testes'!I120&amp;'[1]1. Status'!J120)+COUNTIF('[1]ID6&amp;7'!A:A,'[1]1. Status'!I120&amp;'[1]1. Status'!J120)</f>
        <v>#VALUE!</v>
      </c>
      <c r="N120" s="601" t="str">
        <f>+IFERROR(VLOOKUP(CONCATENATE(A120,$B$10,B120),'[1]ID1&amp;5'!B:J,7,FALSE),"-")</f>
        <v>-</v>
      </c>
      <c r="O120" s="595" t="str">
        <f>+IFERROR(VLOOKUP(CONCATENATE(A120,$B$10,B120),'[1]ID1&amp;5'!B:J,8,FALSE),"-")</f>
        <v>-</v>
      </c>
      <c r="P120" s="596" t="str">
        <f>+IFERROR(VLOOKUP(B120,'[1]ID1&amp;5'!K:L,2,FALSE),"-")</f>
        <v>-</v>
      </c>
      <c r="Q120" s="595" t="str">
        <f>+IFERROR(VLOOKUP(CONCATENATE(A120,$B$10,B120),'[1]ID1&amp;5'!B:J,9,FALSE),"-")</f>
        <v>-</v>
      </c>
      <c r="R120" s="595" t="str">
        <f>+IFERROR(VLOOKUP(CONCATENATE(A120,$C$10,C120),'[1]ID1&amp;5'!B:J,8,FALSE),"-")</f>
        <v>-</v>
      </c>
      <c r="S120" s="596" t="str">
        <f>+IFERROR(VLOOKUP(C120,'[1]ID1&amp;5'!K:L,2,FALSE),"-")</f>
        <v>-</v>
      </c>
      <c r="T120" s="595" t="str">
        <f>+IFERROR(VLOOKUP(CONCATENATE(A120,$C$10,C120),'[1]ID1&amp;5'!B:J,9,FALSE),"-")</f>
        <v>-</v>
      </c>
      <c r="U120" s="596" t="str">
        <f>+IFERROR(VLOOKUP(D120,'[1]ID1&amp;5'!K:L,2,FALSE),"-")</f>
        <v>-</v>
      </c>
      <c r="V120" s="593" t="str">
        <f>+IFERROR(VLOOKUP(CONCATENATE(A120,$D$10,D120),'[1]ID1&amp;5'!B:J,9,FALSE),"-")</f>
        <v>-</v>
      </c>
      <c r="W120" s="596" t="str">
        <f>+IFERROR(VLOOKUP(E120,'[1]ID1&amp;5'!K:L,2,FALSE),"-")</f>
        <v>-</v>
      </c>
      <c r="X120" s="595" t="str">
        <f>+IFERROR(VLOOKUP(CONCATENATE(A120,$E$10,E120),'[1]ID1&amp;5'!B:J,9,FALSE),"-")</f>
        <v>-</v>
      </c>
      <c r="Y120" s="597" t="e">
        <f>+X120/O120</f>
        <v>#VALUE!</v>
      </c>
      <c r="Z120" s="596" t="str">
        <f>+IFERROR(VLOOKUP(F120,'[1]ID1&amp;5'!K:L,2,FALSE),"-")</f>
        <v>-</v>
      </c>
      <c r="AA120" s="595" t="str">
        <f>+IFERROR(VLOOKUP(CONCATENATE(A120,$F$10,F120),'[1]ID1&amp;5'!B:J,9,FALSE),"-")</f>
        <v>-</v>
      </c>
      <c r="AB120" s="597" t="e">
        <f>+AA120/O120</f>
        <v>#VALUE!</v>
      </c>
      <c r="AC120" s="593" t="str">
        <f>+IFERROR(VLOOKUP(A120&amp;G120,'[1]ID6&amp;7'!B:J,8,FALSE),"-")</f>
        <v>-</v>
      </c>
      <c r="AD120" s="593" t="str">
        <f>+IFERROR(VLOOKUP(A120&amp;G120,'[1]ID6&amp;7'!B:J,9,FALSE),"-")</f>
        <v>-</v>
      </c>
      <c r="AE120" s="593" t="str">
        <f>+IF(IFERROR(VLOOKUP(J120,'[1]ID8&amp;9'!G:G,1,FALSE),"")=J120,IF(VLOOKUP(J120,'[1]ID8&amp;9'!G:J,3,FALSE)+VLOOKUP(J120,'[1]ID8&amp;9'!G:J,4,FALSE)=2,_xlfn.MAXIFS('[1]ID8&amp;9'!D:D,'[1]ID8&amp;9'!G:G,J120,'[1]ID8&amp;9'!H:H,8,'[1]ID8&amp;9'!I:I,1,'[1]ID8&amp;9'!J:J,1),"Campo por concluir"),"Sem aplicabilidade")</f>
        <v>Sem aplicabilidade</v>
      </c>
      <c r="AF120" s="593" t="str">
        <f>+IF(IFERROR(VLOOKUP(J120,'[1]ID8&amp;9'!G:G,1,FALSE),"")=J120,IF(VLOOKUP(J120,'[1]ID8&amp;9'!G:J,3,FALSE)+VLOOKUP(J120,'[1]ID8&amp;9'!G:J,4,FALSE)=2,_xlfn.MAXIFS('[1]ID8&amp;9'!D:D,'[1]ID8&amp;9'!G:G,J120,'[1]ID8&amp;9'!H:H,9,'[1]ID8&amp;9'!I:I,1,'[1]ID8&amp;9'!J:J,1),"Campo por concluir"),"Sem aplicabilidade")</f>
        <v>Sem aplicabilidade</v>
      </c>
      <c r="AG120" s="598"/>
      <c r="AH120" s="433" t="s">
        <v>1125</v>
      </c>
    </row>
    <row r="121" spans="9:35" hidden="1" x14ac:dyDescent="0.25">
      <c r="I121" s="591" t="s">
        <v>1313</v>
      </c>
      <c r="J121" s="592" t="s">
        <v>1316</v>
      </c>
      <c r="K121" s="592"/>
      <c r="L121" s="592"/>
      <c r="M121" s="593" t="e">
        <f>+COUNTIF('[1]ID1&amp;5'!A:A,'3. Status Testes'!I121&amp;'[1]1. Status'!J121)+COUNTIF('[1]ID6&amp;7'!A:A,'[1]1. Status'!I121&amp;'[1]1. Status'!J121)</f>
        <v>#VALUE!</v>
      </c>
      <c r="N121" s="601" t="str">
        <f>+IFERROR(VLOOKUP(CONCATENATE(A121,$B$10,B121),'[1]ID1&amp;5'!B:J,7,FALSE),"-")</f>
        <v>-</v>
      </c>
      <c r="O121" s="595" t="str">
        <f>+IFERROR(VLOOKUP(CONCATENATE(A121,$B$10,B121),'[1]ID1&amp;5'!B:J,8,FALSE),"-")</f>
        <v>-</v>
      </c>
      <c r="P121" s="596" t="str">
        <f>+IFERROR(VLOOKUP(B121,'[1]ID1&amp;5'!K:L,2,FALSE),"-")</f>
        <v>-</v>
      </c>
      <c r="Q121" s="595" t="str">
        <f>+IFERROR(VLOOKUP(CONCATENATE(A121,$B$10,B121),'[1]ID1&amp;5'!B:J,9,FALSE),"-")</f>
        <v>-</v>
      </c>
      <c r="R121" s="595" t="str">
        <f>+IFERROR(VLOOKUP(CONCATENATE(A121,$C$10,C121),'[1]ID1&amp;5'!B:J,8,FALSE),"-")</f>
        <v>-</v>
      </c>
      <c r="S121" s="596" t="str">
        <f>+IFERROR(VLOOKUP(C121,'[1]ID1&amp;5'!K:L,2,FALSE),"-")</f>
        <v>-</v>
      </c>
      <c r="T121" s="595" t="str">
        <f>+IFERROR(VLOOKUP(CONCATENATE(A121,$C$10,C121),'[1]ID1&amp;5'!B:J,9,FALSE),"-")</f>
        <v>-</v>
      </c>
      <c r="U121" s="596" t="str">
        <f>+IFERROR(VLOOKUP(D121,'[1]ID1&amp;5'!K:L,2,FALSE),"-")</f>
        <v>-</v>
      </c>
      <c r="V121" s="593" t="str">
        <f>+IFERROR(VLOOKUP(CONCATENATE(A121,$D$10,D121),'[1]ID1&amp;5'!B:J,9,FALSE),"-")</f>
        <v>-</v>
      </c>
      <c r="W121" s="596" t="str">
        <f>+IFERROR(VLOOKUP(E121,'[1]ID1&amp;5'!K:L,2,FALSE),"-")</f>
        <v>-</v>
      </c>
      <c r="X121" s="595" t="str">
        <f>+IFERROR(VLOOKUP(CONCATENATE(A121,$E$10,E121),'[1]ID1&amp;5'!B:J,9,FALSE),"-")</f>
        <v>-</v>
      </c>
      <c r="Y121" s="597" t="e">
        <f>+X121/O121</f>
        <v>#VALUE!</v>
      </c>
      <c r="Z121" s="596" t="str">
        <f>+IFERROR(VLOOKUP(F121,'[1]ID1&amp;5'!K:L,2,FALSE),"-")</f>
        <v>-</v>
      </c>
      <c r="AA121" s="595" t="str">
        <f>+IFERROR(VLOOKUP(CONCATENATE(A121,$F$10,F121),'[1]ID1&amp;5'!B:J,9,FALSE),"-")</f>
        <v>-</v>
      </c>
      <c r="AB121" s="597" t="e">
        <f>+AA121/O121</f>
        <v>#VALUE!</v>
      </c>
      <c r="AC121" s="593" t="str">
        <f>+IFERROR(VLOOKUP(A121&amp;G121,'[1]ID6&amp;7'!B:J,8,FALSE),"-")</f>
        <v>-</v>
      </c>
      <c r="AD121" s="593" t="str">
        <f>+IFERROR(VLOOKUP(A121&amp;G121,'[1]ID6&amp;7'!B:J,9,FALSE),"-")</f>
        <v>-</v>
      </c>
      <c r="AE121" s="593" t="str">
        <f>+IF(IFERROR(VLOOKUP(J121,'[1]ID8&amp;9'!G:G,1,FALSE),"")=J121,IF(VLOOKUP(J121,'[1]ID8&amp;9'!G:J,3,FALSE)+VLOOKUP(J121,'[1]ID8&amp;9'!G:J,4,FALSE)=2,_xlfn.MAXIFS('[1]ID8&amp;9'!D:D,'[1]ID8&amp;9'!G:G,J121,'[1]ID8&amp;9'!H:H,8,'[1]ID8&amp;9'!I:I,1,'[1]ID8&amp;9'!J:J,1),"Campo por concluir"),"Sem aplicabilidade")</f>
        <v>Sem aplicabilidade</v>
      </c>
      <c r="AF121" s="593" t="str">
        <f>+IF(IFERROR(VLOOKUP(J121,'[1]ID8&amp;9'!G:G,1,FALSE),"")=J121,IF(VLOOKUP(J121,'[1]ID8&amp;9'!G:J,3,FALSE)+VLOOKUP(J121,'[1]ID8&amp;9'!G:J,4,FALSE)=2,_xlfn.MAXIFS('[1]ID8&amp;9'!D:D,'[1]ID8&amp;9'!G:G,J121,'[1]ID8&amp;9'!H:H,9,'[1]ID8&amp;9'!I:I,1,'[1]ID8&amp;9'!J:J,1),"Campo por concluir"),"Sem aplicabilidade")</f>
        <v>Sem aplicabilidade</v>
      </c>
      <c r="AG121" s="598"/>
      <c r="AH121" s="433" t="s">
        <v>1125</v>
      </c>
    </row>
    <row r="122" spans="9:35" hidden="1" x14ac:dyDescent="0.25">
      <c r="I122" s="591" t="s">
        <v>1313</v>
      </c>
      <c r="J122" s="592" t="s">
        <v>1312</v>
      </c>
      <c r="K122" s="592"/>
      <c r="L122" s="592"/>
      <c r="M122" s="593" t="e">
        <f>+COUNTIF('[1]ID1&amp;5'!A:A,'3. Status Testes'!I122&amp;'[1]1. Status'!J122)+COUNTIF('[1]ID6&amp;7'!A:A,'[1]1. Status'!I122&amp;'[1]1. Status'!J122)</f>
        <v>#VALUE!</v>
      </c>
      <c r="N122" s="601" t="str">
        <f>+IFERROR(VLOOKUP(CONCATENATE(A122,$B$10,B122),'[1]ID1&amp;5'!B:J,7,FALSE),"-")</f>
        <v>-</v>
      </c>
      <c r="O122" s="595" t="str">
        <f>+IFERROR(VLOOKUP(CONCATENATE(A122,$B$10,B122),'[1]ID1&amp;5'!B:J,8,FALSE),"-")</f>
        <v>-</v>
      </c>
      <c r="P122" s="596" t="str">
        <f>+IFERROR(VLOOKUP(B122,'[1]ID1&amp;5'!K:L,2,FALSE),"-")</f>
        <v>-</v>
      </c>
      <c r="Q122" s="595" t="str">
        <f>+IFERROR(VLOOKUP(CONCATENATE(A122,$B$10,B122),'[1]ID1&amp;5'!B:J,9,FALSE),"-")</f>
        <v>-</v>
      </c>
      <c r="R122" s="595" t="str">
        <f>+IFERROR(VLOOKUP(CONCATENATE(A122,$C$10,C122),'[1]ID1&amp;5'!B:J,8,FALSE),"-")</f>
        <v>-</v>
      </c>
      <c r="S122" s="596" t="str">
        <f>+IFERROR(VLOOKUP(C122,'[1]ID1&amp;5'!K:L,2,FALSE),"-")</f>
        <v>-</v>
      </c>
      <c r="T122" s="595" t="str">
        <f>+IFERROR(VLOOKUP(CONCATENATE(A122,$C$10,C122),'[1]ID1&amp;5'!B:J,9,FALSE),"-")</f>
        <v>-</v>
      </c>
      <c r="U122" s="596" t="str">
        <f>+IFERROR(VLOOKUP(D122,'[1]ID1&amp;5'!K:L,2,FALSE),"-")</f>
        <v>-</v>
      </c>
      <c r="V122" s="593" t="str">
        <f>+IFERROR(VLOOKUP(CONCATENATE(A122,$D$10,D122),'[1]ID1&amp;5'!B:J,9,FALSE),"-")</f>
        <v>-</v>
      </c>
      <c r="W122" s="596" t="str">
        <f>+IFERROR(VLOOKUP(E122,'[1]ID1&amp;5'!K:L,2,FALSE),"-")</f>
        <v>-</v>
      </c>
      <c r="X122" s="595" t="str">
        <f>+IFERROR(VLOOKUP(CONCATENATE(A122,$E$10,E122),'[1]ID1&amp;5'!B:J,9,FALSE),"-")</f>
        <v>-</v>
      </c>
      <c r="Y122" s="597" t="e">
        <f>+X122/O122</f>
        <v>#VALUE!</v>
      </c>
      <c r="Z122" s="596" t="str">
        <f>+IFERROR(VLOOKUP(F122,'[1]ID1&amp;5'!K:L,2,FALSE),"-")</f>
        <v>-</v>
      </c>
      <c r="AA122" s="595" t="str">
        <f>+IFERROR(VLOOKUP(CONCATENATE(A122,$F$10,F122),'[1]ID1&amp;5'!B:J,9,FALSE),"-")</f>
        <v>-</v>
      </c>
      <c r="AB122" s="597" t="e">
        <f>+AA122/O122</f>
        <v>#VALUE!</v>
      </c>
      <c r="AC122" s="593" t="str">
        <f>+IFERROR(VLOOKUP(A122&amp;G122,'[1]ID6&amp;7'!B:J,8,FALSE),"-")</f>
        <v>-</v>
      </c>
      <c r="AD122" s="593" t="str">
        <f>+IFERROR(VLOOKUP(A122&amp;G122,'[1]ID6&amp;7'!B:J,9,FALSE),"-")</f>
        <v>-</v>
      </c>
      <c r="AE122" s="593" t="str">
        <f>+IF(IFERROR(VLOOKUP(J122,'[1]ID8&amp;9'!G:G,1,FALSE),"")=J122,IF(VLOOKUP(J122,'[1]ID8&amp;9'!G:J,3,FALSE)+VLOOKUP(J122,'[1]ID8&amp;9'!G:J,4,FALSE)=2,_xlfn.MAXIFS('[1]ID8&amp;9'!D:D,'[1]ID8&amp;9'!G:G,J122,'[1]ID8&amp;9'!H:H,8,'[1]ID8&amp;9'!I:I,1,'[1]ID8&amp;9'!J:J,1),"Campo por concluir"),"Sem aplicabilidade")</f>
        <v>Sem aplicabilidade</v>
      </c>
      <c r="AF122" s="593" t="str">
        <f>+IF(IFERROR(VLOOKUP(J122,'[1]ID8&amp;9'!G:G,1,FALSE),"")=J122,IF(VLOOKUP(J122,'[1]ID8&amp;9'!G:J,3,FALSE)+VLOOKUP(J122,'[1]ID8&amp;9'!G:J,4,FALSE)=2,_xlfn.MAXIFS('[1]ID8&amp;9'!D:D,'[1]ID8&amp;9'!G:G,J122,'[1]ID8&amp;9'!H:H,9,'[1]ID8&amp;9'!I:I,1,'[1]ID8&amp;9'!J:J,1),"Campo por concluir"),"Sem aplicabilidade")</f>
        <v>Sem aplicabilidade</v>
      </c>
      <c r="AG122" s="598"/>
      <c r="AH122" s="433" t="s">
        <v>1125</v>
      </c>
    </row>
    <row r="123" spans="9:35" hidden="1" x14ac:dyDescent="0.25">
      <c r="I123" s="591" t="s">
        <v>1313</v>
      </c>
      <c r="J123" s="592" t="s">
        <v>1317</v>
      </c>
      <c r="K123" s="592"/>
      <c r="L123" s="592"/>
      <c r="M123" s="593" t="e">
        <f>+COUNTIF('[1]ID1&amp;5'!A:A,'3. Status Testes'!I123&amp;'[1]1. Status'!J123)+COUNTIF('[1]ID6&amp;7'!A:A,'[1]1. Status'!I123&amp;'[1]1. Status'!J123)</f>
        <v>#VALUE!</v>
      </c>
      <c r="N123" s="601" t="str">
        <f>+IFERROR(VLOOKUP(CONCATENATE(A123,$B$10,B123),'[1]ID1&amp;5'!B:J,7,FALSE),"-")</f>
        <v>-</v>
      </c>
      <c r="O123" s="595" t="str">
        <f>+IFERROR(VLOOKUP(CONCATENATE(A123,$B$10,B123),'[1]ID1&amp;5'!B:J,8,FALSE),"-")</f>
        <v>-</v>
      </c>
      <c r="P123" s="596" t="str">
        <f>+IFERROR(VLOOKUP(B123,'[1]ID1&amp;5'!K:L,2,FALSE),"-")</f>
        <v>-</v>
      </c>
      <c r="Q123" s="595" t="str">
        <f>+IFERROR(VLOOKUP(CONCATENATE(A123,$B$10,B123),'[1]ID1&amp;5'!B:J,9,FALSE),"-")</f>
        <v>-</v>
      </c>
      <c r="R123" s="595" t="str">
        <f>+IFERROR(VLOOKUP(CONCATENATE(A123,$C$10,C123),'[1]ID1&amp;5'!B:J,8,FALSE),"-")</f>
        <v>-</v>
      </c>
      <c r="S123" s="596" t="str">
        <f>+IFERROR(VLOOKUP(C123,'[1]ID1&amp;5'!K:L,2,FALSE),"-")</f>
        <v>-</v>
      </c>
      <c r="T123" s="595" t="str">
        <f>+IFERROR(VLOOKUP(CONCATENATE(A123,$C$10,C123),'[1]ID1&amp;5'!B:J,9,FALSE),"-")</f>
        <v>-</v>
      </c>
      <c r="U123" s="596" t="str">
        <f>+IFERROR(VLOOKUP(D123,'[1]ID1&amp;5'!K:L,2,FALSE),"-")</f>
        <v>-</v>
      </c>
      <c r="V123" s="593" t="str">
        <f>+IFERROR(VLOOKUP(CONCATENATE(A123,$D$10,D123),'[1]ID1&amp;5'!B:J,9,FALSE),"-")</f>
        <v>-</v>
      </c>
      <c r="W123" s="596" t="str">
        <f>+IFERROR(VLOOKUP(E123,'[1]ID1&amp;5'!K:L,2,FALSE),"-")</f>
        <v>-</v>
      </c>
      <c r="X123" s="595" t="str">
        <f>+IFERROR(VLOOKUP(CONCATENATE(A123,$E$10,E123),'[1]ID1&amp;5'!B:J,9,FALSE),"-")</f>
        <v>-</v>
      </c>
      <c r="Y123" s="597" t="e">
        <f>+X123/O123</f>
        <v>#VALUE!</v>
      </c>
      <c r="Z123" s="596" t="str">
        <f>+IFERROR(VLOOKUP(F123,'[1]ID1&amp;5'!K:L,2,FALSE),"-")</f>
        <v>-</v>
      </c>
      <c r="AA123" s="595" t="str">
        <f>+IFERROR(VLOOKUP(CONCATENATE(A123,$F$10,F123),'[1]ID1&amp;5'!B:J,9,FALSE),"-")</f>
        <v>-</v>
      </c>
      <c r="AB123" s="597" t="e">
        <f>+AA123/O123</f>
        <v>#VALUE!</v>
      </c>
      <c r="AC123" s="593" t="str">
        <f>+IFERROR(VLOOKUP(A123&amp;G123,'[1]ID6&amp;7'!B:J,8,FALSE),"-")</f>
        <v>-</v>
      </c>
      <c r="AD123" s="593" t="str">
        <f>+IFERROR(VLOOKUP(A123&amp;G123,'[1]ID6&amp;7'!B:J,9,FALSE),"-")</f>
        <v>-</v>
      </c>
      <c r="AE123" s="593" t="str">
        <f>+IF(IFERROR(VLOOKUP(J123,'[1]ID8&amp;9'!G:G,1,FALSE),"")=J123,IF(VLOOKUP(J123,'[1]ID8&amp;9'!G:J,3,FALSE)+VLOOKUP(J123,'[1]ID8&amp;9'!G:J,4,FALSE)=2,_xlfn.MAXIFS('[1]ID8&amp;9'!D:D,'[1]ID8&amp;9'!G:G,J123,'[1]ID8&amp;9'!H:H,8,'[1]ID8&amp;9'!I:I,1,'[1]ID8&amp;9'!J:J,1),"Campo por concluir"),"Sem aplicabilidade")</f>
        <v>Sem aplicabilidade</v>
      </c>
      <c r="AF123" s="593" t="str">
        <f>+IF(IFERROR(VLOOKUP(J123,'[1]ID8&amp;9'!G:G,1,FALSE),"")=J123,IF(VLOOKUP(J123,'[1]ID8&amp;9'!G:J,3,FALSE)+VLOOKUP(J123,'[1]ID8&amp;9'!G:J,4,FALSE)=2,_xlfn.MAXIFS('[1]ID8&amp;9'!D:D,'[1]ID8&amp;9'!G:G,J123,'[1]ID8&amp;9'!H:H,9,'[1]ID8&amp;9'!I:I,1,'[1]ID8&amp;9'!J:J,1),"Campo por concluir"),"Sem aplicabilidade")</f>
        <v>Sem aplicabilidade</v>
      </c>
      <c r="AG123" s="598"/>
      <c r="AH123" s="433" t="s">
        <v>1125</v>
      </c>
    </row>
    <row r="124" spans="9:35" hidden="1" x14ac:dyDescent="0.25">
      <c r="I124" s="591" t="s">
        <v>1313</v>
      </c>
      <c r="J124" s="592" t="s">
        <v>1318</v>
      </c>
      <c r="K124" s="592"/>
      <c r="L124" s="592"/>
      <c r="M124" s="593" t="e">
        <f>+COUNTIF('[1]ID1&amp;5'!A:A,'3. Status Testes'!I124&amp;'[1]1. Status'!J124)+COUNTIF('[1]ID6&amp;7'!A:A,'[1]1. Status'!I124&amp;'[1]1. Status'!J124)</f>
        <v>#VALUE!</v>
      </c>
      <c r="N124" s="601" t="str">
        <f>+IFERROR(VLOOKUP(CONCATENATE(A124,$B$10,B124),'[1]ID1&amp;5'!B:J,7,FALSE),"-")</f>
        <v>-</v>
      </c>
      <c r="O124" s="595" t="str">
        <f>+IFERROR(VLOOKUP(CONCATENATE(A124,$B$10,B124),'[1]ID1&amp;5'!B:J,8,FALSE),"-")</f>
        <v>-</v>
      </c>
      <c r="P124" s="596" t="str">
        <f>+IFERROR(VLOOKUP(B124,'[1]ID1&amp;5'!K:L,2,FALSE),"-")</f>
        <v>-</v>
      </c>
      <c r="Q124" s="595" t="str">
        <f>+IFERROR(VLOOKUP(CONCATENATE(A124,$B$10,B124),'[1]ID1&amp;5'!B:J,9,FALSE),"-")</f>
        <v>-</v>
      </c>
      <c r="R124" s="595" t="str">
        <f>+IFERROR(VLOOKUP(CONCATENATE(A124,$C$10,C124),'[1]ID1&amp;5'!B:J,8,FALSE),"-")</f>
        <v>-</v>
      </c>
      <c r="S124" s="596" t="str">
        <f>+IFERROR(VLOOKUP(C124,'[1]ID1&amp;5'!K:L,2,FALSE),"-")</f>
        <v>-</v>
      </c>
      <c r="T124" s="595" t="str">
        <f>+IFERROR(VLOOKUP(CONCATENATE(A124,$C$10,C124),'[1]ID1&amp;5'!B:J,9,FALSE),"-")</f>
        <v>-</v>
      </c>
      <c r="U124" s="596" t="str">
        <f>+IFERROR(VLOOKUP(D124,'[1]ID1&amp;5'!K:L,2,FALSE),"-")</f>
        <v>-</v>
      </c>
      <c r="V124" s="593" t="str">
        <f>+IFERROR(VLOOKUP(CONCATENATE(A124,$D$10,D124),'[1]ID1&amp;5'!B:J,9,FALSE),"-")</f>
        <v>-</v>
      </c>
      <c r="W124" s="596" t="str">
        <f>+IFERROR(VLOOKUP(E124,'[1]ID1&amp;5'!K:L,2,FALSE),"-")</f>
        <v>-</v>
      </c>
      <c r="X124" s="595" t="str">
        <f>+IFERROR(VLOOKUP(CONCATENATE(A124,$E$10,E124),'[1]ID1&amp;5'!B:J,9,FALSE),"-")</f>
        <v>-</v>
      </c>
      <c r="Y124" s="597" t="e">
        <f>+X124/O124</f>
        <v>#VALUE!</v>
      </c>
      <c r="Z124" s="596" t="str">
        <f>+IFERROR(VLOOKUP(F124,'[1]ID1&amp;5'!K:L,2,FALSE),"-")</f>
        <v>-</v>
      </c>
      <c r="AA124" s="595" t="str">
        <f>+IFERROR(VLOOKUP(CONCATENATE(A124,$F$10,F124),'[1]ID1&amp;5'!B:J,9,FALSE),"-")</f>
        <v>-</v>
      </c>
      <c r="AB124" s="597" t="e">
        <f>+AA124/O124</f>
        <v>#VALUE!</v>
      </c>
      <c r="AC124" s="593" t="str">
        <f>+IFERROR(VLOOKUP(A124&amp;G124,'[1]ID6&amp;7'!B:J,8,FALSE),"-")</f>
        <v>-</v>
      </c>
      <c r="AD124" s="593" t="str">
        <f>+IFERROR(VLOOKUP(A124&amp;G124,'[1]ID6&amp;7'!B:J,9,FALSE),"-")</f>
        <v>-</v>
      </c>
      <c r="AE124" s="593" t="str">
        <f>+IF(IFERROR(VLOOKUP(J124,'[1]ID8&amp;9'!G:G,1,FALSE),"")=J124,IF(VLOOKUP(J124,'[1]ID8&amp;9'!G:J,3,FALSE)+VLOOKUP(J124,'[1]ID8&amp;9'!G:J,4,FALSE)=2,_xlfn.MAXIFS('[1]ID8&amp;9'!D:D,'[1]ID8&amp;9'!G:G,J124,'[1]ID8&amp;9'!H:H,8,'[1]ID8&amp;9'!I:I,1,'[1]ID8&amp;9'!J:J,1),"Campo por concluir"),"Sem aplicabilidade")</f>
        <v>Sem aplicabilidade</v>
      </c>
      <c r="AF124" s="593" t="str">
        <f>+IF(IFERROR(VLOOKUP(J124,'[1]ID8&amp;9'!G:G,1,FALSE),"")=J124,IF(VLOOKUP(J124,'[1]ID8&amp;9'!G:J,3,FALSE)+VLOOKUP(J124,'[1]ID8&amp;9'!G:J,4,FALSE)=2,_xlfn.MAXIFS('[1]ID8&amp;9'!D:D,'[1]ID8&amp;9'!G:G,J124,'[1]ID8&amp;9'!H:H,9,'[1]ID8&amp;9'!I:I,1,'[1]ID8&amp;9'!J:J,1),"Campo por concluir"),"Sem aplicabilidade")</f>
        <v>Sem aplicabilidade</v>
      </c>
      <c r="AG124" s="598"/>
      <c r="AH124" s="433" t="s">
        <v>1125</v>
      </c>
    </row>
    <row r="125" spans="9:35" hidden="1" x14ac:dyDescent="0.25">
      <c r="I125" s="591" t="s">
        <v>1313</v>
      </c>
      <c r="J125" s="592" t="s">
        <v>1319</v>
      </c>
      <c r="K125" s="592"/>
      <c r="L125" s="592"/>
      <c r="M125" s="593" t="e">
        <f>+COUNTIF('[1]ID1&amp;5'!A:A,'3. Status Testes'!I125&amp;'[1]1. Status'!J125)+COUNTIF('[1]ID6&amp;7'!A:A,'[1]1. Status'!I125&amp;'[1]1. Status'!J125)</f>
        <v>#VALUE!</v>
      </c>
      <c r="N125" s="601" t="str">
        <f>+IFERROR(VLOOKUP(CONCATENATE(A125,$B$10,B125),'[1]ID1&amp;5'!B:J,7,FALSE),"-")</f>
        <v>-</v>
      </c>
      <c r="O125" s="595" t="str">
        <f>+IFERROR(VLOOKUP(CONCATENATE(A125,$B$10,B125),'[1]ID1&amp;5'!B:J,8,FALSE),"-")</f>
        <v>-</v>
      </c>
      <c r="P125" s="596" t="str">
        <f>+IFERROR(VLOOKUP(B125,'[1]ID1&amp;5'!K:L,2,FALSE),"-")</f>
        <v>-</v>
      </c>
      <c r="Q125" s="595" t="str">
        <f>+IFERROR(VLOOKUP(CONCATENATE(A125,$B$10,B125),'[1]ID1&amp;5'!B:J,9,FALSE),"-")</f>
        <v>-</v>
      </c>
      <c r="R125" s="595" t="str">
        <f>+IFERROR(VLOOKUP(CONCATENATE(A125,$C$10,C125),'[1]ID1&amp;5'!B:J,8,FALSE),"-")</f>
        <v>-</v>
      </c>
      <c r="S125" s="596" t="str">
        <f>+IFERROR(VLOOKUP(C125,'[1]ID1&amp;5'!K:L,2,FALSE),"-")</f>
        <v>-</v>
      </c>
      <c r="T125" s="595" t="str">
        <f>+IFERROR(VLOOKUP(CONCATENATE(A125,$C$10,C125),'[1]ID1&amp;5'!B:J,9,FALSE),"-")</f>
        <v>-</v>
      </c>
      <c r="U125" s="596" t="str">
        <f>+IFERROR(VLOOKUP(D125,'[1]ID1&amp;5'!K:L,2,FALSE),"-")</f>
        <v>-</v>
      </c>
      <c r="V125" s="593" t="str">
        <f>+IFERROR(VLOOKUP(CONCATENATE(A125,$D$10,D125),'[1]ID1&amp;5'!B:J,9,FALSE),"-")</f>
        <v>-</v>
      </c>
      <c r="W125" s="596" t="str">
        <f>+IFERROR(VLOOKUP(E125,'[1]ID1&amp;5'!K:L,2,FALSE),"-")</f>
        <v>-</v>
      </c>
      <c r="X125" s="595" t="str">
        <f>+IFERROR(VLOOKUP(CONCATENATE(A125,$E$10,E125),'[1]ID1&amp;5'!B:J,9,FALSE),"-")</f>
        <v>-</v>
      </c>
      <c r="Y125" s="597" t="e">
        <f>+X125/O125</f>
        <v>#VALUE!</v>
      </c>
      <c r="Z125" s="596" t="str">
        <f>+IFERROR(VLOOKUP(F125,'[1]ID1&amp;5'!K:L,2,FALSE),"-")</f>
        <v>-</v>
      </c>
      <c r="AA125" s="595" t="str">
        <f>+IFERROR(VLOOKUP(CONCATENATE(A125,$F$10,F125),'[1]ID1&amp;5'!B:J,9,FALSE),"-")</f>
        <v>-</v>
      </c>
      <c r="AB125" s="597" t="e">
        <f>+AA125/O125</f>
        <v>#VALUE!</v>
      </c>
      <c r="AC125" s="593" t="str">
        <f>+IFERROR(VLOOKUP(A125&amp;G125,'[1]ID6&amp;7'!B:J,8,FALSE),"-")</f>
        <v>-</v>
      </c>
      <c r="AD125" s="593" t="str">
        <f>+IFERROR(VLOOKUP(A125&amp;G125,'[1]ID6&amp;7'!B:J,9,FALSE),"-")</f>
        <v>-</v>
      </c>
      <c r="AE125" s="593" t="str">
        <f>+IF(IFERROR(VLOOKUP(J125,'[1]ID8&amp;9'!G:G,1,FALSE),"")=J125,IF(VLOOKUP(J125,'[1]ID8&amp;9'!G:J,3,FALSE)+VLOOKUP(J125,'[1]ID8&amp;9'!G:J,4,FALSE)=2,_xlfn.MAXIFS('[1]ID8&amp;9'!D:D,'[1]ID8&amp;9'!G:G,J125,'[1]ID8&amp;9'!H:H,8,'[1]ID8&amp;9'!I:I,1,'[1]ID8&amp;9'!J:J,1),"Campo por concluir"),"Sem aplicabilidade")</f>
        <v>Sem aplicabilidade</v>
      </c>
      <c r="AF125" s="593" t="str">
        <f>+IF(IFERROR(VLOOKUP(J125,'[1]ID8&amp;9'!G:G,1,FALSE),"")=J125,IF(VLOOKUP(J125,'[1]ID8&amp;9'!G:J,3,FALSE)+VLOOKUP(J125,'[1]ID8&amp;9'!G:J,4,FALSE)=2,_xlfn.MAXIFS('[1]ID8&amp;9'!D:D,'[1]ID8&amp;9'!G:G,J125,'[1]ID8&amp;9'!H:H,9,'[1]ID8&amp;9'!I:I,1,'[1]ID8&amp;9'!J:J,1),"Campo por concluir"),"Sem aplicabilidade")</f>
        <v>Sem aplicabilidade</v>
      </c>
      <c r="AG125" s="598"/>
      <c r="AH125" s="433" t="s">
        <v>1125</v>
      </c>
    </row>
    <row r="126" spans="9:35" hidden="1" x14ac:dyDescent="0.25">
      <c r="I126" s="591" t="s">
        <v>1313</v>
      </c>
      <c r="J126" s="592" t="s">
        <v>1320</v>
      </c>
      <c r="K126" s="592"/>
      <c r="L126" s="592"/>
      <c r="M126" s="593" t="e">
        <f>+COUNTIF('[1]ID1&amp;5'!A:A,'3. Status Testes'!I126&amp;'[1]1. Status'!J126)+COUNTIF('[1]ID6&amp;7'!A:A,'[1]1. Status'!I126&amp;'[1]1. Status'!J126)</f>
        <v>#VALUE!</v>
      </c>
      <c r="N126" s="601" t="str">
        <f>+IFERROR(VLOOKUP(CONCATENATE(A126,$B$10,B126),'[1]ID1&amp;5'!B:J,7,FALSE),"-")</f>
        <v>-</v>
      </c>
      <c r="O126" s="595" t="str">
        <f>+IFERROR(VLOOKUP(CONCATENATE(A126,$B$10,B126),'[1]ID1&amp;5'!B:J,8,FALSE),"-")</f>
        <v>-</v>
      </c>
      <c r="P126" s="596" t="str">
        <f>+IFERROR(VLOOKUP(B126,'[1]ID1&amp;5'!K:L,2,FALSE),"-")</f>
        <v>-</v>
      </c>
      <c r="Q126" s="595" t="str">
        <f>+IFERROR(VLOOKUP(CONCATENATE(A126,$B$10,B126),'[1]ID1&amp;5'!B:J,9,FALSE),"-")</f>
        <v>-</v>
      </c>
      <c r="R126" s="595" t="str">
        <f>+IFERROR(VLOOKUP(CONCATENATE(A126,$C$10,C126),'[1]ID1&amp;5'!B:J,8,FALSE),"-")</f>
        <v>-</v>
      </c>
      <c r="S126" s="596" t="str">
        <f>+IFERROR(VLOOKUP(C126,'[1]ID1&amp;5'!K:L,2,FALSE),"-")</f>
        <v>-</v>
      </c>
      <c r="T126" s="595" t="str">
        <f>+IFERROR(VLOOKUP(CONCATENATE(A126,$C$10,C126),'[1]ID1&amp;5'!B:J,9,FALSE),"-")</f>
        <v>-</v>
      </c>
      <c r="U126" s="596" t="str">
        <f>+IFERROR(VLOOKUP(D126,'[1]ID1&amp;5'!K:L,2,FALSE),"-")</f>
        <v>-</v>
      </c>
      <c r="V126" s="593" t="str">
        <f>+IFERROR(VLOOKUP(CONCATENATE(A126,$D$10,D126),'[1]ID1&amp;5'!B:J,9,FALSE),"-")</f>
        <v>-</v>
      </c>
      <c r="W126" s="596" t="str">
        <f>+IFERROR(VLOOKUP(E126,'[1]ID1&amp;5'!K:L,2,FALSE),"-")</f>
        <v>-</v>
      </c>
      <c r="X126" s="595" t="str">
        <f>+IFERROR(VLOOKUP(CONCATENATE(A126,$E$10,E126),'[1]ID1&amp;5'!B:J,9,FALSE),"-")</f>
        <v>-</v>
      </c>
      <c r="Y126" s="597" t="e">
        <f>+X126/O126</f>
        <v>#VALUE!</v>
      </c>
      <c r="Z126" s="596" t="str">
        <f>+IFERROR(VLOOKUP(F126,'[1]ID1&amp;5'!K:L,2,FALSE),"-")</f>
        <v>-</v>
      </c>
      <c r="AA126" s="595" t="str">
        <f>+IFERROR(VLOOKUP(CONCATENATE(A126,$F$10,F126),'[1]ID1&amp;5'!B:J,9,FALSE),"-")</f>
        <v>-</v>
      </c>
      <c r="AB126" s="597" t="e">
        <f>+AA126/O126</f>
        <v>#VALUE!</v>
      </c>
      <c r="AC126" s="593" t="str">
        <f>+IFERROR(VLOOKUP(A126&amp;G126,'[1]ID6&amp;7'!B:J,8,FALSE),"-")</f>
        <v>-</v>
      </c>
      <c r="AD126" s="593" t="str">
        <f>+IFERROR(VLOOKUP(A126&amp;G126,'[1]ID6&amp;7'!B:J,9,FALSE),"-")</f>
        <v>-</v>
      </c>
      <c r="AE126" s="593" t="str">
        <f>+IF(IFERROR(VLOOKUP(J126,'[1]ID8&amp;9'!G:G,1,FALSE),"")=J126,IF(VLOOKUP(J126,'[1]ID8&amp;9'!G:J,3,FALSE)+VLOOKUP(J126,'[1]ID8&amp;9'!G:J,4,FALSE)=2,_xlfn.MAXIFS('[1]ID8&amp;9'!D:D,'[1]ID8&amp;9'!G:G,J126,'[1]ID8&amp;9'!H:H,8,'[1]ID8&amp;9'!I:I,1,'[1]ID8&amp;9'!J:J,1),"Campo por concluir"),"Sem aplicabilidade")</f>
        <v>Sem aplicabilidade</v>
      </c>
      <c r="AF126" s="593" t="str">
        <f>+IF(IFERROR(VLOOKUP(J126,'[1]ID8&amp;9'!G:G,1,FALSE),"")=J126,IF(VLOOKUP(J126,'[1]ID8&amp;9'!G:J,3,FALSE)+VLOOKUP(J126,'[1]ID8&amp;9'!G:J,4,FALSE)=2,_xlfn.MAXIFS('[1]ID8&amp;9'!D:D,'[1]ID8&amp;9'!G:G,J126,'[1]ID8&amp;9'!H:H,9,'[1]ID8&amp;9'!I:I,1,'[1]ID8&amp;9'!J:J,1),"Campo por concluir"),"Sem aplicabilidade")</f>
        <v>Sem aplicabilidade</v>
      </c>
      <c r="AG126" s="598"/>
      <c r="AH126" s="433" t="s">
        <v>1125</v>
      </c>
    </row>
    <row r="127" spans="9:35" hidden="1" x14ac:dyDescent="0.25">
      <c r="I127" s="591" t="s">
        <v>1313</v>
      </c>
      <c r="J127" s="592" t="s">
        <v>1321</v>
      </c>
      <c r="K127" s="592"/>
      <c r="L127" s="592"/>
      <c r="M127" s="593" t="e">
        <f>+COUNTIF('[1]ID1&amp;5'!A:A,'3. Status Testes'!I127&amp;'[1]1. Status'!J127)+COUNTIF('[1]ID6&amp;7'!A:A,'[1]1. Status'!I127&amp;'[1]1. Status'!J127)</f>
        <v>#VALUE!</v>
      </c>
      <c r="N127" s="601" t="str">
        <f>+IFERROR(VLOOKUP(CONCATENATE(A127,$B$10,B127),'[1]ID1&amp;5'!B:J,7,FALSE),"-")</f>
        <v>-</v>
      </c>
      <c r="O127" s="595" t="str">
        <f>+IFERROR(VLOOKUP(CONCATENATE(A127,$B$10,B127),'[1]ID1&amp;5'!B:J,8,FALSE),"-")</f>
        <v>-</v>
      </c>
      <c r="P127" s="596" t="str">
        <f>+IFERROR(VLOOKUP(B127,'[1]ID1&amp;5'!K:L,2,FALSE),"-")</f>
        <v>-</v>
      </c>
      <c r="Q127" s="595" t="str">
        <f>+IFERROR(VLOOKUP(CONCATENATE(A127,$B$10,B127),'[1]ID1&amp;5'!B:J,9,FALSE),"-")</f>
        <v>-</v>
      </c>
      <c r="R127" s="595" t="str">
        <f>+IFERROR(VLOOKUP(CONCATENATE(A127,$C$10,C127),'[1]ID1&amp;5'!B:J,8,FALSE),"-")</f>
        <v>-</v>
      </c>
      <c r="S127" s="596" t="str">
        <f>+IFERROR(VLOOKUP(C127,'[1]ID1&amp;5'!K:L,2,FALSE),"-")</f>
        <v>-</v>
      </c>
      <c r="T127" s="595" t="str">
        <f>+IFERROR(VLOOKUP(CONCATENATE(A127,$C$10,C127),'[1]ID1&amp;5'!B:J,9,FALSE),"-")</f>
        <v>-</v>
      </c>
      <c r="U127" s="596" t="str">
        <f>+IFERROR(VLOOKUP(D127,'[1]ID1&amp;5'!K:L,2,FALSE),"-")</f>
        <v>-</v>
      </c>
      <c r="V127" s="593" t="str">
        <f>+IFERROR(VLOOKUP(CONCATENATE(A127,$D$10,D127),'[1]ID1&amp;5'!B:J,9,FALSE),"-")</f>
        <v>-</v>
      </c>
      <c r="W127" s="596" t="str">
        <f>+IFERROR(VLOOKUP(E127,'[1]ID1&amp;5'!K:L,2,FALSE),"-")</f>
        <v>-</v>
      </c>
      <c r="X127" s="595" t="str">
        <f>+IFERROR(VLOOKUP(CONCATENATE(A127,$E$10,E127),'[1]ID1&amp;5'!B:J,9,FALSE),"-")</f>
        <v>-</v>
      </c>
      <c r="Y127" s="597" t="e">
        <f>+X127/O127</f>
        <v>#VALUE!</v>
      </c>
      <c r="Z127" s="596" t="str">
        <f>+IFERROR(VLOOKUP(F127,'[1]ID1&amp;5'!K:L,2,FALSE),"-")</f>
        <v>-</v>
      </c>
      <c r="AA127" s="595" t="str">
        <f>+IFERROR(VLOOKUP(CONCATENATE(A127,$F$10,F127),'[1]ID1&amp;5'!B:J,9,FALSE),"-")</f>
        <v>-</v>
      </c>
      <c r="AB127" s="597" t="e">
        <f>+AA127/O127</f>
        <v>#VALUE!</v>
      </c>
      <c r="AC127" s="593" t="str">
        <f>+IFERROR(VLOOKUP(A127&amp;G127,'[1]ID6&amp;7'!B:J,8,FALSE),"-")</f>
        <v>-</v>
      </c>
      <c r="AD127" s="593" t="str">
        <f>+IFERROR(VLOOKUP(A127&amp;G127,'[1]ID6&amp;7'!B:J,9,FALSE),"-")</f>
        <v>-</v>
      </c>
      <c r="AE127" s="593" t="str">
        <f>+IF(IFERROR(VLOOKUP(J127,'[1]ID8&amp;9'!G:G,1,FALSE),"")=J127,IF(VLOOKUP(J127,'[1]ID8&amp;9'!G:J,3,FALSE)+VLOOKUP(J127,'[1]ID8&amp;9'!G:J,4,FALSE)=2,_xlfn.MAXIFS('[1]ID8&amp;9'!D:D,'[1]ID8&amp;9'!G:G,J127,'[1]ID8&amp;9'!H:H,8,'[1]ID8&amp;9'!I:I,1,'[1]ID8&amp;9'!J:J,1),"Campo por concluir"),"Sem aplicabilidade")</f>
        <v>Sem aplicabilidade</v>
      </c>
      <c r="AF127" s="593" t="str">
        <f>+IF(IFERROR(VLOOKUP(J127,'[1]ID8&amp;9'!G:G,1,FALSE),"")=J127,IF(VLOOKUP(J127,'[1]ID8&amp;9'!G:J,3,FALSE)+VLOOKUP(J127,'[1]ID8&amp;9'!G:J,4,FALSE)=2,_xlfn.MAXIFS('[1]ID8&amp;9'!D:D,'[1]ID8&amp;9'!G:G,J127,'[1]ID8&amp;9'!H:H,9,'[1]ID8&amp;9'!I:I,1,'[1]ID8&amp;9'!J:J,1),"Campo por concluir"),"Sem aplicabilidade")</f>
        <v>Sem aplicabilidade</v>
      </c>
      <c r="AG127" s="598"/>
      <c r="AH127" s="433" t="s">
        <v>1125</v>
      </c>
    </row>
    <row r="128" spans="9:35" hidden="1" x14ac:dyDescent="0.25">
      <c r="I128" s="591" t="s">
        <v>1313</v>
      </c>
      <c r="J128" s="592" t="s">
        <v>1322</v>
      </c>
      <c r="K128" s="592"/>
      <c r="L128" s="592"/>
      <c r="M128" s="593" t="e">
        <f>+COUNTIF('[1]ID1&amp;5'!A:A,'3. Status Testes'!I128&amp;'[1]1. Status'!J128)+COUNTIF('[1]ID6&amp;7'!A:A,'[1]1. Status'!I128&amp;'[1]1. Status'!J128)</f>
        <v>#VALUE!</v>
      </c>
      <c r="N128" s="601" t="str">
        <f>+IFERROR(VLOOKUP(CONCATENATE(A128,$B$10,B128),'[1]ID1&amp;5'!B:J,7,FALSE),"-")</f>
        <v>-</v>
      </c>
      <c r="O128" s="595" t="str">
        <f>+IFERROR(VLOOKUP(CONCATENATE(A128,$B$10,B128),'[1]ID1&amp;5'!B:J,8,FALSE),"-")</f>
        <v>-</v>
      </c>
      <c r="P128" s="596" t="str">
        <f>+IFERROR(VLOOKUP(B128,'[1]ID1&amp;5'!K:L,2,FALSE),"-")</f>
        <v>-</v>
      </c>
      <c r="Q128" s="595" t="str">
        <f>+IFERROR(VLOOKUP(CONCATENATE(A128,$B$10,B128),'[1]ID1&amp;5'!B:J,9,FALSE),"-")</f>
        <v>-</v>
      </c>
      <c r="R128" s="595" t="str">
        <f>+IFERROR(VLOOKUP(CONCATENATE(A128,$C$10,C128),'[1]ID1&amp;5'!B:J,8,FALSE),"-")</f>
        <v>-</v>
      </c>
      <c r="S128" s="596" t="str">
        <f>+IFERROR(VLOOKUP(C128,'[1]ID1&amp;5'!K:L,2,FALSE),"-")</f>
        <v>-</v>
      </c>
      <c r="T128" s="595" t="str">
        <f>+IFERROR(VLOOKUP(CONCATENATE(A128,$C$10,C128),'[1]ID1&amp;5'!B:J,9,FALSE),"-")</f>
        <v>-</v>
      </c>
      <c r="U128" s="596" t="str">
        <f>+IFERROR(VLOOKUP(D128,'[1]ID1&amp;5'!K:L,2,FALSE),"-")</f>
        <v>-</v>
      </c>
      <c r="V128" s="593" t="str">
        <f>+IFERROR(VLOOKUP(CONCATENATE(A128,$D$10,D128),'[1]ID1&amp;5'!B:J,9,FALSE),"-")</f>
        <v>-</v>
      </c>
      <c r="W128" s="596" t="str">
        <f>+IFERROR(VLOOKUP(E128,'[1]ID1&amp;5'!K:L,2,FALSE),"-")</f>
        <v>-</v>
      </c>
      <c r="X128" s="595" t="str">
        <f>+IFERROR(VLOOKUP(CONCATENATE(A128,$E$10,E128),'[1]ID1&amp;5'!B:J,9,FALSE),"-")</f>
        <v>-</v>
      </c>
      <c r="Y128" s="597" t="e">
        <f>+X128/O128</f>
        <v>#VALUE!</v>
      </c>
      <c r="Z128" s="596" t="str">
        <f>+IFERROR(VLOOKUP(F128,'[1]ID1&amp;5'!K:L,2,FALSE),"-")</f>
        <v>-</v>
      </c>
      <c r="AA128" s="595" t="str">
        <f>+IFERROR(VLOOKUP(CONCATENATE(A128,$F$10,F128),'[1]ID1&amp;5'!B:J,9,FALSE),"-")</f>
        <v>-</v>
      </c>
      <c r="AB128" s="597" t="e">
        <f>+AA128/O128</f>
        <v>#VALUE!</v>
      </c>
      <c r="AC128" s="593" t="str">
        <f>+IFERROR(VLOOKUP(A128&amp;G128,'[1]ID6&amp;7'!B:J,8,FALSE),"-")</f>
        <v>-</v>
      </c>
      <c r="AD128" s="593" t="str">
        <f>+IFERROR(VLOOKUP(A128&amp;G128,'[1]ID6&amp;7'!B:J,9,FALSE),"-")</f>
        <v>-</v>
      </c>
      <c r="AE128" s="593" t="str">
        <f>+IF(IFERROR(VLOOKUP(J128,'[1]ID8&amp;9'!G:G,1,FALSE),"")=J128,IF(VLOOKUP(J128,'[1]ID8&amp;9'!G:J,3,FALSE)+VLOOKUP(J128,'[1]ID8&amp;9'!G:J,4,FALSE)=2,_xlfn.MAXIFS('[1]ID8&amp;9'!D:D,'[1]ID8&amp;9'!G:G,J128,'[1]ID8&amp;9'!H:H,8,'[1]ID8&amp;9'!I:I,1,'[1]ID8&amp;9'!J:J,1),"Campo por concluir"),"Sem aplicabilidade")</f>
        <v>Sem aplicabilidade</v>
      </c>
      <c r="AF128" s="593" t="str">
        <f>+IF(IFERROR(VLOOKUP(J128,'[1]ID8&amp;9'!G:G,1,FALSE),"")=J128,IF(VLOOKUP(J128,'[1]ID8&amp;9'!G:J,3,FALSE)+VLOOKUP(J128,'[1]ID8&amp;9'!G:J,4,FALSE)=2,_xlfn.MAXIFS('[1]ID8&amp;9'!D:D,'[1]ID8&amp;9'!G:G,J128,'[1]ID8&amp;9'!H:H,9,'[1]ID8&amp;9'!I:I,1,'[1]ID8&amp;9'!J:J,1),"Campo por concluir"),"Sem aplicabilidade")</f>
        <v>Sem aplicabilidade</v>
      </c>
      <c r="AG128" s="598"/>
      <c r="AH128" s="433" t="s">
        <v>1125</v>
      </c>
    </row>
    <row r="129" spans="9:34" hidden="1" x14ac:dyDescent="0.25">
      <c r="I129" s="591" t="s">
        <v>1313</v>
      </c>
      <c r="J129" s="592" t="s">
        <v>1323</v>
      </c>
      <c r="K129" s="592"/>
      <c r="L129" s="592"/>
      <c r="M129" s="593" t="e">
        <f>+COUNTIF('[1]ID1&amp;5'!A:A,'3. Status Testes'!I129&amp;'[1]1. Status'!J129)+COUNTIF('[1]ID6&amp;7'!A:A,'[1]1. Status'!I129&amp;'[1]1. Status'!J129)</f>
        <v>#VALUE!</v>
      </c>
      <c r="N129" s="601" t="str">
        <f>+IFERROR(VLOOKUP(CONCATENATE(A129,$B$10,B129),'[1]ID1&amp;5'!B:J,7,FALSE),"-")</f>
        <v>-</v>
      </c>
      <c r="O129" s="595" t="str">
        <f>+IFERROR(VLOOKUP(CONCATENATE(A129,$B$10,B129),'[1]ID1&amp;5'!B:J,8,FALSE),"-")</f>
        <v>-</v>
      </c>
      <c r="P129" s="596" t="str">
        <f>+IFERROR(VLOOKUP(B129,'[1]ID1&amp;5'!K:L,2,FALSE),"-")</f>
        <v>-</v>
      </c>
      <c r="Q129" s="595" t="str">
        <f>+IFERROR(VLOOKUP(CONCATENATE(A129,$B$10,B129),'[1]ID1&amp;5'!B:J,9,FALSE),"-")</f>
        <v>-</v>
      </c>
      <c r="R129" s="595" t="str">
        <f>+IFERROR(VLOOKUP(CONCATENATE(A129,$C$10,C129),'[1]ID1&amp;5'!B:J,8,FALSE),"-")</f>
        <v>-</v>
      </c>
      <c r="S129" s="596" t="str">
        <f>+IFERROR(VLOOKUP(C129,'[1]ID1&amp;5'!K:L,2,FALSE),"-")</f>
        <v>-</v>
      </c>
      <c r="T129" s="595" t="str">
        <f>+IFERROR(VLOOKUP(CONCATENATE(A129,$C$10,C129),'[1]ID1&amp;5'!B:J,9,FALSE),"-")</f>
        <v>-</v>
      </c>
      <c r="U129" s="596" t="str">
        <f>+IFERROR(VLOOKUP(D129,'[1]ID1&amp;5'!K:L,2,FALSE),"-")</f>
        <v>-</v>
      </c>
      <c r="V129" s="593" t="str">
        <f>+IFERROR(VLOOKUP(CONCATENATE(A129,$D$10,D129),'[1]ID1&amp;5'!B:J,9,FALSE),"-")</f>
        <v>-</v>
      </c>
      <c r="W129" s="596" t="str">
        <f>+IFERROR(VLOOKUP(E129,'[1]ID1&amp;5'!K:L,2,FALSE),"-")</f>
        <v>-</v>
      </c>
      <c r="X129" s="595" t="str">
        <f>+IFERROR(VLOOKUP(CONCATENATE(A129,$E$10,E129),'[1]ID1&amp;5'!B:J,9,FALSE),"-")</f>
        <v>-</v>
      </c>
      <c r="Y129" s="597" t="e">
        <f>+X129/O129</f>
        <v>#VALUE!</v>
      </c>
      <c r="Z129" s="596" t="str">
        <f>+IFERROR(VLOOKUP(F129,'[1]ID1&amp;5'!K:L,2,FALSE),"-")</f>
        <v>-</v>
      </c>
      <c r="AA129" s="595" t="str">
        <f>+IFERROR(VLOOKUP(CONCATENATE(A129,$F$10,F129),'[1]ID1&amp;5'!B:J,9,FALSE),"-")</f>
        <v>-</v>
      </c>
      <c r="AB129" s="597" t="e">
        <f>+AA129/O129</f>
        <v>#VALUE!</v>
      </c>
      <c r="AC129" s="593" t="str">
        <f>+IFERROR(VLOOKUP(A129&amp;G129,'[1]ID6&amp;7'!B:J,8,FALSE),"-")</f>
        <v>-</v>
      </c>
      <c r="AD129" s="593" t="str">
        <f>+IFERROR(VLOOKUP(A129&amp;G129,'[1]ID6&amp;7'!B:J,9,FALSE),"-")</f>
        <v>-</v>
      </c>
      <c r="AE129" s="593" t="str">
        <f>+IF(IFERROR(VLOOKUP(J129,'[1]ID8&amp;9'!G:G,1,FALSE),"")=J129,IF(VLOOKUP(J129,'[1]ID8&amp;9'!G:J,3,FALSE)+VLOOKUP(J129,'[1]ID8&amp;9'!G:J,4,FALSE)=2,_xlfn.MAXIFS('[1]ID8&amp;9'!D:D,'[1]ID8&amp;9'!G:G,J129,'[1]ID8&amp;9'!H:H,8,'[1]ID8&amp;9'!I:I,1,'[1]ID8&amp;9'!J:J,1),"Campo por concluir"),"Sem aplicabilidade")</f>
        <v>Sem aplicabilidade</v>
      </c>
      <c r="AF129" s="593" t="str">
        <f>+IF(IFERROR(VLOOKUP(J129,'[1]ID8&amp;9'!G:G,1,FALSE),"")=J129,IF(VLOOKUP(J129,'[1]ID8&amp;9'!G:J,3,FALSE)+VLOOKUP(J129,'[1]ID8&amp;9'!G:J,4,FALSE)=2,_xlfn.MAXIFS('[1]ID8&amp;9'!D:D,'[1]ID8&amp;9'!G:G,J129,'[1]ID8&amp;9'!H:H,9,'[1]ID8&amp;9'!I:I,1,'[1]ID8&amp;9'!J:J,1),"Campo por concluir"),"Sem aplicabilidade")</f>
        <v>Sem aplicabilidade</v>
      </c>
      <c r="AG129" s="598"/>
      <c r="AH129" s="433" t="s">
        <v>1125</v>
      </c>
    </row>
    <row r="130" spans="9:34" hidden="1" x14ac:dyDescent="0.25">
      <c r="I130" s="591" t="s">
        <v>1313</v>
      </c>
      <c r="J130" s="592" t="s">
        <v>1324</v>
      </c>
      <c r="K130" s="592"/>
      <c r="L130" s="592"/>
      <c r="M130" s="593" t="e">
        <f>+COUNTIF('[1]ID1&amp;5'!A:A,'3. Status Testes'!I130&amp;'[1]1. Status'!J130)+COUNTIF('[1]ID6&amp;7'!A:A,'[1]1. Status'!I130&amp;'[1]1. Status'!J130)</f>
        <v>#VALUE!</v>
      </c>
      <c r="N130" s="601" t="str">
        <f>+IFERROR(VLOOKUP(CONCATENATE(A130,$B$10,B130),'[1]ID1&amp;5'!B:J,7,FALSE),"-")</f>
        <v>-</v>
      </c>
      <c r="O130" s="595" t="str">
        <f>+IFERROR(VLOOKUP(CONCATENATE(A130,$B$10,B130),'[1]ID1&amp;5'!B:J,8,FALSE),"-")</f>
        <v>-</v>
      </c>
      <c r="P130" s="596" t="str">
        <f>+IFERROR(VLOOKUP(B130,'[1]ID1&amp;5'!K:L,2,FALSE),"-")</f>
        <v>-</v>
      </c>
      <c r="Q130" s="595" t="str">
        <f>+IFERROR(VLOOKUP(CONCATENATE(A130,$B$10,B130),'[1]ID1&amp;5'!B:J,9,FALSE),"-")</f>
        <v>-</v>
      </c>
      <c r="R130" s="595" t="str">
        <f>+IFERROR(VLOOKUP(CONCATENATE(A130,$C$10,C130),'[1]ID1&amp;5'!B:J,8,FALSE),"-")</f>
        <v>-</v>
      </c>
      <c r="S130" s="596" t="str">
        <f>+IFERROR(VLOOKUP(C130,'[1]ID1&amp;5'!K:L,2,FALSE),"-")</f>
        <v>-</v>
      </c>
      <c r="T130" s="595" t="str">
        <f>+IFERROR(VLOOKUP(CONCATENATE(A130,$C$10,C130),'[1]ID1&amp;5'!B:J,9,FALSE),"-")</f>
        <v>-</v>
      </c>
      <c r="U130" s="596" t="str">
        <f>+IFERROR(VLOOKUP(D130,'[1]ID1&amp;5'!K:L,2,FALSE),"-")</f>
        <v>-</v>
      </c>
      <c r="V130" s="593" t="str">
        <f>+IFERROR(VLOOKUP(CONCATENATE(A130,$D$10,D130),'[1]ID1&amp;5'!B:J,9,FALSE),"-")</f>
        <v>-</v>
      </c>
      <c r="W130" s="596" t="str">
        <f>+IFERROR(VLOOKUP(E130,'[1]ID1&amp;5'!K:L,2,FALSE),"-")</f>
        <v>-</v>
      </c>
      <c r="X130" s="595" t="str">
        <f>+IFERROR(VLOOKUP(CONCATENATE(A130,$E$10,E130),'[1]ID1&amp;5'!B:J,9,FALSE),"-")</f>
        <v>-</v>
      </c>
      <c r="Y130" s="597" t="e">
        <f>+X130/O130</f>
        <v>#VALUE!</v>
      </c>
      <c r="Z130" s="596" t="str">
        <f>+IFERROR(VLOOKUP(F130,'[1]ID1&amp;5'!K:L,2,FALSE),"-")</f>
        <v>-</v>
      </c>
      <c r="AA130" s="595" t="str">
        <f>+IFERROR(VLOOKUP(CONCATENATE(A130,$F$10,F130),'[1]ID1&amp;5'!B:J,9,FALSE),"-")</f>
        <v>-</v>
      </c>
      <c r="AB130" s="597" t="e">
        <f>+AA130/O130</f>
        <v>#VALUE!</v>
      </c>
      <c r="AC130" s="593" t="str">
        <f>+IFERROR(VLOOKUP(A130&amp;G130,'[1]ID6&amp;7'!B:J,8,FALSE),"-")</f>
        <v>-</v>
      </c>
      <c r="AD130" s="593" t="str">
        <f>+IFERROR(VLOOKUP(A130&amp;G130,'[1]ID6&amp;7'!B:J,9,FALSE),"-")</f>
        <v>-</v>
      </c>
      <c r="AE130" s="593" t="str">
        <f>+IF(IFERROR(VLOOKUP(J130,'[1]ID8&amp;9'!G:G,1,FALSE),"")=J130,IF(VLOOKUP(J130,'[1]ID8&amp;9'!G:J,3,FALSE)+VLOOKUP(J130,'[1]ID8&amp;9'!G:J,4,FALSE)=2,_xlfn.MAXIFS('[1]ID8&amp;9'!D:D,'[1]ID8&amp;9'!G:G,J130,'[1]ID8&amp;9'!H:H,8,'[1]ID8&amp;9'!I:I,1,'[1]ID8&amp;9'!J:J,1),"Campo por concluir"),"Sem aplicabilidade")</f>
        <v>Sem aplicabilidade</v>
      </c>
      <c r="AF130" s="593" t="str">
        <f>+IF(IFERROR(VLOOKUP(J130,'[1]ID8&amp;9'!G:G,1,FALSE),"")=J130,IF(VLOOKUP(J130,'[1]ID8&amp;9'!G:J,3,FALSE)+VLOOKUP(J130,'[1]ID8&amp;9'!G:J,4,FALSE)=2,_xlfn.MAXIFS('[1]ID8&amp;9'!D:D,'[1]ID8&amp;9'!G:G,J130,'[1]ID8&amp;9'!H:H,9,'[1]ID8&amp;9'!I:I,1,'[1]ID8&amp;9'!J:J,1),"Campo por concluir"),"Sem aplicabilidade")</f>
        <v>Sem aplicabilidade</v>
      </c>
      <c r="AG130" s="598"/>
      <c r="AH130" s="433" t="s">
        <v>1125</v>
      </c>
    </row>
    <row r="131" spans="9:34" hidden="1" x14ac:dyDescent="0.25">
      <c r="I131" s="591" t="s">
        <v>1313</v>
      </c>
      <c r="J131" s="592" t="s">
        <v>1325</v>
      </c>
      <c r="K131" s="592"/>
      <c r="L131" s="592"/>
      <c r="M131" s="593" t="e">
        <f>+COUNTIF('[1]ID1&amp;5'!A:A,'3. Status Testes'!I131&amp;'[1]1. Status'!J131)+COUNTIF('[1]ID6&amp;7'!A:A,'[1]1. Status'!I131&amp;'[1]1. Status'!J131)</f>
        <v>#VALUE!</v>
      </c>
      <c r="N131" s="601" t="str">
        <f>+IFERROR(VLOOKUP(CONCATENATE(A131,$B$10,B131),'[1]ID1&amp;5'!B:J,7,FALSE),"-")</f>
        <v>-</v>
      </c>
      <c r="O131" s="595" t="str">
        <f>+IFERROR(VLOOKUP(CONCATENATE(A131,$B$10,B131),'[1]ID1&amp;5'!B:J,8,FALSE),"-")</f>
        <v>-</v>
      </c>
      <c r="P131" s="596" t="str">
        <f>+IFERROR(VLOOKUP(B131,'[1]ID1&amp;5'!K:L,2,FALSE),"-")</f>
        <v>-</v>
      </c>
      <c r="Q131" s="595" t="str">
        <f>+IFERROR(VLOOKUP(CONCATENATE(A131,$B$10,B131),'[1]ID1&amp;5'!B:J,9,FALSE),"-")</f>
        <v>-</v>
      </c>
      <c r="R131" s="595" t="str">
        <f>+IFERROR(VLOOKUP(CONCATENATE(A131,$C$10,C131),'[1]ID1&amp;5'!B:J,8,FALSE),"-")</f>
        <v>-</v>
      </c>
      <c r="S131" s="596" t="str">
        <f>+IFERROR(VLOOKUP(C131,'[1]ID1&amp;5'!K:L,2,FALSE),"-")</f>
        <v>-</v>
      </c>
      <c r="T131" s="595" t="str">
        <f>+IFERROR(VLOOKUP(CONCATENATE(A131,$C$10,C131),'[1]ID1&amp;5'!B:J,9,FALSE),"-")</f>
        <v>-</v>
      </c>
      <c r="U131" s="596" t="str">
        <f>+IFERROR(VLOOKUP(D131,'[1]ID1&amp;5'!K:L,2,FALSE),"-")</f>
        <v>-</v>
      </c>
      <c r="V131" s="593" t="str">
        <f>+IFERROR(VLOOKUP(CONCATENATE(A131,$D$10,D131),'[1]ID1&amp;5'!B:J,9,FALSE),"-")</f>
        <v>-</v>
      </c>
      <c r="W131" s="596" t="str">
        <f>+IFERROR(VLOOKUP(E131,'[1]ID1&amp;5'!K:L,2,FALSE),"-")</f>
        <v>-</v>
      </c>
      <c r="X131" s="595" t="str">
        <f>+IFERROR(VLOOKUP(CONCATENATE(A131,$E$10,E131),'[1]ID1&amp;5'!B:J,9,FALSE),"-")</f>
        <v>-</v>
      </c>
      <c r="Y131" s="597" t="e">
        <f>+X131/O131</f>
        <v>#VALUE!</v>
      </c>
      <c r="Z131" s="596" t="str">
        <f>+IFERROR(VLOOKUP(F131,'[1]ID1&amp;5'!K:L,2,FALSE),"-")</f>
        <v>-</v>
      </c>
      <c r="AA131" s="595" t="str">
        <f>+IFERROR(VLOOKUP(CONCATENATE(A131,$F$10,F131),'[1]ID1&amp;5'!B:J,9,FALSE),"-")</f>
        <v>-</v>
      </c>
      <c r="AB131" s="597" t="e">
        <f>+AA131/O131</f>
        <v>#VALUE!</v>
      </c>
      <c r="AC131" s="593" t="str">
        <f>+IFERROR(VLOOKUP(A131&amp;G131,'[1]ID6&amp;7'!B:J,8,FALSE),"-")</f>
        <v>-</v>
      </c>
      <c r="AD131" s="593" t="str">
        <f>+IFERROR(VLOOKUP(A131&amp;G131,'[1]ID6&amp;7'!B:J,9,FALSE),"-")</f>
        <v>-</v>
      </c>
      <c r="AE131" s="593" t="str">
        <f>+IF(IFERROR(VLOOKUP(J131,'[1]ID8&amp;9'!G:G,1,FALSE),"")=J131,IF(VLOOKUP(J131,'[1]ID8&amp;9'!G:J,3,FALSE)+VLOOKUP(J131,'[1]ID8&amp;9'!G:J,4,FALSE)=2,_xlfn.MAXIFS('[1]ID8&amp;9'!D:D,'[1]ID8&amp;9'!G:G,J131,'[1]ID8&amp;9'!H:H,8,'[1]ID8&amp;9'!I:I,1,'[1]ID8&amp;9'!J:J,1),"Campo por concluir"),"Sem aplicabilidade")</f>
        <v>Sem aplicabilidade</v>
      </c>
      <c r="AF131" s="593" t="str">
        <f>+IF(IFERROR(VLOOKUP(J131,'[1]ID8&amp;9'!G:G,1,FALSE),"")=J131,IF(VLOOKUP(J131,'[1]ID8&amp;9'!G:J,3,FALSE)+VLOOKUP(J131,'[1]ID8&amp;9'!G:J,4,FALSE)=2,_xlfn.MAXIFS('[1]ID8&amp;9'!D:D,'[1]ID8&amp;9'!G:G,J131,'[1]ID8&amp;9'!H:H,9,'[1]ID8&amp;9'!I:I,1,'[1]ID8&amp;9'!J:J,1),"Campo por concluir"),"Sem aplicabilidade")</f>
        <v>Sem aplicabilidade</v>
      </c>
      <c r="AG131" s="598"/>
      <c r="AH131" s="433" t="s">
        <v>1125</v>
      </c>
    </row>
    <row r="132" spans="9:34" hidden="1" x14ac:dyDescent="0.25">
      <c r="I132" s="591" t="s">
        <v>1313</v>
      </c>
      <c r="J132" s="592" t="s">
        <v>1326</v>
      </c>
      <c r="K132" s="592"/>
      <c r="L132" s="592"/>
      <c r="M132" s="593" t="e">
        <f>+COUNTIF('[1]ID1&amp;5'!A:A,'3. Status Testes'!I132&amp;'[1]1. Status'!J132)+COUNTIF('[1]ID6&amp;7'!A:A,'[1]1. Status'!I132&amp;'[1]1. Status'!J132)</f>
        <v>#VALUE!</v>
      </c>
      <c r="N132" s="601" t="str">
        <f>+IFERROR(VLOOKUP(CONCATENATE(A132,$B$10,B132),'[1]ID1&amp;5'!B:J,7,FALSE),"-")</f>
        <v>-</v>
      </c>
      <c r="O132" s="595" t="str">
        <f>+IFERROR(VLOOKUP(CONCATENATE(A132,$B$10,B132),'[1]ID1&amp;5'!B:J,8,FALSE),"-")</f>
        <v>-</v>
      </c>
      <c r="P132" s="596" t="str">
        <f>+IFERROR(VLOOKUP(B132,'[1]ID1&amp;5'!K:L,2,FALSE),"-")</f>
        <v>-</v>
      </c>
      <c r="Q132" s="595" t="str">
        <f>+IFERROR(VLOOKUP(CONCATENATE(A132,$B$10,B132),'[1]ID1&amp;5'!B:J,9,FALSE),"-")</f>
        <v>-</v>
      </c>
      <c r="R132" s="595" t="str">
        <f>+IFERROR(VLOOKUP(CONCATENATE(A132,$C$10,C132),'[1]ID1&amp;5'!B:J,8,FALSE),"-")</f>
        <v>-</v>
      </c>
      <c r="S132" s="596" t="str">
        <f>+IFERROR(VLOOKUP(C132,'[1]ID1&amp;5'!K:L,2,FALSE),"-")</f>
        <v>-</v>
      </c>
      <c r="T132" s="595" t="str">
        <f>+IFERROR(VLOOKUP(CONCATENATE(A132,$C$10,C132),'[1]ID1&amp;5'!B:J,9,FALSE),"-")</f>
        <v>-</v>
      </c>
      <c r="U132" s="596" t="str">
        <f>+IFERROR(VLOOKUP(D132,'[1]ID1&amp;5'!K:L,2,FALSE),"-")</f>
        <v>-</v>
      </c>
      <c r="V132" s="593" t="str">
        <f>+IFERROR(VLOOKUP(CONCATENATE(A132,$D$10,D132),'[1]ID1&amp;5'!B:J,9,FALSE),"-")</f>
        <v>-</v>
      </c>
      <c r="W132" s="596" t="str">
        <f>+IFERROR(VLOOKUP(E132,'[1]ID1&amp;5'!K:L,2,FALSE),"-")</f>
        <v>-</v>
      </c>
      <c r="X132" s="595" t="str">
        <f>+IFERROR(VLOOKUP(CONCATENATE(A132,$E$10,E132),'[1]ID1&amp;5'!B:J,9,FALSE),"-")</f>
        <v>-</v>
      </c>
      <c r="Y132" s="597" t="e">
        <f>+X132/O132</f>
        <v>#VALUE!</v>
      </c>
      <c r="Z132" s="596" t="str">
        <f>+IFERROR(VLOOKUP(F132,'[1]ID1&amp;5'!K:L,2,FALSE),"-")</f>
        <v>-</v>
      </c>
      <c r="AA132" s="595" t="str">
        <f>+IFERROR(VLOOKUP(CONCATENATE(A132,$F$10,F132),'[1]ID1&amp;5'!B:J,9,FALSE),"-")</f>
        <v>-</v>
      </c>
      <c r="AB132" s="597" t="e">
        <f>+AA132/O132</f>
        <v>#VALUE!</v>
      </c>
      <c r="AC132" s="593" t="str">
        <f>+IFERROR(VLOOKUP(A132&amp;G132,'[1]ID6&amp;7'!B:J,8,FALSE),"-")</f>
        <v>-</v>
      </c>
      <c r="AD132" s="593" t="str">
        <f>+IFERROR(VLOOKUP(A132&amp;G132,'[1]ID6&amp;7'!B:J,9,FALSE),"-")</f>
        <v>-</v>
      </c>
      <c r="AE132" s="593" t="str">
        <f>+IF(IFERROR(VLOOKUP(J132,'[1]ID8&amp;9'!G:G,1,FALSE),"")=J132,IF(VLOOKUP(J132,'[1]ID8&amp;9'!G:J,3,FALSE)+VLOOKUP(J132,'[1]ID8&amp;9'!G:J,4,FALSE)=2,_xlfn.MAXIFS('[1]ID8&amp;9'!D:D,'[1]ID8&amp;9'!G:G,J132,'[1]ID8&amp;9'!H:H,8,'[1]ID8&amp;9'!I:I,1,'[1]ID8&amp;9'!J:J,1),"Campo por concluir"),"Sem aplicabilidade")</f>
        <v>Sem aplicabilidade</v>
      </c>
      <c r="AF132" s="593" t="str">
        <f>+IF(IFERROR(VLOOKUP(J132,'[1]ID8&amp;9'!G:G,1,FALSE),"")=J132,IF(VLOOKUP(J132,'[1]ID8&amp;9'!G:J,3,FALSE)+VLOOKUP(J132,'[1]ID8&amp;9'!G:J,4,FALSE)=2,_xlfn.MAXIFS('[1]ID8&amp;9'!D:D,'[1]ID8&amp;9'!G:G,J132,'[1]ID8&amp;9'!H:H,9,'[1]ID8&amp;9'!I:I,1,'[1]ID8&amp;9'!J:J,1),"Campo por concluir"),"Sem aplicabilidade")</f>
        <v>Sem aplicabilidade</v>
      </c>
      <c r="AG132" s="598"/>
      <c r="AH132" s="433" t="s">
        <v>1125</v>
      </c>
    </row>
    <row r="133" spans="9:34" hidden="1" x14ac:dyDescent="0.25">
      <c r="I133" s="591" t="s">
        <v>1313</v>
      </c>
      <c r="J133" s="592" t="s">
        <v>1327</v>
      </c>
      <c r="K133" s="592"/>
      <c r="L133" s="592"/>
      <c r="M133" s="593" t="e">
        <f>+COUNTIF('[1]ID1&amp;5'!A:A,'3. Status Testes'!I133&amp;'[1]1. Status'!J133)+COUNTIF('[1]ID6&amp;7'!A:A,'[1]1. Status'!I133&amp;'[1]1. Status'!J133)</f>
        <v>#VALUE!</v>
      </c>
      <c r="N133" s="601" t="str">
        <f>+IFERROR(VLOOKUP(CONCATENATE(A133,$B$10,B133),'[1]ID1&amp;5'!B:J,7,FALSE),"-")</f>
        <v>-</v>
      </c>
      <c r="O133" s="595" t="str">
        <f>+IFERROR(VLOOKUP(CONCATENATE(A133,$B$10,B133),'[1]ID1&amp;5'!B:J,8,FALSE),"-")</f>
        <v>-</v>
      </c>
      <c r="P133" s="596" t="str">
        <f>+IFERROR(VLOOKUP(B133,'[1]ID1&amp;5'!K:L,2,FALSE),"-")</f>
        <v>-</v>
      </c>
      <c r="Q133" s="595" t="str">
        <f>+IFERROR(VLOOKUP(CONCATENATE(A133,$B$10,B133),'[1]ID1&amp;5'!B:J,9,FALSE),"-")</f>
        <v>-</v>
      </c>
      <c r="R133" s="595" t="str">
        <f>+IFERROR(VLOOKUP(CONCATENATE(A133,$C$10,C133),'[1]ID1&amp;5'!B:J,8,FALSE),"-")</f>
        <v>-</v>
      </c>
      <c r="S133" s="596" t="str">
        <f>+IFERROR(VLOOKUP(C133,'[1]ID1&amp;5'!K:L,2,FALSE),"-")</f>
        <v>-</v>
      </c>
      <c r="T133" s="595" t="str">
        <f>+IFERROR(VLOOKUP(CONCATENATE(A133,$C$10,C133),'[1]ID1&amp;5'!B:J,9,FALSE),"-")</f>
        <v>-</v>
      </c>
      <c r="U133" s="596" t="str">
        <f>+IFERROR(VLOOKUP(D133,'[1]ID1&amp;5'!K:L,2,FALSE),"-")</f>
        <v>-</v>
      </c>
      <c r="V133" s="593" t="str">
        <f>+IFERROR(VLOOKUP(CONCATENATE(A133,$D$10,D133),'[1]ID1&amp;5'!B:J,9,FALSE),"-")</f>
        <v>-</v>
      </c>
      <c r="W133" s="596" t="str">
        <f>+IFERROR(VLOOKUP(E133,'[1]ID1&amp;5'!K:L,2,FALSE),"-")</f>
        <v>-</v>
      </c>
      <c r="X133" s="595" t="str">
        <f>+IFERROR(VLOOKUP(CONCATENATE(A133,$E$10,E133),'[1]ID1&amp;5'!B:J,9,FALSE),"-")</f>
        <v>-</v>
      </c>
      <c r="Y133" s="597" t="e">
        <f>+X133/O133</f>
        <v>#VALUE!</v>
      </c>
      <c r="Z133" s="596" t="str">
        <f>+IFERROR(VLOOKUP(F133,'[1]ID1&amp;5'!K:L,2,FALSE),"-")</f>
        <v>-</v>
      </c>
      <c r="AA133" s="595" t="str">
        <f>+IFERROR(VLOOKUP(CONCATENATE(A133,$F$10,F133),'[1]ID1&amp;5'!B:J,9,FALSE),"-")</f>
        <v>-</v>
      </c>
      <c r="AB133" s="597" t="e">
        <f>+AA133/O133</f>
        <v>#VALUE!</v>
      </c>
      <c r="AC133" s="593" t="str">
        <f>+IFERROR(VLOOKUP(A133&amp;G133,'[1]ID6&amp;7'!B:J,8,FALSE),"-")</f>
        <v>-</v>
      </c>
      <c r="AD133" s="593" t="str">
        <f>+IFERROR(VLOOKUP(A133&amp;G133,'[1]ID6&amp;7'!B:J,9,FALSE),"-")</f>
        <v>-</v>
      </c>
      <c r="AE133" s="593" t="str">
        <f>+IF(IFERROR(VLOOKUP(J133,'[1]ID8&amp;9'!G:G,1,FALSE),"")=J133,IF(VLOOKUP(J133,'[1]ID8&amp;9'!G:J,3,FALSE)+VLOOKUP(J133,'[1]ID8&amp;9'!G:J,4,FALSE)=2,_xlfn.MAXIFS('[1]ID8&amp;9'!D:D,'[1]ID8&amp;9'!G:G,J133,'[1]ID8&amp;9'!H:H,8,'[1]ID8&amp;9'!I:I,1,'[1]ID8&amp;9'!J:J,1),"Campo por concluir"),"Sem aplicabilidade")</f>
        <v>Sem aplicabilidade</v>
      </c>
      <c r="AF133" s="593" t="str">
        <f>+IF(IFERROR(VLOOKUP(J133,'[1]ID8&amp;9'!G:G,1,FALSE),"")=J133,IF(VLOOKUP(J133,'[1]ID8&amp;9'!G:J,3,FALSE)+VLOOKUP(J133,'[1]ID8&amp;9'!G:J,4,FALSE)=2,_xlfn.MAXIFS('[1]ID8&amp;9'!D:D,'[1]ID8&amp;9'!G:G,J133,'[1]ID8&amp;9'!H:H,9,'[1]ID8&amp;9'!I:I,1,'[1]ID8&amp;9'!J:J,1),"Campo por concluir"),"Sem aplicabilidade")</f>
        <v>Sem aplicabilidade</v>
      </c>
      <c r="AG133" s="598"/>
      <c r="AH133" s="433" t="s">
        <v>1125</v>
      </c>
    </row>
    <row r="134" spans="9:34" hidden="1" x14ac:dyDescent="0.25">
      <c r="I134" s="591" t="s">
        <v>1313</v>
      </c>
      <c r="J134" s="592" t="s">
        <v>1328</v>
      </c>
      <c r="K134" s="592"/>
      <c r="L134" s="592"/>
      <c r="M134" s="593" t="e">
        <f>+COUNTIF('[1]ID1&amp;5'!A:A,'3. Status Testes'!I134&amp;'[1]1. Status'!J134)+COUNTIF('[1]ID6&amp;7'!A:A,'[1]1. Status'!I134&amp;'[1]1. Status'!J134)</f>
        <v>#VALUE!</v>
      </c>
      <c r="N134" s="601" t="str">
        <f>+IFERROR(VLOOKUP(CONCATENATE(A134,$B$10,B134),'[1]ID1&amp;5'!B:J,7,FALSE),"-")</f>
        <v>-</v>
      </c>
      <c r="O134" s="595" t="str">
        <f>+IFERROR(VLOOKUP(CONCATENATE(A134,$B$10,B134),'[1]ID1&amp;5'!B:J,8,FALSE),"-")</f>
        <v>-</v>
      </c>
      <c r="P134" s="596" t="str">
        <f>+IFERROR(VLOOKUP(B134,'[1]ID1&amp;5'!K:L,2,FALSE),"-")</f>
        <v>-</v>
      </c>
      <c r="Q134" s="595" t="str">
        <f>+IFERROR(VLOOKUP(CONCATENATE(A134,$B$10,B134),'[1]ID1&amp;5'!B:J,9,FALSE),"-")</f>
        <v>-</v>
      </c>
      <c r="R134" s="595" t="str">
        <f>+IFERROR(VLOOKUP(CONCATENATE(A134,$C$10,C134),'[1]ID1&amp;5'!B:J,8,FALSE),"-")</f>
        <v>-</v>
      </c>
      <c r="S134" s="596" t="str">
        <f>+IFERROR(VLOOKUP(C134,'[1]ID1&amp;5'!K:L,2,FALSE),"-")</f>
        <v>-</v>
      </c>
      <c r="T134" s="595" t="str">
        <f>+IFERROR(VLOOKUP(CONCATENATE(A134,$C$10,C134),'[1]ID1&amp;5'!B:J,9,FALSE),"-")</f>
        <v>-</v>
      </c>
      <c r="U134" s="596" t="str">
        <f>+IFERROR(VLOOKUP(D134,'[1]ID1&amp;5'!K:L,2,FALSE),"-")</f>
        <v>-</v>
      </c>
      <c r="V134" s="593" t="str">
        <f>+IFERROR(VLOOKUP(CONCATENATE(A134,$D$10,D134),'[1]ID1&amp;5'!B:J,9,FALSE),"-")</f>
        <v>-</v>
      </c>
      <c r="W134" s="596" t="str">
        <f>+IFERROR(VLOOKUP(E134,'[1]ID1&amp;5'!K:L,2,FALSE),"-")</f>
        <v>-</v>
      </c>
      <c r="X134" s="595" t="str">
        <f>+IFERROR(VLOOKUP(CONCATENATE(A134,$E$10,E134),'[1]ID1&amp;5'!B:J,9,FALSE),"-")</f>
        <v>-</v>
      </c>
      <c r="Y134" s="597" t="e">
        <f>+X134/O134</f>
        <v>#VALUE!</v>
      </c>
      <c r="Z134" s="596" t="str">
        <f>+IFERROR(VLOOKUP(F134,'[1]ID1&amp;5'!K:L,2,FALSE),"-")</f>
        <v>-</v>
      </c>
      <c r="AA134" s="595" t="str">
        <f>+IFERROR(VLOOKUP(CONCATENATE(A134,$F$10,F134),'[1]ID1&amp;5'!B:J,9,FALSE),"-")</f>
        <v>-</v>
      </c>
      <c r="AB134" s="597" t="e">
        <f>+AA134/O134</f>
        <v>#VALUE!</v>
      </c>
      <c r="AC134" s="593" t="str">
        <f>+IFERROR(VLOOKUP(A134&amp;G134,'[1]ID6&amp;7'!B:J,8,FALSE),"-")</f>
        <v>-</v>
      </c>
      <c r="AD134" s="593" t="str">
        <f>+IFERROR(VLOOKUP(A134&amp;G134,'[1]ID6&amp;7'!B:J,9,FALSE),"-")</f>
        <v>-</v>
      </c>
      <c r="AE134" s="593" t="str">
        <f>+IF(IFERROR(VLOOKUP(J134,'[1]ID8&amp;9'!G:G,1,FALSE),"")=J134,IF(VLOOKUP(J134,'[1]ID8&amp;9'!G:J,3,FALSE)+VLOOKUP(J134,'[1]ID8&amp;9'!G:J,4,FALSE)=2,_xlfn.MAXIFS('[1]ID8&amp;9'!D:D,'[1]ID8&amp;9'!G:G,J134,'[1]ID8&amp;9'!H:H,8,'[1]ID8&amp;9'!I:I,1,'[1]ID8&amp;9'!J:J,1),"Campo por concluir"),"Sem aplicabilidade")</f>
        <v>Sem aplicabilidade</v>
      </c>
      <c r="AF134" s="593" t="str">
        <f>+IF(IFERROR(VLOOKUP(J134,'[1]ID8&amp;9'!G:G,1,FALSE),"")=J134,IF(VLOOKUP(J134,'[1]ID8&amp;9'!G:J,3,FALSE)+VLOOKUP(J134,'[1]ID8&amp;9'!G:J,4,FALSE)=2,_xlfn.MAXIFS('[1]ID8&amp;9'!D:D,'[1]ID8&amp;9'!G:G,J134,'[1]ID8&amp;9'!H:H,9,'[1]ID8&amp;9'!I:I,1,'[1]ID8&amp;9'!J:J,1),"Campo por concluir"),"Sem aplicabilidade")</f>
        <v>Sem aplicabilidade</v>
      </c>
      <c r="AG134" s="598"/>
      <c r="AH134" s="433" t="s">
        <v>1125</v>
      </c>
    </row>
    <row r="135" spans="9:34" hidden="1" x14ac:dyDescent="0.25">
      <c r="I135" s="591" t="s">
        <v>1313</v>
      </c>
      <c r="J135" s="592" t="s">
        <v>1329</v>
      </c>
      <c r="K135" s="592"/>
      <c r="L135" s="592"/>
      <c r="M135" s="593" t="e">
        <f>+COUNTIF('[1]ID1&amp;5'!A:A,'3. Status Testes'!I135&amp;'[1]1. Status'!J135)+COUNTIF('[1]ID6&amp;7'!A:A,'[1]1. Status'!I135&amp;'[1]1. Status'!J135)</f>
        <v>#VALUE!</v>
      </c>
      <c r="N135" s="601" t="str">
        <f>+IFERROR(VLOOKUP(CONCATENATE(A135,$B$10,B135),'[1]ID1&amp;5'!B:J,7,FALSE),"-")</f>
        <v>-</v>
      </c>
      <c r="O135" s="595" t="str">
        <f>+IFERROR(VLOOKUP(CONCATENATE(A135,$B$10,B135),'[1]ID1&amp;5'!B:J,8,FALSE),"-")</f>
        <v>-</v>
      </c>
      <c r="P135" s="596" t="str">
        <f>+IFERROR(VLOOKUP(B135,'[1]ID1&amp;5'!K:L,2,FALSE),"-")</f>
        <v>-</v>
      </c>
      <c r="Q135" s="595" t="str">
        <f>+IFERROR(VLOOKUP(CONCATENATE(A135,$B$10,B135),'[1]ID1&amp;5'!B:J,9,FALSE),"-")</f>
        <v>-</v>
      </c>
      <c r="R135" s="595" t="str">
        <f>+IFERROR(VLOOKUP(CONCATENATE(A135,$C$10,C135),'[1]ID1&amp;5'!B:J,8,FALSE),"-")</f>
        <v>-</v>
      </c>
      <c r="S135" s="596" t="str">
        <f>+IFERROR(VLOOKUP(C135,'[1]ID1&amp;5'!K:L,2,FALSE),"-")</f>
        <v>-</v>
      </c>
      <c r="T135" s="595" t="str">
        <f>+IFERROR(VLOOKUP(CONCATENATE(A135,$C$10,C135),'[1]ID1&amp;5'!B:J,9,FALSE),"-")</f>
        <v>-</v>
      </c>
      <c r="U135" s="596" t="str">
        <f>+IFERROR(VLOOKUP(D135,'[1]ID1&amp;5'!K:L,2,FALSE),"-")</f>
        <v>-</v>
      </c>
      <c r="V135" s="593" t="str">
        <f>+IFERROR(VLOOKUP(CONCATENATE(A135,$D$10,D135),'[1]ID1&amp;5'!B:J,9,FALSE),"-")</f>
        <v>-</v>
      </c>
      <c r="W135" s="596" t="str">
        <f>+IFERROR(VLOOKUP(E135,'[1]ID1&amp;5'!K:L,2,FALSE),"-")</f>
        <v>-</v>
      </c>
      <c r="X135" s="595" t="str">
        <f>+IFERROR(VLOOKUP(CONCATENATE(A135,$E$10,E135),'[1]ID1&amp;5'!B:J,9,FALSE),"-")</f>
        <v>-</v>
      </c>
      <c r="Y135" s="597" t="e">
        <f>+X135/O135</f>
        <v>#VALUE!</v>
      </c>
      <c r="Z135" s="596" t="str">
        <f>+IFERROR(VLOOKUP(F135,'[1]ID1&amp;5'!K:L,2,FALSE),"-")</f>
        <v>-</v>
      </c>
      <c r="AA135" s="595" t="str">
        <f>+IFERROR(VLOOKUP(CONCATENATE(A135,$F$10,F135),'[1]ID1&amp;5'!B:J,9,FALSE),"-")</f>
        <v>-</v>
      </c>
      <c r="AB135" s="597" t="e">
        <f>+AA135/O135</f>
        <v>#VALUE!</v>
      </c>
      <c r="AC135" s="593" t="str">
        <f>+IFERROR(VLOOKUP(A135&amp;G135,'[1]ID6&amp;7'!B:J,8,FALSE),"-")</f>
        <v>-</v>
      </c>
      <c r="AD135" s="593" t="str">
        <f>+IFERROR(VLOOKUP(A135&amp;G135,'[1]ID6&amp;7'!B:J,9,FALSE),"-")</f>
        <v>-</v>
      </c>
      <c r="AE135" s="593" t="str">
        <f>+IF(IFERROR(VLOOKUP(J135,'[1]ID8&amp;9'!G:G,1,FALSE),"")=J135,IF(VLOOKUP(J135,'[1]ID8&amp;9'!G:J,3,FALSE)+VLOOKUP(J135,'[1]ID8&amp;9'!G:J,4,FALSE)=2,_xlfn.MAXIFS('[1]ID8&amp;9'!D:D,'[1]ID8&amp;9'!G:G,J135,'[1]ID8&amp;9'!H:H,8,'[1]ID8&amp;9'!I:I,1,'[1]ID8&amp;9'!J:J,1),"Campo por concluir"),"Sem aplicabilidade")</f>
        <v>Sem aplicabilidade</v>
      </c>
      <c r="AF135" s="593" t="str">
        <f>+IF(IFERROR(VLOOKUP(J135,'[1]ID8&amp;9'!G:G,1,FALSE),"")=J135,IF(VLOOKUP(J135,'[1]ID8&amp;9'!G:J,3,FALSE)+VLOOKUP(J135,'[1]ID8&amp;9'!G:J,4,FALSE)=2,_xlfn.MAXIFS('[1]ID8&amp;9'!D:D,'[1]ID8&amp;9'!G:G,J135,'[1]ID8&amp;9'!H:H,9,'[1]ID8&amp;9'!I:I,1,'[1]ID8&amp;9'!J:J,1),"Campo por concluir"),"Sem aplicabilidade")</f>
        <v>Sem aplicabilidade</v>
      </c>
      <c r="AG135" s="598"/>
      <c r="AH135" s="433" t="s">
        <v>1125</v>
      </c>
    </row>
    <row r="136" spans="9:34" hidden="1" x14ac:dyDescent="0.25">
      <c r="I136" s="591" t="s">
        <v>1313</v>
      </c>
      <c r="J136" s="592" t="s">
        <v>1330</v>
      </c>
      <c r="K136" s="592"/>
      <c r="L136" s="592"/>
      <c r="M136" s="593" t="e">
        <f>+COUNTIF('[1]ID1&amp;5'!A:A,'3. Status Testes'!I136&amp;'[1]1. Status'!J136)+COUNTIF('[1]ID6&amp;7'!A:A,'[1]1. Status'!I136&amp;'[1]1. Status'!J136)</f>
        <v>#VALUE!</v>
      </c>
      <c r="N136" s="601" t="str">
        <f>+IFERROR(VLOOKUP(CONCATENATE(A136,$B$10,B136),'[1]ID1&amp;5'!B:J,7,FALSE),"-")</f>
        <v>-</v>
      </c>
      <c r="O136" s="595" t="str">
        <f>+IFERROR(VLOOKUP(CONCATENATE(A136,$B$10,B136),'[1]ID1&amp;5'!B:J,8,FALSE),"-")</f>
        <v>-</v>
      </c>
      <c r="P136" s="596" t="str">
        <f>+IFERROR(VLOOKUP(B136,'[1]ID1&amp;5'!K:L,2,FALSE),"-")</f>
        <v>-</v>
      </c>
      <c r="Q136" s="595" t="str">
        <f>+IFERROR(VLOOKUP(CONCATENATE(A136,$B$10,B136),'[1]ID1&amp;5'!B:J,9,FALSE),"-")</f>
        <v>-</v>
      </c>
      <c r="R136" s="595" t="str">
        <f>+IFERROR(VLOOKUP(CONCATENATE(A136,$C$10,C136),'[1]ID1&amp;5'!B:J,8,FALSE),"-")</f>
        <v>-</v>
      </c>
      <c r="S136" s="596" t="str">
        <f>+IFERROR(VLOOKUP(C136,'[1]ID1&amp;5'!K:L,2,FALSE),"-")</f>
        <v>-</v>
      </c>
      <c r="T136" s="595" t="str">
        <f>+IFERROR(VLOOKUP(CONCATENATE(A136,$C$10,C136),'[1]ID1&amp;5'!B:J,9,FALSE),"-")</f>
        <v>-</v>
      </c>
      <c r="U136" s="596" t="str">
        <f>+IFERROR(VLOOKUP(D136,'[1]ID1&amp;5'!K:L,2,FALSE),"-")</f>
        <v>-</v>
      </c>
      <c r="V136" s="593" t="str">
        <f>+IFERROR(VLOOKUP(CONCATENATE(A136,$D$10,D136),'[1]ID1&amp;5'!B:J,9,FALSE),"-")</f>
        <v>-</v>
      </c>
      <c r="W136" s="596" t="str">
        <f>+IFERROR(VLOOKUP(E136,'[1]ID1&amp;5'!K:L,2,FALSE),"-")</f>
        <v>-</v>
      </c>
      <c r="X136" s="595" t="str">
        <f>+IFERROR(VLOOKUP(CONCATENATE(A136,$E$10,E136),'[1]ID1&amp;5'!B:J,9,FALSE),"-")</f>
        <v>-</v>
      </c>
      <c r="Y136" s="597" t="e">
        <f>+X136/O136</f>
        <v>#VALUE!</v>
      </c>
      <c r="Z136" s="596" t="str">
        <f>+IFERROR(VLOOKUP(F136,'[1]ID1&amp;5'!K:L,2,FALSE),"-")</f>
        <v>-</v>
      </c>
      <c r="AA136" s="595" t="str">
        <f>+IFERROR(VLOOKUP(CONCATENATE(A136,$F$10,F136),'[1]ID1&amp;5'!B:J,9,FALSE),"-")</f>
        <v>-</v>
      </c>
      <c r="AB136" s="597" t="e">
        <f>+AA136/O136</f>
        <v>#VALUE!</v>
      </c>
      <c r="AC136" s="593" t="str">
        <f>+IFERROR(VLOOKUP(A136&amp;G136,'[1]ID6&amp;7'!B:J,8,FALSE),"-")</f>
        <v>-</v>
      </c>
      <c r="AD136" s="593" t="str">
        <f>+IFERROR(VLOOKUP(A136&amp;G136,'[1]ID6&amp;7'!B:J,9,FALSE),"-")</f>
        <v>-</v>
      </c>
      <c r="AE136" s="593" t="str">
        <f>+IF(IFERROR(VLOOKUP(J136,'[1]ID8&amp;9'!G:G,1,FALSE),"")=J136,IF(VLOOKUP(J136,'[1]ID8&amp;9'!G:J,3,FALSE)+VLOOKUP(J136,'[1]ID8&amp;9'!G:J,4,FALSE)=2,_xlfn.MAXIFS('[1]ID8&amp;9'!D:D,'[1]ID8&amp;9'!G:G,J136,'[1]ID8&amp;9'!H:H,8,'[1]ID8&amp;9'!I:I,1,'[1]ID8&amp;9'!J:J,1),"Campo por concluir"),"Sem aplicabilidade")</f>
        <v>Sem aplicabilidade</v>
      </c>
      <c r="AF136" s="593" t="str">
        <f>+IF(IFERROR(VLOOKUP(J136,'[1]ID8&amp;9'!G:G,1,FALSE),"")=J136,IF(VLOOKUP(J136,'[1]ID8&amp;9'!G:J,3,FALSE)+VLOOKUP(J136,'[1]ID8&amp;9'!G:J,4,FALSE)=2,_xlfn.MAXIFS('[1]ID8&amp;9'!D:D,'[1]ID8&amp;9'!G:G,J136,'[1]ID8&amp;9'!H:H,9,'[1]ID8&amp;9'!I:I,1,'[1]ID8&amp;9'!J:J,1),"Campo por concluir"),"Sem aplicabilidade")</f>
        <v>Sem aplicabilidade</v>
      </c>
      <c r="AG136" s="598"/>
      <c r="AH136" s="433" t="s">
        <v>1125</v>
      </c>
    </row>
    <row r="137" spans="9:34" hidden="1" x14ac:dyDescent="0.25">
      <c r="I137" s="591" t="s">
        <v>1313</v>
      </c>
      <c r="J137" s="592" t="s">
        <v>1331</v>
      </c>
      <c r="K137" s="592"/>
      <c r="L137" s="592"/>
      <c r="M137" s="593" t="e">
        <f>+COUNTIF('[1]ID1&amp;5'!A:A,'3. Status Testes'!I137&amp;'[1]1. Status'!J137)+COUNTIF('[1]ID6&amp;7'!A:A,'[1]1. Status'!I137&amp;'[1]1. Status'!J137)</f>
        <v>#VALUE!</v>
      </c>
      <c r="N137" s="601" t="str">
        <f>+IFERROR(VLOOKUP(CONCATENATE(A137,$B$10,B137),'[1]ID1&amp;5'!B:J,7,FALSE),"-")</f>
        <v>-</v>
      </c>
      <c r="O137" s="595" t="str">
        <f>+IFERROR(VLOOKUP(CONCATENATE(A137,$B$10,B137),'[1]ID1&amp;5'!B:J,8,FALSE),"-")</f>
        <v>-</v>
      </c>
      <c r="P137" s="596" t="str">
        <f>+IFERROR(VLOOKUP(B137,'[1]ID1&amp;5'!K:L,2,FALSE),"-")</f>
        <v>-</v>
      </c>
      <c r="Q137" s="595" t="str">
        <f>+IFERROR(VLOOKUP(CONCATENATE(A137,$B$10,B137),'[1]ID1&amp;5'!B:J,9,FALSE),"-")</f>
        <v>-</v>
      </c>
      <c r="R137" s="595" t="str">
        <f>+IFERROR(VLOOKUP(CONCATENATE(A137,$C$10,C137),'[1]ID1&amp;5'!B:J,8,FALSE),"-")</f>
        <v>-</v>
      </c>
      <c r="S137" s="596" t="str">
        <f>+IFERROR(VLOOKUP(C137,'[1]ID1&amp;5'!K:L,2,FALSE),"-")</f>
        <v>-</v>
      </c>
      <c r="T137" s="595" t="str">
        <f>+IFERROR(VLOOKUP(CONCATENATE(A137,$C$10,C137),'[1]ID1&amp;5'!B:J,9,FALSE),"-")</f>
        <v>-</v>
      </c>
      <c r="U137" s="596" t="str">
        <f>+IFERROR(VLOOKUP(D137,'[1]ID1&amp;5'!K:L,2,FALSE),"-")</f>
        <v>-</v>
      </c>
      <c r="V137" s="593" t="str">
        <f>+IFERROR(VLOOKUP(CONCATENATE(A137,$D$10,D137),'[1]ID1&amp;5'!B:J,9,FALSE),"-")</f>
        <v>-</v>
      </c>
      <c r="W137" s="596" t="str">
        <f>+IFERROR(VLOOKUP(E137,'[1]ID1&amp;5'!K:L,2,FALSE),"-")</f>
        <v>-</v>
      </c>
      <c r="X137" s="595" t="str">
        <f>+IFERROR(VLOOKUP(CONCATENATE(A137,$E$10,E137),'[1]ID1&amp;5'!B:J,9,FALSE),"-")</f>
        <v>-</v>
      </c>
      <c r="Y137" s="597" t="e">
        <f>+X137/O137</f>
        <v>#VALUE!</v>
      </c>
      <c r="Z137" s="596" t="str">
        <f>+IFERROR(VLOOKUP(F137,'[1]ID1&amp;5'!K:L,2,FALSE),"-")</f>
        <v>-</v>
      </c>
      <c r="AA137" s="595" t="str">
        <f>+IFERROR(VLOOKUP(CONCATENATE(A137,$F$10,F137),'[1]ID1&amp;5'!B:J,9,FALSE),"-")</f>
        <v>-</v>
      </c>
      <c r="AB137" s="597" t="e">
        <f>+AA137/O137</f>
        <v>#VALUE!</v>
      </c>
      <c r="AC137" s="593" t="str">
        <f>+IFERROR(VLOOKUP(A137&amp;G137,'[1]ID6&amp;7'!B:J,8,FALSE),"-")</f>
        <v>-</v>
      </c>
      <c r="AD137" s="593" t="str">
        <f>+IFERROR(VLOOKUP(A137&amp;G137,'[1]ID6&amp;7'!B:J,9,FALSE),"-")</f>
        <v>-</v>
      </c>
      <c r="AE137" s="593" t="str">
        <f>+IF(IFERROR(VLOOKUP(J137,'[1]ID8&amp;9'!G:G,1,FALSE),"")=J137,IF(VLOOKUP(J137,'[1]ID8&amp;9'!G:J,3,FALSE)+VLOOKUP(J137,'[1]ID8&amp;9'!G:J,4,FALSE)=2,_xlfn.MAXIFS('[1]ID8&amp;9'!D:D,'[1]ID8&amp;9'!G:G,J137,'[1]ID8&amp;9'!H:H,8,'[1]ID8&amp;9'!I:I,1,'[1]ID8&amp;9'!J:J,1),"Campo por concluir"),"Sem aplicabilidade")</f>
        <v>Sem aplicabilidade</v>
      </c>
      <c r="AF137" s="593" t="str">
        <f>+IF(IFERROR(VLOOKUP(J137,'[1]ID8&amp;9'!G:G,1,FALSE),"")=J137,IF(VLOOKUP(J137,'[1]ID8&amp;9'!G:J,3,FALSE)+VLOOKUP(J137,'[1]ID8&amp;9'!G:J,4,FALSE)=2,_xlfn.MAXIFS('[1]ID8&amp;9'!D:D,'[1]ID8&amp;9'!G:G,J137,'[1]ID8&amp;9'!H:H,9,'[1]ID8&amp;9'!I:I,1,'[1]ID8&amp;9'!J:J,1),"Campo por concluir"),"Sem aplicabilidade")</f>
        <v>Sem aplicabilidade</v>
      </c>
      <c r="AG137" s="598"/>
      <c r="AH137" s="433" t="s">
        <v>1125</v>
      </c>
    </row>
    <row r="138" spans="9:34" hidden="1" x14ac:dyDescent="0.25">
      <c r="I138" s="591" t="s">
        <v>1313</v>
      </c>
      <c r="J138" s="592" t="s">
        <v>1332</v>
      </c>
      <c r="K138" s="592"/>
      <c r="L138" s="592"/>
      <c r="M138" s="593" t="e">
        <f>+COUNTIF('[1]ID1&amp;5'!A:A,'3. Status Testes'!I138&amp;'[1]1. Status'!J138)+COUNTIF('[1]ID6&amp;7'!A:A,'[1]1. Status'!I138&amp;'[1]1. Status'!J138)</f>
        <v>#VALUE!</v>
      </c>
      <c r="N138" s="601" t="str">
        <f>+IFERROR(VLOOKUP(CONCATENATE(A138,$B$10,B138),'[1]ID1&amp;5'!B:J,7,FALSE),"-")</f>
        <v>-</v>
      </c>
      <c r="O138" s="595" t="str">
        <f>+IFERROR(VLOOKUP(CONCATENATE(A138,$B$10,B138),'[1]ID1&amp;5'!B:J,8,FALSE),"-")</f>
        <v>-</v>
      </c>
      <c r="P138" s="596" t="str">
        <f>+IFERROR(VLOOKUP(B138,'[1]ID1&amp;5'!K:L,2,FALSE),"-")</f>
        <v>-</v>
      </c>
      <c r="Q138" s="595" t="str">
        <f>+IFERROR(VLOOKUP(CONCATENATE(A138,$B$10,B138),'[1]ID1&amp;5'!B:J,9,FALSE),"-")</f>
        <v>-</v>
      </c>
      <c r="R138" s="595" t="str">
        <f>+IFERROR(VLOOKUP(CONCATENATE(A138,$C$10,C138),'[1]ID1&amp;5'!B:J,8,FALSE),"-")</f>
        <v>-</v>
      </c>
      <c r="S138" s="596" t="str">
        <f>+IFERROR(VLOOKUP(C138,'[1]ID1&amp;5'!K:L,2,FALSE),"-")</f>
        <v>-</v>
      </c>
      <c r="T138" s="595" t="str">
        <f>+IFERROR(VLOOKUP(CONCATENATE(A138,$C$10,C138),'[1]ID1&amp;5'!B:J,9,FALSE),"-")</f>
        <v>-</v>
      </c>
      <c r="U138" s="596" t="str">
        <f>+IFERROR(VLOOKUP(D138,'[1]ID1&amp;5'!K:L,2,FALSE),"-")</f>
        <v>-</v>
      </c>
      <c r="V138" s="593" t="str">
        <f>+IFERROR(VLOOKUP(CONCATENATE(A138,$D$10,D138),'[1]ID1&amp;5'!B:J,9,FALSE),"-")</f>
        <v>-</v>
      </c>
      <c r="W138" s="596" t="str">
        <f>+IFERROR(VLOOKUP(E138,'[1]ID1&amp;5'!K:L,2,FALSE),"-")</f>
        <v>-</v>
      </c>
      <c r="X138" s="595" t="str">
        <f>+IFERROR(VLOOKUP(CONCATENATE(A138,$E$10,E138),'[1]ID1&amp;5'!B:J,9,FALSE),"-")</f>
        <v>-</v>
      </c>
      <c r="Y138" s="597" t="e">
        <f>+X138/O138</f>
        <v>#VALUE!</v>
      </c>
      <c r="Z138" s="596" t="str">
        <f>+IFERROR(VLOOKUP(F138,'[1]ID1&amp;5'!K:L,2,FALSE),"-")</f>
        <v>-</v>
      </c>
      <c r="AA138" s="595" t="str">
        <f>+IFERROR(VLOOKUP(CONCATENATE(A138,$F$10,F138),'[1]ID1&amp;5'!B:J,9,FALSE),"-")</f>
        <v>-</v>
      </c>
      <c r="AB138" s="597" t="e">
        <f>+AA138/O138</f>
        <v>#VALUE!</v>
      </c>
      <c r="AC138" s="593" t="str">
        <f>+IFERROR(VLOOKUP(A138&amp;G138,'[1]ID6&amp;7'!B:J,8,FALSE),"-")</f>
        <v>-</v>
      </c>
      <c r="AD138" s="593" t="str">
        <f>+IFERROR(VLOOKUP(A138&amp;G138,'[1]ID6&amp;7'!B:J,9,FALSE),"-")</f>
        <v>-</v>
      </c>
      <c r="AE138" s="593" t="str">
        <f>+IF(IFERROR(VLOOKUP(J138,'[1]ID8&amp;9'!G:G,1,FALSE),"")=J138,IF(VLOOKUP(J138,'[1]ID8&amp;9'!G:J,3,FALSE)+VLOOKUP(J138,'[1]ID8&amp;9'!G:J,4,FALSE)=2,_xlfn.MAXIFS('[1]ID8&amp;9'!D:D,'[1]ID8&amp;9'!G:G,J138,'[1]ID8&amp;9'!H:H,8,'[1]ID8&amp;9'!I:I,1,'[1]ID8&amp;9'!J:J,1),"Campo por concluir"),"Sem aplicabilidade")</f>
        <v>Sem aplicabilidade</v>
      </c>
      <c r="AF138" s="593" t="str">
        <f>+IF(IFERROR(VLOOKUP(J138,'[1]ID8&amp;9'!G:G,1,FALSE),"")=J138,IF(VLOOKUP(J138,'[1]ID8&amp;9'!G:J,3,FALSE)+VLOOKUP(J138,'[1]ID8&amp;9'!G:J,4,FALSE)=2,_xlfn.MAXIFS('[1]ID8&amp;9'!D:D,'[1]ID8&amp;9'!G:G,J138,'[1]ID8&amp;9'!H:H,9,'[1]ID8&amp;9'!I:I,1,'[1]ID8&amp;9'!J:J,1),"Campo por concluir"),"Sem aplicabilidade")</f>
        <v>Sem aplicabilidade</v>
      </c>
      <c r="AG138" s="598"/>
      <c r="AH138" s="433" t="s">
        <v>1125</v>
      </c>
    </row>
    <row r="139" spans="9:34" hidden="1" x14ac:dyDescent="0.25">
      <c r="I139" s="591" t="s">
        <v>1313</v>
      </c>
      <c r="J139" s="592" t="s">
        <v>1333</v>
      </c>
      <c r="K139" s="592"/>
      <c r="L139" s="592"/>
      <c r="M139" s="593" t="e">
        <f>+COUNTIF('[1]ID1&amp;5'!A:A,'3. Status Testes'!I139&amp;'[1]1. Status'!J139)+COUNTIF('[1]ID6&amp;7'!A:A,'[1]1. Status'!I139&amp;'[1]1. Status'!J139)</f>
        <v>#VALUE!</v>
      </c>
      <c r="N139" s="601" t="str">
        <f>+IFERROR(VLOOKUP(CONCATENATE(A139,$B$10,B139),'[1]ID1&amp;5'!B:J,7,FALSE),"-")</f>
        <v>-</v>
      </c>
      <c r="O139" s="595" t="str">
        <f>+IFERROR(VLOOKUP(CONCATENATE(A139,$B$10,B139),'[1]ID1&amp;5'!B:J,8,FALSE),"-")</f>
        <v>-</v>
      </c>
      <c r="P139" s="596" t="str">
        <f>+IFERROR(VLOOKUP(B139,'[1]ID1&amp;5'!K:L,2,FALSE),"-")</f>
        <v>-</v>
      </c>
      <c r="Q139" s="595" t="str">
        <f>+IFERROR(VLOOKUP(CONCATENATE(A139,$B$10,B139),'[1]ID1&amp;5'!B:J,9,FALSE),"-")</f>
        <v>-</v>
      </c>
      <c r="R139" s="595" t="str">
        <f>+IFERROR(VLOOKUP(CONCATENATE(A139,$C$10,C139),'[1]ID1&amp;5'!B:J,8,FALSE),"-")</f>
        <v>-</v>
      </c>
      <c r="S139" s="596" t="str">
        <f>+IFERROR(VLOOKUP(C139,'[1]ID1&amp;5'!K:L,2,FALSE),"-")</f>
        <v>-</v>
      </c>
      <c r="T139" s="595" t="str">
        <f>+IFERROR(VLOOKUP(CONCATENATE(A139,$C$10,C139),'[1]ID1&amp;5'!B:J,9,FALSE),"-")</f>
        <v>-</v>
      </c>
      <c r="U139" s="596" t="str">
        <f>+IFERROR(VLOOKUP(D139,'[1]ID1&amp;5'!K:L,2,FALSE),"-")</f>
        <v>-</v>
      </c>
      <c r="V139" s="593" t="str">
        <f>+IFERROR(VLOOKUP(CONCATENATE(A139,$D$10,D139),'[1]ID1&amp;5'!B:J,9,FALSE),"-")</f>
        <v>-</v>
      </c>
      <c r="W139" s="596" t="str">
        <f>+IFERROR(VLOOKUP(E139,'[1]ID1&amp;5'!K:L,2,FALSE),"-")</f>
        <v>-</v>
      </c>
      <c r="X139" s="595" t="str">
        <f>+IFERROR(VLOOKUP(CONCATENATE(A139,$E$10,E139),'[1]ID1&amp;5'!B:J,9,FALSE),"-")</f>
        <v>-</v>
      </c>
      <c r="Y139" s="597" t="e">
        <f>+X139/O139</f>
        <v>#VALUE!</v>
      </c>
      <c r="Z139" s="596" t="str">
        <f>+IFERROR(VLOOKUP(F139,'[1]ID1&amp;5'!K:L,2,FALSE),"-")</f>
        <v>-</v>
      </c>
      <c r="AA139" s="595" t="str">
        <f>+IFERROR(VLOOKUP(CONCATENATE(A139,$F$10,F139),'[1]ID1&amp;5'!B:J,9,FALSE),"-")</f>
        <v>-</v>
      </c>
      <c r="AB139" s="597" t="e">
        <f>+AA139/O139</f>
        <v>#VALUE!</v>
      </c>
      <c r="AC139" s="593" t="str">
        <f>+IFERROR(VLOOKUP(A139&amp;G139,'[1]ID6&amp;7'!B:J,8,FALSE),"-")</f>
        <v>-</v>
      </c>
      <c r="AD139" s="593" t="str">
        <f>+IFERROR(VLOOKUP(A139&amp;G139,'[1]ID6&amp;7'!B:J,9,FALSE),"-")</f>
        <v>-</v>
      </c>
      <c r="AE139" s="593" t="str">
        <f>+IF(IFERROR(VLOOKUP(J139,'[1]ID8&amp;9'!G:G,1,FALSE),"")=J139,IF(VLOOKUP(J139,'[1]ID8&amp;9'!G:J,3,FALSE)+VLOOKUP(J139,'[1]ID8&amp;9'!G:J,4,FALSE)=2,_xlfn.MAXIFS('[1]ID8&amp;9'!D:D,'[1]ID8&amp;9'!G:G,J139,'[1]ID8&amp;9'!H:H,8,'[1]ID8&amp;9'!I:I,1,'[1]ID8&amp;9'!J:J,1),"Campo por concluir"),"Sem aplicabilidade")</f>
        <v>Sem aplicabilidade</v>
      </c>
      <c r="AF139" s="593" t="str">
        <f>+IF(IFERROR(VLOOKUP(J139,'[1]ID8&amp;9'!G:G,1,FALSE),"")=J139,IF(VLOOKUP(J139,'[1]ID8&amp;9'!G:J,3,FALSE)+VLOOKUP(J139,'[1]ID8&amp;9'!G:J,4,FALSE)=2,_xlfn.MAXIFS('[1]ID8&amp;9'!D:D,'[1]ID8&amp;9'!G:G,J139,'[1]ID8&amp;9'!H:H,9,'[1]ID8&amp;9'!I:I,1,'[1]ID8&amp;9'!J:J,1),"Campo por concluir"),"Sem aplicabilidade")</f>
        <v>Sem aplicabilidade</v>
      </c>
      <c r="AG139" s="598"/>
      <c r="AH139" s="433"/>
    </row>
    <row r="140" spans="9:34" hidden="1" x14ac:dyDescent="0.25">
      <c r="I140" s="591" t="s">
        <v>1334</v>
      </c>
      <c r="J140" s="592" t="s">
        <v>1335</v>
      </c>
      <c r="K140" s="592"/>
      <c r="L140" s="592"/>
      <c r="M140" s="593" t="e">
        <f>+COUNTIF('[1]ID1&amp;5'!A:A,'3. Status Testes'!I140&amp;'[1]1. Status'!J140)+COUNTIF('[1]ID6&amp;7'!A:A,'[1]1. Status'!I140&amp;'[1]1. Status'!J140)</f>
        <v>#VALUE!</v>
      </c>
      <c r="N140" s="601" t="str">
        <f>+IFERROR(VLOOKUP(CONCATENATE(A140,$B$10,B140),'[1]ID1&amp;5'!B:J,7,FALSE),"-")</f>
        <v>-</v>
      </c>
      <c r="O140" s="595" t="str">
        <f>+IFERROR(VLOOKUP(CONCATENATE(A140,$B$10,B140),'[1]ID1&amp;5'!B:J,8,FALSE),"-")</f>
        <v>-</v>
      </c>
      <c r="P140" s="596" t="str">
        <f>+IFERROR(VLOOKUP(B140,'[1]ID1&amp;5'!K:L,2,FALSE),"-")</f>
        <v>-</v>
      </c>
      <c r="Q140" s="595" t="str">
        <f>+IFERROR(VLOOKUP(CONCATENATE(A140,$B$10,B140),'[1]ID1&amp;5'!B:J,9,FALSE),"-")</f>
        <v>-</v>
      </c>
      <c r="R140" s="595" t="str">
        <f>+IFERROR(VLOOKUP(CONCATENATE(A140,$C$10,C140),'[1]ID1&amp;5'!B:J,8,FALSE),"-")</f>
        <v>-</v>
      </c>
      <c r="S140" s="596" t="str">
        <f>+IFERROR(VLOOKUP(C140,'[1]ID1&amp;5'!K:L,2,FALSE),"-")</f>
        <v>-</v>
      </c>
      <c r="T140" s="595" t="str">
        <f>+IFERROR(VLOOKUP(CONCATENATE(A140,$C$10,C140),'[1]ID1&amp;5'!B:J,9,FALSE),"-")</f>
        <v>-</v>
      </c>
      <c r="U140" s="596" t="str">
        <f>+IFERROR(VLOOKUP(D140,'[1]ID1&amp;5'!K:L,2,FALSE),"-")</f>
        <v>-</v>
      </c>
      <c r="V140" s="593" t="str">
        <f>+IFERROR(VLOOKUP(CONCATENATE(A140,$D$10,D140),'[1]ID1&amp;5'!B:J,9,FALSE),"-")</f>
        <v>-</v>
      </c>
      <c r="W140" s="596" t="str">
        <f>+IFERROR(VLOOKUP(E140,'[1]ID1&amp;5'!K:L,2,FALSE),"-")</f>
        <v>-</v>
      </c>
      <c r="X140" s="595" t="str">
        <f>+IFERROR(VLOOKUP(CONCATENATE(A140,$E$10,E140),'[1]ID1&amp;5'!B:J,9,FALSE),"-")</f>
        <v>-</v>
      </c>
      <c r="Y140" s="597" t="e">
        <f>+X140/O140</f>
        <v>#VALUE!</v>
      </c>
      <c r="Z140" s="596" t="str">
        <f>+IFERROR(VLOOKUP(F140,'[1]ID1&amp;5'!K:L,2,FALSE),"-")</f>
        <v>-</v>
      </c>
      <c r="AA140" s="595" t="str">
        <f>+IFERROR(VLOOKUP(CONCATENATE(A140,$F$10,F140),'[1]ID1&amp;5'!B:J,9,FALSE),"-")</f>
        <v>-</v>
      </c>
      <c r="AB140" s="597" t="e">
        <f>+AA140/O140</f>
        <v>#VALUE!</v>
      </c>
      <c r="AC140" s="593" t="str">
        <f>+IFERROR(VLOOKUP(A140&amp;G140,'[1]ID6&amp;7'!B:J,8,FALSE),"-")</f>
        <v>-</v>
      </c>
      <c r="AD140" s="593" t="str">
        <f>+IFERROR(VLOOKUP(A140&amp;G140,'[1]ID6&amp;7'!B:J,9,FALSE),"-")</f>
        <v>-</v>
      </c>
      <c r="AE140" s="593" t="str">
        <f>+IF(IFERROR(VLOOKUP(J140,'[1]ID8&amp;9'!G:G,1,FALSE),"")=J140,IF(VLOOKUP(J140,'[1]ID8&amp;9'!G:J,3,FALSE)+VLOOKUP(J140,'[1]ID8&amp;9'!G:J,4,FALSE)=2,_xlfn.MAXIFS('[1]ID8&amp;9'!D:D,'[1]ID8&amp;9'!G:G,J140,'[1]ID8&amp;9'!H:H,8,'[1]ID8&amp;9'!I:I,1,'[1]ID8&amp;9'!J:J,1),"Campo por concluir"),"Sem aplicabilidade")</f>
        <v>Sem aplicabilidade</v>
      </c>
      <c r="AF140" s="593" t="str">
        <f>+IF(IFERROR(VLOOKUP(J140,'[1]ID8&amp;9'!G:G,1,FALSE),"")=J140,IF(VLOOKUP(J140,'[1]ID8&amp;9'!G:J,3,FALSE)+VLOOKUP(J140,'[1]ID8&amp;9'!G:J,4,FALSE)=2,_xlfn.MAXIFS('[1]ID8&amp;9'!D:D,'[1]ID8&amp;9'!G:G,J140,'[1]ID8&amp;9'!H:H,9,'[1]ID8&amp;9'!I:I,1,'[1]ID8&amp;9'!J:J,1),"Campo por concluir"),"Sem aplicabilidade")</f>
        <v>Sem aplicabilidade</v>
      </c>
      <c r="AG140" s="598"/>
      <c r="AH140" s="433"/>
    </row>
    <row r="141" spans="9:34" hidden="1" x14ac:dyDescent="0.25">
      <c r="I141" s="591" t="s">
        <v>1334</v>
      </c>
      <c r="J141" s="592" t="s">
        <v>1336</v>
      </c>
      <c r="K141" s="592"/>
      <c r="L141" s="592"/>
      <c r="M141" s="593" t="e">
        <f>+COUNTIF('[1]ID1&amp;5'!A:A,'3. Status Testes'!I141&amp;'[1]1. Status'!J141)+COUNTIF('[1]ID6&amp;7'!A:A,'[1]1. Status'!I141&amp;'[1]1. Status'!J141)</f>
        <v>#VALUE!</v>
      </c>
      <c r="N141" s="601" t="str">
        <f>+IFERROR(VLOOKUP(CONCATENATE(A141,$B$10,B141),'[1]ID1&amp;5'!B:J,7,FALSE),"-")</f>
        <v>-</v>
      </c>
      <c r="O141" s="595" t="str">
        <f>+IFERROR(VLOOKUP(CONCATENATE(A141,$B$10,B141),'[1]ID1&amp;5'!B:J,8,FALSE),"-")</f>
        <v>-</v>
      </c>
      <c r="P141" s="596" t="str">
        <f>+IFERROR(VLOOKUP(B141,'[1]ID1&amp;5'!K:L,2,FALSE),"-")</f>
        <v>-</v>
      </c>
      <c r="Q141" s="595" t="str">
        <f>+IFERROR(VLOOKUP(CONCATENATE(A141,$B$10,B141),'[1]ID1&amp;5'!B:J,9,FALSE),"-")</f>
        <v>-</v>
      </c>
      <c r="R141" s="595" t="str">
        <f>+IFERROR(VLOOKUP(CONCATENATE(A141,$C$10,C141),'[1]ID1&amp;5'!B:J,8,FALSE),"-")</f>
        <v>-</v>
      </c>
      <c r="S141" s="596" t="str">
        <f>+IFERROR(VLOOKUP(C141,'[1]ID1&amp;5'!K:L,2,FALSE),"-")</f>
        <v>-</v>
      </c>
      <c r="T141" s="595" t="str">
        <f>+IFERROR(VLOOKUP(CONCATENATE(A141,$C$10,C141),'[1]ID1&amp;5'!B:J,9,FALSE),"-")</f>
        <v>-</v>
      </c>
      <c r="U141" s="596" t="str">
        <f>+IFERROR(VLOOKUP(D141,'[1]ID1&amp;5'!K:L,2,FALSE),"-")</f>
        <v>-</v>
      </c>
      <c r="V141" s="593" t="str">
        <f>+IFERROR(VLOOKUP(CONCATENATE(A141,$D$10,D141),'[1]ID1&amp;5'!B:J,9,FALSE),"-")</f>
        <v>-</v>
      </c>
      <c r="W141" s="596" t="str">
        <f>+IFERROR(VLOOKUP(E141,'[1]ID1&amp;5'!K:L,2,FALSE),"-")</f>
        <v>-</v>
      </c>
      <c r="X141" s="595" t="str">
        <f>+IFERROR(VLOOKUP(CONCATENATE(A141,$E$10,E141),'[1]ID1&amp;5'!B:J,9,FALSE),"-")</f>
        <v>-</v>
      </c>
      <c r="Y141" s="597" t="e">
        <f>+X141/O141</f>
        <v>#VALUE!</v>
      </c>
      <c r="Z141" s="596" t="str">
        <f>+IFERROR(VLOOKUP(F141,'[1]ID1&amp;5'!K:L,2,FALSE),"-")</f>
        <v>-</v>
      </c>
      <c r="AA141" s="595" t="str">
        <f>+IFERROR(VLOOKUP(CONCATENATE(A141,$F$10,F141),'[1]ID1&amp;5'!B:J,9,FALSE),"-")</f>
        <v>-</v>
      </c>
      <c r="AB141" s="597" t="e">
        <f>+AA141/O141</f>
        <v>#VALUE!</v>
      </c>
      <c r="AC141" s="593" t="str">
        <f>+IFERROR(VLOOKUP(A141&amp;G141,'[1]ID6&amp;7'!B:J,8,FALSE),"-")</f>
        <v>-</v>
      </c>
      <c r="AD141" s="593" t="str">
        <f>+IFERROR(VLOOKUP(A141&amp;G141,'[1]ID6&amp;7'!B:J,9,FALSE),"-")</f>
        <v>-</v>
      </c>
      <c r="AE141" s="593" t="str">
        <f>+IF(IFERROR(VLOOKUP(J141,'[1]ID8&amp;9'!G:G,1,FALSE),"")=J141,IF(VLOOKUP(J141,'[1]ID8&amp;9'!G:J,3,FALSE)+VLOOKUP(J141,'[1]ID8&amp;9'!G:J,4,FALSE)=2,_xlfn.MAXIFS('[1]ID8&amp;9'!D:D,'[1]ID8&amp;9'!G:G,J141,'[1]ID8&amp;9'!H:H,8,'[1]ID8&amp;9'!I:I,1,'[1]ID8&amp;9'!J:J,1),"Campo por concluir"),"Sem aplicabilidade")</f>
        <v>Sem aplicabilidade</v>
      </c>
      <c r="AF141" s="593" t="str">
        <f>+IF(IFERROR(VLOOKUP(J141,'[1]ID8&amp;9'!G:G,1,FALSE),"")=J141,IF(VLOOKUP(J141,'[1]ID8&amp;9'!G:J,3,FALSE)+VLOOKUP(J141,'[1]ID8&amp;9'!G:J,4,FALSE)=2,_xlfn.MAXIFS('[1]ID8&amp;9'!D:D,'[1]ID8&amp;9'!G:G,J141,'[1]ID8&amp;9'!H:H,9,'[1]ID8&amp;9'!I:I,1,'[1]ID8&amp;9'!J:J,1),"Campo por concluir"),"Sem aplicabilidade")</f>
        <v>Sem aplicabilidade</v>
      </c>
      <c r="AG141" s="598"/>
      <c r="AH141" s="433"/>
    </row>
    <row r="142" spans="9:34" hidden="1" x14ac:dyDescent="0.25">
      <c r="I142" s="591" t="s">
        <v>1334</v>
      </c>
      <c r="J142" s="592" t="s">
        <v>1337</v>
      </c>
      <c r="K142" s="592"/>
      <c r="L142" s="592"/>
      <c r="M142" s="593" t="e">
        <f>+COUNTIF('[1]ID1&amp;5'!A:A,'3. Status Testes'!I142&amp;'[1]1. Status'!J142)+COUNTIF('[1]ID6&amp;7'!A:A,'[1]1. Status'!I142&amp;'[1]1. Status'!J142)</f>
        <v>#VALUE!</v>
      </c>
      <c r="N142" s="601" t="str">
        <f>+IFERROR(VLOOKUP(CONCATENATE(A142,$B$10,B142),'[1]ID1&amp;5'!B:J,7,FALSE),"-")</f>
        <v>-</v>
      </c>
      <c r="O142" s="595" t="str">
        <f>+IFERROR(VLOOKUP(CONCATENATE(A142,$B$10,B142),'[1]ID1&amp;5'!B:J,8,FALSE),"-")</f>
        <v>-</v>
      </c>
      <c r="P142" s="596" t="str">
        <f>+IFERROR(VLOOKUP(B142,'[1]ID1&amp;5'!K:L,2,FALSE),"-")</f>
        <v>-</v>
      </c>
      <c r="Q142" s="595" t="str">
        <f>+IFERROR(VLOOKUP(CONCATENATE(A142,$B$10,B142),'[1]ID1&amp;5'!B:J,9,FALSE),"-")</f>
        <v>-</v>
      </c>
      <c r="R142" s="595" t="str">
        <f>+IFERROR(VLOOKUP(CONCATENATE(A142,$C$10,C142),'[1]ID1&amp;5'!B:J,8,FALSE),"-")</f>
        <v>-</v>
      </c>
      <c r="S142" s="596" t="str">
        <f>+IFERROR(VLOOKUP(C142,'[1]ID1&amp;5'!K:L,2,FALSE),"-")</f>
        <v>-</v>
      </c>
      <c r="T142" s="595" t="str">
        <f>+IFERROR(VLOOKUP(CONCATENATE(A142,$C$10,C142),'[1]ID1&amp;5'!B:J,9,FALSE),"-")</f>
        <v>-</v>
      </c>
      <c r="U142" s="596" t="str">
        <f>+IFERROR(VLOOKUP(D142,'[1]ID1&amp;5'!K:L,2,FALSE),"-")</f>
        <v>-</v>
      </c>
      <c r="V142" s="593" t="str">
        <f>+IFERROR(VLOOKUP(CONCATENATE(A142,$D$10,D142),'[1]ID1&amp;5'!B:J,9,FALSE),"-")</f>
        <v>-</v>
      </c>
      <c r="W142" s="596" t="str">
        <f>+IFERROR(VLOOKUP(E142,'[1]ID1&amp;5'!K:L,2,FALSE),"-")</f>
        <v>-</v>
      </c>
      <c r="X142" s="595" t="str">
        <f>+IFERROR(VLOOKUP(CONCATENATE(A142,$E$10,E142),'[1]ID1&amp;5'!B:J,9,FALSE),"-")</f>
        <v>-</v>
      </c>
      <c r="Y142" s="597" t="e">
        <f>+X142/O142</f>
        <v>#VALUE!</v>
      </c>
      <c r="Z142" s="596" t="str">
        <f>+IFERROR(VLOOKUP(F142,'[1]ID1&amp;5'!K:L,2,FALSE),"-")</f>
        <v>-</v>
      </c>
      <c r="AA142" s="595" t="str">
        <f>+IFERROR(VLOOKUP(CONCATENATE(A142,$F$10,F142),'[1]ID1&amp;5'!B:J,9,FALSE),"-")</f>
        <v>-</v>
      </c>
      <c r="AB142" s="597" t="e">
        <f>+AA142/O142</f>
        <v>#VALUE!</v>
      </c>
      <c r="AC142" s="593" t="str">
        <f>+IFERROR(VLOOKUP(A142&amp;G142,'[1]ID6&amp;7'!B:J,8,FALSE),"-")</f>
        <v>-</v>
      </c>
      <c r="AD142" s="593" t="str">
        <f>+IFERROR(VLOOKUP(A142&amp;G142,'[1]ID6&amp;7'!B:J,9,FALSE),"-")</f>
        <v>-</v>
      </c>
      <c r="AE142" s="593" t="str">
        <f>+IF(IFERROR(VLOOKUP(J142,'[1]ID8&amp;9'!G:G,1,FALSE),"")=J142,IF(VLOOKUP(J142,'[1]ID8&amp;9'!G:J,3,FALSE)+VLOOKUP(J142,'[1]ID8&amp;9'!G:J,4,FALSE)=2,_xlfn.MAXIFS('[1]ID8&amp;9'!D:D,'[1]ID8&amp;9'!G:G,J142,'[1]ID8&amp;9'!H:H,8,'[1]ID8&amp;9'!I:I,1,'[1]ID8&amp;9'!J:J,1),"Campo por concluir"),"Sem aplicabilidade")</f>
        <v>Sem aplicabilidade</v>
      </c>
      <c r="AF142" s="593" t="str">
        <f>+IF(IFERROR(VLOOKUP(J142,'[1]ID8&amp;9'!G:G,1,FALSE),"")=J142,IF(VLOOKUP(J142,'[1]ID8&amp;9'!G:J,3,FALSE)+VLOOKUP(J142,'[1]ID8&amp;9'!G:J,4,FALSE)=2,_xlfn.MAXIFS('[1]ID8&amp;9'!D:D,'[1]ID8&amp;9'!G:G,J142,'[1]ID8&amp;9'!H:H,9,'[1]ID8&amp;9'!I:I,1,'[1]ID8&amp;9'!J:J,1),"Campo por concluir"),"Sem aplicabilidade")</f>
        <v>Sem aplicabilidade</v>
      </c>
      <c r="AG142" s="598"/>
      <c r="AH142" s="433"/>
    </row>
    <row r="143" spans="9:34" hidden="1" x14ac:dyDescent="0.25">
      <c r="I143" s="591" t="s">
        <v>1334</v>
      </c>
      <c r="J143" s="592" t="s">
        <v>1338</v>
      </c>
      <c r="K143" s="592"/>
      <c r="L143" s="592"/>
      <c r="M143" s="593" t="e">
        <f>+COUNTIF('[1]ID1&amp;5'!A:A,'3. Status Testes'!I143&amp;'[1]1. Status'!J143)+COUNTIF('[1]ID6&amp;7'!A:A,'[1]1. Status'!I143&amp;'[1]1. Status'!J143)</f>
        <v>#VALUE!</v>
      </c>
      <c r="N143" s="601" t="str">
        <f>+IFERROR(VLOOKUP(CONCATENATE(A143,$B$10,B143),'[1]ID1&amp;5'!B:J,7,FALSE),"-")</f>
        <v>-</v>
      </c>
      <c r="O143" s="595" t="str">
        <f>+IFERROR(VLOOKUP(CONCATENATE(A143,$B$10,B143),'[1]ID1&amp;5'!B:J,8,FALSE),"-")</f>
        <v>-</v>
      </c>
      <c r="P143" s="596" t="str">
        <f>+IFERROR(VLOOKUP(B143,'[1]ID1&amp;5'!K:L,2,FALSE),"-")</f>
        <v>-</v>
      </c>
      <c r="Q143" s="595" t="str">
        <f>+IFERROR(VLOOKUP(CONCATENATE(A143,$B$10,B143),'[1]ID1&amp;5'!B:J,9,FALSE),"-")</f>
        <v>-</v>
      </c>
      <c r="R143" s="595" t="str">
        <f>+IFERROR(VLOOKUP(CONCATENATE(A143,$C$10,C143),'[1]ID1&amp;5'!B:J,8,FALSE),"-")</f>
        <v>-</v>
      </c>
      <c r="S143" s="596" t="str">
        <f>+IFERROR(VLOOKUP(C143,'[1]ID1&amp;5'!K:L,2,FALSE),"-")</f>
        <v>-</v>
      </c>
      <c r="T143" s="595" t="str">
        <f>+IFERROR(VLOOKUP(CONCATENATE(A143,$C$10,C143),'[1]ID1&amp;5'!B:J,9,FALSE),"-")</f>
        <v>-</v>
      </c>
      <c r="U143" s="596" t="str">
        <f>+IFERROR(VLOOKUP(D143,'[1]ID1&amp;5'!K:L,2,FALSE),"-")</f>
        <v>-</v>
      </c>
      <c r="V143" s="593" t="str">
        <f>+IFERROR(VLOOKUP(CONCATENATE(A143,$D$10,D143),'[1]ID1&amp;5'!B:J,9,FALSE),"-")</f>
        <v>-</v>
      </c>
      <c r="W143" s="596" t="str">
        <f>+IFERROR(VLOOKUP(E143,'[1]ID1&amp;5'!K:L,2,FALSE),"-")</f>
        <v>-</v>
      </c>
      <c r="X143" s="595" t="str">
        <f>+IFERROR(VLOOKUP(CONCATENATE(A143,$E$10,E143),'[1]ID1&amp;5'!B:J,9,FALSE),"-")</f>
        <v>-</v>
      </c>
      <c r="Y143" s="597" t="e">
        <f>+X143/O143</f>
        <v>#VALUE!</v>
      </c>
      <c r="Z143" s="596" t="str">
        <f>+IFERROR(VLOOKUP(F143,'[1]ID1&amp;5'!K:L,2,FALSE),"-")</f>
        <v>-</v>
      </c>
      <c r="AA143" s="595" t="str">
        <f>+IFERROR(VLOOKUP(CONCATENATE(A143,$F$10,F143),'[1]ID1&amp;5'!B:J,9,FALSE),"-")</f>
        <v>-</v>
      </c>
      <c r="AB143" s="597" t="e">
        <f>+AA143/O143</f>
        <v>#VALUE!</v>
      </c>
      <c r="AC143" s="593" t="str">
        <f>+IFERROR(VLOOKUP(A143&amp;G143,'[1]ID6&amp;7'!B:J,8,FALSE),"-")</f>
        <v>-</v>
      </c>
      <c r="AD143" s="593" t="str">
        <f>+IFERROR(VLOOKUP(A143&amp;G143,'[1]ID6&amp;7'!B:J,9,FALSE),"-")</f>
        <v>-</v>
      </c>
      <c r="AE143" s="593" t="str">
        <f>+IF(IFERROR(VLOOKUP(J143,'[1]ID8&amp;9'!G:G,1,FALSE),"")=J143,IF(VLOOKUP(J143,'[1]ID8&amp;9'!G:J,3,FALSE)+VLOOKUP(J143,'[1]ID8&amp;9'!G:J,4,FALSE)=2,_xlfn.MAXIFS('[1]ID8&amp;9'!D:D,'[1]ID8&amp;9'!G:G,J143,'[1]ID8&amp;9'!H:H,8,'[1]ID8&amp;9'!I:I,1,'[1]ID8&amp;9'!J:J,1),"Campo por concluir"),"Sem aplicabilidade")</f>
        <v>Sem aplicabilidade</v>
      </c>
      <c r="AF143" s="593" t="str">
        <f>+IF(IFERROR(VLOOKUP(J143,'[1]ID8&amp;9'!G:G,1,FALSE),"")=J143,IF(VLOOKUP(J143,'[1]ID8&amp;9'!G:J,3,FALSE)+VLOOKUP(J143,'[1]ID8&amp;9'!G:J,4,FALSE)=2,_xlfn.MAXIFS('[1]ID8&amp;9'!D:D,'[1]ID8&amp;9'!G:G,J143,'[1]ID8&amp;9'!H:H,9,'[1]ID8&amp;9'!I:I,1,'[1]ID8&amp;9'!J:J,1),"Campo por concluir"),"Sem aplicabilidade")</f>
        <v>Sem aplicabilidade</v>
      </c>
      <c r="AG143" s="598"/>
      <c r="AH143" s="433"/>
    </row>
    <row r="144" spans="9:34" hidden="1" x14ac:dyDescent="0.25">
      <c r="I144" s="591" t="s">
        <v>1334</v>
      </c>
      <c r="J144" s="592" t="s">
        <v>1339</v>
      </c>
      <c r="K144" s="592"/>
      <c r="L144" s="592"/>
      <c r="M144" s="593" t="e">
        <f>+COUNTIF('[1]ID1&amp;5'!A:A,'3. Status Testes'!I144&amp;'[1]1. Status'!J144)+COUNTIF('[1]ID6&amp;7'!A:A,'[1]1. Status'!I144&amp;'[1]1. Status'!J144)</f>
        <v>#VALUE!</v>
      </c>
      <c r="N144" s="601" t="str">
        <f>+IFERROR(VLOOKUP(CONCATENATE(A144,$B$10,B144),'[1]ID1&amp;5'!B:J,7,FALSE),"-")</f>
        <v>-</v>
      </c>
      <c r="O144" s="595" t="str">
        <f>+IFERROR(VLOOKUP(CONCATENATE(A144,$B$10,B144),'[1]ID1&amp;5'!B:J,8,FALSE),"-")</f>
        <v>-</v>
      </c>
      <c r="P144" s="596" t="str">
        <f>+IFERROR(VLOOKUP(B144,'[1]ID1&amp;5'!K:L,2,FALSE),"-")</f>
        <v>-</v>
      </c>
      <c r="Q144" s="595" t="str">
        <f>+IFERROR(VLOOKUP(CONCATENATE(A144,$B$10,B144),'[1]ID1&amp;5'!B:J,9,FALSE),"-")</f>
        <v>-</v>
      </c>
      <c r="R144" s="595" t="str">
        <f>+IFERROR(VLOOKUP(CONCATENATE(A144,$C$10,C144),'[1]ID1&amp;5'!B:J,8,FALSE),"-")</f>
        <v>-</v>
      </c>
      <c r="S144" s="596" t="str">
        <f>+IFERROR(VLOOKUP(C144,'[1]ID1&amp;5'!K:L,2,FALSE),"-")</f>
        <v>-</v>
      </c>
      <c r="T144" s="595" t="str">
        <f>+IFERROR(VLOOKUP(CONCATENATE(A144,$C$10,C144),'[1]ID1&amp;5'!B:J,9,FALSE),"-")</f>
        <v>-</v>
      </c>
      <c r="U144" s="596" t="str">
        <f>+IFERROR(VLOOKUP(D144,'[1]ID1&amp;5'!K:L,2,FALSE),"-")</f>
        <v>-</v>
      </c>
      <c r="V144" s="593" t="str">
        <f>+IFERROR(VLOOKUP(CONCATENATE(A144,$D$10,D144),'[1]ID1&amp;5'!B:J,9,FALSE),"-")</f>
        <v>-</v>
      </c>
      <c r="W144" s="596" t="str">
        <f>+IFERROR(VLOOKUP(E144,'[1]ID1&amp;5'!K:L,2,FALSE),"-")</f>
        <v>-</v>
      </c>
      <c r="X144" s="595" t="str">
        <f>+IFERROR(VLOOKUP(CONCATENATE(A144,$E$10,E144),'[1]ID1&amp;5'!B:J,9,FALSE),"-")</f>
        <v>-</v>
      </c>
      <c r="Y144" s="597" t="e">
        <f>+X144/O144</f>
        <v>#VALUE!</v>
      </c>
      <c r="Z144" s="596" t="str">
        <f>+IFERROR(VLOOKUP(F144,'[1]ID1&amp;5'!K:L,2,FALSE),"-")</f>
        <v>-</v>
      </c>
      <c r="AA144" s="595" t="str">
        <f>+IFERROR(VLOOKUP(CONCATENATE(A144,$F$10,F144),'[1]ID1&amp;5'!B:J,9,FALSE),"-")</f>
        <v>-</v>
      </c>
      <c r="AB144" s="597" t="e">
        <f>+AA144/O144</f>
        <v>#VALUE!</v>
      </c>
      <c r="AC144" s="593" t="str">
        <f>+IFERROR(VLOOKUP(A144&amp;G144,'[1]ID6&amp;7'!B:J,8,FALSE),"-")</f>
        <v>-</v>
      </c>
      <c r="AD144" s="593" t="str">
        <f>+IFERROR(VLOOKUP(A144&amp;G144,'[1]ID6&amp;7'!B:J,9,FALSE),"-")</f>
        <v>-</v>
      </c>
      <c r="AE144" s="593" t="str">
        <f>+IF(IFERROR(VLOOKUP(J144,'[1]ID8&amp;9'!G:G,1,FALSE),"")=J144,IF(VLOOKUP(J144,'[1]ID8&amp;9'!G:J,3,FALSE)+VLOOKUP(J144,'[1]ID8&amp;9'!G:J,4,FALSE)=2,_xlfn.MAXIFS('[1]ID8&amp;9'!D:D,'[1]ID8&amp;9'!G:G,J144,'[1]ID8&amp;9'!H:H,8,'[1]ID8&amp;9'!I:I,1,'[1]ID8&amp;9'!J:J,1),"Campo por concluir"),"Sem aplicabilidade")</f>
        <v>Sem aplicabilidade</v>
      </c>
      <c r="AF144" s="593" t="str">
        <f>+IF(IFERROR(VLOOKUP(J144,'[1]ID8&amp;9'!G:G,1,FALSE),"")=J144,IF(VLOOKUP(J144,'[1]ID8&amp;9'!G:J,3,FALSE)+VLOOKUP(J144,'[1]ID8&amp;9'!G:J,4,FALSE)=2,_xlfn.MAXIFS('[1]ID8&amp;9'!D:D,'[1]ID8&amp;9'!G:G,J144,'[1]ID8&amp;9'!H:H,9,'[1]ID8&amp;9'!I:I,1,'[1]ID8&amp;9'!J:J,1),"Campo por concluir"),"Sem aplicabilidade")</f>
        <v>Sem aplicabilidade</v>
      </c>
      <c r="AG144" s="598"/>
      <c r="AH144" s="433"/>
    </row>
    <row r="145" spans="9:34" hidden="1" x14ac:dyDescent="0.25">
      <c r="I145" s="591" t="s">
        <v>1334</v>
      </c>
      <c r="J145" s="592" t="s">
        <v>1340</v>
      </c>
      <c r="K145" s="592"/>
      <c r="L145" s="592"/>
      <c r="M145" s="593" t="e">
        <f>+COUNTIF('[1]ID1&amp;5'!A:A,'3. Status Testes'!I145&amp;'[1]1. Status'!J145)+COUNTIF('[1]ID6&amp;7'!A:A,'[1]1. Status'!I145&amp;'[1]1. Status'!J145)</f>
        <v>#VALUE!</v>
      </c>
      <c r="N145" s="601" t="str">
        <f>+IFERROR(VLOOKUP(CONCATENATE(A145,$B$10,B145),'[1]ID1&amp;5'!B:J,7,FALSE),"-")</f>
        <v>-</v>
      </c>
      <c r="O145" s="595" t="str">
        <f>+IFERROR(VLOOKUP(CONCATENATE(A145,$B$10,B145),'[1]ID1&amp;5'!B:J,8,FALSE),"-")</f>
        <v>-</v>
      </c>
      <c r="P145" s="596" t="str">
        <f>+IFERROR(VLOOKUP(B145,'[1]ID1&amp;5'!K:L,2,FALSE),"-")</f>
        <v>-</v>
      </c>
      <c r="Q145" s="595" t="str">
        <f>+IFERROR(VLOOKUP(CONCATENATE(A145,$B$10,B145),'[1]ID1&amp;5'!B:J,9,FALSE),"-")</f>
        <v>-</v>
      </c>
      <c r="R145" s="595" t="str">
        <f>+IFERROR(VLOOKUP(CONCATENATE(A145,$C$10,C145),'[1]ID1&amp;5'!B:J,8,FALSE),"-")</f>
        <v>-</v>
      </c>
      <c r="S145" s="596" t="str">
        <f>+IFERROR(VLOOKUP(C145,'[1]ID1&amp;5'!K:L,2,FALSE),"-")</f>
        <v>-</v>
      </c>
      <c r="T145" s="595" t="str">
        <f>+IFERROR(VLOOKUP(CONCATENATE(A145,$C$10,C145),'[1]ID1&amp;5'!B:J,9,FALSE),"-")</f>
        <v>-</v>
      </c>
      <c r="U145" s="596" t="str">
        <f>+IFERROR(VLOOKUP(D145,'[1]ID1&amp;5'!K:L,2,FALSE),"-")</f>
        <v>-</v>
      </c>
      <c r="V145" s="593" t="str">
        <f>+IFERROR(VLOOKUP(CONCATENATE(A145,$D$10,D145),'[1]ID1&amp;5'!B:J,9,FALSE),"-")</f>
        <v>-</v>
      </c>
      <c r="W145" s="596" t="str">
        <f>+IFERROR(VLOOKUP(E145,'[1]ID1&amp;5'!K:L,2,FALSE),"-")</f>
        <v>-</v>
      </c>
      <c r="X145" s="595" t="str">
        <f>+IFERROR(VLOOKUP(CONCATENATE(A145,$E$10,E145),'[1]ID1&amp;5'!B:J,9,FALSE),"-")</f>
        <v>-</v>
      </c>
      <c r="Y145" s="597" t="e">
        <f>+X145/O145</f>
        <v>#VALUE!</v>
      </c>
      <c r="Z145" s="596" t="str">
        <f>+IFERROR(VLOOKUP(F145,'[1]ID1&amp;5'!K:L,2,FALSE),"-")</f>
        <v>-</v>
      </c>
      <c r="AA145" s="595" t="str">
        <f>+IFERROR(VLOOKUP(CONCATENATE(A145,$F$10,F145),'[1]ID1&amp;5'!B:J,9,FALSE),"-")</f>
        <v>-</v>
      </c>
      <c r="AB145" s="597" t="e">
        <f>+AA145/O145</f>
        <v>#VALUE!</v>
      </c>
      <c r="AC145" s="593" t="str">
        <f>+IFERROR(VLOOKUP(A145&amp;G145,'[1]ID6&amp;7'!B:J,8,FALSE),"-")</f>
        <v>-</v>
      </c>
      <c r="AD145" s="593" t="str">
        <f>+IFERROR(VLOOKUP(A145&amp;G145,'[1]ID6&amp;7'!B:J,9,FALSE),"-")</f>
        <v>-</v>
      </c>
      <c r="AE145" s="593" t="str">
        <f>+IF(IFERROR(VLOOKUP(J145,'[1]ID8&amp;9'!G:G,1,FALSE),"")=J145,IF(VLOOKUP(J145,'[1]ID8&amp;9'!G:J,3,FALSE)+VLOOKUP(J145,'[1]ID8&amp;9'!G:J,4,FALSE)=2,_xlfn.MAXIFS('[1]ID8&amp;9'!D:D,'[1]ID8&amp;9'!G:G,J145,'[1]ID8&amp;9'!H:H,8,'[1]ID8&amp;9'!I:I,1,'[1]ID8&amp;9'!J:J,1),"Campo por concluir"),"Sem aplicabilidade")</f>
        <v>Sem aplicabilidade</v>
      </c>
      <c r="AF145" s="593" t="str">
        <f>+IF(IFERROR(VLOOKUP(J145,'[1]ID8&amp;9'!G:G,1,FALSE),"")=J145,IF(VLOOKUP(J145,'[1]ID8&amp;9'!G:J,3,FALSE)+VLOOKUP(J145,'[1]ID8&amp;9'!G:J,4,FALSE)=2,_xlfn.MAXIFS('[1]ID8&amp;9'!D:D,'[1]ID8&amp;9'!G:G,J145,'[1]ID8&amp;9'!H:H,9,'[1]ID8&amp;9'!I:I,1,'[1]ID8&amp;9'!J:J,1),"Campo por concluir"),"Sem aplicabilidade")</f>
        <v>Sem aplicabilidade</v>
      </c>
      <c r="AG145" s="598"/>
      <c r="AH145" s="433"/>
    </row>
    <row r="146" spans="9:34" hidden="1" x14ac:dyDescent="0.25">
      <c r="I146" s="591" t="s">
        <v>1334</v>
      </c>
      <c r="J146" s="592" t="s">
        <v>1341</v>
      </c>
      <c r="K146" s="592"/>
      <c r="L146" s="592"/>
      <c r="M146" s="593" t="e">
        <f>+COUNTIF('[1]ID1&amp;5'!A:A,'3. Status Testes'!I146&amp;'[1]1. Status'!J146)+COUNTIF('[1]ID6&amp;7'!A:A,'[1]1. Status'!I146&amp;'[1]1. Status'!J146)</f>
        <v>#VALUE!</v>
      </c>
      <c r="N146" s="601" t="str">
        <f>+IFERROR(VLOOKUP(CONCATENATE(A146,$B$10,B146),'[1]ID1&amp;5'!B:J,7,FALSE),"-")</f>
        <v>-</v>
      </c>
      <c r="O146" s="595" t="str">
        <f>+IFERROR(VLOOKUP(CONCATENATE(A146,$B$10,B146),'[1]ID1&amp;5'!B:J,8,FALSE),"-")</f>
        <v>-</v>
      </c>
      <c r="P146" s="596" t="str">
        <f>+IFERROR(VLOOKUP(B146,'[1]ID1&amp;5'!K:L,2,FALSE),"-")</f>
        <v>-</v>
      </c>
      <c r="Q146" s="595" t="str">
        <f>+IFERROR(VLOOKUP(CONCATENATE(A146,$B$10,B146),'[1]ID1&amp;5'!B:J,9,FALSE),"-")</f>
        <v>-</v>
      </c>
      <c r="R146" s="595" t="str">
        <f>+IFERROR(VLOOKUP(CONCATENATE(A146,$C$10,C146),'[1]ID1&amp;5'!B:J,8,FALSE),"-")</f>
        <v>-</v>
      </c>
      <c r="S146" s="596" t="str">
        <f>+IFERROR(VLOOKUP(C146,'[1]ID1&amp;5'!K:L,2,FALSE),"-")</f>
        <v>-</v>
      </c>
      <c r="T146" s="595" t="str">
        <f>+IFERROR(VLOOKUP(CONCATENATE(A146,$C$10,C146),'[1]ID1&amp;5'!B:J,9,FALSE),"-")</f>
        <v>-</v>
      </c>
      <c r="U146" s="596" t="str">
        <f>+IFERROR(VLOOKUP(D146,'[1]ID1&amp;5'!K:L,2,FALSE),"-")</f>
        <v>-</v>
      </c>
      <c r="V146" s="593" t="str">
        <f>+IFERROR(VLOOKUP(CONCATENATE(A146,$D$10,D146),'[1]ID1&amp;5'!B:J,9,FALSE),"-")</f>
        <v>-</v>
      </c>
      <c r="W146" s="596" t="str">
        <f>+IFERROR(VLOOKUP(E146,'[1]ID1&amp;5'!K:L,2,FALSE),"-")</f>
        <v>-</v>
      </c>
      <c r="X146" s="595" t="str">
        <f>+IFERROR(VLOOKUP(CONCATENATE(A146,$E$10,E146),'[1]ID1&amp;5'!B:J,9,FALSE),"-")</f>
        <v>-</v>
      </c>
      <c r="Y146" s="597" t="e">
        <f>+X146/O146</f>
        <v>#VALUE!</v>
      </c>
      <c r="Z146" s="596" t="str">
        <f>+IFERROR(VLOOKUP(F146,'[1]ID1&amp;5'!K:L,2,FALSE),"-")</f>
        <v>-</v>
      </c>
      <c r="AA146" s="595" t="str">
        <f>+IFERROR(VLOOKUP(CONCATENATE(A146,$F$10,F146),'[1]ID1&amp;5'!B:J,9,FALSE),"-")</f>
        <v>-</v>
      </c>
      <c r="AB146" s="597" t="e">
        <f>+AA146/O146</f>
        <v>#VALUE!</v>
      </c>
      <c r="AC146" s="593" t="str">
        <f>+IFERROR(VLOOKUP(A146&amp;G146,'[1]ID6&amp;7'!B:J,8,FALSE),"-")</f>
        <v>-</v>
      </c>
      <c r="AD146" s="593" t="str">
        <f>+IFERROR(VLOOKUP(A146&amp;G146,'[1]ID6&amp;7'!B:J,9,FALSE),"-")</f>
        <v>-</v>
      </c>
      <c r="AE146" s="593" t="str">
        <f>+IF(IFERROR(VLOOKUP(J146,'[1]ID8&amp;9'!G:G,1,FALSE),"")=J146,IF(VLOOKUP(J146,'[1]ID8&amp;9'!G:J,3,FALSE)+VLOOKUP(J146,'[1]ID8&amp;9'!G:J,4,FALSE)=2,_xlfn.MAXIFS('[1]ID8&amp;9'!D:D,'[1]ID8&amp;9'!G:G,J146,'[1]ID8&amp;9'!H:H,8,'[1]ID8&amp;9'!I:I,1,'[1]ID8&amp;9'!J:J,1),"Campo por concluir"),"Sem aplicabilidade")</f>
        <v>Sem aplicabilidade</v>
      </c>
      <c r="AF146" s="593" t="str">
        <f>+IF(IFERROR(VLOOKUP(J146,'[1]ID8&amp;9'!G:G,1,FALSE),"")=J146,IF(VLOOKUP(J146,'[1]ID8&amp;9'!G:J,3,FALSE)+VLOOKUP(J146,'[1]ID8&amp;9'!G:J,4,FALSE)=2,_xlfn.MAXIFS('[1]ID8&amp;9'!D:D,'[1]ID8&amp;9'!G:G,J146,'[1]ID8&amp;9'!H:H,9,'[1]ID8&amp;9'!I:I,1,'[1]ID8&amp;9'!J:J,1),"Campo por concluir"),"Sem aplicabilidade")</f>
        <v>Sem aplicabilidade</v>
      </c>
      <c r="AG146" s="598"/>
      <c r="AH146" s="433"/>
    </row>
    <row r="147" spans="9:34" hidden="1" x14ac:dyDescent="0.25">
      <c r="I147" s="591" t="s">
        <v>1334</v>
      </c>
      <c r="J147" s="592" t="s">
        <v>1342</v>
      </c>
      <c r="K147" s="592"/>
      <c r="L147" s="592"/>
      <c r="M147" s="593" t="e">
        <f>+COUNTIF('[1]ID1&amp;5'!A:A,'3. Status Testes'!I147&amp;'[1]1. Status'!J147)+COUNTIF('[1]ID6&amp;7'!A:A,'[1]1. Status'!I147&amp;'[1]1. Status'!J147)</f>
        <v>#VALUE!</v>
      </c>
      <c r="N147" s="601" t="str">
        <f>+IFERROR(VLOOKUP(CONCATENATE(A147,$B$10,B147),'[1]ID1&amp;5'!B:J,7,FALSE),"-")</f>
        <v>-</v>
      </c>
      <c r="O147" s="595" t="str">
        <f>+IFERROR(VLOOKUP(CONCATENATE(A147,$B$10,B147),'[1]ID1&amp;5'!B:J,8,FALSE),"-")</f>
        <v>-</v>
      </c>
      <c r="P147" s="596" t="str">
        <f>+IFERROR(VLOOKUP(B147,'[1]ID1&amp;5'!K:L,2,FALSE),"-")</f>
        <v>-</v>
      </c>
      <c r="Q147" s="595" t="str">
        <f>+IFERROR(VLOOKUP(CONCATENATE(A147,$B$10,B147),'[1]ID1&amp;5'!B:J,9,FALSE),"-")</f>
        <v>-</v>
      </c>
      <c r="R147" s="595" t="str">
        <f>+IFERROR(VLOOKUP(CONCATENATE(A147,$C$10,C147),'[1]ID1&amp;5'!B:J,8,FALSE),"-")</f>
        <v>-</v>
      </c>
      <c r="S147" s="596" t="str">
        <f>+IFERROR(VLOOKUP(C147,'[1]ID1&amp;5'!K:L,2,FALSE),"-")</f>
        <v>-</v>
      </c>
      <c r="T147" s="595" t="str">
        <f>+IFERROR(VLOOKUP(CONCATENATE(A147,$C$10,C147),'[1]ID1&amp;5'!B:J,9,FALSE),"-")</f>
        <v>-</v>
      </c>
      <c r="U147" s="596" t="str">
        <f>+IFERROR(VLOOKUP(D147,'[1]ID1&amp;5'!K:L,2,FALSE),"-")</f>
        <v>-</v>
      </c>
      <c r="V147" s="593" t="str">
        <f>+IFERROR(VLOOKUP(CONCATENATE(A147,$D$10,D147),'[1]ID1&amp;5'!B:J,9,FALSE),"-")</f>
        <v>-</v>
      </c>
      <c r="W147" s="596" t="str">
        <f>+IFERROR(VLOOKUP(E147,'[1]ID1&amp;5'!K:L,2,FALSE),"-")</f>
        <v>-</v>
      </c>
      <c r="X147" s="595" t="str">
        <f>+IFERROR(VLOOKUP(CONCATENATE(A147,$E$10,E147),'[1]ID1&amp;5'!B:J,9,FALSE),"-")</f>
        <v>-</v>
      </c>
      <c r="Y147" s="597" t="e">
        <f>+X147/O147</f>
        <v>#VALUE!</v>
      </c>
      <c r="Z147" s="596" t="str">
        <f>+IFERROR(VLOOKUP(F147,'[1]ID1&amp;5'!K:L,2,FALSE),"-")</f>
        <v>-</v>
      </c>
      <c r="AA147" s="595" t="str">
        <f>+IFERROR(VLOOKUP(CONCATENATE(A147,$F$10,F147),'[1]ID1&amp;5'!B:J,9,FALSE),"-")</f>
        <v>-</v>
      </c>
      <c r="AB147" s="597" t="e">
        <f>+AA147/O147</f>
        <v>#VALUE!</v>
      </c>
      <c r="AC147" s="593" t="str">
        <f>+IFERROR(VLOOKUP(A147&amp;G147,'[1]ID6&amp;7'!B:J,8,FALSE),"-")</f>
        <v>-</v>
      </c>
      <c r="AD147" s="593" t="str">
        <f>+IFERROR(VLOOKUP(A147&amp;G147,'[1]ID6&amp;7'!B:J,9,FALSE),"-")</f>
        <v>-</v>
      </c>
      <c r="AE147" s="593" t="str">
        <f>+IF(IFERROR(VLOOKUP(J147,'[1]ID8&amp;9'!G:G,1,FALSE),"")=J147,IF(VLOOKUP(J147,'[1]ID8&amp;9'!G:J,3,FALSE)+VLOOKUP(J147,'[1]ID8&amp;9'!G:J,4,FALSE)=2,_xlfn.MAXIFS('[1]ID8&amp;9'!D:D,'[1]ID8&amp;9'!G:G,J147,'[1]ID8&amp;9'!H:H,8,'[1]ID8&amp;9'!I:I,1,'[1]ID8&amp;9'!J:J,1),"Campo por concluir"),"Sem aplicabilidade")</f>
        <v>Sem aplicabilidade</v>
      </c>
      <c r="AF147" s="593" t="str">
        <f>+IF(IFERROR(VLOOKUP(J147,'[1]ID8&amp;9'!G:G,1,FALSE),"")=J147,IF(VLOOKUP(J147,'[1]ID8&amp;9'!G:J,3,FALSE)+VLOOKUP(J147,'[1]ID8&amp;9'!G:J,4,FALSE)=2,_xlfn.MAXIFS('[1]ID8&amp;9'!D:D,'[1]ID8&amp;9'!G:G,J147,'[1]ID8&amp;9'!H:H,9,'[1]ID8&amp;9'!I:I,1,'[1]ID8&amp;9'!J:J,1),"Campo por concluir"),"Sem aplicabilidade")</f>
        <v>Sem aplicabilidade</v>
      </c>
      <c r="AG147" s="598"/>
      <c r="AH147" s="433"/>
    </row>
    <row r="148" spans="9:34" hidden="1" x14ac:dyDescent="0.25">
      <c r="I148" s="591" t="s">
        <v>1334</v>
      </c>
      <c r="J148" s="592" t="s">
        <v>1343</v>
      </c>
      <c r="K148" s="592"/>
      <c r="L148" s="592"/>
      <c r="M148" s="593" t="e">
        <f>+COUNTIF('[1]ID1&amp;5'!A:A,'3. Status Testes'!I148&amp;'[1]1. Status'!J148)+COUNTIF('[1]ID6&amp;7'!A:A,'[1]1. Status'!I148&amp;'[1]1. Status'!J148)</f>
        <v>#VALUE!</v>
      </c>
      <c r="N148" s="601" t="str">
        <f>+IFERROR(VLOOKUP(CONCATENATE(A148,$B$10,B148),'[1]ID1&amp;5'!B:J,7,FALSE),"-")</f>
        <v>-</v>
      </c>
      <c r="O148" s="595" t="str">
        <f>+IFERROR(VLOOKUP(CONCATENATE(A148,$B$10,B148),'[1]ID1&amp;5'!B:J,8,FALSE),"-")</f>
        <v>-</v>
      </c>
      <c r="P148" s="596" t="str">
        <f>+IFERROR(VLOOKUP(B148,'[1]ID1&amp;5'!K:L,2,FALSE),"-")</f>
        <v>-</v>
      </c>
      <c r="Q148" s="595" t="str">
        <f>+IFERROR(VLOOKUP(CONCATENATE(A148,$B$10,B148),'[1]ID1&amp;5'!B:J,9,FALSE),"-")</f>
        <v>-</v>
      </c>
      <c r="R148" s="595" t="str">
        <f>+IFERROR(VLOOKUP(CONCATENATE(A148,$C$10,C148),'[1]ID1&amp;5'!B:J,8,FALSE),"-")</f>
        <v>-</v>
      </c>
      <c r="S148" s="596" t="str">
        <f>+IFERROR(VLOOKUP(C148,'[1]ID1&amp;5'!K:L,2,FALSE),"-")</f>
        <v>-</v>
      </c>
      <c r="T148" s="595" t="str">
        <f>+IFERROR(VLOOKUP(CONCATENATE(A148,$C$10,C148),'[1]ID1&amp;5'!B:J,9,FALSE),"-")</f>
        <v>-</v>
      </c>
      <c r="U148" s="596" t="str">
        <f>+IFERROR(VLOOKUP(D148,'[1]ID1&amp;5'!K:L,2,FALSE),"-")</f>
        <v>-</v>
      </c>
      <c r="V148" s="593" t="str">
        <f>+IFERROR(VLOOKUP(CONCATENATE(A148,$D$10,D148),'[1]ID1&amp;5'!B:J,9,FALSE),"-")</f>
        <v>-</v>
      </c>
      <c r="W148" s="596" t="str">
        <f>+IFERROR(VLOOKUP(E148,'[1]ID1&amp;5'!K:L,2,FALSE),"-")</f>
        <v>-</v>
      </c>
      <c r="X148" s="595" t="str">
        <f>+IFERROR(VLOOKUP(CONCATENATE(A148,$E$10,E148),'[1]ID1&amp;5'!B:J,9,FALSE),"-")</f>
        <v>-</v>
      </c>
      <c r="Y148" s="597" t="e">
        <f>+X148/O148</f>
        <v>#VALUE!</v>
      </c>
      <c r="Z148" s="596" t="str">
        <f>+IFERROR(VLOOKUP(F148,'[1]ID1&amp;5'!K:L,2,FALSE),"-")</f>
        <v>-</v>
      </c>
      <c r="AA148" s="595" t="str">
        <f>+IFERROR(VLOOKUP(CONCATENATE(A148,$F$10,F148),'[1]ID1&amp;5'!B:J,9,FALSE),"-")</f>
        <v>-</v>
      </c>
      <c r="AB148" s="597" t="e">
        <f>+AA148/O148</f>
        <v>#VALUE!</v>
      </c>
      <c r="AC148" s="593" t="str">
        <f>+IFERROR(VLOOKUP(A148&amp;G148,'[1]ID6&amp;7'!B:J,8,FALSE),"-")</f>
        <v>-</v>
      </c>
      <c r="AD148" s="593" t="str">
        <f>+IFERROR(VLOOKUP(A148&amp;G148,'[1]ID6&amp;7'!B:J,9,FALSE),"-")</f>
        <v>-</v>
      </c>
      <c r="AE148" s="593" t="str">
        <f>+IF(IFERROR(VLOOKUP(J148,'[1]ID8&amp;9'!G:G,1,FALSE),"")=J148,IF(VLOOKUP(J148,'[1]ID8&amp;9'!G:J,3,FALSE)+VLOOKUP(J148,'[1]ID8&amp;9'!G:J,4,FALSE)=2,_xlfn.MAXIFS('[1]ID8&amp;9'!D:D,'[1]ID8&amp;9'!G:G,J148,'[1]ID8&amp;9'!H:H,8,'[1]ID8&amp;9'!I:I,1,'[1]ID8&amp;9'!J:J,1),"Campo por concluir"),"Sem aplicabilidade")</f>
        <v>Sem aplicabilidade</v>
      </c>
      <c r="AF148" s="593" t="str">
        <f>+IF(IFERROR(VLOOKUP(J148,'[1]ID8&amp;9'!G:G,1,FALSE),"")=J148,IF(VLOOKUP(J148,'[1]ID8&amp;9'!G:J,3,FALSE)+VLOOKUP(J148,'[1]ID8&amp;9'!G:J,4,FALSE)=2,_xlfn.MAXIFS('[1]ID8&amp;9'!D:D,'[1]ID8&amp;9'!G:G,J148,'[1]ID8&amp;9'!H:H,9,'[1]ID8&amp;9'!I:I,1,'[1]ID8&amp;9'!J:J,1),"Campo por concluir"),"Sem aplicabilidade")</f>
        <v>Sem aplicabilidade</v>
      </c>
      <c r="AG148" s="598"/>
      <c r="AH148" s="433"/>
    </row>
    <row r="149" spans="9:34" hidden="1" x14ac:dyDescent="0.25">
      <c r="I149" s="591" t="s">
        <v>1334</v>
      </c>
      <c r="J149" s="592" t="s">
        <v>1344</v>
      </c>
      <c r="K149" s="592"/>
      <c r="L149" s="592"/>
      <c r="M149" s="593" t="e">
        <f>+COUNTIF('[1]ID1&amp;5'!A:A,'3. Status Testes'!I149&amp;'[1]1. Status'!J149)+COUNTIF('[1]ID6&amp;7'!A:A,'[1]1. Status'!I149&amp;'[1]1. Status'!J149)</f>
        <v>#VALUE!</v>
      </c>
      <c r="N149" s="601" t="str">
        <f>+IFERROR(VLOOKUP(CONCATENATE(A149,$B$10,B149),'[1]ID1&amp;5'!B:J,7,FALSE),"-")</f>
        <v>-</v>
      </c>
      <c r="O149" s="595" t="str">
        <f>+IFERROR(VLOOKUP(CONCATENATE(A149,$B$10,B149),'[1]ID1&amp;5'!B:J,8,FALSE),"-")</f>
        <v>-</v>
      </c>
      <c r="P149" s="596" t="str">
        <f>+IFERROR(VLOOKUP(B149,'[1]ID1&amp;5'!K:L,2,FALSE),"-")</f>
        <v>-</v>
      </c>
      <c r="Q149" s="595" t="str">
        <f>+IFERROR(VLOOKUP(CONCATENATE(A149,$B$10,B149),'[1]ID1&amp;5'!B:J,9,FALSE),"-")</f>
        <v>-</v>
      </c>
      <c r="R149" s="595" t="str">
        <f>+IFERROR(VLOOKUP(CONCATENATE(A149,$C$10,C149),'[1]ID1&amp;5'!B:J,8,FALSE),"-")</f>
        <v>-</v>
      </c>
      <c r="S149" s="596" t="str">
        <f>+IFERROR(VLOOKUP(C149,'[1]ID1&amp;5'!K:L,2,FALSE),"-")</f>
        <v>-</v>
      </c>
      <c r="T149" s="595" t="str">
        <f>+IFERROR(VLOOKUP(CONCATENATE(A149,$C$10,C149),'[1]ID1&amp;5'!B:J,9,FALSE),"-")</f>
        <v>-</v>
      </c>
      <c r="U149" s="596" t="str">
        <f>+IFERROR(VLOOKUP(D149,'[1]ID1&amp;5'!K:L,2,FALSE),"-")</f>
        <v>-</v>
      </c>
      <c r="V149" s="593" t="str">
        <f>+IFERROR(VLOOKUP(CONCATENATE(A149,$D$10,D149),'[1]ID1&amp;5'!B:J,9,FALSE),"-")</f>
        <v>-</v>
      </c>
      <c r="W149" s="596" t="str">
        <f>+IFERROR(VLOOKUP(E149,'[1]ID1&amp;5'!K:L,2,FALSE),"-")</f>
        <v>-</v>
      </c>
      <c r="X149" s="595" t="str">
        <f>+IFERROR(VLOOKUP(CONCATENATE(A149,$E$10,E149),'[1]ID1&amp;5'!B:J,9,FALSE),"-")</f>
        <v>-</v>
      </c>
      <c r="Y149" s="597" t="e">
        <f>+X149/O149</f>
        <v>#VALUE!</v>
      </c>
      <c r="Z149" s="596" t="str">
        <f>+IFERROR(VLOOKUP(F149,'[1]ID1&amp;5'!K:L,2,FALSE),"-")</f>
        <v>-</v>
      </c>
      <c r="AA149" s="595" t="str">
        <f>+IFERROR(VLOOKUP(CONCATENATE(A149,$F$10,F149),'[1]ID1&amp;5'!B:J,9,FALSE),"-")</f>
        <v>-</v>
      </c>
      <c r="AB149" s="597" t="e">
        <f>+AA149/O149</f>
        <v>#VALUE!</v>
      </c>
      <c r="AC149" s="593" t="str">
        <f>+IFERROR(VLOOKUP(A149&amp;G149,'[1]ID6&amp;7'!B:J,8,FALSE),"-")</f>
        <v>-</v>
      </c>
      <c r="AD149" s="593" t="str">
        <f>+IFERROR(VLOOKUP(A149&amp;G149,'[1]ID6&amp;7'!B:J,9,FALSE),"-")</f>
        <v>-</v>
      </c>
      <c r="AE149" s="593" t="str">
        <f>+IF(IFERROR(VLOOKUP(J149,'[1]ID8&amp;9'!G:G,1,FALSE),"")=J149,IF(VLOOKUP(J149,'[1]ID8&amp;9'!G:J,3,FALSE)+VLOOKUP(J149,'[1]ID8&amp;9'!G:J,4,FALSE)=2,_xlfn.MAXIFS('[1]ID8&amp;9'!D:D,'[1]ID8&amp;9'!G:G,J149,'[1]ID8&amp;9'!H:H,8,'[1]ID8&amp;9'!I:I,1,'[1]ID8&amp;9'!J:J,1),"Campo por concluir"),"Sem aplicabilidade")</f>
        <v>Sem aplicabilidade</v>
      </c>
      <c r="AF149" s="593" t="str">
        <f>+IF(IFERROR(VLOOKUP(J149,'[1]ID8&amp;9'!G:G,1,FALSE),"")=J149,IF(VLOOKUP(J149,'[1]ID8&amp;9'!G:J,3,FALSE)+VLOOKUP(J149,'[1]ID8&amp;9'!G:J,4,FALSE)=2,_xlfn.MAXIFS('[1]ID8&amp;9'!D:D,'[1]ID8&amp;9'!G:G,J149,'[1]ID8&amp;9'!H:H,9,'[1]ID8&amp;9'!I:I,1,'[1]ID8&amp;9'!J:J,1),"Campo por concluir"),"Sem aplicabilidade")</f>
        <v>Sem aplicabilidade</v>
      </c>
      <c r="AG149" s="598"/>
      <c r="AH149" s="433"/>
    </row>
    <row r="150" spans="9:34" hidden="1" x14ac:dyDescent="0.25">
      <c r="I150" s="591" t="s">
        <v>1334</v>
      </c>
      <c r="J150" s="592" t="s">
        <v>1345</v>
      </c>
      <c r="K150" s="592"/>
      <c r="L150" s="592"/>
      <c r="M150" s="593" t="e">
        <f>+COUNTIF('[1]ID1&amp;5'!A:A,'3. Status Testes'!I150&amp;'[1]1. Status'!J150)+COUNTIF('[1]ID6&amp;7'!A:A,'[1]1. Status'!I150&amp;'[1]1. Status'!J150)</f>
        <v>#VALUE!</v>
      </c>
      <c r="N150" s="601" t="str">
        <f>+IFERROR(VLOOKUP(CONCATENATE(A150,$B$10,B150),'[1]ID1&amp;5'!B:J,7,FALSE),"-")</f>
        <v>-</v>
      </c>
      <c r="O150" s="595" t="str">
        <f>+IFERROR(VLOOKUP(CONCATENATE(A150,$B$10,B150),'[1]ID1&amp;5'!B:J,8,FALSE),"-")</f>
        <v>-</v>
      </c>
      <c r="P150" s="596" t="str">
        <f>+IFERROR(VLOOKUP(B150,'[1]ID1&amp;5'!K:L,2,FALSE),"-")</f>
        <v>-</v>
      </c>
      <c r="Q150" s="595" t="str">
        <f>+IFERROR(VLOOKUP(CONCATENATE(A150,$B$10,B150),'[1]ID1&amp;5'!B:J,9,FALSE),"-")</f>
        <v>-</v>
      </c>
      <c r="R150" s="595" t="str">
        <f>+IFERROR(VLOOKUP(CONCATENATE(A150,$C$10,C150),'[1]ID1&amp;5'!B:J,8,FALSE),"-")</f>
        <v>-</v>
      </c>
      <c r="S150" s="596" t="str">
        <f>+IFERROR(VLOOKUP(C150,'[1]ID1&amp;5'!K:L,2,FALSE),"-")</f>
        <v>-</v>
      </c>
      <c r="T150" s="595" t="str">
        <f>+IFERROR(VLOOKUP(CONCATENATE(A150,$C$10,C150),'[1]ID1&amp;5'!B:J,9,FALSE),"-")</f>
        <v>-</v>
      </c>
      <c r="U150" s="596" t="str">
        <f>+IFERROR(VLOOKUP(D150,'[1]ID1&amp;5'!K:L,2,FALSE),"-")</f>
        <v>-</v>
      </c>
      <c r="V150" s="593" t="str">
        <f>+IFERROR(VLOOKUP(CONCATENATE(A150,$D$10,D150),'[1]ID1&amp;5'!B:J,9,FALSE),"-")</f>
        <v>-</v>
      </c>
      <c r="W150" s="596" t="str">
        <f>+IFERROR(VLOOKUP(E150,'[1]ID1&amp;5'!K:L,2,FALSE),"-")</f>
        <v>-</v>
      </c>
      <c r="X150" s="595" t="str">
        <f>+IFERROR(VLOOKUP(CONCATENATE(A150,$E$10,E150),'[1]ID1&amp;5'!B:J,9,FALSE),"-")</f>
        <v>-</v>
      </c>
      <c r="Y150" s="597" t="e">
        <f>+X150/O150</f>
        <v>#VALUE!</v>
      </c>
      <c r="Z150" s="596" t="str">
        <f>+IFERROR(VLOOKUP(F150,'[1]ID1&amp;5'!K:L,2,FALSE),"-")</f>
        <v>-</v>
      </c>
      <c r="AA150" s="595" t="str">
        <f>+IFERROR(VLOOKUP(CONCATENATE(A150,$F$10,F150),'[1]ID1&amp;5'!B:J,9,FALSE),"-")</f>
        <v>-</v>
      </c>
      <c r="AB150" s="597" t="e">
        <f>+AA150/O150</f>
        <v>#VALUE!</v>
      </c>
      <c r="AC150" s="593" t="str">
        <f>+IFERROR(VLOOKUP(A150&amp;G150,'[1]ID6&amp;7'!B:J,8,FALSE),"-")</f>
        <v>-</v>
      </c>
      <c r="AD150" s="593" t="str">
        <f>+IFERROR(VLOOKUP(A150&amp;G150,'[1]ID6&amp;7'!B:J,9,FALSE),"-")</f>
        <v>-</v>
      </c>
      <c r="AE150" s="593" t="str">
        <f>+IF(IFERROR(VLOOKUP(J150,'[1]ID8&amp;9'!G:G,1,FALSE),"")=J150,IF(VLOOKUP(J150,'[1]ID8&amp;9'!G:J,3,FALSE)+VLOOKUP(J150,'[1]ID8&amp;9'!G:J,4,FALSE)=2,_xlfn.MAXIFS('[1]ID8&amp;9'!D:D,'[1]ID8&amp;9'!G:G,J150,'[1]ID8&amp;9'!H:H,8,'[1]ID8&amp;9'!I:I,1,'[1]ID8&amp;9'!J:J,1),"Campo por concluir"),"Sem aplicabilidade")</f>
        <v>Sem aplicabilidade</v>
      </c>
      <c r="AF150" s="593" t="str">
        <f>+IF(IFERROR(VLOOKUP(J150,'[1]ID8&amp;9'!G:G,1,FALSE),"")=J150,IF(VLOOKUP(J150,'[1]ID8&amp;9'!G:J,3,FALSE)+VLOOKUP(J150,'[1]ID8&amp;9'!G:J,4,FALSE)=2,_xlfn.MAXIFS('[1]ID8&amp;9'!D:D,'[1]ID8&amp;9'!G:G,J150,'[1]ID8&amp;9'!H:H,9,'[1]ID8&amp;9'!I:I,1,'[1]ID8&amp;9'!J:J,1),"Campo por concluir"),"Sem aplicabilidade")</f>
        <v>Sem aplicabilidade</v>
      </c>
      <c r="AG150" s="598"/>
      <c r="AH150" s="433"/>
    </row>
    <row r="151" spans="9:34" hidden="1" x14ac:dyDescent="0.25">
      <c r="I151" s="591" t="s">
        <v>1334</v>
      </c>
      <c r="J151" s="592" t="s">
        <v>1346</v>
      </c>
      <c r="K151" s="592"/>
      <c r="L151" s="592"/>
      <c r="M151" s="593" t="e">
        <f>+COUNTIF('[1]ID1&amp;5'!A:A,'3. Status Testes'!I151&amp;'[1]1. Status'!J151)+COUNTIF('[1]ID6&amp;7'!A:A,'[1]1. Status'!I151&amp;'[1]1. Status'!J151)</f>
        <v>#VALUE!</v>
      </c>
      <c r="N151" s="601" t="str">
        <f>+IFERROR(VLOOKUP(CONCATENATE(A151,$B$10,B151),'[1]ID1&amp;5'!B:J,7,FALSE),"-")</f>
        <v>-</v>
      </c>
      <c r="O151" s="595" t="str">
        <f>+IFERROR(VLOOKUP(CONCATENATE(A151,$B$10,B151),'[1]ID1&amp;5'!B:J,8,FALSE),"-")</f>
        <v>-</v>
      </c>
      <c r="P151" s="596" t="str">
        <f>+IFERROR(VLOOKUP(B151,'[1]ID1&amp;5'!K:L,2,FALSE),"-")</f>
        <v>-</v>
      </c>
      <c r="Q151" s="595" t="str">
        <f>+IFERROR(VLOOKUP(CONCATENATE(A151,$B$10,B151),'[1]ID1&amp;5'!B:J,9,FALSE),"-")</f>
        <v>-</v>
      </c>
      <c r="R151" s="595" t="str">
        <f>+IFERROR(VLOOKUP(CONCATENATE(A151,$C$10,C151),'[1]ID1&amp;5'!B:J,8,FALSE),"-")</f>
        <v>-</v>
      </c>
      <c r="S151" s="596" t="str">
        <f>+IFERROR(VLOOKUP(C151,'[1]ID1&amp;5'!K:L,2,FALSE),"-")</f>
        <v>-</v>
      </c>
      <c r="T151" s="595" t="str">
        <f>+IFERROR(VLOOKUP(CONCATENATE(A151,$C$10,C151),'[1]ID1&amp;5'!B:J,9,FALSE),"-")</f>
        <v>-</v>
      </c>
      <c r="U151" s="596" t="str">
        <f>+IFERROR(VLOOKUP(D151,'[1]ID1&amp;5'!K:L,2,FALSE),"-")</f>
        <v>-</v>
      </c>
      <c r="V151" s="593" t="str">
        <f>+IFERROR(VLOOKUP(CONCATENATE(A151,$D$10,D151),'[1]ID1&amp;5'!B:J,9,FALSE),"-")</f>
        <v>-</v>
      </c>
      <c r="W151" s="596" t="str">
        <f>+IFERROR(VLOOKUP(E151,'[1]ID1&amp;5'!K:L,2,FALSE),"-")</f>
        <v>-</v>
      </c>
      <c r="X151" s="595" t="str">
        <f>+IFERROR(VLOOKUP(CONCATENATE(A151,$E$10,E151),'[1]ID1&amp;5'!B:J,9,FALSE),"-")</f>
        <v>-</v>
      </c>
      <c r="Y151" s="597" t="e">
        <f>+X151/O151</f>
        <v>#VALUE!</v>
      </c>
      <c r="Z151" s="596" t="str">
        <f>+IFERROR(VLOOKUP(F151,'[1]ID1&amp;5'!K:L,2,FALSE),"-")</f>
        <v>-</v>
      </c>
      <c r="AA151" s="595" t="str">
        <f>+IFERROR(VLOOKUP(CONCATENATE(A151,$F$10,F151),'[1]ID1&amp;5'!B:J,9,FALSE),"-")</f>
        <v>-</v>
      </c>
      <c r="AB151" s="597" t="e">
        <f>+AA151/O151</f>
        <v>#VALUE!</v>
      </c>
      <c r="AC151" s="593" t="str">
        <f>+IFERROR(VLOOKUP(A151&amp;G151,'[1]ID6&amp;7'!B:J,8,FALSE),"-")</f>
        <v>-</v>
      </c>
      <c r="AD151" s="593" t="str">
        <f>+IFERROR(VLOOKUP(A151&amp;G151,'[1]ID6&amp;7'!B:J,9,FALSE),"-")</f>
        <v>-</v>
      </c>
      <c r="AE151" s="593" t="str">
        <f>+IF(IFERROR(VLOOKUP(J151,'[1]ID8&amp;9'!G:G,1,FALSE),"")=J151,IF(VLOOKUP(J151,'[1]ID8&amp;9'!G:J,3,FALSE)+VLOOKUP(J151,'[1]ID8&amp;9'!G:J,4,FALSE)=2,_xlfn.MAXIFS('[1]ID8&amp;9'!D:D,'[1]ID8&amp;9'!G:G,J151,'[1]ID8&amp;9'!H:H,8,'[1]ID8&amp;9'!I:I,1,'[1]ID8&amp;9'!J:J,1),"Campo por concluir"),"Sem aplicabilidade")</f>
        <v>Sem aplicabilidade</v>
      </c>
      <c r="AF151" s="593" t="str">
        <f>+IF(IFERROR(VLOOKUP(J151,'[1]ID8&amp;9'!G:G,1,FALSE),"")=J151,IF(VLOOKUP(J151,'[1]ID8&amp;9'!G:J,3,FALSE)+VLOOKUP(J151,'[1]ID8&amp;9'!G:J,4,FALSE)=2,_xlfn.MAXIFS('[1]ID8&amp;9'!D:D,'[1]ID8&amp;9'!G:G,J151,'[1]ID8&amp;9'!H:H,9,'[1]ID8&amp;9'!I:I,1,'[1]ID8&amp;9'!J:J,1),"Campo por concluir"),"Sem aplicabilidade")</f>
        <v>Sem aplicabilidade</v>
      </c>
      <c r="AG151" s="598"/>
      <c r="AH151" s="433"/>
    </row>
    <row r="152" spans="9:34" hidden="1" x14ac:dyDescent="0.25">
      <c r="I152" s="591" t="s">
        <v>1334</v>
      </c>
      <c r="J152" s="592" t="s">
        <v>1309</v>
      </c>
      <c r="K152" s="592"/>
      <c r="L152" s="592"/>
      <c r="M152" s="593" t="e">
        <f>+COUNTIF('[1]ID1&amp;5'!A:A,'3. Status Testes'!I152&amp;'[1]1. Status'!J152)+COUNTIF('[1]ID6&amp;7'!A:A,'[1]1. Status'!I152&amp;'[1]1. Status'!J152)</f>
        <v>#VALUE!</v>
      </c>
      <c r="N152" s="601" t="str">
        <f>+IFERROR(VLOOKUP(CONCATENATE(A152,$B$10,B152),'[1]ID1&amp;5'!B:J,7,FALSE),"-")</f>
        <v>-</v>
      </c>
      <c r="O152" s="595" t="str">
        <f>+IFERROR(VLOOKUP(CONCATENATE(A152,$B$10,B152),'[1]ID1&amp;5'!B:J,8,FALSE),"-")</f>
        <v>-</v>
      </c>
      <c r="P152" s="596" t="str">
        <f>+IFERROR(VLOOKUP(B152,'[1]ID1&amp;5'!K:L,2,FALSE),"-")</f>
        <v>-</v>
      </c>
      <c r="Q152" s="595" t="str">
        <f>+IFERROR(VLOOKUP(CONCATENATE(A152,$B$10,B152),'[1]ID1&amp;5'!B:J,9,FALSE),"-")</f>
        <v>-</v>
      </c>
      <c r="R152" s="595" t="str">
        <f>+IFERROR(VLOOKUP(CONCATENATE(A152,$C$10,C152),'[1]ID1&amp;5'!B:J,8,FALSE),"-")</f>
        <v>-</v>
      </c>
      <c r="S152" s="596" t="str">
        <f>+IFERROR(VLOOKUP(C152,'[1]ID1&amp;5'!K:L,2,FALSE),"-")</f>
        <v>-</v>
      </c>
      <c r="T152" s="595" t="str">
        <f>+IFERROR(VLOOKUP(CONCATENATE(A152,$C$10,C152),'[1]ID1&amp;5'!B:J,9,FALSE),"-")</f>
        <v>-</v>
      </c>
      <c r="U152" s="596" t="str">
        <f>+IFERROR(VLOOKUP(D152,'[1]ID1&amp;5'!K:L,2,FALSE),"-")</f>
        <v>-</v>
      </c>
      <c r="V152" s="593" t="str">
        <f>+IFERROR(VLOOKUP(CONCATENATE(A152,$D$10,D152),'[1]ID1&amp;5'!B:J,9,FALSE),"-")</f>
        <v>-</v>
      </c>
      <c r="W152" s="596" t="str">
        <f>+IFERROR(VLOOKUP(E152,'[1]ID1&amp;5'!K:L,2,FALSE),"-")</f>
        <v>-</v>
      </c>
      <c r="X152" s="595" t="str">
        <f>+IFERROR(VLOOKUP(CONCATENATE(A152,$E$10,E152),'[1]ID1&amp;5'!B:J,9,FALSE),"-")</f>
        <v>-</v>
      </c>
      <c r="Y152" s="597" t="e">
        <f>+X152/O152</f>
        <v>#VALUE!</v>
      </c>
      <c r="Z152" s="596" t="str">
        <f>+IFERROR(VLOOKUP(F152,'[1]ID1&amp;5'!K:L,2,FALSE),"-")</f>
        <v>-</v>
      </c>
      <c r="AA152" s="595" t="str">
        <f>+IFERROR(VLOOKUP(CONCATENATE(A152,$F$10,F152),'[1]ID1&amp;5'!B:J,9,FALSE),"-")</f>
        <v>-</v>
      </c>
      <c r="AB152" s="597" t="e">
        <f>+AA152/O152</f>
        <v>#VALUE!</v>
      </c>
      <c r="AC152" s="593" t="str">
        <f>+IFERROR(VLOOKUP(A152&amp;G152,'[1]ID6&amp;7'!B:J,8,FALSE),"-")</f>
        <v>-</v>
      </c>
      <c r="AD152" s="593" t="str">
        <f>+IFERROR(VLOOKUP(A152&amp;G152,'[1]ID6&amp;7'!B:J,9,FALSE),"-")</f>
        <v>-</v>
      </c>
      <c r="AE152" s="593" t="str">
        <f>+IF(IFERROR(VLOOKUP(J152,'[1]ID8&amp;9'!G:G,1,FALSE),"")=J152,IF(VLOOKUP(J152,'[1]ID8&amp;9'!G:J,3,FALSE)+VLOOKUP(J152,'[1]ID8&amp;9'!G:J,4,FALSE)=2,_xlfn.MAXIFS('[1]ID8&amp;9'!D:D,'[1]ID8&amp;9'!G:G,J152,'[1]ID8&amp;9'!H:H,8,'[1]ID8&amp;9'!I:I,1,'[1]ID8&amp;9'!J:J,1),"Campo por concluir"),"Sem aplicabilidade")</f>
        <v>Sem aplicabilidade</v>
      </c>
      <c r="AF152" s="593" t="str">
        <f>+IF(IFERROR(VLOOKUP(J152,'[1]ID8&amp;9'!G:G,1,FALSE),"")=J152,IF(VLOOKUP(J152,'[1]ID8&amp;9'!G:J,3,FALSE)+VLOOKUP(J152,'[1]ID8&amp;9'!G:J,4,FALSE)=2,_xlfn.MAXIFS('[1]ID8&amp;9'!D:D,'[1]ID8&amp;9'!G:G,J152,'[1]ID8&amp;9'!H:H,9,'[1]ID8&amp;9'!I:I,1,'[1]ID8&amp;9'!J:J,1),"Campo por concluir"),"Sem aplicabilidade")</f>
        <v>Sem aplicabilidade</v>
      </c>
      <c r="AG152" s="598"/>
      <c r="AH152" s="433"/>
    </row>
    <row r="153" spans="9:34" hidden="1" x14ac:dyDescent="0.25">
      <c r="I153" s="591" t="s">
        <v>1334</v>
      </c>
      <c r="J153" s="592" t="s">
        <v>1347</v>
      </c>
      <c r="K153" s="592"/>
      <c r="L153" s="592"/>
      <c r="M153" s="593" t="e">
        <f>+COUNTIF('[1]ID1&amp;5'!A:A,'3. Status Testes'!I153&amp;'[1]1. Status'!J153)+COUNTIF('[1]ID6&amp;7'!A:A,'[1]1. Status'!I153&amp;'[1]1. Status'!J153)</f>
        <v>#VALUE!</v>
      </c>
      <c r="N153" s="601" t="str">
        <f>+IFERROR(VLOOKUP(CONCATENATE(A153,$B$10,B153),'[1]ID1&amp;5'!B:J,7,FALSE),"-")</f>
        <v>-</v>
      </c>
      <c r="O153" s="595" t="str">
        <f>+IFERROR(VLOOKUP(CONCATENATE(A153,$B$10,B153),'[1]ID1&amp;5'!B:J,8,FALSE),"-")</f>
        <v>-</v>
      </c>
      <c r="P153" s="596" t="str">
        <f>+IFERROR(VLOOKUP(B153,'[1]ID1&amp;5'!K:L,2,FALSE),"-")</f>
        <v>-</v>
      </c>
      <c r="Q153" s="595" t="str">
        <f>+IFERROR(VLOOKUP(CONCATENATE(A153,$B$10,B153),'[1]ID1&amp;5'!B:J,9,FALSE),"-")</f>
        <v>-</v>
      </c>
      <c r="R153" s="595" t="str">
        <f>+IFERROR(VLOOKUP(CONCATENATE(A153,$C$10,C153),'[1]ID1&amp;5'!B:J,8,FALSE),"-")</f>
        <v>-</v>
      </c>
      <c r="S153" s="596" t="str">
        <f>+IFERROR(VLOOKUP(C153,'[1]ID1&amp;5'!K:L,2,FALSE),"-")</f>
        <v>-</v>
      </c>
      <c r="T153" s="595" t="str">
        <f>+IFERROR(VLOOKUP(CONCATENATE(A153,$C$10,C153),'[1]ID1&amp;5'!B:J,9,FALSE),"-")</f>
        <v>-</v>
      </c>
      <c r="U153" s="596" t="str">
        <f>+IFERROR(VLOOKUP(D153,'[1]ID1&amp;5'!K:L,2,FALSE),"-")</f>
        <v>-</v>
      </c>
      <c r="V153" s="593" t="str">
        <f>+IFERROR(VLOOKUP(CONCATENATE(A153,$D$10,D153),'[1]ID1&amp;5'!B:J,9,FALSE),"-")</f>
        <v>-</v>
      </c>
      <c r="W153" s="596" t="str">
        <f>+IFERROR(VLOOKUP(E153,'[1]ID1&amp;5'!K:L,2,FALSE),"-")</f>
        <v>-</v>
      </c>
      <c r="X153" s="595" t="str">
        <f>+IFERROR(VLOOKUP(CONCATENATE(A153,$E$10,E153),'[1]ID1&amp;5'!B:J,9,FALSE),"-")</f>
        <v>-</v>
      </c>
      <c r="Y153" s="597" t="e">
        <f>+X153/O153</f>
        <v>#VALUE!</v>
      </c>
      <c r="Z153" s="596" t="str">
        <f>+IFERROR(VLOOKUP(F153,'[1]ID1&amp;5'!K:L,2,FALSE),"-")</f>
        <v>-</v>
      </c>
      <c r="AA153" s="595" t="str">
        <f>+IFERROR(VLOOKUP(CONCATENATE(A153,$F$10,F153),'[1]ID1&amp;5'!B:J,9,FALSE),"-")</f>
        <v>-</v>
      </c>
      <c r="AB153" s="597" t="e">
        <f>+AA153/O153</f>
        <v>#VALUE!</v>
      </c>
      <c r="AC153" s="593" t="str">
        <f>+IFERROR(VLOOKUP(A153&amp;G153,'[1]ID6&amp;7'!B:J,8,FALSE),"-")</f>
        <v>-</v>
      </c>
      <c r="AD153" s="593" t="str">
        <f>+IFERROR(VLOOKUP(A153&amp;G153,'[1]ID6&amp;7'!B:J,9,FALSE),"-")</f>
        <v>-</v>
      </c>
      <c r="AE153" s="593" t="str">
        <f>+IF(IFERROR(VLOOKUP(J153,'[1]ID8&amp;9'!G:G,1,FALSE),"")=J153,IF(VLOOKUP(J153,'[1]ID8&amp;9'!G:J,3,FALSE)+VLOOKUP(J153,'[1]ID8&amp;9'!G:J,4,FALSE)=2,_xlfn.MAXIFS('[1]ID8&amp;9'!D:D,'[1]ID8&amp;9'!G:G,J153,'[1]ID8&amp;9'!H:H,8,'[1]ID8&amp;9'!I:I,1,'[1]ID8&amp;9'!J:J,1),"Campo por concluir"),"Sem aplicabilidade")</f>
        <v>Sem aplicabilidade</v>
      </c>
      <c r="AF153" s="593" t="str">
        <f>+IF(IFERROR(VLOOKUP(J153,'[1]ID8&amp;9'!G:G,1,FALSE),"")=J153,IF(VLOOKUP(J153,'[1]ID8&amp;9'!G:J,3,FALSE)+VLOOKUP(J153,'[1]ID8&amp;9'!G:J,4,FALSE)=2,_xlfn.MAXIFS('[1]ID8&amp;9'!D:D,'[1]ID8&amp;9'!G:G,J153,'[1]ID8&amp;9'!H:H,9,'[1]ID8&amp;9'!I:I,1,'[1]ID8&amp;9'!J:J,1),"Campo por concluir"),"Sem aplicabilidade")</f>
        <v>Sem aplicabilidade</v>
      </c>
      <c r="AG153" s="598"/>
      <c r="AH153" s="433"/>
    </row>
    <row r="154" spans="9:34" hidden="1" x14ac:dyDescent="0.25">
      <c r="I154" s="591" t="s">
        <v>1334</v>
      </c>
      <c r="J154" s="592" t="s">
        <v>1348</v>
      </c>
      <c r="K154" s="592"/>
      <c r="L154" s="592"/>
      <c r="M154" s="593" t="e">
        <f>+COUNTIF('[1]ID1&amp;5'!A:A,'3. Status Testes'!I154&amp;'[1]1. Status'!J154)+COUNTIF('[1]ID6&amp;7'!A:A,'[1]1. Status'!I154&amp;'[1]1. Status'!J154)</f>
        <v>#VALUE!</v>
      </c>
      <c r="N154" s="601" t="str">
        <f>+IFERROR(VLOOKUP(CONCATENATE(A154,$B$10,B154),'[1]ID1&amp;5'!B:J,7,FALSE),"-")</f>
        <v>-</v>
      </c>
      <c r="O154" s="595" t="str">
        <f>+IFERROR(VLOOKUP(CONCATENATE(A154,$B$10,B154),'[1]ID1&amp;5'!B:J,8,FALSE),"-")</f>
        <v>-</v>
      </c>
      <c r="P154" s="596" t="str">
        <f>+IFERROR(VLOOKUP(B154,'[1]ID1&amp;5'!K:L,2,FALSE),"-")</f>
        <v>-</v>
      </c>
      <c r="Q154" s="595" t="str">
        <f>+IFERROR(VLOOKUP(CONCATENATE(A154,$B$10,B154),'[1]ID1&amp;5'!B:J,9,FALSE),"-")</f>
        <v>-</v>
      </c>
      <c r="R154" s="595" t="str">
        <f>+IFERROR(VLOOKUP(CONCATENATE(A154,$C$10,C154),'[1]ID1&amp;5'!B:J,8,FALSE),"-")</f>
        <v>-</v>
      </c>
      <c r="S154" s="596" t="str">
        <f>+IFERROR(VLOOKUP(C154,'[1]ID1&amp;5'!K:L,2,FALSE),"-")</f>
        <v>-</v>
      </c>
      <c r="T154" s="595" t="str">
        <f>+IFERROR(VLOOKUP(CONCATENATE(A154,$C$10,C154),'[1]ID1&amp;5'!B:J,9,FALSE),"-")</f>
        <v>-</v>
      </c>
      <c r="U154" s="596" t="str">
        <f>+IFERROR(VLOOKUP(D154,'[1]ID1&amp;5'!K:L,2,FALSE),"-")</f>
        <v>-</v>
      </c>
      <c r="V154" s="593" t="str">
        <f>+IFERROR(VLOOKUP(CONCATENATE(A154,$D$10,D154),'[1]ID1&amp;5'!B:J,9,FALSE),"-")</f>
        <v>-</v>
      </c>
      <c r="W154" s="596" t="str">
        <f>+IFERROR(VLOOKUP(E154,'[1]ID1&amp;5'!K:L,2,FALSE),"-")</f>
        <v>-</v>
      </c>
      <c r="X154" s="595" t="str">
        <f>+IFERROR(VLOOKUP(CONCATENATE(A154,$E$10,E154),'[1]ID1&amp;5'!B:J,9,FALSE),"-")</f>
        <v>-</v>
      </c>
      <c r="Y154" s="597" t="e">
        <f>+X154/O154</f>
        <v>#VALUE!</v>
      </c>
      <c r="Z154" s="596" t="str">
        <f>+IFERROR(VLOOKUP(F154,'[1]ID1&amp;5'!K:L,2,FALSE),"-")</f>
        <v>-</v>
      </c>
      <c r="AA154" s="595" t="str">
        <f>+IFERROR(VLOOKUP(CONCATENATE(A154,$F$10,F154),'[1]ID1&amp;5'!B:J,9,FALSE),"-")</f>
        <v>-</v>
      </c>
      <c r="AB154" s="597" t="e">
        <f>+AA154/O154</f>
        <v>#VALUE!</v>
      </c>
      <c r="AC154" s="593" t="str">
        <f>+IFERROR(VLOOKUP(A154&amp;G154,'[1]ID6&amp;7'!B:J,8,FALSE),"-")</f>
        <v>-</v>
      </c>
      <c r="AD154" s="593" t="str">
        <f>+IFERROR(VLOOKUP(A154&amp;G154,'[1]ID6&amp;7'!B:J,9,FALSE),"-")</f>
        <v>-</v>
      </c>
      <c r="AE154" s="593" t="str">
        <f>+IF(IFERROR(VLOOKUP(J154,'[1]ID8&amp;9'!G:G,1,FALSE),"")=J154,IF(VLOOKUP(J154,'[1]ID8&amp;9'!G:J,3,FALSE)+VLOOKUP(J154,'[1]ID8&amp;9'!G:J,4,FALSE)=2,_xlfn.MAXIFS('[1]ID8&amp;9'!D:D,'[1]ID8&amp;9'!G:G,J154,'[1]ID8&amp;9'!H:H,8,'[1]ID8&amp;9'!I:I,1,'[1]ID8&amp;9'!J:J,1),"Campo por concluir"),"Sem aplicabilidade")</f>
        <v>Sem aplicabilidade</v>
      </c>
      <c r="AF154" s="593" t="str">
        <f>+IF(IFERROR(VLOOKUP(J154,'[1]ID8&amp;9'!G:G,1,FALSE),"")=J154,IF(VLOOKUP(J154,'[1]ID8&amp;9'!G:J,3,FALSE)+VLOOKUP(J154,'[1]ID8&amp;9'!G:J,4,FALSE)=2,_xlfn.MAXIFS('[1]ID8&amp;9'!D:D,'[1]ID8&amp;9'!G:G,J154,'[1]ID8&amp;9'!H:H,9,'[1]ID8&amp;9'!I:I,1,'[1]ID8&amp;9'!J:J,1),"Campo por concluir"),"Sem aplicabilidade")</f>
        <v>Sem aplicabilidade</v>
      </c>
      <c r="AG154" s="598"/>
      <c r="AH154" s="433"/>
    </row>
    <row r="155" spans="9:34" hidden="1" x14ac:dyDescent="0.25">
      <c r="I155" s="591" t="s">
        <v>1334</v>
      </c>
      <c r="J155" s="592" t="s">
        <v>1349</v>
      </c>
      <c r="K155" s="592"/>
      <c r="L155" s="592"/>
      <c r="M155" s="593" t="e">
        <f>+COUNTIF('[1]ID1&amp;5'!A:A,'3. Status Testes'!I155&amp;'[1]1. Status'!J155)+COUNTIF('[1]ID6&amp;7'!A:A,'[1]1. Status'!I155&amp;'[1]1. Status'!J155)</f>
        <v>#VALUE!</v>
      </c>
      <c r="N155" s="601" t="str">
        <f>+IFERROR(VLOOKUP(CONCATENATE(A155,$B$10,B155),'[1]ID1&amp;5'!B:J,7,FALSE),"-")</f>
        <v>-</v>
      </c>
      <c r="O155" s="595" t="str">
        <f>+IFERROR(VLOOKUP(CONCATENATE(A155,$B$10,B155),'[1]ID1&amp;5'!B:J,8,FALSE),"-")</f>
        <v>-</v>
      </c>
      <c r="P155" s="596" t="str">
        <f>+IFERROR(VLOOKUP(B155,'[1]ID1&amp;5'!K:L,2,FALSE),"-")</f>
        <v>-</v>
      </c>
      <c r="Q155" s="595" t="str">
        <f>+IFERROR(VLOOKUP(CONCATENATE(A155,$B$10,B155),'[1]ID1&amp;5'!B:J,9,FALSE),"-")</f>
        <v>-</v>
      </c>
      <c r="R155" s="595" t="str">
        <f>+IFERROR(VLOOKUP(CONCATENATE(A155,$C$10,C155),'[1]ID1&amp;5'!B:J,8,FALSE),"-")</f>
        <v>-</v>
      </c>
      <c r="S155" s="596" t="str">
        <f>+IFERROR(VLOOKUP(C155,'[1]ID1&amp;5'!K:L,2,FALSE),"-")</f>
        <v>-</v>
      </c>
      <c r="T155" s="595" t="str">
        <f>+IFERROR(VLOOKUP(CONCATENATE(A155,$C$10,C155),'[1]ID1&amp;5'!B:J,9,FALSE),"-")</f>
        <v>-</v>
      </c>
      <c r="U155" s="596" t="str">
        <f>+IFERROR(VLOOKUP(D155,'[1]ID1&amp;5'!K:L,2,FALSE),"-")</f>
        <v>-</v>
      </c>
      <c r="V155" s="593" t="str">
        <f>+IFERROR(VLOOKUP(CONCATENATE(A155,$D$10,D155),'[1]ID1&amp;5'!B:J,9,FALSE),"-")</f>
        <v>-</v>
      </c>
      <c r="W155" s="596" t="str">
        <f>+IFERROR(VLOOKUP(E155,'[1]ID1&amp;5'!K:L,2,FALSE),"-")</f>
        <v>-</v>
      </c>
      <c r="X155" s="595" t="str">
        <f>+IFERROR(VLOOKUP(CONCATENATE(A155,$E$10,E155),'[1]ID1&amp;5'!B:J,9,FALSE),"-")</f>
        <v>-</v>
      </c>
      <c r="Y155" s="597" t="e">
        <f>+X155/O155</f>
        <v>#VALUE!</v>
      </c>
      <c r="Z155" s="596" t="str">
        <f>+IFERROR(VLOOKUP(F155,'[1]ID1&amp;5'!K:L,2,FALSE),"-")</f>
        <v>-</v>
      </c>
      <c r="AA155" s="595" t="str">
        <f>+IFERROR(VLOOKUP(CONCATENATE(A155,$F$10,F155),'[1]ID1&amp;5'!B:J,9,FALSE),"-")</f>
        <v>-</v>
      </c>
      <c r="AB155" s="597" t="e">
        <f>+AA155/O155</f>
        <v>#VALUE!</v>
      </c>
      <c r="AC155" s="593" t="str">
        <f>+IFERROR(VLOOKUP(A155&amp;G155,'[1]ID6&amp;7'!B:J,8,FALSE),"-")</f>
        <v>-</v>
      </c>
      <c r="AD155" s="593" t="str">
        <f>+IFERROR(VLOOKUP(A155&amp;G155,'[1]ID6&amp;7'!B:J,9,FALSE),"-")</f>
        <v>-</v>
      </c>
      <c r="AE155" s="593" t="str">
        <f>+IF(IFERROR(VLOOKUP(J155,'[1]ID8&amp;9'!G:G,1,FALSE),"")=J155,IF(VLOOKUP(J155,'[1]ID8&amp;9'!G:J,3,FALSE)+VLOOKUP(J155,'[1]ID8&amp;9'!G:J,4,FALSE)=2,_xlfn.MAXIFS('[1]ID8&amp;9'!D:D,'[1]ID8&amp;9'!G:G,J155,'[1]ID8&amp;9'!H:H,8,'[1]ID8&amp;9'!I:I,1,'[1]ID8&amp;9'!J:J,1),"Campo por concluir"),"Sem aplicabilidade")</f>
        <v>Sem aplicabilidade</v>
      </c>
      <c r="AF155" s="593" t="str">
        <f>+IF(IFERROR(VLOOKUP(J155,'[1]ID8&amp;9'!G:G,1,FALSE),"")=J155,IF(VLOOKUP(J155,'[1]ID8&amp;9'!G:J,3,FALSE)+VLOOKUP(J155,'[1]ID8&amp;9'!G:J,4,FALSE)=2,_xlfn.MAXIFS('[1]ID8&amp;9'!D:D,'[1]ID8&amp;9'!G:G,J155,'[1]ID8&amp;9'!H:H,9,'[1]ID8&amp;9'!I:I,1,'[1]ID8&amp;9'!J:J,1),"Campo por concluir"),"Sem aplicabilidade")</f>
        <v>Sem aplicabilidade</v>
      </c>
      <c r="AG155" s="598"/>
      <c r="AH155" s="433"/>
    </row>
    <row r="156" spans="9:34" hidden="1" x14ac:dyDescent="0.25">
      <c r="I156" s="591" t="s">
        <v>1334</v>
      </c>
      <c r="J156" s="592" t="s">
        <v>1350</v>
      </c>
      <c r="K156" s="592"/>
      <c r="L156" s="592"/>
      <c r="M156" s="593" t="e">
        <f>+COUNTIF('[1]ID1&amp;5'!A:A,'3. Status Testes'!I156&amp;'[1]1. Status'!J156)+COUNTIF('[1]ID6&amp;7'!A:A,'[1]1. Status'!I156&amp;'[1]1. Status'!J156)</f>
        <v>#VALUE!</v>
      </c>
      <c r="N156" s="601" t="str">
        <f>+IFERROR(VLOOKUP(CONCATENATE(A156,$B$10,B156),'[1]ID1&amp;5'!B:J,7,FALSE),"-")</f>
        <v>-</v>
      </c>
      <c r="O156" s="595" t="str">
        <f>+IFERROR(VLOOKUP(CONCATENATE(A156,$B$10,B156),'[1]ID1&amp;5'!B:J,8,FALSE),"-")</f>
        <v>-</v>
      </c>
      <c r="P156" s="596" t="str">
        <f>+IFERROR(VLOOKUP(B156,'[1]ID1&amp;5'!K:L,2,FALSE),"-")</f>
        <v>-</v>
      </c>
      <c r="Q156" s="595" t="str">
        <f>+IFERROR(VLOOKUP(CONCATENATE(A156,$B$10,B156),'[1]ID1&amp;5'!B:J,9,FALSE),"-")</f>
        <v>-</v>
      </c>
      <c r="R156" s="595" t="str">
        <f>+IFERROR(VLOOKUP(CONCATENATE(A156,$C$10,C156),'[1]ID1&amp;5'!B:J,8,FALSE),"-")</f>
        <v>-</v>
      </c>
      <c r="S156" s="596" t="str">
        <f>+IFERROR(VLOOKUP(C156,'[1]ID1&amp;5'!K:L,2,FALSE),"-")</f>
        <v>-</v>
      </c>
      <c r="T156" s="595" t="str">
        <f>+IFERROR(VLOOKUP(CONCATENATE(A156,$C$10,C156),'[1]ID1&amp;5'!B:J,9,FALSE),"-")</f>
        <v>-</v>
      </c>
      <c r="U156" s="596" t="str">
        <f>+IFERROR(VLOOKUP(D156,'[1]ID1&amp;5'!K:L,2,FALSE),"-")</f>
        <v>-</v>
      </c>
      <c r="V156" s="593" t="str">
        <f>+IFERROR(VLOOKUP(CONCATENATE(A156,$D$10,D156),'[1]ID1&amp;5'!B:J,9,FALSE),"-")</f>
        <v>-</v>
      </c>
      <c r="W156" s="596" t="str">
        <f>+IFERROR(VLOOKUP(E156,'[1]ID1&amp;5'!K:L,2,FALSE),"-")</f>
        <v>-</v>
      </c>
      <c r="X156" s="595" t="str">
        <f>+IFERROR(VLOOKUP(CONCATENATE(A156,$E$10,E156),'[1]ID1&amp;5'!B:J,9,FALSE),"-")</f>
        <v>-</v>
      </c>
      <c r="Y156" s="597" t="e">
        <f>+X156/O156</f>
        <v>#VALUE!</v>
      </c>
      <c r="Z156" s="596" t="str">
        <f>+IFERROR(VLOOKUP(F156,'[1]ID1&amp;5'!K:L,2,FALSE),"-")</f>
        <v>-</v>
      </c>
      <c r="AA156" s="595" t="str">
        <f>+IFERROR(VLOOKUP(CONCATENATE(A156,$F$10,F156),'[1]ID1&amp;5'!B:J,9,FALSE),"-")</f>
        <v>-</v>
      </c>
      <c r="AB156" s="597" t="e">
        <f>+AA156/O156</f>
        <v>#VALUE!</v>
      </c>
      <c r="AC156" s="593" t="str">
        <f>+IFERROR(VLOOKUP(A156&amp;G156,'[1]ID6&amp;7'!B:J,8,FALSE),"-")</f>
        <v>-</v>
      </c>
      <c r="AD156" s="593" t="str">
        <f>+IFERROR(VLOOKUP(A156&amp;G156,'[1]ID6&amp;7'!B:J,9,FALSE),"-")</f>
        <v>-</v>
      </c>
      <c r="AE156" s="593" t="str">
        <f>+IF(IFERROR(VLOOKUP(J156,'[1]ID8&amp;9'!G:G,1,FALSE),"")=J156,IF(VLOOKUP(J156,'[1]ID8&amp;9'!G:J,3,FALSE)+VLOOKUP(J156,'[1]ID8&amp;9'!G:J,4,FALSE)=2,_xlfn.MAXIFS('[1]ID8&amp;9'!D:D,'[1]ID8&amp;9'!G:G,J156,'[1]ID8&amp;9'!H:H,8,'[1]ID8&amp;9'!I:I,1,'[1]ID8&amp;9'!J:J,1),"Campo por concluir"),"Sem aplicabilidade")</f>
        <v>Sem aplicabilidade</v>
      </c>
      <c r="AF156" s="593" t="str">
        <f>+IF(IFERROR(VLOOKUP(J156,'[1]ID8&amp;9'!G:G,1,FALSE),"")=J156,IF(VLOOKUP(J156,'[1]ID8&amp;9'!G:J,3,FALSE)+VLOOKUP(J156,'[1]ID8&amp;9'!G:J,4,FALSE)=2,_xlfn.MAXIFS('[1]ID8&amp;9'!D:D,'[1]ID8&amp;9'!G:G,J156,'[1]ID8&amp;9'!H:H,9,'[1]ID8&amp;9'!I:I,1,'[1]ID8&amp;9'!J:J,1),"Campo por concluir"),"Sem aplicabilidade")</f>
        <v>Sem aplicabilidade</v>
      </c>
      <c r="AG156" s="598"/>
      <c r="AH156" s="433"/>
    </row>
    <row r="157" spans="9:34" hidden="1" x14ac:dyDescent="0.25">
      <c r="I157" s="591" t="s">
        <v>1334</v>
      </c>
      <c r="J157" s="592" t="s">
        <v>1318</v>
      </c>
      <c r="K157" s="592"/>
      <c r="L157" s="592"/>
      <c r="M157" s="593" t="e">
        <f>+COUNTIF('[1]ID1&amp;5'!A:A,'3. Status Testes'!I157&amp;'[1]1. Status'!J157)+COUNTIF('[1]ID6&amp;7'!A:A,'[1]1. Status'!I157&amp;'[1]1. Status'!J157)</f>
        <v>#VALUE!</v>
      </c>
      <c r="N157" s="601" t="str">
        <f>+IFERROR(VLOOKUP(CONCATENATE(A157,$B$10,B157),'[1]ID1&amp;5'!B:J,7,FALSE),"-")</f>
        <v>-</v>
      </c>
      <c r="O157" s="595" t="str">
        <f>+IFERROR(VLOOKUP(CONCATENATE(A157,$B$10,B157),'[1]ID1&amp;5'!B:J,8,FALSE),"-")</f>
        <v>-</v>
      </c>
      <c r="P157" s="596" t="str">
        <f>+IFERROR(VLOOKUP(B157,'[1]ID1&amp;5'!K:L,2,FALSE),"-")</f>
        <v>-</v>
      </c>
      <c r="Q157" s="595" t="str">
        <f>+IFERROR(VLOOKUP(CONCATENATE(A157,$B$10,B157),'[1]ID1&amp;5'!B:J,9,FALSE),"-")</f>
        <v>-</v>
      </c>
      <c r="R157" s="595" t="str">
        <f>+IFERROR(VLOOKUP(CONCATENATE(A157,$C$10,C157),'[1]ID1&amp;5'!B:J,8,FALSE),"-")</f>
        <v>-</v>
      </c>
      <c r="S157" s="596" t="str">
        <f>+IFERROR(VLOOKUP(C157,'[1]ID1&amp;5'!K:L,2,FALSE),"-")</f>
        <v>-</v>
      </c>
      <c r="T157" s="595" t="str">
        <f>+IFERROR(VLOOKUP(CONCATENATE(A157,$C$10,C157),'[1]ID1&amp;5'!B:J,9,FALSE),"-")</f>
        <v>-</v>
      </c>
      <c r="U157" s="596" t="str">
        <f>+IFERROR(VLOOKUP(D157,'[1]ID1&amp;5'!K:L,2,FALSE),"-")</f>
        <v>-</v>
      </c>
      <c r="V157" s="593" t="str">
        <f>+IFERROR(VLOOKUP(CONCATENATE(A157,$D$10,D157),'[1]ID1&amp;5'!B:J,9,FALSE),"-")</f>
        <v>-</v>
      </c>
      <c r="W157" s="596" t="str">
        <f>+IFERROR(VLOOKUP(E157,'[1]ID1&amp;5'!K:L,2,FALSE),"-")</f>
        <v>-</v>
      </c>
      <c r="X157" s="595" t="str">
        <f>+IFERROR(VLOOKUP(CONCATENATE(A157,$E$10,E157),'[1]ID1&amp;5'!B:J,9,FALSE),"-")</f>
        <v>-</v>
      </c>
      <c r="Y157" s="597" t="e">
        <f>+X157/O157</f>
        <v>#VALUE!</v>
      </c>
      <c r="Z157" s="596" t="str">
        <f>+IFERROR(VLOOKUP(F157,'[1]ID1&amp;5'!K:L,2,FALSE),"-")</f>
        <v>-</v>
      </c>
      <c r="AA157" s="595" t="str">
        <f>+IFERROR(VLOOKUP(CONCATENATE(A157,$F$10,F157),'[1]ID1&amp;5'!B:J,9,FALSE),"-")</f>
        <v>-</v>
      </c>
      <c r="AB157" s="597" t="e">
        <f>+AA157/O157</f>
        <v>#VALUE!</v>
      </c>
      <c r="AC157" s="593" t="str">
        <f>+IFERROR(VLOOKUP(A157&amp;G157,'[1]ID6&amp;7'!B:J,8,FALSE),"-")</f>
        <v>-</v>
      </c>
      <c r="AD157" s="593" t="str">
        <f>+IFERROR(VLOOKUP(A157&amp;G157,'[1]ID6&amp;7'!B:J,9,FALSE),"-")</f>
        <v>-</v>
      </c>
      <c r="AE157" s="593" t="str">
        <f>+IF(IFERROR(VLOOKUP(J157,'[1]ID8&amp;9'!G:G,1,FALSE),"")=J157,IF(VLOOKUP(J157,'[1]ID8&amp;9'!G:J,3,FALSE)+VLOOKUP(J157,'[1]ID8&amp;9'!G:J,4,FALSE)=2,_xlfn.MAXIFS('[1]ID8&amp;9'!D:D,'[1]ID8&amp;9'!G:G,J157,'[1]ID8&amp;9'!H:H,8,'[1]ID8&amp;9'!I:I,1,'[1]ID8&amp;9'!J:J,1),"Campo por concluir"),"Sem aplicabilidade")</f>
        <v>Sem aplicabilidade</v>
      </c>
      <c r="AF157" s="593" t="str">
        <f>+IF(IFERROR(VLOOKUP(J157,'[1]ID8&amp;9'!G:G,1,FALSE),"")=J157,IF(VLOOKUP(J157,'[1]ID8&amp;9'!G:J,3,FALSE)+VLOOKUP(J157,'[1]ID8&amp;9'!G:J,4,FALSE)=2,_xlfn.MAXIFS('[1]ID8&amp;9'!D:D,'[1]ID8&amp;9'!G:G,J157,'[1]ID8&amp;9'!H:H,9,'[1]ID8&amp;9'!I:I,1,'[1]ID8&amp;9'!J:J,1),"Campo por concluir"),"Sem aplicabilidade")</f>
        <v>Sem aplicabilidade</v>
      </c>
      <c r="AG157" s="598"/>
      <c r="AH157" s="433"/>
    </row>
  </sheetData>
  <autoFilter ref="I10:AH102" xr:uid="{00000000-0001-0000-0100-000000000000}"/>
  <mergeCells count="1">
    <mergeCell ref="B9:G9"/>
  </mergeCells>
  <conditionalFormatting sqref="AH11:AH157">
    <cfRule type="cellIs" dxfId="3" priority="1" operator="equal">
      <formula>"Rever"</formula>
    </cfRule>
    <cfRule type="cellIs" dxfId="2" priority="2" operator="equal">
      <formula>"WIP - IT"</formula>
    </cfRule>
    <cfRule type="cellIs" dxfId="1" priority="3" operator="equal">
      <formula>"NOK"</formula>
    </cfRule>
    <cfRule type="cellIs" dxfId="0" priority="4" operator="equal">
      <formula>"OK"</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D360-BF53-4DF7-B9F5-5E4EA5CBACFC}">
  <sheetPr filterMode="1"/>
  <dimension ref="A1:Y101"/>
  <sheetViews>
    <sheetView zoomScale="70" zoomScaleNormal="70" workbookViewId="0">
      <pane xSplit="6" ySplit="4" topLeftCell="J12" activePane="bottomRight" state="frozen"/>
      <selection pane="topRight"/>
      <selection pane="bottomLeft"/>
      <selection pane="bottomRight" activeCell="P47" sqref="P47"/>
    </sheetView>
  </sheetViews>
  <sheetFormatPr defaultColWidth="9.33203125" defaultRowHeight="12.75" customHeight="1" x14ac:dyDescent="0.4"/>
  <cols>
    <col min="1" max="1" width="5.33203125" style="7" customWidth="1"/>
    <col min="2" max="2" width="12.6640625" style="7" customWidth="1"/>
    <col min="3" max="3" width="4.6640625" style="7" bestFit="1" customWidth="1"/>
    <col min="4" max="4" width="7.5546875" style="7" customWidth="1"/>
    <col min="5" max="5" width="8.5546875" style="7" customWidth="1"/>
    <col min="6" max="6" width="76.6640625" style="7" customWidth="1"/>
    <col min="7" max="7" width="10.44140625" style="10" customWidth="1"/>
    <col min="8" max="8" width="10" style="10" customWidth="1"/>
    <col min="9" max="9" width="2.33203125" style="7" customWidth="1"/>
    <col min="10" max="10" width="6.33203125" style="9" customWidth="1"/>
    <col min="11" max="11" width="15.5546875" style="9" customWidth="1"/>
    <col min="12" max="13" width="16.6640625" style="9" customWidth="1"/>
    <col min="14" max="14" width="52" style="103" customWidth="1"/>
    <col min="15" max="15" width="23.6640625" style="103" customWidth="1"/>
    <col min="16" max="16" width="45.33203125" style="103" customWidth="1"/>
    <col min="17" max="17" width="27.33203125" style="103" customWidth="1"/>
    <col min="18" max="19" width="14.6640625" style="107" customWidth="1"/>
    <col min="20" max="20" width="13.33203125" style="103" customWidth="1"/>
    <col min="21" max="21" width="0" style="7" hidden="1" customWidth="1"/>
    <col min="22" max="16384" width="9.33203125" style="7"/>
  </cols>
  <sheetData>
    <row r="1" spans="1:25" ht="20.25" customHeight="1" thickBot="1" x14ac:dyDescent="0.45">
      <c r="B1" s="518" t="s">
        <v>117</v>
      </c>
      <c r="C1" s="519"/>
      <c r="D1" s="519"/>
      <c r="E1" s="519"/>
      <c r="F1" s="519"/>
      <c r="G1" s="520"/>
      <c r="H1" s="520"/>
      <c r="I1" s="519"/>
      <c r="J1" s="519"/>
      <c r="K1" s="519"/>
      <c r="L1" s="519"/>
      <c r="M1" s="519"/>
      <c r="N1" s="519"/>
      <c r="O1" s="519"/>
      <c r="P1" s="519"/>
      <c r="Q1" s="519"/>
      <c r="R1" s="519"/>
      <c r="S1" s="519"/>
      <c r="T1" s="519"/>
    </row>
    <row r="2" spans="1:25" ht="21" customHeight="1" thickBot="1" x14ac:dyDescent="0.45">
      <c r="B2" s="521" t="s">
        <v>118</v>
      </c>
      <c r="C2" s="522"/>
      <c r="D2" s="522"/>
      <c r="E2" s="522"/>
      <c r="F2" s="522"/>
      <c r="G2" s="523"/>
      <c r="H2" s="524"/>
      <c r="I2" s="8"/>
      <c r="J2" s="525" t="s">
        <v>119</v>
      </c>
      <c r="K2" s="526"/>
      <c r="L2" s="526"/>
      <c r="M2" s="526"/>
      <c r="N2" s="526"/>
      <c r="O2" s="526"/>
      <c r="P2" s="526"/>
      <c r="Q2" s="527"/>
      <c r="R2" s="9"/>
      <c r="S2" s="9"/>
      <c r="T2" s="10"/>
    </row>
    <row r="3" spans="1:25" ht="20.25" customHeight="1" thickBot="1" x14ac:dyDescent="0.45">
      <c r="B3" s="11"/>
      <c r="C3" s="12"/>
      <c r="D3" s="12"/>
      <c r="E3" s="12"/>
      <c r="F3" s="12"/>
      <c r="G3" s="13"/>
      <c r="H3" s="14"/>
      <c r="I3" s="8"/>
      <c r="J3" s="528" t="s">
        <v>120</v>
      </c>
      <c r="K3" s="529"/>
      <c r="L3" s="529"/>
      <c r="M3" s="529"/>
      <c r="N3" s="530"/>
      <c r="O3" s="531" t="s">
        <v>121</v>
      </c>
      <c r="P3" s="532"/>
      <c r="Q3" s="533" t="s">
        <v>122</v>
      </c>
      <c r="R3" s="15"/>
      <c r="S3" s="15"/>
      <c r="T3" s="16"/>
    </row>
    <row r="4" spans="1:25" ht="62.25" customHeight="1" thickBot="1" x14ac:dyDescent="0.45">
      <c r="A4" s="337" t="s">
        <v>910</v>
      </c>
      <c r="B4" s="17" t="s">
        <v>123</v>
      </c>
      <c r="C4" s="18" t="s">
        <v>124</v>
      </c>
      <c r="D4" s="18" t="s">
        <v>125</v>
      </c>
      <c r="E4" s="18" t="s">
        <v>126</v>
      </c>
      <c r="F4" s="18" t="s">
        <v>127</v>
      </c>
      <c r="G4" s="19" t="s">
        <v>128</v>
      </c>
      <c r="H4" s="20" t="s">
        <v>129</v>
      </c>
      <c r="I4" s="8"/>
      <c r="J4" s="21" t="s">
        <v>130</v>
      </c>
      <c r="K4" s="22" t="s">
        <v>131</v>
      </c>
      <c r="L4" s="330" t="s">
        <v>132</v>
      </c>
      <c r="M4" s="330" t="s">
        <v>133</v>
      </c>
      <c r="N4" s="331" t="s">
        <v>134</v>
      </c>
      <c r="O4" s="23" t="s">
        <v>131</v>
      </c>
      <c r="P4" s="24" t="s">
        <v>134</v>
      </c>
      <c r="Q4" s="534"/>
      <c r="R4" s="25" t="s">
        <v>135</v>
      </c>
      <c r="S4" s="26" t="s">
        <v>136</v>
      </c>
      <c r="T4" s="27"/>
    </row>
    <row r="5" spans="1:25" ht="97.2" hidden="1" x14ac:dyDescent="0.4">
      <c r="A5" s="338" t="str">
        <f>"B02.00_"&amp;MID(O5,28,LEN(O5))</f>
        <v>B02.00_0010_row_nmbr</v>
      </c>
      <c r="B5" s="28" t="s">
        <v>137</v>
      </c>
      <c r="C5" s="29" t="s">
        <v>138</v>
      </c>
      <c r="D5" s="30" t="s">
        <v>139</v>
      </c>
      <c r="E5" s="30" t="s">
        <v>140</v>
      </c>
      <c r="F5" s="31" t="s">
        <v>141</v>
      </c>
      <c r="G5" s="32"/>
      <c r="H5" s="33"/>
      <c r="I5" s="10"/>
      <c r="J5" s="34" t="s">
        <v>142</v>
      </c>
      <c r="K5" s="35"/>
      <c r="L5" s="35"/>
      <c r="M5" s="35"/>
      <c r="N5" s="332"/>
      <c r="O5" s="333" t="s">
        <v>143</v>
      </c>
      <c r="P5" s="36" t="s">
        <v>144</v>
      </c>
      <c r="Q5" s="334" t="s">
        <v>145</v>
      </c>
      <c r="R5" s="37" t="s">
        <v>146</v>
      </c>
      <c r="S5" s="38" t="s">
        <v>147</v>
      </c>
      <c r="T5" s="39" t="s">
        <v>147</v>
      </c>
      <c r="U5" s="7" t="s">
        <v>906</v>
      </c>
      <c r="X5" s="7" t="str">
        <f>+S5</f>
        <v>Concluído</v>
      </c>
      <c r="Y5" s="7" t="str">
        <f>+P5</f>
        <v>Sequenciador a implementar na tabela de output out_b0200_main_liabilities
Nota: A cada execução não deverão ser gerados Row numbers diferentes pelo que provisoriamente deverá ser feito um order by instrmnt_id</v>
      </c>
    </row>
    <row r="6" spans="1:25" ht="70.5" hidden="1" customHeight="1" x14ac:dyDescent="0.4">
      <c r="A6" s="337" t="str">
        <f>"B02.00_"&amp;MID(O6,28,LEN(O6))</f>
        <v>B02.00_0020_uniq_id</v>
      </c>
      <c r="B6" s="40" t="s">
        <v>148</v>
      </c>
      <c r="C6" s="41" t="s">
        <v>149</v>
      </c>
      <c r="D6" s="42" t="s">
        <v>150</v>
      </c>
      <c r="E6" s="42" t="s">
        <v>151</v>
      </c>
      <c r="F6" s="43" t="s">
        <v>152</v>
      </c>
      <c r="G6" s="44"/>
      <c r="H6" s="45"/>
      <c r="I6" s="10"/>
      <c r="J6" s="46" t="s">
        <v>142</v>
      </c>
      <c r="K6" s="47" t="s">
        <v>153</v>
      </c>
      <c r="L6" s="47"/>
      <c r="M6" s="47" t="s">
        <v>907</v>
      </c>
      <c r="N6" s="48"/>
      <c r="O6" s="49" t="s">
        <v>154</v>
      </c>
      <c r="P6" s="48" t="s">
        <v>155</v>
      </c>
      <c r="Q6" s="50" t="s">
        <v>156</v>
      </c>
      <c r="R6" s="37" t="s">
        <v>157</v>
      </c>
      <c r="S6" s="38" t="s">
        <v>147</v>
      </c>
      <c r="T6" s="39" t="s">
        <v>147</v>
      </c>
      <c r="U6" s="7" t="s">
        <v>906</v>
      </c>
      <c r="X6" s="7" t="str">
        <f t="shared" ref="X6:X69" si="0">+S6</f>
        <v>Concluído</v>
      </c>
      <c r="Y6" s="7" t="str">
        <f t="shared" ref="Y6:Y69" si="1">+P6</f>
        <v xml:space="preserve">lt002_instrument.instrmnt_id </v>
      </c>
    </row>
    <row r="7" spans="1:25" ht="162.75" hidden="1" customHeight="1" x14ac:dyDescent="0.4">
      <c r="A7" s="337" t="str">
        <f t="shared" ref="A7:A69" si="2">"B02.00_"&amp;MID(O7,28,LEN(O7))</f>
        <v>B02.00_0030_uniq_id_knwn_cntrprty</v>
      </c>
      <c r="B7" s="40" t="s">
        <v>158</v>
      </c>
      <c r="C7" s="41" t="s">
        <v>159</v>
      </c>
      <c r="D7" s="42" t="s">
        <v>150</v>
      </c>
      <c r="E7" s="42" t="s">
        <v>151</v>
      </c>
      <c r="F7" s="43" t="s">
        <v>160</v>
      </c>
      <c r="G7" s="44"/>
      <c r="H7" s="45"/>
      <c r="I7" s="10"/>
      <c r="J7" s="46" t="s">
        <v>142</v>
      </c>
      <c r="K7" s="47" t="s">
        <v>161</v>
      </c>
      <c r="L7" s="47"/>
      <c r="M7" s="47" t="s">
        <v>907</v>
      </c>
      <c r="N7" s="51"/>
      <c r="O7" s="46" t="s">
        <v>162</v>
      </c>
      <c r="P7" s="48" t="s">
        <v>161</v>
      </c>
      <c r="Q7" s="50" t="s">
        <v>156</v>
      </c>
      <c r="R7" s="37" t="s">
        <v>157</v>
      </c>
      <c r="S7" s="38" t="s">
        <v>147</v>
      </c>
      <c r="T7" s="39" t="s">
        <v>147</v>
      </c>
      <c r="U7" s="7" t="s">
        <v>906</v>
      </c>
      <c r="X7" s="7" t="str">
        <f t="shared" si="0"/>
        <v>Concluído</v>
      </c>
      <c r="Y7" s="7" t="str">
        <f t="shared" si="1"/>
        <v>lt002_instrument.isin</v>
      </c>
    </row>
    <row r="8" spans="1:25" ht="168" hidden="1" customHeight="1" x14ac:dyDescent="0.4">
      <c r="A8" s="337" t="str">
        <f t="shared" si="2"/>
        <v>B02.00_0040_typ_uniq_id_knwn_cntrprty</v>
      </c>
      <c r="B8" s="40" t="s">
        <v>163</v>
      </c>
      <c r="C8" s="52" t="s">
        <v>164</v>
      </c>
      <c r="D8" s="42" t="s">
        <v>150</v>
      </c>
      <c r="E8" s="42" t="s">
        <v>165</v>
      </c>
      <c r="F8" s="43" t="s">
        <v>166</v>
      </c>
      <c r="G8" s="44"/>
      <c r="H8" s="45"/>
      <c r="I8" s="10"/>
      <c r="J8" s="46" t="s">
        <v>142</v>
      </c>
      <c r="K8" s="47"/>
      <c r="L8" s="47"/>
      <c r="M8" s="47"/>
      <c r="N8" s="53"/>
      <c r="O8" s="46" t="s">
        <v>167</v>
      </c>
      <c r="P8" s="48" t="s">
        <v>168</v>
      </c>
      <c r="Q8" s="54" t="s">
        <v>169</v>
      </c>
      <c r="R8" s="37" t="s">
        <v>146</v>
      </c>
      <c r="S8" s="38" t="s">
        <v>147</v>
      </c>
      <c r="T8" s="39" t="s">
        <v>147</v>
      </c>
      <c r="U8" s="7" t="s">
        <v>906</v>
      </c>
      <c r="X8" s="7" t="str">
        <f t="shared" si="0"/>
        <v>Concluído</v>
      </c>
      <c r="Y8" s="7" t="str">
        <f t="shared" si="1"/>
        <v xml:space="preserve">Valor fixo 'ISIN'
</v>
      </c>
    </row>
    <row r="9" spans="1:25" ht="190.5" hidden="1" customHeight="1" x14ac:dyDescent="0.4">
      <c r="A9" s="337" t="str">
        <f t="shared" si="2"/>
        <v>B02.00_0050_orgnl_amnt_eur</v>
      </c>
      <c r="B9" s="40" t="s">
        <v>170</v>
      </c>
      <c r="C9" s="41">
        <v>50</v>
      </c>
      <c r="D9" s="55" t="s">
        <v>139</v>
      </c>
      <c r="E9" s="55" t="s">
        <v>171</v>
      </c>
      <c r="F9" s="43" t="s">
        <v>172</v>
      </c>
      <c r="G9" s="56" t="s">
        <v>173</v>
      </c>
      <c r="H9" s="45"/>
      <c r="I9" s="10"/>
      <c r="J9" s="46" t="s">
        <v>174</v>
      </c>
      <c r="K9" s="47" t="s">
        <v>175</v>
      </c>
      <c r="L9" s="47"/>
      <c r="M9" s="47" t="s">
        <v>908</v>
      </c>
      <c r="N9" s="51" t="s">
        <v>176</v>
      </c>
      <c r="O9" s="46" t="s">
        <v>177</v>
      </c>
      <c r="P9" s="51" t="s">
        <v>175</v>
      </c>
      <c r="Q9" s="54" t="s">
        <v>178</v>
      </c>
      <c r="R9" s="37" t="s">
        <v>179</v>
      </c>
      <c r="S9" s="38" t="s">
        <v>147</v>
      </c>
      <c r="T9" s="39" t="s">
        <v>180</v>
      </c>
      <c r="U9" s="7" t="s">
        <v>906</v>
      </c>
      <c r="X9" s="7" t="str">
        <f t="shared" si="0"/>
        <v>Concluído</v>
      </c>
      <c r="Y9" s="7" t="str">
        <f t="shared" si="1"/>
        <v>lt002_instrument.orgnl_amnt_eur</v>
      </c>
    </row>
    <row r="10" spans="1:25" ht="96.75" hidden="1" customHeight="1" x14ac:dyDescent="0.4">
      <c r="A10" s="337" t="str">
        <f t="shared" si="2"/>
        <v>B02.00_0060_orgnl_amnt_fx</v>
      </c>
      <c r="B10" s="40" t="s">
        <v>181</v>
      </c>
      <c r="C10" s="41" t="s">
        <v>182</v>
      </c>
      <c r="D10" s="55" t="s">
        <v>139</v>
      </c>
      <c r="E10" s="55" t="s">
        <v>171</v>
      </c>
      <c r="F10" s="43" t="s">
        <v>183</v>
      </c>
      <c r="G10" s="56" t="s">
        <v>173</v>
      </c>
      <c r="H10" s="45"/>
      <c r="I10" s="10"/>
      <c r="J10" s="46" t="s">
        <v>174</v>
      </c>
      <c r="K10" s="47" t="s">
        <v>184</v>
      </c>
      <c r="L10" s="47"/>
      <c r="M10" s="47" t="s">
        <v>908</v>
      </c>
      <c r="N10" s="48" t="s">
        <v>185</v>
      </c>
      <c r="O10" s="46" t="s">
        <v>186</v>
      </c>
      <c r="P10" s="51" t="s">
        <v>184</v>
      </c>
      <c r="Q10" s="54" t="s">
        <v>178</v>
      </c>
      <c r="R10" s="37" t="s">
        <v>179</v>
      </c>
      <c r="S10" s="38" t="s">
        <v>147</v>
      </c>
      <c r="T10" s="39" t="s">
        <v>180</v>
      </c>
      <c r="U10" s="7" t="s">
        <v>906</v>
      </c>
      <c r="X10" s="7" t="str">
        <f t="shared" si="0"/>
        <v>Concluído</v>
      </c>
      <c r="Y10" s="7" t="str">
        <f t="shared" si="1"/>
        <v>lt002_instrument.orgnl_amnt_fx</v>
      </c>
    </row>
    <row r="11" spans="1:25" ht="94.5" hidden="1" customHeight="1" x14ac:dyDescent="0.4">
      <c r="A11" s="337" t="str">
        <f t="shared" si="2"/>
        <v>B02.00_0070_cntrct_crrncy</v>
      </c>
      <c r="B11" s="40" t="s">
        <v>187</v>
      </c>
      <c r="C11" s="57" t="s">
        <v>188</v>
      </c>
      <c r="D11" s="42" t="s">
        <v>150</v>
      </c>
      <c r="E11" s="42" t="s">
        <v>189</v>
      </c>
      <c r="F11" s="43" t="s">
        <v>190</v>
      </c>
      <c r="G11" s="56" t="s">
        <v>191</v>
      </c>
      <c r="H11" s="45"/>
      <c r="I11" s="10"/>
      <c r="J11" s="46" t="s">
        <v>142</v>
      </c>
      <c r="K11" s="47" t="s">
        <v>192</v>
      </c>
      <c r="L11" s="47"/>
      <c r="M11" s="47" t="s">
        <v>193</v>
      </c>
      <c r="N11" s="48"/>
      <c r="O11" s="46" t="s">
        <v>194</v>
      </c>
      <c r="P11" s="48" t="s">
        <v>192</v>
      </c>
      <c r="Q11" s="50" t="s">
        <v>156</v>
      </c>
      <c r="R11" s="37" t="s">
        <v>157</v>
      </c>
      <c r="S11" s="38" t="s">
        <v>147</v>
      </c>
      <c r="T11" s="39" t="s">
        <v>147</v>
      </c>
      <c r="U11" s="7" t="s">
        <v>906</v>
      </c>
      <c r="X11" s="7" t="str">
        <f t="shared" si="0"/>
        <v>Concluído</v>
      </c>
      <c r="Y11" s="7" t="str">
        <f t="shared" si="1"/>
        <v>lt002_instrument.crrncy_dnmntn</v>
      </c>
    </row>
    <row r="12" spans="1:25" ht="155.25" hidden="1" customHeight="1" x14ac:dyDescent="0.4">
      <c r="A12" s="337" t="str">
        <f t="shared" si="2"/>
        <v>B02.00_0080_otstndng_prncpl_amnt</v>
      </c>
      <c r="B12" s="40" t="s">
        <v>195</v>
      </c>
      <c r="C12" s="41">
        <v>80</v>
      </c>
      <c r="D12" s="55" t="s">
        <v>139</v>
      </c>
      <c r="E12" s="55" t="s">
        <v>171</v>
      </c>
      <c r="F12" s="43" t="s">
        <v>196</v>
      </c>
      <c r="G12" s="56"/>
      <c r="H12" s="45"/>
      <c r="I12" s="10"/>
      <c r="J12" s="46" t="s">
        <v>174</v>
      </c>
      <c r="K12" s="47" t="s">
        <v>197</v>
      </c>
      <c r="L12" s="47"/>
      <c r="M12" s="47" t="s">
        <v>908</v>
      </c>
      <c r="N12" s="335" t="s">
        <v>198</v>
      </c>
      <c r="O12" s="46" t="s">
        <v>199</v>
      </c>
      <c r="P12" s="48" t="s">
        <v>200</v>
      </c>
      <c r="Q12" s="54" t="s">
        <v>201</v>
      </c>
      <c r="R12" s="37" t="s">
        <v>179</v>
      </c>
      <c r="S12" s="38" t="s">
        <v>202</v>
      </c>
      <c r="T12" s="39" t="s">
        <v>180</v>
      </c>
      <c r="U12" s="40" t="s">
        <v>906</v>
      </c>
      <c r="X12" s="7" t="str">
        <f t="shared" si="0"/>
        <v>Não Concluído</v>
      </c>
      <c r="Y12" s="7" t="str">
        <f t="shared" si="1"/>
        <v>Soma "otstndng_prncpl_amnt"  -  Soma "portion_amnt_rprtng_entty", por cada instrmnt_id da lt005_instr_ent
Na sheet "Aux Campos Montante" consta um exemplo com a aplicação desta lógica.</v>
      </c>
    </row>
    <row r="13" spans="1:25" ht="83.25" hidden="1" customHeight="1" x14ac:dyDescent="0.4">
      <c r="A13" s="337" t="str">
        <f t="shared" si="2"/>
        <v>B02.00_0090_prtn_amnt_rprtng_entty</v>
      </c>
      <c r="B13" s="40" t="s">
        <v>203</v>
      </c>
      <c r="C13" s="41" t="s">
        <v>204</v>
      </c>
      <c r="D13" s="55" t="s">
        <v>139</v>
      </c>
      <c r="E13" s="55" t="s">
        <v>171</v>
      </c>
      <c r="F13" s="43" t="s">
        <v>205</v>
      </c>
      <c r="G13" s="56" t="s">
        <v>173</v>
      </c>
      <c r="H13" s="45"/>
      <c r="I13" s="10"/>
      <c r="J13" s="46" t="s">
        <v>174</v>
      </c>
      <c r="K13" s="47" t="s">
        <v>206</v>
      </c>
      <c r="L13" s="47"/>
      <c r="M13" s="47" t="s">
        <v>908</v>
      </c>
      <c r="N13" s="58" t="s">
        <v>207</v>
      </c>
      <c r="O13" s="59" t="s">
        <v>208</v>
      </c>
      <c r="P13" s="58" t="s">
        <v>209</v>
      </c>
      <c r="Q13" s="60" t="s">
        <v>210</v>
      </c>
      <c r="R13" s="37" t="s">
        <v>179</v>
      </c>
      <c r="S13" s="38" t="s">
        <v>202</v>
      </c>
      <c r="T13" s="39" t="s">
        <v>180</v>
      </c>
      <c r="U13" s="7" t="s">
        <v>906</v>
      </c>
      <c r="X13" s="7" t="str">
        <f t="shared" si="0"/>
        <v>Não Concluído</v>
      </c>
      <c r="Y13" s="7" t="str">
        <f t="shared" si="1"/>
        <v>Soma "prtn_amnt_rprtng_entty", por cada instrmnt_id da lt005_instr_ent
Na sheet "Aux Campos Montante" consta um exemplo com a aplicação desta lógica.</v>
      </c>
    </row>
    <row r="14" spans="1:25" ht="135.75" hidden="1" customHeight="1" x14ac:dyDescent="0.4">
      <c r="A14" s="337" t="str">
        <f t="shared" si="2"/>
        <v>B02.00_0100_accrd_intrst_instrmnt</v>
      </c>
      <c r="B14" s="40" t="s">
        <v>211</v>
      </c>
      <c r="C14" s="41">
        <v>100</v>
      </c>
      <c r="D14" s="55" t="s">
        <v>139</v>
      </c>
      <c r="E14" s="55" t="s">
        <v>171</v>
      </c>
      <c r="F14" s="43" t="s">
        <v>212</v>
      </c>
      <c r="G14" s="56" t="s">
        <v>173</v>
      </c>
      <c r="H14" s="45" t="s">
        <v>213</v>
      </c>
      <c r="I14" s="10"/>
      <c r="J14" s="46" t="s">
        <v>174</v>
      </c>
      <c r="K14" s="61" t="s">
        <v>214</v>
      </c>
      <c r="L14" s="61"/>
      <c r="M14" s="47" t="s">
        <v>908</v>
      </c>
      <c r="N14" s="58" t="s">
        <v>215</v>
      </c>
      <c r="O14" s="59" t="s">
        <v>216</v>
      </c>
      <c r="P14" s="58" t="s">
        <v>217</v>
      </c>
      <c r="Q14" s="60" t="s">
        <v>218</v>
      </c>
      <c r="R14" s="37" t="s">
        <v>219</v>
      </c>
      <c r="S14" s="38" t="s">
        <v>147</v>
      </c>
      <c r="T14" s="39" t="s">
        <v>180</v>
      </c>
      <c r="U14" s="40" t="s">
        <v>906</v>
      </c>
      <c r="X14" s="7" t="str">
        <f t="shared" si="0"/>
        <v>Concluído</v>
      </c>
      <c r="Y14" s="7" t="str">
        <f t="shared" si="1"/>
        <v>(-1)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v>
      </c>
    </row>
    <row r="15" spans="1:25" ht="141" hidden="1" customHeight="1" x14ac:dyDescent="0.4">
      <c r="A15" s="337" t="str">
        <f t="shared" si="2"/>
        <v>B02.00_0110_applcbl_fees_charges</v>
      </c>
      <c r="B15" s="40" t="s">
        <v>220</v>
      </c>
      <c r="C15" s="41">
        <v>110</v>
      </c>
      <c r="D15" s="55" t="s">
        <v>139</v>
      </c>
      <c r="E15" s="55" t="s">
        <v>171</v>
      </c>
      <c r="F15" s="43" t="s">
        <v>221</v>
      </c>
      <c r="G15" s="56" t="s">
        <v>173</v>
      </c>
      <c r="H15" s="45" t="s">
        <v>213</v>
      </c>
      <c r="I15" s="10"/>
      <c r="J15" s="46" t="s">
        <v>142</v>
      </c>
      <c r="K15" s="47"/>
      <c r="L15" s="47"/>
      <c r="M15" s="47"/>
      <c r="N15" s="58"/>
      <c r="O15" s="59" t="s">
        <v>222</v>
      </c>
      <c r="P15" s="58" t="s">
        <v>223</v>
      </c>
      <c r="Q15" s="60" t="s">
        <v>224</v>
      </c>
      <c r="R15" s="37" t="s">
        <v>146</v>
      </c>
      <c r="S15" s="38" t="s">
        <v>147</v>
      </c>
      <c r="T15" s="39" t="s">
        <v>180</v>
      </c>
      <c r="U15" s="40" t="s">
        <v>906</v>
      </c>
      <c r="X15" s="7" t="str">
        <f t="shared" si="0"/>
        <v>Concluído</v>
      </c>
      <c r="Y15" s="7" t="str">
        <f t="shared" si="1"/>
        <v>Valor fixo 0</v>
      </c>
    </row>
    <row r="16" spans="1:25" s="63" customFormat="1" ht="165" hidden="1" customHeight="1" x14ac:dyDescent="0.4">
      <c r="A16" s="337" t="str">
        <f t="shared" si="2"/>
        <v>B02.00_0120_otstndng_amnt</v>
      </c>
      <c r="B16" s="40" t="s">
        <v>225</v>
      </c>
      <c r="C16" s="41" t="s">
        <v>226</v>
      </c>
      <c r="D16" s="55" t="s">
        <v>139</v>
      </c>
      <c r="E16" s="55" t="s">
        <v>171</v>
      </c>
      <c r="F16" s="43" t="s">
        <v>227</v>
      </c>
      <c r="G16" s="44" t="s">
        <v>173</v>
      </c>
      <c r="H16" s="45"/>
      <c r="I16" s="10"/>
      <c r="J16" s="46" t="s">
        <v>142</v>
      </c>
      <c r="K16" s="47"/>
      <c r="L16" s="47"/>
      <c r="M16" s="47"/>
      <c r="N16" s="51"/>
      <c r="O16" s="59" t="s">
        <v>228</v>
      </c>
      <c r="P16" s="51" t="s">
        <v>229</v>
      </c>
      <c r="Q16" s="54" t="s">
        <v>230</v>
      </c>
      <c r="R16" s="37" t="s">
        <v>146</v>
      </c>
      <c r="S16" s="38" t="s">
        <v>202</v>
      </c>
      <c r="T16" s="62" t="s">
        <v>180</v>
      </c>
      <c r="U16" s="7" t="s">
        <v>906</v>
      </c>
      <c r="X16" s="7" t="str">
        <f t="shared" si="0"/>
        <v>Não Concluído</v>
      </c>
      <c r="Y16" s="7" t="str">
        <f t="shared" si="1"/>
        <v xml:space="preserve">Soma dos 3 campos acima (0080, 0100 e 0110 ): 
Outstanding principal amount + Accrued interest + Applicable fees and charges
</v>
      </c>
    </row>
    <row r="17" spans="1:25" ht="127.5" hidden="1" customHeight="1" x14ac:dyDescent="0.4">
      <c r="A17" s="337" t="str">
        <f t="shared" si="2"/>
        <v>B02.00_0130_rlvnt_amnt_wdc</v>
      </c>
      <c r="B17" s="115" t="s">
        <v>614</v>
      </c>
      <c r="C17" s="41" t="s">
        <v>231</v>
      </c>
      <c r="D17" s="55" t="s">
        <v>139</v>
      </c>
      <c r="E17" s="55" t="s">
        <v>171</v>
      </c>
      <c r="F17" s="43" t="s">
        <v>232</v>
      </c>
      <c r="G17" s="44"/>
      <c r="H17" s="45"/>
      <c r="I17" s="10"/>
      <c r="J17" s="46" t="s">
        <v>142</v>
      </c>
      <c r="K17" s="47"/>
      <c r="L17" s="47"/>
      <c r="M17" s="47"/>
      <c r="N17" s="51"/>
      <c r="O17" s="59" t="s">
        <v>233</v>
      </c>
      <c r="P17" s="51" t="s">
        <v>234</v>
      </c>
      <c r="Q17" s="54" t="s">
        <v>898</v>
      </c>
      <c r="R17" s="37" t="s">
        <v>146</v>
      </c>
      <c r="S17" s="38" t="s">
        <v>202</v>
      </c>
      <c r="T17" s="39" t="s">
        <v>180</v>
      </c>
      <c r="U17" s="7" t="s">
        <v>906</v>
      </c>
      <c r="X17" s="7" t="str">
        <f t="shared" si="0"/>
        <v>Não Concluído</v>
      </c>
      <c r="Y17" s="7" t="str">
        <f t="shared" si="1"/>
        <v>Reportar Outstanding amount (0120)</v>
      </c>
    </row>
    <row r="18" spans="1:25" ht="192" hidden="1" customHeight="1" x14ac:dyDescent="0.4">
      <c r="A18" s="337" t="str">
        <f t="shared" si="2"/>
        <v>B02.00_0140_ntr_lblty</v>
      </c>
      <c r="B18" s="40" t="s">
        <v>236</v>
      </c>
      <c r="C18" s="41" t="s">
        <v>237</v>
      </c>
      <c r="D18" s="42" t="s">
        <v>150</v>
      </c>
      <c r="E18" s="42" t="s">
        <v>238</v>
      </c>
      <c r="F18" s="43" t="s">
        <v>239</v>
      </c>
      <c r="G18" s="44"/>
      <c r="H18" s="45"/>
      <c r="I18" s="10"/>
      <c r="J18" s="46" t="s">
        <v>142</v>
      </c>
      <c r="K18" s="47" t="s">
        <v>240</v>
      </c>
      <c r="L18" s="47"/>
      <c r="M18" s="47" t="s">
        <v>907</v>
      </c>
      <c r="N18" s="51" t="s">
        <v>241</v>
      </c>
      <c r="O18" s="59" t="s">
        <v>242</v>
      </c>
      <c r="P18" s="51" t="s">
        <v>240</v>
      </c>
      <c r="Q18" s="50" t="s">
        <v>243</v>
      </c>
      <c r="R18" s="37" t="s">
        <v>157</v>
      </c>
      <c r="S18" s="38" t="s">
        <v>147</v>
      </c>
      <c r="T18" s="39" t="s">
        <v>147</v>
      </c>
      <c r="U18" s="7" t="s">
        <v>906</v>
      </c>
      <c r="X18" s="7" t="str">
        <f t="shared" si="0"/>
        <v>Concluído</v>
      </c>
      <c r="Y18" s="7" t="str">
        <f t="shared" si="1"/>
        <v>lt002_instrument.typ_instrmnt</v>
      </c>
    </row>
    <row r="19" spans="1:25" ht="69" hidden="1" customHeight="1" x14ac:dyDescent="0.4">
      <c r="A19" s="337" t="str">
        <f t="shared" si="2"/>
        <v>B02.00_0141_ntr_lblty_othr</v>
      </c>
      <c r="B19" s="40" t="s">
        <v>244</v>
      </c>
      <c r="C19" s="41" t="s">
        <v>245</v>
      </c>
      <c r="D19" s="42" t="s">
        <v>150</v>
      </c>
      <c r="E19" s="42" t="s">
        <v>151</v>
      </c>
      <c r="F19" s="43" t="s">
        <v>246</v>
      </c>
      <c r="G19" s="44"/>
      <c r="H19" s="45"/>
      <c r="I19" s="10"/>
      <c r="J19" s="46" t="s">
        <v>142</v>
      </c>
      <c r="K19" s="47"/>
      <c r="L19" s="47"/>
      <c r="M19" s="47"/>
      <c r="N19" s="51"/>
      <c r="O19" s="59" t="s">
        <v>247</v>
      </c>
      <c r="P19" s="48" t="s">
        <v>248</v>
      </c>
      <c r="Q19" s="50" t="s">
        <v>249</v>
      </c>
      <c r="R19" s="37" t="s">
        <v>146</v>
      </c>
      <c r="S19" s="38" t="s">
        <v>147</v>
      </c>
      <c r="T19" s="39" t="s">
        <v>147</v>
      </c>
      <c r="U19" s="7" t="s">
        <v>906</v>
      </c>
      <c r="X19" s="7" t="str">
        <f t="shared" si="0"/>
        <v>Concluído</v>
      </c>
      <c r="Y19" s="7" t="str">
        <f t="shared" si="1"/>
        <v>Valor fixo 'Not applicable'</v>
      </c>
    </row>
    <row r="20" spans="1:25" ht="66.75" hidden="1" customHeight="1" x14ac:dyDescent="0.4">
      <c r="A20" s="337" t="str">
        <f t="shared" si="2"/>
        <v>B02.00_0150_flg_strctrlly_sbrdntd</v>
      </c>
      <c r="B20" s="40" t="s">
        <v>250</v>
      </c>
      <c r="C20" s="41" t="s">
        <v>251</v>
      </c>
      <c r="D20" s="42" t="s">
        <v>150</v>
      </c>
      <c r="E20" s="42" t="s">
        <v>252</v>
      </c>
      <c r="F20" s="43" t="s">
        <v>253</v>
      </c>
      <c r="G20" s="44"/>
      <c r="H20" s="45"/>
      <c r="I20" s="10"/>
      <c r="J20" s="46" t="s">
        <v>142</v>
      </c>
      <c r="K20" s="47"/>
      <c r="L20" s="47"/>
      <c r="M20" s="47"/>
      <c r="N20" s="51"/>
      <c r="O20" s="46" t="s">
        <v>254</v>
      </c>
      <c r="P20" s="48" t="s">
        <v>248</v>
      </c>
      <c r="Q20" s="50" t="s">
        <v>615</v>
      </c>
      <c r="R20" s="37" t="s">
        <v>146</v>
      </c>
      <c r="S20" s="38" t="s">
        <v>147</v>
      </c>
      <c r="T20" s="39" t="s">
        <v>147</v>
      </c>
      <c r="U20" s="7" t="s">
        <v>906</v>
      </c>
      <c r="X20" s="7" t="str">
        <f t="shared" si="0"/>
        <v>Concluído</v>
      </c>
      <c r="Y20" s="7" t="str">
        <f t="shared" si="1"/>
        <v>Valor fixo 'Not applicable'</v>
      </c>
    </row>
    <row r="21" spans="1:25" ht="115.5" hidden="1" customHeight="1" x14ac:dyDescent="0.4">
      <c r="A21" s="337" t="str">
        <f t="shared" si="2"/>
        <v>B02.00_0160_rank_insolv</v>
      </c>
      <c r="B21" s="40" t="s">
        <v>255</v>
      </c>
      <c r="C21" s="41" t="s">
        <v>256</v>
      </c>
      <c r="D21" s="55" t="s">
        <v>139</v>
      </c>
      <c r="E21" s="42" t="s">
        <v>140</v>
      </c>
      <c r="F21" s="43" t="s">
        <v>257</v>
      </c>
      <c r="G21" s="44"/>
      <c r="H21" s="45"/>
      <c r="I21" s="10"/>
      <c r="J21" s="46" t="s">
        <v>174</v>
      </c>
      <c r="K21" s="47" t="s">
        <v>258</v>
      </c>
      <c r="L21" s="47"/>
      <c r="M21" s="47" t="s">
        <v>908</v>
      </c>
      <c r="N21" s="51" t="s">
        <v>259</v>
      </c>
      <c r="O21" s="46" t="s">
        <v>260</v>
      </c>
      <c r="P21" s="51" t="s">
        <v>258</v>
      </c>
      <c r="Q21" s="54" t="s">
        <v>261</v>
      </c>
      <c r="R21" s="37" t="s">
        <v>179</v>
      </c>
      <c r="S21" s="38" t="s">
        <v>147</v>
      </c>
      <c r="T21" s="39" t="s">
        <v>147</v>
      </c>
      <c r="U21" s="7" t="s">
        <v>906</v>
      </c>
      <c r="X21" s="7" t="str">
        <f t="shared" si="0"/>
        <v>Concluído</v>
      </c>
      <c r="Y21" s="7" t="str">
        <f t="shared" si="1"/>
        <v>lt002_instrument.rank_insolv</v>
      </c>
    </row>
    <row r="22" spans="1:25" ht="162" hidden="1" customHeight="1" x14ac:dyDescent="0.4">
      <c r="A22" s="337" t="str">
        <f t="shared" si="2"/>
        <v>B02.00_0161_cntrctl_sbrdntn</v>
      </c>
      <c r="B22" s="40" t="s">
        <v>262</v>
      </c>
      <c r="C22" s="41" t="s">
        <v>263</v>
      </c>
      <c r="D22" s="55" t="s">
        <v>139</v>
      </c>
      <c r="E22" s="55" t="s">
        <v>171</v>
      </c>
      <c r="F22" s="43" t="s">
        <v>264</v>
      </c>
      <c r="G22" s="56" t="s">
        <v>173</v>
      </c>
      <c r="H22" s="45"/>
      <c r="I22" s="10"/>
      <c r="J22" s="46" t="s">
        <v>142</v>
      </c>
      <c r="K22" s="47"/>
      <c r="L22" s="47"/>
      <c r="M22" s="47"/>
      <c r="N22" s="51"/>
      <c r="O22" s="46" t="s">
        <v>265</v>
      </c>
      <c r="P22" s="51" t="s">
        <v>266</v>
      </c>
      <c r="Q22" s="54" t="s">
        <v>267</v>
      </c>
      <c r="R22" s="37" t="s">
        <v>146</v>
      </c>
      <c r="S22" s="38" t="s">
        <v>147</v>
      </c>
      <c r="T22" s="39" t="s">
        <v>147</v>
      </c>
      <c r="U22" s="7" t="s">
        <v>906</v>
      </c>
      <c r="X22" s="7" t="str">
        <f t="shared" si="0"/>
        <v>Concluído</v>
      </c>
      <c r="Y22" s="7" t="str">
        <f t="shared" si="1"/>
        <v>Valor fixo 999999999999999</v>
      </c>
    </row>
    <row r="23" spans="1:25" ht="163.5" hidden="1" customHeight="1" x14ac:dyDescent="0.4">
      <c r="A23" s="337" t="str">
        <f t="shared" si="2"/>
        <v>B02.00_0162_bail_in_cascade</v>
      </c>
      <c r="B23" s="40" t="s">
        <v>268</v>
      </c>
      <c r="C23" s="41">
        <v>162</v>
      </c>
      <c r="D23" s="42" t="s">
        <v>150</v>
      </c>
      <c r="E23" s="42" t="s">
        <v>269</v>
      </c>
      <c r="F23" s="43" t="s">
        <v>270</v>
      </c>
      <c r="G23" s="44"/>
      <c r="H23" s="45"/>
      <c r="I23" s="10"/>
      <c r="J23" s="46" t="s">
        <v>142</v>
      </c>
      <c r="K23" s="47" t="s">
        <v>258</v>
      </c>
      <c r="L23" s="47"/>
      <c r="M23" s="47" t="s">
        <v>907</v>
      </c>
      <c r="N23" s="51"/>
      <c r="O23" s="46" t="s">
        <v>271</v>
      </c>
      <c r="P23" s="51" t="s">
        <v>258</v>
      </c>
      <c r="Q23" s="54" t="s">
        <v>272</v>
      </c>
      <c r="R23" s="37" t="s">
        <v>146</v>
      </c>
      <c r="S23" s="38" t="s">
        <v>147</v>
      </c>
      <c r="T23" s="39" t="s">
        <v>147</v>
      </c>
      <c r="U23" s="7" t="s">
        <v>906</v>
      </c>
      <c r="X23" s="7" t="str">
        <f t="shared" si="0"/>
        <v>Concluído</v>
      </c>
      <c r="Y23" s="7" t="str">
        <f t="shared" si="1"/>
        <v>lt002_instrument.rank_insolv</v>
      </c>
    </row>
    <row r="24" spans="1:25" ht="99.75" hidden="1" customHeight="1" x14ac:dyDescent="0.4">
      <c r="A24" s="337" t="str">
        <f t="shared" si="2"/>
        <v>B02.00_0170_dt_incptn</v>
      </c>
      <c r="B24" s="40" t="s">
        <v>273</v>
      </c>
      <c r="C24" s="41" t="s">
        <v>274</v>
      </c>
      <c r="D24" s="55" t="s">
        <v>275</v>
      </c>
      <c r="E24" s="55" t="s">
        <v>276</v>
      </c>
      <c r="F24" s="43" t="s">
        <v>277</v>
      </c>
      <c r="G24" s="44"/>
      <c r="H24" s="45"/>
      <c r="I24" s="10"/>
      <c r="J24" s="46" t="s">
        <v>142</v>
      </c>
      <c r="K24" s="47" t="s">
        <v>278</v>
      </c>
      <c r="L24" s="47"/>
      <c r="M24" s="47" t="s">
        <v>909</v>
      </c>
      <c r="N24" s="51" t="s">
        <v>279</v>
      </c>
      <c r="O24" s="46" t="s">
        <v>280</v>
      </c>
      <c r="P24" s="51" t="s">
        <v>278</v>
      </c>
      <c r="Q24" s="54" t="s">
        <v>281</v>
      </c>
      <c r="R24" s="37" t="s">
        <v>157</v>
      </c>
      <c r="S24" s="38" t="s">
        <v>147</v>
      </c>
      <c r="T24" s="39" t="s">
        <v>147</v>
      </c>
      <c r="U24" s="7" t="s">
        <v>906</v>
      </c>
      <c r="X24" s="7" t="str">
        <f t="shared" si="0"/>
        <v>Concluído</v>
      </c>
      <c r="Y24" s="7" t="str">
        <f t="shared" si="1"/>
        <v>lt002_instrument.dt_incptn</v>
      </c>
    </row>
    <row r="25" spans="1:25" ht="180" hidden="1" customHeight="1" x14ac:dyDescent="0.4">
      <c r="A25" s="337" t="str">
        <f t="shared" si="2"/>
        <v>B02.00_0180_dt_nxt_intrst_pymnt</v>
      </c>
      <c r="B25" s="40" t="s">
        <v>282</v>
      </c>
      <c r="C25" s="57" t="s">
        <v>283</v>
      </c>
      <c r="D25" s="55" t="s">
        <v>275</v>
      </c>
      <c r="E25" s="55" t="s">
        <v>276</v>
      </c>
      <c r="F25" s="43" t="s">
        <v>284</v>
      </c>
      <c r="G25" s="56" t="s">
        <v>285</v>
      </c>
      <c r="H25" s="64" t="s">
        <v>213</v>
      </c>
      <c r="I25" s="10"/>
      <c r="J25" s="46" t="s">
        <v>174</v>
      </c>
      <c r="K25" s="47" t="s">
        <v>286</v>
      </c>
      <c r="L25" s="47"/>
      <c r="M25" s="47" t="s">
        <v>909</v>
      </c>
      <c r="N25" s="51" t="s">
        <v>287</v>
      </c>
      <c r="O25" s="46" t="s">
        <v>288</v>
      </c>
      <c r="P25" s="51" t="s">
        <v>286</v>
      </c>
      <c r="Q25" s="54" t="s">
        <v>289</v>
      </c>
      <c r="R25" s="37" t="s">
        <v>179</v>
      </c>
      <c r="S25" s="38" t="s">
        <v>147</v>
      </c>
      <c r="T25" s="39" t="s">
        <v>147</v>
      </c>
      <c r="U25" s="7" t="s">
        <v>906</v>
      </c>
      <c r="X25" s="7" t="str">
        <f t="shared" si="0"/>
        <v>Concluído</v>
      </c>
      <c r="Y25" s="7" t="str">
        <f t="shared" si="1"/>
        <v xml:space="preserve">lt002_instrument.dt_nxt_intrst_pymnt </v>
      </c>
    </row>
    <row r="26" spans="1:25" ht="121.5" hidden="1" customHeight="1" x14ac:dyDescent="0.4">
      <c r="A26" s="337" t="str">
        <f t="shared" si="2"/>
        <v>B02.00_0190_dt_nxt_rdmptn_pymnt</v>
      </c>
      <c r="B26" s="40" t="s">
        <v>290</v>
      </c>
      <c r="C26" s="41" t="s">
        <v>291</v>
      </c>
      <c r="D26" s="55" t="s">
        <v>275</v>
      </c>
      <c r="E26" s="55" t="s">
        <v>276</v>
      </c>
      <c r="F26" s="43" t="s">
        <v>292</v>
      </c>
      <c r="G26" s="56" t="s">
        <v>293</v>
      </c>
      <c r="H26" s="45"/>
      <c r="I26" s="10"/>
      <c r="J26" s="46" t="s">
        <v>142</v>
      </c>
      <c r="K26" s="47"/>
      <c r="L26" s="47"/>
      <c r="M26" s="47"/>
      <c r="N26" s="51"/>
      <c r="O26" s="46" t="s">
        <v>294</v>
      </c>
      <c r="P26" s="51" t="s">
        <v>295</v>
      </c>
      <c r="Q26" s="54" t="s">
        <v>296</v>
      </c>
      <c r="R26" s="37" t="s">
        <v>146</v>
      </c>
      <c r="S26" s="38" t="s">
        <v>147</v>
      </c>
      <c r="T26" s="39" t="s">
        <v>147</v>
      </c>
      <c r="U26" s="7" t="s">
        <v>906</v>
      </c>
      <c r="X26" s="7" t="str">
        <f t="shared" si="0"/>
        <v>Concluído</v>
      </c>
      <c r="Y26" s="7" t="str">
        <f t="shared" si="1"/>
        <v>lt002_instrument.dt_lgl_fnl_mtrty</v>
      </c>
    </row>
    <row r="27" spans="1:25" ht="147" hidden="1" customHeight="1" x14ac:dyDescent="0.4">
      <c r="A27" s="337" t="str">
        <f t="shared" si="2"/>
        <v>B02.00_0200_dt_erlst_rdmptn</v>
      </c>
      <c r="B27" s="40" t="s">
        <v>297</v>
      </c>
      <c r="C27" s="57" t="s">
        <v>298</v>
      </c>
      <c r="D27" s="55" t="s">
        <v>275</v>
      </c>
      <c r="E27" s="55" t="s">
        <v>276</v>
      </c>
      <c r="F27" s="43" t="s">
        <v>299</v>
      </c>
      <c r="G27" s="56" t="s">
        <v>285</v>
      </c>
      <c r="H27" s="45"/>
      <c r="I27" s="10"/>
      <c r="J27" s="46" t="s">
        <v>142</v>
      </c>
      <c r="K27" s="47"/>
      <c r="L27" s="47"/>
      <c r="M27" s="47"/>
      <c r="N27" s="51"/>
      <c r="O27" s="46" t="s">
        <v>300</v>
      </c>
      <c r="P27" s="51" t="s">
        <v>301</v>
      </c>
      <c r="Q27" s="54" t="s">
        <v>302</v>
      </c>
      <c r="R27" s="37" t="s">
        <v>146</v>
      </c>
      <c r="S27" s="38" t="s">
        <v>147</v>
      </c>
      <c r="T27" s="39" t="s">
        <v>147</v>
      </c>
      <c r="U27" s="39" t="s">
        <v>303</v>
      </c>
      <c r="X27" s="7" t="str">
        <f t="shared" si="0"/>
        <v>Concluído</v>
      </c>
      <c r="Y27" s="7" t="str">
        <f t="shared" si="1"/>
        <v xml:space="preserve">Valor fixo ‘0001-01-01’.
</v>
      </c>
    </row>
    <row r="28" spans="1:25" ht="131.25" hidden="1" customHeight="1" x14ac:dyDescent="0.4">
      <c r="A28" s="337" t="str">
        <f t="shared" si="2"/>
        <v>B02.00_0210_dt_lgl_fnl_mtrty</v>
      </c>
      <c r="B28" s="40" t="s">
        <v>304</v>
      </c>
      <c r="C28" s="57" t="s">
        <v>305</v>
      </c>
      <c r="D28" s="55" t="s">
        <v>275</v>
      </c>
      <c r="E28" s="55" t="s">
        <v>276</v>
      </c>
      <c r="F28" s="43" t="s">
        <v>306</v>
      </c>
      <c r="G28" s="56" t="s">
        <v>285</v>
      </c>
      <c r="H28" s="45"/>
      <c r="I28" s="10"/>
      <c r="J28" s="46" t="s">
        <v>142</v>
      </c>
      <c r="K28" s="47" t="s">
        <v>295</v>
      </c>
      <c r="L28" s="47"/>
      <c r="M28" s="47" t="s">
        <v>909</v>
      </c>
      <c r="N28" s="48" t="s">
        <v>307</v>
      </c>
      <c r="O28" s="46" t="s">
        <v>308</v>
      </c>
      <c r="P28" s="48" t="s">
        <v>295</v>
      </c>
      <c r="Q28" s="54" t="s">
        <v>309</v>
      </c>
      <c r="R28" s="37" t="s">
        <v>157</v>
      </c>
      <c r="S28" s="38" t="s">
        <v>147</v>
      </c>
      <c r="T28" s="39" t="s">
        <v>147</v>
      </c>
      <c r="U28" s="7" t="s">
        <v>906</v>
      </c>
      <c r="X28" s="7" t="str">
        <f t="shared" si="0"/>
        <v>Concluído</v>
      </c>
      <c r="Y28" s="7" t="str">
        <f t="shared" si="1"/>
        <v>lt002_instrument.dt_lgl_fnl_mtrty</v>
      </c>
    </row>
    <row r="29" spans="1:25" ht="88.5" hidden="1" customHeight="1" x14ac:dyDescent="0.4">
      <c r="A29" s="337" t="str">
        <f t="shared" si="2"/>
        <v>B02.00_0220_governing_law</v>
      </c>
      <c r="B29" s="40" t="s">
        <v>310</v>
      </c>
      <c r="C29" s="41" t="s">
        <v>311</v>
      </c>
      <c r="D29" s="42" t="s">
        <v>150</v>
      </c>
      <c r="E29" s="55" t="s">
        <v>312</v>
      </c>
      <c r="F29" s="43" t="s">
        <v>313</v>
      </c>
      <c r="G29" s="56" t="s">
        <v>314</v>
      </c>
      <c r="H29" s="45"/>
      <c r="I29" s="10"/>
      <c r="J29" s="46" t="s">
        <v>142</v>
      </c>
      <c r="K29" s="47" t="s">
        <v>315</v>
      </c>
      <c r="L29" s="47"/>
      <c r="M29" s="47" t="s">
        <v>316</v>
      </c>
      <c r="N29" s="51"/>
      <c r="O29" s="46" t="s">
        <v>317</v>
      </c>
      <c r="P29" s="51" t="s">
        <v>315</v>
      </c>
      <c r="Q29" s="54" t="s">
        <v>281</v>
      </c>
      <c r="R29" s="37" t="s">
        <v>157</v>
      </c>
      <c r="S29" s="38" t="s">
        <v>147</v>
      </c>
      <c r="T29" s="39" t="s">
        <v>147</v>
      </c>
      <c r="U29" s="7" t="s">
        <v>906</v>
      </c>
      <c r="X29" s="7" t="str">
        <f t="shared" si="0"/>
        <v>Concluído</v>
      </c>
      <c r="Y29" s="7" t="str">
        <f t="shared" si="1"/>
        <v>lt002_instrument.governing_law</v>
      </c>
    </row>
    <row r="30" spans="1:25" ht="177.75" hidden="1" customHeight="1" x14ac:dyDescent="0.4">
      <c r="A30" s="337" t="str">
        <f t="shared" si="2"/>
        <v>B02.00_0230_bail_in_rcgntn_cls</v>
      </c>
      <c r="B30" s="40" t="s">
        <v>318</v>
      </c>
      <c r="C30" s="57" t="s">
        <v>319</v>
      </c>
      <c r="D30" s="42" t="s">
        <v>150</v>
      </c>
      <c r="E30" s="42" t="s">
        <v>238</v>
      </c>
      <c r="F30" s="43" t="s">
        <v>320</v>
      </c>
      <c r="G30" s="56" t="s">
        <v>321</v>
      </c>
      <c r="H30" s="45"/>
      <c r="I30" s="10"/>
      <c r="J30" s="46" t="s">
        <v>142</v>
      </c>
      <c r="K30" s="47"/>
      <c r="L30" s="47"/>
      <c r="M30" s="47"/>
      <c r="N30" s="51"/>
      <c r="O30" s="46" t="s">
        <v>322</v>
      </c>
      <c r="P30" s="51" t="s">
        <v>323</v>
      </c>
      <c r="Q30" s="54" t="s">
        <v>324</v>
      </c>
      <c r="R30" s="37" t="s">
        <v>146</v>
      </c>
      <c r="S30" s="38" t="s">
        <v>147</v>
      </c>
      <c r="T30" s="39" t="s">
        <v>147</v>
      </c>
      <c r="U30" s="7" t="s">
        <v>906</v>
      </c>
      <c r="X30" s="7" t="str">
        <f t="shared" si="0"/>
        <v>Concluído</v>
      </c>
      <c r="Y30" s="7" t="str">
        <f t="shared" si="1"/>
        <v>Valor fixo 'Yes, supported by Legal Opinion'</v>
      </c>
    </row>
    <row r="31" spans="1:25" ht="119.25" hidden="1" customHeight="1" x14ac:dyDescent="0.4">
      <c r="A31" s="337" t="str">
        <f t="shared" si="2"/>
        <v>B02.00_0240_zero_coupon</v>
      </c>
      <c r="B31" s="40" t="s">
        <v>325</v>
      </c>
      <c r="C31" s="57" t="s">
        <v>326</v>
      </c>
      <c r="D31" s="42" t="s">
        <v>150</v>
      </c>
      <c r="E31" s="42" t="s">
        <v>238</v>
      </c>
      <c r="F31" s="43" t="s">
        <v>327</v>
      </c>
      <c r="G31" s="65"/>
      <c r="H31" s="66"/>
      <c r="I31" s="10"/>
      <c r="J31" s="46" t="s">
        <v>142</v>
      </c>
      <c r="K31" s="47"/>
      <c r="L31" s="47"/>
      <c r="M31" s="47"/>
      <c r="N31" s="51"/>
      <c r="O31" s="46" t="s">
        <v>328</v>
      </c>
      <c r="P31" s="51" t="s">
        <v>329</v>
      </c>
      <c r="Q31" s="54" t="s">
        <v>324</v>
      </c>
      <c r="R31" s="37" t="s">
        <v>146</v>
      </c>
      <c r="S31" s="38" t="s">
        <v>147</v>
      </c>
      <c r="T31" s="39" t="s">
        <v>147</v>
      </c>
      <c r="U31" s="7" t="s">
        <v>906</v>
      </c>
      <c r="X31" s="7" t="str">
        <f t="shared" si="0"/>
        <v>Concluído</v>
      </c>
      <c r="Y31" s="7" t="str">
        <f t="shared" si="1"/>
        <v>Valor fixo 'No ZCB'</v>
      </c>
    </row>
    <row r="32" spans="1:25" ht="276" hidden="1" customHeight="1" x14ac:dyDescent="0.4">
      <c r="A32" s="337" t="str">
        <f t="shared" si="2"/>
        <v>B02.00_0250_strctrd_prdct</v>
      </c>
      <c r="B32" s="40" t="s">
        <v>330</v>
      </c>
      <c r="C32" s="41" t="s">
        <v>331</v>
      </c>
      <c r="D32" s="42" t="s">
        <v>150</v>
      </c>
      <c r="E32" s="42" t="s">
        <v>238</v>
      </c>
      <c r="F32" s="67" t="s">
        <v>332</v>
      </c>
      <c r="G32" s="68" t="s">
        <v>333</v>
      </c>
      <c r="H32" s="69" t="s">
        <v>333</v>
      </c>
      <c r="I32" s="70"/>
      <c r="J32" s="46" t="s">
        <v>142</v>
      </c>
      <c r="K32" s="47"/>
      <c r="L32" s="47"/>
      <c r="M32" s="47"/>
      <c r="N32" s="51"/>
      <c r="O32" s="46" t="s">
        <v>334</v>
      </c>
      <c r="P32" s="336" t="s">
        <v>335</v>
      </c>
      <c r="Q32" s="50" t="s">
        <v>616</v>
      </c>
      <c r="R32" s="37" t="s">
        <v>146</v>
      </c>
      <c r="S32" s="38" t="s">
        <v>147</v>
      </c>
      <c r="T32" s="39" t="s">
        <v>147</v>
      </c>
      <c r="U32" s="7" t="s">
        <v>906</v>
      </c>
      <c r="X32" s="7" t="str">
        <f t="shared" si="0"/>
        <v>Concluído</v>
      </c>
      <c r="Y32" s="7" t="str">
        <f t="shared" si="1"/>
        <v>Valor fixo 'Non-structured/Vanilla'</v>
      </c>
    </row>
    <row r="33" spans="1:25" ht="78.75" hidden="1" customHeight="1" x14ac:dyDescent="0.4">
      <c r="A33" s="337" t="str">
        <f t="shared" si="2"/>
        <v>B02.00_0260_grntd_min_amnt_strctrd_prdct</v>
      </c>
      <c r="B33" s="40" t="s">
        <v>336</v>
      </c>
      <c r="C33" s="41" t="s">
        <v>337</v>
      </c>
      <c r="D33" s="55" t="s">
        <v>139</v>
      </c>
      <c r="E33" s="55" t="s">
        <v>171</v>
      </c>
      <c r="F33" s="67" t="s">
        <v>338</v>
      </c>
      <c r="G33" s="68" t="s">
        <v>333</v>
      </c>
      <c r="H33" s="69" t="s">
        <v>333</v>
      </c>
      <c r="I33" s="70"/>
      <c r="J33" s="46" t="s">
        <v>142</v>
      </c>
      <c r="K33" s="47"/>
      <c r="L33" s="47"/>
      <c r="M33" s="47"/>
      <c r="N33" s="51"/>
      <c r="O33" s="46" t="s">
        <v>339</v>
      </c>
      <c r="P33" s="48" t="s">
        <v>340</v>
      </c>
      <c r="Q33" s="50" t="s">
        <v>615</v>
      </c>
      <c r="R33" s="37" t="s">
        <v>146</v>
      </c>
      <c r="S33" s="38" t="s">
        <v>147</v>
      </c>
      <c r="T33" s="39" t="s">
        <v>147</v>
      </c>
      <c r="U33" s="7" t="s">
        <v>906</v>
      </c>
      <c r="X33" s="7" t="str">
        <f t="shared" si="0"/>
        <v>Concluído</v>
      </c>
      <c r="Y33" s="7" t="str">
        <f t="shared" si="1"/>
        <v xml:space="preserve">
Valor fixo 999999999999999
</v>
      </c>
    </row>
    <row r="34" spans="1:25" ht="104.25" hidden="1" customHeight="1" x14ac:dyDescent="0.4">
      <c r="A34" s="337" t="str">
        <f t="shared" si="2"/>
        <v>B02.00_0270_fv_amnt_strctrd_prdct</v>
      </c>
      <c r="B34" s="40" t="s">
        <v>341</v>
      </c>
      <c r="C34" s="41" t="s">
        <v>342</v>
      </c>
      <c r="D34" s="55" t="s">
        <v>139</v>
      </c>
      <c r="E34" s="55" t="s">
        <v>171</v>
      </c>
      <c r="F34" s="67" t="s">
        <v>343</v>
      </c>
      <c r="G34" s="68" t="s">
        <v>333</v>
      </c>
      <c r="H34" s="69" t="s">
        <v>333</v>
      </c>
      <c r="I34" s="70"/>
      <c r="J34" s="46" t="s">
        <v>142</v>
      </c>
      <c r="K34" s="47"/>
      <c r="L34" s="47"/>
      <c r="M34" s="47"/>
      <c r="N34" s="51"/>
      <c r="O34" s="46" t="s">
        <v>344</v>
      </c>
      <c r="P34" s="51" t="s">
        <v>266</v>
      </c>
      <c r="Q34" s="50" t="s">
        <v>615</v>
      </c>
      <c r="R34" s="37" t="s">
        <v>146</v>
      </c>
      <c r="S34" s="38" t="s">
        <v>147</v>
      </c>
      <c r="T34" s="39" t="s">
        <v>147</v>
      </c>
      <c r="U34" s="7" t="s">
        <v>906</v>
      </c>
      <c r="X34" s="7" t="str">
        <f t="shared" si="0"/>
        <v>Concluído</v>
      </c>
      <c r="Y34" s="7" t="str">
        <f t="shared" si="1"/>
        <v>Valor fixo 999999999999999</v>
      </c>
    </row>
    <row r="35" spans="1:25" ht="67.5" hidden="1" customHeight="1" x14ac:dyDescent="0.4">
      <c r="A35" s="337" t="str">
        <f t="shared" si="2"/>
        <v>B02.00_0280_flg_ncnp_dpsts</v>
      </c>
      <c r="B35" s="40" t="s">
        <v>345</v>
      </c>
      <c r="C35" s="41" t="s">
        <v>346</v>
      </c>
      <c r="D35" s="42" t="s">
        <v>150</v>
      </c>
      <c r="E35" s="42" t="s">
        <v>252</v>
      </c>
      <c r="F35" s="67" t="s">
        <v>347</v>
      </c>
      <c r="G35" s="68" t="s">
        <v>333</v>
      </c>
      <c r="H35" s="69" t="s">
        <v>333</v>
      </c>
      <c r="I35" s="70"/>
      <c r="J35" s="46" t="s">
        <v>142</v>
      </c>
      <c r="K35" s="47"/>
      <c r="L35" s="47"/>
      <c r="M35" s="47"/>
      <c r="N35" s="51"/>
      <c r="O35" s="46" t="s">
        <v>348</v>
      </c>
      <c r="P35" s="71" t="s">
        <v>349</v>
      </c>
      <c r="Q35" s="54" t="s">
        <v>350</v>
      </c>
      <c r="R35" s="37" t="s">
        <v>146</v>
      </c>
      <c r="S35" s="38" t="s">
        <v>147</v>
      </c>
      <c r="T35" s="39" t="s">
        <v>147</v>
      </c>
      <c r="U35" s="7" t="s">
        <v>906</v>
      </c>
      <c r="X35" s="7" t="str">
        <f t="shared" si="0"/>
        <v>Concluído</v>
      </c>
      <c r="Y35" s="7" t="str">
        <f t="shared" si="1"/>
        <v>Valor fixo 'FALSE'</v>
      </c>
    </row>
    <row r="36" spans="1:25" ht="67.5" hidden="1" customHeight="1" x14ac:dyDescent="0.4">
      <c r="A36" s="337" t="str">
        <f t="shared" si="2"/>
        <v>B02.00_0290_flg_ncbp_dpsts</v>
      </c>
      <c r="B36" s="40" t="s">
        <v>351</v>
      </c>
      <c r="C36" s="41" t="s">
        <v>352</v>
      </c>
      <c r="D36" s="42" t="s">
        <v>150</v>
      </c>
      <c r="E36" s="42" t="s">
        <v>252</v>
      </c>
      <c r="F36" s="67" t="s">
        <v>353</v>
      </c>
      <c r="G36" s="68" t="s">
        <v>333</v>
      </c>
      <c r="H36" s="69" t="s">
        <v>333</v>
      </c>
      <c r="I36" s="70"/>
      <c r="J36" s="46" t="s">
        <v>142</v>
      </c>
      <c r="K36" s="47"/>
      <c r="L36" s="47"/>
      <c r="M36" s="47"/>
      <c r="N36" s="51"/>
      <c r="O36" s="46" t="s">
        <v>354</v>
      </c>
      <c r="P36" s="71" t="s">
        <v>349</v>
      </c>
      <c r="Q36" s="54" t="s">
        <v>350</v>
      </c>
      <c r="R36" s="37" t="s">
        <v>146</v>
      </c>
      <c r="S36" s="38" t="s">
        <v>147</v>
      </c>
      <c r="T36" s="39" t="s">
        <v>147</v>
      </c>
      <c r="U36" s="7" t="s">
        <v>906</v>
      </c>
      <c r="X36" s="7" t="str">
        <f t="shared" si="0"/>
        <v>Concluído</v>
      </c>
      <c r="Y36" s="7" t="str">
        <f t="shared" si="1"/>
        <v>Valor fixo 'FALSE'</v>
      </c>
    </row>
    <row r="37" spans="1:25" ht="113.25" hidden="1" customHeight="1" x14ac:dyDescent="0.4">
      <c r="A37" s="337" t="str">
        <f t="shared" si="2"/>
        <v>B02.00_0300_amnt_cvrd_elgbl_dpsts</v>
      </c>
      <c r="B37" s="40" t="s">
        <v>355</v>
      </c>
      <c r="C37" s="41" t="s">
        <v>356</v>
      </c>
      <c r="D37" s="55" t="s">
        <v>139</v>
      </c>
      <c r="E37" s="55" t="s">
        <v>171</v>
      </c>
      <c r="F37" s="67" t="s">
        <v>357</v>
      </c>
      <c r="G37" s="68" t="s">
        <v>333</v>
      </c>
      <c r="H37" s="69" t="s">
        <v>333</v>
      </c>
      <c r="I37" s="70"/>
      <c r="J37" s="46" t="s">
        <v>142</v>
      </c>
      <c r="K37" s="47"/>
      <c r="L37" s="47"/>
      <c r="M37" s="47"/>
      <c r="N37" s="48"/>
      <c r="O37" s="49" t="s">
        <v>358</v>
      </c>
      <c r="P37" s="48" t="s">
        <v>266</v>
      </c>
      <c r="Q37" s="54" t="s">
        <v>359</v>
      </c>
      <c r="R37" s="37" t="s">
        <v>146</v>
      </c>
      <c r="S37" s="38" t="s">
        <v>147</v>
      </c>
      <c r="T37" s="39" t="s">
        <v>147</v>
      </c>
      <c r="U37" s="7" t="s">
        <v>906</v>
      </c>
      <c r="X37" s="7" t="str">
        <f t="shared" si="0"/>
        <v>Concluído</v>
      </c>
      <c r="Y37" s="7" t="str">
        <f t="shared" si="1"/>
        <v>Valor fixo 999999999999999</v>
      </c>
    </row>
    <row r="38" spans="1:25" ht="93" customHeight="1" x14ac:dyDescent="0.4">
      <c r="A38" s="337" t="str">
        <f t="shared" si="2"/>
        <v xml:space="preserve">B02.00_0310_flg_clltrl_agrmnts </v>
      </c>
      <c r="B38" s="40" t="s">
        <v>360</v>
      </c>
      <c r="C38" s="41" t="s">
        <v>361</v>
      </c>
      <c r="D38" s="42" t="s">
        <v>150</v>
      </c>
      <c r="E38" s="42" t="s">
        <v>238</v>
      </c>
      <c r="F38" s="67" t="s">
        <v>362</v>
      </c>
      <c r="G38" s="68" t="s">
        <v>333</v>
      </c>
      <c r="H38" s="69" t="s">
        <v>333</v>
      </c>
      <c r="I38" s="70"/>
      <c r="J38" s="46" t="s">
        <v>142</v>
      </c>
      <c r="K38" s="47"/>
      <c r="L38" s="47"/>
      <c r="M38" s="47"/>
      <c r="N38" s="51"/>
      <c r="O38" s="46" t="s">
        <v>363</v>
      </c>
      <c r="P38" s="336" t="s">
        <v>364</v>
      </c>
      <c r="Q38" s="50" t="s">
        <v>617</v>
      </c>
      <c r="R38" s="37" t="s">
        <v>146</v>
      </c>
      <c r="S38" s="38" t="s">
        <v>147</v>
      </c>
      <c r="T38" s="39" t="s">
        <v>147</v>
      </c>
      <c r="U38" s="7" t="s">
        <v>906</v>
      </c>
      <c r="X38" s="7" t="str">
        <f t="shared" si="0"/>
        <v>Concluído</v>
      </c>
      <c r="Y38" s="7" t="str">
        <f t="shared" si="1"/>
        <v>Valor fixo 'Unsecured'</v>
      </c>
    </row>
    <row r="39" spans="1:25" ht="147" hidden="1" customHeight="1" x14ac:dyDescent="0.4">
      <c r="A39" s="337" t="str">
        <f t="shared" si="2"/>
        <v>B02.00_0320_amnt_clltrl</v>
      </c>
      <c r="B39" s="40" t="s">
        <v>365</v>
      </c>
      <c r="C39" s="41" t="s">
        <v>366</v>
      </c>
      <c r="D39" s="55" t="s">
        <v>139</v>
      </c>
      <c r="E39" s="55" t="s">
        <v>171</v>
      </c>
      <c r="F39" s="67" t="s">
        <v>367</v>
      </c>
      <c r="G39" s="68" t="s">
        <v>333</v>
      </c>
      <c r="H39" s="69" t="s">
        <v>333</v>
      </c>
      <c r="I39" s="70"/>
      <c r="J39" s="46" t="s">
        <v>142</v>
      </c>
      <c r="K39" s="47"/>
      <c r="L39" s="47"/>
      <c r="M39" s="47"/>
      <c r="N39" s="48"/>
      <c r="O39" s="49" t="s">
        <v>368</v>
      </c>
      <c r="P39" s="51" t="s">
        <v>266</v>
      </c>
      <c r="Q39" s="50" t="s">
        <v>615</v>
      </c>
      <c r="R39" s="37" t="s">
        <v>146</v>
      </c>
      <c r="S39" s="38" t="s">
        <v>147</v>
      </c>
      <c r="T39" s="39" t="s">
        <v>147</v>
      </c>
      <c r="U39" s="7" t="s">
        <v>906</v>
      </c>
      <c r="X39" s="7" t="str">
        <f t="shared" si="0"/>
        <v>Concluído</v>
      </c>
      <c r="Y39" s="7" t="str">
        <f t="shared" si="1"/>
        <v>Valor fixo 999999999999999</v>
      </c>
    </row>
    <row r="40" spans="1:25" ht="70.5" hidden="1" customHeight="1" x14ac:dyDescent="0.4">
      <c r="A40" s="337" t="str">
        <f t="shared" si="2"/>
        <v>B02.00_0330_amnt_unclltrlzd</v>
      </c>
      <c r="B40" s="40" t="s">
        <v>369</v>
      </c>
      <c r="C40" s="41" t="s">
        <v>370</v>
      </c>
      <c r="D40" s="55" t="s">
        <v>139</v>
      </c>
      <c r="E40" s="55" t="s">
        <v>171</v>
      </c>
      <c r="F40" s="67" t="s">
        <v>371</v>
      </c>
      <c r="G40" s="68" t="s">
        <v>333</v>
      </c>
      <c r="H40" s="72" t="s">
        <v>213</v>
      </c>
      <c r="I40" s="70"/>
      <c r="J40" s="46" t="s">
        <v>142</v>
      </c>
      <c r="K40" s="47"/>
      <c r="L40" s="47"/>
      <c r="M40" s="47"/>
      <c r="N40" s="48"/>
      <c r="O40" s="49" t="s">
        <v>372</v>
      </c>
      <c r="P40" s="51" t="s">
        <v>266</v>
      </c>
      <c r="Q40" s="50" t="s">
        <v>615</v>
      </c>
      <c r="R40" s="37" t="s">
        <v>146</v>
      </c>
      <c r="S40" s="38" t="s">
        <v>147</v>
      </c>
      <c r="T40" s="39" t="s">
        <v>147</v>
      </c>
      <c r="U40" s="7" t="s">
        <v>906</v>
      </c>
      <c r="X40" s="7" t="str">
        <f t="shared" si="0"/>
        <v>Concluído</v>
      </c>
      <c r="Y40" s="7" t="str">
        <f t="shared" si="1"/>
        <v>Valor fixo 999999999999999</v>
      </c>
    </row>
    <row r="41" spans="1:25" ht="85.5" hidden="1" customHeight="1" x14ac:dyDescent="0.4">
      <c r="A41" s="337" t="str">
        <f t="shared" si="2"/>
        <v>B02.00_0340_id_clltrl</v>
      </c>
      <c r="B41" s="40" t="s">
        <v>373</v>
      </c>
      <c r="C41" s="41" t="s">
        <v>374</v>
      </c>
      <c r="D41" s="42" t="s">
        <v>150</v>
      </c>
      <c r="E41" s="42" t="s">
        <v>151</v>
      </c>
      <c r="F41" s="67" t="s">
        <v>375</v>
      </c>
      <c r="G41" s="68" t="s">
        <v>333</v>
      </c>
      <c r="H41" s="69" t="s">
        <v>333</v>
      </c>
      <c r="I41" s="70"/>
      <c r="J41" s="46" t="s">
        <v>142</v>
      </c>
      <c r="K41" s="47"/>
      <c r="L41" s="47"/>
      <c r="M41" s="47"/>
      <c r="N41" s="51"/>
      <c r="O41" s="46" t="s">
        <v>376</v>
      </c>
      <c r="P41" s="48" t="s">
        <v>248</v>
      </c>
      <c r="Q41" s="50" t="s">
        <v>615</v>
      </c>
      <c r="R41" s="37" t="s">
        <v>146</v>
      </c>
      <c r="S41" s="38" t="s">
        <v>147</v>
      </c>
      <c r="T41" s="39" t="s">
        <v>147</v>
      </c>
      <c r="U41" s="7" t="s">
        <v>906</v>
      </c>
      <c r="X41" s="7" t="str">
        <f t="shared" si="0"/>
        <v>Concluído</v>
      </c>
      <c r="Y41" s="7" t="str">
        <f t="shared" si="1"/>
        <v>Valor fixo 'Not applicable'</v>
      </c>
    </row>
    <row r="42" spans="1:25" ht="117.75" hidden="1" customHeight="1" x14ac:dyDescent="0.4">
      <c r="A42" s="337" t="str">
        <f t="shared" si="2"/>
        <v>B02.00_0350_typ_clltrl</v>
      </c>
      <c r="B42" s="40" t="s">
        <v>377</v>
      </c>
      <c r="C42" s="41" t="s">
        <v>378</v>
      </c>
      <c r="D42" s="42" t="s">
        <v>150</v>
      </c>
      <c r="E42" s="42" t="s">
        <v>238</v>
      </c>
      <c r="F42" s="67" t="s">
        <v>379</v>
      </c>
      <c r="G42" s="73" t="s">
        <v>321</v>
      </c>
      <c r="H42" s="74" t="s">
        <v>213</v>
      </c>
      <c r="I42" s="70"/>
      <c r="J42" s="46" t="s">
        <v>142</v>
      </c>
      <c r="K42" s="47"/>
      <c r="L42" s="47"/>
      <c r="M42" s="47"/>
      <c r="N42" s="51"/>
      <c r="O42" s="46" t="s">
        <v>380</v>
      </c>
      <c r="P42" s="48" t="s">
        <v>248</v>
      </c>
      <c r="Q42" s="50" t="s">
        <v>615</v>
      </c>
      <c r="R42" s="37" t="s">
        <v>146</v>
      </c>
      <c r="S42" s="38" t="s">
        <v>147</v>
      </c>
      <c r="T42" s="39" t="s">
        <v>147</v>
      </c>
      <c r="U42" s="7" t="s">
        <v>906</v>
      </c>
      <c r="X42" s="7" t="str">
        <f t="shared" si="0"/>
        <v>Concluído</v>
      </c>
      <c r="Y42" s="7" t="str">
        <f t="shared" si="1"/>
        <v>Valor fixo 'Not applicable'</v>
      </c>
    </row>
    <row r="43" spans="1:25" ht="55.5" hidden="1" customHeight="1" x14ac:dyDescent="0.4">
      <c r="A43" s="337" t="str">
        <f t="shared" si="2"/>
        <v>B02.00_0351_typ_clltrl_othr</v>
      </c>
      <c r="B43" s="40" t="s">
        <v>381</v>
      </c>
      <c r="C43" s="41" t="s">
        <v>382</v>
      </c>
      <c r="D43" s="42" t="s">
        <v>150</v>
      </c>
      <c r="E43" s="42" t="s">
        <v>151</v>
      </c>
      <c r="F43" s="67" t="s">
        <v>383</v>
      </c>
      <c r="G43" s="68" t="s">
        <v>333</v>
      </c>
      <c r="H43" s="69" t="s">
        <v>333</v>
      </c>
      <c r="I43" s="70"/>
      <c r="J43" s="46" t="s">
        <v>142</v>
      </c>
      <c r="K43" s="47"/>
      <c r="L43" s="47"/>
      <c r="M43" s="47"/>
      <c r="N43" s="51"/>
      <c r="O43" s="46" t="s">
        <v>384</v>
      </c>
      <c r="P43" s="48" t="s">
        <v>248</v>
      </c>
      <c r="Q43" s="50" t="s">
        <v>615</v>
      </c>
      <c r="R43" s="37" t="s">
        <v>146</v>
      </c>
      <c r="S43" s="38" t="s">
        <v>147</v>
      </c>
      <c r="T43" s="39" t="s">
        <v>147</v>
      </c>
      <c r="U43" s="7" t="s">
        <v>906</v>
      </c>
      <c r="X43" s="7" t="str">
        <f t="shared" si="0"/>
        <v>Concluído</v>
      </c>
      <c r="Y43" s="7" t="str">
        <f t="shared" si="1"/>
        <v>Valor fixo 'Not applicable'</v>
      </c>
    </row>
    <row r="44" spans="1:25" ht="244.5" hidden="1" customHeight="1" x14ac:dyDescent="0.4">
      <c r="A44" s="337" t="str">
        <f t="shared" si="2"/>
        <v>B02.00_0360_trdng_mthd</v>
      </c>
      <c r="B44" s="40" t="s">
        <v>385</v>
      </c>
      <c r="C44" s="41" t="s">
        <v>386</v>
      </c>
      <c r="D44" s="42" t="s">
        <v>150</v>
      </c>
      <c r="E44" s="42" t="s">
        <v>238</v>
      </c>
      <c r="F44" s="67" t="s">
        <v>387</v>
      </c>
      <c r="G44" s="68" t="s">
        <v>333</v>
      </c>
      <c r="H44" s="69" t="s">
        <v>333</v>
      </c>
      <c r="I44" s="70"/>
      <c r="J44" s="46" t="s">
        <v>174</v>
      </c>
      <c r="K44" s="47" t="s">
        <v>388</v>
      </c>
      <c r="L44" s="47"/>
      <c r="M44" s="47" t="s">
        <v>907</v>
      </c>
      <c r="N44" s="51" t="s">
        <v>389</v>
      </c>
      <c r="O44" s="46" t="s">
        <v>390</v>
      </c>
      <c r="P44" s="51" t="s">
        <v>388</v>
      </c>
      <c r="Q44" s="54" t="s">
        <v>899</v>
      </c>
      <c r="R44" s="37" t="s">
        <v>179</v>
      </c>
      <c r="S44" s="38" t="s">
        <v>202</v>
      </c>
      <c r="T44" s="39" t="s">
        <v>235</v>
      </c>
      <c r="U44" s="7" t="s">
        <v>906</v>
      </c>
      <c r="X44" s="7" t="str">
        <f t="shared" si="0"/>
        <v>Não Concluído</v>
      </c>
      <c r="Y44" s="7" t="str">
        <f t="shared" si="1"/>
        <v>lt002_instrument.trdng_mthd</v>
      </c>
    </row>
    <row r="45" spans="1:25" ht="129.75" hidden="1" customHeight="1" x14ac:dyDescent="0.4">
      <c r="A45" s="337" t="str">
        <f t="shared" si="2"/>
        <v>B02.00_0370_amnt_scrty_eur</v>
      </c>
      <c r="B45" s="75" t="s">
        <v>391</v>
      </c>
      <c r="C45" s="41">
        <v>370</v>
      </c>
      <c r="D45" s="55" t="s">
        <v>139</v>
      </c>
      <c r="E45" s="55" t="s">
        <v>171</v>
      </c>
      <c r="F45" s="67" t="s">
        <v>392</v>
      </c>
      <c r="G45" s="68" t="s">
        <v>333</v>
      </c>
      <c r="H45" s="69" t="s">
        <v>333</v>
      </c>
      <c r="I45" s="70"/>
      <c r="J45" s="46" t="s">
        <v>174</v>
      </c>
      <c r="K45" s="47" t="s">
        <v>393</v>
      </c>
      <c r="L45" s="47"/>
      <c r="M45" s="47" t="s">
        <v>908</v>
      </c>
      <c r="N45" s="51" t="s">
        <v>394</v>
      </c>
      <c r="O45" s="46" t="s">
        <v>395</v>
      </c>
      <c r="P45" s="51" t="s">
        <v>393</v>
      </c>
      <c r="Q45" s="54" t="s">
        <v>396</v>
      </c>
      <c r="R45" s="37" t="s">
        <v>179</v>
      </c>
      <c r="S45" s="38" t="s">
        <v>147</v>
      </c>
      <c r="T45" s="39" t="s">
        <v>180</v>
      </c>
      <c r="U45" s="7" t="s">
        <v>906</v>
      </c>
      <c r="X45" s="7" t="str">
        <f t="shared" si="0"/>
        <v>Concluído</v>
      </c>
      <c r="Y45" s="7" t="str">
        <f t="shared" si="1"/>
        <v>lt002_instrument.amnt_scrty_eur</v>
      </c>
    </row>
    <row r="46" spans="1:25" ht="117.75" hidden="1" customHeight="1" x14ac:dyDescent="0.4">
      <c r="A46" s="337" t="str">
        <f t="shared" si="2"/>
        <v>B02.00_0380_amnt_scrty_fx</v>
      </c>
      <c r="B46" s="75" t="s">
        <v>397</v>
      </c>
      <c r="C46" s="41" t="s">
        <v>398</v>
      </c>
      <c r="D46" s="55" t="s">
        <v>139</v>
      </c>
      <c r="E46" s="55" t="s">
        <v>171</v>
      </c>
      <c r="F46" s="67" t="s">
        <v>399</v>
      </c>
      <c r="G46" s="68" t="s">
        <v>333</v>
      </c>
      <c r="H46" s="69" t="s">
        <v>333</v>
      </c>
      <c r="I46" s="70"/>
      <c r="J46" s="46" t="s">
        <v>174</v>
      </c>
      <c r="K46" s="47" t="s">
        <v>400</v>
      </c>
      <c r="L46" s="47"/>
      <c r="M46" s="47" t="s">
        <v>908</v>
      </c>
      <c r="N46" s="51" t="s">
        <v>401</v>
      </c>
      <c r="O46" s="46" t="s">
        <v>402</v>
      </c>
      <c r="P46" s="51" t="s">
        <v>400</v>
      </c>
      <c r="Q46" s="54" t="s">
        <v>403</v>
      </c>
      <c r="R46" s="37" t="s">
        <v>179</v>
      </c>
      <c r="S46" s="38" t="s">
        <v>147</v>
      </c>
      <c r="T46" s="39" t="s">
        <v>180</v>
      </c>
      <c r="U46" s="7" t="s">
        <v>906</v>
      </c>
      <c r="X46" s="7" t="str">
        <f t="shared" si="0"/>
        <v>Concluído</v>
      </c>
      <c r="Y46" s="7" t="str">
        <f t="shared" si="1"/>
        <v>lt002_instrument.amnt_scrty_fx</v>
      </c>
    </row>
    <row r="47" spans="1:25" ht="153" hidden="1" customHeight="1" x14ac:dyDescent="0.4">
      <c r="A47" s="337" t="str">
        <f t="shared" si="2"/>
        <v>B02.00_0390_nmbr_scrts_not_rprtng_entty</v>
      </c>
      <c r="B47" s="75" t="s">
        <v>404</v>
      </c>
      <c r="C47" s="41">
        <v>390</v>
      </c>
      <c r="D47" s="55" t="s">
        <v>139</v>
      </c>
      <c r="E47" s="55" t="s">
        <v>140</v>
      </c>
      <c r="F47" s="67" t="s">
        <v>405</v>
      </c>
      <c r="G47" s="68" t="s">
        <v>333</v>
      </c>
      <c r="H47" s="69" t="s">
        <v>333</v>
      </c>
      <c r="I47" s="70"/>
      <c r="J47" s="46" t="s">
        <v>142</v>
      </c>
      <c r="K47" s="47"/>
      <c r="L47" s="47"/>
      <c r="M47" s="47"/>
      <c r="N47" s="51"/>
      <c r="O47" s="46" t="s">
        <v>406</v>
      </c>
      <c r="P47" s="51" t="s">
        <v>900</v>
      </c>
      <c r="Q47" s="54" t="s">
        <v>901</v>
      </c>
      <c r="R47" s="37" t="s">
        <v>235</v>
      </c>
      <c r="S47" s="38" t="s">
        <v>202</v>
      </c>
      <c r="T47" s="39" t="s">
        <v>235</v>
      </c>
      <c r="U47" s="7" t="s">
        <v>906</v>
      </c>
      <c r="X47" s="7" t="str">
        <f t="shared" si="0"/>
        <v>Não Concluído</v>
      </c>
      <c r="Y47" s="7" t="str">
        <f t="shared" si="1"/>
        <v xml:space="preserve">Number of securities outstanding not held by the reporting entity= 0080 / 0370
0080 -&gt; Outstanding principal amount 
0370 -&gt; Denomination / Nominal value per security in EUR 
</v>
      </c>
    </row>
    <row r="48" spans="1:25" ht="135" hidden="1" customHeight="1" x14ac:dyDescent="0.4">
      <c r="A48" s="337" t="str">
        <f t="shared" si="2"/>
        <v>B02.00_0391_nmbr_scrts_rprtng_entty</v>
      </c>
      <c r="B48" s="75" t="s">
        <v>407</v>
      </c>
      <c r="C48" s="41" t="s">
        <v>408</v>
      </c>
      <c r="D48" s="55" t="s">
        <v>139</v>
      </c>
      <c r="E48" s="55" t="s">
        <v>140</v>
      </c>
      <c r="F48" s="67" t="s">
        <v>409</v>
      </c>
      <c r="G48" s="68" t="s">
        <v>333</v>
      </c>
      <c r="H48" s="69" t="s">
        <v>333</v>
      </c>
      <c r="I48" s="70"/>
      <c r="J48" s="46" t="s">
        <v>142</v>
      </c>
      <c r="K48" s="47"/>
      <c r="L48" s="47"/>
      <c r="M48" s="47"/>
      <c r="N48" s="51"/>
      <c r="O48" s="46" t="s">
        <v>410</v>
      </c>
      <c r="P48" s="51" t="s">
        <v>902</v>
      </c>
      <c r="Q48" s="54" t="s">
        <v>903</v>
      </c>
      <c r="R48" s="37" t="s">
        <v>235</v>
      </c>
      <c r="S48" s="38" t="s">
        <v>202</v>
      </c>
      <c r="T48" s="39" t="s">
        <v>235</v>
      </c>
      <c r="U48" s="7" t="s">
        <v>906</v>
      </c>
      <c r="X48" s="7" t="str">
        <f t="shared" si="0"/>
        <v>Não Concluído</v>
      </c>
      <c r="Y48" s="7" t="str">
        <f t="shared" si="1"/>
        <v>Number of securities outstanding held by the reporting entity= 0090 / 0370
0090 -&gt; Portion of instrument or liability held by the reporting entity 
0370 -&gt; Denomination / Nominal value per security in EUR</v>
      </c>
    </row>
    <row r="49" spans="1:25" ht="205.5" hidden="1" customHeight="1" x14ac:dyDescent="0.4">
      <c r="A49" s="337" t="str">
        <f t="shared" si="2"/>
        <v>B02.00_0400_accrd_intrst_scrty</v>
      </c>
      <c r="B49" s="75" t="s">
        <v>411</v>
      </c>
      <c r="C49" s="41" t="s">
        <v>412</v>
      </c>
      <c r="D49" s="55" t="s">
        <v>139</v>
      </c>
      <c r="E49" s="55" t="s">
        <v>413</v>
      </c>
      <c r="F49" s="67" t="s">
        <v>414</v>
      </c>
      <c r="G49" s="68" t="s">
        <v>333</v>
      </c>
      <c r="H49" s="69" t="s">
        <v>333</v>
      </c>
      <c r="I49" s="70"/>
      <c r="J49" s="46" t="s">
        <v>142</v>
      </c>
      <c r="K49" s="47"/>
      <c r="L49" s="47"/>
      <c r="M49" s="47"/>
      <c r="N49" s="51"/>
      <c r="O49" s="46" t="s">
        <v>415</v>
      </c>
      <c r="P49" s="51" t="s">
        <v>904</v>
      </c>
      <c r="Q49" s="54" t="s">
        <v>905</v>
      </c>
      <c r="R49" s="37" t="s">
        <v>235</v>
      </c>
      <c r="S49" s="38" t="s">
        <v>202</v>
      </c>
      <c r="T49" s="39" t="s">
        <v>180</v>
      </c>
      <c r="U49" s="7" t="s">
        <v>906</v>
      </c>
      <c r="X49" s="7" t="str">
        <f t="shared" si="0"/>
        <v>Não Concluído</v>
      </c>
      <c r="Y49" s="7" t="str">
        <f t="shared" si="1"/>
        <v>Accrued interest per security= 0100 / 0390
0100 -&gt; Accrued interest 
0390 -&gt; Number of securities outstanding not held by the reporting entity</v>
      </c>
    </row>
    <row r="50" spans="1:25" ht="153.75" hidden="1" customHeight="1" x14ac:dyDescent="0.4">
      <c r="A50" s="337" t="str">
        <f t="shared" si="2"/>
        <v>B02.00_0410_fees_charges_scrty</v>
      </c>
      <c r="B50" s="75" t="s">
        <v>416</v>
      </c>
      <c r="C50" s="41" t="s">
        <v>417</v>
      </c>
      <c r="D50" s="55" t="s">
        <v>139</v>
      </c>
      <c r="E50" s="55" t="s">
        <v>413</v>
      </c>
      <c r="F50" s="67" t="s">
        <v>418</v>
      </c>
      <c r="G50" s="68" t="s">
        <v>333</v>
      </c>
      <c r="H50" s="69" t="s">
        <v>333</v>
      </c>
      <c r="I50" s="70"/>
      <c r="J50" s="46" t="s">
        <v>142</v>
      </c>
      <c r="K50" s="47"/>
      <c r="L50" s="47"/>
      <c r="M50" s="47"/>
      <c r="N50" s="51"/>
      <c r="O50" s="46" t="s">
        <v>419</v>
      </c>
      <c r="P50" s="51" t="s">
        <v>420</v>
      </c>
      <c r="Q50" s="54" t="s">
        <v>421</v>
      </c>
      <c r="R50" s="37" t="s">
        <v>146</v>
      </c>
      <c r="S50" s="38" t="s">
        <v>147</v>
      </c>
      <c r="T50" s="39" t="s">
        <v>147</v>
      </c>
      <c r="U50" s="7" t="s">
        <v>906</v>
      </c>
      <c r="X50" s="7" t="str">
        <f t="shared" si="0"/>
        <v>Concluído</v>
      </c>
      <c r="Y50" s="7" t="str">
        <f t="shared" si="1"/>
        <v xml:space="preserve">Valor fixo 0
</v>
      </c>
    </row>
    <row r="51" spans="1:25" ht="87" hidden="1" customHeight="1" x14ac:dyDescent="0.4">
      <c r="A51" s="337" t="str">
        <f t="shared" si="2"/>
        <v>B02.00_0420_fv_amnt_scrty</v>
      </c>
      <c r="B51" s="75" t="s">
        <v>422</v>
      </c>
      <c r="C51" s="41" t="s">
        <v>423</v>
      </c>
      <c r="D51" s="55" t="s">
        <v>139</v>
      </c>
      <c r="E51" s="55" t="s">
        <v>413</v>
      </c>
      <c r="F51" s="67" t="s">
        <v>424</v>
      </c>
      <c r="G51" s="68" t="s">
        <v>333</v>
      </c>
      <c r="H51" s="69" t="s">
        <v>333</v>
      </c>
      <c r="I51" s="70"/>
      <c r="J51" s="46" t="s">
        <v>142</v>
      </c>
      <c r="K51" s="47"/>
      <c r="L51" s="47"/>
      <c r="M51" s="47"/>
      <c r="N51" s="51"/>
      <c r="O51" s="46" t="s">
        <v>425</v>
      </c>
      <c r="P51" s="51" t="s">
        <v>266</v>
      </c>
      <c r="Q51" s="54" t="s">
        <v>426</v>
      </c>
      <c r="R51" s="37" t="s">
        <v>146</v>
      </c>
      <c r="S51" s="38" t="s">
        <v>147</v>
      </c>
      <c r="T51" s="39" t="s">
        <v>147</v>
      </c>
      <c r="U51" s="7" t="s">
        <v>906</v>
      </c>
      <c r="X51" s="7" t="str">
        <f t="shared" si="0"/>
        <v>Concluído</v>
      </c>
      <c r="Y51" s="7" t="str">
        <f t="shared" si="1"/>
        <v>Valor fixo 999999999999999</v>
      </c>
    </row>
    <row r="52" spans="1:25" ht="165" hidden="1" customHeight="1" x14ac:dyDescent="0.4">
      <c r="A52" s="337" t="str">
        <f t="shared" si="2"/>
        <v>B02.00_0430_prncpl_amnt_glbl_nt_eur</v>
      </c>
      <c r="B52" s="75" t="s">
        <v>427</v>
      </c>
      <c r="C52" s="41" t="s">
        <v>428</v>
      </c>
      <c r="D52" s="55" t="s">
        <v>139</v>
      </c>
      <c r="E52" s="55" t="s">
        <v>171</v>
      </c>
      <c r="F52" s="67" t="s">
        <v>429</v>
      </c>
      <c r="G52" s="76" t="s">
        <v>173</v>
      </c>
      <c r="H52" s="69" t="s">
        <v>333</v>
      </c>
      <c r="I52" s="70"/>
      <c r="J52" s="46" t="s">
        <v>142</v>
      </c>
      <c r="K52" s="47"/>
      <c r="L52" s="47"/>
      <c r="M52" s="47"/>
      <c r="N52" s="51"/>
      <c r="O52" s="46" t="s">
        <v>430</v>
      </c>
      <c r="P52" s="51" t="s">
        <v>266</v>
      </c>
      <c r="Q52" s="54" t="s">
        <v>431</v>
      </c>
      <c r="R52" s="37" t="s">
        <v>146</v>
      </c>
      <c r="S52" s="38" t="s">
        <v>147</v>
      </c>
      <c r="T52" s="39" t="s">
        <v>147</v>
      </c>
      <c r="U52" s="7" t="s">
        <v>906</v>
      </c>
      <c r="X52" s="7" t="str">
        <f t="shared" si="0"/>
        <v>Concluído</v>
      </c>
      <c r="Y52" s="7" t="str">
        <f t="shared" si="1"/>
        <v>Valor fixo 999999999999999</v>
      </c>
    </row>
    <row r="53" spans="1:25" ht="114.75" hidden="1" customHeight="1" x14ac:dyDescent="0.4">
      <c r="A53" s="337" t="str">
        <f t="shared" si="2"/>
        <v>B02.00_0431_prncpl_amnt_glbl_nt_fx</v>
      </c>
      <c r="B53" s="75" t="s">
        <v>432</v>
      </c>
      <c r="C53" s="41" t="s">
        <v>433</v>
      </c>
      <c r="D53" s="55" t="s">
        <v>139</v>
      </c>
      <c r="E53" s="55" t="s">
        <v>171</v>
      </c>
      <c r="F53" s="67" t="s">
        <v>434</v>
      </c>
      <c r="G53" s="76" t="s">
        <v>173</v>
      </c>
      <c r="H53" s="69" t="s">
        <v>333</v>
      </c>
      <c r="I53" s="70"/>
      <c r="J53" s="46" t="s">
        <v>142</v>
      </c>
      <c r="K53" s="47"/>
      <c r="L53" s="47"/>
      <c r="M53" s="47"/>
      <c r="N53" s="51"/>
      <c r="O53" s="46" t="s">
        <v>435</v>
      </c>
      <c r="P53" s="51" t="s">
        <v>266</v>
      </c>
      <c r="Q53" s="54" t="s">
        <v>431</v>
      </c>
      <c r="R53" s="37" t="s">
        <v>146</v>
      </c>
      <c r="S53" s="38" t="s">
        <v>147</v>
      </c>
      <c r="T53" s="39" t="s">
        <v>147</v>
      </c>
      <c r="U53" s="7" t="s">
        <v>906</v>
      </c>
      <c r="X53" s="7" t="str">
        <f t="shared" si="0"/>
        <v>Concluído</v>
      </c>
      <c r="Y53" s="7" t="str">
        <f t="shared" si="1"/>
        <v>Valor fixo 999999999999999</v>
      </c>
    </row>
    <row r="54" spans="1:25" ht="165" hidden="1" customHeight="1" x14ac:dyDescent="0.4">
      <c r="A54" s="337" t="str">
        <f t="shared" si="2"/>
        <v>B02.00_0440_ntr_glbl_nt</v>
      </c>
      <c r="B54" s="75" t="s">
        <v>436</v>
      </c>
      <c r="C54" s="41" t="s">
        <v>437</v>
      </c>
      <c r="D54" s="42" t="s">
        <v>150</v>
      </c>
      <c r="E54" s="42" t="s">
        <v>238</v>
      </c>
      <c r="F54" s="67" t="s">
        <v>438</v>
      </c>
      <c r="G54" s="76" t="s">
        <v>321</v>
      </c>
      <c r="H54" s="69" t="s">
        <v>333</v>
      </c>
      <c r="I54" s="70"/>
      <c r="J54" s="46" t="s">
        <v>142</v>
      </c>
      <c r="K54" s="47"/>
      <c r="L54" s="47"/>
      <c r="M54" s="47"/>
      <c r="N54" s="51"/>
      <c r="O54" s="46" t="s">
        <v>439</v>
      </c>
      <c r="P54" s="48" t="s">
        <v>248</v>
      </c>
      <c r="Q54" s="54" t="s">
        <v>440</v>
      </c>
      <c r="R54" s="37" t="s">
        <v>146</v>
      </c>
      <c r="S54" s="38" t="s">
        <v>147</v>
      </c>
      <c r="T54" s="39" t="s">
        <v>147</v>
      </c>
      <c r="U54" s="7" t="s">
        <v>906</v>
      </c>
      <c r="X54" s="7" t="str">
        <f t="shared" si="0"/>
        <v>Concluído</v>
      </c>
      <c r="Y54" s="7" t="str">
        <f t="shared" si="1"/>
        <v>Valor fixo 'Not applicable'</v>
      </c>
    </row>
    <row r="55" spans="1:25" ht="195.75" hidden="1" customHeight="1" x14ac:dyDescent="0.4">
      <c r="A55" s="337" t="str">
        <f t="shared" si="2"/>
        <v>B02.00_0450_crrnt_pool_fctr</v>
      </c>
      <c r="B55" s="40" t="s">
        <v>441</v>
      </c>
      <c r="C55" s="41" t="s">
        <v>442</v>
      </c>
      <c r="D55" s="55" t="s">
        <v>139</v>
      </c>
      <c r="E55" s="55" t="s">
        <v>443</v>
      </c>
      <c r="F55" s="67" t="s">
        <v>444</v>
      </c>
      <c r="G55" s="77" t="s">
        <v>445</v>
      </c>
      <c r="H55" s="78" t="s">
        <v>333</v>
      </c>
      <c r="I55" s="70"/>
      <c r="J55" s="46" t="s">
        <v>142</v>
      </c>
      <c r="K55" s="47"/>
      <c r="L55" s="47"/>
      <c r="M55" s="79"/>
      <c r="N55" s="51"/>
      <c r="O55" s="46" t="s">
        <v>446</v>
      </c>
      <c r="P55" s="51" t="s">
        <v>447</v>
      </c>
      <c r="Q55" s="54" t="s">
        <v>448</v>
      </c>
      <c r="R55" s="37" t="s">
        <v>146</v>
      </c>
      <c r="S55" s="38" t="s">
        <v>147</v>
      </c>
      <c r="T55" s="39" t="s">
        <v>147</v>
      </c>
      <c r="U55" s="7" t="s">
        <v>906</v>
      </c>
      <c r="X55" s="7" t="str">
        <f t="shared" si="0"/>
        <v>Concluído</v>
      </c>
      <c r="Y55" s="7" t="str">
        <f t="shared" si="1"/>
        <v>Valor Fixo -9999.999999999</v>
      </c>
    </row>
    <row r="56" spans="1:25" ht="291.75" hidden="1" customHeight="1" x14ac:dyDescent="0.4">
      <c r="A56" s="337" t="str">
        <f t="shared" si="2"/>
        <v>B02.00_0460_csd</v>
      </c>
      <c r="B56" s="40" t="s">
        <v>449</v>
      </c>
      <c r="C56" s="41" t="s">
        <v>450</v>
      </c>
      <c r="D56" s="42" t="s">
        <v>150</v>
      </c>
      <c r="E56" s="42" t="s">
        <v>269</v>
      </c>
      <c r="F56" s="67" t="s">
        <v>451</v>
      </c>
      <c r="G56" s="80" t="s">
        <v>333</v>
      </c>
      <c r="H56" s="78" t="s">
        <v>333</v>
      </c>
      <c r="I56" s="70"/>
      <c r="J56" s="46" t="s">
        <v>174</v>
      </c>
      <c r="K56" s="47" t="s">
        <v>452</v>
      </c>
      <c r="L56" s="47"/>
      <c r="M56" s="47" t="s">
        <v>907</v>
      </c>
      <c r="N56" s="51" t="s">
        <v>453</v>
      </c>
      <c r="O56" s="46" t="s">
        <v>454</v>
      </c>
      <c r="P56" s="51" t="s">
        <v>452</v>
      </c>
      <c r="Q56" s="54" t="s">
        <v>455</v>
      </c>
      <c r="R56" s="37" t="s">
        <v>179</v>
      </c>
      <c r="S56" s="38" t="s">
        <v>147</v>
      </c>
      <c r="T56" s="39" t="s">
        <v>147</v>
      </c>
      <c r="U56" s="7" t="s">
        <v>906</v>
      </c>
      <c r="X56" s="7" t="str">
        <f t="shared" si="0"/>
        <v>Concluído</v>
      </c>
      <c r="Y56" s="7" t="str">
        <f t="shared" si="1"/>
        <v>lt002_instrument.csd</v>
      </c>
    </row>
    <row r="57" spans="1:25" ht="101.25" hidden="1" customHeight="1" x14ac:dyDescent="0.4">
      <c r="A57" s="337" t="str">
        <f t="shared" si="2"/>
        <v>B02.00_0461_csd_lei</v>
      </c>
      <c r="B57" s="40" t="s">
        <v>456</v>
      </c>
      <c r="C57" s="41" t="s">
        <v>457</v>
      </c>
      <c r="D57" s="42" t="s">
        <v>150</v>
      </c>
      <c r="E57" s="42" t="s">
        <v>151</v>
      </c>
      <c r="F57" s="67" t="s">
        <v>458</v>
      </c>
      <c r="G57" s="80" t="s">
        <v>333</v>
      </c>
      <c r="H57" s="78" t="s">
        <v>333</v>
      </c>
      <c r="I57" s="70"/>
      <c r="J57" s="46" t="s">
        <v>174</v>
      </c>
      <c r="K57" s="47" t="s">
        <v>459</v>
      </c>
      <c r="L57" s="47"/>
      <c r="M57" s="47" t="s">
        <v>907</v>
      </c>
      <c r="N57" s="48" t="s">
        <v>460</v>
      </c>
      <c r="O57" s="46" t="s">
        <v>461</v>
      </c>
      <c r="P57" s="51" t="s">
        <v>459</v>
      </c>
      <c r="Q57" s="54" t="s">
        <v>455</v>
      </c>
      <c r="R57" s="37" t="s">
        <v>179</v>
      </c>
      <c r="S57" s="38" t="s">
        <v>147</v>
      </c>
      <c r="T57" s="39" t="s">
        <v>147</v>
      </c>
      <c r="U57" s="7" t="s">
        <v>906</v>
      </c>
      <c r="X57" s="7" t="str">
        <f t="shared" si="0"/>
        <v>Concluído</v>
      </c>
      <c r="Y57" s="7" t="str">
        <f t="shared" si="1"/>
        <v>lt002_instrument.csd_lei</v>
      </c>
    </row>
    <row r="58" spans="1:25" ht="77.25" hidden="1" customHeight="1" x14ac:dyDescent="0.4">
      <c r="A58" s="337" t="str">
        <f t="shared" si="2"/>
        <v>B02.00_0462_csd_othr</v>
      </c>
      <c r="B58" s="40" t="s">
        <v>462</v>
      </c>
      <c r="C58" s="41" t="s">
        <v>463</v>
      </c>
      <c r="D58" s="42" t="s">
        <v>150</v>
      </c>
      <c r="E58" s="42" t="s">
        <v>151</v>
      </c>
      <c r="F58" s="67" t="s">
        <v>464</v>
      </c>
      <c r="G58" s="80" t="s">
        <v>333</v>
      </c>
      <c r="H58" s="78" t="s">
        <v>333</v>
      </c>
      <c r="I58" s="70"/>
      <c r="J58" s="46" t="s">
        <v>142</v>
      </c>
      <c r="K58" s="47"/>
      <c r="L58" s="47"/>
      <c r="M58" s="47"/>
      <c r="N58" s="51"/>
      <c r="O58" s="46" t="s">
        <v>465</v>
      </c>
      <c r="P58" s="48" t="s">
        <v>248</v>
      </c>
      <c r="Q58" s="54" t="s">
        <v>466</v>
      </c>
      <c r="R58" s="37" t="s">
        <v>146</v>
      </c>
      <c r="S58" s="38" t="s">
        <v>147</v>
      </c>
      <c r="T58" s="39" t="s">
        <v>147</v>
      </c>
      <c r="U58" s="7" t="s">
        <v>906</v>
      </c>
      <c r="X58" s="7" t="str">
        <f t="shared" si="0"/>
        <v>Concluído</v>
      </c>
      <c r="Y58" s="7" t="str">
        <f t="shared" si="1"/>
        <v>Valor fixo 'Not applicable'</v>
      </c>
    </row>
    <row r="59" spans="1:25" ht="168.75" hidden="1" customHeight="1" x14ac:dyDescent="0.4">
      <c r="A59" s="337" t="str">
        <f t="shared" si="2"/>
        <v>B02.00_0470_pyng_agnt</v>
      </c>
      <c r="B59" s="40" t="s">
        <v>467</v>
      </c>
      <c r="C59" s="41" t="s">
        <v>468</v>
      </c>
      <c r="D59" s="42" t="s">
        <v>150</v>
      </c>
      <c r="E59" s="42" t="s">
        <v>151</v>
      </c>
      <c r="F59" s="67" t="s">
        <v>469</v>
      </c>
      <c r="G59" s="77" t="s">
        <v>321</v>
      </c>
      <c r="H59" s="78" t="s">
        <v>333</v>
      </c>
      <c r="I59" s="70"/>
      <c r="J59" s="46" t="s">
        <v>174</v>
      </c>
      <c r="K59" s="47" t="s">
        <v>470</v>
      </c>
      <c r="L59" s="47"/>
      <c r="M59" s="47" t="s">
        <v>907</v>
      </c>
      <c r="N59" s="51" t="s">
        <v>471</v>
      </c>
      <c r="O59" s="46" t="s">
        <v>472</v>
      </c>
      <c r="P59" s="51" t="s">
        <v>470</v>
      </c>
      <c r="Q59" s="54" t="s">
        <v>455</v>
      </c>
      <c r="R59" s="37" t="s">
        <v>179</v>
      </c>
      <c r="S59" s="38" t="s">
        <v>147</v>
      </c>
      <c r="T59" s="39" t="s">
        <v>147</v>
      </c>
      <c r="U59" s="7" t="s">
        <v>906</v>
      </c>
      <c r="X59" s="7" t="str">
        <f t="shared" si="0"/>
        <v>Concluído</v>
      </c>
      <c r="Y59" s="7" t="str">
        <f t="shared" si="1"/>
        <v>lt002_instrument.pyng_agnt</v>
      </c>
    </row>
    <row r="60" spans="1:25" ht="143.25" hidden="1" customHeight="1" x14ac:dyDescent="0.4">
      <c r="A60" s="337" t="str">
        <f t="shared" si="2"/>
        <v>B02.00_0471_pyng_agnt_lei</v>
      </c>
      <c r="B60" s="40" t="s">
        <v>473</v>
      </c>
      <c r="C60" s="81" t="s">
        <v>474</v>
      </c>
      <c r="D60" s="82" t="s">
        <v>150</v>
      </c>
      <c r="E60" s="82" t="s">
        <v>151</v>
      </c>
      <c r="F60" s="83" t="s">
        <v>475</v>
      </c>
      <c r="G60" s="84" t="s">
        <v>321</v>
      </c>
      <c r="H60" s="78" t="s">
        <v>333</v>
      </c>
      <c r="I60" s="70"/>
      <c r="J60" s="46" t="s">
        <v>174</v>
      </c>
      <c r="K60" s="47" t="s">
        <v>476</v>
      </c>
      <c r="L60" s="47"/>
      <c r="M60" s="47" t="s">
        <v>907</v>
      </c>
      <c r="N60" s="51" t="s">
        <v>477</v>
      </c>
      <c r="O60" s="46" t="s">
        <v>478</v>
      </c>
      <c r="P60" s="51" t="s">
        <v>476</v>
      </c>
      <c r="Q60" s="54" t="s">
        <v>455</v>
      </c>
      <c r="R60" s="37" t="s">
        <v>179</v>
      </c>
      <c r="S60" s="38" t="s">
        <v>147</v>
      </c>
      <c r="T60" s="39" t="s">
        <v>147</v>
      </c>
      <c r="U60" s="7" t="s">
        <v>906</v>
      </c>
      <c r="X60" s="7" t="str">
        <f t="shared" si="0"/>
        <v>Concluído</v>
      </c>
      <c r="Y60" s="7" t="str">
        <f t="shared" si="1"/>
        <v>lt002_instrument.pyng_agnt_lei</v>
      </c>
    </row>
    <row r="61" spans="1:25" ht="227.25" hidden="1" customHeight="1" x14ac:dyDescent="0.4">
      <c r="A61" s="337" t="str">
        <f t="shared" si="2"/>
        <v>B02.00_0480_trdng_vn</v>
      </c>
      <c r="B61" s="85" t="s">
        <v>479</v>
      </c>
      <c r="C61" s="41" t="s">
        <v>480</v>
      </c>
      <c r="D61" s="42" t="s">
        <v>150</v>
      </c>
      <c r="E61" s="42" t="s">
        <v>151</v>
      </c>
      <c r="F61" s="43" t="s">
        <v>481</v>
      </c>
      <c r="G61" s="77" t="s">
        <v>321</v>
      </c>
      <c r="H61" s="86" t="s">
        <v>333</v>
      </c>
      <c r="I61" s="70"/>
      <c r="J61" s="46" t="s">
        <v>142</v>
      </c>
      <c r="K61" s="47"/>
      <c r="L61" s="47"/>
      <c r="M61" s="47"/>
      <c r="N61" s="51"/>
      <c r="O61" s="46" t="s">
        <v>482</v>
      </c>
      <c r="P61" s="48" t="s">
        <v>248</v>
      </c>
      <c r="Q61" s="54" t="s">
        <v>483</v>
      </c>
      <c r="R61" s="37" t="s">
        <v>146</v>
      </c>
      <c r="S61" s="38" t="s">
        <v>147</v>
      </c>
      <c r="T61" s="39" t="s">
        <v>147</v>
      </c>
      <c r="U61" s="7" t="s">
        <v>906</v>
      </c>
      <c r="X61" s="7" t="str">
        <f t="shared" si="0"/>
        <v>Concluído</v>
      </c>
      <c r="Y61" s="7" t="str">
        <f t="shared" si="1"/>
        <v>Valor fixo 'Not applicable'</v>
      </c>
    </row>
    <row r="62" spans="1:25" ht="102.75" hidden="1" customHeight="1" x14ac:dyDescent="0.4">
      <c r="A62" s="337" t="str">
        <f t="shared" si="2"/>
        <v>B02.00_0481_trdng_vn_lei</v>
      </c>
      <c r="B62" s="40" t="s">
        <v>484</v>
      </c>
      <c r="C62" s="29" t="s">
        <v>485</v>
      </c>
      <c r="D62" s="30" t="s">
        <v>150</v>
      </c>
      <c r="E62" s="30" t="s">
        <v>151</v>
      </c>
      <c r="F62" s="87" t="s">
        <v>486</v>
      </c>
      <c r="G62" s="88" t="s">
        <v>321</v>
      </c>
      <c r="H62" s="78" t="s">
        <v>333</v>
      </c>
      <c r="I62" s="70"/>
      <c r="J62" s="46" t="s">
        <v>142</v>
      </c>
      <c r="K62" s="47"/>
      <c r="L62" s="47"/>
      <c r="M62" s="47"/>
      <c r="N62" s="51"/>
      <c r="O62" s="46" t="s">
        <v>487</v>
      </c>
      <c r="P62" s="48" t="s">
        <v>248</v>
      </c>
      <c r="Q62" s="54" t="s">
        <v>483</v>
      </c>
      <c r="R62" s="37" t="s">
        <v>146</v>
      </c>
      <c r="S62" s="38" t="s">
        <v>147</v>
      </c>
      <c r="T62" s="39" t="s">
        <v>147</v>
      </c>
      <c r="U62" s="7" t="s">
        <v>906</v>
      </c>
      <c r="X62" s="7" t="str">
        <f t="shared" si="0"/>
        <v>Concluído</v>
      </c>
      <c r="Y62" s="7" t="str">
        <f t="shared" si="1"/>
        <v>Valor fixo 'Not applicable'</v>
      </c>
    </row>
    <row r="63" spans="1:25" ht="105.75" hidden="1" customHeight="1" x14ac:dyDescent="0.4">
      <c r="A63" s="337" t="str">
        <f t="shared" si="2"/>
        <v xml:space="preserve">B02.00_0490_rgstrr </v>
      </c>
      <c r="B63" s="40" t="s">
        <v>488</v>
      </c>
      <c r="C63" s="41" t="s">
        <v>489</v>
      </c>
      <c r="D63" s="42" t="s">
        <v>150</v>
      </c>
      <c r="E63" s="42" t="s">
        <v>151</v>
      </c>
      <c r="F63" s="67" t="s">
        <v>490</v>
      </c>
      <c r="G63" s="77" t="s">
        <v>321</v>
      </c>
      <c r="H63" s="78" t="s">
        <v>333</v>
      </c>
      <c r="I63" s="70"/>
      <c r="J63" s="46" t="s">
        <v>142</v>
      </c>
      <c r="K63" s="47" t="s">
        <v>452</v>
      </c>
      <c r="L63" s="47"/>
      <c r="M63" s="47" t="s">
        <v>907</v>
      </c>
      <c r="N63" s="51"/>
      <c r="O63" s="46" t="s">
        <v>491</v>
      </c>
      <c r="P63" s="51" t="s">
        <v>452</v>
      </c>
      <c r="Q63" s="54" t="s">
        <v>492</v>
      </c>
      <c r="R63" s="37" t="s">
        <v>146</v>
      </c>
      <c r="S63" s="38" t="s">
        <v>147</v>
      </c>
      <c r="T63" s="39" t="s">
        <v>147</v>
      </c>
      <c r="U63" s="7" t="s">
        <v>906</v>
      </c>
      <c r="X63" s="7" t="str">
        <f t="shared" si="0"/>
        <v>Concluído</v>
      </c>
      <c r="Y63" s="7" t="str">
        <f t="shared" si="1"/>
        <v>lt002_instrument.csd</v>
      </c>
    </row>
    <row r="64" spans="1:25" ht="135" hidden="1" customHeight="1" x14ac:dyDescent="0.4">
      <c r="A64" s="337" t="str">
        <f t="shared" si="2"/>
        <v>B02.00_0491_rgstrr_lei</v>
      </c>
      <c r="B64" s="40" t="s">
        <v>493</v>
      </c>
      <c r="C64" s="41" t="s">
        <v>494</v>
      </c>
      <c r="D64" s="42" t="s">
        <v>150</v>
      </c>
      <c r="E64" s="42" t="s">
        <v>151</v>
      </c>
      <c r="F64" s="67" t="s">
        <v>495</v>
      </c>
      <c r="G64" s="77" t="s">
        <v>321</v>
      </c>
      <c r="H64" s="78" t="s">
        <v>333</v>
      </c>
      <c r="I64" s="70"/>
      <c r="J64" s="46" t="s">
        <v>142</v>
      </c>
      <c r="K64" s="47" t="s">
        <v>459</v>
      </c>
      <c r="L64" s="47"/>
      <c r="M64" s="47" t="s">
        <v>907</v>
      </c>
      <c r="N64" s="51"/>
      <c r="O64" s="46" t="s">
        <v>496</v>
      </c>
      <c r="P64" s="51" t="s">
        <v>459</v>
      </c>
      <c r="Q64" s="54" t="s">
        <v>497</v>
      </c>
      <c r="R64" s="37" t="s">
        <v>146</v>
      </c>
      <c r="S64" s="38" t="s">
        <v>147</v>
      </c>
      <c r="T64" s="39" t="s">
        <v>147</v>
      </c>
      <c r="U64" s="7" t="s">
        <v>906</v>
      </c>
      <c r="X64" s="7" t="str">
        <f t="shared" si="0"/>
        <v>Concluído</v>
      </c>
      <c r="Y64" s="7" t="str">
        <f t="shared" si="1"/>
        <v>lt002_instrument.csd_lei</v>
      </c>
    </row>
    <row r="65" spans="1:25" ht="145.5" hidden="1" customHeight="1" x14ac:dyDescent="0.4">
      <c r="A65" s="337" t="str">
        <f t="shared" si="2"/>
        <v>B02.00_0500_nna</v>
      </c>
      <c r="B65" s="40" t="s">
        <v>498</v>
      </c>
      <c r="C65" s="41" t="s">
        <v>499</v>
      </c>
      <c r="D65" s="42" t="s">
        <v>150</v>
      </c>
      <c r="E65" s="42" t="s">
        <v>151</v>
      </c>
      <c r="F65" s="67" t="s">
        <v>500</v>
      </c>
      <c r="G65" s="76" t="s">
        <v>321</v>
      </c>
      <c r="H65" s="69" t="s">
        <v>333</v>
      </c>
      <c r="I65" s="70"/>
      <c r="J65" s="46" t="s">
        <v>142</v>
      </c>
      <c r="K65" s="47" t="s">
        <v>452</v>
      </c>
      <c r="L65" s="47"/>
      <c r="M65" s="47" t="s">
        <v>907</v>
      </c>
      <c r="N65" s="51" t="s">
        <v>279</v>
      </c>
      <c r="O65" s="46" t="s">
        <v>501</v>
      </c>
      <c r="P65" s="51" t="s">
        <v>452</v>
      </c>
      <c r="Q65" s="54" t="s">
        <v>502</v>
      </c>
      <c r="R65" s="37" t="s">
        <v>146</v>
      </c>
      <c r="S65" s="38" t="s">
        <v>147</v>
      </c>
      <c r="T65" s="39" t="s">
        <v>147</v>
      </c>
      <c r="U65" s="7" t="s">
        <v>906</v>
      </c>
      <c r="X65" s="7" t="str">
        <f t="shared" si="0"/>
        <v>Concluído</v>
      </c>
      <c r="Y65" s="7" t="str">
        <f t="shared" si="1"/>
        <v>lt002_instrument.csd</v>
      </c>
    </row>
    <row r="66" spans="1:25" ht="83.25" hidden="1" customHeight="1" x14ac:dyDescent="0.4">
      <c r="A66" s="337" t="str">
        <f t="shared" si="2"/>
        <v>B02.00_0501_nna_lei</v>
      </c>
      <c r="B66" s="40" t="s">
        <v>503</v>
      </c>
      <c r="C66" s="41" t="s">
        <v>504</v>
      </c>
      <c r="D66" s="42" t="s">
        <v>150</v>
      </c>
      <c r="E66" s="42" t="s">
        <v>151</v>
      </c>
      <c r="F66" s="67" t="s">
        <v>505</v>
      </c>
      <c r="G66" s="76" t="s">
        <v>321</v>
      </c>
      <c r="H66" s="69" t="s">
        <v>333</v>
      </c>
      <c r="I66" s="70"/>
      <c r="J66" s="46" t="s">
        <v>142</v>
      </c>
      <c r="K66" s="47" t="s">
        <v>459</v>
      </c>
      <c r="L66" s="47"/>
      <c r="M66" s="47" t="s">
        <v>907</v>
      </c>
      <c r="N66" s="51"/>
      <c r="O66" s="46" t="s">
        <v>506</v>
      </c>
      <c r="P66" s="51" t="s">
        <v>459</v>
      </c>
      <c r="Q66" s="54" t="s">
        <v>507</v>
      </c>
      <c r="R66" s="37" t="s">
        <v>146</v>
      </c>
      <c r="S66" s="38" t="s">
        <v>147</v>
      </c>
      <c r="T66" s="39" t="s">
        <v>147</v>
      </c>
      <c r="U66" s="7" t="s">
        <v>906</v>
      </c>
      <c r="X66" s="7" t="str">
        <f t="shared" si="0"/>
        <v>Concluído</v>
      </c>
      <c r="Y66" s="7" t="str">
        <f t="shared" si="1"/>
        <v>lt002_instrument.csd_lei</v>
      </c>
    </row>
    <row r="67" spans="1:25" ht="130.5" hidden="1" customHeight="1" x14ac:dyDescent="0.4">
      <c r="A67" s="337" t="str">
        <f t="shared" si="2"/>
        <v>B02.00_0510_cmmn_dpstry</v>
      </c>
      <c r="B67" s="40" t="s">
        <v>508</v>
      </c>
      <c r="C67" s="41" t="s">
        <v>509</v>
      </c>
      <c r="D67" s="42" t="s">
        <v>150</v>
      </c>
      <c r="E67" s="42" t="s">
        <v>151</v>
      </c>
      <c r="F67" s="67" t="s">
        <v>510</v>
      </c>
      <c r="G67" s="76" t="s">
        <v>321</v>
      </c>
      <c r="H67" s="69" t="s">
        <v>333</v>
      </c>
      <c r="I67" s="70"/>
      <c r="J67" s="46" t="s">
        <v>142</v>
      </c>
      <c r="K67" s="47"/>
      <c r="L67" s="47"/>
      <c r="M67" s="47"/>
      <c r="N67" s="51"/>
      <c r="O67" s="46" t="s">
        <v>511</v>
      </c>
      <c r="P67" s="48" t="s">
        <v>248</v>
      </c>
      <c r="Q67" s="54" t="s">
        <v>512</v>
      </c>
      <c r="R67" s="37" t="s">
        <v>146</v>
      </c>
      <c r="S67" s="38" t="s">
        <v>147</v>
      </c>
      <c r="T67" s="39" t="s">
        <v>147</v>
      </c>
      <c r="U67" s="7" t="s">
        <v>906</v>
      </c>
      <c r="X67" s="7" t="str">
        <f t="shared" si="0"/>
        <v>Concluído</v>
      </c>
      <c r="Y67" s="7" t="str">
        <f t="shared" si="1"/>
        <v>Valor fixo 'Not applicable'</v>
      </c>
    </row>
    <row r="68" spans="1:25" ht="85.5" hidden="1" customHeight="1" x14ac:dyDescent="0.4">
      <c r="A68" s="337" t="str">
        <f t="shared" si="2"/>
        <v>B02.00_0511_cmmn_dpstry_lei</v>
      </c>
      <c r="B68" s="40" t="s">
        <v>513</v>
      </c>
      <c r="C68" s="41" t="s">
        <v>514</v>
      </c>
      <c r="D68" s="42" t="s">
        <v>150</v>
      </c>
      <c r="E68" s="42" t="s">
        <v>151</v>
      </c>
      <c r="F68" s="67" t="s">
        <v>515</v>
      </c>
      <c r="G68" s="76" t="s">
        <v>321</v>
      </c>
      <c r="H68" s="69" t="s">
        <v>333</v>
      </c>
      <c r="I68" s="70"/>
      <c r="J68" s="46" t="s">
        <v>142</v>
      </c>
      <c r="K68" s="47"/>
      <c r="L68" s="47"/>
      <c r="M68" s="47"/>
      <c r="N68" s="51"/>
      <c r="O68" s="46" t="s">
        <v>516</v>
      </c>
      <c r="P68" s="48" t="s">
        <v>248</v>
      </c>
      <c r="Q68" s="54" t="s">
        <v>512</v>
      </c>
      <c r="R68" s="37" t="s">
        <v>146</v>
      </c>
      <c r="S68" s="38" t="s">
        <v>147</v>
      </c>
      <c r="T68" s="39" t="s">
        <v>147</v>
      </c>
      <c r="U68" s="7" t="s">
        <v>906</v>
      </c>
      <c r="X68" s="7" t="str">
        <f t="shared" si="0"/>
        <v>Concluído</v>
      </c>
      <c r="Y68" s="7" t="str">
        <f t="shared" si="1"/>
        <v>Valor fixo 'Not applicable'</v>
      </c>
    </row>
    <row r="69" spans="1:25" ht="114" hidden="1" customHeight="1" x14ac:dyDescent="0.4">
      <c r="A69" s="337" t="str">
        <f t="shared" si="2"/>
        <v>B02.00_0520_cmmn_srvc_prvdr</v>
      </c>
      <c r="B69" s="40" t="s">
        <v>517</v>
      </c>
      <c r="C69" s="41" t="s">
        <v>518</v>
      </c>
      <c r="D69" s="42" t="s">
        <v>150</v>
      </c>
      <c r="E69" s="42" t="s">
        <v>151</v>
      </c>
      <c r="F69" s="67" t="s">
        <v>519</v>
      </c>
      <c r="G69" s="76" t="s">
        <v>321</v>
      </c>
      <c r="H69" s="69" t="s">
        <v>333</v>
      </c>
      <c r="I69" s="70"/>
      <c r="J69" s="46" t="s">
        <v>142</v>
      </c>
      <c r="K69" s="47"/>
      <c r="L69" s="47"/>
      <c r="M69" s="47"/>
      <c r="N69" s="51"/>
      <c r="O69" s="46" t="s">
        <v>520</v>
      </c>
      <c r="P69" s="48" t="s">
        <v>248</v>
      </c>
      <c r="Q69" s="54" t="s">
        <v>512</v>
      </c>
      <c r="R69" s="37" t="s">
        <v>146</v>
      </c>
      <c r="S69" s="38" t="s">
        <v>147</v>
      </c>
      <c r="T69" s="39" t="s">
        <v>147</v>
      </c>
      <c r="U69" s="7" t="s">
        <v>906</v>
      </c>
      <c r="X69" s="7" t="str">
        <f t="shared" si="0"/>
        <v>Concluído</v>
      </c>
      <c r="Y69" s="7" t="str">
        <f t="shared" si="1"/>
        <v>Valor fixo 'Not applicable'</v>
      </c>
    </row>
    <row r="70" spans="1:25" ht="90.75" hidden="1" customHeight="1" x14ac:dyDescent="0.4">
      <c r="A70" s="337" t="str">
        <f t="shared" ref="A70:A85" si="3">"B02.00_"&amp;MID(O70,28,LEN(O70))</f>
        <v>B02.00_0521_cmmn_srvc_prvdr_lei</v>
      </c>
      <c r="B70" s="40" t="s">
        <v>521</v>
      </c>
      <c r="C70" s="41" t="s">
        <v>522</v>
      </c>
      <c r="D70" s="42" t="s">
        <v>150</v>
      </c>
      <c r="E70" s="42" t="s">
        <v>151</v>
      </c>
      <c r="F70" s="67" t="s">
        <v>523</v>
      </c>
      <c r="G70" s="76" t="s">
        <v>321</v>
      </c>
      <c r="H70" s="69" t="s">
        <v>333</v>
      </c>
      <c r="I70" s="70"/>
      <c r="J70" s="46" t="s">
        <v>142</v>
      </c>
      <c r="K70" s="47"/>
      <c r="L70" s="47"/>
      <c r="M70" s="47"/>
      <c r="N70" s="51"/>
      <c r="O70" s="46" t="s">
        <v>524</v>
      </c>
      <c r="P70" s="48" t="s">
        <v>248</v>
      </c>
      <c r="Q70" s="54" t="s">
        <v>512</v>
      </c>
      <c r="R70" s="37" t="s">
        <v>146</v>
      </c>
      <c r="S70" s="38" t="s">
        <v>147</v>
      </c>
      <c r="T70" s="39" t="s">
        <v>147</v>
      </c>
      <c r="U70" s="7" t="s">
        <v>906</v>
      </c>
      <c r="X70" s="7" t="str">
        <f t="shared" ref="X70:X85" si="4">+S70</f>
        <v>Concluído</v>
      </c>
      <c r="Y70" s="7" t="str">
        <f t="shared" ref="Y70:Y85" si="5">+P70</f>
        <v>Valor fixo 'Not applicable'</v>
      </c>
    </row>
    <row r="71" spans="1:25" ht="241.5" hidden="1" customHeight="1" x14ac:dyDescent="0.4">
      <c r="A71" s="337" t="str">
        <f t="shared" si="3"/>
        <v>B02.00_0530_typ_own_fnds_ind_lvl</v>
      </c>
      <c r="B71" s="40" t="s">
        <v>525</v>
      </c>
      <c r="C71" s="41" t="s">
        <v>526</v>
      </c>
      <c r="D71" s="42" t="s">
        <v>150</v>
      </c>
      <c r="E71" s="42" t="s">
        <v>238</v>
      </c>
      <c r="F71" s="67" t="s">
        <v>527</v>
      </c>
      <c r="G71" s="77" t="s">
        <v>321</v>
      </c>
      <c r="H71" s="78" t="s">
        <v>333</v>
      </c>
      <c r="I71" s="70"/>
      <c r="J71" s="46" t="s">
        <v>174</v>
      </c>
      <c r="K71" s="47" t="s">
        <v>528</v>
      </c>
      <c r="L71" s="47"/>
      <c r="M71" s="47" t="s">
        <v>907</v>
      </c>
      <c r="N71" s="51" t="s">
        <v>529</v>
      </c>
      <c r="O71" s="46" t="s">
        <v>530</v>
      </c>
      <c r="P71" s="51" t="s">
        <v>528</v>
      </c>
      <c r="Q71" s="54" t="s">
        <v>531</v>
      </c>
      <c r="R71" s="37" t="s">
        <v>179</v>
      </c>
      <c r="S71" s="38" t="s">
        <v>147</v>
      </c>
      <c r="T71" s="39" t="s">
        <v>147</v>
      </c>
      <c r="U71" s="7" t="s">
        <v>906</v>
      </c>
      <c r="X71" s="7" t="str">
        <f t="shared" si="4"/>
        <v>Concluído</v>
      </c>
      <c r="Y71" s="7" t="str">
        <f t="shared" si="5"/>
        <v>lt002_instrument.typ_own_fnds_indvdl_lvl</v>
      </c>
    </row>
    <row r="72" spans="1:25" ht="88.5" hidden="1" customHeight="1" x14ac:dyDescent="0.4">
      <c r="A72" s="337" t="str">
        <f t="shared" si="3"/>
        <v>B02.00_0540_elgbl_amnt_own_fnds_ind_lvl</v>
      </c>
      <c r="B72" s="40" t="s">
        <v>532</v>
      </c>
      <c r="C72" s="41" t="s">
        <v>533</v>
      </c>
      <c r="D72" s="55" t="s">
        <v>139</v>
      </c>
      <c r="E72" s="55" t="s">
        <v>171</v>
      </c>
      <c r="F72" s="67" t="s">
        <v>534</v>
      </c>
      <c r="G72" s="77" t="s">
        <v>173</v>
      </c>
      <c r="H72" s="78" t="s">
        <v>333</v>
      </c>
      <c r="I72" s="70"/>
      <c r="J72" s="46" t="s">
        <v>174</v>
      </c>
      <c r="K72" s="47" t="s">
        <v>535</v>
      </c>
      <c r="L72" s="47"/>
      <c r="M72" s="47" t="s">
        <v>908</v>
      </c>
      <c r="N72" s="51" t="s">
        <v>536</v>
      </c>
      <c r="O72" s="46" t="s">
        <v>537</v>
      </c>
      <c r="P72" s="51" t="s">
        <v>535</v>
      </c>
      <c r="Q72" s="54" t="s">
        <v>531</v>
      </c>
      <c r="R72" s="37" t="s">
        <v>179</v>
      </c>
      <c r="S72" s="38" t="s">
        <v>147</v>
      </c>
      <c r="T72" s="39" t="s">
        <v>147</v>
      </c>
      <c r="U72" s="7" t="s">
        <v>906</v>
      </c>
      <c r="X72" s="7" t="str">
        <f t="shared" si="4"/>
        <v>Concluído</v>
      </c>
      <c r="Y72" s="7" t="str">
        <f t="shared" si="5"/>
        <v>lt002_instrument.elgbl_amnt_own_fnds_indvdl_lvl</v>
      </c>
    </row>
    <row r="73" spans="1:25" ht="409.6" hidden="1" x14ac:dyDescent="0.4">
      <c r="A73" s="337" t="str">
        <f t="shared" si="3"/>
        <v>B02.00_0550_typ_own_fnds_cnsldtd_lvl</v>
      </c>
      <c r="B73" s="40" t="s">
        <v>538</v>
      </c>
      <c r="C73" s="41" t="s">
        <v>539</v>
      </c>
      <c r="D73" s="42" t="s">
        <v>150</v>
      </c>
      <c r="E73" s="42" t="s">
        <v>238</v>
      </c>
      <c r="F73" s="67" t="s">
        <v>540</v>
      </c>
      <c r="G73" s="77" t="s">
        <v>321</v>
      </c>
      <c r="H73" s="78" t="s">
        <v>333</v>
      </c>
      <c r="I73" s="70"/>
      <c r="J73" s="46" t="s">
        <v>142</v>
      </c>
      <c r="K73" s="47" t="s">
        <v>528</v>
      </c>
      <c r="L73" s="47"/>
      <c r="M73" s="47" t="s">
        <v>907</v>
      </c>
      <c r="N73" s="51"/>
      <c r="O73" s="46" t="s">
        <v>541</v>
      </c>
      <c r="P73" s="51" t="s">
        <v>528</v>
      </c>
      <c r="Q73" s="54" t="s">
        <v>542</v>
      </c>
      <c r="R73" s="37" t="s">
        <v>146</v>
      </c>
      <c r="S73" s="38" t="s">
        <v>147</v>
      </c>
      <c r="T73" s="39" t="s">
        <v>147</v>
      </c>
      <c r="U73" s="7" t="s">
        <v>906</v>
      </c>
      <c r="X73" s="7" t="str">
        <f t="shared" si="4"/>
        <v>Concluído</v>
      </c>
      <c r="Y73" s="7" t="str">
        <f t="shared" si="5"/>
        <v>lt002_instrument.typ_own_fnds_indvdl_lvl</v>
      </c>
    </row>
    <row r="74" spans="1:25" ht="106.5" hidden="1" customHeight="1" x14ac:dyDescent="0.4">
      <c r="A74" s="337" t="str">
        <f t="shared" si="3"/>
        <v>B02.00_0560_elgbl_amnt_own_fnds_cnsldtd_lvl</v>
      </c>
      <c r="B74" s="40" t="s">
        <v>543</v>
      </c>
      <c r="C74" s="41" t="s">
        <v>544</v>
      </c>
      <c r="D74" s="55" t="s">
        <v>139</v>
      </c>
      <c r="E74" s="55" t="s">
        <v>171</v>
      </c>
      <c r="F74" s="67" t="s">
        <v>545</v>
      </c>
      <c r="G74" s="76" t="s">
        <v>173</v>
      </c>
      <c r="H74" s="69" t="s">
        <v>333</v>
      </c>
      <c r="I74" s="70"/>
      <c r="J74" s="46" t="s">
        <v>142</v>
      </c>
      <c r="K74" s="47" t="s">
        <v>535</v>
      </c>
      <c r="L74" s="47"/>
      <c r="M74" s="47" t="s">
        <v>908</v>
      </c>
      <c r="N74" s="51"/>
      <c r="O74" s="46" t="s">
        <v>546</v>
      </c>
      <c r="P74" s="51" t="s">
        <v>535</v>
      </c>
      <c r="Q74" s="54" t="s">
        <v>547</v>
      </c>
      <c r="R74" s="37" t="s">
        <v>146</v>
      </c>
      <c r="S74" s="38" t="s">
        <v>147</v>
      </c>
      <c r="T74" s="39" t="s">
        <v>147</v>
      </c>
      <c r="U74" s="7" t="s">
        <v>906</v>
      </c>
      <c r="X74" s="7" t="str">
        <f t="shared" si="4"/>
        <v>Concluído</v>
      </c>
      <c r="Y74" s="7" t="str">
        <f t="shared" si="5"/>
        <v>lt002_instrument.elgbl_amnt_own_fnds_indvdl_lvl</v>
      </c>
    </row>
    <row r="75" spans="1:25" ht="74.25" hidden="1" customHeight="1" x14ac:dyDescent="0.4">
      <c r="A75" s="337" t="str">
        <f t="shared" si="3"/>
        <v>B02.00_0570_amnt_scrty_intrst_prvdd</v>
      </c>
      <c r="B75" s="75" t="s">
        <v>548</v>
      </c>
      <c r="C75" s="41" t="s">
        <v>549</v>
      </c>
      <c r="D75" s="55" t="s">
        <v>139</v>
      </c>
      <c r="E75" s="55" t="s">
        <v>171</v>
      </c>
      <c r="F75" s="67" t="s">
        <v>550</v>
      </c>
      <c r="G75" s="68" t="s">
        <v>333</v>
      </c>
      <c r="H75" s="69" t="s">
        <v>333</v>
      </c>
      <c r="I75" s="70"/>
      <c r="J75" s="46" t="s">
        <v>142</v>
      </c>
      <c r="K75" s="47"/>
      <c r="L75" s="47"/>
      <c r="M75" s="47"/>
      <c r="N75" s="51"/>
      <c r="O75" s="46" t="s">
        <v>551</v>
      </c>
      <c r="P75" s="51" t="s">
        <v>223</v>
      </c>
      <c r="Q75" s="54" t="s">
        <v>552</v>
      </c>
      <c r="R75" s="37" t="s">
        <v>146</v>
      </c>
      <c r="S75" s="38" t="s">
        <v>147</v>
      </c>
      <c r="T75" s="39" t="s">
        <v>147</v>
      </c>
      <c r="U75" s="7" t="s">
        <v>906</v>
      </c>
      <c r="X75" s="7" t="str">
        <f t="shared" si="4"/>
        <v>Concluído</v>
      </c>
      <c r="Y75" s="7" t="str">
        <f t="shared" si="5"/>
        <v>Valor fixo 0</v>
      </c>
    </row>
    <row r="76" spans="1:25" ht="60" hidden="1" customHeight="1" x14ac:dyDescent="0.4">
      <c r="A76" s="337" t="str">
        <f t="shared" si="3"/>
        <v>B02.00_0580_scrty_intrst_prvdr</v>
      </c>
      <c r="B76" s="75" t="s">
        <v>553</v>
      </c>
      <c r="C76" s="41" t="s">
        <v>554</v>
      </c>
      <c r="D76" s="42" t="s">
        <v>150</v>
      </c>
      <c r="E76" s="42" t="s">
        <v>151</v>
      </c>
      <c r="F76" s="67" t="s">
        <v>555</v>
      </c>
      <c r="G76" s="76" t="s">
        <v>321</v>
      </c>
      <c r="H76" s="69" t="s">
        <v>333</v>
      </c>
      <c r="I76" s="70"/>
      <c r="J76" s="46" t="s">
        <v>142</v>
      </c>
      <c r="K76" s="47"/>
      <c r="L76" s="47"/>
      <c r="M76" s="47"/>
      <c r="N76" s="51"/>
      <c r="O76" s="46" t="s">
        <v>556</v>
      </c>
      <c r="P76" s="48" t="s">
        <v>248</v>
      </c>
      <c r="Q76" s="54" t="s">
        <v>557</v>
      </c>
      <c r="R76" s="37" t="s">
        <v>146</v>
      </c>
      <c r="S76" s="38" t="s">
        <v>147</v>
      </c>
      <c r="T76" s="39" t="s">
        <v>147</v>
      </c>
      <c r="U76" s="7" t="s">
        <v>906</v>
      </c>
      <c r="X76" s="7" t="str">
        <f t="shared" si="4"/>
        <v>Concluído</v>
      </c>
      <c r="Y76" s="7" t="str">
        <f t="shared" si="5"/>
        <v>Valor fixo 'Not applicable'</v>
      </c>
    </row>
    <row r="77" spans="1:25" ht="63" hidden="1" customHeight="1" x14ac:dyDescent="0.4">
      <c r="A77" s="337" t="str">
        <f t="shared" si="3"/>
        <v>B02.00_0581_scrty_intrst_prvdr_lei</v>
      </c>
      <c r="B77" s="75" t="s">
        <v>558</v>
      </c>
      <c r="C77" s="41" t="s">
        <v>559</v>
      </c>
      <c r="D77" s="42" t="s">
        <v>150</v>
      </c>
      <c r="E77" s="42" t="s">
        <v>151</v>
      </c>
      <c r="F77" s="67" t="s">
        <v>560</v>
      </c>
      <c r="G77" s="76" t="s">
        <v>321</v>
      </c>
      <c r="H77" s="69" t="s">
        <v>333</v>
      </c>
      <c r="I77" s="70"/>
      <c r="J77" s="46" t="s">
        <v>142</v>
      </c>
      <c r="K77" s="47"/>
      <c r="L77" s="47"/>
      <c r="M77" s="47"/>
      <c r="N77" s="51"/>
      <c r="O77" s="46" t="s">
        <v>561</v>
      </c>
      <c r="P77" s="48" t="s">
        <v>248</v>
      </c>
      <c r="Q77" s="54" t="s">
        <v>557</v>
      </c>
      <c r="R77" s="37" t="s">
        <v>146</v>
      </c>
      <c r="S77" s="38" t="s">
        <v>147</v>
      </c>
      <c r="T77" s="39" t="s">
        <v>147</v>
      </c>
      <c r="U77" s="7" t="s">
        <v>906</v>
      </c>
      <c r="X77" s="7" t="str">
        <f t="shared" si="4"/>
        <v>Concluído</v>
      </c>
      <c r="Y77" s="7" t="str">
        <f t="shared" si="5"/>
        <v>Valor fixo 'Not applicable'</v>
      </c>
    </row>
    <row r="78" spans="1:25" ht="219.75" hidden="1" customHeight="1" x14ac:dyDescent="0.4">
      <c r="A78" s="337" t="str">
        <f t="shared" si="3"/>
        <v>B02.00_0590_typ_scrty_intrst_prvdd</v>
      </c>
      <c r="B78" s="75" t="s">
        <v>562</v>
      </c>
      <c r="C78" s="41" t="s">
        <v>563</v>
      </c>
      <c r="D78" s="42" t="s">
        <v>150</v>
      </c>
      <c r="E78" s="42" t="s">
        <v>238</v>
      </c>
      <c r="F78" s="67" t="s">
        <v>564</v>
      </c>
      <c r="G78" s="76" t="s">
        <v>321</v>
      </c>
      <c r="H78" s="69" t="s">
        <v>333</v>
      </c>
      <c r="I78" s="70"/>
      <c r="J78" s="46" t="s">
        <v>142</v>
      </c>
      <c r="K78" s="47"/>
      <c r="L78" s="47"/>
      <c r="M78" s="47"/>
      <c r="N78" s="51"/>
      <c r="O78" s="46" t="s">
        <v>565</v>
      </c>
      <c r="P78" s="51" t="s">
        <v>248</v>
      </c>
      <c r="Q78" s="54" t="s">
        <v>557</v>
      </c>
      <c r="R78" s="37" t="s">
        <v>146</v>
      </c>
      <c r="S78" s="38" t="s">
        <v>147</v>
      </c>
      <c r="T78" s="39" t="s">
        <v>147</v>
      </c>
      <c r="U78" s="7" t="s">
        <v>906</v>
      </c>
      <c r="X78" s="7" t="str">
        <f t="shared" si="4"/>
        <v>Concluído</v>
      </c>
      <c r="Y78" s="7" t="str">
        <f t="shared" si="5"/>
        <v>Valor fixo 'Not applicable'</v>
      </c>
    </row>
    <row r="79" spans="1:25" ht="65.25" hidden="1" customHeight="1" x14ac:dyDescent="0.4">
      <c r="A79" s="337" t="str">
        <f t="shared" si="3"/>
        <v>B02.00_0600_flg_clltrl_asst_pstn</v>
      </c>
      <c r="B79" s="40" t="s">
        <v>566</v>
      </c>
      <c r="C79" s="41" t="s">
        <v>567</v>
      </c>
      <c r="D79" s="42" t="s">
        <v>150</v>
      </c>
      <c r="E79" s="42" t="s">
        <v>252</v>
      </c>
      <c r="F79" s="67" t="s">
        <v>568</v>
      </c>
      <c r="G79" s="76" t="s">
        <v>321</v>
      </c>
      <c r="H79" s="69" t="s">
        <v>333</v>
      </c>
      <c r="I79" s="70"/>
      <c r="J79" s="46" t="s">
        <v>142</v>
      </c>
      <c r="K79" s="47"/>
      <c r="L79" s="47"/>
      <c r="M79" s="47"/>
      <c r="N79" s="51"/>
      <c r="O79" s="46" t="s">
        <v>569</v>
      </c>
      <c r="P79" s="51" t="s">
        <v>349</v>
      </c>
      <c r="Q79" s="54" t="s">
        <v>570</v>
      </c>
      <c r="R79" s="37" t="s">
        <v>146</v>
      </c>
      <c r="S79" s="38" t="s">
        <v>147</v>
      </c>
      <c r="T79" s="39" t="s">
        <v>147</v>
      </c>
      <c r="U79" s="7" t="s">
        <v>906</v>
      </c>
      <c r="X79" s="7" t="str">
        <f t="shared" si="4"/>
        <v>Concluído</v>
      </c>
      <c r="Y79" s="7" t="str">
        <f t="shared" si="5"/>
        <v>Valor fixo 'FALSE'</v>
      </c>
    </row>
    <row r="80" spans="1:25" ht="90.75" hidden="1" customHeight="1" x14ac:dyDescent="0.4">
      <c r="A80" s="337" t="str">
        <f t="shared" si="3"/>
        <v>B02.00_0610_crryng_amnt_ifrs</v>
      </c>
      <c r="B80" s="89" t="s">
        <v>571</v>
      </c>
      <c r="C80" s="41" t="s">
        <v>572</v>
      </c>
      <c r="D80" s="55" t="s">
        <v>139</v>
      </c>
      <c r="E80" s="55" t="s">
        <v>171</v>
      </c>
      <c r="F80" s="67" t="s">
        <v>573</v>
      </c>
      <c r="G80" s="68" t="s">
        <v>333</v>
      </c>
      <c r="H80" s="69" t="s">
        <v>333</v>
      </c>
      <c r="I80" s="70"/>
      <c r="J80" s="46" t="s">
        <v>142</v>
      </c>
      <c r="K80" s="47" t="s">
        <v>574</v>
      </c>
      <c r="L80" s="47"/>
      <c r="M80" s="47" t="s">
        <v>908</v>
      </c>
      <c r="N80" s="58"/>
      <c r="O80" s="46" t="s">
        <v>575</v>
      </c>
      <c r="P80" s="58" t="s">
        <v>576</v>
      </c>
      <c r="Q80" s="60" t="s">
        <v>431</v>
      </c>
      <c r="R80" s="37" t="s">
        <v>157</v>
      </c>
      <c r="S80" s="38" t="s">
        <v>147</v>
      </c>
      <c r="T80" s="39" t="s">
        <v>180</v>
      </c>
      <c r="U80" s="7" t="s">
        <v>906</v>
      </c>
      <c r="X80" s="7" t="str">
        <f t="shared" si="4"/>
        <v>Concluído</v>
      </c>
      <c r="Y80" s="7" t="str">
        <f t="shared" si="5"/>
        <v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v>
      </c>
    </row>
    <row r="81" spans="1:25" ht="166.5" hidden="1" customHeight="1" x14ac:dyDescent="0.4">
      <c r="A81" s="337" t="str">
        <f t="shared" si="3"/>
        <v>B02.00_0620_blnc_sht_ifrs</v>
      </c>
      <c r="B81" s="89" t="s">
        <v>577</v>
      </c>
      <c r="C81" s="41" t="s">
        <v>578</v>
      </c>
      <c r="D81" s="42" t="s">
        <v>150</v>
      </c>
      <c r="E81" s="42" t="s">
        <v>238</v>
      </c>
      <c r="F81" s="67" t="s">
        <v>579</v>
      </c>
      <c r="G81" s="68" t="s">
        <v>333</v>
      </c>
      <c r="H81" s="69" t="s">
        <v>333</v>
      </c>
      <c r="I81" s="70"/>
      <c r="J81" s="46" t="s">
        <v>142</v>
      </c>
      <c r="K81" s="47" t="s">
        <v>580</v>
      </c>
      <c r="L81" s="47"/>
      <c r="M81" s="47" t="s">
        <v>907</v>
      </c>
      <c r="N81" s="51" t="s">
        <v>581</v>
      </c>
      <c r="O81" s="46" t="s">
        <v>582</v>
      </c>
      <c r="P81" s="51" t="s">
        <v>580</v>
      </c>
      <c r="Q81" s="54" t="s">
        <v>583</v>
      </c>
      <c r="R81" s="37" t="s">
        <v>157</v>
      </c>
      <c r="S81" s="38" t="s">
        <v>147</v>
      </c>
      <c r="T81" s="39" t="s">
        <v>147</v>
      </c>
      <c r="U81" s="7" t="s">
        <v>906</v>
      </c>
      <c r="X81" s="7" t="str">
        <f t="shared" si="4"/>
        <v>Concluído</v>
      </c>
      <c r="Y81" s="7" t="str">
        <f t="shared" si="5"/>
        <v>lt002_instrument.
accntng_clssfctn</v>
      </c>
    </row>
    <row r="82" spans="1:25" ht="243.75" hidden="1" customHeight="1" x14ac:dyDescent="0.4">
      <c r="A82" s="337" t="str">
        <f t="shared" si="3"/>
        <v>B02.00_0630_crrying_amnt_ngaap</v>
      </c>
      <c r="B82" s="89" t="s">
        <v>584</v>
      </c>
      <c r="C82" s="41" t="s">
        <v>585</v>
      </c>
      <c r="D82" s="55" t="s">
        <v>139</v>
      </c>
      <c r="E82" s="55" t="s">
        <v>171</v>
      </c>
      <c r="F82" s="67" t="s">
        <v>586</v>
      </c>
      <c r="G82" s="68" t="s">
        <v>333</v>
      </c>
      <c r="H82" s="69" t="s">
        <v>333</v>
      </c>
      <c r="I82" s="70"/>
      <c r="J82" s="46" t="s">
        <v>142</v>
      </c>
      <c r="K82" s="47"/>
      <c r="L82" s="47"/>
      <c r="M82" s="47"/>
      <c r="N82" s="58"/>
      <c r="O82" s="46" t="s">
        <v>587</v>
      </c>
      <c r="P82" s="58" t="s">
        <v>266</v>
      </c>
      <c r="Q82" s="60" t="s">
        <v>588</v>
      </c>
      <c r="R82" s="37" t="s">
        <v>146</v>
      </c>
      <c r="S82" s="38" t="s">
        <v>147</v>
      </c>
      <c r="T82" s="39" t="s">
        <v>147</v>
      </c>
      <c r="U82" s="7" t="s">
        <v>906</v>
      </c>
      <c r="X82" s="7" t="str">
        <f t="shared" si="4"/>
        <v>Concluído</v>
      </c>
      <c r="Y82" s="7" t="str">
        <f t="shared" si="5"/>
        <v>Valor fixo 999999999999999</v>
      </c>
    </row>
    <row r="83" spans="1:25" ht="94.5" hidden="1" customHeight="1" x14ac:dyDescent="0.4">
      <c r="A83" s="337" t="str">
        <f t="shared" si="3"/>
        <v>B02.00_0640_blnc_sht_ngaap</v>
      </c>
      <c r="B83" s="89" t="s">
        <v>589</v>
      </c>
      <c r="C83" s="41" t="s">
        <v>590</v>
      </c>
      <c r="D83" s="42" t="s">
        <v>150</v>
      </c>
      <c r="E83" s="42" t="s">
        <v>151</v>
      </c>
      <c r="F83" s="67" t="s">
        <v>591</v>
      </c>
      <c r="G83" s="68" t="s">
        <v>333</v>
      </c>
      <c r="H83" s="69" t="s">
        <v>333</v>
      </c>
      <c r="I83" s="70"/>
      <c r="J83" s="46" t="s">
        <v>142</v>
      </c>
      <c r="K83" s="47"/>
      <c r="L83" s="47"/>
      <c r="M83" s="47"/>
      <c r="N83" s="51"/>
      <c r="O83" s="46" t="s">
        <v>592</v>
      </c>
      <c r="P83" s="48" t="s">
        <v>248</v>
      </c>
      <c r="Q83" s="54" t="s">
        <v>593</v>
      </c>
      <c r="R83" s="37" t="s">
        <v>146</v>
      </c>
      <c r="S83" s="38" t="s">
        <v>147</v>
      </c>
      <c r="T83" s="39" t="s">
        <v>147</v>
      </c>
      <c r="U83" s="7" t="s">
        <v>906</v>
      </c>
      <c r="X83" s="7" t="str">
        <f t="shared" si="4"/>
        <v>Concluído</v>
      </c>
      <c r="Y83" s="7" t="str">
        <f t="shared" si="5"/>
        <v>Valor fixo 'Not applicable'</v>
      </c>
    </row>
    <row r="84" spans="1:25" ht="126.75" hidden="1" customHeight="1" x14ac:dyDescent="0.4">
      <c r="A84" s="337" t="str">
        <f t="shared" si="3"/>
        <v>B02.00_5000_flg_shrhldr_not_rsltn_grp</v>
      </c>
      <c r="B84" s="89" t="s">
        <v>594</v>
      </c>
      <c r="C84" s="41" t="s">
        <v>595</v>
      </c>
      <c r="D84" s="42" t="s">
        <v>150</v>
      </c>
      <c r="E84" s="42" t="s">
        <v>252</v>
      </c>
      <c r="F84" s="67" t="s">
        <v>596</v>
      </c>
      <c r="G84" s="68" t="s">
        <v>333</v>
      </c>
      <c r="H84" s="69" t="s">
        <v>333</v>
      </c>
      <c r="I84" s="70"/>
      <c r="J84" s="46" t="s">
        <v>142</v>
      </c>
      <c r="K84" s="47"/>
      <c r="L84" s="47"/>
      <c r="M84" s="47"/>
      <c r="N84" s="51"/>
      <c r="O84" s="46" t="s">
        <v>597</v>
      </c>
      <c r="P84" s="51" t="s">
        <v>349</v>
      </c>
      <c r="Q84" s="54" t="s">
        <v>598</v>
      </c>
      <c r="R84" s="37" t="s">
        <v>146</v>
      </c>
      <c r="S84" s="38" t="s">
        <v>147</v>
      </c>
      <c r="T84" s="39" t="s">
        <v>147</v>
      </c>
      <c r="U84" s="7" t="s">
        <v>906</v>
      </c>
      <c r="X84" s="7" t="str">
        <f t="shared" si="4"/>
        <v>Concluído</v>
      </c>
      <c r="Y84" s="7" t="str">
        <f t="shared" si="5"/>
        <v>Valor fixo 'FALSE'</v>
      </c>
    </row>
    <row r="85" spans="1:25" ht="84.75" hidden="1" customHeight="1" thickBot="1" x14ac:dyDescent="0.45">
      <c r="A85" s="337" t="str">
        <f t="shared" si="3"/>
        <v>B02.00_5010_flg_art21_7a_srmr</v>
      </c>
      <c r="B85" s="90" t="s">
        <v>599</v>
      </c>
      <c r="C85" s="91" t="s">
        <v>600</v>
      </c>
      <c r="D85" s="92" t="s">
        <v>150</v>
      </c>
      <c r="E85" s="92" t="s">
        <v>252</v>
      </c>
      <c r="F85" s="93" t="s">
        <v>601</v>
      </c>
      <c r="G85" s="94" t="s">
        <v>333</v>
      </c>
      <c r="H85" s="95" t="s">
        <v>333</v>
      </c>
      <c r="I85" s="70"/>
      <c r="J85" s="96" t="s">
        <v>142</v>
      </c>
      <c r="K85" s="97"/>
      <c r="L85" s="97"/>
      <c r="M85" s="97"/>
      <c r="N85" s="98"/>
      <c r="O85" s="96" t="s">
        <v>602</v>
      </c>
      <c r="P85" s="98" t="s">
        <v>603</v>
      </c>
      <c r="Q85" s="99" t="s">
        <v>604</v>
      </c>
      <c r="R85" s="37" t="s">
        <v>146</v>
      </c>
      <c r="S85" s="38" t="s">
        <v>147</v>
      </c>
      <c r="T85" s="39" t="s">
        <v>147</v>
      </c>
      <c r="U85" s="7" t="s">
        <v>906</v>
      </c>
      <c r="X85" s="7" t="str">
        <f t="shared" si="4"/>
        <v>Concluído</v>
      </c>
      <c r="Y85" s="7" t="str">
        <f t="shared" si="5"/>
        <v>Valor fixo 'TRUE'</v>
      </c>
    </row>
    <row r="86" spans="1:25" s="100" customFormat="1" ht="16.2" x14ac:dyDescent="0.4">
      <c r="G86" s="101"/>
      <c r="H86" s="101"/>
      <c r="J86" s="102">
        <v>65</v>
      </c>
      <c r="K86" s="103"/>
      <c r="L86" s="103"/>
      <c r="M86" s="103"/>
      <c r="N86" s="104"/>
      <c r="O86" s="104"/>
      <c r="P86" s="104"/>
      <c r="Q86" s="104"/>
      <c r="R86" s="105"/>
      <c r="S86" s="105"/>
      <c r="T86" s="104"/>
      <c r="X86" s="7"/>
    </row>
    <row r="87" spans="1:25" s="100" customFormat="1" ht="16.2" x14ac:dyDescent="0.4">
      <c r="G87" s="101"/>
      <c r="H87" s="101"/>
      <c r="J87" s="106"/>
      <c r="K87" s="106"/>
      <c r="L87" s="106"/>
      <c r="M87" s="106"/>
      <c r="N87" s="104"/>
      <c r="O87" s="104"/>
      <c r="P87" s="104"/>
      <c r="Q87" s="104"/>
      <c r="R87" s="105"/>
      <c r="S87" s="105"/>
      <c r="T87" s="104"/>
    </row>
    <row r="88" spans="1:25" s="100" customFormat="1" ht="16.2" x14ac:dyDescent="0.4">
      <c r="G88" s="101"/>
      <c r="H88" s="101"/>
      <c r="J88" s="106"/>
      <c r="K88" s="106"/>
      <c r="L88" s="106"/>
      <c r="M88" s="106"/>
      <c r="N88" s="104"/>
      <c r="O88" s="104"/>
      <c r="P88" s="104"/>
      <c r="Q88" s="104"/>
      <c r="R88" s="105"/>
      <c r="S88" s="105"/>
      <c r="T88" s="104"/>
    </row>
    <row r="89" spans="1:25" s="100" customFormat="1" ht="16.2" x14ac:dyDescent="0.4">
      <c r="G89" s="101"/>
      <c r="H89" s="101"/>
      <c r="J89" s="106"/>
      <c r="K89" s="106"/>
      <c r="L89" s="106"/>
      <c r="M89" s="106"/>
      <c r="N89" s="104"/>
      <c r="O89" s="104"/>
      <c r="P89" s="104"/>
      <c r="Q89" s="104"/>
      <c r="R89" s="105"/>
      <c r="S89" s="105"/>
      <c r="T89" s="104"/>
    </row>
    <row r="90" spans="1:25" s="100" customFormat="1" ht="16.2" x14ac:dyDescent="0.4">
      <c r="G90" s="101"/>
      <c r="H90" s="101"/>
      <c r="J90" s="106"/>
      <c r="K90" s="106"/>
      <c r="L90" s="106"/>
      <c r="M90" s="106"/>
      <c r="N90" s="104"/>
      <c r="O90" s="104"/>
      <c r="P90" s="104"/>
      <c r="Q90" s="104"/>
      <c r="R90" s="105"/>
      <c r="S90" s="105"/>
      <c r="T90" s="104"/>
    </row>
    <row r="91" spans="1:25" s="100" customFormat="1" ht="16.2" x14ac:dyDescent="0.4">
      <c r="G91" s="101"/>
      <c r="H91" s="101"/>
      <c r="J91" s="106"/>
      <c r="K91" s="106"/>
      <c r="L91" s="106"/>
      <c r="M91" s="106"/>
      <c r="N91" s="104"/>
      <c r="O91" s="104"/>
      <c r="P91" s="104"/>
      <c r="Q91" s="104"/>
      <c r="R91" s="105"/>
      <c r="S91" s="105"/>
      <c r="T91" s="104"/>
    </row>
    <row r="92" spans="1:25" s="100" customFormat="1" ht="16.2" x14ac:dyDescent="0.4">
      <c r="G92" s="101"/>
      <c r="H92" s="101"/>
      <c r="J92" s="106"/>
      <c r="K92" s="106"/>
      <c r="L92" s="106"/>
      <c r="M92" s="106"/>
      <c r="N92" s="104"/>
      <c r="O92" s="104"/>
      <c r="P92" s="104"/>
      <c r="Q92" s="104"/>
      <c r="R92" s="105"/>
      <c r="S92" s="105"/>
      <c r="T92" s="104"/>
    </row>
    <row r="93" spans="1:25" s="100" customFormat="1" ht="16.2" x14ac:dyDescent="0.4">
      <c r="G93" s="101"/>
      <c r="H93" s="101"/>
      <c r="J93" s="106"/>
      <c r="K93" s="106"/>
      <c r="L93" s="106"/>
      <c r="M93" s="106"/>
      <c r="N93" s="104"/>
      <c r="O93" s="104"/>
      <c r="P93" s="104"/>
      <c r="Q93" s="104"/>
      <c r="R93" s="105"/>
      <c r="S93" s="105"/>
      <c r="T93" s="104"/>
    </row>
    <row r="94" spans="1:25" s="100" customFormat="1" ht="16.2" x14ac:dyDescent="0.4">
      <c r="G94" s="101"/>
      <c r="H94" s="101"/>
      <c r="J94" s="106"/>
      <c r="K94" s="106"/>
      <c r="L94" s="106"/>
      <c r="M94" s="106"/>
      <c r="N94" s="104"/>
      <c r="O94" s="104"/>
      <c r="P94" s="104"/>
      <c r="Q94" s="104"/>
      <c r="R94" s="105"/>
      <c r="S94" s="105"/>
      <c r="T94" s="104"/>
    </row>
    <row r="95" spans="1:25" s="100" customFormat="1" ht="16.2" x14ac:dyDescent="0.4">
      <c r="G95" s="101"/>
      <c r="H95" s="101"/>
      <c r="J95" s="106"/>
      <c r="K95" s="106"/>
      <c r="L95" s="106"/>
      <c r="M95" s="106"/>
      <c r="N95" s="104"/>
      <c r="O95" s="104"/>
      <c r="P95" s="104"/>
      <c r="Q95" s="104"/>
      <c r="R95" s="105"/>
      <c r="S95" s="105"/>
      <c r="T95" s="104"/>
    </row>
    <row r="96" spans="1:25" s="100" customFormat="1" ht="16.2" x14ac:dyDescent="0.4">
      <c r="G96" s="101"/>
      <c r="H96" s="101"/>
      <c r="J96" s="106"/>
      <c r="K96" s="106"/>
      <c r="L96" s="106"/>
      <c r="M96" s="106"/>
      <c r="N96" s="104"/>
      <c r="O96" s="104"/>
      <c r="P96" s="104"/>
      <c r="Q96" s="104"/>
      <c r="R96" s="105"/>
      <c r="S96" s="105"/>
      <c r="T96" s="104"/>
    </row>
    <row r="97" spans="7:20" s="100" customFormat="1" ht="16.2" x14ac:dyDescent="0.4">
      <c r="G97" s="101"/>
      <c r="H97" s="101"/>
      <c r="J97" s="106"/>
      <c r="K97" s="106"/>
      <c r="L97" s="106"/>
      <c r="M97" s="106"/>
      <c r="N97" s="104"/>
      <c r="O97" s="104"/>
      <c r="P97" s="104"/>
      <c r="Q97" s="104"/>
      <c r="R97" s="105"/>
      <c r="S97" s="105"/>
      <c r="T97" s="104"/>
    </row>
    <row r="98" spans="7:20" s="100" customFormat="1" ht="16.2" x14ac:dyDescent="0.4">
      <c r="G98" s="101"/>
      <c r="H98" s="101"/>
      <c r="J98" s="106"/>
      <c r="K98" s="106"/>
      <c r="L98" s="106"/>
      <c r="M98" s="106"/>
      <c r="N98" s="104"/>
      <c r="O98" s="104"/>
      <c r="P98" s="104"/>
      <c r="Q98" s="104"/>
      <c r="R98" s="105"/>
      <c r="S98" s="105"/>
      <c r="T98" s="104"/>
    </row>
    <row r="99" spans="7:20" s="100" customFormat="1" ht="16.2" x14ac:dyDescent="0.4">
      <c r="G99" s="101"/>
      <c r="H99" s="101"/>
      <c r="J99" s="106"/>
      <c r="K99" s="106"/>
      <c r="L99" s="106"/>
      <c r="M99" s="106"/>
      <c r="N99" s="104"/>
      <c r="O99" s="104"/>
      <c r="P99" s="104"/>
      <c r="Q99" s="104"/>
      <c r="R99" s="105"/>
      <c r="S99" s="105"/>
      <c r="T99" s="104"/>
    </row>
    <row r="100" spans="7:20" s="100" customFormat="1" ht="16.2" x14ac:dyDescent="0.4">
      <c r="G100" s="101"/>
      <c r="H100" s="101"/>
      <c r="J100" s="106"/>
      <c r="K100" s="106"/>
      <c r="L100" s="106"/>
      <c r="M100" s="106"/>
      <c r="N100" s="104"/>
      <c r="O100" s="104"/>
      <c r="P100" s="104"/>
      <c r="Q100" s="104"/>
      <c r="R100" s="105"/>
      <c r="S100" s="105"/>
      <c r="T100" s="104"/>
    </row>
    <row r="101" spans="7:20" s="100" customFormat="1" ht="16.2" x14ac:dyDescent="0.4">
      <c r="G101" s="101"/>
      <c r="H101" s="101"/>
      <c r="J101" s="106"/>
      <c r="K101" s="106"/>
      <c r="L101" s="106"/>
      <c r="M101" s="106"/>
      <c r="N101" s="104"/>
      <c r="O101" s="104"/>
      <c r="P101" s="104"/>
      <c r="Q101" s="104"/>
      <c r="R101" s="105"/>
      <c r="S101" s="105"/>
      <c r="T101" s="104"/>
    </row>
  </sheetData>
  <autoFilter ref="B4:V85" xr:uid="{00000000-0001-0000-0300-000000000000}">
    <filterColumn colId="13">
      <filters>
        <filter val="out_b0200_main_liabilities.0310_flg_clltrl_agrmnts"/>
      </filters>
    </filterColumn>
  </autoFilter>
  <mergeCells count="6">
    <mergeCell ref="B1:T1"/>
    <mergeCell ref="B2:H2"/>
    <mergeCell ref="J2:Q2"/>
    <mergeCell ref="J3:N3"/>
    <mergeCell ref="O3:P3"/>
    <mergeCell ref="Q3:Q4"/>
  </mergeCells>
  <dataValidations count="1">
    <dataValidation allowBlank="1" showInputMessage="1" showErrorMessage="1" sqref="K87:M1048576 K5:L43 M5:M85 P10" xr:uid="{9FE983D3-9501-4B1D-B8AA-0ED82E76FB3A}"/>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FD0A-7F2E-4C51-8C1F-90F82F1F7A4A}">
  <sheetPr filterMode="1"/>
  <dimension ref="A1:AJ20"/>
  <sheetViews>
    <sheetView zoomScale="70" zoomScaleNormal="80" workbookViewId="0">
      <pane xSplit="6" ySplit="4" topLeftCell="N5" activePane="bottomRight" state="frozen"/>
      <selection activeCell="O13" sqref="O13"/>
      <selection pane="topRight" activeCell="O13" sqref="O13"/>
      <selection pane="bottomLeft" activeCell="O13" sqref="O13"/>
      <selection pane="bottomRight" activeCell="S4" sqref="S4"/>
    </sheetView>
  </sheetViews>
  <sheetFormatPr defaultColWidth="9.33203125" defaultRowHeight="12.75" customHeight="1" x14ac:dyDescent="0.4"/>
  <cols>
    <col min="1" max="1" width="5.33203125" style="121" customWidth="1"/>
    <col min="2" max="2" width="14.6640625" style="121" customWidth="1"/>
    <col min="3" max="3" width="5" style="121" customWidth="1"/>
    <col min="4" max="4" width="6.6640625" style="121" customWidth="1"/>
    <col min="5" max="5" width="9.33203125" style="121" customWidth="1"/>
    <col min="6" max="6" width="54.33203125" style="121" customWidth="1"/>
    <col min="7" max="7" width="14.33203125" style="121" customWidth="1"/>
    <col min="8" max="8" width="13.5546875" style="121" customWidth="1"/>
    <col min="9" max="9" width="2.6640625" style="121" customWidth="1"/>
    <col min="10" max="10" width="7.33203125" style="198" customWidth="1"/>
    <col min="11" max="12" width="15.33203125" style="198" customWidth="1"/>
    <col min="13" max="13" width="16.5546875" style="198" customWidth="1"/>
    <col min="14" max="14" width="35.33203125" style="121" customWidth="1"/>
    <col min="15" max="15" width="24.6640625" style="121" customWidth="1"/>
    <col min="16" max="16" width="40.33203125" style="121" customWidth="1"/>
    <col min="17" max="17" width="32.6640625" style="197" customWidth="1"/>
    <col min="18" max="19" width="17" style="119" customWidth="1"/>
    <col min="20" max="20" width="15.5546875" style="121" hidden="1" customWidth="1"/>
    <col min="21" max="21" width="14.33203125" style="121" hidden="1" customWidth="1"/>
    <col min="22" max="22" width="12.5546875" style="121" hidden="1" customWidth="1"/>
    <col min="23" max="23" width="15.33203125" style="121" hidden="1" customWidth="1"/>
    <col min="24" max="24" width="15.6640625" style="121" hidden="1" customWidth="1"/>
    <col min="25" max="25" width="7.6640625" style="121" hidden="1" customWidth="1"/>
    <col min="26" max="26" width="6.6640625" style="121" hidden="1" customWidth="1"/>
    <col min="27" max="27" width="10.5546875" style="121" hidden="1" customWidth="1"/>
    <col min="28" max="34" width="9.33203125" style="121" hidden="1" customWidth="1"/>
    <col min="35" max="35" width="14.33203125" style="120" customWidth="1"/>
    <col min="36" max="16384" width="9.33203125" style="121"/>
  </cols>
  <sheetData>
    <row r="1" spans="1:36" s="117" customFormat="1" ht="21" customHeight="1" thickBot="1" x14ac:dyDescent="0.45">
      <c r="B1" s="535" t="s">
        <v>618</v>
      </c>
      <c r="C1" s="535"/>
      <c r="D1" s="535"/>
      <c r="E1" s="535"/>
      <c r="F1" s="535"/>
      <c r="G1" s="535"/>
      <c r="H1" s="535"/>
      <c r="I1" s="535"/>
      <c r="J1" s="535"/>
      <c r="K1" s="535"/>
      <c r="L1" s="535"/>
      <c r="M1" s="535"/>
      <c r="N1" s="535"/>
      <c r="O1" s="535"/>
      <c r="P1" s="535"/>
      <c r="Q1" s="535"/>
      <c r="R1" s="535"/>
      <c r="S1" s="116"/>
      <c r="AI1" s="118"/>
    </row>
    <row r="2" spans="1:36" ht="17.25" customHeight="1" thickBot="1" x14ac:dyDescent="0.45">
      <c r="B2" s="536" t="s">
        <v>118</v>
      </c>
      <c r="C2" s="537"/>
      <c r="D2" s="537"/>
      <c r="E2" s="537"/>
      <c r="F2" s="537"/>
      <c r="G2" s="537"/>
      <c r="H2" s="538"/>
      <c r="I2" s="8"/>
      <c r="J2" s="542" t="s">
        <v>619</v>
      </c>
      <c r="K2" s="543"/>
      <c r="L2" s="543"/>
      <c r="M2" s="543"/>
      <c r="N2" s="543"/>
      <c r="O2" s="543"/>
      <c r="P2" s="543"/>
      <c r="Q2" s="544"/>
      <c r="T2" s="545" t="s">
        <v>620</v>
      </c>
      <c r="U2" s="546"/>
      <c r="V2" s="546"/>
      <c r="W2" s="546"/>
      <c r="X2" s="546"/>
      <c r="Y2" s="546"/>
      <c r="Z2" s="546"/>
      <c r="AA2" s="546"/>
      <c r="AB2" s="546"/>
      <c r="AC2" s="546"/>
      <c r="AD2" s="546"/>
      <c r="AE2" s="546"/>
      <c r="AF2" s="546"/>
      <c r="AG2" s="546"/>
      <c r="AH2" s="547"/>
    </row>
    <row r="3" spans="1:36" ht="17.25" customHeight="1" thickBot="1" x14ac:dyDescent="0.45">
      <c r="B3" s="539"/>
      <c r="C3" s="540"/>
      <c r="D3" s="540"/>
      <c r="E3" s="540"/>
      <c r="F3" s="540"/>
      <c r="G3" s="540"/>
      <c r="H3" s="541"/>
      <c r="I3" s="8"/>
      <c r="J3" s="548" t="s">
        <v>120</v>
      </c>
      <c r="K3" s="549"/>
      <c r="L3" s="549"/>
      <c r="M3" s="549"/>
      <c r="N3" s="550"/>
      <c r="O3" s="551" t="s">
        <v>121</v>
      </c>
      <c r="P3" s="552"/>
      <c r="Q3" s="553" t="s">
        <v>122</v>
      </c>
      <c r="T3" s="122"/>
      <c r="U3" s="122"/>
      <c r="V3" s="122"/>
      <c r="W3" s="123"/>
      <c r="X3" s="123"/>
      <c r="Y3" s="123"/>
      <c r="Z3" s="123"/>
      <c r="AA3" s="123"/>
      <c r="AB3" s="123"/>
      <c r="AC3" s="123"/>
      <c r="AD3" s="123"/>
      <c r="AE3" s="123"/>
      <c r="AF3" s="123"/>
      <c r="AG3" s="123"/>
      <c r="AH3" s="124"/>
    </row>
    <row r="4" spans="1:36" ht="78.75" customHeight="1" thickBot="1" x14ac:dyDescent="0.45">
      <c r="A4" s="337" t="s">
        <v>910</v>
      </c>
      <c r="B4" s="17" t="s">
        <v>123</v>
      </c>
      <c r="C4" s="18" t="s">
        <v>124</v>
      </c>
      <c r="D4" s="18" t="s">
        <v>125</v>
      </c>
      <c r="E4" s="18" t="s">
        <v>126</v>
      </c>
      <c r="F4" s="18" t="s">
        <v>127</v>
      </c>
      <c r="G4" s="125" t="s">
        <v>128</v>
      </c>
      <c r="H4" s="126" t="s">
        <v>129</v>
      </c>
      <c r="I4" s="127"/>
      <c r="J4" s="21" t="s">
        <v>130</v>
      </c>
      <c r="K4" s="128" t="s">
        <v>131</v>
      </c>
      <c r="L4" s="128" t="s">
        <v>132</v>
      </c>
      <c r="M4" s="128" t="s">
        <v>133</v>
      </c>
      <c r="N4" s="129" t="s">
        <v>134</v>
      </c>
      <c r="O4" s="130" t="s">
        <v>131</v>
      </c>
      <c r="P4" s="24" t="s">
        <v>134</v>
      </c>
      <c r="Q4" s="534"/>
      <c r="R4" s="25" t="s">
        <v>135</v>
      </c>
      <c r="S4" s="26" t="s">
        <v>136</v>
      </c>
      <c r="T4" s="131" t="s">
        <v>621</v>
      </c>
      <c r="U4" s="131" t="s">
        <v>622</v>
      </c>
      <c r="V4" s="131" t="s">
        <v>623</v>
      </c>
      <c r="W4" s="132" t="s">
        <v>624</v>
      </c>
      <c r="X4" s="132" t="s">
        <v>625</v>
      </c>
      <c r="Y4" s="132" t="s">
        <v>626</v>
      </c>
      <c r="Z4" s="132" t="s">
        <v>627</v>
      </c>
      <c r="AA4" s="132" t="s">
        <v>628</v>
      </c>
      <c r="AB4" s="132" t="s">
        <v>629</v>
      </c>
      <c r="AC4" s="132" t="s">
        <v>630</v>
      </c>
      <c r="AD4" s="132" t="s">
        <v>631</v>
      </c>
      <c r="AE4" s="132" t="s">
        <v>632</v>
      </c>
      <c r="AF4" s="132" t="s">
        <v>633</v>
      </c>
      <c r="AG4" s="132" t="s">
        <v>634</v>
      </c>
      <c r="AH4" s="133" t="s">
        <v>635</v>
      </c>
      <c r="AI4" s="120" t="s">
        <v>636</v>
      </c>
    </row>
    <row r="5" spans="1:36" ht="112.5" hidden="1" customHeight="1" x14ac:dyDescent="0.4">
      <c r="A5" s="338" t="str">
        <f>"B05.00_"&amp;MID(O5,28,LEN(O5))</f>
        <v>B05.00_ow_nmbr</v>
      </c>
      <c r="B5" s="28" t="s">
        <v>137</v>
      </c>
      <c r="C5" s="134" t="s">
        <v>138</v>
      </c>
      <c r="D5" s="135" t="s">
        <v>139</v>
      </c>
      <c r="E5" s="135" t="s">
        <v>140</v>
      </c>
      <c r="F5" s="136" t="s">
        <v>141</v>
      </c>
      <c r="G5" s="137"/>
      <c r="H5" s="138"/>
      <c r="I5" s="139"/>
      <c r="J5" s="140" t="s">
        <v>142</v>
      </c>
      <c r="K5" s="141"/>
      <c r="L5" s="141"/>
      <c r="M5" s="142"/>
      <c r="N5" s="143"/>
      <c r="O5" s="144" t="s">
        <v>637</v>
      </c>
      <c r="P5" s="341" t="s">
        <v>638</v>
      </c>
      <c r="Q5" s="145" t="s">
        <v>639</v>
      </c>
      <c r="R5" s="37" t="s">
        <v>146</v>
      </c>
      <c r="S5" s="38" t="s">
        <v>147</v>
      </c>
      <c r="T5" s="146"/>
      <c r="U5" s="146"/>
      <c r="V5" s="146"/>
      <c r="W5" s="147"/>
      <c r="X5" s="148"/>
      <c r="Y5" s="147" t="s">
        <v>640</v>
      </c>
      <c r="Z5" s="342" t="s">
        <v>138</v>
      </c>
      <c r="AA5" s="147" t="s">
        <v>641</v>
      </c>
      <c r="AB5" s="149"/>
      <c r="AC5" s="149"/>
      <c r="AD5" s="150" t="s">
        <v>642</v>
      </c>
      <c r="AE5" s="150"/>
      <c r="AF5" s="147" t="s">
        <v>643</v>
      </c>
      <c r="AG5" s="151"/>
      <c r="AH5" s="152" t="s">
        <v>640</v>
      </c>
      <c r="AI5" s="153" t="s">
        <v>644</v>
      </c>
    </row>
    <row r="6" spans="1:36" ht="128.25" hidden="1" customHeight="1" x14ac:dyDescent="0.4">
      <c r="A6" s="338" t="str">
        <f t="shared" ref="A6:A19" si="0">"B05.00_"&amp;MID(O6,28,LEN(O6))</f>
        <v>B05.00_niq_id_guarantee</v>
      </c>
      <c r="B6" s="40" t="s">
        <v>645</v>
      </c>
      <c r="C6" s="52" t="s">
        <v>149</v>
      </c>
      <c r="D6" s="154" t="s">
        <v>150</v>
      </c>
      <c r="E6" s="154" t="s">
        <v>151</v>
      </c>
      <c r="F6" s="155" t="s">
        <v>646</v>
      </c>
      <c r="G6" s="156"/>
      <c r="H6" s="157"/>
      <c r="I6" s="139"/>
      <c r="J6" s="158" t="s">
        <v>142</v>
      </c>
      <c r="K6" s="159" t="s">
        <v>647</v>
      </c>
      <c r="L6" s="159"/>
      <c r="M6" s="160" t="str" cm="1">
        <f t="array" ref="M6">_xlfn.SWITCH(D6,"Numeric","999999999999999","String","Not applicable","Date","0001-01-01")</f>
        <v>Not applicable</v>
      </c>
      <c r="N6" s="161"/>
      <c r="O6" s="162" t="s">
        <v>648</v>
      </c>
      <c r="P6" s="48" t="s">
        <v>649</v>
      </c>
      <c r="Q6" s="145" t="s">
        <v>650</v>
      </c>
      <c r="R6" s="37" t="s">
        <v>157</v>
      </c>
      <c r="S6" s="38" t="s">
        <v>147</v>
      </c>
      <c r="T6" s="163" t="s">
        <v>651</v>
      </c>
      <c r="U6" s="163" t="s">
        <v>652</v>
      </c>
      <c r="V6" s="163" t="s">
        <v>643</v>
      </c>
      <c r="W6" s="164" t="s">
        <v>653</v>
      </c>
      <c r="X6" s="342" t="s">
        <v>654</v>
      </c>
      <c r="Y6" s="147" t="s">
        <v>655</v>
      </c>
      <c r="Z6" s="343" t="s">
        <v>149</v>
      </c>
      <c r="AA6" s="147" t="s">
        <v>656</v>
      </c>
      <c r="AB6" s="149"/>
      <c r="AC6" s="149"/>
      <c r="AD6" s="150" t="s">
        <v>642</v>
      </c>
      <c r="AE6" s="150"/>
      <c r="AF6" s="147" t="s">
        <v>643</v>
      </c>
      <c r="AG6" s="151"/>
      <c r="AH6" s="152" t="s">
        <v>640</v>
      </c>
      <c r="AI6" s="153" t="s">
        <v>644</v>
      </c>
    </row>
    <row r="7" spans="1:36" ht="231.75" hidden="1" customHeight="1" x14ac:dyDescent="0.4">
      <c r="A7" s="338" t="str">
        <f t="shared" si="0"/>
        <v>B05.00_overning_law</v>
      </c>
      <c r="B7" s="40" t="s">
        <v>310</v>
      </c>
      <c r="C7" s="52" t="s">
        <v>159</v>
      </c>
      <c r="D7" s="154" t="s">
        <v>150</v>
      </c>
      <c r="E7" s="55" t="s">
        <v>312</v>
      </c>
      <c r="F7" s="155" t="s">
        <v>657</v>
      </c>
      <c r="G7" s="156"/>
      <c r="H7" s="157"/>
      <c r="I7" s="139"/>
      <c r="J7" s="158" t="s">
        <v>142</v>
      </c>
      <c r="K7" s="159"/>
      <c r="L7" s="159"/>
      <c r="M7" s="160"/>
      <c r="N7" s="161"/>
      <c r="O7" s="162" t="s">
        <v>658</v>
      </c>
      <c r="P7" s="48" t="s">
        <v>659</v>
      </c>
      <c r="Q7" s="145" t="s">
        <v>660</v>
      </c>
      <c r="R7" s="37" t="s">
        <v>146</v>
      </c>
      <c r="S7" s="38" t="s">
        <v>147</v>
      </c>
      <c r="T7" s="163" t="s">
        <v>651</v>
      </c>
      <c r="U7" s="163" t="s">
        <v>652</v>
      </c>
      <c r="V7" s="163" t="s">
        <v>643</v>
      </c>
      <c r="W7" s="147" t="s">
        <v>651</v>
      </c>
      <c r="X7" s="344" t="s">
        <v>661</v>
      </c>
      <c r="Y7" s="147" t="s">
        <v>662</v>
      </c>
      <c r="Z7" s="343" t="s">
        <v>159</v>
      </c>
      <c r="AA7" s="147" t="s">
        <v>656</v>
      </c>
      <c r="AB7" s="149"/>
      <c r="AC7" s="149"/>
      <c r="AD7" s="150" t="s">
        <v>642</v>
      </c>
      <c r="AE7" s="150"/>
      <c r="AF7" s="147" t="s">
        <v>643</v>
      </c>
      <c r="AG7" s="151"/>
      <c r="AH7" s="152" t="s">
        <v>640</v>
      </c>
      <c r="AI7" s="153" t="s">
        <v>644</v>
      </c>
      <c r="AJ7" s="39"/>
    </row>
    <row r="8" spans="1:36" ht="88.5" hidden="1" customHeight="1" x14ac:dyDescent="0.4">
      <c r="A8" s="338" t="str">
        <f t="shared" si="0"/>
        <v>B05.00_lg_art12g_3_srmr</v>
      </c>
      <c r="B8" s="40" t="s">
        <v>663</v>
      </c>
      <c r="C8" s="52" t="s">
        <v>164</v>
      </c>
      <c r="D8" s="154" t="s">
        <v>150</v>
      </c>
      <c r="E8" s="42" t="s">
        <v>252</v>
      </c>
      <c r="F8" s="155" t="s">
        <v>664</v>
      </c>
      <c r="G8" s="156"/>
      <c r="H8" s="157"/>
      <c r="I8" s="139"/>
      <c r="J8" s="158" t="s">
        <v>142</v>
      </c>
      <c r="K8" s="159"/>
      <c r="L8" s="159"/>
      <c r="M8" s="160"/>
      <c r="N8" s="161"/>
      <c r="O8" s="162" t="s">
        <v>665</v>
      </c>
      <c r="P8" s="48" t="s">
        <v>349</v>
      </c>
      <c r="Q8" s="145" t="s">
        <v>666</v>
      </c>
      <c r="R8" s="37" t="s">
        <v>146</v>
      </c>
      <c r="S8" s="38" t="s">
        <v>147</v>
      </c>
      <c r="T8" s="163" t="s">
        <v>651</v>
      </c>
      <c r="U8" s="163" t="s">
        <v>652</v>
      </c>
      <c r="V8" s="163" t="s">
        <v>643</v>
      </c>
      <c r="W8" s="164" t="s">
        <v>653</v>
      </c>
      <c r="X8" s="345" t="s">
        <v>667</v>
      </c>
      <c r="Y8" s="147" t="s">
        <v>668</v>
      </c>
      <c r="Z8" s="343" t="s">
        <v>164</v>
      </c>
      <c r="AA8" s="147" t="s">
        <v>656</v>
      </c>
      <c r="AB8" s="149"/>
      <c r="AC8" s="149"/>
      <c r="AD8" s="150" t="s">
        <v>642</v>
      </c>
      <c r="AE8" s="150"/>
      <c r="AF8" s="147" t="s">
        <v>643</v>
      </c>
      <c r="AG8" s="151"/>
      <c r="AH8" s="152" t="s">
        <v>640</v>
      </c>
      <c r="AI8" s="153" t="s">
        <v>644</v>
      </c>
    </row>
    <row r="9" spans="1:36" ht="151.5" hidden="1" customHeight="1" x14ac:dyDescent="0.4">
      <c r="A9" s="338" t="str">
        <f t="shared" si="0"/>
        <v>B05.00_yp_guarantee</v>
      </c>
      <c r="B9" s="40" t="s">
        <v>669</v>
      </c>
      <c r="C9" s="52" t="s">
        <v>670</v>
      </c>
      <c r="D9" s="154" t="s">
        <v>150</v>
      </c>
      <c r="E9" s="154" t="s">
        <v>671</v>
      </c>
      <c r="F9" s="155" t="s">
        <v>672</v>
      </c>
      <c r="G9" s="156"/>
      <c r="H9" s="157"/>
      <c r="I9" s="139"/>
      <c r="J9" s="158" t="s">
        <v>142</v>
      </c>
      <c r="K9" s="159"/>
      <c r="L9" s="159"/>
      <c r="M9" s="160"/>
      <c r="N9" s="165"/>
      <c r="O9" s="166" t="s">
        <v>673</v>
      </c>
      <c r="P9" s="48" t="s">
        <v>674</v>
      </c>
      <c r="Q9" s="145" t="s">
        <v>675</v>
      </c>
      <c r="R9" s="37" t="s">
        <v>146</v>
      </c>
      <c r="S9" s="38" t="s">
        <v>147</v>
      </c>
      <c r="T9" s="163" t="s">
        <v>651</v>
      </c>
      <c r="U9" s="163" t="s">
        <v>652</v>
      </c>
      <c r="V9" s="163" t="s">
        <v>643</v>
      </c>
      <c r="W9" s="164" t="s">
        <v>653</v>
      </c>
      <c r="X9" s="148" t="s">
        <v>676</v>
      </c>
      <c r="Y9" s="147" t="s">
        <v>677</v>
      </c>
      <c r="Z9" s="343" t="s">
        <v>670</v>
      </c>
      <c r="AA9" s="147" t="s">
        <v>656</v>
      </c>
      <c r="AB9" s="149"/>
      <c r="AC9" s="149"/>
      <c r="AD9" s="150" t="s">
        <v>642</v>
      </c>
      <c r="AE9" s="150"/>
      <c r="AF9" s="147" t="s">
        <v>643</v>
      </c>
      <c r="AG9" s="151"/>
      <c r="AH9" s="152" t="s">
        <v>640</v>
      </c>
      <c r="AI9" s="153" t="s">
        <v>644</v>
      </c>
    </row>
    <row r="10" spans="1:36" ht="150.75" hidden="1" customHeight="1" x14ac:dyDescent="0.4">
      <c r="A10" s="338" t="str">
        <f t="shared" si="0"/>
        <v>B05.00_ax_amnt_guarantee</v>
      </c>
      <c r="B10" s="40" t="s">
        <v>678</v>
      </c>
      <c r="C10" s="52" t="s">
        <v>182</v>
      </c>
      <c r="D10" s="154" t="s">
        <v>139</v>
      </c>
      <c r="E10" s="167" t="s">
        <v>171</v>
      </c>
      <c r="F10" s="155" t="s">
        <v>679</v>
      </c>
      <c r="G10" s="156"/>
      <c r="H10" s="157"/>
      <c r="I10" s="139"/>
      <c r="J10" s="158" t="s">
        <v>142</v>
      </c>
      <c r="K10" s="159" t="s">
        <v>680</v>
      </c>
      <c r="L10" s="159"/>
      <c r="M10" s="160" t="str" cm="1">
        <f t="array" ref="M10">_xlfn.SWITCH(D10,"Numeric","999999999999999","String","Not applicable","Date","0001-01-01")</f>
        <v>999999999999999</v>
      </c>
      <c r="N10" s="346"/>
      <c r="O10" s="347" t="s">
        <v>681</v>
      </c>
      <c r="P10" s="48" t="s">
        <v>680</v>
      </c>
      <c r="Q10" s="145" t="s">
        <v>682</v>
      </c>
      <c r="R10" s="37" t="s">
        <v>157</v>
      </c>
      <c r="S10" s="38" t="s">
        <v>147</v>
      </c>
      <c r="T10" s="163" t="s">
        <v>651</v>
      </c>
      <c r="U10" s="163" t="s">
        <v>652</v>
      </c>
      <c r="V10" s="163" t="s">
        <v>643</v>
      </c>
      <c r="W10" s="164" t="s">
        <v>653</v>
      </c>
      <c r="X10" s="348" t="s">
        <v>683</v>
      </c>
      <c r="Y10" s="147" t="s">
        <v>684</v>
      </c>
      <c r="Z10" s="343" t="s">
        <v>182</v>
      </c>
      <c r="AA10" s="147" t="s">
        <v>685</v>
      </c>
      <c r="AB10" s="149"/>
      <c r="AC10" s="149"/>
      <c r="AD10" s="150" t="s">
        <v>642</v>
      </c>
      <c r="AE10" s="150"/>
      <c r="AF10" s="147" t="s">
        <v>643</v>
      </c>
      <c r="AG10" s="151"/>
      <c r="AH10" s="152" t="s">
        <v>640</v>
      </c>
      <c r="AI10" s="153" t="s">
        <v>644</v>
      </c>
    </row>
    <row r="11" spans="1:36" ht="181.5" hidden="1" customHeight="1" x14ac:dyDescent="0.4">
      <c r="A11" s="338" t="str">
        <f t="shared" si="0"/>
        <v>B05.00_lg_scrd</v>
      </c>
      <c r="B11" s="40" t="s">
        <v>686</v>
      </c>
      <c r="C11" s="52" t="s">
        <v>188</v>
      </c>
      <c r="D11" s="154" t="s">
        <v>150</v>
      </c>
      <c r="E11" s="154" t="s">
        <v>671</v>
      </c>
      <c r="F11" s="155" t="s">
        <v>687</v>
      </c>
      <c r="G11" s="156"/>
      <c r="H11" s="157"/>
      <c r="I11" s="139"/>
      <c r="J11" s="158" t="s">
        <v>174</v>
      </c>
      <c r="K11" s="159" t="s">
        <v>688</v>
      </c>
      <c r="L11" s="159"/>
      <c r="M11" s="160" t="str" cm="1">
        <f t="array" ref="M11">_xlfn.SWITCH(D11,"Numeric","999999999999999","String","Not applicable","Date","0001-01-01")</f>
        <v>Not applicable</v>
      </c>
      <c r="N11" s="168" t="s">
        <v>689</v>
      </c>
      <c r="O11" s="169" t="s">
        <v>690</v>
      </c>
      <c r="P11" s="170" t="s">
        <v>691</v>
      </c>
      <c r="Q11" s="145" t="s">
        <v>692</v>
      </c>
      <c r="R11" s="37" t="s">
        <v>179</v>
      </c>
      <c r="S11" s="38" t="s">
        <v>202</v>
      </c>
      <c r="T11" s="163" t="s">
        <v>651</v>
      </c>
      <c r="U11" s="163" t="s">
        <v>652</v>
      </c>
      <c r="V11" s="163" t="s">
        <v>643</v>
      </c>
      <c r="W11" s="164" t="s">
        <v>653</v>
      </c>
      <c r="X11" s="349" t="s">
        <v>693</v>
      </c>
      <c r="Y11" s="147" t="s">
        <v>694</v>
      </c>
      <c r="Z11" s="343" t="s">
        <v>188</v>
      </c>
      <c r="AA11" s="147" t="s">
        <v>656</v>
      </c>
      <c r="AB11" s="149"/>
      <c r="AC11" s="149"/>
      <c r="AD11" s="150" t="s">
        <v>642</v>
      </c>
      <c r="AE11" s="150"/>
      <c r="AF11" s="147" t="s">
        <v>643</v>
      </c>
      <c r="AG11" s="151"/>
      <c r="AH11" s="152" t="s">
        <v>640</v>
      </c>
      <c r="AI11" s="153" t="s">
        <v>644</v>
      </c>
    </row>
    <row r="12" spans="1:36" ht="133.5" hidden="1" customHeight="1" x14ac:dyDescent="0.4">
      <c r="A12" s="338" t="str">
        <f t="shared" si="0"/>
        <v>B05.00_mnt_clltrl</v>
      </c>
      <c r="B12" s="40" t="s">
        <v>695</v>
      </c>
      <c r="C12" s="52" t="s">
        <v>696</v>
      </c>
      <c r="D12" s="154" t="s">
        <v>139</v>
      </c>
      <c r="E12" s="167" t="s">
        <v>171</v>
      </c>
      <c r="F12" s="155" t="s">
        <v>697</v>
      </c>
      <c r="G12" s="156"/>
      <c r="H12" s="157"/>
      <c r="I12" s="139"/>
      <c r="J12" s="158" t="s">
        <v>142</v>
      </c>
      <c r="K12" s="159"/>
      <c r="L12" s="159"/>
      <c r="M12" s="160"/>
      <c r="N12" s="165"/>
      <c r="O12" s="171" t="s">
        <v>698</v>
      </c>
      <c r="P12" s="350" t="s">
        <v>699</v>
      </c>
      <c r="Q12" s="172" t="s">
        <v>700</v>
      </c>
      <c r="R12" s="37" t="s">
        <v>146</v>
      </c>
      <c r="S12" s="38" t="s">
        <v>147</v>
      </c>
      <c r="T12" s="163" t="s">
        <v>651</v>
      </c>
      <c r="U12" s="163" t="s">
        <v>652</v>
      </c>
      <c r="V12" s="163" t="s">
        <v>643</v>
      </c>
      <c r="W12" s="164" t="s">
        <v>653</v>
      </c>
      <c r="X12" s="349" t="s">
        <v>701</v>
      </c>
      <c r="Y12" s="147" t="s">
        <v>702</v>
      </c>
      <c r="Z12" s="343" t="s">
        <v>696</v>
      </c>
      <c r="AA12" s="147" t="s">
        <v>685</v>
      </c>
      <c r="AB12" s="149"/>
      <c r="AC12" s="149"/>
      <c r="AD12" s="150" t="s">
        <v>642</v>
      </c>
      <c r="AE12" s="150"/>
      <c r="AF12" s="147" t="s">
        <v>643</v>
      </c>
      <c r="AG12" s="151"/>
      <c r="AH12" s="152" t="s">
        <v>640</v>
      </c>
      <c r="AI12" s="153" t="s">
        <v>703</v>
      </c>
    </row>
    <row r="13" spans="1:36" ht="249" hidden="1" customHeight="1" x14ac:dyDescent="0.4">
      <c r="A13" s="338" t="str">
        <f t="shared" si="0"/>
        <v>B05.00_uarantee_trggr</v>
      </c>
      <c r="B13" s="40" t="s">
        <v>704</v>
      </c>
      <c r="C13" s="52" t="s">
        <v>204</v>
      </c>
      <c r="D13" s="154" t="s">
        <v>150</v>
      </c>
      <c r="E13" s="167" t="s">
        <v>269</v>
      </c>
      <c r="F13" s="155" t="s">
        <v>705</v>
      </c>
      <c r="G13" s="156"/>
      <c r="H13" s="157"/>
      <c r="I13" s="139"/>
      <c r="J13" s="158" t="s">
        <v>142</v>
      </c>
      <c r="K13" s="159"/>
      <c r="L13" s="159"/>
      <c r="M13" s="160"/>
      <c r="N13" s="346" t="s">
        <v>706</v>
      </c>
      <c r="O13" s="166" t="s">
        <v>707</v>
      </c>
      <c r="P13" s="36" t="s">
        <v>708</v>
      </c>
      <c r="Q13" s="351" t="s">
        <v>709</v>
      </c>
      <c r="R13" s="37" t="s">
        <v>146</v>
      </c>
      <c r="S13" s="38" t="s">
        <v>147</v>
      </c>
      <c r="T13" s="163" t="s">
        <v>651</v>
      </c>
      <c r="U13" s="163" t="s">
        <v>652</v>
      </c>
      <c r="V13" s="163" t="s">
        <v>643</v>
      </c>
      <c r="W13" s="164" t="s">
        <v>653</v>
      </c>
      <c r="X13" s="349" t="s">
        <v>710</v>
      </c>
      <c r="Y13" s="147" t="s">
        <v>711</v>
      </c>
      <c r="Z13" s="343" t="s">
        <v>204</v>
      </c>
      <c r="AA13" s="147" t="s">
        <v>656</v>
      </c>
      <c r="AB13" s="149"/>
      <c r="AC13" s="149"/>
      <c r="AD13" s="150" t="s">
        <v>642</v>
      </c>
      <c r="AE13" s="150"/>
      <c r="AF13" s="147" t="s">
        <v>643</v>
      </c>
      <c r="AG13" s="151"/>
      <c r="AH13" s="152" t="s">
        <v>640</v>
      </c>
      <c r="AI13" s="153" t="s">
        <v>644</v>
      </c>
      <c r="AJ13" s="39"/>
    </row>
    <row r="14" spans="1:36" ht="114" customHeight="1" x14ac:dyDescent="0.4">
      <c r="A14" s="338" t="str">
        <f t="shared" si="0"/>
        <v>B05.00_t_mtrty_clltrl</v>
      </c>
      <c r="B14" s="40" t="s">
        <v>712</v>
      </c>
      <c r="C14" s="52" t="s">
        <v>713</v>
      </c>
      <c r="D14" s="167" t="s">
        <v>275</v>
      </c>
      <c r="E14" s="167" t="s">
        <v>276</v>
      </c>
      <c r="F14" s="155" t="s">
        <v>714</v>
      </c>
      <c r="G14" s="156"/>
      <c r="H14" s="157"/>
      <c r="I14" s="139"/>
      <c r="J14" s="158" t="s">
        <v>142</v>
      </c>
      <c r="K14" s="159" t="s">
        <v>715</v>
      </c>
      <c r="L14" s="159"/>
      <c r="M14" s="160" t="str" cm="1">
        <f t="array" ref="M14">_xlfn.SWITCH(D14,"Numeric","999999999999999","String","Not applicable","Date","0001-01-01")</f>
        <v>0001-01-01</v>
      </c>
      <c r="N14" s="165"/>
      <c r="O14" s="166" t="s">
        <v>716</v>
      </c>
      <c r="P14" s="48" t="s">
        <v>715</v>
      </c>
      <c r="Q14" s="172" t="s">
        <v>1061</v>
      </c>
      <c r="R14" s="37" t="s">
        <v>235</v>
      </c>
      <c r="S14" s="38" t="s">
        <v>202</v>
      </c>
      <c r="T14" s="163" t="s">
        <v>651</v>
      </c>
      <c r="U14" s="163" t="s">
        <v>652</v>
      </c>
      <c r="V14" s="163" t="s">
        <v>643</v>
      </c>
      <c r="W14" s="164" t="s">
        <v>653</v>
      </c>
      <c r="X14" s="348" t="s">
        <v>717</v>
      </c>
      <c r="Y14" s="147" t="s">
        <v>718</v>
      </c>
      <c r="Z14" s="343" t="s">
        <v>713</v>
      </c>
      <c r="AA14" s="147" t="s">
        <v>656</v>
      </c>
      <c r="AB14" s="149"/>
      <c r="AC14" s="149"/>
      <c r="AD14" s="150" t="s">
        <v>642</v>
      </c>
      <c r="AE14" s="150"/>
      <c r="AF14" s="147" t="s">
        <v>643</v>
      </c>
      <c r="AG14" s="151"/>
      <c r="AH14" s="152" t="s">
        <v>640</v>
      </c>
      <c r="AI14" s="153" t="s">
        <v>644</v>
      </c>
    </row>
    <row r="15" spans="1:36" ht="144.75" hidden="1" customHeight="1" x14ac:dyDescent="0.4">
      <c r="A15" s="338" t="str">
        <f t="shared" si="0"/>
        <v>B05.00_crts_clltrl_id</v>
      </c>
      <c r="B15" s="40" t="s">
        <v>719</v>
      </c>
      <c r="C15" s="52" t="s">
        <v>720</v>
      </c>
      <c r="D15" s="154" t="s">
        <v>150</v>
      </c>
      <c r="E15" s="154" t="s">
        <v>151</v>
      </c>
      <c r="F15" s="155" t="s">
        <v>721</v>
      </c>
      <c r="G15" s="156"/>
      <c r="H15" s="157"/>
      <c r="I15" s="139"/>
      <c r="J15" s="158" t="s">
        <v>142</v>
      </c>
      <c r="K15" s="159"/>
      <c r="L15" s="159"/>
      <c r="M15" s="160"/>
      <c r="N15" s="165"/>
      <c r="O15" s="166" t="s">
        <v>722</v>
      </c>
      <c r="P15" s="48" t="s">
        <v>248</v>
      </c>
      <c r="Q15" s="173" t="s">
        <v>723</v>
      </c>
      <c r="R15" s="37" t="s">
        <v>146</v>
      </c>
      <c r="S15" s="38" t="s">
        <v>147</v>
      </c>
      <c r="T15" s="163" t="s">
        <v>651</v>
      </c>
      <c r="U15" s="163" t="s">
        <v>652</v>
      </c>
      <c r="V15" s="163" t="s">
        <v>643</v>
      </c>
      <c r="W15" s="164" t="s">
        <v>653</v>
      </c>
      <c r="X15" s="349" t="s">
        <v>724</v>
      </c>
      <c r="Y15" s="147" t="s">
        <v>725</v>
      </c>
      <c r="Z15" s="343" t="s">
        <v>720</v>
      </c>
      <c r="AA15" s="147" t="s">
        <v>656</v>
      </c>
      <c r="AB15" s="149"/>
      <c r="AC15" s="149"/>
      <c r="AD15" s="150" t="s">
        <v>642</v>
      </c>
      <c r="AE15" s="150"/>
      <c r="AF15" s="147" t="s">
        <v>643</v>
      </c>
      <c r="AG15" s="151"/>
      <c r="AH15" s="152" t="s">
        <v>640</v>
      </c>
      <c r="AI15" s="153" t="s">
        <v>726</v>
      </c>
    </row>
    <row r="16" spans="1:36" ht="156" hidden="1" customHeight="1" x14ac:dyDescent="0.4">
      <c r="A16" s="338" t="str">
        <f t="shared" si="0"/>
        <v>B05.00_yp_clltrlztn</v>
      </c>
      <c r="B16" s="40" t="s">
        <v>727</v>
      </c>
      <c r="C16" s="52" t="s">
        <v>226</v>
      </c>
      <c r="D16" s="154" t="s">
        <v>150</v>
      </c>
      <c r="E16" s="154" t="s">
        <v>151</v>
      </c>
      <c r="F16" s="155" t="s">
        <v>728</v>
      </c>
      <c r="G16" s="156"/>
      <c r="H16" s="157"/>
      <c r="I16" s="139"/>
      <c r="J16" s="158" t="s">
        <v>142</v>
      </c>
      <c r="K16" s="159"/>
      <c r="L16" s="159"/>
      <c r="M16" s="160"/>
      <c r="N16" s="165"/>
      <c r="O16" s="166" t="s">
        <v>729</v>
      </c>
      <c r="P16" s="350" t="s">
        <v>248</v>
      </c>
      <c r="Q16" s="172" t="s">
        <v>730</v>
      </c>
      <c r="R16" s="37" t="s">
        <v>146</v>
      </c>
      <c r="S16" s="38" t="s">
        <v>147</v>
      </c>
      <c r="T16" s="163" t="s">
        <v>651</v>
      </c>
      <c r="U16" s="163" t="s">
        <v>652</v>
      </c>
      <c r="V16" s="163" t="s">
        <v>643</v>
      </c>
      <c r="W16" s="174" t="s">
        <v>653</v>
      </c>
      <c r="X16" s="349" t="s">
        <v>731</v>
      </c>
      <c r="Y16" s="147" t="s">
        <v>725</v>
      </c>
      <c r="Z16" s="343" t="s">
        <v>226</v>
      </c>
      <c r="AA16" s="147" t="s">
        <v>656</v>
      </c>
      <c r="AB16" s="149"/>
      <c r="AC16" s="149"/>
      <c r="AD16" s="150" t="s">
        <v>642</v>
      </c>
      <c r="AE16" s="150"/>
      <c r="AF16" s="147" t="s">
        <v>643</v>
      </c>
      <c r="AG16" s="151"/>
      <c r="AH16" s="152" t="s">
        <v>640</v>
      </c>
      <c r="AI16" s="153" t="s">
        <v>703</v>
      </c>
    </row>
    <row r="17" spans="1:35" ht="217.5" hidden="1" customHeight="1" x14ac:dyDescent="0.4">
      <c r="A17" s="338" t="str">
        <f t="shared" si="0"/>
        <v>B05.00_yp_prtctn_vl</v>
      </c>
      <c r="B17" s="75" t="s">
        <v>1062</v>
      </c>
      <c r="C17" s="175" t="s">
        <v>231</v>
      </c>
      <c r="D17" s="154" t="s">
        <v>150</v>
      </c>
      <c r="E17" s="154" t="s">
        <v>671</v>
      </c>
      <c r="F17" s="155" t="s">
        <v>732</v>
      </c>
      <c r="G17" s="156"/>
      <c r="H17" s="157"/>
      <c r="I17" s="139"/>
      <c r="J17" s="158" t="s">
        <v>142</v>
      </c>
      <c r="K17" s="159"/>
      <c r="L17" s="159"/>
      <c r="M17" s="160"/>
      <c r="N17" s="165"/>
      <c r="O17" s="166" t="s">
        <v>733</v>
      </c>
      <c r="P17" s="48" t="s">
        <v>248</v>
      </c>
      <c r="Q17" s="145" t="s">
        <v>734</v>
      </c>
      <c r="R17" s="37" t="s">
        <v>146</v>
      </c>
      <c r="S17" s="38" t="s">
        <v>147</v>
      </c>
      <c r="T17" s="163" t="s">
        <v>651</v>
      </c>
      <c r="U17" s="163" t="s">
        <v>652</v>
      </c>
      <c r="V17" s="163" t="s">
        <v>643</v>
      </c>
      <c r="W17" s="176" t="s">
        <v>653</v>
      </c>
      <c r="X17" s="352" t="s">
        <v>735</v>
      </c>
      <c r="Y17" s="147" t="s">
        <v>725</v>
      </c>
      <c r="Z17" s="353" t="s">
        <v>231</v>
      </c>
      <c r="AA17" s="147" t="s">
        <v>656</v>
      </c>
      <c r="AB17" s="149"/>
      <c r="AC17" s="149"/>
      <c r="AD17" s="151" t="s">
        <v>642</v>
      </c>
      <c r="AE17" s="151"/>
      <c r="AF17" s="147" t="s">
        <v>643</v>
      </c>
      <c r="AG17" s="151"/>
      <c r="AH17" s="152" t="s">
        <v>640</v>
      </c>
      <c r="AI17" s="153" t="s">
        <v>703</v>
      </c>
    </row>
    <row r="18" spans="1:35" ht="192.75" hidden="1" customHeight="1" x14ac:dyDescent="0.4">
      <c r="A18" s="338" t="str">
        <f t="shared" si="0"/>
        <v>B05.00_t_vltn_scrty</v>
      </c>
      <c r="B18" s="40" t="s">
        <v>736</v>
      </c>
      <c r="C18" s="52" t="s">
        <v>237</v>
      </c>
      <c r="D18" s="167" t="s">
        <v>275</v>
      </c>
      <c r="E18" s="167" t="s">
        <v>276</v>
      </c>
      <c r="F18" s="155" t="s">
        <v>737</v>
      </c>
      <c r="G18" s="156"/>
      <c r="H18" s="157"/>
      <c r="I18" s="139"/>
      <c r="J18" s="158" t="s">
        <v>142</v>
      </c>
      <c r="K18" s="159"/>
      <c r="L18" s="159"/>
      <c r="M18" s="160"/>
      <c r="N18" s="165"/>
      <c r="O18" s="166" t="s">
        <v>738</v>
      </c>
      <c r="P18" s="48" t="s">
        <v>739</v>
      </c>
      <c r="Q18" s="173" t="s">
        <v>1063</v>
      </c>
      <c r="R18" s="37" t="s">
        <v>146</v>
      </c>
      <c r="S18" s="38" t="s">
        <v>147</v>
      </c>
      <c r="T18" s="163" t="s">
        <v>651</v>
      </c>
      <c r="U18" s="163" t="s">
        <v>652</v>
      </c>
      <c r="V18" s="163" t="s">
        <v>643</v>
      </c>
      <c r="W18" s="164" t="s">
        <v>653</v>
      </c>
      <c r="X18" s="349" t="s">
        <v>740</v>
      </c>
      <c r="Y18" s="147" t="s">
        <v>725</v>
      </c>
      <c r="Z18" s="343" t="s">
        <v>237</v>
      </c>
      <c r="AA18" s="147" t="s">
        <v>656</v>
      </c>
      <c r="AB18" s="149"/>
      <c r="AC18" s="149"/>
      <c r="AD18" s="150" t="s">
        <v>642</v>
      </c>
      <c r="AE18" s="150"/>
      <c r="AF18" s="147" t="s">
        <v>643</v>
      </c>
      <c r="AG18" s="151"/>
      <c r="AH18" s="152" t="s">
        <v>640</v>
      </c>
      <c r="AI18" s="153" t="s">
        <v>703</v>
      </c>
    </row>
    <row r="19" spans="1:35" ht="280.5" hidden="1" customHeight="1" thickBot="1" x14ac:dyDescent="0.45">
      <c r="A19" s="338" t="str">
        <f t="shared" si="0"/>
        <v>B05.00_rtctn_vltn_apprch</v>
      </c>
      <c r="B19" s="177" t="s">
        <v>741</v>
      </c>
      <c r="C19" s="178" t="s">
        <v>251</v>
      </c>
      <c r="D19" s="179" t="s">
        <v>150</v>
      </c>
      <c r="E19" s="179" t="s">
        <v>671</v>
      </c>
      <c r="F19" s="180" t="s">
        <v>742</v>
      </c>
      <c r="G19" s="181"/>
      <c r="H19" s="182"/>
      <c r="I19" s="139"/>
      <c r="J19" s="183" t="s">
        <v>142</v>
      </c>
      <c r="K19" s="184"/>
      <c r="L19" s="184"/>
      <c r="M19" s="185"/>
      <c r="N19" s="186"/>
      <c r="O19" s="187" t="s">
        <v>743</v>
      </c>
      <c r="P19" s="188" t="s">
        <v>248</v>
      </c>
      <c r="Q19" s="189" t="s">
        <v>744</v>
      </c>
      <c r="R19" s="37" t="s">
        <v>146</v>
      </c>
      <c r="S19" s="38" t="s">
        <v>147</v>
      </c>
      <c r="T19" s="163" t="s">
        <v>651</v>
      </c>
      <c r="U19" s="163" t="s">
        <v>652</v>
      </c>
      <c r="V19" s="163" t="s">
        <v>643</v>
      </c>
      <c r="W19" s="190" t="s">
        <v>653</v>
      </c>
      <c r="X19" s="354" t="s">
        <v>745</v>
      </c>
      <c r="Y19" s="191" t="s">
        <v>725</v>
      </c>
      <c r="Z19" s="355" t="s">
        <v>251</v>
      </c>
      <c r="AA19" s="191" t="s">
        <v>656</v>
      </c>
      <c r="AB19" s="192"/>
      <c r="AC19" s="192"/>
      <c r="AD19" s="193" t="s">
        <v>642</v>
      </c>
      <c r="AE19" s="193"/>
      <c r="AF19" s="191" t="s">
        <v>643</v>
      </c>
      <c r="AG19" s="194"/>
      <c r="AH19" s="195" t="s">
        <v>640</v>
      </c>
      <c r="AI19" s="153" t="s">
        <v>703</v>
      </c>
    </row>
    <row r="20" spans="1:35" ht="16.2" x14ac:dyDescent="0.4">
      <c r="J20" s="196"/>
      <c r="K20" s="196"/>
      <c r="L20" s="196"/>
      <c r="M20" s="196"/>
    </row>
  </sheetData>
  <autoFilter ref="B4:AJ19" xr:uid="{00000000-0001-0000-0400-000000000000}">
    <filterColumn colId="16">
      <filters>
        <filter val="Em curso"/>
      </filters>
    </filterColumn>
  </autoFilter>
  <mergeCells count="7">
    <mergeCell ref="B1:R1"/>
    <mergeCell ref="B2:H3"/>
    <mergeCell ref="J2:Q2"/>
    <mergeCell ref="T2:AH2"/>
    <mergeCell ref="J3:N3"/>
    <mergeCell ref="O3:P3"/>
    <mergeCell ref="Q3:Q4"/>
  </mergeCells>
  <dataValidations count="1">
    <dataValidation allowBlank="1" showInputMessage="1" showErrorMessage="1" sqref="K5:M19" xr:uid="{1F35C445-3A0E-44EB-9FAC-B9D750B2BF48}"/>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B10D-F59A-4452-9B05-EF6F7A9E12D0}">
  <sheetPr filterMode="1"/>
  <dimension ref="A1:AI15"/>
  <sheetViews>
    <sheetView zoomScale="70" zoomScaleNormal="70" workbookViewId="0">
      <pane xSplit="6" ySplit="4" topLeftCell="G13" activePane="bottomRight" state="frozen"/>
      <selection activeCell="O13" sqref="O13"/>
      <selection pane="topRight" activeCell="O13" sqref="O13"/>
      <selection pane="bottomLeft" activeCell="O13" sqref="O13"/>
      <selection pane="bottomRight" activeCell="A13" sqref="A13"/>
    </sheetView>
  </sheetViews>
  <sheetFormatPr defaultColWidth="9.33203125" defaultRowHeight="39.75" customHeight="1" x14ac:dyDescent="0.4"/>
  <cols>
    <col min="1" max="1" width="5.33203125" style="121" customWidth="1"/>
    <col min="2" max="2" width="11.6640625" style="121" customWidth="1"/>
    <col min="3" max="3" width="4.6640625" style="121" customWidth="1"/>
    <col min="4" max="4" width="7.33203125" style="121" customWidth="1"/>
    <col min="5" max="5" width="8.33203125" style="121" customWidth="1"/>
    <col min="6" max="6" width="73.44140625" style="121" customWidth="1"/>
    <col min="7" max="7" width="14.33203125" style="121" customWidth="1"/>
    <col min="8" max="8" width="14.5546875" style="121" customWidth="1"/>
    <col min="9" max="9" width="1.33203125" style="139" customWidth="1"/>
    <col min="10" max="10" width="6.33203125" style="196" customWidth="1"/>
    <col min="11" max="11" width="14.44140625" style="196" customWidth="1"/>
    <col min="12" max="12" width="12.33203125" style="196" customWidth="1"/>
    <col min="13" max="13" width="13.44140625" style="196" customWidth="1"/>
    <col min="14" max="14" width="32.6640625" style="121" customWidth="1"/>
    <col min="15" max="15" width="18.6640625" style="121" customWidth="1"/>
    <col min="16" max="16" width="55.44140625" style="121" customWidth="1"/>
    <col min="17" max="17" width="31.44140625" style="121" customWidth="1"/>
    <col min="18" max="19" width="15.33203125" style="119" customWidth="1"/>
    <col min="20" max="20" width="16" style="121" hidden="1" customWidth="1"/>
    <col min="21" max="22" width="14.33203125" style="121" hidden="1" customWidth="1"/>
    <col min="23" max="23" width="15.5546875" style="121" hidden="1" customWidth="1"/>
    <col min="24" max="24" width="26.5546875" style="121" hidden="1" customWidth="1"/>
    <col min="25" max="25" width="7.6640625" style="121" hidden="1" customWidth="1"/>
    <col min="26" max="26" width="7.44140625" style="121" hidden="1" customWidth="1"/>
    <col min="27" max="27" width="11.33203125" style="121" hidden="1" customWidth="1"/>
    <col min="28" max="28" width="8.33203125" style="121" hidden="1" customWidth="1"/>
    <col min="29" max="29" width="6.6640625" style="121" hidden="1" customWidth="1"/>
    <col min="30" max="30" width="6.33203125" style="121" hidden="1" customWidth="1"/>
    <col min="31" max="31" width="8.44140625" style="121" hidden="1" customWidth="1"/>
    <col min="32" max="32" width="9.33203125" style="121" hidden="1" customWidth="1"/>
    <col min="33" max="33" width="7.33203125" style="121" hidden="1" customWidth="1"/>
    <col min="34" max="34" width="8.6640625" style="121" hidden="1" customWidth="1"/>
    <col min="35" max="35" width="13" style="139" hidden="1" customWidth="1"/>
    <col min="36" max="16384" width="9.33203125" style="121"/>
  </cols>
  <sheetData>
    <row r="1" spans="1:35" s="117" customFormat="1" ht="19.5" customHeight="1" thickBot="1" x14ac:dyDescent="0.45">
      <c r="B1" s="554" t="s">
        <v>746</v>
      </c>
      <c r="C1" s="554"/>
      <c r="D1" s="554"/>
      <c r="E1" s="554"/>
      <c r="F1" s="554"/>
      <c r="G1" s="554"/>
      <c r="H1" s="554"/>
      <c r="I1" s="554"/>
      <c r="J1" s="554"/>
      <c r="K1" s="554"/>
      <c r="L1" s="554"/>
      <c r="M1" s="554"/>
      <c r="N1" s="554"/>
      <c r="O1" s="554"/>
      <c r="P1" s="554"/>
      <c r="Q1" s="554"/>
      <c r="R1" s="554"/>
      <c r="S1" s="116"/>
      <c r="AI1" s="199"/>
    </row>
    <row r="2" spans="1:35" ht="22.5" customHeight="1" thickBot="1" x14ac:dyDescent="0.45">
      <c r="B2" s="555" t="s">
        <v>118</v>
      </c>
      <c r="C2" s="523"/>
      <c r="D2" s="523"/>
      <c r="E2" s="523"/>
      <c r="F2" s="523"/>
      <c r="G2" s="523"/>
      <c r="H2" s="524"/>
      <c r="I2" s="200"/>
      <c r="J2" s="556" t="s">
        <v>619</v>
      </c>
      <c r="K2" s="557"/>
      <c r="L2" s="557"/>
      <c r="M2" s="557"/>
      <c r="N2" s="557"/>
      <c r="O2" s="557"/>
      <c r="P2" s="557"/>
      <c r="Q2" s="558"/>
      <c r="R2" s="201"/>
      <c r="S2" s="201"/>
      <c r="T2" s="559" t="s">
        <v>620</v>
      </c>
      <c r="U2" s="559"/>
      <c r="V2" s="559"/>
      <c r="W2" s="560"/>
      <c r="X2" s="560"/>
      <c r="Y2" s="560"/>
      <c r="Z2" s="560"/>
      <c r="AA2" s="560"/>
      <c r="AB2" s="560"/>
      <c r="AC2" s="560"/>
      <c r="AD2" s="560"/>
      <c r="AE2" s="560"/>
      <c r="AF2" s="560"/>
      <c r="AG2" s="560"/>
      <c r="AH2" s="561"/>
    </row>
    <row r="3" spans="1:35" ht="22.5" customHeight="1" thickBot="1" x14ac:dyDescent="0.45">
      <c r="B3" s="202"/>
      <c r="C3" s="13"/>
      <c r="D3" s="13"/>
      <c r="E3" s="13"/>
      <c r="F3" s="13"/>
      <c r="G3" s="13"/>
      <c r="H3" s="14"/>
      <c r="I3" s="200"/>
      <c r="J3" s="562" t="s">
        <v>120</v>
      </c>
      <c r="K3" s="563"/>
      <c r="L3" s="564"/>
      <c r="M3" s="564"/>
      <c r="N3" s="552"/>
      <c r="O3" s="551" t="s">
        <v>121</v>
      </c>
      <c r="P3" s="564"/>
      <c r="Q3" s="565" t="s">
        <v>122</v>
      </c>
      <c r="R3" s="201"/>
      <c r="S3" s="201"/>
      <c r="T3" s="203"/>
      <c r="U3" s="203"/>
      <c r="V3" s="203"/>
      <c r="W3" s="204"/>
      <c r="X3" s="204"/>
      <c r="Y3" s="204"/>
      <c r="Z3" s="204"/>
      <c r="AA3" s="204"/>
      <c r="AB3" s="204"/>
      <c r="AC3" s="204"/>
      <c r="AD3" s="204"/>
      <c r="AE3" s="204"/>
      <c r="AF3" s="204"/>
      <c r="AG3" s="204"/>
      <c r="AH3" s="205"/>
    </row>
    <row r="4" spans="1:35" ht="50.25" customHeight="1" thickBot="1" x14ac:dyDescent="0.45">
      <c r="A4" s="337" t="s">
        <v>910</v>
      </c>
      <c r="B4" s="206" t="s">
        <v>123</v>
      </c>
      <c r="C4" s="207" t="s">
        <v>124</v>
      </c>
      <c r="D4" s="207" t="s">
        <v>125</v>
      </c>
      <c r="E4" s="207" t="s">
        <v>126</v>
      </c>
      <c r="F4" s="207" t="s">
        <v>127</v>
      </c>
      <c r="G4" s="208" t="s">
        <v>128</v>
      </c>
      <c r="H4" s="209" t="s">
        <v>129</v>
      </c>
      <c r="I4" s="127"/>
      <c r="J4" s="21" t="s">
        <v>130</v>
      </c>
      <c r="K4" s="128" t="s">
        <v>131</v>
      </c>
      <c r="L4" s="128" t="s">
        <v>132</v>
      </c>
      <c r="M4" s="128" t="s">
        <v>133</v>
      </c>
      <c r="N4" s="129" t="s">
        <v>134</v>
      </c>
      <c r="O4" s="130" t="s">
        <v>131</v>
      </c>
      <c r="P4" s="24" t="s">
        <v>134</v>
      </c>
      <c r="Q4" s="566"/>
      <c r="R4" s="25" t="s">
        <v>135</v>
      </c>
      <c r="S4" s="26" t="s">
        <v>136</v>
      </c>
      <c r="T4" s="131" t="s">
        <v>621</v>
      </c>
      <c r="U4" s="131" t="s">
        <v>622</v>
      </c>
      <c r="V4" s="131" t="s">
        <v>623</v>
      </c>
      <c r="W4" s="132" t="s">
        <v>624</v>
      </c>
      <c r="X4" s="132" t="s">
        <v>625</v>
      </c>
      <c r="Y4" s="132" t="s">
        <v>626</v>
      </c>
      <c r="Z4" s="132" t="s">
        <v>627</v>
      </c>
      <c r="AA4" s="132" t="s">
        <v>628</v>
      </c>
      <c r="AB4" s="132" t="s">
        <v>629</v>
      </c>
      <c r="AC4" s="132" t="s">
        <v>630</v>
      </c>
      <c r="AD4" s="132" t="s">
        <v>631</v>
      </c>
      <c r="AE4" s="132" t="s">
        <v>632</v>
      </c>
      <c r="AF4" s="132" t="s">
        <v>633</v>
      </c>
      <c r="AG4" s="132" t="s">
        <v>634</v>
      </c>
      <c r="AH4" s="133" t="s">
        <v>635</v>
      </c>
      <c r="AI4" s="210" t="s">
        <v>747</v>
      </c>
    </row>
    <row r="5" spans="1:35" ht="102" hidden="1" customHeight="1" x14ac:dyDescent="0.4">
      <c r="A5" s="338" t="str">
        <f>"B90.00_"&amp;MID(O5,28,LEN(O5))</f>
        <v>B90.00_10_row_nmbr</v>
      </c>
      <c r="B5" s="40" t="s">
        <v>137</v>
      </c>
      <c r="C5" s="52" t="s">
        <v>138</v>
      </c>
      <c r="D5" s="154" t="s">
        <v>139</v>
      </c>
      <c r="E5" s="42" t="s">
        <v>140</v>
      </c>
      <c r="F5" s="211" t="s">
        <v>748</v>
      </c>
      <c r="G5" s="212"/>
      <c r="H5" s="213"/>
      <c r="J5" s="214" t="s">
        <v>142</v>
      </c>
      <c r="K5" s="35"/>
      <c r="L5" s="35"/>
      <c r="M5" s="35"/>
      <c r="N5" s="215"/>
      <c r="O5" s="216" t="s">
        <v>749</v>
      </c>
      <c r="P5" s="356" t="s">
        <v>750</v>
      </c>
      <c r="Q5" s="54" t="s">
        <v>751</v>
      </c>
      <c r="R5" s="37" t="s">
        <v>146</v>
      </c>
      <c r="S5" s="217" t="s">
        <v>147</v>
      </c>
      <c r="T5" s="163"/>
      <c r="U5" s="146"/>
      <c r="V5" s="146"/>
      <c r="W5" s="151"/>
      <c r="X5" s="147"/>
      <c r="Y5" s="147" t="s">
        <v>640</v>
      </c>
      <c r="Z5" s="147" t="s">
        <v>138</v>
      </c>
      <c r="AA5" s="147" t="s">
        <v>641</v>
      </c>
      <c r="AB5" s="149"/>
      <c r="AC5" s="149"/>
      <c r="AD5" s="147" t="s">
        <v>642</v>
      </c>
      <c r="AE5" s="147"/>
      <c r="AF5" s="147" t="s">
        <v>752</v>
      </c>
      <c r="AG5" s="149"/>
      <c r="AH5" s="218" t="s">
        <v>640</v>
      </c>
      <c r="AI5" s="219" t="s">
        <v>753</v>
      </c>
    </row>
    <row r="6" spans="1:35" ht="159.75" hidden="1" customHeight="1" x14ac:dyDescent="0.4">
      <c r="A6" s="338" t="str">
        <f t="shared" ref="A6:A15" si="0">"B90.00_"&amp;MID(O6,28,LEN(O6))</f>
        <v>B90.00_11_tab_origin</v>
      </c>
      <c r="B6" s="40" t="s">
        <v>754</v>
      </c>
      <c r="C6" s="52" t="s">
        <v>755</v>
      </c>
      <c r="D6" s="154" t="s">
        <v>150</v>
      </c>
      <c r="E6" s="42" t="s">
        <v>238</v>
      </c>
      <c r="F6" s="220" t="s">
        <v>756</v>
      </c>
      <c r="G6" s="212"/>
      <c r="H6" s="213"/>
      <c r="J6" s="221" t="s">
        <v>142</v>
      </c>
      <c r="K6" s="47"/>
      <c r="L6" s="47"/>
      <c r="M6" s="47"/>
      <c r="N6" s="222"/>
      <c r="O6" s="223" t="s">
        <v>757</v>
      </c>
      <c r="P6" s="58" t="s">
        <v>758</v>
      </c>
      <c r="Q6" s="54" t="s">
        <v>751</v>
      </c>
      <c r="R6" s="37" t="s">
        <v>146</v>
      </c>
      <c r="S6" s="217" t="s">
        <v>147</v>
      </c>
      <c r="T6" s="163"/>
      <c r="U6" s="163"/>
      <c r="V6" s="357"/>
      <c r="W6" s="151" t="s">
        <v>1</v>
      </c>
      <c r="X6" s="358" t="s">
        <v>652</v>
      </c>
      <c r="Y6" s="147" t="s">
        <v>655</v>
      </c>
      <c r="Z6" s="147" t="s">
        <v>755</v>
      </c>
      <c r="AA6" s="147" t="s">
        <v>656</v>
      </c>
      <c r="AB6" s="149"/>
      <c r="AC6" s="149"/>
      <c r="AD6" s="147" t="s">
        <v>642</v>
      </c>
      <c r="AE6" s="147"/>
      <c r="AF6" s="147" t="s">
        <v>752</v>
      </c>
      <c r="AG6" s="149"/>
      <c r="AH6" s="218" t="s">
        <v>640</v>
      </c>
      <c r="AI6" s="219" t="s">
        <v>753</v>
      </c>
    </row>
    <row r="7" spans="1:35" ht="274.5" hidden="1" customHeight="1" x14ac:dyDescent="0.4">
      <c r="A7" s="338" t="str">
        <f t="shared" si="0"/>
        <v>B90.00_20_uniq_id_knwn_cntrprty</v>
      </c>
      <c r="B7" s="359" t="s">
        <v>158</v>
      </c>
      <c r="C7" s="360" t="s">
        <v>149</v>
      </c>
      <c r="D7" s="361" t="s">
        <v>150</v>
      </c>
      <c r="E7" s="362" t="s">
        <v>151</v>
      </c>
      <c r="F7" s="224" t="s">
        <v>759</v>
      </c>
      <c r="G7" s="225"/>
      <c r="H7" s="226"/>
      <c r="I7" s="199"/>
      <c r="J7" s="221" t="s">
        <v>142</v>
      </c>
      <c r="K7" s="47"/>
      <c r="L7" s="47"/>
      <c r="M7" s="47"/>
      <c r="N7" s="222"/>
      <c r="O7" s="223" t="s">
        <v>760</v>
      </c>
      <c r="P7" s="58" t="s">
        <v>761</v>
      </c>
      <c r="Q7" s="54" t="s">
        <v>751</v>
      </c>
      <c r="R7" s="37" t="s">
        <v>146</v>
      </c>
      <c r="S7" s="217" t="s">
        <v>147</v>
      </c>
      <c r="T7" s="227" t="s">
        <v>651</v>
      </c>
      <c r="U7" s="227" t="s">
        <v>652</v>
      </c>
      <c r="V7" s="227" t="s">
        <v>762</v>
      </c>
      <c r="W7" s="228" t="s">
        <v>651</v>
      </c>
      <c r="X7" s="363" t="s">
        <v>4</v>
      </c>
      <c r="Y7" s="228" t="s">
        <v>662</v>
      </c>
      <c r="Z7" s="228" t="s">
        <v>149</v>
      </c>
      <c r="AA7" s="228" t="s">
        <v>656</v>
      </c>
      <c r="AB7" s="229"/>
      <c r="AC7" s="229"/>
      <c r="AD7" s="228" t="s">
        <v>642</v>
      </c>
      <c r="AE7" s="228"/>
      <c r="AF7" s="228" t="s">
        <v>752</v>
      </c>
      <c r="AG7" s="229"/>
      <c r="AH7" s="230" t="s">
        <v>640</v>
      </c>
      <c r="AI7" s="231" t="s">
        <v>753</v>
      </c>
    </row>
    <row r="8" spans="1:35" ht="125.25" hidden="1" customHeight="1" x14ac:dyDescent="0.4">
      <c r="A8" s="338" t="str">
        <f t="shared" si="0"/>
        <v>B90.00_30_cntrprty_rsltn_grp</v>
      </c>
      <c r="B8" s="40" t="s">
        <v>763</v>
      </c>
      <c r="C8" s="41" t="s">
        <v>159</v>
      </c>
      <c r="D8" s="154" t="s">
        <v>150</v>
      </c>
      <c r="E8" s="42" t="s">
        <v>238</v>
      </c>
      <c r="F8" s="220" t="s">
        <v>764</v>
      </c>
      <c r="G8" s="212"/>
      <c r="H8" s="213"/>
      <c r="J8" s="221" t="s">
        <v>174</v>
      </c>
      <c r="K8" s="47" t="s">
        <v>765</v>
      </c>
      <c r="L8" s="47"/>
      <c r="M8" s="47" t="str" cm="1">
        <f t="array" ref="M8">_xlfn.SWITCH(D8,"Numeric","999999999999999","String","Not applicable","Date","0001-01-01")</f>
        <v>Not applicable</v>
      </c>
      <c r="N8" s="161" t="s">
        <v>766</v>
      </c>
      <c r="O8" s="364" t="s">
        <v>767</v>
      </c>
      <c r="P8" s="350" t="s">
        <v>765</v>
      </c>
      <c r="Q8" s="365" t="s">
        <v>768</v>
      </c>
      <c r="R8" s="232" t="s">
        <v>179</v>
      </c>
      <c r="S8" s="217" t="s">
        <v>202</v>
      </c>
      <c r="T8" s="163"/>
      <c r="U8" s="163"/>
      <c r="V8" s="357"/>
      <c r="W8" s="366" t="s">
        <v>769</v>
      </c>
      <c r="X8" s="233" t="s">
        <v>770</v>
      </c>
      <c r="Y8" s="147" t="s">
        <v>668</v>
      </c>
      <c r="Z8" s="147" t="s">
        <v>159</v>
      </c>
      <c r="AA8" s="147" t="s">
        <v>656</v>
      </c>
      <c r="AB8" s="149"/>
      <c r="AC8" s="149"/>
      <c r="AD8" s="147" t="s">
        <v>642</v>
      </c>
      <c r="AE8" s="147"/>
      <c r="AF8" s="147" t="s">
        <v>752</v>
      </c>
      <c r="AG8" s="149"/>
      <c r="AH8" s="218" t="s">
        <v>640</v>
      </c>
      <c r="AI8" s="219" t="s">
        <v>753</v>
      </c>
    </row>
    <row r="9" spans="1:35" ht="102" hidden="1" customHeight="1" x14ac:dyDescent="0.4">
      <c r="A9" s="338" t="str">
        <f t="shared" si="0"/>
        <v>B90.00_40_cntrprty_nm</v>
      </c>
      <c r="B9" s="40" t="s">
        <v>771</v>
      </c>
      <c r="C9" s="41" t="s">
        <v>164</v>
      </c>
      <c r="D9" s="154" t="s">
        <v>150</v>
      </c>
      <c r="E9" s="42" t="s">
        <v>151</v>
      </c>
      <c r="F9" s="220" t="s">
        <v>772</v>
      </c>
      <c r="G9" s="56" t="s">
        <v>321</v>
      </c>
      <c r="H9" s="213"/>
      <c r="J9" s="221" t="s">
        <v>142</v>
      </c>
      <c r="K9" s="47" t="s">
        <v>773</v>
      </c>
      <c r="L9" s="47"/>
      <c r="M9" s="47" t="str" cm="1">
        <f t="array" ref="M9">_xlfn.SWITCH(D9,"Numeric","999999999999999","String","Not applicable","Date","0001-01-01")</f>
        <v>Not applicable</v>
      </c>
      <c r="N9" s="367"/>
      <c r="O9" s="364" t="s">
        <v>774</v>
      </c>
      <c r="P9" s="350" t="s">
        <v>775</v>
      </c>
      <c r="Q9" s="365" t="s">
        <v>776</v>
      </c>
      <c r="R9" s="37" t="s">
        <v>157</v>
      </c>
      <c r="S9" s="217" t="s">
        <v>202</v>
      </c>
      <c r="T9" s="163"/>
      <c r="U9" s="163"/>
      <c r="V9" s="357"/>
      <c r="W9" s="366" t="s">
        <v>769</v>
      </c>
      <c r="X9" s="368" t="s">
        <v>777</v>
      </c>
      <c r="Y9" s="147" t="s">
        <v>677</v>
      </c>
      <c r="Z9" s="147" t="s">
        <v>164</v>
      </c>
      <c r="AA9" s="147" t="s">
        <v>656</v>
      </c>
      <c r="AB9" s="149"/>
      <c r="AC9" s="149"/>
      <c r="AD9" s="147" t="s">
        <v>642</v>
      </c>
      <c r="AE9" s="147"/>
      <c r="AF9" s="147" t="s">
        <v>752</v>
      </c>
      <c r="AG9" s="149"/>
      <c r="AH9" s="218" t="s">
        <v>640</v>
      </c>
      <c r="AI9" s="219" t="s">
        <v>753</v>
      </c>
    </row>
    <row r="10" spans="1:35" ht="175.5" hidden="1" customHeight="1" x14ac:dyDescent="0.4">
      <c r="A10" s="338" t="str">
        <f t="shared" si="0"/>
        <v>B90.00_50_cntrprty_lei</v>
      </c>
      <c r="B10" s="40" t="s">
        <v>778</v>
      </c>
      <c r="C10" s="41" t="s">
        <v>670</v>
      </c>
      <c r="D10" s="154" t="s">
        <v>150</v>
      </c>
      <c r="E10" s="42" t="s">
        <v>151</v>
      </c>
      <c r="F10" s="220" t="s">
        <v>779</v>
      </c>
      <c r="G10" s="56" t="s">
        <v>321</v>
      </c>
      <c r="H10" s="213"/>
      <c r="J10" s="221" t="s">
        <v>142</v>
      </c>
      <c r="K10" s="47" t="s">
        <v>780</v>
      </c>
      <c r="L10" s="47"/>
      <c r="M10" s="47" t="str" cm="1">
        <f t="array" ref="M10">_xlfn.SWITCH(D10,"Numeric","999999999999999","String","Not applicable","Date","0001-01-01")</f>
        <v>Not applicable</v>
      </c>
      <c r="N10" s="367"/>
      <c r="O10" s="364" t="s">
        <v>781</v>
      </c>
      <c r="P10" s="369" t="s">
        <v>782</v>
      </c>
      <c r="Q10" s="365" t="s">
        <v>783</v>
      </c>
      <c r="R10" s="37" t="s">
        <v>157</v>
      </c>
      <c r="S10" s="217" t="s">
        <v>202</v>
      </c>
      <c r="T10" s="163"/>
      <c r="U10" s="163"/>
      <c r="V10" s="357"/>
      <c r="W10" s="366" t="s">
        <v>769</v>
      </c>
      <c r="X10" s="342" t="s">
        <v>784</v>
      </c>
      <c r="Y10" s="147" t="s">
        <v>684</v>
      </c>
      <c r="Z10" s="147" t="s">
        <v>670</v>
      </c>
      <c r="AA10" s="147" t="s">
        <v>656</v>
      </c>
      <c r="AB10" s="149"/>
      <c r="AC10" s="149"/>
      <c r="AD10" s="147" t="s">
        <v>642</v>
      </c>
      <c r="AE10" s="147"/>
      <c r="AF10" s="147" t="s">
        <v>752</v>
      </c>
      <c r="AG10" s="149"/>
      <c r="AH10" s="218" t="s">
        <v>640</v>
      </c>
      <c r="AI10" s="219" t="s">
        <v>753</v>
      </c>
    </row>
    <row r="11" spans="1:35" ht="112.5" hidden="1" customHeight="1" x14ac:dyDescent="0.4">
      <c r="A11" s="338" t="str">
        <f t="shared" si="0"/>
        <v>B90.00_60_typ_cntrprty_id</v>
      </c>
      <c r="B11" s="40" t="s">
        <v>785</v>
      </c>
      <c r="C11" s="41" t="s">
        <v>182</v>
      </c>
      <c r="D11" s="154" t="s">
        <v>150</v>
      </c>
      <c r="E11" s="234" t="s">
        <v>165</v>
      </c>
      <c r="F11" s="220" t="s">
        <v>786</v>
      </c>
      <c r="G11" s="56" t="s">
        <v>321</v>
      </c>
      <c r="H11" s="213"/>
      <c r="J11" s="221" t="s">
        <v>142</v>
      </c>
      <c r="K11" s="47" t="s">
        <v>787</v>
      </c>
      <c r="L11" s="47"/>
      <c r="M11" s="47" t="str" cm="1">
        <f t="array" ref="M11">_xlfn.SWITCH(D11,"Numeric","999999999999999","String","Not applicable","Date","0001-01-01")</f>
        <v>Not applicable</v>
      </c>
      <c r="N11" s="367" t="s">
        <v>279</v>
      </c>
      <c r="O11" s="364" t="s">
        <v>788</v>
      </c>
      <c r="P11" s="369" t="s">
        <v>789</v>
      </c>
      <c r="Q11" s="365" t="s">
        <v>790</v>
      </c>
      <c r="R11" s="37" t="s">
        <v>146</v>
      </c>
      <c r="S11" s="217" t="s">
        <v>202</v>
      </c>
      <c r="T11" s="163"/>
      <c r="U11" s="163"/>
      <c r="V11" s="357"/>
      <c r="W11" s="366" t="s">
        <v>769</v>
      </c>
      <c r="X11" s="368" t="s">
        <v>791</v>
      </c>
      <c r="Y11" s="147" t="s">
        <v>694</v>
      </c>
      <c r="Z11" s="147" t="s">
        <v>182</v>
      </c>
      <c r="AA11" s="147" t="s">
        <v>656</v>
      </c>
      <c r="AB11" s="149"/>
      <c r="AC11" s="149"/>
      <c r="AD11" s="147" t="s">
        <v>642</v>
      </c>
      <c r="AE11" s="147"/>
      <c r="AF11" s="147" t="s">
        <v>752</v>
      </c>
      <c r="AG11" s="149"/>
      <c r="AH11" s="218" t="s">
        <v>640</v>
      </c>
      <c r="AI11" s="219" t="s">
        <v>753</v>
      </c>
    </row>
    <row r="12" spans="1:35" ht="127.5" hidden="1" customHeight="1" x14ac:dyDescent="0.4">
      <c r="A12" s="338" t="str">
        <f t="shared" si="0"/>
        <v>B90.00_70_cntrprty_id</v>
      </c>
      <c r="B12" s="40" t="s">
        <v>792</v>
      </c>
      <c r="C12" s="41" t="s">
        <v>188</v>
      </c>
      <c r="D12" s="154" t="s">
        <v>150</v>
      </c>
      <c r="E12" s="42" t="s">
        <v>151</v>
      </c>
      <c r="F12" s="220" t="s">
        <v>793</v>
      </c>
      <c r="G12" s="56" t="s">
        <v>321</v>
      </c>
      <c r="H12" s="213"/>
      <c r="J12" s="221" t="s">
        <v>142</v>
      </c>
      <c r="K12" s="47" t="s">
        <v>794</v>
      </c>
      <c r="L12" s="47"/>
      <c r="M12" s="47"/>
      <c r="N12" s="161" t="s">
        <v>279</v>
      </c>
      <c r="O12" s="162" t="s">
        <v>795</v>
      </c>
      <c r="P12" s="369" t="s">
        <v>796</v>
      </c>
      <c r="Q12" s="50" t="s">
        <v>790</v>
      </c>
      <c r="R12" s="232" t="s">
        <v>157</v>
      </c>
      <c r="S12" s="217" t="s">
        <v>202</v>
      </c>
      <c r="T12" s="163"/>
      <c r="U12" s="163"/>
      <c r="V12" s="357"/>
      <c r="W12" s="366" t="s">
        <v>769</v>
      </c>
      <c r="X12" s="368" t="s">
        <v>797</v>
      </c>
      <c r="Y12" s="147" t="s">
        <v>702</v>
      </c>
      <c r="Z12" s="147" t="s">
        <v>188</v>
      </c>
      <c r="AA12" s="147" t="s">
        <v>656</v>
      </c>
      <c r="AB12" s="149"/>
      <c r="AC12" s="149"/>
      <c r="AD12" s="147" t="s">
        <v>642</v>
      </c>
      <c r="AE12" s="147"/>
      <c r="AF12" s="147" t="s">
        <v>752</v>
      </c>
      <c r="AG12" s="149"/>
      <c r="AH12" s="218" t="s">
        <v>640</v>
      </c>
      <c r="AI12" s="219" t="s">
        <v>753</v>
      </c>
    </row>
    <row r="13" spans="1:35" ht="191.25" customHeight="1" x14ac:dyDescent="0.4">
      <c r="A13" s="338" t="str">
        <f t="shared" si="0"/>
        <v>B90.00_80_cntrprty_typ</v>
      </c>
      <c r="B13" s="40" t="s">
        <v>798</v>
      </c>
      <c r="C13" s="41" t="s">
        <v>696</v>
      </c>
      <c r="D13" s="154" t="s">
        <v>150</v>
      </c>
      <c r="E13" s="42" t="s">
        <v>238</v>
      </c>
      <c r="F13" s="220" t="s">
        <v>799</v>
      </c>
      <c r="G13" s="56" t="s">
        <v>321</v>
      </c>
      <c r="H13" s="213"/>
      <c r="J13" s="221" t="s">
        <v>174</v>
      </c>
      <c r="K13" s="47" t="s">
        <v>1064</v>
      </c>
      <c r="L13" s="47"/>
      <c r="M13" s="47" t="s">
        <v>907</v>
      </c>
      <c r="N13" s="222" t="s">
        <v>1065</v>
      </c>
      <c r="O13" s="162" t="s">
        <v>800</v>
      </c>
      <c r="P13" s="48" t="s">
        <v>1064</v>
      </c>
      <c r="Q13" s="50" t="s">
        <v>1066</v>
      </c>
      <c r="R13" s="232" t="s">
        <v>235</v>
      </c>
      <c r="S13" s="217" t="s">
        <v>202</v>
      </c>
      <c r="T13" s="163"/>
      <c r="U13" s="163"/>
      <c r="V13" s="357"/>
      <c r="W13" s="147" t="s">
        <v>651</v>
      </c>
      <c r="X13" s="235" t="s">
        <v>802</v>
      </c>
      <c r="Y13" s="147" t="s">
        <v>711</v>
      </c>
      <c r="Z13" s="147" t="s">
        <v>696</v>
      </c>
      <c r="AA13" s="147" t="s">
        <v>656</v>
      </c>
      <c r="AB13" s="149"/>
      <c r="AC13" s="149"/>
      <c r="AD13" s="147" t="s">
        <v>642</v>
      </c>
      <c r="AE13" s="147"/>
      <c r="AF13" s="147" t="s">
        <v>752</v>
      </c>
      <c r="AG13" s="149"/>
      <c r="AH13" s="218" t="s">
        <v>640</v>
      </c>
      <c r="AI13" s="219" t="s">
        <v>753</v>
      </c>
    </row>
    <row r="14" spans="1:35" ht="110.25" customHeight="1" x14ac:dyDescent="0.4">
      <c r="A14" s="338" t="str">
        <f t="shared" si="0"/>
        <v>B90.00_90_cntry_cntrprty</v>
      </c>
      <c r="B14" s="40" t="s">
        <v>803</v>
      </c>
      <c r="C14" s="41" t="s">
        <v>204</v>
      </c>
      <c r="D14" s="154" t="s">
        <v>150</v>
      </c>
      <c r="E14" s="42" t="s">
        <v>804</v>
      </c>
      <c r="F14" s="220" t="s">
        <v>805</v>
      </c>
      <c r="G14" s="56" t="s">
        <v>806</v>
      </c>
      <c r="H14" s="213"/>
      <c r="J14" s="221" t="s">
        <v>142</v>
      </c>
      <c r="K14" s="47" t="s">
        <v>807</v>
      </c>
      <c r="L14" s="47"/>
      <c r="M14" s="47">
        <v>99</v>
      </c>
      <c r="N14" s="367"/>
      <c r="O14" s="364" t="s">
        <v>808</v>
      </c>
      <c r="P14" s="350" t="s">
        <v>1067</v>
      </c>
      <c r="Q14" s="365" t="s">
        <v>809</v>
      </c>
      <c r="R14" s="232" t="s">
        <v>235</v>
      </c>
      <c r="S14" s="217" t="s">
        <v>202</v>
      </c>
      <c r="T14" s="163"/>
      <c r="U14" s="163"/>
      <c r="V14" s="357"/>
      <c r="W14" s="366" t="s">
        <v>769</v>
      </c>
      <c r="X14" s="366" t="s">
        <v>810</v>
      </c>
      <c r="Y14" s="147" t="s">
        <v>718</v>
      </c>
      <c r="Z14" s="147" t="s">
        <v>204</v>
      </c>
      <c r="AA14" s="147" t="s">
        <v>656</v>
      </c>
      <c r="AB14" s="149"/>
      <c r="AC14" s="149"/>
      <c r="AD14" s="147" t="s">
        <v>642</v>
      </c>
      <c r="AE14" s="147"/>
      <c r="AF14" s="147" t="s">
        <v>752</v>
      </c>
      <c r="AG14" s="149"/>
      <c r="AH14" s="218" t="s">
        <v>640</v>
      </c>
      <c r="AI14" s="219" t="s">
        <v>753</v>
      </c>
    </row>
    <row r="15" spans="1:35" ht="240" hidden="1" customHeight="1" x14ac:dyDescent="0.4">
      <c r="A15" s="338" t="str">
        <f t="shared" si="0"/>
        <v>B90.00_00_rlvnt_amnt_wdc</v>
      </c>
      <c r="B15" s="359" t="s">
        <v>1068</v>
      </c>
      <c r="C15" s="236" t="s">
        <v>713</v>
      </c>
      <c r="D15" s="237" t="s">
        <v>139</v>
      </c>
      <c r="E15" s="238" t="s">
        <v>171</v>
      </c>
      <c r="F15" s="224" t="s">
        <v>811</v>
      </c>
      <c r="G15" s="239"/>
      <c r="H15" s="240"/>
      <c r="I15" s="241"/>
      <c r="J15" s="221" t="s">
        <v>142</v>
      </c>
      <c r="K15" s="47" t="s">
        <v>812</v>
      </c>
      <c r="L15" s="242"/>
      <c r="M15" s="242"/>
      <c r="N15" s="222"/>
      <c r="O15" s="243" t="s">
        <v>813</v>
      </c>
      <c r="P15" s="244" t="s">
        <v>814</v>
      </c>
      <c r="Q15" s="245" t="s">
        <v>815</v>
      </c>
      <c r="R15" s="37" t="s">
        <v>146</v>
      </c>
      <c r="S15" s="217" t="s">
        <v>202</v>
      </c>
      <c r="T15" s="246" t="s">
        <v>651</v>
      </c>
      <c r="U15" s="246" t="s">
        <v>652</v>
      </c>
      <c r="V15" s="246" t="s">
        <v>762</v>
      </c>
      <c r="W15" s="370" t="s">
        <v>2</v>
      </c>
      <c r="X15" s="371" t="s">
        <v>816</v>
      </c>
      <c r="Y15" s="247" t="s">
        <v>725</v>
      </c>
      <c r="Z15" s="247" t="s">
        <v>713</v>
      </c>
      <c r="AA15" s="247" t="s">
        <v>685</v>
      </c>
      <c r="AB15" s="248"/>
      <c r="AC15" s="248"/>
      <c r="AD15" s="247" t="s">
        <v>642</v>
      </c>
      <c r="AE15" s="247"/>
      <c r="AF15" s="247" t="s">
        <v>752</v>
      </c>
      <c r="AG15" s="248"/>
      <c r="AH15" s="249" t="s">
        <v>640</v>
      </c>
      <c r="AI15" s="250" t="s">
        <v>801</v>
      </c>
    </row>
  </sheetData>
  <autoFilter ref="B4:AI15" xr:uid="{00000000-0001-0000-0800-000000000000}">
    <filterColumn colId="16">
      <filters>
        <filter val="Em curso"/>
      </filters>
    </filterColumn>
  </autoFilter>
  <mergeCells count="7">
    <mergeCell ref="B1:R1"/>
    <mergeCell ref="B2:H2"/>
    <mergeCell ref="J2:Q2"/>
    <mergeCell ref="T2:AH2"/>
    <mergeCell ref="J3:N3"/>
    <mergeCell ref="O3:P3"/>
    <mergeCell ref="Q3:Q4"/>
  </mergeCells>
  <dataValidations count="1">
    <dataValidation allowBlank="1" showInputMessage="1" showErrorMessage="1" sqref="K5:M15" xr:uid="{3D8B83B6-9770-4C3E-A309-3826EAA30AC9}"/>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F86E-E14D-4D7B-B7D3-07D5EAC519E7}">
  <sheetPr>
    <tabColor rgb="FFFF0000"/>
  </sheetPr>
  <dimension ref="A1"/>
  <sheetViews>
    <sheetView topLeftCell="XFD1048576" workbookViewId="0">
      <selection activeCell="L1" sqref="A1:XFD1048576"/>
    </sheetView>
  </sheetViews>
  <sheetFormatPr defaultColWidth="0" defaultRowHeight="14.4" zeroHeight="1" x14ac:dyDescent="0.3"/>
  <cols>
    <col min="1" max="16384" width="8.88671875" hidden="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7E99-90E1-4DC6-9DBC-019260FD2411}">
  <dimension ref="A1:I157"/>
  <sheetViews>
    <sheetView showGridLines="0" zoomScale="70" zoomScaleNormal="70" workbookViewId="0">
      <selection activeCell="A2" sqref="A2"/>
    </sheetView>
  </sheetViews>
  <sheetFormatPr defaultRowHeight="14.4" x14ac:dyDescent="0.3"/>
  <cols>
    <col min="1" max="1" width="43.6640625" customWidth="1"/>
    <col min="2" max="3" width="20.88671875" customWidth="1"/>
    <col min="4" max="5" width="43.6640625" customWidth="1"/>
    <col min="6" max="7" width="20.88671875" customWidth="1"/>
    <col min="8" max="8" width="28.5546875" customWidth="1"/>
    <col min="9" max="9" width="43.6640625" customWidth="1"/>
  </cols>
  <sheetData>
    <row r="1" spans="1:9" x14ac:dyDescent="0.3">
      <c r="A1" s="420" t="s">
        <v>1074</v>
      </c>
      <c r="B1" s="420" t="s">
        <v>1075</v>
      </c>
      <c r="C1" s="423" t="s">
        <v>1081</v>
      </c>
      <c r="D1" s="423" t="s">
        <v>1082</v>
      </c>
      <c r="E1" s="423" t="s">
        <v>1083</v>
      </c>
      <c r="F1" s="423" t="s">
        <v>1084</v>
      </c>
      <c r="G1" s="423" t="s">
        <v>1085</v>
      </c>
      <c r="H1" s="423" t="s">
        <v>1086</v>
      </c>
      <c r="I1" s="423" t="s">
        <v>1104</v>
      </c>
    </row>
    <row r="2" spans="1:9" x14ac:dyDescent="0.3">
      <c r="A2" s="421" t="s">
        <v>911</v>
      </c>
      <c r="B2" s="422">
        <v>0</v>
      </c>
      <c r="C2" s="422" t="s">
        <v>1087</v>
      </c>
      <c r="D2" s="422" t="s">
        <v>1088</v>
      </c>
      <c r="E2" s="422" t="s">
        <v>18</v>
      </c>
      <c r="F2" s="422">
        <v>8</v>
      </c>
      <c r="G2" s="422">
        <v>1</v>
      </c>
      <c r="H2" s="422">
        <v>1</v>
      </c>
      <c r="I2" s="422" t="s">
        <v>147</v>
      </c>
    </row>
    <row r="3" spans="1:9" x14ac:dyDescent="0.3">
      <c r="A3" s="421" t="s">
        <v>912</v>
      </c>
      <c r="B3" s="422">
        <v>0</v>
      </c>
      <c r="C3" s="422" t="s">
        <v>1087</v>
      </c>
      <c r="D3" s="422" t="s">
        <v>1088</v>
      </c>
      <c r="E3" s="422" t="s">
        <v>20</v>
      </c>
      <c r="F3" s="422">
        <v>8</v>
      </c>
      <c r="G3" s="422">
        <v>1</v>
      </c>
      <c r="H3" s="422">
        <v>0</v>
      </c>
      <c r="I3" s="422" t="s">
        <v>801</v>
      </c>
    </row>
    <row r="4" spans="1:9" x14ac:dyDescent="0.3">
      <c r="A4" s="421" t="s">
        <v>913</v>
      </c>
      <c r="B4" s="422">
        <v>0</v>
      </c>
      <c r="C4" s="422" t="s">
        <v>1087</v>
      </c>
      <c r="D4" s="422" t="s">
        <v>1088</v>
      </c>
      <c r="E4" s="422" t="s">
        <v>21</v>
      </c>
      <c r="F4" s="422">
        <v>8</v>
      </c>
      <c r="G4" s="422">
        <v>1</v>
      </c>
      <c r="H4" s="422">
        <v>1</v>
      </c>
      <c r="I4" s="422" t="s">
        <v>147</v>
      </c>
    </row>
    <row r="5" spans="1:9" x14ac:dyDescent="0.3">
      <c r="A5" s="421" t="s">
        <v>914</v>
      </c>
      <c r="B5" s="422">
        <v>0</v>
      </c>
      <c r="C5" s="422" t="s">
        <v>1087</v>
      </c>
      <c r="D5" s="422" t="s">
        <v>1088</v>
      </c>
      <c r="E5" s="422" t="s">
        <v>24</v>
      </c>
      <c r="F5" s="422">
        <v>8</v>
      </c>
      <c r="G5" s="422">
        <v>1</v>
      </c>
      <c r="H5" s="422">
        <v>1</v>
      </c>
      <c r="I5" s="422" t="s">
        <v>147</v>
      </c>
    </row>
    <row r="6" spans="1:9" x14ac:dyDescent="0.3">
      <c r="A6" s="421" t="s">
        <v>915</v>
      </c>
      <c r="B6" s="422">
        <v>0</v>
      </c>
      <c r="C6" s="422" t="s">
        <v>1087</v>
      </c>
      <c r="D6" s="422" t="s">
        <v>1088</v>
      </c>
      <c r="E6" s="422" t="s">
        <v>25</v>
      </c>
      <c r="F6" s="422">
        <v>8</v>
      </c>
      <c r="G6" s="422">
        <v>0</v>
      </c>
      <c r="H6" s="422">
        <v>0</v>
      </c>
      <c r="I6" s="422" t="s">
        <v>882</v>
      </c>
    </row>
    <row r="7" spans="1:9" x14ac:dyDescent="0.3">
      <c r="A7" s="421" t="s">
        <v>916</v>
      </c>
      <c r="B7" s="422">
        <v>0</v>
      </c>
      <c r="C7" s="422" t="s">
        <v>1087</v>
      </c>
      <c r="D7" s="422" t="s">
        <v>1089</v>
      </c>
      <c r="E7" s="422" t="s">
        <v>25</v>
      </c>
      <c r="F7" s="422">
        <v>8</v>
      </c>
      <c r="G7" s="422">
        <v>0</v>
      </c>
      <c r="H7" s="422">
        <v>0</v>
      </c>
      <c r="I7" s="422" t="s">
        <v>882</v>
      </c>
    </row>
    <row r="8" spans="1:9" x14ac:dyDescent="0.3">
      <c r="A8" s="421" t="s">
        <v>917</v>
      </c>
      <c r="B8" s="422">
        <v>9</v>
      </c>
      <c r="C8" s="422" t="s">
        <v>1087</v>
      </c>
      <c r="D8" s="422" t="s">
        <v>1088</v>
      </c>
      <c r="E8" s="422" t="s">
        <v>26</v>
      </c>
      <c r="F8" s="422">
        <v>8</v>
      </c>
      <c r="G8" s="422">
        <v>0</v>
      </c>
      <c r="H8" s="422">
        <v>0</v>
      </c>
      <c r="I8" s="422" t="s">
        <v>882</v>
      </c>
    </row>
    <row r="9" spans="1:9" x14ac:dyDescent="0.3">
      <c r="A9" s="421" t="s">
        <v>918</v>
      </c>
      <c r="B9" s="422">
        <v>0</v>
      </c>
      <c r="C9" s="422" t="s">
        <v>1087</v>
      </c>
      <c r="D9" s="422" t="s">
        <v>1088</v>
      </c>
      <c r="E9" s="422" t="s">
        <v>27</v>
      </c>
      <c r="F9" s="422">
        <v>8</v>
      </c>
      <c r="G9" s="422">
        <v>1</v>
      </c>
      <c r="H9" s="422">
        <v>0</v>
      </c>
      <c r="I9" s="422" t="s">
        <v>801</v>
      </c>
    </row>
    <row r="10" spans="1:9" x14ac:dyDescent="0.3">
      <c r="A10" s="421" t="s">
        <v>919</v>
      </c>
      <c r="B10" s="422">
        <v>0</v>
      </c>
      <c r="C10" s="422" t="s">
        <v>1087</v>
      </c>
      <c r="D10" s="422" t="s">
        <v>1089</v>
      </c>
      <c r="E10" s="422" t="s">
        <v>27</v>
      </c>
      <c r="F10" s="422">
        <v>8</v>
      </c>
      <c r="G10" s="422">
        <v>1</v>
      </c>
      <c r="H10" s="422">
        <v>0</v>
      </c>
      <c r="I10" s="422" t="s">
        <v>801</v>
      </c>
    </row>
    <row r="11" spans="1:9" x14ac:dyDescent="0.3">
      <c r="A11" s="421" t="s">
        <v>920</v>
      </c>
      <c r="B11" s="422">
        <v>0</v>
      </c>
      <c r="C11" s="422" t="s">
        <v>1087</v>
      </c>
      <c r="D11" s="422" t="s">
        <v>1088</v>
      </c>
      <c r="E11" s="422" t="s">
        <v>29</v>
      </c>
      <c r="F11" s="422">
        <v>8</v>
      </c>
      <c r="G11" s="422">
        <v>0</v>
      </c>
      <c r="H11" s="422">
        <v>0</v>
      </c>
      <c r="I11" s="422" t="s">
        <v>882</v>
      </c>
    </row>
    <row r="12" spans="1:9" x14ac:dyDescent="0.3">
      <c r="A12" s="421" t="s">
        <v>921</v>
      </c>
      <c r="B12" s="422">
        <v>9</v>
      </c>
      <c r="C12" s="422" t="s">
        <v>1087</v>
      </c>
      <c r="D12" s="422" t="s">
        <v>1089</v>
      </c>
      <c r="E12" s="422" t="s">
        <v>29</v>
      </c>
      <c r="F12" s="422">
        <v>8</v>
      </c>
      <c r="G12" s="422">
        <v>0</v>
      </c>
      <c r="H12" s="422">
        <v>0</v>
      </c>
      <c r="I12" s="422" t="s">
        <v>882</v>
      </c>
    </row>
    <row r="13" spans="1:9" x14ac:dyDescent="0.3">
      <c r="A13" s="421" t="s">
        <v>922</v>
      </c>
      <c r="B13" s="422">
        <v>9</v>
      </c>
      <c r="C13" s="422" t="s">
        <v>1087</v>
      </c>
      <c r="D13" s="422" t="s">
        <v>1088</v>
      </c>
      <c r="E13" s="422" t="s">
        <v>30</v>
      </c>
      <c r="F13" s="422">
        <v>8</v>
      </c>
      <c r="G13" s="422">
        <v>0</v>
      </c>
      <c r="H13" s="422">
        <v>0</v>
      </c>
      <c r="I13" s="422" t="s">
        <v>882</v>
      </c>
    </row>
    <row r="14" spans="1:9" x14ac:dyDescent="0.3">
      <c r="A14" s="421" t="s">
        <v>923</v>
      </c>
      <c r="B14" s="422">
        <v>0</v>
      </c>
      <c r="C14" s="422" t="s">
        <v>1087</v>
      </c>
      <c r="D14" s="422" t="s">
        <v>1088</v>
      </c>
      <c r="E14" s="422" t="s">
        <v>31</v>
      </c>
      <c r="F14" s="422">
        <v>8</v>
      </c>
      <c r="G14" s="422">
        <v>1</v>
      </c>
      <c r="H14" s="422">
        <v>0</v>
      </c>
      <c r="I14" s="422" t="s">
        <v>801</v>
      </c>
    </row>
    <row r="15" spans="1:9" x14ac:dyDescent="0.3">
      <c r="A15" s="421" t="s">
        <v>924</v>
      </c>
      <c r="B15" s="422">
        <v>0</v>
      </c>
      <c r="C15" s="422" t="s">
        <v>1087</v>
      </c>
      <c r="D15" s="422" t="s">
        <v>1088</v>
      </c>
      <c r="E15" s="422" t="s">
        <v>32</v>
      </c>
      <c r="F15" s="422">
        <v>8</v>
      </c>
      <c r="G15" s="422">
        <v>1</v>
      </c>
      <c r="H15" s="422">
        <v>1</v>
      </c>
      <c r="I15" s="422" t="s">
        <v>147</v>
      </c>
    </row>
    <row r="16" spans="1:9" x14ac:dyDescent="0.3">
      <c r="A16" s="421" t="s">
        <v>925</v>
      </c>
      <c r="B16" s="422">
        <v>0</v>
      </c>
      <c r="C16" s="422" t="s">
        <v>1087</v>
      </c>
      <c r="D16" s="422" t="s">
        <v>1088</v>
      </c>
      <c r="E16" s="422" t="s">
        <v>34</v>
      </c>
      <c r="F16" s="422">
        <v>8</v>
      </c>
      <c r="G16" s="422">
        <v>1</v>
      </c>
      <c r="H16" s="422">
        <v>1</v>
      </c>
      <c r="I16" s="422" t="s">
        <v>147</v>
      </c>
    </row>
    <row r="17" spans="1:9" x14ac:dyDescent="0.3">
      <c r="A17" s="421" t="s">
        <v>926</v>
      </c>
      <c r="B17" s="422">
        <v>0</v>
      </c>
      <c r="C17" s="422" t="s">
        <v>1087</v>
      </c>
      <c r="D17" s="422" t="s">
        <v>1088</v>
      </c>
      <c r="E17" s="422" t="s">
        <v>36</v>
      </c>
      <c r="F17" s="422">
        <v>8</v>
      </c>
      <c r="G17" s="422">
        <v>1</v>
      </c>
      <c r="H17" s="422">
        <v>1</v>
      </c>
      <c r="I17" s="422" t="s">
        <v>147</v>
      </c>
    </row>
    <row r="18" spans="1:9" x14ac:dyDescent="0.3">
      <c r="A18" s="421" t="s">
        <v>927</v>
      </c>
      <c r="B18" s="422">
        <v>0</v>
      </c>
      <c r="C18" s="422" t="s">
        <v>1087</v>
      </c>
      <c r="D18" s="422" t="s">
        <v>1088</v>
      </c>
      <c r="E18" s="422" t="s">
        <v>38</v>
      </c>
      <c r="F18" s="422">
        <v>8</v>
      </c>
      <c r="G18" s="422">
        <v>1</v>
      </c>
      <c r="H18" s="422">
        <v>0</v>
      </c>
      <c r="I18" s="422" t="s">
        <v>801</v>
      </c>
    </row>
    <row r="19" spans="1:9" x14ac:dyDescent="0.3">
      <c r="A19" s="421" t="s">
        <v>928</v>
      </c>
      <c r="B19" s="422">
        <v>0</v>
      </c>
      <c r="C19" s="422" t="s">
        <v>1087</v>
      </c>
      <c r="D19" s="422" t="s">
        <v>1089</v>
      </c>
      <c r="E19" s="422" t="s">
        <v>38</v>
      </c>
      <c r="F19" s="422">
        <v>8</v>
      </c>
      <c r="G19" s="422">
        <v>1</v>
      </c>
      <c r="H19" s="422">
        <v>0</v>
      </c>
      <c r="I19" s="422" t="s">
        <v>801</v>
      </c>
    </row>
    <row r="20" spans="1:9" x14ac:dyDescent="0.3">
      <c r="A20" s="421" t="s">
        <v>929</v>
      </c>
      <c r="B20" s="422">
        <v>0</v>
      </c>
      <c r="C20" s="422" t="s">
        <v>1087</v>
      </c>
      <c r="D20" s="422" t="s">
        <v>1089</v>
      </c>
      <c r="E20" s="422" t="s">
        <v>40</v>
      </c>
      <c r="F20" s="422">
        <v>8</v>
      </c>
      <c r="G20" s="422">
        <v>1</v>
      </c>
      <c r="H20" s="422">
        <v>1</v>
      </c>
      <c r="I20" s="422" t="s">
        <v>147</v>
      </c>
    </row>
    <row r="21" spans="1:9" x14ac:dyDescent="0.3">
      <c r="A21" s="421" t="s">
        <v>930</v>
      </c>
      <c r="B21" s="422">
        <v>0</v>
      </c>
      <c r="C21" s="422" t="s">
        <v>1087</v>
      </c>
      <c r="D21" s="422" t="s">
        <v>1088</v>
      </c>
      <c r="E21" s="422" t="s">
        <v>41</v>
      </c>
      <c r="F21" s="422">
        <v>8</v>
      </c>
      <c r="G21" s="422">
        <v>1</v>
      </c>
      <c r="H21" s="422">
        <v>1</v>
      </c>
      <c r="I21" s="422" t="s">
        <v>147</v>
      </c>
    </row>
    <row r="22" spans="1:9" x14ac:dyDescent="0.3">
      <c r="A22" s="421" t="s">
        <v>931</v>
      </c>
      <c r="B22" s="422">
        <v>0</v>
      </c>
      <c r="C22" s="422" t="s">
        <v>1087</v>
      </c>
      <c r="D22" s="422" t="s">
        <v>1088</v>
      </c>
      <c r="E22" s="422" t="s">
        <v>42</v>
      </c>
      <c r="F22" s="422">
        <v>8</v>
      </c>
      <c r="G22" s="422">
        <v>1</v>
      </c>
      <c r="H22" s="422">
        <v>1</v>
      </c>
      <c r="I22" s="422" t="s">
        <v>147</v>
      </c>
    </row>
    <row r="23" spans="1:9" x14ac:dyDescent="0.3">
      <c r="A23" s="421" t="s">
        <v>932</v>
      </c>
      <c r="B23" s="422">
        <v>0</v>
      </c>
      <c r="C23" s="422" t="s">
        <v>1087</v>
      </c>
      <c r="D23" s="422" t="s">
        <v>1088</v>
      </c>
      <c r="E23" s="422" t="s">
        <v>45</v>
      </c>
      <c r="F23" s="422">
        <v>8</v>
      </c>
      <c r="G23" s="422">
        <v>1</v>
      </c>
      <c r="H23" s="422">
        <v>1</v>
      </c>
      <c r="I23" s="422" t="s">
        <v>147</v>
      </c>
    </row>
    <row r="24" spans="1:9" x14ac:dyDescent="0.3">
      <c r="A24" s="421" t="s">
        <v>933</v>
      </c>
      <c r="B24" s="422">
        <v>0</v>
      </c>
      <c r="C24" s="422" t="s">
        <v>1087</v>
      </c>
      <c r="D24" s="422" t="s">
        <v>1089</v>
      </c>
      <c r="E24" s="422" t="s">
        <v>1071</v>
      </c>
      <c r="F24" s="422">
        <v>8</v>
      </c>
      <c r="G24" s="422">
        <v>1</v>
      </c>
      <c r="H24" s="422">
        <v>1</v>
      </c>
      <c r="I24" s="422" t="s">
        <v>147</v>
      </c>
    </row>
    <row r="25" spans="1:9" x14ac:dyDescent="0.3">
      <c r="A25" s="421" t="s">
        <v>934</v>
      </c>
      <c r="B25" s="422">
        <v>0</v>
      </c>
      <c r="C25" s="422" t="s">
        <v>1087</v>
      </c>
      <c r="D25" s="422" t="s">
        <v>1088</v>
      </c>
      <c r="E25" s="422" t="s">
        <v>46</v>
      </c>
      <c r="F25" s="422">
        <v>8</v>
      </c>
      <c r="G25" s="422">
        <v>1</v>
      </c>
      <c r="H25" s="422">
        <v>1</v>
      </c>
      <c r="I25" s="422" t="s">
        <v>147</v>
      </c>
    </row>
    <row r="26" spans="1:9" x14ac:dyDescent="0.3">
      <c r="A26" s="421" t="s">
        <v>935</v>
      </c>
      <c r="B26" s="422">
        <v>0</v>
      </c>
      <c r="C26" s="422" t="s">
        <v>1087</v>
      </c>
      <c r="D26" s="422" t="s">
        <v>1088</v>
      </c>
      <c r="E26" s="422" t="s">
        <v>49</v>
      </c>
      <c r="F26" s="422">
        <v>8</v>
      </c>
      <c r="G26" s="422">
        <v>1</v>
      </c>
      <c r="H26" s="422">
        <v>1</v>
      </c>
      <c r="I26" s="422" t="s">
        <v>147</v>
      </c>
    </row>
    <row r="27" spans="1:9" x14ac:dyDescent="0.3">
      <c r="A27" s="421" t="s">
        <v>936</v>
      </c>
      <c r="B27" s="422">
        <v>0</v>
      </c>
      <c r="C27" s="422" t="s">
        <v>1087</v>
      </c>
      <c r="D27" s="422" t="s">
        <v>1088</v>
      </c>
      <c r="E27" s="422" t="s">
        <v>1090</v>
      </c>
      <c r="F27" s="422">
        <v>8</v>
      </c>
      <c r="G27" s="422">
        <v>0</v>
      </c>
      <c r="H27" s="422">
        <v>0</v>
      </c>
      <c r="I27" s="422" t="s">
        <v>882</v>
      </c>
    </row>
    <row r="28" spans="1:9" x14ac:dyDescent="0.3">
      <c r="A28" s="421" t="s">
        <v>937</v>
      </c>
      <c r="B28" s="422">
        <v>0</v>
      </c>
      <c r="C28" s="422" t="s">
        <v>1087</v>
      </c>
      <c r="D28" s="422" t="s">
        <v>1088</v>
      </c>
      <c r="E28" s="422" t="s">
        <v>51</v>
      </c>
      <c r="F28" s="422">
        <v>8</v>
      </c>
      <c r="G28" s="422">
        <v>1</v>
      </c>
      <c r="H28" s="422">
        <v>1</v>
      </c>
      <c r="I28" s="422" t="s">
        <v>147</v>
      </c>
    </row>
    <row r="29" spans="1:9" x14ac:dyDescent="0.3">
      <c r="A29" s="421" t="s">
        <v>938</v>
      </c>
      <c r="B29" s="422">
        <v>0</v>
      </c>
      <c r="C29" s="422" t="s">
        <v>1087</v>
      </c>
      <c r="D29" s="422" t="s">
        <v>1088</v>
      </c>
      <c r="E29" s="422" t="s">
        <v>52</v>
      </c>
      <c r="F29" s="422">
        <v>8</v>
      </c>
      <c r="G29" s="422">
        <v>1</v>
      </c>
      <c r="H29" s="422">
        <v>1</v>
      </c>
      <c r="I29" s="422" t="s">
        <v>147</v>
      </c>
    </row>
    <row r="30" spans="1:9" x14ac:dyDescent="0.3">
      <c r="A30" s="421" t="s">
        <v>939</v>
      </c>
      <c r="B30" s="422">
        <v>0</v>
      </c>
      <c r="C30" s="422" t="s">
        <v>1087</v>
      </c>
      <c r="D30" s="422" t="s">
        <v>1088</v>
      </c>
      <c r="E30" s="422" t="s">
        <v>54</v>
      </c>
      <c r="F30" s="422">
        <v>8</v>
      </c>
      <c r="G30" s="422">
        <v>1</v>
      </c>
      <c r="H30" s="422">
        <v>1</v>
      </c>
      <c r="I30" s="422" t="s">
        <v>147</v>
      </c>
    </row>
    <row r="31" spans="1:9" x14ac:dyDescent="0.3">
      <c r="A31" s="421" t="s">
        <v>940</v>
      </c>
      <c r="B31" s="422">
        <v>0</v>
      </c>
      <c r="C31" s="422" t="s">
        <v>1087</v>
      </c>
      <c r="D31" s="422" t="s">
        <v>1088</v>
      </c>
      <c r="E31" s="422" t="s">
        <v>55</v>
      </c>
      <c r="F31" s="422">
        <v>8</v>
      </c>
      <c r="G31" s="422">
        <v>1</v>
      </c>
      <c r="H31" s="422">
        <v>1</v>
      </c>
      <c r="I31" s="422" t="s">
        <v>147</v>
      </c>
    </row>
    <row r="32" spans="1:9" x14ac:dyDescent="0.3">
      <c r="A32" s="421" t="s">
        <v>941</v>
      </c>
      <c r="B32" s="422">
        <v>0</v>
      </c>
      <c r="C32" s="422" t="s">
        <v>1087</v>
      </c>
      <c r="D32" s="422" t="s">
        <v>1088</v>
      </c>
      <c r="E32" s="422" t="s">
        <v>57</v>
      </c>
      <c r="F32" s="422">
        <v>8</v>
      </c>
      <c r="G32" s="422">
        <v>1</v>
      </c>
      <c r="H32" s="422">
        <v>1</v>
      </c>
      <c r="I32" s="422" t="s">
        <v>147</v>
      </c>
    </row>
    <row r="33" spans="1:9" x14ac:dyDescent="0.3">
      <c r="A33" s="421" t="s">
        <v>942</v>
      </c>
      <c r="B33" s="422">
        <v>0</v>
      </c>
      <c r="C33" s="422" t="s">
        <v>1087</v>
      </c>
      <c r="D33" s="422" t="s">
        <v>1089</v>
      </c>
      <c r="E33" s="422" t="s">
        <v>57</v>
      </c>
      <c r="F33" s="422">
        <v>8</v>
      </c>
      <c r="G33" s="422">
        <v>1</v>
      </c>
      <c r="H33" s="422">
        <v>1</v>
      </c>
      <c r="I33" s="422" t="s">
        <v>147</v>
      </c>
    </row>
    <row r="34" spans="1:9" x14ac:dyDescent="0.3">
      <c r="A34" s="421" t="s">
        <v>943</v>
      </c>
      <c r="B34" s="422">
        <v>9</v>
      </c>
      <c r="C34" s="422" t="s">
        <v>1087</v>
      </c>
      <c r="D34" s="422" t="s">
        <v>1088</v>
      </c>
      <c r="E34" s="422" t="s">
        <v>59</v>
      </c>
      <c r="F34" s="422">
        <v>8</v>
      </c>
      <c r="G34" s="422">
        <v>0</v>
      </c>
      <c r="H34" s="422">
        <v>0</v>
      </c>
      <c r="I34" s="422" t="s">
        <v>882</v>
      </c>
    </row>
    <row r="35" spans="1:9" x14ac:dyDescent="0.3">
      <c r="A35" s="421" t="s">
        <v>944</v>
      </c>
      <c r="B35" s="422">
        <v>9</v>
      </c>
      <c r="C35" s="422" t="s">
        <v>1087</v>
      </c>
      <c r="D35" s="422" t="s">
        <v>1088</v>
      </c>
      <c r="E35" s="422" t="s">
        <v>60</v>
      </c>
      <c r="F35" s="422">
        <v>8</v>
      </c>
      <c r="G35" s="422">
        <v>0</v>
      </c>
      <c r="H35" s="422">
        <v>0</v>
      </c>
      <c r="I35" s="422" t="s">
        <v>882</v>
      </c>
    </row>
    <row r="36" spans="1:9" x14ac:dyDescent="0.3">
      <c r="A36" s="421" t="s">
        <v>945</v>
      </c>
      <c r="B36" s="422">
        <v>0</v>
      </c>
      <c r="C36" s="422" t="s">
        <v>1087</v>
      </c>
      <c r="D36" s="422" t="s">
        <v>1088</v>
      </c>
      <c r="E36" s="422" t="s">
        <v>61</v>
      </c>
      <c r="F36" s="422">
        <v>8</v>
      </c>
      <c r="G36" s="422">
        <v>0</v>
      </c>
      <c r="H36" s="422">
        <v>0</v>
      </c>
      <c r="I36" s="422" t="s">
        <v>882</v>
      </c>
    </row>
    <row r="37" spans="1:9" x14ac:dyDescent="0.3">
      <c r="A37" s="421" t="s">
        <v>946</v>
      </c>
      <c r="B37" s="422">
        <v>9</v>
      </c>
      <c r="C37" s="422" t="s">
        <v>1087</v>
      </c>
      <c r="D37" s="422" t="s">
        <v>1089</v>
      </c>
      <c r="E37" s="422" t="s">
        <v>61</v>
      </c>
      <c r="F37" s="422">
        <v>8</v>
      </c>
      <c r="G37" s="422">
        <v>0</v>
      </c>
      <c r="H37" s="422">
        <v>0</v>
      </c>
      <c r="I37" s="422" t="s">
        <v>882</v>
      </c>
    </row>
    <row r="38" spans="1:9" x14ac:dyDescent="0.3">
      <c r="A38" s="421" t="s">
        <v>947</v>
      </c>
      <c r="B38" s="422">
        <v>0</v>
      </c>
      <c r="C38" s="422" t="s">
        <v>1087</v>
      </c>
      <c r="D38" s="422" t="s">
        <v>1089</v>
      </c>
      <c r="E38" s="422" t="s">
        <v>92</v>
      </c>
      <c r="F38" s="422">
        <v>8</v>
      </c>
      <c r="G38" s="422">
        <v>1</v>
      </c>
      <c r="H38" s="422">
        <v>0</v>
      </c>
      <c r="I38" s="422" t="s">
        <v>801</v>
      </c>
    </row>
    <row r="39" spans="1:9" x14ac:dyDescent="0.3">
      <c r="A39" s="421" t="s">
        <v>948</v>
      </c>
      <c r="B39" s="422">
        <v>0</v>
      </c>
      <c r="C39" s="422" t="s">
        <v>1091</v>
      </c>
      <c r="D39" s="422" t="s">
        <v>1088</v>
      </c>
      <c r="E39" s="422" t="s">
        <v>20</v>
      </c>
      <c r="F39" s="422">
        <v>8</v>
      </c>
      <c r="G39" s="422">
        <v>1</v>
      </c>
      <c r="H39" s="422">
        <v>0</v>
      </c>
      <c r="I39" s="422" t="s">
        <v>801</v>
      </c>
    </row>
    <row r="40" spans="1:9" x14ac:dyDescent="0.3">
      <c r="A40" s="421" t="s">
        <v>949</v>
      </c>
      <c r="B40" s="422">
        <v>0</v>
      </c>
      <c r="C40" s="422" t="s">
        <v>1091</v>
      </c>
      <c r="D40" s="422" t="s">
        <v>1088</v>
      </c>
      <c r="E40" s="422" t="s">
        <v>24</v>
      </c>
      <c r="F40" s="422">
        <v>8</v>
      </c>
      <c r="G40" s="422">
        <v>1</v>
      </c>
      <c r="H40" s="422">
        <v>1</v>
      </c>
      <c r="I40" s="422" t="s">
        <v>147</v>
      </c>
    </row>
    <row r="41" spans="1:9" x14ac:dyDescent="0.3">
      <c r="A41" s="421" t="s">
        <v>950</v>
      </c>
      <c r="B41" s="422">
        <v>0</v>
      </c>
      <c r="C41" s="422" t="s">
        <v>1091</v>
      </c>
      <c r="D41" s="422" t="s">
        <v>1089</v>
      </c>
      <c r="E41" s="422" t="s">
        <v>25</v>
      </c>
      <c r="F41" s="422">
        <v>8</v>
      </c>
      <c r="G41" s="422">
        <v>0</v>
      </c>
      <c r="H41" s="422">
        <v>0</v>
      </c>
      <c r="I41" s="422" t="s">
        <v>882</v>
      </c>
    </row>
    <row r="42" spans="1:9" x14ac:dyDescent="0.3">
      <c r="A42" s="421" t="s">
        <v>951</v>
      </c>
      <c r="B42" s="422">
        <v>9</v>
      </c>
      <c r="C42" s="422" t="s">
        <v>1091</v>
      </c>
      <c r="D42" s="422" t="s">
        <v>1088</v>
      </c>
      <c r="E42" s="422" t="s">
        <v>26</v>
      </c>
      <c r="F42" s="422">
        <v>8</v>
      </c>
      <c r="G42" s="422">
        <v>0</v>
      </c>
      <c r="H42" s="422">
        <v>0</v>
      </c>
      <c r="I42" s="422" t="s">
        <v>882</v>
      </c>
    </row>
    <row r="43" spans="1:9" x14ac:dyDescent="0.3">
      <c r="A43" s="421" t="s">
        <v>952</v>
      </c>
      <c r="B43" s="422">
        <v>0</v>
      </c>
      <c r="C43" s="422" t="s">
        <v>1091</v>
      </c>
      <c r="D43" s="422" t="s">
        <v>1089</v>
      </c>
      <c r="E43" s="422" t="s">
        <v>27</v>
      </c>
      <c r="F43" s="422">
        <v>8</v>
      </c>
      <c r="G43" s="422">
        <v>1</v>
      </c>
      <c r="H43" s="422">
        <v>0</v>
      </c>
      <c r="I43" s="422" t="s">
        <v>801</v>
      </c>
    </row>
    <row r="44" spans="1:9" x14ac:dyDescent="0.3">
      <c r="A44" s="421" t="s">
        <v>953</v>
      </c>
      <c r="B44" s="422">
        <v>0</v>
      </c>
      <c r="C44" s="422" t="s">
        <v>1091</v>
      </c>
      <c r="D44" s="422" t="s">
        <v>1089</v>
      </c>
      <c r="E44" s="422" t="s">
        <v>28</v>
      </c>
      <c r="F44" s="422">
        <v>8</v>
      </c>
      <c r="G44" s="422">
        <v>1</v>
      </c>
      <c r="H44" s="422">
        <v>1</v>
      </c>
      <c r="I44" s="422" t="s">
        <v>147</v>
      </c>
    </row>
    <row r="45" spans="1:9" x14ac:dyDescent="0.3">
      <c r="A45" s="421" t="s">
        <v>954</v>
      </c>
      <c r="B45" s="422">
        <v>9</v>
      </c>
      <c r="C45" s="422" t="s">
        <v>1091</v>
      </c>
      <c r="D45" s="422" t="s">
        <v>1088</v>
      </c>
      <c r="E45" s="422" t="s">
        <v>29</v>
      </c>
      <c r="F45" s="422">
        <v>8</v>
      </c>
      <c r="G45" s="422">
        <v>0</v>
      </c>
      <c r="H45" s="422">
        <v>0</v>
      </c>
      <c r="I45" s="422" t="s">
        <v>882</v>
      </c>
    </row>
    <row r="46" spans="1:9" x14ac:dyDescent="0.3">
      <c r="A46" s="421" t="s">
        <v>954</v>
      </c>
      <c r="B46" s="422">
        <v>9</v>
      </c>
      <c r="C46" s="422" t="s">
        <v>1091</v>
      </c>
      <c r="D46" s="422" t="s">
        <v>1088</v>
      </c>
      <c r="E46" s="422" t="s">
        <v>29</v>
      </c>
      <c r="F46" s="422">
        <v>8</v>
      </c>
      <c r="G46" s="422">
        <v>0</v>
      </c>
      <c r="H46" s="422">
        <v>0</v>
      </c>
      <c r="I46" s="422" t="s">
        <v>882</v>
      </c>
    </row>
    <row r="47" spans="1:9" x14ac:dyDescent="0.3">
      <c r="A47" s="421" t="s">
        <v>955</v>
      </c>
      <c r="B47" s="422">
        <v>9</v>
      </c>
      <c r="C47" s="422" t="s">
        <v>1091</v>
      </c>
      <c r="D47" s="422" t="s">
        <v>1088</v>
      </c>
      <c r="E47" s="422" t="s">
        <v>30</v>
      </c>
      <c r="F47" s="422">
        <v>8</v>
      </c>
      <c r="G47" s="422">
        <v>0</v>
      </c>
      <c r="H47" s="422">
        <v>0</v>
      </c>
      <c r="I47" s="422" t="s">
        <v>882</v>
      </c>
    </row>
    <row r="48" spans="1:9" x14ac:dyDescent="0.3">
      <c r="A48" s="421" t="s">
        <v>955</v>
      </c>
      <c r="B48" s="422">
        <v>9</v>
      </c>
      <c r="C48" s="422" t="s">
        <v>1091</v>
      </c>
      <c r="D48" s="422" t="s">
        <v>1088</v>
      </c>
      <c r="E48" s="422" t="s">
        <v>30</v>
      </c>
      <c r="F48" s="422">
        <v>8</v>
      </c>
      <c r="G48" s="422">
        <v>0</v>
      </c>
      <c r="H48" s="422">
        <v>0</v>
      </c>
      <c r="I48" s="422" t="s">
        <v>882</v>
      </c>
    </row>
    <row r="49" spans="1:9" x14ac:dyDescent="0.3">
      <c r="A49" s="421" t="s">
        <v>956</v>
      </c>
      <c r="B49" s="422">
        <v>9</v>
      </c>
      <c r="C49" s="422" t="s">
        <v>1091</v>
      </c>
      <c r="D49" s="422" t="s">
        <v>1088</v>
      </c>
      <c r="E49" s="422" t="s">
        <v>31</v>
      </c>
      <c r="F49" s="422">
        <v>8</v>
      </c>
      <c r="G49" s="422">
        <v>1</v>
      </c>
      <c r="H49" s="422">
        <v>0</v>
      </c>
      <c r="I49" s="422" t="s">
        <v>801</v>
      </c>
    </row>
    <row r="50" spans="1:9" x14ac:dyDescent="0.3">
      <c r="A50" s="421" t="s">
        <v>957</v>
      </c>
      <c r="B50" s="422">
        <v>0</v>
      </c>
      <c r="C50" s="422" t="s">
        <v>1091</v>
      </c>
      <c r="D50" s="422" t="s">
        <v>1088</v>
      </c>
      <c r="E50" s="422" t="s">
        <v>34</v>
      </c>
      <c r="F50" s="422">
        <v>8</v>
      </c>
      <c r="G50" s="422">
        <v>1</v>
      </c>
      <c r="H50" s="422">
        <v>1</v>
      </c>
      <c r="I50" s="422" t="s">
        <v>147</v>
      </c>
    </row>
    <row r="51" spans="1:9" x14ac:dyDescent="0.3">
      <c r="A51" s="421" t="s">
        <v>958</v>
      </c>
      <c r="B51" s="422">
        <v>0</v>
      </c>
      <c r="C51" s="422" t="s">
        <v>1091</v>
      </c>
      <c r="D51" s="422" t="s">
        <v>1088</v>
      </c>
      <c r="E51" s="422" t="s">
        <v>37</v>
      </c>
      <c r="F51" s="422">
        <v>8</v>
      </c>
      <c r="G51" s="422">
        <v>1</v>
      </c>
      <c r="H51" s="422">
        <v>1</v>
      </c>
      <c r="I51" s="422" t="s">
        <v>147</v>
      </c>
    </row>
    <row r="52" spans="1:9" x14ac:dyDescent="0.3">
      <c r="A52" s="421" t="s">
        <v>958</v>
      </c>
      <c r="B52" s="422">
        <v>9</v>
      </c>
      <c r="C52" s="422" t="s">
        <v>1091</v>
      </c>
      <c r="D52" s="422" t="s">
        <v>1088</v>
      </c>
      <c r="E52" s="422" t="s">
        <v>37</v>
      </c>
      <c r="F52" s="422">
        <v>8</v>
      </c>
      <c r="G52" s="422">
        <v>1</v>
      </c>
      <c r="H52" s="422">
        <v>1</v>
      </c>
      <c r="I52" s="422" t="s">
        <v>1099</v>
      </c>
    </row>
    <row r="53" spans="1:9" x14ac:dyDescent="0.3">
      <c r="A53" s="421" t="s">
        <v>959</v>
      </c>
      <c r="B53" s="422">
        <v>0</v>
      </c>
      <c r="C53" s="422" t="s">
        <v>1091</v>
      </c>
      <c r="D53" s="422" t="s">
        <v>1088</v>
      </c>
      <c r="E53" s="422" t="s">
        <v>38</v>
      </c>
      <c r="F53" s="422">
        <v>8</v>
      </c>
      <c r="G53" s="422">
        <v>1</v>
      </c>
      <c r="H53" s="422">
        <v>0</v>
      </c>
      <c r="I53" s="422" t="s">
        <v>801</v>
      </c>
    </row>
    <row r="54" spans="1:9" x14ac:dyDescent="0.3">
      <c r="A54" s="421" t="s">
        <v>960</v>
      </c>
      <c r="B54" s="422">
        <v>0</v>
      </c>
      <c r="C54" s="422" t="s">
        <v>1091</v>
      </c>
      <c r="D54" s="422" t="s">
        <v>1088</v>
      </c>
      <c r="E54" s="422" t="s">
        <v>40</v>
      </c>
      <c r="F54" s="422">
        <v>8</v>
      </c>
      <c r="G54" s="422">
        <v>1</v>
      </c>
      <c r="H54" s="422">
        <v>1</v>
      </c>
      <c r="I54" s="422" t="s">
        <v>147</v>
      </c>
    </row>
    <row r="55" spans="1:9" x14ac:dyDescent="0.3">
      <c r="A55" s="421" t="s">
        <v>961</v>
      </c>
      <c r="B55" s="422">
        <v>0</v>
      </c>
      <c r="C55" s="422" t="s">
        <v>1091</v>
      </c>
      <c r="D55" s="422" t="s">
        <v>1088</v>
      </c>
      <c r="E55" s="422" t="s">
        <v>41</v>
      </c>
      <c r="F55" s="422">
        <v>8</v>
      </c>
      <c r="G55" s="422">
        <v>1</v>
      </c>
      <c r="H55" s="422">
        <v>1</v>
      </c>
      <c r="I55" s="422" t="s">
        <v>147</v>
      </c>
    </row>
    <row r="56" spans="1:9" x14ac:dyDescent="0.3">
      <c r="A56" s="421" t="s">
        <v>962</v>
      </c>
      <c r="B56" s="422">
        <v>0</v>
      </c>
      <c r="C56" s="422" t="s">
        <v>1091</v>
      </c>
      <c r="D56" s="422" t="s">
        <v>1088</v>
      </c>
      <c r="E56" s="422" t="s">
        <v>42</v>
      </c>
      <c r="F56" s="422">
        <v>8</v>
      </c>
      <c r="G56" s="422">
        <v>1</v>
      </c>
      <c r="H56" s="422">
        <v>1</v>
      </c>
      <c r="I56" s="422" t="s">
        <v>147</v>
      </c>
    </row>
    <row r="57" spans="1:9" x14ac:dyDescent="0.3">
      <c r="A57" s="421" t="s">
        <v>963</v>
      </c>
      <c r="B57" s="422">
        <v>0</v>
      </c>
      <c r="C57" s="422" t="s">
        <v>1091</v>
      </c>
      <c r="D57" s="422" t="s">
        <v>1088</v>
      </c>
      <c r="E57" s="422" t="s">
        <v>43</v>
      </c>
      <c r="F57" s="422">
        <v>8</v>
      </c>
      <c r="G57" s="422">
        <v>1</v>
      </c>
      <c r="H57" s="422">
        <v>1</v>
      </c>
      <c r="I57" s="422" t="s">
        <v>147</v>
      </c>
    </row>
    <row r="58" spans="1:9" x14ac:dyDescent="0.3">
      <c r="A58" s="421" t="s">
        <v>964</v>
      </c>
      <c r="B58" s="422">
        <v>0</v>
      </c>
      <c r="C58" s="422" t="s">
        <v>1091</v>
      </c>
      <c r="D58" s="422" t="s">
        <v>1088</v>
      </c>
      <c r="E58" s="422" t="s">
        <v>45</v>
      </c>
      <c r="F58" s="422">
        <v>8</v>
      </c>
      <c r="G58" s="422">
        <v>1</v>
      </c>
      <c r="H58" s="422">
        <v>1</v>
      </c>
      <c r="I58" s="422" t="s">
        <v>147</v>
      </c>
    </row>
    <row r="59" spans="1:9" x14ac:dyDescent="0.3">
      <c r="A59" s="421" t="s">
        <v>965</v>
      </c>
      <c r="B59" s="422">
        <v>0</v>
      </c>
      <c r="C59" s="422" t="s">
        <v>1091</v>
      </c>
      <c r="D59" s="422" t="s">
        <v>1088</v>
      </c>
      <c r="E59" s="422" t="s">
        <v>1090</v>
      </c>
      <c r="F59" s="422">
        <v>8</v>
      </c>
      <c r="G59" s="422">
        <v>0</v>
      </c>
      <c r="H59" s="422">
        <v>0</v>
      </c>
      <c r="I59" s="422" t="s">
        <v>882</v>
      </c>
    </row>
    <row r="60" spans="1:9" x14ac:dyDescent="0.3">
      <c r="A60" s="421" t="s">
        <v>966</v>
      </c>
      <c r="B60" s="422">
        <v>0</v>
      </c>
      <c r="C60" s="422" t="s">
        <v>1091</v>
      </c>
      <c r="D60" s="422" t="s">
        <v>1088</v>
      </c>
      <c r="E60" s="422" t="s">
        <v>52</v>
      </c>
      <c r="F60" s="422">
        <v>8</v>
      </c>
      <c r="G60" s="422">
        <v>1</v>
      </c>
      <c r="H60" s="422">
        <v>1</v>
      </c>
      <c r="I60" s="422" t="s">
        <v>147</v>
      </c>
    </row>
    <row r="61" spans="1:9" x14ac:dyDescent="0.3">
      <c r="A61" s="421" t="s">
        <v>966</v>
      </c>
      <c r="B61" s="422">
        <v>0</v>
      </c>
      <c r="C61" s="422" t="s">
        <v>1091</v>
      </c>
      <c r="D61" s="422" t="s">
        <v>1088</v>
      </c>
      <c r="E61" s="422" t="s">
        <v>52</v>
      </c>
      <c r="F61" s="422">
        <v>8</v>
      </c>
      <c r="G61" s="422">
        <v>1</v>
      </c>
      <c r="H61" s="422">
        <v>1</v>
      </c>
      <c r="I61" s="422" t="s">
        <v>147</v>
      </c>
    </row>
    <row r="62" spans="1:9" x14ac:dyDescent="0.3">
      <c r="A62" s="421" t="s">
        <v>967</v>
      </c>
      <c r="B62" s="422">
        <v>0</v>
      </c>
      <c r="C62" s="422" t="s">
        <v>1091</v>
      </c>
      <c r="D62" s="422" t="s">
        <v>1088</v>
      </c>
      <c r="E62" s="422" t="s">
        <v>54</v>
      </c>
      <c r="F62" s="422">
        <v>8</v>
      </c>
      <c r="G62" s="422">
        <v>1</v>
      </c>
      <c r="H62" s="422">
        <v>1</v>
      </c>
      <c r="I62" s="422" t="s">
        <v>147</v>
      </c>
    </row>
    <row r="63" spans="1:9" x14ac:dyDescent="0.3">
      <c r="A63" s="421" t="s">
        <v>967</v>
      </c>
      <c r="B63" s="422">
        <v>0</v>
      </c>
      <c r="C63" s="422" t="s">
        <v>1091</v>
      </c>
      <c r="D63" s="422" t="s">
        <v>1088</v>
      </c>
      <c r="E63" s="422" t="s">
        <v>54</v>
      </c>
      <c r="F63" s="422">
        <v>8</v>
      </c>
      <c r="G63" s="422">
        <v>1</v>
      </c>
      <c r="H63" s="422">
        <v>1</v>
      </c>
      <c r="I63" s="422" t="s">
        <v>147</v>
      </c>
    </row>
    <row r="64" spans="1:9" x14ac:dyDescent="0.3">
      <c r="A64" s="421" t="s">
        <v>968</v>
      </c>
      <c r="B64" s="422">
        <v>0</v>
      </c>
      <c r="C64" s="422" t="s">
        <v>1091</v>
      </c>
      <c r="D64" s="422" t="s">
        <v>1088</v>
      </c>
      <c r="E64" s="422" t="s">
        <v>66</v>
      </c>
      <c r="F64" s="422">
        <v>8</v>
      </c>
      <c r="G64" s="422">
        <v>1</v>
      </c>
      <c r="H64" s="422">
        <v>1</v>
      </c>
      <c r="I64" s="422" t="s">
        <v>147</v>
      </c>
    </row>
    <row r="65" spans="1:9" x14ac:dyDescent="0.3">
      <c r="A65" s="421" t="s">
        <v>969</v>
      </c>
      <c r="B65" s="422">
        <v>2</v>
      </c>
      <c r="C65" s="422" t="s">
        <v>1091</v>
      </c>
      <c r="D65" s="422" t="s">
        <v>1088</v>
      </c>
      <c r="E65" s="422" t="s">
        <v>83</v>
      </c>
      <c r="F65" s="422">
        <v>8</v>
      </c>
      <c r="G65" s="422">
        <v>1</v>
      </c>
      <c r="H65" s="422">
        <v>0</v>
      </c>
      <c r="I65" s="422" t="s">
        <v>801</v>
      </c>
    </row>
    <row r="66" spans="1:9" x14ac:dyDescent="0.3">
      <c r="A66" s="421" t="s">
        <v>970</v>
      </c>
      <c r="B66" s="422">
        <v>0</v>
      </c>
      <c r="C66" s="422" t="s">
        <v>1091</v>
      </c>
      <c r="D66" s="422" t="s">
        <v>1088</v>
      </c>
      <c r="E66" s="422" t="s">
        <v>84</v>
      </c>
      <c r="F66" s="422">
        <v>8</v>
      </c>
      <c r="G66" s="422">
        <v>1</v>
      </c>
      <c r="H66" s="422">
        <v>0</v>
      </c>
      <c r="I66" s="422" t="s">
        <v>801</v>
      </c>
    </row>
    <row r="67" spans="1:9" x14ac:dyDescent="0.3">
      <c r="A67" s="421" t="s">
        <v>971</v>
      </c>
      <c r="B67" s="422">
        <v>2</v>
      </c>
      <c r="C67" s="422" t="s">
        <v>1091</v>
      </c>
      <c r="D67" s="422" t="s">
        <v>1088</v>
      </c>
      <c r="E67" s="422" t="s">
        <v>85</v>
      </c>
      <c r="F67" s="422">
        <v>8</v>
      </c>
      <c r="G67" s="422">
        <v>1</v>
      </c>
      <c r="H67" s="422">
        <v>0</v>
      </c>
      <c r="I67" s="422" t="s">
        <v>801</v>
      </c>
    </row>
    <row r="68" spans="1:9" x14ac:dyDescent="0.3">
      <c r="A68" s="421" t="s">
        <v>972</v>
      </c>
      <c r="B68" s="422">
        <v>0</v>
      </c>
      <c r="C68" s="422" t="s">
        <v>1091</v>
      </c>
      <c r="D68" s="422" t="s">
        <v>1088</v>
      </c>
      <c r="E68" s="422" t="s">
        <v>86</v>
      </c>
      <c r="F68" s="422">
        <v>8</v>
      </c>
      <c r="G68" s="422">
        <v>1</v>
      </c>
      <c r="H68" s="422">
        <v>1</v>
      </c>
      <c r="I68" s="422" t="s">
        <v>147</v>
      </c>
    </row>
    <row r="69" spans="1:9" x14ac:dyDescent="0.3">
      <c r="A69" s="421" t="s">
        <v>973</v>
      </c>
      <c r="B69" s="422">
        <v>0</v>
      </c>
      <c r="C69" s="422" t="s">
        <v>1091</v>
      </c>
      <c r="D69" s="422" t="s">
        <v>1088</v>
      </c>
      <c r="E69" s="422" t="s">
        <v>90</v>
      </c>
      <c r="F69" s="422">
        <v>8</v>
      </c>
      <c r="G69" s="422">
        <v>1</v>
      </c>
      <c r="H69" s="422">
        <v>1</v>
      </c>
      <c r="I69" s="422" t="s">
        <v>147</v>
      </c>
    </row>
    <row r="70" spans="1:9" x14ac:dyDescent="0.3">
      <c r="A70" s="421" t="s">
        <v>974</v>
      </c>
      <c r="B70" s="422">
        <v>0</v>
      </c>
      <c r="C70" s="422" t="s">
        <v>1091</v>
      </c>
      <c r="D70" s="422" t="s">
        <v>1088</v>
      </c>
      <c r="E70" s="422" t="s">
        <v>92</v>
      </c>
      <c r="F70" s="422">
        <v>8</v>
      </c>
      <c r="G70" s="422">
        <v>1</v>
      </c>
      <c r="H70" s="422">
        <v>0</v>
      </c>
      <c r="I70" s="422" t="s">
        <v>801</v>
      </c>
    </row>
    <row r="71" spans="1:9" x14ac:dyDescent="0.3">
      <c r="A71" s="421" t="s">
        <v>975</v>
      </c>
      <c r="B71" s="422">
        <v>9</v>
      </c>
      <c r="C71" s="422" t="s">
        <v>1091</v>
      </c>
      <c r="D71" s="422" t="s">
        <v>1088</v>
      </c>
      <c r="E71" s="422" t="s">
        <v>93</v>
      </c>
      <c r="F71" s="422">
        <v>8</v>
      </c>
      <c r="G71" s="422">
        <v>1</v>
      </c>
      <c r="H71" s="422">
        <v>0</v>
      </c>
      <c r="I71" s="422" t="s">
        <v>801</v>
      </c>
    </row>
    <row r="72" spans="1:9" x14ac:dyDescent="0.3">
      <c r="A72" s="421" t="s">
        <v>976</v>
      </c>
      <c r="B72" s="422">
        <v>0</v>
      </c>
      <c r="C72" s="422" t="s">
        <v>1092</v>
      </c>
      <c r="D72" s="422" t="s">
        <v>1093</v>
      </c>
      <c r="E72" s="422" t="s">
        <v>18</v>
      </c>
      <c r="F72" s="422">
        <v>9</v>
      </c>
      <c r="G72" s="422">
        <v>1</v>
      </c>
      <c r="H72" s="422">
        <v>1</v>
      </c>
      <c r="I72" s="422" t="s">
        <v>147</v>
      </c>
    </row>
    <row r="73" spans="1:9" x14ac:dyDescent="0.3">
      <c r="A73" s="421" t="s">
        <v>977</v>
      </c>
      <c r="B73" s="422">
        <v>0</v>
      </c>
      <c r="C73" s="422" t="s">
        <v>1092</v>
      </c>
      <c r="D73" s="422" t="s">
        <v>1093</v>
      </c>
      <c r="E73" s="422" t="s">
        <v>19</v>
      </c>
      <c r="F73" s="422">
        <v>9</v>
      </c>
      <c r="G73" s="422">
        <v>1</v>
      </c>
      <c r="H73" s="422">
        <v>0</v>
      </c>
      <c r="I73" s="422" t="s">
        <v>801</v>
      </c>
    </row>
    <row r="74" spans="1:9" x14ac:dyDescent="0.3">
      <c r="A74" s="421" t="s">
        <v>978</v>
      </c>
      <c r="B74" s="422">
        <v>0</v>
      </c>
      <c r="C74" s="422" t="s">
        <v>1092</v>
      </c>
      <c r="D74" s="422" t="s">
        <v>1093</v>
      </c>
      <c r="E74" s="422" t="s">
        <v>20</v>
      </c>
      <c r="F74" s="422">
        <v>9</v>
      </c>
      <c r="G74" s="422">
        <v>1</v>
      </c>
      <c r="H74" s="422">
        <v>0</v>
      </c>
      <c r="I74" s="422" t="s">
        <v>801</v>
      </c>
    </row>
    <row r="75" spans="1:9" x14ac:dyDescent="0.3">
      <c r="A75" s="421" t="s">
        <v>979</v>
      </c>
      <c r="B75" s="422">
        <v>0</v>
      </c>
      <c r="C75" s="422" t="s">
        <v>1092</v>
      </c>
      <c r="D75" s="422" t="s">
        <v>1093</v>
      </c>
      <c r="E75" s="422" t="s">
        <v>21</v>
      </c>
      <c r="F75" s="422">
        <v>9</v>
      </c>
      <c r="G75" s="422">
        <v>1</v>
      </c>
      <c r="H75" s="422">
        <v>1</v>
      </c>
      <c r="I75" s="422" t="s">
        <v>147</v>
      </c>
    </row>
    <row r="76" spans="1:9" x14ac:dyDescent="0.3">
      <c r="A76" s="421" t="s">
        <v>980</v>
      </c>
      <c r="B76" s="422">
        <v>0</v>
      </c>
      <c r="C76" s="422" t="s">
        <v>1092</v>
      </c>
      <c r="D76" s="422" t="s">
        <v>1093</v>
      </c>
      <c r="E76" s="422" t="s">
        <v>22</v>
      </c>
      <c r="F76" s="422">
        <v>9</v>
      </c>
      <c r="G76" s="422">
        <v>1</v>
      </c>
      <c r="H76" s="422">
        <v>1</v>
      </c>
      <c r="I76" s="422" t="s">
        <v>147</v>
      </c>
    </row>
    <row r="77" spans="1:9" x14ac:dyDescent="0.3">
      <c r="A77" s="421" t="s">
        <v>981</v>
      </c>
      <c r="B77" s="422">
        <v>9</v>
      </c>
      <c r="C77" s="422" t="s">
        <v>1092</v>
      </c>
      <c r="D77" s="422" t="s">
        <v>1093</v>
      </c>
      <c r="E77" s="422" t="s">
        <v>23</v>
      </c>
      <c r="F77" s="422">
        <v>9</v>
      </c>
      <c r="G77" s="422">
        <v>1</v>
      </c>
      <c r="H77" s="422">
        <v>0</v>
      </c>
      <c r="I77" s="422" t="s">
        <v>801</v>
      </c>
    </row>
    <row r="78" spans="1:9" x14ac:dyDescent="0.3">
      <c r="A78" s="421" t="s">
        <v>982</v>
      </c>
      <c r="B78" s="422">
        <v>0</v>
      </c>
      <c r="C78" s="422" t="s">
        <v>1092</v>
      </c>
      <c r="D78" s="422" t="s">
        <v>1093</v>
      </c>
      <c r="E78" s="422" t="s">
        <v>24</v>
      </c>
      <c r="F78" s="422">
        <v>9</v>
      </c>
      <c r="G78" s="422">
        <v>1</v>
      </c>
      <c r="H78" s="422">
        <v>1</v>
      </c>
      <c r="I78" s="422" t="s">
        <v>147</v>
      </c>
    </row>
    <row r="79" spans="1:9" x14ac:dyDescent="0.3">
      <c r="A79" s="421" t="s">
        <v>983</v>
      </c>
      <c r="B79" s="422">
        <v>9</v>
      </c>
      <c r="C79" s="422" t="s">
        <v>1092</v>
      </c>
      <c r="D79" s="422" t="s">
        <v>1093</v>
      </c>
      <c r="E79" s="422" t="s">
        <v>25</v>
      </c>
      <c r="F79" s="422">
        <v>9</v>
      </c>
      <c r="G79" s="422">
        <v>0</v>
      </c>
      <c r="H79" s="422">
        <v>0</v>
      </c>
      <c r="I79" s="422" t="s">
        <v>882</v>
      </c>
    </row>
    <row r="80" spans="1:9" x14ac:dyDescent="0.3">
      <c r="A80" s="421" t="s">
        <v>984</v>
      </c>
      <c r="B80" s="422">
        <v>9</v>
      </c>
      <c r="C80" s="422" t="s">
        <v>1092</v>
      </c>
      <c r="D80" s="422" t="s">
        <v>1093</v>
      </c>
      <c r="E80" s="422" t="s">
        <v>26</v>
      </c>
      <c r="F80" s="422">
        <v>9</v>
      </c>
      <c r="G80" s="422">
        <v>0</v>
      </c>
      <c r="H80" s="422">
        <v>0</v>
      </c>
      <c r="I80" s="422" t="s">
        <v>882</v>
      </c>
    </row>
    <row r="81" spans="1:9" x14ac:dyDescent="0.3">
      <c r="A81" s="421" t="s">
        <v>985</v>
      </c>
      <c r="B81" s="422">
        <v>0</v>
      </c>
      <c r="C81" s="422" t="s">
        <v>1092</v>
      </c>
      <c r="D81" s="422" t="s">
        <v>1093</v>
      </c>
      <c r="E81" s="422" t="s">
        <v>27</v>
      </c>
      <c r="F81" s="422">
        <v>9</v>
      </c>
      <c r="G81" s="422">
        <v>1</v>
      </c>
      <c r="H81" s="422">
        <v>0</v>
      </c>
      <c r="I81" s="422" t="s">
        <v>801</v>
      </c>
    </row>
    <row r="82" spans="1:9" x14ac:dyDescent="0.3">
      <c r="A82" s="421" t="s">
        <v>986</v>
      </c>
      <c r="B82" s="422">
        <v>0</v>
      </c>
      <c r="C82" s="422" t="s">
        <v>1092</v>
      </c>
      <c r="D82" s="422" t="s">
        <v>1093</v>
      </c>
      <c r="E82" s="422" t="s">
        <v>28</v>
      </c>
      <c r="F82" s="422">
        <v>9</v>
      </c>
      <c r="G82" s="422">
        <v>1</v>
      </c>
      <c r="H82" s="422">
        <v>1</v>
      </c>
      <c r="I82" s="422" t="s">
        <v>147</v>
      </c>
    </row>
    <row r="83" spans="1:9" x14ac:dyDescent="0.3">
      <c r="A83" s="421" t="s">
        <v>987</v>
      </c>
      <c r="B83" s="422">
        <v>9</v>
      </c>
      <c r="C83" s="422" t="s">
        <v>1092</v>
      </c>
      <c r="D83" s="422" t="s">
        <v>1093</v>
      </c>
      <c r="E83" s="422" t="s">
        <v>29</v>
      </c>
      <c r="F83" s="422">
        <v>9</v>
      </c>
      <c r="G83" s="422">
        <v>0</v>
      </c>
      <c r="H83" s="422">
        <v>0</v>
      </c>
      <c r="I83" s="422" t="s">
        <v>882</v>
      </c>
    </row>
    <row r="84" spans="1:9" x14ac:dyDescent="0.3">
      <c r="A84" s="421" t="s">
        <v>988</v>
      </c>
      <c r="B84" s="422">
        <v>9</v>
      </c>
      <c r="C84" s="422" t="s">
        <v>1092</v>
      </c>
      <c r="D84" s="422" t="s">
        <v>1093</v>
      </c>
      <c r="E84" s="422" t="s">
        <v>30</v>
      </c>
      <c r="F84" s="422">
        <v>9</v>
      </c>
      <c r="G84" s="422">
        <v>0</v>
      </c>
      <c r="H84" s="422">
        <v>0</v>
      </c>
      <c r="I84" s="422" t="s">
        <v>882</v>
      </c>
    </row>
    <row r="85" spans="1:9" x14ac:dyDescent="0.3">
      <c r="A85" s="421" t="s">
        <v>989</v>
      </c>
      <c r="B85" s="422">
        <v>9</v>
      </c>
      <c r="C85" s="422" t="s">
        <v>1092</v>
      </c>
      <c r="D85" s="422" t="s">
        <v>1093</v>
      </c>
      <c r="E85" s="422" t="s">
        <v>31</v>
      </c>
      <c r="F85" s="422">
        <v>9</v>
      </c>
      <c r="G85" s="422">
        <v>1</v>
      </c>
      <c r="H85" s="422">
        <v>0</v>
      </c>
      <c r="I85" s="422" t="s">
        <v>801</v>
      </c>
    </row>
    <row r="86" spans="1:9" x14ac:dyDescent="0.3">
      <c r="A86" s="421" t="s">
        <v>990</v>
      </c>
      <c r="B86" s="422">
        <v>9</v>
      </c>
      <c r="C86" s="422" t="s">
        <v>1092</v>
      </c>
      <c r="D86" s="422" t="s">
        <v>1093</v>
      </c>
      <c r="E86" s="422" t="s">
        <v>32</v>
      </c>
      <c r="F86" s="422">
        <v>9</v>
      </c>
      <c r="G86" s="422">
        <v>1</v>
      </c>
      <c r="H86" s="422">
        <v>1</v>
      </c>
      <c r="I86" s="422" t="s">
        <v>1099</v>
      </c>
    </row>
    <row r="87" spans="1:9" x14ac:dyDescent="0.3">
      <c r="A87" s="421" t="s">
        <v>991</v>
      </c>
      <c r="B87" s="422">
        <v>9</v>
      </c>
      <c r="C87" s="422" t="s">
        <v>1092</v>
      </c>
      <c r="D87" s="422" t="s">
        <v>1093</v>
      </c>
      <c r="E87" s="422" t="s">
        <v>33</v>
      </c>
      <c r="F87" s="422">
        <v>9</v>
      </c>
      <c r="G87" s="422">
        <v>1</v>
      </c>
      <c r="H87" s="422">
        <v>1</v>
      </c>
      <c r="I87" s="422" t="s">
        <v>1099</v>
      </c>
    </row>
    <row r="88" spans="1:9" x14ac:dyDescent="0.3">
      <c r="A88" s="421" t="s">
        <v>992</v>
      </c>
      <c r="B88" s="422">
        <v>0</v>
      </c>
      <c r="C88" s="422" t="s">
        <v>1092</v>
      </c>
      <c r="D88" s="422" t="s">
        <v>1093</v>
      </c>
      <c r="E88" s="422" t="s">
        <v>34</v>
      </c>
      <c r="F88" s="422">
        <v>9</v>
      </c>
      <c r="G88" s="422">
        <v>1</v>
      </c>
      <c r="H88" s="422">
        <v>1</v>
      </c>
      <c r="I88" s="422" t="s">
        <v>147</v>
      </c>
    </row>
    <row r="89" spans="1:9" x14ac:dyDescent="0.3">
      <c r="A89" s="421" t="s">
        <v>993</v>
      </c>
      <c r="B89" s="422">
        <v>0</v>
      </c>
      <c r="C89" s="422" t="s">
        <v>1092</v>
      </c>
      <c r="D89" s="422" t="s">
        <v>1093</v>
      </c>
      <c r="E89" s="422" t="s">
        <v>35</v>
      </c>
      <c r="F89" s="422">
        <v>9</v>
      </c>
      <c r="G89" s="422">
        <v>1</v>
      </c>
      <c r="H89" s="422">
        <v>1</v>
      </c>
      <c r="I89" s="422" t="s">
        <v>147</v>
      </c>
    </row>
    <row r="90" spans="1:9" x14ac:dyDescent="0.3">
      <c r="A90" s="421" t="s">
        <v>994</v>
      </c>
      <c r="B90" s="422">
        <v>0</v>
      </c>
      <c r="C90" s="422" t="s">
        <v>1092</v>
      </c>
      <c r="D90" s="422" t="s">
        <v>1093</v>
      </c>
      <c r="E90" s="422" t="s">
        <v>36</v>
      </c>
      <c r="F90" s="422">
        <v>9</v>
      </c>
      <c r="G90" s="422">
        <v>1</v>
      </c>
      <c r="H90" s="422">
        <v>1</v>
      </c>
      <c r="I90" s="422" t="s">
        <v>147</v>
      </c>
    </row>
    <row r="91" spans="1:9" x14ac:dyDescent="0.3">
      <c r="A91" s="421" t="s">
        <v>995</v>
      </c>
      <c r="B91" s="422">
        <v>0</v>
      </c>
      <c r="C91" s="422" t="s">
        <v>1092</v>
      </c>
      <c r="D91" s="422" t="s">
        <v>1093</v>
      </c>
      <c r="E91" s="422" t="s">
        <v>37</v>
      </c>
      <c r="F91" s="422">
        <v>9</v>
      </c>
      <c r="G91" s="422">
        <v>1</v>
      </c>
      <c r="H91" s="422">
        <v>1</v>
      </c>
      <c r="I91" s="422" t="s">
        <v>147</v>
      </c>
    </row>
    <row r="92" spans="1:9" x14ac:dyDescent="0.3">
      <c r="A92" s="421" t="s">
        <v>996</v>
      </c>
      <c r="B92" s="422">
        <v>0</v>
      </c>
      <c r="C92" s="422" t="s">
        <v>1092</v>
      </c>
      <c r="D92" s="422" t="s">
        <v>1093</v>
      </c>
      <c r="E92" s="422" t="s">
        <v>38</v>
      </c>
      <c r="F92" s="422">
        <v>9</v>
      </c>
      <c r="G92" s="422">
        <v>1</v>
      </c>
      <c r="H92" s="422">
        <v>0</v>
      </c>
      <c r="I92" s="422" t="s">
        <v>801</v>
      </c>
    </row>
    <row r="93" spans="1:9" x14ac:dyDescent="0.3">
      <c r="A93" s="421" t="s">
        <v>997</v>
      </c>
      <c r="B93" s="422">
        <v>0</v>
      </c>
      <c r="C93" s="422" t="s">
        <v>1092</v>
      </c>
      <c r="D93" s="422" t="s">
        <v>1093</v>
      </c>
      <c r="E93" s="422" t="s">
        <v>39</v>
      </c>
      <c r="F93" s="422">
        <v>9</v>
      </c>
      <c r="G93" s="422">
        <v>1</v>
      </c>
      <c r="H93" s="422">
        <v>1</v>
      </c>
      <c r="I93" s="422" t="s">
        <v>147</v>
      </c>
    </row>
    <row r="94" spans="1:9" x14ac:dyDescent="0.3">
      <c r="A94" s="421" t="s">
        <v>998</v>
      </c>
      <c r="B94" s="422">
        <v>0</v>
      </c>
      <c r="C94" s="422" t="s">
        <v>1092</v>
      </c>
      <c r="D94" s="422" t="s">
        <v>1093</v>
      </c>
      <c r="E94" s="422" t="s">
        <v>40</v>
      </c>
      <c r="F94" s="422">
        <v>9</v>
      </c>
      <c r="G94" s="422">
        <v>1</v>
      </c>
      <c r="H94" s="422">
        <v>1</v>
      </c>
      <c r="I94" s="422" t="s">
        <v>147</v>
      </c>
    </row>
    <row r="95" spans="1:9" x14ac:dyDescent="0.3">
      <c r="A95" s="421" t="s">
        <v>999</v>
      </c>
      <c r="B95" s="422">
        <v>0</v>
      </c>
      <c r="C95" s="422" t="s">
        <v>1092</v>
      </c>
      <c r="D95" s="422" t="s">
        <v>1093</v>
      </c>
      <c r="E95" s="422" t="s">
        <v>41</v>
      </c>
      <c r="F95" s="422">
        <v>9</v>
      </c>
      <c r="G95" s="422">
        <v>1</v>
      </c>
      <c r="H95" s="422">
        <v>1</v>
      </c>
      <c r="I95" s="422" t="s">
        <v>147</v>
      </c>
    </row>
    <row r="96" spans="1:9" x14ac:dyDescent="0.3">
      <c r="A96" s="421" t="s">
        <v>1000</v>
      </c>
      <c r="B96" s="422">
        <v>0</v>
      </c>
      <c r="C96" s="422" t="s">
        <v>1092</v>
      </c>
      <c r="D96" s="422" t="s">
        <v>1093</v>
      </c>
      <c r="E96" s="422" t="s">
        <v>42</v>
      </c>
      <c r="F96" s="422">
        <v>9</v>
      </c>
      <c r="G96" s="422">
        <v>1</v>
      </c>
      <c r="H96" s="422">
        <v>1</v>
      </c>
      <c r="I96" s="422" t="s">
        <v>147</v>
      </c>
    </row>
    <row r="97" spans="1:9" x14ac:dyDescent="0.3">
      <c r="A97" s="421" t="s">
        <v>1001</v>
      </c>
      <c r="B97" s="422">
        <v>0</v>
      </c>
      <c r="C97" s="422" t="s">
        <v>1092</v>
      </c>
      <c r="D97" s="422" t="s">
        <v>1093</v>
      </c>
      <c r="E97" s="422" t="s">
        <v>43</v>
      </c>
      <c r="F97" s="422">
        <v>9</v>
      </c>
      <c r="G97" s="422">
        <v>1</v>
      </c>
      <c r="H97" s="422">
        <v>1</v>
      </c>
      <c r="I97" s="422" t="s">
        <v>147</v>
      </c>
    </row>
    <row r="98" spans="1:9" x14ac:dyDescent="0.3">
      <c r="A98" s="421" t="s">
        <v>1002</v>
      </c>
      <c r="B98" s="422">
        <v>0</v>
      </c>
      <c r="C98" s="422" t="s">
        <v>1092</v>
      </c>
      <c r="D98" s="422" t="s">
        <v>1093</v>
      </c>
      <c r="E98" s="422" t="s">
        <v>44</v>
      </c>
      <c r="F98" s="422">
        <v>9</v>
      </c>
      <c r="G98" s="422">
        <v>1</v>
      </c>
      <c r="H98" s="422">
        <v>1</v>
      </c>
      <c r="I98" s="422" t="s">
        <v>147</v>
      </c>
    </row>
    <row r="99" spans="1:9" x14ac:dyDescent="0.3">
      <c r="A99" s="421" t="s">
        <v>1003</v>
      </c>
      <c r="B99" s="422">
        <v>0</v>
      </c>
      <c r="C99" s="422" t="s">
        <v>1092</v>
      </c>
      <c r="D99" s="422" t="s">
        <v>1093</v>
      </c>
      <c r="E99" s="422" t="s">
        <v>45</v>
      </c>
      <c r="F99" s="422">
        <v>9</v>
      </c>
      <c r="G99" s="422">
        <v>1</v>
      </c>
      <c r="H99" s="422">
        <v>1</v>
      </c>
      <c r="I99" s="422" t="s">
        <v>147</v>
      </c>
    </row>
    <row r="100" spans="1:9" x14ac:dyDescent="0.3">
      <c r="A100" s="421" t="s">
        <v>1004</v>
      </c>
      <c r="B100" s="422">
        <v>0</v>
      </c>
      <c r="C100" s="422" t="s">
        <v>1092</v>
      </c>
      <c r="D100" s="422" t="s">
        <v>1093</v>
      </c>
      <c r="E100" s="422" t="s">
        <v>1071</v>
      </c>
      <c r="F100" s="422">
        <v>9</v>
      </c>
      <c r="G100" s="422">
        <v>1</v>
      </c>
      <c r="H100" s="422">
        <v>1</v>
      </c>
      <c r="I100" s="422" t="s">
        <v>147</v>
      </c>
    </row>
    <row r="101" spans="1:9" x14ac:dyDescent="0.3">
      <c r="A101" s="421" t="s">
        <v>1005</v>
      </c>
      <c r="B101" s="422">
        <v>0</v>
      </c>
      <c r="C101" s="422" t="s">
        <v>1092</v>
      </c>
      <c r="D101" s="422" t="s">
        <v>1093</v>
      </c>
      <c r="E101" s="422" t="s">
        <v>46</v>
      </c>
      <c r="F101" s="422">
        <v>9</v>
      </c>
      <c r="G101" s="422">
        <v>1</v>
      </c>
      <c r="H101" s="422">
        <v>1</v>
      </c>
      <c r="I101" s="422" t="s">
        <v>147</v>
      </c>
    </row>
    <row r="102" spans="1:9" x14ac:dyDescent="0.3">
      <c r="A102" s="421" t="s">
        <v>1006</v>
      </c>
      <c r="B102" s="422">
        <v>0</v>
      </c>
      <c r="C102" s="422" t="s">
        <v>1092</v>
      </c>
      <c r="D102" s="422" t="s">
        <v>1093</v>
      </c>
      <c r="E102" s="422" t="s">
        <v>47</v>
      </c>
      <c r="F102" s="422">
        <v>9</v>
      </c>
      <c r="G102" s="422">
        <v>1</v>
      </c>
      <c r="H102" s="422">
        <v>1</v>
      </c>
      <c r="I102" s="422" t="s">
        <v>147</v>
      </c>
    </row>
    <row r="103" spans="1:9" x14ac:dyDescent="0.3">
      <c r="A103" s="421" t="s">
        <v>1007</v>
      </c>
      <c r="B103" s="422">
        <v>0</v>
      </c>
      <c r="C103" s="422" t="s">
        <v>1092</v>
      </c>
      <c r="D103" s="422" t="s">
        <v>1093</v>
      </c>
      <c r="E103" s="422" t="s">
        <v>48</v>
      </c>
      <c r="F103" s="422">
        <v>9</v>
      </c>
      <c r="G103" s="422">
        <v>1</v>
      </c>
      <c r="H103" s="422">
        <v>1</v>
      </c>
      <c r="I103" s="422" t="s">
        <v>147</v>
      </c>
    </row>
    <row r="104" spans="1:9" x14ac:dyDescent="0.3">
      <c r="A104" s="421" t="s">
        <v>1008</v>
      </c>
      <c r="B104" s="422">
        <v>0</v>
      </c>
      <c r="C104" s="422" t="s">
        <v>1092</v>
      </c>
      <c r="D104" s="422" t="s">
        <v>1093</v>
      </c>
      <c r="E104" s="422" t="s">
        <v>49</v>
      </c>
      <c r="F104" s="422">
        <v>9</v>
      </c>
      <c r="G104" s="422">
        <v>1</v>
      </c>
      <c r="H104" s="422">
        <v>1</v>
      </c>
      <c r="I104" s="422" t="s">
        <v>147</v>
      </c>
    </row>
    <row r="105" spans="1:9" x14ac:dyDescent="0.3">
      <c r="A105" s="421" t="s">
        <v>1009</v>
      </c>
      <c r="B105" s="422">
        <v>0</v>
      </c>
      <c r="C105" s="422" t="s">
        <v>1092</v>
      </c>
      <c r="D105" s="422" t="s">
        <v>1093</v>
      </c>
      <c r="E105" s="422" t="s">
        <v>1090</v>
      </c>
      <c r="F105" s="422">
        <v>9</v>
      </c>
      <c r="G105" s="422">
        <v>0</v>
      </c>
      <c r="H105" s="422">
        <v>0</v>
      </c>
      <c r="I105" s="422" t="s">
        <v>882</v>
      </c>
    </row>
    <row r="106" spans="1:9" x14ac:dyDescent="0.3">
      <c r="A106" s="421" t="s">
        <v>1010</v>
      </c>
      <c r="B106" s="422">
        <v>0</v>
      </c>
      <c r="C106" s="422" t="s">
        <v>1092</v>
      </c>
      <c r="D106" s="422" t="s">
        <v>1093</v>
      </c>
      <c r="E106" s="422" t="s">
        <v>51</v>
      </c>
      <c r="F106" s="422">
        <v>9</v>
      </c>
      <c r="G106" s="422">
        <v>1</v>
      </c>
      <c r="H106" s="422">
        <v>1</v>
      </c>
      <c r="I106" s="422" t="s">
        <v>147</v>
      </c>
    </row>
    <row r="107" spans="1:9" x14ac:dyDescent="0.3">
      <c r="A107" s="421" t="s">
        <v>1011</v>
      </c>
      <c r="B107" s="422">
        <v>0</v>
      </c>
      <c r="C107" s="422" t="s">
        <v>1092</v>
      </c>
      <c r="D107" s="422" t="s">
        <v>1093</v>
      </c>
      <c r="E107" s="422" t="s">
        <v>52</v>
      </c>
      <c r="F107" s="422">
        <v>9</v>
      </c>
      <c r="G107" s="422">
        <v>1</v>
      </c>
      <c r="H107" s="422">
        <v>1</v>
      </c>
      <c r="I107" s="422" t="s">
        <v>147</v>
      </c>
    </row>
    <row r="108" spans="1:9" x14ac:dyDescent="0.3">
      <c r="A108" s="421" t="s">
        <v>1012</v>
      </c>
      <c r="B108" s="422">
        <v>9</v>
      </c>
      <c r="C108" s="422" t="s">
        <v>1092</v>
      </c>
      <c r="D108" s="422" t="s">
        <v>1093</v>
      </c>
      <c r="E108" s="422" t="s">
        <v>53</v>
      </c>
      <c r="F108" s="422">
        <v>9</v>
      </c>
      <c r="G108" s="422">
        <v>1</v>
      </c>
      <c r="H108" s="422">
        <v>1</v>
      </c>
      <c r="I108" s="422" t="s">
        <v>1099</v>
      </c>
    </row>
    <row r="109" spans="1:9" x14ac:dyDescent="0.3">
      <c r="A109" s="421" t="s">
        <v>1013</v>
      </c>
      <c r="B109" s="422">
        <v>0</v>
      </c>
      <c r="C109" s="422" t="s">
        <v>1092</v>
      </c>
      <c r="D109" s="422" t="s">
        <v>1093</v>
      </c>
      <c r="E109" s="422" t="s">
        <v>54</v>
      </c>
      <c r="F109" s="422">
        <v>9</v>
      </c>
      <c r="G109" s="422">
        <v>1</v>
      </c>
      <c r="H109" s="422">
        <v>1</v>
      </c>
      <c r="I109" s="422" t="s">
        <v>147</v>
      </c>
    </row>
    <row r="110" spans="1:9" x14ac:dyDescent="0.3">
      <c r="A110" s="421" t="s">
        <v>1014</v>
      </c>
      <c r="B110" s="422">
        <v>9</v>
      </c>
      <c r="C110" s="422" t="s">
        <v>1092</v>
      </c>
      <c r="D110" s="422" t="s">
        <v>1093</v>
      </c>
      <c r="E110" s="422" t="s">
        <v>55</v>
      </c>
      <c r="F110" s="422">
        <v>9</v>
      </c>
      <c r="G110" s="422">
        <v>1</v>
      </c>
      <c r="H110" s="422">
        <v>1</v>
      </c>
      <c r="I110" s="422" t="s">
        <v>1099</v>
      </c>
    </row>
    <row r="111" spans="1:9" x14ac:dyDescent="0.3">
      <c r="A111" s="421" t="s">
        <v>1015</v>
      </c>
      <c r="B111" s="422">
        <v>9</v>
      </c>
      <c r="C111" s="422" t="s">
        <v>1092</v>
      </c>
      <c r="D111" s="422" t="s">
        <v>1093</v>
      </c>
      <c r="E111" s="422" t="s">
        <v>56</v>
      </c>
      <c r="F111" s="422">
        <v>9</v>
      </c>
      <c r="G111" s="422">
        <v>0</v>
      </c>
      <c r="H111" s="422">
        <v>0</v>
      </c>
      <c r="I111" s="422" t="s">
        <v>882</v>
      </c>
    </row>
    <row r="112" spans="1:9" x14ac:dyDescent="0.3">
      <c r="A112" s="421" t="s">
        <v>1016</v>
      </c>
      <c r="B112" s="422">
        <v>0</v>
      </c>
      <c r="C112" s="422" t="s">
        <v>1092</v>
      </c>
      <c r="D112" s="422" t="s">
        <v>1093</v>
      </c>
      <c r="E112" s="422" t="s">
        <v>57</v>
      </c>
      <c r="F112" s="422">
        <v>9</v>
      </c>
      <c r="G112" s="422">
        <v>1</v>
      </c>
      <c r="H112" s="422">
        <v>1</v>
      </c>
      <c r="I112" s="422" t="s">
        <v>147</v>
      </c>
    </row>
    <row r="113" spans="1:9" x14ac:dyDescent="0.3">
      <c r="A113" s="421" t="s">
        <v>1017</v>
      </c>
      <c r="B113" s="422">
        <v>0</v>
      </c>
      <c r="C113" s="422" t="s">
        <v>1092</v>
      </c>
      <c r="D113" s="422" t="s">
        <v>1093</v>
      </c>
      <c r="E113" s="422" t="s">
        <v>58</v>
      </c>
      <c r="F113" s="422">
        <v>9</v>
      </c>
      <c r="G113" s="422">
        <v>1</v>
      </c>
      <c r="H113" s="422">
        <v>0</v>
      </c>
      <c r="I113" s="422" t="s">
        <v>801</v>
      </c>
    </row>
    <row r="114" spans="1:9" x14ac:dyDescent="0.3">
      <c r="A114" s="421" t="s">
        <v>1018</v>
      </c>
      <c r="B114" s="422">
        <v>9</v>
      </c>
      <c r="C114" s="422" t="s">
        <v>1092</v>
      </c>
      <c r="D114" s="422" t="s">
        <v>1093</v>
      </c>
      <c r="E114" s="422" t="s">
        <v>59</v>
      </c>
      <c r="F114" s="422">
        <v>9</v>
      </c>
      <c r="G114" s="422">
        <v>0</v>
      </c>
      <c r="H114" s="422">
        <v>0</v>
      </c>
      <c r="I114" s="422" t="s">
        <v>882</v>
      </c>
    </row>
    <row r="115" spans="1:9" x14ac:dyDescent="0.3">
      <c r="A115" s="421" t="s">
        <v>1019</v>
      </c>
      <c r="B115" s="422">
        <v>9</v>
      </c>
      <c r="C115" s="422" t="s">
        <v>1092</v>
      </c>
      <c r="D115" s="422" t="s">
        <v>1093</v>
      </c>
      <c r="E115" s="422" t="s">
        <v>60</v>
      </c>
      <c r="F115" s="422">
        <v>9</v>
      </c>
      <c r="G115" s="422">
        <v>0</v>
      </c>
      <c r="H115" s="422">
        <v>0</v>
      </c>
      <c r="I115" s="422" t="s">
        <v>882</v>
      </c>
    </row>
    <row r="116" spans="1:9" x14ac:dyDescent="0.3">
      <c r="A116" s="421" t="s">
        <v>1020</v>
      </c>
      <c r="B116" s="422">
        <v>9</v>
      </c>
      <c r="C116" s="422" t="s">
        <v>1092</v>
      </c>
      <c r="D116" s="422" t="s">
        <v>1093</v>
      </c>
      <c r="E116" s="422" t="s">
        <v>61</v>
      </c>
      <c r="F116" s="422">
        <v>9</v>
      </c>
      <c r="G116" s="422">
        <v>0</v>
      </c>
      <c r="H116" s="422">
        <v>0</v>
      </c>
      <c r="I116" s="422" t="s">
        <v>882</v>
      </c>
    </row>
    <row r="117" spans="1:9" x14ac:dyDescent="0.3">
      <c r="A117" s="421" t="s">
        <v>1021</v>
      </c>
      <c r="B117" s="422">
        <v>0</v>
      </c>
      <c r="C117" s="422" t="s">
        <v>1092</v>
      </c>
      <c r="D117" s="422" t="s">
        <v>1093</v>
      </c>
      <c r="E117" s="422" t="s">
        <v>62</v>
      </c>
      <c r="F117" s="422">
        <v>9</v>
      </c>
      <c r="G117" s="422">
        <v>1</v>
      </c>
      <c r="H117" s="422">
        <v>1</v>
      </c>
      <c r="I117" s="422" t="s">
        <v>147</v>
      </c>
    </row>
    <row r="118" spans="1:9" x14ac:dyDescent="0.3">
      <c r="A118" s="421" t="s">
        <v>1022</v>
      </c>
      <c r="B118" s="422">
        <v>0</v>
      </c>
      <c r="C118" s="422" t="s">
        <v>1092</v>
      </c>
      <c r="D118" s="422" t="s">
        <v>1093</v>
      </c>
      <c r="E118" s="422" t="s">
        <v>63</v>
      </c>
      <c r="F118" s="422">
        <v>9</v>
      </c>
      <c r="G118" s="422">
        <v>1</v>
      </c>
      <c r="H118" s="422">
        <v>1</v>
      </c>
      <c r="I118" s="422" t="s">
        <v>147</v>
      </c>
    </row>
    <row r="119" spans="1:9" x14ac:dyDescent="0.3">
      <c r="A119" s="421" t="s">
        <v>1023</v>
      </c>
      <c r="B119" s="422">
        <v>0</v>
      </c>
      <c r="C119" s="422" t="s">
        <v>1092</v>
      </c>
      <c r="D119" s="422" t="s">
        <v>1093</v>
      </c>
      <c r="E119" s="422" t="s">
        <v>64</v>
      </c>
      <c r="F119" s="422">
        <v>9</v>
      </c>
      <c r="G119" s="422">
        <v>1</v>
      </c>
      <c r="H119" s="422">
        <v>1</v>
      </c>
      <c r="I119" s="422" t="s">
        <v>147</v>
      </c>
    </row>
    <row r="120" spans="1:9" x14ac:dyDescent="0.3">
      <c r="A120" s="421" t="s">
        <v>1024</v>
      </c>
      <c r="B120" s="422">
        <v>0</v>
      </c>
      <c r="C120" s="422" t="s">
        <v>1092</v>
      </c>
      <c r="D120" s="422" t="s">
        <v>1093</v>
      </c>
      <c r="E120" s="422" t="s">
        <v>65</v>
      </c>
      <c r="F120" s="422">
        <v>9</v>
      </c>
      <c r="G120" s="422">
        <v>1</v>
      </c>
      <c r="H120" s="422">
        <v>1</v>
      </c>
      <c r="I120" s="422" t="s">
        <v>147</v>
      </c>
    </row>
    <row r="121" spans="1:9" x14ac:dyDescent="0.3">
      <c r="A121" s="421" t="s">
        <v>1025</v>
      </c>
      <c r="B121" s="422">
        <v>0</v>
      </c>
      <c r="C121" s="422" t="s">
        <v>1092</v>
      </c>
      <c r="D121" s="422" t="s">
        <v>1093</v>
      </c>
      <c r="E121" s="422" t="s">
        <v>66</v>
      </c>
      <c r="F121" s="422">
        <v>9</v>
      </c>
      <c r="G121" s="422">
        <v>1</v>
      </c>
      <c r="H121" s="422">
        <v>1</v>
      </c>
      <c r="I121" s="422" t="s">
        <v>147</v>
      </c>
    </row>
    <row r="122" spans="1:9" x14ac:dyDescent="0.3">
      <c r="A122" s="421" t="s">
        <v>1026</v>
      </c>
      <c r="B122" s="422">
        <v>0</v>
      </c>
      <c r="C122" s="422" t="s">
        <v>1092</v>
      </c>
      <c r="D122" s="422" t="s">
        <v>1093</v>
      </c>
      <c r="E122" s="422" t="s">
        <v>67</v>
      </c>
      <c r="F122" s="422">
        <v>9</v>
      </c>
      <c r="G122" s="422">
        <v>1</v>
      </c>
      <c r="H122" s="422">
        <v>1</v>
      </c>
      <c r="I122" s="422" t="s">
        <v>147</v>
      </c>
    </row>
    <row r="123" spans="1:9" x14ac:dyDescent="0.3">
      <c r="A123" s="421" t="s">
        <v>1027</v>
      </c>
      <c r="B123" s="422">
        <v>0</v>
      </c>
      <c r="C123" s="422" t="s">
        <v>1092</v>
      </c>
      <c r="D123" s="422" t="s">
        <v>1093</v>
      </c>
      <c r="E123" s="422" t="s">
        <v>68</v>
      </c>
      <c r="F123" s="422">
        <v>9</v>
      </c>
      <c r="G123" s="422">
        <v>1</v>
      </c>
      <c r="H123" s="422">
        <v>1</v>
      </c>
      <c r="I123" s="422" t="s">
        <v>147</v>
      </c>
    </row>
    <row r="124" spans="1:9" x14ac:dyDescent="0.3">
      <c r="A124" s="421" t="s">
        <v>1028</v>
      </c>
      <c r="B124" s="422">
        <v>0</v>
      </c>
      <c r="C124" s="422" t="s">
        <v>1092</v>
      </c>
      <c r="D124" s="422" t="s">
        <v>1093</v>
      </c>
      <c r="E124" s="422" t="s">
        <v>69</v>
      </c>
      <c r="F124" s="422">
        <v>9</v>
      </c>
      <c r="G124" s="422">
        <v>1</v>
      </c>
      <c r="H124" s="422">
        <v>1</v>
      </c>
      <c r="I124" s="422" t="s">
        <v>147</v>
      </c>
    </row>
    <row r="125" spans="1:9" x14ac:dyDescent="0.3">
      <c r="A125" s="421" t="s">
        <v>1029</v>
      </c>
      <c r="B125" s="422">
        <v>9</v>
      </c>
      <c r="C125" s="422" t="s">
        <v>1092</v>
      </c>
      <c r="D125" s="422" t="s">
        <v>1093</v>
      </c>
      <c r="E125" s="422" t="s">
        <v>70</v>
      </c>
      <c r="F125" s="422">
        <v>9</v>
      </c>
      <c r="G125" s="422">
        <v>1</v>
      </c>
      <c r="H125" s="422">
        <v>1</v>
      </c>
      <c r="I125" s="422" t="s">
        <v>1099</v>
      </c>
    </row>
    <row r="126" spans="1:9" x14ac:dyDescent="0.3">
      <c r="A126" s="421" t="s">
        <v>1030</v>
      </c>
      <c r="B126" s="422">
        <v>0</v>
      </c>
      <c r="C126" s="422" t="s">
        <v>1092</v>
      </c>
      <c r="D126" s="422" t="s">
        <v>1093</v>
      </c>
      <c r="E126" s="422" t="s">
        <v>71</v>
      </c>
      <c r="F126" s="422">
        <v>9</v>
      </c>
      <c r="G126" s="422">
        <v>1</v>
      </c>
      <c r="H126" s="422">
        <v>1</v>
      </c>
      <c r="I126" s="422" t="s">
        <v>147</v>
      </c>
    </row>
    <row r="127" spans="1:9" x14ac:dyDescent="0.3">
      <c r="A127" s="421" t="s">
        <v>1031</v>
      </c>
      <c r="B127" s="422">
        <v>0</v>
      </c>
      <c r="C127" s="422" t="s">
        <v>1092</v>
      </c>
      <c r="D127" s="422" t="s">
        <v>1093</v>
      </c>
      <c r="E127" s="422" t="s">
        <v>72</v>
      </c>
      <c r="F127" s="422">
        <v>9</v>
      </c>
      <c r="G127" s="422">
        <v>1</v>
      </c>
      <c r="H127" s="422">
        <v>1</v>
      </c>
      <c r="I127" s="422" t="s">
        <v>147</v>
      </c>
    </row>
    <row r="128" spans="1:9" x14ac:dyDescent="0.3">
      <c r="A128" s="421" t="s">
        <v>1032</v>
      </c>
      <c r="B128" s="422">
        <v>0</v>
      </c>
      <c r="C128" s="422" t="s">
        <v>1092</v>
      </c>
      <c r="D128" s="422" t="s">
        <v>1093</v>
      </c>
      <c r="E128" s="422" t="s">
        <v>73</v>
      </c>
      <c r="F128" s="422">
        <v>9</v>
      </c>
      <c r="G128" s="422">
        <v>1</v>
      </c>
      <c r="H128" s="422">
        <v>1</v>
      </c>
      <c r="I128" s="422" t="s">
        <v>147</v>
      </c>
    </row>
    <row r="129" spans="1:9" x14ac:dyDescent="0.3">
      <c r="A129" s="421" t="s">
        <v>1033</v>
      </c>
      <c r="B129" s="422">
        <v>0</v>
      </c>
      <c r="C129" s="422" t="s">
        <v>1092</v>
      </c>
      <c r="D129" s="422" t="s">
        <v>1093</v>
      </c>
      <c r="E129" s="422" t="s">
        <v>74</v>
      </c>
      <c r="F129" s="422">
        <v>9</v>
      </c>
      <c r="G129" s="422">
        <v>1</v>
      </c>
      <c r="H129" s="422">
        <v>1</v>
      </c>
      <c r="I129" s="422" t="s">
        <v>147</v>
      </c>
    </row>
    <row r="130" spans="1:9" x14ac:dyDescent="0.3">
      <c r="A130" s="421" t="s">
        <v>1034</v>
      </c>
      <c r="B130" s="422">
        <v>0</v>
      </c>
      <c r="C130" s="422" t="s">
        <v>1092</v>
      </c>
      <c r="D130" s="422" t="s">
        <v>1093</v>
      </c>
      <c r="E130" s="422" t="s">
        <v>1094</v>
      </c>
      <c r="F130" s="422">
        <v>9</v>
      </c>
      <c r="G130" s="422">
        <v>1</v>
      </c>
      <c r="H130" s="422">
        <v>1</v>
      </c>
      <c r="I130" s="422" t="s">
        <v>147</v>
      </c>
    </row>
    <row r="131" spans="1:9" x14ac:dyDescent="0.3">
      <c r="A131" s="421" t="s">
        <v>1035</v>
      </c>
      <c r="B131" s="422">
        <v>0</v>
      </c>
      <c r="C131" s="422" t="s">
        <v>1092</v>
      </c>
      <c r="D131" s="422" t="s">
        <v>1093</v>
      </c>
      <c r="E131" s="422" t="s">
        <v>76</v>
      </c>
      <c r="F131" s="422">
        <v>9</v>
      </c>
      <c r="G131" s="422">
        <v>1</v>
      </c>
      <c r="H131" s="422">
        <v>1</v>
      </c>
      <c r="I131" s="422" t="s">
        <v>147</v>
      </c>
    </row>
    <row r="132" spans="1:9" x14ac:dyDescent="0.3">
      <c r="A132" s="421" t="s">
        <v>1036</v>
      </c>
      <c r="B132" s="422">
        <v>0</v>
      </c>
      <c r="C132" s="422" t="s">
        <v>1092</v>
      </c>
      <c r="D132" s="422" t="s">
        <v>1093</v>
      </c>
      <c r="E132" s="422" t="s">
        <v>77</v>
      </c>
      <c r="F132" s="422">
        <v>9</v>
      </c>
      <c r="G132" s="422">
        <v>1</v>
      </c>
      <c r="H132" s="422">
        <v>1</v>
      </c>
      <c r="I132" s="422" t="s">
        <v>147</v>
      </c>
    </row>
    <row r="133" spans="1:9" x14ac:dyDescent="0.3">
      <c r="A133" s="421" t="s">
        <v>1037</v>
      </c>
      <c r="B133" s="422">
        <v>0</v>
      </c>
      <c r="C133" s="422" t="s">
        <v>1092</v>
      </c>
      <c r="D133" s="422" t="s">
        <v>1093</v>
      </c>
      <c r="E133" s="422" t="s">
        <v>78</v>
      </c>
      <c r="F133" s="422">
        <v>9</v>
      </c>
      <c r="G133" s="422">
        <v>1</v>
      </c>
      <c r="H133" s="422">
        <v>1</v>
      </c>
      <c r="I133" s="422" t="s">
        <v>147</v>
      </c>
    </row>
    <row r="134" spans="1:9" x14ac:dyDescent="0.3">
      <c r="A134" s="421" t="s">
        <v>1038</v>
      </c>
      <c r="B134" s="422">
        <v>0</v>
      </c>
      <c r="C134" s="422" t="s">
        <v>1092</v>
      </c>
      <c r="D134" s="422" t="s">
        <v>1093</v>
      </c>
      <c r="E134" s="422" t="s">
        <v>79</v>
      </c>
      <c r="F134" s="422">
        <v>9</v>
      </c>
      <c r="G134" s="422">
        <v>1</v>
      </c>
      <c r="H134" s="422">
        <v>1</v>
      </c>
      <c r="I134" s="422" t="s">
        <v>147</v>
      </c>
    </row>
    <row r="135" spans="1:9" x14ac:dyDescent="0.3">
      <c r="A135" s="421" t="s">
        <v>1039</v>
      </c>
      <c r="B135" s="422">
        <v>0</v>
      </c>
      <c r="C135" s="422" t="s">
        <v>1092</v>
      </c>
      <c r="D135" s="422" t="s">
        <v>1093</v>
      </c>
      <c r="E135" s="422" t="s">
        <v>80</v>
      </c>
      <c r="F135" s="422">
        <v>9</v>
      </c>
      <c r="G135" s="422">
        <v>1</v>
      </c>
      <c r="H135" s="422">
        <v>1</v>
      </c>
      <c r="I135" s="422" t="s">
        <v>147</v>
      </c>
    </row>
    <row r="136" spans="1:9" x14ac:dyDescent="0.3">
      <c r="A136" s="421" t="s">
        <v>1040</v>
      </c>
      <c r="B136" s="422">
        <v>0</v>
      </c>
      <c r="C136" s="422" t="s">
        <v>1092</v>
      </c>
      <c r="D136" s="422" t="s">
        <v>1093</v>
      </c>
      <c r="E136" s="422" t="s">
        <v>81</v>
      </c>
      <c r="F136" s="422">
        <v>9</v>
      </c>
      <c r="G136" s="422">
        <v>1</v>
      </c>
      <c r="H136" s="422">
        <v>1</v>
      </c>
      <c r="I136" s="422" t="s">
        <v>147</v>
      </c>
    </row>
    <row r="137" spans="1:9" x14ac:dyDescent="0.3">
      <c r="A137" s="421" t="s">
        <v>1041</v>
      </c>
      <c r="B137" s="422">
        <v>0</v>
      </c>
      <c r="C137" s="422" t="s">
        <v>1092</v>
      </c>
      <c r="D137" s="422" t="s">
        <v>1093</v>
      </c>
      <c r="E137" s="422" t="s">
        <v>82</v>
      </c>
      <c r="F137" s="422">
        <v>9</v>
      </c>
      <c r="G137" s="422">
        <v>1</v>
      </c>
      <c r="H137" s="422">
        <v>1</v>
      </c>
      <c r="I137" s="422" t="s">
        <v>147</v>
      </c>
    </row>
    <row r="138" spans="1:9" x14ac:dyDescent="0.3">
      <c r="A138" s="421" t="s">
        <v>1042</v>
      </c>
      <c r="B138" s="422">
        <v>2</v>
      </c>
      <c r="C138" s="422" t="s">
        <v>1092</v>
      </c>
      <c r="D138" s="422" t="s">
        <v>1093</v>
      </c>
      <c r="E138" s="422" t="s">
        <v>83</v>
      </c>
      <c r="F138" s="422">
        <v>9</v>
      </c>
      <c r="G138" s="422">
        <v>1</v>
      </c>
      <c r="H138" s="422">
        <v>0</v>
      </c>
      <c r="I138" s="422" t="s">
        <v>801</v>
      </c>
    </row>
    <row r="139" spans="1:9" x14ac:dyDescent="0.3">
      <c r="A139" s="421" t="s">
        <v>1043</v>
      </c>
      <c r="B139" s="422">
        <v>0</v>
      </c>
      <c r="C139" s="422" t="s">
        <v>1092</v>
      </c>
      <c r="D139" s="422" t="s">
        <v>1093</v>
      </c>
      <c r="E139" s="422" t="s">
        <v>84</v>
      </c>
      <c r="F139" s="422">
        <v>9</v>
      </c>
      <c r="G139" s="422">
        <v>1</v>
      </c>
      <c r="H139" s="422">
        <v>0</v>
      </c>
      <c r="I139" s="422" t="s">
        <v>801</v>
      </c>
    </row>
    <row r="140" spans="1:9" x14ac:dyDescent="0.3">
      <c r="A140" s="421" t="s">
        <v>1044</v>
      </c>
      <c r="B140" s="422">
        <v>2</v>
      </c>
      <c r="C140" s="422" t="s">
        <v>1092</v>
      </c>
      <c r="D140" s="422" t="s">
        <v>1093</v>
      </c>
      <c r="E140" s="422" t="s">
        <v>85</v>
      </c>
      <c r="F140" s="422">
        <v>9</v>
      </c>
      <c r="G140" s="422">
        <v>1</v>
      </c>
      <c r="H140" s="422">
        <v>0</v>
      </c>
      <c r="I140" s="422" t="s">
        <v>801</v>
      </c>
    </row>
    <row r="141" spans="1:9" x14ac:dyDescent="0.3">
      <c r="A141" s="421" t="s">
        <v>1045</v>
      </c>
      <c r="B141" s="422">
        <v>0</v>
      </c>
      <c r="C141" s="422" t="s">
        <v>1092</v>
      </c>
      <c r="D141" s="422" t="s">
        <v>1093</v>
      </c>
      <c r="E141" s="422" t="s">
        <v>86</v>
      </c>
      <c r="F141" s="422">
        <v>9</v>
      </c>
      <c r="G141" s="422">
        <v>1</v>
      </c>
      <c r="H141" s="422">
        <v>1</v>
      </c>
      <c r="I141" s="422" t="s">
        <v>147</v>
      </c>
    </row>
    <row r="142" spans="1:9" x14ac:dyDescent="0.3">
      <c r="A142" s="421" t="s">
        <v>1046</v>
      </c>
      <c r="B142" s="422">
        <v>0</v>
      </c>
      <c r="C142" s="422" t="s">
        <v>1092</v>
      </c>
      <c r="D142" s="422" t="s">
        <v>1093</v>
      </c>
      <c r="E142" s="422" t="s">
        <v>87</v>
      </c>
      <c r="F142" s="422">
        <v>9</v>
      </c>
      <c r="G142" s="422">
        <v>1</v>
      </c>
      <c r="H142" s="422">
        <v>1</v>
      </c>
      <c r="I142" s="422" t="s">
        <v>147</v>
      </c>
    </row>
    <row r="143" spans="1:9" x14ac:dyDescent="0.3">
      <c r="A143" s="421" t="s">
        <v>1047</v>
      </c>
      <c r="B143" s="422">
        <v>0</v>
      </c>
      <c r="C143" s="422" t="s">
        <v>1092</v>
      </c>
      <c r="D143" s="422" t="s">
        <v>1093</v>
      </c>
      <c r="E143" s="422" t="s">
        <v>88</v>
      </c>
      <c r="F143" s="422">
        <v>9</v>
      </c>
      <c r="G143" s="422">
        <v>1</v>
      </c>
      <c r="H143" s="422">
        <v>1</v>
      </c>
      <c r="I143" s="422" t="s">
        <v>147</v>
      </c>
    </row>
    <row r="144" spans="1:9" x14ac:dyDescent="0.3">
      <c r="A144" s="421" t="s">
        <v>1048</v>
      </c>
      <c r="B144" s="422">
        <v>0</v>
      </c>
      <c r="C144" s="422" t="s">
        <v>1092</v>
      </c>
      <c r="D144" s="422" t="s">
        <v>1093</v>
      </c>
      <c r="E144" s="422" t="s">
        <v>89</v>
      </c>
      <c r="F144" s="422">
        <v>9</v>
      </c>
      <c r="G144" s="422">
        <v>1</v>
      </c>
      <c r="H144" s="422">
        <v>1</v>
      </c>
      <c r="I144" s="422" t="s">
        <v>147</v>
      </c>
    </row>
    <row r="145" spans="1:9" x14ac:dyDescent="0.3">
      <c r="A145" s="421" t="s">
        <v>1049</v>
      </c>
      <c r="B145" s="422">
        <v>0</v>
      </c>
      <c r="C145" s="422" t="s">
        <v>1092</v>
      </c>
      <c r="D145" s="422" t="s">
        <v>1093</v>
      </c>
      <c r="E145" s="422" t="s">
        <v>90</v>
      </c>
      <c r="F145" s="422">
        <v>9</v>
      </c>
      <c r="G145" s="422">
        <v>1</v>
      </c>
      <c r="H145" s="422">
        <v>1</v>
      </c>
      <c r="I145" s="422" t="s">
        <v>147</v>
      </c>
    </row>
    <row r="146" spans="1:9" x14ac:dyDescent="0.3">
      <c r="A146" s="421" t="s">
        <v>1050</v>
      </c>
      <c r="B146" s="422">
        <v>0</v>
      </c>
      <c r="C146" s="422" t="s">
        <v>1092</v>
      </c>
      <c r="D146" s="422" t="s">
        <v>1093</v>
      </c>
      <c r="E146" s="422" t="s">
        <v>91</v>
      </c>
      <c r="F146" s="422">
        <v>9</v>
      </c>
      <c r="G146" s="422">
        <v>1</v>
      </c>
      <c r="H146" s="422">
        <v>1</v>
      </c>
      <c r="I146" s="422" t="s">
        <v>147</v>
      </c>
    </row>
    <row r="147" spans="1:9" x14ac:dyDescent="0.3">
      <c r="A147" s="421" t="s">
        <v>1051</v>
      </c>
      <c r="B147" s="422">
        <v>0</v>
      </c>
      <c r="C147" s="422" t="s">
        <v>1092</v>
      </c>
      <c r="D147" s="422" t="s">
        <v>1093</v>
      </c>
      <c r="E147" s="422" t="s">
        <v>92</v>
      </c>
      <c r="F147" s="422">
        <v>9</v>
      </c>
      <c r="G147" s="422">
        <v>1</v>
      </c>
      <c r="H147" s="422">
        <v>0</v>
      </c>
      <c r="I147" s="422" t="s">
        <v>801</v>
      </c>
    </row>
    <row r="148" spans="1:9" x14ac:dyDescent="0.3">
      <c r="A148" s="421" t="s">
        <v>1052</v>
      </c>
      <c r="B148" s="422">
        <v>9</v>
      </c>
      <c r="C148" s="422" t="s">
        <v>1092</v>
      </c>
      <c r="D148" s="422" t="s">
        <v>1093</v>
      </c>
      <c r="E148" s="422" t="s">
        <v>93</v>
      </c>
      <c r="F148" s="422">
        <v>9</v>
      </c>
      <c r="G148" s="422">
        <v>1</v>
      </c>
      <c r="H148" s="422">
        <v>0</v>
      </c>
      <c r="I148" s="422" t="s">
        <v>801</v>
      </c>
    </row>
    <row r="149" spans="1:9" x14ac:dyDescent="0.3">
      <c r="A149" s="421" t="s">
        <v>1053</v>
      </c>
      <c r="B149" s="422">
        <v>0</v>
      </c>
      <c r="C149" s="422" t="s">
        <v>1092</v>
      </c>
      <c r="D149" s="422" t="s">
        <v>1093</v>
      </c>
      <c r="E149" s="422" t="s">
        <v>94</v>
      </c>
      <c r="F149" s="422">
        <v>9</v>
      </c>
      <c r="G149" s="422">
        <v>1</v>
      </c>
      <c r="H149" s="422">
        <v>1</v>
      </c>
      <c r="I149" s="422" t="s">
        <v>147</v>
      </c>
    </row>
    <row r="150" spans="1:9" x14ac:dyDescent="0.3">
      <c r="A150" s="421" t="s">
        <v>1054</v>
      </c>
      <c r="B150" s="422">
        <v>9</v>
      </c>
      <c r="C150" s="422" t="s">
        <v>1092</v>
      </c>
      <c r="D150" s="422" t="s">
        <v>1093</v>
      </c>
      <c r="E150" s="422" t="s">
        <v>95</v>
      </c>
      <c r="F150" s="422">
        <v>9</v>
      </c>
      <c r="G150" s="422">
        <v>1</v>
      </c>
      <c r="H150" s="422">
        <v>1</v>
      </c>
      <c r="I150" s="422" t="s">
        <v>1099</v>
      </c>
    </row>
    <row r="151" spans="1:9" x14ac:dyDescent="0.3">
      <c r="A151" s="421" t="s">
        <v>1055</v>
      </c>
      <c r="B151" s="422">
        <v>0</v>
      </c>
      <c r="C151" s="422" t="s">
        <v>1092</v>
      </c>
      <c r="D151" s="422" t="s">
        <v>1093</v>
      </c>
      <c r="E151" s="422" t="s">
        <v>96</v>
      </c>
      <c r="F151" s="422">
        <v>9</v>
      </c>
      <c r="G151" s="422">
        <v>1</v>
      </c>
      <c r="H151" s="422">
        <v>1</v>
      </c>
      <c r="I151" s="422" t="s">
        <v>147</v>
      </c>
    </row>
    <row r="152" spans="1:9" x14ac:dyDescent="0.3">
      <c r="A152" s="421" t="s">
        <v>1056</v>
      </c>
      <c r="B152" s="422">
        <v>0</v>
      </c>
      <c r="C152" s="422" t="s">
        <v>1092</v>
      </c>
      <c r="D152" s="422" t="s">
        <v>1093</v>
      </c>
      <c r="E152" s="422" t="s">
        <v>97</v>
      </c>
      <c r="F152" s="422">
        <v>9</v>
      </c>
      <c r="G152" s="422">
        <v>1</v>
      </c>
      <c r="H152" s="422">
        <v>1</v>
      </c>
      <c r="I152" s="422" t="s">
        <v>147</v>
      </c>
    </row>
    <row r="153" spans="1:9" x14ac:dyDescent="0.3">
      <c r="A153" s="421" t="s">
        <v>1076</v>
      </c>
      <c r="B153" s="422">
        <v>9999</v>
      </c>
      <c r="C153" s="422" t="s">
        <v>1095</v>
      </c>
      <c r="D153" s="422" t="s">
        <v>1096</v>
      </c>
      <c r="E153" s="422" t="s">
        <v>96</v>
      </c>
      <c r="F153" s="422">
        <v>8</v>
      </c>
      <c r="G153" s="422">
        <v>1</v>
      </c>
      <c r="H153" s="422">
        <v>1</v>
      </c>
      <c r="I153" s="422" t="s">
        <v>1105</v>
      </c>
    </row>
    <row r="154" spans="1:9" x14ac:dyDescent="0.3">
      <c r="A154" s="421" t="s">
        <v>1077</v>
      </c>
      <c r="B154" s="422">
        <v>9999</v>
      </c>
      <c r="C154" s="422" t="s">
        <v>1095</v>
      </c>
      <c r="D154" s="422" t="s">
        <v>1096</v>
      </c>
      <c r="E154" s="422" t="s">
        <v>97</v>
      </c>
      <c r="F154" s="422">
        <v>8</v>
      </c>
      <c r="G154" s="422">
        <v>1</v>
      </c>
      <c r="H154" s="422">
        <v>1</v>
      </c>
      <c r="I154" s="422" t="s">
        <v>1105</v>
      </c>
    </row>
    <row r="155" spans="1:9" x14ac:dyDescent="0.3">
      <c r="A155" s="421" t="s">
        <v>1078</v>
      </c>
      <c r="B155" s="422">
        <v>9999</v>
      </c>
      <c r="C155" s="422" t="s">
        <v>1097</v>
      </c>
      <c r="D155" s="422" t="s">
        <v>1096</v>
      </c>
      <c r="E155" s="422" t="s">
        <v>38</v>
      </c>
      <c r="F155" s="422">
        <v>8</v>
      </c>
      <c r="G155" s="422">
        <v>1</v>
      </c>
      <c r="H155" s="422">
        <v>0</v>
      </c>
      <c r="I155" s="422" t="s">
        <v>1105</v>
      </c>
    </row>
    <row r="156" spans="1:9" x14ac:dyDescent="0.3">
      <c r="A156" s="421" t="s">
        <v>1079</v>
      </c>
      <c r="B156" s="422">
        <v>9999</v>
      </c>
      <c r="C156" s="422" t="s">
        <v>1097</v>
      </c>
      <c r="D156" s="422" t="s">
        <v>1096</v>
      </c>
      <c r="E156" s="422" t="s">
        <v>40</v>
      </c>
      <c r="F156" s="422">
        <v>8</v>
      </c>
      <c r="G156" s="422">
        <v>1</v>
      </c>
      <c r="H156" s="422">
        <v>1</v>
      </c>
      <c r="I156" s="422" t="s">
        <v>1105</v>
      </c>
    </row>
    <row r="157" spans="1:9" x14ac:dyDescent="0.3">
      <c r="A157" s="421" t="s">
        <v>1080</v>
      </c>
      <c r="B157" s="422">
        <v>9999</v>
      </c>
      <c r="C157" s="422" t="s">
        <v>1097</v>
      </c>
      <c r="D157" s="422" t="s">
        <v>1096</v>
      </c>
      <c r="E157" s="422" t="s">
        <v>41</v>
      </c>
      <c r="F157" s="422">
        <v>8</v>
      </c>
      <c r="G157" s="422">
        <v>1</v>
      </c>
      <c r="H157" s="422">
        <v>1</v>
      </c>
      <c r="I157" s="422" t="s">
        <v>1105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9BBD36F6-DEAC-41CE-9274-E7C895D8BBF9}">
  <ds:schemaRefs>
    <ds:schemaRef ds:uri="http://schemas.microsoft.com/sharepoint/v3/contenttype/forms"/>
  </ds:schemaRefs>
</ds:datastoreItem>
</file>

<file path=customXml/itemProps2.xml><?xml version="1.0" encoding="utf-8"?>
<ds:datastoreItem xmlns:ds="http://schemas.openxmlformats.org/officeDocument/2006/customXml" ds:itemID="{C04B84BE-1876-42F9-B0A0-765836CC5AAD}">
  <ds:schemaRef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purl.org/dc/terms/"/>
    <ds:schemaRef ds:uri="7545f690-6b1a-47a0-8a59-c1ef886048cc"/>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0408E398-0E43-480C-AFB5-6225E20A3A90}"/>
</file>

<file path=customXml/itemProps4.xml><?xml version="1.0" encoding="utf-8"?>
<ds:datastoreItem xmlns:ds="http://schemas.openxmlformats.org/officeDocument/2006/customXml" ds:itemID="{9F972E2D-CB3D-4406-8841-1BD1C20980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Status Resumo</vt:lpstr>
      <vt:lpstr>2. Status Detalhe Campos</vt:lpstr>
      <vt:lpstr>Aux</vt:lpstr>
      <vt:lpstr>3. Status Testes</vt:lpstr>
      <vt:lpstr>Detalhe Especificação -&gt;</vt:lpstr>
      <vt:lpstr>B02.00</vt:lpstr>
      <vt:lpstr>B05.00</vt:lpstr>
      <vt:lpstr>B90.00</vt:lpstr>
      <vt:lpstr>INPUTS -&gt;</vt:lpstr>
      <vt:lpstr>Controlos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João Guilherme Beno Jardim</cp:lastModifiedBy>
  <dcterms:created xsi:type="dcterms:W3CDTF">2015-06-05T18:17:20Z</dcterms:created>
  <dcterms:modified xsi:type="dcterms:W3CDTF">2025-11-17T10:26:23Z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