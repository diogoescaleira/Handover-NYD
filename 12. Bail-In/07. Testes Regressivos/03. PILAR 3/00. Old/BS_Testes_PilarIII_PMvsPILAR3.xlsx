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6. Código/Pilar 3/06. Testes Regressivos (entrada em produção)/"/>
    </mc:Choice>
  </mc:AlternateContent>
  <xr:revisionPtr revIDLastSave="1" documentId="11_F0CCE639D482B4711C1DA22B133C36FD0BBB939A" xr6:coauthVersionLast="47" xr6:coauthVersionMax="47" xr10:uidLastSave="{6F082EEB-E0B3-4444-B48A-1A847C5C26D5}"/>
  <bookViews>
    <workbookView xWindow="-120" yWindow="-120" windowWidth="29040" windowHeight="15720" firstSheet="1" activeTab="1" xr2:uid="{00000000-000D-0000-FFFF-FFFF00000000}"/>
  </bookViews>
  <sheets>
    <sheet name="0. Instruções" sheetId="5" r:id="rId1"/>
    <sheet name="1. Status" sheetId="7" r:id="rId2"/>
    <sheet name="2. Script " sheetId="4" r:id="rId3"/>
    <sheet name="3. Resultados &gt;&gt;" sheetId="11" r:id="rId4"/>
    <sheet name="ID1&amp;5" sheetId="8" r:id="rId5"/>
    <sheet name="ID6&amp;7" sheetId="10" r:id="rId6"/>
    <sheet name="4. Incidências &gt;&gt; " sheetId="13" r:id="rId7"/>
    <sheet name="ID1" sheetId="14" r:id="rId8"/>
    <sheet name="Input_GF" sheetId="16" r:id="rId9"/>
    <sheet name="Campos" sheetId="20" r:id="rId10"/>
    <sheet name="ANL_CAMPOS_PDS" sheetId="17" r:id="rId11"/>
  </sheets>
  <definedNames>
    <definedName name="_xlnm._FilterDatabase" localSheetId="1" hidden="1">'1. Status'!$A$10:$AS$63</definedName>
    <definedName name="_xlnm._FilterDatabase" localSheetId="2" hidden="1">'2. Script '!$B$8:$M$106</definedName>
    <definedName name="_xlnm._FilterDatabase" localSheetId="10" hidden="1">ANL_CAMPOS_PDS!$B$2:$M$324</definedName>
    <definedName name="_xlnm._FilterDatabase" localSheetId="9" hidden="1">Campos!$K$4:$N$68</definedName>
    <definedName name="_xlnm._FilterDatabase" localSheetId="4" hidden="1">'ID1&amp;5'!$A$8:$L$146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4" i="17" l="1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9" i="17"/>
  <c r="E168" i="17"/>
  <c r="E167" i="17"/>
  <c r="E166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52" i="17"/>
  <c r="E151" i="17"/>
  <c r="E150" i="17"/>
  <c r="E149" i="17"/>
  <c r="E148" i="17"/>
  <c r="E147" i="17"/>
  <c r="E146" i="17"/>
  <c r="E145" i="17"/>
  <c r="E144" i="17"/>
  <c r="E143" i="17"/>
  <c r="E142" i="17"/>
  <c r="E141" i="17"/>
  <c r="E140" i="17"/>
  <c r="E139" i="17"/>
  <c r="E138" i="17"/>
  <c r="E137" i="17"/>
  <c r="E136" i="17"/>
  <c r="E135" i="17"/>
  <c r="E134" i="17"/>
  <c r="E133" i="17"/>
  <c r="E132" i="17"/>
  <c r="E131" i="17"/>
  <c r="E130" i="17"/>
  <c r="E129" i="17"/>
  <c r="E128" i="17"/>
  <c r="E127" i="17"/>
  <c r="E126" i="17"/>
  <c r="E125" i="17"/>
  <c r="E124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111" i="17"/>
  <c r="E110" i="17"/>
  <c r="E109" i="17"/>
  <c r="E108" i="17"/>
  <c r="E107" i="17"/>
  <c r="E106" i="17"/>
  <c r="E105" i="17"/>
  <c r="E104" i="17"/>
  <c r="E103" i="17"/>
  <c r="E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E80" i="17"/>
  <c r="E79" i="17"/>
  <c r="E78" i="17"/>
  <c r="E77" i="17"/>
  <c r="E76" i="17"/>
  <c r="E75" i="17"/>
  <c r="E74" i="17"/>
  <c r="E73" i="17"/>
  <c r="E72" i="17"/>
  <c r="E71" i="17"/>
  <c r="E70" i="17"/>
  <c r="E69" i="17"/>
  <c r="E68" i="17"/>
  <c r="E67" i="17"/>
  <c r="E66" i="17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J5" i="20"/>
  <c r="N46" i="20" l="1"/>
  <c r="N56" i="20"/>
  <c r="N61" i="20"/>
  <c r="N64" i="20"/>
  <c r="N54" i="20"/>
  <c r="N62" i="20"/>
  <c r="N55" i="20"/>
  <c r="N63" i="20"/>
  <c r="N57" i="20"/>
  <c r="N65" i="20"/>
  <c r="N58" i="20"/>
  <c r="N66" i="20"/>
  <c r="N59" i="20"/>
  <c r="N67" i="20"/>
  <c r="N60" i="20"/>
  <c r="N68" i="20"/>
  <c r="N5" i="20"/>
  <c r="N14" i="20"/>
  <c r="N22" i="20"/>
  <c r="N30" i="20"/>
  <c r="N38" i="20"/>
  <c r="N13" i="20"/>
  <c r="N21" i="20"/>
  <c r="N29" i="20"/>
  <c r="N37" i="20"/>
  <c r="N45" i="20"/>
  <c r="N53" i="20"/>
  <c r="N6" i="20"/>
  <c r="N15" i="20"/>
  <c r="N23" i="20"/>
  <c r="N31" i="20"/>
  <c r="N39" i="20"/>
  <c r="N47" i="20"/>
  <c r="N8" i="20"/>
  <c r="N16" i="20"/>
  <c r="N24" i="20"/>
  <c r="N32" i="20"/>
  <c r="N40" i="20"/>
  <c r="N48" i="20"/>
  <c r="N9" i="20"/>
  <c r="N17" i="20"/>
  <c r="N25" i="20"/>
  <c r="N33" i="20"/>
  <c r="N41" i="20"/>
  <c r="N49" i="20"/>
  <c r="N10" i="20"/>
  <c r="N18" i="20"/>
  <c r="N26" i="20"/>
  <c r="N34" i="20"/>
  <c r="N42" i="20"/>
  <c r="N50" i="20"/>
  <c r="N11" i="20"/>
  <c r="N19" i="20"/>
  <c r="N27" i="20"/>
  <c r="N35" i="20"/>
  <c r="N43" i="20"/>
  <c r="N51" i="20"/>
  <c r="N12" i="20"/>
  <c r="N20" i="20"/>
  <c r="N28" i="20"/>
  <c r="N36" i="20"/>
  <c r="N44" i="20"/>
  <c r="N52" i="20"/>
  <c r="N7" i="20"/>
  <c r="A63" i="7" l="1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D43" i="5"/>
  <c r="M25" i="17" l="1"/>
  <c r="M184" i="17"/>
  <c r="M183" i="17"/>
  <c r="M182" i="17"/>
  <c r="M181" i="17"/>
  <c r="M180" i="17"/>
  <c r="M179" i="17"/>
  <c r="M178" i="17"/>
  <c r="M177" i="17"/>
  <c r="M176" i="17"/>
  <c r="M175" i="17"/>
  <c r="M174" i="17"/>
  <c r="M173" i="17"/>
  <c r="M172" i="17"/>
  <c r="M171" i="17"/>
  <c r="M170" i="17"/>
  <c r="M169" i="17"/>
  <c r="M168" i="17"/>
  <c r="M167" i="17"/>
  <c r="M166" i="17"/>
  <c r="M165" i="17"/>
  <c r="M164" i="17"/>
  <c r="M163" i="17"/>
  <c r="M162" i="17"/>
  <c r="M161" i="17"/>
  <c r="M160" i="17"/>
  <c r="M159" i="17"/>
  <c r="M158" i="17"/>
  <c r="M157" i="17"/>
  <c r="M156" i="17"/>
  <c r="M155" i="17"/>
  <c r="M154" i="17"/>
  <c r="M153" i="17"/>
  <c r="M152" i="17"/>
  <c r="M151" i="17"/>
  <c r="M150" i="17"/>
  <c r="M149" i="17"/>
  <c r="M148" i="17"/>
  <c r="M147" i="17"/>
  <c r="M146" i="17"/>
  <c r="M145" i="17"/>
  <c r="M144" i="17"/>
  <c r="M143" i="17"/>
  <c r="M142" i="17"/>
  <c r="M141" i="17"/>
  <c r="M140" i="17"/>
  <c r="M139" i="17"/>
  <c r="M138" i="17"/>
  <c r="M137" i="17"/>
  <c r="M136" i="17"/>
  <c r="M135" i="17"/>
  <c r="M134" i="17"/>
  <c r="M133" i="17"/>
  <c r="M132" i="17"/>
  <c r="M131" i="17"/>
  <c r="M130" i="17"/>
  <c r="M129" i="17"/>
  <c r="M128" i="17"/>
  <c r="M127" i="17"/>
  <c r="M126" i="17"/>
  <c r="M125" i="17"/>
  <c r="M124" i="17"/>
  <c r="M123" i="17"/>
  <c r="M122" i="17"/>
  <c r="M121" i="17"/>
  <c r="M120" i="17"/>
  <c r="M119" i="17"/>
  <c r="M118" i="17"/>
  <c r="M117" i="17"/>
  <c r="M116" i="17"/>
  <c r="M115" i="17"/>
  <c r="M114" i="17"/>
  <c r="M113" i="17"/>
  <c r="M112" i="17"/>
  <c r="M111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97" i="17"/>
  <c r="M96" i="17"/>
  <c r="M95" i="17"/>
  <c r="M94" i="17"/>
  <c r="M93" i="17"/>
  <c r="M92" i="17"/>
  <c r="M91" i="17"/>
  <c r="M90" i="17"/>
  <c r="M89" i="17"/>
  <c r="M88" i="17"/>
  <c r="M87" i="17"/>
  <c r="M86" i="17"/>
  <c r="M85" i="17"/>
  <c r="M84" i="17"/>
  <c r="M83" i="17"/>
  <c r="M82" i="17"/>
  <c r="M81" i="17"/>
  <c r="M80" i="17"/>
  <c r="M79" i="17"/>
  <c r="M78" i="17"/>
  <c r="M77" i="17"/>
  <c r="M76" i="17"/>
  <c r="M75" i="17"/>
  <c r="M74" i="17"/>
  <c r="M73" i="17"/>
  <c r="M72" i="17"/>
  <c r="M71" i="17"/>
  <c r="M70" i="17"/>
  <c r="M69" i="17"/>
  <c r="M68" i="17"/>
  <c r="M67" i="17"/>
  <c r="M66" i="17"/>
  <c r="M65" i="17"/>
  <c r="M64" i="17"/>
  <c r="M63" i="17"/>
  <c r="M62" i="17"/>
  <c r="M61" i="17"/>
  <c r="M60" i="17"/>
  <c r="M59" i="17"/>
  <c r="M58" i="17"/>
  <c r="M57" i="17"/>
  <c r="M56" i="17"/>
  <c r="M55" i="17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3" i="17"/>
  <c r="A56" i="4" l="1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M19" i="20" l="1"/>
  <c r="M12" i="20"/>
  <c r="M32" i="20"/>
  <c r="M11" i="20"/>
  <c r="M62" i="20"/>
  <c r="M47" i="20"/>
  <c r="M25" i="20"/>
  <c r="M10" i="20"/>
  <c r="M18" i="20"/>
  <c r="M26" i="20"/>
  <c r="M49" i="20"/>
  <c r="M37" i="20"/>
  <c r="M57" i="20"/>
  <c r="M65" i="20"/>
  <c r="M24" i="20"/>
  <c r="M39" i="20"/>
  <c r="M27" i="20"/>
  <c r="M20" i="20"/>
  <c r="M13" i="20"/>
  <c r="M6" i="20"/>
  <c r="M40" i="20"/>
  <c r="M55" i="20"/>
  <c r="M33" i="20"/>
  <c r="M41" i="20"/>
  <c r="M64" i="20"/>
  <c r="M44" i="20"/>
  <c r="M30" i="20"/>
  <c r="M42" i="20"/>
  <c r="M46" i="20"/>
  <c r="M68" i="20"/>
  <c r="M56" i="20"/>
  <c r="M35" i="20"/>
  <c r="M28" i="20"/>
  <c r="M21" i="20"/>
  <c r="M14" i="20"/>
  <c r="M5" i="20"/>
  <c r="M63" i="20"/>
  <c r="M51" i="20"/>
  <c r="M15" i="20"/>
  <c r="M23" i="20"/>
  <c r="M31" i="20"/>
  <c r="M54" i="20"/>
  <c r="M43" i="20"/>
  <c r="M36" i="20"/>
  <c r="M29" i="20"/>
  <c r="M22" i="20"/>
  <c r="M7" i="20"/>
  <c r="M34" i="20"/>
  <c r="M16" i="20"/>
  <c r="M48" i="20"/>
  <c r="M9" i="20"/>
  <c r="M61" i="20"/>
  <c r="M59" i="20"/>
  <c r="M52" i="20"/>
  <c r="M45" i="20"/>
  <c r="M38" i="20"/>
  <c r="M50" i="20"/>
  <c r="M8" i="20"/>
  <c r="M66" i="20"/>
  <c r="M67" i="20"/>
  <c r="M60" i="20"/>
  <c r="M53" i="20"/>
  <c r="M58" i="20"/>
  <c r="M17" i="20"/>
  <c r="L184" i="17"/>
  <c r="L176" i="17"/>
  <c r="L168" i="17"/>
  <c r="L160" i="17"/>
  <c r="L152" i="17"/>
  <c r="L144" i="17"/>
  <c r="L136" i="17"/>
  <c r="L128" i="17"/>
  <c r="L120" i="17"/>
  <c r="L112" i="17"/>
  <c r="L104" i="17"/>
  <c r="L96" i="17"/>
  <c r="L88" i="17"/>
  <c r="L80" i="17"/>
  <c r="L72" i="17"/>
  <c r="L64" i="17"/>
  <c r="L56" i="17"/>
  <c r="L48" i="17"/>
  <c r="L40" i="17"/>
  <c r="L32" i="17"/>
  <c r="L24" i="17"/>
  <c r="L16" i="17"/>
  <c r="L8" i="17"/>
  <c r="L55" i="17"/>
  <c r="L39" i="17"/>
  <c r="L23" i="17"/>
  <c r="L7" i="17"/>
  <c r="L73" i="17"/>
  <c r="L17" i="17"/>
  <c r="L183" i="17"/>
  <c r="L175" i="17"/>
  <c r="L167" i="17"/>
  <c r="L159" i="17"/>
  <c r="L151" i="17"/>
  <c r="L143" i="17"/>
  <c r="L135" i="17"/>
  <c r="L127" i="17"/>
  <c r="L119" i="17"/>
  <c r="L111" i="17"/>
  <c r="L103" i="17"/>
  <c r="L95" i="17"/>
  <c r="L87" i="17"/>
  <c r="L79" i="17"/>
  <c r="L71" i="17"/>
  <c r="L63" i="17"/>
  <c r="L47" i="17"/>
  <c r="L31" i="17"/>
  <c r="L15" i="17"/>
  <c r="L81" i="17"/>
  <c r="L33" i="17"/>
  <c r="L182" i="17"/>
  <c r="L174" i="17"/>
  <c r="L166" i="17"/>
  <c r="L158" i="17"/>
  <c r="L150" i="17"/>
  <c r="L142" i="17"/>
  <c r="L134" i="17"/>
  <c r="L126" i="17"/>
  <c r="L118" i="17"/>
  <c r="L110" i="17"/>
  <c r="L102" i="17"/>
  <c r="L94" i="17"/>
  <c r="L86" i="17"/>
  <c r="L78" i="17"/>
  <c r="L70" i="17"/>
  <c r="L62" i="17"/>
  <c r="L54" i="17"/>
  <c r="L46" i="17"/>
  <c r="L38" i="17"/>
  <c r="L30" i="17"/>
  <c r="L22" i="17"/>
  <c r="L14" i="17"/>
  <c r="L6" i="17"/>
  <c r="L53" i="17"/>
  <c r="L37" i="17"/>
  <c r="L21" i="17"/>
  <c r="L13" i="17"/>
  <c r="L97" i="17"/>
  <c r="L181" i="17"/>
  <c r="L173" i="17"/>
  <c r="L165" i="17"/>
  <c r="L157" i="17"/>
  <c r="L149" i="17"/>
  <c r="L141" i="17"/>
  <c r="L133" i="17"/>
  <c r="L125" i="17"/>
  <c r="L117" i="17"/>
  <c r="L109" i="17"/>
  <c r="L101" i="17"/>
  <c r="L93" i="17"/>
  <c r="L85" i="17"/>
  <c r="L77" i="17"/>
  <c r="L69" i="17"/>
  <c r="L61" i="17"/>
  <c r="L45" i="17"/>
  <c r="L29" i="17"/>
  <c r="L5" i="17"/>
  <c r="L89" i="17"/>
  <c r="L41" i="17"/>
  <c r="L180" i="17"/>
  <c r="L172" i="17"/>
  <c r="L164" i="17"/>
  <c r="L156" i="17"/>
  <c r="L148" i="17"/>
  <c r="L140" i="17"/>
  <c r="L132" i="17"/>
  <c r="L124" i="17"/>
  <c r="L116" i="17"/>
  <c r="L108" i="17"/>
  <c r="L100" i="17"/>
  <c r="L92" i="17"/>
  <c r="L84" i="17"/>
  <c r="L76" i="17"/>
  <c r="L68" i="17"/>
  <c r="L60" i="17"/>
  <c r="L52" i="17"/>
  <c r="L44" i="17"/>
  <c r="L36" i="17"/>
  <c r="L28" i="17"/>
  <c r="L20" i="17"/>
  <c r="L12" i="17"/>
  <c r="L4" i="17"/>
  <c r="L3" i="17"/>
  <c r="L161" i="17"/>
  <c r="L137" i="17"/>
  <c r="L113" i="17"/>
  <c r="L57" i="17"/>
  <c r="L49" i="17"/>
  <c r="L179" i="17"/>
  <c r="L171" i="17"/>
  <c r="L163" i="17"/>
  <c r="L155" i="17"/>
  <c r="L147" i="17"/>
  <c r="L139" i="17"/>
  <c r="L131" i="17"/>
  <c r="L123" i="17"/>
  <c r="L115" i="17"/>
  <c r="L107" i="17"/>
  <c r="L99" i="17"/>
  <c r="L91" i="17"/>
  <c r="L83" i="17"/>
  <c r="L75" i="17"/>
  <c r="L67" i="17"/>
  <c r="L59" i="17"/>
  <c r="L51" i="17"/>
  <c r="L43" i="17"/>
  <c r="L35" i="17"/>
  <c r="L27" i="17"/>
  <c r="L19" i="17"/>
  <c r="L11" i="17"/>
  <c r="L153" i="17"/>
  <c r="L121" i="17"/>
  <c r="L25" i="17"/>
  <c r="L178" i="17"/>
  <c r="L170" i="17"/>
  <c r="L162" i="17"/>
  <c r="L154" i="17"/>
  <c r="L146" i="17"/>
  <c r="L138" i="17"/>
  <c r="L130" i="17"/>
  <c r="L122" i="17"/>
  <c r="L114" i="17"/>
  <c r="L106" i="17"/>
  <c r="L98" i="17"/>
  <c r="L90" i="17"/>
  <c r="L82" i="17"/>
  <c r="L74" i="17"/>
  <c r="L66" i="17"/>
  <c r="L58" i="17"/>
  <c r="L50" i="17"/>
  <c r="L42" i="17"/>
  <c r="L34" i="17"/>
  <c r="L26" i="17"/>
  <c r="L18" i="17"/>
  <c r="L10" i="17"/>
  <c r="L177" i="17"/>
  <c r="L169" i="17"/>
  <c r="L145" i="17"/>
  <c r="L129" i="17"/>
  <c r="L105" i="17"/>
  <c r="L65" i="17"/>
  <c r="L9" i="17"/>
  <c r="D42" i="5" l="1"/>
  <c r="A11" i="7"/>
  <c r="J63" i="7" l="1"/>
  <c r="Z63" i="7" s="1"/>
  <c r="J62" i="7"/>
  <c r="J61" i="7"/>
  <c r="J60" i="7"/>
  <c r="J59" i="7"/>
  <c r="J58" i="7"/>
  <c r="J57" i="7"/>
  <c r="J56" i="7"/>
  <c r="Z56" i="7" s="1"/>
  <c r="J55" i="7"/>
  <c r="J54" i="7"/>
  <c r="J53" i="7"/>
  <c r="Z53" i="7" s="1"/>
  <c r="J52" i="7"/>
  <c r="J51" i="7"/>
  <c r="Z51" i="7" s="1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Z28" i="7" s="1"/>
  <c r="J27" i="7"/>
  <c r="J26" i="7"/>
  <c r="J25" i="7"/>
  <c r="J24" i="7"/>
  <c r="Z24" i="7" s="1"/>
  <c r="J23" i="7"/>
  <c r="J22" i="7"/>
  <c r="J21" i="7"/>
  <c r="J20" i="7"/>
  <c r="J19" i="7"/>
  <c r="J18" i="7"/>
  <c r="J17" i="7"/>
  <c r="J16" i="7"/>
  <c r="J15" i="7"/>
  <c r="J14" i="7"/>
  <c r="J13" i="7"/>
  <c r="Z13" i="7" s="1"/>
  <c r="J12" i="7"/>
  <c r="J11" i="7"/>
  <c r="B214" i="8" l="1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B204" i="8" l="1"/>
  <c r="B205" i="8"/>
  <c r="B206" i="8"/>
  <c r="B207" i="8"/>
  <c r="B208" i="8"/>
  <c r="B209" i="8"/>
  <c r="B210" i="8"/>
  <c r="B211" i="8"/>
  <c r="B212" i="8"/>
  <c r="B213" i="8"/>
  <c r="A204" i="8"/>
  <c r="A205" i="8"/>
  <c r="A206" i="8"/>
  <c r="A207" i="8"/>
  <c r="A208" i="8"/>
  <c r="A209" i="8"/>
  <c r="A210" i="8"/>
  <c r="A211" i="8"/>
  <c r="A212" i="8"/>
  <c r="A213" i="8"/>
  <c r="B189" i="8" l="1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33" i="10" l="1"/>
  <c r="B184" i="8"/>
  <c r="B185" i="8"/>
  <c r="B186" i="8"/>
  <c r="B187" i="8"/>
  <c r="B188" i="8"/>
  <c r="A184" i="8"/>
  <c r="A185" i="8"/>
  <c r="A186" i="8"/>
  <c r="A187" i="8"/>
  <c r="A18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B158" i="8"/>
  <c r="A158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1" i="10" l="1"/>
  <c r="B14" i="8" l="1"/>
  <c r="A14" i="8"/>
  <c r="A9" i="8" l="1"/>
  <c r="A100" i="10" l="1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0" i="10"/>
  <c r="A9" i="10"/>
  <c r="B140" i="8"/>
  <c r="A140" i="8"/>
  <c r="B139" i="8"/>
  <c r="A139" i="8"/>
  <c r="B138" i="8"/>
  <c r="A138" i="8"/>
  <c r="B137" i="8"/>
  <c r="A137" i="8"/>
  <c r="B136" i="8"/>
  <c r="A136" i="8"/>
  <c r="B135" i="8"/>
  <c r="A135" i="8"/>
  <c r="B134" i="8"/>
  <c r="A134" i="8"/>
  <c r="B133" i="8"/>
  <c r="A133" i="8"/>
  <c r="B132" i="8"/>
  <c r="A132" i="8"/>
  <c r="B131" i="8"/>
  <c r="A131" i="8"/>
  <c r="B130" i="8"/>
  <c r="A130" i="8"/>
  <c r="B129" i="8"/>
  <c r="A129" i="8"/>
  <c r="B128" i="8"/>
  <c r="A128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E56" i="4"/>
  <c r="J56" i="4" s="1"/>
  <c r="D56" i="4"/>
  <c r="E55" i="4"/>
  <c r="J55" i="4" s="1"/>
  <c r="D55" i="4"/>
  <c r="E54" i="4"/>
  <c r="J54" i="4" s="1"/>
  <c r="D54" i="4"/>
  <c r="E53" i="4"/>
  <c r="J53" i="4" s="1"/>
  <c r="D53" i="4"/>
  <c r="E52" i="4"/>
  <c r="J52" i="4" s="1"/>
  <c r="D52" i="4"/>
  <c r="E51" i="4"/>
  <c r="J51" i="4" s="1"/>
  <c r="D51" i="4"/>
  <c r="E50" i="4"/>
  <c r="J50" i="4" s="1"/>
  <c r="D50" i="4"/>
  <c r="E49" i="4"/>
  <c r="J49" i="4" s="1"/>
  <c r="D49" i="4"/>
  <c r="E48" i="4"/>
  <c r="J48" i="4" s="1"/>
  <c r="D48" i="4"/>
  <c r="E47" i="4"/>
  <c r="J47" i="4" s="1"/>
  <c r="D47" i="4"/>
  <c r="E46" i="4"/>
  <c r="J46" i="4" s="1"/>
  <c r="D46" i="4"/>
  <c r="E45" i="4"/>
  <c r="J45" i="4" s="1"/>
  <c r="D45" i="4"/>
  <c r="E44" i="4"/>
  <c r="J44" i="4" s="1"/>
  <c r="D44" i="4"/>
  <c r="E43" i="4"/>
  <c r="J43" i="4" s="1"/>
  <c r="D43" i="4"/>
  <c r="E42" i="4"/>
  <c r="J42" i="4" s="1"/>
  <c r="D42" i="4"/>
  <c r="E41" i="4"/>
  <c r="J41" i="4" s="1"/>
  <c r="D41" i="4"/>
  <c r="E40" i="4"/>
  <c r="J40" i="4" s="1"/>
  <c r="D40" i="4"/>
  <c r="E39" i="4"/>
  <c r="J39" i="4" s="1"/>
  <c r="D39" i="4"/>
  <c r="E38" i="4"/>
  <c r="J38" i="4" s="1"/>
  <c r="D38" i="4"/>
  <c r="E37" i="4"/>
  <c r="J37" i="4" s="1"/>
  <c r="D37" i="4"/>
  <c r="E36" i="4"/>
  <c r="J36" i="4" s="1"/>
  <c r="D36" i="4"/>
  <c r="E35" i="4"/>
  <c r="J35" i="4" s="1"/>
  <c r="D35" i="4"/>
  <c r="E34" i="4"/>
  <c r="J34" i="4" s="1"/>
  <c r="D34" i="4"/>
  <c r="E33" i="4"/>
  <c r="J33" i="4" s="1"/>
  <c r="D33" i="4"/>
  <c r="E32" i="4"/>
  <c r="J32" i="4" s="1"/>
  <c r="D32" i="4"/>
  <c r="E31" i="4"/>
  <c r="J31" i="4" s="1"/>
  <c r="D31" i="4"/>
  <c r="E30" i="4"/>
  <c r="J30" i="4" s="1"/>
  <c r="D30" i="4"/>
  <c r="E29" i="4"/>
  <c r="J29" i="4" s="1"/>
  <c r="D29" i="4"/>
  <c r="E28" i="4"/>
  <c r="J28" i="4" s="1"/>
  <c r="D28" i="4"/>
  <c r="E27" i="4"/>
  <c r="J27" i="4" s="1"/>
  <c r="D27" i="4"/>
  <c r="E26" i="4"/>
  <c r="J26" i="4" s="1"/>
  <c r="D26" i="4"/>
  <c r="E25" i="4"/>
  <c r="J25" i="4" s="1"/>
  <c r="D25" i="4"/>
  <c r="E24" i="4"/>
  <c r="J24" i="4" s="1"/>
  <c r="D24" i="4"/>
  <c r="E23" i="4"/>
  <c r="J23" i="4" s="1"/>
  <c r="D23" i="4"/>
  <c r="E22" i="4"/>
  <c r="J22" i="4" s="1"/>
  <c r="D22" i="4"/>
  <c r="E21" i="4"/>
  <c r="J21" i="4" s="1"/>
  <c r="D21" i="4"/>
  <c r="E20" i="4"/>
  <c r="J20" i="4" s="1"/>
  <c r="D20" i="4"/>
  <c r="E19" i="4"/>
  <c r="J19" i="4" s="1"/>
  <c r="D19" i="4"/>
  <c r="E18" i="4"/>
  <c r="J18" i="4" s="1"/>
  <c r="D18" i="4"/>
  <c r="E17" i="4"/>
  <c r="J17" i="4" s="1"/>
  <c r="D17" i="4"/>
  <c r="E16" i="4"/>
  <c r="J16" i="4" s="1"/>
  <c r="D16" i="4"/>
  <c r="E15" i="4"/>
  <c r="J15" i="4" s="1"/>
  <c r="D15" i="4"/>
  <c r="E14" i="4"/>
  <c r="J14" i="4" s="1"/>
  <c r="D14" i="4"/>
  <c r="E13" i="4"/>
  <c r="J13" i="4" s="1"/>
  <c r="D13" i="4"/>
  <c r="E12" i="4"/>
  <c r="J12" i="4" s="1"/>
  <c r="D12" i="4"/>
  <c r="E11" i="4"/>
  <c r="J11" i="4" s="1"/>
  <c r="D11" i="4"/>
  <c r="E10" i="4"/>
  <c r="J10" i="4" s="1"/>
  <c r="D10" i="4"/>
  <c r="E9" i="4"/>
  <c r="J9" i="4" s="1"/>
  <c r="D9" i="4"/>
  <c r="X63" i="7" l="1"/>
  <c r="W58" i="7"/>
  <c r="X55" i="7"/>
  <c r="W50" i="7"/>
  <c r="X47" i="7"/>
  <c r="W42" i="7"/>
  <c r="X39" i="7"/>
  <c r="W34" i="7"/>
  <c r="X31" i="7"/>
  <c r="W26" i="7"/>
  <c r="X23" i="7"/>
  <c r="W18" i="7"/>
  <c r="X15" i="7"/>
  <c r="W41" i="7"/>
  <c r="W33" i="7"/>
  <c r="W46" i="7"/>
  <c r="W22" i="7"/>
  <c r="W14" i="7"/>
  <c r="W43" i="7"/>
  <c r="W45" i="7"/>
  <c r="X42" i="7"/>
  <c r="X34" i="7"/>
  <c r="W29" i="7"/>
  <c r="X26" i="7"/>
  <c r="W63" i="7"/>
  <c r="X60" i="7"/>
  <c r="W55" i="7"/>
  <c r="X52" i="7"/>
  <c r="W47" i="7"/>
  <c r="X44" i="7"/>
  <c r="W39" i="7"/>
  <c r="X36" i="7"/>
  <c r="W31" i="7"/>
  <c r="X28" i="7"/>
  <c r="W23" i="7"/>
  <c r="X20" i="7"/>
  <c r="W15" i="7"/>
  <c r="X12" i="7"/>
  <c r="W36" i="7"/>
  <c r="X33" i="7"/>
  <c r="W28" i="7"/>
  <c r="X25" i="7"/>
  <c r="W20" i="7"/>
  <c r="X17" i="7"/>
  <c r="W12" i="7"/>
  <c r="W57" i="7"/>
  <c r="X54" i="7"/>
  <c r="W49" i="7"/>
  <c r="X46" i="7"/>
  <c r="X59" i="7"/>
  <c r="W54" i="7"/>
  <c r="X51" i="7"/>
  <c r="W38" i="7"/>
  <c r="X19" i="7"/>
  <c r="X56" i="7"/>
  <c r="W51" i="7"/>
  <c r="X48" i="7"/>
  <c r="X32" i="7"/>
  <c r="W27" i="7"/>
  <c r="X24" i="7"/>
  <c r="W19" i="7"/>
  <c r="X16" i="7"/>
  <c r="W11" i="7"/>
  <c r="X61" i="7"/>
  <c r="W56" i="7"/>
  <c r="X53" i="7"/>
  <c r="W48" i="7"/>
  <c r="X45" i="7"/>
  <c r="W40" i="7"/>
  <c r="X37" i="7"/>
  <c r="X58" i="7"/>
  <c r="W53" i="7"/>
  <c r="X50" i="7"/>
  <c r="W37" i="7"/>
  <c r="X18" i="7"/>
  <c r="W60" i="7"/>
  <c r="X57" i="7"/>
  <c r="W52" i="7"/>
  <c r="X49" i="7"/>
  <c r="W44" i="7"/>
  <c r="X41" i="7"/>
  <c r="X38" i="7"/>
  <c r="X30" i="7"/>
  <c r="W25" i="7"/>
  <c r="X22" i="7"/>
  <c r="W17" i="7"/>
  <c r="X14" i="7"/>
  <c r="W62" i="7"/>
  <c r="X43" i="7"/>
  <c r="X35" i="7"/>
  <c r="W30" i="7"/>
  <c r="X27" i="7"/>
  <c r="X11" i="7"/>
  <c r="W59" i="7"/>
  <c r="X40" i="7"/>
  <c r="W35" i="7"/>
  <c r="W32" i="7"/>
  <c r="X29" i="7"/>
  <c r="W24" i="7"/>
  <c r="X21" i="7"/>
  <c r="W16" i="7"/>
  <c r="X13" i="7"/>
  <c r="W61" i="7"/>
  <c r="W21" i="7"/>
  <c r="W13" i="7"/>
  <c r="X62" i="7"/>
  <c r="B19" i="8"/>
  <c r="A19" i="8"/>
  <c r="B18" i="8"/>
  <c r="A18" i="8"/>
  <c r="B17" i="8"/>
  <c r="A17" i="8"/>
  <c r="B16" i="8"/>
  <c r="A16" i="8"/>
  <c r="B15" i="8"/>
  <c r="A15" i="8"/>
  <c r="B13" i="8"/>
  <c r="A13" i="8"/>
  <c r="B12" i="8"/>
  <c r="A12" i="8"/>
  <c r="B11" i="8"/>
  <c r="A11" i="8"/>
  <c r="B10" i="8"/>
  <c r="A10" i="8"/>
  <c r="B9" i="8"/>
  <c r="C63" i="7" l="1" a="1"/>
  <c r="C63" i="7" s="1"/>
  <c r="O63" i="7" s="1"/>
  <c r="E50" i="7" a="1"/>
  <c r="E50" i="7" s="1"/>
  <c r="S50" i="7" s="1"/>
  <c r="B38" i="7" a="1"/>
  <c r="B38" i="7" s="1"/>
  <c r="L38" i="7" s="1"/>
  <c r="F23" i="7" a="1"/>
  <c r="F23" i="7" s="1"/>
  <c r="U23" i="7" s="1"/>
  <c r="D20" i="7" a="1"/>
  <c r="D20" i="7" s="1"/>
  <c r="Q20" i="7" s="1"/>
  <c r="C55" i="7" a="1"/>
  <c r="C55" i="7" s="1"/>
  <c r="O55" i="7" s="1"/>
  <c r="E42" i="7" a="1"/>
  <c r="E42" i="7" s="1"/>
  <c r="S42" i="7" s="1"/>
  <c r="B30" i="7" a="1"/>
  <c r="B30" i="7" s="1"/>
  <c r="L30" i="7" s="1"/>
  <c r="F13" i="7" a="1"/>
  <c r="F13" i="7" s="1"/>
  <c r="U13" i="7" s="1"/>
  <c r="F51" i="7" a="1"/>
  <c r="F51" i="7" s="1"/>
  <c r="U51" i="7" s="1"/>
  <c r="C39" i="7" a="1"/>
  <c r="C39" i="7" s="1"/>
  <c r="O39" i="7" s="1"/>
  <c r="E26" i="7" a="1"/>
  <c r="E26" i="7" s="1"/>
  <c r="S26" i="7" s="1"/>
  <c r="C61" i="7" a="1"/>
  <c r="C61" i="7" s="1"/>
  <c r="O61" i="7" s="1"/>
  <c r="E48" i="7" a="1"/>
  <c r="E48" i="7" s="1"/>
  <c r="S48" i="7" s="1"/>
  <c r="F35" i="7" a="1"/>
  <c r="F35" i="7" s="1"/>
  <c r="U35" i="7" s="1"/>
  <c r="C23" i="7" a="1"/>
  <c r="C23" i="7" s="1"/>
  <c r="O23" i="7" s="1"/>
  <c r="F14" i="7" a="1"/>
  <c r="F14" i="7" s="1"/>
  <c r="U14" i="7" s="1"/>
  <c r="E54" i="7" a="1"/>
  <c r="E54" i="7" s="1"/>
  <c r="S54" i="7" s="1"/>
  <c r="B42" i="7" a="1"/>
  <c r="B42" i="7" s="1"/>
  <c r="L42" i="7" s="1"/>
  <c r="D29" i="7" a="1"/>
  <c r="D29" i="7" s="1"/>
  <c r="Q29" i="7" s="1"/>
  <c r="E16" i="7" a="1"/>
  <c r="E16" i="7" s="1"/>
  <c r="S16" i="7" s="1"/>
  <c r="E57" i="7" a="1"/>
  <c r="E57" i="7" s="1"/>
  <c r="S57" i="7" s="1"/>
  <c r="B45" i="7" a="1"/>
  <c r="B45" i="7" s="1"/>
  <c r="L45" i="7" s="1"/>
  <c r="D32" i="7" a="1"/>
  <c r="D32" i="7" s="1"/>
  <c r="Q32" i="7" s="1"/>
  <c r="E19" i="7" a="1"/>
  <c r="E19" i="7" s="1"/>
  <c r="S19" i="7" s="1"/>
  <c r="C54" i="7" a="1"/>
  <c r="C54" i="7" s="1"/>
  <c r="O54" i="7" s="1"/>
  <c r="E41" i="7" a="1"/>
  <c r="E41" i="7" s="1"/>
  <c r="S41" i="7" s="1"/>
  <c r="B29" i="7" a="1"/>
  <c r="B29" i="7" s="1"/>
  <c r="L29" i="7" s="1"/>
  <c r="C16" i="7" a="1"/>
  <c r="C16" i="7" s="1"/>
  <c r="O16" i="7" s="1"/>
  <c r="D52" i="7" a="1"/>
  <c r="D52" i="7" s="1"/>
  <c r="Q52" i="7" s="1"/>
  <c r="C38" i="7" a="1"/>
  <c r="C38" i="7" s="1"/>
  <c r="O38" i="7" s="1"/>
  <c r="E25" i="7" a="1"/>
  <c r="E25" i="7" s="1"/>
  <c r="S25" i="7" s="1"/>
  <c r="F12" i="7" a="1"/>
  <c r="F12" i="7" s="1"/>
  <c r="U12" i="7" s="1"/>
  <c r="E11" i="7" a="1"/>
  <c r="E11" i="7" s="1"/>
  <c r="S11" i="7" s="1"/>
  <c r="F61" i="7" a="1"/>
  <c r="F61" i="7" s="1"/>
  <c r="U61" i="7" s="1"/>
  <c r="C49" i="7" a="1"/>
  <c r="C49" i="7" s="1"/>
  <c r="O49" i="7" s="1"/>
  <c r="D36" i="7" a="1"/>
  <c r="D36" i="7" s="1"/>
  <c r="Q36" i="7" s="1"/>
  <c r="C22" i="7" a="1"/>
  <c r="C22" i="7" s="1"/>
  <c r="O22" i="7" s="1"/>
  <c r="E15" i="7" a="1"/>
  <c r="E15" i="7" s="1"/>
  <c r="S15" i="7" s="1"/>
  <c r="E53" i="7" a="1"/>
  <c r="E53" i="7" s="1"/>
  <c r="S53" i="7" s="1"/>
  <c r="B41" i="7" a="1"/>
  <c r="B41" i="7" s="1"/>
  <c r="L41" i="7" s="1"/>
  <c r="D28" i="7" a="1"/>
  <c r="D28" i="7" s="1"/>
  <c r="Q28" i="7" s="1"/>
  <c r="F62" i="7" a="1"/>
  <c r="F62" i="7" s="1"/>
  <c r="U62" i="7" s="1"/>
  <c r="C50" i="7" a="1"/>
  <c r="C50" i="7" s="1"/>
  <c r="O50" i="7" s="1"/>
  <c r="E37" i="7" a="1"/>
  <c r="E37" i="7" s="1"/>
  <c r="S37" i="7" s="1"/>
  <c r="B25" i="7" a="1"/>
  <c r="B25" i="7" s="1"/>
  <c r="L25" i="7" s="1"/>
  <c r="E59" i="7" a="1"/>
  <c r="E59" i="7" s="1"/>
  <c r="S59" i="7" s="1"/>
  <c r="B47" i="7" a="1"/>
  <c r="B47" i="7" s="1"/>
  <c r="L47" i="7" s="1"/>
  <c r="C34" i="7" a="1"/>
  <c r="C34" i="7" s="1"/>
  <c r="O34" i="7" s="1"/>
  <c r="E21" i="7" a="1"/>
  <c r="E21" i="7" s="1"/>
  <c r="S21" i="7" s="1"/>
  <c r="B13" i="7" a="1"/>
  <c r="B13" i="7" s="1"/>
  <c r="L13" i="7" s="1"/>
  <c r="B53" i="7" a="1"/>
  <c r="B53" i="7" s="1"/>
  <c r="L53" i="7" s="1"/>
  <c r="D40" i="7" a="1"/>
  <c r="D40" i="7" s="1"/>
  <c r="Q40" i="7" s="1"/>
  <c r="F27" i="7" a="1"/>
  <c r="F27" i="7" s="1"/>
  <c r="U27" i="7" s="1"/>
  <c r="B15" i="7" a="1"/>
  <c r="B15" i="7" s="1"/>
  <c r="L15" i="7" s="1"/>
  <c r="B56" i="7" a="1"/>
  <c r="B56" i="7" s="1"/>
  <c r="L56" i="7" s="1"/>
  <c r="D43" i="7" a="1"/>
  <c r="D43" i="7" s="1"/>
  <c r="Q43" i="7" s="1"/>
  <c r="F30" i="7" a="1"/>
  <c r="F30" i="7" s="1"/>
  <c r="U30" i="7" s="1"/>
  <c r="B18" i="7" a="1"/>
  <c r="B18" i="7" s="1"/>
  <c r="L18" i="7" s="1"/>
  <c r="E52" i="7" a="1"/>
  <c r="E52" i="7" s="1"/>
  <c r="S52" i="7" s="1"/>
  <c r="B40" i="7" a="1"/>
  <c r="B40" i="7" s="1"/>
  <c r="L40" i="7" s="1"/>
  <c r="D27" i="7" a="1"/>
  <c r="D27" i="7" s="1"/>
  <c r="Q27" i="7" s="1"/>
  <c r="D63" i="7" a="1"/>
  <c r="D63" i="7" s="1"/>
  <c r="Q63" i="7" s="1"/>
  <c r="F50" i="7" a="1"/>
  <c r="F50" i="7" s="1"/>
  <c r="U50" i="7" s="1"/>
  <c r="E36" i="7" a="1"/>
  <c r="E36" i="7" s="1"/>
  <c r="S36" i="7" s="1"/>
  <c r="B24" i="7" a="1"/>
  <c r="B24" i="7" s="1"/>
  <c r="L24" i="7" s="1"/>
  <c r="C60" i="7" a="1"/>
  <c r="C60" i="7" s="1"/>
  <c r="O60" i="7" s="1"/>
  <c r="E47" i="7" a="1"/>
  <c r="E47" i="7" s="1"/>
  <c r="S47" i="7" s="1"/>
  <c r="F34" i="7" a="1"/>
  <c r="F34" i="7" s="1"/>
  <c r="U34" i="7" s="1"/>
  <c r="E20" i="7" a="1"/>
  <c r="E20" i="7" s="1"/>
  <c r="S20" i="7" s="1"/>
  <c r="D15" i="7" a="1"/>
  <c r="D15" i="7" s="1"/>
  <c r="Q15" i="7" s="1"/>
  <c r="B52" i="7" a="1"/>
  <c r="B52" i="7" s="1"/>
  <c r="L52" i="7" s="1"/>
  <c r="D39" i="7" a="1"/>
  <c r="D39" i="7" s="1"/>
  <c r="Q39" i="7" s="1"/>
  <c r="F26" i="7" a="1"/>
  <c r="F26" i="7" s="1"/>
  <c r="U26" i="7" s="1"/>
  <c r="D61" i="7" a="1"/>
  <c r="D61" i="7" s="1"/>
  <c r="Q61" i="7" s="1"/>
  <c r="F48" i="7" a="1"/>
  <c r="F48" i="7" s="1"/>
  <c r="U48" i="7" s="1"/>
  <c r="B36" i="7" a="1"/>
  <c r="B36" i="7" s="1"/>
  <c r="L36" i="7" s="1"/>
  <c r="D23" i="7" a="1"/>
  <c r="D23" i="7" s="1"/>
  <c r="Q23" i="7" s="1"/>
  <c r="B58" i="7" a="1"/>
  <c r="B58" i="7" s="1"/>
  <c r="L58" i="7" s="1"/>
  <c r="D45" i="7" a="1"/>
  <c r="D45" i="7" s="1"/>
  <c r="Q45" i="7" s="1"/>
  <c r="F32" i="7" a="1"/>
  <c r="F32" i="7" s="1"/>
  <c r="U32" i="7" s="1"/>
  <c r="B20" i="7" a="1"/>
  <c r="B20" i="7" s="1"/>
  <c r="L20" i="7" s="1"/>
  <c r="F63" i="7" a="1"/>
  <c r="F63" i="7" s="1"/>
  <c r="U63" i="7" s="1"/>
  <c r="D51" i="7" a="1"/>
  <c r="D51" i="7" s="1"/>
  <c r="Q51" i="7" s="1"/>
  <c r="F38" i="7" a="1"/>
  <c r="F38" i="7" s="1"/>
  <c r="U38" i="7" s="1"/>
  <c r="C26" i="7" a="1"/>
  <c r="C26" i="7" s="1"/>
  <c r="O26" i="7" s="1"/>
  <c r="D13" i="7" a="1"/>
  <c r="D13" i="7" s="1"/>
  <c r="Q13" i="7" s="1"/>
  <c r="D54" i="7" a="1"/>
  <c r="D54" i="7" s="1"/>
  <c r="Q54" i="7" s="1"/>
  <c r="F41" i="7" a="1"/>
  <c r="F41" i="7" s="1"/>
  <c r="U41" i="7" s="1"/>
  <c r="C29" i="7" a="1"/>
  <c r="C29" i="7" s="1"/>
  <c r="O29" i="7" s="1"/>
  <c r="C13" i="7" a="1"/>
  <c r="C13" i="7" s="1"/>
  <c r="O13" i="7" s="1"/>
  <c r="B51" i="7" a="1"/>
  <c r="B51" i="7" s="1"/>
  <c r="L51" i="7" s="1"/>
  <c r="D38" i="7" a="1"/>
  <c r="D38" i="7" s="1"/>
  <c r="Q38" i="7" s="1"/>
  <c r="F25" i="7" a="1"/>
  <c r="F25" i="7" s="1"/>
  <c r="U25" i="7" s="1"/>
  <c r="B62" i="7" a="1"/>
  <c r="B62" i="7" s="1"/>
  <c r="L62" i="7" s="1"/>
  <c r="F47" i="7" a="1"/>
  <c r="F47" i="7" s="1"/>
  <c r="U47" i="7" s="1"/>
  <c r="B35" i="7" a="1"/>
  <c r="B35" i="7" s="1"/>
  <c r="L35" i="7" s="1"/>
  <c r="D22" i="7" a="1"/>
  <c r="D22" i="7" s="1"/>
  <c r="Q22" i="7" s="1"/>
  <c r="E58" i="7" a="1"/>
  <c r="E58" i="7" s="1"/>
  <c r="S58" i="7" s="1"/>
  <c r="B46" i="7" a="1"/>
  <c r="B46" i="7" s="1"/>
  <c r="L46" i="7" s="1"/>
  <c r="F31" i="7" a="1"/>
  <c r="F31" i="7" s="1"/>
  <c r="U31" i="7" s="1"/>
  <c r="B19" i="7" a="1"/>
  <c r="B19" i="7" s="1"/>
  <c r="L19" i="7" s="1"/>
  <c r="B63" i="7" a="1"/>
  <c r="B63" i="7" s="1"/>
  <c r="L63" i="7" s="1"/>
  <c r="D50" i="7" a="1"/>
  <c r="D50" i="7" s="1"/>
  <c r="Q50" i="7" s="1"/>
  <c r="F37" i="7" a="1"/>
  <c r="F37" i="7" s="1"/>
  <c r="U37" i="7" s="1"/>
  <c r="C25" i="7" a="1"/>
  <c r="C25" i="7" s="1"/>
  <c r="O25" i="7" s="1"/>
  <c r="F59" i="7" a="1"/>
  <c r="F59" i="7" s="1"/>
  <c r="U59" i="7" s="1"/>
  <c r="C47" i="7" a="1"/>
  <c r="C47" i="7" s="1"/>
  <c r="O47" i="7" s="1"/>
  <c r="D34" i="7" a="1"/>
  <c r="D34" i="7" s="1"/>
  <c r="Q34" i="7" s="1"/>
  <c r="F21" i="7" a="1"/>
  <c r="F21" i="7" s="1"/>
  <c r="U21" i="7" s="1"/>
  <c r="D56" i="7" a="1"/>
  <c r="D56" i="7" s="1"/>
  <c r="Q56" i="7" s="1"/>
  <c r="F43" i="7" a="1"/>
  <c r="F43" i="7" s="1"/>
  <c r="U43" i="7" s="1"/>
  <c r="C31" i="7" a="1"/>
  <c r="C31" i="7" s="1"/>
  <c r="O31" i="7" s="1"/>
  <c r="D18" i="7" a="1"/>
  <c r="D18" i="7" s="1"/>
  <c r="Q18" i="7" s="1"/>
  <c r="D62" i="7" a="1"/>
  <c r="D62" i="7" s="1"/>
  <c r="Q62" i="7" s="1"/>
  <c r="F49" i="7" a="1"/>
  <c r="F49" i="7" s="1"/>
  <c r="U49" i="7" s="1"/>
  <c r="C37" i="7" a="1"/>
  <c r="C37" i="7" s="1"/>
  <c r="O37" i="7" s="1"/>
  <c r="E24" i="7" a="1"/>
  <c r="E24" i="7" s="1"/>
  <c r="S24" i="7" s="1"/>
  <c r="D16" i="7" a="1"/>
  <c r="D16" i="7" s="1"/>
  <c r="Q16" i="7" s="1"/>
  <c r="F52" i="7" a="1"/>
  <c r="F52" i="7" s="1"/>
  <c r="U52" i="7" s="1"/>
  <c r="C40" i="7" a="1"/>
  <c r="C40" i="7" s="1"/>
  <c r="O40" i="7" s="1"/>
  <c r="E27" i="7" a="1"/>
  <c r="E27" i="7" s="1"/>
  <c r="S27" i="7" s="1"/>
  <c r="E63" i="7" a="1"/>
  <c r="E63" i="7" s="1"/>
  <c r="S63" i="7" s="1"/>
  <c r="D49" i="7" a="1"/>
  <c r="D49" i="7" s="1"/>
  <c r="Q49" i="7" s="1"/>
  <c r="F36" i="7" a="1"/>
  <c r="F36" i="7" s="1"/>
  <c r="U36" i="7" s="1"/>
  <c r="C24" i="7" a="1"/>
  <c r="C24" i="7" s="1"/>
  <c r="O24" i="7" s="1"/>
  <c r="D60" i="7" a="1"/>
  <c r="D60" i="7" s="1"/>
  <c r="Q60" i="7" s="1"/>
  <c r="C46" i="7" a="1"/>
  <c r="C46" i="7" s="1"/>
  <c r="O46" i="7" s="1"/>
  <c r="D33" i="7" a="1"/>
  <c r="D33" i="7" s="1"/>
  <c r="Q33" i="7" s="1"/>
  <c r="F20" i="7" a="1"/>
  <c r="F20" i="7" s="1"/>
  <c r="U20" i="7" s="1"/>
  <c r="C12" i="7" a="1"/>
  <c r="C12" i="7" s="1"/>
  <c r="O12" i="7" s="1"/>
  <c r="D11" i="7" a="1"/>
  <c r="D11" i="7" s="1"/>
  <c r="Q11" i="7" s="1"/>
  <c r="B57" i="7" a="1"/>
  <c r="B57" i="7" s="1"/>
  <c r="L57" i="7" s="1"/>
  <c r="D44" i="7" a="1"/>
  <c r="D44" i="7" s="1"/>
  <c r="Q44" i="7" s="1"/>
  <c r="C30" i="7" a="1"/>
  <c r="C30" i="7" s="1"/>
  <c r="O30" i="7" s="1"/>
  <c r="D17" i="7" a="1"/>
  <c r="D17" i="7" s="1"/>
  <c r="Q17" i="7" s="1"/>
  <c r="E61" i="7" a="1"/>
  <c r="E61" i="7" s="1"/>
  <c r="S61" i="7" s="1"/>
  <c r="B49" i="7" a="1"/>
  <c r="B49" i="7" s="1"/>
  <c r="L49" i="7" s="1"/>
  <c r="C36" i="7" a="1"/>
  <c r="C36" i="7" s="1"/>
  <c r="O36" i="7" s="1"/>
  <c r="E23" i="7" a="1"/>
  <c r="E23" i="7" s="1"/>
  <c r="S23" i="7" s="1"/>
  <c r="C58" i="7" a="1"/>
  <c r="C58" i="7" s="1"/>
  <c r="O58" i="7" s="1"/>
  <c r="E45" i="7" a="1"/>
  <c r="E45" i="7" s="1"/>
  <c r="S45" i="7" s="1"/>
  <c r="B33" i="7" a="1"/>
  <c r="B33" i="7" s="1"/>
  <c r="L33" i="7" s="1"/>
  <c r="C20" i="7" a="1"/>
  <c r="C20" i="7" s="1"/>
  <c r="O20" i="7" s="1"/>
  <c r="F54" i="7" a="1"/>
  <c r="F54" i="7" s="1"/>
  <c r="U54" i="7" s="1"/>
  <c r="C42" i="7" a="1"/>
  <c r="C42" i="7" s="1"/>
  <c r="O42" i="7" s="1"/>
  <c r="E29" i="7" a="1"/>
  <c r="E29" i="7" s="1"/>
  <c r="S29" i="7" s="1"/>
  <c r="F16" i="7" a="1"/>
  <c r="F16" i="7" s="1"/>
  <c r="U16" i="7" s="1"/>
  <c r="B61" i="7" a="1"/>
  <c r="B61" i="7" s="1"/>
  <c r="L61" i="7" s="1"/>
  <c r="D48" i="7" a="1"/>
  <c r="D48" i="7" s="1"/>
  <c r="Q48" i="7" s="1"/>
  <c r="E35" i="7" a="1"/>
  <c r="E35" i="7" s="1"/>
  <c r="S35" i="7" s="1"/>
  <c r="B23" i="7" a="1"/>
  <c r="B23" i="7" s="1"/>
  <c r="L23" i="7" s="1"/>
  <c r="E14" i="7" a="1"/>
  <c r="E14" i="7" s="1"/>
  <c r="S14" i="7" s="1"/>
  <c r="C51" i="7" a="1"/>
  <c r="C51" i="7" s="1"/>
  <c r="O51" i="7" s="1"/>
  <c r="E38" i="7" a="1"/>
  <c r="E38" i="7" s="1"/>
  <c r="S38" i="7" s="1"/>
  <c r="B26" i="7" a="1"/>
  <c r="B26" i="7" s="1"/>
  <c r="L26" i="7" s="1"/>
  <c r="E60" i="7" a="1"/>
  <c r="E60" i="7" s="1"/>
  <c r="S60" i="7" s="1"/>
  <c r="B48" i="7" a="1"/>
  <c r="B48" i="7" s="1"/>
  <c r="L48" i="7" s="1"/>
  <c r="C35" i="7" a="1"/>
  <c r="C35" i="7" s="1"/>
  <c r="O35" i="7" s="1"/>
  <c r="E22" i="7" a="1"/>
  <c r="E22" i="7" s="1"/>
  <c r="S22" i="7" s="1"/>
  <c r="F58" i="7" a="1"/>
  <c r="F58" i="7" s="1"/>
  <c r="U58" i="7" s="1"/>
  <c r="E44" i="7" a="1"/>
  <c r="E44" i="7" s="1"/>
  <c r="S44" i="7" s="1"/>
  <c r="B32" i="7" a="1"/>
  <c r="B32" i="7" s="1"/>
  <c r="L32" i="7" s="1"/>
  <c r="C19" i="7" a="1"/>
  <c r="C19" i="7" s="1"/>
  <c r="O19" i="7" s="1"/>
  <c r="B11" i="7" a="1"/>
  <c r="B11" i="7" s="1"/>
  <c r="L11" i="7" s="1"/>
  <c r="E17" i="7" a="1"/>
  <c r="E17" i="7" s="1"/>
  <c r="S17" i="7" s="1"/>
  <c r="C11" i="7" a="1"/>
  <c r="C11" i="7" s="1"/>
  <c r="O11" i="7" s="1"/>
  <c r="D55" i="7" a="1"/>
  <c r="D55" i="7" s="1"/>
  <c r="Q55" i="7" s="1"/>
  <c r="F42" i="7" a="1"/>
  <c r="F42" i="7" s="1"/>
  <c r="U42" i="7" s="1"/>
  <c r="E28" i="7" a="1"/>
  <c r="E28" i="7" s="1"/>
  <c r="S28" i="7" s="1"/>
  <c r="F15" i="7" a="1"/>
  <c r="F15" i="7" s="1"/>
  <c r="U15" i="7" s="1"/>
  <c r="B60" i="7" a="1"/>
  <c r="B60" i="7" s="1"/>
  <c r="L60" i="7" s="1"/>
  <c r="D47" i="7" a="1"/>
  <c r="D47" i="7" s="1"/>
  <c r="Q47" i="7" s="1"/>
  <c r="E34" i="7" a="1"/>
  <c r="E34" i="7" s="1"/>
  <c r="S34" i="7" s="1"/>
  <c r="B22" i="7" a="1"/>
  <c r="B22" i="7" s="1"/>
  <c r="L22" i="7" s="1"/>
  <c r="E56" i="7" a="1"/>
  <c r="E56" i="7" s="1"/>
  <c r="S56" i="7" s="1"/>
  <c r="B44" i="7" a="1"/>
  <c r="B44" i="7" s="1"/>
  <c r="L44" i="7" s="1"/>
  <c r="D31" i="7" a="1"/>
  <c r="D31" i="7" s="1"/>
  <c r="Q31" i="7" s="1"/>
  <c r="E18" i="7" a="1"/>
  <c r="E18" i="7" s="1"/>
  <c r="S18" i="7" s="1"/>
  <c r="C53" i="7" a="1"/>
  <c r="C53" i="7" s="1"/>
  <c r="O53" i="7" s="1"/>
  <c r="E40" i="7" a="1"/>
  <c r="E40" i="7" s="1"/>
  <c r="S40" i="7" s="1"/>
  <c r="B28" i="7" a="1"/>
  <c r="B28" i="7" s="1"/>
  <c r="L28" i="7" s="1"/>
  <c r="C15" i="7" a="1"/>
  <c r="C15" i="7" s="1"/>
  <c r="O15" i="7" s="1"/>
  <c r="D59" i="7" a="1"/>
  <c r="D59" i="7" s="1"/>
  <c r="Q59" i="7" s="1"/>
  <c r="F46" i="7" a="1"/>
  <c r="F46" i="7" s="1"/>
  <c r="U46" i="7" s="1"/>
  <c r="B34" i="7" a="1"/>
  <c r="B34" i="7" s="1"/>
  <c r="L34" i="7" s="1"/>
  <c r="D21" i="7" a="1"/>
  <c r="D21" i="7" s="1"/>
  <c r="Q21" i="7" s="1"/>
  <c r="C62" i="7" a="1"/>
  <c r="C62" i="7" s="1"/>
  <c r="O62" i="7" s="1"/>
  <c r="E49" i="7" a="1"/>
  <c r="E49" i="7" s="1"/>
  <c r="S49" i="7" s="1"/>
  <c r="B37" i="7" a="1"/>
  <c r="B37" i="7" s="1"/>
  <c r="L37" i="7" s="1"/>
  <c r="D24" i="7" a="1"/>
  <c r="D24" i="7" s="1"/>
  <c r="Q24" i="7" s="1"/>
  <c r="B59" i="7" a="1"/>
  <c r="B59" i="7" s="1"/>
  <c r="L59" i="7" s="1"/>
  <c r="D46" i="7" a="1"/>
  <c r="D46" i="7" s="1"/>
  <c r="Q46" i="7" s="1"/>
  <c r="E33" i="7" a="1"/>
  <c r="E33" i="7" s="1"/>
  <c r="S33" i="7" s="1"/>
  <c r="B21" i="7" a="1"/>
  <c r="B21" i="7" s="1"/>
  <c r="L21" i="7" s="1"/>
  <c r="C57" i="7" a="1"/>
  <c r="C57" i="7" s="1"/>
  <c r="O57" i="7" s="1"/>
  <c r="B43" i="7" a="1"/>
  <c r="B43" i="7" s="1"/>
  <c r="L43" i="7" s="1"/>
  <c r="D30" i="7" a="1"/>
  <c r="D30" i="7" s="1"/>
  <c r="Q30" i="7" s="1"/>
  <c r="B14" i="7" a="1"/>
  <c r="B14" i="7" s="1"/>
  <c r="L14" i="7" s="1"/>
  <c r="F53" i="7" a="1"/>
  <c r="F53" i="7" s="1"/>
  <c r="U53" i="7" s="1"/>
  <c r="C41" i="7" a="1"/>
  <c r="C41" i="7" s="1"/>
  <c r="O41" i="7" s="1"/>
  <c r="B27" i="7" a="1"/>
  <c r="B27" i="7" s="1"/>
  <c r="L27" i="7" s="1"/>
  <c r="C14" i="7" a="1"/>
  <c r="C14" i="7" s="1"/>
  <c r="O14" i="7" s="1"/>
  <c r="D58" i="7" a="1"/>
  <c r="D58" i="7" s="1"/>
  <c r="Q58" i="7" s="1"/>
  <c r="F45" i="7" a="1"/>
  <c r="F45" i="7" s="1"/>
  <c r="U45" i="7" s="1"/>
  <c r="C33" i="7" a="1"/>
  <c r="C33" i="7" s="1"/>
  <c r="O33" i="7" s="1"/>
  <c r="F18" i="7" a="1"/>
  <c r="F18" i="7" s="1"/>
  <c r="U18" i="7" s="1"/>
  <c r="B55" i="7" a="1"/>
  <c r="B55" i="7" s="1"/>
  <c r="L55" i="7" s="1"/>
  <c r="D42" i="7" a="1"/>
  <c r="D42" i="7" s="1"/>
  <c r="Q42" i="7" s="1"/>
  <c r="F29" i="7" a="1"/>
  <c r="F29" i="7" s="1"/>
  <c r="U29" i="7" s="1"/>
  <c r="B17" i="7" a="1"/>
  <c r="B17" i="7" s="1"/>
  <c r="L17" i="7" s="1"/>
  <c r="E51" i="7" a="1"/>
  <c r="E51" i="7" s="1"/>
  <c r="S51" i="7" s="1"/>
  <c r="B39" i="7" a="1"/>
  <c r="B39" i="7" s="1"/>
  <c r="L39" i="7" s="1"/>
  <c r="D26" i="7" a="1"/>
  <c r="D26" i="7" s="1"/>
  <c r="Q26" i="7" s="1"/>
  <c r="E13" i="7" a="1"/>
  <c r="E13" i="7" s="1"/>
  <c r="S13" i="7" s="1"/>
  <c r="F57" i="7" a="1"/>
  <c r="F57" i="7" s="1"/>
  <c r="U57" i="7" s="1"/>
  <c r="C45" i="7" a="1"/>
  <c r="C45" i="7" s="1"/>
  <c r="O45" i="7" s="1"/>
  <c r="E32" i="7" a="1"/>
  <c r="E32" i="7" s="1"/>
  <c r="S32" i="7" s="1"/>
  <c r="F19" i="7" a="1"/>
  <c r="F19" i="7" s="1"/>
  <c r="U19" i="7" s="1"/>
  <c r="F60" i="7" a="1"/>
  <c r="F60" i="7" s="1"/>
  <c r="U60" i="7" s="1"/>
  <c r="C48" i="7" a="1"/>
  <c r="C48" i="7" s="1"/>
  <c r="O48" i="7" s="1"/>
  <c r="D35" i="7" a="1"/>
  <c r="D35" i="7" s="1"/>
  <c r="Q35" i="7" s="1"/>
  <c r="F22" i="7" a="1"/>
  <c r="F22" i="7" s="1"/>
  <c r="U22" i="7" s="1"/>
  <c r="D57" i="7" a="1"/>
  <c r="D57" i="7" s="1"/>
  <c r="Q57" i="7" s="1"/>
  <c r="F44" i="7" a="1"/>
  <c r="F44" i="7" s="1"/>
  <c r="U44" i="7" s="1"/>
  <c r="C32" i="7" a="1"/>
  <c r="C32" i="7" s="1"/>
  <c r="O32" i="7" s="1"/>
  <c r="D19" i="7" a="1"/>
  <c r="D19" i="7" s="1"/>
  <c r="Q19" i="7" s="1"/>
  <c r="E55" i="7" a="1"/>
  <c r="E55" i="7" s="1"/>
  <c r="S55" i="7" s="1"/>
  <c r="D41" i="7" a="1"/>
  <c r="D41" i="7" s="1"/>
  <c r="Q41" i="7" s="1"/>
  <c r="F28" i="7" a="1"/>
  <c r="F28" i="7" s="1"/>
  <c r="U28" i="7" s="1"/>
  <c r="B16" i="7" a="1"/>
  <c r="B16" i="7" s="1"/>
  <c r="L16" i="7" s="1"/>
  <c r="C52" i="7" a="1"/>
  <c r="C52" i="7" s="1"/>
  <c r="O52" i="7" s="1"/>
  <c r="E39" i="7" a="1"/>
  <c r="E39" i="7" s="1"/>
  <c r="S39" i="7" s="1"/>
  <c r="D25" i="7" a="1"/>
  <c r="D25" i="7" s="1"/>
  <c r="Q25" i="7" s="1"/>
  <c r="E12" i="7" a="1"/>
  <c r="E12" i="7" s="1"/>
  <c r="S12" i="7" s="1"/>
  <c r="F56" i="7" a="1"/>
  <c r="F56" i="7" s="1"/>
  <c r="U56" i="7" s="1"/>
  <c r="C44" i="7" a="1"/>
  <c r="C44" i="7" s="1"/>
  <c r="O44" i="7" s="1"/>
  <c r="E31" i="7" a="1"/>
  <c r="E31" i="7" s="1"/>
  <c r="S31" i="7" s="1"/>
  <c r="D12" i="7" a="1"/>
  <c r="D12" i="7" s="1"/>
  <c r="Q12" i="7" s="1"/>
  <c r="D53" i="7" a="1"/>
  <c r="D53" i="7" s="1"/>
  <c r="Q53" i="7" s="1"/>
  <c r="F40" i="7" a="1"/>
  <c r="F40" i="7" s="1"/>
  <c r="U40" i="7" s="1"/>
  <c r="C28" i="7" a="1"/>
  <c r="C28" i="7" s="1"/>
  <c r="O28" i="7" s="1"/>
  <c r="E62" i="7" a="1"/>
  <c r="E62" i="7" s="1"/>
  <c r="S62" i="7" s="1"/>
  <c r="B50" i="7" a="1"/>
  <c r="B50" i="7" s="1"/>
  <c r="L50" i="7" s="1"/>
  <c r="D37" i="7" a="1"/>
  <c r="D37" i="7" s="1"/>
  <c r="Q37" i="7" s="1"/>
  <c r="F24" i="7" a="1"/>
  <c r="F24" i="7" s="1"/>
  <c r="U24" i="7" s="1"/>
  <c r="B12" i="7" a="1"/>
  <c r="B12" i="7" s="1"/>
  <c r="L12" i="7" s="1"/>
  <c r="C56" i="7" a="1"/>
  <c r="C56" i="7" s="1"/>
  <c r="O56" i="7" s="1"/>
  <c r="E43" i="7" a="1"/>
  <c r="E43" i="7" s="1"/>
  <c r="S43" i="7" s="1"/>
  <c r="B31" i="7" a="1"/>
  <c r="B31" i="7" s="1"/>
  <c r="L31" i="7" s="1"/>
  <c r="C18" i="7" a="1"/>
  <c r="C18" i="7" s="1"/>
  <c r="O18" i="7" s="1"/>
  <c r="C59" i="7" a="1"/>
  <c r="C59" i="7" s="1"/>
  <c r="O59" i="7" s="1"/>
  <c r="E46" i="7" a="1"/>
  <c r="E46" i="7" s="1"/>
  <c r="S46" i="7" s="1"/>
  <c r="F33" i="7" a="1"/>
  <c r="F33" i="7" s="1"/>
  <c r="U33" i="7" s="1"/>
  <c r="C21" i="7" a="1"/>
  <c r="C21" i="7" s="1"/>
  <c r="O21" i="7" s="1"/>
  <c r="F55" i="7" a="1"/>
  <c r="F55" i="7" s="1"/>
  <c r="U55" i="7" s="1"/>
  <c r="C43" i="7" a="1"/>
  <c r="C43" i="7" s="1"/>
  <c r="O43" i="7" s="1"/>
  <c r="E30" i="7" a="1"/>
  <c r="E30" i="7" s="1"/>
  <c r="S30" i="7" s="1"/>
  <c r="F17" i="7" a="1"/>
  <c r="F17" i="7" s="1"/>
  <c r="U17" i="7" s="1"/>
  <c r="B54" i="7" a="1"/>
  <c r="B54" i="7" s="1"/>
  <c r="L54" i="7" s="1"/>
  <c r="F39" i="7" a="1"/>
  <c r="F39" i="7" s="1"/>
  <c r="U39" i="7" s="1"/>
  <c r="C27" i="7" a="1"/>
  <c r="C27" i="7" s="1"/>
  <c r="O27" i="7" s="1"/>
  <c r="D14" i="7" a="1"/>
  <c r="D14" i="7" s="1"/>
  <c r="Q14" i="7" s="1"/>
  <c r="F11" i="7" a="1"/>
  <c r="F11" i="7" s="1"/>
  <c r="U11" i="7" s="1"/>
  <c r="C17" i="7" a="1"/>
  <c r="C17" i="7" s="1"/>
  <c r="O17" i="7" s="1"/>
  <c r="P63" i="7"/>
  <c r="M63" i="7"/>
  <c r="N63" i="7"/>
  <c r="K61" i="7"/>
  <c r="R60" i="7"/>
  <c r="P58" i="7"/>
  <c r="V56" i="7"/>
  <c r="N56" i="7"/>
  <c r="M55" i="7"/>
  <c r="T54" i="7"/>
  <c r="K53" i="7"/>
  <c r="R52" i="7"/>
  <c r="P50" i="7"/>
  <c r="V48" i="7"/>
  <c r="N48" i="7"/>
  <c r="M47" i="7"/>
  <c r="K45" i="7"/>
  <c r="R44" i="7"/>
  <c r="P42" i="7"/>
  <c r="V40" i="7"/>
  <c r="N40" i="7"/>
  <c r="M39" i="7"/>
  <c r="T38" i="7"/>
  <c r="K37" i="7"/>
  <c r="R36" i="7"/>
  <c r="P34" i="7"/>
  <c r="V32" i="7"/>
  <c r="K29" i="7"/>
  <c r="R28" i="7"/>
  <c r="P26" i="7"/>
  <c r="N24" i="7"/>
  <c r="M23" i="7"/>
  <c r="T22" i="7"/>
  <c r="K21" i="7"/>
  <c r="R20" i="7"/>
  <c r="V16" i="7"/>
  <c r="N16" i="7"/>
  <c r="M15" i="7"/>
  <c r="T14" i="7"/>
  <c r="K13" i="7"/>
  <c r="R13" i="7"/>
  <c r="T58" i="7"/>
  <c r="V52" i="7"/>
  <c r="P46" i="7"/>
  <c r="V63" i="7"/>
  <c r="K62" i="7"/>
  <c r="R61" i="7"/>
  <c r="V57" i="7"/>
  <c r="N57" i="7"/>
  <c r="M56" i="7"/>
  <c r="T55" i="7"/>
  <c r="R53" i="7"/>
  <c r="P51" i="7"/>
  <c r="V49" i="7"/>
  <c r="N49" i="7"/>
  <c r="M48" i="7"/>
  <c r="T47" i="7"/>
  <c r="K46" i="7"/>
  <c r="R45" i="7"/>
  <c r="V41" i="7"/>
  <c r="N41" i="7"/>
  <c r="M40" i="7"/>
  <c r="T39" i="7"/>
  <c r="K38" i="7"/>
  <c r="P35" i="7"/>
  <c r="N33" i="7"/>
  <c r="M32" i="7"/>
  <c r="K30" i="7"/>
  <c r="R29" i="7"/>
  <c r="V25" i="7"/>
  <c r="N25" i="7"/>
  <c r="M24" i="7"/>
  <c r="T23" i="7"/>
  <c r="K22" i="7"/>
  <c r="R21" i="7"/>
  <c r="P19" i="7"/>
  <c r="T15" i="7"/>
  <c r="K14" i="7"/>
  <c r="P11" i="7"/>
  <c r="V60" i="7"/>
  <c r="R56" i="7"/>
  <c r="T50" i="7"/>
  <c r="V44" i="7"/>
  <c r="K63" i="7"/>
  <c r="R62" i="7"/>
  <c r="P60" i="7"/>
  <c r="V58" i="7"/>
  <c r="N58" i="7"/>
  <c r="M57" i="7"/>
  <c r="T56" i="7"/>
  <c r="K55" i="7"/>
  <c r="R54" i="7"/>
  <c r="P52" i="7"/>
  <c r="V50" i="7"/>
  <c r="N50" i="7"/>
  <c r="M49" i="7"/>
  <c r="T48" i="7"/>
  <c r="K47" i="7"/>
  <c r="R46" i="7"/>
  <c r="V42" i="7"/>
  <c r="N42" i="7"/>
  <c r="M41" i="7"/>
  <c r="T40" i="7"/>
  <c r="K39" i="7"/>
  <c r="R38" i="7"/>
  <c r="P36" i="7"/>
  <c r="V34" i="7"/>
  <c r="N34" i="7"/>
  <c r="M33" i="7"/>
  <c r="T32" i="7"/>
  <c r="R30" i="7"/>
  <c r="V26" i="7"/>
  <c r="N26" i="7"/>
  <c r="M25" i="7"/>
  <c r="T24" i="7"/>
  <c r="K23" i="7"/>
  <c r="R22" i="7"/>
  <c r="P20" i="7"/>
  <c r="T16" i="7"/>
  <c r="K15" i="7"/>
  <c r="P12" i="7"/>
  <c r="M18" i="7"/>
  <c r="P13" i="7"/>
  <c r="N11" i="7"/>
  <c r="N60" i="7"/>
  <c r="K57" i="7"/>
  <c r="N52" i="7"/>
  <c r="R48" i="7"/>
  <c r="M43" i="7"/>
  <c r="T63" i="7"/>
  <c r="P61" i="7"/>
  <c r="V59" i="7"/>
  <c r="M58" i="7"/>
  <c r="T57" i="7"/>
  <c r="K56" i="7"/>
  <c r="R55" i="7"/>
  <c r="P53" i="7"/>
  <c r="V51" i="7"/>
  <c r="N51" i="7"/>
  <c r="M50" i="7"/>
  <c r="T49" i="7"/>
  <c r="K48" i="7"/>
  <c r="R47" i="7"/>
  <c r="P45" i="7"/>
  <c r="V43" i="7"/>
  <c r="M42" i="7"/>
  <c r="T41" i="7"/>
  <c r="K40" i="7"/>
  <c r="R39" i="7"/>
  <c r="P37" i="7"/>
  <c r="V35" i="7"/>
  <c r="N35" i="7"/>
  <c r="M34" i="7"/>
  <c r="T33" i="7"/>
  <c r="K32" i="7"/>
  <c r="R31" i="7"/>
  <c r="P29" i="7"/>
  <c r="V27" i="7"/>
  <c r="M26" i="7"/>
  <c r="T25" i="7"/>
  <c r="K24" i="7"/>
  <c r="R23" i="7"/>
  <c r="N19" i="7"/>
  <c r="T17" i="7"/>
  <c r="R15" i="7"/>
  <c r="P62" i="7"/>
  <c r="M59" i="7"/>
  <c r="P54" i="7"/>
  <c r="M51" i="7"/>
  <c r="K49" i="7"/>
  <c r="N44" i="7"/>
  <c r="R63" i="7"/>
  <c r="V61" i="7"/>
  <c r="N61" i="7"/>
  <c r="M60" i="7"/>
  <c r="T59" i="7"/>
  <c r="K58" i="7"/>
  <c r="R57" i="7"/>
  <c r="P55" i="7"/>
  <c r="V53" i="7"/>
  <c r="N53" i="7"/>
  <c r="M52" i="7"/>
  <c r="T51" i="7"/>
  <c r="R49" i="7"/>
  <c r="P47" i="7"/>
  <c r="V45" i="7"/>
  <c r="N45" i="7"/>
  <c r="M44" i="7"/>
  <c r="T43" i="7"/>
  <c r="K42" i="7"/>
  <c r="R41" i="7"/>
  <c r="P39" i="7"/>
  <c r="V37" i="7"/>
  <c r="N37" i="7"/>
  <c r="M36" i="7"/>
  <c r="T35" i="7"/>
  <c r="K34" i="7"/>
  <c r="R33" i="7"/>
  <c r="P31" i="7"/>
  <c r="N29" i="7"/>
  <c r="M28" i="7"/>
  <c r="T27" i="7"/>
  <c r="K26" i="7"/>
  <c r="R25" i="7"/>
  <c r="P23" i="7"/>
  <c r="V21" i="7"/>
  <c r="M20" i="7"/>
  <c r="T19" i="7"/>
  <c r="K18" i="7"/>
  <c r="R17" i="7"/>
  <c r="P15" i="7"/>
  <c r="V13" i="7"/>
  <c r="N13" i="7"/>
  <c r="T11" i="7"/>
  <c r="R59" i="7"/>
  <c r="N55" i="7"/>
  <c r="K52" i="7"/>
  <c r="R50" i="7"/>
  <c r="N46" i="7"/>
  <c r="K43" i="7"/>
  <c r="P38" i="7"/>
  <c r="N36" i="7"/>
  <c r="M30" i="7"/>
  <c r="M27" i="7"/>
  <c r="P57" i="7"/>
  <c r="V20" i="7"/>
  <c r="M37" i="7"/>
  <c r="R27" i="7"/>
  <c r="N30" i="7"/>
  <c r="N12" i="7"/>
  <c r="T53" i="7"/>
  <c r="V47" i="7"/>
  <c r="M46" i="7"/>
  <c r="T44" i="7"/>
  <c r="P41" i="7"/>
  <c r="T37" i="7"/>
  <c r="K33" i="7"/>
  <c r="V30" i="7"/>
  <c r="T28" i="7"/>
  <c r="R26" i="7"/>
  <c r="N23" i="7"/>
  <c r="R16" i="7"/>
  <c r="V15" i="7"/>
  <c r="N14" i="7"/>
  <c r="V12" i="7"/>
  <c r="P48" i="7"/>
  <c r="P25" i="7"/>
  <c r="K17" i="7"/>
  <c r="K59" i="7"/>
  <c r="R43" i="7"/>
  <c r="T36" i="7"/>
  <c r="R34" i="7"/>
  <c r="V23" i="7"/>
  <c r="K20" i="7"/>
  <c r="T42" i="7"/>
  <c r="N28" i="7"/>
  <c r="M19" i="7"/>
  <c r="N47" i="7"/>
  <c r="P33" i="7"/>
  <c r="P24" i="7"/>
  <c r="T20" i="7"/>
  <c r="N15" i="7"/>
  <c r="M61" i="7"/>
  <c r="T45" i="7"/>
  <c r="V31" i="7"/>
  <c r="K28" i="7"/>
  <c r="M21" i="7"/>
  <c r="R11" i="7"/>
  <c r="K60" i="7"/>
  <c r="R58" i="7"/>
  <c r="N54" i="7"/>
  <c r="K51" i="7"/>
  <c r="P49" i="7"/>
  <c r="R40" i="7"/>
  <c r="N38" i="7"/>
  <c r="V36" i="7"/>
  <c r="K36" i="7"/>
  <c r="T34" i="7"/>
  <c r="M29" i="7"/>
  <c r="P22" i="7"/>
  <c r="N20" i="7"/>
  <c r="R19" i="7"/>
  <c r="M14" i="7"/>
  <c r="M11" i="7"/>
  <c r="V46" i="7"/>
  <c r="M38" i="7"/>
  <c r="M35" i="7"/>
  <c r="T21" i="7"/>
  <c r="V14" i="7"/>
  <c r="N62" i="7"/>
  <c r="K41" i="7"/>
  <c r="V38" i="7"/>
  <c r="N31" i="7"/>
  <c r="N22" i="7"/>
  <c r="T18" i="7"/>
  <c r="K11" i="7"/>
  <c r="K35" i="7"/>
  <c r="M22" i="7"/>
  <c r="R51" i="7"/>
  <c r="K44" i="7"/>
  <c r="T29" i="7"/>
  <c r="V22" i="7"/>
  <c r="R18" i="7"/>
  <c r="V62" i="7"/>
  <c r="R42" i="7"/>
  <c r="R32" i="7"/>
  <c r="K19" i="7"/>
  <c r="T61" i="7"/>
  <c r="T52" i="7"/>
  <c r="M45" i="7"/>
  <c r="P16" i="7"/>
  <c r="P40" i="7"/>
  <c r="R24" i="7"/>
  <c r="M13" i="7"/>
  <c r="P30" i="7"/>
  <c r="K25" i="7"/>
  <c r="N39" i="7"/>
  <c r="P14" i="7"/>
  <c r="M62" i="7"/>
  <c r="T60" i="7"/>
  <c r="P56" i="7"/>
  <c r="V54" i="7"/>
  <c r="M53" i="7"/>
  <c r="T26" i="7"/>
  <c r="V11" i="7" l="1"/>
  <c r="Z11" i="7" s="1"/>
  <c r="P43" i="7"/>
  <c r="N59" i="7"/>
  <c r="V39" i="7"/>
  <c r="Z39" i="7" s="1"/>
  <c r="K54" i="7"/>
  <c r="R37" i="7"/>
  <c r="Z37" i="7" s="1"/>
  <c r="M54" i="7"/>
  <c r="Z54" i="7" s="1"/>
  <c r="K50" i="7"/>
  <c r="Z50" i="7" s="1"/>
  <c r="N43" i="7"/>
  <c r="P44" i="7"/>
  <c r="N17" i="7"/>
  <c r="V55" i="7"/>
  <c r="P59" i="7"/>
  <c r="Z59" i="7" s="1"/>
  <c r="T46" i="7"/>
  <c r="Z43" i="7"/>
  <c r="K31" i="7"/>
  <c r="Z46" i="7"/>
  <c r="P32" i="7"/>
  <c r="Z32" i="7" s="1"/>
  <c r="Z42" i="7"/>
  <c r="M16" i="7"/>
  <c r="Z48" i="7"/>
  <c r="V28" i="7"/>
  <c r="Z41" i="7"/>
  <c r="Z60" i="7"/>
  <c r="P17" i="7"/>
  <c r="T12" i="7"/>
  <c r="Z45" i="7"/>
  <c r="Z49" i="7"/>
  <c r="Z40" i="7"/>
  <c r="Z57" i="7"/>
  <c r="Z38" i="7"/>
  <c r="N32" i="7"/>
  <c r="R35" i="7"/>
  <c r="Z35" i="7" s="1"/>
  <c r="V29" i="7"/>
  <c r="Z29" i="7" s="1"/>
  <c r="Z58" i="7"/>
  <c r="V19" i="7"/>
  <c r="Z19" i="7" s="1"/>
  <c r="M17" i="7"/>
  <c r="Z47" i="7"/>
  <c r="Z61" i="7"/>
  <c r="Z25" i="7"/>
  <c r="K27" i="7"/>
  <c r="V18" i="7"/>
  <c r="T31" i="7"/>
  <c r="Z34" i="7"/>
  <c r="K16" i="7"/>
  <c r="Z16" i="7" s="1"/>
  <c r="Z44" i="7"/>
  <c r="Z36" i="7"/>
  <c r="T13" i="7"/>
  <c r="Z26" i="7"/>
  <c r="V33" i="7"/>
  <c r="Z33" i="7" s="1"/>
  <c r="M12" i="7"/>
  <c r="N21" i="7"/>
  <c r="R14" i="7"/>
  <c r="Z14" i="7" s="1"/>
  <c r="Z23" i="7"/>
  <c r="Z22" i="7"/>
  <c r="Z20" i="7"/>
  <c r="P21" i="7"/>
  <c r="Z21" i="7" s="1"/>
  <c r="Z15" i="7"/>
  <c r="R12" i="7"/>
  <c r="T30" i="7"/>
  <c r="Z30" i="7" s="1"/>
  <c r="M31" i="7"/>
  <c r="Z52" i="7"/>
  <c r="N18" i="7"/>
  <c r="Z55" i="7"/>
  <c r="K12" i="7"/>
  <c r="P28" i="7"/>
  <c r="V17" i="7"/>
  <c r="P27" i="7"/>
  <c r="V24" i="7"/>
  <c r="T62" i="7"/>
  <c r="Z62" i="7" s="1"/>
  <c r="N27" i="7"/>
  <c r="P18" i="7"/>
  <c r="I22" i="4"/>
  <c r="L22" i="4" s="1"/>
  <c r="I20" i="4"/>
  <c r="L20" i="4" s="1"/>
  <c r="I42" i="4"/>
  <c r="L42" i="4" s="1"/>
  <c r="I10" i="4"/>
  <c r="L10" i="4" s="1"/>
  <c r="I32" i="4"/>
  <c r="L32" i="4" s="1"/>
  <c r="I44" i="4"/>
  <c r="L44" i="4" s="1"/>
  <c r="I27" i="4"/>
  <c r="L27" i="4" s="1"/>
  <c r="I43" i="4"/>
  <c r="L43" i="4" s="1"/>
  <c r="I51" i="4"/>
  <c r="L51" i="4" s="1"/>
  <c r="I31" i="4"/>
  <c r="L31" i="4" s="1"/>
  <c r="I49" i="4"/>
  <c r="L49" i="4" s="1"/>
  <c r="I17" i="4"/>
  <c r="L17" i="4" s="1"/>
  <c r="I21" i="4"/>
  <c r="L21" i="4" s="1"/>
  <c r="I24" i="4"/>
  <c r="L24" i="4" s="1"/>
  <c r="I34" i="4"/>
  <c r="L34" i="4" s="1"/>
  <c r="I46" i="4"/>
  <c r="L46" i="4" s="1"/>
  <c r="I29" i="4"/>
  <c r="L29" i="4" s="1"/>
  <c r="I45" i="4"/>
  <c r="L45" i="4" s="1"/>
  <c r="I53" i="4"/>
  <c r="L53" i="4" s="1"/>
  <c r="I47" i="4"/>
  <c r="L47" i="4" s="1"/>
  <c r="I14" i="4"/>
  <c r="L14" i="4" s="1"/>
  <c r="I26" i="4"/>
  <c r="L26" i="4" s="1"/>
  <c r="I52" i="4"/>
  <c r="L52" i="4" s="1"/>
  <c r="I19" i="4"/>
  <c r="L19" i="4" s="1"/>
  <c r="I12" i="4"/>
  <c r="L12" i="4" s="1"/>
  <c r="I11" i="4"/>
  <c r="L11" i="4" s="1"/>
  <c r="I23" i="4"/>
  <c r="L23" i="4" s="1"/>
  <c r="I28" i="4"/>
  <c r="L28" i="4" s="1"/>
  <c r="I38" i="4"/>
  <c r="L38" i="4" s="1"/>
  <c r="I54" i="4"/>
  <c r="L54" i="4" s="1"/>
  <c r="I35" i="4"/>
  <c r="L35" i="4" s="1"/>
  <c r="I48" i="4"/>
  <c r="L48" i="4" s="1"/>
  <c r="I55" i="4"/>
  <c r="L55" i="4" s="1"/>
  <c r="I9" i="4"/>
  <c r="L9" i="4" s="1"/>
  <c r="I16" i="4"/>
  <c r="L16" i="4" s="1"/>
  <c r="I36" i="4"/>
  <c r="L36" i="4" s="1"/>
  <c r="I18" i="4"/>
  <c r="L18" i="4" s="1"/>
  <c r="I30" i="4"/>
  <c r="L30" i="4" s="1"/>
  <c r="I40" i="4"/>
  <c r="L40" i="4" s="1"/>
  <c r="I56" i="4"/>
  <c r="L56" i="4" s="1"/>
  <c r="I25" i="4"/>
  <c r="L25" i="4" s="1"/>
  <c r="I39" i="4"/>
  <c r="L39" i="4" s="1"/>
  <c r="I50" i="4"/>
  <c r="L50" i="4" s="1"/>
  <c r="I15" i="4"/>
  <c r="L15" i="4" s="1"/>
  <c r="I33" i="4"/>
  <c r="L33" i="4" s="1"/>
  <c r="I41" i="4"/>
  <c r="L41" i="4" s="1"/>
  <c r="I37" i="4"/>
  <c r="L37" i="4" s="1"/>
  <c r="I13" i="4"/>
  <c r="L13" i="4" s="1"/>
  <c r="Z17" i="7" l="1"/>
  <c r="Z31" i="7"/>
  <c r="Z27" i="7"/>
  <c r="Z18" i="7"/>
  <c r="Z12" i="7"/>
  <c r="M33" i="4"/>
  <c r="M41" i="4"/>
  <c r="M39" i="4"/>
  <c r="M56" i="4"/>
  <c r="M18" i="4"/>
  <c r="M36" i="4"/>
  <c r="M55" i="4"/>
  <c r="M28" i="4"/>
  <c r="M19" i="4"/>
  <c r="M45" i="4"/>
  <c r="M46" i="4"/>
  <c r="M17" i="4"/>
  <c r="M43" i="4"/>
  <c r="M50" i="4"/>
  <c r="M38" i="4"/>
  <c r="M12" i="4"/>
  <c r="M14" i="4"/>
  <c r="M53" i="4"/>
  <c r="M21" i="4"/>
  <c r="M32" i="4"/>
  <c r="M37" i="4"/>
  <c r="M25" i="4"/>
  <c r="M16" i="4"/>
  <c r="M48" i="4"/>
  <c r="M54" i="4"/>
  <c r="M23" i="4"/>
  <c r="M52" i="4"/>
  <c r="M47" i="4"/>
  <c r="M29" i="4"/>
  <c r="M34" i="4"/>
  <c r="M27" i="4"/>
  <c r="M42" i="4"/>
  <c r="M30" i="4"/>
  <c r="M51" i="4"/>
  <c r="M13" i="4"/>
  <c r="M15" i="4"/>
  <c r="M40" i="4"/>
  <c r="M9" i="4"/>
  <c r="M35" i="4"/>
  <c r="M11" i="4"/>
  <c r="M26" i="4"/>
  <c r="M24" i="4"/>
  <c r="M49" i="4"/>
  <c r="M31" i="4"/>
  <c r="M44" i="4"/>
  <c r="M10" i="4"/>
  <c r="M20" i="4"/>
  <c r="M22" i="4"/>
</calcChain>
</file>

<file path=xl/sharedStrings.xml><?xml version="1.0" encoding="utf-8"?>
<sst xmlns="http://schemas.openxmlformats.org/spreadsheetml/2006/main" count="5479" uniqueCount="1114">
  <si>
    <t>TABELA</t>
  </si>
  <si>
    <t>Tabela Simulada</t>
  </si>
  <si>
    <t>TABELA_SIMUL</t>
  </si>
  <si>
    <t>TIPOLOGIA_TESTE</t>
  </si>
  <si>
    <t>Caracteres Especiais</t>
  </si>
  <si>
    <t>Coerência</t>
  </si>
  <si>
    <t>CAMPO</t>
  </si>
  <si>
    <t>TABELA_LT_PILAR3</t>
  </si>
  <si>
    <t>UNIVERSO_PILAR3</t>
  </si>
  <si>
    <t>UNIVERSO_SIMUL</t>
  </si>
  <si>
    <t>CRUZAMENTO</t>
  </si>
  <si>
    <t>Instrument</t>
  </si>
  <si>
    <t>Projeto</t>
  </si>
  <si>
    <t>Âmbito</t>
  </si>
  <si>
    <t xml:space="preserve">Testes GD &amp; Pilar 3 </t>
  </si>
  <si>
    <t>Análise dos campo da Loan Tape Pilar III</t>
  </si>
  <si>
    <t>nome_perimetro</t>
  </si>
  <si>
    <r>
      <t xml:space="preserve">Para a validação dos </t>
    </r>
    <r>
      <rPr>
        <b/>
        <sz val="11"/>
        <color theme="1"/>
        <rFont val="Neo sans"/>
      </rPr>
      <t>campos da Loan Tape Pilar III</t>
    </r>
    <r>
      <rPr>
        <sz val="11"/>
        <color theme="1"/>
        <rFont val="Neo sans"/>
      </rPr>
      <t xml:space="preserve"> é necessário percorrer os seguintes </t>
    </r>
    <r>
      <rPr>
        <i/>
        <sz val="11"/>
        <color theme="1"/>
        <rFont val="Neo sans"/>
      </rPr>
      <t>steps</t>
    </r>
    <r>
      <rPr>
        <sz val="11"/>
        <color theme="1"/>
        <rFont val="Neo sans"/>
      </rPr>
      <t>:</t>
    </r>
  </si>
  <si>
    <t xml:space="preserve">1.1.  Verificar a especificação do campo em análise. Se aplicável, verificar se é necessário reportar valor para ajustes. </t>
  </si>
  <si>
    <t>1.2.  Montar a simulação do campo tendo atenção aos seguintes pormenores:</t>
  </si>
  <si>
    <t xml:space="preserve">a) Não vamos fazer JOIN com a tabela de parametrização (LT803). Em alternativa, montamos um CASE WHEN ou importamos a parametrização. </t>
  </si>
  <si>
    <t>b) Para operações de ajustes verificar se o campo deve reportar valor.</t>
  </si>
  <si>
    <t>c) Se for necessário aplicar algum filtro (ou tratamento) que não está na especificação deixar um comentário no código.</t>
  </si>
  <si>
    <t>d) Garantir que não existem duplicados e deixar no código o número de registos de cada LEFT JOIN.</t>
  </si>
  <si>
    <t>segmento</t>
  </si>
  <si>
    <t>entidade</t>
  </si>
  <si>
    <t>lt002_instrument</t>
  </si>
  <si>
    <t>lt003_entity</t>
  </si>
  <si>
    <t>entty_id</t>
  </si>
  <si>
    <t>lt005_instr_ent</t>
  </si>
  <si>
    <t>instrmnt_id</t>
  </si>
  <si>
    <t>lt006_instr_prot</t>
  </si>
  <si>
    <t>prtctn_id</t>
  </si>
  <si>
    <t>lt004_protection</t>
  </si>
  <si>
    <t>Tabela Loan Tape Pilar 3</t>
  </si>
  <si>
    <t>Nome da Tabela</t>
  </si>
  <si>
    <t>Chave 1</t>
  </si>
  <si>
    <t>Chave 2</t>
  </si>
  <si>
    <t>Filtro Loan Tape Pilar 3</t>
  </si>
  <si>
    <t>bu_loantape_work</t>
  </si>
  <si>
    <t>Individual Corporativo</t>
  </si>
  <si>
    <t>ESTR</t>
  </si>
  <si>
    <t>PILAR3</t>
  </si>
  <si>
    <t>PM</t>
  </si>
  <si>
    <t>00100</t>
  </si>
  <si>
    <t/>
  </si>
  <si>
    <t>FORMATO CAMPO</t>
  </si>
  <si>
    <t>REF_DATE</t>
  </si>
  <si>
    <t>NUM_REG_DIF</t>
  </si>
  <si>
    <t>HTIMEST</t>
  </si>
  <si>
    <t>ID_EXEC</t>
  </si>
  <si>
    <t>NUM_REG</t>
  </si>
  <si>
    <t>TABELA_LT</t>
  </si>
  <si>
    <t>Tabela</t>
  </si>
  <si>
    <t>Campo</t>
  </si>
  <si>
    <t>VALOR_MIN</t>
  </si>
  <si>
    <t>VALOR_MAX</t>
  </si>
  <si>
    <t>1. Erros de Coerência (#)</t>
  </si>
  <si>
    <t>2. Erros de Valores Admitidos (#)</t>
  </si>
  <si>
    <t>3. Erros de Caract. Especiais (#)</t>
  </si>
  <si>
    <t>Testes Corridos (#)</t>
  </si>
  <si>
    <t>ID Exec. 1.</t>
  </si>
  <si>
    <t>ID Exec. 2</t>
  </si>
  <si>
    <t>ID Exec. 3.</t>
  </si>
  <si>
    <t>ID Exec. 4.</t>
  </si>
  <si>
    <t>ID Exec. 5.</t>
  </si>
  <si>
    <t>Comentário</t>
  </si>
  <si>
    <t>Status</t>
  </si>
  <si>
    <t>Validade</t>
  </si>
  <si>
    <t>4. Registos com Missing (#)</t>
  </si>
  <si>
    <t>5. Registos com N/A (#)</t>
  </si>
  <si>
    <t>6. Valor Mínimo</t>
  </si>
  <si>
    <t>7. Valor Máximo</t>
  </si>
  <si>
    <r>
      <t>1.</t>
    </r>
    <r>
      <rPr>
        <b/>
        <i/>
        <sz val="11"/>
        <color rgb="FFFF0000"/>
        <rFont val="Arial"/>
        <family val="2"/>
      </rPr>
      <t xml:space="preserve"> Status</t>
    </r>
    <r>
      <rPr>
        <b/>
        <sz val="11"/>
        <color rgb="FFFF0000"/>
        <rFont val="Arial"/>
        <family val="2"/>
      </rPr>
      <t xml:space="preserve"> dos Testes</t>
    </r>
  </si>
  <si>
    <r>
      <t xml:space="preserve">2. </t>
    </r>
    <r>
      <rPr>
        <b/>
        <i/>
        <sz val="11"/>
        <color rgb="FFFF0000"/>
        <rFont val="Arial"/>
        <family val="2"/>
      </rPr>
      <t>Script</t>
    </r>
    <r>
      <rPr>
        <b/>
        <sz val="11"/>
        <color rgb="FFFF0000"/>
        <rFont val="Arial"/>
        <family val="2"/>
      </rPr>
      <t xml:space="preserve"> de Controlos</t>
    </r>
  </si>
  <si>
    <t>3. Resultados dos controlos 1 a 5</t>
  </si>
  <si>
    <t>3. Resultados dos controlos 6 a 7</t>
  </si>
  <si>
    <t>QUERY 1</t>
  </si>
  <si>
    <t>UNION ALL</t>
  </si>
  <si>
    <r>
      <t xml:space="preserve">1. Atualizar 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 com o campo em análise.</t>
    </r>
  </si>
  <si>
    <r>
      <t xml:space="preserve">2. Executar no HUE (em HIVE) o CREATE TABLE do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simulação.</t>
    </r>
  </si>
  <si>
    <r>
      <t xml:space="preserve">3. Executar no HUE o </t>
    </r>
    <r>
      <rPr>
        <b/>
        <i/>
        <sz val="11"/>
        <color theme="1"/>
        <rFont val="Neo sans"/>
      </rPr>
      <t xml:space="preserve">script </t>
    </r>
    <r>
      <rPr>
        <b/>
        <sz val="11"/>
        <color theme="1"/>
        <rFont val="Neo sans"/>
      </rPr>
      <t>de controlo de universo.</t>
    </r>
  </si>
  <si>
    <r>
      <t xml:space="preserve">4. Verificar com IT o nome da tabela a testar e filtros. Caso seja necessário, atualizar as tabelas </t>
    </r>
    <r>
      <rPr>
        <b/>
        <i/>
        <sz val="11"/>
        <color theme="1"/>
        <rFont val="Neo sans"/>
      </rPr>
      <t>infra</t>
    </r>
    <r>
      <rPr>
        <b/>
        <sz val="11"/>
        <color theme="1"/>
        <rFont val="Neo sans"/>
      </rPr>
      <t>:</t>
    </r>
  </si>
  <si>
    <t>6. XXX</t>
  </si>
  <si>
    <t>7. XXX</t>
  </si>
  <si>
    <t>Protection</t>
  </si>
  <si>
    <t>Entity</t>
  </si>
  <si>
    <t>0. Instruções</t>
  </si>
  <si>
    <t>Code List</t>
  </si>
  <si>
    <t>Missings</t>
  </si>
  <si>
    <t>FLOAT 6 decimal places</t>
  </si>
  <si>
    <t>FLOAT 2 decimal places</t>
  </si>
  <si>
    <t>Not applicable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</si>
  <si>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</si>
  <si>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</si>
  <si>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</si>
  <si>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</si>
  <si>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</si>
  <si>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</si>
  <si>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</si>
  <si>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</si>
  <si>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</si>
  <si>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</si>
  <si>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</si>
  <si>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</si>
  <si>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</si>
  <si>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</si>
  <si>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</si>
  <si>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</si>
  <si>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</si>
  <si>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IDCMB</t>
  </si>
  <si>
    <t>ISIN</t>
  </si>
  <si>
    <t>CNTRY</t>
  </si>
  <si>
    <t>LEI</t>
  </si>
  <si>
    <t>ECNMC_ACTVTY</t>
  </si>
  <si>
    <t>GRP_EQTY</t>
  </si>
  <si>
    <t>ANNL_TRNVR_LE</t>
  </si>
  <si>
    <t>EQTY</t>
  </si>
  <si>
    <t>GRP_TTL_DBT</t>
  </si>
  <si>
    <t>TTL_DBT</t>
  </si>
  <si>
    <t>RL_ESTT_CLLTRL_LCTN</t>
  </si>
  <si>
    <t>RL_ESTT_PST_CD</t>
  </si>
  <si>
    <t>TYP_PRTCTN</t>
  </si>
  <si>
    <t>ORGNL_PRTCTN_VL</t>
  </si>
  <si>
    <t>PRTCTN_VL</t>
  </si>
  <si>
    <t>INSTRUMENT</t>
  </si>
  <si>
    <t>ENTITY</t>
  </si>
  <si>
    <t>PROTECTION</t>
  </si>
  <si>
    <t>VALORES CODE LIST</t>
  </si>
  <si>
    <t>Número de Registos ID1. (#)</t>
  </si>
  <si>
    <t>Número de Registos ID2&amp;9 (#)</t>
  </si>
  <si>
    <t>Auxiliar</t>
  </si>
  <si>
    <t xml:space="preserve">a) O número de registos em comum tem de ser igual ao número de registos do teste de coerência. Caso tenhamos registos que não são comuns é necessário ver exemplos para ver o que está a acontecer. </t>
  </si>
  <si>
    <t>5. Executar no HUE a bateria de testes da sheet 2. Script para o campo em análise</t>
  </si>
  <si>
    <t>a) Analisar resultados. Caso no teste de coerência conste diferenças é necessário ver exemplos. Deixo abaixo uma query de exemplo:</t>
  </si>
  <si>
    <t>SELECT *</t>
  </si>
  <si>
    <t>FROM</t>
  </si>
  <si>
    <t xml:space="preserve">  (SELECT instrmnt_id,</t>
  </si>
  <si>
    <t xml:space="preserve">          LNS_CLLTRLZD_CLSSFCTN</t>
  </si>
  <si>
    <t xml:space="preserve">   FROM BU_LOANTAPE_WORK.LT002_INSTRUMENT</t>
  </si>
  <si>
    <t xml:space="preserve">   WHERE ref_date='${ref_date}'</t>
  </si>
  <si>
    <t xml:space="preserve">     AND nome_perimetro='Individual Corporativo'</t>
  </si>
  <si>
    <t xml:space="preserve">     AND segmento='ESTR'</t>
  </si>
  <si>
    <t xml:space="preserve">     AND ambito='PILAR3')X</t>
  </si>
  <si>
    <t>INNER JOIN</t>
  </si>
  <si>
    <t xml:space="preserve">  (SELECT instrmnt_id AS instrmnt_id_SIMUL,</t>
  </si>
  <si>
    <t xml:space="preserve">          LNS_CLLTRLZD_CLSSFCTN AS LNS_CLLTRLZD_CLSSFCTN_SIMUL</t>
  </si>
  <si>
    <t xml:space="preserve">   FROM BU_LOANTAPE_WORK.LT002_INSTRUMENT_P3_JUN24)Y ON X.INSTRMNT_ID=Y.INSTRMNT_ID_SIMUL</t>
  </si>
  <si>
    <t>WHERE COALESCE(CAST(X.LNS_CLLTRLZD_CLSSFCTN AS STRING),'')&lt;&gt;COALESCE(CAST(Y.LNS_CLLTRLZD_CLSSFCTN_SIMUL AS STRING),'')</t>
  </si>
  <si>
    <t>4. Incidências pendentes</t>
  </si>
  <si>
    <t>STATUS</t>
  </si>
  <si>
    <t>chave_bem</t>
  </si>
  <si>
    <t>Aberto</t>
  </si>
  <si>
    <t>1</t>
  </si>
  <si>
    <t>Instr_activity</t>
  </si>
  <si>
    <t>lt007_instr_activity</t>
  </si>
  <si>
    <t>origem_scp1_emss</t>
  </si>
  <si>
    <t>origem_scp2_emss</t>
  </si>
  <si>
    <t>origem_scp3_emss</t>
  </si>
  <si>
    <t>scp1_emss</t>
  </si>
  <si>
    <t>scp2_emss</t>
  </si>
  <si>
    <t>unidade_funcional_scp1_emss</t>
  </si>
  <si>
    <t>unidade_funcional_scp2_emss</t>
  </si>
  <si>
    <t>unidade_funcional_scp3_emss</t>
  </si>
  <si>
    <t>net_floor_area</t>
  </si>
  <si>
    <t>epc</t>
  </si>
  <si>
    <t>actual_value_ind</t>
  </si>
  <si>
    <t>property_purpose_code</t>
  </si>
  <si>
    <t>valor_original</t>
  </si>
  <si>
    <t>tipo_finalidade_bem</t>
  </si>
  <si>
    <t>tipo_finalidade_bem_2</t>
  </si>
  <si>
    <t>nome_pais</t>
  </si>
  <si>
    <t>nome_estado</t>
  </si>
  <si>
    <t>tipo_bem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</si>
  <si>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</si>
  <si>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</si>
  <si>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</si>
  <si>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</si>
  <si>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</si>
  <si>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</si>
  <si>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score_qualidade</t>
  </si>
  <si>
    <t>classe_ativo</t>
  </si>
  <si>
    <t>tipo_fator_emissao</t>
  </si>
  <si>
    <t>regiao</t>
  </si>
  <si>
    <t>ano_fator_emissao</t>
  </si>
  <si>
    <t>ckutulmo</t>
  </si>
  <si>
    <t>htimest</t>
  </si>
  <si>
    <t>ref_date</t>
  </si>
  <si>
    <t>cod_visao</t>
  </si>
  <si>
    <t>epc_aux</t>
  </si>
  <si>
    <t>tipo_finalidade_bem_aux</t>
  </si>
  <si>
    <t>row_1</t>
  </si>
  <si>
    <t>chave_respons</t>
  </si>
  <si>
    <t>num_bens</t>
  </si>
  <si>
    <t>Fechado</t>
  </si>
  <si>
    <t>MODESG_OUT_BENS_IMOVEIS</t>
  </si>
  <si>
    <t>15/11: Incoerência de metodologia para o EPC G. No entanto para este tipo de finalidade (Residential total) é possível cruzar em função do tratamento do upper.</t>
  </si>
  <si>
    <t>31003014433390000000000000000000</t>
  </si>
  <si>
    <t>NULL</t>
  </si>
  <si>
    <t>68.00</t>
  </si>
  <si>
    <t>G</t>
  </si>
  <si>
    <t>1-REAL</t>
  </si>
  <si>
    <t>01</t>
  </si>
  <si>
    <t>1_01</t>
  </si>
  <si>
    <t>RESIDENTIAL TOTAL</t>
  </si>
  <si>
    <t>NON-RESIDENTIAL BUILDINGS</t>
  </si>
  <si>
    <t>31000309714436096000000000000000</t>
  </si>
  <si>
    <t>31003018083200000000000000000000</t>
  </si>
  <si>
    <t>99.00</t>
  </si>
  <si>
    <t>31000317146357096000000000000000</t>
  </si>
  <si>
    <t>31003014215320000000000000000000</t>
  </si>
  <si>
    <t>178.00</t>
  </si>
  <si>
    <t>31000308290768096000000000000000</t>
  </si>
  <si>
    <t>31003014123740000000000000000000</t>
  </si>
  <si>
    <t>84.00</t>
  </si>
  <si>
    <t>31000307652802096000000000000000</t>
  </si>
  <si>
    <t>31003015235300000000000000000000</t>
  </si>
  <si>
    <t>31000310720455096000000000000000</t>
  </si>
  <si>
    <t>31003015839710001000000000000000</t>
  </si>
  <si>
    <t>31000312087473096000000000000000</t>
  </si>
  <si>
    <t>31003014670500000000000000000000</t>
  </si>
  <si>
    <t>274.00</t>
  </si>
  <si>
    <t>31000310538923096000000000000000</t>
  </si>
  <si>
    <t>31003016991750000000000000000000</t>
  </si>
  <si>
    <t>100.00</t>
  </si>
  <si>
    <t>31000314240625096000000000000000</t>
  </si>
  <si>
    <t>31003012067010000000000000000000</t>
  </si>
  <si>
    <t>304.00</t>
  </si>
  <si>
    <t>31000301922631096000000000000000</t>
  </si>
  <si>
    <t>31003015538320000000000000000000</t>
  </si>
  <si>
    <t>153.00</t>
  </si>
  <si>
    <t>31000311367462096000000000000000</t>
  </si>
  <si>
    <t>31063416067640000000000000000000</t>
  </si>
  <si>
    <t>494.00</t>
  </si>
  <si>
    <t>31000601257262096000000000000000</t>
  </si>
  <si>
    <t>31003017022440000000000000000000</t>
  </si>
  <si>
    <t>105.00</t>
  </si>
  <si>
    <t>31000314008618096000000000000000</t>
  </si>
  <si>
    <t>31003015771890000000000000000000</t>
  </si>
  <si>
    <t>90.00</t>
  </si>
  <si>
    <t>31000311926077096000000000000000</t>
  </si>
  <si>
    <t>31003016189540000000000000000000</t>
  </si>
  <si>
    <t>160.00</t>
  </si>
  <si>
    <t>31000312773312096000000000000000</t>
  </si>
  <si>
    <t>31003012707370001000000000000000</t>
  </si>
  <si>
    <t>31000303062246096000000000000000</t>
  </si>
  <si>
    <t>31063015958320000000000000000000</t>
  </si>
  <si>
    <t>116.00</t>
  </si>
  <si>
    <t>31000600305088096000000000000000</t>
  </si>
  <si>
    <t>15/11: Incoerência de metodologia para o EPC G. Para este tipo de finalidade não é possível cruzar (o tratamento do upper não é suficiente para esta limitação).</t>
  </si>
  <si>
    <t>31084015188700000000000000000000</t>
  </si>
  <si>
    <t>77.00</t>
  </si>
  <si>
    <t>02</t>
  </si>
  <si>
    <t>1_02</t>
  </si>
  <si>
    <t>RETAIL - HIGH STREET</t>
  </si>
  <si>
    <t>31084015177880000000000000000000</t>
  </si>
  <si>
    <t>22.00</t>
  </si>
  <si>
    <t>31003015636000001000000000000000</t>
  </si>
  <si>
    <t>73.00</t>
  </si>
  <si>
    <t>08</t>
  </si>
  <si>
    <t>1_08</t>
  </si>
  <si>
    <t>NON-RESIDENTIAL TOTAL</t>
  </si>
  <si>
    <t>31003215729440000000000000000000</t>
  </si>
  <si>
    <t>2423.00</t>
  </si>
  <si>
    <t>1_04</t>
  </si>
  <si>
    <t>RETAIL - WAREHOUSE</t>
  </si>
  <si>
    <t>chave_bem_simul</t>
  </si>
  <si>
    <t>origem_scp1_emss_simul</t>
  </si>
  <si>
    <t>MODESG_OUT_EMSS_VCLS</t>
  </si>
  <si>
    <t>26/11: Incoerência entre origem de scope 1 e origem de scope 2</t>
  </si>
  <si>
    <t>89000000005111415000000000000001</t>
  </si>
  <si>
    <t>MVL_DQS4_3A</t>
  </si>
  <si>
    <t>405.0414520000</t>
  </si>
  <si>
    <t>405.04145176226452906275</t>
  </si>
  <si>
    <t>26/11: Incoerência entre origem reportada por IT e método de cálculo</t>
  </si>
  <si>
    <t>89000000005116456000000000000001</t>
  </si>
  <si>
    <t>MVL_DQS5_3B</t>
  </si>
  <si>
    <t>2321.4717340000</t>
  </si>
  <si>
    <t>17.5112080000</t>
  </si>
  <si>
    <t>2321.47173306560000000000</t>
  </si>
  <si>
    <t>17.51120769560000000000</t>
  </si>
  <si>
    <t>26/11: IT não reporta valor</t>
  </si>
  <si>
    <t>89000000008041032000000000000001</t>
  </si>
  <si>
    <t>1291.46905618188799808115</t>
  </si>
  <si>
    <t>43.28045253509438002635</t>
  </si>
  <si>
    <r>
      <t xml:space="preserve">Schema </t>
    </r>
    <r>
      <rPr>
        <b/>
        <sz val="11"/>
        <color theme="1"/>
        <rFont val="Neo sans"/>
      </rPr>
      <t>Loan Tape Pilar 3</t>
    </r>
  </si>
  <si>
    <r>
      <t xml:space="preserve">Schema </t>
    </r>
    <r>
      <rPr>
        <b/>
        <sz val="11"/>
        <color theme="1"/>
        <rFont val="Neo sans"/>
      </rPr>
      <t>Simulada</t>
    </r>
  </si>
  <si>
    <t>Filtros</t>
  </si>
  <si>
    <t>cd_loan_tapes_bce</t>
  </si>
  <si>
    <t>tipologia_teste</t>
  </si>
  <si>
    <t>tabela</t>
  </si>
  <si>
    <t>campo</t>
  </si>
  <si>
    <t>num_reg_dif</t>
  </si>
  <si>
    <t>Validação de campos</t>
  </si>
  <si>
    <t>lt003_entity_srb</t>
  </si>
  <si>
    <t>cr_flg</t>
  </si>
  <si>
    <t>Dependentes de campos com nova especificação - PRFRMNG_STTS_PRVS</t>
  </si>
  <si>
    <t>dt_prfrmng_stts_le</t>
  </si>
  <si>
    <t>Dependentes de campos com nova especificação - DT_PRFRMNG_STTS</t>
  </si>
  <si>
    <t>lt005_instr_ent_srb</t>
  </si>
  <si>
    <t>mn_entty_id</t>
  </si>
  <si>
    <t>CORREÇÃO DE IT</t>
  </si>
  <si>
    <t>lt002_instrument_srb</t>
  </si>
  <si>
    <t>dpd_12m_prfrmng_stts</t>
  </si>
  <si>
    <t>CAMPO COM NOVA ESPECIFICAÇÃO</t>
  </si>
  <si>
    <t>dpd_24m_prfrmng_stts</t>
  </si>
  <si>
    <t>dpd_prfrmng_stts</t>
  </si>
  <si>
    <t>ifrs9_bhvrl_mtrty</t>
  </si>
  <si>
    <t>dt_imprmnt_stts</t>
  </si>
  <si>
    <t>dt_imprmnt_stts_prvs</t>
  </si>
  <si>
    <t>dt_prfrmng_stts</t>
  </si>
  <si>
    <t>dt_prfrmng_stts_prvs</t>
  </si>
  <si>
    <t>frbrnc_stts_instrmnt</t>
  </si>
  <si>
    <t>CAMPO COM INCIDÊNCIAS</t>
  </si>
  <si>
    <t>imprmnt_stts_prvs</t>
  </si>
  <si>
    <t>off_blnc_sht_amnt_instrmnt_prvs</t>
  </si>
  <si>
    <t>prfrmng_stts_prvs</t>
  </si>
  <si>
    <t>rfnnc_prps</t>
  </si>
  <si>
    <t>DEPENDE DO FRBRNC_STTS_INSTRMNT</t>
  </si>
  <si>
    <t>Filtro Simulada</t>
  </si>
  <si>
    <t>INSTR_ENTITY</t>
  </si>
  <si>
    <t>INSTR_PROTECTION</t>
  </si>
  <si>
    <t>INSTR_ACTIVITY</t>
  </si>
  <si>
    <t>DT_BRTH</t>
  </si>
  <si>
    <t>DT_DFLT_STTS</t>
  </si>
  <si>
    <t>DT_FNNCL_STTMTS</t>
  </si>
  <si>
    <t>DT_FNNCL_STTMTS_PRVS</t>
  </si>
  <si>
    <t>DT_INTTN_LGL_PRCDNGS_LE</t>
  </si>
  <si>
    <t>DT_PRFRMNG_STTS_LE</t>
  </si>
  <si>
    <t>GCC_PRNT_ID</t>
  </si>
  <si>
    <t>GCC_PRNT_NM</t>
  </si>
  <si>
    <t>INTRNL_SGMNT</t>
  </si>
  <si>
    <t>INTRNL_UNT</t>
  </si>
  <si>
    <t>ENTTY_NM</t>
  </si>
  <si>
    <t>EXTRNL_RTNG_NM</t>
  </si>
  <si>
    <t>ACCNTNG_FRMWRK_SL</t>
  </si>
  <si>
    <t>CR_FLG</t>
  </si>
  <si>
    <t>DCSD</t>
  </si>
  <si>
    <t>DFLT_STTS</t>
  </si>
  <si>
    <t>DT_EXTRNL_RTNG</t>
  </si>
  <si>
    <t>DT_INTRNL_RTNG</t>
  </si>
  <si>
    <t>EMPLYMNT_STTS_INTRNL</t>
  </si>
  <si>
    <t>EMPLYMNT_STTS</t>
  </si>
  <si>
    <t>ENTRPRS_SZ_LE</t>
  </si>
  <si>
    <t>EXTRNL_RTNG</t>
  </si>
  <si>
    <t>EXTRNL_RTNG_PRVS</t>
  </si>
  <si>
    <t>FLG_BNKRPTCY_IN_GRP</t>
  </si>
  <si>
    <t>FLG_HGH_CDS</t>
  </si>
  <si>
    <t>FLG_ISDA_CRDT_EVNT</t>
  </si>
  <si>
    <t>FLG_NN_ACCRL</t>
  </si>
  <si>
    <t>FLG_RQST_BNKRPTCY</t>
  </si>
  <si>
    <t>FLG_RQST_DSTRSSD_RSTRCTRNG</t>
  </si>
  <si>
    <t>FLG_RQST_EMRGNCY_FNDNG</t>
  </si>
  <si>
    <t>FLG_SLL_WTH_LSS</t>
  </si>
  <si>
    <t>INCM_SC</t>
  </si>
  <si>
    <t>INTRNL_RTNG</t>
  </si>
  <si>
    <t>INTRNL_RTNG_PRVS</t>
  </si>
  <si>
    <t>LGL_PRCDNG_STTS_LE</t>
  </si>
  <si>
    <t>OWND_BY_SPNSR</t>
  </si>
  <si>
    <t>PRFRMNG_STTS_LE</t>
  </si>
  <si>
    <t>RTNG_MTHD</t>
  </si>
  <si>
    <t>RTNG_SCL</t>
  </si>
  <si>
    <t>WTCH_LST</t>
  </si>
  <si>
    <t>SNGL_PRPS_VHCL</t>
  </si>
  <si>
    <t>GRP_EBITDA</t>
  </si>
  <si>
    <t>GRP_NT_DBT</t>
  </si>
  <si>
    <t>ANNL_TRNVR_PRVS</t>
  </si>
  <si>
    <t>CAPEX</t>
  </si>
  <si>
    <t>CAPEX_PRVS</t>
  </si>
  <si>
    <t>CLLCTN_MD</t>
  </si>
  <si>
    <t>CSH</t>
  </si>
  <si>
    <t>CSH_PRVS</t>
  </si>
  <si>
    <t>EBITDA</t>
  </si>
  <si>
    <t>EBITDA_PRVS</t>
  </si>
  <si>
    <t>EQTY_PRVS</t>
  </si>
  <si>
    <t>GDWILL</t>
  </si>
  <si>
    <t>GDWILL_PRVS</t>
  </si>
  <si>
    <t>LTI</t>
  </si>
  <si>
    <t>LVRG</t>
  </si>
  <si>
    <t>LVRG_PRVS</t>
  </si>
  <si>
    <t>MNTHL_INCM</t>
  </si>
  <si>
    <t>MNTHL_INCM_SLR</t>
  </si>
  <si>
    <t>MNTHL_TRNVR</t>
  </si>
  <si>
    <t>NT_INCM</t>
  </si>
  <si>
    <t>NT_INCM_PRVS</t>
  </si>
  <si>
    <t>TTL_DBT_PRVS</t>
  </si>
  <si>
    <t>TTL_INTRST_PD</t>
  </si>
  <si>
    <t>TTL_LVRG_RT</t>
  </si>
  <si>
    <t>TTL_LVRG_RT_PRVS</t>
  </si>
  <si>
    <t>DBT_RPYMNT_CPCTY_SNR_DBT</t>
  </si>
  <si>
    <t>DBT_RPYMNT_CPCTY_TTL</t>
  </si>
  <si>
    <t>DBT_SRVC_RT</t>
  </si>
  <si>
    <t>DBT_SRVC_RT_12M</t>
  </si>
  <si>
    <t>PD_CRR_RD</t>
  </si>
  <si>
    <t>PD_IFRS9_12M_RD</t>
  </si>
  <si>
    <t>PD_IFRS9_12M_RD_T1</t>
  </si>
  <si>
    <t>TAX_ID</t>
  </si>
  <si>
    <t>ANNL_TRNVR_LE_BDR</t>
  </si>
  <si>
    <t>ANNL_TRNVR_PRVS_BDR</t>
  </si>
  <si>
    <t>OSI_ID</t>
  </si>
  <si>
    <t>PD_CRR_RD_T1</t>
  </si>
  <si>
    <t>EC_GRP_ID</t>
  </si>
  <si>
    <t>EC_GRP_NM</t>
  </si>
  <si>
    <t>PRSN_TYP</t>
  </si>
  <si>
    <t>FR_CSH_FLW</t>
  </si>
  <si>
    <t>FR_CSH_FLW_T1</t>
  </si>
  <si>
    <t>FR_CSH_FLW_T2</t>
  </si>
  <si>
    <t>FR_CSH_FLW_T3</t>
  </si>
  <si>
    <t>JNT_LBLTY_AMNT</t>
  </si>
  <si>
    <t>MN_ENTTY_ID</t>
  </si>
  <si>
    <t>CRE_FNRP18</t>
  </si>
  <si>
    <t>SME_FNRP18</t>
  </si>
  <si>
    <t>RRE_FNRP18</t>
  </si>
  <si>
    <t>CNSMPTN_FNRP18</t>
  </si>
  <si>
    <t>CNTRCT_ID</t>
  </si>
  <si>
    <t>CRRNCY_DNMNTN</t>
  </si>
  <si>
    <t>OBSRVD_AGNT_ID</t>
  </si>
  <si>
    <t>OBSRVD_AGNT_NM</t>
  </si>
  <si>
    <t>PRDCT</t>
  </si>
  <si>
    <t>BRCHD_CVNNTS</t>
  </si>
  <si>
    <t>CHNNL_ORGNTN</t>
  </si>
  <si>
    <t>CSH_SWP_TRP</t>
  </si>
  <si>
    <t>CVNNT_STTS</t>
  </si>
  <si>
    <t>CVNNT_TYP</t>
  </si>
  <si>
    <t>DT_DFLT_STTS_INSTRMNT</t>
  </si>
  <si>
    <t>DT_END_GP_PPAL</t>
  </si>
  <si>
    <t>DT_END_INTRST_ONLY</t>
  </si>
  <si>
    <t>DT_FRBRNC_STTS</t>
  </si>
  <si>
    <t>DT_FRBRNC_STTS_PRVS</t>
  </si>
  <si>
    <t>FRBRNC_STTS_INSTRMNT</t>
  </si>
  <si>
    <t>IMPRMNT_STTS_PRVS</t>
  </si>
  <si>
    <t>INTRNL_RTNG_INCPTN</t>
  </si>
  <si>
    <t>LCRE</t>
  </si>
  <si>
    <t>LGL_PRCDNG_STTS</t>
  </si>
  <si>
    <t>LND_DRGTN</t>
  </si>
  <si>
    <t>POCI</t>
  </si>
  <si>
    <t>PRFRMNG_STTS_PRVS</t>
  </si>
  <si>
    <t>PRPS</t>
  </si>
  <si>
    <t>PYMNT_INTRST_ONLY</t>
  </si>
  <si>
    <t>RCRS</t>
  </si>
  <si>
    <t>RFNNC_PRPS</t>
  </si>
  <si>
    <t>SPCLTV_LNDNG</t>
  </si>
  <si>
    <t>STTS_UNDRWRTTN_TRNSCTN</t>
  </si>
  <si>
    <t>TRNCH</t>
  </si>
  <si>
    <t>TYP_AMRTSTN</t>
  </si>
  <si>
    <t>TYP_INTRST_RT</t>
  </si>
  <si>
    <t>TYP_MRTGG</t>
  </si>
  <si>
    <t>TYP_CRE_OPRTN</t>
  </si>
  <si>
    <t>ACCRD_INTRST_INSTRMNT</t>
  </si>
  <si>
    <t>AMNT_D_AT_MTRTY</t>
  </si>
  <si>
    <t>CCF</t>
  </si>
  <si>
    <t>CMMTMNT_INCPTN_INSTRMNT</t>
  </si>
  <si>
    <t>CMMTMNT_INSTRMNT</t>
  </si>
  <si>
    <t>CRRYNG_AMNT_INSTRMNT</t>
  </si>
  <si>
    <t>DBT_YLD</t>
  </si>
  <si>
    <t>DT_ORGNL_MTRTY</t>
  </si>
  <si>
    <t>IFRS9_BHVRL_MTRTY</t>
  </si>
  <si>
    <t>EAD</t>
  </si>
  <si>
    <t>IFRS9_CCF</t>
  </si>
  <si>
    <t>IFRS9_EAD</t>
  </si>
  <si>
    <t>INSTLMNT_PAY</t>
  </si>
  <si>
    <t>OFF_BLNC_SHT_AMNT_INSTRMNT</t>
  </si>
  <si>
    <t>OFF_BLNC_SHT_AMNT_INSTRMNT_PRVS</t>
  </si>
  <si>
    <t>OTSTNDNG_NMNL_AMNT_INSTRMNT</t>
  </si>
  <si>
    <t>OTSTNDNG_NMNL_AMNT_INSTRMNT_PRVS</t>
  </si>
  <si>
    <t>PRVSNS_OFF_BLNC_SHT</t>
  </si>
  <si>
    <t>PYMNT_FRQNCY</t>
  </si>
  <si>
    <t>RTNTN_SHR</t>
  </si>
  <si>
    <t>RWA</t>
  </si>
  <si>
    <t>RWA_MTHD</t>
  </si>
  <si>
    <t>SPNSR_NM</t>
  </si>
  <si>
    <t>ACCMLTD_IMPRMNT_INSTRMNT_PRVS</t>
  </si>
  <si>
    <t>ACCMLTD_WRTFFS_INSTRMNT</t>
  </si>
  <si>
    <t>ARRRS_INSTRMNT</t>
  </si>
  <si>
    <t>ARRRS_INSTRMNT_12M</t>
  </si>
  <si>
    <t>CMLTV_RCVRS_SNC_DFLT_INSTRMNT</t>
  </si>
  <si>
    <t>DPD</t>
  </si>
  <si>
    <t>DPD_12M</t>
  </si>
  <si>
    <t>DPD_12M_FRBRNC_STTS</t>
  </si>
  <si>
    <t>DPD_12M_PRFRMNG_STTS</t>
  </si>
  <si>
    <t>DPD_24M_FRBRNC_STTS</t>
  </si>
  <si>
    <t>DPD_24M_PRFRMNG_STTS</t>
  </si>
  <si>
    <t>DPD_FRBRNC_STTS</t>
  </si>
  <si>
    <t>DPD_PRFRMNG_STTS</t>
  </si>
  <si>
    <t>IMPRMNT_ASSSSMNT_MTHD</t>
  </si>
  <si>
    <t>IMPRMNT_CLCLTN_MTHD</t>
  </si>
  <si>
    <t>NMBR_FRBRNC_MSRS</t>
  </si>
  <si>
    <t>IFRS9_LGD</t>
  </si>
  <si>
    <t>LGD</t>
  </si>
  <si>
    <t>LTV</t>
  </si>
  <si>
    <t>LTV_INCPTN</t>
  </si>
  <si>
    <t>LTV_NPE</t>
  </si>
  <si>
    <t>PD_CRR_INCPTN</t>
  </si>
  <si>
    <t>PD_IFRS9_12M_INCPTN</t>
  </si>
  <si>
    <t>PD_IFRS9_LFTM_INCPTN</t>
  </si>
  <si>
    <t>PD_IFRS9_RMNNG_LFTM_INCPTN</t>
  </si>
  <si>
    <t>PD_IFRS9_RMNNG_LFTM_RD</t>
  </si>
  <si>
    <t>SICR_ASSSSMNT_MTHD</t>
  </si>
  <si>
    <t>ANNLSD_AGRD_RT</t>
  </si>
  <si>
    <t>EIR</t>
  </si>
  <si>
    <t>EIR_INCPTN</t>
  </si>
  <si>
    <t>INTRST_RT_RST_FRQNCY</t>
  </si>
  <si>
    <t>RCVD_AMRTSTN_12M</t>
  </si>
  <si>
    <t>RCVD_AMRTSTN_24M</t>
  </si>
  <si>
    <t>RCVD_INTRST_12M</t>
  </si>
  <si>
    <t>RCVD_INTRST_24M</t>
  </si>
  <si>
    <t>SYNDCT_RL</t>
  </si>
  <si>
    <t>SYNDCTD_AGNT</t>
  </si>
  <si>
    <t>SYNDCTD_CNTRCT_ID</t>
  </si>
  <si>
    <t>SYNDCTD_LNDRS</t>
  </si>
  <si>
    <t>SYNDCTD_SHR</t>
  </si>
  <si>
    <t>SYNDCTN_TYP</t>
  </si>
  <si>
    <t>DT_CMPLNT_MRTR_STTS_C19</t>
  </si>
  <si>
    <t>DT_CMPLNT_MRTR_STTS_PRVS_C19</t>
  </si>
  <si>
    <t>MTRTY_LTST_MRTR_C19</t>
  </si>
  <si>
    <t>TYP_CMPLNT_MRTR_C19</t>
  </si>
  <si>
    <t>GRC_PRD_CPTL_INTRST_C19</t>
  </si>
  <si>
    <t>CMPLNT_MRTR_C19_NM</t>
  </si>
  <si>
    <t>FRBRNC_STTS_C19</t>
  </si>
  <si>
    <t>DT_FRBRNC_STTS_C19</t>
  </si>
  <si>
    <t>MTRTY_LTST_FRBRNC_MSR_C19</t>
  </si>
  <si>
    <t>DT_END_GP_PPAL_C19</t>
  </si>
  <si>
    <t>DT_END_INTRST_ONLY_C19</t>
  </si>
  <si>
    <t>SBJCT_PBLC_GRNT_SCHM_C19</t>
  </si>
  <si>
    <t>PBLC_GRNT_SCHM_C19_NM</t>
  </si>
  <si>
    <t>PMNT_PBLC_GRNT_SCHM_C19</t>
  </si>
  <si>
    <t>ASST_SCRT_CLSS</t>
  </si>
  <si>
    <t>CPN_CRRNCY</t>
  </si>
  <si>
    <t>GRNTR_ID</t>
  </si>
  <si>
    <t>GRNTR_ID_TYP</t>
  </si>
  <si>
    <t>HEDGE_ID</t>
  </si>
  <si>
    <t>INSTR_SNRTY_CLSS</t>
  </si>
  <si>
    <t>INSTRMNT_CLSS</t>
  </si>
  <si>
    <t>ISSR_ESA_2010</t>
  </si>
  <si>
    <t>ISSR_ID</t>
  </si>
  <si>
    <t>ISSR_ID_TYP</t>
  </si>
  <si>
    <t>ISSR_RTNG</t>
  </si>
  <si>
    <t>ISSR_RTNG_SRC</t>
  </si>
  <si>
    <t>ISSR_TYP</t>
  </si>
  <si>
    <t>LCR_BFFR_CTGRY</t>
  </si>
  <si>
    <t>PRCH_UNDR_RSL_AGR</t>
  </si>
  <si>
    <t>PRDNTL_PRTFL</t>
  </si>
  <si>
    <t>PRT_LCR_BFFR</t>
  </si>
  <si>
    <t>SPRD</t>
  </si>
  <si>
    <t>SRCS_ENCMBRNC</t>
  </si>
  <si>
    <t>TYPE_OF_PLCMNT</t>
  </si>
  <si>
    <t>VLTN_CRRNCY</t>
  </si>
  <si>
    <t>VLTN_TYP</t>
  </si>
  <si>
    <t>LVRG_FNNC_FLG</t>
  </si>
  <si>
    <t>INTRNL_SGMNT_IFRS9</t>
  </si>
  <si>
    <t>INTRNL_SGMNT_CAT_MSTA</t>
  </si>
  <si>
    <t>INTRNL_SGMNT_CATGSUB</t>
  </si>
  <si>
    <t>CRRLTN_CFFCNT</t>
  </si>
  <si>
    <t>ISIN_SCRTSTN</t>
  </si>
  <si>
    <t>CNTRCT_ID_BDR</t>
  </si>
  <si>
    <t>COD_SOC_INTRGRP</t>
  </si>
  <si>
    <t>LSTI</t>
  </si>
  <si>
    <t>DSTI</t>
  </si>
  <si>
    <t>LTI_INSTRMNT</t>
  </si>
  <si>
    <t>RFRNC_RT</t>
  </si>
  <si>
    <t>TYP_OFF_BLNC_PRDCT</t>
  </si>
  <si>
    <t>PRTCTN_ALLCTD_VL</t>
  </si>
  <si>
    <t>THRD_PRTY_PRRTY_CLMS</t>
  </si>
  <si>
    <t>DT_MTRTY_PRTCTN</t>
  </si>
  <si>
    <t>NTNL_ID</t>
  </si>
  <si>
    <t>PRTCTN_PRVDR_ID</t>
  </si>
  <si>
    <t>RL_ESTT_ADDRSS</t>
  </si>
  <si>
    <t>RL_ESTT_CLLTRL_LCTN_INT</t>
  </si>
  <si>
    <t>RL_ESTT_CTY</t>
  </si>
  <si>
    <t>HRCT_MV</t>
  </si>
  <si>
    <t>PRTCTN_CLLD</t>
  </si>
  <si>
    <t>TYP_PRTCTN_INTRNL</t>
  </si>
  <si>
    <t>TYP_PRTCTN_VL</t>
  </si>
  <si>
    <t>APPRSL_CRRNCY</t>
  </si>
  <si>
    <t>APPRSR</t>
  </si>
  <si>
    <t>DT_LST_FLL_APPRSL</t>
  </si>
  <si>
    <t>DT_ORGNL_PRTCTN_VL</t>
  </si>
  <si>
    <t>DT_PRTCTN_VL</t>
  </si>
  <si>
    <t>PRTCTN_FRCD_SL_VL</t>
  </si>
  <si>
    <t>PRTCTN_VL_NPE</t>
  </si>
  <si>
    <t>PRTCTN_VLTN_APPRCH</t>
  </si>
  <si>
    <t>DT_APPRSL_PRVS</t>
  </si>
  <si>
    <t>PRTCTN_VL_PRVS</t>
  </si>
  <si>
    <t>CNSTRCTN_STTS</t>
  </si>
  <si>
    <t>DT_CNSTRCTN_STTS</t>
  </si>
  <si>
    <t>DT_FRST_USG</t>
  </si>
  <si>
    <t>DVLPMNT_STTS</t>
  </si>
  <si>
    <t>MN_PRPS</t>
  </si>
  <si>
    <t>PRM_LCTN</t>
  </si>
  <si>
    <t>CRE_INCM_CRRNCY</t>
  </si>
  <si>
    <t>CRE_YRLY_EXPNSS</t>
  </si>
  <si>
    <t>CRE_YRLY_INCM</t>
  </si>
  <si>
    <t>PRTCTN_TYP_PBLC_GRNT_SCHM_C19</t>
  </si>
  <si>
    <t>YR_CNSTRCTN</t>
  </si>
  <si>
    <t>PRCNTG_ACTVTY</t>
  </si>
  <si>
    <t>VARCHAR2(5)</t>
  </si>
  <si>
    <t>DATE</t>
  </si>
  <si>
    <t>VARCHAR2(255)</t>
  </si>
  <si>
    <t>VARCHAR2(20)</t>
  </si>
  <si>
    <t>Y, N</t>
  </si>
  <si>
    <t>INTEGER</t>
  </si>
  <si>
    <t>VARCHAR2(60)</t>
  </si>
  <si>
    <t>CPN_RT</t>
  </si>
  <si>
    <t>DT_RFRNC</t>
  </si>
  <si>
    <t>ENTTY_ID</t>
  </si>
  <si>
    <t>INSTRMNT_ID</t>
  </si>
  <si>
    <t>PRTCTN_ID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</si>
  <si>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</si>
  <si>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</si>
  <si>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</si>
  <si>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</si>
  <si>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</si>
  <si>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</si>
  <si>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</si>
  <si>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</si>
  <si>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</si>
  <si>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</si>
  <si>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</si>
  <si>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</si>
  <si>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</si>
  <si>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</si>
  <si>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</si>
  <si>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</si>
  <si>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</si>
  <si>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</si>
  <si>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</si>
  <si>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</si>
  <si>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</si>
  <si>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</si>
  <si>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</si>
  <si>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ttl_lblty</t>
  </si>
  <si>
    <t>isin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</si>
  <si>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</si>
  <si>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</si>
  <si>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</si>
  <si>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</si>
  <si>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</si>
  <si>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</si>
  <si>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</si>
  <si>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</si>
  <si>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</si>
  <si>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</si>
  <si>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</si>
  <si>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</si>
  <si>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</si>
  <si>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</si>
  <si>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</si>
  <si>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</si>
  <si>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</si>
  <si>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</si>
  <si>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</si>
  <si>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</si>
  <si>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</si>
  <si>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</si>
  <si>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</si>
  <si>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</si>
  <si>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</si>
  <si>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dt_rfrnc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</si>
  <si>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</si>
  <si>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</si>
  <si>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</si>
  <si>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</si>
  <si>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</si>
  <si>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</si>
  <si>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</si>
  <si>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</si>
  <si>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</si>
  <si>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</si>
  <si>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</si>
  <si>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</si>
  <si>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</si>
  <si>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</si>
  <si>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</si>
  <si>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</si>
  <si>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</si>
  <si>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grss_intrst_incm</t>
  </si>
  <si>
    <t>grss_cmmssn_incm</t>
  </si>
  <si>
    <t>grss_cmmssn_incm_off_blnc</t>
  </si>
  <si>
    <t>idcmb</t>
  </si>
  <si>
    <t>cntry</t>
  </si>
  <si>
    <t>lei</t>
  </si>
  <si>
    <t>ecnmc_actvty</t>
  </si>
  <si>
    <t>grp_eqty</t>
  </si>
  <si>
    <t>annl_trnvr_le</t>
  </si>
  <si>
    <t>eqty</t>
  </si>
  <si>
    <t>grp_ttl_dbt</t>
  </si>
  <si>
    <t>ttl_dbt</t>
  </si>
  <si>
    <t>rl_estt_clltrl_lctn</t>
  </si>
  <si>
    <t>rl_estt_pst_cd</t>
  </si>
  <si>
    <t>typ_prtctn</t>
  </si>
  <si>
    <t>orgnl_prtctn_vl</t>
  </si>
  <si>
    <t>prtctn_vl</t>
  </si>
  <si>
    <t>flg_fin</t>
  </si>
  <si>
    <t>flg_exec</t>
  </si>
  <si>
    <t>flg_col</t>
  </si>
  <si>
    <t>flg_pro</t>
  </si>
  <si>
    <t>Status Atual</t>
  </si>
  <si>
    <t>Status Anterior</t>
  </si>
  <si>
    <t>Observações - Especificações</t>
  </si>
  <si>
    <t>3. Pendente de outros desenvolvimentos</t>
  </si>
  <si>
    <t>1. Concluído</t>
  </si>
  <si>
    <t>esg_sbsctr</t>
  </si>
  <si>
    <t>Package 2</t>
  </si>
  <si>
    <t>sstnbl_indctr</t>
  </si>
  <si>
    <t>4. Validação EF</t>
  </si>
  <si>
    <t>Package 5</t>
  </si>
  <si>
    <t xml:space="preserve">6. Em implementação </t>
  </si>
  <si>
    <t>7. Por iniciar</t>
  </si>
  <si>
    <t>Package 4</t>
  </si>
  <si>
    <t>Package 3</t>
  </si>
  <si>
    <t>FLG_SBSTNTL_CNTRBTN</t>
  </si>
  <si>
    <t>FLG_DNSH_CMPLNC</t>
  </si>
  <si>
    <t>DNSH_DTL</t>
  </si>
  <si>
    <t>sstnbl_ctgry</t>
  </si>
  <si>
    <t>2.2 Em especificação</t>
  </si>
  <si>
    <t>NW_BSNSS</t>
  </si>
  <si>
    <t>CNCLLD_INSTRMNT_STTS</t>
  </si>
  <si>
    <t>Package 4 --&gt; Não está especificado no LT - não conseguimos testar</t>
  </si>
  <si>
    <t>FLG_MNMM_SFGRDS</t>
  </si>
  <si>
    <t>entty_nm</t>
  </si>
  <si>
    <t>ec_grp_id</t>
  </si>
  <si>
    <t>ec_grp_nm</t>
  </si>
  <si>
    <t>grp_ecnmc_actvty</t>
  </si>
  <si>
    <t>txnmy_elgbl_capex_w</t>
  </si>
  <si>
    <t>Package 1</t>
  </si>
  <si>
    <t>txnmy_elgbl_trnvr_w</t>
  </si>
  <si>
    <t>txnmy_elgbl_capex_p</t>
  </si>
  <si>
    <t>txnmy_elgbl_trnvr_p</t>
  </si>
  <si>
    <t>txnmy_elgbl_capex_b</t>
  </si>
  <si>
    <t>txnmy_elgbl_trnvr_b</t>
  </si>
  <si>
    <t>txnmy_elgbl_capex_ce</t>
  </si>
  <si>
    <t>txnmy_elgbl_trnvr_ce</t>
  </si>
  <si>
    <t>pure_capex_p</t>
  </si>
  <si>
    <t>pure_trnvr_p</t>
  </si>
  <si>
    <t>pure_capex_b</t>
  </si>
  <si>
    <t>pure_trnvr_b</t>
  </si>
  <si>
    <t>pure_capex_w</t>
  </si>
  <si>
    <t>pure_trnvr_w</t>
  </si>
  <si>
    <t>pure_capex_ce</t>
  </si>
  <si>
    <t>pure_trnvr_ce</t>
  </si>
  <si>
    <t>enblng_capex_w</t>
  </si>
  <si>
    <t>enblng_trnvr_w</t>
  </si>
  <si>
    <t>enblng_capex_ce</t>
  </si>
  <si>
    <t>enblng_trnvr_ce</t>
  </si>
  <si>
    <t>prtctn_allctd_vl</t>
  </si>
  <si>
    <t>TYP_RLTN</t>
  </si>
  <si>
    <t>0. Cancelado</t>
  </si>
  <si>
    <t>TYP_EMSSNS_LBL</t>
  </si>
  <si>
    <t>EPC_EMSSNS_LBL</t>
  </si>
  <si>
    <t>VHCL_EMSSNS_LBL</t>
  </si>
  <si>
    <t>TYP_EMSSNS_SCR</t>
  </si>
  <si>
    <t>EPC_EMSSNS_SCR</t>
  </si>
  <si>
    <t>VHCL_EMSSNS_SCR</t>
  </si>
  <si>
    <t>INSRNC_ID</t>
  </si>
  <si>
    <t>TYP_HZRDS_INSRD</t>
  </si>
  <si>
    <t>AMNT_CVRD_INSRNC</t>
  </si>
  <si>
    <t>DT_MTRTY_INSRNC</t>
  </si>
  <si>
    <t>FLG_FRST_HM</t>
  </si>
  <si>
    <t>BLDNG_AR</t>
  </si>
  <si>
    <t>RL_ESTT_CRTFCTN</t>
  </si>
  <si>
    <t>TYP_VHCL</t>
  </si>
  <si>
    <t>DT_RGSTRTN</t>
  </si>
  <si>
    <t>PRMRY_ENRGY_DMND_NN_RNWBL</t>
  </si>
  <si>
    <t>PRMRY_ENRGY_DMND_TTL</t>
  </si>
  <si>
    <t>PRMRY_ENRGY_DMND_RFRNC_VL</t>
  </si>
  <si>
    <t>RL_ESTT_CLMT_ZN</t>
  </si>
  <si>
    <t>AUX</t>
  </si>
  <si>
    <t>2.Script</t>
  </si>
  <si>
    <t>ENTITYCOD_SOC</t>
  </si>
  <si>
    <t>ENTITYCNTRY</t>
  </si>
  <si>
    <t>ENTITYDT_RFRNC</t>
  </si>
  <si>
    <t>ENTITYENTTY_ID</t>
  </si>
  <si>
    <t>ENTITYLEI</t>
  </si>
  <si>
    <t>ENTITYENTTY_NM</t>
  </si>
  <si>
    <t>ENTITYECNMC_ACTVTY</t>
  </si>
  <si>
    <t>ENTITYGRP_EQTY</t>
  </si>
  <si>
    <t>ENTITYANNL_TRNVR_LE</t>
  </si>
  <si>
    <t>ENTITYEQTY</t>
  </si>
  <si>
    <t>ENTITYGRP_TTL_DBT</t>
  </si>
  <si>
    <t>ENTITYTTL_DBT</t>
  </si>
  <si>
    <t>ENTITYEC_GRP_NM</t>
  </si>
  <si>
    <t>INSTR_ENTITYCOD_SOC</t>
  </si>
  <si>
    <t>INSTR_ENTITYDT_RFRNC</t>
  </si>
  <si>
    <t>INSTR_ENTITYENTTY_ID</t>
  </si>
  <si>
    <t>INSTR_ENTITYINSTRMNT_ID</t>
  </si>
  <si>
    <t>INSTR_ENTITYMN_ENTTY_ID</t>
  </si>
  <si>
    <t>INSTRUMENTCOD_SOC</t>
  </si>
  <si>
    <t>INSTRUMENTSUBPORTFOLIO_ID</t>
  </si>
  <si>
    <t>INSTRUMENTINSTRMNT_ID</t>
  </si>
  <si>
    <t>INSTRUMENTDFLT_STTS_INSTRMNT</t>
  </si>
  <si>
    <t>INSTRUMENTFRBRNC_STTS_INSTRMNT</t>
  </si>
  <si>
    <t>INSTRUMENTIMPRMNT_STTS</t>
  </si>
  <si>
    <t>INSTRUMENTPRFRMNG_STTS</t>
  </si>
  <si>
    <t>INSTRUMENTPRJCT_FNNC_LN</t>
  </si>
  <si>
    <t>INSTRUMENTTYP_INSTRMNT</t>
  </si>
  <si>
    <t>INSTRUMENTGRSS_CRRYNG_AMNT_INSTRMNT</t>
  </si>
  <si>
    <t>INSTRUMENTACCMLTD_CHNGS_FV_CR_INSTRMNT</t>
  </si>
  <si>
    <t>INSTRUMENTACCNTNG_CLSSFCTN</t>
  </si>
  <si>
    <t>INSTRUMENTIFRS9_BHVRL_MTRTY</t>
  </si>
  <si>
    <t>INSTRUMENTACCMLTD_IMPRMNT_INSTRMNT</t>
  </si>
  <si>
    <t>INSTRUMENTLTV</t>
  </si>
  <si>
    <t>INSTRUMENTLTV_INCPTN</t>
  </si>
  <si>
    <t>INSTRUMENTANNLSD_AGRD_RT</t>
  </si>
  <si>
    <t>INSTRUMENTISSR_CNTRY</t>
  </si>
  <si>
    <t>INSTRUMENTISSR_NACE_SCTR</t>
  </si>
  <si>
    <t>INSTRUMENTPRMRY_ASST_CLSSF</t>
  </si>
  <si>
    <t>INSTRUMENTLCL_INSTMRNT_ID</t>
  </si>
  <si>
    <t>INSTRUMENTIDCMB</t>
  </si>
  <si>
    <t>INSTR_PROTECTIONCOD_SOC</t>
  </si>
  <si>
    <t>INSTR_PROTECTIONDT_RFRNC</t>
  </si>
  <si>
    <t>INSTR_PROTECTIONINSTRMNT_ID</t>
  </si>
  <si>
    <t>INSTR_PROTECTIONPRTCTN_ID</t>
  </si>
  <si>
    <t>INSTR_PROTECTIONPRTCTN_ALLCTD_VL</t>
  </si>
  <si>
    <t>PROTECTIONCOD_SOC</t>
  </si>
  <si>
    <t>PROTECTIONDT_RFRNC</t>
  </si>
  <si>
    <t>PROTECTIONPRTCTN_ID</t>
  </si>
  <si>
    <t>PROTECTIONRL_ESTT_CLLTRL_LCTN</t>
  </si>
  <si>
    <t>PROTECTIONRL_ESTT_PST_CD</t>
  </si>
  <si>
    <t>PROTECTIONTYP_PRTCTN</t>
  </si>
  <si>
    <t>PROTECTIONORGNL_PRTCTN_VL</t>
  </si>
  <si>
    <t>PROTECTIONPRTCTN_VL</t>
  </si>
  <si>
    <t>PROTECTIONYR_CNSTRCTN</t>
  </si>
  <si>
    <t>INSTRUMENTACCMLTD_IMPRMNT_INSTRMNT_PRVS</t>
  </si>
  <si>
    <t>INSTRUMENTACCMLTD_WRTFFS_INSTRMNT</t>
  </si>
  <si>
    <t>INSTRUMENTACCRD_INTRST_INSTRMNT</t>
  </si>
  <si>
    <t>INSTRUMENTAMNT_D_AT_MTRTY</t>
  </si>
  <si>
    <t>INSTRUMENTARRRS_INSTRMNT</t>
  </si>
  <si>
    <t>INSTRUMENTARRRS_INSTRMNT_12M</t>
  </si>
  <si>
    <t>INSTRUMENTASST_SCRT_CLSS</t>
  </si>
  <si>
    <t>INSTRUMENTBRCHD_CVNNTS</t>
  </si>
  <si>
    <t>INSTRUMENTCCF</t>
  </si>
  <si>
    <t>INSTRUMENTCHNNL_ORGNTN</t>
  </si>
  <si>
    <t>INSTRUMENTCMLTV_RCVRS_SNC_DFLT_INSTRMNT</t>
  </si>
  <si>
    <t>INSTRUMENTCMMTMNT_INCPTN_INSTRMNT</t>
  </si>
  <si>
    <t>INSTRUMENTCMMTMNT_INSTRMNT</t>
  </si>
  <si>
    <t>INSTRUMENTCMPLNT_MRTR_C19_NM</t>
  </si>
  <si>
    <t>INSTRUMENTCNSMPTN_FNRP18</t>
  </si>
  <si>
    <t>INSTRUMENTCNTRCT_ID</t>
  </si>
  <si>
    <t>INSTRUMENTCNTRCT_ID_BDR</t>
  </si>
  <si>
    <t>INSTRUMENTCOD_SOC_INTRGRP</t>
  </si>
  <si>
    <t>INSTRUMENTCPN_CRRNCY</t>
  </si>
  <si>
    <t>INSTRUMENTCPN_RT</t>
  </si>
  <si>
    <t>INSTRUMENTCRE_FNRP18</t>
  </si>
  <si>
    <t>INSTRUMENTCRRLTN_CFFCNT</t>
  </si>
  <si>
    <t>INSTRUMENTCRRNCY_DNMNTN</t>
  </si>
  <si>
    <t>INSTRUMENTCRRYNG_AMNT_INSTRMNT</t>
  </si>
  <si>
    <t>INSTRUMENTCSH_SWP_TRP</t>
  </si>
  <si>
    <t>INSTRUMENTCVNNT_STTS</t>
  </si>
  <si>
    <t>INSTRUMENTCVNNT_TYP</t>
  </si>
  <si>
    <t>INSTRUMENTDBT_YLD</t>
  </si>
  <si>
    <t>INSTRUMENTDPD</t>
  </si>
  <si>
    <t>INSTRUMENTDPD_12M</t>
  </si>
  <si>
    <t>INSTRUMENTDPD_12M_FRBRNC_STTS</t>
  </si>
  <si>
    <t>INSTRUMENTDPD_12M_PRFRMNG_STTS</t>
  </si>
  <si>
    <t>INSTRUMENTDPD_24M_FRBRNC_STTS</t>
  </si>
  <si>
    <t>INSTRUMENTDPD_24M_PRFRMNG_STTS</t>
  </si>
  <si>
    <t>INSTRUMENTDPD_FRBRNC_STTS</t>
  </si>
  <si>
    <t>INSTRUMENTDPD_PRFRMNG_STTS</t>
  </si>
  <si>
    <t>INSTRUMENTDSTI</t>
  </si>
  <si>
    <t>INSTRUMENTDT_CMPLNT_MRTR_STTS_C19</t>
  </si>
  <si>
    <t>INSTRUMENTDT_CMPLNT_MRTR_STTS_PRVS_C19</t>
  </si>
  <si>
    <t>INSTRUMENTDT_DFLT_STTS_INSTRMNT</t>
  </si>
  <si>
    <t>INSTRUMENTDT_END_GP_PPAL</t>
  </si>
  <si>
    <t>INSTRUMENTDT_END_GP_PPAL_C19</t>
  </si>
  <si>
    <t>INSTRUMENTDT_END_INTRST_ONLY</t>
  </si>
  <si>
    <t>INSTRUMENTDT_END_INTRST_ONLY_C19</t>
  </si>
  <si>
    <t>INSTRUMENTDT_FRBRNC_STTS</t>
  </si>
  <si>
    <t>INSTRUMENTDT_FRBRNC_STTS_C19</t>
  </si>
  <si>
    <t>INSTRUMENTDT_FRBRNC_STTS_PRVS</t>
  </si>
  <si>
    <t>INSTRUMENTFRBRNC_STTS_C19</t>
  </si>
  <si>
    <t>INSTRUMENTGRC_PRD_CPTL_INTRST_C19</t>
  </si>
  <si>
    <t>INSTRUMENTGRNTR_ID</t>
  </si>
  <si>
    <t>INSTRUMENTGRNTR_ID_TYP</t>
  </si>
  <si>
    <t>INSTRUMENTHEDGE_ID</t>
  </si>
  <si>
    <t>INSTRUMENTIFRS9_CCF</t>
  </si>
  <si>
    <t>INSTRUMENTIFRS9_EAD</t>
  </si>
  <si>
    <t>INSTRUMENTIFRS9_LGD</t>
  </si>
  <si>
    <t>INSTRUMENTIMPRMNT_ASSSSMNT_MTHD</t>
  </si>
  <si>
    <t>INSTRUMENTIMPRMNT_CLCLTN_MTHD</t>
  </si>
  <si>
    <t>INSTRUMENTIMPRMNT_STTS_PRVS</t>
  </si>
  <si>
    <t>INSTRUMENTINSTLMNT_PAY</t>
  </si>
  <si>
    <t>INSTRUMENTINSTR_SNRTY_CLSS</t>
  </si>
  <si>
    <t>INSTRUMENTINSTRMNT_CLSS</t>
  </si>
  <si>
    <t>INSTRUMENTINTRNL_RTNG</t>
  </si>
  <si>
    <t>INSTRUMENTINTRNL_RTNG_INCPTN</t>
  </si>
  <si>
    <t>INSTRUMENTINTRNL_SGMNT</t>
  </si>
  <si>
    <t>INSTRUMENTINTRNL_SGMNT_CAT_MSTA</t>
  </si>
  <si>
    <t>INSTRUMENTINTRNL_SGMNT_CATGSUB</t>
  </si>
  <si>
    <t>INSTRUMENTINTRNL_SGMNT_IFRS9</t>
  </si>
  <si>
    <t>INSTRUMENTINTRNL_UNT</t>
  </si>
  <si>
    <t>INSTRUMENTINTRST_RT_RST_FRQNCY</t>
  </si>
  <si>
    <t>INSTRUMENTISIN</t>
  </si>
  <si>
    <t>INSTRUMENTISIN_SCRTSTN</t>
  </si>
  <si>
    <t>INSTRUMENTISSR_ESA_2010</t>
  </si>
  <si>
    <t>INSTRUMENTISSR_ID</t>
  </si>
  <si>
    <t>INSTRUMENTISSR_ID_TYP</t>
  </si>
  <si>
    <t>INSTRUMENTISSR_RTNG</t>
  </si>
  <si>
    <t>INSTRUMENTISSR_RTNG_SRC</t>
  </si>
  <si>
    <t>INSTRUMENTISSR_TYP</t>
  </si>
  <si>
    <t>INSTRUMENTLCR_BFFR_CTGRY</t>
  </si>
  <si>
    <t>INSTRUMENTLCRE</t>
  </si>
  <si>
    <t>INSTRUMENTLGD</t>
  </si>
  <si>
    <t>INSTRUMENTLGL_PRCDNG_STTS</t>
  </si>
  <si>
    <t>INSTRUMENTLND_DRGTN</t>
  </si>
  <si>
    <t>INSTRUMENTLSTI</t>
  </si>
  <si>
    <t>INSTRUMENTLTI_INSTRMNT</t>
  </si>
  <si>
    <t>INSTRUMENTLTV_NPE</t>
  </si>
  <si>
    <t>INSTRUMENTLVRG_FNNC_FLG</t>
  </si>
  <si>
    <t>INSTRUMENTMTRTY_LTST_FRBRNC_MSR_C19</t>
  </si>
  <si>
    <t>INSTRUMENTMTRTY_LTST_MRTR_C19</t>
  </si>
  <si>
    <t>INSTRUMENTNMBR_FRBRNC_MSRS</t>
  </si>
  <si>
    <t>INSTRUMENTOBSRVD_AGNT_ID</t>
  </si>
  <si>
    <t>INSTRUMENTOBSRVD_AGNT_NM</t>
  </si>
  <si>
    <t>INSTRUMENTOFF_BLNC_SHT_AMNT_INSTRMNT</t>
  </si>
  <si>
    <t>INSTRUMENTOFF_BLNC_SHT_AMNT_INSTRMNT_PRVS</t>
  </si>
  <si>
    <t>INSTRUMENTOTSTNDNG_NMNL_AMNT_INSTRMNT</t>
  </si>
  <si>
    <t>INSTRUMENTOTSTNDNG_NMNL_AMNT_INSTRMNT_PRVS</t>
  </si>
  <si>
    <t>INSTRUMENTPBLC_GRNT_SCHM_C19_NM</t>
  </si>
  <si>
    <t>INSTRUMENTPD_CRR_INCPTN</t>
  </si>
  <si>
    <t>INSTRUMENTPD_CRR_RD</t>
  </si>
  <si>
    <t>INSTRUMENTPD_CRR_RD_T1</t>
  </si>
  <si>
    <t>INSTRUMENTPD_IFRS9_12M_INCPTN</t>
  </si>
  <si>
    <t>INSTRUMENTPD_IFRS9_12M_RD</t>
  </si>
  <si>
    <t>INSTRUMENTPD_IFRS9_12M_RD_T1</t>
  </si>
  <si>
    <t>INSTRUMENTPD_IFRS9_LFTM_INCPTN</t>
  </si>
  <si>
    <t>INSTRUMENTPD_IFRS9_RMNNG_LFTM_INCPTN</t>
  </si>
  <si>
    <t>INSTRUMENTPD_IFRS9_RMNNG_LFTM_RD</t>
  </si>
  <si>
    <t>INSTRUMENTPMNT_PBLC_GRNT_SCHM_C19</t>
  </si>
  <si>
    <t>INSTRUMENTPOCI</t>
  </si>
  <si>
    <t>INSTRUMENTPRCH_UNDR_RSL_AGR</t>
  </si>
  <si>
    <t>INSTRUMENTPRDCT</t>
  </si>
  <si>
    <t>INSTRUMENTPRDNTL_PRTFL</t>
  </si>
  <si>
    <t>INSTRUMENTPRFRMNG_STTS_PRVS</t>
  </si>
  <si>
    <t>INSTRUMENTPRPS</t>
  </si>
  <si>
    <t>INSTRUMENTPRT_LCR_BFFR</t>
  </si>
  <si>
    <t>INSTRUMENTPRVSNS_OFF_BLNC_SHT</t>
  </si>
  <si>
    <t>INSTRUMENTPYMNT_FRQNCY</t>
  </si>
  <si>
    <t>INSTRUMENTPYMNT_INTRST_ONLY</t>
  </si>
  <si>
    <t>INSTRUMENTRCRS</t>
  </si>
  <si>
    <t>INSTRUMENTRCVD_AMRTSTN_12M</t>
  </si>
  <si>
    <t>INSTRUMENTRCVD_AMRTSTN_24M</t>
  </si>
  <si>
    <t>INSTRUMENTRCVD_INTRST_12M</t>
  </si>
  <si>
    <t>INSTRUMENTRCVD_INTRST_24M</t>
  </si>
  <si>
    <t>INSTRUMENTRFNNC_PRPS</t>
  </si>
  <si>
    <t>INSTRUMENTRFRNC_RT</t>
  </si>
  <si>
    <t>INSTRUMENTRRE_FNRP18</t>
  </si>
  <si>
    <t>INSTRUMENTRTNG_MTHD</t>
  </si>
  <si>
    <t>INSTRUMENTRTNG_SCL</t>
  </si>
  <si>
    <t>INSTRUMENTRTNTN_SHR</t>
  </si>
  <si>
    <t>INSTRUMENTRWA</t>
  </si>
  <si>
    <t>INSTRUMENTRWA_MTHD</t>
  </si>
  <si>
    <t>INSTRUMENTSBJCT_PBLC_GRNT_SCHM_C19</t>
  </si>
  <si>
    <t>INSTRUMENTSICR_ASSSSMNT_MTHD</t>
  </si>
  <si>
    <t>INSTRUMENTSME_FNRP18</t>
  </si>
  <si>
    <t>INSTRUMENTSPCLTV_LNDNG</t>
  </si>
  <si>
    <t>INSTRUMENTSPNSR_NM</t>
  </si>
  <si>
    <t>INSTRUMENTSPRD</t>
  </si>
  <si>
    <t>INSTRUMENTSRCS_ENCMBRNC</t>
  </si>
  <si>
    <t>INSTRUMENTSTTS_UNDRWRTTN_TRNSCTN</t>
  </si>
  <si>
    <t>INSTRUMENTSYNDCT_RL</t>
  </si>
  <si>
    <t>INSTRUMENTSYNDCTD_AGNT</t>
  </si>
  <si>
    <t>INSTRUMENTSYNDCTD_CNTRCT_ID</t>
  </si>
  <si>
    <t>INSTRUMENTSYNDCTD_LNDRS</t>
  </si>
  <si>
    <t>INSTRUMENTSYNDCTD_SHR</t>
  </si>
  <si>
    <t>INSTRUMENTSYNDCTN_TYP</t>
  </si>
  <si>
    <t>INSTRUMENTTRNCH</t>
  </si>
  <si>
    <t>INSTRUMENTTYP_AMRTSTN</t>
  </si>
  <si>
    <t>INSTRUMENTTYP_CMPLNT_MRTR_C19</t>
  </si>
  <si>
    <t>INSTRUMENTTYP_CRE_OPRTN</t>
  </si>
  <si>
    <t>INSTRUMENTTYP_INTRST_RT</t>
  </si>
  <si>
    <t>INSTRUMENTTYP_MRTGG</t>
  </si>
  <si>
    <t>INSTRUMENTTYPE_OF_PLCMNT</t>
  </si>
  <si>
    <t>INSTRUMENTVLTN_CRRNCY</t>
  </si>
  <si>
    <t>INSTRUMENTVLTN_TYP</t>
  </si>
  <si>
    <t>ENTITYACCNTNG_FRMWRK_SL</t>
  </si>
  <si>
    <t>ENTITYANNL_TRNVR_LE_BDR</t>
  </si>
  <si>
    <t>ENTITYANNL_TRNVR_PRVS</t>
  </si>
  <si>
    <t>ENTITYANNL_TRNVR_PRVS_BDR</t>
  </si>
  <si>
    <t>ENTITYCAPEX</t>
  </si>
  <si>
    <t>ENTITYCAPEX_PRVS</t>
  </si>
  <si>
    <t>ENTITYCLLCTN_MD</t>
  </si>
  <si>
    <t>ENTITYCR_FLG</t>
  </si>
  <si>
    <t>ENTITYCSH</t>
  </si>
  <si>
    <t>ENTITYCSH_PRVS</t>
  </si>
  <si>
    <t>ENTITYDBT_RPYMNT_CPCTY_SNR_DBT</t>
  </si>
  <si>
    <t>ENTITYDBT_RPYMNT_CPCTY_TTL</t>
  </si>
  <si>
    <t>ENTITYDBT_SRVC_RT</t>
  </si>
  <si>
    <t>ENTITYDBT_SRVC_RT_12M</t>
  </si>
  <si>
    <t>ENTITYDCSD</t>
  </si>
  <si>
    <t>ENTITYDFLT_STTS</t>
  </si>
  <si>
    <t>ENTITYDT_BRTH</t>
  </si>
  <si>
    <t>ENTITYDT_DFLT_STTS</t>
  </si>
  <si>
    <t>ENTITYDT_EXTRNL_RTNG</t>
  </si>
  <si>
    <t>ENTITYDT_FNNCL_STTMTS</t>
  </si>
  <si>
    <t>ENTITYDT_FNNCL_STTMTS_PRVS</t>
  </si>
  <si>
    <t>ENTITYDT_INTRNL_RTNG</t>
  </si>
  <si>
    <t>ENTITYDT_INTTN_LGL_PRCDNGS_LE</t>
  </si>
  <si>
    <t>ENTITYDT_PRFRMNG_STTS_LE</t>
  </si>
  <si>
    <t>ENTITYEBITDA</t>
  </si>
  <si>
    <t>ENTITYEBITDA_PRVS</t>
  </si>
  <si>
    <t>ENTITYEC_GRP_ID</t>
  </si>
  <si>
    <t>ENTITYEMPLYMNT_STTS</t>
  </si>
  <si>
    <t>ENTITYEMPLYMNT_STTS_INTRNL</t>
  </si>
  <si>
    <t>ENTITYENTRPRS_SZ_LE</t>
  </si>
  <si>
    <t>ENTITYEQTY_PRVS</t>
  </si>
  <si>
    <t>ENTITYEXTRNL_RTNG</t>
  </si>
  <si>
    <t>ENTITYEXTRNL_RTNG_NM</t>
  </si>
  <si>
    <t>ENTITYEXTRNL_RTNG_PRVS</t>
  </si>
  <si>
    <t>ENTITYFLG_BNKRPTCY_IN_GRP</t>
  </si>
  <si>
    <t>ENTITYFLG_HGH_CDS</t>
  </si>
  <si>
    <t>ENTITYFLG_ISDA_CRDT_EVNT</t>
  </si>
  <si>
    <t>ENTITYFLG_NN_ACCRL</t>
  </si>
  <si>
    <t>ENTITYFLG_RQST_BNKRPTCY</t>
  </si>
  <si>
    <t>ENTITYFLG_RQST_DSTRSSD_RSTRCTRNG</t>
  </si>
  <si>
    <t>ENTITYFLG_RQST_EMRGNCY_FNDNG</t>
  </si>
  <si>
    <t>ENTITYFLG_SLL_WTH_LSS</t>
  </si>
  <si>
    <t>ENTITYFR_CSH_FLW</t>
  </si>
  <si>
    <t>ENTITYFR_CSH_FLW_T1</t>
  </si>
  <si>
    <t>ENTITYFR_CSH_FLW_T2</t>
  </si>
  <si>
    <t>ENTITYFR_CSH_FLW_T3</t>
  </si>
  <si>
    <t>ENTITYGCC_PRNT_ID</t>
  </si>
  <si>
    <t>ENTITYGCC_PRNT_NM</t>
  </si>
  <si>
    <t>ENTITYGDWILL</t>
  </si>
  <si>
    <t>ENTITYGDWILL_PRVS</t>
  </si>
  <si>
    <t>ENTITYGRP_EBITDA</t>
  </si>
  <si>
    <t>ENTITYGRP_NT_DBT</t>
  </si>
  <si>
    <t>ENTITYINCM_SC</t>
  </si>
  <si>
    <t>ENTITYINTRNL_RTNG</t>
  </si>
  <si>
    <t>ENTITYINTRNL_RTNG_PRVS</t>
  </si>
  <si>
    <t>ENTITYINTRNL_SGMNT</t>
  </si>
  <si>
    <t>ENTITYINTRNL_UNT</t>
  </si>
  <si>
    <t>ENTITYLGL_PRCDNG_STTS_LE</t>
  </si>
  <si>
    <t>ENTITYLTI</t>
  </si>
  <si>
    <t>ENTITYLVRG</t>
  </si>
  <si>
    <t>ENTITYLVRG_PRVS</t>
  </si>
  <si>
    <t>ENTITYMNTHL_INCM</t>
  </si>
  <si>
    <t>ENTITYMNTHL_INCM_SLR</t>
  </si>
  <si>
    <t>ENTITYMNTHL_TRNVR</t>
  </si>
  <si>
    <t>ENTITYNT_INCM</t>
  </si>
  <si>
    <t>ENTITYNT_INCM_PRVS</t>
  </si>
  <si>
    <t>ENTITYOSI_ID</t>
  </si>
  <si>
    <t>ENTITYOWND_BY_SPNSR</t>
  </si>
  <si>
    <t>ENTITYPD_CRR_RD</t>
  </si>
  <si>
    <t>ENTITYPD_CRR_RD_T1</t>
  </si>
  <si>
    <t>ENTITYPD_IFRS9_12M_RD</t>
  </si>
  <si>
    <t>ENTITYPD_IFRS9_12M_RD_T1</t>
  </si>
  <si>
    <t>ENTITYPRFRMNG_STTS_LE</t>
  </si>
  <si>
    <t>ENTITYPRSN_TYP</t>
  </si>
  <si>
    <t>ENTITYRTNG_MTHD</t>
  </si>
  <si>
    <t>ENTITYRTNG_SCL</t>
  </si>
  <si>
    <t>ENTITYSNGL_PRPS_VHCL</t>
  </si>
  <si>
    <t>ENTITYTAX_ID</t>
  </si>
  <si>
    <t>ENTITYTTL_DBT_PRVS</t>
  </si>
  <si>
    <t>ENTITYTTL_INTRST_PD</t>
  </si>
  <si>
    <t>ENTITYTTL_LVRG_RT</t>
  </si>
  <si>
    <t>ENTITYTTL_LVRG_RT_PRVS</t>
  </si>
  <si>
    <t>ENTITYWTCH_LST</t>
  </si>
  <si>
    <t>PROTECTIONAPPRSL_CRRNCY</t>
  </si>
  <si>
    <t>PROTECTIONAPPRSR</t>
  </si>
  <si>
    <t>PROTECTIONCNSTRCTN_STTS</t>
  </si>
  <si>
    <t>PROTECTIONCRE_INCM_CRRNCY</t>
  </si>
  <si>
    <t>PROTECTIONCRE_YRLY_EXPNSS</t>
  </si>
  <si>
    <t>PROTECTIONCRE_YRLY_INCM</t>
  </si>
  <si>
    <t>PROTECTIONDT_APPRSL_PRVS</t>
  </si>
  <si>
    <t>PROTECTIONDT_CNSTRCTN_STTS</t>
  </si>
  <si>
    <t>PROTECTIONDT_FRST_USG</t>
  </si>
  <si>
    <t>PROTECTIONDT_LST_FLL_APPRSL</t>
  </si>
  <si>
    <t>PROTECTIONDT_MTRTY_PRTCTN</t>
  </si>
  <si>
    <t>PROTECTIONDT_ORGNL_PRTCTN_VL</t>
  </si>
  <si>
    <t>PROTECTIONDT_PRTCTN_VL</t>
  </si>
  <si>
    <t>PROTECTIONDVLPMNT_STTS</t>
  </si>
  <si>
    <t>PROTECTIONHRCT_MV</t>
  </si>
  <si>
    <t>PROTECTIONMN_PRPS</t>
  </si>
  <si>
    <t>PROTECTIONNTNL_ID</t>
  </si>
  <si>
    <t>PROTECTIONPRM_LCTN</t>
  </si>
  <si>
    <t>PROTECTIONPRTCTN_CLLD</t>
  </si>
  <si>
    <t>PROTECTIONPRTCTN_FRCD_SL_VL</t>
  </si>
  <si>
    <t>PROTECTIONPRTCTN_PRVDR_ID</t>
  </si>
  <si>
    <t>PROTECTIONPRTCTN_TYP_PBLC_GRNT_SCHM_C19</t>
  </si>
  <si>
    <t>PROTECTIONPRTCTN_VL_NPE</t>
  </si>
  <si>
    <t>PROTECTIONPRTCTN_VL_PRVS</t>
  </si>
  <si>
    <t>PROTECTIONPRTCTN_VLTN_APPRCH</t>
  </si>
  <si>
    <t>PROTECTIONRL_ESTT_ADDRSS</t>
  </si>
  <si>
    <t>PROTECTIONRL_ESTT_CLLTRL_LCTN_INT</t>
  </si>
  <si>
    <t>PROTECTIONRL_ESTT_CTY</t>
  </si>
  <si>
    <t>PROTECTIONTAX_ID</t>
  </si>
  <si>
    <t>PROTECTIONTYP_PRTCTN_INTRNL</t>
  </si>
  <si>
    <t>PROTECTIONTYP_PRTCTN_VL</t>
  </si>
  <si>
    <t>INSTR_ENTITYJNT_LBLTY_AMNT</t>
  </si>
  <si>
    <t>INSTR_PROTECTIONTHRD_PRTY_PRRTY_CLMS</t>
  </si>
  <si>
    <t>LOAN TAPE</t>
  </si>
  <si>
    <t xml:space="preserve">ambito </t>
  </si>
  <si>
    <t>lt004_protection_srb</t>
  </si>
  <si>
    <t>lt006_instr_prot_srb</t>
  </si>
  <si>
    <t>lt007_instr_activity_srb</t>
  </si>
  <si>
    <t>19042024</t>
  </si>
  <si>
    <t>20092024</t>
  </si>
  <si>
    <t>24012025</t>
  </si>
  <si>
    <t>SCRIPT</t>
  </si>
  <si>
    <t>COERÊNCIA</t>
  </si>
  <si>
    <t>CD_LOAN_TAPES_BCE.LT003_ENTITY</t>
  </si>
  <si>
    <t>BU_LOANTAPE_WORK.LT003_ENTITY_SRB</t>
  </si>
  <si>
    <t>2025-02-24 10:24:46.653405000</t>
  </si>
  <si>
    <t>CD_LOAN_TAPES_BCE.LT002_INSTRUMENT</t>
  </si>
  <si>
    <t>BU_LOANTAPE_WORK.LT002_INSTRUMENT_SRB</t>
  </si>
  <si>
    <t>2025-02-24 10:27:56.758376000</t>
  </si>
  <si>
    <t>CD_LOAN_TAPES_BCE.LT004_PROTECTION</t>
  </si>
  <si>
    <t>BU_LOANTAPE_WORK.LT004_PROTECTION_SRB</t>
  </si>
  <si>
    <t>2025-02-24 10:28:49.017576000</t>
  </si>
  <si>
    <t>CD_LOAN_TAPES_BCE.LT005_INSTR_ENT</t>
  </si>
  <si>
    <t>BU_LOANTAPE_WORK.LT005_INSTR_ENT_SRB</t>
  </si>
  <si>
    <t>2025-02-24 10:29:52.898318000</t>
  </si>
  <si>
    <t>CD_LOAN_TAPES_BCE.LT006_INSTR_PROT</t>
  </si>
  <si>
    <t>BU_LOANTAPE_WORK.LT006_INSTR_PROT_SRB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</si>
</sst>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Neo sans"/>
    </font>
    <font>
      <b/>
      <sz val="11"/>
      <color theme="1"/>
      <name val="Neo sans"/>
    </font>
    <font>
      <i/>
      <sz val="11"/>
      <color theme="1"/>
      <name val="Neo sans"/>
    </font>
    <font>
      <b/>
      <sz val="11"/>
      <color theme="0"/>
      <name val="Neo sans"/>
    </font>
    <font>
      <sz val="11"/>
      <color rgb="FF006100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color rgb="FF006100"/>
      <name val="Aptos Narrow"/>
      <family val="2"/>
      <scheme val="minor"/>
    </font>
    <font>
      <b/>
      <i/>
      <sz val="11"/>
      <color rgb="FFFF0000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Neo sans"/>
    </font>
    <font>
      <sz val="11"/>
      <color theme="0" tint="-0.249977111117893"/>
      <name val="Arial"/>
      <family val="2"/>
    </font>
    <font>
      <sz val="11"/>
      <color rgb="FFFF0000"/>
      <name val="Arial"/>
      <family val="2"/>
    </font>
    <font>
      <b/>
      <sz val="8"/>
      <color rgb="FFFF0000"/>
      <name val="Arial"/>
      <family val="2"/>
    </font>
    <font>
      <b/>
      <sz val="10"/>
      <color rgb="FF6F6C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 tint="-0.249977111117893"/>
      <name val="Aptos Narrow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0" tint="-0.499984740745262"/>
      <name val="Aptos Narrow"/>
      <scheme val="minor"/>
    </font>
    <font>
      <sz val="11"/>
      <color theme="0" tint="-0.499984740745262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FF0000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/>
      <diagonal/>
    </border>
    <border>
      <left/>
      <right/>
      <top style="dotted">
        <color theme="0" tint="-0.499984740745262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</borders>
  <cellStyleXfs count="2">
    <xf numFmtId="0" fontId="0" fillId="0" borderId="0"/>
    <xf numFmtId="0" fontId="9" fillId="5" borderId="0" applyNumberFormat="0" applyBorder="0" applyAlignment="0" applyProtection="0"/>
  </cellStyleXfs>
  <cellXfs count="105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5" fillId="4" borderId="6" xfId="0" applyFont="1" applyFill="1" applyBorder="1"/>
    <xf numFmtId="0" fontId="5" fillId="4" borderId="7" xfId="0" applyFont="1" applyFill="1" applyBorder="1"/>
    <xf numFmtId="0" fontId="5" fillId="4" borderId="9" xfId="0" applyFont="1" applyFill="1" applyBorder="1"/>
    <xf numFmtId="0" fontId="5" fillId="4" borderId="10" xfId="0" applyFont="1" applyFill="1" applyBorder="1"/>
    <xf numFmtId="0" fontId="5" fillId="4" borderId="13" xfId="0" applyFont="1" applyFill="1" applyBorder="1"/>
    <xf numFmtId="0" fontId="5" fillId="4" borderId="14" xfId="0" applyFont="1" applyFill="1" applyBorder="1"/>
    <xf numFmtId="0" fontId="4" fillId="0" borderId="0" xfId="0" quotePrefix="1" applyFont="1"/>
    <xf numFmtId="0" fontId="4" fillId="3" borderId="15" xfId="0" applyFont="1" applyFill="1" applyBorder="1"/>
    <xf numFmtId="0" fontId="10" fillId="6" borderId="1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3" fillId="3" borderId="15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14" fontId="4" fillId="3" borderId="15" xfId="0" applyNumberFormat="1" applyFont="1" applyFill="1" applyBorder="1"/>
    <xf numFmtId="14" fontId="1" fillId="0" borderId="11" xfId="0" applyNumberFormat="1" applyFont="1" applyBorder="1"/>
    <xf numFmtId="0" fontId="10" fillId="7" borderId="18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13" fillId="5" borderId="15" xfId="1" applyFont="1" applyBorder="1" applyAlignment="1">
      <alignment horizontal="center" vertical="center"/>
    </xf>
    <xf numFmtId="0" fontId="2" fillId="0" borderId="19" xfId="0" applyFont="1" applyBorder="1"/>
    <xf numFmtId="0" fontId="1" fillId="0" borderId="19" xfId="0" applyFont="1" applyBorder="1"/>
    <xf numFmtId="0" fontId="1" fillId="4" borderId="0" xfId="0" applyFont="1" applyFill="1"/>
    <xf numFmtId="0" fontId="2" fillId="4" borderId="19" xfId="0" applyFont="1" applyFill="1" applyBorder="1"/>
    <xf numFmtId="0" fontId="1" fillId="4" borderId="19" xfId="0" applyFont="1" applyFill="1" applyBorder="1"/>
    <xf numFmtId="0" fontId="10" fillId="2" borderId="17" xfId="0" applyFont="1" applyFill="1" applyBorder="1"/>
    <xf numFmtId="0" fontId="4" fillId="0" borderId="17" xfId="0" applyFont="1" applyBorder="1"/>
    <xf numFmtId="0" fontId="4" fillId="0" borderId="17" xfId="0" quotePrefix="1" applyFont="1" applyBorder="1"/>
    <xf numFmtId="0" fontId="1" fillId="0" borderId="17" xfId="0" applyFont="1" applyBorder="1"/>
    <xf numFmtId="0" fontId="10" fillId="7" borderId="17" xfId="0" applyFont="1" applyFill="1" applyBorder="1"/>
    <xf numFmtId="0" fontId="1" fillId="0" borderId="0" xfId="0" quotePrefix="1" applyFont="1"/>
    <xf numFmtId="0" fontId="5" fillId="3" borderId="20" xfId="0" applyFont="1" applyFill="1" applyBorder="1" applyAlignment="1">
      <alignment horizontal="left" indent="1"/>
    </xf>
    <xf numFmtId="0" fontId="5" fillId="3" borderId="21" xfId="0" applyFont="1" applyFill="1" applyBorder="1"/>
    <xf numFmtId="0" fontId="5" fillId="3" borderId="22" xfId="0" applyFont="1" applyFill="1" applyBorder="1"/>
    <xf numFmtId="0" fontId="5" fillId="3" borderId="23" xfId="0" applyFont="1" applyFill="1" applyBorder="1" applyAlignment="1">
      <alignment horizontal="left" indent="2"/>
    </xf>
    <xf numFmtId="0" fontId="5" fillId="3" borderId="24" xfId="0" applyFont="1" applyFill="1" applyBorder="1"/>
    <xf numFmtId="0" fontId="5" fillId="3" borderId="23" xfId="0" applyFont="1" applyFill="1" applyBorder="1" applyAlignment="1">
      <alignment horizontal="left" indent="6"/>
    </xf>
    <xf numFmtId="0" fontId="5" fillId="3" borderId="23" xfId="0" applyFont="1" applyFill="1" applyBorder="1" applyAlignment="1">
      <alignment horizontal="left" indent="1"/>
    </xf>
    <xf numFmtId="0" fontId="5" fillId="3" borderId="0" xfId="0" quotePrefix="1" applyFont="1" applyFill="1"/>
    <xf numFmtId="0" fontId="5" fillId="3" borderId="25" xfId="0" applyFont="1" applyFill="1" applyBorder="1" applyAlignment="1">
      <alignment horizontal="left" indent="1"/>
    </xf>
    <xf numFmtId="0" fontId="5" fillId="3" borderId="26" xfId="0" applyFont="1" applyFill="1" applyBorder="1"/>
    <xf numFmtId="0" fontId="5" fillId="3" borderId="27" xfId="0" applyFont="1" applyFill="1" applyBorder="1"/>
    <xf numFmtId="0" fontId="5" fillId="4" borderId="4" xfId="0" applyFont="1" applyFill="1" applyBorder="1" applyAlignment="1">
      <alignment horizontal="left" indent="1"/>
    </xf>
    <xf numFmtId="0" fontId="5" fillId="4" borderId="0" xfId="0" applyFont="1" applyFill="1" applyAlignment="1">
      <alignment horizontal="left" indent="1"/>
    </xf>
    <xf numFmtId="0" fontId="6" fillId="8" borderId="1" xfId="0" applyFont="1" applyFill="1" applyBorder="1"/>
    <xf numFmtId="0" fontId="5" fillId="8" borderId="2" xfId="0" applyFont="1" applyFill="1" applyBorder="1"/>
    <xf numFmtId="0" fontId="5" fillId="8" borderId="3" xfId="0" applyFont="1" applyFill="1" applyBorder="1"/>
    <xf numFmtId="0" fontId="5" fillId="8" borderId="1" xfId="0" applyFont="1" applyFill="1" applyBorder="1"/>
    <xf numFmtId="0" fontId="6" fillId="3" borderId="23" xfId="0" applyFont="1" applyFill="1" applyBorder="1" applyAlignment="1">
      <alignment horizontal="left" indent="1"/>
    </xf>
    <xf numFmtId="0" fontId="8" fillId="2" borderId="18" xfId="0" applyFont="1" applyFill="1" applyBorder="1"/>
    <xf numFmtId="0" fontId="8" fillId="2" borderId="16" xfId="0" applyFont="1" applyFill="1" applyBorder="1"/>
    <xf numFmtId="0" fontId="8" fillId="2" borderId="28" xfId="0" applyFont="1" applyFill="1" applyBorder="1"/>
    <xf numFmtId="0" fontId="17" fillId="0" borderId="0" xfId="0" applyFont="1"/>
    <xf numFmtId="0" fontId="18" fillId="0" borderId="0" xfId="0" applyFont="1"/>
    <xf numFmtId="0" fontId="2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5" fillId="10" borderId="17" xfId="0" applyFont="1" applyFill="1" applyBorder="1"/>
    <xf numFmtId="0" fontId="3" fillId="3" borderId="3" xfId="0" applyFont="1" applyFill="1" applyBorder="1"/>
    <xf numFmtId="0" fontId="17" fillId="0" borderId="29" xfId="0" applyFont="1" applyBorder="1"/>
    <xf numFmtId="0" fontId="17" fillId="0" borderId="30" xfId="0" applyFont="1" applyBorder="1"/>
    <xf numFmtId="0" fontId="19" fillId="3" borderId="36" xfId="0" applyFont="1" applyFill="1" applyBorder="1" applyAlignment="1">
      <alignment horizontal="left" vertical="center"/>
    </xf>
    <xf numFmtId="0" fontId="19" fillId="3" borderId="37" xfId="0" applyFont="1" applyFill="1" applyBorder="1" applyAlignment="1">
      <alignment horizontal="left" vertical="center"/>
    </xf>
    <xf numFmtId="0" fontId="19" fillId="3" borderId="38" xfId="0" applyFont="1" applyFill="1" applyBorder="1" applyAlignment="1">
      <alignment horizontal="left" vertical="center"/>
    </xf>
    <xf numFmtId="0" fontId="5" fillId="3" borderId="24" xfId="0" quotePrefix="1" applyFont="1" applyFill="1" applyBorder="1"/>
    <xf numFmtId="0" fontId="5" fillId="3" borderId="0" xfId="0" applyFont="1" applyFill="1" applyAlignment="1">
      <alignment horizontal="left" indent="7"/>
    </xf>
    <xf numFmtId="49" fontId="10" fillId="2" borderId="15" xfId="0" applyNumberFormat="1" applyFont="1" applyFill="1" applyBorder="1" applyAlignment="1">
      <alignment horizontal="center"/>
    </xf>
    <xf numFmtId="49" fontId="10" fillId="6" borderId="15" xfId="0" applyNumberFormat="1" applyFont="1" applyFill="1" applyBorder="1" applyAlignment="1">
      <alignment horizontal="center"/>
    </xf>
    <xf numFmtId="49" fontId="4" fillId="3" borderId="15" xfId="0" applyNumberFormat="1" applyFont="1" applyFill="1" applyBorder="1"/>
    <xf numFmtId="0" fontId="20" fillId="11" borderId="15" xfId="1" applyFont="1" applyFill="1" applyBorder="1" applyAlignment="1">
      <alignment horizontal="center" vertical="center"/>
    </xf>
    <xf numFmtId="0" fontId="20" fillId="11" borderId="15" xfId="1" applyFont="1" applyFill="1" applyBorder="1" applyAlignment="1">
      <alignment horizontal="left" vertical="center"/>
    </xf>
    <xf numFmtId="14" fontId="3" fillId="3" borderId="15" xfId="0" applyNumberFormat="1" applyFont="1" applyFill="1" applyBorder="1" applyAlignment="1">
      <alignment horizontal="left" vertical="center"/>
    </xf>
    <xf numFmtId="3" fontId="3" fillId="3" borderId="15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3" fillId="5" borderId="15" xfId="1" applyFont="1" applyBorder="1" applyAlignment="1">
      <alignment horizontal="left" vertical="center"/>
    </xf>
    <xf numFmtId="0" fontId="6" fillId="4" borderId="12" xfId="0" applyFont="1" applyFill="1" applyBorder="1"/>
    <xf numFmtId="0" fontId="6" fillId="4" borderId="5" xfId="0" applyFont="1" applyFill="1" applyBorder="1"/>
    <xf numFmtId="0" fontId="6" fillId="4" borderId="8" xfId="0" applyFont="1" applyFill="1" applyBorder="1"/>
    <xf numFmtId="0" fontId="16" fillId="4" borderId="12" xfId="0" applyFont="1" applyFill="1" applyBorder="1"/>
    <xf numFmtId="0" fontId="16" fillId="4" borderId="5" xfId="0" applyFont="1" applyFill="1" applyBorder="1"/>
    <xf numFmtId="14" fontId="0" fillId="0" borderId="0" xfId="0" applyNumberForma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3" borderId="0" xfId="0" applyFont="1" applyFill="1"/>
    <xf numFmtId="0" fontId="25" fillId="3" borderId="0" xfId="0" applyFont="1" applyFill="1"/>
    <xf numFmtId="0" fontId="0" fillId="12" borderId="0" xfId="0" applyFill="1"/>
    <xf numFmtId="0" fontId="17" fillId="0" borderId="39" xfId="0" applyFont="1" applyBorder="1"/>
    <xf numFmtId="0" fontId="17" fillId="0" borderId="40" xfId="0" applyFont="1" applyBorder="1"/>
    <xf numFmtId="0" fontId="17" fillId="0" borderId="41" xfId="0" applyFont="1" applyBorder="1"/>
    <xf numFmtId="0" fontId="21" fillId="0" borderId="0" xfId="0" quotePrefix="1" applyFont="1"/>
    <xf numFmtId="0" fontId="0" fillId="13" borderId="0" xfId="0" applyFill="1"/>
    <xf numFmtId="0" fontId="23" fillId="13" borderId="0" xfId="0" applyFont="1" applyFill="1"/>
    <xf numFmtId="0" fontId="8" fillId="2" borderId="31" xfId="0" applyFont="1" applyFill="1" applyBorder="1" applyAlignment="1">
      <alignment horizontal="left" wrapText="1"/>
    </xf>
    <xf numFmtId="0" fontId="8" fillId="2" borderId="32" xfId="0" applyFont="1" applyFill="1" applyBorder="1" applyAlignment="1">
      <alignment horizontal="left" wrapText="1"/>
    </xf>
    <xf numFmtId="0" fontId="19" fillId="9" borderId="33" xfId="0" applyFont="1" applyFill="1" applyBorder="1" applyAlignment="1">
      <alignment horizontal="center" wrapText="1"/>
    </xf>
    <xf numFmtId="0" fontId="19" fillId="9" borderId="34" xfId="0" applyFont="1" applyFill="1" applyBorder="1" applyAlignment="1">
      <alignment horizontal="center" wrapText="1"/>
    </xf>
    <xf numFmtId="0" fontId="19" fillId="9" borderId="35" xfId="0" applyFont="1" applyFill="1" applyBorder="1" applyAlignment="1">
      <alignment horizontal="center" wrapText="1"/>
    </xf>
  </cellXfs>
  <cellStyles count="2">
    <cellStyle name="Good" xfId="1" builtinId="26"/>
    <cellStyle name="Normal" xfId="0" builtinId="0"/>
  </cellStyles>
  <dxfs count="16"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FFB7"/>
      <color rgb="FFFFDD71"/>
      <color rgb="FFFFFFDD"/>
      <color rgb="FF644C00"/>
      <color rgb="FFFFFAEB"/>
      <color rgb="FFFDFDFD"/>
      <color rgb="FFFFF1C5"/>
      <color rgb="FFFFE593"/>
      <color rgb="FF777400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52917</xdr:colOff>
      <xdr:row>0</xdr:row>
      <xdr:rowOff>95250</xdr:rowOff>
    </xdr:from>
    <xdr:to>
      <xdr:col>2</xdr:col>
      <xdr:colOff>10584</xdr:colOff>
      <xdr:row>2</xdr:row>
      <xdr:rowOff>84667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28084" y="95250"/>
          <a:ext cx="1195917" cy="349250"/>
        </a:xfrm>
        <a:prstGeom prst="rect">
          <a:avLst/>
        </a:prstGeom>
        <a:solidFill>
          <a:srgbClr val="FFFFDD"/>
        </a:solidFill>
        <a:ln w="28575" cmpd="sng">
          <a:solidFill>
            <a:srgbClr val="FFDD7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800">
              <a:latin typeface="Arial" panose="020B0604020202020204" pitchFamily="34" charset="0"/>
              <a:cs typeface="Arial" panose="020B0604020202020204" pitchFamily="34" charset="0"/>
            </a:rPr>
            <a:t>Ilustrativo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1</xdr:row>
      <xdr:rowOff>76201</xdr:rowOff>
    </xdr:from>
    <xdr:to>
      <xdr:col>17</xdr:col>
      <xdr:colOff>552450</xdr:colOff>
      <xdr:row>19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3639800" y="257176"/>
          <a:ext cx="2695575" cy="3305174"/>
        </a:xfrm>
        <a:prstGeom prst="rect">
          <a:avLst/>
        </a:prstGeom>
        <a:solidFill>
          <a:srgbClr val="FFFFB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 b="1">
              <a:latin typeface="Arial" panose="020B0604020202020204" pitchFamily="34" charset="0"/>
              <a:cs typeface="Arial" panose="020B0604020202020204" pitchFamily="34" charset="0"/>
            </a:rPr>
            <a:t>Notas:</a:t>
          </a:r>
        </a:p>
        <a:p>
          <a:r>
            <a:rPr lang="pt-PT" sz="11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 Colunas A a C - Ficheiro Loan Tape PM</a:t>
          </a:r>
        </a:p>
        <a:p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-Colunas F a J - PdS (último)</a:t>
          </a:r>
          <a:endParaRPr lang="pt-PT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PT" sz="11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 Na coluna J o que tem package é referentes aos novos requisitos </a:t>
          </a:r>
        </a:p>
        <a:p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- Rever se falta algum campo para testar (quando filtra K e L por "N")</a:t>
          </a: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PT" sz="1100" b="1" baseline="0">
              <a:latin typeface="Arial" panose="020B0604020202020204" pitchFamily="34" charset="0"/>
              <a:cs typeface="Arial" panose="020B0604020202020204" pitchFamily="34" charset="0"/>
            </a:rPr>
            <a:t>Notas sheet 2. Script </a:t>
          </a:r>
        </a:p>
        <a:p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- Os campos são filtro de Y no fich da corp para ESTR e Pilar 3 (exceto chaves de tabela)</a:t>
          </a: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PT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0"/>
  <sheetViews>
    <sheetView showGridLines="0" topLeftCell="A7" zoomScale="90" zoomScaleNormal="90" workbookViewId="0">
      <selection activeCell="E33" sqref="E33"/>
    </sheetView>
  </sheetViews>
  <sheetFormatPr defaultColWidth="0" defaultRowHeight="14.25" zeroHeight="1"/>
  <cols>
    <col min="1" max="2" width="3.625" style="7" customWidth="1"/>
    <col min="3" max="7" width="27.5" style="7" customWidth="1"/>
    <col min="8" max="13" width="9.125" style="7" customWidth="1"/>
    <col min="14" max="14" width="3.625" style="7" customWidth="1"/>
    <col min="15" max="15" width="9.125" style="7" hidden="1" customWidth="1"/>
    <col min="16" max="32" width="0" style="7" hidden="1" customWidth="1"/>
    <col min="33" max="16384" width="9.125" style="7" hidden="1"/>
  </cols>
  <sheetData>
    <row r="1" spans="1:30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/>
    <row r="6" spans="1:30" ht="15.75" thickBot="1">
      <c r="B6" s="28" t="s">
        <v>87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spans="1:30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30" ht="15">
      <c r="B8" s="52" t="s">
        <v>12</v>
      </c>
      <c r="C8" s="53"/>
      <c r="D8" s="55" t="s">
        <v>14</v>
      </c>
      <c r="E8" s="53"/>
      <c r="F8" s="53"/>
      <c r="G8" s="53"/>
      <c r="H8" s="53"/>
      <c r="I8" s="53"/>
      <c r="J8" s="53"/>
      <c r="K8" s="53"/>
      <c r="L8" s="53"/>
      <c r="M8" s="54"/>
    </row>
    <row r="9" spans="1:30" ht="15">
      <c r="B9" s="52" t="s">
        <v>13</v>
      </c>
      <c r="C9" s="53"/>
      <c r="D9" s="55" t="s">
        <v>15</v>
      </c>
      <c r="E9" s="53"/>
      <c r="F9" s="53"/>
      <c r="G9" s="53"/>
      <c r="H9" s="53"/>
      <c r="I9" s="53"/>
      <c r="J9" s="53"/>
      <c r="K9" s="53"/>
      <c r="L9" s="53"/>
      <c r="M9" s="54"/>
    </row>
    <row r="10" spans="1:30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30" ht="15">
      <c r="B11" s="50" t="s">
        <v>17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30" ht="3" customHeight="1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30" ht="3" customHeight="1"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</row>
    <row r="14" spans="1:30" ht="15">
      <c r="B14" s="56" t="s">
        <v>79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43"/>
    </row>
    <row r="15" spans="1:30">
      <c r="B15" s="42" t="s">
        <v>18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43"/>
    </row>
    <row r="16" spans="1:30">
      <c r="B16" s="42" t="s">
        <v>19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43"/>
    </row>
    <row r="17" spans="2:13">
      <c r="B17" s="44" t="s">
        <v>20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43"/>
    </row>
    <row r="18" spans="2:13">
      <c r="B18" s="44" t="s">
        <v>21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43"/>
    </row>
    <row r="19" spans="2:13">
      <c r="B19" s="44" t="s">
        <v>22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43"/>
    </row>
    <row r="20" spans="2:13">
      <c r="B20" s="44" t="s">
        <v>23</v>
      </c>
      <c r="C20" s="6"/>
      <c r="D20" s="6"/>
      <c r="E20" s="6"/>
      <c r="F20" s="6"/>
      <c r="G20" s="6"/>
      <c r="H20" s="6"/>
      <c r="I20" s="6"/>
      <c r="J20" s="46" t="s">
        <v>45</v>
      </c>
      <c r="K20" s="6"/>
      <c r="L20" s="6"/>
      <c r="M20" s="43"/>
    </row>
    <row r="21" spans="2:13" ht="15">
      <c r="B21" s="56" t="s">
        <v>80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43"/>
    </row>
    <row r="22" spans="2:13" ht="15">
      <c r="B22" s="56" t="s">
        <v>81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43"/>
    </row>
    <row r="23" spans="2:13">
      <c r="B23" s="44" t="s">
        <v>132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71" t="s">
        <v>45</v>
      </c>
    </row>
    <row r="24" spans="2:13" ht="15">
      <c r="B24" s="56" t="s">
        <v>82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43"/>
    </row>
    <row r="25" spans="2:13" ht="3" customHeight="1">
      <c r="B25" s="45"/>
      <c r="C25" s="6"/>
      <c r="D25" s="6"/>
      <c r="E25" s="6"/>
      <c r="F25" s="6"/>
      <c r="G25" s="6"/>
      <c r="H25" s="6"/>
      <c r="I25" s="6"/>
      <c r="J25" s="6"/>
      <c r="K25" s="6"/>
      <c r="L25" s="6"/>
      <c r="M25" s="43"/>
    </row>
    <row r="26" spans="2:13" ht="15">
      <c r="B26" s="45"/>
      <c r="C26" s="57" t="s">
        <v>35</v>
      </c>
      <c r="D26" s="58" t="s">
        <v>34</v>
      </c>
      <c r="E26" s="58" t="s">
        <v>1</v>
      </c>
      <c r="F26" s="58" t="s">
        <v>36</v>
      </c>
      <c r="G26" s="59" t="s">
        <v>37</v>
      </c>
      <c r="H26" s="6"/>
      <c r="I26" s="6"/>
      <c r="J26" s="6"/>
      <c r="K26" s="6"/>
      <c r="L26" s="6"/>
      <c r="M26" s="43"/>
    </row>
    <row r="27" spans="2:13" ht="15">
      <c r="B27" s="45"/>
      <c r="C27" s="82" t="s">
        <v>86</v>
      </c>
      <c r="D27" s="14" t="s">
        <v>27</v>
      </c>
      <c r="E27" s="14" t="s">
        <v>294</v>
      </c>
      <c r="F27" s="14" t="s">
        <v>28</v>
      </c>
      <c r="G27" s="15"/>
      <c r="H27" s="6"/>
      <c r="I27" s="6"/>
      <c r="J27" s="6"/>
      <c r="K27" s="6"/>
      <c r="L27" s="6"/>
      <c r="M27" s="43"/>
    </row>
    <row r="28" spans="2:13" ht="15">
      <c r="B28" s="45"/>
      <c r="C28" s="83" t="s">
        <v>11</v>
      </c>
      <c r="D28" s="10" t="s">
        <v>26</v>
      </c>
      <c r="E28" s="10" t="s">
        <v>302</v>
      </c>
      <c r="F28" s="10" t="s">
        <v>30</v>
      </c>
      <c r="G28" s="11"/>
      <c r="H28" s="6"/>
      <c r="I28" s="6"/>
      <c r="J28" s="6"/>
      <c r="K28" s="6"/>
      <c r="L28" s="6"/>
      <c r="M28" s="43"/>
    </row>
    <row r="29" spans="2:13" ht="15">
      <c r="B29" s="45"/>
      <c r="C29" s="83" t="s">
        <v>85</v>
      </c>
      <c r="D29" s="10" t="s">
        <v>33</v>
      </c>
      <c r="E29" s="10" t="s">
        <v>1092</v>
      </c>
      <c r="F29" s="10" t="s">
        <v>32</v>
      </c>
      <c r="G29" s="11"/>
      <c r="H29" s="6"/>
      <c r="I29" s="6"/>
      <c r="J29" s="6"/>
      <c r="K29" s="6"/>
      <c r="L29" s="6"/>
      <c r="M29" s="43"/>
    </row>
    <row r="30" spans="2:13" ht="15">
      <c r="B30" s="45"/>
      <c r="C30" s="83" t="s">
        <v>320</v>
      </c>
      <c r="D30" s="10" t="s">
        <v>29</v>
      </c>
      <c r="E30" s="10" t="s">
        <v>299</v>
      </c>
      <c r="F30" s="10" t="s">
        <v>30</v>
      </c>
      <c r="G30" s="11" t="s">
        <v>28</v>
      </c>
      <c r="H30" s="6"/>
      <c r="I30" s="6"/>
      <c r="J30" s="6"/>
      <c r="K30" s="6"/>
      <c r="L30" s="6"/>
      <c r="M30" s="43"/>
    </row>
    <row r="31" spans="2:13" ht="15">
      <c r="B31" s="45"/>
      <c r="C31" s="83" t="s">
        <v>321</v>
      </c>
      <c r="D31" s="10" t="s">
        <v>31</v>
      </c>
      <c r="E31" s="10" t="s">
        <v>1093</v>
      </c>
      <c r="F31" s="10" t="s">
        <v>30</v>
      </c>
      <c r="G31" s="11" t="s">
        <v>32</v>
      </c>
      <c r="H31" s="6"/>
      <c r="I31" s="6"/>
      <c r="J31" s="6"/>
      <c r="K31" s="6"/>
      <c r="L31" s="6"/>
      <c r="M31" s="43"/>
    </row>
    <row r="32" spans="2:13" ht="15">
      <c r="B32" s="45"/>
      <c r="C32" s="84" t="s">
        <v>154</v>
      </c>
      <c r="D32" s="12" t="s">
        <v>155</v>
      </c>
      <c r="E32" s="12" t="s">
        <v>1094</v>
      </c>
      <c r="F32" s="12" t="s">
        <v>30</v>
      </c>
      <c r="G32" s="13"/>
      <c r="H32" s="46" t="s">
        <v>45</v>
      </c>
      <c r="I32" s="6"/>
      <c r="J32" s="6"/>
      <c r="K32" s="6"/>
      <c r="L32" s="6"/>
      <c r="M32" s="43"/>
    </row>
    <row r="33" spans="2:13" ht="3" customHeight="1">
      <c r="B33" s="45"/>
      <c r="C33" s="6"/>
      <c r="D33" s="6"/>
      <c r="E33" s="6"/>
      <c r="F33" s="6"/>
      <c r="G33" s="6"/>
      <c r="H33" s="6"/>
      <c r="I33" s="6"/>
      <c r="J33" s="6"/>
      <c r="K33" s="6"/>
      <c r="L33" s="6"/>
      <c r="M33" s="43"/>
    </row>
    <row r="34" spans="2:13" ht="15" customHeight="1">
      <c r="B34" s="45"/>
      <c r="C34" s="100" t="s">
        <v>287</v>
      </c>
      <c r="D34" s="101"/>
      <c r="E34" s="101"/>
      <c r="F34" s="101"/>
      <c r="G34" s="101"/>
      <c r="H34" s="6"/>
      <c r="I34" s="6"/>
      <c r="J34" s="6"/>
      <c r="K34" s="6"/>
      <c r="L34" s="6"/>
      <c r="M34" s="43"/>
    </row>
    <row r="35" spans="2:13" ht="15">
      <c r="B35" s="45"/>
      <c r="C35" s="85" t="s">
        <v>285</v>
      </c>
      <c r="D35" s="14" t="s">
        <v>288</v>
      </c>
      <c r="E35" s="14"/>
      <c r="F35" s="14"/>
      <c r="G35" s="15"/>
      <c r="H35" s="6"/>
      <c r="I35" s="6"/>
      <c r="J35" s="6"/>
      <c r="K35" s="6"/>
      <c r="L35" s="6"/>
      <c r="M35" s="43"/>
    </row>
    <row r="36" spans="2:13" ht="15">
      <c r="B36" s="45"/>
      <c r="C36" s="86" t="s">
        <v>286</v>
      </c>
      <c r="D36" s="10" t="s">
        <v>39</v>
      </c>
      <c r="E36" s="10"/>
      <c r="F36" s="10"/>
      <c r="G36" s="11"/>
      <c r="H36" s="6"/>
      <c r="I36" s="6"/>
      <c r="J36" s="6"/>
      <c r="K36" s="6"/>
      <c r="L36" s="6"/>
      <c r="M36" s="43"/>
    </row>
    <row r="37" spans="2:13" ht="15">
      <c r="B37" s="45"/>
      <c r="C37" s="83" t="s">
        <v>16</v>
      </c>
      <c r="D37" s="10" t="s">
        <v>40</v>
      </c>
      <c r="E37" s="10"/>
      <c r="F37" s="10"/>
      <c r="G37" s="11"/>
      <c r="H37" s="6"/>
      <c r="I37" s="6"/>
      <c r="J37" s="6"/>
      <c r="K37" s="6"/>
      <c r="L37" s="6"/>
      <c r="M37" s="43"/>
    </row>
    <row r="38" spans="2:13" ht="15">
      <c r="B38" s="45"/>
      <c r="C38" s="83" t="s">
        <v>24</v>
      </c>
      <c r="D38" s="10" t="s">
        <v>41</v>
      </c>
      <c r="E38" s="10"/>
      <c r="F38" s="10"/>
      <c r="G38" s="11"/>
      <c r="H38" s="6"/>
      <c r="I38" s="6"/>
      <c r="J38" s="6"/>
      <c r="K38" s="6"/>
      <c r="L38" s="6"/>
      <c r="M38" s="43"/>
    </row>
    <row r="39" spans="2:13" ht="15">
      <c r="B39" s="45"/>
      <c r="C39" s="83" t="s">
        <v>1091</v>
      </c>
      <c r="D39" s="10" t="s">
        <v>43</v>
      </c>
      <c r="E39" s="10"/>
      <c r="F39" s="10"/>
      <c r="G39" s="11"/>
      <c r="H39" s="6"/>
      <c r="I39" s="6"/>
      <c r="J39" s="6"/>
      <c r="K39" s="6"/>
      <c r="L39" s="6"/>
      <c r="M39" s="43"/>
    </row>
    <row r="40" spans="2:13" ht="15">
      <c r="B40" s="45"/>
      <c r="C40" s="83" t="s">
        <v>1091</v>
      </c>
      <c r="D40" s="10" t="s">
        <v>42</v>
      </c>
      <c r="E40" s="10"/>
      <c r="F40" s="10"/>
      <c r="G40" s="11"/>
      <c r="H40" s="6"/>
      <c r="I40" s="6"/>
      <c r="J40" s="6"/>
      <c r="K40" s="6"/>
      <c r="L40" s="6"/>
      <c r="M40" s="43"/>
    </row>
    <row r="41" spans="2:13" ht="15">
      <c r="B41" s="45"/>
      <c r="C41" s="83" t="s">
        <v>25</v>
      </c>
      <c r="D41" s="10" t="s">
        <v>44</v>
      </c>
      <c r="E41" s="10"/>
      <c r="F41" s="10"/>
      <c r="G41" s="11"/>
      <c r="H41" s="6"/>
      <c r="I41" s="6"/>
      <c r="J41" s="6"/>
      <c r="K41" s="6"/>
      <c r="L41" s="6"/>
      <c r="M41" s="43"/>
    </row>
    <row r="42" spans="2:13" ht="15">
      <c r="B42" s="45"/>
      <c r="C42" s="83" t="s">
        <v>38</v>
      </c>
      <c r="D42" s="10" t="str">
        <f>+"ref_date='${ref_date}'"&amp;" AND "&amp;C37&amp;"='"&amp;D37&amp;"' AND "&amp;C38&amp;"='"&amp;D38&amp;"' AND ambito='"&amp;D39&amp;"'"&amp;" AND "&amp;C41&amp;"='"&amp;D41&amp;"'"</f>
        <v>ref_date='${ref_date}' AND nome_perimetro='Individual Corporativo' AND segmento='ESTR' AND ambito='PM' AND entidade='00100'</v>
      </c>
      <c r="E42" s="10"/>
      <c r="F42" s="10"/>
      <c r="G42" s="11"/>
      <c r="H42" s="46" t="s">
        <v>45</v>
      </c>
      <c r="I42" s="6"/>
      <c r="J42" s="6"/>
      <c r="K42" s="6"/>
      <c r="L42" s="6"/>
      <c r="M42" s="43"/>
    </row>
    <row r="43" spans="2:13" ht="15">
      <c r="B43" s="45"/>
      <c r="C43" s="84" t="s">
        <v>319</v>
      </c>
      <c r="D43" s="12" t="str">
        <f>+"ref_date='${ref_date}'"&amp;" AND "&amp;C37&amp;"='"&amp;D37&amp;"' AND "&amp;C38&amp;"='"&amp;D38&amp;"' AND ambito='"&amp;D40&amp;"'"&amp;" AND "&amp;C41&amp;"='"&amp;D41&amp;"'"</f>
        <v>ref_date='${ref_date}' AND nome_perimetro='Individual Corporativo' AND segmento='ESTR' AND ambito='PILAR3' AND entidade='00100'</v>
      </c>
      <c r="E43" s="12"/>
      <c r="F43" s="12"/>
      <c r="G43" s="13"/>
      <c r="H43" s="46"/>
      <c r="I43" s="6"/>
      <c r="J43" s="6"/>
      <c r="K43" s="6"/>
      <c r="L43" s="6"/>
      <c r="M43" s="43"/>
    </row>
    <row r="44" spans="2:13" ht="3" customHeight="1">
      <c r="B44" s="45"/>
      <c r="C44" s="6"/>
      <c r="D44" s="6"/>
      <c r="E44" s="6"/>
      <c r="F44" s="6"/>
      <c r="G44" s="6"/>
      <c r="H44" s="6"/>
      <c r="I44" s="6"/>
      <c r="J44" s="6"/>
      <c r="K44" s="6"/>
      <c r="L44" s="6"/>
      <c r="M44" s="43"/>
    </row>
    <row r="45" spans="2:13" ht="14.25" customHeight="1">
      <c r="B45" s="56" t="s">
        <v>133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43"/>
    </row>
    <row r="46" spans="2:13" ht="14.25" customHeight="1">
      <c r="B46" s="44" t="s">
        <v>134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43"/>
    </row>
    <row r="47" spans="2:13" ht="3" customHeight="1">
      <c r="B47" s="44"/>
      <c r="C47" s="6"/>
      <c r="D47" s="6"/>
      <c r="E47" s="6"/>
      <c r="F47" s="6"/>
      <c r="G47" s="6"/>
      <c r="H47" s="6"/>
      <c r="I47" s="6"/>
      <c r="J47" s="6"/>
      <c r="K47" s="6"/>
      <c r="L47" s="6"/>
      <c r="M47" s="43"/>
    </row>
    <row r="48" spans="2:13" ht="14.25" customHeight="1">
      <c r="B48" s="44"/>
      <c r="C48" s="72" t="s">
        <v>135</v>
      </c>
      <c r="D48" s="6"/>
      <c r="E48" s="6"/>
      <c r="F48" s="6"/>
      <c r="G48" s="6"/>
      <c r="H48" s="6"/>
      <c r="I48" s="6"/>
      <c r="J48" s="6"/>
      <c r="K48" s="6"/>
      <c r="L48" s="6"/>
      <c r="M48" s="43"/>
    </row>
    <row r="49" spans="2:13" ht="14.25" customHeight="1">
      <c r="B49" s="44"/>
      <c r="C49" s="72" t="s">
        <v>136</v>
      </c>
      <c r="D49" s="6"/>
      <c r="E49" s="6"/>
      <c r="F49" s="6"/>
      <c r="G49" s="6"/>
      <c r="H49" s="6"/>
      <c r="I49" s="6"/>
      <c r="J49" s="6"/>
      <c r="K49" s="6"/>
      <c r="L49" s="6"/>
      <c r="M49" s="43"/>
    </row>
    <row r="50" spans="2:13" ht="14.25" customHeight="1">
      <c r="B50" s="44"/>
      <c r="C50" s="72" t="s">
        <v>137</v>
      </c>
      <c r="D50" s="6"/>
      <c r="E50" s="6"/>
      <c r="F50" s="6"/>
      <c r="G50" s="6"/>
      <c r="H50" s="6"/>
      <c r="I50" s="6"/>
      <c r="J50" s="6"/>
      <c r="K50" s="6"/>
      <c r="L50" s="6"/>
      <c r="M50" s="43"/>
    </row>
    <row r="51" spans="2:13" ht="14.25" customHeight="1">
      <c r="B51" s="44"/>
      <c r="C51" s="72" t="s">
        <v>138</v>
      </c>
      <c r="D51" s="6"/>
      <c r="E51" s="6"/>
      <c r="F51" s="6"/>
      <c r="G51" s="6"/>
      <c r="H51" s="6"/>
      <c r="I51" s="6"/>
      <c r="J51" s="6"/>
      <c r="K51" s="6"/>
      <c r="L51" s="6"/>
      <c r="M51" s="43"/>
    </row>
    <row r="52" spans="2:13" ht="14.25" customHeight="1">
      <c r="B52" s="44"/>
      <c r="C52" s="72" t="s">
        <v>139</v>
      </c>
      <c r="D52" s="6"/>
      <c r="E52" s="6"/>
      <c r="F52" s="6"/>
      <c r="G52" s="6"/>
      <c r="H52" s="6"/>
      <c r="I52" s="6"/>
      <c r="J52" s="6"/>
      <c r="K52" s="6"/>
      <c r="L52" s="6"/>
      <c r="M52" s="43"/>
    </row>
    <row r="53" spans="2:13" ht="14.25" customHeight="1">
      <c r="B53" s="44"/>
      <c r="C53" s="72" t="s">
        <v>140</v>
      </c>
      <c r="D53" s="6"/>
      <c r="E53" s="6"/>
      <c r="F53" s="6"/>
      <c r="G53" s="6"/>
      <c r="H53" s="6"/>
      <c r="I53" s="6"/>
      <c r="J53" s="6"/>
      <c r="K53" s="6"/>
      <c r="L53" s="6"/>
      <c r="M53" s="43"/>
    </row>
    <row r="54" spans="2:13" ht="14.25" customHeight="1">
      <c r="B54" s="44"/>
      <c r="C54" s="72" t="s">
        <v>141</v>
      </c>
      <c r="D54" s="6"/>
      <c r="E54" s="6"/>
      <c r="F54" s="6"/>
      <c r="G54" s="6"/>
      <c r="H54" s="6"/>
      <c r="I54" s="6"/>
      <c r="J54" s="6"/>
      <c r="K54" s="6"/>
      <c r="L54" s="6"/>
      <c r="M54" s="43"/>
    </row>
    <row r="55" spans="2:13" ht="14.25" customHeight="1">
      <c r="B55" s="44"/>
      <c r="C55" s="72" t="s">
        <v>142</v>
      </c>
      <c r="D55" s="6"/>
      <c r="E55" s="6"/>
      <c r="F55" s="6"/>
      <c r="G55" s="6"/>
      <c r="H55" s="6"/>
      <c r="I55" s="6"/>
      <c r="J55" s="6"/>
      <c r="K55" s="6"/>
      <c r="L55" s="6"/>
      <c r="M55" s="43"/>
    </row>
    <row r="56" spans="2:13" ht="14.25" customHeight="1">
      <c r="B56" s="44"/>
      <c r="C56" s="72" t="s">
        <v>143</v>
      </c>
      <c r="D56" s="6"/>
      <c r="E56" s="6"/>
      <c r="F56" s="6"/>
      <c r="G56" s="6"/>
      <c r="H56" s="6"/>
      <c r="I56" s="6"/>
      <c r="J56" s="6"/>
      <c r="K56" s="6"/>
      <c r="L56" s="6"/>
      <c r="M56" s="43"/>
    </row>
    <row r="57" spans="2:13" ht="14.25" customHeight="1">
      <c r="B57" s="44"/>
      <c r="C57" s="72" t="s">
        <v>144</v>
      </c>
      <c r="D57" s="6"/>
      <c r="E57" s="6"/>
      <c r="F57" s="6"/>
      <c r="G57" s="6"/>
      <c r="H57" s="6"/>
      <c r="I57" s="6"/>
      <c r="J57" s="6"/>
      <c r="K57" s="6"/>
      <c r="L57" s="6"/>
      <c r="M57" s="43"/>
    </row>
    <row r="58" spans="2:13" ht="14.25" customHeight="1">
      <c r="B58" s="44"/>
      <c r="C58" s="72" t="s">
        <v>145</v>
      </c>
      <c r="D58" s="6"/>
      <c r="E58" s="6"/>
      <c r="F58" s="6"/>
      <c r="G58" s="6"/>
      <c r="H58" s="6"/>
      <c r="I58" s="6"/>
      <c r="J58" s="6"/>
      <c r="K58" s="6"/>
      <c r="L58" s="6"/>
      <c r="M58" s="43"/>
    </row>
    <row r="59" spans="2:13" ht="14.25" customHeight="1">
      <c r="B59" s="44"/>
      <c r="C59" s="72" t="s">
        <v>146</v>
      </c>
      <c r="D59" s="6"/>
      <c r="E59" s="6"/>
      <c r="F59" s="6"/>
      <c r="G59" s="6"/>
      <c r="H59" s="6"/>
      <c r="I59" s="6"/>
      <c r="J59" s="6"/>
      <c r="K59" s="6"/>
      <c r="L59" s="6"/>
      <c r="M59" s="43"/>
    </row>
    <row r="60" spans="2:13" ht="14.25" customHeight="1">
      <c r="B60" s="44"/>
      <c r="C60" s="72" t="s">
        <v>147</v>
      </c>
      <c r="D60" s="6"/>
      <c r="E60" s="6"/>
      <c r="F60" s="6"/>
      <c r="G60" s="6"/>
      <c r="H60" s="6"/>
      <c r="I60" s="6"/>
      <c r="J60" s="6"/>
      <c r="K60" s="6"/>
      <c r="L60" s="6"/>
      <c r="M60" s="43"/>
    </row>
    <row r="61" spans="2:13" ht="14.25" customHeight="1">
      <c r="B61" s="44"/>
      <c r="C61" s="72" t="s">
        <v>148</v>
      </c>
      <c r="D61" s="6"/>
      <c r="E61" s="6"/>
      <c r="F61" s="6"/>
      <c r="G61" s="6"/>
      <c r="H61" s="6"/>
      <c r="I61" s="6"/>
      <c r="J61" s="6"/>
      <c r="K61" s="6"/>
      <c r="L61" s="6"/>
      <c r="M61" s="43"/>
    </row>
    <row r="62" spans="2:13" ht="14.25" customHeight="1">
      <c r="B62" s="44"/>
      <c r="C62" s="6"/>
      <c r="D62" s="6"/>
      <c r="E62" s="6"/>
      <c r="F62" s="6"/>
      <c r="G62" s="6"/>
      <c r="H62" s="6"/>
      <c r="I62" s="6"/>
      <c r="J62" s="6"/>
      <c r="K62" s="6"/>
      <c r="L62" s="6"/>
      <c r="M62" s="43"/>
    </row>
    <row r="63" spans="2:13" ht="14.25" customHeight="1">
      <c r="B63" s="44"/>
      <c r="C63" s="6"/>
      <c r="D63" s="6"/>
      <c r="E63" s="6"/>
      <c r="F63" s="6"/>
      <c r="G63" s="6"/>
      <c r="H63" s="6"/>
      <c r="I63" s="6"/>
      <c r="J63" s="6"/>
      <c r="K63" s="6"/>
      <c r="L63" s="6"/>
      <c r="M63" s="43"/>
    </row>
    <row r="64" spans="2:13" ht="14.25" customHeight="1">
      <c r="B64" s="44"/>
      <c r="C64" s="6"/>
      <c r="D64" s="6"/>
      <c r="E64" s="6"/>
      <c r="F64" s="6"/>
      <c r="G64" s="6"/>
      <c r="H64" s="6"/>
      <c r="I64" s="6"/>
      <c r="J64" s="6"/>
      <c r="K64" s="6"/>
      <c r="L64" s="6"/>
      <c r="M64" s="43"/>
    </row>
    <row r="65" spans="2:13" ht="14.25" customHeight="1">
      <c r="B65" s="44"/>
      <c r="C65" s="6"/>
      <c r="D65" s="6"/>
      <c r="E65" s="6"/>
      <c r="F65" s="6"/>
      <c r="G65" s="6"/>
      <c r="H65" s="6"/>
      <c r="I65" s="6"/>
      <c r="J65" s="6"/>
      <c r="K65" s="6"/>
      <c r="L65" s="6"/>
      <c r="M65" s="43"/>
    </row>
    <row r="66" spans="2:13" ht="14.25" customHeight="1">
      <c r="B66" s="44"/>
      <c r="C66" s="6"/>
      <c r="D66" s="6"/>
      <c r="E66" s="6"/>
      <c r="F66" s="6"/>
      <c r="G66" s="6"/>
      <c r="H66" s="6"/>
      <c r="I66" s="6"/>
      <c r="J66" s="6"/>
      <c r="K66" s="6"/>
      <c r="L66" s="6"/>
      <c r="M66" s="43"/>
    </row>
    <row r="67" spans="2:13" ht="14.25" customHeight="1">
      <c r="B67" s="44"/>
      <c r="C67" s="6"/>
      <c r="D67" s="6"/>
      <c r="E67" s="6"/>
      <c r="F67" s="6"/>
      <c r="G67" s="6"/>
      <c r="H67" s="6"/>
      <c r="I67" s="6"/>
      <c r="J67" s="6"/>
      <c r="K67" s="6"/>
      <c r="L67" s="6"/>
      <c r="M67" s="43"/>
    </row>
    <row r="68" spans="2:13" ht="14.25" customHeight="1">
      <c r="B68" s="44"/>
      <c r="C68" s="6"/>
      <c r="D68" s="6"/>
      <c r="E68" s="6"/>
      <c r="F68" s="6"/>
      <c r="G68" s="6"/>
      <c r="H68" s="6"/>
      <c r="I68" s="6"/>
      <c r="J68" s="6"/>
      <c r="K68" s="6"/>
      <c r="L68" s="6"/>
      <c r="M68" s="43"/>
    </row>
    <row r="69" spans="2:13" ht="14.25" customHeight="1">
      <c r="B69" s="56" t="s">
        <v>83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43"/>
    </row>
    <row r="70" spans="2:13" ht="14.25" customHeight="1">
      <c r="B70" s="56" t="s">
        <v>84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43"/>
    </row>
    <row r="71" spans="2:13" ht="3" customHeight="1">
      <c r="B71" s="47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9"/>
    </row>
    <row r="72" spans="2:13">
      <c r="B72" s="51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2:13" hidden="1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2:13" hidden="1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2:13" hidden="1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2:13" hidden="1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spans="2:13" hidden="1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2:13" hidden="1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2:13" hidden="1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2:13" hidden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</sheetData>
  <mergeCells count="1">
    <mergeCell ref="C34:G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4"/>
  <sheetViews>
    <sheetView showGridLines="0" tabSelected="1" topLeftCell="L10" zoomScale="80" zoomScaleNormal="80" workbookViewId="0">
      <selection activeCell="Z10" sqref="Z10"/>
    </sheetView>
  </sheetViews>
  <sheetFormatPr defaultColWidth="0" defaultRowHeight="14.25" zeroHeight="1"/>
  <cols>
    <col min="1" max="1" width="3.625" style="2" customWidth="1"/>
    <col min="2" max="6" width="8.625" style="2" hidden="1" customWidth="1"/>
    <col min="7" max="7" width="3.625" style="2" hidden="1" customWidth="1"/>
    <col min="8" max="8" width="17.625" style="2" customWidth="1"/>
    <col min="9" max="9" width="34.625" style="2" bestFit="1" customWidth="1"/>
    <col min="10" max="11" width="16.125" style="2" customWidth="1"/>
    <col min="12" max="12" width="13.625" style="2" customWidth="1"/>
    <col min="13" max="14" width="16.125" style="2" customWidth="1"/>
    <col min="15" max="15" width="13.625" style="2" customWidth="1"/>
    <col min="16" max="16" width="16.125" style="2" customWidth="1"/>
    <col min="17" max="17" width="13.625" style="2" customWidth="1"/>
    <col min="18" max="18" width="16.125" style="2" customWidth="1"/>
    <col min="19" max="19" width="13.625" style="2" customWidth="1"/>
    <col min="20" max="20" width="16.125" style="2" customWidth="1"/>
    <col min="21" max="21" width="13.625" style="2" customWidth="1"/>
    <col min="22" max="26" width="16.125" style="2" customWidth="1"/>
    <col min="27" max="27" width="3.625" style="2" customWidth="1"/>
    <col min="28" max="32" width="9.125" style="2" hidden="1" customWidth="1"/>
    <col min="33" max="45" width="0" style="2" hidden="1" customWidth="1"/>
    <col min="46" max="16384" width="9.125" style="2" hidden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4" t="s">
        <v>154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/>
    <row r="6" spans="1:37" ht="15.75" thickBot="1">
      <c r="H6" s="28" t="s">
        <v>73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37"/>
    <row r="8" spans="1:37">
      <c r="H8" s="25" t="s">
        <v>47</v>
      </c>
      <c r="I8" s="24">
        <v>45657</v>
      </c>
    </row>
    <row r="9" spans="1:37" s="20" customFormat="1" ht="15">
      <c r="B9" s="102" t="s">
        <v>131</v>
      </c>
      <c r="C9" s="103"/>
      <c r="D9" s="103"/>
      <c r="E9" s="103"/>
      <c r="F9" s="104"/>
      <c r="G9" s="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37" ht="39" customHeight="1">
      <c r="B10" s="68" t="s">
        <v>5</v>
      </c>
      <c r="C10" s="69" t="s">
        <v>68</v>
      </c>
      <c r="D10" s="69" t="s">
        <v>4</v>
      </c>
      <c r="E10" s="69" t="s">
        <v>89</v>
      </c>
      <c r="F10" s="70" t="s">
        <v>92</v>
      </c>
      <c r="G10" s="38" t="s">
        <v>45</v>
      </c>
      <c r="H10" s="63" t="s">
        <v>53</v>
      </c>
      <c r="I10" s="19" t="s">
        <v>54</v>
      </c>
      <c r="J10" s="19" t="s">
        <v>60</v>
      </c>
      <c r="K10" s="19" t="s">
        <v>129</v>
      </c>
      <c r="L10" s="19" t="s">
        <v>61</v>
      </c>
      <c r="M10" s="19" t="s">
        <v>57</v>
      </c>
      <c r="N10" s="19" t="s">
        <v>130</v>
      </c>
      <c r="O10" s="19" t="s">
        <v>62</v>
      </c>
      <c r="P10" s="19" t="s">
        <v>58</v>
      </c>
      <c r="Q10" s="19" t="s">
        <v>63</v>
      </c>
      <c r="R10" s="19" t="s">
        <v>59</v>
      </c>
      <c r="S10" s="19" t="s">
        <v>64</v>
      </c>
      <c r="T10" s="19" t="s">
        <v>69</v>
      </c>
      <c r="U10" s="19" t="s">
        <v>65</v>
      </c>
      <c r="V10" s="19" t="s">
        <v>70</v>
      </c>
      <c r="W10" s="19" t="s">
        <v>71</v>
      </c>
      <c r="X10" s="19" t="s">
        <v>72</v>
      </c>
      <c r="Y10" s="19" t="s">
        <v>66</v>
      </c>
      <c r="Z10" s="22" t="s">
        <v>67</v>
      </c>
    </row>
    <row r="11" spans="1:37">
      <c r="A11" s="20" t="str">
        <f t="shared" ref="A11:A63" si="0">+H11&amp;I11&amp;$I$8</f>
        <v>ENTITYCOD_SOC45657</v>
      </c>
      <c r="B11" s="66">
        <f t="array" ref="B11">+MAX(IF('ID1&amp;5'!A:A='1. Status'!A11&amp;'1. Status'!$B$10,'ID1&amp;5'!K:K))</f>
        <v>1</v>
      </c>
      <c r="C11" s="60">
        <f t="array" ref="C11">+MAX(IF('ID1&amp;5'!A:A='1. Status'!A11&amp;'1. Status'!$C$10,'ID1&amp;5'!K:K))</f>
        <v>0</v>
      </c>
      <c r="D11" s="60">
        <f t="array" ref="D11">+MAX(IF('ID1&amp;5'!A:A='1. Status'!A11&amp;'1. Status'!$D$10,'ID1&amp;5'!K:K))</f>
        <v>0</v>
      </c>
      <c r="E11" s="60">
        <f t="array" ref="E11">+MAX(IF('ID1&amp;5'!A:A='1. Status'!A11&amp;'1. Status'!$E$10,'ID1&amp;5'!K:K))</f>
        <v>0</v>
      </c>
      <c r="F11" s="67">
        <f t="array" ref="F11">+MAX(IF('ID1&amp;5'!A:A='1. Status'!A11&amp;'1. Status'!$F$10,'ID1&amp;5'!K:K))</f>
        <v>0</v>
      </c>
      <c r="G11" s="60"/>
      <c r="H11" s="65" t="s">
        <v>126</v>
      </c>
      <c r="I11" s="21" t="s">
        <v>108</v>
      </c>
      <c r="J11" s="26">
        <f>+COUNTIF('ID1&amp;5'!G:G,'1. Status'!I11)</f>
        <v>5</v>
      </c>
      <c r="K11" s="79">
        <f>+IFERROR(VLOOKUP(CONCATENATE(A11,$B$10,B11),'ID1&amp;5'!B:J,8,FALSE),"-")</f>
        <v>1123670</v>
      </c>
      <c r="L11" s="78" t="str">
        <f>+IFERROR(VLOOKUP(B11,'ID1&amp;5'!K:L,2,FALSE),"-")</f>
        <v>2025-02-24 10:27:56.758376000</v>
      </c>
      <c r="M11" s="79">
        <f>+IFERROR(VLOOKUP(CONCATENATE(A11,$B$10,B11),'ID1&amp;5'!B:J,9,FALSE),"-")</f>
        <v>0</v>
      </c>
      <c r="N11" s="79" t="str">
        <f>+IFERROR(VLOOKUP(CONCATENATE(A11,$C$10,C11),'ID1&amp;5'!B:J,8,FALSE),"-")</f>
        <v>-</v>
      </c>
      <c r="O11" s="78" t="str">
        <f>+IFERROR(VLOOKUP(C11,'ID1&amp;5'!K:L,2,FALSE),"-")</f>
        <v>-</v>
      </c>
      <c r="P11" s="79" t="str">
        <f>+IFERROR(VLOOKUP(CONCATENATE(A11,$C$10,C11),'ID1&amp;5'!B:J,9,FALSE),"-")</f>
        <v>-</v>
      </c>
      <c r="Q11" s="78" t="str">
        <f>+IFERROR(VLOOKUP(D11,'ID1&amp;5'!K:L,2,FALSE),"-")</f>
        <v>-</v>
      </c>
      <c r="R11" s="26" t="str">
        <f>+IFERROR(VLOOKUP(CONCATENATE(A11,$D$10,D11),'ID1&amp;5'!B:J,9,FALSE),"-")</f>
        <v>-</v>
      </c>
      <c r="S11" s="78" t="str">
        <f>+IFERROR(VLOOKUP(E11,'ID1&amp;5'!K:L,2,FALSE),"-")</f>
        <v>-</v>
      </c>
      <c r="T11" s="79" t="str">
        <f>+IFERROR(VLOOKUP(CONCATENATE(A11,$E$10,E11),'ID1&amp;5'!B:J,9,FALSE),"-")</f>
        <v>-</v>
      </c>
      <c r="U11" s="78" t="str">
        <f>+IFERROR(VLOOKUP(F11,'ID1&amp;5'!K:L,2,FALSE),"-")</f>
        <v>-</v>
      </c>
      <c r="V11" s="79" t="str">
        <f>+IFERROR(VLOOKUP(CONCATENATE(A11,$F$10,F11),'ID1&amp;5'!B:J,9,FALSE),"-")</f>
        <v>-</v>
      </c>
      <c r="W11" s="26" t="str">
        <f>+IFERROR(VLOOKUP(A11,'ID6&amp;7'!A:I,9,FALSE),"-")</f>
        <v>-</v>
      </c>
      <c r="X11" s="26" t="str">
        <f>+IFERROR(VLOOKUP(A11,'ID6&amp;7'!A:J,10,FALSE),"-")</f>
        <v>-</v>
      </c>
      <c r="Y11" s="26"/>
      <c r="Z11" s="27" t="str">
        <f t="shared" ref="Z11:Z63" si="1">+IF(J11=0,"Por iniciar",IF(OR(K11="-",M11="-",P11="-",R11="-",T11="-",V11="-"),"Em testes",IF(AND(M11=0,P11=0,R11=0,T11&lt;&gt;K11,V11&lt;&gt;K11),"OK","NOK")))</f>
        <v>Em testes</v>
      </c>
    </row>
    <row r="12" spans="1:37">
      <c r="A12" s="20" t="str">
        <f t="shared" si="0"/>
        <v>ENTITYCNTRY45657</v>
      </c>
      <c r="B12" s="66">
        <f t="array" ref="B12">+MAX(IF('ID1&amp;5'!A:A='1. Status'!A12&amp;'1. Status'!$B$10,'ID1&amp;5'!K:K))</f>
        <v>1</v>
      </c>
      <c r="C12" s="60">
        <f t="array" ref="C12">+MAX(IF('ID1&amp;5'!A:A='1. Status'!A12&amp;'1. Status'!$C$10,'ID1&amp;5'!K:K))</f>
        <v>0</v>
      </c>
      <c r="D12" s="60">
        <f t="array" ref="D12">+MAX(IF('ID1&amp;5'!A:A='1. Status'!A12&amp;'1. Status'!$D$10,'ID1&amp;5'!K:K))</f>
        <v>0</v>
      </c>
      <c r="E12" s="60">
        <f t="array" ref="E12">+MAX(IF('ID1&amp;5'!A:A='1. Status'!A12&amp;'1. Status'!$E$10,'ID1&amp;5'!K:K))</f>
        <v>0</v>
      </c>
      <c r="F12" s="67">
        <f t="array" ref="F12">+MAX(IF('ID1&amp;5'!A:A='1. Status'!A12&amp;'1. Status'!$F$10,'ID1&amp;5'!K:K))</f>
        <v>0</v>
      </c>
      <c r="G12" s="60"/>
      <c r="H12" s="65" t="s">
        <v>126</v>
      </c>
      <c r="I12" s="21" t="s">
        <v>112</v>
      </c>
      <c r="J12" s="26">
        <f>+COUNTIF('ID1&amp;5'!G:G,'1. Status'!I12)</f>
        <v>1</v>
      </c>
      <c r="K12" s="79">
        <f>+IFERROR(VLOOKUP(CONCATENATE(A12,$B$10,B12),'ID1&amp;5'!B:J,8,FALSE),"-")</f>
        <v>1123670</v>
      </c>
      <c r="L12" s="78" t="str">
        <f>+IFERROR(VLOOKUP(B12,'ID1&amp;5'!K:L,2,FALSE),"-")</f>
        <v>2025-02-24 10:27:56.758376000</v>
      </c>
      <c r="M12" s="79">
        <f>+IFERROR(VLOOKUP(CONCATENATE(A12,$B$10,B12),'ID1&amp;5'!B:J,9,FALSE),"-")</f>
        <v>0</v>
      </c>
      <c r="N12" s="79" t="str">
        <f>+IFERROR(VLOOKUP(CONCATENATE(A12,$C$10,C12),'ID1&amp;5'!B:J,8,FALSE),"-")</f>
        <v>-</v>
      </c>
      <c r="O12" s="78" t="str">
        <f>+IFERROR(VLOOKUP(C12,'ID1&amp;5'!K:L,2,FALSE),"-")</f>
        <v>-</v>
      </c>
      <c r="P12" s="79" t="str">
        <f>+IFERROR(VLOOKUP(CONCATENATE(A12,$C$10,C12),'ID1&amp;5'!B:J,9,FALSE),"-")</f>
        <v>-</v>
      </c>
      <c r="Q12" s="78" t="str">
        <f>+IFERROR(VLOOKUP(D12,'ID1&amp;5'!K:L,2,FALSE),"-")</f>
        <v>-</v>
      </c>
      <c r="R12" s="26" t="str">
        <f>+IFERROR(VLOOKUP(CONCATENATE(A12,$D$10,D12),'ID1&amp;5'!B:J,9,FALSE),"-")</f>
        <v>-</v>
      </c>
      <c r="S12" s="78" t="str">
        <f>+IFERROR(VLOOKUP(E12,'ID1&amp;5'!K:L,2,FALSE),"-")</f>
        <v>-</v>
      </c>
      <c r="T12" s="79" t="str">
        <f>+IFERROR(VLOOKUP(CONCATENATE(A12,$E$10,E12),'ID1&amp;5'!B:J,9,FALSE),"-")</f>
        <v>-</v>
      </c>
      <c r="U12" s="78" t="str">
        <f>+IFERROR(VLOOKUP(F12,'ID1&amp;5'!K:L,2,FALSE),"-")</f>
        <v>-</v>
      </c>
      <c r="V12" s="79" t="str">
        <f>+IFERROR(VLOOKUP(CONCATENATE(A12,$F$10,F12),'ID1&amp;5'!B:J,9,FALSE),"-")</f>
        <v>-</v>
      </c>
      <c r="W12" s="26" t="str">
        <f>+IFERROR(VLOOKUP(A12,'ID6&amp;7'!A:I,9,FALSE),"-")</f>
        <v>-</v>
      </c>
      <c r="X12" s="26" t="str">
        <f>+IFERROR(VLOOKUP(A12,'ID6&amp;7'!A:J,10,FALSE),"-")</f>
        <v>-</v>
      </c>
      <c r="Y12" s="26"/>
      <c r="Z12" s="27" t="str">
        <f t="shared" si="1"/>
        <v>Em testes</v>
      </c>
    </row>
    <row r="13" spans="1:37">
      <c r="A13" s="20" t="str">
        <f t="shared" si="0"/>
        <v>ENTITYDT_RFRNC45657</v>
      </c>
      <c r="B13" s="66">
        <f t="array" ref="B13">+MAX(IF('ID1&amp;5'!A:A='1. Status'!A13&amp;'1. Status'!$B$10,'ID1&amp;5'!K:K))</f>
        <v>0</v>
      </c>
      <c r="C13" s="60">
        <f t="array" ref="C13">+MAX(IF('ID1&amp;5'!A:A='1. Status'!A13&amp;'1. Status'!$C$10,'ID1&amp;5'!K:K))</f>
        <v>0</v>
      </c>
      <c r="D13" s="60">
        <f t="array" ref="D13">+MAX(IF('ID1&amp;5'!A:A='1. Status'!A13&amp;'1. Status'!$D$10,'ID1&amp;5'!K:K))</f>
        <v>0</v>
      </c>
      <c r="E13" s="60">
        <f t="array" ref="E13">+MAX(IF('ID1&amp;5'!A:A='1. Status'!A13&amp;'1. Status'!$E$10,'ID1&amp;5'!K:K))</f>
        <v>0</v>
      </c>
      <c r="F13" s="67">
        <f t="array" ref="F13">+MAX(IF('ID1&amp;5'!A:A='1. Status'!A13&amp;'1. Status'!$F$10,'ID1&amp;5'!K:K))</f>
        <v>0</v>
      </c>
      <c r="G13" s="60"/>
      <c r="H13" s="65" t="s">
        <v>126</v>
      </c>
      <c r="I13" s="21" t="s">
        <v>603</v>
      </c>
      <c r="J13" s="26">
        <f>+COUNTIF('ID1&amp;5'!G:G,'1. Status'!I13)</f>
        <v>0</v>
      </c>
      <c r="K13" s="79" t="str">
        <f>+IFERROR(VLOOKUP(CONCATENATE(A13,$B$10,B13),'ID1&amp;5'!B:J,8,FALSE),"-")</f>
        <v>-</v>
      </c>
      <c r="L13" s="78" t="str">
        <f>+IFERROR(VLOOKUP(B13,'ID1&amp;5'!K:L,2,FALSE),"-")</f>
        <v>-</v>
      </c>
      <c r="M13" s="79" t="str">
        <f>+IFERROR(VLOOKUP(CONCATENATE(A13,$B$10,B13),'ID1&amp;5'!B:J,9,FALSE),"-")</f>
        <v>-</v>
      </c>
      <c r="N13" s="79" t="str">
        <f>+IFERROR(VLOOKUP(CONCATENATE(A13,$C$10,C13),'ID1&amp;5'!B:J,8,FALSE),"-")</f>
        <v>-</v>
      </c>
      <c r="O13" s="78" t="str">
        <f>+IFERROR(VLOOKUP(C13,'ID1&amp;5'!K:L,2,FALSE),"-")</f>
        <v>-</v>
      </c>
      <c r="P13" s="79" t="str">
        <f>+IFERROR(VLOOKUP(CONCATENATE(A13,$C$10,C13),'ID1&amp;5'!B:J,9,FALSE),"-")</f>
        <v>-</v>
      </c>
      <c r="Q13" s="78" t="str">
        <f>+IFERROR(VLOOKUP(D13,'ID1&amp;5'!K:L,2,FALSE),"-")</f>
        <v>-</v>
      </c>
      <c r="R13" s="26" t="str">
        <f>+IFERROR(VLOOKUP(CONCATENATE(A13,$D$10,D13),'ID1&amp;5'!B:J,9,FALSE),"-")</f>
        <v>-</v>
      </c>
      <c r="S13" s="78" t="str">
        <f>+IFERROR(VLOOKUP(E13,'ID1&amp;5'!K:L,2,FALSE),"-")</f>
        <v>-</v>
      </c>
      <c r="T13" s="79" t="str">
        <f>+IFERROR(VLOOKUP(CONCATENATE(A13,$E$10,E13),'ID1&amp;5'!B:J,9,FALSE),"-")</f>
        <v>-</v>
      </c>
      <c r="U13" s="78" t="str">
        <f>+IFERROR(VLOOKUP(F13,'ID1&amp;5'!K:L,2,FALSE),"-")</f>
        <v>-</v>
      </c>
      <c r="V13" s="79" t="str">
        <f>+IFERROR(VLOOKUP(CONCATENATE(A13,$F$10,F13),'ID1&amp;5'!B:J,9,FALSE),"-")</f>
        <v>-</v>
      </c>
      <c r="W13" s="26" t="str">
        <f>+IFERROR(VLOOKUP(A13,'ID6&amp;7'!A:I,9,FALSE),"-")</f>
        <v>-</v>
      </c>
      <c r="X13" s="26" t="str">
        <f>+IFERROR(VLOOKUP(A13,'ID6&amp;7'!A:J,10,FALSE),"-")</f>
        <v>-</v>
      </c>
      <c r="Y13" s="26"/>
      <c r="Z13" s="27" t="str">
        <f t="shared" si="1"/>
        <v>Por iniciar</v>
      </c>
    </row>
    <row r="14" spans="1:37">
      <c r="A14" s="20" t="str">
        <f t="shared" si="0"/>
        <v>ENTITYLEI45657</v>
      </c>
      <c r="B14" s="66">
        <f t="array" ref="B14">+MAX(IF('ID1&amp;5'!A:A='1. Status'!A14&amp;'1. Status'!$B$10,'ID1&amp;5'!K:K))</f>
        <v>1</v>
      </c>
      <c r="C14" s="60">
        <f t="array" ref="C14">+MAX(IF('ID1&amp;5'!A:A='1. Status'!A14&amp;'1. Status'!$C$10,'ID1&amp;5'!K:K))</f>
        <v>0</v>
      </c>
      <c r="D14" s="60">
        <f t="array" ref="D14">+MAX(IF('ID1&amp;5'!A:A='1. Status'!A14&amp;'1. Status'!$D$10,'ID1&amp;5'!K:K))</f>
        <v>0</v>
      </c>
      <c r="E14" s="60">
        <f t="array" ref="E14">+MAX(IF('ID1&amp;5'!A:A='1. Status'!A14&amp;'1. Status'!$E$10,'ID1&amp;5'!K:K))</f>
        <v>0</v>
      </c>
      <c r="F14" s="67">
        <f t="array" ref="F14">+MAX(IF('ID1&amp;5'!A:A='1. Status'!A14&amp;'1. Status'!$F$10,'ID1&amp;5'!K:K))</f>
        <v>0</v>
      </c>
      <c r="G14" s="60"/>
      <c r="H14" s="65" t="s">
        <v>126</v>
      </c>
      <c r="I14" s="21" t="s">
        <v>113</v>
      </c>
      <c r="J14" s="26">
        <f>+COUNTIF('ID1&amp;5'!G:G,'1. Status'!I14)</f>
        <v>1</v>
      </c>
      <c r="K14" s="79">
        <f>+IFERROR(VLOOKUP(CONCATENATE(A14,$B$10,B14),'ID1&amp;5'!B:J,8,FALSE),"-")</f>
        <v>1123670</v>
      </c>
      <c r="L14" s="78" t="str">
        <f>+IFERROR(VLOOKUP(B14,'ID1&amp;5'!K:L,2,FALSE),"-")</f>
        <v>2025-02-24 10:27:56.758376000</v>
      </c>
      <c r="M14" s="79">
        <f>+IFERROR(VLOOKUP(CONCATENATE(A14,$B$10,B14),'ID1&amp;5'!B:J,9,FALSE),"-")</f>
        <v>0</v>
      </c>
      <c r="N14" s="79" t="str">
        <f>+IFERROR(VLOOKUP(CONCATENATE(A14,$C$10,C14),'ID1&amp;5'!B:J,8,FALSE),"-")</f>
        <v>-</v>
      </c>
      <c r="O14" s="78" t="str">
        <f>+IFERROR(VLOOKUP(C14,'ID1&amp;5'!K:L,2,FALSE),"-")</f>
        <v>-</v>
      </c>
      <c r="P14" s="79" t="str">
        <f>+IFERROR(VLOOKUP(CONCATENATE(A14,$C$10,C14),'ID1&amp;5'!B:J,9,FALSE),"-")</f>
        <v>-</v>
      </c>
      <c r="Q14" s="78" t="str">
        <f>+IFERROR(VLOOKUP(D14,'ID1&amp;5'!K:L,2,FALSE),"-")</f>
        <v>-</v>
      </c>
      <c r="R14" s="26" t="str">
        <f>+IFERROR(VLOOKUP(CONCATENATE(A14,$D$10,D14),'ID1&amp;5'!B:J,9,FALSE),"-")</f>
        <v>-</v>
      </c>
      <c r="S14" s="78" t="str">
        <f>+IFERROR(VLOOKUP(E14,'ID1&amp;5'!K:L,2,FALSE),"-")</f>
        <v>-</v>
      </c>
      <c r="T14" s="79" t="str">
        <f>+IFERROR(VLOOKUP(CONCATENATE(A14,$E$10,E14),'ID1&amp;5'!B:J,9,FALSE),"-")</f>
        <v>-</v>
      </c>
      <c r="U14" s="78" t="str">
        <f>+IFERROR(VLOOKUP(F14,'ID1&amp;5'!K:L,2,FALSE),"-")</f>
        <v>-</v>
      </c>
      <c r="V14" s="79" t="str">
        <f>+IFERROR(VLOOKUP(CONCATENATE(A14,$F$10,F14),'ID1&amp;5'!B:J,9,FALSE),"-")</f>
        <v>-</v>
      </c>
      <c r="W14" s="26" t="str">
        <f>+IFERROR(VLOOKUP(A14,'ID6&amp;7'!A:I,9,FALSE),"-")</f>
        <v>-</v>
      </c>
      <c r="X14" s="26" t="str">
        <f>+IFERROR(VLOOKUP(A14,'ID6&amp;7'!A:J,10,FALSE),"-")</f>
        <v>-</v>
      </c>
      <c r="Y14" s="26"/>
      <c r="Z14" s="27" t="str">
        <f t="shared" si="1"/>
        <v>Em testes</v>
      </c>
    </row>
    <row r="15" spans="1:37">
      <c r="A15" s="20" t="str">
        <f t="shared" si="0"/>
        <v>ENTITYENTTY_NM45657</v>
      </c>
      <c r="B15" s="66">
        <f t="array" ref="B15">+MAX(IF('ID1&amp;5'!A:A='1. Status'!A15&amp;'1. Status'!$B$10,'ID1&amp;5'!K:K))</f>
        <v>1</v>
      </c>
      <c r="C15" s="60">
        <f t="array" ref="C15">+MAX(IF('ID1&amp;5'!A:A='1. Status'!A15&amp;'1. Status'!$C$10,'ID1&amp;5'!K:K))</f>
        <v>0</v>
      </c>
      <c r="D15" s="60">
        <f t="array" ref="D15">+MAX(IF('ID1&amp;5'!A:A='1. Status'!A15&amp;'1. Status'!$D$10,'ID1&amp;5'!K:K))</f>
        <v>0</v>
      </c>
      <c r="E15" s="60">
        <f t="array" ref="E15">+MAX(IF('ID1&amp;5'!A:A='1. Status'!A15&amp;'1. Status'!$E$10,'ID1&amp;5'!K:K))</f>
        <v>0</v>
      </c>
      <c r="F15" s="67">
        <f t="array" ref="F15">+MAX(IF('ID1&amp;5'!A:A='1. Status'!A15&amp;'1. Status'!$F$10,'ID1&amp;5'!K:K))</f>
        <v>0</v>
      </c>
      <c r="G15" s="60"/>
      <c r="H15" s="65" t="s">
        <v>126</v>
      </c>
      <c r="I15" s="21" t="s">
        <v>333</v>
      </c>
      <c r="J15" s="26">
        <f>+COUNTIF('ID1&amp;5'!G:G,'1. Status'!I15)</f>
        <v>1</v>
      </c>
      <c r="K15" s="79">
        <f>+IFERROR(VLOOKUP(CONCATENATE(A15,$B$10,B15),'ID1&amp;5'!B:J,8,FALSE),"-")</f>
        <v>1123670</v>
      </c>
      <c r="L15" s="78" t="str">
        <f>+IFERROR(VLOOKUP(B15,'ID1&amp;5'!K:L,2,FALSE),"-")</f>
        <v>2025-02-24 10:27:56.758376000</v>
      </c>
      <c r="M15" s="79">
        <f>+IFERROR(VLOOKUP(CONCATENATE(A15,$B$10,B15),'ID1&amp;5'!B:J,9,FALSE),"-")</f>
        <v>1123670</v>
      </c>
      <c r="N15" s="79" t="str">
        <f>+IFERROR(VLOOKUP(CONCATENATE(A15,$C$10,C15),'ID1&amp;5'!B:J,8,FALSE),"-")</f>
        <v>-</v>
      </c>
      <c r="O15" s="78" t="str">
        <f>+IFERROR(VLOOKUP(C15,'ID1&amp;5'!K:L,2,FALSE),"-")</f>
        <v>-</v>
      </c>
      <c r="P15" s="79" t="str">
        <f>+IFERROR(VLOOKUP(CONCATENATE(A15,$C$10,C15),'ID1&amp;5'!B:J,9,FALSE),"-")</f>
        <v>-</v>
      </c>
      <c r="Q15" s="78" t="str">
        <f>+IFERROR(VLOOKUP(D15,'ID1&amp;5'!K:L,2,FALSE),"-")</f>
        <v>-</v>
      </c>
      <c r="R15" s="26" t="str">
        <f>+IFERROR(VLOOKUP(CONCATENATE(A15,$D$10,D15),'ID1&amp;5'!B:J,9,FALSE),"-")</f>
        <v>-</v>
      </c>
      <c r="S15" s="78" t="str">
        <f>+IFERROR(VLOOKUP(E15,'ID1&amp;5'!K:L,2,FALSE),"-")</f>
        <v>-</v>
      </c>
      <c r="T15" s="79" t="str">
        <f>+IFERROR(VLOOKUP(CONCATENATE(A15,$E$10,E15),'ID1&amp;5'!B:J,9,FALSE),"-")</f>
        <v>-</v>
      </c>
      <c r="U15" s="78" t="str">
        <f>+IFERROR(VLOOKUP(F15,'ID1&amp;5'!K:L,2,FALSE),"-")</f>
        <v>-</v>
      </c>
      <c r="V15" s="79" t="str">
        <f>+IFERROR(VLOOKUP(CONCATENATE(A15,$F$10,F15),'ID1&amp;5'!B:J,9,FALSE),"-")</f>
        <v>-</v>
      </c>
      <c r="W15" s="26" t="str">
        <f>+IFERROR(VLOOKUP(A15,'ID6&amp;7'!A:I,9,FALSE),"-")</f>
        <v>-</v>
      </c>
      <c r="X15" s="26" t="str">
        <f>+IFERROR(VLOOKUP(A15,'ID6&amp;7'!A:J,10,FALSE),"-")</f>
        <v>-</v>
      </c>
      <c r="Y15" s="26"/>
      <c r="Z15" s="27" t="str">
        <f t="shared" si="1"/>
        <v>Em testes</v>
      </c>
    </row>
    <row r="16" spans="1:37">
      <c r="A16" s="20" t="str">
        <f t="shared" si="0"/>
        <v>ENTITYECNMC_ACTVTY45657</v>
      </c>
      <c r="B16" s="66">
        <f t="array" ref="B16">+MAX(IF('ID1&amp;5'!A:A='1. Status'!A16&amp;'1. Status'!$B$10,'ID1&amp;5'!K:K))</f>
        <v>1</v>
      </c>
      <c r="C16" s="60">
        <f t="array" ref="C16">+MAX(IF('ID1&amp;5'!A:A='1. Status'!A16&amp;'1. Status'!$C$10,'ID1&amp;5'!K:K))</f>
        <v>0</v>
      </c>
      <c r="D16" s="60">
        <f t="array" ref="D16">+MAX(IF('ID1&amp;5'!A:A='1. Status'!A16&amp;'1. Status'!$D$10,'ID1&amp;5'!K:K))</f>
        <v>0</v>
      </c>
      <c r="E16" s="60">
        <f t="array" ref="E16">+MAX(IF('ID1&amp;5'!A:A='1. Status'!A16&amp;'1. Status'!$E$10,'ID1&amp;5'!K:K))</f>
        <v>0</v>
      </c>
      <c r="F16" s="67">
        <f t="array" ref="F16">+MAX(IF('ID1&amp;5'!A:A='1. Status'!A16&amp;'1. Status'!$F$10,'ID1&amp;5'!K:K))</f>
        <v>0</v>
      </c>
      <c r="G16" s="60"/>
      <c r="H16" s="65" t="s">
        <v>126</v>
      </c>
      <c r="I16" s="21" t="s">
        <v>114</v>
      </c>
      <c r="J16" s="26">
        <f>+COUNTIF('ID1&amp;5'!G:G,'1. Status'!I16)</f>
        <v>1</v>
      </c>
      <c r="K16" s="79">
        <f>+IFERROR(VLOOKUP(CONCATENATE(A16,$B$10,B16),'ID1&amp;5'!B:J,8,FALSE),"-")</f>
        <v>1123670</v>
      </c>
      <c r="L16" s="78" t="str">
        <f>+IFERROR(VLOOKUP(B16,'ID1&amp;5'!K:L,2,FALSE),"-")</f>
        <v>2025-02-24 10:27:56.758376000</v>
      </c>
      <c r="M16" s="79">
        <f>+IFERROR(VLOOKUP(CONCATENATE(A16,$B$10,B16),'ID1&amp;5'!B:J,9,FALSE),"-")</f>
        <v>0</v>
      </c>
      <c r="N16" s="79" t="str">
        <f>+IFERROR(VLOOKUP(CONCATENATE(A16,$C$10,C16),'ID1&amp;5'!B:J,8,FALSE),"-")</f>
        <v>-</v>
      </c>
      <c r="O16" s="78" t="str">
        <f>+IFERROR(VLOOKUP(C16,'ID1&amp;5'!K:L,2,FALSE),"-")</f>
        <v>-</v>
      </c>
      <c r="P16" s="79" t="str">
        <f>+IFERROR(VLOOKUP(CONCATENATE(A16,$C$10,C16),'ID1&amp;5'!B:J,9,FALSE),"-")</f>
        <v>-</v>
      </c>
      <c r="Q16" s="78" t="str">
        <f>+IFERROR(VLOOKUP(D16,'ID1&amp;5'!K:L,2,FALSE),"-")</f>
        <v>-</v>
      </c>
      <c r="R16" s="26" t="str">
        <f>+IFERROR(VLOOKUP(CONCATENATE(A16,$D$10,D16),'ID1&amp;5'!B:J,9,FALSE),"-")</f>
        <v>-</v>
      </c>
      <c r="S16" s="78" t="str">
        <f>+IFERROR(VLOOKUP(E16,'ID1&amp;5'!K:L,2,FALSE),"-")</f>
        <v>-</v>
      </c>
      <c r="T16" s="79" t="str">
        <f>+IFERROR(VLOOKUP(CONCATENATE(A16,$E$10,E16),'ID1&amp;5'!B:J,9,FALSE),"-")</f>
        <v>-</v>
      </c>
      <c r="U16" s="78" t="str">
        <f>+IFERROR(VLOOKUP(F16,'ID1&amp;5'!K:L,2,FALSE),"-")</f>
        <v>-</v>
      </c>
      <c r="V16" s="79" t="str">
        <f>+IFERROR(VLOOKUP(CONCATENATE(A16,$F$10,F16),'ID1&amp;5'!B:J,9,FALSE),"-")</f>
        <v>-</v>
      </c>
      <c r="W16" s="26" t="str">
        <f>+IFERROR(VLOOKUP(A16,'ID6&amp;7'!A:I,9,FALSE),"-")</f>
        <v>-</v>
      </c>
      <c r="X16" s="26" t="str">
        <f>+IFERROR(VLOOKUP(A16,'ID6&amp;7'!A:J,10,FALSE),"-")</f>
        <v>-</v>
      </c>
      <c r="Y16" s="26"/>
      <c r="Z16" s="27" t="str">
        <f t="shared" si="1"/>
        <v>Em testes</v>
      </c>
    </row>
    <row r="17" spans="1:26">
      <c r="A17" s="20" t="str">
        <f t="shared" si="0"/>
        <v>ENTITYGRP_EQTY45657</v>
      </c>
      <c r="B17" s="66">
        <f t="array" ref="B17">+MAX(IF('ID1&amp;5'!A:A='1. Status'!A17&amp;'1. Status'!$B$10,'ID1&amp;5'!K:K))</f>
        <v>1</v>
      </c>
      <c r="C17" s="60">
        <f t="array" ref="C17">+MAX(IF('ID1&amp;5'!A:A='1. Status'!A17&amp;'1. Status'!$C$10,'ID1&amp;5'!K:K))</f>
        <v>0</v>
      </c>
      <c r="D17" s="60">
        <f t="array" ref="D17">+MAX(IF('ID1&amp;5'!A:A='1. Status'!A17&amp;'1. Status'!$D$10,'ID1&amp;5'!K:K))</f>
        <v>0</v>
      </c>
      <c r="E17" s="60">
        <f t="array" ref="E17">+MAX(IF('ID1&amp;5'!A:A='1. Status'!A17&amp;'1. Status'!$E$10,'ID1&amp;5'!K:K))</f>
        <v>0</v>
      </c>
      <c r="F17" s="67">
        <f t="array" ref="F17">+MAX(IF('ID1&amp;5'!A:A='1. Status'!A17&amp;'1. Status'!$F$10,'ID1&amp;5'!K:K))</f>
        <v>0</v>
      </c>
      <c r="G17" s="60"/>
      <c r="H17" s="65" t="s">
        <v>126</v>
      </c>
      <c r="I17" s="21" t="s">
        <v>115</v>
      </c>
      <c r="J17" s="26">
        <f>+COUNTIF('ID1&amp;5'!G:G,'1. Status'!I17)</f>
        <v>1</v>
      </c>
      <c r="K17" s="79">
        <f>+IFERROR(VLOOKUP(CONCATENATE(A17,$B$10,B17),'ID1&amp;5'!B:J,8,FALSE),"-")</f>
        <v>1123670</v>
      </c>
      <c r="L17" s="78" t="str">
        <f>+IFERROR(VLOOKUP(B17,'ID1&amp;5'!K:L,2,FALSE),"-")</f>
        <v>2025-02-24 10:27:56.758376000</v>
      </c>
      <c r="M17" s="79">
        <f>+IFERROR(VLOOKUP(CONCATENATE(A17,$B$10,B17),'ID1&amp;5'!B:J,9,FALSE),"-")</f>
        <v>0</v>
      </c>
      <c r="N17" s="79" t="str">
        <f>+IFERROR(VLOOKUP(CONCATENATE(A17,$C$10,C17),'ID1&amp;5'!B:J,8,FALSE),"-")</f>
        <v>-</v>
      </c>
      <c r="O17" s="78" t="str">
        <f>+IFERROR(VLOOKUP(C17,'ID1&amp;5'!K:L,2,FALSE),"-")</f>
        <v>-</v>
      </c>
      <c r="P17" s="79" t="str">
        <f>+IFERROR(VLOOKUP(CONCATENATE(A17,$C$10,C17),'ID1&amp;5'!B:J,9,FALSE),"-")</f>
        <v>-</v>
      </c>
      <c r="Q17" s="78" t="str">
        <f>+IFERROR(VLOOKUP(D17,'ID1&amp;5'!K:L,2,FALSE),"-")</f>
        <v>-</v>
      </c>
      <c r="R17" s="26" t="str">
        <f>+IFERROR(VLOOKUP(CONCATENATE(A17,$D$10,D17),'ID1&amp;5'!B:J,9,FALSE),"-")</f>
        <v>-</v>
      </c>
      <c r="S17" s="78" t="str">
        <f>+IFERROR(VLOOKUP(E17,'ID1&amp;5'!K:L,2,FALSE),"-")</f>
        <v>-</v>
      </c>
      <c r="T17" s="79" t="str">
        <f>+IFERROR(VLOOKUP(CONCATENATE(A17,$E$10,E17),'ID1&amp;5'!B:J,9,FALSE),"-")</f>
        <v>-</v>
      </c>
      <c r="U17" s="78" t="str">
        <f>+IFERROR(VLOOKUP(F17,'ID1&amp;5'!K:L,2,FALSE),"-")</f>
        <v>-</v>
      </c>
      <c r="V17" s="79" t="str">
        <f>+IFERROR(VLOOKUP(CONCATENATE(A17,$F$10,F17),'ID1&amp;5'!B:J,9,FALSE),"-")</f>
        <v>-</v>
      </c>
      <c r="W17" s="26" t="str">
        <f>+IFERROR(VLOOKUP(A17,'ID6&amp;7'!A:I,9,FALSE),"-")</f>
        <v>-</v>
      </c>
      <c r="X17" s="26" t="str">
        <f>+IFERROR(VLOOKUP(A17,'ID6&amp;7'!A:J,10,FALSE),"-")</f>
        <v>-</v>
      </c>
      <c r="Y17" s="26"/>
      <c r="Z17" s="27" t="str">
        <f t="shared" si="1"/>
        <v>Em testes</v>
      </c>
    </row>
    <row r="18" spans="1:26">
      <c r="A18" s="20" t="str">
        <f t="shared" si="0"/>
        <v>ENTITYANNL_TRNVR_LE45657</v>
      </c>
      <c r="B18" s="66">
        <f t="array" ref="B18">+MAX(IF('ID1&amp;5'!A:A='1. Status'!A18&amp;'1. Status'!$B$10,'ID1&amp;5'!K:K))</f>
        <v>1</v>
      </c>
      <c r="C18" s="60">
        <f t="array" ref="C18">+MAX(IF('ID1&amp;5'!A:A='1. Status'!A18&amp;'1. Status'!$C$10,'ID1&amp;5'!K:K))</f>
        <v>0</v>
      </c>
      <c r="D18" s="60">
        <f t="array" ref="D18">+MAX(IF('ID1&amp;5'!A:A='1. Status'!A18&amp;'1. Status'!$D$10,'ID1&amp;5'!K:K))</f>
        <v>0</v>
      </c>
      <c r="E18" s="60">
        <f t="array" ref="E18">+MAX(IF('ID1&amp;5'!A:A='1. Status'!A18&amp;'1. Status'!$E$10,'ID1&amp;5'!K:K))</f>
        <v>0</v>
      </c>
      <c r="F18" s="67">
        <f t="array" ref="F18">+MAX(IF('ID1&amp;5'!A:A='1. Status'!A18&amp;'1. Status'!$F$10,'ID1&amp;5'!K:K))</f>
        <v>0</v>
      </c>
      <c r="G18" s="60"/>
      <c r="H18" s="65" t="s">
        <v>126</v>
      </c>
      <c r="I18" s="21" t="s">
        <v>116</v>
      </c>
      <c r="J18" s="26">
        <f>+COUNTIF('ID1&amp;5'!G:G,'1. Status'!I18)</f>
        <v>1</v>
      </c>
      <c r="K18" s="79">
        <f>+IFERROR(VLOOKUP(CONCATENATE(A18,$B$10,B18),'ID1&amp;5'!B:J,8,FALSE),"-")</f>
        <v>1123670</v>
      </c>
      <c r="L18" s="78" t="str">
        <f>+IFERROR(VLOOKUP(B18,'ID1&amp;5'!K:L,2,FALSE),"-")</f>
        <v>2025-02-24 10:27:56.758376000</v>
      </c>
      <c r="M18" s="79">
        <f>+IFERROR(VLOOKUP(CONCATENATE(A18,$B$10,B18),'ID1&amp;5'!B:J,9,FALSE),"-")</f>
        <v>0</v>
      </c>
      <c r="N18" s="79" t="str">
        <f>+IFERROR(VLOOKUP(CONCATENATE(A18,$C$10,C18),'ID1&amp;5'!B:J,8,FALSE),"-")</f>
        <v>-</v>
      </c>
      <c r="O18" s="78" t="str">
        <f>+IFERROR(VLOOKUP(C18,'ID1&amp;5'!K:L,2,FALSE),"-")</f>
        <v>-</v>
      </c>
      <c r="P18" s="79" t="str">
        <f>+IFERROR(VLOOKUP(CONCATENATE(A18,$C$10,C18),'ID1&amp;5'!B:J,9,FALSE),"-")</f>
        <v>-</v>
      </c>
      <c r="Q18" s="78" t="str">
        <f>+IFERROR(VLOOKUP(D18,'ID1&amp;5'!K:L,2,FALSE),"-")</f>
        <v>-</v>
      </c>
      <c r="R18" s="26" t="str">
        <f>+IFERROR(VLOOKUP(CONCATENATE(A18,$D$10,D18),'ID1&amp;5'!B:J,9,FALSE),"-")</f>
        <v>-</v>
      </c>
      <c r="S18" s="78" t="str">
        <f>+IFERROR(VLOOKUP(E18,'ID1&amp;5'!K:L,2,FALSE),"-")</f>
        <v>-</v>
      </c>
      <c r="T18" s="79" t="str">
        <f>+IFERROR(VLOOKUP(CONCATENATE(A18,$E$10,E18),'ID1&amp;5'!B:J,9,FALSE),"-")</f>
        <v>-</v>
      </c>
      <c r="U18" s="78" t="str">
        <f>+IFERROR(VLOOKUP(F18,'ID1&amp;5'!K:L,2,FALSE),"-")</f>
        <v>-</v>
      </c>
      <c r="V18" s="79" t="str">
        <f>+IFERROR(VLOOKUP(CONCATENATE(A18,$F$10,F18),'ID1&amp;5'!B:J,9,FALSE),"-")</f>
        <v>-</v>
      </c>
      <c r="W18" s="26" t="str">
        <f>+IFERROR(VLOOKUP(A18,'ID6&amp;7'!A:I,9,FALSE),"-")</f>
        <v>-</v>
      </c>
      <c r="X18" s="26" t="str">
        <f>+IFERROR(VLOOKUP(A18,'ID6&amp;7'!A:J,10,FALSE),"-")</f>
        <v>-</v>
      </c>
      <c r="Y18" s="26"/>
      <c r="Z18" s="27" t="str">
        <f t="shared" si="1"/>
        <v>Em testes</v>
      </c>
    </row>
    <row r="19" spans="1:26">
      <c r="A19" s="20" t="str">
        <f t="shared" si="0"/>
        <v>ENTITYEQTY45657</v>
      </c>
      <c r="B19" s="66">
        <f t="array" ref="B19">+MAX(IF('ID1&amp;5'!A:A='1. Status'!A19&amp;'1. Status'!$B$10,'ID1&amp;5'!K:K))</f>
        <v>1</v>
      </c>
      <c r="C19" s="60">
        <f t="array" ref="C19">+MAX(IF('ID1&amp;5'!A:A='1. Status'!A19&amp;'1. Status'!$C$10,'ID1&amp;5'!K:K))</f>
        <v>0</v>
      </c>
      <c r="D19" s="60">
        <f t="array" ref="D19">+MAX(IF('ID1&amp;5'!A:A='1. Status'!A19&amp;'1. Status'!$D$10,'ID1&amp;5'!K:K))</f>
        <v>0</v>
      </c>
      <c r="E19" s="60">
        <f t="array" ref="E19">+MAX(IF('ID1&amp;5'!A:A='1. Status'!A19&amp;'1. Status'!$E$10,'ID1&amp;5'!K:K))</f>
        <v>0</v>
      </c>
      <c r="F19" s="67">
        <f t="array" ref="F19">+MAX(IF('ID1&amp;5'!A:A='1. Status'!A19&amp;'1. Status'!$F$10,'ID1&amp;5'!K:K))</f>
        <v>0</v>
      </c>
      <c r="G19" s="60"/>
      <c r="H19" s="65" t="s">
        <v>126</v>
      </c>
      <c r="I19" s="21" t="s">
        <v>117</v>
      </c>
      <c r="J19" s="26">
        <f>+COUNTIF('ID1&amp;5'!G:G,'1. Status'!I19)</f>
        <v>1</v>
      </c>
      <c r="K19" s="79">
        <f>+IFERROR(VLOOKUP(CONCATENATE(A19,$B$10,B19),'ID1&amp;5'!B:J,8,FALSE),"-")</f>
        <v>1123670</v>
      </c>
      <c r="L19" s="78" t="str">
        <f>+IFERROR(VLOOKUP(B19,'ID1&amp;5'!K:L,2,FALSE),"-")</f>
        <v>2025-02-24 10:27:56.758376000</v>
      </c>
      <c r="M19" s="79">
        <f>+IFERROR(VLOOKUP(CONCATENATE(A19,$B$10,B19),'ID1&amp;5'!B:J,9,FALSE),"-")</f>
        <v>0</v>
      </c>
      <c r="N19" s="79" t="str">
        <f>+IFERROR(VLOOKUP(CONCATENATE(A19,$C$10,C19),'ID1&amp;5'!B:J,8,FALSE),"-")</f>
        <v>-</v>
      </c>
      <c r="O19" s="78" t="str">
        <f>+IFERROR(VLOOKUP(C19,'ID1&amp;5'!K:L,2,FALSE),"-")</f>
        <v>-</v>
      </c>
      <c r="P19" s="79" t="str">
        <f>+IFERROR(VLOOKUP(CONCATENATE(A19,$C$10,C19),'ID1&amp;5'!B:J,9,FALSE),"-")</f>
        <v>-</v>
      </c>
      <c r="Q19" s="78" t="str">
        <f>+IFERROR(VLOOKUP(D19,'ID1&amp;5'!K:L,2,FALSE),"-")</f>
        <v>-</v>
      </c>
      <c r="R19" s="26" t="str">
        <f>+IFERROR(VLOOKUP(CONCATENATE(A19,$D$10,D19),'ID1&amp;5'!B:J,9,FALSE),"-")</f>
        <v>-</v>
      </c>
      <c r="S19" s="78" t="str">
        <f>+IFERROR(VLOOKUP(E19,'ID1&amp;5'!K:L,2,FALSE),"-")</f>
        <v>-</v>
      </c>
      <c r="T19" s="79" t="str">
        <f>+IFERROR(VLOOKUP(CONCATENATE(A19,$E$10,E19),'ID1&amp;5'!B:J,9,FALSE),"-")</f>
        <v>-</v>
      </c>
      <c r="U19" s="78" t="str">
        <f>+IFERROR(VLOOKUP(F19,'ID1&amp;5'!K:L,2,FALSE),"-")</f>
        <v>-</v>
      </c>
      <c r="V19" s="79" t="str">
        <f>+IFERROR(VLOOKUP(CONCATENATE(A19,$F$10,F19),'ID1&amp;5'!B:J,9,FALSE),"-")</f>
        <v>-</v>
      </c>
      <c r="W19" s="26" t="str">
        <f>+IFERROR(VLOOKUP(A19,'ID6&amp;7'!A:I,9,FALSE),"-")</f>
        <v>-</v>
      </c>
      <c r="X19" s="26" t="str">
        <f>+IFERROR(VLOOKUP(A19,'ID6&amp;7'!A:J,10,FALSE),"-")</f>
        <v>-</v>
      </c>
      <c r="Y19" s="26"/>
      <c r="Z19" s="27" t="str">
        <f t="shared" si="1"/>
        <v>Em testes</v>
      </c>
    </row>
    <row r="20" spans="1:26">
      <c r="A20" s="20" t="str">
        <f t="shared" si="0"/>
        <v>ENTITYGRP_TTL_DBT45657</v>
      </c>
      <c r="B20" s="66">
        <f t="array" ref="B20">+MAX(IF('ID1&amp;5'!A:A='1. Status'!A20&amp;'1. Status'!$B$10,'ID1&amp;5'!K:K))</f>
        <v>1</v>
      </c>
      <c r="C20" s="60">
        <f t="array" ref="C20">+MAX(IF('ID1&amp;5'!A:A='1. Status'!A20&amp;'1. Status'!$C$10,'ID1&amp;5'!K:K))</f>
        <v>0</v>
      </c>
      <c r="D20" s="60">
        <f t="array" ref="D20">+MAX(IF('ID1&amp;5'!A:A='1. Status'!A20&amp;'1. Status'!$D$10,'ID1&amp;5'!K:K))</f>
        <v>0</v>
      </c>
      <c r="E20" s="60">
        <f t="array" ref="E20">+MAX(IF('ID1&amp;5'!A:A='1. Status'!A20&amp;'1. Status'!$E$10,'ID1&amp;5'!K:K))</f>
        <v>0</v>
      </c>
      <c r="F20" s="67">
        <f t="array" ref="F20">+MAX(IF('ID1&amp;5'!A:A='1. Status'!A20&amp;'1. Status'!$F$10,'ID1&amp;5'!K:K))</f>
        <v>0</v>
      </c>
      <c r="G20" s="60"/>
      <c r="H20" s="65" t="s">
        <v>126</v>
      </c>
      <c r="I20" s="21" t="s">
        <v>118</v>
      </c>
      <c r="J20" s="26">
        <f>+COUNTIF('ID1&amp;5'!G:G,'1. Status'!I20)</f>
        <v>1</v>
      </c>
      <c r="K20" s="79">
        <f>+IFERROR(VLOOKUP(CONCATENATE(A20,$B$10,B20),'ID1&amp;5'!B:J,8,FALSE),"-")</f>
        <v>1123670</v>
      </c>
      <c r="L20" s="78" t="str">
        <f>+IFERROR(VLOOKUP(B20,'ID1&amp;5'!K:L,2,FALSE),"-")</f>
        <v>2025-02-24 10:27:56.758376000</v>
      </c>
      <c r="M20" s="79">
        <f>+IFERROR(VLOOKUP(CONCATENATE(A20,$B$10,B20),'ID1&amp;5'!B:J,9,FALSE),"-")</f>
        <v>0</v>
      </c>
      <c r="N20" s="79" t="str">
        <f>+IFERROR(VLOOKUP(CONCATENATE(A20,$C$10,C20),'ID1&amp;5'!B:J,8,FALSE),"-")</f>
        <v>-</v>
      </c>
      <c r="O20" s="78" t="str">
        <f>+IFERROR(VLOOKUP(C20,'ID1&amp;5'!K:L,2,FALSE),"-")</f>
        <v>-</v>
      </c>
      <c r="P20" s="79" t="str">
        <f>+IFERROR(VLOOKUP(CONCATENATE(A20,$C$10,C20),'ID1&amp;5'!B:J,9,FALSE),"-")</f>
        <v>-</v>
      </c>
      <c r="Q20" s="78" t="str">
        <f>+IFERROR(VLOOKUP(D20,'ID1&amp;5'!K:L,2,FALSE),"-")</f>
        <v>-</v>
      </c>
      <c r="R20" s="26" t="str">
        <f>+IFERROR(VLOOKUP(CONCATENATE(A20,$D$10,D20),'ID1&amp;5'!B:J,9,FALSE),"-")</f>
        <v>-</v>
      </c>
      <c r="S20" s="78" t="str">
        <f>+IFERROR(VLOOKUP(E20,'ID1&amp;5'!K:L,2,FALSE),"-")</f>
        <v>-</v>
      </c>
      <c r="T20" s="79" t="str">
        <f>+IFERROR(VLOOKUP(CONCATENATE(A20,$E$10,E20),'ID1&amp;5'!B:J,9,FALSE),"-")</f>
        <v>-</v>
      </c>
      <c r="U20" s="78" t="str">
        <f>+IFERROR(VLOOKUP(F20,'ID1&amp;5'!K:L,2,FALSE),"-")</f>
        <v>-</v>
      </c>
      <c r="V20" s="79" t="str">
        <f>+IFERROR(VLOOKUP(CONCATENATE(A20,$F$10,F20),'ID1&amp;5'!B:J,9,FALSE),"-")</f>
        <v>-</v>
      </c>
      <c r="W20" s="26" t="str">
        <f>+IFERROR(VLOOKUP(A20,'ID6&amp;7'!A:I,9,FALSE),"-")</f>
        <v>-</v>
      </c>
      <c r="X20" s="26" t="str">
        <f>+IFERROR(VLOOKUP(A20,'ID6&amp;7'!A:J,10,FALSE),"-")</f>
        <v>-</v>
      </c>
      <c r="Y20" s="26"/>
      <c r="Z20" s="27" t="str">
        <f t="shared" si="1"/>
        <v>Em testes</v>
      </c>
    </row>
    <row r="21" spans="1:26">
      <c r="A21" s="20" t="str">
        <f t="shared" si="0"/>
        <v>ENTITYTTL_DBT45657</v>
      </c>
      <c r="B21" s="66">
        <f t="array" ref="B21">+MAX(IF('ID1&amp;5'!A:A='1. Status'!A21&amp;'1. Status'!$B$10,'ID1&amp;5'!K:K))</f>
        <v>1</v>
      </c>
      <c r="C21" s="60">
        <f t="array" ref="C21">+MAX(IF('ID1&amp;5'!A:A='1. Status'!A21&amp;'1. Status'!$C$10,'ID1&amp;5'!K:K))</f>
        <v>0</v>
      </c>
      <c r="D21" s="60">
        <f t="array" ref="D21">+MAX(IF('ID1&amp;5'!A:A='1. Status'!A21&amp;'1. Status'!$D$10,'ID1&amp;5'!K:K))</f>
        <v>0</v>
      </c>
      <c r="E21" s="60">
        <f t="array" ref="E21">+MAX(IF('ID1&amp;5'!A:A='1. Status'!A21&amp;'1. Status'!$E$10,'ID1&amp;5'!K:K))</f>
        <v>0</v>
      </c>
      <c r="F21" s="67">
        <f t="array" ref="F21">+MAX(IF('ID1&amp;5'!A:A='1. Status'!A21&amp;'1. Status'!$F$10,'ID1&amp;5'!K:K))</f>
        <v>0</v>
      </c>
      <c r="G21" s="60"/>
      <c r="H21" s="65" t="s">
        <v>126</v>
      </c>
      <c r="I21" s="21" t="s">
        <v>119</v>
      </c>
      <c r="J21" s="26">
        <f>+COUNTIF('ID1&amp;5'!G:G,'1. Status'!I21)</f>
        <v>1</v>
      </c>
      <c r="K21" s="79">
        <f>+IFERROR(VLOOKUP(CONCATENATE(A21,$B$10,B21),'ID1&amp;5'!B:J,8,FALSE),"-")</f>
        <v>1123670</v>
      </c>
      <c r="L21" s="78" t="str">
        <f>+IFERROR(VLOOKUP(B21,'ID1&amp;5'!K:L,2,FALSE),"-")</f>
        <v>2025-02-24 10:27:56.758376000</v>
      </c>
      <c r="M21" s="79">
        <f>+IFERROR(VLOOKUP(CONCATENATE(A21,$B$10,B21),'ID1&amp;5'!B:J,9,FALSE),"-")</f>
        <v>0</v>
      </c>
      <c r="N21" s="79" t="str">
        <f>+IFERROR(VLOOKUP(CONCATENATE(A21,$C$10,C21),'ID1&amp;5'!B:J,8,FALSE),"-")</f>
        <v>-</v>
      </c>
      <c r="O21" s="78" t="str">
        <f>+IFERROR(VLOOKUP(C21,'ID1&amp;5'!K:L,2,FALSE),"-")</f>
        <v>-</v>
      </c>
      <c r="P21" s="79" t="str">
        <f>+IFERROR(VLOOKUP(CONCATENATE(A21,$C$10,C21),'ID1&amp;5'!B:J,9,FALSE),"-")</f>
        <v>-</v>
      </c>
      <c r="Q21" s="78" t="str">
        <f>+IFERROR(VLOOKUP(D21,'ID1&amp;5'!K:L,2,FALSE),"-")</f>
        <v>-</v>
      </c>
      <c r="R21" s="26" t="str">
        <f>+IFERROR(VLOOKUP(CONCATENATE(A21,$D$10,D21),'ID1&amp;5'!B:J,9,FALSE),"-")</f>
        <v>-</v>
      </c>
      <c r="S21" s="78" t="str">
        <f>+IFERROR(VLOOKUP(E21,'ID1&amp;5'!K:L,2,FALSE),"-")</f>
        <v>-</v>
      </c>
      <c r="T21" s="79" t="str">
        <f>+IFERROR(VLOOKUP(CONCATENATE(A21,$E$10,E21),'ID1&amp;5'!B:J,9,FALSE),"-")</f>
        <v>-</v>
      </c>
      <c r="U21" s="78" t="str">
        <f>+IFERROR(VLOOKUP(F21,'ID1&amp;5'!K:L,2,FALSE),"-")</f>
        <v>-</v>
      </c>
      <c r="V21" s="79" t="str">
        <f>+IFERROR(VLOOKUP(CONCATENATE(A21,$F$10,F21),'ID1&amp;5'!B:J,9,FALSE),"-")</f>
        <v>-</v>
      </c>
      <c r="W21" s="26" t="str">
        <f>+IFERROR(VLOOKUP(A21,'ID6&amp;7'!A:I,9,FALSE),"-")</f>
        <v>-</v>
      </c>
      <c r="X21" s="26" t="str">
        <f>+IFERROR(VLOOKUP(A21,'ID6&amp;7'!A:J,10,FALSE),"-")</f>
        <v>-</v>
      </c>
      <c r="Y21" s="26"/>
      <c r="Z21" s="27" t="str">
        <f t="shared" si="1"/>
        <v>Em testes</v>
      </c>
    </row>
    <row r="22" spans="1:26">
      <c r="A22" s="20" t="str">
        <f t="shared" si="0"/>
        <v>ENTITYEC_GRP_NM45657</v>
      </c>
      <c r="B22" s="66">
        <f t="array" ref="B22">+MAX(IF('ID1&amp;5'!A:A='1. Status'!A22&amp;'1. Status'!$B$10,'ID1&amp;5'!K:K))</f>
        <v>1</v>
      </c>
      <c r="C22" s="60">
        <f t="array" ref="C22">+MAX(IF('ID1&amp;5'!A:A='1. Status'!A22&amp;'1. Status'!$C$10,'ID1&amp;5'!K:K))</f>
        <v>0</v>
      </c>
      <c r="D22" s="60">
        <f t="array" ref="D22">+MAX(IF('ID1&amp;5'!A:A='1. Status'!A22&amp;'1. Status'!$D$10,'ID1&amp;5'!K:K))</f>
        <v>0</v>
      </c>
      <c r="E22" s="60">
        <f t="array" ref="E22">+MAX(IF('ID1&amp;5'!A:A='1. Status'!A22&amp;'1. Status'!$E$10,'ID1&amp;5'!K:K))</f>
        <v>0</v>
      </c>
      <c r="F22" s="67">
        <f t="array" ref="F22">+MAX(IF('ID1&amp;5'!A:A='1. Status'!A22&amp;'1. Status'!$F$10,'ID1&amp;5'!K:K))</f>
        <v>0</v>
      </c>
      <c r="G22" s="60"/>
      <c r="H22" s="65" t="s">
        <v>126</v>
      </c>
      <c r="I22" s="21" t="s">
        <v>402</v>
      </c>
      <c r="J22" s="26">
        <f>+COUNTIF('ID1&amp;5'!G:G,'1. Status'!I22)</f>
        <v>1</v>
      </c>
      <c r="K22" s="79">
        <f>+IFERROR(VLOOKUP(CONCATENATE(A22,$B$10,B22),'ID1&amp;5'!B:J,8,FALSE),"-")</f>
        <v>1123670</v>
      </c>
      <c r="L22" s="78" t="str">
        <f>+IFERROR(VLOOKUP(B22,'ID1&amp;5'!K:L,2,FALSE),"-")</f>
        <v>2025-02-24 10:27:56.758376000</v>
      </c>
      <c r="M22" s="79">
        <f>+IFERROR(VLOOKUP(CONCATENATE(A22,$B$10,B22),'ID1&amp;5'!B:J,9,FALSE),"-")</f>
        <v>0</v>
      </c>
      <c r="N22" s="79" t="str">
        <f>+IFERROR(VLOOKUP(CONCATENATE(A22,$C$10,C22),'ID1&amp;5'!B:J,8,FALSE),"-")</f>
        <v>-</v>
      </c>
      <c r="O22" s="78" t="str">
        <f>+IFERROR(VLOOKUP(C22,'ID1&amp;5'!K:L,2,FALSE),"-")</f>
        <v>-</v>
      </c>
      <c r="P22" s="79" t="str">
        <f>+IFERROR(VLOOKUP(CONCATENATE(A22,$C$10,C22),'ID1&amp;5'!B:J,9,FALSE),"-")</f>
        <v>-</v>
      </c>
      <c r="Q22" s="78" t="str">
        <f>+IFERROR(VLOOKUP(D22,'ID1&amp;5'!K:L,2,FALSE),"-")</f>
        <v>-</v>
      </c>
      <c r="R22" s="26" t="str">
        <f>+IFERROR(VLOOKUP(CONCATENATE(A22,$D$10,D22),'ID1&amp;5'!B:J,9,FALSE),"-")</f>
        <v>-</v>
      </c>
      <c r="S22" s="78" t="str">
        <f>+IFERROR(VLOOKUP(E22,'ID1&amp;5'!K:L,2,FALSE),"-")</f>
        <v>-</v>
      </c>
      <c r="T22" s="79" t="str">
        <f>+IFERROR(VLOOKUP(CONCATENATE(A22,$E$10,E22),'ID1&amp;5'!B:J,9,FALSE),"-")</f>
        <v>-</v>
      </c>
      <c r="U22" s="78" t="str">
        <f>+IFERROR(VLOOKUP(F22,'ID1&amp;5'!K:L,2,FALSE),"-")</f>
        <v>-</v>
      </c>
      <c r="V22" s="79" t="str">
        <f>+IFERROR(VLOOKUP(CONCATENATE(A22,$F$10,F22),'ID1&amp;5'!B:J,9,FALSE),"-")</f>
        <v>-</v>
      </c>
      <c r="W22" s="26" t="str">
        <f>+IFERROR(VLOOKUP(A22,'ID6&amp;7'!A:I,9,FALSE),"-")</f>
        <v>-</v>
      </c>
      <c r="X22" s="26" t="str">
        <f>+IFERROR(VLOOKUP(A22,'ID6&amp;7'!A:J,10,FALSE),"-")</f>
        <v>-</v>
      </c>
      <c r="Y22" s="26"/>
      <c r="Z22" s="27" t="str">
        <f t="shared" si="1"/>
        <v>Em testes</v>
      </c>
    </row>
    <row r="23" spans="1:26">
      <c r="A23" s="20" t="str">
        <f t="shared" si="0"/>
        <v>INSTR_ENTITYCOD_SOC45657</v>
      </c>
      <c r="B23" s="66">
        <f t="array" ref="B23">+MAX(IF('ID1&amp;5'!A:A='1. Status'!A23&amp;'1. Status'!$B$10,'ID1&amp;5'!K:K))</f>
        <v>1</v>
      </c>
      <c r="C23" s="60">
        <f t="array" ref="C23">+MAX(IF('ID1&amp;5'!A:A='1. Status'!A23&amp;'1. Status'!$C$10,'ID1&amp;5'!K:K))</f>
        <v>0</v>
      </c>
      <c r="D23" s="60">
        <f t="array" ref="D23">+MAX(IF('ID1&amp;5'!A:A='1. Status'!A23&amp;'1. Status'!$D$10,'ID1&amp;5'!K:K))</f>
        <v>0</v>
      </c>
      <c r="E23" s="60">
        <f t="array" ref="E23">+MAX(IF('ID1&amp;5'!A:A='1. Status'!A23&amp;'1. Status'!$E$10,'ID1&amp;5'!K:K))</f>
        <v>0</v>
      </c>
      <c r="F23" s="67">
        <f t="array" ref="F23">+MAX(IF('ID1&amp;5'!A:A='1. Status'!A23&amp;'1. Status'!$F$10,'ID1&amp;5'!K:K))</f>
        <v>0</v>
      </c>
      <c r="G23" s="60"/>
      <c r="H23" s="65" t="s">
        <v>320</v>
      </c>
      <c r="I23" s="21" t="s">
        <v>108</v>
      </c>
      <c r="J23" s="26">
        <f>+COUNTIF('ID1&amp;5'!G:G,'1. Status'!I23)</f>
        <v>5</v>
      </c>
      <c r="K23" s="79">
        <f>+IFERROR(VLOOKUP(CONCATENATE(A23,$B$10,B23),'ID1&amp;5'!B:J,8,FALSE),"-")</f>
        <v>3568644</v>
      </c>
      <c r="L23" s="78" t="str">
        <f>+IFERROR(VLOOKUP(B23,'ID1&amp;5'!K:L,2,FALSE),"-")</f>
        <v>2025-02-24 10:27:56.758376000</v>
      </c>
      <c r="M23" s="79">
        <f>+IFERROR(VLOOKUP(CONCATENATE(A23,$B$10,B23),'ID1&amp;5'!B:J,9,FALSE),"-")</f>
        <v>0</v>
      </c>
      <c r="N23" s="79" t="str">
        <f>+IFERROR(VLOOKUP(CONCATENATE(A23,$C$10,C23),'ID1&amp;5'!B:J,8,FALSE),"-")</f>
        <v>-</v>
      </c>
      <c r="O23" s="78" t="str">
        <f>+IFERROR(VLOOKUP(C23,'ID1&amp;5'!K:L,2,FALSE),"-")</f>
        <v>-</v>
      </c>
      <c r="P23" s="79" t="str">
        <f>+IFERROR(VLOOKUP(CONCATENATE(A23,$C$10,C23),'ID1&amp;5'!B:J,9,FALSE),"-")</f>
        <v>-</v>
      </c>
      <c r="Q23" s="78" t="str">
        <f>+IFERROR(VLOOKUP(D23,'ID1&amp;5'!K:L,2,FALSE),"-")</f>
        <v>-</v>
      </c>
      <c r="R23" s="26" t="str">
        <f>+IFERROR(VLOOKUP(CONCATENATE(A23,$D$10,D23),'ID1&amp;5'!B:J,9,FALSE),"-")</f>
        <v>-</v>
      </c>
      <c r="S23" s="78" t="str">
        <f>+IFERROR(VLOOKUP(E23,'ID1&amp;5'!K:L,2,FALSE),"-")</f>
        <v>-</v>
      </c>
      <c r="T23" s="79" t="str">
        <f>+IFERROR(VLOOKUP(CONCATENATE(A23,$E$10,E23),'ID1&amp;5'!B:J,9,FALSE),"-")</f>
        <v>-</v>
      </c>
      <c r="U23" s="78" t="str">
        <f>+IFERROR(VLOOKUP(F23,'ID1&amp;5'!K:L,2,FALSE),"-")</f>
        <v>-</v>
      </c>
      <c r="V23" s="79" t="str">
        <f>+IFERROR(VLOOKUP(CONCATENATE(A23,$F$10,F23),'ID1&amp;5'!B:J,9,FALSE),"-")</f>
        <v>-</v>
      </c>
      <c r="W23" s="26" t="str">
        <f>+IFERROR(VLOOKUP(A23,'ID6&amp;7'!A:I,9,FALSE),"-")</f>
        <v>-</v>
      </c>
      <c r="X23" s="26" t="str">
        <f>+IFERROR(VLOOKUP(A23,'ID6&amp;7'!A:J,10,FALSE),"-")</f>
        <v>-</v>
      </c>
      <c r="Y23" s="26"/>
      <c r="Z23" s="27" t="str">
        <f t="shared" si="1"/>
        <v>Em testes</v>
      </c>
    </row>
    <row r="24" spans="1:26">
      <c r="A24" s="20" t="str">
        <f t="shared" si="0"/>
        <v>INSTR_ENTITYDT_RFRNC45657</v>
      </c>
      <c r="B24" s="66">
        <f t="array" ref="B24">+MAX(IF('ID1&amp;5'!A:A='1. Status'!A24&amp;'1. Status'!$B$10,'ID1&amp;5'!K:K))</f>
        <v>0</v>
      </c>
      <c r="C24" s="60">
        <f t="array" ref="C24">+MAX(IF('ID1&amp;5'!A:A='1. Status'!A24&amp;'1. Status'!$C$10,'ID1&amp;5'!K:K))</f>
        <v>0</v>
      </c>
      <c r="D24" s="60">
        <f t="array" ref="D24">+MAX(IF('ID1&amp;5'!A:A='1. Status'!A24&amp;'1. Status'!$D$10,'ID1&amp;5'!K:K))</f>
        <v>0</v>
      </c>
      <c r="E24" s="60">
        <f t="array" ref="E24">+MAX(IF('ID1&amp;5'!A:A='1. Status'!A24&amp;'1. Status'!$E$10,'ID1&amp;5'!K:K))</f>
        <v>0</v>
      </c>
      <c r="F24" s="67">
        <f t="array" ref="F24">+MAX(IF('ID1&amp;5'!A:A='1. Status'!A24&amp;'1. Status'!$F$10,'ID1&amp;5'!K:K))</f>
        <v>0</v>
      </c>
      <c r="G24" s="60"/>
      <c r="H24" s="65" t="s">
        <v>320</v>
      </c>
      <c r="I24" s="21" t="s">
        <v>603</v>
      </c>
      <c r="J24" s="26">
        <f>+COUNTIF('ID1&amp;5'!G:G,'1. Status'!I24)</f>
        <v>0</v>
      </c>
      <c r="K24" s="79" t="str">
        <f>+IFERROR(VLOOKUP(CONCATENATE(A24,$B$10,B24),'ID1&amp;5'!B:J,8,FALSE),"-")</f>
        <v>-</v>
      </c>
      <c r="L24" s="78" t="str">
        <f>+IFERROR(VLOOKUP(B24,'ID1&amp;5'!K:L,2,FALSE),"-")</f>
        <v>-</v>
      </c>
      <c r="M24" s="79" t="str">
        <f>+IFERROR(VLOOKUP(CONCATENATE(A24,$B$10,B24),'ID1&amp;5'!B:J,9,FALSE),"-")</f>
        <v>-</v>
      </c>
      <c r="N24" s="79" t="str">
        <f>+IFERROR(VLOOKUP(CONCATENATE(A24,$C$10,C24),'ID1&amp;5'!B:J,8,FALSE),"-")</f>
        <v>-</v>
      </c>
      <c r="O24" s="78" t="str">
        <f>+IFERROR(VLOOKUP(C24,'ID1&amp;5'!K:L,2,FALSE),"-")</f>
        <v>-</v>
      </c>
      <c r="P24" s="79" t="str">
        <f>+IFERROR(VLOOKUP(CONCATENATE(A24,$C$10,C24),'ID1&amp;5'!B:J,9,FALSE),"-")</f>
        <v>-</v>
      </c>
      <c r="Q24" s="78" t="str">
        <f>+IFERROR(VLOOKUP(D24,'ID1&amp;5'!K:L,2,FALSE),"-")</f>
        <v>-</v>
      </c>
      <c r="R24" s="26" t="str">
        <f>+IFERROR(VLOOKUP(CONCATENATE(A24,$D$10,D24),'ID1&amp;5'!B:J,9,FALSE),"-")</f>
        <v>-</v>
      </c>
      <c r="S24" s="78" t="str">
        <f>+IFERROR(VLOOKUP(E24,'ID1&amp;5'!K:L,2,FALSE),"-")</f>
        <v>-</v>
      </c>
      <c r="T24" s="79" t="str">
        <f>+IFERROR(VLOOKUP(CONCATENATE(A24,$E$10,E24),'ID1&amp;5'!B:J,9,FALSE),"-")</f>
        <v>-</v>
      </c>
      <c r="U24" s="78" t="str">
        <f>+IFERROR(VLOOKUP(F24,'ID1&amp;5'!K:L,2,FALSE),"-")</f>
        <v>-</v>
      </c>
      <c r="V24" s="79" t="str">
        <f>+IFERROR(VLOOKUP(CONCATENATE(A24,$F$10,F24),'ID1&amp;5'!B:J,9,FALSE),"-")</f>
        <v>-</v>
      </c>
      <c r="W24" s="26" t="str">
        <f>+IFERROR(VLOOKUP(A24,'ID6&amp;7'!A:I,9,FALSE),"-")</f>
        <v>-</v>
      </c>
      <c r="X24" s="26" t="str">
        <f>+IFERROR(VLOOKUP(A24,'ID6&amp;7'!A:J,10,FALSE),"-")</f>
        <v>-</v>
      </c>
      <c r="Y24" s="26"/>
      <c r="Z24" s="27" t="str">
        <f t="shared" si="1"/>
        <v>Por iniciar</v>
      </c>
    </row>
    <row r="25" spans="1:26">
      <c r="A25" s="20" t="str">
        <f t="shared" si="0"/>
        <v>INSTR_ENTITYMN_ENTTY_ID45657</v>
      </c>
      <c r="B25" s="66">
        <f t="array" ref="B25">+MAX(IF('ID1&amp;5'!A:A='1. Status'!A25&amp;'1. Status'!$B$10,'ID1&amp;5'!K:K))</f>
        <v>1</v>
      </c>
      <c r="C25" s="60">
        <f t="array" ref="C25">+MAX(IF('ID1&amp;5'!A:A='1. Status'!A25&amp;'1. Status'!$C$10,'ID1&amp;5'!K:K))</f>
        <v>0</v>
      </c>
      <c r="D25" s="60">
        <f t="array" ref="D25">+MAX(IF('ID1&amp;5'!A:A='1. Status'!A25&amp;'1. Status'!$D$10,'ID1&amp;5'!K:K))</f>
        <v>0</v>
      </c>
      <c r="E25" s="60">
        <f t="array" ref="E25">+MAX(IF('ID1&amp;5'!A:A='1. Status'!A25&amp;'1. Status'!$E$10,'ID1&amp;5'!K:K))</f>
        <v>0</v>
      </c>
      <c r="F25" s="67">
        <f t="array" ref="F25">+MAX(IF('ID1&amp;5'!A:A='1. Status'!A25&amp;'1. Status'!$F$10,'ID1&amp;5'!K:K))</f>
        <v>0</v>
      </c>
      <c r="G25" s="60"/>
      <c r="H25" s="65" t="s">
        <v>320</v>
      </c>
      <c r="I25" s="21" t="s">
        <v>409</v>
      </c>
      <c r="J25" s="26">
        <f>+COUNTIF('ID1&amp;5'!G:G,'1. Status'!I25)</f>
        <v>1</v>
      </c>
      <c r="K25" s="79">
        <f>+IFERROR(VLOOKUP(CONCATENATE(A25,$B$10,B25),'ID1&amp;5'!B:J,8,FALSE),"-")</f>
        <v>3568644</v>
      </c>
      <c r="L25" s="78" t="str">
        <f>+IFERROR(VLOOKUP(B25,'ID1&amp;5'!K:L,2,FALSE),"-")</f>
        <v>2025-02-24 10:27:56.758376000</v>
      </c>
      <c r="M25" s="79">
        <f>+IFERROR(VLOOKUP(CONCATENATE(A25,$B$10,B25),'ID1&amp;5'!B:J,9,FALSE),"-")</f>
        <v>997532</v>
      </c>
      <c r="N25" s="79" t="str">
        <f>+IFERROR(VLOOKUP(CONCATENATE(A25,$C$10,C25),'ID1&amp;5'!B:J,8,FALSE),"-")</f>
        <v>-</v>
      </c>
      <c r="O25" s="78" t="str">
        <f>+IFERROR(VLOOKUP(C25,'ID1&amp;5'!K:L,2,FALSE),"-")</f>
        <v>-</v>
      </c>
      <c r="P25" s="79" t="str">
        <f>+IFERROR(VLOOKUP(CONCATENATE(A25,$C$10,C25),'ID1&amp;5'!B:J,9,FALSE),"-")</f>
        <v>-</v>
      </c>
      <c r="Q25" s="78" t="str">
        <f>+IFERROR(VLOOKUP(D25,'ID1&amp;5'!K:L,2,FALSE),"-")</f>
        <v>-</v>
      </c>
      <c r="R25" s="26" t="str">
        <f>+IFERROR(VLOOKUP(CONCATENATE(A25,$D$10,D25),'ID1&amp;5'!B:J,9,FALSE),"-")</f>
        <v>-</v>
      </c>
      <c r="S25" s="78" t="str">
        <f>+IFERROR(VLOOKUP(E25,'ID1&amp;5'!K:L,2,FALSE),"-")</f>
        <v>-</v>
      </c>
      <c r="T25" s="79" t="str">
        <f>+IFERROR(VLOOKUP(CONCATENATE(A25,$E$10,E25),'ID1&amp;5'!B:J,9,FALSE),"-")</f>
        <v>-</v>
      </c>
      <c r="U25" s="78" t="str">
        <f>+IFERROR(VLOOKUP(F25,'ID1&amp;5'!K:L,2,FALSE),"-")</f>
        <v>-</v>
      </c>
      <c r="V25" s="79" t="str">
        <f>+IFERROR(VLOOKUP(CONCATENATE(A25,$F$10,F25),'ID1&amp;5'!B:J,9,FALSE),"-")</f>
        <v>-</v>
      </c>
      <c r="W25" s="26" t="str">
        <f>+IFERROR(VLOOKUP(A25,'ID6&amp;7'!A:I,9,FALSE),"-")</f>
        <v>-</v>
      </c>
      <c r="X25" s="26" t="str">
        <f>+IFERROR(VLOOKUP(A25,'ID6&amp;7'!A:J,10,FALSE),"-")</f>
        <v>-</v>
      </c>
      <c r="Y25" s="26"/>
      <c r="Z25" s="27" t="str">
        <f t="shared" si="1"/>
        <v>Em testes</v>
      </c>
    </row>
    <row r="26" spans="1:26">
      <c r="A26" s="20" t="str">
        <f t="shared" si="0"/>
        <v>INSTRUMENTCOD_SOC45657</v>
      </c>
      <c r="B26" s="66">
        <f t="array" ref="B26">+MAX(IF('ID1&amp;5'!A:A='1. Status'!A26&amp;'1. Status'!$B$10,'ID1&amp;5'!K:K))</f>
        <v>1</v>
      </c>
      <c r="C26" s="60">
        <f t="array" ref="C26">+MAX(IF('ID1&amp;5'!A:A='1. Status'!A26&amp;'1. Status'!$C$10,'ID1&amp;5'!K:K))</f>
        <v>0</v>
      </c>
      <c r="D26" s="60">
        <f t="array" ref="D26">+MAX(IF('ID1&amp;5'!A:A='1. Status'!A26&amp;'1. Status'!$D$10,'ID1&amp;5'!K:K))</f>
        <v>0</v>
      </c>
      <c r="E26" s="60">
        <f t="array" ref="E26">+MAX(IF('ID1&amp;5'!A:A='1. Status'!A26&amp;'1. Status'!$E$10,'ID1&amp;5'!K:K))</f>
        <v>0</v>
      </c>
      <c r="F26" s="67">
        <f t="array" ref="F26">+MAX(IF('ID1&amp;5'!A:A='1. Status'!A26&amp;'1. Status'!$F$10,'ID1&amp;5'!K:K))</f>
        <v>0</v>
      </c>
      <c r="G26" s="60"/>
      <c r="H26" s="65" t="s">
        <v>125</v>
      </c>
      <c r="I26" s="21" t="s">
        <v>108</v>
      </c>
      <c r="J26" s="26">
        <f>+COUNTIF('ID1&amp;5'!G:G,'1. Status'!I26)</f>
        <v>5</v>
      </c>
      <c r="K26" s="79">
        <f>+IFERROR(VLOOKUP(CONCATENATE(A26,$B$10,B26),'ID1&amp;5'!B:J,8,FALSE),"-")</f>
        <v>2091533</v>
      </c>
      <c r="L26" s="78" t="str">
        <f>+IFERROR(VLOOKUP(B26,'ID1&amp;5'!K:L,2,FALSE),"-")</f>
        <v>2025-02-24 10:27:56.758376000</v>
      </c>
      <c r="M26" s="79">
        <f>+IFERROR(VLOOKUP(CONCATENATE(A26,$B$10,B26),'ID1&amp;5'!B:J,9,FALSE),"-")</f>
        <v>0</v>
      </c>
      <c r="N26" s="79" t="str">
        <f>+IFERROR(VLOOKUP(CONCATENATE(A26,$C$10,C26),'ID1&amp;5'!B:J,8,FALSE),"-")</f>
        <v>-</v>
      </c>
      <c r="O26" s="78" t="str">
        <f>+IFERROR(VLOOKUP(C26,'ID1&amp;5'!K:L,2,FALSE),"-")</f>
        <v>-</v>
      </c>
      <c r="P26" s="79" t="str">
        <f>+IFERROR(VLOOKUP(CONCATENATE(A26,$C$10,C26),'ID1&amp;5'!B:J,9,FALSE),"-")</f>
        <v>-</v>
      </c>
      <c r="Q26" s="78" t="str">
        <f>+IFERROR(VLOOKUP(D26,'ID1&amp;5'!K:L,2,FALSE),"-")</f>
        <v>-</v>
      </c>
      <c r="R26" s="26" t="str">
        <f>+IFERROR(VLOOKUP(CONCATENATE(A26,$D$10,D26),'ID1&amp;5'!B:J,9,FALSE),"-")</f>
        <v>-</v>
      </c>
      <c r="S26" s="78" t="str">
        <f>+IFERROR(VLOOKUP(E26,'ID1&amp;5'!K:L,2,FALSE),"-")</f>
        <v>-</v>
      </c>
      <c r="T26" s="79" t="str">
        <f>+IFERROR(VLOOKUP(CONCATENATE(A26,$E$10,E26),'ID1&amp;5'!B:J,9,FALSE),"-")</f>
        <v>-</v>
      </c>
      <c r="U26" s="78" t="str">
        <f>+IFERROR(VLOOKUP(F26,'ID1&amp;5'!K:L,2,FALSE),"-")</f>
        <v>-</v>
      </c>
      <c r="V26" s="79" t="str">
        <f>+IFERROR(VLOOKUP(CONCATENATE(A26,$F$10,F26),'ID1&amp;5'!B:J,9,FALSE),"-")</f>
        <v>-</v>
      </c>
      <c r="W26" s="26" t="str">
        <f>+IFERROR(VLOOKUP(A26,'ID6&amp;7'!A:I,9,FALSE),"-")</f>
        <v>-</v>
      </c>
      <c r="X26" s="26" t="str">
        <f>+IFERROR(VLOOKUP(A26,'ID6&amp;7'!A:J,10,FALSE),"-")</f>
        <v>-</v>
      </c>
      <c r="Y26" s="26"/>
      <c r="Z26" s="27" t="str">
        <f t="shared" si="1"/>
        <v>Em testes</v>
      </c>
    </row>
    <row r="27" spans="1:26">
      <c r="A27" s="20" t="str">
        <f t="shared" si="0"/>
        <v>INSTRUMENTSUBPORTFOLIO_ID45657</v>
      </c>
      <c r="B27" s="66">
        <f t="array" ref="B27">+MAX(IF('ID1&amp;5'!A:A='1. Status'!A27&amp;'1. Status'!$B$10,'ID1&amp;5'!K:K))</f>
        <v>1</v>
      </c>
      <c r="C27" s="60">
        <f t="array" ref="C27">+MAX(IF('ID1&amp;5'!A:A='1. Status'!A27&amp;'1. Status'!$C$10,'ID1&amp;5'!K:K))</f>
        <v>0</v>
      </c>
      <c r="D27" s="60">
        <f t="array" ref="D27">+MAX(IF('ID1&amp;5'!A:A='1. Status'!A27&amp;'1. Status'!$D$10,'ID1&amp;5'!K:K))</f>
        <v>0</v>
      </c>
      <c r="E27" s="60">
        <f t="array" ref="E27">+MAX(IF('ID1&amp;5'!A:A='1. Status'!A27&amp;'1. Status'!$E$10,'ID1&amp;5'!K:K))</f>
        <v>0</v>
      </c>
      <c r="F27" s="67">
        <f t="array" ref="F27">+MAX(IF('ID1&amp;5'!A:A='1. Status'!A27&amp;'1. Status'!$F$10,'ID1&amp;5'!K:K))</f>
        <v>0</v>
      </c>
      <c r="G27" s="60"/>
      <c r="H27" s="65" t="s">
        <v>125</v>
      </c>
      <c r="I27" s="21" t="s">
        <v>107</v>
      </c>
      <c r="J27" s="26">
        <f>+COUNTIF('ID1&amp;5'!G:G,'1. Status'!I27)</f>
        <v>1</v>
      </c>
      <c r="K27" s="79">
        <f>+IFERROR(VLOOKUP(CONCATENATE(A27,$B$10,B27),'ID1&amp;5'!B:J,8,FALSE),"-")</f>
        <v>2091533</v>
      </c>
      <c r="L27" s="78" t="str">
        <f>+IFERROR(VLOOKUP(B27,'ID1&amp;5'!K:L,2,FALSE),"-")</f>
        <v>2025-02-24 10:27:56.758376000</v>
      </c>
      <c r="M27" s="79">
        <f>+IFERROR(VLOOKUP(CONCATENATE(A27,$B$10,B27),'ID1&amp;5'!B:J,9,FALSE),"-")</f>
        <v>5</v>
      </c>
      <c r="N27" s="79" t="str">
        <f>+IFERROR(VLOOKUP(CONCATENATE(A27,$C$10,C27),'ID1&amp;5'!B:J,8,FALSE),"-")</f>
        <v>-</v>
      </c>
      <c r="O27" s="78" t="str">
        <f>+IFERROR(VLOOKUP(C27,'ID1&amp;5'!K:L,2,FALSE),"-")</f>
        <v>-</v>
      </c>
      <c r="P27" s="79" t="str">
        <f>+IFERROR(VLOOKUP(CONCATENATE(A27,$C$10,C27),'ID1&amp;5'!B:J,9,FALSE),"-")</f>
        <v>-</v>
      </c>
      <c r="Q27" s="78" t="str">
        <f>+IFERROR(VLOOKUP(D27,'ID1&amp;5'!K:L,2,FALSE),"-")</f>
        <v>-</v>
      </c>
      <c r="R27" s="26" t="str">
        <f>+IFERROR(VLOOKUP(CONCATENATE(A27,$D$10,D27),'ID1&amp;5'!B:J,9,FALSE),"-")</f>
        <v>-</v>
      </c>
      <c r="S27" s="78" t="str">
        <f>+IFERROR(VLOOKUP(E27,'ID1&amp;5'!K:L,2,FALSE),"-")</f>
        <v>-</v>
      </c>
      <c r="T27" s="79" t="str">
        <f>+IFERROR(VLOOKUP(CONCATENATE(A27,$E$10,E27),'ID1&amp;5'!B:J,9,FALSE),"-")</f>
        <v>-</v>
      </c>
      <c r="U27" s="78" t="str">
        <f>+IFERROR(VLOOKUP(F27,'ID1&amp;5'!K:L,2,FALSE),"-")</f>
        <v>-</v>
      </c>
      <c r="V27" s="79" t="str">
        <f>+IFERROR(VLOOKUP(CONCATENATE(A27,$F$10,F27),'ID1&amp;5'!B:J,9,FALSE),"-")</f>
        <v>-</v>
      </c>
      <c r="W27" s="26" t="str">
        <f>+IFERROR(VLOOKUP(A27,'ID6&amp;7'!A:I,9,FALSE),"-")</f>
        <v>-</v>
      </c>
      <c r="X27" s="26" t="str">
        <f>+IFERROR(VLOOKUP(A27,'ID6&amp;7'!A:J,10,FALSE),"-")</f>
        <v>-</v>
      </c>
      <c r="Y27" s="26"/>
      <c r="Z27" s="27" t="str">
        <f t="shared" si="1"/>
        <v>Em testes</v>
      </c>
    </row>
    <row r="28" spans="1:26">
      <c r="A28" s="20" t="str">
        <f t="shared" si="0"/>
        <v>INSTRUMENTDT_RFRNC45657</v>
      </c>
      <c r="B28" s="66">
        <f t="array" ref="B28">+MAX(IF('ID1&amp;5'!A:A='1. Status'!A28&amp;'1. Status'!$B$10,'ID1&amp;5'!K:K))</f>
        <v>0</v>
      </c>
      <c r="C28" s="60">
        <f t="array" ref="C28">+MAX(IF('ID1&amp;5'!A:A='1. Status'!A28&amp;'1. Status'!$C$10,'ID1&amp;5'!K:K))</f>
        <v>0</v>
      </c>
      <c r="D28" s="60">
        <f t="array" ref="D28">+MAX(IF('ID1&amp;5'!A:A='1. Status'!A28&amp;'1. Status'!$D$10,'ID1&amp;5'!K:K))</f>
        <v>0</v>
      </c>
      <c r="E28" s="60">
        <f t="array" ref="E28">+MAX(IF('ID1&amp;5'!A:A='1. Status'!A28&amp;'1. Status'!$E$10,'ID1&amp;5'!K:K))</f>
        <v>0</v>
      </c>
      <c r="F28" s="67">
        <f t="array" ref="F28">+MAX(IF('ID1&amp;5'!A:A='1. Status'!A28&amp;'1. Status'!$F$10,'ID1&amp;5'!K:K))</f>
        <v>0</v>
      </c>
      <c r="G28" s="60"/>
      <c r="H28" s="65" t="s">
        <v>125</v>
      </c>
      <c r="I28" s="21" t="s">
        <v>603</v>
      </c>
      <c r="J28" s="26">
        <f>+COUNTIF('ID1&amp;5'!G:G,'1. Status'!I28)</f>
        <v>0</v>
      </c>
      <c r="K28" s="79" t="str">
        <f>+IFERROR(VLOOKUP(CONCATENATE(A28,$B$10,B28),'ID1&amp;5'!B:J,8,FALSE),"-")</f>
        <v>-</v>
      </c>
      <c r="L28" s="78" t="str">
        <f>+IFERROR(VLOOKUP(B28,'ID1&amp;5'!K:L,2,FALSE),"-")</f>
        <v>-</v>
      </c>
      <c r="M28" s="79" t="str">
        <f>+IFERROR(VLOOKUP(CONCATENATE(A28,$B$10,B28),'ID1&amp;5'!B:J,9,FALSE),"-")</f>
        <v>-</v>
      </c>
      <c r="N28" s="79" t="str">
        <f>+IFERROR(VLOOKUP(CONCATENATE(A28,$C$10,C28),'ID1&amp;5'!B:J,8,FALSE),"-")</f>
        <v>-</v>
      </c>
      <c r="O28" s="78" t="str">
        <f>+IFERROR(VLOOKUP(C28,'ID1&amp;5'!K:L,2,FALSE),"-")</f>
        <v>-</v>
      </c>
      <c r="P28" s="79" t="str">
        <f>+IFERROR(VLOOKUP(CONCATENATE(A28,$C$10,C28),'ID1&amp;5'!B:J,9,FALSE),"-")</f>
        <v>-</v>
      </c>
      <c r="Q28" s="78" t="str">
        <f>+IFERROR(VLOOKUP(D28,'ID1&amp;5'!K:L,2,FALSE),"-")</f>
        <v>-</v>
      </c>
      <c r="R28" s="26" t="str">
        <f>+IFERROR(VLOOKUP(CONCATENATE(A28,$D$10,D28),'ID1&amp;5'!B:J,9,FALSE),"-")</f>
        <v>-</v>
      </c>
      <c r="S28" s="78" t="str">
        <f>+IFERROR(VLOOKUP(E28,'ID1&amp;5'!K:L,2,FALSE),"-")</f>
        <v>-</v>
      </c>
      <c r="T28" s="79" t="str">
        <f>+IFERROR(VLOOKUP(CONCATENATE(A28,$E$10,E28),'ID1&amp;5'!B:J,9,FALSE),"-")</f>
        <v>-</v>
      </c>
      <c r="U28" s="78" t="str">
        <f>+IFERROR(VLOOKUP(F28,'ID1&amp;5'!K:L,2,FALSE),"-")</f>
        <v>-</v>
      </c>
      <c r="V28" s="79" t="str">
        <f>+IFERROR(VLOOKUP(CONCATENATE(A28,$F$10,F28),'ID1&amp;5'!B:J,9,FALSE),"-")</f>
        <v>-</v>
      </c>
      <c r="W28" s="26" t="str">
        <f>+IFERROR(VLOOKUP(A28,'ID6&amp;7'!A:I,9,FALSE),"-")</f>
        <v>-</v>
      </c>
      <c r="X28" s="26" t="str">
        <f>+IFERROR(VLOOKUP(A28,'ID6&amp;7'!A:J,10,FALSE),"-")</f>
        <v>-</v>
      </c>
      <c r="Y28" s="26"/>
      <c r="Z28" s="27" t="str">
        <f t="shared" si="1"/>
        <v>Por iniciar</v>
      </c>
    </row>
    <row r="29" spans="1:26">
      <c r="A29" s="20" t="str">
        <f t="shared" si="0"/>
        <v>INSTRUMENTDT_INCPTN45657</v>
      </c>
      <c r="B29" s="66">
        <f t="array" ref="B29">+MAX(IF('ID1&amp;5'!A:A='1. Status'!A29&amp;'1. Status'!$B$10,'ID1&amp;5'!K:K))</f>
        <v>1</v>
      </c>
      <c r="C29" s="60">
        <f t="array" ref="C29">+MAX(IF('ID1&amp;5'!A:A='1. Status'!A29&amp;'1. Status'!$C$10,'ID1&amp;5'!K:K))</f>
        <v>0</v>
      </c>
      <c r="D29" s="60">
        <f t="array" ref="D29">+MAX(IF('ID1&amp;5'!A:A='1. Status'!A29&amp;'1. Status'!$D$10,'ID1&amp;5'!K:K))</f>
        <v>0</v>
      </c>
      <c r="E29" s="60">
        <f t="array" ref="E29">+MAX(IF('ID1&amp;5'!A:A='1. Status'!A29&amp;'1. Status'!$E$10,'ID1&amp;5'!K:K))</f>
        <v>0</v>
      </c>
      <c r="F29" s="67">
        <f t="array" ref="F29">+MAX(IF('ID1&amp;5'!A:A='1. Status'!A29&amp;'1. Status'!$F$10,'ID1&amp;5'!K:K))</f>
        <v>0</v>
      </c>
      <c r="G29" s="60"/>
      <c r="H29" s="65" t="s">
        <v>125</v>
      </c>
      <c r="I29" s="21" t="s">
        <v>93</v>
      </c>
      <c r="J29" s="26">
        <f>+COUNTIF('ID1&amp;5'!G:G,'1. Status'!I29)</f>
        <v>1</v>
      </c>
      <c r="K29" s="79">
        <f>+IFERROR(VLOOKUP(CONCATENATE(A29,$B$10,B29),'ID1&amp;5'!B:J,8,FALSE),"-")</f>
        <v>2091533</v>
      </c>
      <c r="L29" s="78" t="str">
        <f>+IFERROR(VLOOKUP(B29,'ID1&amp;5'!K:L,2,FALSE),"-")</f>
        <v>2025-02-24 10:27:56.758376000</v>
      </c>
      <c r="M29" s="79">
        <f>+IFERROR(VLOOKUP(CONCATENATE(A29,$B$10,B29),'ID1&amp;5'!B:J,9,FALSE),"-")</f>
        <v>0</v>
      </c>
      <c r="N29" s="79" t="str">
        <f>+IFERROR(VLOOKUP(CONCATENATE(A29,$C$10,C29),'ID1&amp;5'!B:J,8,FALSE),"-")</f>
        <v>-</v>
      </c>
      <c r="O29" s="78" t="str">
        <f>+IFERROR(VLOOKUP(C29,'ID1&amp;5'!K:L,2,FALSE),"-")</f>
        <v>-</v>
      </c>
      <c r="P29" s="79" t="str">
        <f>+IFERROR(VLOOKUP(CONCATENATE(A29,$C$10,C29),'ID1&amp;5'!B:J,9,FALSE),"-")</f>
        <v>-</v>
      </c>
      <c r="Q29" s="78" t="str">
        <f>+IFERROR(VLOOKUP(D29,'ID1&amp;5'!K:L,2,FALSE),"-")</f>
        <v>-</v>
      </c>
      <c r="R29" s="26" t="str">
        <f>+IFERROR(VLOOKUP(CONCATENATE(A29,$D$10,D29),'ID1&amp;5'!B:J,9,FALSE),"-")</f>
        <v>-</v>
      </c>
      <c r="S29" s="78" t="str">
        <f>+IFERROR(VLOOKUP(E29,'ID1&amp;5'!K:L,2,FALSE),"-")</f>
        <v>-</v>
      </c>
      <c r="T29" s="79" t="str">
        <f>+IFERROR(VLOOKUP(CONCATENATE(A29,$E$10,E29),'ID1&amp;5'!B:J,9,FALSE),"-")</f>
        <v>-</v>
      </c>
      <c r="U29" s="78" t="str">
        <f>+IFERROR(VLOOKUP(F29,'ID1&amp;5'!K:L,2,FALSE),"-")</f>
        <v>-</v>
      </c>
      <c r="V29" s="79" t="str">
        <f>+IFERROR(VLOOKUP(CONCATENATE(A29,$F$10,F29),'ID1&amp;5'!B:J,9,FALSE),"-")</f>
        <v>-</v>
      </c>
      <c r="W29" s="26" t="str">
        <f>+IFERROR(VLOOKUP(A29,'ID6&amp;7'!A:I,9,FALSE),"-")</f>
        <v>-</v>
      </c>
      <c r="X29" s="26" t="str">
        <f>+IFERROR(VLOOKUP(A29,'ID6&amp;7'!A:J,10,FALSE),"-")</f>
        <v>-</v>
      </c>
      <c r="Y29" s="26"/>
      <c r="Z29" s="27" t="str">
        <f t="shared" si="1"/>
        <v>Em testes</v>
      </c>
    </row>
    <row r="30" spans="1:26">
      <c r="A30" s="20" t="str">
        <f t="shared" si="0"/>
        <v>INSTRUMENTDFLT_STTS_INSTRMNT45657</v>
      </c>
      <c r="B30" s="66">
        <f t="array" ref="B30">+MAX(IF('ID1&amp;5'!A:A='1. Status'!A30&amp;'1. Status'!$B$10,'ID1&amp;5'!K:K))</f>
        <v>1</v>
      </c>
      <c r="C30" s="60">
        <f t="array" ref="C30">+MAX(IF('ID1&amp;5'!A:A='1. Status'!A30&amp;'1. Status'!$C$10,'ID1&amp;5'!K:K))</f>
        <v>0</v>
      </c>
      <c r="D30" s="60">
        <f t="array" ref="D30">+MAX(IF('ID1&amp;5'!A:A='1. Status'!A30&amp;'1. Status'!$D$10,'ID1&amp;5'!K:K))</f>
        <v>0</v>
      </c>
      <c r="E30" s="60">
        <f t="array" ref="E30">+MAX(IF('ID1&amp;5'!A:A='1. Status'!A30&amp;'1. Status'!$E$10,'ID1&amp;5'!K:K))</f>
        <v>0</v>
      </c>
      <c r="F30" s="67">
        <f t="array" ref="F30">+MAX(IF('ID1&amp;5'!A:A='1. Status'!A30&amp;'1. Status'!$F$10,'ID1&amp;5'!K:K))</f>
        <v>0</v>
      </c>
      <c r="G30" s="60"/>
      <c r="H30" s="65" t="s">
        <v>125</v>
      </c>
      <c r="I30" s="21" t="s">
        <v>94</v>
      </c>
      <c r="J30" s="26">
        <f>+COUNTIF('ID1&amp;5'!G:G,'1. Status'!I30)</f>
        <v>1</v>
      </c>
      <c r="K30" s="79">
        <f>+IFERROR(VLOOKUP(CONCATENATE(A30,$B$10,B30),'ID1&amp;5'!B:J,8,FALSE),"-")</f>
        <v>2091533</v>
      </c>
      <c r="L30" s="78" t="str">
        <f>+IFERROR(VLOOKUP(B30,'ID1&amp;5'!K:L,2,FALSE),"-")</f>
        <v>2025-02-24 10:27:56.758376000</v>
      </c>
      <c r="M30" s="79">
        <f>+IFERROR(VLOOKUP(CONCATENATE(A30,$B$10,B30),'ID1&amp;5'!B:J,9,FALSE),"-")</f>
        <v>0</v>
      </c>
      <c r="N30" s="79" t="str">
        <f>+IFERROR(VLOOKUP(CONCATENATE(A30,$C$10,C30),'ID1&amp;5'!B:J,8,FALSE),"-")</f>
        <v>-</v>
      </c>
      <c r="O30" s="78" t="str">
        <f>+IFERROR(VLOOKUP(C30,'ID1&amp;5'!K:L,2,FALSE),"-")</f>
        <v>-</v>
      </c>
      <c r="P30" s="79" t="str">
        <f>+IFERROR(VLOOKUP(CONCATENATE(A30,$C$10,C30),'ID1&amp;5'!B:J,9,FALSE),"-")</f>
        <v>-</v>
      </c>
      <c r="Q30" s="78" t="str">
        <f>+IFERROR(VLOOKUP(D30,'ID1&amp;5'!K:L,2,FALSE),"-")</f>
        <v>-</v>
      </c>
      <c r="R30" s="26" t="str">
        <f>+IFERROR(VLOOKUP(CONCATENATE(A30,$D$10,D30),'ID1&amp;5'!B:J,9,FALSE),"-")</f>
        <v>-</v>
      </c>
      <c r="S30" s="78" t="str">
        <f>+IFERROR(VLOOKUP(E30,'ID1&amp;5'!K:L,2,FALSE),"-")</f>
        <v>-</v>
      </c>
      <c r="T30" s="79" t="str">
        <f>+IFERROR(VLOOKUP(CONCATENATE(A30,$E$10,E30),'ID1&amp;5'!B:J,9,FALSE),"-")</f>
        <v>-</v>
      </c>
      <c r="U30" s="78" t="str">
        <f>+IFERROR(VLOOKUP(F30,'ID1&amp;5'!K:L,2,FALSE),"-")</f>
        <v>-</v>
      </c>
      <c r="V30" s="79" t="str">
        <f>+IFERROR(VLOOKUP(CONCATENATE(A30,$F$10,F30),'ID1&amp;5'!B:J,9,FALSE),"-")</f>
        <v>-</v>
      </c>
      <c r="W30" s="26" t="str">
        <f>+IFERROR(VLOOKUP(A30,'ID6&amp;7'!A:I,9,FALSE),"-")</f>
        <v>-</v>
      </c>
      <c r="X30" s="26" t="str">
        <f>+IFERROR(VLOOKUP(A30,'ID6&amp;7'!A:J,10,FALSE),"-")</f>
        <v>-</v>
      </c>
      <c r="Y30" s="26"/>
      <c r="Z30" s="27" t="str">
        <f t="shared" si="1"/>
        <v>Em testes</v>
      </c>
    </row>
    <row r="31" spans="1:26">
      <c r="A31" s="20" t="str">
        <f t="shared" si="0"/>
        <v>INSTRUMENTFRBRNC_STTS_INSTRMNT45657</v>
      </c>
      <c r="B31" s="66">
        <f t="array" ref="B31">+MAX(IF('ID1&amp;5'!A:A='1. Status'!A31&amp;'1. Status'!$B$10,'ID1&amp;5'!K:K))</f>
        <v>1</v>
      </c>
      <c r="C31" s="60">
        <f t="array" ref="C31">+MAX(IF('ID1&amp;5'!A:A='1. Status'!A31&amp;'1. Status'!$C$10,'ID1&amp;5'!K:K))</f>
        <v>0</v>
      </c>
      <c r="D31" s="60">
        <f t="array" ref="D31">+MAX(IF('ID1&amp;5'!A:A='1. Status'!A31&amp;'1. Status'!$D$10,'ID1&amp;5'!K:K))</f>
        <v>0</v>
      </c>
      <c r="E31" s="60">
        <f t="array" ref="E31">+MAX(IF('ID1&amp;5'!A:A='1. Status'!A31&amp;'1. Status'!$E$10,'ID1&amp;5'!K:K))</f>
        <v>0</v>
      </c>
      <c r="F31" s="67">
        <f t="array" ref="F31">+MAX(IF('ID1&amp;5'!A:A='1. Status'!A31&amp;'1. Status'!$F$10,'ID1&amp;5'!K:K))</f>
        <v>0</v>
      </c>
      <c r="G31" s="60"/>
      <c r="H31" s="65" t="s">
        <v>125</v>
      </c>
      <c r="I31" s="21" t="s">
        <v>429</v>
      </c>
      <c r="J31" s="26">
        <f>+COUNTIF('ID1&amp;5'!G:G,'1. Status'!I31)</f>
        <v>1</v>
      </c>
      <c r="K31" s="79">
        <f>+IFERROR(VLOOKUP(CONCATENATE(A31,$B$10,B31),'ID1&amp;5'!B:J,8,FALSE),"-")</f>
        <v>2091533</v>
      </c>
      <c r="L31" s="78" t="str">
        <f>+IFERROR(VLOOKUP(B31,'ID1&amp;5'!K:L,2,FALSE),"-")</f>
        <v>2025-02-24 10:27:56.758376000</v>
      </c>
      <c r="M31" s="79">
        <f>+IFERROR(VLOOKUP(CONCATENATE(A31,$B$10,B31),'ID1&amp;5'!B:J,9,FALSE),"-")</f>
        <v>2090803</v>
      </c>
      <c r="N31" s="79" t="str">
        <f>+IFERROR(VLOOKUP(CONCATENATE(A31,$C$10,C31),'ID1&amp;5'!B:J,8,FALSE),"-")</f>
        <v>-</v>
      </c>
      <c r="O31" s="78" t="str">
        <f>+IFERROR(VLOOKUP(C31,'ID1&amp;5'!K:L,2,FALSE),"-")</f>
        <v>-</v>
      </c>
      <c r="P31" s="79" t="str">
        <f>+IFERROR(VLOOKUP(CONCATENATE(A31,$C$10,C31),'ID1&amp;5'!B:J,9,FALSE),"-")</f>
        <v>-</v>
      </c>
      <c r="Q31" s="78" t="str">
        <f>+IFERROR(VLOOKUP(D31,'ID1&amp;5'!K:L,2,FALSE),"-")</f>
        <v>-</v>
      </c>
      <c r="R31" s="26" t="str">
        <f>+IFERROR(VLOOKUP(CONCATENATE(A31,$D$10,D31),'ID1&amp;5'!B:J,9,FALSE),"-")</f>
        <v>-</v>
      </c>
      <c r="S31" s="78" t="str">
        <f>+IFERROR(VLOOKUP(E31,'ID1&amp;5'!K:L,2,FALSE),"-")</f>
        <v>-</v>
      </c>
      <c r="T31" s="79" t="str">
        <f>+IFERROR(VLOOKUP(CONCATENATE(A31,$E$10,E31),'ID1&amp;5'!B:J,9,FALSE),"-")</f>
        <v>-</v>
      </c>
      <c r="U31" s="78" t="str">
        <f>+IFERROR(VLOOKUP(F31,'ID1&amp;5'!K:L,2,FALSE),"-")</f>
        <v>-</v>
      </c>
      <c r="V31" s="79" t="str">
        <f>+IFERROR(VLOOKUP(CONCATENATE(A31,$F$10,F31),'ID1&amp;5'!B:J,9,FALSE),"-")</f>
        <v>-</v>
      </c>
      <c r="W31" s="26" t="str">
        <f>+IFERROR(VLOOKUP(A31,'ID6&amp;7'!A:I,9,FALSE),"-")</f>
        <v>-</v>
      </c>
      <c r="X31" s="26" t="str">
        <f>+IFERROR(VLOOKUP(A31,'ID6&amp;7'!A:J,10,FALSE),"-")</f>
        <v>-</v>
      </c>
      <c r="Y31" s="26"/>
      <c r="Z31" s="27" t="str">
        <f t="shared" si="1"/>
        <v>Em testes</v>
      </c>
    </row>
    <row r="32" spans="1:26">
      <c r="A32" s="20" t="str">
        <f t="shared" si="0"/>
        <v>INSTRUMENTIMPRMNT_STTS45657</v>
      </c>
      <c r="B32" s="66">
        <f t="array" ref="B32">+MAX(IF('ID1&amp;5'!A:A='1. Status'!A32&amp;'1. Status'!$B$10,'ID1&amp;5'!K:K))</f>
        <v>1</v>
      </c>
      <c r="C32" s="60">
        <f t="array" ref="C32">+MAX(IF('ID1&amp;5'!A:A='1. Status'!A32&amp;'1. Status'!$C$10,'ID1&amp;5'!K:K))</f>
        <v>0</v>
      </c>
      <c r="D32" s="60">
        <f t="array" ref="D32">+MAX(IF('ID1&amp;5'!A:A='1. Status'!A32&amp;'1. Status'!$D$10,'ID1&amp;5'!K:K))</f>
        <v>0</v>
      </c>
      <c r="E32" s="60">
        <f t="array" ref="E32">+MAX(IF('ID1&amp;5'!A:A='1. Status'!A32&amp;'1. Status'!$E$10,'ID1&amp;5'!K:K))</f>
        <v>0</v>
      </c>
      <c r="F32" s="67">
        <f t="array" ref="F32">+MAX(IF('ID1&amp;5'!A:A='1. Status'!A32&amp;'1. Status'!$F$10,'ID1&amp;5'!K:K))</f>
        <v>0</v>
      </c>
      <c r="G32" s="60"/>
      <c r="H32" s="65" t="s">
        <v>125</v>
      </c>
      <c r="I32" s="21" t="s">
        <v>95</v>
      </c>
      <c r="J32" s="26">
        <f>+COUNTIF('ID1&amp;5'!G:G,'1. Status'!I32)</f>
        <v>1</v>
      </c>
      <c r="K32" s="79">
        <f>+IFERROR(VLOOKUP(CONCATENATE(A32,$B$10,B32),'ID1&amp;5'!B:J,8,FALSE),"-")</f>
        <v>2091533</v>
      </c>
      <c r="L32" s="78" t="str">
        <f>+IFERROR(VLOOKUP(B32,'ID1&amp;5'!K:L,2,FALSE),"-")</f>
        <v>2025-02-24 10:27:56.758376000</v>
      </c>
      <c r="M32" s="79">
        <f>+IFERROR(VLOOKUP(CONCATENATE(A32,$B$10,B32),'ID1&amp;5'!B:J,9,FALSE),"-")</f>
        <v>0</v>
      </c>
      <c r="N32" s="79" t="str">
        <f>+IFERROR(VLOOKUP(CONCATENATE(A32,$C$10,C32),'ID1&amp;5'!B:J,8,FALSE),"-")</f>
        <v>-</v>
      </c>
      <c r="O32" s="78" t="str">
        <f>+IFERROR(VLOOKUP(C32,'ID1&amp;5'!K:L,2,FALSE),"-")</f>
        <v>-</v>
      </c>
      <c r="P32" s="79" t="str">
        <f>+IFERROR(VLOOKUP(CONCATENATE(A32,$C$10,C32),'ID1&amp;5'!B:J,9,FALSE),"-")</f>
        <v>-</v>
      </c>
      <c r="Q32" s="78" t="str">
        <f>+IFERROR(VLOOKUP(D32,'ID1&amp;5'!K:L,2,FALSE),"-")</f>
        <v>-</v>
      </c>
      <c r="R32" s="26" t="str">
        <f>+IFERROR(VLOOKUP(CONCATENATE(A32,$D$10,D32),'ID1&amp;5'!B:J,9,FALSE),"-")</f>
        <v>-</v>
      </c>
      <c r="S32" s="78" t="str">
        <f>+IFERROR(VLOOKUP(E32,'ID1&amp;5'!K:L,2,FALSE),"-")</f>
        <v>-</v>
      </c>
      <c r="T32" s="79" t="str">
        <f>+IFERROR(VLOOKUP(CONCATENATE(A32,$E$10,E32),'ID1&amp;5'!B:J,9,FALSE),"-")</f>
        <v>-</v>
      </c>
      <c r="U32" s="78" t="str">
        <f>+IFERROR(VLOOKUP(F32,'ID1&amp;5'!K:L,2,FALSE),"-")</f>
        <v>-</v>
      </c>
      <c r="V32" s="79" t="str">
        <f>+IFERROR(VLOOKUP(CONCATENATE(A32,$F$10,F32),'ID1&amp;5'!B:J,9,FALSE),"-")</f>
        <v>-</v>
      </c>
      <c r="W32" s="26" t="str">
        <f>+IFERROR(VLOOKUP(A32,'ID6&amp;7'!A:I,9,FALSE),"-")</f>
        <v>-</v>
      </c>
      <c r="X32" s="26" t="str">
        <f>+IFERROR(VLOOKUP(A32,'ID6&amp;7'!A:J,10,FALSE),"-")</f>
        <v>-</v>
      </c>
      <c r="Y32" s="26"/>
      <c r="Z32" s="27" t="str">
        <f t="shared" si="1"/>
        <v>Em testes</v>
      </c>
    </row>
    <row r="33" spans="1:26">
      <c r="A33" s="20" t="str">
        <f t="shared" si="0"/>
        <v>INSTRUMENTPRFRMNG_STTS45657</v>
      </c>
      <c r="B33" s="66">
        <f t="array" ref="B33">+MAX(IF('ID1&amp;5'!A:A='1. Status'!A33&amp;'1. Status'!$B$10,'ID1&amp;5'!K:K))</f>
        <v>1</v>
      </c>
      <c r="C33" s="60">
        <f t="array" ref="C33">+MAX(IF('ID1&amp;5'!A:A='1. Status'!A33&amp;'1. Status'!$C$10,'ID1&amp;5'!K:K))</f>
        <v>0</v>
      </c>
      <c r="D33" s="60">
        <f t="array" ref="D33">+MAX(IF('ID1&amp;5'!A:A='1. Status'!A33&amp;'1. Status'!$D$10,'ID1&amp;5'!K:K))</f>
        <v>0</v>
      </c>
      <c r="E33" s="60">
        <f t="array" ref="E33">+MAX(IF('ID1&amp;5'!A:A='1. Status'!A33&amp;'1. Status'!$E$10,'ID1&amp;5'!K:K))</f>
        <v>0</v>
      </c>
      <c r="F33" s="67">
        <f t="array" ref="F33">+MAX(IF('ID1&amp;5'!A:A='1. Status'!A33&amp;'1. Status'!$F$10,'ID1&amp;5'!K:K))</f>
        <v>0</v>
      </c>
      <c r="G33" s="60"/>
      <c r="H33" s="65" t="s">
        <v>125</v>
      </c>
      <c r="I33" s="21" t="s">
        <v>96</v>
      </c>
      <c r="J33" s="26">
        <f>+COUNTIF('ID1&amp;5'!G:G,'1. Status'!I33)</f>
        <v>1</v>
      </c>
      <c r="K33" s="79">
        <f>+IFERROR(VLOOKUP(CONCATENATE(A33,$B$10,B33),'ID1&amp;5'!B:J,8,FALSE),"-")</f>
        <v>2091533</v>
      </c>
      <c r="L33" s="78" t="str">
        <f>+IFERROR(VLOOKUP(B33,'ID1&amp;5'!K:L,2,FALSE),"-")</f>
        <v>2025-02-24 10:27:56.758376000</v>
      </c>
      <c r="M33" s="79">
        <f>+IFERROR(VLOOKUP(CONCATENATE(A33,$B$10,B33),'ID1&amp;5'!B:J,9,FALSE),"-")</f>
        <v>0</v>
      </c>
      <c r="N33" s="79" t="str">
        <f>+IFERROR(VLOOKUP(CONCATENATE(A33,$C$10,C33),'ID1&amp;5'!B:J,8,FALSE),"-")</f>
        <v>-</v>
      </c>
      <c r="O33" s="78" t="str">
        <f>+IFERROR(VLOOKUP(C33,'ID1&amp;5'!K:L,2,FALSE),"-")</f>
        <v>-</v>
      </c>
      <c r="P33" s="79" t="str">
        <f>+IFERROR(VLOOKUP(CONCATENATE(A33,$C$10,C33),'ID1&amp;5'!B:J,9,FALSE),"-")</f>
        <v>-</v>
      </c>
      <c r="Q33" s="78" t="str">
        <f>+IFERROR(VLOOKUP(D33,'ID1&amp;5'!K:L,2,FALSE),"-")</f>
        <v>-</v>
      </c>
      <c r="R33" s="26" t="str">
        <f>+IFERROR(VLOOKUP(CONCATENATE(A33,$D$10,D33),'ID1&amp;5'!B:J,9,FALSE),"-")</f>
        <v>-</v>
      </c>
      <c r="S33" s="78" t="str">
        <f>+IFERROR(VLOOKUP(E33,'ID1&amp;5'!K:L,2,FALSE),"-")</f>
        <v>-</v>
      </c>
      <c r="T33" s="79" t="str">
        <f>+IFERROR(VLOOKUP(CONCATENATE(A33,$E$10,E33),'ID1&amp;5'!B:J,9,FALSE),"-")</f>
        <v>-</v>
      </c>
      <c r="U33" s="78" t="str">
        <f>+IFERROR(VLOOKUP(F33,'ID1&amp;5'!K:L,2,FALSE),"-")</f>
        <v>-</v>
      </c>
      <c r="V33" s="79" t="str">
        <f>+IFERROR(VLOOKUP(CONCATENATE(A33,$F$10,F33),'ID1&amp;5'!B:J,9,FALSE),"-")</f>
        <v>-</v>
      </c>
      <c r="W33" s="26" t="str">
        <f>+IFERROR(VLOOKUP(A33,'ID6&amp;7'!A:I,9,FALSE),"-")</f>
        <v>-</v>
      </c>
      <c r="X33" s="26" t="str">
        <f>+IFERROR(VLOOKUP(A33,'ID6&amp;7'!A:J,10,FALSE),"-")</f>
        <v>-</v>
      </c>
      <c r="Y33" s="26"/>
      <c r="Z33" s="27" t="str">
        <f t="shared" si="1"/>
        <v>Em testes</v>
      </c>
    </row>
    <row r="34" spans="1:26">
      <c r="A34" s="20" t="str">
        <f t="shared" si="0"/>
        <v>INSTRUMENTPRJCT_FNNC_LN45657</v>
      </c>
      <c r="B34" s="66">
        <f t="array" ref="B34">+MAX(IF('ID1&amp;5'!A:A='1. Status'!A34&amp;'1. Status'!$B$10,'ID1&amp;5'!K:K))</f>
        <v>1</v>
      </c>
      <c r="C34" s="60">
        <f t="array" ref="C34">+MAX(IF('ID1&amp;5'!A:A='1. Status'!A34&amp;'1. Status'!$C$10,'ID1&amp;5'!K:K))</f>
        <v>0</v>
      </c>
      <c r="D34" s="60">
        <f t="array" ref="D34">+MAX(IF('ID1&amp;5'!A:A='1. Status'!A34&amp;'1. Status'!$D$10,'ID1&amp;5'!K:K))</f>
        <v>0</v>
      </c>
      <c r="E34" s="60">
        <f t="array" ref="E34">+MAX(IF('ID1&amp;5'!A:A='1. Status'!A34&amp;'1. Status'!$E$10,'ID1&amp;5'!K:K))</f>
        <v>0</v>
      </c>
      <c r="F34" s="67">
        <f t="array" ref="F34">+MAX(IF('ID1&amp;5'!A:A='1. Status'!A34&amp;'1. Status'!$F$10,'ID1&amp;5'!K:K))</f>
        <v>0</v>
      </c>
      <c r="G34" s="60"/>
      <c r="H34" s="65" t="s">
        <v>125</v>
      </c>
      <c r="I34" s="21" t="s">
        <v>97</v>
      </c>
      <c r="J34" s="26">
        <f>+COUNTIF('ID1&amp;5'!G:G,'1. Status'!I34)</f>
        <v>1</v>
      </c>
      <c r="K34" s="79">
        <f>+IFERROR(VLOOKUP(CONCATENATE(A34,$B$10,B34),'ID1&amp;5'!B:J,8,FALSE),"-")</f>
        <v>2091533</v>
      </c>
      <c r="L34" s="78" t="str">
        <f>+IFERROR(VLOOKUP(B34,'ID1&amp;5'!K:L,2,FALSE),"-")</f>
        <v>2025-02-24 10:27:56.758376000</v>
      </c>
      <c r="M34" s="79">
        <f>+IFERROR(VLOOKUP(CONCATENATE(A34,$B$10,B34),'ID1&amp;5'!B:J,9,FALSE),"-")</f>
        <v>0</v>
      </c>
      <c r="N34" s="79" t="str">
        <f>+IFERROR(VLOOKUP(CONCATENATE(A34,$C$10,C34),'ID1&amp;5'!B:J,8,FALSE),"-")</f>
        <v>-</v>
      </c>
      <c r="O34" s="78" t="str">
        <f>+IFERROR(VLOOKUP(C34,'ID1&amp;5'!K:L,2,FALSE),"-")</f>
        <v>-</v>
      </c>
      <c r="P34" s="79" t="str">
        <f>+IFERROR(VLOOKUP(CONCATENATE(A34,$C$10,C34),'ID1&amp;5'!B:J,9,FALSE),"-")</f>
        <v>-</v>
      </c>
      <c r="Q34" s="78" t="str">
        <f>+IFERROR(VLOOKUP(D34,'ID1&amp;5'!K:L,2,FALSE),"-")</f>
        <v>-</v>
      </c>
      <c r="R34" s="26" t="str">
        <f>+IFERROR(VLOOKUP(CONCATENATE(A34,$D$10,D34),'ID1&amp;5'!B:J,9,FALSE),"-")</f>
        <v>-</v>
      </c>
      <c r="S34" s="78" t="str">
        <f>+IFERROR(VLOOKUP(E34,'ID1&amp;5'!K:L,2,FALSE),"-")</f>
        <v>-</v>
      </c>
      <c r="T34" s="79" t="str">
        <f>+IFERROR(VLOOKUP(CONCATENATE(A34,$E$10,E34),'ID1&amp;5'!B:J,9,FALSE),"-")</f>
        <v>-</v>
      </c>
      <c r="U34" s="78" t="str">
        <f>+IFERROR(VLOOKUP(F34,'ID1&amp;5'!K:L,2,FALSE),"-")</f>
        <v>-</v>
      </c>
      <c r="V34" s="79" t="str">
        <f>+IFERROR(VLOOKUP(CONCATENATE(A34,$F$10,F34),'ID1&amp;5'!B:J,9,FALSE),"-")</f>
        <v>-</v>
      </c>
      <c r="W34" s="26" t="str">
        <f>+IFERROR(VLOOKUP(A34,'ID6&amp;7'!A:I,9,FALSE),"-")</f>
        <v>-</v>
      </c>
      <c r="X34" s="26" t="str">
        <f>+IFERROR(VLOOKUP(A34,'ID6&amp;7'!A:J,10,FALSE),"-")</f>
        <v>-</v>
      </c>
      <c r="Y34" s="26"/>
      <c r="Z34" s="27" t="str">
        <f t="shared" si="1"/>
        <v>Em testes</v>
      </c>
    </row>
    <row r="35" spans="1:26">
      <c r="A35" s="20" t="str">
        <f t="shared" si="0"/>
        <v>INSTRUMENTTYP_INSTRMNT45657</v>
      </c>
      <c r="B35" s="66">
        <f t="array" ref="B35">+MAX(IF('ID1&amp;5'!A:A='1. Status'!A35&amp;'1. Status'!$B$10,'ID1&amp;5'!K:K))</f>
        <v>1</v>
      </c>
      <c r="C35" s="60">
        <f t="array" ref="C35">+MAX(IF('ID1&amp;5'!A:A='1. Status'!A35&amp;'1. Status'!$C$10,'ID1&amp;5'!K:K))</f>
        <v>0</v>
      </c>
      <c r="D35" s="60">
        <f t="array" ref="D35">+MAX(IF('ID1&amp;5'!A:A='1. Status'!A35&amp;'1. Status'!$D$10,'ID1&amp;5'!K:K))</f>
        <v>0</v>
      </c>
      <c r="E35" s="60">
        <f t="array" ref="E35">+MAX(IF('ID1&amp;5'!A:A='1. Status'!A35&amp;'1. Status'!$E$10,'ID1&amp;5'!K:K))</f>
        <v>0</v>
      </c>
      <c r="F35" s="67">
        <f t="array" ref="F35">+MAX(IF('ID1&amp;5'!A:A='1. Status'!A35&amp;'1. Status'!$F$10,'ID1&amp;5'!K:K))</f>
        <v>0</v>
      </c>
      <c r="G35" s="60"/>
      <c r="H35" s="65" t="s">
        <v>125</v>
      </c>
      <c r="I35" s="21" t="s">
        <v>98</v>
      </c>
      <c r="J35" s="26">
        <f>+COUNTIF('ID1&amp;5'!G:G,'1. Status'!I35)</f>
        <v>1</v>
      </c>
      <c r="K35" s="79">
        <f>+IFERROR(VLOOKUP(CONCATENATE(A35,$B$10,B35),'ID1&amp;5'!B:J,8,FALSE),"-")</f>
        <v>2091533</v>
      </c>
      <c r="L35" s="78" t="str">
        <f>+IFERROR(VLOOKUP(B35,'ID1&amp;5'!K:L,2,FALSE),"-")</f>
        <v>2025-02-24 10:27:56.758376000</v>
      </c>
      <c r="M35" s="79">
        <f>+IFERROR(VLOOKUP(CONCATENATE(A35,$B$10,B35),'ID1&amp;5'!B:J,9,FALSE),"-")</f>
        <v>0</v>
      </c>
      <c r="N35" s="79" t="str">
        <f>+IFERROR(VLOOKUP(CONCATENATE(A35,$C$10,C35),'ID1&amp;5'!B:J,8,FALSE),"-")</f>
        <v>-</v>
      </c>
      <c r="O35" s="78" t="str">
        <f>+IFERROR(VLOOKUP(C35,'ID1&amp;5'!K:L,2,FALSE),"-")</f>
        <v>-</v>
      </c>
      <c r="P35" s="79" t="str">
        <f>+IFERROR(VLOOKUP(CONCATENATE(A35,$C$10,C35),'ID1&amp;5'!B:J,9,FALSE),"-")</f>
        <v>-</v>
      </c>
      <c r="Q35" s="78" t="str">
        <f>+IFERROR(VLOOKUP(D35,'ID1&amp;5'!K:L,2,FALSE),"-")</f>
        <v>-</v>
      </c>
      <c r="R35" s="26" t="str">
        <f>+IFERROR(VLOOKUP(CONCATENATE(A35,$D$10,D35),'ID1&amp;5'!B:J,9,FALSE),"-")</f>
        <v>-</v>
      </c>
      <c r="S35" s="78" t="str">
        <f>+IFERROR(VLOOKUP(E35,'ID1&amp;5'!K:L,2,FALSE),"-")</f>
        <v>-</v>
      </c>
      <c r="T35" s="79" t="str">
        <f>+IFERROR(VLOOKUP(CONCATENATE(A35,$E$10,E35),'ID1&amp;5'!B:J,9,FALSE),"-")</f>
        <v>-</v>
      </c>
      <c r="U35" s="78" t="str">
        <f>+IFERROR(VLOOKUP(F35,'ID1&amp;5'!K:L,2,FALSE),"-")</f>
        <v>-</v>
      </c>
      <c r="V35" s="79" t="str">
        <f>+IFERROR(VLOOKUP(CONCATENATE(A35,$F$10,F35),'ID1&amp;5'!B:J,9,FALSE),"-")</f>
        <v>-</v>
      </c>
      <c r="W35" s="26" t="str">
        <f>+IFERROR(VLOOKUP(A35,'ID6&amp;7'!A:I,9,FALSE),"-")</f>
        <v>-</v>
      </c>
      <c r="X35" s="26" t="str">
        <f>+IFERROR(VLOOKUP(A35,'ID6&amp;7'!A:J,10,FALSE),"-")</f>
        <v>-</v>
      </c>
      <c r="Y35" s="26"/>
      <c r="Z35" s="27" t="str">
        <f t="shared" si="1"/>
        <v>Em testes</v>
      </c>
    </row>
    <row r="36" spans="1:26">
      <c r="A36" s="20" t="str">
        <f t="shared" si="0"/>
        <v>INSTRUMENTGRSS_CRRYNG_AMNT_INSTRMNT45657</v>
      </c>
      <c r="B36" s="66">
        <f t="array" ref="B36">+MAX(IF('ID1&amp;5'!A:A='1. Status'!A36&amp;'1. Status'!$B$10,'ID1&amp;5'!K:K))</f>
        <v>1</v>
      </c>
      <c r="C36" s="60">
        <f t="array" ref="C36">+MAX(IF('ID1&amp;5'!A:A='1. Status'!A36&amp;'1. Status'!$C$10,'ID1&amp;5'!K:K))</f>
        <v>0</v>
      </c>
      <c r="D36" s="60">
        <f t="array" ref="D36">+MAX(IF('ID1&amp;5'!A:A='1. Status'!A36&amp;'1. Status'!$D$10,'ID1&amp;5'!K:K))</f>
        <v>0</v>
      </c>
      <c r="E36" s="60">
        <f t="array" ref="E36">+MAX(IF('ID1&amp;5'!A:A='1. Status'!A36&amp;'1. Status'!$E$10,'ID1&amp;5'!K:K))</f>
        <v>0</v>
      </c>
      <c r="F36" s="67">
        <f t="array" ref="F36">+MAX(IF('ID1&amp;5'!A:A='1. Status'!A36&amp;'1. Status'!$F$10,'ID1&amp;5'!K:K))</f>
        <v>0</v>
      </c>
      <c r="G36" s="60"/>
      <c r="H36" s="65" t="s">
        <v>125</v>
      </c>
      <c r="I36" s="21" t="s">
        <v>99</v>
      </c>
      <c r="J36" s="26">
        <f>+COUNTIF('ID1&amp;5'!G:G,'1. Status'!I36)</f>
        <v>1</v>
      </c>
      <c r="K36" s="79">
        <f>+IFERROR(VLOOKUP(CONCATENATE(A36,$B$10,B36),'ID1&amp;5'!B:J,8,FALSE),"-")</f>
        <v>2091533</v>
      </c>
      <c r="L36" s="78" t="str">
        <f>+IFERROR(VLOOKUP(B36,'ID1&amp;5'!K:L,2,FALSE),"-")</f>
        <v>2025-02-24 10:27:56.758376000</v>
      </c>
      <c r="M36" s="79">
        <f>+IFERROR(VLOOKUP(CONCATENATE(A36,$B$10,B36),'ID1&amp;5'!B:J,9,FALSE),"-")</f>
        <v>32</v>
      </c>
      <c r="N36" s="79" t="str">
        <f>+IFERROR(VLOOKUP(CONCATENATE(A36,$C$10,C36),'ID1&amp;5'!B:J,8,FALSE),"-")</f>
        <v>-</v>
      </c>
      <c r="O36" s="78" t="str">
        <f>+IFERROR(VLOOKUP(C36,'ID1&amp;5'!K:L,2,FALSE),"-")</f>
        <v>-</v>
      </c>
      <c r="P36" s="79" t="str">
        <f>+IFERROR(VLOOKUP(CONCATENATE(A36,$C$10,C36),'ID1&amp;5'!B:J,9,FALSE),"-")</f>
        <v>-</v>
      </c>
      <c r="Q36" s="78" t="str">
        <f>+IFERROR(VLOOKUP(D36,'ID1&amp;5'!K:L,2,FALSE),"-")</f>
        <v>-</v>
      </c>
      <c r="R36" s="26" t="str">
        <f>+IFERROR(VLOOKUP(CONCATENATE(A36,$D$10,D36),'ID1&amp;5'!B:J,9,FALSE),"-")</f>
        <v>-</v>
      </c>
      <c r="S36" s="78" t="str">
        <f>+IFERROR(VLOOKUP(E36,'ID1&amp;5'!K:L,2,FALSE),"-")</f>
        <v>-</v>
      </c>
      <c r="T36" s="79" t="str">
        <f>+IFERROR(VLOOKUP(CONCATENATE(A36,$E$10,E36),'ID1&amp;5'!B:J,9,FALSE),"-")</f>
        <v>-</v>
      </c>
      <c r="U36" s="78" t="str">
        <f>+IFERROR(VLOOKUP(F36,'ID1&amp;5'!K:L,2,FALSE),"-")</f>
        <v>-</v>
      </c>
      <c r="V36" s="79" t="str">
        <f>+IFERROR(VLOOKUP(CONCATENATE(A36,$F$10,F36),'ID1&amp;5'!B:J,9,FALSE),"-")</f>
        <v>-</v>
      </c>
      <c r="W36" s="26" t="str">
        <f>+IFERROR(VLOOKUP(A36,'ID6&amp;7'!A:I,9,FALSE),"-")</f>
        <v>-</v>
      </c>
      <c r="X36" s="26" t="str">
        <f>+IFERROR(VLOOKUP(A36,'ID6&amp;7'!A:J,10,FALSE),"-")</f>
        <v>-</v>
      </c>
      <c r="Y36" s="26"/>
      <c r="Z36" s="27" t="str">
        <f t="shared" si="1"/>
        <v>Em testes</v>
      </c>
    </row>
    <row r="37" spans="1:26">
      <c r="A37" s="20" t="str">
        <f t="shared" si="0"/>
        <v>INSTRUMENTACCMLTD_CHNGS_FV_CR_INSTRMNT45657</v>
      </c>
      <c r="B37" s="66">
        <f t="array" ref="B37">+MAX(IF('ID1&amp;5'!A:A='1. Status'!A37&amp;'1. Status'!$B$10,'ID1&amp;5'!K:K))</f>
        <v>1</v>
      </c>
      <c r="C37" s="60">
        <f t="array" ref="C37">+MAX(IF('ID1&amp;5'!A:A='1. Status'!A37&amp;'1. Status'!$C$10,'ID1&amp;5'!K:K))</f>
        <v>0</v>
      </c>
      <c r="D37" s="60">
        <f t="array" ref="D37">+MAX(IF('ID1&amp;5'!A:A='1. Status'!A37&amp;'1. Status'!$D$10,'ID1&amp;5'!K:K))</f>
        <v>0</v>
      </c>
      <c r="E37" s="60">
        <f t="array" ref="E37">+MAX(IF('ID1&amp;5'!A:A='1. Status'!A37&amp;'1. Status'!$E$10,'ID1&amp;5'!K:K))</f>
        <v>0</v>
      </c>
      <c r="F37" s="67">
        <f t="array" ref="F37">+MAX(IF('ID1&amp;5'!A:A='1. Status'!A37&amp;'1. Status'!$F$10,'ID1&amp;5'!K:K))</f>
        <v>0</v>
      </c>
      <c r="G37" s="60"/>
      <c r="H37" s="65" t="s">
        <v>125</v>
      </c>
      <c r="I37" s="21" t="s">
        <v>100</v>
      </c>
      <c r="J37" s="26">
        <f>+COUNTIF('ID1&amp;5'!G:G,'1. Status'!I37)</f>
        <v>1</v>
      </c>
      <c r="K37" s="79">
        <f>+IFERROR(VLOOKUP(CONCATENATE(A37,$B$10,B37),'ID1&amp;5'!B:J,8,FALSE),"-")</f>
        <v>2091533</v>
      </c>
      <c r="L37" s="78" t="str">
        <f>+IFERROR(VLOOKUP(B37,'ID1&amp;5'!K:L,2,FALSE),"-")</f>
        <v>2025-02-24 10:27:56.758376000</v>
      </c>
      <c r="M37" s="79">
        <f>+IFERROR(VLOOKUP(CONCATENATE(A37,$B$10,B37),'ID1&amp;5'!B:J,9,FALSE),"-")</f>
        <v>0</v>
      </c>
      <c r="N37" s="79" t="str">
        <f>+IFERROR(VLOOKUP(CONCATENATE(A37,$C$10,C37),'ID1&amp;5'!B:J,8,FALSE),"-")</f>
        <v>-</v>
      </c>
      <c r="O37" s="78" t="str">
        <f>+IFERROR(VLOOKUP(C37,'ID1&amp;5'!K:L,2,FALSE),"-")</f>
        <v>-</v>
      </c>
      <c r="P37" s="79" t="str">
        <f>+IFERROR(VLOOKUP(CONCATENATE(A37,$C$10,C37),'ID1&amp;5'!B:J,9,FALSE),"-")</f>
        <v>-</v>
      </c>
      <c r="Q37" s="78" t="str">
        <f>+IFERROR(VLOOKUP(D37,'ID1&amp;5'!K:L,2,FALSE),"-")</f>
        <v>-</v>
      </c>
      <c r="R37" s="26" t="str">
        <f>+IFERROR(VLOOKUP(CONCATENATE(A37,$D$10,D37),'ID1&amp;5'!B:J,9,FALSE),"-")</f>
        <v>-</v>
      </c>
      <c r="S37" s="78" t="str">
        <f>+IFERROR(VLOOKUP(E37,'ID1&amp;5'!K:L,2,FALSE),"-")</f>
        <v>-</v>
      </c>
      <c r="T37" s="79" t="str">
        <f>+IFERROR(VLOOKUP(CONCATENATE(A37,$E$10,E37),'ID1&amp;5'!B:J,9,FALSE),"-")</f>
        <v>-</v>
      </c>
      <c r="U37" s="78" t="str">
        <f>+IFERROR(VLOOKUP(F37,'ID1&amp;5'!K:L,2,FALSE),"-")</f>
        <v>-</v>
      </c>
      <c r="V37" s="79" t="str">
        <f>+IFERROR(VLOOKUP(CONCATENATE(A37,$F$10,F37),'ID1&amp;5'!B:J,9,FALSE),"-")</f>
        <v>-</v>
      </c>
      <c r="W37" s="26" t="str">
        <f>+IFERROR(VLOOKUP(A37,'ID6&amp;7'!A:I,9,FALSE),"-")</f>
        <v>-</v>
      </c>
      <c r="X37" s="26" t="str">
        <f>+IFERROR(VLOOKUP(A37,'ID6&amp;7'!A:J,10,FALSE),"-")</f>
        <v>-</v>
      </c>
      <c r="Y37" s="26"/>
      <c r="Z37" s="27" t="str">
        <f t="shared" si="1"/>
        <v>Em testes</v>
      </c>
    </row>
    <row r="38" spans="1:26">
      <c r="A38" s="20" t="str">
        <f t="shared" si="0"/>
        <v>INSTRUMENTACCNTNG_CLSSFCTN45657</v>
      </c>
      <c r="B38" s="66">
        <f t="array" ref="B38">+MAX(IF('ID1&amp;5'!A:A='1. Status'!A38&amp;'1. Status'!$B$10,'ID1&amp;5'!K:K))</f>
        <v>1</v>
      </c>
      <c r="C38" s="60">
        <f t="array" ref="C38">+MAX(IF('ID1&amp;5'!A:A='1. Status'!A38&amp;'1. Status'!$C$10,'ID1&amp;5'!K:K))</f>
        <v>0</v>
      </c>
      <c r="D38" s="60">
        <f t="array" ref="D38">+MAX(IF('ID1&amp;5'!A:A='1. Status'!A38&amp;'1. Status'!$D$10,'ID1&amp;5'!K:K))</f>
        <v>0</v>
      </c>
      <c r="E38" s="60">
        <f t="array" ref="E38">+MAX(IF('ID1&amp;5'!A:A='1. Status'!A38&amp;'1. Status'!$E$10,'ID1&amp;5'!K:K))</f>
        <v>0</v>
      </c>
      <c r="F38" s="67">
        <f t="array" ref="F38">+MAX(IF('ID1&amp;5'!A:A='1. Status'!A38&amp;'1. Status'!$F$10,'ID1&amp;5'!K:K))</f>
        <v>0</v>
      </c>
      <c r="G38" s="60"/>
      <c r="H38" s="65" t="s">
        <v>125</v>
      </c>
      <c r="I38" s="21" t="s">
        <v>101</v>
      </c>
      <c r="J38" s="26">
        <f>+COUNTIF('ID1&amp;5'!G:G,'1. Status'!I38)</f>
        <v>1</v>
      </c>
      <c r="K38" s="79">
        <f>+IFERROR(VLOOKUP(CONCATENATE(A38,$B$10,B38),'ID1&amp;5'!B:J,8,FALSE),"-")</f>
        <v>2091533</v>
      </c>
      <c r="L38" s="78" t="str">
        <f>+IFERROR(VLOOKUP(B38,'ID1&amp;5'!K:L,2,FALSE),"-")</f>
        <v>2025-02-24 10:27:56.758376000</v>
      </c>
      <c r="M38" s="79">
        <f>+IFERROR(VLOOKUP(CONCATENATE(A38,$B$10,B38),'ID1&amp;5'!B:J,9,FALSE),"-")</f>
        <v>0</v>
      </c>
      <c r="N38" s="79" t="str">
        <f>+IFERROR(VLOOKUP(CONCATENATE(A38,$C$10,C38),'ID1&amp;5'!B:J,8,FALSE),"-")</f>
        <v>-</v>
      </c>
      <c r="O38" s="78" t="str">
        <f>+IFERROR(VLOOKUP(C38,'ID1&amp;5'!K:L,2,FALSE),"-")</f>
        <v>-</v>
      </c>
      <c r="P38" s="79" t="str">
        <f>+IFERROR(VLOOKUP(CONCATENATE(A38,$C$10,C38),'ID1&amp;5'!B:J,9,FALSE),"-")</f>
        <v>-</v>
      </c>
      <c r="Q38" s="78" t="str">
        <f>+IFERROR(VLOOKUP(D38,'ID1&amp;5'!K:L,2,FALSE),"-")</f>
        <v>-</v>
      </c>
      <c r="R38" s="26" t="str">
        <f>+IFERROR(VLOOKUP(CONCATENATE(A38,$D$10,D38),'ID1&amp;5'!B:J,9,FALSE),"-")</f>
        <v>-</v>
      </c>
      <c r="S38" s="78" t="str">
        <f>+IFERROR(VLOOKUP(E38,'ID1&amp;5'!K:L,2,FALSE),"-")</f>
        <v>-</v>
      </c>
      <c r="T38" s="79" t="str">
        <f>+IFERROR(VLOOKUP(CONCATENATE(A38,$E$10,E38),'ID1&amp;5'!B:J,9,FALSE),"-")</f>
        <v>-</v>
      </c>
      <c r="U38" s="78" t="str">
        <f>+IFERROR(VLOOKUP(F38,'ID1&amp;5'!K:L,2,FALSE),"-")</f>
        <v>-</v>
      </c>
      <c r="V38" s="79" t="str">
        <f>+IFERROR(VLOOKUP(CONCATENATE(A38,$F$10,F38),'ID1&amp;5'!B:J,9,FALSE),"-")</f>
        <v>-</v>
      </c>
      <c r="W38" s="26" t="str">
        <f>+IFERROR(VLOOKUP(A38,'ID6&amp;7'!A:I,9,FALSE),"-")</f>
        <v>-</v>
      </c>
      <c r="X38" s="26" t="str">
        <f>+IFERROR(VLOOKUP(A38,'ID6&amp;7'!A:J,10,FALSE),"-")</f>
        <v>-</v>
      </c>
      <c r="Y38" s="26"/>
      <c r="Z38" s="27" t="str">
        <f t="shared" si="1"/>
        <v>Em testes</v>
      </c>
    </row>
    <row r="39" spans="1:26">
      <c r="A39" s="20" t="str">
        <f t="shared" si="0"/>
        <v>INSTRUMENTDT_LGL_FNL_MTRTY45657</v>
      </c>
      <c r="B39" s="66">
        <f t="array" ref="B39">+MAX(IF('ID1&amp;5'!A:A='1. Status'!A39&amp;'1. Status'!$B$10,'ID1&amp;5'!K:K))</f>
        <v>1</v>
      </c>
      <c r="C39" s="60">
        <f t="array" ref="C39">+MAX(IF('ID1&amp;5'!A:A='1. Status'!A39&amp;'1. Status'!$C$10,'ID1&amp;5'!K:K))</f>
        <v>0</v>
      </c>
      <c r="D39" s="60">
        <f t="array" ref="D39">+MAX(IF('ID1&amp;5'!A:A='1. Status'!A39&amp;'1. Status'!$D$10,'ID1&amp;5'!K:K))</f>
        <v>0</v>
      </c>
      <c r="E39" s="60">
        <f t="array" ref="E39">+MAX(IF('ID1&amp;5'!A:A='1. Status'!A39&amp;'1. Status'!$E$10,'ID1&amp;5'!K:K))</f>
        <v>0</v>
      </c>
      <c r="F39" s="67">
        <f t="array" ref="F39">+MAX(IF('ID1&amp;5'!A:A='1. Status'!A39&amp;'1. Status'!$F$10,'ID1&amp;5'!K:K))</f>
        <v>0</v>
      </c>
      <c r="G39" s="60"/>
      <c r="H39" s="65" t="s">
        <v>125</v>
      </c>
      <c r="I39" s="21" t="s">
        <v>102</v>
      </c>
      <c r="J39" s="26">
        <f>+COUNTIF('ID1&amp;5'!G:G,'1. Status'!I39)</f>
        <v>1</v>
      </c>
      <c r="K39" s="79">
        <f>+IFERROR(VLOOKUP(CONCATENATE(A39,$B$10,B39),'ID1&amp;5'!B:J,8,FALSE),"-")</f>
        <v>2091533</v>
      </c>
      <c r="L39" s="78" t="str">
        <f>+IFERROR(VLOOKUP(B39,'ID1&amp;5'!K:L,2,FALSE),"-")</f>
        <v>2025-02-24 10:27:56.758376000</v>
      </c>
      <c r="M39" s="79">
        <f>+IFERROR(VLOOKUP(CONCATENATE(A39,$B$10,B39),'ID1&amp;5'!B:J,9,FALSE),"-")</f>
        <v>0</v>
      </c>
      <c r="N39" s="79" t="str">
        <f>+IFERROR(VLOOKUP(CONCATENATE(A39,$C$10,C39),'ID1&amp;5'!B:J,8,FALSE),"-")</f>
        <v>-</v>
      </c>
      <c r="O39" s="78" t="str">
        <f>+IFERROR(VLOOKUP(C39,'ID1&amp;5'!K:L,2,FALSE),"-")</f>
        <v>-</v>
      </c>
      <c r="P39" s="79" t="str">
        <f>+IFERROR(VLOOKUP(CONCATENATE(A39,$C$10,C39),'ID1&amp;5'!B:J,9,FALSE),"-")</f>
        <v>-</v>
      </c>
      <c r="Q39" s="78" t="str">
        <f>+IFERROR(VLOOKUP(D39,'ID1&amp;5'!K:L,2,FALSE),"-")</f>
        <v>-</v>
      </c>
      <c r="R39" s="26" t="str">
        <f>+IFERROR(VLOOKUP(CONCATENATE(A39,$D$10,D39),'ID1&amp;5'!B:J,9,FALSE),"-")</f>
        <v>-</v>
      </c>
      <c r="S39" s="78" t="str">
        <f>+IFERROR(VLOOKUP(E39,'ID1&amp;5'!K:L,2,FALSE),"-")</f>
        <v>-</v>
      </c>
      <c r="T39" s="79" t="str">
        <f>+IFERROR(VLOOKUP(CONCATENATE(A39,$E$10,E39),'ID1&amp;5'!B:J,9,FALSE),"-")</f>
        <v>-</v>
      </c>
      <c r="U39" s="78" t="str">
        <f>+IFERROR(VLOOKUP(F39,'ID1&amp;5'!K:L,2,FALSE),"-")</f>
        <v>-</v>
      </c>
      <c r="V39" s="79" t="str">
        <f>+IFERROR(VLOOKUP(CONCATENATE(A39,$F$10,F39),'ID1&amp;5'!B:J,9,FALSE),"-")</f>
        <v>-</v>
      </c>
      <c r="W39" s="26" t="str">
        <f>+IFERROR(VLOOKUP(A39,'ID6&amp;7'!A:I,9,FALSE),"-")</f>
        <v>-</v>
      </c>
      <c r="X39" s="26" t="str">
        <f>+IFERROR(VLOOKUP(A39,'ID6&amp;7'!A:J,10,FALSE),"-")</f>
        <v>-</v>
      </c>
      <c r="Y39" s="26"/>
      <c r="Z39" s="27" t="str">
        <f t="shared" si="1"/>
        <v>Em testes</v>
      </c>
    </row>
    <row r="40" spans="1:26">
      <c r="A40" s="20" t="str">
        <f t="shared" si="0"/>
        <v>INSTRUMENTIFRS9_BHVRL_MTRTY45657</v>
      </c>
      <c r="B40" s="66">
        <f t="array" ref="B40">+MAX(IF('ID1&amp;5'!A:A='1. Status'!A40&amp;'1. Status'!$B$10,'ID1&amp;5'!K:K))</f>
        <v>1</v>
      </c>
      <c r="C40" s="60">
        <f t="array" ref="C40">+MAX(IF('ID1&amp;5'!A:A='1. Status'!A40&amp;'1. Status'!$C$10,'ID1&amp;5'!K:K))</f>
        <v>0</v>
      </c>
      <c r="D40" s="60">
        <f t="array" ref="D40">+MAX(IF('ID1&amp;5'!A:A='1. Status'!A40&amp;'1. Status'!$D$10,'ID1&amp;5'!K:K))</f>
        <v>0</v>
      </c>
      <c r="E40" s="60">
        <f t="array" ref="E40">+MAX(IF('ID1&amp;5'!A:A='1. Status'!A40&amp;'1. Status'!$E$10,'ID1&amp;5'!K:K))</f>
        <v>0</v>
      </c>
      <c r="F40" s="67">
        <f t="array" ref="F40">+MAX(IF('ID1&amp;5'!A:A='1. Status'!A40&amp;'1. Status'!$F$10,'ID1&amp;5'!K:K))</f>
        <v>0</v>
      </c>
      <c r="G40" s="60"/>
      <c r="H40" s="65" t="s">
        <v>125</v>
      </c>
      <c r="I40" s="21" t="s">
        <v>456</v>
      </c>
      <c r="J40" s="26">
        <f>+COUNTIF('ID1&amp;5'!G:G,'1. Status'!I40)</f>
        <v>1</v>
      </c>
      <c r="K40" s="79">
        <f>+IFERROR(VLOOKUP(CONCATENATE(A40,$B$10,B40),'ID1&amp;5'!B:J,8,FALSE),"-")</f>
        <v>2091533</v>
      </c>
      <c r="L40" s="78" t="str">
        <f>+IFERROR(VLOOKUP(B40,'ID1&amp;5'!K:L,2,FALSE),"-")</f>
        <v>2025-02-24 10:27:56.758376000</v>
      </c>
      <c r="M40" s="79">
        <f>+IFERROR(VLOOKUP(CONCATENATE(A40,$B$10,B40),'ID1&amp;5'!B:J,9,FALSE),"-")</f>
        <v>2089891</v>
      </c>
      <c r="N40" s="79" t="str">
        <f>+IFERROR(VLOOKUP(CONCATENATE(A40,$C$10,C40),'ID1&amp;5'!B:J,8,FALSE),"-")</f>
        <v>-</v>
      </c>
      <c r="O40" s="78" t="str">
        <f>+IFERROR(VLOOKUP(C40,'ID1&amp;5'!K:L,2,FALSE),"-")</f>
        <v>-</v>
      </c>
      <c r="P40" s="79" t="str">
        <f>+IFERROR(VLOOKUP(CONCATENATE(A40,$C$10,C40),'ID1&amp;5'!B:J,9,FALSE),"-")</f>
        <v>-</v>
      </c>
      <c r="Q40" s="78" t="str">
        <f>+IFERROR(VLOOKUP(D40,'ID1&amp;5'!K:L,2,FALSE),"-")</f>
        <v>-</v>
      </c>
      <c r="R40" s="26" t="str">
        <f>+IFERROR(VLOOKUP(CONCATENATE(A40,$D$10,D40),'ID1&amp;5'!B:J,9,FALSE),"-")</f>
        <v>-</v>
      </c>
      <c r="S40" s="78" t="str">
        <f>+IFERROR(VLOOKUP(E40,'ID1&amp;5'!K:L,2,FALSE),"-")</f>
        <v>-</v>
      </c>
      <c r="T40" s="79" t="str">
        <f>+IFERROR(VLOOKUP(CONCATENATE(A40,$E$10,E40),'ID1&amp;5'!B:J,9,FALSE),"-")</f>
        <v>-</v>
      </c>
      <c r="U40" s="78" t="str">
        <f>+IFERROR(VLOOKUP(F40,'ID1&amp;5'!K:L,2,FALSE),"-")</f>
        <v>-</v>
      </c>
      <c r="V40" s="79" t="str">
        <f>+IFERROR(VLOOKUP(CONCATENATE(A40,$F$10,F40),'ID1&amp;5'!B:J,9,FALSE),"-")</f>
        <v>-</v>
      </c>
      <c r="W40" s="26" t="str">
        <f>+IFERROR(VLOOKUP(A40,'ID6&amp;7'!A:I,9,FALSE),"-")</f>
        <v>-</v>
      </c>
      <c r="X40" s="26" t="str">
        <f>+IFERROR(VLOOKUP(A40,'ID6&amp;7'!A:J,10,FALSE),"-")</f>
        <v>-</v>
      </c>
      <c r="Y40" s="26"/>
      <c r="Z40" s="27" t="str">
        <f t="shared" si="1"/>
        <v>Em testes</v>
      </c>
    </row>
    <row r="41" spans="1:26">
      <c r="A41" s="20" t="str">
        <f t="shared" si="0"/>
        <v>INSTRUMENTACCMLTD_IMPRMNT_INSTRMNT45657</v>
      </c>
      <c r="B41" s="66">
        <f t="array" ref="B41">+MAX(IF('ID1&amp;5'!A:A='1. Status'!A41&amp;'1. Status'!$B$10,'ID1&amp;5'!K:K))</f>
        <v>1</v>
      </c>
      <c r="C41" s="60">
        <f t="array" ref="C41">+MAX(IF('ID1&amp;5'!A:A='1. Status'!A41&amp;'1. Status'!$C$10,'ID1&amp;5'!K:K))</f>
        <v>0</v>
      </c>
      <c r="D41" s="60">
        <f t="array" ref="D41">+MAX(IF('ID1&amp;5'!A:A='1. Status'!A41&amp;'1. Status'!$D$10,'ID1&amp;5'!K:K))</f>
        <v>0</v>
      </c>
      <c r="E41" s="60">
        <f t="array" ref="E41">+MAX(IF('ID1&amp;5'!A:A='1. Status'!A41&amp;'1. Status'!$E$10,'ID1&amp;5'!K:K))</f>
        <v>0</v>
      </c>
      <c r="F41" s="67">
        <f t="array" ref="F41">+MAX(IF('ID1&amp;5'!A:A='1. Status'!A41&amp;'1. Status'!$F$10,'ID1&amp;5'!K:K))</f>
        <v>0</v>
      </c>
      <c r="G41" s="60"/>
      <c r="H41" s="65" t="s">
        <v>125</v>
      </c>
      <c r="I41" s="21" t="s">
        <v>103</v>
      </c>
      <c r="J41" s="26">
        <f>+COUNTIF('ID1&amp;5'!G:G,'1. Status'!I41)</f>
        <v>1</v>
      </c>
      <c r="K41" s="79">
        <f>+IFERROR(VLOOKUP(CONCATENATE(A41,$B$10,B41),'ID1&amp;5'!B:J,8,FALSE),"-")</f>
        <v>2091533</v>
      </c>
      <c r="L41" s="78" t="str">
        <f>+IFERROR(VLOOKUP(B41,'ID1&amp;5'!K:L,2,FALSE),"-")</f>
        <v>2025-02-24 10:27:56.758376000</v>
      </c>
      <c r="M41" s="79">
        <f>+IFERROR(VLOOKUP(CONCATENATE(A41,$B$10,B41),'ID1&amp;5'!B:J,9,FALSE),"-")</f>
        <v>0</v>
      </c>
      <c r="N41" s="79" t="str">
        <f>+IFERROR(VLOOKUP(CONCATENATE(A41,$C$10,C41),'ID1&amp;5'!B:J,8,FALSE),"-")</f>
        <v>-</v>
      </c>
      <c r="O41" s="78" t="str">
        <f>+IFERROR(VLOOKUP(C41,'ID1&amp;5'!K:L,2,FALSE),"-")</f>
        <v>-</v>
      </c>
      <c r="P41" s="79" t="str">
        <f>+IFERROR(VLOOKUP(CONCATENATE(A41,$C$10,C41),'ID1&amp;5'!B:J,9,FALSE),"-")</f>
        <v>-</v>
      </c>
      <c r="Q41" s="78" t="str">
        <f>+IFERROR(VLOOKUP(D41,'ID1&amp;5'!K:L,2,FALSE),"-")</f>
        <v>-</v>
      </c>
      <c r="R41" s="26" t="str">
        <f>+IFERROR(VLOOKUP(CONCATENATE(A41,$D$10,D41),'ID1&amp;5'!B:J,9,FALSE),"-")</f>
        <v>-</v>
      </c>
      <c r="S41" s="78" t="str">
        <f>+IFERROR(VLOOKUP(E41,'ID1&amp;5'!K:L,2,FALSE),"-")</f>
        <v>-</v>
      </c>
      <c r="T41" s="79" t="str">
        <f>+IFERROR(VLOOKUP(CONCATENATE(A41,$E$10,E41),'ID1&amp;5'!B:J,9,FALSE),"-")</f>
        <v>-</v>
      </c>
      <c r="U41" s="78" t="str">
        <f>+IFERROR(VLOOKUP(F41,'ID1&amp;5'!K:L,2,FALSE),"-")</f>
        <v>-</v>
      </c>
      <c r="V41" s="79" t="str">
        <f>+IFERROR(VLOOKUP(CONCATENATE(A41,$F$10,F41),'ID1&amp;5'!B:J,9,FALSE),"-")</f>
        <v>-</v>
      </c>
      <c r="W41" s="26" t="str">
        <f>+IFERROR(VLOOKUP(A41,'ID6&amp;7'!A:I,9,FALSE),"-")</f>
        <v>-</v>
      </c>
      <c r="X41" s="26" t="str">
        <f>+IFERROR(VLOOKUP(A41,'ID6&amp;7'!A:J,10,FALSE),"-")</f>
        <v>-</v>
      </c>
      <c r="Y41" s="26"/>
      <c r="Z41" s="27" t="str">
        <f t="shared" si="1"/>
        <v>Em testes</v>
      </c>
    </row>
    <row r="42" spans="1:26">
      <c r="A42" s="20" t="str">
        <f t="shared" si="0"/>
        <v>INSTRUMENTLTV45657</v>
      </c>
      <c r="B42" s="66">
        <f t="array" ref="B42">+MAX(IF('ID1&amp;5'!A:A='1. Status'!A42&amp;'1. Status'!$B$10,'ID1&amp;5'!K:K))</f>
        <v>1</v>
      </c>
      <c r="C42" s="60">
        <f t="array" ref="C42">+MAX(IF('ID1&amp;5'!A:A='1. Status'!A42&amp;'1. Status'!$C$10,'ID1&amp;5'!K:K))</f>
        <v>0</v>
      </c>
      <c r="D42" s="60">
        <f t="array" ref="D42">+MAX(IF('ID1&amp;5'!A:A='1. Status'!A42&amp;'1. Status'!$D$10,'ID1&amp;5'!K:K))</f>
        <v>0</v>
      </c>
      <c r="E42" s="60">
        <f t="array" ref="E42">+MAX(IF('ID1&amp;5'!A:A='1. Status'!A42&amp;'1. Status'!$E$10,'ID1&amp;5'!K:K))</f>
        <v>0</v>
      </c>
      <c r="F42" s="67">
        <f t="array" ref="F42">+MAX(IF('ID1&amp;5'!A:A='1. Status'!A42&amp;'1. Status'!$F$10,'ID1&amp;5'!K:K))</f>
        <v>0</v>
      </c>
      <c r="G42" s="60"/>
      <c r="H42" s="65" t="s">
        <v>125</v>
      </c>
      <c r="I42" s="21" t="s">
        <v>489</v>
      </c>
      <c r="J42" s="26">
        <f>+COUNTIF('ID1&amp;5'!G:G,'1. Status'!I42)</f>
        <v>1</v>
      </c>
      <c r="K42" s="79">
        <f>+IFERROR(VLOOKUP(CONCATENATE(A42,$B$10,B42),'ID1&amp;5'!B:J,8,FALSE),"-")</f>
        <v>2091533</v>
      </c>
      <c r="L42" s="78" t="str">
        <f>+IFERROR(VLOOKUP(B42,'ID1&amp;5'!K:L,2,FALSE),"-")</f>
        <v>2025-02-24 10:27:56.758376000</v>
      </c>
      <c r="M42" s="79">
        <f>+IFERROR(VLOOKUP(CONCATENATE(A42,$B$10,B42),'ID1&amp;5'!B:J,9,FALSE),"-")</f>
        <v>358678</v>
      </c>
      <c r="N42" s="79" t="str">
        <f>+IFERROR(VLOOKUP(CONCATENATE(A42,$C$10,C42),'ID1&amp;5'!B:J,8,FALSE),"-")</f>
        <v>-</v>
      </c>
      <c r="O42" s="78" t="str">
        <f>+IFERROR(VLOOKUP(C42,'ID1&amp;5'!K:L,2,FALSE),"-")</f>
        <v>-</v>
      </c>
      <c r="P42" s="79" t="str">
        <f>+IFERROR(VLOOKUP(CONCATENATE(A42,$C$10,C42),'ID1&amp;5'!B:J,9,FALSE),"-")</f>
        <v>-</v>
      </c>
      <c r="Q42" s="78" t="str">
        <f>+IFERROR(VLOOKUP(D42,'ID1&amp;5'!K:L,2,FALSE),"-")</f>
        <v>-</v>
      </c>
      <c r="R42" s="26" t="str">
        <f>+IFERROR(VLOOKUP(CONCATENATE(A42,$D$10,D42),'ID1&amp;5'!B:J,9,FALSE),"-")</f>
        <v>-</v>
      </c>
      <c r="S42" s="78" t="str">
        <f>+IFERROR(VLOOKUP(E42,'ID1&amp;5'!K:L,2,FALSE),"-")</f>
        <v>-</v>
      </c>
      <c r="T42" s="79" t="str">
        <f>+IFERROR(VLOOKUP(CONCATENATE(A42,$E$10,E42),'ID1&amp;5'!B:J,9,FALSE),"-")</f>
        <v>-</v>
      </c>
      <c r="U42" s="78" t="str">
        <f>+IFERROR(VLOOKUP(F42,'ID1&amp;5'!K:L,2,FALSE),"-")</f>
        <v>-</v>
      </c>
      <c r="V42" s="79" t="str">
        <f>+IFERROR(VLOOKUP(CONCATENATE(A42,$F$10,F42),'ID1&amp;5'!B:J,9,FALSE),"-")</f>
        <v>-</v>
      </c>
      <c r="W42" s="26" t="str">
        <f>+IFERROR(VLOOKUP(A42,'ID6&amp;7'!A:I,9,FALSE),"-")</f>
        <v>-</v>
      </c>
      <c r="X42" s="26" t="str">
        <f>+IFERROR(VLOOKUP(A42,'ID6&amp;7'!A:J,10,FALSE),"-")</f>
        <v>-</v>
      </c>
      <c r="Y42" s="26"/>
      <c r="Z42" s="27" t="str">
        <f t="shared" si="1"/>
        <v>Em testes</v>
      </c>
    </row>
    <row r="43" spans="1:26">
      <c r="A43" s="20" t="str">
        <f t="shared" si="0"/>
        <v>INSTRUMENTLTV_INCPTN45657</v>
      </c>
      <c r="B43" s="66">
        <f t="array" ref="B43">+MAX(IF('ID1&amp;5'!A:A='1. Status'!A43&amp;'1. Status'!$B$10,'ID1&amp;5'!K:K))</f>
        <v>1</v>
      </c>
      <c r="C43" s="60">
        <f t="array" ref="C43">+MAX(IF('ID1&amp;5'!A:A='1. Status'!A43&amp;'1. Status'!$C$10,'ID1&amp;5'!K:K))</f>
        <v>0</v>
      </c>
      <c r="D43" s="60">
        <f t="array" ref="D43">+MAX(IF('ID1&amp;5'!A:A='1. Status'!A43&amp;'1. Status'!$D$10,'ID1&amp;5'!K:K))</f>
        <v>0</v>
      </c>
      <c r="E43" s="60">
        <f t="array" ref="E43">+MAX(IF('ID1&amp;5'!A:A='1. Status'!A43&amp;'1. Status'!$E$10,'ID1&amp;5'!K:K))</f>
        <v>0</v>
      </c>
      <c r="F43" s="67">
        <f t="array" ref="F43">+MAX(IF('ID1&amp;5'!A:A='1. Status'!A43&amp;'1. Status'!$F$10,'ID1&amp;5'!K:K))</f>
        <v>0</v>
      </c>
      <c r="G43" s="60"/>
      <c r="H43" s="65" t="s">
        <v>125</v>
      </c>
      <c r="I43" s="21" t="s">
        <v>490</v>
      </c>
      <c r="J43" s="26">
        <f>+COUNTIF('ID1&amp;5'!G:G,'1. Status'!I43)</f>
        <v>1</v>
      </c>
      <c r="K43" s="79">
        <f>+IFERROR(VLOOKUP(CONCATENATE(A43,$B$10,B43),'ID1&amp;5'!B:J,8,FALSE),"-")</f>
        <v>2091533</v>
      </c>
      <c r="L43" s="78" t="str">
        <f>+IFERROR(VLOOKUP(B43,'ID1&amp;5'!K:L,2,FALSE),"-")</f>
        <v>2025-02-24 10:27:56.758376000</v>
      </c>
      <c r="M43" s="79">
        <f>+IFERROR(VLOOKUP(CONCATENATE(A43,$B$10,B43),'ID1&amp;5'!B:J,9,FALSE),"-")</f>
        <v>358678</v>
      </c>
      <c r="N43" s="79" t="str">
        <f>+IFERROR(VLOOKUP(CONCATENATE(A43,$C$10,C43),'ID1&amp;5'!B:J,8,FALSE),"-")</f>
        <v>-</v>
      </c>
      <c r="O43" s="78" t="str">
        <f>+IFERROR(VLOOKUP(C43,'ID1&amp;5'!K:L,2,FALSE),"-")</f>
        <v>-</v>
      </c>
      <c r="P43" s="79" t="str">
        <f>+IFERROR(VLOOKUP(CONCATENATE(A43,$C$10,C43),'ID1&amp;5'!B:J,9,FALSE),"-")</f>
        <v>-</v>
      </c>
      <c r="Q43" s="78" t="str">
        <f>+IFERROR(VLOOKUP(D43,'ID1&amp;5'!K:L,2,FALSE),"-")</f>
        <v>-</v>
      </c>
      <c r="R43" s="26" t="str">
        <f>+IFERROR(VLOOKUP(CONCATENATE(A43,$D$10,D43),'ID1&amp;5'!B:J,9,FALSE),"-")</f>
        <v>-</v>
      </c>
      <c r="S43" s="78" t="str">
        <f>+IFERROR(VLOOKUP(E43,'ID1&amp;5'!K:L,2,FALSE),"-")</f>
        <v>-</v>
      </c>
      <c r="T43" s="79" t="str">
        <f>+IFERROR(VLOOKUP(CONCATENATE(A43,$E$10,E43),'ID1&amp;5'!B:J,9,FALSE),"-")</f>
        <v>-</v>
      </c>
      <c r="U43" s="78" t="str">
        <f>+IFERROR(VLOOKUP(F43,'ID1&amp;5'!K:L,2,FALSE),"-")</f>
        <v>-</v>
      </c>
      <c r="V43" s="79" t="str">
        <f>+IFERROR(VLOOKUP(CONCATENATE(A43,$F$10,F43),'ID1&amp;5'!B:J,9,FALSE),"-")</f>
        <v>-</v>
      </c>
      <c r="W43" s="26" t="str">
        <f>+IFERROR(VLOOKUP(A43,'ID6&amp;7'!A:I,9,FALSE),"-")</f>
        <v>-</v>
      </c>
      <c r="X43" s="26" t="str">
        <f>+IFERROR(VLOOKUP(A43,'ID6&amp;7'!A:J,10,FALSE),"-")</f>
        <v>-</v>
      </c>
      <c r="Y43" s="26"/>
      <c r="Z43" s="27" t="str">
        <f t="shared" si="1"/>
        <v>Em testes</v>
      </c>
    </row>
    <row r="44" spans="1:26">
      <c r="A44" s="20" t="str">
        <f t="shared" si="0"/>
        <v>INSTRUMENTANNLSD_AGRD_RT45657</v>
      </c>
      <c r="B44" s="66">
        <f t="array" ref="B44">+MAX(IF('ID1&amp;5'!A:A='1. Status'!A44&amp;'1. Status'!$B$10,'ID1&amp;5'!K:K))</f>
        <v>1</v>
      </c>
      <c r="C44" s="60">
        <f t="array" ref="C44">+MAX(IF('ID1&amp;5'!A:A='1. Status'!A44&amp;'1. Status'!$C$10,'ID1&amp;5'!K:K))</f>
        <v>0</v>
      </c>
      <c r="D44" s="60">
        <f t="array" ref="D44">+MAX(IF('ID1&amp;5'!A:A='1. Status'!A44&amp;'1. Status'!$D$10,'ID1&amp;5'!K:K))</f>
        <v>0</v>
      </c>
      <c r="E44" s="60">
        <f t="array" ref="E44">+MAX(IF('ID1&amp;5'!A:A='1. Status'!A44&amp;'1. Status'!$E$10,'ID1&amp;5'!K:K))</f>
        <v>0</v>
      </c>
      <c r="F44" s="67">
        <f t="array" ref="F44">+MAX(IF('ID1&amp;5'!A:A='1. Status'!A44&amp;'1. Status'!$F$10,'ID1&amp;5'!K:K))</f>
        <v>0</v>
      </c>
      <c r="G44" s="60"/>
      <c r="H44" s="65" t="s">
        <v>125</v>
      </c>
      <c r="I44" s="21" t="s">
        <v>498</v>
      </c>
      <c r="J44" s="26">
        <f>+COUNTIF('ID1&amp;5'!G:G,'1. Status'!I44)</f>
        <v>1</v>
      </c>
      <c r="K44" s="79">
        <f>+IFERROR(VLOOKUP(CONCATENATE(A44,$B$10,B44),'ID1&amp;5'!B:J,8,FALSE),"-")</f>
        <v>2091533</v>
      </c>
      <c r="L44" s="78" t="str">
        <f>+IFERROR(VLOOKUP(B44,'ID1&amp;5'!K:L,2,FALSE),"-")</f>
        <v>2025-02-24 10:27:56.758376000</v>
      </c>
      <c r="M44" s="79">
        <f>+IFERROR(VLOOKUP(CONCATENATE(A44,$B$10,B44),'ID1&amp;5'!B:J,9,FALSE),"-")</f>
        <v>2090803</v>
      </c>
      <c r="N44" s="79" t="str">
        <f>+IFERROR(VLOOKUP(CONCATENATE(A44,$C$10,C44),'ID1&amp;5'!B:J,8,FALSE),"-")</f>
        <v>-</v>
      </c>
      <c r="O44" s="78" t="str">
        <f>+IFERROR(VLOOKUP(C44,'ID1&amp;5'!K:L,2,FALSE),"-")</f>
        <v>-</v>
      </c>
      <c r="P44" s="79" t="str">
        <f>+IFERROR(VLOOKUP(CONCATENATE(A44,$C$10,C44),'ID1&amp;5'!B:J,9,FALSE),"-")</f>
        <v>-</v>
      </c>
      <c r="Q44" s="78" t="str">
        <f>+IFERROR(VLOOKUP(D44,'ID1&amp;5'!K:L,2,FALSE),"-")</f>
        <v>-</v>
      </c>
      <c r="R44" s="26" t="str">
        <f>+IFERROR(VLOOKUP(CONCATENATE(A44,$D$10,D44),'ID1&amp;5'!B:J,9,FALSE),"-")</f>
        <v>-</v>
      </c>
      <c r="S44" s="78" t="str">
        <f>+IFERROR(VLOOKUP(E44,'ID1&amp;5'!K:L,2,FALSE),"-")</f>
        <v>-</v>
      </c>
      <c r="T44" s="79" t="str">
        <f>+IFERROR(VLOOKUP(CONCATENATE(A44,$E$10,E44),'ID1&amp;5'!B:J,9,FALSE),"-")</f>
        <v>-</v>
      </c>
      <c r="U44" s="78" t="str">
        <f>+IFERROR(VLOOKUP(F44,'ID1&amp;5'!K:L,2,FALSE),"-")</f>
        <v>-</v>
      </c>
      <c r="V44" s="79" t="str">
        <f>+IFERROR(VLOOKUP(CONCATENATE(A44,$F$10,F44),'ID1&amp;5'!B:J,9,FALSE),"-")</f>
        <v>-</v>
      </c>
      <c r="W44" s="26" t="str">
        <f>+IFERROR(VLOOKUP(A44,'ID6&amp;7'!A:I,9,FALSE),"-")</f>
        <v>-</v>
      </c>
      <c r="X44" s="26" t="str">
        <f>+IFERROR(VLOOKUP(A44,'ID6&amp;7'!A:J,10,FALSE),"-")</f>
        <v>-</v>
      </c>
      <c r="Y44" s="26"/>
      <c r="Z44" s="27" t="str">
        <f t="shared" si="1"/>
        <v>Em testes</v>
      </c>
    </row>
    <row r="45" spans="1:26">
      <c r="A45" s="20" t="str">
        <f t="shared" si="0"/>
        <v>INSTRUMENTEIR_INCPTN45657</v>
      </c>
      <c r="B45" s="66">
        <f t="array" ref="B45">+MAX(IF('ID1&amp;5'!A:A='1. Status'!A45&amp;'1. Status'!$B$10,'ID1&amp;5'!K:K))</f>
        <v>1</v>
      </c>
      <c r="C45" s="60">
        <f t="array" ref="C45">+MAX(IF('ID1&amp;5'!A:A='1. Status'!A45&amp;'1. Status'!$C$10,'ID1&amp;5'!K:K))</f>
        <v>0</v>
      </c>
      <c r="D45" s="60">
        <f t="array" ref="D45">+MAX(IF('ID1&amp;5'!A:A='1. Status'!A45&amp;'1. Status'!$D$10,'ID1&amp;5'!K:K))</f>
        <v>0</v>
      </c>
      <c r="E45" s="60">
        <f t="array" ref="E45">+MAX(IF('ID1&amp;5'!A:A='1. Status'!A45&amp;'1. Status'!$E$10,'ID1&amp;5'!K:K))</f>
        <v>0</v>
      </c>
      <c r="F45" s="67">
        <f t="array" ref="F45">+MAX(IF('ID1&amp;5'!A:A='1. Status'!A45&amp;'1. Status'!$F$10,'ID1&amp;5'!K:K))</f>
        <v>0</v>
      </c>
      <c r="G45" s="60"/>
      <c r="H45" s="65" t="s">
        <v>125</v>
      </c>
      <c r="I45" s="21" t="s">
        <v>500</v>
      </c>
      <c r="J45" s="26">
        <f>+COUNTIF('ID1&amp;5'!G:G,'1. Status'!I45)</f>
        <v>1</v>
      </c>
      <c r="K45" s="79">
        <f>+IFERROR(VLOOKUP(CONCATENATE(A45,$B$10,B45),'ID1&amp;5'!B:J,8,FALSE),"-")</f>
        <v>2091533</v>
      </c>
      <c r="L45" s="78" t="str">
        <f>+IFERROR(VLOOKUP(B45,'ID1&amp;5'!K:L,2,FALSE),"-")</f>
        <v>2025-02-24 10:27:56.758376000</v>
      </c>
      <c r="M45" s="79">
        <f>+IFERROR(VLOOKUP(CONCATENATE(A45,$B$10,B45),'ID1&amp;5'!B:J,9,FALSE),"-")</f>
        <v>2090121</v>
      </c>
      <c r="N45" s="79" t="str">
        <f>+IFERROR(VLOOKUP(CONCATENATE(A45,$C$10,C45),'ID1&amp;5'!B:J,8,FALSE),"-")</f>
        <v>-</v>
      </c>
      <c r="O45" s="78" t="str">
        <f>+IFERROR(VLOOKUP(C45,'ID1&amp;5'!K:L,2,FALSE),"-")</f>
        <v>-</v>
      </c>
      <c r="P45" s="79" t="str">
        <f>+IFERROR(VLOOKUP(CONCATENATE(A45,$C$10,C45),'ID1&amp;5'!B:J,9,FALSE),"-")</f>
        <v>-</v>
      </c>
      <c r="Q45" s="78" t="str">
        <f>+IFERROR(VLOOKUP(D45,'ID1&amp;5'!K:L,2,FALSE),"-")</f>
        <v>-</v>
      </c>
      <c r="R45" s="26" t="str">
        <f>+IFERROR(VLOOKUP(CONCATENATE(A45,$D$10,D45),'ID1&amp;5'!B:J,9,FALSE),"-")</f>
        <v>-</v>
      </c>
      <c r="S45" s="78" t="str">
        <f>+IFERROR(VLOOKUP(E45,'ID1&amp;5'!K:L,2,FALSE),"-")</f>
        <v>-</v>
      </c>
      <c r="T45" s="79" t="str">
        <f>+IFERROR(VLOOKUP(CONCATENATE(A45,$E$10,E45),'ID1&amp;5'!B:J,9,FALSE),"-")</f>
        <v>-</v>
      </c>
      <c r="U45" s="78" t="str">
        <f>+IFERROR(VLOOKUP(F45,'ID1&amp;5'!K:L,2,FALSE),"-")</f>
        <v>-</v>
      </c>
      <c r="V45" s="79" t="str">
        <f>+IFERROR(VLOOKUP(CONCATENATE(A45,$F$10,F45),'ID1&amp;5'!B:J,9,FALSE),"-")</f>
        <v>-</v>
      </c>
      <c r="W45" s="26" t="str">
        <f>+IFERROR(VLOOKUP(A45,'ID6&amp;7'!A:I,9,FALSE),"-")</f>
        <v>-</v>
      </c>
      <c r="X45" s="26" t="str">
        <f>+IFERROR(VLOOKUP(A45,'ID6&amp;7'!A:J,10,FALSE),"-")</f>
        <v>-</v>
      </c>
      <c r="Y45" s="26"/>
      <c r="Z45" s="27" t="str">
        <f t="shared" si="1"/>
        <v>Em testes</v>
      </c>
    </row>
    <row r="46" spans="1:26">
      <c r="A46" s="20" t="str">
        <f t="shared" si="0"/>
        <v>INSTRUMENTISSR_CNTRY45657</v>
      </c>
      <c r="B46" s="66">
        <f t="array" ref="B46">+MAX(IF('ID1&amp;5'!A:A='1. Status'!A46&amp;'1. Status'!$B$10,'ID1&amp;5'!K:K))</f>
        <v>1</v>
      </c>
      <c r="C46" s="60">
        <f t="array" ref="C46">+MAX(IF('ID1&amp;5'!A:A='1. Status'!A46&amp;'1. Status'!$C$10,'ID1&amp;5'!K:K))</f>
        <v>0</v>
      </c>
      <c r="D46" s="60">
        <f t="array" ref="D46">+MAX(IF('ID1&amp;5'!A:A='1. Status'!A46&amp;'1. Status'!$D$10,'ID1&amp;5'!K:K))</f>
        <v>0</v>
      </c>
      <c r="E46" s="60">
        <f t="array" ref="E46">+MAX(IF('ID1&amp;5'!A:A='1. Status'!A46&amp;'1. Status'!$E$10,'ID1&amp;5'!K:K))</f>
        <v>0</v>
      </c>
      <c r="F46" s="67">
        <f t="array" ref="F46">+MAX(IF('ID1&amp;5'!A:A='1. Status'!A46&amp;'1. Status'!$F$10,'ID1&amp;5'!K:K))</f>
        <v>0</v>
      </c>
      <c r="G46" s="60"/>
      <c r="H46" s="65" t="s">
        <v>125</v>
      </c>
      <c r="I46" s="21" t="s">
        <v>104</v>
      </c>
      <c r="J46" s="26">
        <f>+COUNTIF('ID1&amp;5'!G:G,'1. Status'!I46)</f>
        <v>1</v>
      </c>
      <c r="K46" s="79">
        <f>+IFERROR(VLOOKUP(CONCATENATE(A46,$B$10,B46),'ID1&amp;5'!B:J,8,FALSE),"-")</f>
        <v>2091533</v>
      </c>
      <c r="L46" s="78" t="str">
        <f>+IFERROR(VLOOKUP(B46,'ID1&amp;5'!K:L,2,FALSE),"-")</f>
        <v>2025-02-24 10:27:56.758376000</v>
      </c>
      <c r="M46" s="79">
        <f>+IFERROR(VLOOKUP(CONCATENATE(A46,$B$10,B46),'ID1&amp;5'!B:J,9,FALSE),"-")</f>
        <v>0</v>
      </c>
      <c r="N46" s="79" t="str">
        <f>+IFERROR(VLOOKUP(CONCATENATE(A46,$C$10,C46),'ID1&amp;5'!B:J,8,FALSE),"-")</f>
        <v>-</v>
      </c>
      <c r="O46" s="78" t="str">
        <f>+IFERROR(VLOOKUP(C46,'ID1&amp;5'!K:L,2,FALSE),"-")</f>
        <v>-</v>
      </c>
      <c r="P46" s="79" t="str">
        <f>+IFERROR(VLOOKUP(CONCATENATE(A46,$C$10,C46),'ID1&amp;5'!B:J,9,FALSE),"-")</f>
        <v>-</v>
      </c>
      <c r="Q46" s="78" t="str">
        <f>+IFERROR(VLOOKUP(D46,'ID1&amp;5'!K:L,2,FALSE),"-")</f>
        <v>-</v>
      </c>
      <c r="R46" s="26" t="str">
        <f>+IFERROR(VLOOKUP(CONCATENATE(A46,$D$10,D46),'ID1&amp;5'!B:J,9,FALSE),"-")</f>
        <v>-</v>
      </c>
      <c r="S46" s="78" t="str">
        <f>+IFERROR(VLOOKUP(E46,'ID1&amp;5'!K:L,2,FALSE),"-")</f>
        <v>-</v>
      </c>
      <c r="T46" s="79" t="str">
        <f>+IFERROR(VLOOKUP(CONCATENATE(A46,$E$10,E46),'ID1&amp;5'!B:J,9,FALSE),"-")</f>
        <v>-</v>
      </c>
      <c r="U46" s="78" t="str">
        <f>+IFERROR(VLOOKUP(F46,'ID1&amp;5'!K:L,2,FALSE),"-")</f>
        <v>-</v>
      </c>
      <c r="V46" s="79" t="str">
        <f>+IFERROR(VLOOKUP(CONCATENATE(A46,$F$10,F46),'ID1&amp;5'!B:J,9,FALSE),"-")</f>
        <v>-</v>
      </c>
      <c r="W46" s="26" t="str">
        <f>+IFERROR(VLOOKUP(A46,'ID6&amp;7'!A:I,9,FALSE),"-")</f>
        <v>-</v>
      </c>
      <c r="X46" s="26" t="str">
        <f>+IFERROR(VLOOKUP(A46,'ID6&amp;7'!A:J,10,FALSE),"-")</f>
        <v>-</v>
      </c>
      <c r="Y46" s="26"/>
      <c r="Z46" s="27" t="str">
        <f t="shared" si="1"/>
        <v>Em testes</v>
      </c>
    </row>
    <row r="47" spans="1:26">
      <c r="A47" s="20" t="str">
        <f t="shared" si="0"/>
        <v>INSTRUMENTISSR_NACE_SCTR45657</v>
      </c>
      <c r="B47" s="66">
        <f t="array" ref="B47">+MAX(IF('ID1&amp;5'!A:A='1. Status'!A47&amp;'1. Status'!$B$10,'ID1&amp;5'!K:K))</f>
        <v>1</v>
      </c>
      <c r="C47" s="60">
        <f t="array" ref="C47">+MAX(IF('ID1&amp;5'!A:A='1. Status'!A47&amp;'1. Status'!$C$10,'ID1&amp;5'!K:K))</f>
        <v>0</v>
      </c>
      <c r="D47" s="60">
        <f t="array" ref="D47">+MAX(IF('ID1&amp;5'!A:A='1. Status'!A47&amp;'1. Status'!$D$10,'ID1&amp;5'!K:K))</f>
        <v>0</v>
      </c>
      <c r="E47" s="60">
        <f t="array" ref="E47">+MAX(IF('ID1&amp;5'!A:A='1. Status'!A47&amp;'1. Status'!$E$10,'ID1&amp;5'!K:K))</f>
        <v>0</v>
      </c>
      <c r="F47" s="67">
        <f t="array" ref="F47">+MAX(IF('ID1&amp;5'!A:A='1. Status'!A47&amp;'1. Status'!$F$10,'ID1&amp;5'!K:K))</f>
        <v>0</v>
      </c>
      <c r="G47" s="60"/>
      <c r="H47" s="65" t="s">
        <v>125</v>
      </c>
      <c r="I47" s="21" t="s">
        <v>105</v>
      </c>
      <c r="J47" s="26">
        <f>+COUNTIF('ID1&amp;5'!G:G,'1. Status'!I47)</f>
        <v>1</v>
      </c>
      <c r="K47" s="79">
        <f>+IFERROR(VLOOKUP(CONCATENATE(A47,$B$10,B47),'ID1&amp;5'!B:J,8,FALSE),"-")</f>
        <v>2091533</v>
      </c>
      <c r="L47" s="78" t="str">
        <f>+IFERROR(VLOOKUP(B47,'ID1&amp;5'!K:L,2,FALSE),"-")</f>
        <v>2025-02-24 10:27:56.758376000</v>
      </c>
      <c r="M47" s="79">
        <f>+IFERROR(VLOOKUP(CONCATENATE(A47,$B$10,B47),'ID1&amp;5'!B:J,9,FALSE),"-")</f>
        <v>0</v>
      </c>
      <c r="N47" s="79" t="str">
        <f>+IFERROR(VLOOKUP(CONCATENATE(A47,$C$10,C47),'ID1&amp;5'!B:J,8,FALSE),"-")</f>
        <v>-</v>
      </c>
      <c r="O47" s="78" t="str">
        <f>+IFERROR(VLOOKUP(C47,'ID1&amp;5'!K:L,2,FALSE),"-")</f>
        <v>-</v>
      </c>
      <c r="P47" s="79" t="str">
        <f>+IFERROR(VLOOKUP(CONCATENATE(A47,$C$10,C47),'ID1&amp;5'!B:J,9,FALSE),"-")</f>
        <v>-</v>
      </c>
      <c r="Q47" s="78" t="str">
        <f>+IFERROR(VLOOKUP(D47,'ID1&amp;5'!K:L,2,FALSE),"-")</f>
        <v>-</v>
      </c>
      <c r="R47" s="26" t="str">
        <f>+IFERROR(VLOOKUP(CONCATENATE(A47,$D$10,D47),'ID1&amp;5'!B:J,9,FALSE),"-")</f>
        <v>-</v>
      </c>
      <c r="S47" s="78" t="str">
        <f>+IFERROR(VLOOKUP(E47,'ID1&amp;5'!K:L,2,FALSE),"-")</f>
        <v>-</v>
      </c>
      <c r="T47" s="79" t="str">
        <f>+IFERROR(VLOOKUP(CONCATENATE(A47,$E$10,E47),'ID1&amp;5'!B:J,9,FALSE),"-")</f>
        <v>-</v>
      </c>
      <c r="U47" s="78" t="str">
        <f>+IFERROR(VLOOKUP(F47,'ID1&amp;5'!K:L,2,FALSE),"-")</f>
        <v>-</v>
      </c>
      <c r="V47" s="79" t="str">
        <f>+IFERROR(VLOOKUP(CONCATENATE(A47,$F$10,F47),'ID1&amp;5'!B:J,9,FALSE),"-")</f>
        <v>-</v>
      </c>
      <c r="W47" s="26" t="str">
        <f>+IFERROR(VLOOKUP(A47,'ID6&amp;7'!A:I,9,FALSE),"-")</f>
        <v>-</v>
      </c>
      <c r="X47" s="26" t="str">
        <f>+IFERROR(VLOOKUP(A47,'ID6&amp;7'!A:J,10,FALSE),"-")</f>
        <v>-</v>
      </c>
      <c r="Y47" s="26"/>
      <c r="Z47" s="27" t="str">
        <f t="shared" si="1"/>
        <v>Em testes</v>
      </c>
    </row>
    <row r="48" spans="1:26">
      <c r="A48" s="20" t="str">
        <f t="shared" si="0"/>
        <v>INSTRUMENTPRMRY_ASST_CLSSF45657</v>
      </c>
      <c r="B48" s="66">
        <f t="array" ref="B48">+MAX(IF('ID1&amp;5'!A:A='1. Status'!A48&amp;'1. Status'!$B$10,'ID1&amp;5'!K:K))</f>
        <v>1</v>
      </c>
      <c r="C48" s="60">
        <f t="array" ref="C48">+MAX(IF('ID1&amp;5'!A:A='1. Status'!A48&amp;'1. Status'!$C$10,'ID1&amp;5'!K:K))</f>
        <v>0</v>
      </c>
      <c r="D48" s="60">
        <f t="array" ref="D48">+MAX(IF('ID1&amp;5'!A:A='1. Status'!A48&amp;'1. Status'!$D$10,'ID1&amp;5'!K:K))</f>
        <v>0</v>
      </c>
      <c r="E48" s="60">
        <f t="array" ref="E48">+MAX(IF('ID1&amp;5'!A:A='1. Status'!A48&amp;'1. Status'!$E$10,'ID1&amp;5'!K:K))</f>
        <v>0</v>
      </c>
      <c r="F48" s="67">
        <f t="array" ref="F48">+MAX(IF('ID1&amp;5'!A:A='1. Status'!A48&amp;'1. Status'!$F$10,'ID1&amp;5'!K:K))</f>
        <v>0</v>
      </c>
      <c r="G48" s="60"/>
      <c r="H48" s="65" t="s">
        <v>125</v>
      </c>
      <c r="I48" s="21" t="s">
        <v>106</v>
      </c>
      <c r="J48" s="26">
        <f>+COUNTIF('ID1&amp;5'!G:G,'1. Status'!I48)</f>
        <v>1</v>
      </c>
      <c r="K48" s="79">
        <f>+IFERROR(VLOOKUP(CONCATENATE(A48,$B$10,B48),'ID1&amp;5'!B:J,8,FALSE),"-")</f>
        <v>2091533</v>
      </c>
      <c r="L48" s="78" t="str">
        <f>+IFERROR(VLOOKUP(B48,'ID1&amp;5'!K:L,2,FALSE),"-")</f>
        <v>2025-02-24 10:27:56.758376000</v>
      </c>
      <c r="M48" s="79">
        <f>+IFERROR(VLOOKUP(CONCATENATE(A48,$B$10,B48),'ID1&amp;5'!B:J,9,FALSE),"-")</f>
        <v>0</v>
      </c>
      <c r="N48" s="79" t="str">
        <f>+IFERROR(VLOOKUP(CONCATENATE(A48,$C$10,C48),'ID1&amp;5'!B:J,8,FALSE),"-")</f>
        <v>-</v>
      </c>
      <c r="O48" s="78" t="str">
        <f>+IFERROR(VLOOKUP(C48,'ID1&amp;5'!K:L,2,FALSE),"-")</f>
        <v>-</v>
      </c>
      <c r="P48" s="79" t="str">
        <f>+IFERROR(VLOOKUP(CONCATENATE(A48,$C$10,C48),'ID1&amp;5'!B:J,9,FALSE),"-")</f>
        <v>-</v>
      </c>
      <c r="Q48" s="78" t="str">
        <f>+IFERROR(VLOOKUP(D48,'ID1&amp;5'!K:L,2,FALSE),"-")</f>
        <v>-</v>
      </c>
      <c r="R48" s="26" t="str">
        <f>+IFERROR(VLOOKUP(CONCATENATE(A48,$D$10,D48),'ID1&amp;5'!B:J,9,FALSE),"-")</f>
        <v>-</v>
      </c>
      <c r="S48" s="78" t="str">
        <f>+IFERROR(VLOOKUP(E48,'ID1&amp;5'!K:L,2,FALSE),"-")</f>
        <v>-</v>
      </c>
      <c r="T48" s="79" t="str">
        <f>+IFERROR(VLOOKUP(CONCATENATE(A48,$E$10,E48),'ID1&amp;5'!B:J,9,FALSE),"-")</f>
        <v>-</v>
      </c>
      <c r="U48" s="78" t="str">
        <f>+IFERROR(VLOOKUP(F48,'ID1&amp;5'!K:L,2,FALSE),"-")</f>
        <v>-</v>
      </c>
      <c r="V48" s="79" t="str">
        <f>+IFERROR(VLOOKUP(CONCATENATE(A48,$F$10,F48),'ID1&amp;5'!B:J,9,FALSE),"-")</f>
        <v>-</v>
      </c>
      <c r="W48" s="26" t="str">
        <f>+IFERROR(VLOOKUP(A48,'ID6&amp;7'!A:I,9,FALSE),"-")</f>
        <v>-</v>
      </c>
      <c r="X48" s="26" t="str">
        <f>+IFERROR(VLOOKUP(A48,'ID6&amp;7'!A:J,10,FALSE),"-")</f>
        <v>-</v>
      </c>
      <c r="Y48" s="26"/>
      <c r="Z48" s="27" t="str">
        <f t="shared" si="1"/>
        <v>Em testes</v>
      </c>
    </row>
    <row r="49" spans="1:26">
      <c r="A49" s="20" t="str">
        <f t="shared" si="0"/>
        <v>INSTRUMENTLCL_INSTMRNT_ID45657</v>
      </c>
      <c r="B49" s="66">
        <f t="array" ref="B49">+MAX(IF('ID1&amp;5'!A:A='1. Status'!A49&amp;'1. Status'!$B$10,'ID1&amp;5'!K:K))</f>
        <v>1</v>
      </c>
      <c r="C49" s="60">
        <f t="array" ref="C49">+MAX(IF('ID1&amp;5'!A:A='1. Status'!A49&amp;'1. Status'!$C$10,'ID1&amp;5'!K:K))</f>
        <v>0</v>
      </c>
      <c r="D49" s="60">
        <f t="array" ref="D49">+MAX(IF('ID1&amp;5'!A:A='1. Status'!A49&amp;'1. Status'!$D$10,'ID1&amp;5'!K:K))</f>
        <v>0</v>
      </c>
      <c r="E49" s="60">
        <f t="array" ref="E49">+MAX(IF('ID1&amp;5'!A:A='1. Status'!A49&amp;'1. Status'!$E$10,'ID1&amp;5'!K:K))</f>
        <v>0</v>
      </c>
      <c r="F49" s="67">
        <f t="array" ref="F49">+MAX(IF('ID1&amp;5'!A:A='1. Status'!A49&amp;'1. Status'!$F$10,'ID1&amp;5'!K:K))</f>
        <v>0</v>
      </c>
      <c r="G49" s="60"/>
      <c r="H49" s="65" t="s">
        <v>125</v>
      </c>
      <c r="I49" s="21" t="s">
        <v>109</v>
      </c>
      <c r="J49" s="26">
        <f>+COUNTIF('ID1&amp;5'!G:G,'1. Status'!I49)</f>
        <v>1</v>
      </c>
      <c r="K49" s="79">
        <f>+IFERROR(VLOOKUP(CONCATENATE(A49,$B$10,B49),'ID1&amp;5'!B:J,8,FALSE),"-")</f>
        <v>2091533</v>
      </c>
      <c r="L49" s="78" t="str">
        <f>+IFERROR(VLOOKUP(B49,'ID1&amp;5'!K:L,2,FALSE),"-")</f>
        <v>2025-02-24 10:27:56.758376000</v>
      </c>
      <c r="M49" s="79">
        <f>+IFERROR(VLOOKUP(CONCATENATE(A49,$B$10,B49),'ID1&amp;5'!B:J,9,FALSE),"-")</f>
        <v>0</v>
      </c>
      <c r="N49" s="79" t="str">
        <f>+IFERROR(VLOOKUP(CONCATENATE(A49,$C$10,C49),'ID1&amp;5'!B:J,8,FALSE),"-")</f>
        <v>-</v>
      </c>
      <c r="O49" s="78" t="str">
        <f>+IFERROR(VLOOKUP(C49,'ID1&amp;5'!K:L,2,FALSE),"-")</f>
        <v>-</v>
      </c>
      <c r="P49" s="79" t="str">
        <f>+IFERROR(VLOOKUP(CONCATENATE(A49,$C$10,C49),'ID1&amp;5'!B:J,9,FALSE),"-")</f>
        <v>-</v>
      </c>
      <c r="Q49" s="78" t="str">
        <f>+IFERROR(VLOOKUP(D49,'ID1&amp;5'!K:L,2,FALSE),"-")</f>
        <v>-</v>
      </c>
      <c r="R49" s="26" t="str">
        <f>+IFERROR(VLOOKUP(CONCATENATE(A49,$D$10,D49),'ID1&amp;5'!B:J,9,FALSE),"-")</f>
        <v>-</v>
      </c>
      <c r="S49" s="78" t="str">
        <f>+IFERROR(VLOOKUP(E49,'ID1&amp;5'!K:L,2,FALSE),"-")</f>
        <v>-</v>
      </c>
      <c r="T49" s="79" t="str">
        <f>+IFERROR(VLOOKUP(CONCATENATE(A49,$E$10,E49),'ID1&amp;5'!B:J,9,FALSE),"-")</f>
        <v>-</v>
      </c>
      <c r="U49" s="78" t="str">
        <f>+IFERROR(VLOOKUP(F49,'ID1&amp;5'!K:L,2,FALSE),"-")</f>
        <v>-</v>
      </c>
      <c r="V49" s="79" t="str">
        <f>+IFERROR(VLOOKUP(CONCATENATE(A49,$F$10,F49),'ID1&amp;5'!B:J,9,FALSE),"-")</f>
        <v>-</v>
      </c>
      <c r="W49" s="26" t="str">
        <f>+IFERROR(VLOOKUP(A49,'ID6&amp;7'!A:I,9,FALSE),"-")</f>
        <v>-</v>
      </c>
      <c r="X49" s="26" t="str">
        <f>+IFERROR(VLOOKUP(A49,'ID6&amp;7'!A:J,10,FALSE),"-")</f>
        <v>-</v>
      </c>
      <c r="Y49" s="26"/>
      <c r="Z49" s="27" t="str">
        <f t="shared" si="1"/>
        <v>Em testes</v>
      </c>
    </row>
    <row r="50" spans="1:26">
      <c r="A50" s="20" t="str">
        <f t="shared" si="0"/>
        <v>INSTRUMENTIDCMB45657</v>
      </c>
      <c r="B50" s="66">
        <f t="array" ref="B50">+MAX(IF('ID1&amp;5'!A:A='1. Status'!A50&amp;'1. Status'!$B$10,'ID1&amp;5'!K:K))</f>
        <v>1</v>
      </c>
      <c r="C50" s="60">
        <f t="array" ref="C50">+MAX(IF('ID1&amp;5'!A:A='1. Status'!A50&amp;'1. Status'!$C$10,'ID1&amp;5'!K:K))</f>
        <v>0</v>
      </c>
      <c r="D50" s="60">
        <f t="array" ref="D50">+MAX(IF('ID1&amp;5'!A:A='1. Status'!A50&amp;'1. Status'!$D$10,'ID1&amp;5'!K:K))</f>
        <v>0</v>
      </c>
      <c r="E50" s="60">
        <f t="array" ref="E50">+MAX(IF('ID1&amp;5'!A:A='1. Status'!A50&amp;'1. Status'!$E$10,'ID1&amp;5'!K:K))</f>
        <v>0</v>
      </c>
      <c r="F50" s="67">
        <f t="array" ref="F50">+MAX(IF('ID1&amp;5'!A:A='1. Status'!A50&amp;'1. Status'!$F$10,'ID1&amp;5'!K:K))</f>
        <v>0</v>
      </c>
      <c r="G50" s="60"/>
      <c r="H50" s="65" t="s">
        <v>125</v>
      </c>
      <c r="I50" s="21" t="s">
        <v>110</v>
      </c>
      <c r="J50" s="26">
        <f>+COUNTIF('ID1&amp;5'!G:G,'1. Status'!I50)</f>
        <v>1</v>
      </c>
      <c r="K50" s="79">
        <f>+IFERROR(VLOOKUP(CONCATENATE(A50,$B$10,B50),'ID1&amp;5'!B:J,8,FALSE),"-")</f>
        <v>2091533</v>
      </c>
      <c r="L50" s="78" t="str">
        <f>+IFERROR(VLOOKUP(B50,'ID1&amp;5'!K:L,2,FALSE),"-")</f>
        <v>2025-02-24 10:27:56.758376000</v>
      </c>
      <c r="M50" s="79">
        <f>+IFERROR(VLOOKUP(CONCATENATE(A50,$B$10,B50),'ID1&amp;5'!B:J,9,FALSE),"-")</f>
        <v>0</v>
      </c>
      <c r="N50" s="79" t="str">
        <f>+IFERROR(VLOOKUP(CONCATENATE(A50,$C$10,C50),'ID1&amp;5'!B:J,8,FALSE),"-")</f>
        <v>-</v>
      </c>
      <c r="O50" s="78" t="str">
        <f>+IFERROR(VLOOKUP(C50,'ID1&amp;5'!K:L,2,FALSE),"-")</f>
        <v>-</v>
      </c>
      <c r="P50" s="79" t="str">
        <f>+IFERROR(VLOOKUP(CONCATENATE(A50,$C$10,C50),'ID1&amp;5'!B:J,9,FALSE),"-")</f>
        <v>-</v>
      </c>
      <c r="Q50" s="78" t="str">
        <f>+IFERROR(VLOOKUP(D50,'ID1&amp;5'!K:L,2,FALSE),"-")</f>
        <v>-</v>
      </c>
      <c r="R50" s="26" t="str">
        <f>+IFERROR(VLOOKUP(CONCATENATE(A50,$D$10,D50),'ID1&amp;5'!B:J,9,FALSE),"-")</f>
        <v>-</v>
      </c>
      <c r="S50" s="78" t="str">
        <f>+IFERROR(VLOOKUP(E50,'ID1&amp;5'!K:L,2,FALSE),"-")</f>
        <v>-</v>
      </c>
      <c r="T50" s="79" t="str">
        <f>+IFERROR(VLOOKUP(CONCATENATE(A50,$E$10,E50),'ID1&amp;5'!B:J,9,FALSE),"-")</f>
        <v>-</v>
      </c>
      <c r="U50" s="78" t="str">
        <f>+IFERROR(VLOOKUP(F50,'ID1&amp;5'!K:L,2,FALSE),"-")</f>
        <v>-</v>
      </c>
      <c r="V50" s="79" t="str">
        <f>+IFERROR(VLOOKUP(CONCATENATE(A50,$F$10,F50),'ID1&amp;5'!B:J,9,FALSE),"-")</f>
        <v>-</v>
      </c>
      <c r="W50" s="26" t="str">
        <f>+IFERROR(VLOOKUP(A50,'ID6&amp;7'!A:I,9,FALSE),"-")</f>
        <v>-</v>
      </c>
      <c r="X50" s="26" t="str">
        <f>+IFERROR(VLOOKUP(A50,'ID6&amp;7'!A:J,10,FALSE),"-")</f>
        <v>-</v>
      </c>
      <c r="Y50" s="26"/>
      <c r="Z50" s="27" t="str">
        <f t="shared" si="1"/>
        <v>Em testes</v>
      </c>
    </row>
    <row r="51" spans="1:26">
      <c r="A51" s="20" t="str">
        <f t="shared" si="0"/>
        <v>INSTRUMENTTYP_OFF_BLNC_PRDCT45657</v>
      </c>
      <c r="B51" s="66">
        <f t="array" ref="B51">+MAX(IF('ID1&amp;5'!A:A='1. Status'!A51&amp;'1. Status'!$B$10,'ID1&amp;5'!K:K))</f>
        <v>0</v>
      </c>
      <c r="C51" s="60">
        <f t="array" ref="C51">+MAX(IF('ID1&amp;5'!A:A='1. Status'!A51&amp;'1. Status'!$C$10,'ID1&amp;5'!K:K))</f>
        <v>0</v>
      </c>
      <c r="D51" s="60">
        <f t="array" ref="D51">+MAX(IF('ID1&amp;5'!A:A='1. Status'!A51&amp;'1. Status'!$D$10,'ID1&amp;5'!K:K))</f>
        <v>0</v>
      </c>
      <c r="E51" s="60">
        <f t="array" ref="E51">+MAX(IF('ID1&amp;5'!A:A='1. Status'!A51&amp;'1. Status'!$E$10,'ID1&amp;5'!K:K))</f>
        <v>0</v>
      </c>
      <c r="F51" s="67">
        <f t="array" ref="F51">+MAX(IF('ID1&amp;5'!A:A='1. Status'!A51&amp;'1. Status'!$F$10,'ID1&amp;5'!K:K))</f>
        <v>0</v>
      </c>
      <c r="G51" s="60"/>
      <c r="H51" s="65" t="s">
        <v>125</v>
      </c>
      <c r="I51" s="21" t="s">
        <v>560</v>
      </c>
      <c r="J51" s="26">
        <f>+COUNTIF('ID1&amp;5'!G:G,'1. Status'!I51)</f>
        <v>0</v>
      </c>
      <c r="K51" s="79" t="str">
        <f>+IFERROR(VLOOKUP(CONCATENATE(A51,$B$10,B51),'ID1&amp;5'!B:J,8,FALSE),"-")</f>
        <v>-</v>
      </c>
      <c r="L51" s="78" t="str">
        <f>+IFERROR(VLOOKUP(B51,'ID1&amp;5'!K:L,2,FALSE),"-")</f>
        <v>-</v>
      </c>
      <c r="M51" s="79" t="str">
        <f>+IFERROR(VLOOKUP(CONCATENATE(A51,$B$10,B51),'ID1&amp;5'!B:J,9,FALSE),"-")</f>
        <v>-</v>
      </c>
      <c r="N51" s="79" t="str">
        <f>+IFERROR(VLOOKUP(CONCATENATE(A51,$C$10,C51),'ID1&amp;5'!B:J,8,FALSE),"-")</f>
        <v>-</v>
      </c>
      <c r="O51" s="78" t="str">
        <f>+IFERROR(VLOOKUP(C51,'ID1&amp;5'!K:L,2,FALSE),"-")</f>
        <v>-</v>
      </c>
      <c r="P51" s="79" t="str">
        <f>+IFERROR(VLOOKUP(CONCATENATE(A51,$C$10,C51),'ID1&amp;5'!B:J,9,FALSE),"-")</f>
        <v>-</v>
      </c>
      <c r="Q51" s="78" t="str">
        <f>+IFERROR(VLOOKUP(D51,'ID1&amp;5'!K:L,2,FALSE),"-")</f>
        <v>-</v>
      </c>
      <c r="R51" s="26" t="str">
        <f>+IFERROR(VLOOKUP(CONCATENATE(A51,$D$10,D51),'ID1&amp;5'!B:J,9,FALSE),"-")</f>
        <v>-</v>
      </c>
      <c r="S51" s="78" t="str">
        <f>+IFERROR(VLOOKUP(E51,'ID1&amp;5'!K:L,2,FALSE),"-")</f>
        <v>-</v>
      </c>
      <c r="T51" s="79" t="str">
        <f>+IFERROR(VLOOKUP(CONCATENATE(A51,$E$10,E51),'ID1&amp;5'!B:J,9,FALSE),"-")</f>
        <v>-</v>
      </c>
      <c r="U51" s="78" t="str">
        <f>+IFERROR(VLOOKUP(F51,'ID1&amp;5'!K:L,2,FALSE),"-")</f>
        <v>-</v>
      </c>
      <c r="V51" s="79" t="str">
        <f>+IFERROR(VLOOKUP(CONCATENATE(A51,$F$10,F51),'ID1&amp;5'!B:J,9,FALSE),"-")</f>
        <v>-</v>
      </c>
      <c r="W51" s="26" t="str">
        <f>+IFERROR(VLOOKUP(A51,'ID6&amp;7'!A:I,9,FALSE),"-")</f>
        <v>-</v>
      </c>
      <c r="X51" s="26" t="str">
        <f>+IFERROR(VLOOKUP(A51,'ID6&amp;7'!A:J,10,FALSE),"-")</f>
        <v>-</v>
      </c>
      <c r="Y51" s="26"/>
      <c r="Z51" s="27" t="str">
        <f t="shared" si="1"/>
        <v>Por iniciar</v>
      </c>
    </row>
    <row r="52" spans="1:26">
      <c r="A52" s="20" t="str">
        <f t="shared" si="0"/>
        <v>INSTR_PROTECTIONCOD_SOC45657</v>
      </c>
      <c r="B52" s="66">
        <f t="array" ref="B52">+MAX(IF('ID1&amp;5'!A:A='1. Status'!A52&amp;'1. Status'!$B$10,'ID1&amp;5'!K:K))</f>
        <v>1</v>
      </c>
      <c r="C52" s="60">
        <f t="array" ref="C52">+MAX(IF('ID1&amp;5'!A:A='1. Status'!A52&amp;'1. Status'!$C$10,'ID1&amp;5'!K:K))</f>
        <v>0</v>
      </c>
      <c r="D52" s="60">
        <f t="array" ref="D52">+MAX(IF('ID1&amp;5'!A:A='1. Status'!A52&amp;'1. Status'!$D$10,'ID1&amp;5'!K:K))</f>
        <v>0</v>
      </c>
      <c r="E52" s="60">
        <f t="array" ref="E52">+MAX(IF('ID1&amp;5'!A:A='1. Status'!A52&amp;'1. Status'!$E$10,'ID1&amp;5'!K:K))</f>
        <v>0</v>
      </c>
      <c r="F52" s="67">
        <f t="array" ref="F52">+MAX(IF('ID1&amp;5'!A:A='1. Status'!A52&amp;'1. Status'!$F$10,'ID1&amp;5'!K:K))</f>
        <v>0</v>
      </c>
      <c r="G52" s="60"/>
      <c r="H52" s="65" t="s">
        <v>321</v>
      </c>
      <c r="I52" s="21" t="s">
        <v>108</v>
      </c>
      <c r="J52" s="26">
        <f>+COUNTIF('ID1&amp;5'!G:G,'1. Status'!I52)</f>
        <v>5</v>
      </c>
      <c r="K52" s="79">
        <f>+IFERROR(VLOOKUP(CONCATENATE(A52,$B$10,B52),'ID1&amp;5'!B:J,8,FALSE),"-")</f>
        <v>1690585</v>
      </c>
      <c r="L52" s="78" t="str">
        <f>+IFERROR(VLOOKUP(B52,'ID1&amp;5'!K:L,2,FALSE),"-")</f>
        <v>2025-02-24 10:27:56.758376000</v>
      </c>
      <c r="M52" s="79">
        <f>+IFERROR(VLOOKUP(CONCATENATE(A52,$B$10,B52),'ID1&amp;5'!B:J,9,FALSE),"-")</f>
        <v>0</v>
      </c>
      <c r="N52" s="79" t="str">
        <f>+IFERROR(VLOOKUP(CONCATENATE(A52,$C$10,C52),'ID1&amp;5'!B:J,8,FALSE),"-")</f>
        <v>-</v>
      </c>
      <c r="O52" s="78" t="str">
        <f>+IFERROR(VLOOKUP(C52,'ID1&amp;5'!K:L,2,FALSE),"-")</f>
        <v>-</v>
      </c>
      <c r="P52" s="79" t="str">
        <f>+IFERROR(VLOOKUP(CONCATENATE(A52,$C$10,C52),'ID1&amp;5'!B:J,9,FALSE),"-")</f>
        <v>-</v>
      </c>
      <c r="Q52" s="78" t="str">
        <f>+IFERROR(VLOOKUP(D52,'ID1&amp;5'!K:L,2,FALSE),"-")</f>
        <v>-</v>
      </c>
      <c r="R52" s="26" t="str">
        <f>+IFERROR(VLOOKUP(CONCATENATE(A52,$D$10,D52),'ID1&amp;5'!B:J,9,FALSE),"-")</f>
        <v>-</v>
      </c>
      <c r="S52" s="78" t="str">
        <f>+IFERROR(VLOOKUP(E52,'ID1&amp;5'!K:L,2,FALSE),"-")</f>
        <v>-</v>
      </c>
      <c r="T52" s="79" t="str">
        <f>+IFERROR(VLOOKUP(CONCATENATE(A52,$E$10,E52),'ID1&amp;5'!B:J,9,FALSE),"-")</f>
        <v>-</v>
      </c>
      <c r="U52" s="78" t="str">
        <f>+IFERROR(VLOOKUP(F52,'ID1&amp;5'!K:L,2,FALSE),"-")</f>
        <v>-</v>
      </c>
      <c r="V52" s="79" t="str">
        <f>+IFERROR(VLOOKUP(CONCATENATE(A52,$F$10,F52),'ID1&amp;5'!B:J,9,FALSE),"-")</f>
        <v>-</v>
      </c>
      <c r="W52" s="26" t="str">
        <f>+IFERROR(VLOOKUP(A52,'ID6&amp;7'!A:I,9,FALSE),"-")</f>
        <v>-</v>
      </c>
      <c r="X52" s="26" t="str">
        <f>+IFERROR(VLOOKUP(A52,'ID6&amp;7'!A:J,10,FALSE),"-")</f>
        <v>-</v>
      </c>
      <c r="Y52" s="26"/>
      <c r="Z52" s="27" t="str">
        <f t="shared" si="1"/>
        <v>Em testes</v>
      </c>
    </row>
    <row r="53" spans="1:26">
      <c r="A53" s="20" t="str">
        <f t="shared" si="0"/>
        <v>INSTR_PROTECTIONDT_RFRNC45657</v>
      </c>
      <c r="B53" s="66">
        <f t="array" ref="B53">+MAX(IF('ID1&amp;5'!A:A='1. Status'!A53&amp;'1. Status'!$B$10,'ID1&amp;5'!K:K))</f>
        <v>0</v>
      </c>
      <c r="C53" s="60">
        <f t="array" ref="C53">+MAX(IF('ID1&amp;5'!A:A='1. Status'!A53&amp;'1. Status'!$C$10,'ID1&amp;5'!K:K))</f>
        <v>0</v>
      </c>
      <c r="D53" s="60">
        <f t="array" ref="D53">+MAX(IF('ID1&amp;5'!A:A='1. Status'!A53&amp;'1. Status'!$D$10,'ID1&amp;5'!K:K))</f>
        <v>0</v>
      </c>
      <c r="E53" s="60">
        <f t="array" ref="E53">+MAX(IF('ID1&amp;5'!A:A='1. Status'!A53&amp;'1. Status'!$E$10,'ID1&amp;5'!K:K))</f>
        <v>0</v>
      </c>
      <c r="F53" s="67">
        <f t="array" ref="F53">+MAX(IF('ID1&amp;5'!A:A='1. Status'!A53&amp;'1. Status'!$F$10,'ID1&amp;5'!K:K))</f>
        <v>0</v>
      </c>
      <c r="G53" s="60"/>
      <c r="H53" s="65" t="s">
        <v>321</v>
      </c>
      <c r="I53" s="21" t="s">
        <v>603</v>
      </c>
      <c r="J53" s="26">
        <f>+COUNTIF('ID1&amp;5'!G:G,'1. Status'!I53)</f>
        <v>0</v>
      </c>
      <c r="K53" s="79" t="str">
        <f>+IFERROR(VLOOKUP(CONCATENATE(A53,$B$10,B53),'ID1&amp;5'!B:J,8,FALSE),"-")</f>
        <v>-</v>
      </c>
      <c r="L53" s="78" t="str">
        <f>+IFERROR(VLOOKUP(B53,'ID1&amp;5'!K:L,2,FALSE),"-")</f>
        <v>-</v>
      </c>
      <c r="M53" s="79" t="str">
        <f>+IFERROR(VLOOKUP(CONCATENATE(A53,$B$10,B53),'ID1&amp;5'!B:J,9,FALSE),"-")</f>
        <v>-</v>
      </c>
      <c r="N53" s="79" t="str">
        <f>+IFERROR(VLOOKUP(CONCATENATE(A53,$C$10,C53),'ID1&amp;5'!B:J,8,FALSE),"-")</f>
        <v>-</v>
      </c>
      <c r="O53" s="78" t="str">
        <f>+IFERROR(VLOOKUP(C53,'ID1&amp;5'!K:L,2,FALSE),"-")</f>
        <v>-</v>
      </c>
      <c r="P53" s="79" t="str">
        <f>+IFERROR(VLOOKUP(CONCATENATE(A53,$C$10,C53),'ID1&amp;5'!B:J,9,FALSE),"-")</f>
        <v>-</v>
      </c>
      <c r="Q53" s="78" t="str">
        <f>+IFERROR(VLOOKUP(D53,'ID1&amp;5'!K:L,2,FALSE),"-")</f>
        <v>-</v>
      </c>
      <c r="R53" s="26" t="str">
        <f>+IFERROR(VLOOKUP(CONCATENATE(A53,$D$10,D53),'ID1&amp;5'!B:J,9,FALSE),"-")</f>
        <v>-</v>
      </c>
      <c r="S53" s="78" t="str">
        <f>+IFERROR(VLOOKUP(E53,'ID1&amp;5'!K:L,2,FALSE),"-")</f>
        <v>-</v>
      </c>
      <c r="T53" s="79" t="str">
        <f>+IFERROR(VLOOKUP(CONCATENATE(A53,$E$10,E53),'ID1&amp;5'!B:J,9,FALSE),"-")</f>
        <v>-</v>
      </c>
      <c r="U53" s="78" t="str">
        <f>+IFERROR(VLOOKUP(F53,'ID1&amp;5'!K:L,2,FALSE),"-")</f>
        <v>-</v>
      </c>
      <c r="V53" s="79" t="str">
        <f>+IFERROR(VLOOKUP(CONCATENATE(A53,$F$10,F53),'ID1&amp;5'!B:J,9,FALSE),"-")</f>
        <v>-</v>
      </c>
      <c r="W53" s="26" t="str">
        <f>+IFERROR(VLOOKUP(A53,'ID6&amp;7'!A:I,9,FALSE),"-")</f>
        <v>-</v>
      </c>
      <c r="X53" s="26" t="str">
        <f>+IFERROR(VLOOKUP(A53,'ID6&amp;7'!A:J,10,FALSE),"-")</f>
        <v>-</v>
      </c>
      <c r="Y53" s="26"/>
      <c r="Z53" s="27" t="str">
        <f t="shared" si="1"/>
        <v>Por iniciar</v>
      </c>
    </row>
    <row r="54" spans="1:26">
      <c r="A54" s="20" t="str">
        <f t="shared" si="0"/>
        <v>INSTR_PROTECTIONPRTCTN_ALLCTD_VL45657</v>
      </c>
      <c r="B54" s="66">
        <f t="array" ref="B54">+MAX(IF('ID1&amp;5'!A:A='1. Status'!A54&amp;'1. Status'!$B$10,'ID1&amp;5'!K:K))</f>
        <v>1</v>
      </c>
      <c r="C54" s="60">
        <f t="array" ref="C54">+MAX(IF('ID1&amp;5'!A:A='1. Status'!A54&amp;'1. Status'!$C$10,'ID1&amp;5'!K:K))</f>
        <v>0</v>
      </c>
      <c r="D54" s="60">
        <f t="array" ref="D54">+MAX(IF('ID1&amp;5'!A:A='1. Status'!A54&amp;'1. Status'!$D$10,'ID1&amp;5'!K:K))</f>
        <v>0</v>
      </c>
      <c r="E54" s="60">
        <f t="array" ref="E54">+MAX(IF('ID1&amp;5'!A:A='1. Status'!A54&amp;'1. Status'!$E$10,'ID1&amp;5'!K:K))</f>
        <v>0</v>
      </c>
      <c r="F54" s="67">
        <f t="array" ref="F54">+MAX(IF('ID1&amp;5'!A:A='1. Status'!A54&amp;'1. Status'!$F$10,'ID1&amp;5'!K:K))</f>
        <v>0</v>
      </c>
      <c r="G54" s="60"/>
      <c r="H54" s="65" t="s">
        <v>321</v>
      </c>
      <c r="I54" s="21" t="s">
        <v>561</v>
      </c>
      <c r="J54" s="26">
        <f>+COUNTIF('ID1&amp;5'!G:G,'1. Status'!I54)</f>
        <v>1</v>
      </c>
      <c r="K54" s="79">
        <f>+IFERROR(VLOOKUP(CONCATENATE(A54,$B$10,B54),'ID1&amp;5'!B:J,8,FALSE),"-")</f>
        <v>1690585</v>
      </c>
      <c r="L54" s="78" t="str">
        <f>+IFERROR(VLOOKUP(B54,'ID1&amp;5'!K:L,2,FALSE),"-")</f>
        <v>2025-02-24 10:27:56.758376000</v>
      </c>
      <c r="M54" s="79">
        <f>+IFERROR(VLOOKUP(CONCATENATE(A54,$B$10,B54),'ID1&amp;5'!B:J,9,FALSE),"-")</f>
        <v>489516</v>
      </c>
      <c r="N54" s="79" t="str">
        <f>+IFERROR(VLOOKUP(CONCATENATE(A54,$C$10,C54),'ID1&amp;5'!B:J,8,FALSE),"-")</f>
        <v>-</v>
      </c>
      <c r="O54" s="78" t="str">
        <f>+IFERROR(VLOOKUP(C54,'ID1&amp;5'!K:L,2,FALSE),"-")</f>
        <v>-</v>
      </c>
      <c r="P54" s="79" t="str">
        <f>+IFERROR(VLOOKUP(CONCATENATE(A54,$C$10,C54),'ID1&amp;5'!B:J,9,FALSE),"-")</f>
        <v>-</v>
      </c>
      <c r="Q54" s="78" t="str">
        <f>+IFERROR(VLOOKUP(D54,'ID1&amp;5'!K:L,2,FALSE),"-")</f>
        <v>-</v>
      </c>
      <c r="R54" s="26" t="str">
        <f>+IFERROR(VLOOKUP(CONCATENATE(A54,$D$10,D54),'ID1&amp;5'!B:J,9,FALSE),"-")</f>
        <v>-</v>
      </c>
      <c r="S54" s="78" t="str">
        <f>+IFERROR(VLOOKUP(E54,'ID1&amp;5'!K:L,2,FALSE),"-")</f>
        <v>-</v>
      </c>
      <c r="T54" s="79" t="str">
        <f>+IFERROR(VLOOKUP(CONCATENATE(A54,$E$10,E54),'ID1&amp;5'!B:J,9,FALSE),"-")</f>
        <v>-</v>
      </c>
      <c r="U54" s="78" t="str">
        <f>+IFERROR(VLOOKUP(F54,'ID1&amp;5'!K:L,2,FALSE),"-")</f>
        <v>-</v>
      </c>
      <c r="V54" s="79" t="str">
        <f>+IFERROR(VLOOKUP(CONCATENATE(A54,$F$10,F54),'ID1&amp;5'!B:J,9,FALSE),"-")</f>
        <v>-</v>
      </c>
      <c r="W54" s="26" t="str">
        <f>+IFERROR(VLOOKUP(A54,'ID6&amp;7'!A:I,9,FALSE),"-")</f>
        <v>-</v>
      </c>
      <c r="X54" s="26" t="str">
        <f>+IFERROR(VLOOKUP(A54,'ID6&amp;7'!A:J,10,FALSE),"-")</f>
        <v>-</v>
      </c>
      <c r="Y54" s="26"/>
      <c r="Z54" s="27" t="str">
        <f t="shared" si="1"/>
        <v>Em testes</v>
      </c>
    </row>
    <row r="55" spans="1:26">
      <c r="A55" s="20" t="str">
        <f t="shared" si="0"/>
        <v>PROTECTIONCOD_SOC45657</v>
      </c>
      <c r="B55" s="66">
        <f t="array" ref="B55">+MAX(IF('ID1&amp;5'!A:A='1. Status'!A55&amp;'1. Status'!$B$10,'ID1&amp;5'!K:K))</f>
        <v>1</v>
      </c>
      <c r="C55" s="60">
        <f t="array" ref="C55">+MAX(IF('ID1&amp;5'!A:A='1. Status'!A55&amp;'1. Status'!$C$10,'ID1&amp;5'!K:K))</f>
        <v>0</v>
      </c>
      <c r="D55" s="60">
        <f t="array" ref="D55">+MAX(IF('ID1&amp;5'!A:A='1. Status'!A55&amp;'1. Status'!$D$10,'ID1&amp;5'!K:K))</f>
        <v>0</v>
      </c>
      <c r="E55" s="60">
        <f t="array" ref="E55">+MAX(IF('ID1&amp;5'!A:A='1. Status'!A55&amp;'1. Status'!$E$10,'ID1&amp;5'!K:K))</f>
        <v>0</v>
      </c>
      <c r="F55" s="67">
        <f t="array" ref="F55">+MAX(IF('ID1&amp;5'!A:A='1. Status'!A55&amp;'1. Status'!$F$10,'ID1&amp;5'!K:K))</f>
        <v>0</v>
      </c>
      <c r="G55" s="60"/>
      <c r="H55" s="65" t="s">
        <v>127</v>
      </c>
      <c r="I55" s="21" t="s">
        <v>108</v>
      </c>
      <c r="J55" s="26">
        <f>+COUNTIF('ID1&amp;5'!G:G,'1. Status'!I55)</f>
        <v>5</v>
      </c>
      <c r="K55" s="79">
        <f>+IFERROR(VLOOKUP(CONCATENATE(A55,$B$10,B55),'ID1&amp;5'!B:J,8,FALSE),"-")</f>
        <v>444990</v>
      </c>
      <c r="L55" s="78" t="str">
        <f>+IFERROR(VLOOKUP(B55,'ID1&amp;5'!K:L,2,FALSE),"-")</f>
        <v>2025-02-24 10:27:56.758376000</v>
      </c>
      <c r="M55" s="79">
        <f>+IFERROR(VLOOKUP(CONCATENATE(A55,$B$10,B55),'ID1&amp;5'!B:J,9,FALSE),"-")</f>
        <v>0</v>
      </c>
      <c r="N55" s="79" t="str">
        <f>+IFERROR(VLOOKUP(CONCATENATE(A55,$C$10,C55),'ID1&amp;5'!B:J,8,FALSE),"-")</f>
        <v>-</v>
      </c>
      <c r="O55" s="78" t="str">
        <f>+IFERROR(VLOOKUP(C55,'ID1&amp;5'!K:L,2,FALSE),"-")</f>
        <v>-</v>
      </c>
      <c r="P55" s="79" t="str">
        <f>+IFERROR(VLOOKUP(CONCATENATE(A55,$C$10,C55),'ID1&amp;5'!B:J,9,FALSE),"-")</f>
        <v>-</v>
      </c>
      <c r="Q55" s="78" t="str">
        <f>+IFERROR(VLOOKUP(D55,'ID1&amp;5'!K:L,2,FALSE),"-")</f>
        <v>-</v>
      </c>
      <c r="R55" s="26" t="str">
        <f>+IFERROR(VLOOKUP(CONCATENATE(A55,$D$10,D55),'ID1&amp;5'!B:J,9,FALSE),"-")</f>
        <v>-</v>
      </c>
      <c r="S55" s="78" t="str">
        <f>+IFERROR(VLOOKUP(E55,'ID1&amp;5'!K:L,2,FALSE),"-")</f>
        <v>-</v>
      </c>
      <c r="T55" s="79" t="str">
        <f>+IFERROR(VLOOKUP(CONCATENATE(A55,$E$10,E55),'ID1&amp;5'!B:J,9,FALSE),"-")</f>
        <v>-</v>
      </c>
      <c r="U55" s="78" t="str">
        <f>+IFERROR(VLOOKUP(F55,'ID1&amp;5'!K:L,2,FALSE),"-")</f>
        <v>-</v>
      </c>
      <c r="V55" s="79" t="str">
        <f>+IFERROR(VLOOKUP(CONCATENATE(A55,$F$10,F55),'ID1&amp;5'!B:J,9,FALSE),"-")</f>
        <v>-</v>
      </c>
      <c r="W55" s="26" t="str">
        <f>+IFERROR(VLOOKUP(A55,'ID6&amp;7'!A:I,9,FALSE),"-")</f>
        <v>-</v>
      </c>
      <c r="X55" s="26" t="str">
        <f>+IFERROR(VLOOKUP(A55,'ID6&amp;7'!A:J,10,FALSE),"-")</f>
        <v>-</v>
      </c>
      <c r="Y55" s="26"/>
      <c r="Z55" s="27" t="str">
        <f t="shared" si="1"/>
        <v>Em testes</v>
      </c>
    </row>
    <row r="56" spans="1:26">
      <c r="A56" s="20" t="str">
        <f t="shared" si="0"/>
        <v>PROTECTIONDT_RFRNC45657</v>
      </c>
      <c r="B56" s="66">
        <f t="array" ref="B56">+MAX(IF('ID1&amp;5'!A:A='1. Status'!A56&amp;'1. Status'!$B$10,'ID1&amp;5'!K:K))</f>
        <v>0</v>
      </c>
      <c r="C56" s="60">
        <f t="array" ref="C56">+MAX(IF('ID1&amp;5'!A:A='1. Status'!A56&amp;'1. Status'!$C$10,'ID1&amp;5'!K:K))</f>
        <v>0</v>
      </c>
      <c r="D56" s="60">
        <f t="array" ref="D56">+MAX(IF('ID1&amp;5'!A:A='1. Status'!A56&amp;'1. Status'!$D$10,'ID1&amp;5'!K:K))</f>
        <v>0</v>
      </c>
      <c r="E56" s="60">
        <f t="array" ref="E56">+MAX(IF('ID1&amp;5'!A:A='1. Status'!A56&amp;'1. Status'!$E$10,'ID1&amp;5'!K:K))</f>
        <v>0</v>
      </c>
      <c r="F56" s="67">
        <f t="array" ref="F56">+MAX(IF('ID1&amp;5'!A:A='1. Status'!A56&amp;'1. Status'!$F$10,'ID1&amp;5'!K:K))</f>
        <v>0</v>
      </c>
      <c r="G56" s="60"/>
      <c r="H56" s="65" t="s">
        <v>127</v>
      </c>
      <c r="I56" s="21" t="s">
        <v>603</v>
      </c>
      <c r="J56" s="26">
        <f>+COUNTIF('ID1&amp;5'!G:G,'1. Status'!I56)</f>
        <v>0</v>
      </c>
      <c r="K56" s="79" t="str">
        <f>+IFERROR(VLOOKUP(CONCATENATE(A56,$B$10,B56),'ID1&amp;5'!B:J,8,FALSE),"-")</f>
        <v>-</v>
      </c>
      <c r="L56" s="78" t="str">
        <f>+IFERROR(VLOOKUP(B56,'ID1&amp;5'!K:L,2,FALSE),"-")</f>
        <v>-</v>
      </c>
      <c r="M56" s="79" t="str">
        <f>+IFERROR(VLOOKUP(CONCATENATE(A56,$B$10,B56),'ID1&amp;5'!B:J,9,FALSE),"-")</f>
        <v>-</v>
      </c>
      <c r="N56" s="79" t="str">
        <f>+IFERROR(VLOOKUP(CONCATENATE(A56,$C$10,C56),'ID1&amp;5'!B:J,8,FALSE),"-")</f>
        <v>-</v>
      </c>
      <c r="O56" s="78" t="str">
        <f>+IFERROR(VLOOKUP(C56,'ID1&amp;5'!K:L,2,FALSE),"-")</f>
        <v>-</v>
      </c>
      <c r="P56" s="79" t="str">
        <f>+IFERROR(VLOOKUP(CONCATENATE(A56,$C$10,C56),'ID1&amp;5'!B:J,9,FALSE),"-")</f>
        <v>-</v>
      </c>
      <c r="Q56" s="78" t="str">
        <f>+IFERROR(VLOOKUP(D56,'ID1&amp;5'!K:L,2,FALSE),"-")</f>
        <v>-</v>
      </c>
      <c r="R56" s="26" t="str">
        <f>+IFERROR(VLOOKUP(CONCATENATE(A56,$D$10,D56),'ID1&amp;5'!B:J,9,FALSE),"-")</f>
        <v>-</v>
      </c>
      <c r="S56" s="78" t="str">
        <f>+IFERROR(VLOOKUP(E56,'ID1&amp;5'!K:L,2,FALSE),"-")</f>
        <v>-</v>
      </c>
      <c r="T56" s="79" t="str">
        <f>+IFERROR(VLOOKUP(CONCATENATE(A56,$E$10,E56),'ID1&amp;5'!B:J,9,FALSE),"-")</f>
        <v>-</v>
      </c>
      <c r="U56" s="78" t="str">
        <f>+IFERROR(VLOOKUP(F56,'ID1&amp;5'!K:L,2,FALSE),"-")</f>
        <v>-</v>
      </c>
      <c r="V56" s="79" t="str">
        <f>+IFERROR(VLOOKUP(CONCATENATE(A56,$F$10,F56),'ID1&amp;5'!B:J,9,FALSE),"-")</f>
        <v>-</v>
      </c>
      <c r="W56" s="26" t="str">
        <f>+IFERROR(VLOOKUP(A56,'ID6&amp;7'!A:I,9,FALSE),"-")</f>
        <v>-</v>
      </c>
      <c r="X56" s="26" t="str">
        <f>+IFERROR(VLOOKUP(A56,'ID6&amp;7'!A:J,10,FALSE),"-")</f>
        <v>-</v>
      </c>
      <c r="Y56" s="26"/>
      <c r="Z56" s="27" t="str">
        <f t="shared" si="1"/>
        <v>Por iniciar</v>
      </c>
    </row>
    <row r="57" spans="1:26">
      <c r="A57" s="20" t="str">
        <f t="shared" si="0"/>
        <v>PROTECTIONRL_ESTT_CLLTRL_LCTN45657</v>
      </c>
      <c r="B57" s="66">
        <f t="array" ref="B57">+MAX(IF('ID1&amp;5'!A:A='1. Status'!A57&amp;'1. Status'!$B$10,'ID1&amp;5'!K:K))</f>
        <v>1</v>
      </c>
      <c r="C57" s="60">
        <f t="array" ref="C57">+MAX(IF('ID1&amp;5'!A:A='1. Status'!A57&amp;'1. Status'!$C$10,'ID1&amp;5'!K:K))</f>
        <v>0</v>
      </c>
      <c r="D57" s="60">
        <f t="array" ref="D57">+MAX(IF('ID1&amp;5'!A:A='1. Status'!A57&amp;'1. Status'!$D$10,'ID1&amp;5'!K:K))</f>
        <v>0</v>
      </c>
      <c r="E57" s="60">
        <f t="array" ref="E57">+MAX(IF('ID1&amp;5'!A:A='1. Status'!A57&amp;'1. Status'!$E$10,'ID1&amp;5'!K:K))</f>
        <v>0</v>
      </c>
      <c r="F57" s="67">
        <f t="array" ref="F57">+MAX(IF('ID1&amp;5'!A:A='1. Status'!A57&amp;'1. Status'!$F$10,'ID1&amp;5'!K:K))</f>
        <v>0</v>
      </c>
      <c r="G57" s="60"/>
      <c r="H57" s="65" t="s">
        <v>127</v>
      </c>
      <c r="I57" s="21" t="s">
        <v>120</v>
      </c>
      <c r="J57" s="26">
        <f>+COUNTIF('ID1&amp;5'!G:G,'1. Status'!I57)</f>
        <v>1</v>
      </c>
      <c r="K57" s="79">
        <f>+IFERROR(VLOOKUP(CONCATENATE(A57,$B$10,B57),'ID1&amp;5'!B:J,8,FALSE),"-")</f>
        <v>444990</v>
      </c>
      <c r="L57" s="78" t="str">
        <f>+IFERROR(VLOOKUP(B57,'ID1&amp;5'!K:L,2,FALSE),"-")</f>
        <v>2025-02-24 10:27:56.758376000</v>
      </c>
      <c r="M57" s="79">
        <f>+IFERROR(VLOOKUP(CONCATENATE(A57,$B$10,B57),'ID1&amp;5'!B:J,9,FALSE),"-")</f>
        <v>0</v>
      </c>
      <c r="N57" s="79" t="str">
        <f>+IFERROR(VLOOKUP(CONCATENATE(A57,$C$10,C57),'ID1&amp;5'!B:J,8,FALSE),"-")</f>
        <v>-</v>
      </c>
      <c r="O57" s="78" t="str">
        <f>+IFERROR(VLOOKUP(C57,'ID1&amp;5'!K:L,2,FALSE),"-")</f>
        <v>-</v>
      </c>
      <c r="P57" s="79" t="str">
        <f>+IFERROR(VLOOKUP(CONCATENATE(A57,$C$10,C57),'ID1&amp;5'!B:J,9,FALSE),"-")</f>
        <v>-</v>
      </c>
      <c r="Q57" s="78" t="str">
        <f>+IFERROR(VLOOKUP(D57,'ID1&amp;5'!K:L,2,FALSE),"-")</f>
        <v>-</v>
      </c>
      <c r="R57" s="26" t="str">
        <f>+IFERROR(VLOOKUP(CONCATENATE(A57,$D$10,D57),'ID1&amp;5'!B:J,9,FALSE),"-")</f>
        <v>-</v>
      </c>
      <c r="S57" s="78" t="str">
        <f>+IFERROR(VLOOKUP(E57,'ID1&amp;5'!K:L,2,FALSE),"-")</f>
        <v>-</v>
      </c>
      <c r="T57" s="79" t="str">
        <f>+IFERROR(VLOOKUP(CONCATENATE(A57,$E$10,E57),'ID1&amp;5'!B:J,9,FALSE),"-")</f>
        <v>-</v>
      </c>
      <c r="U57" s="78" t="str">
        <f>+IFERROR(VLOOKUP(F57,'ID1&amp;5'!K:L,2,FALSE),"-")</f>
        <v>-</v>
      </c>
      <c r="V57" s="79" t="str">
        <f>+IFERROR(VLOOKUP(CONCATENATE(A57,$F$10,F57),'ID1&amp;5'!B:J,9,FALSE),"-")</f>
        <v>-</v>
      </c>
      <c r="W57" s="26" t="str">
        <f>+IFERROR(VLOOKUP(A57,'ID6&amp;7'!A:I,9,FALSE),"-")</f>
        <v>-</v>
      </c>
      <c r="X57" s="26" t="str">
        <f>+IFERROR(VLOOKUP(A57,'ID6&amp;7'!A:J,10,FALSE),"-")</f>
        <v>-</v>
      </c>
      <c r="Y57" s="26"/>
      <c r="Z57" s="27" t="str">
        <f t="shared" si="1"/>
        <v>Em testes</v>
      </c>
    </row>
    <row r="58" spans="1:26">
      <c r="A58" s="20" t="str">
        <f t="shared" si="0"/>
        <v>PROTECTIONRL_ESTT_PST_CD45657</v>
      </c>
      <c r="B58" s="66">
        <f t="array" ref="B58">+MAX(IF('ID1&amp;5'!A:A='1. Status'!A58&amp;'1. Status'!$B$10,'ID1&amp;5'!K:K))</f>
        <v>1</v>
      </c>
      <c r="C58" s="60">
        <f t="array" ref="C58">+MAX(IF('ID1&amp;5'!A:A='1. Status'!A58&amp;'1. Status'!$C$10,'ID1&amp;5'!K:K))</f>
        <v>0</v>
      </c>
      <c r="D58" s="60">
        <f t="array" ref="D58">+MAX(IF('ID1&amp;5'!A:A='1. Status'!A58&amp;'1. Status'!$D$10,'ID1&amp;5'!K:K))</f>
        <v>0</v>
      </c>
      <c r="E58" s="60">
        <f t="array" ref="E58">+MAX(IF('ID1&amp;5'!A:A='1. Status'!A58&amp;'1. Status'!$E$10,'ID1&amp;5'!K:K))</f>
        <v>0</v>
      </c>
      <c r="F58" s="67">
        <f t="array" ref="F58">+MAX(IF('ID1&amp;5'!A:A='1. Status'!A58&amp;'1. Status'!$F$10,'ID1&amp;5'!K:K))</f>
        <v>0</v>
      </c>
      <c r="G58" s="60"/>
      <c r="H58" s="65" t="s">
        <v>127</v>
      </c>
      <c r="I58" s="21" t="s">
        <v>121</v>
      </c>
      <c r="J58" s="26">
        <f>+COUNTIF('ID1&amp;5'!G:G,'1. Status'!I58)</f>
        <v>1</v>
      </c>
      <c r="K58" s="79">
        <f>+IFERROR(VLOOKUP(CONCATENATE(A58,$B$10,B58),'ID1&amp;5'!B:J,8,FALSE),"-")</f>
        <v>444990</v>
      </c>
      <c r="L58" s="78" t="str">
        <f>+IFERROR(VLOOKUP(B58,'ID1&amp;5'!K:L,2,FALSE),"-")</f>
        <v>2025-02-24 10:27:56.758376000</v>
      </c>
      <c r="M58" s="79">
        <f>+IFERROR(VLOOKUP(CONCATENATE(A58,$B$10,B58),'ID1&amp;5'!B:J,9,FALSE),"-")</f>
        <v>0</v>
      </c>
      <c r="N58" s="79" t="str">
        <f>+IFERROR(VLOOKUP(CONCATENATE(A58,$C$10,C58),'ID1&amp;5'!B:J,8,FALSE),"-")</f>
        <v>-</v>
      </c>
      <c r="O58" s="78" t="str">
        <f>+IFERROR(VLOOKUP(C58,'ID1&amp;5'!K:L,2,FALSE),"-")</f>
        <v>-</v>
      </c>
      <c r="P58" s="79" t="str">
        <f>+IFERROR(VLOOKUP(CONCATENATE(A58,$C$10,C58),'ID1&amp;5'!B:J,9,FALSE),"-")</f>
        <v>-</v>
      </c>
      <c r="Q58" s="78" t="str">
        <f>+IFERROR(VLOOKUP(D58,'ID1&amp;5'!K:L,2,FALSE),"-")</f>
        <v>-</v>
      </c>
      <c r="R58" s="26" t="str">
        <f>+IFERROR(VLOOKUP(CONCATENATE(A58,$D$10,D58),'ID1&amp;5'!B:J,9,FALSE),"-")</f>
        <v>-</v>
      </c>
      <c r="S58" s="78" t="str">
        <f>+IFERROR(VLOOKUP(E58,'ID1&amp;5'!K:L,2,FALSE),"-")</f>
        <v>-</v>
      </c>
      <c r="T58" s="79" t="str">
        <f>+IFERROR(VLOOKUP(CONCATENATE(A58,$E$10,E58),'ID1&amp;5'!B:J,9,FALSE),"-")</f>
        <v>-</v>
      </c>
      <c r="U58" s="78" t="str">
        <f>+IFERROR(VLOOKUP(F58,'ID1&amp;5'!K:L,2,FALSE),"-")</f>
        <v>-</v>
      </c>
      <c r="V58" s="79" t="str">
        <f>+IFERROR(VLOOKUP(CONCATENATE(A58,$F$10,F58),'ID1&amp;5'!B:J,9,FALSE),"-")</f>
        <v>-</v>
      </c>
      <c r="W58" s="26" t="str">
        <f>+IFERROR(VLOOKUP(A58,'ID6&amp;7'!A:I,9,FALSE),"-")</f>
        <v>-</v>
      </c>
      <c r="X58" s="26" t="str">
        <f>+IFERROR(VLOOKUP(A58,'ID6&amp;7'!A:J,10,FALSE),"-")</f>
        <v>-</v>
      </c>
      <c r="Y58" s="26"/>
      <c r="Z58" s="27" t="str">
        <f t="shared" si="1"/>
        <v>Em testes</v>
      </c>
    </row>
    <row r="59" spans="1:26">
      <c r="A59" s="20" t="str">
        <f t="shared" si="0"/>
        <v>PROTECTIONTYP_PRTCTN45657</v>
      </c>
      <c r="B59" s="66">
        <f t="array" ref="B59">+MAX(IF('ID1&amp;5'!A:A='1. Status'!A59&amp;'1. Status'!$B$10,'ID1&amp;5'!K:K))</f>
        <v>1</v>
      </c>
      <c r="C59" s="60">
        <f t="array" ref="C59">+MAX(IF('ID1&amp;5'!A:A='1. Status'!A59&amp;'1. Status'!$C$10,'ID1&amp;5'!K:K))</f>
        <v>0</v>
      </c>
      <c r="D59" s="60">
        <f t="array" ref="D59">+MAX(IF('ID1&amp;5'!A:A='1. Status'!A59&amp;'1. Status'!$D$10,'ID1&amp;5'!K:K))</f>
        <v>0</v>
      </c>
      <c r="E59" s="60">
        <f t="array" ref="E59">+MAX(IF('ID1&amp;5'!A:A='1. Status'!A59&amp;'1. Status'!$E$10,'ID1&amp;5'!K:K))</f>
        <v>0</v>
      </c>
      <c r="F59" s="67">
        <f t="array" ref="F59">+MAX(IF('ID1&amp;5'!A:A='1. Status'!A59&amp;'1. Status'!$F$10,'ID1&amp;5'!K:K))</f>
        <v>0</v>
      </c>
      <c r="G59" s="60"/>
      <c r="H59" s="65" t="s">
        <v>127</v>
      </c>
      <c r="I59" s="21" t="s">
        <v>122</v>
      </c>
      <c r="J59" s="26">
        <f>+COUNTIF('ID1&amp;5'!G:G,'1. Status'!I59)</f>
        <v>1</v>
      </c>
      <c r="K59" s="79">
        <f>+IFERROR(VLOOKUP(CONCATENATE(A59,$B$10,B59),'ID1&amp;5'!B:J,8,FALSE),"-")</f>
        <v>444990</v>
      </c>
      <c r="L59" s="78" t="str">
        <f>+IFERROR(VLOOKUP(B59,'ID1&amp;5'!K:L,2,FALSE),"-")</f>
        <v>2025-02-24 10:27:56.758376000</v>
      </c>
      <c r="M59" s="79">
        <f>+IFERROR(VLOOKUP(CONCATENATE(A59,$B$10,B59),'ID1&amp;5'!B:J,9,FALSE),"-")</f>
        <v>0</v>
      </c>
      <c r="N59" s="79" t="str">
        <f>+IFERROR(VLOOKUP(CONCATENATE(A59,$C$10,C59),'ID1&amp;5'!B:J,8,FALSE),"-")</f>
        <v>-</v>
      </c>
      <c r="O59" s="78" t="str">
        <f>+IFERROR(VLOOKUP(C59,'ID1&amp;5'!K:L,2,FALSE),"-")</f>
        <v>-</v>
      </c>
      <c r="P59" s="79" t="str">
        <f>+IFERROR(VLOOKUP(CONCATENATE(A59,$C$10,C59),'ID1&amp;5'!B:J,9,FALSE),"-")</f>
        <v>-</v>
      </c>
      <c r="Q59" s="78" t="str">
        <f>+IFERROR(VLOOKUP(D59,'ID1&amp;5'!K:L,2,FALSE),"-")</f>
        <v>-</v>
      </c>
      <c r="R59" s="26" t="str">
        <f>+IFERROR(VLOOKUP(CONCATENATE(A59,$D$10,D59),'ID1&amp;5'!B:J,9,FALSE),"-")</f>
        <v>-</v>
      </c>
      <c r="S59" s="78" t="str">
        <f>+IFERROR(VLOOKUP(E59,'ID1&amp;5'!K:L,2,FALSE),"-")</f>
        <v>-</v>
      </c>
      <c r="T59" s="79" t="str">
        <f>+IFERROR(VLOOKUP(CONCATENATE(A59,$E$10,E59),'ID1&amp;5'!B:J,9,FALSE),"-")</f>
        <v>-</v>
      </c>
      <c r="U59" s="78" t="str">
        <f>+IFERROR(VLOOKUP(F59,'ID1&amp;5'!K:L,2,FALSE),"-")</f>
        <v>-</v>
      </c>
      <c r="V59" s="79" t="str">
        <f>+IFERROR(VLOOKUP(CONCATENATE(A59,$F$10,F59),'ID1&amp;5'!B:J,9,FALSE),"-")</f>
        <v>-</v>
      </c>
      <c r="W59" s="26" t="str">
        <f>+IFERROR(VLOOKUP(A59,'ID6&amp;7'!A:I,9,FALSE),"-")</f>
        <v>-</v>
      </c>
      <c r="X59" s="26" t="str">
        <f>+IFERROR(VLOOKUP(A59,'ID6&amp;7'!A:J,10,FALSE),"-")</f>
        <v>-</v>
      </c>
      <c r="Y59" s="26"/>
      <c r="Z59" s="27" t="str">
        <f t="shared" si="1"/>
        <v>Em testes</v>
      </c>
    </row>
    <row r="60" spans="1:26">
      <c r="A60" s="20" t="str">
        <f t="shared" si="0"/>
        <v>PROTECTIONORGNL_PRTCTN_VL45657</v>
      </c>
      <c r="B60" s="66">
        <f t="array" ref="B60">+MAX(IF('ID1&amp;5'!A:A='1. Status'!A60&amp;'1. Status'!$B$10,'ID1&amp;5'!K:K))</f>
        <v>1</v>
      </c>
      <c r="C60" s="60">
        <f t="array" ref="C60">+MAX(IF('ID1&amp;5'!A:A='1. Status'!A60&amp;'1. Status'!$C$10,'ID1&amp;5'!K:K))</f>
        <v>0</v>
      </c>
      <c r="D60" s="60">
        <f t="array" ref="D60">+MAX(IF('ID1&amp;5'!A:A='1. Status'!A60&amp;'1. Status'!$D$10,'ID1&amp;5'!K:K))</f>
        <v>0</v>
      </c>
      <c r="E60" s="60">
        <f t="array" ref="E60">+MAX(IF('ID1&amp;5'!A:A='1. Status'!A60&amp;'1. Status'!$E$10,'ID1&amp;5'!K:K))</f>
        <v>0</v>
      </c>
      <c r="F60" s="67">
        <f t="array" ref="F60">+MAX(IF('ID1&amp;5'!A:A='1. Status'!A60&amp;'1. Status'!$F$10,'ID1&amp;5'!K:K))</f>
        <v>0</v>
      </c>
      <c r="G60" s="60"/>
      <c r="H60" s="65" t="s">
        <v>127</v>
      </c>
      <c r="I60" s="21" t="s">
        <v>123</v>
      </c>
      <c r="J60" s="26">
        <f>+COUNTIF('ID1&amp;5'!G:G,'1. Status'!I60)</f>
        <v>1</v>
      </c>
      <c r="K60" s="79">
        <f>+IFERROR(VLOOKUP(CONCATENATE(A60,$B$10,B60),'ID1&amp;5'!B:J,8,FALSE),"-")</f>
        <v>444990</v>
      </c>
      <c r="L60" s="78" t="str">
        <f>+IFERROR(VLOOKUP(B60,'ID1&amp;5'!K:L,2,FALSE),"-")</f>
        <v>2025-02-24 10:27:56.758376000</v>
      </c>
      <c r="M60" s="79">
        <f>+IFERROR(VLOOKUP(CONCATENATE(A60,$B$10,B60),'ID1&amp;5'!B:J,9,FALSE),"-")</f>
        <v>277641</v>
      </c>
      <c r="N60" s="79" t="str">
        <f>+IFERROR(VLOOKUP(CONCATENATE(A60,$C$10,C60),'ID1&amp;5'!B:J,8,FALSE),"-")</f>
        <v>-</v>
      </c>
      <c r="O60" s="78" t="str">
        <f>+IFERROR(VLOOKUP(C60,'ID1&amp;5'!K:L,2,FALSE),"-")</f>
        <v>-</v>
      </c>
      <c r="P60" s="79" t="str">
        <f>+IFERROR(VLOOKUP(CONCATENATE(A60,$C$10,C60),'ID1&amp;5'!B:J,9,FALSE),"-")</f>
        <v>-</v>
      </c>
      <c r="Q60" s="78" t="str">
        <f>+IFERROR(VLOOKUP(D60,'ID1&amp;5'!K:L,2,FALSE),"-")</f>
        <v>-</v>
      </c>
      <c r="R60" s="26" t="str">
        <f>+IFERROR(VLOOKUP(CONCATENATE(A60,$D$10,D60),'ID1&amp;5'!B:J,9,FALSE),"-")</f>
        <v>-</v>
      </c>
      <c r="S60" s="78" t="str">
        <f>+IFERROR(VLOOKUP(E60,'ID1&amp;5'!K:L,2,FALSE),"-")</f>
        <v>-</v>
      </c>
      <c r="T60" s="79" t="str">
        <f>+IFERROR(VLOOKUP(CONCATENATE(A60,$E$10,E60),'ID1&amp;5'!B:J,9,FALSE),"-")</f>
        <v>-</v>
      </c>
      <c r="U60" s="78" t="str">
        <f>+IFERROR(VLOOKUP(F60,'ID1&amp;5'!K:L,2,FALSE),"-")</f>
        <v>-</v>
      </c>
      <c r="V60" s="79" t="str">
        <f>+IFERROR(VLOOKUP(CONCATENATE(A60,$F$10,F60),'ID1&amp;5'!B:J,9,FALSE),"-")</f>
        <v>-</v>
      </c>
      <c r="W60" s="26" t="str">
        <f>+IFERROR(VLOOKUP(A60,'ID6&amp;7'!A:I,9,FALSE),"-")</f>
        <v>-</v>
      </c>
      <c r="X60" s="26" t="str">
        <f>+IFERROR(VLOOKUP(A60,'ID6&amp;7'!A:J,10,FALSE),"-")</f>
        <v>-</v>
      </c>
      <c r="Y60" s="26"/>
      <c r="Z60" s="27" t="str">
        <f t="shared" si="1"/>
        <v>Em testes</v>
      </c>
    </row>
    <row r="61" spans="1:26">
      <c r="A61" s="20" t="str">
        <f t="shared" si="0"/>
        <v>PROTECTIONPRTCTN_VL45657</v>
      </c>
      <c r="B61" s="66">
        <f t="array" ref="B61">+MAX(IF('ID1&amp;5'!A:A='1. Status'!A61&amp;'1. Status'!$B$10,'ID1&amp;5'!K:K))</f>
        <v>1</v>
      </c>
      <c r="C61" s="60">
        <f t="array" ref="C61">+MAX(IF('ID1&amp;5'!A:A='1. Status'!A61&amp;'1. Status'!$C$10,'ID1&amp;5'!K:K))</f>
        <v>0</v>
      </c>
      <c r="D61" s="60">
        <f t="array" ref="D61">+MAX(IF('ID1&amp;5'!A:A='1. Status'!A61&amp;'1. Status'!$D$10,'ID1&amp;5'!K:K))</f>
        <v>0</v>
      </c>
      <c r="E61" s="60">
        <f t="array" ref="E61">+MAX(IF('ID1&amp;5'!A:A='1. Status'!A61&amp;'1. Status'!$E$10,'ID1&amp;5'!K:K))</f>
        <v>0</v>
      </c>
      <c r="F61" s="67">
        <f t="array" ref="F61">+MAX(IF('ID1&amp;5'!A:A='1. Status'!A61&amp;'1. Status'!$F$10,'ID1&amp;5'!K:K))</f>
        <v>0</v>
      </c>
      <c r="G61" s="60"/>
      <c r="H61" s="65" t="s">
        <v>127</v>
      </c>
      <c r="I61" s="21" t="s">
        <v>124</v>
      </c>
      <c r="J61" s="26">
        <f>+COUNTIF('ID1&amp;5'!G:G,'1. Status'!I61)</f>
        <v>1</v>
      </c>
      <c r="K61" s="79">
        <f>+IFERROR(VLOOKUP(CONCATENATE(A61,$B$10,B61),'ID1&amp;5'!B:J,8,FALSE),"-")</f>
        <v>444990</v>
      </c>
      <c r="L61" s="78" t="str">
        <f>+IFERROR(VLOOKUP(B61,'ID1&amp;5'!K:L,2,FALSE),"-")</f>
        <v>2025-02-24 10:27:56.758376000</v>
      </c>
      <c r="M61" s="79">
        <f>+IFERROR(VLOOKUP(CONCATENATE(A61,$B$10,B61),'ID1&amp;5'!B:J,9,FALSE),"-")</f>
        <v>0</v>
      </c>
      <c r="N61" s="79" t="str">
        <f>+IFERROR(VLOOKUP(CONCATENATE(A61,$C$10,C61),'ID1&amp;5'!B:J,8,FALSE),"-")</f>
        <v>-</v>
      </c>
      <c r="O61" s="78" t="str">
        <f>+IFERROR(VLOOKUP(C61,'ID1&amp;5'!K:L,2,FALSE),"-")</f>
        <v>-</v>
      </c>
      <c r="P61" s="79" t="str">
        <f>+IFERROR(VLOOKUP(CONCATENATE(A61,$C$10,C61),'ID1&amp;5'!B:J,9,FALSE),"-")</f>
        <v>-</v>
      </c>
      <c r="Q61" s="78" t="str">
        <f>+IFERROR(VLOOKUP(D61,'ID1&amp;5'!K:L,2,FALSE),"-")</f>
        <v>-</v>
      </c>
      <c r="R61" s="26" t="str">
        <f>+IFERROR(VLOOKUP(CONCATENATE(A61,$D$10,D61),'ID1&amp;5'!B:J,9,FALSE),"-")</f>
        <v>-</v>
      </c>
      <c r="S61" s="78" t="str">
        <f>+IFERROR(VLOOKUP(E61,'ID1&amp;5'!K:L,2,FALSE),"-")</f>
        <v>-</v>
      </c>
      <c r="T61" s="79" t="str">
        <f>+IFERROR(VLOOKUP(CONCATENATE(A61,$E$10,E61),'ID1&amp;5'!B:J,9,FALSE),"-")</f>
        <v>-</v>
      </c>
      <c r="U61" s="78" t="str">
        <f>+IFERROR(VLOOKUP(F61,'ID1&amp;5'!K:L,2,FALSE),"-")</f>
        <v>-</v>
      </c>
      <c r="V61" s="79" t="str">
        <f>+IFERROR(VLOOKUP(CONCATENATE(A61,$F$10,F61),'ID1&amp;5'!B:J,9,FALSE),"-")</f>
        <v>-</v>
      </c>
      <c r="W61" s="26" t="str">
        <f>+IFERROR(VLOOKUP(A61,'ID6&amp;7'!A:I,9,FALSE),"-")</f>
        <v>-</v>
      </c>
      <c r="X61" s="26" t="str">
        <f>+IFERROR(VLOOKUP(A61,'ID6&amp;7'!A:J,10,FALSE),"-")</f>
        <v>-</v>
      </c>
      <c r="Y61" s="26"/>
      <c r="Z61" s="27" t="str">
        <f t="shared" si="1"/>
        <v>Em testes</v>
      </c>
    </row>
    <row r="62" spans="1:26">
      <c r="A62" s="20" t="str">
        <f t="shared" si="0"/>
        <v>PROTECTIONYR_CNSTRCTN45657</v>
      </c>
      <c r="B62" s="66">
        <f t="array" ref="B62">+MAX(IF('ID1&amp;5'!A:A='1. Status'!A62&amp;'1. Status'!$B$10,'ID1&amp;5'!K:K))</f>
        <v>1</v>
      </c>
      <c r="C62" s="60">
        <f t="array" ref="C62">+MAX(IF('ID1&amp;5'!A:A='1. Status'!A62&amp;'1. Status'!$C$10,'ID1&amp;5'!K:K))</f>
        <v>0</v>
      </c>
      <c r="D62" s="60">
        <f t="array" ref="D62">+MAX(IF('ID1&amp;5'!A:A='1. Status'!A62&amp;'1. Status'!$D$10,'ID1&amp;5'!K:K))</f>
        <v>0</v>
      </c>
      <c r="E62" s="60">
        <f t="array" ref="E62">+MAX(IF('ID1&amp;5'!A:A='1. Status'!A62&amp;'1. Status'!$E$10,'ID1&amp;5'!K:K))</f>
        <v>0</v>
      </c>
      <c r="F62" s="67">
        <f t="array" ref="F62">+MAX(IF('ID1&amp;5'!A:A='1. Status'!A62&amp;'1. Status'!$F$10,'ID1&amp;5'!K:K))</f>
        <v>0</v>
      </c>
      <c r="G62" s="60"/>
      <c r="H62" s="65" t="s">
        <v>127</v>
      </c>
      <c r="I62" s="21" t="s">
        <v>593</v>
      </c>
      <c r="J62" s="26">
        <f>+COUNTIF('ID1&amp;5'!G:G,'1. Status'!I62)</f>
        <v>1</v>
      </c>
      <c r="K62" s="79">
        <f>+IFERROR(VLOOKUP(CONCATENATE(A62,$B$10,B62),'ID1&amp;5'!B:J,8,FALSE),"-")</f>
        <v>444990</v>
      </c>
      <c r="L62" s="78" t="str">
        <f>+IFERROR(VLOOKUP(B62,'ID1&amp;5'!K:L,2,FALSE),"-")</f>
        <v>2025-02-24 10:27:56.758376000</v>
      </c>
      <c r="M62" s="79">
        <f>+IFERROR(VLOOKUP(CONCATENATE(A62,$B$10,B62),'ID1&amp;5'!B:J,9,FALSE),"-")</f>
        <v>444990</v>
      </c>
      <c r="N62" s="79" t="str">
        <f>+IFERROR(VLOOKUP(CONCATENATE(A62,$C$10,C62),'ID1&amp;5'!B:J,8,FALSE),"-")</f>
        <v>-</v>
      </c>
      <c r="O62" s="78" t="str">
        <f>+IFERROR(VLOOKUP(C62,'ID1&amp;5'!K:L,2,FALSE),"-")</f>
        <v>-</v>
      </c>
      <c r="P62" s="79" t="str">
        <f>+IFERROR(VLOOKUP(CONCATENATE(A62,$C$10,C62),'ID1&amp;5'!B:J,9,FALSE),"-")</f>
        <v>-</v>
      </c>
      <c r="Q62" s="78" t="str">
        <f>+IFERROR(VLOOKUP(D62,'ID1&amp;5'!K:L,2,FALSE),"-")</f>
        <v>-</v>
      </c>
      <c r="R62" s="26" t="str">
        <f>+IFERROR(VLOOKUP(CONCATENATE(A62,$D$10,D62),'ID1&amp;5'!B:J,9,FALSE),"-")</f>
        <v>-</v>
      </c>
      <c r="S62" s="78" t="str">
        <f>+IFERROR(VLOOKUP(E62,'ID1&amp;5'!K:L,2,FALSE),"-")</f>
        <v>-</v>
      </c>
      <c r="T62" s="79" t="str">
        <f>+IFERROR(VLOOKUP(CONCATENATE(A62,$E$10,E62),'ID1&amp;5'!B:J,9,FALSE),"-")</f>
        <v>-</v>
      </c>
      <c r="U62" s="78" t="str">
        <f>+IFERROR(VLOOKUP(F62,'ID1&amp;5'!K:L,2,FALSE),"-")</f>
        <v>-</v>
      </c>
      <c r="V62" s="79" t="str">
        <f>+IFERROR(VLOOKUP(CONCATENATE(A62,$F$10,F62),'ID1&amp;5'!B:J,9,FALSE),"-")</f>
        <v>-</v>
      </c>
      <c r="W62" s="26" t="str">
        <f>+IFERROR(VLOOKUP(A62,'ID6&amp;7'!A:I,9,FALSE),"-")</f>
        <v>-</v>
      </c>
      <c r="X62" s="26" t="str">
        <f>+IFERROR(VLOOKUP(A62,'ID6&amp;7'!A:J,10,FALSE),"-")</f>
        <v>-</v>
      </c>
      <c r="Y62" s="26"/>
      <c r="Z62" s="27" t="str">
        <f t="shared" si="1"/>
        <v>Em testes</v>
      </c>
    </row>
    <row r="63" spans="1:26">
      <c r="A63" s="20" t="str">
        <f t="shared" si="0"/>
        <v>INSTR_ACTIVITYPRCNTG_ACTVTY45657</v>
      </c>
      <c r="B63" s="94">
        <f t="array" ref="B63">+MAX(IF('ID1&amp;5'!A:A='1. Status'!A63&amp;'1. Status'!$B$10,'ID1&amp;5'!K:K))</f>
        <v>0</v>
      </c>
      <c r="C63" s="95">
        <f t="array" ref="C63">+MAX(IF('ID1&amp;5'!A:A='1. Status'!A63&amp;'1. Status'!$C$10,'ID1&amp;5'!K:K))</f>
        <v>0</v>
      </c>
      <c r="D63" s="95">
        <f t="array" ref="D63">+MAX(IF('ID1&amp;5'!A:A='1. Status'!A63&amp;'1. Status'!$D$10,'ID1&amp;5'!K:K))</f>
        <v>0</v>
      </c>
      <c r="E63" s="95">
        <f t="array" ref="E63">+MAX(IF('ID1&amp;5'!A:A='1. Status'!A63&amp;'1. Status'!$E$10,'ID1&amp;5'!K:K))</f>
        <v>0</v>
      </c>
      <c r="F63" s="96">
        <f t="array" ref="F63">+MAX(IF('ID1&amp;5'!A:A='1. Status'!A63&amp;'1. Status'!$F$10,'ID1&amp;5'!K:K))</f>
        <v>0</v>
      </c>
      <c r="G63" s="60"/>
      <c r="H63" s="65" t="s">
        <v>322</v>
      </c>
      <c r="I63" s="21" t="s">
        <v>594</v>
      </c>
      <c r="J63" s="26">
        <f>+COUNTIF('ID1&amp;5'!G:G,'1. Status'!I63)</f>
        <v>0</v>
      </c>
      <c r="K63" s="79" t="str">
        <f>+IFERROR(VLOOKUP(CONCATENATE(A63,$B$10,B63),'ID1&amp;5'!B:J,8,FALSE),"-")</f>
        <v>-</v>
      </c>
      <c r="L63" s="78" t="str">
        <f>+IFERROR(VLOOKUP(B63,'ID1&amp;5'!K:L,2,FALSE),"-")</f>
        <v>-</v>
      </c>
      <c r="M63" s="79" t="str">
        <f>+IFERROR(VLOOKUP(CONCATENATE(A63,$B$10,B63),'ID1&amp;5'!B:J,9,FALSE),"-")</f>
        <v>-</v>
      </c>
      <c r="N63" s="79" t="str">
        <f>+IFERROR(VLOOKUP(CONCATENATE(A63,$C$10,C63),'ID1&amp;5'!B:J,8,FALSE),"-")</f>
        <v>-</v>
      </c>
      <c r="O63" s="78" t="str">
        <f>+IFERROR(VLOOKUP(C63,'ID1&amp;5'!K:L,2,FALSE),"-")</f>
        <v>-</v>
      </c>
      <c r="P63" s="79" t="str">
        <f>+IFERROR(VLOOKUP(CONCATENATE(A63,$C$10,C63),'ID1&amp;5'!B:J,9,FALSE),"-")</f>
        <v>-</v>
      </c>
      <c r="Q63" s="78" t="str">
        <f>+IFERROR(VLOOKUP(D63,'ID1&amp;5'!K:L,2,FALSE),"-")</f>
        <v>-</v>
      </c>
      <c r="R63" s="26" t="str">
        <f>+IFERROR(VLOOKUP(CONCATENATE(A63,$D$10,D63),'ID1&amp;5'!B:J,9,FALSE),"-")</f>
        <v>-</v>
      </c>
      <c r="S63" s="78" t="str">
        <f>+IFERROR(VLOOKUP(E63,'ID1&amp;5'!K:L,2,FALSE),"-")</f>
        <v>-</v>
      </c>
      <c r="T63" s="79" t="str">
        <f>+IFERROR(VLOOKUP(CONCATENATE(A63,$E$10,E63),'ID1&amp;5'!B:J,9,FALSE),"-")</f>
        <v>-</v>
      </c>
      <c r="U63" s="78" t="str">
        <f>+IFERROR(VLOOKUP(F63,'ID1&amp;5'!K:L,2,FALSE),"-")</f>
        <v>-</v>
      </c>
      <c r="V63" s="79" t="str">
        <f>+IFERROR(VLOOKUP(CONCATENATE(A63,$F$10,F63),'ID1&amp;5'!B:J,9,FALSE),"-")</f>
        <v>-</v>
      </c>
      <c r="W63" s="26" t="str">
        <f>+IFERROR(VLOOKUP(A63,'ID6&amp;7'!A:I,9,FALSE),"-")</f>
        <v>-</v>
      </c>
      <c r="X63" s="26" t="str">
        <f>+IFERROR(VLOOKUP(A63,'ID6&amp;7'!A:J,10,FALSE),"-")</f>
        <v>-</v>
      </c>
      <c r="Y63" s="26"/>
      <c r="Z63" s="27" t="str">
        <f t="shared" si="1"/>
        <v>Por iniciar</v>
      </c>
    </row>
    <row r="64" spans="1:26"/>
  </sheetData>
  <mergeCells count="1">
    <mergeCell ref="B9:F9"/>
  </mergeCells>
  <conditionalFormatting sqref="Z11:Z63">
    <cfRule type="cellIs" dxfId="15" priority="5" operator="equal">
      <formula>"Por iniciar"</formula>
    </cfRule>
    <cfRule type="cellIs" dxfId="14" priority="6" operator="equal">
      <formula>"EM TESTES"</formula>
    </cfRule>
    <cfRule type="cellIs" dxfId="13" priority="7" operator="equal">
      <formula>"NOK"</formula>
    </cfRule>
    <cfRule type="cellIs" dxfId="12" priority="8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C647"/>
  <sheetViews>
    <sheetView showGridLines="0" zoomScale="80" zoomScaleNormal="90" workbookViewId="0">
      <pane xSplit="3" ySplit="8" topLeftCell="F39" activePane="bottomRight" state="frozen"/>
      <selection pane="topRight" activeCell="D1" sqref="D1"/>
      <selection pane="bottomLeft" activeCell="A9" sqref="A9"/>
      <selection pane="bottomRight" activeCell="L39" sqref="L39"/>
    </sheetView>
  </sheetViews>
  <sheetFormatPr defaultColWidth="0" defaultRowHeight="14.25" zeroHeight="1"/>
  <cols>
    <col min="1" max="1" width="3.625" style="2" customWidth="1"/>
    <col min="2" max="3" width="32.375" style="2" customWidth="1"/>
    <col min="4" max="13" width="25" style="2" customWidth="1"/>
    <col min="14" max="14" width="3.625" style="2" customWidth="1"/>
    <col min="15" max="29" width="0" style="2" hidden="1" customWidth="1"/>
    <col min="30" max="16384" width="9.125" style="2" hidden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/>
    <row r="6" spans="1:28" ht="15.75" thickBot="1">
      <c r="B6" s="28" t="s">
        <v>74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</row>
    <row r="7" spans="1:28"/>
    <row r="8" spans="1:28" ht="15">
      <c r="B8" s="33" t="s">
        <v>0</v>
      </c>
      <c r="C8" s="33" t="s">
        <v>3</v>
      </c>
      <c r="D8" s="37" t="s">
        <v>7</v>
      </c>
      <c r="E8" s="37" t="s">
        <v>2</v>
      </c>
      <c r="F8" s="37" t="s">
        <v>6</v>
      </c>
      <c r="G8" s="37" t="s">
        <v>46</v>
      </c>
      <c r="H8" s="37" t="s">
        <v>128</v>
      </c>
      <c r="I8" s="37" t="s">
        <v>8</v>
      </c>
      <c r="J8" s="37" t="s">
        <v>9</v>
      </c>
      <c r="K8" s="37" t="s">
        <v>10</v>
      </c>
      <c r="L8" s="64" t="s">
        <v>77</v>
      </c>
      <c r="M8" s="64" t="s">
        <v>78</v>
      </c>
    </row>
    <row r="9" spans="1:28" hidden="1">
      <c r="A9" s="60" t="str">
        <f>+B9&amp;F9</f>
        <v>ENTITYCOD_SOC</v>
      </c>
      <c r="B9" s="34" t="s">
        <v>126</v>
      </c>
      <c r="C9" s="34" t="s">
        <v>5</v>
      </c>
      <c r="D9" s="34" t="str">
        <f>+UPPER('0. Instruções'!$D$35&amp;"."&amp;VLOOKUP(B9,'0. Instruções'!$C$27:$D$32,2,FALSE))</f>
        <v>CD_LOAN_TAPES_BCE.LT003_ENTITY</v>
      </c>
      <c r="E9" s="34" t="str">
        <f>+UPPER('0. Instruções'!$D$36&amp;"."&amp;VLOOKUP(B9,'0. Instruções'!$C$27:$E$32,3,FALSE))</f>
        <v>BU_LOANTAPE_WORK.LT003_ENTITY_SRB</v>
      </c>
      <c r="F9" s="34" t="s">
        <v>108</v>
      </c>
      <c r="G9" s="34"/>
      <c r="H9" s="34" t="s">
        <v>595</v>
      </c>
      <c r="I9" s="34" t="str">
        <f>"(SELECT "&amp;VLOOKUP(B9,'0. Instruções'!$C$27:$G$32,4,FALSE)&amp;", "&amp;F9&amp;" FROM "&amp;D9&amp;" WHERE "&amp;'0. Instruções'!$D$42&amp;")X"</f>
        <v>(SELECT entty_id, COD_SOC FROM CD_LOAN_TAPES_BCE.LT003_ENTITY WHERE ref_date='${ref_date}' AND nome_perimetro='Individual Corporativo' AND segmento='ESTR' AND ambito='PM' AND entidade='00100')X</v>
      </c>
      <c r="J9" s="34" t="str">
        <f>"(SELECT "&amp;VLOOKUP(B9,'0. Instruções'!$C$27:$G$32,4,FALSE)&amp;" AS "&amp;VLOOKUP(B9,'0. Instruções'!$C$27:$G$32,4,FALSE)&amp;"_SIMUL, "&amp;F9&amp;" AS "&amp;F9&amp;"_SIMUL FROM "&amp;E9&amp;" WHERE "&amp;'0. Instruções'!$D$43&amp;")Y"</f>
        <v>(SELECT entty_id AS entty_id_SIMUL, COD_SOC AS COD_SOC_SIMUL FROM BU_LOANTAPE_WORK.LT003_ENTITY_SRB WHERE ref_date='${ref_date}' AND nome_perimetro='Individual Corporativo' AND segmento='ESTR' AND ambito='PILAR3' AND entidade='00100')Y</v>
      </c>
      <c r="K9" s="35" t="str">
        <f>+UPPER("ON X."&amp;VLOOKUP(B9,'0. Instruções'!$C$27:$G$32,4,FALSE)&amp;"=Y."&amp;VLOOKUP(B9,'0. Instruções'!$C$27:$G$32,4,FALSE)&amp;"_SIMUL")</f>
        <v>ON X.ENTTY_ID=Y.ENTTY_ID_SIMUL</v>
      </c>
      <c r="L9" s="35" t="str">
        <f>+IF(C9="Coerência", +IF(LEFT(G9,5)="FLOAT","SELECT '"&amp;UPPER(B9)&amp;"' AS TABELA, '"&amp;UPPER(C9)&amp;"' AS TIPOLOGIA_TESTE,'"&amp;D9&amp;"' AS TABELA_LT,'"&amp;E9&amp;"' AS TABELA_SIMUL,'"&amp;F9&amp;"' AS CAMPO, "&amp;"'${ref_date}' AS REF_DATE, COUNT(*) AS NUM_REG, SUM(IF((ABS(COALESCE(CAST(X."&amp;F9&amp;" AS DECIMAL(18,6)),0)-COALESCE(CAST(Y."&amp;F9&amp;"_SIMUL AS DECIMAL(18,6)),0))&gt;0.000001) OR (X."&amp;F9&amp;" IS NULL AND Y."&amp;F9&amp;"_SIMUL IS NOT NULL ) OR (X."&amp;F9&amp;" IS NOT NULL AND Y."&amp;F9&amp;"_SIMUL IS NULL),1,0)) AS NUM_REG_DIF,'"&amp;MAX('ID1&amp;5'!K:K)+1&amp;"' AS ID_EXEC, CURRENT_TIMESTAMP() AS TIME_EXEC FROM "&amp;I9&amp;" INNER JOIN "&amp;J9&amp;" "&amp;K9,"SELECT '"&amp;UPPER(B9)&amp;"' AS TABELA, '"&amp;UPPER(C9)&amp;"' AS TIPOLOGIA_TESTE,'"&amp;D9&amp;"' AS TABELA_LT,'"&amp;E9&amp;"' AS TABELA_SIMUL,'"&amp;F9&amp;"' AS CAMPO, "&amp;"'${ref_date}' AS REF_DATE, COUNT(*) AS NUM_REG, SUM(IF(COALESCE(CAST(X."&amp;F9&amp;" AS STRING),'')&lt;&gt;COALESCE(CAST(Y."&amp;F9&amp;"_SIMUL AS STRING),'') OR (X."&amp;F9&amp;" IS NULL AND Y."&amp;F9&amp;"_SIMUL IS NOT NULL ) OR (X."&amp;F9&amp;" IS NOT NULL AND Y."&amp;F9&amp;"_SIMUL IS NULL),1,0)) AS NUM_REG_DIF,'"&amp;MAX('ID1&amp;5'!L:L)+1&amp;"' AS ID_EXEC, CURRENT_TIMESTAMP() AS TIME_EXEC FROM "&amp;I9&amp;" INNER JOIN "&amp;J9&amp;" "&amp;K9),
IF(C9="Validade",+IF(G9="Code List","SELECT '"&amp;UPPER(B9)&amp;"' AS TABELA, '"&amp;UPPER(C9)&amp;"' AS TIPOLOGIA_TESTE,'"&amp;D9&amp;"' AS TABELA_LT,'N/A' AS TABELA_SIMUL,'"&amp;F9&amp;"' AS CAMPO, "&amp;"'${ref_date}' AS REF_DATE, COUNT(*) AS NUM_REG, SUM(IF(TRIM(CAST(X."&amp;F9&amp;" AS STRING))='' OR TRIM(CAST(X."&amp;F9&amp;" AS STRING)) IS NULL OR CAST(X."&amp;F9&amp;" AS STRING) NOT "&amp;H9&amp;",1,0)) AS NUM_REG_DIF,'"&amp;MAX('ID1&amp;5'!K:K)+1&amp;"' AS ID_EXEC, CURRENT_TIMESTAMP() AS TIME_EXEC FROM "&amp;I9,"SELECT '"&amp;UPPER(B9)&amp;"' AS TABELA, '"&amp;UPPER(C9)&amp;"' AS TIPOLOGIA_TESTE,'"&amp;D9&amp;"' AS TABELA_LT,'N/A' AS TABELA_SIMUL,'"&amp;F9&amp;"' AS CAMPO, "&amp;"'${ref_date}' AS REF_DATE, COUNT(*) AS NUM_REG, SUM(IF(TRIM(CAST(X."&amp;F9&amp;" AS STRING))='' OR TRIM(CAST(X."&amp;F9&amp;" AS STRING)) IS NULL,1,0)) AS NUM_REG_DIF,'"&amp;MAX('ID1&amp;5'!K:K)+1&amp;"' AS ID_EXEC, CURRENT_TIMESTAMP() AS TIME_EXEC FROM "&amp;I9),
IF(C9="Caracteres Especiais",+"SELECT '"&amp;UPPER(B9)&amp;"' AS TABELA, '"&amp;UPPER(C9)&amp;"' AS TIPOLOGIA_TESTE,'"&amp;D9&amp;"' AS TABELA_LT,'N/A' AS TABELA_SIMUL,'"&amp;F9&amp;"' AS CAMPO, "&amp;"'${ref_date}' AS REF_DATE, COUNT(*) AS NUM_REG, SUM(IF(REGEXP_REPLACE(TRIM(CAST(X."&amp;F9&amp;" AS STRING)),'[^a-zA-Z0-9_\\s]','') &lt;&gt;TRIM(CAST(X."&amp;F9&amp;" AS STRING)),1,0)) AS NUM_REG_DIF,'"&amp;MAX('ID1&amp;5'!K:K)+1&amp;"' AS ID_EXEC, CURRENT_TIMESTAMP() AS TIME_EXEC FROM "&amp;I9,
IF(C9="Missings",+"SELECT '"&amp;UPPER(B9)&amp;"' AS TABELA, '"&amp;UPPER(C9)&amp;"' AS TIPOLOGIA_TESTE,'"&amp;D9&amp;"' AS TABELA_LT,'N/A' AS TABELA_SIMUL,'"&amp;F9&amp;"' AS CAMPO, "&amp;"'${ref_date}' AS REF_DATE, COUNT(*) AS NUM_REG, SUM(IF(TRIM(CAST(X."&amp;F9&amp;" AS STRING)) IN ('0000-00-00','0001-01-01','9999-12-31','MISS','00000','99999999999','99999999999.00','99999999999.000000'),1,0)) AS NUM_REG_DIF,'"&amp;MAX('ID1&amp;5'!K:K)+1&amp;"' AS ID_EXEC, CURRENT_TIMESTAMP() AS TIME_EXEC FROM "&amp;I9,
IF(C9="Not applicable",+"SELECT '"&amp;UPPER(B9)&amp;"' AS TABELA, '"&amp;UPPER(C9)&amp;"' AS TIPOLOGIA_TESTE,'"&amp;D9&amp;"' AS TABELA_LT,'N/A' AS TABELA_SIMUL,'"&amp;F9&amp;"' AS CAMPO, "&amp;"'${ref_date}' AS REF_DATE, COUNT(*) AS NUM_REG, SUM(IF(TRIM(CAST(X."&amp;F9&amp;" AS STRING)) IN ('N/A','11111111111','11111111111.00','11111111111.000000','1111-11-11'),1,0)) AS NUM_REG_DIF,'"&amp;MAX('ID1&amp;5'!K:K)+1&amp;"' AS ID_EXEC, CURRENT_TIMESTAMP() AS TIME_EXEC FROM "&amp;I9,
IF(C9="Valores extremos",+"SELECT '"&amp;UPPER(B9)&amp;"' AS TABELA, '"&amp;UPPER(C9)&amp;"' AS TIPOLOGIA_TESTE,'"&amp;D9&amp;"' AS TABELA_LT,'N/A' AS TABELA_SIMUL,'"&amp;F9&amp;"' AS CAMPO, "&amp;"'${ref_date}' AS REF_DATE, CAST(MIN("&amp;F9&amp;") AS STRING) AS VALOR_MIN, CAST(MAX("&amp;F9&amp;") AS STRING) AS VALOR_MAX,'"&amp;MAX('ID1&amp;5'!K:K)+1&amp;"' AS ID_EXEC, CURRENT_TIMESTAMP() AS TIME_EXEC FROM "&amp;MID(I9,1,LEN(I9)-2)&amp;" AND CAST("&amp;F9&amp;"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TABELA_LT,'BU_LOANTAPE_WORK.LT003_ENTITY_SRB'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entty_id, COD_SOC FROM CD_LOAN_TAPES_BCE.LT003_ENTITY WHERE ref_date='${ref_date}' AND nome_perimetro='Individual Corporativo' AND segmento='ESTR' AND ambito='PM' AND entidade='00100')X INNER JOIN (SELECT entty_id AS entty_id_SIMUL, COD_SOC AS COD_SOC_SIMUL FROM BU_LOANTAPE_WORK.LT003_ENTITY_SRB WHERE ref_date='${ref_date}' AND nome_perimetro='Individual Corporativo' AND segmento='ESTR' AND ambito='PILAR3' AND entidade='00100')Y ON X.ENTTY_ID=Y.ENTTY_ID_SIMUL</v>
      </c>
      <c r="M9" s="36" t="str">
        <f t="shared" ref="M9:M49" si="0">+"UNION ALL "&amp;L9</f>
        <v>UNION ALL SELECT 'ENTITY' AS TABELA, 'COERÊNCIA' AS TIPOLOGIA_TESTE,'CD_LOAN_TAPES_BCE.LT003_ENTITY' AS TABELA_LT,'BU_LOANTAPE_WORK.LT003_ENTITY_SRB'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entty_id, COD_SOC FROM CD_LOAN_TAPES_BCE.LT003_ENTITY WHERE ref_date='${ref_date}' AND nome_perimetro='Individual Corporativo' AND segmento='ESTR' AND ambito='PM' AND entidade='00100')X INNER JOIN (SELECT entty_id AS entty_id_SIMUL, COD_SOC AS COD_SOC_SIMUL FROM BU_LOANTAPE_WORK.LT003_ENTITY_SRB WHERE ref_date='${ref_date}' AND nome_perimetro='Individual Corporativo' AND segmento='ESTR' AND ambito='PILAR3' AND entidade='00100')Y ON X.ENTTY_ID=Y.ENTTY_ID_SIMUL</v>
      </c>
      <c r="N9" s="38" t="s">
        <v>45</v>
      </c>
    </row>
    <row r="10" spans="1:28" hidden="1">
      <c r="A10" s="60" t="str">
        <f t="shared" ref="A10:A56" si="1">+B10&amp;F10</f>
        <v>ENTITYCNTRY</v>
      </c>
      <c r="B10" s="34" t="s">
        <v>126</v>
      </c>
      <c r="C10" s="34" t="s">
        <v>5</v>
      </c>
      <c r="D10" s="34" t="str">
        <f>+UPPER('0. Instruções'!$D$35&amp;"."&amp;VLOOKUP(B10,'0. Instruções'!$C$27:$D$32,2,FALSE))</f>
        <v>CD_LOAN_TAPES_BCE.LT003_ENTITY</v>
      </c>
      <c r="E10" s="34" t="str">
        <f>+UPPER('0. Instruções'!$D$36&amp;"."&amp;VLOOKUP(B10,'0. Instruções'!$C$27:$E$32,3,FALSE))</f>
        <v>BU_LOANTAPE_WORK.LT003_ENTITY_SRB</v>
      </c>
      <c r="F10" s="34" t="s">
        <v>112</v>
      </c>
      <c r="G10" s="34"/>
      <c r="H10" s="34" t="s">
        <v>88</v>
      </c>
      <c r="I10" s="34" t="str">
        <f>"(SELECT "&amp;VLOOKUP(B10,'0. Instruções'!$C$27:$G$32,4,FALSE)&amp;", "&amp;F10&amp;" FROM "&amp;D10&amp;" WHERE "&amp;'0. Instruções'!$D$42&amp;")X"</f>
        <v>(SELECT entty_id, CNTRY FROM CD_LOAN_TAPES_BCE.LT003_ENTITY WHERE ref_date='${ref_date}' AND nome_perimetro='Individual Corporativo' AND segmento='ESTR' AND ambito='PM' AND entidade='00100')X</v>
      </c>
      <c r="J10" s="34" t="str">
        <f>"(SELECT "&amp;VLOOKUP(B10,'0. Instruções'!$C$27:$G$32,4,FALSE)&amp;" AS "&amp;VLOOKUP(B10,'0. Instruções'!$C$27:$G$32,4,FALSE)&amp;"_SIMUL, "&amp;F10&amp;" AS "&amp;F10&amp;"_SIMUL FROM "&amp;E10&amp;" WHERE "&amp;'0. Instruções'!$D$43&amp;")Y"</f>
        <v>(SELECT entty_id AS entty_id_SIMUL, CNTRY AS CNTRY_SIMUL FROM BU_LOANTAPE_WORK.LT003_ENTITY_SRB WHERE ref_date='${ref_date}' AND nome_perimetro='Individual Corporativo' AND segmento='ESTR' AND ambito='PILAR3' AND entidade='00100')Y</v>
      </c>
      <c r="K10" s="35" t="str">
        <f>+UPPER("ON X."&amp;VLOOKUP(B10,'0. Instruções'!$C$27:$G$32,4,FALSE)&amp;"=Y."&amp;VLOOKUP(B10,'0. Instruções'!$C$27:$G$32,4,FALSE)&amp;"_SIMUL")</f>
        <v>ON X.ENTTY_ID=Y.ENTTY_ID_SIMUL</v>
      </c>
      <c r="L10" s="35" t="str">
        <f>+IF(C10="Coerência", +IF(LEFT(G10,5)="FLOAT","SELECT '"&amp;UPPER(B10)&amp;"' AS TABELA, '"&amp;UPPER(C10)&amp;"' AS TIPOLOGIA_TESTE,'"&amp;D10&amp;"' AS TABELA_LT,'"&amp;E10&amp;"' AS TABELA_SIMUL,'"&amp;F10&amp;"' AS CAMPO, "&amp;"'${ref_date}' AS REF_DATE, COUNT(*) AS NUM_REG, SUM(IF((ABS(COALESCE(CAST(X."&amp;F10&amp;" AS DECIMAL(18,6)),0)-COALESCE(CAST(Y."&amp;F10&amp;"_SIMUL AS DECIMAL(18,6)),0))&gt;0.000001) OR (X."&amp;F10&amp;" IS NULL AND Y."&amp;F10&amp;"_SIMUL IS NOT NULL ) OR (X."&amp;F10&amp;" IS NOT NULL AND Y."&amp;F10&amp;"_SIMUL IS NULL),1,0)) AS NUM_REG_DIF,'"&amp;MAX('ID1&amp;5'!K:K)+1&amp;"' AS ID_EXEC, CURRENT_TIMESTAMP() AS TIME_EXEC FROM "&amp;I10&amp;" INNER JOIN "&amp;J10&amp;" "&amp;K10,"SELECT '"&amp;UPPER(B10)&amp;"' AS TABELA, '"&amp;UPPER(C10)&amp;"' AS TIPOLOGIA_TESTE,'"&amp;D10&amp;"' AS TABELA_LT,'"&amp;E10&amp;"' AS TABELA_SIMUL,'"&amp;F10&amp;"' AS CAMPO, "&amp;"'${ref_date}' AS REF_DATE, COUNT(*) AS NUM_REG, SUM(IF(COALESCE(CAST(X."&amp;F10&amp;" AS STRING),'')&lt;&gt;COALESCE(CAST(Y."&amp;F10&amp;"_SIMUL AS STRING),'') OR (X."&amp;F10&amp;" IS NULL AND Y."&amp;F10&amp;"_SIMUL IS NOT NULL ) OR (X."&amp;F10&amp;" IS NOT NULL AND Y."&amp;F10&amp;"_SIMUL IS NULL),1,0)) AS NUM_REG_DIF,'"&amp;MAX('ID1&amp;5'!L:L)+1&amp;"' AS ID_EXEC, CURRENT_TIMESTAMP() AS TIME_EXEC FROM "&amp;I10&amp;" INNER JOIN "&amp;J10&amp;" "&amp;K10),
IF(C10="Validade",+IF(G10="Code List","SELECT '"&amp;UPPER(B10)&amp;"' AS TABELA, '"&amp;UPPER(C10)&amp;"' AS TIPOLOGIA_TESTE,'"&amp;D10&amp;"' AS TABELA_LT,'N/A' AS TABELA_SIMUL,'"&amp;F10&amp;"' AS CAMPO, "&amp;"'${ref_date}' AS REF_DATE, COUNT(*) AS NUM_REG, SUM(IF(TRIM(CAST(X."&amp;F10&amp;" AS STRING))='' OR TRIM(CAST(X."&amp;F10&amp;" AS STRING)) IS NULL OR CAST(X."&amp;F10&amp;" AS STRING) NOT "&amp;H10&amp;",1,0)) AS NUM_REG_DIF,'"&amp;MAX('ID1&amp;5'!K:K)+1&amp;"' AS ID_EXEC, CURRENT_TIMESTAMP() AS TIME_EXEC FROM "&amp;I10,"SELECT '"&amp;UPPER(B10)&amp;"' AS TABELA, '"&amp;UPPER(C10)&amp;"' AS TIPOLOGIA_TESTE,'"&amp;D10&amp;"' AS TABELA_LT,'N/A' AS TABELA_SIMUL,'"&amp;F10&amp;"' AS CAMPO, "&amp;"'${ref_date}' AS REF_DATE, COUNT(*) AS NUM_REG, SUM(IF(TRIM(CAST(X."&amp;F10&amp;" AS STRING))='' OR TRIM(CAST(X."&amp;F10&amp;" AS STRING)) IS NULL,1,0)) AS NUM_REG_DIF,'"&amp;MAX('ID1&amp;5'!K:K)+1&amp;"' AS ID_EXEC, CURRENT_TIMESTAMP() AS TIME_EXEC FROM "&amp;I10),
IF(C10="Caracteres Especiais",+"SELECT '"&amp;UPPER(B10)&amp;"' AS TABELA, '"&amp;UPPER(C10)&amp;"' AS TIPOLOGIA_TESTE,'"&amp;D10&amp;"' AS TABELA_LT,'N/A' AS TABELA_SIMUL,'"&amp;F10&amp;"' AS CAMPO, "&amp;"'${ref_date}' AS REF_DATE, COUNT(*) AS NUM_REG, SUM(IF(REGEXP_REPLACE(TRIM(CAST(X."&amp;F10&amp;" AS STRING)),'[^a-zA-Z0-9_\\s]','') &lt;&gt;TRIM(CAST(X."&amp;F10&amp;" AS STRING)),1,0)) AS NUM_REG_DIF,'"&amp;MAX('ID1&amp;5'!K:K)+1&amp;"' AS ID_EXEC, CURRENT_TIMESTAMP() AS TIME_EXEC FROM "&amp;I10,
IF(C10="Missings",+"SELECT '"&amp;UPPER(B10)&amp;"' AS TABELA, '"&amp;UPPER(C10)&amp;"' AS TIPOLOGIA_TESTE,'"&amp;D10&amp;"' AS TABELA_LT,'N/A' AS TABELA_SIMUL,'"&amp;F10&amp;"' AS CAMPO, "&amp;"'${ref_date}' AS REF_DATE, COUNT(*) AS NUM_REG, SUM(IF(TRIM(CAST(X."&amp;F10&amp;" AS STRING)) IN ('0000-00-00','0001-01-01','9999-12-31','MISS','00000','99999999999','99999999999.00','99999999999.000000'),1,0)) AS NUM_REG_DIF,'"&amp;MAX('ID1&amp;5'!K:K)+1&amp;"' AS ID_EXEC, CURRENT_TIMESTAMP() AS TIME_EXEC FROM "&amp;I10,
IF(C10="Not applicable",+"SELECT '"&amp;UPPER(B10)&amp;"' AS TABELA, '"&amp;UPPER(C10)&amp;"' AS TIPOLOGIA_TESTE,'"&amp;D10&amp;"' AS TABELA_LT,'N/A' AS TABELA_SIMUL,'"&amp;F10&amp;"' AS CAMPO, "&amp;"'${ref_date}' AS REF_DATE, COUNT(*) AS NUM_REG, SUM(IF(TRIM(CAST(X."&amp;F10&amp;" AS STRING)) IN ('N/A','11111111111','11111111111.00','11111111111.000000','1111-11-11'),1,0)) AS NUM_REG_DIF,'"&amp;MAX('ID1&amp;5'!K:K)+1&amp;"' AS ID_EXEC, CURRENT_TIMESTAMP() AS TIME_EXEC FROM "&amp;I10,
IF(C10="Valores extremos",+"SELECT '"&amp;UPPER(B10)&amp;"' AS TABELA, '"&amp;UPPER(C10)&amp;"' AS TIPOLOGIA_TESTE,'"&amp;D10&amp;"' AS TABELA_LT,'N/A' AS TABELA_SIMUL,'"&amp;F10&amp;"' AS CAMPO, "&amp;"'${ref_date}' AS REF_DATE, CAST(MIN("&amp;F10&amp;") AS STRING) AS VALOR_MIN, CAST(MAX("&amp;F10&amp;") AS STRING) AS VALOR_MAX,'"&amp;MAX('ID1&amp;5'!K:K)+1&amp;"' AS ID_EXEC, CURRENT_TIMESTAMP() AS TIME_EXEC FROM "&amp;MID(I10,1,LEN(I10)-2)&amp;" AND CAST("&amp;F10&amp;"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TABELA_LT,'BU_LOANTAPE_WORK.LT003_ENTITY_SRB' AS TABELA_SIMUL,'CNTRY' AS CAMPO, '${ref_date}' AS REF_DATE, COUNT(*) AS NUM_REG, SUM(IF(COALESCE(CAST(X.CNTRY AS STRING),'')&lt;&gt;COALESCE(CAST(Y.CNTRY_SIMUL AS STRING),'') OR (X.CNTRY IS NULL AND Y.CNTRY_SIMUL IS NOT NULL ) OR (X.CNTRY IS NOT NULL AND Y.CNTRY_SIMUL IS NULL),1,0)) AS NUM_REG_DIF,'1' AS ID_EXEC, CURRENT_TIMESTAMP() AS TIME_EXEC FROM (SELECT entty_id, CNTRY FROM CD_LOAN_TAPES_BCE.LT003_ENTITY WHERE ref_date='${ref_date}' AND nome_perimetro='Individual Corporativo' AND segmento='ESTR' AND ambito='PM' AND entidade='00100')X INNER JOIN (SELECT entty_id AS entty_id_SIMUL, CNTRY AS CNTRY_SIMUL FROM BU_LOANTAPE_WORK.LT003_ENTITY_SRB WHERE ref_date='${ref_date}' AND nome_perimetro='Individual Corporativo' AND segmento='ESTR' AND ambito='PILAR3' AND entidade='00100')Y ON X.ENTTY_ID=Y.ENTTY_ID_SIMUL</v>
      </c>
      <c r="M10" s="36" t="str">
        <f t="shared" si="0"/>
        <v>UNION ALL SELECT 'ENTITY' AS TABELA, 'COERÊNCIA' AS TIPOLOGIA_TESTE,'CD_LOAN_TAPES_BCE.LT003_ENTITY' AS TABELA_LT,'BU_LOANTAPE_WORK.LT003_ENTITY_SRB' AS TABELA_SIMUL,'CNTRY' AS CAMPO, '${ref_date}' AS REF_DATE, COUNT(*) AS NUM_REG, SUM(IF(COALESCE(CAST(X.CNTRY AS STRING),'')&lt;&gt;COALESCE(CAST(Y.CNTRY_SIMUL AS STRING),'') OR (X.CNTRY IS NULL AND Y.CNTRY_SIMUL IS NOT NULL ) OR (X.CNTRY IS NOT NULL AND Y.CNTRY_SIMUL IS NULL),1,0)) AS NUM_REG_DIF,'1' AS ID_EXEC, CURRENT_TIMESTAMP() AS TIME_EXEC FROM (SELECT entty_id, CNTRY FROM CD_LOAN_TAPES_BCE.LT003_ENTITY WHERE ref_date='${ref_date}' AND nome_perimetro='Individual Corporativo' AND segmento='ESTR' AND ambito='PM' AND entidade='00100')X INNER JOIN (SELECT entty_id AS entty_id_SIMUL, CNTRY AS CNTRY_SIMUL FROM BU_LOANTAPE_WORK.LT003_ENTITY_SRB WHERE ref_date='${ref_date}' AND nome_perimetro='Individual Corporativo' AND segmento='ESTR' AND ambito='PILAR3' AND entidade='00100')Y ON X.ENTTY_ID=Y.ENTTY_ID_SIMUL</v>
      </c>
      <c r="N10" s="38" t="s">
        <v>45</v>
      </c>
    </row>
    <row r="11" spans="1:28" hidden="1">
      <c r="A11" s="60" t="str">
        <f t="shared" si="1"/>
        <v>ENTITYLEI</v>
      </c>
      <c r="B11" s="34" t="s">
        <v>126</v>
      </c>
      <c r="C11" s="34" t="s">
        <v>5</v>
      </c>
      <c r="D11" s="34" t="str">
        <f>+UPPER('0. Instruções'!$D$35&amp;"."&amp;VLOOKUP(B11,'0. Instruções'!$C$27:$D$32,2,FALSE))</f>
        <v>CD_LOAN_TAPES_BCE.LT003_ENTITY</v>
      </c>
      <c r="E11" s="34" t="str">
        <f>+UPPER('0. Instruções'!$D$36&amp;"."&amp;VLOOKUP(B11,'0. Instruções'!$C$27:$E$32,3,FALSE))</f>
        <v>BU_LOANTAPE_WORK.LT003_ENTITY_SRB</v>
      </c>
      <c r="F11" s="34" t="s">
        <v>113</v>
      </c>
      <c r="G11" s="34"/>
      <c r="H11" s="34" t="s">
        <v>598</v>
      </c>
      <c r="I11" s="34" t="str">
        <f>"(SELECT "&amp;VLOOKUP(B11,'0. Instruções'!$C$27:$G$32,4,FALSE)&amp;", "&amp;F11&amp;" FROM "&amp;D11&amp;" WHERE "&amp;'0. Instruções'!$D$42&amp;")X"</f>
        <v>(SELECT entty_id, LEI FROM CD_LOAN_TAPES_BCE.LT003_ENTITY WHERE ref_date='${ref_date}' AND nome_perimetro='Individual Corporativo' AND segmento='ESTR' AND ambito='PM' AND entidade='00100')X</v>
      </c>
      <c r="J11" s="34" t="str">
        <f>"(SELECT "&amp;VLOOKUP(B11,'0. Instruções'!$C$27:$G$32,4,FALSE)&amp;" AS "&amp;VLOOKUP(B11,'0. Instruções'!$C$27:$G$32,4,FALSE)&amp;"_SIMUL, "&amp;F11&amp;" AS "&amp;F11&amp;"_SIMUL FROM "&amp;E11&amp;" WHERE "&amp;'0. Instruções'!$D$43&amp;")Y"</f>
        <v>(SELECT entty_id AS entty_id_SIMUL, LEI AS LEI_SIMUL FROM BU_LOANTAPE_WORK.LT003_ENTITY_SRB WHERE ref_date='${ref_date}' AND nome_perimetro='Individual Corporativo' AND segmento='ESTR' AND ambito='PILAR3' AND entidade='00100')Y</v>
      </c>
      <c r="K11" s="35" t="str">
        <f>+UPPER("ON X."&amp;VLOOKUP(B11,'0. Instruções'!$C$27:$G$32,4,FALSE)&amp;"=Y."&amp;VLOOKUP(B11,'0. Instruções'!$C$27:$G$32,4,FALSE)&amp;"_SIMUL")</f>
        <v>ON X.ENTTY_ID=Y.ENTTY_ID_SIMUL</v>
      </c>
      <c r="L11" s="35" t="str">
        <f>+IF(C11="Coerência", +IF(LEFT(G11,5)="FLOAT","SELECT '"&amp;UPPER(B11)&amp;"' AS TABELA, '"&amp;UPPER(C11)&amp;"' AS TIPOLOGIA_TESTE,'"&amp;D11&amp;"' AS TABELA_LT,'"&amp;E11&amp;"' AS TABELA_SIMUL,'"&amp;F11&amp;"' AS CAMPO, "&amp;"'${ref_date}' AS REF_DATE, COUNT(*) AS NUM_REG, SUM(IF((ABS(COALESCE(CAST(X."&amp;F11&amp;" AS DECIMAL(18,6)),0)-COALESCE(CAST(Y."&amp;F11&amp;"_SIMUL AS DECIMAL(18,6)),0))&gt;0.000001) OR (X."&amp;F11&amp;" IS NULL AND Y."&amp;F11&amp;"_SIMUL IS NOT NULL ) OR (X."&amp;F11&amp;" IS NOT NULL AND Y."&amp;F11&amp;"_SIMUL IS NULL),1,0)) AS NUM_REG_DIF,'"&amp;MAX('ID1&amp;5'!K:K)+1&amp;"' AS ID_EXEC, CURRENT_TIMESTAMP() AS TIME_EXEC FROM "&amp;I11&amp;" INNER JOIN "&amp;J11&amp;" "&amp;K11,"SELECT '"&amp;UPPER(B11)&amp;"' AS TABELA, '"&amp;UPPER(C11)&amp;"' AS TIPOLOGIA_TESTE,'"&amp;D11&amp;"' AS TABELA_LT,'"&amp;E11&amp;"' AS TABELA_SIMUL,'"&amp;F11&amp;"' AS CAMPO, "&amp;"'${ref_date}' AS REF_DATE, COUNT(*) AS NUM_REG, SUM(IF(COALESCE(CAST(X."&amp;F11&amp;" AS STRING),'')&lt;&gt;COALESCE(CAST(Y."&amp;F11&amp;"_SIMUL AS STRING),'') OR (X."&amp;F11&amp;" IS NULL AND Y."&amp;F11&amp;"_SIMUL IS NOT NULL ) OR (X."&amp;F11&amp;" IS NOT NULL AND Y."&amp;F11&amp;"_SIMUL IS NULL),1,0)) AS NUM_REG_DIF,'"&amp;MAX('ID1&amp;5'!L:L)+1&amp;"' AS ID_EXEC, CURRENT_TIMESTAMP() AS TIME_EXEC FROM "&amp;I11&amp;" INNER JOIN "&amp;J11&amp;" "&amp;K11),
IF(C11="Validade",+IF(G11="Code List","SELECT '"&amp;UPPER(B11)&amp;"' AS TABELA, '"&amp;UPPER(C11)&amp;"' AS TIPOLOGIA_TESTE,'"&amp;D11&amp;"' AS TABELA_LT,'N/A' AS TABELA_SIMUL,'"&amp;F11&amp;"' AS CAMPO, "&amp;"'${ref_date}' AS REF_DATE, COUNT(*) AS NUM_REG, SUM(IF(TRIM(CAST(X."&amp;F11&amp;" AS STRING))='' OR TRIM(CAST(X."&amp;F11&amp;" AS STRING)) IS NULL OR CAST(X."&amp;F11&amp;" AS STRING) NOT "&amp;H11&amp;",1,0)) AS NUM_REG_DIF,'"&amp;MAX('ID1&amp;5'!K:K)+1&amp;"' AS ID_EXEC, CURRENT_TIMESTAMP() AS TIME_EXEC FROM "&amp;I11,"SELECT '"&amp;UPPER(B11)&amp;"' AS TABELA, '"&amp;UPPER(C11)&amp;"' AS TIPOLOGIA_TESTE,'"&amp;D11&amp;"' AS TABELA_LT,'N/A' AS TABELA_SIMUL,'"&amp;F11&amp;"' AS CAMPO, "&amp;"'${ref_date}' AS REF_DATE, COUNT(*) AS NUM_REG, SUM(IF(TRIM(CAST(X."&amp;F11&amp;" AS STRING))='' OR TRIM(CAST(X."&amp;F11&amp;" AS STRING)) IS NULL,1,0)) AS NUM_REG_DIF,'"&amp;MAX('ID1&amp;5'!K:K)+1&amp;"' AS ID_EXEC, CURRENT_TIMESTAMP() AS TIME_EXEC FROM "&amp;I11),
IF(C11="Caracteres Especiais",+"SELECT '"&amp;UPPER(B11)&amp;"' AS TABELA, '"&amp;UPPER(C11)&amp;"' AS TIPOLOGIA_TESTE,'"&amp;D11&amp;"' AS TABELA_LT,'N/A' AS TABELA_SIMUL,'"&amp;F11&amp;"' AS CAMPO, "&amp;"'${ref_date}' AS REF_DATE, COUNT(*) AS NUM_REG, SUM(IF(REGEXP_REPLACE(TRIM(CAST(X."&amp;F11&amp;" AS STRING)),'[^a-zA-Z0-9_\\s]','') &lt;&gt;TRIM(CAST(X."&amp;F11&amp;" AS STRING)),1,0)) AS NUM_REG_DIF,'"&amp;MAX('ID1&amp;5'!K:K)+1&amp;"' AS ID_EXEC, CURRENT_TIMESTAMP() AS TIME_EXEC FROM "&amp;I11,
IF(C11="Missings",+"SELECT '"&amp;UPPER(B11)&amp;"' AS TABELA, '"&amp;UPPER(C11)&amp;"' AS TIPOLOGIA_TESTE,'"&amp;D11&amp;"' AS TABELA_LT,'N/A' AS TABELA_SIMUL,'"&amp;F11&amp;"' AS CAMPO, "&amp;"'${ref_date}' AS REF_DATE, COUNT(*) AS NUM_REG, SUM(IF(TRIM(CAST(X."&amp;F11&amp;" AS STRING)) IN ('0000-00-00','0001-01-01','9999-12-31','MISS','00000','99999999999','99999999999.00','99999999999.000000'),1,0)) AS NUM_REG_DIF,'"&amp;MAX('ID1&amp;5'!K:K)+1&amp;"' AS ID_EXEC, CURRENT_TIMESTAMP() AS TIME_EXEC FROM "&amp;I11,
IF(C11="Not applicable",+"SELECT '"&amp;UPPER(B11)&amp;"' AS TABELA, '"&amp;UPPER(C11)&amp;"' AS TIPOLOGIA_TESTE,'"&amp;D11&amp;"' AS TABELA_LT,'N/A' AS TABELA_SIMUL,'"&amp;F11&amp;"' AS CAMPO, "&amp;"'${ref_date}' AS REF_DATE, COUNT(*) AS NUM_REG, SUM(IF(TRIM(CAST(X."&amp;F11&amp;" AS STRING)) IN ('N/A','11111111111','11111111111.00','11111111111.000000','1111-11-11'),1,0)) AS NUM_REG_DIF,'"&amp;MAX('ID1&amp;5'!K:K)+1&amp;"' AS ID_EXEC, CURRENT_TIMESTAMP() AS TIME_EXEC FROM "&amp;I11,
IF(C11="Valores extremos",+"SELECT '"&amp;UPPER(B11)&amp;"' AS TABELA, '"&amp;UPPER(C11)&amp;"' AS TIPOLOGIA_TESTE,'"&amp;D11&amp;"' AS TABELA_LT,'N/A' AS TABELA_SIMUL,'"&amp;F11&amp;"' AS CAMPO, "&amp;"'${ref_date}' AS REF_DATE, CAST(MIN("&amp;F11&amp;") AS STRING) AS VALOR_MIN, CAST(MAX("&amp;F11&amp;") AS STRING) AS VALOR_MAX,'"&amp;MAX('ID1&amp;5'!K:K)+1&amp;"' AS ID_EXEC, CURRENT_TIMESTAMP() AS TIME_EXEC FROM "&amp;MID(I11,1,LEN(I11)-2)&amp;" AND CAST("&amp;F11&amp;"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TABELA_LT,'BU_LOANTAPE_WORK.LT003_ENTITY_SRB' AS TABELA_SIMUL,'LEI' AS CAMPO, '${ref_date}' AS REF_DATE, COUNT(*) AS NUM_REG, SUM(IF(COALESCE(CAST(X.LEI AS STRING),'')&lt;&gt;COALESCE(CAST(Y.LEI_SIMUL AS STRING),'') OR (X.LEI IS NULL AND Y.LEI_SIMUL IS NOT NULL ) OR (X.LEI IS NOT NULL AND Y.LEI_SIMUL IS NULL),1,0)) AS NUM_REG_DIF,'1' AS ID_EXEC, CURRENT_TIMESTAMP() AS TIME_EXEC FROM (SELECT entty_id, LEI FROM CD_LOAN_TAPES_BCE.LT003_ENTITY WHERE ref_date='${ref_date}' AND nome_perimetro='Individual Corporativo' AND segmento='ESTR' AND ambito='PM' AND entidade='00100')X INNER JOIN (SELECT entty_id AS entty_id_SIMUL, LEI AS LEI_SIMUL FROM BU_LOANTAPE_WORK.LT003_ENTITY_SRB WHERE ref_date='${ref_date}' AND nome_perimetro='Individual Corporativo' AND segmento='ESTR' AND ambito='PILAR3' AND entidade='00100')Y ON X.ENTTY_ID=Y.ENTTY_ID_SIMUL</v>
      </c>
      <c r="M11" s="36" t="str">
        <f t="shared" si="0"/>
        <v>UNION ALL SELECT 'ENTITY' AS TABELA, 'COERÊNCIA' AS TIPOLOGIA_TESTE,'CD_LOAN_TAPES_BCE.LT003_ENTITY' AS TABELA_LT,'BU_LOANTAPE_WORK.LT003_ENTITY_SRB' AS TABELA_SIMUL,'LEI' AS CAMPO, '${ref_date}' AS REF_DATE, COUNT(*) AS NUM_REG, SUM(IF(COALESCE(CAST(X.LEI AS STRING),'')&lt;&gt;COALESCE(CAST(Y.LEI_SIMUL AS STRING),'') OR (X.LEI IS NULL AND Y.LEI_SIMUL IS NOT NULL ) OR (X.LEI IS NOT NULL AND Y.LEI_SIMUL IS NULL),1,0)) AS NUM_REG_DIF,'1' AS ID_EXEC, CURRENT_TIMESTAMP() AS TIME_EXEC FROM (SELECT entty_id, LEI FROM CD_LOAN_TAPES_BCE.LT003_ENTITY WHERE ref_date='${ref_date}' AND nome_perimetro='Individual Corporativo' AND segmento='ESTR' AND ambito='PM' AND entidade='00100')X INNER JOIN (SELECT entty_id AS entty_id_SIMUL, LEI AS LEI_SIMUL FROM BU_LOANTAPE_WORK.LT003_ENTITY_SRB WHERE ref_date='${ref_date}' AND nome_perimetro='Individual Corporativo' AND segmento='ESTR' AND ambito='PILAR3' AND entidade='00100')Y ON X.ENTTY_ID=Y.ENTTY_ID_SIMUL</v>
      </c>
      <c r="N11" s="38" t="s">
        <v>45</v>
      </c>
    </row>
    <row r="12" spans="1:28" hidden="1">
      <c r="A12" s="60" t="str">
        <f t="shared" si="1"/>
        <v>ENTITYENTTY_NM</v>
      </c>
      <c r="B12" s="34" t="s">
        <v>126</v>
      </c>
      <c r="C12" s="34" t="s">
        <v>5</v>
      </c>
      <c r="D12" s="34" t="str">
        <f>+UPPER('0. Instruções'!$D$35&amp;"."&amp;VLOOKUP(B12,'0. Instruções'!$C$27:$D$32,2,FALSE))</f>
        <v>CD_LOAN_TAPES_BCE.LT003_ENTITY</v>
      </c>
      <c r="E12" s="34" t="str">
        <f>+UPPER('0. Instruções'!$D$36&amp;"."&amp;VLOOKUP(B12,'0. Instruções'!$C$27:$E$32,3,FALSE))</f>
        <v>BU_LOANTAPE_WORK.LT003_ENTITY_SRB</v>
      </c>
      <c r="F12" s="34" t="s">
        <v>333</v>
      </c>
      <c r="G12" s="34"/>
      <c r="H12" s="34" t="s">
        <v>597</v>
      </c>
      <c r="I12" s="34" t="str">
        <f>"(SELECT "&amp;VLOOKUP(B12,'0. Instruções'!$C$27:$G$32,4,FALSE)&amp;", "&amp;F12&amp;" FROM "&amp;D12&amp;" WHERE "&amp;'0. Instruções'!$D$42&amp;")X"</f>
        <v>(SELECT entty_id, ENTTY_NM FROM CD_LOAN_TAPES_BCE.LT003_ENTITY WHERE ref_date='${ref_date}' AND nome_perimetro='Individual Corporativo' AND segmento='ESTR' AND ambito='PM' AND entidade='00100')X</v>
      </c>
      <c r="J12" s="34" t="str">
        <f>"(SELECT "&amp;VLOOKUP(B12,'0. Instruções'!$C$27:$G$32,4,FALSE)&amp;" AS "&amp;VLOOKUP(B12,'0. Instruções'!$C$27:$G$32,4,FALSE)&amp;"_SIMUL, "&amp;F12&amp;" AS "&amp;F12&amp;"_SIMUL FROM "&amp;E12&amp;" WHERE "&amp;'0. Instruções'!$D$43&amp;")Y"</f>
        <v>(SELECT entty_id AS entty_id_SIMUL, ENTTY_NM AS ENTTY_NM_SIMUL FROM BU_LOANTAPE_WORK.LT003_ENTITY_SRB WHERE ref_date='${ref_date}' AND nome_perimetro='Individual Corporativo' AND segmento='ESTR' AND ambito='PILAR3' AND entidade='00100')Y</v>
      </c>
      <c r="K12" s="35" t="str">
        <f>+UPPER("ON X."&amp;VLOOKUP(B12,'0. Instruções'!$C$27:$G$32,4,FALSE)&amp;"=Y."&amp;VLOOKUP(B12,'0. Instruções'!$C$27:$G$32,4,FALSE)&amp;"_SIMUL")</f>
        <v>ON X.ENTTY_ID=Y.ENTTY_ID_SIMUL</v>
      </c>
      <c r="L12" s="35" t="str">
        <f>+IF(C12="Coerência", +IF(LEFT(G12,5)="FLOAT","SELECT '"&amp;UPPER(B12)&amp;"' AS TABELA, '"&amp;UPPER(C12)&amp;"' AS TIPOLOGIA_TESTE,'"&amp;D12&amp;"' AS TABELA_LT,'"&amp;E12&amp;"' AS TABELA_SIMUL,'"&amp;F12&amp;"' AS CAMPO, "&amp;"'${ref_date}' AS REF_DATE, COUNT(*) AS NUM_REG, SUM(IF((ABS(COALESCE(CAST(X."&amp;F12&amp;" AS DECIMAL(18,6)),0)-COALESCE(CAST(Y."&amp;F12&amp;"_SIMUL AS DECIMAL(18,6)),0))&gt;0.000001) OR (X."&amp;F12&amp;" IS NULL AND Y."&amp;F12&amp;"_SIMUL IS NOT NULL ) OR (X."&amp;F12&amp;" IS NOT NULL AND Y."&amp;F12&amp;"_SIMUL IS NULL),1,0)) AS NUM_REG_DIF,'"&amp;MAX('ID1&amp;5'!K:K)+1&amp;"' AS ID_EXEC, CURRENT_TIMESTAMP() AS TIME_EXEC FROM "&amp;I12&amp;" INNER JOIN "&amp;J12&amp;" "&amp;K12,"SELECT '"&amp;UPPER(B12)&amp;"' AS TABELA, '"&amp;UPPER(C12)&amp;"' AS TIPOLOGIA_TESTE,'"&amp;D12&amp;"' AS TABELA_LT,'"&amp;E12&amp;"' AS TABELA_SIMUL,'"&amp;F12&amp;"' AS CAMPO, "&amp;"'${ref_date}' AS REF_DATE, COUNT(*) AS NUM_REG, SUM(IF(COALESCE(CAST(X."&amp;F12&amp;" AS STRING),'')&lt;&gt;COALESCE(CAST(Y."&amp;F12&amp;"_SIMUL AS STRING),'') OR (X."&amp;F12&amp;" IS NULL AND Y."&amp;F12&amp;"_SIMUL IS NOT NULL ) OR (X."&amp;F12&amp;" IS NOT NULL AND Y."&amp;F12&amp;"_SIMUL IS NULL),1,0)) AS NUM_REG_DIF,'"&amp;MAX('ID1&amp;5'!L:L)+1&amp;"' AS ID_EXEC, CURRENT_TIMESTAMP() AS TIME_EXEC FROM "&amp;I12&amp;" INNER JOIN "&amp;J12&amp;" "&amp;K12),
IF(C12="Validade",+IF(G12="Code List","SELECT '"&amp;UPPER(B12)&amp;"' AS TABELA, '"&amp;UPPER(C12)&amp;"' AS TIPOLOGIA_TESTE,'"&amp;D12&amp;"' AS TABELA_LT,'N/A' AS TABELA_SIMUL,'"&amp;F12&amp;"' AS CAMPO, "&amp;"'${ref_date}' AS REF_DATE, COUNT(*) AS NUM_REG, SUM(IF(TRIM(CAST(X."&amp;F12&amp;" AS STRING))='' OR TRIM(CAST(X."&amp;F12&amp;" AS STRING)) IS NULL OR CAST(X."&amp;F12&amp;" AS STRING) NOT "&amp;H12&amp;",1,0)) AS NUM_REG_DIF,'"&amp;MAX('ID1&amp;5'!K:K)+1&amp;"' AS ID_EXEC, CURRENT_TIMESTAMP() AS TIME_EXEC FROM "&amp;I12,"SELECT '"&amp;UPPER(B12)&amp;"' AS TABELA, '"&amp;UPPER(C12)&amp;"' AS TIPOLOGIA_TESTE,'"&amp;D12&amp;"' AS TABELA_LT,'N/A' AS TABELA_SIMUL,'"&amp;F12&amp;"' AS CAMPO, "&amp;"'${ref_date}' AS REF_DATE, COUNT(*) AS NUM_REG, SUM(IF(TRIM(CAST(X."&amp;F12&amp;" AS STRING))='' OR TRIM(CAST(X."&amp;F12&amp;" AS STRING)) IS NULL,1,0)) AS NUM_REG_DIF,'"&amp;MAX('ID1&amp;5'!K:K)+1&amp;"' AS ID_EXEC, CURRENT_TIMESTAMP() AS TIME_EXEC FROM "&amp;I12),
IF(C12="Caracteres Especiais",+"SELECT '"&amp;UPPER(B12)&amp;"' AS TABELA, '"&amp;UPPER(C12)&amp;"' AS TIPOLOGIA_TESTE,'"&amp;D12&amp;"' AS TABELA_LT,'N/A' AS TABELA_SIMUL,'"&amp;F12&amp;"' AS CAMPO, "&amp;"'${ref_date}' AS REF_DATE, COUNT(*) AS NUM_REG, SUM(IF(REGEXP_REPLACE(TRIM(CAST(X."&amp;F12&amp;" AS STRING)),'[^a-zA-Z0-9_\\s]','') &lt;&gt;TRIM(CAST(X."&amp;F12&amp;" AS STRING)),1,0)) AS NUM_REG_DIF,'"&amp;MAX('ID1&amp;5'!K:K)+1&amp;"' AS ID_EXEC, CURRENT_TIMESTAMP() AS TIME_EXEC FROM "&amp;I12,
IF(C12="Missings",+"SELECT '"&amp;UPPER(B12)&amp;"' AS TABELA, '"&amp;UPPER(C12)&amp;"' AS TIPOLOGIA_TESTE,'"&amp;D12&amp;"' AS TABELA_LT,'N/A' AS TABELA_SIMUL,'"&amp;F12&amp;"' AS CAMPO, "&amp;"'${ref_date}' AS REF_DATE, COUNT(*) AS NUM_REG, SUM(IF(TRIM(CAST(X."&amp;F12&amp;" AS STRING)) IN ('0000-00-00','0001-01-01','9999-12-31','MISS','00000','99999999999','99999999999.00','99999999999.000000'),1,0)) AS NUM_REG_DIF,'"&amp;MAX('ID1&amp;5'!K:K)+1&amp;"' AS ID_EXEC, CURRENT_TIMESTAMP() AS TIME_EXEC FROM "&amp;I12,
IF(C12="Not applicable",+"SELECT '"&amp;UPPER(B12)&amp;"' AS TABELA, '"&amp;UPPER(C12)&amp;"' AS TIPOLOGIA_TESTE,'"&amp;D12&amp;"' AS TABELA_LT,'N/A' AS TABELA_SIMUL,'"&amp;F12&amp;"' AS CAMPO, "&amp;"'${ref_date}' AS REF_DATE, COUNT(*) AS NUM_REG, SUM(IF(TRIM(CAST(X."&amp;F12&amp;" AS STRING)) IN ('N/A','11111111111','11111111111.00','11111111111.000000','1111-11-11'),1,0)) AS NUM_REG_DIF,'"&amp;MAX('ID1&amp;5'!K:K)+1&amp;"' AS ID_EXEC, CURRENT_TIMESTAMP() AS TIME_EXEC FROM "&amp;I12,
IF(C12="Valores extremos",+"SELECT '"&amp;UPPER(B12)&amp;"' AS TABELA, '"&amp;UPPER(C12)&amp;"' AS TIPOLOGIA_TESTE,'"&amp;D12&amp;"' AS TABELA_LT,'N/A' AS TABELA_SIMUL,'"&amp;F12&amp;"' AS CAMPO, "&amp;"'${ref_date}' AS REF_DATE, CAST(MIN("&amp;F12&amp;") AS STRING) AS VALOR_MIN, CAST(MAX("&amp;F12&amp;") AS STRING) AS VALOR_MAX,'"&amp;MAX('ID1&amp;5'!K:K)+1&amp;"' AS ID_EXEC, CURRENT_TIMESTAMP() AS TIME_EXEC FROM "&amp;MID(I12,1,LEN(I12)-2)&amp;" AND CAST("&amp;F12&amp;"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TABELA_LT,'BU_LOANTAPE_WORK.LT003_ENTITY_SRB' AS TABELA_SIMUL,'ENTTY_NM' AS CAMPO, '${ref_date}' AS REF_DATE, COUNT(*) AS NUM_REG, SUM(IF(COALESCE(CAST(X.ENTTY_NM AS STRING),'')&lt;&gt;COALESCE(CAST(Y.ENTTY_NM_SIMUL AS STRING),'') OR (X.ENTTY_NM IS NULL AND Y.ENTTY_NM_SIMUL IS NOT NULL ) OR (X.ENTTY_NM IS NOT NULL AND Y.ENTTY_NM_SIMUL IS NULL),1,0)) AS NUM_REG_DIF,'1' AS ID_EXEC, CURRENT_TIMESTAMP() AS TIME_EXEC FROM (SELECT entty_id, ENTTY_NM FROM CD_LOAN_TAPES_BCE.LT003_ENTITY WHERE ref_date='${ref_date}' AND nome_perimetro='Individual Corporativo' AND segmento='ESTR' AND ambito='PM' AND entidade='00100')X INNER JOIN (SELECT entty_id AS entty_id_SIMUL, ENTTY_NM AS ENTTY_NM_SIMUL FROM BU_LOANTAPE_WORK.LT003_ENTITY_SRB WHERE ref_date='${ref_date}' AND nome_perimetro='Individual Corporativo' AND segmento='ESTR' AND ambito='PILAR3' AND entidade='00100')Y ON X.ENTTY_ID=Y.ENTTY_ID_SIMUL</v>
      </c>
      <c r="M12" s="36" t="str">
        <f t="shared" si="0"/>
        <v>UNION ALL SELECT 'ENTITY' AS TABELA, 'COERÊNCIA' AS TIPOLOGIA_TESTE,'CD_LOAN_TAPES_BCE.LT003_ENTITY' AS TABELA_LT,'BU_LOANTAPE_WORK.LT003_ENTITY_SRB' AS TABELA_SIMUL,'ENTTY_NM' AS CAMPO, '${ref_date}' AS REF_DATE, COUNT(*) AS NUM_REG, SUM(IF(COALESCE(CAST(X.ENTTY_NM AS STRING),'')&lt;&gt;COALESCE(CAST(Y.ENTTY_NM_SIMUL AS STRING),'') OR (X.ENTTY_NM IS NULL AND Y.ENTTY_NM_SIMUL IS NOT NULL ) OR (X.ENTTY_NM IS NOT NULL AND Y.ENTTY_NM_SIMUL IS NULL),1,0)) AS NUM_REG_DIF,'1' AS ID_EXEC, CURRENT_TIMESTAMP() AS TIME_EXEC FROM (SELECT entty_id, ENTTY_NM FROM CD_LOAN_TAPES_BCE.LT003_ENTITY WHERE ref_date='${ref_date}' AND nome_perimetro='Individual Corporativo' AND segmento='ESTR' AND ambito='PM' AND entidade='00100')X INNER JOIN (SELECT entty_id AS entty_id_SIMUL, ENTTY_NM AS ENTTY_NM_SIMUL FROM BU_LOANTAPE_WORK.LT003_ENTITY_SRB WHERE ref_date='${ref_date}' AND nome_perimetro='Individual Corporativo' AND segmento='ESTR' AND ambito='PILAR3' AND entidade='00100')Y ON X.ENTTY_ID=Y.ENTTY_ID_SIMUL</v>
      </c>
      <c r="N12" s="38" t="s">
        <v>45</v>
      </c>
    </row>
    <row r="13" spans="1:28" hidden="1">
      <c r="A13" s="60" t="str">
        <f t="shared" si="1"/>
        <v>ENTITYECNMC_ACTVTY</v>
      </c>
      <c r="B13" s="34" t="s">
        <v>126</v>
      </c>
      <c r="C13" s="34" t="s">
        <v>5</v>
      </c>
      <c r="D13" s="34" t="str">
        <f>+UPPER('0. Instruções'!$D$35&amp;"."&amp;VLOOKUP(B13,'0. Instruções'!$C$27:$D$32,2,FALSE))</f>
        <v>CD_LOAN_TAPES_BCE.LT003_ENTITY</v>
      </c>
      <c r="E13" s="34" t="str">
        <f>+UPPER('0. Instruções'!$D$36&amp;"."&amp;VLOOKUP(B13,'0. Instruções'!$C$27:$E$32,3,FALSE))</f>
        <v>BU_LOANTAPE_WORK.LT003_ENTITY_SRB</v>
      </c>
      <c r="F13" s="34" t="s">
        <v>114</v>
      </c>
      <c r="G13" s="34"/>
      <c r="H13" s="34" t="s">
        <v>88</v>
      </c>
      <c r="I13" s="34" t="str">
        <f>"(SELECT "&amp;VLOOKUP(B13,'0. Instruções'!$C$27:$G$32,4,FALSE)&amp;", "&amp;F13&amp;" FROM "&amp;D13&amp;" WHERE "&amp;'0. Instruções'!$D$42&amp;")X"</f>
        <v>(SELECT entty_id, ECNMC_ACTVTY FROM CD_LOAN_TAPES_BCE.LT003_ENTITY WHERE ref_date='${ref_date}' AND nome_perimetro='Individual Corporativo' AND segmento='ESTR' AND ambito='PM' AND entidade='00100')X</v>
      </c>
      <c r="J13" s="34" t="str">
        <f>"(SELECT "&amp;VLOOKUP(B13,'0. Instruções'!$C$27:$G$32,4,FALSE)&amp;" AS "&amp;VLOOKUP(B13,'0. Instruções'!$C$27:$G$32,4,FALSE)&amp;"_SIMUL, "&amp;F13&amp;" AS "&amp;F13&amp;"_SIMUL FROM "&amp;E13&amp;" WHERE "&amp;'0. Instruções'!$D$43&amp;")Y"</f>
        <v>(SELECT entty_id AS entty_id_SIMUL, ECNMC_ACTVTY AS ECNMC_ACTVTY_SIMUL FROM BU_LOANTAPE_WORK.LT003_ENTITY_SRB WHERE ref_date='${ref_date}' AND nome_perimetro='Individual Corporativo' AND segmento='ESTR' AND ambito='PILAR3' AND entidade='00100')Y</v>
      </c>
      <c r="K13" s="35" t="str">
        <f>+UPPER("ON X."&amp;VLOOKUP(B13,'0. Instruções'!$C$27:$G$32,4,FALSE)&amp;"=Y."&amp;VLOOKUP(B13,'0. Instruções'!$C$27:$G$32,4,FALSE)&amp;"_SIMUL")</f>
        <v>ON X.ENTTY_ID=Y.ENTTY_ID_SIMUL</v>
      </c>
      <c r="L13" s="35" t="str">
        <f>+IF(C13="Coerência", +IF(LEFT(G13,5)="FLOAT","SELECT '"&amp;UPPER(B13)&amp;"' AS TABELA, '"&amp;UPPER(C13)&amp;"' AS TIPOLOGIA_TESTE,'"&amp;D13&amp;"' AS TABELA_LT,'"&amp;E13&amp;"' AS TABELA_SIMUL,'"&amp;F13&amp;"' AS CAMPO, "&amp;"'${ref_date}' AS REF_DATE, COUNT(*) AS NUM_REG, SUM(IF((ABS(COALESCE(CAST(X."&amp;F13&amp;" AS DECIMAL(18,6)),0)-COALESCE(CAST(Y."&amp;F13&amp;"_SIMUL AS DECIMAL(18,6)),0))&gt;0.000001) OR (X."&amp;F13&amp;" IS NULL AND Y."&amp;F13&amp;"_SIMUL IS NOT NULL ) OR (X."&amp;F13&amp;" IS NOT NULL AND Y."&amp;F13&amp;"_SIMUL IS NULL),1,0)) AS NUM_REG_DIF,'"&amp;MAX('ID1&amp;5'!K:K)+1&amp;"' AS ID_EXEC, CURRENT_TIMESTAMP() AS TIME_EXEC FROM "&amp;I13&amp;" INNER JOIN "&amp;J13&amp;" "&amp;K13,"SELECT '"&amp;UPPER(B13)&amp;"' AS TABELA, '"&amp;UPPER(C13)&amp;"' AS TIPOLOGIA_TESTE,'"&amp;D13&amp;"' AS TABELA_LT,'"&amp;E13&amp;"' AS TABELA_SIMUL,'"&amp;F13&amp;"' AS CAMPO, "&amp;"'${ref_date}' AS REF_DATE, COUNT(*) AS NUM_REG, SUM(IF(COALESCE(CAST(X."&amp;F13&amp;" AS STRING),'')&lt;&gt;COALESCE(CAST(Y."&amp;F13&amp;"_SIMUL AS STRING),'') OR (X."&amp;F13&amp;" IS NULL AND Y."&amp;F13&amp;"_SIMUL IS NOT NULL ) OR (X."&amp;F13&amp;" IS NOT NULL AND Y."&amp;F13&amp;"_SIMUL IS NULL),1,0)) AS NUM_REG_DIF,'"&amp;MAX('ID1&amp;5'!L:L)+1&amp;"' AS ID_EXEC, CURRENT_TIMESTAMP() AS TIME_EXEC FROM "&amp;I13&amp;" INNER JOIN "&amp;J13&amp;" "&amp;K13),
IF(C13="Validade",+IF(G13="Code List","SELECT '"&amp;UPPER(B13)&amp;"' AS TABELA, '"&amp;UPPER(C13)&amp;"' AS TIPOLOGIA_TESTE,'"&amp;D13&amp;"' AS TABELA_LT,'N/A' AS TABELA_SIMUL,'"&amp;F13&amp;"' AS CAMPO, "&amp;"'${ref_date}' AS REF_DATE, COUNT(*) AS NUM_REG, SUM(IF(TRIM(CAST(X."&amp;F13&amp;" AS STRING))='' OR TRIM(CAST(X."&amp;F13&amp;" AS STRING)) IS NULL OR CAST(X."&amp;F13&amp;" AS STRING) NOT "&amp;H13&amp;",1,0)) AS NUM_REG_DIF,'"&amp;MAX('ID1&amp;5'!K:K)+1&amp;"' AS ID_EXEC, CURRENT_TIMESTAMP() AS TIME_EXEC FROM "&amp;I13,"SELECT '"&amp;UPPER(B13)&amp;"' AS TABELA, '"&amp;UPPER(C13)&amp;"' AS TIPOLOGIA_TESTE,'"&amp;D13&amp;"' AS TABELA_LT,'N/A' AS TABELA_SIMUL,'"&amp;F13&amp;"' AS CAMPO, "&amp;"'${ref_date}' AS REF_DATE, COUNT(*) AS NUM_REG, SUM(IF(TRIM(CAST(X."&amp;F13&amp;" AS STRING))='' OR TRIM(CAST(X."&amp;F13&amp;" AS STRING)) IS NULL,1,0)) AS NUM_REG_DIF,'"&amp;MAX('ID1&amp;5'!K:K)+1&amp;"' AS ID_EXEC, CURRENT_TIMESTAMP() AS TIME_EXEC FROM "&amp;I13),
IF(C13="Caracteres Especiais",+"SELECT '"&amp;UPPER(B13)&amp;"' AS TABELA, '"&amp;UPPER(C13)&amp;"' AS TIPOLOGIA_TESTE,'"&amp;D13&amp;"' AS TABELA_LT,'N/A' AS TABELA_SIMUL,'"&amp;F13&amp;"' AS CAMPO, "&amp;"'${ref_date}' AS REF_DATE, COUNT(*) AS NUM_REG, SUM(IF(REGEXP_REPLACE(TRIM(CAST(X."&amp;F13&amp;" AS STRING)),'[^a-zA-Z0-9_\\s]','') &lt;&gt;TRIM(CAST(X."&amp;F13&amp;" AS STRING)),1,0)) AS NUM_REG_DIF,'"&amp;MAX('ID1&amp;5'!K:K)+1&amp;"' AS ID_EXEC, CURRENT_TIMESTAMP() AS TIME_EXEC FROM "&amp;I13,
IF(C13="Missings",+"SELECT '"&amp;UPPER(B13)&amp;"' AS TABELA, '"&amp;UPPER(C13)&amp;"' AS TIPOLOGIA_TESTE,'"&amp;D13&amp;"' AS TABELA_LT,'N/A' AS TABELA_SIMUL,'"&amp;F13&amp;"' AS CAMPO, "&amp;"'${ref_date}' AS REF_DATE, COUNT(*) AS NUM_REG, SUM(IF(TRIM(CAST(X."&amp;F13&amp;" AS STRING)) IN ('0000-00-00','0001-01-01','9999-12-31','MISS','00000','99999999999','99999999999.00','99999999999.000000'),1,0)) AS NUM_REG_DIF,'"&amp;MAX('ID1&amp;5'!K:K)+1&amp;"' AS ID_EXEC, CURRENT_TIMESTAMP() AS TIME_EXEC FROM "&amp;I13,
IF(C13="Not applicable",+"SELECT '"&amp;UPPER(B13)&amp;"' AS TABELA, '"&amp;UPPER(C13)&amp;"' AS TIPOLOGIA_TESTE,'"&amp;D13&amp;"' AS TABELA_LT,'N/A' AS TABELA_SIMUL,'"&amp;F13&amp;"' AS CAMPO, "&amp;"'${ref_date}' AS REF_DATE, COUNT(*) AS NUM_REG, SUM(IF(TRIM(CAST(X."&amp;F13&amp;" AS STRING)) IN ('N/A','11111111111','11111111111.00','11111111111.000000','1111-11-11'),1,0)) AS NUM_REG_DIF,'"&amp;MAX('ID1&amp;5'!K:K)+1&amp;"' AS ID_EXEC, CURRENT_TIMESTAMP() AS TIME_EXEC FROM "&amp;I13,
IF(C13="Valores extremos",+"SELECT '"&amp;UPPER(B13)&amp;"' AS TABELA, '"&amp;UPPER(C13)&amp;"' AS TIPOLOGIA_TESTE,'"&amp;D13&amp;"' AS TABELA_LT,'N/A' AS TABELA_SIMUL,'"&amp;F13&amp;"' AS CAMPO, "&amp;"'${ref_date}' AS REF_DATE, CAST(MIN("&amp;F13&amp;") AS STRING) AS VALOR_MIN, CAST(MAX("&amp;F13&amp;") AS STRING) AS VALOR_MAX,'"&amp;MAX('ID1&amp;5'!K:K)+1&amp;"' AS ID_EXEC, CURRENT_TIMESTAMP() AS TIME_EXEC FROM "&amp;MID(I13,1,LEN(I13)-2)&amp;" AND CAST("&amp;F13&amp;"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TABELA_LT,'BU_LOANTAPE_WORK.LT003_ENTITY_SRB' AS TABELA_SIMUL,'ECNMC_ACTVTY' AS CAMPO, '${ref_date}' AS REF_DATE, COUNT(*) AS NUM_REG, SUM(IF(COALESCE(CAST(X.ECNMC_ACTVTY AS STRING),'')&lt;&gt;COALESCE(CAST(Y.ECNMC_ACTVTY_SIMUL AS STRING),'') OR (X.ECNMC_ACTVTY IS NULL AND Y.ECNMC_ACTVTY_SIMUL IS NOT NULL ) OR (X.ECNMC_ACTVTY IS NOT NULL AND Y.ECNMC_ACTVTY_SIMUL IS NULL),1,0)) AS NUM_REG_DIF,'1' AS ID_EXEC, CURRENT_TIMESTAMP() AS TIME_EXEC FROM (SELECT entty_id, ECNMC_ACTVTY FROM CD_LOAN_TAPES_BCE.LT003_ENTITY WHERE ref_date='${ref_date}' AND nome_perimetro='Individual Corporativo' AND segmento='ESTR' AND ambito='PM' AND entidade='00100')X INNER JOIN (SELECT entty_id AS entty_id_SIMUL, ECNMC_ACTVTY AS ECNMC_ACTVTY_SIMUL FROM BU_LOANTAPE_WORK.LT003_ENTITY_SRB WHERE ref_date='${ref_date}' AND nome_perimetro='Individual Corporativo' AND segmento='ESTR' AND ambito='PILAR3' AND entidade='00100')Y ON X.ENTTY_ID=Y.ENTTY_ID_SIMUL</v>
      </c>
      <c r="M13" s="36" t="str">
        <f t="shared" si="0"/>
        <v>UNION ALL SELECT 'ENTITY' AS TABELA, 'COERÊNCIA' AS TIPOLOGIA_TESTE,'CD_LOAN_TAPES_BCE.LT003_ENTITY' AS TABELA_LT,'BU_LOANTAPE_WORK.LT003_ENTITY_SRB' AS TABELA_SIMUL,'ECNMC_ACTVTY' AS CAMPO, '${ref_date}' AS REF_DATE, COUNT(*) AS NUM_REG, SUM(IF(COALESCE(CAST(X.ECNMC_ACTVTY AS STRING),'')&lt;&gt;COALESCE(CAST(Y.ECNMC_ACTVTY_SIMUL AS STRING),'') OR (X.ECNMC_ACTVTY IS NULL AND Y.ECNMC_ACTVTY_SIMUL IS NOT NULL ) OR (X.ECNMC_ACTVTY IS NOT NULL AND Y.ECNMC_ACTVTY_SIMUL IS NULL),1,0)) AS NUM_REG_DIF,'1' AS ID_EXEC, CURRENT_TIMESTAMP() AS TIME_EXEC FROM (SELECT entty_id, ECNMC_ACTVTY FROM CD_LOAN_TAPES_BCE.LT003_ENTITY WHERE ref_date='${ref_date}' AND nome_perimetro='Individual Corporativo' AND segmento='ESTR' AND ambito='PM' AND entidade='00100')X INNER JOIN (SELECT entty_id AS entty_id_SIMUL, ECNMC_ACTVTY AS ECNMC_ACTVTY_SIMUL FROM BU_LOANTAPE_WORK.LT003_ENTITY_SRB WHERE ref_date='${ref_date}' AND nome_perimetro='Individual Corporativo' AND segmento='ESTR' AND ambito='PILAR3' AND entidade='00100')Y ON X.ENTTY_ID=Y.ENTTY_ID_SIMUL</v>
      </c>
      <c r="N13" s="38" t="s">
        <v>45</v>
      </c>
    </row>
    <row r="14" spans="1:28" hidden="1">
      <c r="A14" s="60" t="str">
        <f t="shared" si="1"/>
        <v>ENTITYGRP_EQTY</v>
      </c>
      <c r="B14" s="34" t="s">
        <v>126</v>
      </c>
      <c r="C14" s="34" t="s">
        <v>5</v>
      </c>
      <c r="D14" s="34" t="str">
        <f>+UPPER('0. Instruções'!$D$35&amp;"."&amp;VLOOKUP(B14,'0. Instruções'!$C$27:$D$32,2,FALSE))</f>
        <v>CD_LOAN_TAPES_BCE.LT003_ENTITY</v>
      </c>
      <c r="E14" s="34" t="str">
        <f>+UPPER('0. Instruções'!$D$36&amp;"."&amp;VLOOKUP(B14,'0. Instruções'!$C$27:$E$32,3,FALSE))</f>
        <v>BU_LOANTAPE_WORK.LT003_ENTITY_SRB</v>
      </c>
      <c r="F14" s="34" t="s">
        <v>115</v>
      </c>
      <c r="G14" s="34"/>
      <c r="H14" s="34" t="s">
        <v>91</v>
      </c>
      <c r="I14" s="34" t="str">
        <f>"(SELECT "&amp;VLOOKUP(B14,'0. Instruções'!$C$27:$G$32,4,FALSE)&amp;", "&amp;F14&amp;" FROM "&amp;D14&amp;" WHERE "&amp;'0. Instruções'!$D$42&amp;")X"</f>
        <v>(SELECT entty_id, GRP_EQTY FROM CD_LOAN_TAPES_BCE.LT003_ENTITY WHERE ref_date='${ref_date}' AND nome_perimetro='Individual Corporativo' AND segmento='ESTR' AND ambito='PM' AND entidade='00100')X</v>
      </c>
      <c r="J14" s="34" t="str">
        <f>"(SELECT "&amp;VLOOKUP(B14,'0. Instruções'!$C$27:$G$32,4,FALSE)&amp;" AS "&amp;VLOOKUP(B14,'0. Instruções'!$C$27:$G$32,4,FALSE)&amp;"_SIMUL, "&amp;F14&amp;" AS "&amp;F14&amp;"_SIMUL FROM "&amp;E14&amp;" WHERE "&amp;'0. Instruções'!$D$43&amp;")Y"</f>
        <v>(SELECT entty_id AS entty_id_SIMUL, GRP_EQTY AS GRP_EQTY_SIMUL FROM BU_LOANTAPE_WORK.LT003_ENTITY_SRB WHERE ref_date='${ref_date}' AND nome_perimetro='Individual Corporativo' AND segmento='ESTR' AND ambito='PILAR3' AND entidade='00100')Y</v>
      </c>
      <c r="K14" s="35" t="str">
        <f>+UPPER("ON X."&amp;VLOOKUP(B14,'0. Instruções'!$C$27:$G$32,4,FALSE)&amp;"=Y."&amp;VLOOKUP(B14,'0. Instruções'!$C$27:$G$32,4,FALSE)&amp;"_SIMUL")</f>
        <v>ON X.ENTTY_ID=Y.ENTTY_ID_SIMUL</v>
      </c>
      <c r="L14" s="35" t="str">
        <f>+IF(C14="Coerência", +IF(LEFT(G14,5)="FLOAT","SELECT '"&amp;UPPER(B14)&amp;"' AS TABELA, '"&amp;UPPER(C14)&amp;"' AS TIPOLOGIA_TESTE,'"&amp;D14&amp;"' AS TABELA_LT,'"&amp;E14&amp;"' AS TABELA_SIMUL,'"&amp;F14&amp;"' AS CAMPO, "&amp;"'${ref_date}' AS REF_DATE, COUNT(*) AS NUM_REG, SUM(IF((ABS(COALESCE(CAST(X."&amp;F14&amp;" AS DECIMAL(18,6)),0)-COALESCE(CAST(Y."&amp;F14&amp;"_SIMUL AS DECIMAL(18,6)),0))&gt;0.000001) OR (X."&amp;F14&amp;" IS NULL AND Y."&amp;F14&amp;"_SIMUL IS NOT NULL ) OR (X."&amp;F14&amp;" IS NOT NULL AND Y."&amp;F14&amp;"_SIMUL IS NULL),1,0)) AS NUM_REG_DIF,'"&amp;MAX('ID1&amp;5'!K:K)+1&amp;"' AS ID_EXEC, CURRENT_TIMESTAMP() AS TIME_EXEC FROM "&amp;I14&amp;" INNER JOIN "&amp;J14&amp;" "&amp;K14,"SELECT '"&amp;UPPER(B14)&amp;"' AS TABELA, '"&amp;UPPER(C14)&amp;"' AS TIPOLOGIA_TESTE,'"&amp;D14&amp;"' AS TABELA_LT,'"&amp;E14&amp;"' AS TABELA_SIMUL,'"&amp;F14&amp;"' AS CAMPO, "&amp;"'${ref_date}' AS REF_DATE, COUNT(*) AS NUM_REG, SUM(IF(COALESCE(CAST(X."&amp;F14&amp;" AS STRING),'')&lt;&gt;COALESCE(CAST(Y."&amp;F14&amp;"_SIMUL AS STRING),'') OR (X."&amp;F14&amp;" IS NULL AND Y."&amp;F14&amp;"_SIMUL IS NOT NULL ) OR (X."&amp;F14&amp;" IS NOT NULL AND Y."&amp;F14&amp;"_SIMUL IS NULL),1,0)) AS NUM_REG_DIF,'"&amp;MAX('ID1&amp;5'!L:L)+1&amp;"' AS ID_EXEC, CURRENT_TIMESTAMP() AS TIME_EXEC FROM "&amp;I14&amp;" INNER JOIN "&amp;J14&amp;" "&amp;K14),
IF(C14="Validade",+IF(G14="Code List","SELECT '"&amp;UPPER(B14)&amp;"' AS TABELA, '"&amp;UPPER(C14)&amp;"' AS TIPOLOGIA_TESTE,'"&amp;D14&amp;"' AS TABELA_LT,'N/A' AS TABELA_SIMUL,'"&amp;F14&amp;"' AS CAMPO, "&amp;"'${ref_date}' AS REF_DATE, COUNT(*) AS NUM_REG, SUM(IF(TRIM(CAST(X."&amp;F14&amp;" AS STRING))='' OR TRIM(CAST(X."&amp;F14&amp;" AS STRING)) IS NULL OR CAST(X."&amp;F14&amp;" AS STRING) NOT "&amp;H14&amp;",1,0)) AS NUM_REG_DIF,'"&amp;MAX('ID1&amp;5'!K:K)+1&amp;"' AS ID_EXEC, CURRENT_TIMESTAMP() AS TIME_EXEC FROM "&amp;I14,"SELECT '"&amp;UPPER(B14)&amp;"' AS TABELA, '"&amp;UPPER(C14)&amp;"' AS TIPOLOGIA_TESTE,'"&amp;D14&amp;"' AS TABELA_LT,'N/A' AS TABELA_SIMUL,'"&amp;F14&amp;"' AS CAMPO, "&amp;"'${ref_date}' AS REF_DATE, COUNT(*) AS NUM_REG, SUM(IF(TRIM(CAST(X."&amp;F14&amp;" AS STRING))='' OR TRIM(CAST(X."&amp;F14&amp;" AS STRING)) IS NULL,1,0)) AS NUM_REG_DIF,'"&amp;MAX('ID1&amp;5'!K:K)+1&amp;"' AS ID_EXEC, CURRENT_TIMESTAMP() AS TIME_EXEC FROM "&amp;I14),
IF(C14="Caracteres Especiais",+"SELECT '"&amp;UPPER(B14)&amp;"' AS TABELA, '"&amp;UPPER(C14)&amp;"' AS TIPOLOGIA_TESTE,'"&amp;D14&amp;"' AS TABELA_LT,'N/A' AS TABELA_SIMUL,'"&amp;F14&amp;"' AS CAMPO, "&amp;"'${ref_date}' AS REF_DATE, COUNT(*) AS NUM_REG, SUM(IF(REGEXP_REPLACE(TRIM(CAST(X."&amp;F14&amp;" AS STRING)),'[^a-zA-Z0-9_\\s]','') &lt;&gt;TRIM(CAST(X."&amp;F14&amp;" AS STRING)),1,0)) AS NUM_REG_DIF,'"&amp;MAX('ID1&amp;5'!K:K)+1&amp;"' AS ID_EXEC, CURRENT_TIMESTAMP() AS TIME_EXEC FROM "&amp;I14,
IF(C14="Missings",+"SELECT '"&amp;UPPER(B14)&amp;"' AS TABELA, '"&amp;UPPER(C14)&amp;"' AS TIPOLOGIA_TESTE,'"&amp;D14&amp;"' AS TABELA_LT,'N/A' AS TABELA_SIMUL,'"&amp;F14&amp;"' AS CAMPO, "&amp;"'${ref_date}' AS REF_DATE, COUNT(*) AS NUM_REG, SUM(IF(TRIM(CAST(X."&amp;F14&amp;" AS STRING)) IN ('0000-00-00','0001-01-01','9999-12-31','MISS','00000','99999999999','99999999999.00','99999999999.000000'),1,0)) AS NUM_REG_DIF,'"&amp;MAX('ID1&amp;5'!K:K)+1&amp;"' AS ID_EXEC, CURRENT_TIMESTAMP() AS TIME_EXEC FROM "&amp;I14,
IF(C14="Not applicable",+"SELECT '"&amp;UPPER(B14)&amp;"' AS TABELA, '"&amp;UPPER(C14)&amp;"' AS TIPOLOGIA_TESTE,'"&amp;D14&amp;"' AS TABELA_LT,'N/A' AS TABELA_SIMUL,'"&amp;F14&amp;"' AS CAMPO, "&amp;"'${ref_date}' AS REF_DATE, COUNT(*) AS NUM_REG, SUM(IF(TRIM(CAST(X."&amp;F14&amp;" AS STRING)) IN ('N/A','11111111111','11111111111.00','11111111111.000000','1111-11-11'),1,0)) AS NUM_REG_DIF,'"&amp;MAX('ID1&amp;5'!K:K)+1&amp;"' AS ID_EXEC, CURRENT_TIMESTAMP() AS TIME_EXEC FROM "&amp;I14,
IF(C14="Valores extremos",+"SELECT '"&amp;UPPER(B14)&amp;"' AS TABELA, '"&amp;UPPER(C14)&amp;"' AS TIPOLOGIA_TESTE,'"&amp;D14&amp;"' AS TABELA_LT,'N/A' AS TABELA_SIMUL,'"&amp;F14&amp;"' AS CAMPO, "&amp;"'${ref_date}' AS REF_DATE, CAST(MIN("&amp;F14&amp;") AS STRING) AS VALOR_MIN, CAST(MAX("&amp;F14&amp;") AS STRING) AS VALOR_MAX,'"&amp;MAX('ID1&amp;5'!K:K)+1&amp;"' AS ID_EXEC, CURRENT_TIMESTAMP() AS TIME_EXEC FROM "&amp;MID(I14,1,LEN(I14)-2)&amp;" AND CAST("&amp;F14&amp;"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TABELA_LT,'BU_LOANTAPE_WORK.LT003_ENTITY_SRB' AS TABELA_SIMUL,'GRP_EQTY' AS CAMPO, '${ref_date}' AS REF_DATE, COUNT(*) AS NUM_REG, SUM(IF(COALESCE(CAST(X.GRP_EQTY AS STRING),'')&lt;&gt;COALESCE(CAST(Y.GRP_EQTY_SIMUL AS STRING),'') OR (X.GRP_EQTY IS NULL AND Y.GRP_EQTY_SIMUL IS NOT NULL ) OR (X.GRP_EQTY IS NOT NULL AND Y.GRP_EQTY_SIMUL IS NULL),1,0)) AS NUM_REG_DIF,'1' AS ID_EXEC, CURRENT_TIMESTAMP() AS TIME_EXEC FROM (SELECT entty_id, GRP_EQTY FROM CD_LOAN_TAPES_BCE.LT003_ENTITY WHERE ref_date='${ref_date}' AND nome_perimetro='Individual Corporativo' AND segmento='ESTR' AND ambito='PM' AND entidade='00100')X INNER JOIN (SELECT entty_id AS entty_id_SIMUL, GRP_EQTY AS GRP_EQTY_SIMUL FROM BU_LOANTAPE_WORK.LT003_ENTITY_SRB WHERE ref_date='${ref_date}' AND nome_perimetro='Individual Corporativo' AND segmento='ESTR' AND ambito='PILAR3' AND entidade='00100')Y ON X.ENTTY_ID=Y.ENTTY_ID_SIMUL</v>
      </c>
      <c r="M14" s="36" t="str">
        <f t="shared" si="0"/>
        <v>UNION ALL SELECT 'ENTITY' AS TABELA, 'COERÊNCIA' AS TIPOLOGIA_TESTE,'CD_LOAN_TAPES_BCE.LT003_ENTITY' AS TABELA_LT,'BU_LOANTAPE_WORK.LT003_ENTITY_SRB' AS TABELA_SIMUL,'GRP_EQTY' AS CAMPO, '${ref_date}' AS REF_DATE, COUNT(*) AS NUM_REG, SUM(IF(COALESCE(CAST(X.GRP_EQTY AS STRING),'')&lt;&gt;COALESCE(CAST(Y.GRP_EQTY_SIMUL AS STRING),'') OR (X.GRP_EQTY IS NULL AND Y.GRP_EQTY_SIMUL IS NOT NULL ) OR (X.GRP_EQTY IS NOT NULL AND Y.GRP_EQTY_SIMUL IS NULL),1,0)) AS NUM_REG_DIF,'1' AS ID_EXEC, CURRENT_TIMESTAMP() AS TIME_EXEC FROM (SELECT entty_id, GRP_EQTY FROM CD_LOAN_TAPES_BCE.LT003_ENTITY WHERE ref_date='${ref_date}' AND nome_perimetro='Individual Corporativo' AND segmento='ESTR' AND ambito='PM' AND entidade='00100')X INNER JOIN (SELECT entty_id AS entty_id_SIMUL, GRP_EQTY AS GRP_EQTY_SIMUL FROM BU_LOANTAPE_WORK.LT003_ENTITY_SRB WHERE ref_date='${ref_date}' AND nome_perimetro='Individual Corporativo' AND segmento='ESTR' AND ambito='PILAR3' AND entidade='00100')Y ON X.ENTTY_ID=Y.ENTTY_ID_SIMUL</v>
      </c>
      <c r="N14" s="38" t="s">
        <v>45</v>
      </c>
    </row>
    <row r="15" spans="1:28" hidden="1">
      <c r="A15" s="60" t="str">
        <f t="shared" si="1"/>
        <v>ENTITYANNL_TRNVR_LE</v>
      </c>
      <c r="B15" s="34" t="s">
        <v>126</v>
      </c>
      <c r="C15" s="34" t="s">
        <v>5</v>
      </c>
      <c r="D15" s="34" t="str">
        <f>+UPPER('0. Instruções'!$D$35&amp;"."&amp;VLOOKUP(B15,'0. Instruções'!$C$27:$D$32,2,FALSE))</f>
        <v>CD_LOAN_TAPES_BCE.LT003_ENTITY</v>
      </c>
      <c r="E15" s="34" t="str">
        <f>+UPPER('0. Instruções'!$D$36&amp;"."&amp;VLOOKUP(B15,'0. Instruções'!$C$27:$E$32,3,FALSE))</f>
        <v>BU_LOANTAPE_WORK.LT003_ENTITY_SRB</v>
      </c>
      <c r="F15" s="34" t="s">
        <v>116</v>
      </c>
      <c r="G15" s="34"/>
      <c r="H15" s="34" t="s">
        <v>91</v>
      </c>
      <c r="I15" s="34" t="str">
        <f>"(SELECT "&amp;VLOOKUP(B15,'0. Instruções'!$C$27:$G$32,4,FALSE)&amp;", "&amp;F15&amp;" FROM "&amp;D15&amp;" WHERE "&amp;'0. Instruções'!$D$42&amp;")X"</f>
        <v>(SELECT entty_id, ANNL_TRNVR_LE FROM CD_LOAN_TAPES_BCE.LT003_ENTITY WHERE ref_date='${ref_date}' AND nome_perimetro='Individual Corporativo' AND segmento='ESTR' AND ambito='PM' AND entidade='00100')X</v>
      </c>
      <c r="J15" s="34" t="str">
        <f>"(SELECT "&amp;VLOOKUP(B15,'0. Instruções'!$C$27:$G$32,4,FALSE)&amp;" AS "&amp;VLOOKUP(B15,'0. Instruções'!$C$27:$G$32,4,FALSE)&amp;"_SIMUL, "&amp;F15&amp;" AS "&amp;F15&amp;"_SIMUL FROM "&amp;E15&amp;" WHERE "&amp;'0. Instruções'!$D$43&amp;")Y"</f>
        <v>(SELECT entty_id AS entty_id_SIMUL, ANNL_TRNVR_LE AS ANNL_TRNVR_LE_SIMUL FROM BU_LOANTAPE_WORK.LT003_ENTITY_SRB WHERE ref_date='${ref_date}' AND nome_perimetro='Individual Corporativo' AND segmento='ESTR' AND ambito='PILAR3' AND entidade='00100')Y</v>
      </c>
      <c r="K15" s="35" t="str">
        <f>+UPPER("ON X."&amp;VLOOKUP(B15,'0. Instruções'!$C$27:$G$32,4,FALSE)&amp;"=Y."&amp;VLOOKUP(B15,'0. Instruções'!$C$27:$G$32,4,FALSE)&amp;"_SIMUL")</f>
        <v>ON X.ENTTY_ID=Y.ENTTY_ID_SIMUL</v>
      </c>
      <c r="L15" s="35" t="str">
        <f>+IF(C15="Coerência", +IF(LEFT(G15,5)="FLOAT","SELECT '"&amp;UPPER(B15)&amp;"' AS TABELA, '"&amp;UPPER(C15)&amp;"' AS TIPOLOGIA_TESTE,'"&amp;D15&amp;"' AS TABELA_LT,'"&amp;E15&amp;"' AS TABELA_SIMUL,'"&amp;F15&amp;"' AS CAMPO, "&amp;"'${ref_date}' AS REF_DATE, COUNT(*) AS NUM_REG, SUM(IF((ABS(COALESCE(CAST(X."&amp;F15&amp;" AS DECIMAL(18,6)),0)-COALESCE(CAST(Y."&amp;F15&amp;"_SIMUL AS DECIMAL(18,6)),0))&gt;0.000001) OR (X."&amp;F15&amp;" IS NULL AND Y."&amp;F15&amp;"_SIMUL IS NOT NULL ) OR (X."&amp;F15&amp;" IS NOT NULL AND Y."&amp;F15&amp;"_SIMUL IS NULL),1,0)) AS NUM_REG_DIF,'"&amp;MAX('ID1&amp;5'!K:K)+1&amp;"' AS ID_EXEC, CURRENT_TIMESTAMP() AS TIME_EXEC FROM "&amp;I15&amp;" INNER JOIN "&amp;J15&amp;" "&amp;K15,"SELECT '"&amp;UPPER(B15)&amp;"' AS TABELA, '"&amp;UPPER(C15)&amp;"' AS TIPOLOGIA_TESTE,'"&amp;D15&amp;"' AS TABELA_LT,'"&amp;E15&amp;"' AS TABELA_SIMUL,'"&amp;F15&amp;"' AS CAMPO, "&amp;"'${ref_date}' AS REF_DATE, COUNT(*) AS NUM_REG, SUM(IF(COALESCE(CAST(X."&amp;F15&amp;" AS STRING),'')&lt;&gt;COALESCE(CAST(Y."&amp;F15&amp;"_SIMUL AS STRING),'') OR (X."&amp;F15&amp;" IS NULL AND Y."&amp;F15&amp;"_SIMUL IS NOT NULL ) OR (X."&amp;F15&amp;" IS NOT NULL AND Y."&amp;F15&amp;"_SIMUL IS NULL),1,0)) AS NUM_REG_DIF,'"&amp;MAX('ID1&amp;5'!L:L)+1&amp;"' AS ID_EXEC, CURRENT_TIMESTAMP() AS TIME_EXEC FROM "&amp;I15&amp;" INNER JOIN "&amp;J15&amp;" "&amp;K15),
IF(C15="Validade",+IF(G15="Code List","SELECT '"&amp;UPPER(B15)&amp;"' AS TABELA, '"&amp;UPPER(C15)&amp;"' AS TIPOLOGIA_TESTE,'"&amp;D15&amp;"' AS TABELA_LT,'N/A' AS TABELA_SIMUL,'"&amp;F15&amp;"' AS CAMPO, "&amp;"'${ref_date}' AS REF_DATE, COUNT(*) AS NUM_REG, SUM(IF(TRIM(CAST(X."&amp;F15&amp;" AS STRING))='' OR TRIM(CAST(X."&amp;F15&amp;" AS STRING)) IS NULL OR CAST(X."&amp;F15&amp;" AS STRING) NOT "&amp;H15&amp;",1,0)) AS NUM_REG_DIF,'"&amp;MAX('ID1&amp;5'!K:K)+1&amp;"' AS ID_EXEC, CURRENT_TIMESTAMP() AS TIME_EXEC FROM "&amp;I15,"SELECT '"&amp;UPPER(B15)&amp;"' AS TABELA, '"&amp;UPPER(C15)&amp;"' AS TIPOLOGIA_TESTE,'"&amp;D15&amp;"' AS TABELA_LT,'N/A' AS TABELA_SIMUL,'"&amp;F15&amp;"' AS CAMPO, "&amp;"'${ref_date}' AS REF_DATE, COUNT(*) AS NUM_REG, SUM(IF(TRIM(CAST(X."&amp;F15&amp;" AS STRING))='' OR TRIM(CAST(X."&amp;F15&amp;" AS STRING)) IS NULL,1,0)) AS NUM_REG_DIF,'"&amp;MAX('ID1&amp;5'!K:K)+1&amp;"' AS ID_EXEC, CURRENT_TIMESTAMP() AS TIME_EXEC FROM "&amp;I15),
IF(C15="Caracteres Especiais",+"SELECT '"&amp;UPPER(B15)&amp;"' AS TABELA, '"&amp;UPPER(C15)&amp;"' AS TIPOLOGIA_TESTE,'"&amp;D15&amp;"' AS TABELA_LT,'N/A' AS TABELA_SIMUL,'"&amp;F15&amp;"' AS CAMPO, "&amp;"'${ref_date}' AS REF_DATE, COUNT(*) AS NUM_REG, SUM(IF(REGEXP_REPLACE(TRIM(CAST(X."&amp;F15&amp;" AS STRING)),'[^a-zA-Z0-9_\\s]','') &lt;&gt;TRIM(CAST(X."&amp;F15&amp;" AS STRING)),1,0)) AS NUM_REG_DIF,'"&amp;MAX('ID1&amp;5'!K:K)+1&amp;"' AS ID_EXEC, CURRENT_TIMESTAMP() AS TIME_EXEC FROM "&amp;I15,
IF(C15="Missings",+"SELECT '"&amp;UPPER(B15)&amp;"' AS TABELA, '"&amp;UPPER(C15)&amp;"' AS TIPOLOGIA_TESTE,'"&amp;D15&amp;"' AS TABELA_LT,'N/A' AS TABELA_SIMUL,'"&amp;F15&amp;"' AS CAMPO, "&amp;"'${ref_date}' AS REF_DATE, COUNT(*) AS NUM_REG, SUM(IF(TRIM(CAST(X."&amp;F15&amp;" AS STRING)) IN ('0000-00-00','0001-01-01','9999-12-31','MISS','00000','99999999999','99999999999.00','99999999999.000000'),1,0)) AS NUM_REG_DIF,'"&amp;MAX('ID1&amp;5'!K:K)+1&amp;"' AS ID_EXEC, CURRENT_TIMESTAMP() AS TIME_EXEC FROM "&amp;I15,
IF(C15="Not applicable",+"SELECT '"&amp;UPPER(B15)&amp;"' AS TABELA, '"&amp;UPPER(C15)&amp;"' AS TIPOLOGIA_TESTE,'"&amp;D15&amp;"' AS TABELA_LT,'N/A' AS TABELA_SIMUL,'"&amp;F15&amp;"' AS CAMPO, "&amp;"'${ref_date}' AS REF_DATE, COUNT(*) AS NUM_REG, SUM(IF(TRIM(CAST(X."&amp;F15&amp;" AS STRING)) IN ('N/A','11111111111','11111111111.00','11111111111.000000','1111-11-11'),1,0)) AS NUM_REG_DIF,'"&amp;MAX('ID1&amp;5'!K:K)+1&amp;"' AS ID_EXEC, CURRENT_TIMESTAMP() AS TIME_EXEC FROM "&amp;I15,
IF(C15="Valores extremos",+"SELECT '"&amp;UPPER(B15)&amp;"' AS TABELA, '"&amp;UPPER(C15)&amp;"' AS TIPOLOGIA_TESTE,'"&amp;D15&amp;"' AS TABELA_LT,'N/A' AS TABELA_SIMUL,'"&amp;F15&amp;"' AS CAMPO, "&amp;"'${ref_date}' AS REF_DATE, CAST(MIN("&amp;F15&amp;") AS STRING) AS VALOR_MIN, CAST(MAX("&amp;F15&amp;") AS STRING) AS VALOR_MAX,'"&amp;MAX('ID1&amp;5'!K:K)+1&amp;"' AS ID_EXEC, CURRENT_TIMESTAMP() AS TIME_EXEC FROM "&amp;MID(I15,1,LEN(I15)-2)&amp;" AND CAST("&amp;F15&amp;"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TABELA_LT,'BU_LOANTAPE_WORK.LT003_ENTITY_SRB' AS TABELA_SIMUL,'ANNL_TRNVR_LE' AS CAMPO, '${ref_date}' AS REF_DATE, COUNT(*) AS NUM_REG, SUM(IF(COALESCE(CAST(X.ANNL_TRNVR_LE AS STRING),'')&lt;&gt;COALESCE(CAST(Y.ANNL_TRNVR_LE_SIMUL AS STRING),'') OR (X.ANNL_TRNVR_LE IS NULL AND Y.ANNL_TRNVR_LE_SIMUL IS NOT NULL ) OR (X.ANNL_TRNVR_LE IS NOT NULL AND Y.ANNL_TRNVR_LE_SIMUL IS NULL),1,0)) AS NUM_REG_DIF,'1' AS ID_EXEC, CURRENT_TIMESTAMP() AS TIME_EXEC FROM (SELECT entty_id, ANNL_TRNVR_LE FROM CD_LOAN_TAPES_BCE.LT003_ENTITY WHERE ref_date='${ref_date}' AND nome_perimetro='Individual Corporativo' AND segmento='ESTR' AND ambito='PM' AND entidade='00100')X INNER JOIN (SELECT entty_id AS entty_id_SIMUL, ANNL_TRNVR_LE AS ANNL_TRNVR_LE_SIMUL FROM BU_LOANTAPE_WORK.LT003_ENTITY_SRB WHERE ref_date='${ref_date}' AND nome_perimetro='Individual Corporativo' AND segmento='ESTR' AND ambito='PILAR3' AND entidade='00100')Y ON X.ENTTY_ID=Y.ENTTY_ID_SIMUL</v>
      </c>
      <c r="M15" s="36" t="str">
        <f t="shared" si="0"/>
        <v>UNION ALL SELECT 'ENTITY' AS TABELA, 'COERÊNCIA' AS TIPOLOGIA_TESTE,'CD_LOAN_TAPES_BCE.LT003_ENTITY' AS TABELA_LT,'BU_LOANTAPE_WORK.LT003_ENTITY_SRB' AS TABELA_SIMUL,'ANNL_TRNVR_LE' AS CAMPO, '${ref_date}' AS REF_DATE, COUNT(*) AS NUM_REG, SUM(IF(COALESCE(CAST(X.ANNL_TRNVR_LE AS STRING),'')&lt;&gt;COALESCE(CAST(Y.ANNL_TRNVR_LE_SIMUL AS STRING),'') OR (X.ANNL_TRNVR_LE IS NULL AND Y.ANNL_TRNVR_LE_SIMUL IS NOT NULL ) OR (X.ANNL_TRNVR_LE IS NOT NULL AND Y.ANNL_TRNVR_LE_SIMUL IS NULL),1,0)) AS NUM_REG_DIF,'1' AS ID_EXEC, CURRENT_TIMESTAMP() AS TIME_EXEC FROM (SELECT entty_id, ANNL_TRNVR_LE FROM CD_LOAN_TAPES_BCE.LT003_ENTITY WHERE ref_date='${ref_date}' AND nome_perimetro='Individual Corporativo' AND segmento='ESTR' AND ambito='PM' AND entidade='00100')X INNER JOIN (SELECT entty_id AS entty_id_SIMUL, ANNL_TRNVR_LE AS ANNL_TRNVR_LE_SIMUL FROM BU_LOANTAPE_WORK.LT003_ENTITY_SRB WHERE ref_date='${ref_date}' AND nome_perimetro='Individual Corporativo' AND segmento='ESTR' AND ambito='PILAR3' AND entidade='00100')Y ON X.ENTTY_ID=Y.ENTTY_ID_SIMUL</v>
      </c>
      <c r="N15" s="38" t="s">
        <v>45</v>
      </c>
    </row>
    <row r="16" spans="1:28" hidden="1">
      <c r="A16" s="60" t="str">
        <f t="shared" si="1"/>
        <v>ENTITYEQTY</v>
      </c>
      <c r="B16" s="34" t="s">
        <v>126</v>
      </c>
      <c r="C16" s="34" t="s">
        <v>5</v>
      </c>
      <c r="D16" s="34" t="str">
        <f>+UPPER('0. Instruções'!$D$35&amp;"."&amp;VLOOKUP(B16,'0. Instruções'!$C$27:$D$32,2,FALSE))</f>
        <v>CD_LOAN_TAPES_BCE.LT003_ENTITY</v>
      </c>
      <c r="E16" s="34" t="str">
        <f>+UPPER('0. Instruções'!$D$36&amp;"."&amp;VLOOKUP(B16,'0. Instruções'!$C$27:$E$32,3,FALSE))</f>
        <v>BU_LOANTAPE_WORK.LT003_ENTITY_SRB</v>
      </c>
      <c r="F16" s="34" t="s">
        <v>117</v>
      </c>
      <c r="G16" s="34"/>
      <c r="H16" s="34" t="s">
        <v>91</v>
      </c>
      <c r="I16" s="34" t="str">
        <f>"(SELECT "&amp;VLOOKUP(B16,'0. Instruções'!$C$27:$G$32,4,FALSE)&amp;", "&amp;F16&amp;" FROM "&amp;D16&amp;" WHERE "&amp;'0. Instruções'!$D$42&amp;")X"</f>
        <v>(SELECT entty_id, EQTY FROM CD_LOAN_TAPES_BCE.LT003_ENTITY WHERE ref_date='${ref_date}' AND nome_perimetro='Individual Corporativo' AND segmento='ESTR' AND ambito='PM' AND entidade='00100')X</v>
      </c>
      <c r="J16" s="34" t="str">
        <f>"(SELECT "&amp;VLOOKUP(B16,'0. Instruções'!$C$27:$G$32,4,FALSE)&amp;" AS "&amp;VLOOKUP(B16,'0. Instruções'!$C$27:$G$32,4,FALSE)&amp;"_SIMUL, "&amp;F16&amp;" AS "&amp;F16&amp;"_SIMUL FROM "&amp;E16&amp;" WHERE "&amp;'0. Instruções'!$D$43&amp;")Y"</f>
        <v>(SELECT entty_id AS entty_id_SIMUL, EQTY AS EQTY_SIMUL FROM BU_LOANTAPE_WORK.LT003_ENTITY_SRB WHERE ref_date='${ref_date}' AND nome_perimetro='Individual Corporativo' AND segmento='ESTR' AND ambito='PILAR3' AND entidade='00100')Y</v>
      </c>
      <c r="K16" s="35" t="str">
        <f>+UPPER("ON X."&amp;VLOOKUP(B16,'0. Instruções'!$C$27:$G$32,4,FALSE)&amp;"=Y."&amp;VLOOKUP(B16,'0. Instruções'!$C$27:$G$32,4,FALSE)&amp;"_SIMUL")</f>
        <v>ON X.ENTTY_ID=Y.ENTTY_ID_SIMUL</v>
      </c>
      <c r="L16" s="35" t="str">
        <f>+IF(C16="Coerência", +IF(LEFT(G16,5)="FLOAT","SELECT '"&amp;UPPER(B16)&amp;"' AS TABELA, '"&amp;UPPER(C16)&amp;"' AS TIPOLOGIA_TESTE,'"&amp;D16&amp;"' AS TABELA_LT,'"&amp;E16&amp;"' AS TABELA_SIMUL,'"&amp;F16&amp;"' AS CAMPO, "&amp;"'${ref_date}' AS REF_DATE, COUNT(*) AS NUM_REG, SUM(IF((ABS(COALESCE(CAST(X."&amp;F16&amp;" AS DECIMAL(18,6)),0)-COALESCE(CAST(Y."&amp;F16&amp;"_SIMUL AS DECIMAL(18,6)),0))&gt;0.000001) OR (X."&amp;F16&amp;" IS NULL AND Y."&amp;F16&amp;"_SIMUL IS NOT NULL ) OR (X."&amp;F16&amp;" IS NOT NULL AND Y."&amp;F16&amp;"_SIMUL IS NULL),1,0)) AS NUM_REG_DIF,'"&amp;MAX('ID1&amp;5'!K:K)+1&amp;"' AS ID_EXEC, CURRENT_TIMESTAMP() AS TIME_EXEC FROM "&amp;I16&amp;" INNER JOIN "&amp;J16&amp;" "&amp;K16,"SELECT '"&amp;UPPER(B16)&amp;"' AS TABELA, '"&amp;UPPER(C16)&amp;"' AS TIPOLOGIA_TESTE,'"&amp;D16&amp;"' AS TABELA_LT,'"&amp;E16&amp;"' AS TABELA_SIMUL,'"&amp;F16&amp;"' AS CAMPO, "&amp;"'${ref_date}' AS REF_DATE, COUNT(*) AS NUM_REG, SUM(IF(COALESCE(CAST(X."&amp;F16&amp;" AS STRING),'')&lt;&gt;COALESCE(CAST(Y."&amp;F16&amp;"_SIMUL AS STRING),'') OR (X."&amp;F16&amp;" IS NULL AND Y."&amp;F16&amp;"_SIMUL IS NOT NULL ) OR (X."&amp;F16&amp;" IS NOT NULL AND Y."&amp;F16&amp;"_SIMUL IS NULL),1,0)) AS NUM_REG_DIF,'"&amp;MAX('ID1&amp;5'!L:L)+1&amp;"' AS ID_EXEC, CURRENT_TIMESTAMP() AS TIME_EXEC FROM "&amp;I16&amp;" INNER JOIN "&amp;J16&amp;" "&amp;K16),
IF(C16="Validade",+IF(G16="Code List","SELECT '"&amp;UPPER(B16)&amp;"' AS TABELA, '"&amp;UPPER(C16)&amp;"' AS TIPOLOGIA_TESTE,'"&amp;D16&amp;"' AS TABELA_LT,'N/A' AS TABELA_SIMUL,'"&amp;F16&amp;"' AS CAMPO, "&amp;"'${ref_date}' AS REF_DATE, COUNT(*) AS NUM_REG, SUM(IF(TRIM(CAST(X."&amp;F16&amp;" AS STRING))='' OR TRIM(CAST(X."&amp;F16&amp;" AS STRING)) IS NULL OR CAST(X."&amp;F16&amp;" AS STRING) NOT "&amp;H16&amp;",1,0)) AS NUM_REG_DIF,'"&amp;MAX('ID1&amp;5'!K:K)+1&amp;"' AS ID_EXEC, CURRENT_TIMESTAMP() AS TIME_EXEC FROM "&amp;I16,"SELECT '"&amp;UPPER(B16)&amp;"' AS TABELA, '"&amp;UPPER(C16)&amp;"' AS TIPOLOGIA_TESTE,'"&amp;D16&amp;"' AS TABELA_LT,'N/A' AS TABELA_SIMUL,'"&amp;F16&amp;"' AS CAMPO, "&amp;"'${ref_date}' AS REF_DATE, COUNT(*) AS NUM_REG, SUM(IF(TRIM(CAST(X."&amp;F16&amp;" AS STRING))='' OR TRIM(CAST(X."&amp;F16&amp;" AS STRING)) IS NULL,1,0)) AS NUM_REG_DIF,'"&amp;MAX('ID1&amp;5'!K:K)+1&amp;"' AS ID_EXEC, CURRENT_TIMESTAMP() AS TIME_EXEC FROM "&amp;I16),
IF(C16="Caracteres Especiais",+"SELECT '"&amp;UPPER(B16)&amp;"' AS TABELA, '"&amp;UPPER(C16)&amp;"' AS TIPOLOGIA_TESTE,'"&amp;D16&amp;"' AS TABELA_LT,'N/A' AS TABELA_SIMUL,'"&amp;F16&amp;"' AS CAMPO, "&amp;"'${ref_date}' AS REF_DATE, COUNT(*) AS NUM_REG, SUM(IF(REGEXP_REPLACE(TRIM(CAST(X."&amp;F16&amp;" AS STRING)),'[^a-zA-Z0-9_\\s]','') &lt;&gt;TRIM(CAST(X."&amp;F16&amp;" AS STRING)),1,0)) AS NUM_REG_DIF,'"&amp;MAX('ID1&amp;5'!K:K)+1&amp;"' AS ID_EXEC, CURRENT_TIMESTAMP() AS TIME_EXEC FROM "&amp;I16,
IF(C16="Missings",+"SELECT '"&amp;UPPER(B16)&amp;"' AS TABELA, '"&amp;UPPER(C16)&amp;"' AS TIPOLOGIA_TESTE,'"&amp;D16&amp;"' AS TABELA_LT,'N/A' AS TABELA_SIMUL,'"&amp;F16&amp;"' AS CAMPO, "&amp;"'${ref_date}' AS REF_DATE, COUNT(*) AS NUM_REG, SUM(IF(TRIM(CAST(X."&amp;F16&amp;" AS STRING)) IN ('0000-00-00','0001-01-01','9999-12-31','MISS','00000','99999999999','99999999999.00','99999999999.000000'),1,0)) AS NUM_REG_DIF,'"&amp;MAX('ID1&amp;5'!K:K)+1&amp;"' AS ID_EXEC, CURRENT_TIMESTAMP() AS TIME_EXEC FROM "&amp;I16,
IF(C16="Not applicable",+"SELECT '"&amp;UPPER(B16)&amp;"' AS TABELA, '"&amp;UPPER(C16)&amp;"' AS TIPOLOGIA_TESTE,'"&amp;D16&amp;"' AS TABELA_LT,'N/A' AS TABELA_SIMUL,'"&amp;F16&amp;"' AS CAMPO, "&amp;"'${ref_date}' AS REF_DATE, COUNT(*) AS NUM_REG, SUM(IF(TRIM(CAST(X."&amp;F16&amp;" AS STRING)) IN ('N/A','11111111111','11111111111.00','11111111111.000000','1111-11-11'),1,0)) AS NUM_REG_DIF,'"&amp;MAX('ID1&amp;5'!K:K)+1&amp;"' AS ID_EXEC, CURRENT_TIMESTAMP() AS TIME_EXEC FROM "&amp;I16,
IF(C16="Valores extremos",+"SELECT '"&amp;UPPER(B16)&amp;"' AS TABELA, '"&amp;UPPER(C16)&amp;"' AS TIPOLOGIA_TESTE,'"&amp;D16&amp;"' AS TABELA_LT,'N/A' AS TABELA_SIMUL,'"&amp;F16&amp;"' AS CAMPO, "&amp;"'${ref_date}' AS REF_DATE, CAST(MIN("&amp;F16&amp;") AS STRING) AS VALOR_MIN, CAST(MAX("&amp;F16&amp;") AS STRING) AS VALOR_MAX,'"&amp;MAX('ID1&amp;5'!K:K)+1&amp;"' AS ID_EXEC, CURRENT_TIMESTAMP() AS TIME_EXEC FROM "&amp;MID(I16,1,LEN(I16)-2)&amp;" AND CAST("&amp;F16&amp;"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TABELA_LT,'BU_LOANTAPE_WORK.LT003_ENTITY_SRB' AS TABELA_SIMUL,'EQTY' AS CAMPO, '${ref_date}' AS REF_DATE, COUNT(*) AS NUM_REG, SUM(IF(COALESCE(CAST(X.EQTY AS STRING),'')&lt;&gt;COALESCE(CAST(Y.EQTY_SIMUL AS STRING),'') OR (X.EQTY IS NULL AND Y.EQTY_SIMUL IS NOT NULL ) OR (X.EQTY IS NOT NULL AND Y.EQTY_SIMUL IS NULL),1,0)) AS NUM_REG_DIF,'1' AS ID_EXEC, CURRENT_TIMESTAMP() AS TIME_EXEC FROM (SELECT entty_id, EQTY FROM CD_LOAN_TAPES_BCE.LT003_ENTITY WHERE ref_date='${ref_date}' AND nome_perimetro='Individual Corporativo' AND segmento='ESTR' AND ambito='PM' AND entidade='00100')X INNER JOIN (SELECT entty_id AS entty_id_SIMUL, EQTY AS EQTY_SIMUL FROM BU_LOANTAPE_WORK.LT003_ENTITY_SRB WHERE ref_date='${ref_date}' AND nome_perimetro='Individual Corporativo' AND segmento='ESTR' AND ambito='PILAR3' AND entidade='00100')Y ON X.ENTTY_ID=Y.ENTTY_ID_SIMUL</v>
      </c>
      <c r="M16" s="36" t="str">
        <f t="shared" si="0"/>
        <v>UNION ALL SELECT 'ENTITY' AS TABELA, 'COERÊNCIA' AS TIPOLOGIA_TESTE,'CD_LOAN_TAPES_BCE.LT003_ENTITY' AS TABELA_LT,'BU_LOANTAPE_WORK.LT003_ENTITY_SRB' AS TABELA_SIMUL,'EQTY' AS CAMPO, '${ref_date}' AS REF_DATE, COUNT(*) AS NUM_REG, SUM(IF(COALESCE(CAST(X.EQTY AS STRING),'')&lt;&gt;COALESCE(CAST(Y.EQTY_SIMUL AS STRING),'') OR (X.EQTY IS NULL AND Y.EQTY_SIMUL IS NOT NULL ) OR (X.EQTY IS NOT NULL AND Y.EQTY_SIMUL IS NULL),1,0)) AS NUM_REG_DIF,'1' AS ID_EXEC, CURRENT_TIMESTAMP() AS TIME_EXEC FROM (SELECT entty_id, EQTY FROM CD_LOAN_TAPES_BCE.LT003_ENTITY WHERE ref_date='${ref_date}' AND nome_perimetro='Individual Corporativo' AND segmento='ESTR' AND ambito='PM' AND entidade='00100')X INNER JOIN (SELECT entty_id AS entty_id_SIMUL, EQTY AS EQTY_SIMUL FROM BU_LOANTAPE_WORK.LT003_ENTITY_SRB WHERE ref_date='${ref_date}' AND nome_perimetro='Individual Corporativo' AND segmento='ESTR' AND ambito='PILAR3' AND entidade='00100')Y ON X.ENTTY_ID=Y.ENTTY_ID_SIMUL</v>
      </c>
      <c r="N16" s="38" t="s">
        <v>45</v>
      </c>
    </row>
    <row r="17" spans="1:14" hidden="1">
      <c r="A17" s="60" t="str">
        <f t="shared" si="1"/>
        <v>ENTITYGRP_TTL_DBT</v>
      </c>
      <c r="B17" s="34" t="s">
        <v>126</v>
      </c>
      <c r="C17" s="34" t="s">
        <v>5</v>
      </c>
      <c r="D17" s="34" t="str">
        <f>+UPPER('0. Instruções'!$D$35&amp;"."&amp;VLOOKUP(B17,'0. Instruções'!$C$27:$D$32,2,FALSE))</f>
        <v>CD_LOAN_TAPES_BCE.LT003_ENTITY</v>
      </c>
      <c r="E17" s="34" t="str">
        <f>+UPPER('0. Instruções'!$D$36&amp;"."&amp;VLOOKUP(B17,'0. Instruções'!$C$27:$E$32,3,FALSE))</f>
        <v>BU_LOANTAPE_WORK.LT003_ENTITY_SRB</v>
      </c>
      <c r="F17" s="34" t="s">
        <v>118</v>
      </c>
      <c r="G17" s="34"/>
      <c r="H17" s="34" t="s">
        <v>91</v>
      </c>
      <c r="I17" s="34" t="str">
        <f>"(SELECT "&amp;VLOOKUP(B17,'0. Instruções'!$C$27:$G$32,4,FALSE)&amp;", "&amp;F17&amp;" FROM "&amp;D17&amp;" WHERE "&amp;'0. Instruções'!$D$42&amp;")X"</f>
        <v>(SELECT entty_id, GRP_TTL_DBT FROM CD_LOAN_TAPES_BCE.LT003_ENTITY WHERE ref_date='${ref_date}' AND nome_perimetro='Individual Corporativo' AND segmento='ESTR' AND ambito='PM' AND entidade='00100')X</v>
      </c>
      <c r="J17" s="34" t="str">
        <f>"(SELECT "&amp;VLOOKUP(B17,'0. Instruções'!$C$27:$G$32,4,FALSE)&amp;" AS "&amp;VLOOKUP(B17,'0. Instruções'!$C$27:$G$32,4,FALSE)&amp;"_SIMUL, "&amp;F17&amp;" AS "&amp;F17&amp;"_SIMUL FROM "&amp;E17&amp;" WHERE "&amp;'0. Instruções'!$D$43&amp;")Y"</f>
        <v>(SELECT entty_id AS entty_id_SIMUL, GRP_TTL_DBT AS GRP_TTL_DBT_SIMUL FROM BU_LOANTAPE_WORK.LT003_ENTITY_SRB WHERE ref_date='${ref_date}' AND nome_perimetro='Individual Corporativo' AND segmento='ESTR' AND ambito='PILAR3' AND entidade='00100')Y</v>
      </c>
      <c r="K17" s="35" t="str">
        <f>+UPPER("ON X."&amp;VLOOKUP(B17,'0. Instruções'!$C$27:$G$32,4,FALSE)&amp;"=Y."&amp;VLOOKUP(B17,'0. Instruções'!$C$27:$G$32,4,FALSE)&amp;"_SIMUL")</f>
        <v>ON X.ENTTY_ID=Y.ENTTY_ID_SIMUL</v>
      </c>
      <c r="L17" s="35" t="str">
        <f>+IF(C17="Coerência", +IF(LEFT(G17,5)="FLOAT","SELECT '"&amp;UPPER(B17)&amp;"' AS TABELA, '"&amp;UPPER(C17)&amp;"' AS TIPOLOGIA_TESTE,'"&amp;D17&amp;"' AS TABELA_LT,'"&amp;E17&amp;"' AS TABELA_SIMUL,'"&amp;F17&amp;"' AS CAMPO, "&amp;"'${ref_date}' AS REF_DATE, COUNT(*) AS NUM_REG, SUM(IF((ABS(COALESCE(CAST(X."&amp;F17&amp;" AS DECIMAL(18,6)),0)-COALESCE(CAST(Y."&amp;F17&amp;"_SIMUL AS DECIMAL(18,6)),0))&gt;0.000001) OR (X."&amp;F17&amp;" IS NULL AND Y."&amp;F17&amp;"_SIMUL IS NOT NULL ) OR (X."&amp;F17&amp;" IS NOT NULL AND Y."&amp;F17&amp;"_SIMUL IS NULL),1,0)) AS NUM_REG_DIF,'"&amp;MAX('ID1&amp;5'!K:K)+1&amp;"' AS ID_EXEC, CURRENT_TIMESTAMP() AS TIME_EXEC FROM "&amp;I17&amp;" INNER JOIN "&amp;J17&amp;" "&amp;K17,"SELECT '"&amp;UPPER(B17)&amp;"' AS TABELA, '"&amp;UPPER(C17)&amp;"' AS TIPOLOGIA_TESTE,'"&amp;D17&amp;"' AS TABELA_LT,'"&amp;E17&amp;"' AS TABELA_SIMUL,'"&amp;F17&amp;"' AS CAMPO, "&amp;"'${ref_date}' AS REF_DATE, COUNT(*) AS NUM_REG, SUM(IF(COALESCE(CAST(X."&amp;F17&amp;" AS STRING),'')&lt;&gt;COALESCE(CAST(Y."&amp;F17&amp;"_SIMUL AS STRING),'') OR (X."&amp;F17&amp;" IS NULL AND Y."&amp;F17&amp;"_SIMUL IS NOT NULL ) OR (X."&amp;F17&amp;" IS NOT NULL AND Y."&amp;F17&amp;"_SIMUL IS NULL),1,0)) AS NUM_REG_DIF,'"&amp;MAX('ID1&amp;5'!L:L)+1&amp;"' AS ID_EXEC, CURRENT_TIMESTAMP() AS TIME_EXEC FROM "&amp;I17&amp;" INNER JOIN "&amp;J17&amp;" "&amp;K17),
IF(C17="Validade",+IF(G17="Code List","SELECT '"&amp;UPPER(B17)&amp;"' AS TABELA, '"&amp;UPPER(C17)&amp;"' AS TIPOLOGIA_TESTE,'"&amp;D17&amp;"' AS TABELA_LT,'N/A' AS TABELA_SIMUL,'"&amp;F17&amp;"' AS CAMPO, "&amp;"'${ref_date}' AS REF_DATE, COUNT(*) AS NUM_REG, SUM(IF(TRIM(CAST(X."&amp;F17&amp;" AS STRING))='' OR TRIM(CAST(X."&amp;F17&amp;" AS STRING)) IS NULL OR CAST(X."&amp;F17&amp;" AS STRING) NOT "&amp;H17&amp;",1,0)) AS NUM_REG_DIF,'"&amp;MAX('ID1&amp;5'!K:K)+1&amp;"' AS ID_EXEC, CURRENT_TIMESTAMP() AS TIME_EXEC FROM "&amp;I17,"SELECT '"&amp;UPPER(B17)&amp;"' AS TABELA, '"&amp;UPPER(C17)&amp;"' AS TIPOLOGIA_TESTE,'"&amp;D17&amp;"' AS TABELA_LT,'N/A' AS TABELA_SIMUL,'"&amp;F17&amp;"' AS CAMPO, "&amp;"'${ref_date}' AS REF_DATE, COUNT(*) AS NUM_REG, SUM(IF(TRIM(CAST(X."&amp;F17&amp;" AS STRING))='' OR TRIM(CAST(X."&amp;F17&amp;" AS STRING)) IS NULL,1,0)) AS NUM_REG_DIF,'"&amp;MAX('ID1&amp;5'!K:K)+1&amp;"' AS ID_EXEC, CURRENT_TIMESTAMP() AS TIME_EXEC FROM "&amp;I17),
IF(C17="Caracteres Especiais",+"SELECT '"&amp;UPPER(B17)&amp;"' AS TABELA, '"&amp;UPPER(C17)&amp;"' AS TIPOLOGIA_TESTE,'"&amp;D17&amp;"' AS TABELA_LT,'N/A' AS TABELA_SIMUL,'"&amp;F17&amp;"' AS CAMPO, "&amp;"'${ref_date}' AS REF_DATE, COUNT(*) AS NUM_REG, SUM(IF(REGEXP_REPLACE(TRIM(CAST(X."&amp;F17&amp;" AS STRING)),'[^a-zA-Z0-9_\\s]','') &lt;&gt;TRIM(CAST(X."&amp;F17&amp;" AS STRING)),1,0)) AS NUM_REG_DIF,'"&amp;MAX('ID1&amp;5'!K:K)+1&amp;"' AS ID_EXEC, CURRENT_TIMESTAMP() AS TIME_EXEC FROM "&amp;I17,
IF(C17="Missings",+"SELECT '"&amp;UPPER(B17)&amp;"' AS TABELA, '"&amp;UPPER(C17)&amp;"' AS TIPOLOGIA_TESTE,'"&amp;D17&amp;"' AS TABELA_LT,'N/A' AS TABELA_SIMUL,'"&amp;F17&amp;"' AS CAMPO, "&amp;"'${ref_date}' AS REF_DATE, COUNT(*) AS NUM_REG, SUM(IF(TRIM(CAST(X."&amp;F17&amp;" AS STRING)) IN ('0000-00-00','0001-01-01','9999-12-31','MISS','00000','99999999999','99999999999.00','99999999999.000000'),1,0)) AS NUM_REG_DIF,'"&amp;MAX('ID1&amp;5'!K:K)+1&amp;"' AS ID_EXEC, CURRENT_TIMESTAMP() AS TIME_EXEC FROM "&amp;I17,
IF(C17="Not applicable",+"SELECT '"&amp;UPPER(B17)&amp;"' AS TABELA, '"&amp;UPPER(C17)&amp;"' AS TIPOLOGIA_TESTE,'"&amp;D17&amp;"' AS TABELA_LT,'N/A' AS TABELA_SIMUL,'"&amp;F17&amp;"' AS CAMPO, "&amp;"'${ref_date}' AS REF_DATE, COUNT(*) AS NUM_REG, SUM(IF(TRIM(CAST(X."&amp;F17&amp;" AS STRING)) IN ('N/A','11111111111','11111111111.00','11111111111.000000','1111-11-11'),1,0)) AS NUM_REG_DIF,'"&amp;MAX('ID1&amp;5'!K:K)+1&amp;"' AS ID_EXEC, CURRENT_TIMESTAMP() AS TIME_EXEC FROM "&amp;I17,
IF(C17="Valores extremos",+"SELECT '"&amp;UPPER(B17)&amp;"' AS TABELA, '"&amp;UPPER(C17)&amp;"' AS TIPOLOGIA_TESTE,'"&amp;D17&amp;"' AS TABELA_LT,'N/A' AS TABELA_SIMUL,'"&amp;F17&amp;"' AS CAMPO, "&amp;"'${ref_date}' AS REF_DATE, CAST(MIN("&amp;F17&amp;") AS STRING) AS VALOR_MIN, CAST(MAX("&amp;F17&amp;") AS STRING) AS VALOR_MAX,'"&amp;MAX('ID1&amp;5'!K:K)+1&amp;"' AS ID_EXEC, CURRENT_TIMESTAMP() AS TIME_EXEC FROM "&amp;MID(I17,1,LEN(I17)-2)&amp;" AND CAST("&amp;F17&amp;"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TABELA_LT,'BU_LOANTAPE_WORK.LT003_ENTITY_SRB' AS TABELA_SIMUL,'GRP_TTL_DBT' AS CAMPO, '${ref_date}' AS REF_DATE, COUNT(*) AS NUM_REG, SUM(IF(COALESCE(CAST(X.GRP_TTL_DBT AS STRING),'')&lt;&gt;COALESCE(CAST(Y.GRP_TTL_DBT_SIMUL AS STRING),'') OR (X.GRP_TTL_DBT IS NULL AND Y.GRP_TTL_DBT_SIMUL IS NOT NULL ) OR (X.GRP_TTL_DBT IS NOT NULL AND Y.GRP_TTL_DBT_SIMUL IS NULL),1,0)) AS NUM_REG_DIF,'1' AS ID_EXEC, CURRENT_TIMESTAMP() AS TIME_EXEC FROM (SELECT entty_id, GRP_TTL_DBT FROM CD_LOAN_TAPES_BCE.LT003_ENTITY WHERE ref_date='${ref_date}' AND nome_perimetro='Individual Corporativo' AND segmento='ESTR' AND ambito='PM' AND entidade='00100')X INNER JOIN (SELECT entty_id AS entty_id_SIMUL, GRP_TTL_DBT AS GRP_TTL_DBT_SIMUL FROM BU_LOANTAPE_WORK.LT003_ENTITY_SRB WHERE ref_date='${ref_date}' AND nome_perimetro='Individual Corporativo' AND segmento='ESTR' AND ambito='PILAR3' AND entidade='00100')Y ON X.ENTTY_ID=Y.ENTTY_ID_SIMUL</v>
      </c>
      <c r="M17" s="36" t="str">
        <f t="shared" si="0"/>
        <v>UNION ALL SELECT 'ENTITY' AS TABELA, 'COERÊNCIA' AS TIPOLOGIA_TESTE,'CD_LOAN_TAPES_BCE.LT003_ENTITY' AS TABELA_LT,'BU_LOANTAPE_WORK.LT003_ENTITY_SRB' AS TABELA_SIMUL,'GRP_TTL_DBT' AS CAMPO, '${ref_date}' AS REF_DATE, COUNT(*) AS NUM_REG, SUM(IF(COALESCE(CAST(X.GRP_TTL_DBT AS STRING),'')&lt;&gt;COALESCE(CAST(Y.GRP_TTL_DBT_SIMUL AS STRING),'') OR (X.GRP_TTL_DBT IS NULL AND Y.GRP_TTL_DBT_SIMUL IS NOT NULL ) OR (X.GRP_TTL_DBT IS NOT NULL AND Y.GRP_TTL_DBT_SIMUL IS NULL),1,0)) AS NUM_REG_DIF,'1' AS ID_EXEC, CURRENT_TIMESTAMP() AS TIME_EXEC FROM (SELECT entty_id, GRP_TTL_DBT FROM CD_LOAN_TAPES_BCE.LT003_ENTITY WHERE ref_date='${ref_date}' AND nome_perimetro='Individual Corporativo' AND segmento='ESTR' AND ambito='PM' AND entidade='00100')X INNER JOIN (SELECT entty_id AS entty_id_SIMUL, GRP_TTL_DBT AS GRP_TTL_DBT_SIMUL FROM BU_LOANTAPE_WORK.LT003_ENTITY_SRB WHERE ref_date='${ref_date}' AND nome_perimetro='Individual Corporativo' AND segmento='ESTR' AND ambito='PILAR3' AND entidade='00100')Y ON X.ENTTY_ID=Y.ENTTY_ID_SIMUL</v>
      </c>
      <c r="N17" s="38" t="s">
        <v>45</v>
      </c>
    </row>
    <row r="18" spans="1:14" hidden="1">
      <c r="A18" s="60" t="str">
        <f t="shared" si="1"/>
        <v>ENTITYTTL_DBT</v>
      </c>
      <c r="B18" s="34" t="s">
        <v>126</v>
      </c>
      <c r="C18" s="34" t="s">
        <v>5</v>
      </c>
      <c r="D18" s="34" t="str">
        <f>+UPPER('0. Instruções'!$D$35&amp;"."&amp;VLOOKUP(B18,'0. Instruções'!$C$27:$D$32,2,FALSE))</f>
        <v>CD_LOAN_TAPES_BCE.LT003_ENTITY</v>
      </c>
      <c r="E18" s="34" t="str">
        <f>+UPPER('0. Instruções'!$D$36&amp;"."&amp;VLOOKUP(B18,'0. Instruções'!$C$27:$E$32,3,FALSE))</f>
        <v>BU_LOANTAPE_WORK.LT003_ENTITY_SRB</v>
      </c>
      <c r="F18" s="34" t="s">
        <v>119</v>
      </c>
      <c r="G18" s="34"/>
      <c r="H18" s="34" t="s">
        <v>91</v>
      </c>
      <c r="I18" s="34" t="str">
        <f>"(SELECT "&amp;VLOOKUP(B18,'0. Instruções'!$C$27:$G$32,4,FALSE)&amp;", "&amp;F18&amp;" FROM "&amp;D18&amp;" WHERE "&amp;'0. Instruções'!$D$42&amp;")X"</f>
        <v>(SELECT entty_id, TTL_DBT FROM CD_LOAN_TAPES_BCE.LT003_ENTITY WHERE ref_date='${ref_date}' AND nome_perimetro='Individual Corporativo' AND segmento='ESTR' AND ambito='PM' AND entidade='00100')X</v>
      </c>
      <c r="J18" s="34" t="str">
        <f>"(SELECT "&amp;VLOOKUP(B18,'0. Instruções'!$C$27:$G$32,4,FALSE)&amp;" AS "&amp;VLOOKUP(B18,'0. Instruções'!$C$27:$G$32,4,FALSE)&amp;"_SIMUL, "&amp;F18&amp;" AS "&amp;F18&amp;"_SIMUL FROM "&amp;E18&amp;" WHERE "&amp;'0. Instruções'!$D$43&amp;")Y"</f>
        <v>(SELECT entty_id AS entty_id_SIMUL, TTL_DBT AS TTL_DBT_SIMUL FROM BU_LOANTAPE_WORK.LT003_ENTITY_SRB WHERE ref_date='${ref_date}' AND nome_perimetro='Individual Corporativo' AND segmento='ESTR' AND ambito='PILAR3' AND entidade='00100')Y</v>
      </c>
      <c r="K18" s="35" t="str">
        <f>+UPPER("ON X."&amp;VLOOKUP(B18,'0. Instruções'!$C$27:$G$32,4,FALSE)&amp;"=Y."&amp;VLOOKUP(B18,'0. Instruções'!$C$27:$G$32,4,FALSE)&amp;"_SIMUL")</f>
        <v>ON X.ENTTY_ID=Y.ENTTY_ID_SIMUL</v>
      </c>
      <c r="L18" s="35" t="str">
        <f>+IF(C18="Coerência", +IF(LEFT(G18,5)="FLOAT","SELECT '"&amp;UPPER(B18)&amp;"' AS TABELA, '"&amp;UPPER(C18)&amp;"' AS TIPOLOGIA_TESTE,'"&amp;D18&amp;"' AS TABELA_LT,'"&amp;E18&amp;"' AS TABELA_SIMUL,'"&amp;F18&amp;"' AS CAMPO, "&amp;"'${ref_date}' AS REF_DATE, COUNT(*) AS NUM_REG, SUM(IF((ABS(COALESCE(CAST(X."&amp;F18&amp;" AS DECIMAL(18,6)),0)-COALESCE(CAST(Y."&amp;F18&amp;"_SIMUL AS DECIMAL(18,6)),0))&gt;0.000001) OR (X."&amp;F18&amp;" IS NULL AND Y."&amp;F18&amp;"_SIMUL IS NOT NULL ) OR (X."&amp;F18&amp;" IS NOT NULL AND Y."&amp;F18&amp;"_SIMUL IS NULL),1,0)) AS NUM_REG_DIF,'"&amp;MAX('ID1&amp;5'!K:K)+1&amp;"' AS ID_EXEC, CURRENT_TIMESTAMP() AS TIME_EXEC FROM "&amp;I18&amp;" INNER JOIN "&amp;J18&amp;" "&amp;K18,"SELECT '"&amp;UPPER(B18)&amp;"' AS TABELA, '"&amp;UPPER(C18)&amp;"' AS TIPOLOGIA_TESTE,'"&amp;D18&amp;"' AS TABELA_LT,'"&amp;E18&amp;"' AS TABELA_SIMUL,'"&amp;F18&amp;"' AS CAMPO, "&amp;"'${ref_date}' AS REF_DATE, COUNT(*) AS NUM_REG, SUM(IF(COALESCE(CAST(X."&amp;F18&amp;" AS STRING),'')&lt;&gt;COALESCE(CAST(Y."&amp;F18&amp;"_SIMUL AS STRING),'') OR (X."&amp;F18&amp;" IS NULL AND Y."&amp;F18&amp;"_SIMUL IS NOT NULL ) OR (X."&amp;F18&amp;" IS NOT NULL AND Y."&amp;F18&amp;"_SIMUL IS NULL),1,0)) AS NUM_REG_DIF,'"&amp;MAX('ID1&amp;5'!L:L)+1&amp;"' AS ID_EXEC, CURRENT_TIMESTAMP() AS TIME_EXEC FROM "&amp;I18&amp;" INNER JOIN "&amp;J18&amp;" "&amp;K18),
IF(C18="Validade",+IF(G18="Code List","SELECT '"&amp;UPPER(B18)&amp;"' AS TABELA, '"&amp;UPPER(C18)&amp;"' AS TIPOLOGIA_TESTE,'"&amp;D18&amp;"' AS TABELA_LT,'N/A' AS TABELA_SIMUL,'"&amp;F18&amp;"' AS CAMPO, "&amp;"'${ref_date}' AS REF_DATE, COUNT(*) AS NUM_REG, SUM(IF(TRIM(CAST(X."&amp;F18&amp;" AS STRING))='' OR TRIM(CAST(X."&amp;F18&amp;" AS STRING)) IS NULL OR CAST(X."&amp;F18&amp;" AS STRING) NOT "&amp;H18&amp;",1,0)) AS NUM_REG_DIF,'"&amp;MAX('ID1&amp;5'!K:K)+1&amp;"' AS ID_EXEC, CURRENT_TIMESTAMP() AS TIME_EXEC FROM "&amp;I18,"SELECT '"&amp;UPPER(B18)&amp;"' AS TABELA, '"&amp;UPPER(C18)&amp;"' AS TIPOLOGIA_TESTE,'"&amp;D18&amp;"' AS TABELA_LT,'N/A' AS TABELA_SIMUL,'"&amp;F18&amp;"' AS CAMPO, "&amp;"'${ref_date}' AS REF_DATE, COUNT(*) AS NUM_REG, SUM(IF(TRIM(CAST(X."&amp;F18&amp;" AS STRING))='' OR TRIM(CAST(X."&amp;F18&amp;" AS STRING)) IS NULL,1,0)) AS NUM_REG_DIF,'"&amp;MAX('ID1&amp;5'!K:K)+1&amp;"' AS ID_EXEC, CURRENT_TIMESTAMP() AS TIME_EXEC FROM "&amp;I18),
IF(C18="Caracteres Especiais",+"SELECT '"&amp;UPPER(B18)&amp;"' AS TABELA, '"&amp;UPPER(C18)&amp;"' AS TIPOLOGIA_TESTE,'"&amp;D18&amp;"' AS TABELA_LT,'N/A' AS TABELA_SIMUL,'"&amp;F18&amp;"' AS CAMPO, "&amp;"'${ref_date}' AS REF_DATE, COUNT(*) AS NUM_REG, SUM(IF(REGEXP_REPLACE(TRIM(CAST(X."&amp;F18&amp;" AS STRING)),'[^a-zA-Z0-9_\\s]','') &lt;&gt;TRIM(CAST(X."&amp;F18&amp;" AS STRING)),1,0)) AS NUM_REG_DIF,'"&amp;MAX('ID1&amp;5'!K:K)+1&amp;"' AS ID_EXEC, CURRENT_TIMESTAMP() AS TIME_EXEC FROM "&amp;I18,
IF(C18="Missings",+"SELECT '"&amp;UPPER(B18)&amp;"' AS TABELA, '"&amp;UPPER(C18)&amp;"' AS TIPOLOGIA_TESTE,'"&amp;D18&amp;"' AS TABELA_LT,'N/A' AS TABELA_SIMUL,'"&amp;F18&amp;"' AS CAMPO, "&amp;"'${ref_date}' AS REF_DATE, COUNT(*) AS NUM_REG, SUM(IF(TRIM(CAST(X."&amp;F18&amp;" AS STRING)) IN ('0000-00-00','0001-01-01','9999-12-31','MISS','00000','99999999999','99999999999.00','99999999999.000000'),1,0)) AS NUM_REG_DIF,'"&amp;MAX('ID1&amp;5'!K:K)+1&amp;"' AS ID_EXEC, CURRENT_TIMESTAMP() AS TIME_EXEC FROM "&amp;I18,
IF(C18="Not applicable",+"SELECT '"&amp;UPPER(B18)&amp;"' AS TABELA, '"&amp;UPPER(C18)&amp;"' AS TIPOLOGIA_TESTE,'"&amp;D18&amp;"' AS TABELA_LT,'N/A' AS TABELA_SIMUL,'"&amp;F18&amp;"' AS CAMPO, "&amp;"'${ref_date}' AS REF_DATE, COUNT(*) AS NUM_REG, SUM(IF(TRIM(CAST(X."&amp;F18&amp;" AS STRING)) IN ('N/A','11111111111','11111111111.00','11111111111.000000','1111-11-11'),1,0)) AS NUM_REG_DIF,'"&amp;MAX('ID1&amp;5'!K:K)+1&amp;"' AS ID_EXEC, CURRENT_TIMESTAMP() AS TIME_EXEC FROM "&amp;I18,
IF(C18="Valores extremos",+"SELECT '"&amp;UPPER(B18)&amp;"' AS TABELA, '"&amp;UPPER(C18)&amp;"' AS TIPOLOGIA_TESTE,'"&amp;D18&amp;"' AS TABELA_LT,'N/A' AS TABELA_SIMUL,'"&amp;F18&amp;"' AS CAMPO, "&amp;"'${ref_date}' AS REF_DATE, CAST(MIN("&amp;F18&amp;") AS STRING) AS VALOR_MIN, CAST(MAX("&amp;F18&amp;") AS STRING) AS VALOR_MAX,'"&amp;MAX('ID1&amp;5'!K:K)+1&amp;"' AS ID_EXEC, CURRENT_TIMESTAMP() AS TIME_EXEC FROM "&amp;MID(I18,1,LEN(I18)-2)&amp;" AND CAST("&amp;F18&amp;"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TABELA_LT,'BU_LOANTAPE_WORK.LT003_ENTITY_SRB' AS TABELA_SIMUL,'TTL_DBT' AS CAMPO, '${ref_date}' AS REF_DATE, COUNT(*) AS NUM_REG, SUM(IF(COALESCE(CAST(X.TTL_DBT AS STRING),'')&lt;&gt;COALESCE(CAST(Y.TTL_DBT_SIMUL AS STRING),'') OR (X.TTL_DBT IS NULL AND Y.TTL_DBT_SIMUL IS NOT NULL ) OR (X.TTL_DBT IS NOT NULL AND Y.TTL_DBT_SIMUL IS NULL),1,0)) AS NUM_REG_DIF,'1' AS ID_EXEC, CURRENT_TIMESTAMP() AS TIME_EXEC FROM (SELECT entty_id, TTL_DBT FROM CD_LOAN_TAPES_BCE.LT003_ENTITY WHERE ref_date='${ref_date}' AND nome_perimetro='Individual Corporativo' AND segmento='ESTR' AND ambito='PM' AND entidade='00100')X INNER JOIN (SELECT entty_id AS entty_id_SIMUL, TTL_DBT AS TTL_DBT_SIMUL FROM BU_LOANTAPE_WORK.LT003_ENTITY_SRB WHERE ref_date='${ref_date}' AND nome_perimetro='Individual Corporativo' AND segmento='ESTR' AND ambito='PILAR3' AND entidade='00100')Y ON X.ENTTY_ID=Y.ENTTY_ID_SIMUL</v>
      </c>
      <c r="M18" s="36" t="str">
        <f t="shared" si="0"/>
        <v>UNION ALL SELECT 'ENTITY' AS TABELA, 'COERÊNCIA' AS TIPOLOGIA_TESTE,'CD_LOAN_TAPES_BCE.LT003_ENTITY' AS TABELA_LT,'BU_LOANTAPE_WORK.LT003_ENTITY_SRB' AS TABELA_SIMUL,'TTL_DBT' AS CAMPO, '${ref_date}' AS REF_DATE, COUNT(*) AS NUM_REG, SUM(IF(COALESCE(CAST(X.TTL_DBT AS STRING),'')&lt;&gt;COALESCE(CAST(Y.TTL_DBT_SIMUL AS STRING),'') OR (X.TTL_DBT IS NULL AND Y.TTL_DBT_SIMUL IS NOT NULL ) OR (X.TTL_DBT IS NOT NULL AND Y.TTL_DBT_SIMUL IS NULL),1,0)) AS NUM_REG_DIF,'1' AS ID_EXEC, CURRENT_TIMESTAMP() AS TIME_EXEC FROM (SELECT entty_id, TTL_DBT FROM CD_LOAN_TAPES_BCE.LT003_ENTITY WHERE ref_date='${ref_date}' AND nome_perimetro='Individual Corporativo' AND segmento='ESTR' AND ambito='PM' AND entidade='00100')X INNER JOIN (SELECT entty_id AS entty_id_SIMUL, TTL_DBT AS TTL_DBT_SIMUL FROM BU_LOANTAPE_WORK.LT003_ENTITY_SRB WHERE ref_date='${ref_date}' AND nome_perimetro='Individual Corporativo' AND segmento='ESTR' AND ambito='PILAR3' AND entidade='00100')Y ON X.ENTTY_ID=Y.ENTTY_ID_SIMUL</v>
      </c>
      <c r="N18" s="38" t="s">
        <v>45</v>
      </c>
    </row>
    <row r="19" spans="1:14" hidden="1">
      <c r="A19" s="60" t="str">
        <f t="shared" si="1"/>
        <v>ENTITYEC_GRP_NM</v>
      </c>
      <c r="B19" s="34" t="s">
        <v>126</v>
      </c>
      <c r="C19" s="34" t="s">
        <v>5</v>
      </c>
      <c r="D19" s="34" t="str">
        <f>+UPPER('0. Instruções'!$D$35&amp;"."&amp;VLOOKUP(B19,'0. Instruções'!$C$27:$D$32,2,FALSE))</f>
        <v>CD_LOAN_TAPES_BCE.LT003_ENTITY</v>
      </c>
      <c r="E19" s="34" t="str">
        <f>+UPPER('0. Instruções'!$D$36&amp;"."&amp;VLOOKUP(B19,'0. Instruções'!$C$27:$E$32,3,FALSE))</f>
        <v>BU_LOANTAPE_WORK.LT003_ENTITY_SRB</v>
      </c>
      <c r="F19" s="34" t="s">
        <v>402</v>
      </c>
      <c r="G19" s="34"/>
      <c r="H19" s="34" t="s">
        <v>597</v>
      </c>
      <c r="I19" s="34" t="str">
        <f>"(SELECT "&amp;VLOOKUP(B19,'0. Instruções'!$C$27:$G$32,4,FALSE)&amp;", "&amp;F19&amp;" FROM "&amp;D19&amp;" WHERE "&amp;'0. Instruções'!$D$42&amp;")X"</f>
        <v>(SELECT entty_id, EC_GRP_NM FROM CD_LOAN_TAPES_BCE.LT003_ENTITY WHERE ref_date='${ref_date}' AND nome_perimetro='Individual Corporativo' AND segmento='ESTR' AND ambito='PM' AND entidade='00100')X</v>
      </c>
      <c r="J19" s="34" t="str">
        <f>"(SELECT "&amp;VLOOKUP(B19,'0. Instruções'!$C$27:$G$32,4,FALSE)&amp;" AS "&amp;VLOOKUP(B19,'0. Instruções'!$C$27:$G$32,4,FALSE)&amp;"_SIMUL, "&amp;F19&amp;" AS "&amp;F19&amp;"_SIMUL FROM "&amp;E19&amp;" WHERE "&amp;'0. Instruções'!$D$43&amp;")Y"</f>
        <v>(SELECT entty_id AS entty_id_SIMUL, EC_GRP_NM AS EC_GRP_NM_SIMUL FROM BU_LOANTAPE_WORK.LT003_ENTITY_SRB WHERE ref_date='${ref_date}' AND nome_perimetro='Individual Corporativo' AND segmento='ESTR' AND ambito='PILAR3' AND entidade='00100')Y</v>
      </c>
      <c r="K19" s="35" t="str">
        <f>+UPPER("ON X."&amp;VLOOKUP(B19,'0. Instruções'!$C$27:$G$32,4,FALSE)&amp;"=Y."&amp;VLOOKUP(B19,'0. Instruções'!$C$27:$G$32,4,FALSE)&amp;"_SIMUL")</f>
        <v>ON X.ENTTY_ID=Y.ENTTY_ID_SIMUL</v>
      </c>
      <c r="L19" s="35" t="str">
        <f>+IF(C19="Coerência", +IF(LEFT(G19,5)="FLOAT","SELECT '"&amp;UPPER(B19)&amp;"' AS TABELA, '"&amp;UPPER(C19)&amp;"' AS TIPOLOGIA_TESTE,'"&amp;D19&amp;"' AS TABELA_LT,'"&amp;E19&amp;"' AS TABELA_SIMUL,'"&amp;F19&amp;"' AS CAMPO, "&amp;"'${ref_date}' AS REF_DATE, COUNT(*) AS NUM_REG, SUM(IF((ABS(COALESCE(CAST(X."&amp;F19&amp;" AS DECIMAL(18,6)),0)-COALESCE(CAST(Y."&amp;F19&amp;"_SIMUL AS DECIMAL(18,6)),0))&gt;0.000001) OR (X."&amp;F19&amp;" IS NULL AND Y."&amp;F19&amp;"_SIMUL IS NOT NULL ) OR (X."&amp;F19&amp;" IS NOT NULL AND Y."&amp;F19&amp;"_SIMUL IS NULL),1,0)) AS NUM_REG_DIF,'"&amp;MAX('ID1&amp;5'!K:K)+1&amp;"' AS ID_EXEC, CURRENT_TIMESTAMP() AS TIME_EXEC FROM "&amp;I19&amp;" INNER JOIN "&amp;J19&amp;" "&amp;K19,"SELECT '"&amp;UPPER(B19)&amp;"' AS TABELA, '"&amp;UPPER(C19)&amp;"' AS TIPOLOGIA_TESTE,'"&amp;D19&amp;"' AS TABELA_LT,'"&amp;E19&amp;"' AS TABELA_SIMUL,'"&amp;F19&amp;"' AS CAMPO, "&amp;"'${ref_date}' AS REF_DATE, COUNT(*) AS NUM_REG, SUM(IF(COALESCE(CAST(X."&amp;F19&amp;" AS STRING),'')&lt;&gt;COALESCE(CAST(Y."&amp;F19&amp;"_SIMUL AS STRING),'') OR (X."&amp;F19&amp;" IS NULL AND Y."&amp;F19&amp;"_SIMUL IS NOT NULL ) OR (X."&amp;F19&amp;" IS NOT NULL AND Y."&amp;F19&amp;"_SIMUL IS NULL),1,0)) AS NUM_REG_DIF,'"&amp;MAX('ID1&amp;5'!L:L)+1&amp;"' AS ID_EXEC, CURRENT_TIMESTAMP() AS TIME_EXEC FROM "&amp;I19&amp;" INNER JOIN "&amp;J19&amp;" "&amp;K19),
IF(C19="Validade",+IF(G19="Code List","SELECT '"&amp;UPPER(B19)&amp;"' AS TABELA, '"&amp;UPPER(C19)&amp;"' AS TIPOLOGIA_TESTE,'"&amp;D19&amp;"' AS TABELA_LT,'N/A' AS TABELA_SIMUL,'"&amp;F19&amp;"' AS CAMPO, "&amp;"'${ref_date}' AS REF_DATE, COUNT(*) AS NUM_REG, SUM(IF(TRIM(CAST(X."&amp;F19&amp;" AS STRING))='' OR TRIM(CAST(X."&amp;F19&amp;" AS STRING)) IS NULL OR CAST(X."&amp;F19&amp;" AS STRING) NOT "&amp;H19&amp;",1,0)) AS NUM_REG_DIF,'"&amp;MAX('ID1&amp;5'!K:K)+1&amp;"' AS ID_EXEC, CURRENT_TIMESTAMP() AS TIME_EXEC FROM "&amp;I19,"SELECT '"&amp;UPPER(B19)&amp;"' AS TABELA, '"&amp;UPPER(C19)&amp;"' AS TIPOLOGIA_TESTE,'"&amp;D19&amp;"' AS TABELA_LT,'N/A' AS TABELA_SIMUL,'"&amp;F19&amp;"' AS CAMPO, "&amp;"'${ref_date}' AS REF_DATE, COUNT(*) AS NUM_REG, SUM(IF(TRIM(CAST(X."&amp;F19&amp;" AS STRING))='' OR TRIM(CAST(X."&amp;F19&amp;" AS STRING)) IS NULL,1,0)) AS NUM_REG_DIF,'"&amp;MAX('ID1&amp;5'!K:K)+1&amp;"' AS ID_EXEC, CURRENT_TIMESTAMP() AS TIME_EXEC FROM "&amp;I19),
IF(C19="Caracteres Especiais",+"SELECT '"&amp;UPPER(B19)&amp;"' AS TABELA, '"&amp;UPPER(C19)&amp;"' AS TIPOLOGIA_TESTE,'"&amp;D19&amp;"' AS TABELA_LT,'N/A' AS TABELA_SIMUL,'"&amp;F19&amp;"' AS CAMPO, "&amp;"'${ref_date}' AS REF_DATE, COUNT(*) AS NUM_REG, SUM(IF(REGEXP_REPLACE(TRIM(CAST(X."&amp;F19&amp;" AS STRING)),'[^a-zA-Z0-9_\\s]','') &lt;&gt;TRIM(CAST(X."&amp;F19&amp;" AS STRING)),1,0)) AS NUM_REG_DIF,'"&amp;MAX('ID1&amp;5'!K:K)+1&amp;"' AS ID_EXEC, CURRENT_TIMESTAMP() AS TIME_EXEC FROM "&amp;I19,
IF(C19="Missings",+"SELECT '"&amp;UPPER(B19)&amp;"' AS TABELA, '"&amp;UPPER(C19)&amp;"' AS TIPOLOGIA_TESTE,'"&amp;D19&amp;"' AS TABELA_LT,'N/A' AS TABELA_SIMUL,'"&amp;F19&amp;"' AS CAMPO, "&amp;"'${ref_date}' AS REF_DATE, COUNT(*) AS NUM_REG, SUM(IF(TRIM(CAST(X."&amp;F19&amp;" AS STRING)) IN ('0000-00-00','0001-01-01','9999-12-31','MISS','00000','99999999999','99999999999.00','99999999999.000000'),1,0)) AS NUM_REG_DIF,'"&amp;MAX('ID1&amp;5'!K:K)+1&amp;"' AS ID_EXEC, CURRENT_TIMESTAMP() AS TIME_EXEC FROM "&amp;I19,
IF(C19="Not applicable",+"SELECT '"&amp;UPPER(B19)&amp;"' AS TABELA, '"&amp;UPPER(C19)&amp;"' AS TIPOLOGIA_TESTE,'"&amp;D19&amp;"' AS TABELA_LT,'N/A' AS TABELA_SIMUL,'"&amp;F19&amp;"' AS CAMPO, "&amp;"'${ref_date}' AS REF_DATE, COUNT(*) AS NUM_REG, SUM(IF(TRIM(CAST(X."&amp;F19&amp;" AS STRING)) IN ('N/A','11111111111','11111111111.00','11111111111.000000','1111-11-11'),1,0)) AS NUM_REG_DIF,'"&amp;MAX('ID1&amp;5'!K:K)+1&amp;"' AS ID_EXEC, CURRENT_TIMESTAMP() AS TIME_EXEC FROM "&amp;I19,
IF(C19="Valores extremos",+"SELECT '"&amp;UPPER(B19)&amp;"' AS TABELA, '"&amp;UPPER(C19)&amp;"' AS TIPOLOGIA_TESTE,'"&amp;D19&amp;"' AS TABELA_LT,'N/A' AS TABELA_SIMUL,'"&amp;F19&amp;"' AS CAMPO, "&amp;"'${ref_date}' AS REF_DATE, CAST(MIN("&amp;F19&amp;") AS STRING) AS VALOR_MIN, CAST(MAX("&amp;F19&amp;") AS STRING) AS VALOR_MAX,'"&amp;MAX('ID1&amp;5'!K:K)+1&amp;"' AS ID_EXEC, CURRENT_TIMESTAMP() AS TIME_EXEC FROM "&amp;MID(I19,1,LEN(I19)-2)&amp;" AND CAST("&amp;F19&amp;"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TABELA_LT,'BU_LOANTAPE_WORK.LT003_ENTITY_SRB' AS TABELA_SIMUL,'EC_GRP_NM' AS CAMPO, '${ref_date}' AS REF_DATE, COUNT(*) AS NUM_REG, SUM(IF(COALESCE(CAST(X.EC_GRP_NM AS STRING),'')&lt;&gt;COALESCE(CAST(Y.EC_GRP_NM_SIMUL AS STRING),'') OR (X.EC_GRP_NM IS NULL AND Y.EC_GRP_NM_SIMUL IS NOT NULL ) OR (X.EC_GRP_NM IS NOT NULL AND Y.EC_GRP_NM_SIMUL IS NULL),1,0)) AS NUM_REG_DIF,'1' AS ID_EXEC, CURRENT_TIMESTAMP() AS TIME_EXEC FROM (SELECT entty_id, EC_GRP_NM FROM CD_LOAN_TAPES_BCE.LT003_ENTITY WHERE ref_date='${ref_date}' AND nome_perimetro='Individual Corporativo' AND segmento='ESTR' AND ambito='PM' AND entidade='00100')X INNER JOIN (SELECT entty_id AS entty_id_SIMUL, EC_GRP_NM AS EC_GRP_NM_SIMUL FROM BU_LOANTAPE_WORK.LT003_ENTITY_SRB WHERE ref_date='${ref_date}' AND nome_perimetro='Individual Corporativo' AND segmento='ESTR' AND ambito='PILAR3' AND entidade='00100')Y ON X.ENTTY_ID=Y.ENTTY_ID_SIMUL</v>
      </c>
      <c r="M19" s="36" t="str">
        <f t="shared" si="0"/>
        <v>UNION ALL SELECT 'ENTITY' AS TABELA, 'COERÊNCIA' AS TIPOLOGIA_TESTE,'CD_LOAN_TAPES_BCE.LT003_ENTITY' AS TABELA_LT,'BU_LOANTAPE_WORK.LT003_ENTITY_SRB' AS TABELA_SIMUL,'EC_GRP_NM' AS CAMPO, '${ref_date}' AS REF_DATE, COUNT(*) AS NUM_REG, SUM(IF(COALESCE(CAST(X.EC_GRP_NM AS STRING),'')&lt;&gt;COALESCE(CAST(Y.EC_GRP_NM_SIMUL AS STRING),'') OR (X.EC_GRP_NM IS NULL AND Y.EC_GRP_NM_SIMUL IS NOT NULL ) OR (X.EC_GRP_NM IS NOT NULL AND Y.EC_GRP_NM_SIMUL IS NULL),1,0)) AS NUM_REG_DIF,'1' AS ID_EXEC, CURRENT_TIMESTAMP() AS TIME_EXEC FROM (SELECT entty_id, EC_GRP_NM FROM CD_LOAN_TAPES_BCE.LT003_ENTITY WHERE ref_date='${ref_date}' AND nome_perimetro='Individual Corporativo' AND segmento='ESTR' AND ambito='PM' AND entidade='00100')X INNER JOIN (SELECT entty_id AS entty_id_SIMUL, EC_GRP_NM AS EC_GRP_NM_SIMUL FROM BU_LOANTAPE_WORK.LT003_ENTITY_SRB WHERE ref_date='${ref_date}' AND nome_perimetro='Individual Corporativo' AND segmento='ESTR' AND ambito='PILAR3' AND entidade='00100')Y ON X.ENTTY_ID=Y.ENTTY_ID_SIMUL</v>
      </c>
      <c r="N19" s="38" t="s">
        <v>45</v>
      </c>
    </row>
    <row r="20" spans="1:14" hidden="1">
      <c r="A20" s="60" t="str">
        <f t="shared" si="1"/>
        <v>INSTR_ENTITYCOD_SOC</v>
      </c>
      <c r="B20" s="34" t="s">
        <v>320</v>
      </c>
      <c r="C20" s="34" t="s">
        <v>5</v>
      </c>
      <c r="D20" s="34" t="str">
        <f>+UPPER('0. Instruções'!$D$35&amp;"."&amp;VLOOKUP(B20,'0. Instruções'!$C$27:$D$32,2,FALSE))</f>
        <v>CD_LOAN_TAPES_BCE.LT005_INSTR_ENT</v>
      </c>
      <c r="E20" s="34" t="str">
        <f>+UPPER('0. Instruções'!$D$36&amp;"."&amp;VLOOKUP(B20,'0. Instruções'!$C$27:$E$32,3,FALSE))</f>
        <v>BU_LOANTAPE_WORK.LT005_INSTR_ENT_SRB</v>
      </c>
      <c r="F20" s="34" t="s">
        <v>108</v>
      </c>
      <c r="G20" s="34"/>
      <c r="H20" s="34" t="s">
        <v>595</v>
      </c>
      <c r="I20" s="34" t="str">
        <f>"(SELECT "&amp;VLOOKUP(B20,'0. Instruções'!$C$27:$G$32,4,FALSE)&amp;", "&amp;F20&amp;" FROM "&amp;D20&amp;" WHERE "&amp;'0. Instruções'!$D$42&amp;")X"</f>
        <v>(SELECT instrmnt_id, COD_SOC FROM CD_LOAN_TAPES_BCE.LT005_INSTR_ENT WHERE ref_date='${ref_date}' AND nome_perimetro='Individual Corporativo' AND segmento='ESTR' AND ambito='PM' AND entidade='00100')X</v>
      </c>
      <c r="J20" s="34" t="str">
        <f>"(SELECT "&amp;VLOOKUP(B20,'0. Instruções'!$C$27:$G$32,4,FALSE)&amp;" AS "&amp;VLOOKUP(B20,'0. Instruções'!$C$27:$G$32,4,FALSE)&amp;"_SIMUL, "&amp;F20&amp;" AS "&amp;F20&amp;"_SIMUL FROM "&amp;E20&amp;" WHERE "&amp;'0. Instruções'!$D$43&amp;")Y"</f>
        <v>(SELECT instrmnt_id AS instrmnt_id_SIMUL, COD_SOC AS COD_SOC_SIMUL FROM BU_LOANTAPE_WORK.LT005_INSTR_ENT_SRB WHERE ref_date='${ref_date}' AND nome_perimetro='Individual Corporativo' AND segmento='ESTR' AND ambito='PILAR3' AND entidade='00100')Y</v>
      </c>
      <c r="K20" s="35" t="str">
        <f>+UPPER("ON X."&amp;VLOOKUP(B20,'0. Instruções'!$C$27:$G$32,4,FALSE)&amp;"=Y."&amp;VLOOKUP(B20,'0. Instruções'!$C$27:$G$32,4,FALSE)&amp;"_SIMUL")</f>
        <v>ON X.INSTRMNT_ID=Y.INSTRMNT_ID_SIMUL</v>
      </c>
      <c r="L20" s="35" t="str">
        <f>+IF(C20="Coerência", +IF(LEFT(G20,5)="FLOAT","SELECT '"&amp;UPPER(B20)&amp;"' AS TABELA, '"&amp;UPPER(C20)&amp;"' AS TIPOLOGIA_TESTE,'"&amp;D20&amp;"' AS TABELA_LT,'"&amp;E20&amp;"' AS TABELA_SIMUL,'"&amp;F20&amp;"' AS CAMPO, "&amp;"'${ref_date}' AS REF_DATE, COUNT(*) AS NUM_REG, SUM(IF((ABS(COALESCE(CAST(X."&amp;F20&amp;" AS DECIMAL(18,6)),0)-COALESCE(CAST(Y."&amp;F20&amp;"_SIMUL AS DECIMAL(18,6)),0))&gt;0.000001) OR (X."&amp;F20&amp;" IS NULL AND Y."&amp;F20&amp;"_SIMUL IS NOT NULL ) OR (X."&amp;F20&amp;" IS NOT NULL AND Y."&amp;F20&amp;"_SIMUL IS NULL),1,0)) AS NUM_REG_DIF,'"&amp;MAX('ID1&amp;5'!K:K)+1&amp;"' AS ID_EXEC, CURRENT_TIMESTAMP() AS TIME_EXEC FROM "&amp;I20&amp;" INNER JOIN "&amp;J20&amp;" "&amp;K20,"SELECT '"&amp;UPPER(B20)&amp;"' AS TABELA, '"&amp;UPPER(C20)&amp;"' AS TIPOLOGIA_TESTE,'"&amp;D20&amp;"' AS TABELA_LT,'"&amp;E20&amp;"' AS TABELA_SIMUL,'"&amp;F20&amp;"' AS CAMPO, "&amp;"'${ref_date}' AS REF_DATE, COUNT(*) AS NUM_REG, SUM(IF(COALESCE(CAST(X."&amp;F20&amp;" AS STRING),'')&lt;&gt;COALESCE(CAST(Y."&amp;F20&amp;"_SIMUL AS STRING),'') OR (X."&amp;F20&amp;" IS NULL AND Y."&amp;F20&amp;"_SIMUL IS NOT NULL ) OR (X."&amp;F20&amp;" IS NOT NULL AND Y."&amp;F20&amp;"_SIMUL IS NULL),1,0)) AS NUM_REG_DIF,'"&amp;MAX('ID1&amp;5'!L:L)+1&amp;"' AS ID_EXEC, CURRENT_TIMESTAMP() AS TIME_EXEC FROM "&amp;I20&amp;" INNER JOIN "&amp;J20&amp;" "&amp;K20),
IF(C20="Validade",+IF(G20="Code List","SELECT '"&amp;UPPER(B20)&amp;"' AS TABELA, '"&amp;UPPER(C20)&amp;"' AS TIPOLOGIA_TESTE,'"&amp;D20&amp;"' AS TABELA_LT,'N/A' AS TABELA_SIMUL,'"&amp;F20&amp;"' AS CAMPO, "&amp;"'${ref_date}' AS REF_DATE, COUNT(*) AS NUM_REG, SUM(IF(TRIM(CAST(X."&amp;F20&amp;" AS STRING))='' OR TRIM(CAST(X."&amp;F20&amp;" AS STRING)) IS NULL OR CAST(X."&amp;F20&amp;" AS STRING) NOT "&amp;H20&amp;",1,0)) AS NUM_REG_DIF,'"&amp;MAX('ID1&amp;5'!K:K)+1&amp;"' AS ID_EXEC, CURRENT_TIMESTAMP() AS TIME_EXEC FROM "&amp;I20,"SELECT '"&amp;UPPER(B20)&amp;"' AS TABELA, '"&amp;UPPER(C20)&amp;"' AS TIPOLOGIA_TESTE,'"&amp;D20&amp;"' AS TABELA_LT,'N/A' AS TABELA_SIMUL,'"&amp;F20&amp;"' AS CAMPO, "&amp;"'${ref_date}' AS REF_DATE, COUNT(*) AS NUM_REG, SUM(IF(TRIM(CAST(X."&amp;F20&amp;" AS STRING))='' OR TRIM(CAST(X."&amp;F20&amp;" AS STRING)) IS NULL,1,0)) AS NUM_REG_DIF,'"&amp;MAX('ID1&amp;5'!K:K)+1&amp;"' AS ID_EXEC, CURRENT_TIMESTAMP() AS TIME_EXEC FROM "&amp;I20),
IF(C20="Caracteres Especiais",+"SELECT '"&amp;UPPER(B20)&amp;"' AS TABELA, '"&amp;UPPER(C20)&amp;"' AS TIPOLOGIA_TESTE,'"&amp;D20&amp;"' AS TABELA_LT,'N/A' AS TABELA_SIMUL,'"&amp;F20&amp;"' AS CAMPO, "&amp;"'${ref_date}' AS REF_DATE, COUNT(*) AS NUM_REG, SUM(IF(REGEXP_REPLACE(TRIM(CAST(X."&amp;F20&amp;" AS STRING)),'[^a-zA-Z0-9_\\s]','') &lt;&gt;TRIM(CAST(X."&amp;F20&amp;" AS STRING)),1,0)) AS NUM_REG_DIF,'"&amp;MAX('ID1&amp;5'!K:K)+1&amp;"' AS ID_EXEC, CURRENT_TIMESTAMP() AS TIME_EXEC FROM "&amp;I20,
IF(C20="Missings",+"SELECT '"&amp;UPPER(B20)&amp;"' AS TABELA, '"&amp;UPPER(C20)&amp;"' AS TIPOLOGIA_TESTE,'"&amp;D20&amp;"' AS TABELA_LT,'N/A' AS TABELA_SIMUL,'"&amp;F20&amp;"' AS CAMPO, "&amp;"'${ref_date}' AS REF_DATE, COUNT(*) AS NUM_REG, SUM(IF(TRIM(CAST(X."&amp;F20&amp;" AS STRING)) IN ('0000-00-00','0001-01-01','9999-12-31','MISS','00000','99999999999','99999999999.00','99999999999.000000'),1,0)) AS NUM_REG_DIF,'"&amp;MAX('ID1&amp;5'!K:K)+1&amp;"' AS ID_EXEC, CURRENT_TIMESTAMP() AS TIME_EXEC FROM "&amp;I20,
IF(C20="Not applicable",+"SELECT '"&amp;UPPER(B20)&amp;"' AS TABELA, '"&amp;UPPER(C20)&amp;"' AS TIPOLOGIA_TESTE,'"&amp;D20&amp;"' AS TABELA_LT,'N/A' AS TABELA_SIMUL,'"&amp;F20&amp;"' AS CAMPO, "&amp;"'${ref_date}' AS REF_DATE, COUNT(*) AS NUM_REG, SUM(IF(TRIM(CAST(X."&amp;F20&amp;" AS STRING)) IN ('N/A','11111111111','11111111111.00','11111111111.000000','1111-11-11'),1,0)) AS NUM_REG_DIF,'"&amp;MAX('ID1&amp;5'!K:K)+1&amp;"' AS ID_EXEC, CURRENT_TIMESTAMP() AS TIME_EXEC FROM "&amp;I20,
IF(C20="Valores extremos",+"SELECT '"&amp;UPPER(B20)&amp;"' AS TABELA, '"&amp;UPPER(C20)&amp;"' AS TIPOLOGIA_TESTE,'"&amp;D20&amp;"' AS TABELA_LT,'N/A' AS TABELA_SIMUL,'"&amp;F20&amp;"' AS CAMPO, "&amp;"'${ref_date}' AS REF_DATE, CAST(MIN("&amp;F20&amp;") AS STRING) AS VALOR_MIN, CAST(MAX("&amp;F20&amp;") AS STRING) AS VALOR_MAX,'"&amp;MAX('ID1&amp;5'!K:K)+1&amp;"' AS ID_EXEC, CURRENT_TIMESTAMP() AS TIME_EXEC FROM "&amp;MID(I20,1,LEN(I20)-2)&amp;" AND CAST("&amp;F20&amp;"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TIPOLOGIA_TESTE,'CD_LOAN_TAPES_BCE.LT005_INSTR_ENT' AS TABELA_LT,'BU_LOANTAPE_WORK.LT005_INSTR_ENT_SRB'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CD_LOAN_TAPES_BCE.LT005_INSTR_ENT WHERE ref_date='${ref_date}' AND nome_perimetro='Individual Corporativo' AND segmento='ESTR' AND ambito='PM' AND entidade='00100')X INNER JOIN (SELECT instrmnt_id AS instrmnt_id_SIMUL, COD_SOC AS COD_SOC_SIMUL FROM BU_LOANTAPE_WORK.LT005_INSTR_ENT_SRB WHERE ref_date='${ref_date}' AND nome_perimetro='Individual Corporativo' AND segmento='ESTR' AND ambito='PILAR3' AND entidade='00100')Y ON X.INSTRMNT_ID=Y.INSTRMNT_ID_SIMUL</v>
      </c>
      <c r="M20" s="36" t="str">
        <f t="shared" si="0"/>
        <v>UNION ALL SELECT 'INSTR_ENTITY' AS TABELA, 'COERÊNCIA' AS TIPOLOGIA_TESTE,'CD_LOAN_TAPES_BCE.LT005_INSTR_ENT' AS TABELA_LT,'BU_LOANTAPE_WORK.LT005_INSTR_ENT_SRB'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CD_LOAN_TAPES_BCE.LT005_INSTR_ENT WHERE ref_date='${ref_date}' AND nome_perimetro='Individual Corporativo' AND segmento='ESTR' AND ambito='PM' AND entidade='00100')X INNER JOIN (SELECT instrmnt_id AS instrmnt_id_SIMUL, COD_SOC AS COD_SOC_SIMUL FROM BU_LOANTAPE_WORK.LT005_INSTR_ENT_SRB WHERE ref_date='${ref_date}' AND nome_perimetro='Individual Corporativo' AND segmento='ESTR' AND ambito='PILAR3' AND entidade='00100')Y ON X.INSTRMNT_ID=Y.INSTRMNT_ID_SIMUL</v>
      </c>
      <c r="N20" s="38" t="s">
        <v>45</v>
      </c>
    </row>
    <row r="21" spans="1:14" hidden="1">
      <c r="A21" s="60" t="str">
        <f t="shared" si="1"/>
        <v>INSTR_ENTITYMN_ENTTY_ID</v>
      </c>
      <c r="B21" s="34" t="s">
        <v>320</v>
      </c>
      <c r="C21" s="34" t="s">
        <v>5</v>
      </c>
      <c r="D21" s="34" t="str">
        <f>+UPPER('0. Instruções'!$D$35&amp;"."&amp;VLOOKUP(B21,'0. Instruções'!$C$27:$D$32,2,FALSE))</f>
        <v>CD_LOAN_TAPES_BCE.LT005_INSTR_ENT</v>
      </c>
      <c r="E21" s="34" t="str">
        <f>+UPPER('0. Instruções'!$D$36&amp;"."&amp;VLOOKUP(B21,'0. Instruções'!$C$27:$E$32,3,FALSE))</f>
        <v>BU_LOANTAPE_WORK.LT005_INSTR_ENT_SRB</v>
      </c>
      <c r="F21" s="34" t="s">
        <v>409</v>
      </c>
      <c r="G21" s="34"/>
      <c r="H21" s="34" t="s">
        <v>599</v>
      </c>
      <c r="I21" s="34" t="str">
        <f>"(SELECT "&amp;VLOOKUP(B21,'0. Instruções'!$C$27:$G$32,4,FALSE)&amp;", "&amp;F21&amp;" FROM "&amp;D21&amp;" WHERE "&amp;'0. Instruções'!$D$42&amp;")X"</f>
        <v>(SELECT instrmnt_id, MN_ENTTY_ID FROM CD_LOAN_TAPES_BCE.LT005_INSTR_ENT WHERE ref_date='${ref_date}' AND nome_perimetro='Individual Corporativo' AND segmento='ESTR' AND ambito='PM' AND entidade='00100')X</v>
      </c>
      <c r="J21" s="34" t="str">
        <f>"(SELECT "&amp;VLOOKUP(B21,'0. Instruções'!$C$27:$G$32,4,FALSE)&amp;" AS "&amp;VLOOKUP(B21,'0. Instruções'!$C$27:$G$32,4,FALSE)&amp;"_SIMUL, "&amp;F21&amp;" AS "&amp;F21&amp;"_SIMUL FROM "&amp;E21&amp;" WHERE "&amp;'0. Instruções'!$D$43&amp;")Y"</f>
        <v>(SELECT instrmnt_id AS instrmnt_id_SIMUL, MN_ENTTY_ID AS MN_ENTTY_ID_SIMUL FROM BU_LOANTAPE_WORK.LT005_INSTR_ENT_SRB WHERE ref_date='${ref_date}' AND nome_perimetro='Individual Corporativo' AND segmento='ESTR' AND ambito='PILAR3' AND entidade='00100')Y</v>
      </c>
      <c r="K21" s="35" t="str">
        <f>+UPPER("ON X."&amp;VLOOKUP(B21,'0. Instruções'!$C$27:$G$32,4,FALSE)&amp;"=Y."&amp;VLOOKUP(B21,'0. Instruções'!$C$27:$G$32,4,FALSE)&amp;"_SIMUL")</f>
        <v>ON X.INSTRMNT_ID=Y.INSTRMNT_ID_SIMUL</v>
      </c>
      <c r="L21" s="35" t="str">
        <f>+IF(C21="Coerência", +IF(LEFT(G21,5)="FLOAT","SELECT '"&amp;UPPER(B21)&amp;"' AS TABELA, '"&amp;UPPER(C21)&amp;"' AS TIPOLOGIA_TESTE,'"&amp;D21&amp;"' AS TABELA_LT,'"&amp;E21&amp;"' AS TABELA_SIMUL,'"&amp;F21&amp;"' AS CAMPO, "&amp;"'${ref_date}' AS REF_DATE, COUNT(*) AS NUM_REG, SUM(IF((ABS(COALESCE(CAST(X."&amp;F21&amp;" AS DECIMAL(18,6)),0)-COALESCE(CAST(Y."&amp;F21&amp;"_SIMUL AS DECIMAL(18,6)),0))&gt;0.000001) OR (X."&amp;F21&amp;" IS NULL AND Y."&amp;F21&amp;"_SIMUL IS NOT NULL ) OR (X."&amp;F21&amp;" IS NOT NULL AND Y."&amp;F21&amp;"_SIMUL IS NULL),1,0)) AS NUM_REG_DIF,'"&amp;MAX('ID1&amp;5'!K:K)+1&amp;"' AS ID_EXEC, CURRENT_TIMESTAMP() AS TIME_EXEC FROM "&amp;I21&amp;" INNER JOIN "&amp;J21&amp;" "&amp;K21,"SELECT '"&amp;UPPER(B21)&amp;"' AS TABELA, '"&amp;UPPER(C21)&amp;"' AS TIPOLOGIA_TESTE,'"&amp;D21&amp;"' AS TABELA_LT,'"&amp;E21&amp;"' AS TABELA_SIMUL,'"&amp;F21&amp;"' AS CAMPO, "&amp;"'${ref_date}' AS REF_DATE, COUNT(*) AS NUM_REG, SUM(IF(COALESCE(CAST(X."&amp;F21&amp;" AS STRING),'')&lt;&gt;COALESCE(CAST(Y."&amp;F21&amp;"_SIMUL AS STRING),'') OR (X."&amp;F21&amp;" IS NULL AND Y."&amp;F21&amp;"_SIMUL IS NOT NULL ) OR (X."&amp;F21&amp;" IS NOT NULL AND Y."&amp;F21&amp;"_SIMUL IS NULL),1,0)) AS NUM_REG_DIF,'"&amp;MAX('ID1&amp;5'!L:L)+1&amp;"' AS ID_EXEC, CURRENT_TIMESTAMP() AS TIME_EXEC FROM "&amp;I21&amp;" INNER JOIN "&amp;J21&amp;" "&amp;K21),
IF(C21="Validade",+IF(G21="Code List","SELECT '"&amp;UPPER(B21)&amp;"' AS TABELA, '"&amp;UPPER(C21)&amp;"' AS TIPOLOGIA_TESTE,'"&amp;D21&amp;"' AS TABELA_LT,'N/A' AS TABELA_SIMUL,'"&amp;F21&amp;"' AS CAMPO, "&amp;"'${ref_date}' AS REF_DATE, COUNT(*) AS NUM_REG, SUM(IF(TRIM(CAST(X."&amp;F21&amp;" AS STRING))='' OR TRIM(CAST(X."&amp;F21&amp;" AS STRING)) IS NULL OR CAST(X."&amp;F21&amp;" AS STRING) NOT "&amp;H21&amp;",1,0)) AS NUM_REG_DIF,'"&amp;MAX('ID1&amp;5'!K:K)+1&amp;"' AS ID_EXEC, CURRENT_TIMESTAMP() AS TIME_EXEC FROM "&amp;I21,"SELECT '"&amp;UPPER(B21)&amp;"' AS TABELA, '"&amp;UPPER(C21)&amp;"' AS TIPOLOGIA_TESTE,'"&amp;D21&amp;"' AS TABELA_LT,'N/A' AS TABELA_SIMUL,'"&amp;F21&amp;"' AS CAMPO, "&amp;"'${ref_date}' AS REF_DATE, COUNT(*) AS NUM_REG, SUM(IF(TRIM(CAST(X."&amp;F21&amp;" AS STRING))='' OR TRIM(CAST(X."&amp;F21&amp;" AS STRING)) IS NULL,1,0)) AS NUM_REG_DIF,'"&amp;MAX('ID1&amp;5'!K:K)+1&amp;"' AS ID_EXEC, CURRENT_TIMESTAMP() AS TIME_EXEC FROM "&amp;I21),
IF(C21="Caracteres Especiais",+"SELECT '"&amp;UPPER(B21)&amp;"' AS TABELA, '"&amp;UPPER(C21)&amp;"' AS TIPOLOGIA_TESTE,'"&amp;D21&amp;"' AS TABELA_LT,'N/A' AS TABELA_SIMUL,'"&amp;F21&amp;"' AS CAMPO, "&amp;"'${ref_date}' AS REF_DATE, COUNT(*) AS NUM_REG, SUM(IF(REGEXP_REPLACE(TRIM(CAST(X."&amp;F21&amp;" AS STRING)),'[^a-zA-Z0-9_\\s]','') &lt;&gt;TRIM(CAST(X."&amp;F21&amp;" AS STRING)),1,0)) AS NUM_REG_DIF,'"&amp;MAX('ID1&amp;5'!K:K)+1&amp;"' AS ID_EXEC, CURRENT_TIMESTAMP() AS TIME_EXEC FROM "&amp;I21,
IF(C21="Missings",+"SELECT '"&amp;UPPER(B21)&amp;"' AS TABELA, '"&amp;UPPER(C21)&amp;"' AS TIPOLOGIA_TESTE,'"&amp;D21&amp;"' AS TABELA_LT,'N/A' AS TABELA_SIMUL,'"&amp;F21&amp;"' AS CAMPO, "&amp;"'${ref_date}' AS REF_DATE, COUNT(*) AS NUM_REG, SUM(IF(TRIM(CAST(X."&amp;F21&amp;" AS STRING)) IN ('0000-00-00','0001-01-01','9999-12-31','MISS','00000','99999999999','99999999999.00','99999999999.000000'),1,0)) AS NUM_REG_DIF,'"&amp;MAX('ID1&amp;5'!K:K)+1&amp;"' AS ID_EXEC, CURRENT_TIMESTAMP() AS TIME_EXEC FROM "&amp;I21,
IF(C21="Not applicable",+"SELECT '"&amp;UPPER(B21)&amp;"' AS TABELA, '"&amp;UPPER(C21)&amp;"' AS TIPOLOGIA_TESTE,'"&amp;D21&amp;"' AS TABELA_LT,'N/A' AS TABELA_SIMUL,'"&amp;F21&amp;"' AS CAMPO, "&amp;"'${ref_date}' AS REF_DATE, COUNT(*) AS NUM_REG, SUM(IF(TRIM(CAST(X."&amp;F21&amp;" AS STRING)) IN ('N/A','11111111111','11111111111.00','11111111111.000000','1111-11-11'),1,0)) AS NUM_REG_DIF,'"&amp;MAX('ID1&amp;5'!K:K)+1&amp;"' AS ID_EXEC, CURRENT_TIMESTAMP() AS TIME_EXEC FROM "&amp;I21,
IF(C21="Valores extremos",+"SELECT '"&amp;UPPER(B21)&amp;"' AS TABELA, '"&amp;UPPER(C21)&amp;"' AS TIPOLOGIA_TESTE,'"&amp;D21&amp;"' AS TABELA_LT,'N/A' AS TABELA_SIMUL,'"&amp;F21&amp;"' AS CAMPO, "&amp;"'${ref_date}' AS REF_DATE, CAST(MIN("&amp;F21&amp;") AS STRING) AS VALOR_MIN, CAST(MAX("&amp;F21&amp;") AS STRING) AS VALOR_MAX,'"&amp;MAX('ID1&amp;5'!K:K)+1&amp;"' AS ID_EXEC, CURRENT_TIMESTAMP() AS TIME_EXEC FROM "&amp;MID(I21,1,LEN(I21)-2)&amp;" AND CAST("&amp;F21&amp;"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TIPOLOGIA_TESTE,'CD_LOAN_TAPES_BCE.LT005_INSTR_ENT' AS TABELA_LT,'BU_LOANTAPE_WORK.LT005_INSTR_ENT_SRB' AS TABELA_SIMUL,'MN_ENTTY_ID' AS CAMPO, '${ref_date}' AS REF_DATE, COUNT(*) AS NUM_REG, SUM(IF(COALESCE(CAST(X.MN_ENTTY_ID AS STRING),'')&lt;&gt;COALESCE(CAST(Y.MN_ENTTY_ID_SIMUL AS STRING),'') OR (X.MN_ENTTY_ID IS NULL AND Y.MN_ENTTY_ID_SIMUL IS NOT NULL ) OR (X.MN_ENTTY_ID IS NOT NULL AND Y.MN_ENTTY_ID_SIMUL IS NULL),1,0)) AS NUM_REG_DIF,'1' AS ID_EXEC, CURRENT_TIMESTAMP() AS TIME_EXEC FROM (SELECT instrmnt_id, MN_ENTTY_ID FROM CD_LOAN_TAPES_BCE.LT005_INSTR_ENT WHERE ref_date='${ref_date}' AND nome_perimetro='Individual Corporativo' AND segmento='ESTR' AND ambito='PM' AND entidade='00100')X INNER JOIN (SELECT instrmnt_id AS instrmnt_id_SIMUL, MN_ENTTY_ID AS MN_ENTTY_ID_SIMUL FROM BU_LOANTAPE_WORK.LT005_INSTR_ENT_SRB WHERE ref_date='${ref_date}' AND nome_perimetro='Individual Corporativo' AND segmento='ESTR' AND ambito='PILAR3' AND entidade='00100')Y ON X.INSTRMNT_ID=Y.INSTRMNT_ID_SIMUL</v>
      </c>
      <c r="M21" s="36" t="str">
        <f t="shared" si="0"/>
        <v>UNION ALL SELECT 'INSTR_ENTITY' AS TABELA, 'COERÊNCIA' AS TIPOLOGIA_TESTE,'CD_LOAN_TAPES_BCE.LT005_INSTR_ENT' AS TABELA_LT,'BU_LOANTAPE_WORK.LT005_INSTR_ENT_SRB' AS TABELA_SIMUL,'MN_ENTTY_ID' AS CAMPO, '${ref_date}' AS REF_DATE, COUNT(*) AS NUM_REG, SUM(IF(COALESCE(CAST(X.MN_ENTTY_ID AS STRING),'')&lt;&gt;COALESCE(CAST(Y.MN_ENTTY_ID_SIMUL AS STRING),'') OR (X.MN_ENTTY_ID IS NULL AND Y.MN_ENTTY_ID_SIMUL IS NOT NULL ) OR (X.MN_ENTTY_ID IS NOT NULL AND Y.MN_ENTTY_ID_SIMUL IS NULL),1,0)) AS NUM_REG_DIF,'1' AS ID_EXEC, CURRENT_TIMESTAMP() AS TIME_EXEC FROM (SELECT instrmnt_id, MN_ENTTY_ID FROM CD_LOAN_TAPES_BCE.LT005_INSTR_ENT WHERE ref_date='${ref_date}' AND nome_perimetro='Individual Corporativo' AND segmento='ESTR' AND ambito='PM' AND entidade='00100')X INNER JOIN (SELECT instrmnt_id AS instrmnt_id_SIMUL, MN_ENTTY_ID AS MN_ENTTY_ID_SIMUL FROM BU_LOANTAPE_WORK.LT005_INSTR_ENT_SRB WHERE ref_date='${ref_date}' AND nome_perimetro='Individual Corporativo' AND segmento='ESTR' AND ambito='PILAR3' AND entidade='00100')Y ON X.INSTRMNT_ID=Y.INSTRMNT_ID_SIMUL</v>
      </c>
      <c r="N21" s="38" t="s">
        <v>45</v>
      </c>
    </row>
    <row r="22" spans="1:14" hidden="1">
      <c r="A22" s="60" t="str">
        <f t="shared" si="1"/>
        <v>INSTRUMENTCOD_SOC</v>
      </c>
      <c r="B22" s="34" t="s">
        <v>125</v>
      </c>
      <c r="C22" s="34" t="s">
        <v>5</v>
      </c>
      <c r="D22" s="34" t="str">
        <f>+UPPER('0. Instruções'!$D$35&amp;"."&amp;VLOOKUP(B22,'0. Instruções'!$C$27:$D$32,2,FALSE))</f>
        <v>CD_LOAN_TAPES_BCE.LT002_INSTRUMENT</v>
      </c>
      <c r="E22" s="34" t="str">
        <f>+UPPER('0. Instruções'!$D$36&amp;"."&amp;VLOOKUP(B22,'0. Instruções'!$C$27:$E$32,3,FALSE))</f>
        <v>BU_LOANTAPE_WORK.LT002_INSTRUMENT_SRB</v>
      </c>
      <c r="F22" s="34" t="s">
        <v>108</v>
      </c>
      <c r="G22" s="34"/>
      <c r="H22" s="34" t="s">
        <v>595</v>
      </c>
      <c r="I22" s="34" t="str">
        <f>"(SELECT "&amp;VLOOKUP(B22,'0. Instruções'!$C$27:$G$32,4,FALSE)&amp;", "&amp;F22&amp;" FROM "&amp;D22&amp;" WHERE "&amp;'0. Instruções'!$D$42&amp;")X"</f>
        <v>(SELECT instrmnt_id, COD_SOC FROM CD_LOAN_TAPES_BCE.LT002_INSTRUMENT WHERE ref_date='${ref_date}' AND nome_perimetro='Individual Corporativo' AND segmento='ESTR' AND ambito='PM' AND entidade='00100')X</v>
      </c>
      <c r="J22" s="34" t="str">
        <f>"(SELECT "&amp;VLOOKUP(B22,'0. Instruções'!$C$27:$G$32,4,FALSE)&amp;" AS "&amp;VLOOKUP(B22,'0. Instruções'!$C$27:$G$32,4,FALSE)&amp;"_SIMUL, "&amp;F22&amp;" AS "&amp;F22&amp;"_SIMUL FROM "&amp;E22&amp;" WHERE "&amp;'0. Instruções'!$D$43&amp;")Y"</f>
        <v>(SELECT instrmnt_id AS instrmnt_id_SIMUL, COD_SOC AS COD_SOC_SIMUL FROM BU_LOANTAPE_WORK.LT002_INSTRUMENT_SRB WHERE ref_date='${ref_date}' AND nome_perimetro='Individual Corporativo' AND segmento='ESTR' AND ambito='PILAR3' AND entidade='00100')Y</v>
      </c>
      <c r="K22" s="35" t="str">
        <f>+UPPER("ON X."&amp;VLOOKUP(B22,'0. Instruções'!$C$27:$G$32,4,FALSE)&amp;"=Y."&amp;VLOOKUP(B22,'0. Instruções'!$C$27:$G$32,4,FALSE)&amp;"_SIMUL")</f>
        <v>ON X.INSTRMNT_ID=Y.INSTRMNT_ID_SIMUL</v>
      </c>
      <c r="L22" s="35" t="str">
        <f>+IF(C22="Coerência", +IF(LEFT(G22,5)="FLOAT","SELECT '"&amp;UPPER(B22)&amp;"' AS TABELA, '"&amp;UPPER(C22)&amp;"' AS TIPOLOGIA_TESTE,'"&amp;D22&amp;"' AS TABELA_LT,'"&amp;E22&amp;"' AS TABELA_SIMUL,'"&amp;F22&amp;"' AS CAMPO, "&amp;"'${ref_date}' AS REF_DATE, COUNT(*) AS NUM_REG, SUM(IF((ABS(COALESCE(CAST(X."&amp;F22&amp;" AS DECIMAL(18,6)),0)-COALESCE(CAST(Y."&amp;F22&amp;"_SIMUL AS DECIMAL(18,6)),0))&gt;0.000001) OR (X."&amp;F22&amp;" IS NULL AND Y."&amp;F22&amp;"_SIMUL IS NOT NULL ) OR (X."&amp;F22&amp;" IS NOT NULL AND Y."&amp;F22&amp;"_SIMUL IS NULL),1,0)) AS NUM_REG_DIF,'"&amp;MAX('ID1&amp;5'!K:K)+1&amp;"' AS ID_EXEC, CURRENT_TIMESTAMP() AS TIME_EXEC FROM "&amp;I22&amp;" INNER JOIN "&amp;J22&amp;" "&amp;K22,"SELECT '"&amp;UPPER(B22)&amp;"' AS TABELA, '"&amp;UPPER(C22)&amp;"' AS TIPOLOGIA_TESTE,'"&amp;D22&amp;"' AS TABELA_LT,'"&amp;E22&amp;"' AS TABELA_SIMUL,'"&amp;F22&amp;"' AS CAMPO, "&amp;"'${ref_date}' AS REF_DATE, COUNT(*) AS NUM_REG, SUM(IF(COALESCE(CAST(X."&amp;F22&amp;" AS STRING),'')&lt;&gt;COALESCE(CAST(Y."&amp;F22&amp;"_SIMUL AS STRING),'') OR (X."&amp;F22&amp;" IS NULL AND Y."&amp;F22&amp;"_SIMUL IS NOT NULL ) OR (X."&amp;F22&amp;" IS NOT NULL AND Y."&amp;F22&amp;"_SIMUL IS NULL),1,0)) AS NUM_REG_DIF,'"&amp;MAX('ID1&amp;5'!L:L)+1&amp;"' AS ID_EXEC, CURRENT_TIMESTAMP() AS TIME_EXEC FROM "&amp;I22&amp;" INNER JOIN "&amp;J22&amp;" "&amp;K22),
IF(C22="Validade",+IF(G22="Code List","SELECT '"&amp;UPPER(B22)&amp;"' AS TABELA, '"&amp;UPPER(C22)&amp;"' AS TIPOLOGIA_TESTE,'"&amp;D22&amp;"' AS TABELA_LT,'N/A' AS TABELA_SIMUL,'"&amp;F22&amp;"' AS CAMPO, "&amp;"'${ref_date}' AS REF_DATE, COUNT(*) AS NUM_REG, SUM(IF(TRIM(CAST(X."&amp;F22&amp;" AS STRING))='' OR TRIM(CAST(X."&amp;F22&amp;" AS STRING)) IS NULL OR CAST(X."&amp;F22&amp;" AS STRING) NOT "&amp;H22&amp;",1,0)) AS NUM_REG_DIF,'"&amp;MAX('ID1&amp;5'!K:K)+1&amp;"' AS ID_EXEC, CURRENT_TIMESTAMP() AS TIME_EXEC FROM "&amp;I22,"SELECT '"&amp;UPPER(B22)&amp;"' AS TABELA, '"&amp;UPPER(C22)&amp;"' AS TIPOLOGIA_TESTE,'"&amp;D22&amp;"' AS TABELA_LT,'N/A' AS TABELA_SIMUL,'"&amp;F22&amp;"' AS CAMPO, "&amp;"'${ref_date}' AS REF_DATE, COUNT(*) AS NUM_REG, SUM(IF(TRIM(CAST(X."&amp;F22&amp;" AS STRING))='' OR TRIM(CAST(X."&amp;F22&amp;" AS STRING)) IS NULL,1,0)) AS NUM_REG_DIF,'"&amp;MAX('ID1&amp;5'!K:K)+1&amp;"' AS ID_EXEC, CURRENT_TIMESTAMP() AS TIME_EXEC FROM "&amp;I22),
IF(C22="Caracteres Especiais",+"SELECT '"&amp;UPPER(B22)&amp;"' AS TABELA, '"&amp;UPPER(C22)&amp;"' AS TIPOLOGIA_TESTE,'"&amp;D22&amp;"' AS TABELA_LT,'N/A' AS TABELA_SIMUL,'"&amp;F22&amp;"' AS CAMPO, "&amp;"'${ref_date}' AS REF_DATE, COUNT(*) AS NUM_REG, SUM(IF(REGEXP_REPLACE(TRIM(CAST(X."&amp;F22&amp;" AS STRING)),'[^a-zA-Z0-9_\\s]','') &lt;&gt;TRIM(CAST(X."&amp;F22&amp;" AS STRING)),1,0)) AS NUM_REG_DIF,'"&amp;MAX('ID1&amp;5'!K:K)+1&amp;"' AS ID_EXEC, CURRENT_TIMESTAMP() AS TIME_EXEC FROM "&amp;I22,
IF(C22="Missings",+"SELECT '"&amp;UPPER(B22)&amp;"' AS TABELA, '"&amp;UPPER(C22)&amp;"' AS TIPOLOGIA_TESTE,'"&amp;D22&amp;"' AS TABELA_LT,'N/A' AS TABELA_SIMUL,'"&amp;F22&amp;"' AS CAMPO, "&amp;"'${ref_date}' AS REF_DATE, COUNT(*) AS NUM_REG, SUM(IF(TRIM(CAST(X."&amp;F22&amp;" AS STRING)) IN ('0000-00-00','0001-01-01','9999-12-31','MISS','00000','99999999999','99999999999.00','99999999999.000000'),1,0)) AS NUM_REG_DIF,'"&amp;MAX('ID1&amp;5'!K:K)+1&amp;"' AS ID_EXEC, CURRENT_TIMESTAMP() AS TIME_EXEC FROM "&amp;I22,
IF(C22="Not applicable",+"SELECT '"&amp;UPPER(B22)&amp;"' AS TABELA, '"&amp;UPPER(C22)&amp;"' AS TIPOLOGIA_TESTE,'"&amp;D22&amp;"' AS TABELA_LT,'N/A' AS TABELA_SIMUL,'"&amp;F22&amp;"' AS CAMPO, "&amp;"'${ref_date}' AS REF_DATE, COUNT(*) AS NUM_REG, SUM(IF(TRIM(CAST(X."&amp;F22&amp;" AS STRING)) IN ('N/A','11111111111','11111111111.00','11111111111.000000','1111-11-11'),1,0)) AS NUM_REG_DIF,'"&amp;MAX('ID1&amp;5'!K:K)+1&amp;"' AS ID_EXEC, CURRENT_TIMESTAMP() AS TIME_EXEC FROM "&amp;I22,
IF(C22="Valores extremos",+"SELECT '"&amp;UPPER(B22)&amp;"' AS TABELA, '"&amp;UPPER(C22)&amp;"' AS TIPOLOGIA_TESTE,'"&amp;D22&amp;"' AS TABELA_LT,'N/A' AS TABELA_SIMUL,'"&amp;F22&amp;"' AS CAMPO, "&amp;"'${ref_date}' AS REF_DATE, CAST(MIN("&amp;F22&amp;") AS STRING) AS VALOR_MIN, CAST(MAX("&amp;F22&amp;") AS STRING) AS VALOR_MAX,'"&amp;MAX('ID1&amp;5'!K:K)+1&amp;"' AS ID_EXEC, CURRENT_TIMESTAMP() AS TIME_EXEC FROM "&amp;MID(I22,1,LEN(I22)-2)&amp;" AND CAST("&amp;F22&amp;"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CD_LOAN_TAPES_BCE.LT002_INSTRUMENT WHERE ref_date='${ref_date}' AND nome_perimetro='Individual Corporativo' AND segmento='ESTR' AND ambito='PM' AND entidade='00100')X INNER JOIN (SELECT instrmnt_id AS instrmnt_id_SIMUL, COD_SOC AS COD_SOC_SIMUL FROM BU_LOANTAPE_WORK.LT002_INSTRUMENT_SRB WHERE ref_date='${ref_date}' AND nome_perimetro='Individual Corporativo' AND segmento='ESTR' AND ambito='PILAR3' AND entidade='00100')Y ON X.INSTRMNT_ID=Y.INSTRMNT_ID_SIMUL</v>
      </c>
      <c r="M22" s="36" t="str">
        <f t="shared" si="0"/>
        <v>UNION ALL SELECT 'INSTRUMENT' AS TABELA, 'COERÊNCIA' AS TIPOLOGIA_TESTE,'CD_LOAN_TAPES_BCE.LT002_INSTRUMENT' AS TABELA_LT,'BU_LOANTAPE_WORK.LT002_INSTRUMENT_SRB'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CD_LOAN_TAPES_BCE.LT002_INSTRUMENT WHERE ref_date='${ref_date}' AND nome_perimetro='Individual Corporativo' AND segmento='ESTR' AND ambito='PM' AND entidade='00100')X INNER JOIN (SELECT instrmnt_id AS instrmnt_id_SIMUL, COD_SOC AS COD_SOC_SIMUL FROM BU_LOANTAPE_WORK.LT002_INSTRUMENT_SRB WHERE ref_date='${ref_date}' AND nome_perimetro='Individual Corporativo' AND segmento='ESTR' AND ambito='PILAR3' AND entidade='00100')Y ON X.INSTRMNT_ID=Y.INSTRMNT_ID_SIMUL</v>
      </c>
      <c r="N22" s="38" t="s">
        <v>45</v>
      </c>
    </row>
    <row r="23" spans="1:14" hidden="1">
      <c r="A23" s="60" t="str">
        <f t="shared" si="1"/>
        <v>INSTRUMENTSUBPORTFOLIO_ID</v>
      </c>
      <c r="B23" s="34" t="s">
        <v>125</v>
      </c>
      <c r="C23" s="34" t="s">
        <v>5</v>
      </c>
      <c r="D23" s="34" t="str">
        <f>+UPPER('0. Instruções'!$D$35&amp;"."&amp;VLOOKUP(B23,'0. Instruções'!$C$27:$D$32,2,FALSE))</f>
        <v>CD_LOAN_TAPES_BCE.LT002_INSTRUMENT</v>
      </c>
      <c r="E23" s="34" t="str">
        <f>+UPPER('0. Instruções'!$D$36&amp;"."&amp;VLOOKUP(B23,'0. Instruções'!$C$27:$E$32,3,FALSE))</f>
        <v>BU_LOANTAPE_WORK.LT002_INSTRUMENT_SRB</v>
      </c>
      <c r="F23" s="34" t="s">
        <v>107</v>
      </c>
      <c r="G23" s="34"/>
      <c r="H23" s="34" t="s">
        <v>88</v>
      </c>
      <c r="I23" s="34" t="str">
        <f>"(SELECT "&amp;VLOOKUP(B23,'0. Instruções'!$C$27:$G$32,4,FALSE)&amp;", "&amp;F23&amp;" FROM "&amp;D23&amp;" WHERE "&amp;'0. Instruções'!$D$42&amp;")X"</f>
        <v>(SELECT instrmnt_id, SUBPORTFOLIO_ID FROM CD_LOAN_TAPES_BCE.LT002_INSTRUMENT WHERE ref_date='${ref_date}' AND nome_perimetro='Individual Corporativo' AND segmento='ESTR' AND ambito='PM' AND entidade='00100')X</v>
      </c>
      <c r="J23" s="34" t="str">
        <f>"(SELECT "&amp;VLOOKUP(B23,'0. Instruções'!$C$27:$G$32,4,FALSE)&amp;" AS "&amp;VLOOKUP(B23,'0. Instruções'!$C$27:$G$32,4,FALSE)&amp;"_SIMUL, "&amp;F23&amp;" AS "&amp;F23&amp;"_SIMUL FROM "&amp;E23&amp;" WHERE "&amp;'0. Instruções'!$D$43&amp;")Y"</f>
        <v>(SELECT instrmnt_id AS instrmnt_id_SIMUL, SUBPORTFOLIO_ID AS SUBPORTFOLIO_ID_SIMUL FROM BU_LOANTAPE_WORK.LT002_INSTRUMENT_SRB WHERE ref_date='${ref_date}' AND nome_perimetro='Individual Corporativo' AND segmento='ESTR' AND ambito='PILAR3' AND entidade='00100')Y</v>
      </c>
      <c r="K23" s="35" t="str">
        <f>+UPPER("ON X."&amp;VLOOKUP(B23,'0. Instruções'!$C$27:$G$32,4,FALSE)&amp;"=Y."&amp;VLOOKUP(B23,'0. Instruções'!$C$27:$G$32,4,FALSE)&amp;"_SIMUL")</f>
        <v>ON X.INSTRMNT_ID=Y.INSTRMNT_ID_SIMUL</v>
      </c>
      <c r="L23" s="35" t="str">
        <f>+IF(C23="Coerência", +IF(LEFT(G23,5)="FLOAT","SELECT '"&amp;UPPER(B23)&amp;"' AS TABELA, '"&amp;UPPER(C23)&amp;"' AS TIPOLOGIA_TESTE,'"&amp;D23&amp;"' AS TABELA_LT,'"&amp;E23&amp;"' AS TABELA_SIMUL,'"&amp;F23&amp;"' AS CAMPO, "&amp;"'${ref_date}' AS REF_DATE, COUNT(*) AS NUM_REG, SUM(IF((ABS(COALESCE(CAST(X."&amp;F23&amp;" AS DECIMAL(18,6)),0)-COALESCE(CAST(Y."&amp;F23&amp;"_SIMUL AS DECIMAL(18,6)),0))&gt;0.000001) OR (X."&amp;F23&amp;" IS NULL AND Y."&amp;F23&amp;"_SIMUL IS NOT NULL ) OR (X."&amp;F23&amp;" IS NOT NULL AND Y."&amp;F23&amp;"_SIMUL IS NULL),1,0)) AS NUM_REG_DIF,'"&amp;MAX('ID1&amp;5'!K:K)+1&amp;"' AS ID_EXEC, CURRENT_TIMESTAMP() AS TIME_EXEC FROM "&amp;I23&amp;" INNER JOIN "&amp;J23&amp;" "&amp;K23,"SELECT '"&amp;UPPER(B23)&amp;"' AS TABELA, '"&amp;UPPER(C23)&amp;"' AS TIPOLOGIA_TESTE,'"&amp;D23&amp;"' AS TABELA_LT,'"&amp;E23&amp;"' AS TABELA_SIMUL,'"&amp;F23&amp;"' AS CAMPO, "&amp;"'${ref_date}' AS REF_DATE, COUNT(*) AS NUM_REG, SUM(IF(COALESCE(CAST(X."&amp;F23&amp;" AS STRING),'')&lt;&gt;COALESCE(CAST(Y."&amp;F23&amp;"_SIMUL AS STRING),'') OR (X."&amp;F23&amp;" IS NULL AND Y."&amp;F23&amp;"_SIMUL IS NOT NULL ) OR (X."&amp;F23&amp;" IS NOT NULL AND Y."&amp;F23&amp;"_SIMUL IS NULL),1,0)) AS NUM_REG_DIF,'"&amp;MAX('ID1&amp;5'!L:L)+1&amp;"' AS ID_EXEC, CURRENT_TIMESTAMP() AS TIME_EXEC FROM "&amp;I23&amp;" INNER JOIN "&amp;J23&amp;" "&amp;K23),
IF(C23="Validade",+IF(G23="Code List","SELECT '"&amp;UPPER(B23)&amp;"' AS TABELA, '"&amp;UPPER(C23)&amp;"' AS TIPOLOGIA_TESTE,'"&amp;D23&amp;"' AS TABELA_LT,'N/A' AS TABELA_SIMUL,'"&amp;F23&amp;"' AS CAMPO, "&amp;"'${ref_date}' AS REF_DATE, COUNT(*) AS NUM_REG, SUM(IF(TRIM(CAST(X."&amp;F23&amp;" AS STRING))='' OR TRIM(CAST(X."&amp;F23&amp;" AS STRING)) IS NULL OR CAST(X."&amp;F23&amp;" AS STRING) NOT "&amp;H23&amp;",1,0)) AS NUM_REG_DIF,'"&amp;MAX('ID1&amp;5'!K:K)+1&amp;"' AS ID_EXEC, CURRENT_TIMESTAMP() AS TIME_EXEC FROM "&amp;I23,"SELECT '"&amp;UPPER(B23)&amp;"' AS TABELA, '"&amp;UPPER(C23)&amp;"' AS TIPOLOGIA_TESTE,'"&amp;D23&amp;"' AS TABELA_LT,'N/A' AS TABELA_SIMUL,'"&amp;F23&amp;"' AS CAMPO, "&amp;"'${ref_date}' AS REF_DATE, COUNT(*) AS NUM_REG, SUM(IF(TRIM(CAST(X."&amp;F23&amp;" AS STRING))='' OR TRIM(CAST(X."&amp;F23&amp;" AS STRING)) IS NULL,1,0)) AS NUM_REG_DIF,'"&amp;MAX('ID1&amp;5'!K:K)+1&amp;"' AS ID_EXEC, CURRENT_TIMESTAMP() AS TIME_EXEC FROM "&amp;I23),
IF(C23="Caracteres Especiais",+"SELECT '"&amp;UPPER(B23)&amp;"' AS TABELA, '"&amp;UPPER(C23)&amp;"' AS TIPOLOGIA_TESTE,'"&amp;D23&amp;"' AS TABELA_LT,'N/A' AS TABELA_SIMUL,'"&amp;F23&amp;"' AS CAMPO, "&amp;"'${ref_date}' AS REF_DATE, COUNT(*) AS NUM_REG, SUM(IF(REGEXP_REPLACE(TRIM(CAST(X."&amp;F23&amp;" AS STRING)),'[^a-zA-Z0-9_\\s]','') &lt;&gt;TRIM(CAST(X."&amp;F23&amp;" AS STRING)),1,0)) AS NUM_REG_DIF,'"&amp;MAX('ID1&amp;5'!K:K)+1&amp;"' AS ID_EXEC, CURRENT_TIMESTAMP() AS TIME_EXEC FROM "&amp;I23,
IF(C23="Missings",+"SELECT '"&amp;UPPER(B23)&amp;"' AS TABELA, '"&amp;UPPER(C23)&amp;"' AS TIPOLOGIA_TESTE,'"&amp;D23&amp;"' AS TABELA_LT,'N/A' AS TABELA_SIMUL,'"&amp;F23&amp;"' AS CAMPO, "&amp;"'${ref_date}' AS REF_DATE, COUNT(*) AS NUM_REG, SUM(IF(TRIM(CAST(X."&amp;F23&amp;" AS STRING)) IN ('0000-00-00','0001-01-01','9999-12-31','MISS','00000','99999999999','99999999999.00','99999999999.000000'),1,0)) AS NUM_REG_DIF,'"&amp;MAX('ID1&amp;5'!K:K)+1&amp;"' AS ID_EXEC, CURRENT_TIMESTAMP() AS TIME_EXEC FROM "&amp;I23,
IF(C23="Not applicable",+"SELECT '"&amp;UPPER(B23)&amp;"' AS TABELA, '"&amp;UPPER(C23)&amp;"' AS TIPOLOGIA_TESTE,'"&amp;D23&amp;"' AS TABELA_LT,'N/A' AS TABELA_SIMUL,'"&amp;F23&amp;"' AS CAMPO, "&amp;"'${ref_date}' AS REF_DATE, COUNT(*) AS NUM_REG, SUM(IF(TRIM(CAST(X."&amp;F23&amp;" AS STRING)) IN ('N/A','11111111111','11111111111.00','11111111111.000000','1111-11-11'),1,0)) AS NUM_REG_DIF,'"&amp;MAX('ID1&amp;5'!K:K)+1&amp;"' AS ID_EXEC, CURRENT_TIMESTAMP() AS TIME_EXEC FROM "&amp;I23,
IF(C23="Valores extremos",+"SELECT '"&amp;UPPER(B23)&amp;"' AS TABELA, '"&amp;UPPER(C23)&amp;"' AS TIPOLOGIA_TESTE,'"&amp;D23&amp;"' AS TABELA_LT,'N/A' AS TABELA_SIMUL,'"&amp;F23&amp;"' AS CAMPO, "&amp;"'${ref_date}' AS REF_DATE, CAST(MIN("&amp;F23&amp;") AS STRING) AS VALOR_MIN, CAST(MAX("&amp;F23&amp;") AS STRING) AS VALOR_MAX,'"&amp;MAX('ID1&amp;5'!K:K)+1&amp;"' AS ID_EXEC, CURRENT_TIMESTAMP() AS TIME_EXEC FROM "&amp;MID(I23,1,LEN(I23)-2)&amp;" AND CAST("&amp;F23&amp;"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TABELA_SIMUL,'SUBPORTFOLIO_ID' AS CAMPO, '${ref_date}' AS REF_DATE, COUNT(*) AS NUM_REG, SUM(IF(COALESCE(CAST(X.SUBPORTFOLIO_ID AS STRING),'')&lt;&gt;COALESCE(CAST(Y.SUBPORTFOLIO_ID_SIMUL AS STRING),'') OR (X.SUBPORTFOLIO_ID IS NULL AND Y.SUBPORTFOLIO_ID_SIMUL IS NOT NULL ) OR (X.SUBPORTFOLIO_ID IS NOT NULL AND Y.SUBPORTFOLIO_ID_SIMUL IS NULL),1,0)) AS NUM_REG_DIF,'1' AS ID_EXEC, CURRENT_TIMESTAMP() AS TIME_EXEC FROM (SELECT instrmnt_id, SUBPORTFOLIO_ID FROM CD_LOAN_TAPES_BCE.LT002_INSTRUMENT WHERE ref_date='${ref_date}' AND nome_perimetro='Individual Corporativo' AND segmento='ESTR' AND ambito='PM' AND entidade='00100')X INNER JOIN (SELECT instrmnt_id AS instrmnt_id_SIMUL, SUBPORTFOLIO_ID AS SUBPORTFOLIO_ID_SIMUL FROM BU_LOANTAPE_WORK.LT002_INSTRUMENT_SRB WHERE ref_date='${ref_date}' AND nome_perimetro='Individual Corporativo' AND segmento='ESTR' AND ambito='PILAR3' AND entidade='00100')Y ON X.INSTRMNT_ID=Y.INSTRMNT_ID_SIMUL</v>
      </c>
      <c r="M23" s="36" t="str">
        <f t="shared" si="0"/>
        <v>UNION ALL SELECT 'INSTRUMENT' AS TABELA, 'COERÊNCIA' AS TIPOLOGIA_TESTE,'CD_LOAN_TAPES_BCE.LT002_INSTRUMENT' AS TABELA_LT,'BU_LOANTAPE_WORK.LT002_INSTRUMENT_SRB' AS TABELA_SIMUL,'SUBPORTFOLIO_ID' AS CAMPO, '${ref_date}' AS REF_DATE, COUNT(*) AS NUM_REG, SUM(IF(COALESCE(CAST(X.SUBPORTFOLIO_ID AS STRING),'')&lt;&gt;COALESCE(CAST(Y.SUBPORTFOLIO_ID_SIMUL AS STRING),'') OR (X.SUBPORTFOLIO_ID IS NULL AND Y.SUBPORTFOLIO_ID_SIMUL IS NOT NULL ) OR (X.SUBPORTFOLIO_ID IS NOT NULL AND Y.SUBPORTFOLIO_ID_SIMUL IS NULL),1,0)) AS NUM_REG_DIF,'1' AS ID_EXEC, CURRENT_TIMESTAMP() AS TIME_EXEC FROM (SELECT instrmnt_id, SUBPORTFOLIO_ID FROM CD_LOAN_TAPES_BCE.LT002_INSTRUMENT WHERE ref_date='${ref_date}' AND nome_perimetro='Individual Corporativo' AND segmento='ESTR' AND ambito='PM' AND entidade='00100')X INNER JOIN (SELECT instrmnt_id AS instrmnt_id_SIMUL, SUBPORTFOLIO_ID AS SUBPORTFOLIO_ID_SIMUL FROM BU_LOANTAPE_WORK.LT002_INSTRUMENT_SRB WHERE ref_date='${ref_date}' AND nome_perimetro='Individual Corporativo' AND segmento='ESTR' AND ambito='PILAR3' AND entidade='00100')Y ON X.INSTRMNT_ID=Y.INSTRMNT_ID_SIMUL</v>
      </c>
      <c r="N23" s="38" t="s">
        <v>45</v>
      </c>
    </row>
    <row r="24" spans="1:14" hidden="1">
      <c r="A24" s="60" t="str">
        <f t="shared" si="1"/>
        <v>INSTRUMENTDT_INCPTN</v>
      </c>
      <c r="B24" s="34" t="s">
        <v>125</v>
      </c>
      <c r="C24" s="34" t="s">
        <v>5</v>
      </c>
      <c r="D24" s="34" t="str">
        <f>+UPPER('0. Instruções'!$D$35&amp;"."&amp;VLOOKUP(B24,'0. Instruções'!$C$27:$D$32,2,FALSE))</f>
        <v>CD_LOAN_TAPES_BCE.LT002_INSTRUMENT</v>
      </c>
      <c r="E24" s="34" t="str">
        <f>+UPPER('0. Instruções'!$D$36&amp;"."&amp;VLOOKUP(B24,'0. Instruções'!$C$27:$E$32,3,FALSE))</f>
        <v>BU_LOANTAPE_WORK.LT002_INSTRUMENT_SRB</v>
      </c>
      <c r="F24" s="34" t="s">
        <v>93</v>
      </c>
      <c r="G24" s="34"/>
      <c r="H24" s="34" t="s">
        <v>596</v>
      </c>
      <c r="I24" s="34" t="str">
        <f>"(SELECT "&amp;VLOOKUP(B24,'0. Instruções'!$C$27:$G$32,4,FALSE)&amp;", "&amp;F24&amp;" FROM "&amp;D24&amp;" WHERE "&amp;'0. Instruções'!$D$42&amp;")X"</f>
        <v>(SELECT instrmnt_id, DT_INCPTN FROM CD_LOAN_TAPES_BCE.LT002_INSTRUMENT WHERE ref_date='${ref_date}' AND nome_perimetro='Individual Corporativo' AND segmento='ESTR' AND ambito='PM' AND entidade='00100')X</v>
      </c>
      <c r="J24" s="34" t="str">
        <f>"(SELECT "&amp;VLOOKUP(B24,'0. Instruções'!$C$27:$G$32,4,FALSE)&amp;" AS "&amp;VLOOKUP(B24,'0. Instruções'!$C$27:$G$32,4,FALSE)&amp;"_SIMUL, "&amp;F24&amp;" AS "&amp;F24&amp;"_SIMUL FROM "&amp;E24&amp;" WHERE "&amp;'0. Instruções'!$D$43&amp;")Y"</f>
        <v>(SELECT instrmnt_id AS instrmnt_id_SIMUL, DT_INCPTN AS DT_INCPTN_SIMUL FROM BU_LOANTAPE_WORK.LT002_INSTRUMENT_SRB WHERE ref_date='${ref_date}' AND nome_perimetro='Individual Corporativo' AND segmento='ESTR' AND ambito='PILAR3' AND entidade='00100')Y</v>
      </c>
      <c r="K24" s="35" t="str">
        <f>+UPPER("ON X."&amp;VLOOKUP(B24,'0. Instruções'!$C$27:$G$32,4,FALSE)&amp;"=Y."&amp;VLOOKUP(B24,'0. Instruções'!$C$27:$G$32,4,FALSE)&amp;"_SIMUL")</f>
        <v>ON X.INSTRMNT_ID=Y.INSTRMNT_ID_SIMUL</v>
      </c>
      <c r="L24" s="35" t="str">
        <f>+IF(C24="Coerência", +IF(LEFT(G24,5)="FLOAT","SELECT '"&amp;UPPER(B24)&amp;"' AS TABELA, '"&amp;UPPER(C24)&amp;"' AS TIPOLOGIA_TESTE,'"&amp;D24&amp;"' AS TABELA_LT,'"&amp;E24&amp;"' AS TABELA_SIMUL,'"&amp;F24&amp;"' AS CAMPO, "&amp;"'${ref_date}' AS REF_DATE, COUNT(*) AS NUM_REG, SUM(IF((ABS(COALESCE(CAST(X."&amp;F24&amp;" AS DECIMAL(18,6)),0)-COALESCE(CAST(Y."&amp;F24&amp;"_SIMUL AS DECIMAL(18,6)),0))&gt;0.000001) OR (X."&amp;F24&amp;" IS NULL AND Y."&amp;F24&amp;"_SIMUL IS NOT NULL ) OR (X."&amp;F24&amp;" IS NOT NULL AND Y."&amp;F24&amp;"_SIMUL IS NULL),1,0)) AS NUM_REG_DIF,'"&amp;MAX('ID1&amp;5'!K:K)+1&amp;"' AS ID_EXEC, CURRENT_TIMESTAMP() AS TIME_EXEC FROM "&amp;I24&amp;" INNER JOIN "&amp;J24&amp;" "&amp;K24,"SELECT '"&amp;UPPER(B24)&amp;"' AS TABELA, '"&amp;UPPER(C24)&amp;"' AS TIPOLOGIA_TESTE,'"&amp;D24&amp;"' AS TABELA_LT,'"&amp;E24&amp;"' AS TABELA_SIMUL,'"&amp;F24&amp;"' AS CAMPO, "&amp;"'${ref_date}' AS REF_DATE, COUNT(*) AS NUM_REG, SUM(IF(COALESCE(CAST(X."&amp;F24&amp;" AS STRING),'')&lt;&gt;COALESCE(CAST(Y."&amp;F24&amp;"_SIMUL AS STRING),'') OR (X."&amp;F24&amp;" IS NULL AND Y."&amp;F24&amp;"_SIMUL IS NOT NULL ) OR (X."&amp;F24&amp;" IS NOT NULL AND Y."&amp;F24&amp;"_SIMUL IS NULL),1,0)) AS NUM_REG_DIF,'"&amp;MAX('ID1&amp;5'!L:L)+1&amp;"' AS ID_EXEC, CURRENT_TIMESTAMP() AS TIME_EXEC FROM "&amp;I24&amp;" INNER JOIN "&amp;J24&amp;" "&amp;K24),
IF(C24="Validade",+IF(G24="Code List","SELECT '"&amp;UPPER(B24)&amp;"' AS TABELA, '"&amp;UPPER(C24)&amp;"' AS TIPOLOGIA_TESTE,'"&amp;D24&amp;"' AS TABELA_LT,'N/A' AS TABELA_SIMUL,'"&amp;F24&amp;"' AS CAMPO, "&amp;"'${ref_date}' AS REF_DATE, COUNT(*) AS NUM_REG, SUM(IF(TRIM(CAST(X."&amp;F24&amp;" AS STRING))='' OR TRIM(CAST(X."&amp;F24&amp;" AS STRING)) IS NULL OR CAST(X."&amp;F24&amp;" AS STRING) NOT "&amp;H24&amp;",1,0)) AS NUM_REG_DIF,'"&amp;MAX('ID1&amp;5'!K:K)+1&amp;"' AS ID_EXEC, CURRENT_TIMESTAMP() AS TIME_EXEC FROM "&amp;I24,"SELECT '"&amp;UPPER(B24)&amp;"' AS TABELA, '"&amp;UPPER(C24)&amp;"' AS TIPOLOGIA_TESTE,'"&amp;D24&amp;"' AS TABELA_LT,'N/A' AS TABELA_SIMUL,'"&amp;F24&amp;"' AS CAMPO, "&amp;"'${ref_date}' AS REF_DATE, COUNT(*) AS NUM_REG, SUM(IF(TRIM(CAST(X."&amp;F24&amp;" AS STRING))='' OR TRIM(CAST(X."&amp;F24&amp;" AS STRING)) IS NULL,1,0)) AS NUM_REG_DIF,'"&amp;MAX('ID1&amp;5'!K:K)+1&amp;"' AS ID_EXEC, CURRENT_TIMESTAMP() AS TIME_EXEC FROM "&amp;I24),
IF(C24="Caracteres Especiais",+"SELECT '"&amp;UPPER(B24)&amp;"' AS TABELA, '"&amp;UPPER(C24)&amp;"' AS TIPOLOGIA_TESTE,'"&amp;D24&amp;"' AS TABELA_LT,'N/A' AS TABELA_SIMUL,'"&amp;F24&amp;"' AS CAMPO, "&amp;"'${ref_date}' AS REF_DATE, COUNT(*) AS NUM_REG, SUM(IF(REGEXP_REPLACE(TRIM(CAST(X."&amp;F24&amp;" AS STRING)),'[^a-zA-Z0-9_\\s]','') &lt;&gt;TRIM(CAST(X."&amp;F24&amp;" AS STRING)),1,0)) AS NUM_REG_DIF,'"&amp;MAX('ID1&amp;5'!K:K)+1&amp;"' AS ID_EXEC, CURRENT_TIMESTAMP() AS TIME_EXEC FROM "&amp;I24,
IF(C24="Missings",+"SELECT '"&amp;UPPER(B24)&amp;"' AS TABELA, '"&amp;UPPER(C24)&amp;"' AS TIPOLOGIA_TESTE,'"&amp;D24&amp;"' AS TABELA_LT,'N/A' AS TABELA_SIMUL,'"&amp;F24&amp;"' AS CAMPO, "&amp;"'${ref_date}' AS REF_DATE, COUNT(*) AS NUM_REG, SUM(IF(TRIM(CAST(X."&amp;F24&amp;" AS STRING)) IN ('0000-00-00','0001-01-01','9999-12-31','MISS','00000','99999999999','99999999999.00','99999999999.000000'),1,0)) AS NUM_REG_DIF,'"&amp;MAX('ID1&amp;5'!K:K)+1&amp;"' AS ID_EXEC, CURRENT_TIMESTAMP() AS TIME_EXEC FROM "&amp;I24,
IF(C24="Not applicable",+"SELECT '"&amp;UPPER(B24)&amp;"' AS TABELA, '"&amp;UPPER(C24)&amp;"' AS TIPOLOGIA_TESTE,'"&amp;D24&amp;"' AS TABELA_LT,'N/A' AS TABELA_SIMUL,'"&amp;F24&amp;"' AS CAMPO, "&amp;"'${ref_date}' AS REF_DATE, COUNT(*) AS NUM_REG, SUM(IF(TRIM(CAST(X."&amp;F24&amp;" AS STRING)) IN ('N/A','11111111111','11111111111.00','11111111111.000000','1111-11-11'),1,0)) AS NUM_REG_DIF,'"&amp;MAX('ID1&amp;5'!K:K)+1&amp;"' AS ID_EXEC, CURRENT_TIMESTAMP() AS TIME_EXEC FROM "&amp;I24,
IF(C24="Valores extremos",+"SELECT '"&amp;UPPER(B24)&amp;"' AS TABELA, '"&amp;UPPER(C24)&amp;"' AS TIPOLOGIA_TESTE,'"&amp;D24&amp;"' AS TABELA_LT,'N/A' AS TABELA_SIMUL,'"&amp;F24&amp;"' AS CAMPO, "&amp;"'${ref_date}' AS REF_DATE, CAST(MIN("&amp;F24&amp;") AS STRING) AS VALOR_MIN, CAST(MAX("&amp;F24&amp;") AS STRING) AS VALOR_MAX,'"&amp;MAX('ID1&amp;5'!K:K)+1&amp;"' AS ID_EXEC, CURRENT_TIMESTAMP() AS TIME_EXEC FROM "&amp;MID(I24,1,LEN(I24)-2)&amp;" AND CAST("&amp;F24&amp;"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TABELA_SIMUL,'DT_INCPTN' AS CAMPO, '${ref_date}' AS REF_DATE, COUNT(*) AS NUM_REG, SUM(IF(COALESCE(CAST(X.DT_INCPTN AS STRING),'')&lt;&gt;COALESCE(CAST(Y.DT_INCPTN_SIMUL AS STRING),'') OR (X.DT_INCPTN IS NULL AND Y.DT_INCPTN_SIMUL IS NOT NULL ) OR (X.DT_INCPTN IS NOT NULL AND Y.DT_INCPTN_SIMUL IS NULL),1,0)) AS NUM_REG_DIF,'1' AS ID_EXEC, CURRENT_TIMESTAMP() AS TIME_EXEC FROM (SELECT instrmnt_id, DT_INCPTN FROM CD_LOAN_TAPES_BCE.LT002_INSTRUMENT WHERE ref_date='${ref_date}' AND nome_perimetro='Individual Corporativo' AND segmento='ESTR' AND ambito='PM' AND entidade='00100')X INNER JOIN (SELECT instrmnt_id AS instrmnt_id_SIMUL, DT_INCPTN AS DT_INCPTN_SIMUL FROM BU_LOANTAPE_WORK.LT002_INSTRUMENT_SRB WHERE ref_date='${ref_date}' AND nome_perimetro='Individual Corporativo' AND segmento='ESTR' AND ambito='PILAR3' AND entidade='00100')Y ON X.INSTRMNT_ID=Y.INSTRMNT_ID_SIMUL</v>
      </c>
      <c r="M24" s="36" t="str">
        <f t="shared" si="0"/>
        <v>UNION ALL SELECT 'INSTRUMENT' AS TABELA, 'COERÊNCIA' AS TIPOLOGIA_TESTE,'CD_LOAN_TAPES_BCE.LT002_INSTRUMENT' AS TABELA_LT,'BU_LOANTAPE_WORK.LT002_INSTRUMENT_SRB' AS TABELA_SIMUL,'DT_INCPTN' AS CAMPO, '${ref_date}' AS REF_DATE, COUNT(*) AS NUM_REG, SUM(IF(COALESCE(CAST(X.DT_INCPTN AS STRING),'')&lt;&gt;COALESCE(CAST(Y.DT_INCPTN_SIMUL AS STRING),'') OR (X.DT_INCPTN IS NULL AND Y.DT_INCPTN_SIMUL IS NOT NULL ) OR (X.DT_INCPTN IS NOT NULL AND Y.DT_INCPTN_SIMUL IS NULL),1,0)) AS NUM_REG_DIF,'1' AS ID_EXEC, CURRENT_TIMESTAMP() AS TIME_EXEC FROM (SELECT instrmnt_id, DT_INCPTN FROM CD_LOAN_TAPES_BCE.LT002_INSTRUMENT WHERE ref_date='${ref_date}' AND nome_perimetro='Individual Corporativo' AND segmento='ESTR' AND ambito='PM' AND entidade='00100')X INNER JOIN (SELECT instrmnt_id AS instrmnt_id_SIMUL, DT_INCPTN AS DT_INCPTN_SIMUL FROM BU_LOANTAPE_WORK.LT002_INSTRUMENT_SRB WHERE ref_date='${ref_date}' AND nome_perimetro='Individual Corporativo' AND segmento='ESTR' AND ambito='PILAR3' AND entidade='00100')Y ON X.INSTRMNT_ID=Y.INSTRMNT_ID_SIMUL</v>
      </c>
      <c r="N24" s="38" t="s">
        <v>45</v>
      </c>
    </row>
    <row r="25" spans="1:14" hidden="1">
      <c r="A25" s="60" t="str">
        <f t="shared" si="1"/>
        <v>INSTRUMENTDFLT_STTS_INSTRMNT</v>
      </c>
      <c r="B25" s="34" t="s">
        <v>125</v>
      </c>
      <c r="C25" s="34" t="s">
        <v>5</v>
      </c>
      <c r="D25" s="34" t="str">
        <f>+UPPER('0. Instruções'!$D$35&amp;"."&amp;VLOOKUP(B25,'0. Instruções'!$C$27:$D$32,2,FALSE))</f>
        <v>CD_LOAN_TAPES_BCE.LT002_INSTRUMENT</v>
      </c>
      <c r="E25" s="34" t="str">
        <f>+UPPER('0. Instruções'!$D$36&amp;"."&amp;VLOOKUP(B25,'0. Instruções'!$C$27:$E$32,3,FALSE))</f>
        <v>BU_LOANTAPE_WORK.LT002_INSTRUMENT_SRB</v>
      </c>
      <c r="F25" s="34" t="s">
        <v>94</v>
      </c>
      <c r="G25" s="34"/>
      <c r="H25" s="34" t="s">
        <v>88</v>
      </c>
      <c r="I25" s="34" t="str">
        <f>"(SELECT "&amp;VLOOKUP(B25,'0. Instruções'!$C$27:$G$32,4,FALSE)&amp;", "&amp;F25&amp;" FROM "&amp;D25&amp;" WHERE "&amp;'0. Instruções'!$D$42&amp;")X"</f>
        <v>(SELECT instrmnt_id, DFLT_STTS_INSTRMNT FROM CD_LOAN_TAPES_BCE.LT002_INSTRUMENT WHERE ref_date='${ref_date}' AND nome_perimetro='Individual Corporativo' AND segmento='ESTR' AND ambito='PM' AND entidade='00100')X</v>
      </c>
      <c r="J25" s="34" t="str">
        <f>"(SELECT "&amp;VLOOKUP(B25,'0. Instruções'!$C$27:$G$32,4,FALSE)&amp;" AS "&amp;VLOOKUP(B25,'0. Instruções'!$C$27:$G$32,4,FALSE)&amp;"_SIMUL, "&amp;F25&amp;" AS "&amp;F25&amp;"_SIMUL FROM "&amp;E25&amp;" WHERE "&amp;'0. Instruções'!$D$43&amp;")Y"</f>
        <v>(SELECT instrmnt_id AS instrmnt_id_SIMUL, DFLT_STTS_INSTRMNT AS DFLT_STTS_INSTRMNT_SIMUL FROM BU_LOANTAPE_WORK.LT002_INSTRUMENT_SRB WHERE ref_date='${ref_date}' AND nome_perimetro='Individual Corporativo' AND segmento='ESTR' AND ambito='PILAR3' AND entidade='00100')Y</v>
      </c>
      <c r="K25" s="35" t="str">
        <f>+UPPER("ON X."&amp;VLOOKUP(B25,'0. Instruções'!$C$27:$G$32,4,FALSE)&amp;"=Y."&amp;VLOOKUP(B25,'0. Instruções'!$C$27:$G$32,4,FALSE)&amp;"_SIMUL")</f>
        <v>ON X.INSTRMNT_ID=Y.INSTRMNT_ID_SIMUL</v>
      </c>
      <c r="L25" s="35" t="str">
        <f>+IF(C25="Coerência", +IF(LEFT(G25,5)="FLOAT","SELECT '"&amp;UPPER(B25)&amp;"' AS TABELA, '"&amp;UPPER(C25)&amp;"' AS TIPOLOGIA_TESTE,'"&amp;D25&amp;"' AS TABELA_LT,'"&amp;E25&amp;"' AS TABELA_SIMUL,'"&amp;F25&amp;"' AS CAMPO, "&amp;"'${ref_date}' AS REF_DATE, COUNT(*) AS NUM_REG, SUM(IF((ABS(COALESCE(CAST(X."&amp;F25&amp;" AS DECIMAL(18,6)),0)-COALESCE(CAST(Y."&amp;F25&amp;"_SIMUL AS DECIMAL(18,6)),0))&gt;0.000001) OR (X."&amp;F25&amp;" IS NULL AND Y."&amp;F25&amp;"_SIMUL IS NOT NULL ) OR (X."&amp;F25&amp;" IS NOT NULL AND Y."&amp;F25&amp;"_SIMUL IS NULL),1,0)) AS NUM_REG_DIF,'"&amp;MAX('ID1&amp;5'!K:K)+1&amp;"' AS ID_EXEC, CURRENT_TIMESTAMP() AS TIME_EXEC FROM "&amp;I25&amp;" INNER JOIN "&amp;J25&amp;" "&amp;K25,"SELECT '"&amp;UPPER(B25)&amp;"' AS TABELA, '"&amp;UPPER(C25)&amp;"' AS TIPOLOGIA_TESTE,'"&amp;D25&amp;"' AS TABELA_LT,'"&amp;E25&amp;"' AS TABELA_SIMUL,'"&amp;F25&amp;"' AS CAMPO, "&amp;"'${ref_date}' AS REF_DATE, COUNT(*) AS NUM_REG, SUM(IF(COALESCE(CAST(X."&amp;F25&amp;" AS STRING),'')&lt;&gt;COALESCE(CAST(Y."&amp;F25&amp;"_SIMUL AS STRING),'') OR (X."&amp;F25&amp;" IS NULL AND Y."&amp;F25&amp;"_SIMUL IS NOT NULL ) OR (X."&amp;F25&amp;" IS NOT NULL AND Y."&amp;F25&amp;"_SIMUL IS NULL),1,0)) AS NUM_REG_DIF,'"&amp;MAX('ID1&amp;5'!L:L)+1&amp;"' AS ID_EXEC, CURRENT_TIMESTAMP() AS TIME_EXEC FROM "&amp;I25&amp;" INNER JOIN "&amp;J25&amp;" "&amp;K25),
IF(C25="Validade",+IF(G25="Code List","SELECT '"&amp;UPPER(B25)&amp;"' AS TABELA, '"&amp;UPPER(C25)&amp;"' AS TIPOLOGIA_TESTE,'"&amp;D25&amp;"' AS TABELA_LT,'N/A' AS TABELA_SIMUL,'"&amp;F25&amp;"' AS CAMPO, "&amp;"'${ref_date}' AS REF_DATE, COUNT(*) AS NUM_REG, SUM(IF(TRIM(CAST(X."&amp;F25&amp;" AS STRING))='' OR TRIM(CAST(X."&amp;F25&amp;" AS STRING)) IS NULL OR CAST(X."&amp;F25&amp;" AS STRING) NOT "&amp;H25&amp;",1,0)) AS NUM_REG_DIF,'"&amp;MAX('ID1&amp;5'!K:K)+1&amp;"' AS ID_EXEC, CURRENT_TIMESTAMP() AS TIME_EXEC FROM "&amp;I25,"SELECT '"&amp;UPPER(B25)&amp;"' AS TABELA, '"&amp;UPPER(C25)&amp;"' AS TIPOLOGIA_TESTE,'"&amp;D25&amp;"' AS TABELA_LT,'N/A' AS TABELA_SIMUL,'"&amp;F25&amp;"' AS CAMPO, "&amp;"'${ref_date}' AS REF_DATE, COUNT(*) AS NUM_REG, SUM(IF(TRIM(CAST(X."&amp;F25&amp;" AS STRING))='' OR TRIM(CAST(X."&amp;F25&amp;" AS STRING)) IS NULL,1,0)) AS NUM_REG_DIF,'"&amp;MAX('ID1&amp;5'!K:K)+1&amp;"' AS ID_EXEC, CURRENT_TIMESTAMP() AS TIME_EXEC FROM "&amp;I25),
IF(C25="Caracteres Especiais",+"SELECT '"&amp;UPPER(B25)&amp;"' AS TABELA, '"&amp;UPPER(C25)&amp;"' AS TIPOLOGIA_TESTE,'"&amp;D25&amp;"' AS TABELA_LT,'N/A' AS TABELA_SIMUL,'"&amp;F25&amp;"' AS CAMPO, "&amp;"'${ref_date}' AS REF_DATE, COUNT(*) AS NUM_REG, SUM(IF(REGEXP_REPLACE(TRIM(CAST(X."&amp;F25&amp;" AS STRING)),'[^a-zA-Z0-9_\\s]','') &lt;&gt;TRIM(CAST(X."&amp;F25&amp;" AS STRING)),1,0)) AS NUM_REG_DIF,'"&amp;MAX('ID1&amp;5'!K:K)+1&amp;"' AS ID_EXEC, CURRENT_TIMESTAMP() AS TIME_EXEC FROM "&amp;I25,
IF(C25="Missings",+"SELECT '"&amp;UPPER(B25)&amp;"' AS TABELA, '"&amp;UPPER(C25)&amp;"' AS TIPOLOGIA_TESTE,'"&amp;D25&amp;"' AS TABELA_LT,'N/A' AS TABELA_SIMUL,'"&amp;F25&amp;"' AS CAMPO, "&amp;"'${ref_date}' AS REF_DATE, COUNT(*) AS NUM_REG, SUM(IF(TRIM(CAST(X."&amp;F25&amp;" AS STRING)) IN ('0000-00-00','0001-01-01','9999-12-31','MISS','00000','99999999999','99999999999.00','99999999999.000000'),1,0)) AS NUM_REG_DIF,'"&amp;MAX('ID1&amp;5'!K:K)+1&amp;"' AS ID_EXEC, CURRENT_TIMESTAMP() AS TIME_EXEC FROM "&amp;I25,
IF(C25="Not applicable",+"SELECT '"&amp;UPPER(B25)&amp;"' AS TABELA, '"&amp;UPPER(C25)&amp;"' AS TIPOLOGIA_TESTE,'"&amp;D25&amp;"' AS TABELA_LT,'N/A' AS TABELA_SIMUL,'"&amp;F25&amp;"' AS CAMPO, "&amp;"'${ref_date}' AS REF_DATE, COUNT(*) AS NUM_REG, SUM(IF(TRIM(CAST(X."&amp;F25&amp;" AS STRING)) IN ('N/A','11111111111','11111111111.00','11111111111.000000','1111-11-11'),1,0)) AS NUM_REG_DIF,'"&amp;MAX('ID1&amp;5'!K:K)+1&amp;"' AS ID_EXEC, CURRENT_TIMESTAMP() AS TIME_EXEC FROM "&amp;I25,
IF(C25="Valores extremos",+"SELECT '"&amp;UPPER(B25)&amp;"' AS TABELA, '"&amp;UPPER(C25)&amp;"' AS TIPOLOGIA_TESTE,'"&amp;D25&amp;"' AS TABELA_LT,'N/A' AS TABELA_SIMUL,'"&amp;F25&amp;"' AS CAMPO, "&amp;"'${ref_date}' AS REF_DATE, CAST(MIN("&amp;F25&amp;") AS STRING) AS VALOR_MIN, CAST(MAX("&amp;F25&amp;") AS STRING) AS VALOR_MAX,'"&amp;MAX('ID1&amp;5'!K:K)+1&amp;"' AS ID_EXEC, CURRENT_TIMESTAMP() AS TIME_EXEC FROM "&amp;MID(I25,1,LEN(I25)-2)&amp;" AND CAST("&amp;F25&amp;"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TABELA_SIMUL,'DFLT_STTS_INSTRMNT' AS CAMPO, '${ref_date}' AS REF_DATE, COUNT(*) AS NUM_REG, SUM(IF(COALESCE(CAST(X.DFLT_STTS_INSTRMNT AS STRING),'')&lt;&gt;COALESCE(CAST(Y.DFLT_STTS_INSTRMNT_SIMUL AS STRING),'') OR (X.DFLT_STTS_INSTRMNT IS NULL AND Y.DFLT_STTS_INSTRMNT_SIMUL IS NOT NULL ) OR (X.DFLT_STTS_INSTRMNT IS NOT NULL AND Y.DFLT_STTS_INSTRMNT_SIMUL IS NULL),1,0)) AS NUM_REG_DIF,'1' AS ID_EXEC, CURRENT_TIMESTAMP() AS TIME_EXEC FROM (SELECT instrmnt_id, DFLT_STTS_INSTRMNT FROM CD_LOAN_TAPES_BCE.LT002_INSTRUMENT WHERE ref_date='${ref_date}' AND nome_perimetro='Individual Corporativo' AND segmento='ESTR' AND ambito='PM' AND entidade='00100')X INNER JOIN (SELECT instrmnt_id AS instrmnt_id_SIMUL, DFLT_STTS_INSTRMNT AS DFLT_STTS_INSTRMNT_SIMUL FROM BU_LOANTAPE_WORK.LT002_INSTRUMENT_SRB WHERE ref_date='${ref_date}' AND nome_perimetro='Individual Corporativo' AND segmento='ESTR' AND ambito='PILAR3' AND entidade='00100')Y ON X.INSTRMNT_ID=Y.INSTRMNT_ID_SIMUL</v>
      </c>
      <c r="M25" s="36" t="str">
        <f t="shared" si="0"/>
        <v>UNION ALL SELECT 'INSTRUMENT' AS TABELA, 'COERÊNCIA' AS TIPOLOGIA_TESTE,'CD_LOAN_TAPES_BCE.LT002_INSTRUMENT' AS TABELA_LT,'BU_LOANTAPE_WORK.LT002_INSTRUMENT_SRB' AS TABELA_SIMUL,'DFLT_STTS_INSTRMNT' AS CAMPO, '${ref_date}' AS REF_DATE, COUNT(*) AS NUM_REG, SUM(IF(COALESCE(CAST(X.DFLT_STTS_INSTRMNT AS STRING),'')&lt;&gt;COALESCE(CAST(Y.DFLT_STTS_INSTRMNT_SIMUL AS STRING),'') OR (X.DFLT_STTS_INSTRMNT IS NULL AND Y.DFLT_STTS_INSTRMNT_SIMUL IS NOT NULL ) OR (X.DFLT_STTS_INSTRMNT IS NOT NULL AND Y.DFLT_STTS_INSTRMNT_SIMUL IS NULL),1,0)) AS NUM_REG_DIF,'1' AS ID_EXEC, CURRENT_TIMESTAMP() AS TIME_EXEC FROM (SELECT instrmnt_id, DFLT_STTS_INSTRMNT FROM CD_LOAN_TAPES_BCE.LT002_INSTRUMENT WHERE ref_date='${ref_date}' AND nome_perimetro='Individual Corporativo' AND segmento='ESTR' AND ambito='PM' AND entidade='00100')X INNER JOIN (SELECT instrmnt_id AS instrmnt_id_SIMUL, DFLT_STTS_INSTRMNT AS DFLT_STTS_INSTRMNT_SIMUL FROM BU_LOANTAPE_WORK.LT002_INSTRUMENT_SRB WHERE ref_date='${ref_date}' AND nome_perimetro='Individual Corporativo' AND segmento='ESTR' AND ambito='PILAR3' AND entidade='00100')Y ON X.INSTRMNT_ID=Y.INSTRMNT_ID_SIMUL</v>
      </c>
      <c r="N25" s="38" t="s">
        <v>45</v>
      </c>
    </row>
    <row r="26" spans="1:14" hidden="1">
      <c r="A26" s="60" t="str">
        <f t="shared" si="1"/>
        <v>INSTRUMENTFRBRNC_STTS_INSTRMNT</v>
      </c>
      <c r="B26" s="34" t="s">
        <v>125</v>
      </c>
      <c r="C26" s="34" t="s">
        <v>5</v>
      </c>
      <c r="D26" s="34" t="str">
        <f>+UPPER('0. Instruções'!$D$35&amp;"."&amp;VLOOKUP(B26,'0. Instruções'!$C$27:$D$32,2,FALSE))</f>
        <v>CD_LOAN_TAPES_BCE.LT002_INSTRUMENT</v>
      </c>
      <c r="E26" s="34" t="str">
        <f>+UPPER('0. Instruções'!$D$36&amp;"."&amp;VLOOKUP(B26,'0. Instruções'!$C$27:$E$32,3,FALSE))</f>
        <v>BU_LOANTAPE_WORK.LT002_INSTRUMENT_SRB</v>
      </c>
      <c r="F26" s="34" t="s">
        <v>429</v>
      </c>
      <c r="G26" s="34"/>
      <c r="H26" s="34" t="s">
        <v>88</v>
      </c>
      <c r="I26" s="34" t="str">
        <f>"(SELECT "&amp;VLOOKUP(B26,'0. Instruções'!$C$27:$G$32,4,FALSE)&amp;", "&amp;F26&amp;" FROM "&amp;D26&amp;" WHERE "&amp;'0. Instruções'!$D$42&amp;")X"</f>
        <v>(SELECT instrmnt_id, FRBRNC_STTS_INSTRMNT FROM CD_LOAN_TAPES_BCE.LT002_INSTRUMENT WHERE ref_date='${ref_date}' AND nome_perimetro='Individual Corporativo' AND segmento='ESTR' AND ambito='PM' AND entidade='00100')X</v>
      </c>
      <c r="J26" s="34" t="str">
        <f>"(SELECT "&amp;VLOOKUP(B26,'0. Instruções'!$C$27:$G$32,4,FALSE)&amp;" AS "&amp;VLOOKUP(B26,'0. Instruções'!$C$27:$G$32,4,FALSE)&amp;"_SIMUL, "&amp;F26&amp;" AS "&amp;F26&amp;"_SIMUL FROM "&amp;E26&amp;" WHERE "&amp;'0. Instruções'!$D$43&amp;")Y"</f>
        <v>(SELECT instrmnt_id AS instrmnt_id_SIMUL, FRBRNC_STTS_INSTRMNT AS FRBRNC_STTS_INSTRMNT_SIMUL FROM BU_LOANTAPE_WORK.LT002_INSTRUMENT_SRB WHERE ref_date='${ref_date}' AND nome_perimetro='Individual Corporativo' AND segmento='ESTR' AND ambito='PILAR3' AND entidade='00100')Y</v>
      </c>
      <c r="K26" s="35" t="str">
        <f>+UPPER("ON X."&amp;VLOOKUP(B26,'0. Instruções'!$C$27:$G$32,4,FALSE)&amp;"=Y."&amp;VLOOKUP(B26,'0. Instruções'!$C$27:$G$32,4,FALSE)&amp;"_SIMUL")</f>
        <v>ON X.INSTRMNT_ID=Y.INSTRMNT_ID_SIMUL</v>
      </c>
      <c r="L26" s="35" t="str">
        <f>+IF(C26="Coerência", +IF(LEFT(G26,5)="FLOAT","SELECT '"&amp;UPPER(B26)&amp;"' AS TABELA, '"&amp;UPPER(C26)&amp;"' AS TIPOLOGIA_TESTE,'"&amp;D26&amp;"' AS TABELA_LT,'"&amp;E26&amp;"' AS TABELA_SIMUL,'"&amp;F26&amp;"' AS CAMPO, "&amp;"'${ref_date}' AS REF_DATE, COUNT(*) AS NUM_REG, SUM(IF((ABS(COALESCE(CAST(X."&amp;F26&amp;" AS DECIMAL(18,6)),0)-COALESCE(CAST(Y."&amp;F26&amp;"_SIMUL AS DECIMAL(18,6)),0))&gt;0.000001) OR (X."&amp;F26&amp;" IS NULL AND Y."&amp;F26&amp;"_SIMUL IS NOT NULL ) OR (X."&amp;F26&amp;" IS NOT NULL AND Y."&amp;F26&amp;"_SIMUL IS NULL),1,0)) AS NUM_REG_DIF,'"&amp;MAX('ID1&amp;5'!K:K)+1&amp;"' AS ID_EXEC, CURRENT_TIMESTAMP() AS TIME_EXEC FROM "&amp;I26&amp;" INNER JOIN "&amp;J26&amp;" "&amp;K26,"SELECT '"&amp;UPPER(B26)&amp;"' AS TABELA, '"&amp;UPPER(C26)&amp;"' AS TIPOLOGIA_TESTE,'"&amp;D26&amp;"' AS TABELA_LT,'"&amp;E26&amp;"' AS TABELA_SIMUL,'"&amp;F26&amp;"' AS CAMPO, "&amp;"'${ref_date}' AS REF_DATE, COUNT(*) AS NUM_REG, SUM(IF(COALESCE(CAST(X."&amp;F26&amp;" AS STRING),'')&lt;&gt;COALESCE(CAST(Y."&amp;F26&amp;"_SIMUL AS STRING),'') OR (X."&amp;F26&amp;" IS NULL AND Y."&amp;F26&amp;"_SIMUL IS NOT NULL ) OR (X."&amp;F26&amp;" IS NOT NULL AND Y."&amp;F26&amp;"_SIMUL IS NULL),1,0)) AS NUM_REG_DIF,'"&amp;MAX('ID1&amp;5'!L:L)+1&amp;"' AS ID_EXEC, CURRENT_TIMESTAMP() AS TIME_EXEC FROM "&amp;I26&amp;" INNER JOIN "&amp;J26&amp;" "&amp;K26),
IF(C26="Validade",+IF(G26="Code List","SELECT '"&amp;UPPER(B26)&amp;"' AS TABELA, '"&amp;UPPER(C26)&amp;"' AS TIPOLOGIA_TESTE,'"&amp;D26&amp;"' AS TABELA_LT,'N/A' AS TABELA_SIMUL,'"&amp;F26&amp;"' AS CAMPO, "&amp;"'${ref_date}' AS REF_DATE, COUNT(*) AS NUM_REG, SUM(IF(TRIM(CAST(X."&amp;F26&amp;" AS STRING))='' OR TRIM(CAST(X."&amp;F26&amp;" AS STRING)) IS NULL OR CAST(X."&amp;F26&amp;" AS STRING) NOT "&amp;H26&amp;",1,0)) AS NUM_REG_DIF,'"&amp;MAX('ID1&amp;5'!K:K)+1&amp;"' AS ID_EXEC, CURRENT_TIMESTAMP() AS TIME_EXEC FROM "&amp;I26,"SELECT '"&amp;UPPER(B26)&amp;"' AS TABELA, '"&amp;UPPER(C26)&amp;"' AS TIPOLOGIA_TESTE,'"&amp;D26&amp;"' AS TABELA_LT,'N/A' AS TABELA_SIMUL,'"&amp;F26&amp;"' AS CAMPO, "&amp;"'${ref_date}' AS REF_DATE, COUNT(*) AS NUM_REG, SUM(IF(TRIM(CAST(X."&amp;F26&amp;" AS STRING))='' OR TRIM(CAST(X."&amp;F26&amp;" AS STRING)) IS NULL,1,0)) AS NUM_REG_DIF,'"&amp;MAX('ID1&amp;5'!K:K)+1&amp;"' AS ID_EXEC, CURRENT_TIMESTAMP() AS TIME_EXEC FROM "&amp;I26),
IF(C26="Caracteres Especiais",+"SELECT '"&amp;UPPER(B26)&amp;"' AS TABELA, '"&amp;UPPER(C26)&amp;"' AS TIPOLOGIA_TESTE,'"&amp;D26&amp;"' AS TABELA_LT,'N/A' AS TABELA_SIMUL,'"&amp;F26&amp;"' AS CAMPO, "&amp;"'${ref_date}' AS REF_DATE, COUNT(*) AS NUM_REG, SUM(IF(REGEXP_REPLACE(TRIM(CAST(X."&amp;F26&amp;" AS STRING)),'[^a-zA-Z0-9_\\s]','') &lt;&gt;TRIM(CAST(X."&amp;F26&amp;" AS STRING)),1,0)) AS NUM_REG_DIF,'"&amp;MAX('ID1&amp;5'!K:K)+1&amp;"' AS ID_EXEC, CURRENT_TIMESTAMP() AS TIME_EXEC FROM "&amp;I26,
IF(C26="Missings",+"SELECT '"&amp;UPPER(B26)&amp;"' AS TABELA, '"&amp;UPPER(C26)&amp;"' AS TIPOLOGIA_TESTE,'"&amp;D26&amp;"' AS TABELA_LT,'N/A' AS TABELA_SIMUL,'"&amp;F26&amp;"' AS CAMPO, "&amp;"'${ref_date}' AS REF_DATE, COUNT(*) AS NUM_REG, SUM(IF(TRIM(CAST(X."&amp;F26&amp;" AS STRING)) IN ('0000-00-00','0001-01-01','9999-12-31','MISS','00000','99999999999','99999999999.00','99999999999.000000'),1,0)) AS NUM_REG_DIF,'"&amp;MAX('ID1&amp;5'!K:K)+1&amp;"' AS ID_EXEC, CURRENT_TIMESTAMP() AS TIME_EXEC FROM "&amp;I26,
IF(C26="Not applicable",+"SELECT '"&amp;UPPER(B26)&amp;"' AS TABELA, '"&amp;UPPER(C26)&amp;"' AS TIPOLOGIA_TESTE,'"&amp;D26&amp;"' AS TABELA_LT,'N/A' AS TABELA_SIMUL,'"&amp;F26&amp;"' AS CAMPO, "&amp;"'${ref_date}' AS REF_DATE, COUNT(*) AS NUM_REG, SUM(IF(TRIM(CAST(X."&amp;F26&amp;" AS STRING)) IN ('N/A','11111111111','11111111111.00','11111111111.000000','1111-11-11'),1,0)) AS NUM_REG_DIF,'"&amp;MAX('ID1&amp;5'!K:K)+1&amp;"' AS ID_EXEC, CURRENT_TIMESTAMP() AS TIME_EXEC FROM "&amp;I26,
IF(C26="Valores extremos",+"SELECT '"&amp;UPPER(B26)&amp;"' AS TABELA, '"&amp;UPPER(C26)&amp;"' AS TIPOLOGIA_TESTE,'"&amp;D26&amp;"' AS TABELA_LT,'N/A' AS TABELA_SIMUL,'"&amp;F26&amp;"' AS CAMPO, "&amp;"'${ref_date}' AS REF_DATE, CAST(MIN("&amp;F26&amp;") AS STRING) AS VALOR_MIN, CAST(MAX("&amp;F26&amp;") AS STRING) AS VALOR_MAX,'"&amp;MAX('ID1&amp;5'!K:K)+1&amp;"' AS ID_EXEC, CURRENT_TIMESTAMP() AS TIME_EXEC FROM "&amp;MID(I26,1,LEN(I26)-2)&amp;" AND CAST("&amp;F26&amp;"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TABELA_SIMUL,'FRBRNC_STTS_INSTRMNT' AS CAMPO, '${ref_date}' AS REF_DATE, COUNT(*) AS NUM_REG, SUM(IF(COALESCE(CAST(X.FRBRNC_STTS_INSTRMNT AS STRING),'')&lt;&gt;COALESCE(CAST(Y.FRBRNC_STTS_INSTRMNT_SIMUL AS STRING),'') OR (X.FRBRNC_STTS_INSTRMNT IS NULL AND Y.FRBRNC_STTS_INSTRMNT_SIMUL IS NOT NULL ) OR (X.FRBRNC_STTS_INSTRMNT IS NOT NULL AND Y.FRBRNC_STTS_INSTRMNT_SIMUL IS NULL),1,0)) AS NUM_REG_DIF,'1' AS ID_EXEC, CURRENT_TIMESTAMP() AS TIME_EXEC FROM (SELECT instrmnt_id, FRBRNC_STTS_INSTRMNT FROM CD_LOAN_TAPES_BCE.LT002_INSTRUMENT WHERE ref_date='${ref_date}' AND nome_perimetro='Individual Corporativo' AND segmento='ESTR' AND ambito='PM' AND entidade='00100')X INNER JOIN (SELECT instrmnt_id AS instrmnt_id_SIMUL, FRBRNC_STTS_INSTRMNT AS FRBRNC_STTS_INSTRMNT_SIMUL FROM BU_LOANTAPE_WORK.LT002_INSTRUMENT_SRB WHERE ref_date='${ref_date}' AND nome_perimetro='Individual Corporativo' AND segmento='ESTR' AND ambito='PILAR3' AND entidade='00100')Y ON X.INSTRMNT_ID=Y.INSTRMNT_ID_SIMUL</v>
      </c>
      <c r="M26" s="36" t="str">
        <f t="shared" si="0"/>
        <v>UNION ALL SELECT 'INSTRUMENT' AS TABELA, 'COERÊNCIA' AS TIPOLOGIA_TESTE,'CD_LOAN_TAPES_BCE.LT002_INSTRUMENT' AS TABELA_LT,'BU_LOANTAPE_WORK.LT002_INSTRUMENT_SRB' AS TABELA_SIMUL,'FRBRNC_STTS_INSTRMNT' AS CAMPO, '${ref_date}' AS REF_DATE, COUNT(*) AS NUM_REG, SUM(IF(COALESCE(CAST(X.FRBRNC_STTS_INSTRMNT AS STRING),'')&lt;&gt;COALESCE(CAST(Y.FRBRNC_STTS_INSTRMNT_SIMUL AS STRING),'') OR (X.FRBRNC_STTS_INSTRMNT IS NULL AND Y.FRBRNC_STTS_INSTRMNT_SIMUL IS NOT NULL ) OR (X.FRBRNC_STTS_INSTRMNT IS NOT NULL AND Y.FRBRNC_STTS_INSTRMNT_SIMUL IS NULL),1,0)) AS NUM_REG_DIF,'1' AS ID_EXEC, CURRENT_TIMESTAMP() AS TIME_EXEC FROM (SELECT instrmnt_id, FRBRNC_STTS_INSTRMNT FROM CD_LOAN_TAPES_BCE.LT002_INSTRUMENT WHERE ref_date='${ref_date}' AND nome_perimetro='Individual Corporativo' AND segmento='ESTR' AND ambito='PM' AND entidade='00100')X INNER JOIN (SELECT instrmnt_id AS instrmnt_id_SIMUL, FRBRNC_STTS_INSTRMNT AS FRBRNC_STTS_INSTRMNT_SIMUL FROM BU_LOANTAPE_WORK.LT002_INSTRUMENT_SRB WHERE ref_date='${ref_date}' AND nome_perimetro='Individual Corporativo' AND segmento='ESTR' AND ambito='PILAR3' AND entidade='00100')Y ON X.INSTRMNT_ID=Y.INSTRMNT_ID_SIMUL</v>
      </c>
      <c r="N26" s="38" t="s">
        <v>45</v>
      </c>
    </row>
    <row r="27" spans="1:14" hidden="1">
      <c r="A27" s="60" t="str">
        <f t="shared" si="1"/>
        <v>INSTRUMENTIMPRMNT_STTS</v>
      </c>
      <c r="B27" s="34" t="s">
        <v>125</v>
      </c>
      <c r="C27" s="34" t="s">
        <v>5</v>
      </c>
      <c r="D27" s="34" t="str">
        <f>+UPPER('0. Instruções'!$D$35&amp;"."&amp;VLOOKUP(B27,'0. Instruções'!$C$27:$D$32,2,FALSE))</f>
        <v>CD_LOAN_TAPES_BCE.LT002_INSTRUMENT</v>
      </c>
      <c r="E27" s="34" t="str">
        <f>+UPPER('0. Instruções'!$D$36&amp;"."&amp;VLOOKUP(B27,'0. Instruções'!$C$27:$E$32,3,FALSE))</f>
        <v>BU_LOANTAPE_WORK.LT002_INSTRUMENT_SRB</v>
      </c>
      <c r="F27" s="34" t="s">
        <v>95</v>
      </c>
      <c r="G27" s="34"/>
      <c r="H27" s="34" t="s">
        <v>88</v>
      </c>
      <c r="I27" s="34" t="str">
        <f>"(SELECT "&amp;VLOOKUP(B27,'0. Instruções'!$C$27:$G$32,4,FALSE)&amp;", "&amp;F27&amp;" FROM "&amp;D27&amp;" WHERE "&amp;'0. Instruções'!$D$42&amp;")X"</f>
        <v>(SELECT instrmnt_id, IMPRMNT_STTS FROM CD_LOAN_TAPES_BCE.LT002_INSTRUMENT WHERE ref_date='${ref_date}' AND nome_perimetro='Individual Corporativo' AND segmento='ESTR' AND ambito='PM' AND entidade='00100')X</v>
      </c>
      <c r="J27" s="34" t="str">
        <f>"(SELECT "&amp;VLOOKUP(B27,'0. Instruções'!$C$27:$G$32,4,FALSE)&amp;" AS "&amp;VLOOKUP(B27,'0. Instruções'!$C$27:$G$32,4,FALSE)&amp;"_SIMUL, "&amp;F27&amp;" AS "&amp;F27&amp;"_SIMUL FROM "&amp;E27&amp;" WHERE "&amp;'0. Instruções'!$D$43&amp;")Y"</f>
        <v>(SELECT instrmnt_id AS instrmnt_id_SIMUL, IMPRMNT_STTS AS IMPRMNT_STTS_SIMUL FROM BU_LOANTAPE_WORK.LT002_INSTRUMENT_SRB WHERE ref_date='${ref_date}' AND nome_perimetro='Individual Corporativo' AND segmento='ESTR' AND ambito='PILAR3' AND entidade='00100')Y</v>
      </c>
      <c r="K27" s="35" t="str">
        <f>+UPPER("ON X."&amp;VLOOKUP(B27,'0. Instruções'!$C$27:$G$32,4,FALSE)&amp;"=Y."&amp;VLOOKUP(B27,'0. Instruções'!$C$27:$G$32,4,FALSE)&amp;"_SIMUL")</f>
        <v>ON X.INSTRMNT_ID=Y.INSTRMNT_ID_SIMUL</v>
      </c>
      <c r="L27" s="35" t="str">
        <f>+IF(C27="Coerência", +IF(LEFT(G27,5)="FLOAT","SELECT '"&amp;UPPER(B27)&amp;"' AS TABELA, '"&amp;UPPER(C27)&amp;"' AS TIPOLOGIA_TESTE,'"&amp;D27&amp;"' AS TABELA_LT,'"&amp;E27&amp;"' AS TABELA_SIMUL,'"&amp;F27&amp;"' AS CAMPO, "&amp;"'${ref_date}' AS REF_DATE, COUNT(*) AS NUM_REG, SUM(IF((ABS(COALESCE(CAST(X."&amp;F27&amp;" AS DECIMAL(18,6)),0)-COALESCE(CAST(Y."&amp;F27&amp;"_SIMUL AS DECIMAL(18,6)),0))&gt;0.000001) OR (X."&amp;F27&amp;" IS NULL AND Y."&amp;F27&amp;"_SIMUL IS NOT NULL ) OR (X."&amp;F27&amp;" IS NOT NULL AND Y."&amp;F27&amp;"_SIMUL IS NULL),1,0)) AS NUM_REG_DIF,'"&amp;MAX('ID1&amp;5'!K:K)+1&amp;"' AS ID_EXEC, CURRENT_TIMESTAMP() AS TIME_EXEC FROM "&amp;I27&amp;" INNER JOIN "&amp;J27&amp;" "&amp;K27,"SELECT '"&amp;UPPER(B27)&amp;"' AS TABELA, '"&amp;UPPER(C27)&amp;"' AS TIPOLOGIA_TESTE,'"&amp;D27&amp;"' AS TABELA_LT,'"&amp;E27&amp;"' AS TABELA_SIMUL,'"&amp;F27&amp;"' AS CAMPO, "&amp;"'${ref_date}' AS REF_DATE, COUNT(*) AS NUM_REG, SUM(IF(COALESCE(CAST(X."&amp;F27&amp;" AS STRING),'')&lt;&gt;COALESCE(CAST(Y."&amp;F27&amp;"_SIMUL AS STRING),'') OR (X."&amp;F27&amp;" IS NULL AND Y."&amp;F27&amp;"_SIMUL IS NOT NULL ) OR (X."&amp;F27&amp;" IS NOT NULL AND Y."&amp;F27&amp;"_SIMUL IS NULL),1,0)) AS NUM_REG_DIF,'"&amp;MAX('ID1&amp;5'!L:L)+1&amp;"' AS ID_EXEC, CURRENT_TIMESTAMP() AS TIME_EXEC FROM "&amp;I27&amp;" INNER JOIN "&amp;J27&amp;" "&amp;K27),
IF(C27="Validade",+IF(G27="Code List","SELECT '"&amp;UPPER(B27)&amp;"' AS TABELA, '"&amp;UPPER(C27)&amp;"' AS TIPOLOGIA_TESTE,'"&amp;D27&amp;"' AS TABELA_LT,'N/A' AS TABELA_SIMUL,'"&amp;F27&amp;"' AS CAMPO, "&amp;"'${ref_date}' AS REF_DATE, COUNT(*) AS NUM_REG, SUM(IF(TRIM(CAST(X."&amp;F27&amp;" AS STRING))='' OR TRIM(CAST(X."&amp;F27&amp;" AS STRING)) IS NULL OR CAST(X."&amp;F27&amp;" AS STRING) NOT "&amp;H27&amp;",1,0)) AS NUM_REG_DIF,'"&amp;MAX('ID1&amp;5'!K:K)+1&amp;"' AS ID_EXEC, CURRENT_TIMESTAMP() AS TIME_EXEC FROM "&amp;I27,"SELECT '"&amp;UPPER(B27)&amp;"' AS TABELA, '"&amp;UPPER(C27)&amp;"' AS TIPOLOGIA_TESTE,'"&amp;D27&amp;"' AS TABELA_LT,'N/A' AS TABELA_SIMUL,'"&amp;F27&amp;"' AS CAMPO, "&amp;"'${ref_date}' AS REF_DATE, COUNT(*) AS NUM_REG, SUM(IF(TRIM(CAST(X."&amp;F27&amp;" AS STRING))='' OR TRIM(CAST(X."&amp;F27&amp;" AS STRING)) IS NULL,1,0)) AS NUM_REG_DIF,'"&amp;MAX('ID1&amp;5'!K:K)+1&amp;"' AS ID_EXEC, CURRENT_TIMESTAMP() AS TIME_EXEC FROM "&amp;I27),
IF(C27="Caracteres Especiais",+"SELECT '"&amp;UPPER(B27)&amp;"' AS TABELA, '"&amp;UPPER(C27)&amp;"' AS TIPOLOGIA_TESTE,'"&amp;D27&amp;"' AS TABELA_LT,'N/A' AS TABELA_SIMUL,'"&amp;F27&amp;"' AS CAMPO, "&amp;"'${ref_date}' AS REF_DATE, COUNT(*) AS NUM_REG, SUM(IF(REGEXP_REPLACE(TRIM(CAST(X."&amp;F27&amp;" AS STRING)),'[^a-zA-Z0-9_\\s]','') &lt;&gt;TRIM(CAST(X."&amp;F27&amp;" AS STRING)),1,0)) AS NUM_REG_DIF,'"&amp;MAX('ID1&amp;5'!K:K)+1&amp;"' AS ID_EXEC, CURRENT_TIMESTAMP() AS TIME_EXEC FROM "&amp;I27,
IF(C27="Missings",+"SELECT '"&amp;UPPER(B27)&amp;"' AS TABELA, '"&amp;UPPER(C27)&amp;"' AS TIPOLOGIA_TESTE,'"&amp;D27&amp;"' AS TABELA_LT,'N/A' AS TABELA_SIMUL,'"&amp;F27&amp;"' AS CAMPO, "&amp;"'${ref_date}' AS REF_DATE, COUNT(*) AS NUM_REG, SUM(IF(TRIM(CAST(X."&amp;F27&amp;" AS STRING)) IN ('0000-00-00','0001-01-01','9999-12-31','MISS','00000','99999999999','99999999999.00','99999999999.000000'),1,0)) AS NUM_REG_DIF,'"&amp;MAX('ID1&amp;5'!K:K)+1&amp;"' AS ID_EXEC, CURRENT_TIMESTAMP() AS TIME_EXEC FROM "&amp;I27,
IF(C27="Not applicable",+"SELECT '"&amp;UPPER(B27)&amp;"' AS TABELA, '"&amp;UPPER(C27)&amp;"' AS TIPOLOGIA_TESTE,'"&amp;D27&amp;"' AS TABELA_LT,'N/A' AS TABELA_SIMUL,'"&amp;F27&amp;"' AS CAMPO, "&amp;"'${ref_date}' AS REF_DATE, COUNT(*) AS NUM_REG, SUM(IF(TRIM(CAST(X."&amp;F27&amp;" AS STRING)) IN ('N/A','11111111111','11111111111.00','11111111111.000000','1111-11-11'),1,0)) AS NUM_REG_DIF,'"&amp;MAX('ID1&amp;5'!K:K)+1&amp;"' AS ID_EXEC, CURRENT_TIMESTAMP() AS TIME_EXEC FROM "&amp;I27,
IF(C27="Valores extremos",+"SELECT '"&amp;UPPER(B27)&amp;"' AS TABELA, '"&amp;UPPER(C27)&amp;"' AS TIPOLOGIA_TESTE,'"&amp;D27&amp;"' AS TABELA_LT,'N/A' AS TABELA_SIMUL,'"&amp;F27&amp;"' AS CAMPO, "&amp;"'${ref_date}' AS REF_DATE, CAST(MIN("&amp;F27&amp;") AS STRING) AS VALOR_MIN, CAST(MAX("&amp;F27&amp;") AS STRING) AS VALOR_MAX,'"&amp;MAX('ID1&amp;5'!K:K)+1&amp;"' AS ID_EXEC, CURRENT_TIMESTAMP() AS TIME_EXEC FROM "&amp;MID(I27,1,LEN(I27)-2)&amp;" AND CAST("&amp;F27&amp;"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TABELA_SIMUL,'IMPRMNT_STTS' AS CAMPO, '${ref_date}' AS REF_DATE, COUNT(*) AS NUM_REG, SUM(IF(COALESCE(CAST(X.IMPRMNT_STTS AS STRING),'')&lt;&gt;COALESCE(CAST(Y.IMPRMNT_STTS_SIMUL AS STRING),'') OR (X.IMPRMNT_STTS IS NULL AND Y.IMPRMNT_STTS_SIMUL IS NOT NULL ) OR (X.IMPRMNT_STTS IS NOT NULL AND Y.IMPRMNT_STTS_SIMUL IS NULL),1,0)) AS NUM_REG_DIF,'1' AS ID_EXEC, CURRENT_TIMESTAMP() AS TIME_EXEC FROM (SELECT instrmnt_id, IMPRMNT_STTS FROM CD_LOAN_TAPES_BCE.LT002_INSTRUMENT WHERE ref_date='${ref_date}' AND nome_perimetro='Individual Corporativo' AND segmento='ESTR' AND ambito='PM' AND entidade='00100')X INNER JOIN (SELECT instrmnt_id AS instrmnt_id_SIMUL, IMPRMNT_STTS AS IMPRMNT_STTS_SIMUL FROM BU_LOANTAPE_WORK.LT002_INSTRUMENT_SRB WHERE ref_date='${ref_date}' AND nome_perimetro='Individual Corporativo' AND segmento='ESTR' AND ambito='PILAR3' AND entidade='00100')Y ON X.INSTRMNT_ID=Y.INSTRMNT_ID_SIMUL</v>
      </c>
      <c r="M27" s="36" t="str">
        <f t="shared" si="0"/>
        <v>UNION ALL SELECT 'INSTRUMENT' AS TABELA, 'COERÊNCIA' AS TIPOLOGIA_TESTE,'CD_LOAN_TAPES_BCE.LT002_INSTRUMENT' AS TABELA_LT,'BU_LOANTAPE_WORK.LT002_INSTRUMENT_SRB' AS TABELA_SIMUL,'IMPRMNT_STTS' AS CAMPO, '${ref_date}' AS REF_DATE, COUNT(*) AS NUM_REG, SUM(IF(COALESCE(CAST(X.IMPRMNT_STTS AS STRING),'')&lt;&gt;COALESCE(CAST(Y.IMPRMNT_STTS_SIMUL AS STRING),'') OR (X.IMPRMNT_STTS IS NULL AND Y.IMPRMNT_STTS_SIMUL IS NOT NULL ) OR (X.IMPRMNT_STTS IS NOT NULL AND Y.IMPRMNT_STTS_SIMUL IS NULL),1,0)) AS NUM_REG_DIF,'1' AS ID_EXEC, CURRENT_TIMESTAMP() AS TIME_EXEC FROM (SELECT instrmnt_id, IMPRMNT_STTS FROM CD_LOAN_TAPES_BCE.LT002_INSTRUMENT WHERE ref_date='${ref_date}' AND nome_perimetro='Individual Corporativo' AND segmento='ESTR' AND ambito='PM' AND entidade='00100')X INNER JOIN (SELECT instrmnt_id AS instrmnt_id_SIMUL, IMPRMNT_STTS AS IMPRMNT_STTS_SIMUL FROM BU_LOANTAPE_WORK.LT002_INSTRUMENT_SRB WHERE ref_date='${ref_date}' AND nome_perimetro='Individual Corporativo' AND segmento='ESTR' AND ambito='PILAR3' AND entidade='00100')Y ON X.INSTRMNT_ID=Y.INSTRMNT_ID_SIMUL</v>
      </c>
      <c r="N27" s="38" t="s">
        <v>45</v>
      </c>
    </row>
    <row r="28" spans="1:14" hidden="1">
      <c r="A28" s="60" t="str">
        <f t="shared" si="1"/>
        <v>INSTRUMENTPRFRMNG_STTS</v>
      </c>
      <c r="B28" s="34" t="s">
        <v>125</v>
      </c>
      <c r="C28" s="34" t="s">
        <v>5</v>
      </c>
      <c r="D28" s="34" t="str">
        <f>+UPPER('0. Instruções'!$D$35&amp;"."&amp;VLOOKUP(B28,'0. Instruções'!$C$27:$D$32,2,FALSE))</f>
        <v>CD_LOAN_TAPES_BCE.LT002_INSTRUMENT</v>
      </c>
      <c r="E28" s="34" t="str">
        <f>+UPPER('0. Instruções'!$D$36&amp;"."&amp;VLOOKUP(B28,'0. Instruções'!$C$27:$E$32,3,FALSE))</f>
        <v>BU_LOANTAPE_WORK.LT002_INSTRUMENT_SRB</v>
      </c>
      <c r="F28" s="34" t="s">
        <v>96</v>
      </c>
      <c r="G28" s="34"/>
      <c r="H28" s="34" t="s">
        <v>88</v>
      </c>
      <c r="I28" s="34" t="str">
        <f>"(SELECT "&amp;VLOOKUP(B28,'0. Instruções'!$C$27:$G$32,4,FALSE)&amp;", "&amp;F28&amp;" FROM "&amp;D28&amp;" WHERE "&amp;'0. Instruções'!$D$42&amp;")X"</f>
        <v>(SELECT instrmnt_id, PRFRMNG_STTS FROM CD_LOAN_TAPES_BCE.LT002_INSTRUMENT WHERE ref_date='${ref_date}' AND nome_perimetro='Individual Corporativo' AND segmento='ESTR' AND ambito='PM' AND entidade='00100')X</v>
      </c>
      <c r="J28" s="34" t="str">
        <f>"(SELECT "&amp;VLOOKUP(B28,'0. Instruções'!$C$27:$G$32,4,FALSE)&amp;" AS "&amp;VLOOKUP(B28,'0. Instruções'!$C$27:$G$32,4,FALSE)&amp;"_SIMUL, "&amp;F28&amp;" AS "&amp;F28&amp;"_SIMUL FROM "&amp;E28&amp;" WHERE "&amp;'0. Instruções'!$D$43&amp;")Y"</f>
        <v>(SELECT instrmnt_id AS instrmnt_id_SIMUL, PRFRMNG_STTS AS PRFRMNG_STTS_SIMUL FROM BU_LOANTAPE_WORK.LT002_INSTRUMENT_SRB WHERE ref_date='${ref_date}' AND nome_perimetro='Individual Corporativo' AND segmento='ESTR' AND ambito='PILAR3' AND entidade='00100')Y</v>
      </c>
      <c r="K28" s="35" t="str">
        <f>+UPPER("ON X."&amp;VLOOKUP(B28,'0. Instruções'!$C$27:$G$32,4,FALSE)&amp;"=Y."&amp;VLOOKUP(B28,'0. Instruções'!$C$27:$G$32,4,FALSE)&amp;"_SIMUL")</f>
        <v>ON X.INSTRMNT_ID=Y.INSTRMNT_ID_SIMUL</v>
      </c>
      <c r="L28" s="35" t="str">
        <f>+IF(C28="Coerência", +IF(LEFT(G28,5)="FLOAT","SELECT '"&amp;UPPER(B28)&amp;"' AS TABELA, '"&amp;UPPER(C28)&amp;"' AS TIPOLOGIA_TESTE,'"&amp;D28&amp;"' AS TABELA_LT,'"&amp;E28&amp;"' AS TABELA_SIMUL,'"&amp;F28&amp;"' AS CAMPO, "&amp;"'${ref_date}' AS REF_DATE, COUNT(*) AS NUM_REG, SUM(IF((ABS(COALESCE(CAST(X."&amp;F28&amp;" AS DECIMAL(18,6)),0)-COALESCE(CAST(Y."&amp;F28&amp;"_SIMUL AS DECIMAL(18,6)),0))&gt;0.000001) OR (X."&amp;F28&amp;" IS NULL AND Y."&amp;F28&amp;"_SIMUL IS NOT NULL ) OR (X."&amp;F28&amp;" IS NOT NULL AND Y."&amp;F28&amp;"_SIMUL IS NULL),1,0)) AS NUM_REG_DIF,'"&amp;MAX('ID1&amp;5'!K:K)+1&amp;"' AS ID_EXEC, CURRENT_TIMESTAMP() AS TIME_EXEC FROM "&amp;I28&amp;" INNER JOIN "&amp;J28&amp;" "&amp;K28,"SELECT '"&amp;UPPER(B28)&amp;"' AS TABELA, '"&amp;UPPER(C28)&amp;"' AS TIPOLOGIA_TESTE,'"&amp;D28&amp;"' AS TABELA_LT,'"&amp;E28&amp;"' AS TABELA_SIMUL,'"&amp;F28&amp;"' AS CAMPO, "&amp;"'${ref_date}' AS REF_DATE, COUNT(*) AS NUM_REG, SUM(IF(COALESCE(CAST(X."&amp;F28&amp;" AS STRING),'')&lt;&gt;COALESCE(CAST(Y."&amp;F28&amp;"_SIMUL AS STRING),'') OR (X."&amp;F28&amp;" IS NULL AND Y."&amp;F28&amp;"_SIMUL IS NOT NULL ) OR (X."&amp;F28&amp;" IS NOT NULL AND Y."&amp;F28&amp;"_SIMUL IS NULL),1,0)) AS NUM_REG_DIF,'"&amp;MAX('ID1&amp;5'!L:L)+1&amp;"' AS ID_EXEC, CURRENT_TIMESTAMP() AS TIME_EXEC FROM "&amp;I28&amp;" INNER JOIN "&amp;J28&amp;" "&amp;K28),
IF(C28="Validade",+IF(G28="Code List","SELECT '"&amp;UPPER(B28)&amp;"' AS TABELA, '"&amp;UPPER(C28)&amp;"' AS TIPOLOGIA_TESTE,'"&amp;D28&amp;"' AS TABELA_LT,'N/A' AS TABELA_SIMUL,'"&amp;F28&amp;"' AS CAMPO, "&amp;"'${ref_date}' AS REF_DATE, COUNT(*) AS NUM_REG, SUM(IF(TRIM(CAST(X."&amp;F28&amp;" AS STRING))='' OR TRIM(CAST(X."&amp;F28&amp;" AS STRING)) IS NULL OR CAST(X."&amp;F28&amp;" AS STRING) NOT "&amp;H28&amp;",1,0)) AS NUM_REG_DIF,'"&amp;MAX('ID1&amp;5'!K:K)+1&amp;"' AS ID_EXEC, CURRENT_TIMESTAMP() AS TIME_EXEC FROM "&amp;I28,"SELECT '"&amp;UPPER(B28)&amp;"' AS TABELA, '"&amp;UPPER(C28)&amp;"' AS TIPOLOGIA_TESTE,'"&amp;D28&amp;"' AS TABELA_LT,'N/A' AS TABELA_SIMUL,'"&amp;F28&amp;"' AS CAMPO, "&amp;"'${ref_date}' AS REF_DATE, COUNT(*) AS NUM_REG, SUM(IF(TRIM(CAST(X."&amp;F28&amp;" AS STRING))='' OR TRIM(CAST(X."&amp;F28&amp;" AS STRING)) IS NULL,1,0)) AS NUM_REG_DIF,'"&amp;MAX('ID1&amp;5'!K:K)+1&amp;"' AS ID_EXEC, CURRENT_TIMESTAMP() AS TIME_EXEC FROM "&amp;I28),
IF(C28="Caracteres Especiais",+"SELECT '"&amp;UPPER(B28)&amp;"' AS TABELA, '"&amp;UPPER(C28)&amp;"' AS TIPOLOGIA_TESTE,'"&amp;D28&amp;"' AS TABELA_LT,'N/A' AS TABELA_SIMUL,'"&amp;F28&amp;"' AS CAMPO, "&amp;"'${ref_date}' AS REF_DATE, COUNT(*) AS NUM_REG, SUM(IF(REGEXP_REPLACE(TRIM(CAST(X."&amp;F28&amp;" AS STRING)),'[^a-zA-Z0-9_\\s]','') &lt;&gt;TRIM(CAST(X."&amp;F28&amp;" AS STRING)),1,0)) AS NUM_REG_DIF,'"&amp;MAX('ID1&amp;5'!K:K)+1&amp;"' AS ID_EXEC, CURRENT_TIMESTAMP() AS TIME_EXEC FROM "&amp;I28,
IF(C28="Missings",+"SELECT '"&amp;UPPER(B28)&amp;"' AS TABELA, '"&amp;UPPER(C28)&amp;"' AS TIPOLOGIA_TESTE,'"&amp;D28&amp;"' AS TABELA_LT,'N/A' AS TABELA_SIMUL,'"&amp;F28&amp;"' AS CAMPO, "&amp;"'${ref_date}' AS REF_DATE, COUNT(*) AS NUM_REG, SUM(IF(TRIM(CAST(X."&amp;F28&amp;" AS STRING)) IN ('0000-00-00','0001-01-01','9999-12-31','MISS','00000','99999999999','99999999999.00','99999999999.000000'),1,0)) AS NUM_REG_DIF,'"&amp;MAX('ID1&amp;5'!K:K)+1&amp;"' AS ID_EXEC, CURRENT_TIMESTAMP() AS TIME_EXEC FROM "&amp;I28,
IF(C28="Not applicable",+"SELECT '"&amp;UPPER(B28)&amp;"' AS TABELA, '"&amp;UPPER(C28)&amp;"' AS TIPOLOGIA_TESTE,'"&amp;D28&amp;"' AS TABELA_LT,'N/A' AS TABELA_SIMUL,'"&amp;F28&amp;"' AS CAMPO, "&amp;"'${ref_date}' AS REF_DATE, COUNT(*) AS NUM_REG, SUM(IF(TRIM(CAST(X."&amp;F28&amp;" AS STRING)) IN ('N/A','11111111111','11111111111.00','11111111111.000000','1111-11-11'),1,0)) AS NUM_REG_DIF,'"&amp;MAX('ID1&amp;5'!K:K)+1&amp;"' AS ID_EXEC, CURRENT_TIMESTAMP() AS TIME_EXEC FROM "&amp;I28,
IF(C28="Valores extremos",+"SELECT '"&amp;UPPER(B28)&amp;"' AS TABELA, '"&amp;UPPER(C28)&amp;"' AS TIPOLOGIA_TESTE,'"&amp;D28&amp;"' AS TABELA_LT,'N/A' AS TABELA_SIMUL,'"&amp;F28&amp;"' AS CAMPO, "&amp;"'${ref_date}' AS REF_DATE, CAST(MIN("&amp;F28&amp;") AS STRING) AS VALOR_MIN, CAST(MAX("&amp;F28&amp;") AS STRING) AS VALOR_MAX,'"&amp;MAX('ID1&amp;5'!K:K)+1&amp;"' AS ID_EXEC, CURRENT_TIMESTAMP() AS TIME_EXEC FROM "&amp;MID(I28,1,LEN(I28)-2)&amp;" AND CAST("&amp;F28&amp;"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TABELA_SIMUL,'PRFRMNG_STTS' AS CAMPO, '${ref_date}' AS REF_DATE, COUNT(*) AS NUM_REG, SUM(IF(COALESCE(CAST(X.PRFRMNG_STTS AS STRING),'')&lt;&gt;COALESCE(CAST(Y.PRFRMNG_STTS_SIMUL AS STRING),'') OR (X.PRFRMNG_STTS IS NULL AND Y.PRFRMNG_STTS_SIMUL IS NOT NULL ) OR (X.PRFRMNG_STTS IS NOT NULL AND Y.PRFRMNG_STTS_SIMUL IS NULL),1,0)) AS NUM_REG_DIF,'1' AS ID_EXEC, CURRENT_TIMESTAMP() AS TIME_EXEC FROM (SELECT instrmnt_id, PRFRMNG_STTS FROM CD_LOAN_TAPES_BCE.LT002_INSTRUMENT WHERE ref_date='${ref_date}' AND nome_perimetro='Individual Corporativo' AND segmento='ESTR' AND ambito='PM' AND entidade='00100')X INNER JOIN (SELECT instrmnt_id AS instrmnt_id_SIMUL, PRFRMNG_STTS AS PRFRMNG_STTS_SIMUL FROM BU_LOANTAPE_WORK.LT002_INSTRUMENT_SRB WHERE ref_date='${ref_date}' AND nome_perimetro='Individual Corporativo' AND segmento='ESTR' AND ambito='PILAR3' AND entidade='00100')Y ON X.INSTRMNT_ID=Y.INSTRMNT_ID_SIMUL</v>
      </c>
      <c r="M28" s="36" t="str">
        <f t="shared" si="0"/>
        <v>UNION ALL SELECT 'INSTRUMENT' AS TABELA, 'COERÊNCIA' AS TIPOLOGIA_TESTE,'CD_LOAN_TAPES_BCE.LT002_INSTRUMENT' AS TABELA_LT,'BU_LOANTAPE_WORK.LT002_INSTRUMENT_SRB' AS TABELA_SIMUL,'PRFRMNG_STTS' AS CAMPO, '${ref_date}' AS REF_DATE, COUNT(*) AS NUM_REG, SUM(IF(COALESCE(CAST(X.PRFRMNG_STTS AS STRING),'')&lt;&gt;COALESCE(CAST(Y.PRFRMNG_STTS_SIMUL AS STRING),'') OR (X.PRFRMNG_STTS IS NULL AND Y.PRFRMNG_STTS_SIMUL IS NOT NULL ) OR (X.PRFRMNG_STTS IS NOT NULL AND Y.PRFRMNG_STTS_SIMUL IS NULL),1,0)) AS NUM_REG_DIF,'1' AS ID_EXEC, CURRENT_TIMESTAMP() AS TIME_EXEC FROM (SELECT instrmnt_id, PRFRMNG_STTS FROM CD_LOAN_TAPES_BCE.LT002_INSTRUMENT WHERE ref_date='${ref_date}' AND nome_perimetro='Individual Corporativo' AND segmento='ESTR' AND ambito='PM' AND entidade='00100')X INNER JOIN (SELECT instrmnt_id AS instrmnt_id_SIMUL, PRFRMNG_STTS AS PRFRMNG_STTS_SIMUL FROM BU_LOANTAPE_WORK.LT002_INSTRUMENT_SRB WHERE ref_date='${ref_date}' AND nome_perimetro='Individual Corporativo' AND segmento='ESTR' AND ambito='PILAR3' AND entidade='00100')Y ON X.INSTRMNT_ID=Y.INSTRMNT_ID_SIMUL</v>
      </c>
      <c r="N28" s="38" t="s">
        <v>45</v>
      </c>
    </row>
    <row r="29" spans="1:14" hidden="1">
      <c r="A29" s="60" t="str">
        <f t="shared" si="1"/>
        <v>INSTRUMENTPRJCT_FNNC_LN</v>
      </c>
      <c r="B29" s="34" t="s">
        <v>125</v>
      </c>
      <c r="C29" s="34" t="s">
        <v>5</v>
      </c>
      <c r="D29" s="34" t="str">
        <f>+UPPER('0. Instruções'!$D$35&amp;"."&amp;VLOOKUP(B29,'0. Instruções'!$C$27:$D$32,2,FALSE))</f>
        <v>CD_LOAN_TAPES_BCE.LT002_INSTRUMENT</v>
      </c>
      <c r="E29" s="34" t="str">
        <f>+UPPER('0. Instruções'!$D$36&amp;"."&amp;VLOOKUP(B29,'0. Instruções'!$C$27:$E$32,3,FALSE))</f>
        <v>BU_LOANTAPE_WORK.LT002_INSTRUMENT_SRB</v>
      </c>
      <c r="F29" s="34" t="s">
        <v>97</v>
      </c>
      <c r="G29" s="34"/>
      <c r="H29" s="34" t="s">
        <v>88</v>
      </c>
      <c r="I29" s="34" t="str">
        <f>"(SELECT "&amp;VLOOKUP(B29,'0. Instruções'!$C$27:$G$32,4,FALSE)&amp;", "&amp;F29&amp;" FROM "&amp;D29&amp;" WHERE "&amp;'0. Instruções'!$D$42&amp;")X"</f>
        <v>(SELECT instrmnt_id, PRJCT_FNNC_LN FROM CD_LOAN_TAPES_BCE.LT002_INSTRUMENT WHERE ref_date='${ref_date}' AND nome_perimetro='Individual Corporativo' AND segmento='ESTR' AND ambito='PM' AND entidade='00100')X</v>
      </c>
      <c r="J29" s="34" t="str">
        <f>"(SELECT "&amp;VLOOKUP(B29,'0. Instruções'!$C$27:$G$32,4,FALSE)&amp;" AS "&amp;VLOOKUP(B29,'0. Instruções'!$C$27:$G$32,4,FALSE)&amp;"_SIMUL, "&amp;F29&amp;" AS "&amp;F29&amp;"_SIMUL FROM "&amp;E29&amp;" WHERE "&amp;'0. Instruções'!$D$43&amp;")Y"</f>
        <v>(SELECT instrmnt_id AS instrmnt_id_SIMUL, PRJCT_FNNC_LN AS PRJCT_FNNC_LN_SIMUL FROM BU_LOANTAPE_WORK.LT002_INSTRUMENT_SRB WHERE ref_date='${ref_date}' AND nome_perimetro='Individual Corporativo' AND segmento='ESTR' AND ambito='PILAR3' AND entidade='00100')Y</v>
      </c>
      <c r="K29" s="35" t="str">
        <f>+UPPER("ON X."&amp;VLOOKUP(B29,'0. Instruções'!$C$27:$G$32,4,FALSE)&amp;"=Y."&amp;VLOOKUP(B29,'0. Instruções'!$C$27:$G$32,4,FALSE)&amp;"_SIMUL")</f>
        <v>ON X.INSTRMNT_ID=Y.INSTRMNT_ID_SIMUL</v>
      </c>
      <c r="L29" s="35" t="str">
        <f>+IF(C29="Coerência", +IF(LEFT(G29,5)="FLOAT","SELECT '"&amp;UPPER(B29)&amp;"' AS TABELA, '"&amp;UPPER(C29)&amp;"' AS TIPOLOGIA_TESTE,'"&amp;D29&amp;"' AS TABELA_LT,'"&amp;E29&amp;"' AS TABELA_SIMUL,'"&amp;F29&amp;"' AS CAMPO, "&amp;"'${ref_date}' AS REF_DATE, COUNT(*) AS NUM_REG, SUM(IF((ABS(COALESCE(CAST(X."&amp;F29&amp;" AS DECIMAL(18,6)),0)-COALESCE(CAST(Y."&amp;F29&amp;"_SIMUL AS DECIMAL(18,6)),0))&gt;0.000001) OR (X."&amp;F29&amp;" IS NULL AND Y."&amp;F29&amp;"_SIMUL IS NOT NULL ) OR (X."&amp;F29&amp;" IS NOT NULL AND Y."&amp;F29&amp;"_SIMUL IS NULL),1,0)) AS NUM_REG_DIF,'"&amp;MAX('ID1&amp;5'!K:K)+1&amp;"' AS ID_EXEC, CURRENT_TIMESTAMP() AS TIME_EXEC FROM "&amp;I29&amp;" INNER JOIN "&amp;J29&amp;" "&amp;K29,"SELECT '"&amp;UPPER(B29)&amp;"' AS TABELA, '"&amp;UPPER(C29)&amp;"' AS TIPOLOGIA_TESTE,'"&amp;D29&amp;"' AS TABELA_LT,'"&amp;E29&amp;"' AS TABELA_SIMUL,'"&amp;F29&amp;"' AS CAMPO, "&amp;"'${ref_date}' AS REF_DATE, COUNT(*) AS NUM_REG, SUM(IF(COALESCE(CAST(X."&amp;F29&amp;" AS STRING),'')&lt;&gt;COALESCE(CAST(Y."&amp;F29&amp;"_SIMUL AS STRING),'') OR (X."&amp;F29&amp;" IS NULL AND Y."&amp;F29&amp;"_SIMUL IS NOT NULL ) OR (X."&amp;F29&amp;" IS NOT NULL AND Y."&amp;F29&amp;"_SIMUL IS NULL),1,0)) AS NUM_REG_DIF,'"&amp;MAX('ID1&amp;5'!L:L)+1&amp;"' AS ID_EXEC, CURRENT_TIMESTAMP() AS TIME_EXEC FROM "&amp;I29&amp;" INNER JOIN "&amp;J29&amp;" "&amp;K29),
IF(C29="Validade",+IF(G29="Code List","SELECT '"&amp;UPPER(B29)&amp;"' AS TABELA, '"&amp;UPPER(C29)&amp;"' AS TIPOLOGIA_TESTE,'"&amp;D29&amp;"' AS TABELA_LT,'N/A' AS TABELA_SIMUL,'"&amp;F29&amp;"' AS CAMPO, "&amp;"'${ref_date}' AS REF_DATE, COUNT(*) AS NUM_REG, SUM(IF(TRIM(CAST(X."&amp;F29&amp;" AS STRING))='' OR TRIM(CAST(X."&amp;F29&amp;" AS STRING)) IS NULL OR CAST(X."&amp;F29&amp;" AS STRING) NOT "&amp;H29&amp;",1,0)) AS NUM_REG_DIF,'"&amp;MAX('ID1&amp;5'!K:K)+1&amp;"' AS ID_EXEC, CURRENT_TIMESTAMP() AS TIME_EXEC FROM "&amp;I29,"SELECT '"&amp;UPPER(B29)&amp;"' AS TABELA, '"&amp;UPPER(C29)&amp;"' AS TIPOLOGIA_TESTE,'"&amp;D29&amp;"' AS TABELA_LT,'N/A' AS TABELA_SIMUL,'"&amp;F29&amp;"' AS CAMPO, "&amp;"'${ref_date}' AS REF_DATE, COUNT(*) AS NUM_REG, SUM(IF(TRIM(CAST(X."&amp;F29&amp;" AS STRING))='' OR TRIM(CAST(X."&amp;F29&amp;" AS STRING)) IS NULL,1,0)) AS NUM_REG_DIF,'"&amp;MAX('ID1&amp;5'!K:K)+1&amp;"' AS ID_EXEC, CURRENT_TIMESTAMP() AS TIME_EXEC FROM "&amp;I29),
IF(C29="Caracteres Especiais",+"SELECT '"&amp;UPPER(B29)&amp;"' AS TABELA, '"&amp;UPPER(C29)&amp;"' AS TIPOLOGIA_TESTE,'"&amp;D29&amp;"' AS TABELA_LT,'N/A' AS TABELA_SIMUL,'"&amp;F29&amp;"' AS CAMPO, "&amp;"'${ref_date}' AS REF_DATE, COUNT(*) AS NUM_REG, SUM(IF(REGEXP_REPLACE(TRIM(CAST(X."&amp;F29&amp;" AS STRING)),'[^a-zA-Z0-9_\\s]','') &lt;&gt;TRIM(CAST(X."&amp;F29&amp;" AS STRING)),1,0)) AS NUM_REG_DIF,'"&amp;MAX('ID1&amp;5'!K:K)+1&amp;"' AS ID_EXEC, CURRENT_TIMESTAMP() AS TIME_EXEC FROM "&amp;I29,
IF(C29="Missings",+"SELECT '"&amp;UPPER(B29)&amp;"' AS TABELA, '"&amp;UPPER(C29)&amp;"' AS TIPOLOGIA_TESTE,'"&amp;D29&amp;"' AS TABELA_LT,'N/A' AS TABELA_SIMUL,'"&amp;F29&amp;"' AS CAMPO, "&amp;"'${ref_date}' AS REF_DATE, COUNT(*) AS NUM_REG, SUM(IF(TRIM(CAST(X."&amp;F29&amp;" AS STRING)) IN ('0000-00-00','0001-01-01','9999-12-31','MISS','00000','99999999999','99999999999.00','99999999999.000000'),1,0)) AS NUM_REG_DIF,'"&amp;MAX('ID1&amp;5'!K:K)+1&amp;"' AS ID_EXEC, CURRENT_TIMESTAMP() AS TIME_EXEC FROM "&amp;I29,
IF(C29="Not applicable",+"SELECT '"&amp;UPPER(B29)&amp;"' AS TABELA, '"&amp;UPPER(C29)&amp;"' AS TIPOLOGIA_TESTE,'"&amp;D29&amp;"' AS TABELA_LT,'N/A' AS TABELA_SIMUL,'"&amp;F29&amp;"' AS CAMPO, "&amp;"'${ref_date}' AS REF_DATE, COUNT(*) AS NUM_REG, SUM(IF(TRIM(CAST(X."&amp;F29&amp;" AS STRING)) IN ('N/A','11111111111','11111111111.00','11111111111.000000','1111-11-11'),1,0)) AS NUM_REG_DIF,'"&amp;MAX('ID1&amp;5'!K:K)+1&amp;"' AS ID_EXEC, CURRENT_TIMESTAMP() AS TIME_EXEC FROM "&amp;I29,
IF(C29="Valores extremos",+"SELECT '"&amp;UPPER(B29)&amp;"' AS TABELA, '"&amp;UPPER(C29)&amp;"' AS TIPOLOGIA_TESTE,'"&amp;D29&amp;"' AS TABELA_LT,'N/A' AS TABELA_SIMUL,'"&amp;F29&amp;"' AS CAMPO, "&amp;"'${ref_date}' AS REF_DATE, CAST(MIN("&amp;F29&amp;") AS STRING) AS VALOR_MIN, CAST(MAX("&amp;F29&amp;") AS STRING) AS VALOR_MAX,'"&amp;MAX('ID1&amp;5'!K:K)+1&amp;"' AS ID_EXEC, CURRENT_TIMESTAMP() AS TIME_EXEC FROM "&amp;MID(I29,1,LEN(I29)-2)&amp;" AND CAST("&amp;F29&amp;"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TABELA_SIMUL,'PRJCT_FNNC_LN' AS CAMPO, '${ref_date}' AS REF_DATE, COUNT(*) AS NUM_REG, SUM(IF(COALESCE(CAST(X.PRJCT_FNNC_LN AS STRING),'')&lt;&gt;COALESCE(CAST(Y.PRJCT_FNNC_LN_SIMUL AS STRING),'') OR (X.PRJCT_FNNC_LN IS NULL AND Y.PRJCT_FNNC_LN_SIMUL IS NOT NULL ) OR (X.PRJCT_FNNC_LN IS NOT NULL AND Y.PRJCT_FNNC_LN_SIMUL IS NULL),1,0)) AS NUM_REG_DIF,'1' AS ID_EXEC, CURRENT_TIMESTAMP() AS TIME_EXEC FROM (SELECT instrmnt_id, PRJCT_FNNC_LN FROM CD_LOAN_TAPES_BCE.LT002_INSTRUMENT WHERE ref_date='${ref_date}' AND nome_perimetro='Individual Corporativo' AND segmento='ESTR' AND ambito='PM' AND entidade='00100')X INNER JOIN (SELECT instrmnt_id AS instrmnt_id_SIMUL, PRJCT_FNNC_LN AS PRJCT_FNNC_LN_SIMUL FROM BU_LOANTAPE_WORK.LT002_INSTRUMENT_SRB WHERE ref_date='${ref_date}' AND nome_perimetro='Individual Corporativo' AND segmento='ESTR' AND ambito='PILAR3' AND entidade='00100')Y ON X.INSTRMNT_ID=Y.INSTRMNT_ID_SIMUL</v>
      </c>
      <c r="M29" s="36" t="str">
        <f t="shared" si="0"/>
        <v>UNION ALL SELECT 'INSTRUMENT' AS TABELA, 'COERÊNCIA' AS TIPOLOGIA_TESTE,'CD_LOAN_TAPES_BCE.LT002_INSTRUMENT' AS TABELA_LT,'BU_LOANTAPE_WORK.LT002_INSTRUMENT_SRB' AS TABELA_SIMUL,'PRJCT_FNNC_LN' AS CAMPO, '${ref_date}' AS REF_DATE, COUNT(*) AS NUM_REG, SUM(IF(COALESCE(CAST(X.PRJCT_FNNC_LN AS STRING),'')&lt;&gt;COALESCE(CAST(Y.PRJCT_FNNC_LN_SIMUL AS STRING),'') OR (X.PRJCT_FNNC_LN IS NULL AND Y.PRJCT_FNNC_LN_SIMUL IS NOT NULL ) OR (X.PRJCT_FNNC_LN IS NOT NULL AND Y.PRJCT_FNNC_LN_SIMUL IS NULL),1,0)) AS NUM_REG_DIF,'1' AS ID_EXEC, CURRENT_TIMESTAMP() AS TIME_EXEC FROM (SELECT instrmnt_id, PRJCT_FNNC_LN FROM CD_LOAN_TAPES_BCE.LT002_INSTRUMENT WHERE ref_date='${ref_date}' AND nome_perimetro='Individual Corporativo' AND segmento='ESTR' AND ambito='PM' AND entidade='00100')X INNER JOIN (SELECT instrmnt_id AS instrmnt_id_SIMUL, PRJCT_FNNC_LN AS PRJCT_FNNC_LN_SIMUL FROM BU_LOANTAPE_WORK.LT002_INSTRUMENT_SRB WHERE ref_date='${ref_date}' AND nome_perimetro='Individual Corporativo' AND segmento='ESTR' AND ambito='PILAR3' AND entidade='00100')Y ON X.INSTRMNT_ID=Y.INSTRMNT_ID_SIMUL</v>
      </c>
      <c r="N29" s="38" t="s">
        <v>45</v>
      </c>
    </row>
    <row r="30" spans="1:14" hidden="1">
      <c r="A30" s="60" t="str">
        <f t="shared" si="1"/>
        <v>INSTRUMENTTYP_INSTRMNT</v>
      </c>
      <c r="B30" s="34" t="s">
        <v>125</v>
      </c>
      <c r="C30" s="34" t="s">
        <v>5</v>
      </c>
      <c r="D30" s="34" t="str">
        <f>+UPPER('0. Instruções'!$D$35&amp;"."&amp;VLOOKUP(B30,'0. Instruções'!$C$27:$D$32,2,FALSE))</f>
        <v>CD_LOAN_TAPES_BCE.LT002_INSTRUMENT</v>
      </c>
      <c r="E30" s="34" t="str">
        <f>+UPPER('0. Instruções'!$D$36&amp;"."&amp;VLOOKUP(B30,'0. Instruções'!$C$27:$E$32,3,FALSE))</f>
        <v>BU_LOANTAPE_WORK.LT002_INSTRUMENT_SRB</v>
      </c>
      <c r="F30" s="34" t="s">
        <v>98</v>
      </c>
      <c r="G30" s="34"/>
      <c r="H30" s="34" t="s">
        <v>88</v>
      </c>
      <c r="I30" s="34" t="str">
        <f>"(SELECT "&amp;VLOOKUP(B30,'0. Instruções'!$C$27:$G$32,4,FALSE)&amp;", "&amp;F30&amp;" FROM "&amp;D30&amp;" WHERE "&amp;'0. Instruções'!$D$42&amp;")X"</f>
        <v>(SELECT instrmnt_id, TYP_INSTRMNT FROM CD_LOAN_TAPES_BCE.LT002_INSTRUMENT WHERE ref_date='${ref_date}' AND nome_perimetro='Individual Corporativo' AND segmento='ESTR' AND ambito='PM' AND entidade='00100')X</v>
      </c>
      <c r="J30" s="34" t="str">
        <f>"(SELECT "&amp;VLOOKUP(B30,'0. Instruções'!$C$27:$G$32,4,FALSE)&amp;" AS "&amp;VLOOKUP(B30,'0. Instruções'!$C$27:$G$32,4,FALSE)&amp;"_SIMUL, "&amp;F30&amp;" AS "&amp;F30&amp;"_SIMUL FROM "&amp;E30&amp;" WHERE "&amp;'0. Instruções'!$D$43&amp;")Y"</f>
        <v>(SELECT instrmnt_id AS instrmnt_id_SIMUL, TYP_INSTRMNT AS TYP_INSTRMNT_SIMUL FROM BU_LOANTAPE_WORK.LT002_INSTRUMENT_SRB WHERE ref_date='${ref_date}' AND nome_perimetro='Individual Corporativo' AND segmento='ESTR' AND ambito='PILAR3' AND entidade='00100')Y</v>
      </c>
      <c r="K30" s="35" t="str">
        <f>+UPPER("ON X."&amp;VLOOKUP(B30,'0. Instruções'!$C$27:$G$32,4,FALSE)&amp;"=Y."&amp;VLOOKUP(B30,'0. Instruções'!$C$27:$G$32,4,FALSE)&amp;"_SIMUL")</f>
        <v>ON X.INSTRMNT_ID=Y.INSTRMNT_ID_SIMUL</v>
      </c>
      <c r="L30" s="35" t="str">
        <f>+IF(C30="Coerência", +IF(LEFT(G30,5)="FLOAT","SELECT '"&amp;UPPER(B30)&amp;"' AS TABELA, '"&amp;UPPER(C30)&amp;"' AS TIPOLOGIA_TESTE,'"&amp;D30&amp;"' AS TABELA_LT,'"&amp;E30&amp;"' AS TABELA_SIMUL,'"&amp;F30&amp;"' AS CAMPO, "&amp;"'${ref_date}' AS REF_DATE, COUNT(*) AS NUM_REG, SUM(IF((ABS(COALESCE(CAST(X."&amp;F30&amp;" AS DECIMAL(18,6)),0)-COALESCE(CAST(Y."&amp;F30&amp;"_SIMUL AS DECIMAL(18,6)),0))&gt;0.000001) OR (X."&amp;F30&amp;" IS NULL AND Y."&amp;F30&amp;"_SIMUL IS NOT NULL ) OR (X."&amp;F30&amp;" IS NOT NULL AND Y."&amp;F30&amp;"_SIMUL IS NULL),1,0)) AS NUM_REG_DIF,'"&amp;MAX('ID1&amp;5'!K:K)+1&amp;"' AS ID_EXEC, CURRENT_TIMESTAMP() AS TIME_EXEC FROM "&amp;I30&amp;" INNER JOIN "&amp;J30&amp;" "&amp;K30,"SELECT '"&amp;UPPER(B30)&amp;"' AS TABELA, '"&amp;UPPER(C30)&amp;"' AS TIPOLOGIA_TESTE,'"&amp;D30&amp;"' AS TABELA_LT,'"&amp;E30&amp;"' AS TABELA_SIMUL,'"&amp;F30&amp;"' AS CAMPO, "&amp;"'${ref_date}' AS REF_DATE, COUNT(*) AS NUM_REG, SUM(IF(COALESCE(CAST(X."&amp;F30&amp;" AS STRING),'')&lt;&gt;COALESCE(CAST(Y."&amp;F30&amp;"_SIMUL AS STRING),'') OR (X."&amp;F30&amp;" IS NULL AND Y."&amp;F30&amp;"_SIMUL IS NOT NULL ) OR (X."&amp;F30&amp;" IS NOT NULL AND Y."&amp;F30&amp;"_SIMUL IS NULL),1,0)) AS NUM_REG_DIF,'"&amp;MAX('ID1&amp;5'!L:L)+1&amp;"' AS ID_EXEC, CURRENT_TIMESTAMP() AS TIME_EXEC FROM "&amp;I30&amp;" INNER JOIN "&amp;J30&amp;" "&amp;K30),
IF(C30="Validade",+IF(G30="Code List","SELECT '"&amp;UPPER(B30)&amp;"' AS TABELA, '"&amp;UPPER(C30)&amp;"' AS TIPOLOGIA_TESTE,'"&amp;D30&amp;"' AS TABELA_LT,'N/A' AS TABELA_SIMUL,'"&amp;F30&amp;"' AS CAMPO, "&amp;"'${ref_date}' AS REF_DATE, COUNT(*) AS NUM_REG, SUM(IF(TRIM(CAST(X."&amp;F30&amp;" AS STRING))='' OR TRIM(CAST(X."&amp;F30&amp;" AS STRING)) IS NULL OR CAST(X."&amp;F30&amp;" AS STRING) NOT "&amp;H30&amp;",1,0)) AS NUM_REG_DIF,'"&amp;MAX('ID1&amp;5'!K:K)+1&amp;"' AS ID_EXEC, CURRENT_TIMESTAMP() AS TIME_EXEC FROM "&amp;I30,"SELECT '"&amp;UPPER(B30)&amp;"' AS TABELA, '"&amp;UPPER(C30)&amp;"' AS TIPOLOGIA_TESTE,'"&amp;D30&amp;"' AS TABELA_LT,'N/A' AS TABELA_SIMUL,'"&amp;F30&amp;"' AS CAMPO, "&amp;"'${ref_date}' AS REF_DATE, COUNT(*) AS NUM_REG, SUM(IF(TRIM(CAST(X."&amp;F30&amp;" AS STRING))='' OR TRIM(CAST(X."&amp;F30&amp;" AS STRING)) IS NULL,1,0)) AS NUM_REG_DIF,'"&amp;MAX('ID1&amp;5'!K:K)+1&amp;"' AS ID_EXEC, CURRENT_TIMESTAMP() AS TIME_EXEC FROM "&amp;I30),
IF(C30="Caracteres Especiais",+"SELECT '"&amp;UPPER(B30)&amp;"' AS TABELA, '"&amp;UPPER(C30)&amp;"' AS TIPOLOGIA_TESTE,'"&amp;D30&amp;"' AS TABELA_LT,'N/A' AS TABELA_SIMUL,'"&amp;F30&amp;"' AS CAMPO, "&amp;"'${ref_date}' AS REF_DATE, COUNT(*) AS NUM_REG, SUM(IF(REGEXP_REPLACE(TRIM(CAST(X."&amp;F30&amp;" AS STRING)),'[^a-zA-Z0-9_\\s]','') &lt;&gt;TRIM(CAST(X."&amp;F30&amp;" AS STRING)),1,0)) AS NUM_REG_DIF,'"&amp;MAX('ID1&amp;5'!K:K)+1&amp;"' AS ID_EXEC, CURRENT_TIMESTAMP() AS TIME_EXEC FROM "&amp;I30,
IF(C30="Missings",+"SELECT '"&amp;UPPER(B30)&amp;"' AS TABELA, '"&amp;UPPER(C30)&amp;"' AS TIPOLOGIA_TESTE,'"&amp;D30&amp;"' AS TABELA_LT,'N/A' AS TABELA_SIMUL,'"&amp;F30&amp;"' AS CAMPO, "&amp;"'${ref_date}' AS REF_DATE, COUNT(*) AS NUM_REG, SUM(IF(TRIM(CAST(X."&amp;F30&amp;" AS STRING)) IN ('0000-00-00','0001-01-01','9999-12-31','MISS','00000','99999999999','99999999999.00','99999999999.000000'),1,0)) AS NUM_REG_DIF,'"&amp;MAX('ID1&amp;5'!K:K)+1&amp;"' AS ID_EXEC, CURRENT_TIMESTAMP() AS TIME_EXEC FROM "&amp;I30,
IF(C30="Not applicable",+"SELECT '"&amp;UPPER(B30)&amp;"' AS TABELA, '"&amp;UPPER(C30)&amp;"' AS TIPOLOGIA_TESTE,'"&amp;D30&amp;"' AS TABELA_LT,'N/A' AS TABELA_SIMUL,'"&amp;F30&amp;"' AS CAMPO, "&amp;"'${ref_date}' AS REF_DATE, COUNT(*) AS NUM_REG, SUM(IF(TRIM(CAST(X."&amp;F30&amp;" AS STRING)) IN ('N/A','11111111111','11111111111.00','11111111111.000000','1111-11-11'),1,0)) AS NUM_REG_DIF,'"&amp;MAX('ID1&amp;5'!K:K)+1&amp;"' AS ID_EXEC, CURRENT_TIMESTAMP() AS TIME_EXEC FROM "&amp;I30,
IF(C30="Valores extremos",+"SELECT '"&amp;UPPER(B30)&amp;"' AS TABELA, '"&amp;UPPER(C30)&amp;"' AS TIPOLOGIA_TESTE,'"&amp;D30&amp;"' AS TABELA_LT,'N/A' AS TABELA_SIMUL,'"&amp;F30&amp;"' AS CAMPO, "&amp;"'${ref_date}' AS REF_DATE, CAST(MIN("&amp;F30&amp;") AS STRING) AS VALOR_MIN, CAST(MAX("&amp;F30&amp;") AS STRING) AS VALOR_MAX,'"&amp;MAX('ID1&amp;5'!K:K)+1&amp;"' AS ID_EXEC, CURRENT_TIMESTAMP() AS TIME_EXEC FROM "&amp;MID(I30,1,LEN(I30)-2)&amp;" AND CAST("&amp;F30&amp;"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TABELA_SIMUL,'TYP_INSTRMNT' AS CAMPO, '${ref_date}' AS REF_DATE, COUNT(*) AS NUM_REG, SUM(IF(COALESCE(CAST(X.TYP_INSTRMNT AS STRING),'')&lt;&gt;COALESCE(CAST(Y.TYP_INSTRMNT_SIMUL AS STRING),'') OR (X.TYP_INSTRMNT IS NULL AND Y.TYP_INSTRMNT_SIMUL IS NOT NULL ) OR (X.TYP_INSTRMNT IS NOT NULL AND Y.TYP_INSTRMNT_SIMUL IS NULL),1,0)) AS NUM_REG_DIF,'1' AS ID_EXEC, CURRENT_TIMESTAMP() AS TIME_EXEC FROM (SELECT instrmnt_id, TYP_INSTRMNT FROM CD_LOAN_TAPES_BCE.LT002_INSTRUMENT WHERE ref_date='${ref_date}' AND nome_perimetro='Individual Corporativo' AND segmento='ESTR' AND ambito='PM' AND entidade='00100')X INNER JOIN (SELECT instrmnt_id AS instrmnt_id_SIMUL, TYP_INSTRMNT AS TYP_INSTRMNT_SIMUL FROM BU_LOANTAPE_WORK.LT002_INSTRUMENT_SRB WHERE ref_date='${ref_date}' AND nome_perimetro='Individual Corporativo' AND segmento='ESTR' AND ambito='PILAR3' AND entidade='00100')Y ON X.INSTRMNT_ID=Y.INSTRMNT_ID_SIMUL</v>
      </c>
      <c r="M30" s="36" t="str">
        <f t="shared" si="0"/>
        <v>UNION ALL SELECT 'INSTRUMENT' AS TABELA, 'COERÊNCIA' AS TIPOLOGIA_TESTE,'CD_LOAN_TAPES_BCE.LT002_INSTRUMENT' AS TABELA_LT,'BU_LOANTAPE_WORK.LT002_INSTRUMENT_SRB' AS TABELA_SIMUL,'TYP_INSTRMNT' AS CAMPO, '${ref_date}' AS REF_DATE, COUNT(*) AS NUM_REG, SUM(IF(COALESCE(CAST(X.TYP_INSTRMNT AS STRING),'')&lt;&gt;COALESCE(CAST(Y.TYP_INSTRMNT_SIMUL AS STRING),'') OR (X.TYP_INSTRMNT IS NULL AND Y.TYP_INSTRMNT_SIMUL IS NOT NULL ) OR (X.TYP_INSTRMNT IS NOT NULL AND Y.TYP_INSTRMNT_SIMUL IS NULL),1,0)) AS NUM_REG_DIF,'1' AS ID_EXEC, CURRENT_TIMESTAMP() AS TIME_EXEC FROM (SELECT instrmnt_id, TYP_INSTRMNT FROM CD_LOAN_TAPES_BCE.LT002_INSTRUMENT WHERE ref_date='${ref_date}' AND nome_perimetro='Individual Corporativo' AND segmento='ESTR' AND ambito='PM' AND entidade='00100')X INNER JOIN (SELECT instrmnt_id AS instrmnt_id_SIMUL, TYP_INSTRMNT AS TYP_INSTRMNT_SIMUL FROM BU_LOANTAPE_WORK.LT002_INSTRUMENT_SRB WHERE ref_date='${ref_date}' AND nome_perimetro='Individual Corporativo' AND segmento='ESTR' AND ambito='PILAR3' AND entidade='00100')Y ON X.INSTRMNT_ID=Y.INSTRMNT_ID_SIMUL</v>
      </c>
      <c r="N30" s="38" t="s">
        <v>45</v>
      </c>
    </row>
    <row r="31" spans="1:14" hidden="1">
      <c r="A31" s="60" t="str">
        <f t="shared" si="1"/>
        <v>INSTRUMENTGRSS_CRRYNG_AMNT_INSTRMNT</v>
      </c>
      <c r="B31" s="34" t="s">
        <v>125</v>
      </c>
      <c r="C31" s="34" t="s">
        <v>5</v>
      </c>
      <c r="D31" s="34" t="str">
        <f>+UPPER('0. Instruções'!$D$35&amp;"."&amp;VLOOKUP(B31,'0. Instruções'!$C$27:$D$32,2,FALSE))</f>
        <v>CD_LOAN_TAPES_BCE.LT002_INSTRUMENT</v>
      </c>
      <c r="E31" s="34" t="str">
        <f>+UPPER('0. Instruções'!$D$36&amp;"."&amp;VLOOKUP(B31,'0. Instruções'!$C$27:$E$32,3,FALSE))</f>
        <v>BU_LOANTAPE_WORK.LT002_INSTRUMENT_SRB</v>
      </c>
      <c r="F31" s="34" t="s">
        <v>99</v>
      </c>
      <c r="G31" s="34"/>
      <c r="H31" s="34" t="s">
        <v>91</v>
      </c>
      <c r="I31" s="34" t="str">
        <f>"(SELECT "&amp;VLOOKUP(B31,'0. Instruções'!$C$27:$G$32,4,FALSE)&amp;", "&amp;F31&amp;" FROM "&amp;D31&amp;" WHERE "&amp;'0. Instruções'!$D$42&amp;")X"</f>
        <v>(SELECT instrmnt_id, GRSS_CRRYNG_AMNT_INSTRMNT FROM CD_LOAN_TAPES_BCE.LT002_INSTRUMENT WHERE ref_date='${ref_date}' AND nome_perimetro='Individual Corporativo' AND segmento='ESTR' AND ambito='PM' AND entidade='00100')X</v>
      </c>
      <c r="J31" s="34" t="str">
        <f>"(SELECT "&amp;VLOOKUP(B31,'0. Instruções'!$C$27:$G$32,4,FALSE)&amp;" AS "&amp;VLOOKUP(B31,'0. Instruções'!$C$27:$G$32,4,FALSE)&amp;"_SIMUL, "&amp;F31&amp;" AS "&amp;F31&amp;"_SIMUL FROM "&amp;E31&amp;" WHERE "&amp;'0. Instruções'!$D$43&amp;")Y"</f>
        <v>(SELECT instrmnt_id AS instrmnt_id_SIMUL, GRSS_CRRYNG_AMNT_INSTRMNT AS GRSS_CRRYNG_AMNT_INSTRMNT_SIMUL FROM BU_LOANTAPE_WORK.LT002_INSTRUMENT_SRB WHERE ref_date='${ref_date}' AND nome_perimetro='Individual Corporativo' AND segmento='ESTR' AND ambito='PILAR3' AND entidade='00100')Y</v>
      </c>
      <c r="K31" s="35" t="str">
        <f>+UPPER("ON X."&amp;VLOOKUP(B31,'0. Instruções'!$C$27:$G$32,4,FALSE)&amp;"=Y."&amp;VLOOKUP(B31,'0. Instruções'!$C$27:$G$32,4,FALSE)&amp;"_SIMUL")</f>
        <v>ON X.INSTRMNT_ID=Y.INSTRMNT_ID_SIMUL</v>
      </c>
      <c r="L31" s="35" t="str">
        <f>+IF(C31="Coerência", +IF(LEFT(G31,5)="FLOAT","SELECT '"&amp;UPPER(B31)&amp;"' AS TABELA, '"&amp;UPPER(C31)&amp;"' AS TIPOLOGIA_TESTE,'"&amp;D31&amp;"' AS TABELA_LT,'"&amp;E31&amp;"' AS TABELA_SIMUL,'"&amp;F31&amp;"' AS CAMPO, "&amp;"'${ref_date}' AS REF_DATE, COUNT(*) AS NUM_REG, SUM(IF((ABS(COALESCE(CAST(X."&amp;F31&amp;" AS DECIMAL(18,6)),0)-COALESCE(CAST(Y."&amp;F31&amp;"_SIMUL AS DECIMAL(18,6)),0))&gt;0.000001) OR (X."&amp;F31&amp;" IS NULL AND Y."&amp;F31&amp;"_SIMUL IS NOT NULL ) OR (X."&amp;F31&amp;" IS NOT NULL AND Y."&amp;F31&amp;"_SIMUL IS NULL),1,0)) AS NUM_REG_DIF,'"&amp;MAX('ID1&amp;5'!K:K)+1&amp;"' AS ID_EXEC, CURRENT_TIMESTAMP() AS TIME_EXEC FROM "&amp;I31&amp;" INNER JOIN "&amp;J31&amp;" "&amp;K31,"SELECT '"&amp;UPPER(B31)&amp;"' AS TABELA, '"&amp;UPPER(C31)&amp;"' AS TIPOLOGIA_TESTE,'"&amp;D31&amp;"' AS TABELA_LT,'"&amp;E31&amp;"' AS TABELA_SIMUL,'"&amp;F31&amp;"' AS CAMPO, "&amp;"'${ref_date}' AS REF_DATE, COUNT(*) AS NUM_REG, SUM(IF(COALESCE(CAST(X."&amp;F31&amp;" AS STRING),'')&lt;&gt;COALESCE(CAST(Y."&amp;F31&amp;"_SIMUL AS STRING),'') OR (X."&amp;F31&amp;" IS NULL AND Y."&amp;F31&amp;"_SIMUL IS NOT NULL ) OR (X."&amp;F31&amp;" IS NOT NULL AND Y."&amp;F31&amp;"_SIMUL IS NULL),1,0)) AS NUM_REG_DIF,'"&amp;MAX('ID1&amp;5'!L:L)+1&amp;"' AS ID_EXEC, CURRENT_TIMESTAMP() AS TIME_EXEC FROM "&amp;I31&amp;" INNER JOIN "&amp;J31&amp;" "&amp;K31),
IF(C31="Validade",+IF(G31="Code List","SELECT '"&amp;UPPER(B31)&amp;"' AS TABELA, '"&amp;UPPER(C31)&amp;"' AS TIPOLOGIA_TESTE,'"&amp;D31&amp;"' AS TABELA_LT,'N/A' AS TABELA_SIMUL,'"&amp;F31&amp;"' AS CAMPO, "&amp;"'${ref_date}' AS REF_DATE, COUNT(*) AS NUM_REG, SUM(IF(TRIM(CAST(X."&amp;F31&amp;" AS STRING))='' OR TRIM(CAST(X."&amp;F31&amp;" AS STRING)) IS NULL OR CAST(X."&amp;F31&amp;" AS STRING) NOT "&amp;H31&amp;",1,0)) AS NUM_REG_DIF,'"&amp;MAX('ID1&amp;5'!K:K)+1&amp;"' AS ID_EXEC, CURRENT_TIMESTAMP() AS TIME_EXEC FROM "&amp;I31,"SELECT '"&amp;UPPER(B31)&amp;"' AS TABELA, '"&amp;UPPER(C31)&amp;"' AS TIPOLOGIA_TESTE,'"&amp;D31&amp;"' AS TABELA_LT,'N/A' AS TABELA_SIMUL,'"&amp;F31&amp;"' AS CAMPO, "&amp;"'${ref_date}' AS REF_DATE, COUNT(*) AS NUM_REG, SUM(IF(TRIM(CAST(X."&amp;F31&amp;" AS STRING))='' OR TRIM(CAST(X."&amp;F31&amp;" AS STRING)) IS NULL,1,0)) AS NUM_REG_DIF,'"&amp;MAX('ID1&amp;5'!K:K)+1&amp;"' AS ID_EXEC, CURRENT_TIMESTAMP() AS TIME_EXEC FROM "&amp;I31),
IF(C31="Caracteres Especiais",+"SELECT '"&amp;UPPER(B31)&amp;"' AS TABELA, '"&amp;UPPER(C31)&amp;"' AS TIPOLOGIA_TESTE,'"&amp;D31&amp;"' AS TABELA_LT,'N/A' AS TABELA_SIMUL,'"&amp;F31&amp;"' AS CAMPO, "&amp;"'${ref_date}' AS REF_DATE, COUNT(*) AS NUM_REG, SUM(IF(REGEXP_REPLACE(TRIM(CAST(X."&amp;F31&amp;" AS STRING)),'[^a-zA-Z0-9_\\s]','') &lt;&gt;TRIM(CAST(X."&amp;F31&amp;" AS STRING)),1,0)) AS NUM_REG_DIF,'"&amp;MAX('ID1&amp;5'!K:K)+1&amp;"' AS ID_EXEC, CURRENT_TIMESTAMP() AS TIME_EXEC FROM "&amp;I31,
IF(C31="Missings",+"SELECT '"&amp;UPPER(B31)&amp;"' AS TABELA, '"&amp;UPPER(C31)&amp;"' AS TIPOLOGIA_TESTE,'"&amp;D31&amp;"' AS TABELA_LT,'N/A' AS TABELA_SIMUL,'"&amp;F31&amp;"' AS CAMPO, "&amp;"'${ref_date}' AS REF_DATE, COUNT(*) AS NUM_REG, SUM(IF(TRIM(CAST(X."&amp;F31&amp;" AS STRING)) IN ('0000-00-00','0001-01-01','9999-12-31','MISS','00000','99999999999','99999999999.00','99999999999.000000'),1,0)) AS NUM_REG_DIF,'"&amp;MAX('ID1&amp;5'!K:K)+1&amp;"' AS ID_EXEC, CURRENT_TIMESTAMP() AS TIME_EXEC FROM "&amp;I31,
IF(C31="Not applicable",+"SELECT '"&amp;UPPER(B31)&amp;"' AS TABELA, '"&amp;UPPER(C31)&amp;"' AS TIPOLOGIA_TESTE,'"&amp;D31&amp;"' AS TABELA_LT,'N/A' AS TABELA_SIMUL,'"&amp;F31&amp;"' AS CAMPO, "&amp;"'${ref_date}' AS REF_DATE, COUNT(*) AS NUM_REG, SUM(IF(TRIM(CAST(X."&amp;F31&amp;" AS STRING)) IN ('N/A','11111111111','11111111111.00','11111111111.000000','1111-11-11'),1,0)) AS NUM_REG_DIF,'"&amp;MAX('ID1&amp;5'!K:K)+1&amp;"' AS ID_EXEC, CURRENT_TIMESTAMP() AS TIME_EXEC FROM "&amp;I31,
IF(C31="Valores extremos",+"SELECT '"&amp;UPPER(B31)&amp;"' AS TABELA, '"&amp;UPPER(C31)&amp;"' AS TIPOLOGIA_TESTE,'"&amp;D31&amp;"' AS TABELA_LT,'N/A' AS TABELA_SIMUL,'"&amp;F31&amp;"' AS CAMPO, "&amp;"'${ref_date}' AS REF_DATE, CAST(MIN("&amp;F31&amp;") AS STRING) AS VALOR_MIN, CAST(MAX("&amp;F31&amp;") AS STRING) AS VALOR_MAX,'"&amp;MAX('ID1&amp;5'!K:K)+1&amp;"' AS ID_EXEC, CURRENT_TIMESTAMP() AS TIME_EXEC FROM "&amp;MID(I31,1,LEN(I31)-2)&amp;" AND CAST("&amp;F31&amp;"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TABELA_SIMUL,'GRSS_CRRYNG_AMNT_INSTRMNT' AS CAMPO, '${ref_date}' AS REF_DATE, COUNT(*) AS NUM_REG, SUM(IF(COALESCE(CAST(X.GRSS_CRRYNG_AMNT_INSTRMNT AS STRING),'')&lt;&gt;COALESCE(CAST(Y.GRSS_CRRYNG_AMNT_INSTRMNT_SIMUL AS STRING),'') OR (X.GRSS_CRRYNG_AMNT_INSTRMNT IS NULL AND Y.GRSS_CRRYNG_AMNT_INSTRMNT_SIMUL IS NOT NULL ) OR (X.GRSS_CRRYNG_AMNT_INSTRMNT IS NOT NULL AND Y.GRSS_CRRYNG_AMNT_INSTRMNT_SIMUL IS NULL),1,0)) AS NUM_REG_DIF,'1' AS ID_EXEC, CURRENT_TIMESTAMP() AS TIME_EXEC FROM (SELECT instrmnt_id, GRSS_CRRYNG_AMNT_INSTRMNT FROM CD_LOAN_TAPES_BCE.LT002_INSTRUMENT WHERE ref_date='${ref_date}' AND nome_perimetro='Individual Corporativo' AND segmento='ESTR' AND ambito='PM' AND entidade='00100')X INNER JOIN (SELECT instrmnt_id AS instrmnt_id_SIMUL, GRSS_CRRYNG_AMNT_INSTRMNT AS GRSS_CRRYNG_AMNT_INSTRMNT_SIMUL FROM BU_LOANTAPE_WORK.LT002_INSTRUMENT_SRB WHERE ref_date='${ref_date}' AND nome_perimetro='Individual Corporativo' AND segmento='ESTR' AND ambito='PILAR3' AND entidade='00100')Y ON X.INSTRMNT_ID=Y.INSTRMNT_ID_SIMUL</v>
      </c>
      <c r="M31" s="36" t="str">
        <f t="shared" si="0"/>
        <v>UNION ALL SELECT 'INSTRUMENT' AS TABELA, 'COERÊNCIA' AS TIPOLOGIA_TESTE,'CD_LOAN_TAPES_BCE.LT002_INSTRUMENT' AS TABELA_LT,'BU_LOANTAPE_WORK.LT002_INSTRUMENT_SRB' AS TABELA_SIMUL,'GRSS_CRRYNG_AMNT_INSTRMNT' AS CAMPO, '${ref_date}' AS REF_DATE, COUNT(*) AS NUM_REG, SUM(IF(COALESCE(CAST(X.GRSS_CRRYNG_AMNT_INSTRMNT AS STRING),'')&lt;&gt;COALESCE(CAST(Y.GRSS_CRRYNG_AMNT_INSTRMNT_SIMUL AS STRING),'') OR (X.GRSS_CRRYNG_AMNT_INSTRMNT IS NULL AND Y.GRSS_CRRYNG_AMNT_INSTRMNT_SIMUL IS NOT NULL ) OR (X.GRSS_CRRYNG_AMNT_INSTRMNT IS NOT NULL AND Y.GRSS_CRRYNG_AMNT_INSTRMNT_SIMUL IS NULL),1,0)) AS NUM_REG_DIF,'1' AS ID_EXEC, CURRENT_TIMESTAMP() AS TIME_EXEC FROM (SELECT instrmnt_id, GRSS_CRRYNG_AMNT_INSTRMNT FROM CD_LOAN_TAPES_BCE.LT002_INSTRUMENT WHERE ref_date='${ref_date}' AND nome_perimetro='Individual Corporativo' AND segmento='ESTR' AND ambito='PM' AND entidade='00100')X INNER JOIN (SELECT instrmnt_id AS instrmnt_id_SIMUL, GRSS_CRRYNG_AMNT_INSTRMNT AS GRSS_CRRYNG_AMNT_INSTRMNT_SIMUL FROM BU_LOANTAPE_WORK.LT002_INSTRUMENT_SRB WHERE ref_date='${ref_date}' AND nome_perimetro='Individual Corporativo' AND segmento='ESTR' AND ambito='PILAR3' AND entidade='00100')Y ON X.INSTRMNT_ID=Y.INSTRMNT_ID_SIMUL</v>
      </c>
      <c r="N31" s="38" t="s">
        <v>45</v>
      </c>
    </row>
    <row r="32" spans="1:14" hidden="1">
      <c r="A32" s="60" t="str">
        <f t="shared" si="1"/>
        <v>INSTRUMENTACCMLTD_CHNGS_FV_CR_INSTRMNT</v>
      </c>
      <c r="B32" s="34" t="s">
        <v>125</v>
      </c>
      <c r="C32" s="34" t="s">
        <v>5</v>
      </c>
      <c r="D32" s="34" t="str">
        <f>+UPPER('0. Instruções'!$D$35&amp;"."&amp;VLOOKUP(B32,'0. Instruções'!$C$27:$D$32,2,FALSE))</f>
        <v>CD_LOAN_TAPES_BCE.LT002_INSTRUMENT</v>
      </c>
      <c r="E32" s="34" t="str">
        <f>+UPPER('0. Instruções'!$D$36&amp;"."&amp;VLOOKUP(B32,'0. Instruções'!$C$27:$E$32,3,FALSE))</f>
        <v>BU_LOANTAPE_WORK.LT002_INSTRUMENT_SRB</v>
      </c>
      <c r="F32" s="34" t="s">
        <v>100</v>
      </c>
      <c r="G32" s="34"/>
      <c r="H32" s="34" t="s">
        <v>91</v>
      </c>
      <c r="I32" s="34" t="str">
        <f>"(SELECT "&amp;VLOOKUP(B32,'0. Instruções'!$C$27:$G$32,4,FALSE)&amp;", "&amp;F32&amp;" FROM "&amp;D32&amp;" WHERE "&amp;'0. Instruções'!$D$42&amp;")X"</f>
        <v>(SELECT instrmnt_id, ACCMLTD_CHNGS_FV_CR_INSTRMNT FROM CD_LOAN_TAPES_BCE.LT002_INSTRUMENT WHERE ref_date='${ref_date}' AND nome_perimetro='Individual Corporativo' AND segmento='ESTR' AND ambito='PM' AND entidade='00100')X</v>
      </c>
      <c r="J32" s="34" t="str">
        <f>"(SELECT "&amp;VLOOKUP(B32,'0. Instruções'!$C$27:$G$32,4,FALSE)&amp;" AS "&amp;VLOOKUP(B32,'0. Instruções'!$C$27:$G$32,4,FALSE)&amp;"_SIMUL, "&amp;F32&amp;" AS "&amp;F32&amp;"_SIMUL FROM "&amp;E32&amp;" WHERE "&amp;'0. Instruções'!$D$43&amp;")Y"</f>
        <v>(SELECT instrmnt_id AS instrmnt_id_SIMUL, ACCMLTD_CHNGS_FV_CR_INSTRMNT AS ACCMLTD_CHNGS_FV_CR_INSTRMNT_SIMUL FROM BU_LOANTAPE_WORK.LT002_INSTRUMENT_SRB WHERE ref_date='${ref_date}' AND nome_perimetro='Individual Corporativo' AND segmento='ESTR' AND ambito='PILAR3' AND entidade='00100')Y</v>
      </c>
      <c r="K32" s="35" t="str">
        <f>+UPPER("ON X."&amp;VLOOKUP(B32,'0. Instruções'!$C$27:$G$32,4,FALSE)&amp;"=Y."&amp;VLOOKUP(B32,'0. Instruções'!$C$27:$G$32,4,FALSE)&amp;"_SIMUL")</f>
        <v>ON X.INSTRMNT_ID=Y.INSTRMNT_ID_SIMUL</v>
      </c>
      <c r="L32" s="35" t="str">
        <f>+IF(C32="Coerência", +IF(LEFT(G32,5)="FLOAT","SELECT '"&amp;UPPER(B32)&amp;"' AS TABELA, '"&amp;UPPER(C32)&amp;"' AS TIPOLOGIA_TESTE,'"&amp;D32&amp;"' AS TABELA_LT,'"&amp;E32&amp;"' AS TABELA_SIMUL,'"&amp;F32&amp;"' AS CAMPO, "&amp;"'${ref_date}' AS REF_DATE, COUNT(*) AS NUM_REG, SUM(IF((ABS(COALESCE(CAST(X."&amp;F32&amp;" AS DECIMAL(18,6)),0)-COALESCE(CAST(Y."&amp;F32&amp;"_SIMUL AS DECIMAL(18,6)),0))&gt;0.000001) OR (X."&amp;F32&amp;" IS NULL AND Y."&amp;F32&amp;"_SIMUL IS NOT NULL ) OR (X."&amp;F32&amp;" IS NOT NULL AND Y."&amp;F32&amp;"_SIMUL IS NULL),1,0)) AS NUM_REG_DIF,'"&amp;MAX('ID1&amp;5'!K:K)+1&amp;"' AS ID_EXEC, CURRENT_TIMESTAMP() AS TIME_EXEC FROM "&amp;I32&amp;" INNER JOIN "&amp;J32&amp;" "&amp;K32,"SELECT '"&amp;UPPER(B32)&amp;"' AS TABELA, '"&amp;UPPER(C32)&amp;"' AS TIPOLOGIA_TESTE,'"&amp;D32&amp;"' AS TABELA_LT,'"&amp;E32&amp;"' AS TABELA_SIMUL,'"&amp;F32&amp;"' AS CAMPO, "&amp;"'${ref_date}' AS REF_DATE, COUNT(*) AS NUM_REG, SUM(IF(COALESCE(CAST(X."&amp;F32&amp;" AS STRING),'')&lt;&gt;COALESCE(CAST(Y."&amp;F32&amp;"_SIMUL AS STRING),'') OR (X."&amp;F32&amp;" IS NULL AND Y."&amp;F32&amp;"_SIMUL IS NOT NULL ) OR (X."&amp;F32&amp;" IS NOT NULL AND Y."&amp;F32&amp;"_SIMUL IS NULL),1,0)) AS NUM_REG_DIF,'"&amp;MAX('ID1&amp;5'!L:L)+1&amp;"' AS ID_EXEC, CURRENT_TIMESTAMP() AS TIME_EXEC FROM "&amp;I32&amp;" INNER JOIN "&amp;J32&amp;" "&amp;K32),
IF(C32="Validade",+IF(G32="Code List","SELECT '"&amp;UPPER(B32)&amp;"' AS TABELA, '"&amp;UPPER(C32)&amp;"' AS TIPOLOGIA_TESTE,'"&amp;D32&amp;"' AS TABELA_LT,'N/A' AS TABELA_SIMUL,'"&amp;F32&amp;"' AS CAMPO, "&amp;"'${ref_date}' AS REF_DATE, COUNT(*) AS NUM_REG, SUM(IF(TRIM(CAST(X."&amp;F32&amp;" AS STRING))='' OR TRIM(CAST(X."&amp;F32&amp;" AS STRING)) IS NULL OR CAST(X."&amp;F32&amp;" AS STRING) NOT "&amp;H32&amp;",1,0)) AS NUM_REG_DIF,'"&amp;MAX('ID1&amp;5'!K:K)+1&amp;"' AS ID_EXEC, CURRENT_TIMESTAMP() AS TIME_EXEC FROM "&amp;I32,"SELECT '"&amp;UPPER(B32)&amp;"' AS TABELA, '"&amp;UPPER(C32)&amp;"' AS TIPOLOGIA_TESTE,'"&amp;D32&amp;"' AS TABELA_LT,'N/A' AS TABELA_SIMUL,'"&amp;F32&amp;"' AS CAMPO, "&amp;"'${ref_date}' AS REF_DATE, COUNT(*) AS NUM_REG, SUM(IF(TRIM(CAST(X."&amp;F32&amp;" AS STRING))='' OR TRIM(CAST(X."&amp;F32&amp;" AS STRING)) IS NULL,1,0)) AS NUM_REG_DIF,'"&amp;MAX('ID1&amp;5'!K:K)+1&amp;"' AS ID_EXEC, CURRENT_TIMESTAMP() AS TIME_EXEC FROM "&amp;I32),
IF(C32="Caracteres Especiais",+"SELECT '"&amp;UPPER(B32)&amp;"' AS TABELA, '"&amp;UPPER(C32)&amp;"' AS TIPOLOGIA_TESTE,'"&amp;D32&amp;"' AS TABELA_LT,'N/A' AS TABELA_SIMUL,'"&amp;F32&amp;"' AS CAMPO, "&amp;"'${ref_date}' AS REF_DATE, COUNT(*) AS NUM_REG, SUM(IF(REGEXP_REPLACE(TRIM(CAST(X."&amp;F32&amp;" AS STRING)),'[^a-zA-Z0-9_\\s]','') &lt;&gt;TRIM(CAST(X."&amp;F32&amp;" AS STRING)),1,0)) AS NUM_REG_DIF,'"&amp;MAX('ID1&amp;5'!K:K)+1&amp;"' AS ID_EXEC, CURRENT_TIMESTAMP() AS TIME_EXEC FROM "&amp;I32,
IF(C32="Missings",+"SELECT '"&amp;UPPER(B32)&amp;"' AS TABELA, '"&amp;UPPER(C32)&amp;"' AS TIPOLOGIA_TESTE,'"&amp;D32&amp;"' AS TABELA_LT,'N/A' AS TABELA_SIMUL,'"&amp;F32&amp;"' AS CAMPO, "&amp;"'${ref_date}' AS REF_DATE, COUNT(*) AS NUM_REG, SUM(IF(TRIM(CAST(X."&amp;F32&amp;" AS STRING)) IN ('0000-00-00','0001-01-01','9999-12-31','MISS','00000','99999999999','99999999999.00','99999999999.000000'),1,0)) AS NUM_REG_DIF,'"&amp;MAX('ID1&amp;5'!K:K)+1&amp;"' AS ID_EXEC, CURRENT_TIMESTAMP() AS TIME_EXEC FROM "&amp;I32,
IF(C32="Not applicable",+"SELECT '"&amp;UPPER(B32)&amp;"' AS TABELA, '"&amp;UPPER(C32)&amp;"' AS TIPOLOGIA_TESTE,'"&amp;D32&amp;"' AS TABELA_LT,'N/A' AS TABELA_SIMUL,'"&amp;F32&amp;"' AS CAMPO, "&amp;"'${ref_date}' AS REF_DATE, COUNT(*) AS NUM_REG, SUM(IF(TRIM(CAST(X."&amp;F32&amp;" AS STRING)) IN ('N/A','11111111111','11111111111.00','11111111111.000000','1111-11-11'),1,0)) AS NUM_REG_DIF,'"&amp;MAX('ID1&amp;5'!K:K)+1&amp;"' AS ID_EXEC, CURRENT_TIMESTAMP() AS TIME_EXEC FROM "&amp;I32,
IF(C32="Valores extremos",+"SELECT '"&amp;UPPER(B32)&amp;"' AS TABELA, '"&amp;UPPER(C32)&amp;"' AS TIPOLOGIA_TESTE,'"&amp;D32&amp;"' AS TABELA_LT,'N/A' AS TABELA_SIMUL,'"&amp;F32&amp;"' AS CAMPO, "&amp;"'${ref_date}' AS REF_DATE, CAST(MIN("&amp;F32&amp;") AS STRING) AS VALOR_MIN, CAST(MAX("&amp;F32&amp;") AS STRING) AS VALOR_MAX,'"&amp;MAX('ID1&amp;5'!K:K)+1&amp;"' AS ID_EXEC, CURRENT_TIMESTAMP() AS TIME_EXEC FROM "&amp;MID(I32,1,LEN(I32)-2)&amp;" AND CAST("&amp;F32&amp;"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TABELA_SIMUL,'ACCMLTD_CHNGS_FV_CR_INSTRMNT' AS CAMPO, '${ref_date}' AS REF_DATE, COUNT(*) AS NUM_REG, SUM(IF(COALESCE(CAST(X.ACCMLTD_CHNGS_FV_CR_INSTRMNT AS STRING),'')&lt;&gt;COALESCE(CAST(Y.ACCMLTD_CHNGS_FV_CR_INSTRMNT_SIMUL AS STRING),'') OR (X.ACCMLTD_CHNGS_FV_CR_INSTRMNT IS NULL AND Y.ACCMLTD_CHNGS_FV_CR_INSTRMNT_SIMUL IS NOT NULL ) OR (X.ACCMLTD_CHNGS_FV_CR_INSTRMNT IS NOT NULL AND Y.ACCMLTD_CHNGS_FV_CR_INSTRMNT_SIMUL IS NULL),1,0)) AS NUM_REG_DIF,'1' AS ID_EXEC, CURRENT_TIMESTAMP() AS TIME_EXEC FROM (SELECT instrmnt_id, ACCMLTD_CHNGS_FV_CR_INSTRMNT FROM CD_LOAN_TAPES_BCE.LT002_INSTRUMENT WHERE ref_date='${ref_date}' AND nome_perimetro='Individual Corporativo' AND segmento='ESTR' AND ambito='PM' AND entidade='00100')X INNER JOIN (SELECT instrmnt_id AS instrmnt_id_SIMUL, ACCMLTD_CHNGS_FV_CR_INSTRMNT AS ACCMLTD_CHNGS_FV_CR_INSTRMNT_SIMUL FROM BU_LOANTAPE_WORK.LT002_INSTRUMENT_SRB WHERE ref_date='${ref_date}' AND nome_perimetro='Individual Corporativo' AND segmento='ESTR' AND ambito='PILAR3' AND entidade='00100')Y ON X.INSTRMNT_ID=Y.INSTRMNT_ID_SIMUL</v>
      </c>
      <c r="M32" s="36" t="str">
        <f t="shared" si="0"/>
        <v>UNION ALL SELECT 'INSTRUMENT' AS TABELA, 'COERÊNCIA' AS TIPOLOGIA_TESTE,'CD_LOAN_TAPES_BCE.LT002_INSTRUMENT' AS TABELA_LT,'BU_LOANTAPE_WORK.LT002_INSTRUMENT_SRB' AS TABELA_SIMUL,'ACCMLTD_CHNGS_FV_CR_INSTRMNT' AS CAMPO, '${ref_date}' AS REF_DATE, COUNT(*) AS NUM_REG, SUM(IF(COALESCE(CAST(X.ACCMLTD_CHNGS_FV_CR_INSTRMNT AS STRING),'')&lt;&gt;COALESCE(CAST(Y.ACCMLTD_CHNGS_FV_CR_INSTRMNT_SIMUL AS STRING),'') OR (X.ACCMLTD_CHNGS_FV_CR_INSTRMNT IS NULL AND Y.ACCMLTD_CHNGS_FV_CR_INSTRMNT_SIMUL IS NOT NULL ) OR (X.ACCMLTD_CHNGS_FV_CR_INSTRMNT IS NOT NULL AND Y.ACCMLTD_CHNGS_FV_CR_INSTRMNT_SIMUL IS NULL),1,0)) AS NUM_REG_DIF,'1' AS ID_EXEC, CURRENT_TIMESTAMP() AS TIME_EXEC FROM (SELECT instrmnt_id, ACCMLTD_CHNGS_FV_CR_INSTRMNT FROM CD_LOAN_TAPES_BCE.LT002_INSTRUMENT WHERE ref_date='${ref_date}' AND nome_perimetro='Individual Corporativo' AND segmento='ESTR' AND ambito='PM' AND entidade='00100')X INNER JOIN (SELECT instrmnt_id AS instrmnt_id_SIMUL, ACCMLTD_CHNGS_FV_CR_INSTRMNT AS ACCMLTD_CHNGS_FV_CR_INSTRMNT_SIMUL FROM BU_LOANTAPE_WORK.LT002_INSTRUMENT_SRB WHERE ref_date='${ref_date}' AND nome_perimetro='Individual Corporativo' AND segmento='ESTR' AND ambito='PILAR3' AND entidade='00100')Y ON X.INSTRMNT_ID=Y.INSTRMNT_ID_SIMUL</v>
      </c>
      <c r="N32" s="38" t="s">
        <v>45</v>
      </c>
    </row>
    <row r="33" spans="1:14" hidden="1">
      <c r="A33" s="60" t="str">
        <f t="shared" si="1"/>
        <v>INSTRUMENTACCNTNG_CLSSFCTN</v>
      </c>
      <c r="B33" s="34" t="s">
        <v>125</v>
      </c>
      <c r="C33" s="34" t="s">
        <v>5</v>
      </c>
      <c r="D33" s="34" t="str">
        <f>+UPPER('0. Instruções'!$D$35&amp;"."&amp;VLOOKUP(B33,'0. Instruções'!$C$27:$D$32,2,FALSE))</f>
        <v>CD_LOAN_TAPES_BCE.LT002_INSTRUMENT</v>
      </c>
      <c r="E33" s="34" t="str">
        <f>+UPPER('0. Instruções'!$D$36&amp;"."&amp;VLOOKUP(B33,'0. Instruções'!$C$27:$E$32,3,FALSE))</f>
        <v>BU_LOANTAPE_WORK.LT002_INSTRUMENT_SRB</v>
      </c>
      <c r="F33" s="34" t="s">
        <v>101</v>
      </c>
      <c r="G33" s="34"/>
      <c r="H33" s="34" t="s">
        <v>88</v>
      </c>
      <c r="I33" s="34" t="str">
        <f>"(SELECT "&amp;VLOOKUP(B33,'0. Instruções'!$C$27:$G$32,4,FALSE)&amp;", "&amp;F33&amp;" FROM "&amp;D33&amp;" WHERE "&amp;'0. Instruções'!$D$42&amp;")X"</f>
        <v>(SELECT instrmnt_id, ACCNTNG_CLSSFCTN FROM CD_LOAN_TAPES_BCE.LT002_INSTRUMENT WHERE ref_date='${ref_date}' AND nome_perimetro='Individual Corporativo' AND segmento='ESTR' AND ambito='PM' AND entidade='00100')X</v>
      </c>
      <c r="J33" s="34" t="str">
        <f>"(SELECT "&amp;VLOOKUP(B33,'0. Instruções'!$C$27:$G$32,4,FALSE)&amp;" AS "&amp;VLOOKUP(B33,'0. Instruções'!$C$27:$G$32,4,FALSE)&amp;"_SIMUL, "&amp;F33&amp;" AS "&amp;F33&amp;"_SIMUL FROM "&amp;E33&amp;" WHERE "&amp;'0. Instruções'!$D$43&amp;")Y"</f>
        <v>(SELECT instrmnt_id AS instrmnt_id_SIMUL, ACCNTNG_CLSSFCTN AS ACCNTNG_CLSSFCTN_SIMUL FROM BU_LOANTAPE_WORK.LT002_INSTRUMENT_SRB WHERE ref_date='${ref_date}' AND nome_perimetro='Individual Corporativo' AND segmento='ESTR' AND ambito='PILAR3' AND entidade='00100')Y</v>
      </c>
      <c r="K33" s="35" t="str">
        <f>+UPPER("ON X."&amp;VLOOKUP(B33,'0. Instruções'!$C$27:$G$32,4,FALSE)&amp;"=Y."&amp;VLOOKUP(B33,'0. Instruções'!$C$27:$G$32,4,FALSE)&amp;"_SIMUL")</f>
        <v>ON X.INSTRMNT_ID=Y.INSTRMNT_ID_SIMUL</v>
      </c>
      <c r="L33" s="35" t="str">
        <f>+IF(C33="Coerência", +IF(LEFT(G33,5)="FLOAT","SELECT '"&amp;UPPER(B33)&amp;"' AS TABELA, '"&amp;UPPER(C33)&amp;"' AS TIPOLOGIA_TESTE,'"&amp;D33&amp;"' AS TABELA_LT,'"&amp;E33&amp;"' AS TABELA_SIMUL,'"&amp;F33&amp;"' AS CAMPO, "&amp;"'${ref_date}' AS REF_DATE, COUNT(*) AS NUM_REG, SUM(IF((ABS(COALESCE(CAST(X."&amp;F33&amp;" AS DECIMAL(18,6)),0)-COALESCE(CAST(Y."&amp;F33&amp;"_SIMUL AS DECIMAL(18,6)),0))&gt;0.000001) OR (X."&amp;F33&amp;" IS NULL AND Y."&amp;F33&amp;"_SIMUL IS NOT NULL ) OR (X."&amp;F33&amp;" IS NOT NULL AND Y."&amp;F33&amp;"_SIMUL IS NULL),1,0)) AS NUM_REG_DIF,'"&amp;MAX('ID1&amp;5'!K:K)+1&amp;"' AS ID_EXEC, CURRENT_TIMESTAMP() AS TIME_EXEC FROM "&amp;I33&amp;" INNER JOIN "&amp;J33&amp;" "&amp;K33,"SELECT '"&amp;UPPER(B33)&amp;"' AS TABELA, '"&amp;UPPER(C33)&amp;"' AS TIPOLOGIA_TESTE,'"&amp;D33&amp;"' AS TABELA_LT,'"&amp;E33&amp;"' AS TABELA_SIMUL,'"&amp;F33&amp;"' AS CAMPO, "&amp;"'${ref_date}' AS REF_DATE, COUNT(*) AS NUM_REG, SUM(IF(COALESCE(CAST(X."&amp;F33&amp;" AS STRING),'')&lt;&gt;COALESCE(CAST(Y."&amp;F33&amp;"_SIMUL AS STRING),'') OR (X."&amp;F33&amp;" IS NULL AND Y."&amp;F33&amp;"_SIMUL IS NOT NULL ) OR (X."&amp;F33&amp;" IS NOT NULL AND Y."&amp;F33&amp;"_SIMUL IS NULL),1,0)) AS NUM_REG_DIF,'"&amp;MAX('ID1&amp;5'!L:L)+1&amp;"' AS ID_EXEC, CURRENT_TIMESTAMP() AS TIME_EXEC FROM "&amp;I33&amp;" INNER JOIN "&amp;J33&amp;" "&amp;K33),
IF(C33="Validade",+IF(G33="Code List","SELECT '"&amp;UPPER(B33)&amp;"' AS TABELA, '"&amp;UPPER(C33)&amp;"' AS TIPOLOGIA_TESTE,'"&amp;D33&amp;"' AS TABELA_LT,'N/A' AS TABELA_SIMUL,'"&amp;F33&amp;"' AS CAMPO, "&amp;"'${ref_date}' AS REF_DATE, COUNT(*) AS NUM_REG, SUM(IF(TRIM(CAST(X."&amp;F33&amp;" AS STRING))='' OR TRIM(CAST(X."&amp;F33&amp;" AS STRING)) IS NULL OR CAST(X."&amp;F33&amp;" AS STRING) NOT "&amp;H33&amp;",1,0)) AS NUM_REG_DIF,'"&amp;MAX('ID1&amp;5'!K:K)+1&amp;"' AS ID_EXEC, CURRENT_TIMESTAMP() AS TIME_EXEC FROM "&amp;I33,"SELECT '"&amp;UPPER(B33)&amp;"' AS TABELA, '"&amp;UPPER(C33)&amp;"' AS TIPOLOGIA_TESTE,'"&amp;D33&amp;"' AS TABELA_LT,'N/A' AS TABELA_SIMUL,'"&amp;F33&amp;"' AS CAMPO, "&amp;"'${ref_date}' AS REF_DATE, COUNT(*) AS NUM_REG, SUM(IF(TRIM(CAST(X."&amp;F33&amp;" AS STRING))='' OR TRIM(CAST(X."&amp;F33&amp;" AS STRING)) IS NULL,1,0)) AS NUM_REG_DIF,'"&amp;MAX('ID1&amp;5'!K:K)+1&amp;"' AS ID_EXEC, CURRENT_TIMESTAMP() AS TIME_EXEC FROM "&amp;I33),
IF(C33="Caracteres Especiais",+"SELECT '"&amp;UPPER(B33)&amp;"' AS TABELA, '"&amp;UPPER(C33)&amp;"' AS TIPOLOGIA_TESTE,'"&amp;D33&amp;"' AS TABELA_LT,'N/A' AS TABELA_SIMUL,'"&amp;F33&amp;"' AS CAMPO, "&amp;"'${ref_date}' AS REF_DATE, COUNT(*) AS NUM_REG, SUM(IF(REGEXP_REPLACE(TRIM(CAST(X."&amp;F33&amp;" AS STRING)),'[^a-zA-Z0-9_\\s]','') &lt;&gt;TRIM(CAST(X."&amp;F33&amp;" AS STRING)),1,0)) AS NUM_REG_DIF,'"&amp;MAX('ID1&amp;5'!K:K)+1&amp;"' AS ID_EXEC, CURRENT_TIMESTAMP() AS TIME_EXEC FROM "&amp;I33,
IF(C33="Missings",+"SELECT '"&amp;UPPER(B33)&amp;"' AS TABELA, '"&amp;UPPER(C33)&amp;"' AS TIPOLOGIA_TESTE,'"&amp;D33&amp;"' AS TABELA_LT,'N/A' AS TABELA_SIMUL,'"&amp;F33&amp;"' AS CAMPO, "&amp;"'${ref_date}' AS REF_DATE, COUNT(*) AS NUM_REG, SUM(IF(TRIM(CAST(X."&amp;F33&amp;" AS STRING)) IN ('0000-00-00','0001-01-01','9999-12-31','MISS','00000','99999999999','99999999999.00','99999999999.000000'),1,0)) AS NUM_REG_DIF,'"&amp;MAX('ID1&amp;5'!K:K)+1&amp;"' AS ID_EXEC, CURRENT_TIMESTAMP() AS TIME_EXEC FROM "&amp;I33,
IF(C33="Not applicable",+"SELECT '"&amp;UPPER(B33)&amp;"' AS TABELA, '"&amp;UPPER(C33)&amp;"' AS TIPOLOGIA_TESTE,'"&amp;D33&amp;"' AS TABELA_LT,'N/A' AS TABELA_SIMUL,'"&amp;F33&amp;"' AS CAMPO, "&amp;"'${ref_date}' AS REF_DATE, COUNT(*) AS NUM_REG, SUM(IF(TRIM(CAST(X."&amp;F33&amp;" AS STRING)) IN ('N/A','11111111111','11111111111.00','11111111111.000000','1111-11-11'),1,0)) AS NUM_REG_DIF,'"&amp;MAX('ID1&amp;5'!K:K)+1&amp;"' AS ID_EXEC, CURRENT_TIMESTAMP() AS TIME_EXEC FROM "&amp;I33,
IF(C33="Valores extremos",+"SELECT '"&amp;UPPER(B33)&amp;"' AS TABELA, '"&amp;UPPER(C33)&amp;"' AS TIPOLOGIA_TESTE,'"&amp;D33&amp;"' AS TABELA_LT,'N/A' AS TABELA_SIMUL,'"&amp;F33&amp;"' AS CAMPO, "&amp;"'${ref_date}' AS REF_DATE, CAST(MIN("&amp;F33&amp;") AS STRING) AS VALOR_MIN, CAST(MAX("&amp;F33&amp;") AS STRING) AS VALOR_MAX,'"&amp;MAX('ID1&amp;5'!K:K)+1&amp;"' AS ID_EXEC, CURRENT_TIMESTAMP() AS TIME_EXEC FROM "&amp;MID(I33,1,LEN(I33)-2)&amp;" AND CAST("&amp;F33&amp;"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TABELA_SIMUL,'ACCNTNG_CLSSFCTN' AS CAMPO, '${ref_date}' AS REF_DATE, COUNT(*) AS NUM_REG, SUM(IF(COALESCE(CAST(X.ACCNTNG_CLSSFCTN AS STRING),'')&lt;&gt;COALESCE(CAST(Y.ACCNTNG_CLSSFCTN_SIMUL AS STRING),'') OR (X.ACCNTNG_CLSSFCTN IS NULL AND Y.ACCNTNG_CLSSFCTN_SIMUL IS NOT NULL ) OR (X.ACCNTNG_CLSSFCTN IS NOT NULL AND Y.ACCNTNG_CLSSFCTN_SIMUL IS NULL),1,0)) AS NUM_REG_DIF,'1' AS ID_EXEC, CURRENT_TIMESTAMP() AS TIME_EXEC FROM (SELECT instrmnt_id, ACCNTNG_CLSSFCTN FROM CD_LOAN_TAPES_BCE.LT002_INSTRUMENT WHERE ref_date='${ref_date}' AND nome_perimetro='Individual Corporativo' AND segmento='ESTR' AND ambito='PM' AND entidade='00100')X INNER JOIN (SELECT instrmnt_id AS instrmnt_id_SIMUL, ACCNTNG_CLSSFCTN AS ACCNTNG_CLSSFCTN_SIMUL FROM BU_LOANTAPE_WORK.LT002_INSTRUMENT_SRB WHERE ref_date='${ref_date}' AND nome_perimetro='Individual Corporativo' AND segmento='ESTR' AND ambito='PILAR3' AND entidade='00100')Y ON X.INSTRMNT_ID=Y.INSTRMNT_ID_SIMUL</v>
      </c>
      <c r="M33" s="36" t="str">
        <f t="shared" si="0"/>
        <v>UNION ALL SELECT 'INSTRUMENT' AS TABELA, 'COERÊNCIA' AS TIPOLOGIA_TESTE,'CD_LOAN_TAPES_BCE.LT002_INSTRUMENT' AS TABELA_LT,'BU_LOANTAPE_WORK.LT002_INSTRUMENT_SRB' AS TABELA_SIMUL,'ACCNTNG_CLSSFCTN' AS CAMPO, '${ref_date}' AS REF_DATE, COUNT(*) AS NUM_REG, SUM(IF(COALESCE(CAST(X.ACCNTNG_CLSSFCTN AS STRING),'')&lt;&gt;COALESCE(CAST(Y.ACCNTNG_CLSSFCTN_SIMUL AS STRING),'') OR (X.ACCNTNG_CLSSFCTN IS NULL AND Y.ACCNTNG_CLSSFCTN_SIMUL IS NOT NULL ) OR (X.ACCNTNG_CLSSFCTN IS NOT NULL AND Y.ACCNTNG_CLSSFCTN_SIMUL IS NULL),1,0)) AS NUM_REG_DIF,'1' AS ID_EXEC, CURRENT_TIMESTAMP() AS TIME_EXEC FROM (SELECT instrmnt_id, ACCNTNG_CLSSFCTN FROM CD_LOAN_TAPES_BCE.LT002_INSTRUMENT WHERE ref_date='${ref_date}' AND nome_perimetro='Individual Corporativo' AND segmento='ESTR' AND ambito='PM' AND entidade='00100')X INNER JOIN (SELECT instrmnt_id AS instrmnt_id_SIMUL, ACCNTNG_CLSSFCTN AS ACCNTNG_CLSSFCTN_SIMUL FROM BU_LOANTAPE_WORK.LT002_INSTRUMENT_SRB WHERE ref_date='${ref_date}' AND nome_perimetro='Individual Corporativo' AND segmento='ESTR' AND ambito='PILAR3' AND entidade='00100')Y ON X.INSTRMNT_ID=Y.INSTRMNT_ID_SIMUL</v>
      </c>
      <c r="N33" s="38" t="s">
        <v>45</v>
      </c>
    </row>
    <row r="34" spans="1:14" hidden="1">
      <c r="A34" s="60" t="str">
        <f t="shared" si="1"/>
        <v>INSTRUMENTDT_LGL_FNL_MTRTY</v>
      </c>
      <c r="B34" s="34" t="s">
        <v>125</v>
      </c>
      <c r="C34" s="34" t="s">
        <v>5</v>
      </c>
      <c r="D34" s="34" t="str">
        <f>+UPPER('0. Instruções'!$D$35&amp;"."&amp;VLOOKUP(B34,'0. Instruções'!$C$27:$D$32,2,FALSE))</f>
        <v>CD_LOAN_TAPES_BCE.LT002_INSTRUMENT</v>
      </c>
      <c r="E34" s="34" t="str">
        <f>+UPPER('0. Instruções'!$D$36&amp;"."&amp;VLOOKUP(B34,'0. Instruções'!$C$27:$E$32,3,FALSE))</f>
        <v>BU_LOANTAPE_WORK.LT002_INSTRUMENT_SRB</v>
      </c>
      <c r="F34" s="34" t="s">
        <v>102</v>
      </c>
      <c r="G34" s="34"/>
      <c r="H34" s="34" t="s">
        <v>596</v>
      </c>
      <c r="I34" s="34" t="str">
        <f>"(SELECT "&amp;VLOOKUP(B34,'0. Instruções'!$C$27:$G$32,4,FALSE)&amp;", "&amp;F34&amp;" FROM "&amp;D34&amp;" WHERE "&amp;'0. Instruções'!$D$42&amp;")X"</f>
        <v>(SELECT instrmnt_id, DT_LGL_FNL_MTRTY FROM CD_LOAN_TAPES_BCE.LT002_INSTRUMENT WHERE ref_date='${ref_date}' AND nome_perimetro='Individual Corporativo' AND segmento='ESTR' AND ambito='PM' AND entidade='00100')X</v>
      </c>
      <c r="J34" s="34" t="str">
        <f>"(SELECT "&amp;VLOOKUP(B34,'0. Instruções'!$C$27:$G$32,4,FALSE)&amp;" AS "&amp;VLOOKUP(B34,'0. Instruções'!$C$27:$G$32,4,FALSE)&amp;"_SIMUL, "&amp;F34&amp;" AS "&amp;F34&amp;"_SIMUL FROM "&amp;E34&amp;" WHERE "&amp;'0. Instruções'!$D$43&amp;")Y"</f>
        <v>(SELECT instrmnt_id AS instrmnt_id_SIMUL, DT_LGL_FNL_MTRTY AS DT_LGL_FNL_MTRTY_SIMUL FROM BU_LOANTAPE_WORK.LT002_INSTRUMENT_SRB WHERE ref_date='${ref_date}' AND nome_perimetro='Individual Corporativo' AND segmento='ESTR' AND ambito='PILAR3' AND entidade='00100')Y</v>
      </c>
      <c r="K34" s="35" t="str">
        <f>+UPPER("ON X."&amp;VLOOKUP(B34,'0. Instruções'!$C$27:$G$32,4,FALSE)&amp;"=Y."&amp;VLOOKUP(B34,'0. Instruções'!$C$27:$G$32,4,FALSE)&amp;"_SIMUL")</f>
        <v>ON X.INSTRMNT_ID=Y.INSTRMNT_ID_SIMUL</v>
      </c>
      <c r="L34" s="35" t="str">
        <f>+IF(C34="Coerência", +IF(LEFT(G34,5)="FLOAT","SELECT '"&amp;UPPER(B34)&amp;"' AS TABELA, '"&amp;UPPER(C34)&amp;"' AS TIPOLOGIA_TESTE,'"&amp;D34&amp;"' AS TABELA_LT,'"&amp;E34&amp;"' AS TABELA_SIMUL,'"&amp;F34&amp;"' AS CAMPO, "&amp;"'${ref_date}' AS REF_DATE, COUNT(*) AS NUM_REG, SUM(IF((ABS(COALESCE(CAST(X."&amp;F34&amp;" AS DECIMAL(18,6)),0)-COALESCE(CAST(Y."&amp;F34&amp;"_SIMUL AS DECIMAL(18,6)),0))&gt;0.000001) OR (X."&amp;F34&amp;" IS NULL AND Y."&amp;F34&amp;"_SIMUL IS NOT NULL ) OR (X."&amp;F34&amp;" IS NOT NULL AND Y."&amp;F34&amp;"_SIMUL IS NULL),1,0)) AS NUM_REG_DIF,'"&amp;MAX('ID1&amp;5'!K:K)+1&amp;"' AS ID_EXEC, CURRENT_TIMESTAMP() AS TIME_EXEC FROM "&amp;I34&amp;" INNER JOIN "&amp;J34&amp;" "&amp;K34,"SELECT '"&amp;UPPER(B34)&amp;"' AS TABELA, '"&amp;UPPER(C34)&amp;"' AS TIPOLOGIA_TESTE,'"&amp;D34&amp;"' AS TABELA_LT,'"&amp;E34&amp;"' AS TABELA_SIMUL,'"&amp;F34&amp;"' AS CAMPO, "&amp;"'${ref_date}' AS REF_DATE, COUNT(*) AS NUM_REG, SUM(IF(COALESCE(CAST(X."&amp;F34&amp;" AS STRING),'')&lt;&gt;COALESCE(CAST(Y."&amp;F34&amp;"_SIMUL AS STRING),'') OR (X."&amp;F34&amp;" IS NULL AND Y."&amp;F34&amp;"_SIMUL IS NOT NULL ) OR (X."&amp;F34&amp;" IS NOT NULL AND Y."&amp;F34&amp;"_SIMUL IS NULL),1,0)) AS NUM_REG_DIF,'"&amp;MAX('ID1&amp;5'!L:L)+1&amp;"' AS ID_EXEC, CURRENT_TIMESTAMP() AS TIME_EXEC FROM "&amp;I34&amp;" INNER JOIN "&amp;J34&amp;" "&amp;K34),
IF(C34="Validade",+IF(G34="Code List","SELECT '"&amp;UPPER(B34)&amp;"' AS TABELA, '"&amp;UPPER(C34)&amp;"' AS TIPOLOGIA_TESTE,'"&amp;D34&amp;"' AS TABELA_LT,'N/A' AS TABELA_SIMUL,'"&amp;F34&amp;"' AS CAMPO, "&amp;"'${ref_date}' AS REF_DATE, COUNT(*) AS NUM_REG, SUM(IF(TRIM(CAST(X."&amp;F34&amp;" AS STRING))='' OR TRIM(CAST(X."&amp;F34&amp;" AS STRING)) IS NULL OR CAST(X."&amp;F34&amp;" AS STRING) NOT "&amp;H34&amp;",1,0)) AS NUM_REG_DIF,'"&amp;MAX('ID1&amp;5'!K:K)+1&amp;"' AS ID_EXEC, CURRENT_TIMESTAMP() AS TIME_EXEC FROM "&amp;I34,"SELECT '"&amp;UPPER(B34)&amp;"' AS TABELA, '"&amp;UPPER(C34)&amp;"' AS TIPOLOGIA_TESTE,'"&amp;D34&amp;"' AS TABELA_LT,'N/A' AS TABELA_SIMUL,'"&amp;F34&amp;"' AS CAMPO, "&amp;"'${ref_date}' AS REF_DATE, COUNT(*) AS NUM_REG, SUM(IF(TRIM(CAST(X."&amp;F34&amp;" AS STRING))='' OR TRIM(CAST(X."&amp;F34&amp;" AS STRING)) IS NULL,1,0)) AS NUM_REG_DIF,'"&amp;MAX('ID1&amp;5'!K:K)+1&amp;"' AS ID_EXEC, CURRENT_TIMESTAMP() AS TIME_EXEC FROM "&amp;I34),
IF(C34="Caracteres Especiais",+"SELECT '"&amp;UPPER(B34)&amp;"' AS TABELA, '"&amp;UPPER(C34)&amp;"' AS TIPOLOGIA_TESTE,'"&amp;D34&amp;"' AS TABELA_LT,'N/A' AS TABELA_SIMUL,'"&amp;F34&amp;"' AS CAMPO, "&amp;"'${ref_date}' AS REF_DATE, COUNT(*) AS NUM_REG, SUM(IF(REGEXP_REPLACE(TRIM(CAST(X."&amp;F34&amp;" AS STRING)),'[^a-zA-Z0-9_\\s]','') &lt;&gt;TRIM(CAST(X."&amp;F34&amp;" AS STRING)),1,0)) AS NUM_REG_DIF,'"&amp;MAX('ID1&amp;5'!K:K)+1&amp;"' AS ID_EXEC, CURRENT_TIMESTAMP() AS TIME_EXEC FROM "&amp;I34,
IF(C34="Missings",+"SELECT '"&amp;UPPER(B34)&amp;"' AS TABELA, '"&amp;UPPER(C34)&amp;"' AS TIPOLOGIA_TESTE,'"&amp;D34&amp;"' AS TABELA_LT,'N/A' AS TABELA_SIMUL,'"&amp;F34&amp;"' AS CAMPO, "&amp;"'${ref_date}' AS REF_DATE, COUNT(*) AS NUM_REG, SUM(IF(TRIM(CAST(X."&amp;F34&amp;" AS STRING)) IN ('0000-00-00','0001-01-01','9999-12-31','MISS','00000','99999999999','99999999999.00','99999999999.000000'),1,0)) AS NUM_REG_DIF,'"&amp;MAX('ID1&amp;5'!K:K)+1&amp;"' AS ID_EXEC, CURRENT_TIMESTAMP() AS TIME_EXEC FROM "&amp;I34,
IF(C34="Not applicable",+"SELECT '"&amp;UPPER(B34)&amp;"' AS TABELA, '"&amp;UPPER(C34)&amp;"' AS TIPOLOGIA_TESTE,'"&amp;D34&amp;"' AS TABELA_LT,'N/A' AS TABELA_SIMUL,'"&amp;F34&amp;"' AS CAMPO, "&amp;"'${ref_date}' AS REF_DATE, COUNT(*) AS NUM_REG, SUM(IF(TRIM(CAST(X."&amp;F34&amp;" AS STRING)) IN ('N/A','11111111111','11111111111.00','11111111111.000000','1111-11-11'),1,0)) AS NUM_REG_DIF,'"&amp;MAX('ID1&amp;5'!K:K)+1&amp;"' AS ID_EXEC, CURRENT_TIMESTAMP() AS TIME_EXEC FROM "&amp;I34,
IF(C34="Valores extremos",+"SELECT '"&amp;UPPER(B34)&amp;"' AS TABELA, '"&amp;UPPER(C34)&amp;"' AS TIPOLOGIA_TESTE,'"&amp;D34&amp;"' AS TABELA_LT,'N/A' AS TABELA_SIMUL,'"&amp;F34&amp;"' AS CAMPO, "&amp;"'${ref_date}' AS REF_DATE, CAST(MIN("&amp;F34&amp;") AS STRING) AS VALOR_MIN, CAST(MAX("&amp;F34&amp;") AS STRING) AS VALOR_MAX,'"&amp;MAX('ID1&amp;5'!K:K)+1&amp;"' AS ID_EXEC, CURRENT_TIMESTAMP() AS TIME_EXEC FROM "&amp;MID(I34,1,LEN(I34)-2)&amp;" AND CAST("&amp;F34&amp;"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TABELA_SIMUL,'DT_LGL_FNL_MTRTY' AS CAMPO, '${ref_date}' AS REF_DATE, COUNT(*) AS NUM_REG, SUM(IF(COALESCE(CAST(X.DT_LGL_FNL_MTRTY AS STRING),'')&lt;&gt;COALESCE(CAST(Y.DT_LGL_FNL_MTRTY_SIMUL AS STRING),'') OR (X.DT_LGL_FNL_MTRTY IS NULL AND Y.DT_LGL_FNL_MTRTY_SIMUL IS NOT NULL ) OR (X.DT_LGL_FNL_MTRTY IS NOT NULL AND Y.DT_LGL_FNL_MTRTY_SIMUL IS NULL),1,0)) AS NUM_REG_DIF,'1' AS ID_EXEC, CURRENT_TIMESTAMP() AS TIME_EXEC FROM (SELECT instrmnt_id, DT_LGL_FNL_MTRTY FROM CD_LOAN_TAPES_BCE.LT002_INSTRUMENT WHERE ref_date='${ref_date}' AND nome_perimetro='Individual Corporativo' AND segmento='ESTR' AND ambito='PM' AND entidade='00100')X INNER JOIN (SELECT instrmnt_id AS instrmnt_id_SIMUL, DT_LGL_FNL_MTRTY AS DT_LGL_FNL_MTRTY_SIMUL FROM BU_LOANTAPE_WORK.LT002_INSTRUMENT_SRB WHERE ref_date='${ref_date}' AND nome_perimetro='Individual Corporativo' AND segmento='ESTR' AND ambito='PILAR3' AND entidade='00100')Y ON X.INSTRMNT_ID=Y.INSTRMNT_ID_SIMUL</v>
      </c>
      <c r="M34" s="36" t="str">
        <f t="shared" si="0"/>
        <v>UNION ALL SELECT 'INSTRUMENT' AS TABELA, 'COERÊNCIA' AS TIPOLOGIA_TESTE,'CD_LOAN_TAPES_BCE.LT002_INSTRUMENT' AS TABELA_LT,'BU_LOANTAPE_WORK.LT002_INSTRUMENT_SRB' AS TABELA_SIMUL,'DT_LGL_FNL_MTRTY' AS CAMPO, '${ref_date}' AS REF_DATE, COUNT(*) AS NUM_REG, SUM(IF(COALESCE(CAST(X.DT_LGL_FNL_MTRTY AS STRING),'')&lt;&gt;COALESCE(CAST(Y.DT_LGL_FNL_MTRTY_SIMUL AS STRING),'') OR (X.DT_LGL_FNL_MTRTY IS NULL AND Y.DT_LGL_FNL_MTRTY_SIMUL IS NOT NULL ) OR (X.DT_LGL_FNL_MTRTY IS NOT NULL AND Y.DT_LGL_FNL_MTRTY_SIMUL IS NULL),1,0)) AS NUM_REG_DIF,'1' AS ID_EXEC, CURRENT_TIMESTAMP() AS TIME_EXEC FROM (SELECT instrmnt_id, DT_LGL_FNL_MTRTY FROM CD_LOAN_TAPES_BCE.LT002_INSTRUMENT WHERE ref_date='${ref_date}' AND nome_perimetro='Individual Corporativo' AND segmento='ESTR' AND ambito='PM' AND entidade='00100')X INNER JOIN (SELECT instrmnt_id AS instrmnt_id_SIMUL, DT_LGL_FNL_MTRTY AS DT_LGL_FNL_MTRTY_SIMUL FROM BU_LOANTAPE_WORK.LT002_INSTRUMENT_SRB WHERE ref_date='${ref_date}' AND nome_perimetro='Individual Corporativo' AND segmento='ESTR' AND ambito='PILAR3' AND entidade='00100')Y ON X.INSTRMNT_ID=Y.INSTRMNT_ID_SIMUL</v>
      </c>
      <c r="N34" s="38" t="s">
        <v>45</v>
      </c>
    </row>
    <row r="35" spans="1:14" hidden="1">
      <c r="A35" s="60" t="str">
        <f t="shared" si="1"/>
        <v>INSTRUMENTIFRS9_BHVRL_MTRTY</v>
      </c>
      <c r="B35" s="34" t="s">
        <v>125</v>
      </c>
      <c r="C35" s="34" t="s">
        <v>5</v>
      </c>
      <c r="D35" s="34" t="str">
        <f>+UPPER('0. Instruções'!$D$35&amp;"."&amp;VLOOKUP(B35,'0. Instruções'!$C$27:$D$32,2,FALSE))</f>
        <v>CD_LOAN_TAPES_BCE.LT002_INSTRUMENT</v>
      </c>
      <c r="E35" s="34" t="str">
        <f>+UPPER('0. Instruções'!$D$36&amp;"."&amp;VLOOKUP(B35,'0. Instruções'!$C$27:$E$32,3,FALSE))</f>
        <v>BU_LOANTAPE_WORK.LT002_INSTRUMENT_SRB</v>
      </c>
      <c r="F35" s="34" t="s">
        <v>456</v>
      </c>
      <c r="G35" s="34"/>
      <c r="H35" s="34" t="s">
        <v>600</v>
      </c>
      <c r="I35" s="34" t="str">
        <f>"(SELECT "&amp;VLOOKUP(B35,'0. Instruções'!$C$27:$G$32,4,FALSE)&amp;", "&amp;F35&amp;" FROM "&amp;D35&amp;" WHERE "&amp;'0. Instruções'!$D$42&amp;")X"</f>
        <v>(SELECT instrmnt_id, IFRS9_BHVRL_MTRTY FROM CD_LOAN_TAPES_BCE.LT002_INSTRUMENT WHERE ref_date='${ref_date}' AND nome_perimetro='Individual Corporativo' AND segmento='ESTR' AND ambito='PM' AND entidade='00100')X</v>
      </c>
      <c r="J35" s="34" t="str">
        <f>"(SELECT "&amp;VLOOKUP(B35,'0. Instruções'!$C$27:$G$32,4,FALSE)&amp;" AS "&amp;VLOOKUP(B35,'0. Instruções'!$C$27:$G$32,4,FALSE)&amp;"_SIMUL, "&amp;F35&amp;" AS "&amp;F35&amp;"_SIMUL FROM "&amp;E35&amp;" WHERE "&amp;'0. Instruções'!$D$43&amp;")Y"</f>
        <v>(SELECT instrmnt_id AS instrmnt_id_SIMUL, IFRS9_BHVRL_MTRTY AS IFRS9_BHVRL_MTRTY_SIMUL FROM BU_LOANTAPE_WORK.LT002_INSTRUMENT_SRB WHERE ref_date='${ref_date}' AND nome_perimetro='Individual Corporativo' AND segmento='ESTR' AND ambito='PILAR3' AND entidade='00100')Y</v>
      </c>
      <c r="K35" s="35" t="str">
        <f>+UPPER("ON X."&amp;VLOOKUP(B35,'0. Instruções'!$C$27:$G$32,4,FALSE)&amp;"=Y."&amp;VLOOKUP(B35,'0. Instruções'!$C$27:$G$32,4,FALSE)&amp;"_SIMUL")</f>
        <v>ON X.INSTRMNT_ID=Y.INSTRMNT_ID_SIMUL</v>
      </c>
      <c r="L35" s="35" t="str">
        <f>+IF(C35="Coerência", +IF(LEFT(G35,5)="FLOAT","SELECT '"&amp;UPPER(B35)&amp;"' AS TABELA, '"&amp;UPPER(C35)&amp;"' AS TIPOLOGIA_TESTE,'"&amp;D35&amp;"' AS TABELA_LT,'"&amp;E35&amp;"' AS TABELA_SIMUL,'"&amp;F35&amp;"' AS CAMPO, "&amp;"'${ref_date}' AS REF_DATE, COUNT(*) AS NUM_REG, SUM(IF((ABS(COALESCE(CAST(X."&amp;F35&amp;" AS DECIMAL(18,6)),0)-COALESCE(CAST(Y."&amp;F35&amp;"_SIMUL AS DECIMAL(18,6)),0))&gt;0.000001) OR (X."&amp;F35&amp;" IS NULL AND Y."&amp;F35&amp;"_SIMUL IS NOT NULL ) OR (X."&amp;F35&amp;" IS NOT NULL AND Y."&amp;F35&amp;"_SIMUL IS NULL),1,0)) AS NUM_REG_DIF,'"&amp;MAX('ID1&amp;5'!K:K)+1&amp;"' AS ID_EXEC, CURRENT_TIMESTAMP() AS TIME_EXEC FROM "&amp;I35&amp;" INNER JOIN "&amp;J35&amp;" "&amp;K35,"SELECT '"&amp;UPPER(B35)&amp;"' AS TABELA, '"&amp;UPPER(C35)&amp;"' AS TIPOLOGIA_TESTE,'"&amp;D35&amp;"' AS TABELA_LT,'"&amp;E35&amp;"' AS TABELA_SIMUL,'"&amp;F35&amp;"' AS CAMPO, "&amp;"'${ref_date}' AS REF_DATE, COUNT(*) AS NUM_REG, SUM(IF(COALESCE(CAST(X."&amp;F35&amp;" AS STRING),'')&lt;&gt;COALESCE(CAST(Y."&amp;F35&amp;"_SIMUL AS STRING),'') OR (X."&amp;F35&amp;" IS NULL AND Y."&amp;F35&amp;"_SIMUL IS NOT NULL ) OR (X."&amp;F35&amp;" IS NOT NULL AND Y."&amp;F35&amp;"_SIMUL IS NULL),1,0)) AS NUM_REG_DIF,'"&amp;MAX('ID1&amp;5'!L:L)+1&amp;"' AS ID_EXEC, CURRENT_TIMESTAMP() AS TIME_EXEC FROM "&amp;I35&amp;" INNER JOIN "&amp;J35&amp;" "&amp;K35),
IF(C35="Validade",+IF(G35="Code List","SELECT '"&amp;UPPER(B35)&amp;"' AS TABELA, '"&amp;UPPER(C35)&amp;"' AS TIPOLOGIA_TESTE,'"&amp;D35&amp;"' AS TABELA_LT,'N/A' AS TABELA_SIMUL,'"&amp;F35&amp;"' AS CAMPO, "&amp;"'${ref_date}' AS REF_DATE, COUNT(*) AS NUM_REG, SUM(IF(TRIM(CAST(X."&amp;F35&amp;" AS STRING))='' OR TRIM(CAST(X."&amp;F35&amp;" AS STRING)) IS NULL OR CAST(X."&amp;F35&amp;" AS STRING) NOT "&amp;H35&amp;",1,0)) AS NUM_REG_DIF,'"&amp;MAX('ID1&amp;5'!K:K)+1&amp;"' AS ID_EXEC, CURRENT_TIMESTAMP() AS TIME_EXEC FROM "&amp;I35,"SELECT '"&amp;UPPER(B35)&amp;"' AS TABELA, '"&amp;UPPER(C35)&amp;"' AS TIPOLOGIA_TESTE,'"&amp;D35&amp;"' AS TABELA_LT,'N/A' AS TABELA_SIMUL,'"&amp;F35&amp;"' AS CAMPO, "&amp;"'${ref_date}' AS REF_DATE, COUNT(*) AS NUM_REG, SUM(IF(TRIM(CAST(X."&amp;F35&amp;" AS STRING))='' OR TRIM(CAST(X."&amp;F35&amp;" AS STRING)) IS NULL,1,0)) AS NUM_REG_DIF,'"&amp;MAX('ID1&amp;5'!K:K)+1&amp;"' AS ID_EXEC, CURRENT_TIMESTAMP() AS TIME_EXEC FROM "&amp;I35),
IF(C35="Caracteres Especiais",+"SELECT '"&amp;UPPER(B35)&amp;"' AS TABELA, '"&amp;UPPER(C35)&amp;"' AS TIPOLOGIA_TESTE,'"&amp;D35&amp;"' AS TABELA_LT,'N/A' AS TABELA_SIMUL,'"&amp;F35&amp;"' AS CAMPO, "&amp;"'${ref_date}' AS REF_DATE, COUNT(*) AS NUM_REG, SUM(IF(REGEXP_REPLACE(TRIM(CAST(X."&amp;F35&amp;" AS STRING)),'[^a-zA-Z0-9_\\s]','') &lt;&gt;TRIM(CAST(X."&amp;F35&amp;" AS STRING)),1,0)) AS NUM_REG_DIF,'"&amp;MAX('ID1&amp;5'!K:K)+1&amp;"' AS ID_EXEC, CURRENT_TIMESTAMP() AS TIME_EXEC FROM "&amp;I35,
IF(C35="Missings",+"SELECT '"&amp;UPPER(B35)&amp;"' AS TABELA, '"&amp;UPPER(C35)&amp;"' AS TIPOLOGIA_TESTE,'"&amp;D35&amp;"' AS TABELA_LT,'N/A' AS TABELA_SIMUL,'"&amp;F35&amp;"' AS CAMPO, "&amp;"'${ref_date}' AS REF_DATE, COUNT(*) AS NUM_REG, SUM(IF(TRIM(CAST(X."&amp;F35&amp;" AS STRING)) IN ('0000-00-00','0001-01-01','9999-12-31','MISS','00000','99999999999','99999999999.00','99999999999.000000'),1,0)) AS NUM_REG_DIF,'"&amp;MAX('ID1&amp;5'!K:K)+1&amp;"' AS ID_EXEC, CURRENT_TIMESTAMP() AS TIME_EXEC FROM "&amp;I35,
IF(C35="Not applicable",+"SELECT '"&amp;UPPER(B35)&amp;"' AS TABELA, '"&amp;UPPER(C35)&amp;"' AS TIPOLOGIA_TESTE,'"&amp;D35&amp;"' AS TABELA_LT,'N/A' AS TABELA_SIMUL,'"&amp;F35&amp;"' AS CAMPO, "&amp;"'${ref_date}' AS REF_DATE, COUNT(*) AS NUM_REG, SUM(IF(TRIM(CAST(X."&amp;F35&amp;" AS STRING)) IN ('N/A','11111111111','11111111111.00','11111111111.000000','1111-11-11'),1,0)) AS NUM_REG_DIF,'"&amp;MAX('ID1&amp;5'!K:K)+1&amp;"' AS ID_EXEC, CURRENT_TIMESTAMP() AS TIME_EXEC FROM "&amp;I35,
IF(C35="Valores extremos",+"SELECT '"&amp;UPPER(B35)&amp;"' AS TABELA, '"&amp;UPPER(C35)&amp;"' AS TIPOLOGIA_TESTE,'"&amp;D35&amp;"' AS TABELA_LT,'N/A' AS TABELA_SIMUL,'"&amp;F35&amp;"' AS CAMPO, "&amp;"'${ref_date}' AS REF_DATE, CAST(MIN("&amp;F35&amp;") AS STRING) AS VALOR_MIN, CAST(MAX("&amp;F35&amp;") AS STRING) AS VALOR_MAX,'"&amp;MAX('ID1&amp;5'!K:K)+1&amp;"' AS ID_EXEC, CURRENT_TIMESTAMP() AS TIME_EXEC FROM "&amp;MID(I35,1,LEN(I35)-2)&amp;" AND CAST("&amp;F35&amp;"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TABELA_SIMUL,'IFRS9_BHVRL_MTRTY' AS CAMPO, '${ref_date}' AS REF_DATE, COUNT(*) AS NUM_REG, SUM(IF(COALESCE(CAST(X.IFRS9_BHVRL_MTRTY AS STRING),'')&lt;&gt;COALESCE(CAST(Y.IFRS9_BHVRL_MTRTY_SIMUL AS STRING),'') OR (X.IFRS9_BHVRL_MTRTY IS NULL AND Y.IFRS9_BHVRL_MTRTY_SIMUL IS NOT NULL ) OR (X.IFRS9_BHVRL_MTRTY IS NOT NULL AND Y.IFRS9_BHVRL_MTRTY_SIMUL IS NULL),1,0)) AS NUM_REG_DIF,'1' AS ID_EXEC, CURRENT_TIMESTAMP() AS TIME_EXEC FROM (SELECT instrmnt_id, IFRS9_BHVRL_MTRTY FROM CD_LOAN_TAPES_BCE.LT002_INSTRUMENT WHERE ref_date='${ref_date}' AND nome_perimetro='Individual Corporativo' AND segmento='ESTR' AND ambito='PM' AND entidade='00100')X INNER JOIN (SELECT instrmnt_id AS instrmnt_id_SIMUL, IFRS9_BHVRL_MTRTY AS IFRS9_BHVRL_MTRTY_SIMUL FROM BU_LOANTAPE_WORK.LT002_INSTRUMENT_SRB WHERE ref_date='${ref_date}' AND nome_perimetro='Individual Corporativo' AND segmento='ESTR' AND ambito='PILAR3' AND entidade='00100')Y ON X.INSTRMNT_ID=Y.INSTRMNT_ID_SIMUL</v>
      </c>
      <c r="M35" s="36" t="str">
        <f t="shared" si="0"/>
        <v>UNION ALL SELECT 'INSTRUMENT' AS TABELA, 'COERÊNCIA' AS TIPOLOGIA_TESTE,'CD_LOAN_TAPES_BCE.LT002_INSTRUMENT' AS TABELA_LT,'BU_LOANTAPE_WORK.LT002_INSTRUMENT_SRB' AS TABELA_SIMUL,'IFRS9_BHVRL_MTRTY' AS CAMPO, '${ref_date}' AS REF_DATE, COUNT(*) AS NUM_REG, SUM(IF(COALESCE(CAST(X.IFRS9_BHVRL_MTRTY AS STRING),'')&lt;&gt;COALESCE(CAST(Y.IFRS9_BHVRL_MTRTY_SIMUL AS STRING),'') OR (X.IFRS9_BHVRL_MTRTY IS NULL AND Y.IFRS9_BHVRL_MTRTY_SIMUL IS NOT NULL ) OR (X.IFRS9_BHVRL_MTRTY IS NOT NULL AND Y.IFRS9_BHVRL_MTRTY_SIMUL IS NULL),1,0)) AS NUM_REG_DIF,'1' AS ID_EXEC, CURRENT_TIMESTAMP() AS TIME_EXEC FROM (SELECT instrmnt_id, IFRS9_BHVRL_MTRTY FROM CD_LOAN_TAPES_BCE.LT002_INSTRUMENT WHERE ref_date='${ref_date}' AND nome_perimetro='Individual Corporativo' AND segmento='ESTR' AND ambito='PM' AND entidade='00100')X INNER JOIN (SELECT instrmnt_id AS instrmnt_id_SIMUL, IFRS9_BHVRL_MTRTY AS IFRS9_BHVRL_MTRTY_SIMUL FROM BU_LOANTAPE_WORK.LT002_INSTRUMENT_SRB WHERE ref_date='${ref_date}' AND nome_perimetro='Individual Corporativo' AND segmento='ESTR' AND ambito='PILAR3' AND entidade='00100')Y ON X.INSTRMNT_ID=Y.INSTRMNT_ID_SIMUL</v>
      </c>
      <c r="N35" s="38" t="s">
        <v>45</v>
      </c>
    </row>
    <row r="36" spans="1:14" hidden="1">
      <c r="A36" s="60" t="str">
        <f t="shared" si="1"/>
        <v>INSTRUMENTACCMLTD_IMPRMNT_INSTRMNT</v>
      </c>
      <c r="B36" s="34" t="s">
        <v>125</v>
      </c>
      <c r="C36" s="34" t="s">
        <v>5</v>
      </c>
      <c r="D36" s="34" t="str">
        <f>+UPPER('0. Instruções'!$D$35&amp;"."&amp;VLOOKUP(B36,'0. Instruções'!$C$27:$D$32,2,FALSE))</f>
        <v>CD_LOAN_TAPES_BCE.LT002_INSTRUMENT</v>
      </c>
      <c r="E36" s="34" t="str">
        <f>+UPPER('0. Instruções'!$D$36&amp;"."&amp;VLOOKUP(B36,'0. Instruções'!$C$27:$E$32,3,FALSE))</f>
        <v>BU_LOANTAPE_WORK.LT002_INSTRUMENT_SRB</v>
      </c>
      <c r="F36" s="34" t="s">
        <v>103</v>
      </c>
      <c r="G36" s="34"/>
      <c r="H36" s="34" t="s">
        <v>91</v>
      </c>
      <c r="I36" s="34" t="str">
        <f>"(SELECT "&amp;VLOOKUP(B36,'0. Instruções'!$C$27:$G$32,4,FALSE)&amp;", "&amp;F36&amp;" FROM "&amp;D36&amp;" WHERE "&amp;'0. Instruções'!$D$42&amp;")X"</f>
        <v>(SELECT instrmnt_id, ACCMLTD_IMPRMNT_INSTRMNT FROM CD_LOAN_TAPES_BCE.LT002_INSTRUMENT WHERE ref_date='${ref_date}' AND nome_perimetro='Individual Corporativo' AND segmento='ESTR' AND ambito='PM' AND entidade='00100')X</v>
      </c>
      <c r="J36" s="34" t="str">
        <f>"(SELECT "&amp;VLOOKUP(B36,'0. Instruções'!$C$27:$G$32,4,FALSE)&amp;" AS "&amp;VLOOKUP(B36,'0. Instruções'!$C$27:$G$32,4,FALSE)&amp;"_SIMUL, "&amp;F36&amp;" AS "&amp;F36&amp;"_SIMUL FROM "&amp;E36&amp;" WHERE "&amp;'0. Instruções'!$D$43&amp;")Y"</f>
        <v>(SELECT instrmnt_id AS instrmnt_id_SIMUL, ACCMLTD_IMPRMNT_INSTRMNT AS ACCMLTD_IMPRMNT_INSTRMNT_SIMUL FROM BU_LOANTAPE_WORK.LT002_INSTRUMENT_SRB WHERE ref_date='${ref_date}' AND nome_perimetro='Individual Corporativo' AND segmento='ESTR' AND ambito='PILAR3' AND entidade='00100')Y</v>
      </c>
      <c r="K36" s="35" t="str">
        <f>+UPPER("ON X."&amp;VLOOKUP(B36,'0. Instruções'!$C$27:$G$32,4,FALSE)&amp;"=Y."&amp;VLOOKUP(B36,'0. Instruções'!$C$27:$G$32,4,FALSE)&amp;"_SIMUL")</f>
        <v>ON X.INSTRMNT_ID=Y.INSTRMNT_ID_SIMUL</v>
      </c>
      <c r="L36" s="35" t="str">
        <f>+IF(C36="Coerência", +IF(LEFT(G36,5)="FLOAT","SELECT '"&amp;UPPER(B36)&amp;"' AS TABELA, '"&amp;UPPER(C36)&amp;"' AS TIPOLOGIA_TESTE,'"&amp;D36&amp;"' AS TABELA_LT,'"&amp;E36&amp;"' AS TABELA_SIMUL,'"&amp;F36&amp;"' AS CAMPO, "&amp;"'${ref_date}' AS REF_DATE, COUNT(*) AS NUM_REG, SUM(IF((ABS(COALESCE(CAST(X."&amp;F36&amp;" AS DECIMAL(18,6)),0)-COALESCE(CAST(Y."&amp;F36&amp;"_SIMUL AS DECIMAL(18,6)),0))&gt;0.000001) OR (X."&amp;F36&amp;" IS NULL AND Y."&amp;F36&amp;"_SIMUL IS NOT NULL ) OR (X."&amp;F36&amp;" IS NOT NULL AND Y."&amp;F36&amp;"_SIMUL IS NULL),1,0)) AS NUM_REG_DIF,'"&amp;MAX('ID1&amp;5'!K:K)+1&amp;"' AS ID_EXEC, CURRENT_TIMESTAMP() AS TIME_EXEC FROM "&amp;I36&amp;" INNER JOIN "&amp;J36&amp;" "&amp;K36,"SELECT '"&amp;UPPER(B36)&amp;"' AS TABELA, '"&amp;UPPER(C36)&amp;"' AS TIPOLOGIA_TESTE,'"&amp;D36&amp;"' AS TABELA_LT,'"&amp;E36&amp;"' AS TABELA_SIMUL,'"&amp;F36&amp;"' AS CAMPO, "&amp;"'${ref_date}' AS REF_DATE, COUNT(*) AS NUM_REG, SUM(IF(COALESCE(CAST(X."&amp;F36&amp;" AS STRING),'')&lt;&gt;COALESCE(CAST(Y."&amp;F36&amp;"_SIMUL AS STRING),'') OR (X."&amp;F36&amp;" IS NULL AND Y."&amp;F36&amp;"_SIMUL IS NOT NULL ) OR (X."&amp;F36&amp;" IS NOT NULL AND Y."&amp;F36&amp;"_SIMUL IS NULL),1,0)) AS NUM_REG_DIF,'"&amp;MAX('ID1&amp;5'!L:L)+1&amp;"' AS ID_EXEC, CURRENT_TIMESTAMP() AS TIME_EXEC FROM "&amp;I36&amp;" INNER JOIN "&amp;J36&amp;" "&amp;K36),
IF(C36="Validade",+IF(G36="Code List","SELECT '"&amp;UPPER(B36)&amp;"' AS TABELA, '"&amp;UPPER(C36)&amp;"' AS TIPOLOGIA_TESTE,'"&amp;D36&amp;"' AS TABELA_LT,'N/A' AS TABELA_SIMUL,'"&amp;F36&amp;"' AS CAMPO, "&amp;"'${ref_date}' AS REF_DATE, COUNT(*) AS NUM_REG, SUM(IF(TRIM(CAST(X."&amp;F36&amp;" AS STRING))='' OR TRIM(CAST(X."&amp;F36&amp;" AS STRING)) IS NULL OR CAST(X."&amp;F36&amp;" AS STRING) NOT "&amp;H36&amp;",1,0)) AS NUM_REG_DIF,'"&amp;MAX('ID1&amp;5'!K:K)+1&amp;"' AS ID_EXEC, CURRENT_TIMESTAMP() AS TIME_EXEC FROM "&amp;I36,"SELECT '"&amp;UPPER(B36)&amp;"' AS TABELA, '"&amp;UPPER(C36)&amp;"' AS TIPOLOGIA_TESTE,'"&amp;D36&amp;"' AS TABELA_LT,'N/A' AS TABELA_SIMUL,'"&amp;F36&amp;"' AS CAMPO, "&amp;"'${ref_date}' AS REF_DATE, COUNT(*) AS NUM_REG, SUM(IF(TRIM(CAST(X."&amp;F36&amp;" AS STRING))='' OR TRIM(CAST(X."&amp;F36&amp;" AS STRING)) IS NULL,1,0)) AS NUM_REG_DIF,'"&amp;MAX('ID1&amp;5'!K:K)+1&amp;"' AS ID_EXEC, CURRENT_TIMESTAMP() AS TIME_EXEC FROM "&amp;I36),
IF(C36="Caracteres Especiais",+"SELECT '"&amp;UPPER(B36)&amp;"' AS TABELA, '"&amp;UPPER(C36)&amp;"' AS TIPOLOGIA_TESTE,'"&amp;D36&amp;"' AS TABELA_LT,'N/A' AS TABELA_SIMUL,'"&amp;F36&amp;"' AS CAMPO, "&amp;"'${ref_date}' AS REF_DATE, COUNT(*) AS NUM_REG, SUM(IF(REGEXP_REPLACE(TRIM(CAST(X."&amp;F36&amp;" AS STRING)),'[^a-zA-Z0-9_\\s]','') &lt;&gt;TRIM(CAST(X."&amp;F36&amp;" AS STRING)),1,0)) AS NUM_REG_DIF,'"&amp;MAX('ID1&amp;5'!K:K)+1&amp;"' AS ID_EXEC, CURRENT_TIMESTAMP() AS TIME_EXEC FROM "&amp;I36,
IF(C36="Missings",+"SELECT '"&amp;UPPER(B36)&amp;"' AS TABELA, '"&amp;UPPER(C36)&amp;"' AS TIPOLOGIA_TESTE,'"&amp;D36&amp;"' AS TABELA_LT,'N/A' AS TABELA_SIMUL,'"&amp;F36&amp;"' AS CAMPO, "&amp;"'${ref_date}' AS REF_DATE, COUNT(*) AS NUM_REG, SUM(IF(TRIM(CAST(X."&amp;F36&amp;" AS STRING)) IN ('0000-00-00','0001-01-01','9999-12-31','MISS','00000','99999999999','99999999999.00','99999999999.000000'),1,0)) AS NUM_REG_DIF,'"&amp;MAX('ID1&amp;5'!K:K)+1&amp;"' AS ID_EXEC, CURRENT_TIMESTAMP() AS TIME_EXEC FROM "&amp;I36,
IF(C36="Not applicable",+"SELECT '"&amp;UPPER(B36)&amp;"' AS TABELA, '"&amp;UPPER(C36)&amp;"' AS TIPOLOGIA_TESTE,'"&amp;D36&amp;"' AS TABELA_LT,'N/A' AS TABELA_SIMUL,'"&amp;F36&amp;"' AS CAMPO, "&amp;"'${ref_date}' AS REF_DATE, COUNT(*) AS NUM_REG, SUM(IF(TRIM(CAST(X."&amp;F36&amp;" AS STRING)) IN ('N/A','11111111111','11111111111.00','11111111111.000000','1111-11-11'),1,0)) AS NUM_REG_DIF,'"&amp;MAX('ID1&amp;5'!K:K)+1&amp;"' AS ID_EXEC, CURRENT_TIMESTAMP() AS TIME_EXEC FROM "&amp;I36,
IF(C36="Valores extremos",+"SELECT '"&amp;UPPER(B36)&amp;"' AS TABELA, '"&amp;UPPER(C36)&amp;"' AS TIPOLOGIA_TESTE,'"&amp;D36&amp;"' AS TABELA_LT,'N/A' AS TABELA_SIMUL,'"&amp;F36&amp;"' AS CAMPO, "&amp;"'${ref_date}' AS REF_DATE, CAST(MIN("&amp;F36&amp;") AS STRING) AS VALOR_MIN, CAST(MAX("&amp;F36&amp;") AS STRING) AS VALOR_MAX,'"&amp;MAX('ID1&amp;5'!K:K)+1&amp;"' AS ID_EXEC, CURRENT_TIMESTAMP() AS TIME_EXEC FROM "&amp;MID(I36,1,LEN(I36)-2)&amp;" AND CAST("&amp;F36&amp;"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TABELA_SIMUL,'ACCMLTD_IMPRMNT_INSTRMNT' AS CAMPO, '${ref_date}' AS REF_DATE, COUNT(*) AS NUM_REG, SUM(IF(COALESCE(CAST(X.ACCMLTD_IMPRMNT_INSTRMNT AS STRING),'')&lt;&gt;COALESCE(CAST(Y.ACCMLTD_IMPRMNT_INSTRMNT_SIMUL AS STRING),'') OR (X.ACCMLTD_IMPRMNT_INSTRMNT IS NULL AND Y.ACCMLTD_IMPRMNT_INSTRMNT_SIMUL IS NOT NULL ) OR (X.ACCMLTD_IMPRMNT_INSTRMNT IS NOT NULL AND Y.ACCMLTD_IMPRMNT_INSTRMNT_SIMUL IS NULL),1,0)) AS NUM_REG_DIF,'1' AS ID_EXEC, CURRENT_TIMESTAMP() AS TIME_EXEC FROM (SELECT instrmnt_id, ACCMLTD_IMPRMNT_INSTRMNT FROM CD_LOAN_TAPES_BCE.LT002_INSTRUMENT WHERE ref_date='${ref_date}' AND nome_perimetro='Individual Corporativo' AND segmento='ESTR' AND ambito='PM' AND entidade='00100')X INNER JOIN (SELECT instrmnt_id AS instrmnt_id_SIMUL, ACCMLTD_IMPRMNT_INSTRMNT AS ACCMLTD_IMPRMNT_INSTRMNT_SIMUL FROM BU_LOANTAPE_WORK.LT002_INSTRUMENT_SRB WHERE ref_date='${ref_date}' AND nome_perimetro='Individual Corporativo' AND segmento='ESTR' AND ambito='PILAR3' AND entidade='00100')Y ON X.INSTRMNT_ID=Y.INSTRMNT_ID_SIMUL</v>
      </c>
      <c r="M36" s="36" t="str">
        <f t="shared" si="0"/>
        <v>UNION ALL SELECT 'INSTRUMENT' AS TABELA, 'COERÊNCIA' AS TIPOLOGIA_TESTE,'CD_LOAN_TAPES_BCE.LT002_INSTRUMENT' AS TABELA_LT,'BU_LOANTAPE_WORK.LT002_INSTRUMENT_SRB' AS TABELA_SIMUL,'ACCMLTD_IMPRMNT_INSTRMNT' AS CAMPO, '${ref_date}' AS REF_DATE, COUNT(*) AS NUM_REG, SUM(IF(COALESCE(CAST(X.ACCMLTD_IMPRMNT_INSTRMNT AS STRING),'')&lt;&gt;COALESCE(CAST(Y.ACCMLTD_IMPRMNT_INSTRMNT_SIMUL AS STRING),'') OR (X.ACCMLTD_IMPRMNT_INSTRMNT IS NULL AND Y.ACCMLTD_IMPRMNT_INSTRMNT_SIMUL IS NOT NULL ) OR (X.ACCMLTD_IMPRMNT_INSTRMNT IS NOT NULL AND Y.ACCMLTD_IMPRMNT_INSTRMNT_SIMUL IS NULL),1,0)) AS NUM_REG_DIF,'1' AS ID_EXEC, CURRENT_TIMESTAMP() AS TIME_EXEC FROM (SELECT instrmnt_id, ACCMLTD_IMPRMNT_INSTRMNT FROM CD_LOAN_TAPES_BCE.LT002_INSTRUMENT WHERE ref_date='${ref_date}' AND nome_perimetro='Individual Corporativo' AND segmento='ESTR' AND ambito='PM' AND entidade='00100')X INNER JOIN (SELECT instrmnt_id AS instrmnt_id_SIMUL, ACCMLTD_IMPRMNT_INSTRMNT AS ACCMLTD_IMPRMNT_INSTRMNT_SIMUL FROM BU_LOANTAPE_WORK.LT002_INSTRUMENT_SRB WHERE ref_date='${ref_date}' AND nome_perimetro='Individual Corporativo' AND segmento='ESTR' AND ambito='PILAR3' AND entidade='00100')Y ON X.INSTRMNT_ID=Y.INSTRMNT_ID_SIMUL</v>
      </c>
      <c r="N36" s="38" t="s">
        <v>45</v>
      </c>
    </row>
    <row r="37" spans="1:14" hidden="1">
      <c r="A37" s="60" t="str">
        <f t="shared" si="1"/>
        <v>INSTRUMENTLTV</v>
      </c>
      <c r="B37" s="34" t="s">
        <v>125</v>
      </c>
      <c r="C37" s="34" t="s">
        <v>5</v>
      </c>
      <c r="D37" s="34" t="str">
        <f>+UPPER('0. Instruções'!$D$35&amp;"."&amp;VLOOKUP(B37,'0. Instruções'!$C$27:$D$32,2,FALSE))</f>
        <v>CD_LOAN_TAPES_BCE.LT002_INSTRUMENT</v>
      </c>
      <c r="E37" s="34" t="str">
        <f>+UPPER('0. Instruções'!$D$36&amp;"."&amp;VLOOKUP(B37,'0. Instruções'!$C$27:$E$32,3,FALSE))</f>
        <v>BU_LOANTAPE_WORK.LT002_INSTRUMENT_SRB</v>
      </c>
      <c r="F37" s="34" t="s">
        <v>489</v>
      </c>
      <c r="G37" s="34"/>
      <c r="H37" s="34" t="s">
        <v>90</v>
      </c>
      <c r="I37" s="34" t="str">
        <f>"(SELECT "&amp;VLOOKUP(B37,'0. Instruções'!$C$27:$G$32,4,FALSE)&amp;", "&amp;F37&amp;" FROM "&amp;D37&amp;" WHERE "&amp;'0. Instruções'!$D$42&amp;")X"</f>
        <v>(SELECT instrmnt_id, LTV FROM CD_LOAN_TAPES_BCE.LT002_INSTRUMENT WHERE ref_date='${ref_date}' AND nome_perimetro='Individual Corporativo' AND segmento='ESTR' AND ambito='PM' AND entidade='00100')X</v>
      </c>
      <c r="J37" s="34" t="str">
        <f>"(SELECT "&amp;VLOOKUP(B37,'0. Instruções'!$C$27:$G$32,4,FALSE)&amp;" AS "&amp;VLOOKUP(B37,'0. Instruções'!$C$27:$G$32,4,FALSE)&amp;"_SIMUL, "&amp;F37&amp;" AS "&amp;F37&amp;"_SIMUL FROM "&amp;E37&amp;" WHERE "&amp;'0. Instruções'!$D$43&amp;")Y"</f>
        <v>(SELECT instrmnt_id AS instrmnt_id_SIMUL, LTV AS LTV_SIMUL FROM BU_LOANTAPE_WORK.LT002_INSTRUMENT_SRB WHERE ref_date='${ref_date}' AND nome_perimetro='Individual Corporativo' AND segmento='ESTR' AND ambito='PILAR3' AND entidade='00100')Y</v>
      </c>
      <c r="K37" s="35" t="str">
        <f>+UPPER("ON X."&amp;VLOOKUP(B37,'0. Instruções'!$C$27:$G$32,4,FALSE)&amp;"=Y."&amp;VLOOKUP(B37,'0. Instruções'!$C$27:$G$32,4,FALSE)&amp;"_SIMUL")</f>
        <v>ON X.INSTRMNT_ID=Y.INSTRMNT_ID_SIMUL</v>
      </c>
      <c r="L37" s="35" t="str">
        <f>+IF(C37="Coerência", +IF(LEFT(G37,5)="FLOAT","SELECT '"&amp;UPPER(B37)&amp;"' AS TABELA, '"&amp;UPPER(C37)&amp;"' AS TIPOLOGIA_TESTE,'"&amp;D37&amp;"' AS TABELA_LT,'"&amp;E37&amp;"' AS TABELA_SIMUL,'"&amp;F37&amp;"' AS CAMPO, "&amp;"'${ref_date}' AS REF_DATE, COUNT(*) AS NUM_REG, SUM(IF((ABS(COALESCE(CAST(X."&amp;F37&amp;" AS DECIMAL(18,6)),0)-COALESCE(CAST(Y."&amp;F37&amp;"_SIMUL AS DECIMAL(18,6)),0))&gt;0.000001) OR (X."&amp;F37&amp;" IS NULL AND Y."&amp;F37&amp;"_SIMUL IS NOT NULL ) OR (X."&amp;F37&amp;" IS NOT NULL AND Y."&amp;F37&amp;"_SIMUL IS NULL),1,0)) AS NUM_REG_DIF,'"&amp;MAX('ID1&amp;5'!K:K)+1&amp;"' AS ID_EXEC, CURRENT_TIMESTAMP() AS TIME_EXEC FROM "&amp;I37&amp;" INNER JOIN "&amp;J37&amp;" "&amp;K37,"SELECT '"&amp;UPPER(B37)&amp;"' AS TABELA, '"&amp;UPPER(C37)&amp;"' AS TIPOLOGIA_TESTE,'"&amp;D37&amp;"' AS TABELA_LT,'"&amp;E37&amp;"' AS TABELA_SIMUL,'"&amp;F37&amp;"' AS CAMPO, "&amp;"'${ref_date}' AS REF_DATE, COUNT(*) AS NUM_REG, SUM(IF(COALESCE(CAST(X."&amp;F37&amp;" AS STRING),'')&lt;&gt;COALESCE(CAST(Y."&amp;F37&amp;"_SIMUL AS STRING),'') OR (X."&amp;F37&amp;" IS NULL AND Y."&amp;F37&amp;"_SIMUL IS NOT NULL ) OR (X."&amp;F37&amp;" IS NOT NULL AND Y."&amp;F37&amp;"_SIMUL IS NULL),1,0)) AS NUM_REG_DIF,'"&amp;MAX('ID1&amp;5'!L:L)+1&amp;"' AS ID_EXEC, CURRENT_TIMESTAMP() AS TIME_EXEC FROM "&amp;I37&amp;" INNER JOIN "&amp;J37&amp;" "&amp;K37),
IF(C37="Validade",+IF(G37="Code List","SELECT '"&amp;UPPER(B37)&amp;"' AS TABELA, '"&amp;UPPER(C37)&amp;"' AS TIPOLOGIA_TESTE,'"&amp;D37&amp;"' AS TABELA_LT,'N/A' AS TABELA_SIMUL,'"&amp;F37&amp;"' AS CAMPO, "&amp;"'${ref_date}' AS REF_DATE, COUNT(*) AS NUM_REG, SUM(IF(TRIM(CAST(X."&amp;F37&amp;" AS STRING))='' OR TRIM(CAST(X."&amp;F37&amp;" AS STRING)) IS NULL OR CAST(X."&amp;F37&amp;" AS STRING) NOT "&amp;H37&amp;",1,0)) AS NUM_REG_DIF,'"&amp;MAX('ID1&amp;5'!K:K)+1&amp;"' AS ID_EXEC, CURRENT_TIMESTAMP() AS TIME_EXEC FROM "&amp;I37,"SELECT '"&amp;UPPER(B37)&amp;"' AS TABELA, '"&amp;UPPER(C37)&amp;"' AS TIPOLOGIA_TESTE,'"&amp;D37&amp;"' AS TABELA_LT,'N/A' AS TABELA_SIMUL,'"&amp;F37&amp;"' AS CAMPO, "&amp;"'${ref_date}' AS REF_DATE, COUNT(*) AS NUM_REG, SUM(IF(TRIM(CAST(X."&amp;F37&amp;" AS STRING))='' OR TRIM(CAST(X."&amp;F37&amp;" AS STRING)) IS NULL,1,0)) AS NUM_REG_DIF,'"&amp;MAX('ID1&amp;5'!K:K)+1&amp;"' AS ID_EXEC, CURRENT_TIMESTAMP() AS TIME_EXEC FROM "&amp;I37),
IF(C37="Caracteres Especiais",+"SELECT '"&amp;UPPER(B37)&amp;"' AS TABELA, '"&amp;UPPER(C37)&amp;"' AS TIPOLOGIA_TESTE,'"&amp;D37&amp;"' AS TABELA_LT,'N/A' AS TABELA_SIMUL,'"&amp;F37&amp;"' AS CAMPO, "&amp;"'${ref_date}' AS REF_DATE, COUNT(*) AS NUM_REG, SUM(IF(REGEXP_REPLACE(TRIM(CAST(X."&amp;F37&amp;" AS STRING)),'[^a-zA-Z0-9_\\s]','') &lt;&gt;TRIM(CAST(X."&amp;F37&amp;" AS STRING)),1,0)) AS NUM_REG_DIF,'"&amp;MAX('ID1&amp;5'!K:K)+1&amp;"' AS ID_EXEC, CURRENT_TIMESTAMP() AS TIME_EXEC FROM "&amp;I37,
IF(C37="Missings",+"SELECT '"&amp;UPPER(B37)&amp;"' AS TABELA, '"&amp;UPPER(C37)&amp;"' AS TIPOLOGIA_TESTE,'"&amp;D37&amp;"' AS TABELA_LT,'N/A' AS TABELA_SIMUL,'"&amp;F37&amp;"' AS CAMPO, "&amp;"'${ref_date}' AS REF_DATE, COUNT(*) AS NUM_REG, SUM(IF(TRIM(CAST(X."&amp;F37&amp;" AS STRING)) IN ('0000-00-00','0001-01-01','9999-12-31','MISS','00000','99999999999','99999999999.00','99999999999.000000'),1,0)) AS NUM_REG_DIF,'"&amp;MAX('ID1&amp;5'!K:K)+1&amp;"' AS ID_EXEC, CURRENT_TIMESTAMP() AS TIME_EXEC FROM "&amp;I37,
IF(C37="Not applicable",+"SELECT '"&amp;UPPER(B37)&amp;"' AS TABELA, '"&amp;UPPER(C37)&amp;"' AS TIPOLOGIA_TESTE,'"&amp;D37&amp;"' AS TABELA_LT,'N/A' AS TABELA_SIMUL,'"&amp;F37&amp;"' AS CAMPO, "&amp;"'${ref_date}' AS REF_DATE, COUNT(*) AS NUM_REG, SUM(IF(TRIM(CAST(X."&amp;F37&amp;" AS STRING)) IN ('N/A','11111111111','11111111111.00','11111111111.000000','1111-11-11'),1,0)) AS NUM_REG_DIF,'"&amp;MAX('ID1&amp;5'!K:K)+1&amp;"' AS ID_EXEC, CURRENT_TIMESTAMP() AS TIME_EXEC FROM "&amp;I37,
IF(C37="Valores extremos",+"SELECT '"&amp;UPPER(B37)&amp;"' AS TABELA, '"&amp;UPPER(C37)&amp;"' AS TIPOLOGIA_TESTE,'"&amp;D37&amp;"' AS TABELA_LT,'N/A' AS TABELA_SIMUL,'"&amp;F37&amp;"' AS CAMPO, "&amp;"'${ref_date}' AS REF_DATE, CAST(MIN("&amp;F37&amp;") AS STRING) AS VALOR_MIN, CAST(MAX("&amp;F37&amp;") AS STRING) AS VALOR_MAX,'"&amp;MAX('ID1&amp;5'!K:K)+1&amp;"' AS ID_EXEC, CURRENT_TIMESTAMP() AS TIME_EXEC FROM "&amp;MID(I37,1,LEN(I37)-2)&amp;" AND CAST("&amp;F37&amp;"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TABELA_SIMUL,'LTV' AS CAMPO, '${ref_date}' AS REF_DATE, COUNT(*) AS NUM_REG, SUM(IF(COALESCE(CAST(X.LTV AS STRING),'')&lt;&gt;COALESCE(CAST(Y.LTV_SIMUL AS STRING),'') OR (X.LTV IS NULL AND Y.LTV_SIMUL IS NOT NULL ) OR (X.LTV IS NOT NULL AND Y.LTV_SIMUL IS NULL),1,0)) AS NUM_REG_DIF,'1' AS ID_EXEC, CURRENT_TIMESTAMP() AS TIME_EXEC FROM (SELECT instrmnt_id, LTV FROM CD_LOAN_TAPES_BCE.LT002_INSTRUMENT WHERE ref_date='${ref_date}' AND nome_perimetro='Individual Corporativo' AND segmento='ESTR' AND ambito='PM' AND entidade='00100')X INNER JOIN (SELECT instrmnt_id AS instrmnt_id_SIMUL, LTV AS LTV_SIMUL FROM BU_LOANTAPE_WORK.LT002_INSTRUMENT_SRB WHERE ref_date='${ref_date}' AND nome_perimetro='Individual Corporativo' AND segmento='ESTR' AND ambito='PILAR3' AND entidade='00100')Y ON X.INSTRMNT_ID=Y.INSTRMNT_ID_SIMUL</v>
      </c>
      <c r="M37" s="36" t="str">
        <f t="shared" si="0"/>
        <v>UNION ALL SELECT 'INSTRUMENT' AS TABELA, 'COERÊNCIA' AS TIPOLOGIA_TESTE,'CD_LOAN_TAPES_BCE.LT002_INSTRUMENT' AS TABELA_LT,'BU_LOANTAPE_WORK.LT002_INSTRUMENT_SRB' AS TABELA_SIMUL,'LTV' AS CAMPO, '${ref_date}' AS REF_DATE, COUNT(*) AS NUM_REG, SUM(IF(COALESCE(CAST(X.LTV AS STRING),'')&lt;&gt;COALESCE(CAST(Y.LTV_SIMUL AS STRING),'') OR (X.LTV IS NULL AND Y.LTV_SIMUL IS NOT NULL ) OR (X.LTV IS NOT NULL AND Y.LTV_SIMUL IS NULL),1,0)) AS NUM_REG_DIF,'1' AS ID_EXEC, CURRENT_TIMESTAMP() AS TIME_EXEC FROM (SELECT instrmnt_id, LTV FROM CD_LOAN_TAPES_BCE.LT002_INSTRUMENT WHERE ref_date='${ref_date}' AND nome_perimetro='Individual Corporativo' AND segmento='ESTR' AND ambito='PM' AND entidade='00100')X INNER JOIN (SELECT instrmnt_id AS instrmnt_id_SIMUL, LTV AS LTV_SIMUL FROM BU_LOANTAPE_WORK.LT002_INSTRUMENT_SRB WHERE ref_date='${ref_date}' AND nome_perimetro='Individual Corporativo' AND segmento='ESTR' AND ambito='PILAR3' AND entidade='00100')Y ON X.INSTRMNT_ID=Y.INSTRMNT_ID_SIMUL</v>
      </c>
      <c r="N37" s="38" t="s">
        <v>45</v>
      </c>
    </row>
    <row r="38" spans="1:14" hidden="1">
      <c r="A38" s="60" t="str">
        <f t="shared" si="1"/>
        <v>INSTRUMENTLTV_INCPTN</v>
      </c>
      <c r="B38" s="34" t="s">
        <v>125</v>
      </c>
      <c r="C38" s="34" t="s">
        <v>5</v>
      </c>
      <c r="D38" s="34" t="str">
        <f>+UPPER('0. Instruções'!$D$35&amp;"."&amp;VLOOKUP(B38,'0. Instruções'!$C$27:$D$32,2,FALSE))</f>
        <v>CD_LOAN_TAPES_BCE.LT002_INSTRUMENT</v>
      </c>
      <c r="E38" s="34" t="str">
        <f>+UPPER('0. Instruções'!$D$36&amp;"."&amp;VLOOKUP(B38,'0. Instruções'!$C$27:$E$32,3,FALSE))</f>
        <v>BU_LOANTAPE_WORK.LT002_INSTRUMENT_SRB</v>
      </c>
      <c r="F38" s="34" t="s">
        <v>490</v>
      </c>
      <c r="G38" s="34"/>
      <c r="H38" s="34" t="s">
        <v>90</v>
      </c>
      <c r="I38" s="34" t="str">
        <f>"(SELECT "&amp;VLOOKUP(B38,'0. Instruções'!$C$27:$G$32,4,FALSE)&amp;", "&amp;F38&amp;" FROM "&amp;D38&amp;" WHERE "&amp;'0. Instruções'!$D$42&amp;")X"</f>
        <v>(SELECT instrmnt_id, LTV_INCPTN FROM CD_LOAN_TAPES_BCE.LT002_INSTRUMENT WHERE ref_date='${ref_date}' AND nome_perimetro='Individual Corporativo' AND segmento='ESTR' AND ambito='PM' AND entidade='00100')X</v>
      </c>
      <c r="J38" s="34" t="str">
        <f>"(SELECT "&amp;VLOOKUP(B38,'0. Instruções'!$C$27:$G$32,4,FALSE)&amp;" AS "&amp;VLOOKUP(B38,'0. Instruções'!$C$27:$G$32,4,FALSE)&amp;"_SIMUL, "&amp;F38&amp;" AS "&amp;F38&amp;"_SIMUL FROM "&amp;E38&amp;" WHERE "&amp;'0. Instruções'!$D$43&amp;")Y"</f>
        <v>(SELECT instrmnt_id AS instrmnt_id_SIMUL, LTV_INCPTN AS LTV_INCPTN_SIMUL FROM BU_LOANTAPE_WORK.LT002_INSTRUMENT_SRB WHERE ref_date='${ref_date}' AND nome_perimetro='Individual Corporativo' AND segmento='ESTR' AND ambito='PILAR3' AND entidade='00100')Y</v>
      </c>
      <c r="K38" s="35" t="str">
        <f>+UPPER("ON X."&amp;VLOOKUP(B38,'0. Instruções'!$C$27:$G$32,4,FALSE)&amp;"=Y."&amp;VLOOKUP(B38,'0. Instruções'!$C$27:$G$32,4,FALSE)&amp;"_SIMUL")</f>
        <v>ON X.INSTRMNT_ID=Y.INSTRMNT_ID_SIMUL</v>
      </c>
      <c r="L38" s="35" t="str">
        <f>+IF(C38="Coerência", +IF(LEFT(G38,5)="FLOAT","SELECT '"&amp;UPPER(B38)&amp;"' AS TABELA, '"&amp;UPPER(C38)&amp;"' AS TIPOLOGIA_TESTE,'"&amp;D38&amp;"' AS TABELA_LT,'"&amp;E38&amp;"' AS TABELA_SIMUL,'"&amp;F38&amp;"' AS CAMPO, "&amp;"'${ref_date}' AS REF_DATE, COUNT(*) AS NUM_REG, SUM(IF((ABS(COALESCE(CAST(X."&amp;F38&amp;" AS DECIMAL(18,6)),0)-COALESCE(CAST(Y."&amp;F38&amp;"_SIMUL AS DECIMAL(18,6)),0))&gt;0.000001) OR (X."&amp;F38&amp;" IS NULL AND Y."&amp;F38&amp;"_SIMUL IS NOT NULL ) OR (X."&amp;F38&amp;" IS NOT NULL AND Y."&amp;F38&amp;"_SIMUL IS NULL),1,0)) AS NUM_REG_DIF,'"&amp;MAX('ID1&amp;5'!K:K)+1&amp;"' AS ID_EXEC, CURRENT_TIMESTAMP() AS TIME_EXEC FROM "&amp;I38&amp;" INNER JOIN "&amp;J38&amp;" "&amp;K38,"SELECT '"&amp;UPPER(B38)&amp;"' AS TABELA, '"&amp;UPPER(C38)&amp;"' AS TIPOLOGIA_TESTE,'"&amp;D38&amp;"' AS TABELA_LT,'"&amp;E38&amp;"' AS TABELA_SIMUL,'"&amp;F38&amp;"' AS CAMPO, "&amp;"'${ref_date}' AS REF_DATE, COUNT(*) AS NUM_REG, SUM(IF(COALESCE(CAST(X."&amp;F38&amp;" AS STRING),'')&lt;&gt;COALESCE(CAST(Y."&amp;F38&amp;"_SIMUL AS STRING),'') OR (X."&amp;F38&amp;" IS NULL AND Y."&amp;F38&amp;"_SIMUL IS NOT NULL ) OR (X."&amp;F38&amp;" IS NOT NULL AND Y."&amp;F38&amp;"_SIMUL IS NULL),1,0)) AS NUM_REG_DIF,'"&amp;MAX('ID1&amp;5'!L:L)+1&amp;"' AS ID_EXEC, CURRENT_TIMESTAMP() AS TIME_EXEC FROM "&amp;I38&amp;" INNER JOIN "&amp;J38&amp;" "&amp;K38),
IF(C38="Validade",+IF(G38="Code List","SELECT '"&amp;UPPER(B38)&amp;"' AS TABELA, '"&amp;UPPER(C38)&amp;"' AS TIPOLOGIA_TESTE,'"&amp;D38&amp;"' AS TABELA_LT,'N/A' AS TABELA_SIMUL,'"&amp;F38&amp;"' AS CAMPO, "&amp;"'${ref_date}' AS REF_DATE, COUNT(*) AS NUM_REG, SUM(IF(TRIM(CAST(X."&amp;F38&amp;" AS STRING))='' OR TRIM(CAST(X."&amp;F38&amp;" AS STRING)) IS NULL OR CAST(X."&amp;F38&amp;" AS STRING) NOT "&amp;H38&amp;",1,0)) AS NUM_REG_DIF,'"&amp;MAX('ID1&amp;5'!K:K)+1&amp;"' AS ID_EXEC, CURRENT_TIMESTAMP() AS TIME_EXEC FROM "&amp;I38,"SELECT '"&amp;UPPER(B38)&amp;"' AS TABELA, '"&amp;UPPER(C38)&amp;"' AS TIPOLOGIA_TESTE,'"&amp;D38&amp;"' AS TABELA_LT,'N/A' AS TABELA_SIMUL,'"&amp;F38&amp;"' AS CAMPO, "&amp;"'${ref_date}' AS REF_DATE, COUNT(*) AS NUM_REG, SUM(IF(TRIM(CAST(X."&amp;F38&amp;" AS STRING))='' OR TRIM(CAST(X."&amp;F38&amp;" AS STRING)) IS NULL,1,0)) AS NUM_REG_DIF,'"&amp;MAX('ID1&amp;5'!K:K)+1&amp;"' AS ID_EXEC, CURRENT_TIMESTAMP() AS TIME_EXEC FROM "&amp;I38),
IF(C38="Caracteres Especiais",+"SELECT '"&amp;UPPER(B38)&amp;"' AS TABELA, '"&amp;UPPER(C38)&amp;"' AS TIPOLOGIA_TESTE,'"&amp;D38&amp;"' AS TABELA_LT,'N/A' AS TABELA_SIMUL,'"&amp;F38&amp;"' AS CAMPO, "&amp;"'${ref_date}' AS REF_DATE, COUNT(*) AS NUM_REG, SUM(IF(REGEXP_REPLACE(TRIM(CAST(X."&amp;F38&amp;" AS STRING)),'[^a-zA-Z0-9_\\s]','') &lt;&gt;TRIM(CAST(X."&amp;F38&amp;" AS STRING)),1,0)) AS NUM_REG_DIF,'"&amp;MAX('ID1&amp;5'!K:K)+1&amp;"' AS ID_EXEC, CURRENT_TIMESTAMP() AS TIME_EXEC FROM "&amp;I38,
IF(C38="Missings",+"SELECT '"&amp;UPPER(B38)&amp;"' AS TABELA, '"&amp;UPPER(C38)&amp;"' AS TIPOLOGIA_TESTE,'"&amp;D38&amp;"' AS TABELA_LT,'N/A' AS TABELA_SIMUL,'"&amp;F38&amp;"' AS CAMPO, "&amp;"'${ref_date}' AS REF_DATE, COUNT(*) AS NUM_REG, SUM(IF(TRIM(CAST(X."&amp;F38&amp;" AS STRING)) IN ('0000-00-00','0001-01-01','9999-12-31','MISS','00000','99999999999','99999999999.00','99999999999.000000'),1,0)) AS NUM_REG_DIF,'"&amp;MAX('ID1&amp;5'!K:K)+1&amp;"' AS ID_EXEC, CURRENT_TIMESTAMP() AS TIME_EXEC FROM "&amp;I38,
IF(C38="Not applicable",+"SELECT '"&amp;UPPER(B38)&amp;"' AS TABELA, '"&amp;UPPER(C38)&amp;"' AS TIPOLOGIA_TESTE,'"&amp;D38&amp;"' AS TABELA_LT,'N/A' AS TABELA_SIMUL,'"&amp;F38&amp;"' AS CAMPO, "&amp;"'${ref_date}' AS REF_DATE, COUNT(*) AS NUM_REG, SUM(IF(TRIM(CAST(X."&amp;F38&amp;" AS STRING)) IN ('N/A','11111111111','11111111111.00','11111111111.000000','1111-11-11'),1,0)) AS NUM_REG_DIF,'"&amp;MAX('ID1&amp;5'!K:K)+1&amp;"' AS ID_EXEC, CURRENT_TIMESTAMP() AS TIME_EXEC FROM "&amp;I38,
IF(C38="Valores extremos",+"SELECT '"&amp;UPPER(B38)&amp;"' AS TABELA, '"&amp;UPPER(C38)&amp;"' AS TIPOLOGIA_TESTE,'"&amp;D38&amp;"' AS TABELA_LT,'N/A' AS TABELA_SIMUL,'"&amp;F38&amp;"' AS CAMPO, "&amp;"'${ref_date}' AS REF_DATE, CAST(MIN("&amp;F38&amp;") AS STRING) AS VALOR_MIN, CAST(MAX("&amp;F38&amp;") AS STRING) AS VALOR_MAX,'"&amp;MAX('ID1&amp;5'!K:K)+1&amp;"' AS ID_EXEC, CURRENT_TIMESTAMP() AS TIME_EXEC FROM "&amp;MID(I38,1,LEN(I38)-2)&amp;" AND CAST("&amp;F38&amp;"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TABELA_SIMUL,'LTV_INCPTN' AS CAMPO, '${ref_date}' AS REF_DATE, COUNT(*) AS NUM_REG, SUM(IF(COALESCE(CAST(X.LTV_INCPTN AS STRING),'')&lt;&gt;COALESCE(CAST(Y.LTV_INCPTN_SIMUL AS STRING),'') OR (X.LTV_INCPTN IS NULL AND Y.LTV_INCPTN_SIMUL IS NOT NULL ) OR (X.LTV_INCPTN IS NOT NULL AND Y.LTV_INCPTN_SIMUL IS NULL),1,0)) AS NUM_REG_DIF,'1' AS ID_EXEC, CURRENT_TIMESTAMP() AS TIME_EXEC FROM (SELECT instrmnt_id, LTV_INCPTN FROM CD_LOAN_TAPES_BCE.LT002_INSTRUMENT WHERE ref_date='${ref_date}' AND nome_perimetro='Individual Corporativo' AND segmento='ESTR' AND ambito='PM' AND entidade='00100')X INNER JOIN (SELECT instrmnt_id AS instrmnt_id_SIMUL, LTV_INCPTN AS LTV_INCPTN_SIMUL FROM BU_LOANTAPE_WORK.LT002_INSTRUMENT_SRB WHERE ref_date='${ref_date}' AND nome_perimetro='Individual Corporativo' AND segmento='ESTR' AND ambito='PILAR3' AND entidade='00100')Y ON X.INSTRMNT_ID=Y.INSTRMNT_ID_SIMUL</v>
      </c>
      <c r="M38" s="36" t="str">
        <f t="shared" si="0"/>
        <v>UNION ALL SELECT 'INSTRUMENT' AS TABELA, 'COERÊNCIA' AS TIPOLOGIA_TESTE,'CD_LOAN_TAPES_BCE.LT002_INSTRUMENT' AS TABELA_LT,'BU_LOANTAPE_WORK.LT002_INSTRUMENT_SRB' AS TABELA_SIMUL,'LTV_INCPTN' AS CAMPO, '${ref_date}' AS REF_DATE, COUNT(*) AS NUM_REG, SUM(IF(COALESCE(CAST(X.LTV_INCPTN AS STRING),'')&lt;&gt;COALESCE(CAST(Y.LTV_INCPTN_SIMUL AS STRING),'') OR (X.LTV_INCPTN IS NULL AND Y.LTV_INCPTN_SIMUL IS NOT NULL ) OR (X.LTV_INCPTN IS NOT NULL AND Y.LTV_INCPTN_SIMUL IS NULL),1,0)) AS NUM_REG_DIF,'1' AS ID_EXEC, CURRENT_TIMESTAMP() AS TIME_EXEC FROM (SELECT instrmnt_id, LTV_INCPTN FROM CD_LOAN_TAPES_BCE.LT002_INSTRUMENT WHERE ref_date='${ref_date}' AND nome_perimetro='Individual Corporativo' AND segmento='ESTR' AND ambito='PM' AND entidade='00100')X INNER JOIN (SELECT instrmnt_id AS instrmnt_id_SIMUL, LTV_INCPTN AS LTV_INCPTN_SIMUL FROM BU_LOANTAPE_WORK.LT002_INSTRUMENT_SRB WHERE ref_date='${ref_date}' AND nome_perimetro='Individual Corporativo' AND segmento='ESTR' AND ambito='PILAR3' AND entidade='00100')Y ON X.INSTRMNT_ID=Y.INSTRMNT_ID_SIMUL</v>
      </c>
      <c r="N38" s="38" t="s">
        <v>45</v>
      </c>
    </row>
    <row r="39" spans="1:14">
      <c r="A39" s="60" t="str">
        <f t="shared" si="1"/>
        <v>INSTRUMENTANNLSD_AGRD_RT</v>
      </c>
      <c r="B39" s="34" t="s">
        <v>125</v>
      </c>
      <c r="C39" s="34" t="s">
        <v>5</v>
      </c>
      <c r="D39" s="34" t="str">
        <f>+UPPER('0. Instruções'!$D$35&amp;"."&amp;VLOOKUP(B39,'0. Instruções'!$C$27:$D$32,2,FALSE))</f>
        <v>CD_LOAN_TAPES_BCE.LT002_INSTRUMENT</v>
      </c>
      <c r="E39" s="34" t="str">
        <f>+UPPER('0. Instruções'!$D$36&amp;"."&amp;VLOOKUP(B39,'0. Instruções'!$C$27:$E$32,3,FALSE))</f>
        <v>BU_LOANTAPE_WORK.LT002_INSTRUMENT_SRB</v>
      </c>
      <c r="F39" s="34" t="s">
        <v>498</v>
      </c>
      <c r="G39" s="34"/>
      <c r="H39" s="34" t="s">
        <v>90</v>
      </c>
      <c r="I39" s="34" t="str">
        <f>"(SELECT "&amp;VLOOKUP(B39,'0. Instruções'!$C$27:$G$32,4,FALSE)&amp;", "&amp;F39&amp;" FROM "&amp;D39&amp;" WHERE "&amp;'0. Instruções'!$D$42&amp;")X"</f>
        <v>(SELECT instrmnt_id, ANNLSD_AGRD_RT FROM CD_LOAN_TAPES_BCE.LT002_INSTRUMENT WHERE ref_date='${ref_date}' AND nome_perimetro='Individual Corporativo' AND segmento='ESTR' AND ambito='PM' AND entidade='00100')X</v>
      </c>
      <c r="J39" s="34" t="str">
        <f>"(SELECT "&amp;VLOOKUP(B39,'0. Instruções'!$C$27:$G$32,4,FALSE)&amp;" AS "&amp;VLOOKUP(B39,'0. Instruções'!$C$27:$G$32,4,FALSE)&amp;"_SIMUL, "&amp;F39&amp;" AS "&amp;F39&amp;"_SIMUL FROM "&amp;E39&amp;" WHERE "&amp;'0. Instruções'!$D$43&amp;")Y"</f>
        <v>(SELECT instrmnt_id AS instrmnt_id_SIMUL, ANNLSD_AGRD_RT AS ANNLSD_AGRD_RT_SIMUL FROM BU_LOANTAPE_WORK.LT002_INSTRUMENT_SRB WHERE ref_date='${ref_date}' AND nome_perimetro='Individual Corporativo' AND segmento='ESTR' AND ambito='PILAR3' AND entidade='00100')Y</v>
      </c>
      <c r="K39" s="35" t="str">
        <f>+UPPER("ON X."&amp;VLOOKUP(B39,'0. Instruções'!$C$27:$G$32,4,FALSE)&amp;"=Y."&amp;VLOOKUP(B39,'0. Instruções'!$C$27:$G$32,4,FALSE)&amp;"_SIMUL")</f>
        <v>ON X.INSTRMNT_ID=Y.INSTRMNT_ID_SIMUL</v>
      </c>
      <c r="L39" s="35" t="str">
        <f>+IF(C39="Coerência", +IF(LEFT(G39,5)="FLOAT","SELECT '"&amp;UPPER(B39)&amp;"' AS TABELA, '"&amp;UPPER(C39)&amp;"' AS TIPOLOGIA_TESTE,'"&amp;D39&amp;"' AS TABELA_LT,'"&amp;E39&amp;"' AS TABELA_SIMUL,'"&amp;F39&amp;"' AS CAMPO, "&amp;"'${ref_date}' AS REF_DATE, COUNT(*) AS NUM_REG, SUM(IF((ABS(COALESCE(CAST(X."&amp;F39&amp;" AS DECIMAL(18,6)),0)-COALESCE(CAST(Y."&amp;F39&amp;"_SIMUL AS DECIMAL(18,6)),0))&gt;0.000001) OR (X."&amp;F39&amp;" IS NULL AND Y."&amp;F39&amp;"_SIMUL IS NOT NULL ) OR (X."&amp;F39&amp;" IS NOT NULL AND Y."&amp;F39&amp;"_SIMUL IS NULL),1,0)) AS NUM_REG_DIF,'"&amp;MAX('ID1&amp;5'!K:K)+1&amp;"' AS ID_EXEC, CURRENT_TIMESTAMP() AS TIME_EXEC FROM "&amp;I39&amp;" INNER JOIN "&amp;J39&amp;" "&amp;K39,"SELECT '"&amp;UPPER(B39)&amp;"' AS TABELA, '"&amp;UPPER(C39)&amp;"' AS TIPOLOGIA_TESTE,'"&amp;D39&amp;"' AS TABELA_LT,'"&amp;E39&amp;"' AS TABELA_SIMUL,'"&amp;F39&amp;"' AS CAMPO, "&amp;"'${ref_date}' AS REF_DATE, COUNT(*) AS NUM_REG, SUM(IF(COALESCE(CAST(X."&amp;F39&amp;" AS STRING),'')&lt;&gt;COALESCE(CAST(Y."&amp;F39&amp;"_SIMUL AS STRING),'') OR (X."&amp;F39&amp;" IS NULL AND Y."&amp;F39&amp;"_SIMUL IS NOT NULL ) OR (X."&amp;F39&amp;" IS NOT NULL AND Y."&amp;F39&amp;"_SIMUL IS NULL),1,0)) AS NUM_REG_DIF,'"&amp;MAX('ID1&amp;5'!L:L)+1&amp;"' AS ID_EXEC, CURRENT_TIMESTAMP() AS TIME_EXEC FROM "&amp;I39&amp;" INNER JOIN "&amp;J39&amp;" "&amp;K39),
IF(C39="Validade",+IF(G39="Code List","SELECT '"&amp;UPPER(B39)&amp;"' AS TABELA, '"&amp;UPPER(C39)&amp;"' AS TIPOLOGIA_TESTE,'"&amp;D39&amp;"' AS TABELA_LT,'N/A' AS TABELA_SIMUL,'"&amp;F39&amp;"' AS CAMPO, "&amp;"'${ref_date}' AS REF_DATE, COUNT(*) AS NUM_REG, SUM(IF(TRIM(CAST(X."&amp;F39&amp;" AS STRING))='' OR TRIM(CAST(X."&amp;F39&amp;" AS STRING)) IS NULL OR CAST(X."&amp;F39&amp;" AS STRING) NOT "&amp;H39&amp;",1,0)) AS NUM_REG_DIF,'"&amp;MAX('ID1&amp;5'!K:K)+1&amp;"' AS ID_EXEC, CURRENT_TIMESTAMP() AS TIME_EXEC FROM "&amp;I39,"SELECT '"&amp;UPPER(B39)&amp;"' AS TABELA, '"&amp;UPPER(C39)&amp;"' AS TIPOLOGIA_TESTE,'"&amp;D39&amp;"' AS TABELA_LT,'N/A' AS TABELA_SIMUL,'"&amp;F39&amp;"' AS CAMPO, "&amp;"'${ref_date}' AS REF_DATE, COUNT(*) AS NUM_REG, SUM(IF(TRIM(CAST(X."&amp;F39&amp;" AS STRING))='' OR TRIM(CAST(X."&amp;F39&amp;" AS STRING)) IS NULL,1,0)) AS NUM_REG_DIF,'"&amp;MAX('ID1&amp;5'!K:K)+1&amp;"' AS ID_EXEC, CURRENT_TIMESTAMP() AS TIME_EXEC FROM "&amp;I39),
IF(C39="Caracteres Especiais",+"SELECT '"&amp;UPPER(B39)&amp;"' AS TABELA, '"&amp;UPPER(C39)&amp;"' AS TIPOLOGIA_TESTE,'"&amp;D39&amp;"' AS TABELA_LT,'N/A' AS TABELA_SIMUL,'"&amp;F39&amp;"' AS CAMPO, "&amp;"'${ref_date}' AS REF_DATE, COUNT(*) AS NUM_REG, SUM(IF(REGEXP_REPLACE(TRIM(CAST(X."&amp;F39&amp;" AS STRING)),'[^a-zA-Z0-9_\\s]','') &lt;&gt;TRIM(CAST(X."&amp;F39&amp;" AS STRING)),1,0)) AS NUM_REG_DIF,'"&amp;MAX('ID1&amp;5'!K:K)+1&amp;"' AS ID_EXEC, CURRENT_TIMESTAMP() AS TIME_EXEC FROM "&amp;I39,
IF(C39="Missings",+"SELECT '"&amp;UPPER(B39)&amp;"' AS TABELA, '"&amp;UPPER(C39)&amp;"' AS TIPOLOGIA_TESTE,'"&amp;D39&amp;"' AS TABELA_LT,'N/A' AS TABELA_SIMUL,'"&amp;F39&amp;"' AS CAMPO, "&amp;"'${ref_date}' AS REF_DATE, COUNT(*) AS NUM_REG, SUM(IF(TRIM(CAST(X."&amp;F39&amp;" AS STRING)) IN ('0000-00-00','0001-01-01','9999-12-31','MISS','00000','99999999999','99999999999.00','99999999999.000000'),1,0)) AS NUM_REG_DIF,'"&amp;MAX('ID1&amp;5'!K:K)+1&amp;"' AS ID_EXEC, CURRENT_TIMESTAMP() AS TIME_EXEC FROM "&amp;I39,
IF(C39="Not applicable",+"SELECT '"&amp;UPPER(B39)&amp;"' AS TABELA, '"&amp;UPPER(C39)&amp;"' AS TIPOLOGIA_TESTE,'"&amp;D39&amp;"' AS TABELA_LT,'N/A' AS TABELA_SIMUL,'"&amp;F39&amp;"' AS CAMPO, "&amp;"'${ref_date}' AS REF_DATE, COUNT(*) AS NUM_REG, SUM(IF(TRIM(CAST(X."&amp;F39&amp;" AS STRING)) IN ('N/A','11111111111','11111111111.00','11111111111.000000','1111-11-11'),1,0)) AS NUM_REG_DIF,'"&amp;MAX('ID1&amp;5'!K:K)+1&amp;"' AS ID_EXEC, CURRENT_TIMESTAMP() AS TIME_EXEC FROM "&amp;I39,
IF(C39="Valores extremos",+"SELECT '"&amp;UPPER(B39)&amp;"' AS TABELA, '"&amp;UPPER(C39)&amp;"' AS TIPOLOGIA_TESTE,'"&amp;D39&amp;"' AS TABELA_LT,'N/A' AS TABELA_SIMUL,'"&amp;F39&amp;"' AS CAMPO, "&amp;"'${ref_date}' AS REF_DATE, CAST(MIN("&amp;F39&amp;") AS STRING) AS VALOR_MIN, CAST(MAX("&amp;F39&amp;") AS STRING) AS VALOR_MAX,'"&amp;MAX('ID1&amp;5'!K:K)+1&amp;"' AS ID_EXEC, CURRENT_TIMESTAMP() AS TIME_EXEC FROM "&amp;MID(I39,1,LEN(I39)-2)&amp;" AND CAST("&amp;F39&amp;"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TABELA_SIMUL,'ANNLSD_AGRD_RT' AS CAMPO, '${ref_date}' AS REF_DATE, COUNT(*) AS NUM_REG, SUM(IF(COALESCE(CAST(X.ANNLSD_AGRD_RT AS STRING),'')&lt;&gt;COALESCE(CAST(Y.ANNLSD_AGRD_RT_SIMUL AS STRING),'') OR (X.ANNLSD_AGRD_RT IS NULL AND Y.ANNLSD_AGRD_RT_SIMUL IS NOT NULL ) OR (X.ANNLSD_AGRD_RT IS NOT NULL AND Y.ANNLSD_AGRD_RT_SIMUL IS NULL),1,0)) AS NUM_REG_DIF,'1' AS ID_EXEC, CURRENT_TIMESTAMP() AS TIME_EXEC FROM (SELECT instrmnt_id, ANNLSD_AGRD_RT FROM CD_LOAN_TAPES_BCE.LT002_INSTRUMENT WHERE ref_date='${ref_date}' AND nome_perimetro='Individual Corporativo' AND segmento='ESTR' AND ambito='PM' AND entidade='00100')X INNER JOIN (SELECT instrmnt_id AS instrmnt_id_SIMUL, ANNLSD_AGRD_RT AS ANNLSD_AGRD_RT_SIMUL FROM BU_LOANTAPE_WORK.LT002_INSTRUMENT_SRB WHERE ref_date='${ref_date}' AND nome_perimetro='Individual Corporativo' AND segmento='ESTR' AND ambito='PILAR3' AND entidade='00100')Y ON X.INSTRMNT_ID=Y.INSTRMNT_ID_SIMUL</v>
      </c>
      <c r="M39" s="36" t="str">
        <f t="shared" si="0"/>
        <v>UNION ALL SELECT 'INSTRUMENT' AS TABELA, 'COERÊNCIA' AS TIPOLOGIA_TESTE,'CD_LOAN_TAPES_BCE.LT002_INSTRUMENT' AS TABELA_LT,'BU_LOANTAPE_WORK.LT002_INSTRUMENT_SRB' AS TABELA_SIMUL,'ANNLSD_AGRD_RT' AS CAMPO, '${ref_date}' AS REF_DATE, COUNT(*) AS NUM_REG, SUM(IF(COALESCE(CAST(X.ANNLSD_AGRD_RT AS STRING),'')&lt;&gt;COALESCE(CAST(Y.ANNLSD_AGRD_RT_SIMUL AS STRING),'') OR (X.ANNLSD_AGRD_RT IS NULL AND Y.ANNLSD_AGRD_RT_SIMUL IS NOT NULL ) OR (X.ANNLSD_AGRD_RT IS NOT NULL AND Y.ANNLSD_AGRD_RT_SIMUL IS NULL),1,0)) AS NUM_REG_DIF,'1' AS ID_EXEC, CURRENT_TIMESTAMP() AS TIME_EXEC FROM (SELECT instrmnt_id, ANNLSD_AGRD_RT FROM CD_LOAN_TAPES_BCE.LT002_INSTRUMENT WHERE ref_date='${ref_date}' AND nome_perimetro='Individual Corporativo' AND segmento='ESTR' AND ambito='PM' AND entidade='00100')X INNER JOIN (SELECT instrmnt_id AS instrmnt_id_SIMUL, ANNLSD_AGRD_RT AS ANNLSD_AGRD_RT_SIMUL FROM BU_LOANTAPE_WORK.LT002_INSTRUMENT_SRB WHERE ref_date='${ref_date}' AND nome_perimetro='Individual Corporativo' AND segmento='ESTR' AND ambito='PILAR3' AND entidade='00100')Y ON X.INSTRMNT_ID=Y.INSTRMNT_ID_SIMUL</v>
      </c>
      <c r="N39" s="38" t="s">
        <v>45</v>
      </c>
    </row>
    <row r="40" spans="1:14" hidden="1">
      <c r="A40" s="60" t="str">
        <f t="shared" si="1"/>
        <v>INSTRUMENTEIR_INCPTN</v>
      </c>
      <c r="B40" s="34" t="s">
        <v>125</v>
      </c>
      <c r="C40" s="34" t="s">
        <v>5</v>
      </c>
      <c r="D40" s="34" t="str">
        <f>+UPPER('0. Instruções'!$D$35&amp;"."&amp;VLOOKUP(B40,'0. Instruções'!$C$27:$D$32,2,FALSE))</f>
        <v>CD_LOAN_TAPES_BCE.LT002_INSTRUMENT</v>
      </c>
      <c r="E40" s="34" t="str">
        <f>+UPPER('0. Instruções'!$D$36&amp;"."&amp;VLOOKUP(B40,'0. Instruções'!$C$27:$E$32,3,FALSE))</f>
        <v>BU_LOANTAPE_WORK.LT002_INSTRUMENT_SRB</v>
      </c>
      <c r="F40" s="34" t="s">
        <v>500</v>
      </c>
      <c r="G40" s="34"/>
      <c r="H40" s="34" t="s">
        <v>90</v>
      </c>
      <c r="I40" s="34" t="str">
        <f>"(SELECT "&amp;VLOOKUP(B40,'0. Instruções'!$C$27:$G$32,4,FALSE)&amp;", "&amp;F40&amp;" FROM "&amp;D40&amp;" WHERE "&amp;'0. Instruções'!$D$42&amp;")X"</f>
        <v>(SELECT instrmnt_id, EIR_INCPTN FROM CD_LOAN_TAPES_BCE.LT002_INSTRUMENT WHERE ref_date='${ref_date}' AND nome_perimetro='Individual Corporativo' AND segmento='ESTR' AND ambito='PM' AND entidade='00100')X</v>
      </c>
      <c r="J40" s="34" t="str">
        <f>"(SELECT "&amp;VLOOKUP(B40,'0. Instruções'!$C$27:$G$32,4,FALSE)&amp;" AS "&amp;VLOOKUP(B40,'0. Instruções'!$C$27:$G$32,4,FALSE)&amp;"_SIMUL, "&amp;F40&amp;" AS "&amp;F40&amp;"_SIMUL FROM "&amp;E40&amp;" WHERE "&amp;'0. Instruções'!$D$43&amp;")Y"</f>
        <v>(SELECT instrmnt_id AS instrmnt_id_SIMUL, EIR_INCPTN AS EIR_INCPTN_SIMUL FROM BU_LOANTAPE_WORK.LT002_INSTRUMENT_SRB WHERE ref_date='${ref_date}' AND nome_perimetro='Individual Corporativo' AND segmento='ESTR' AND ambito='PILAR3' AND entidade='00100')Y</v>
      </c>
      <c r="K40" s="35" t="str">
        <f>+UPPER("ON X."&amp;VLOOKUP(B40,'0. Instruções'!$C$27:$G$32,4,FALSE)&amp;"=Y."&amp;VLOOKUP(B40,'0. Instruções'!$C$27:$G$32,4,FALSE)&amp;"_SIMUL")</f>
        <v>ON X.INSTRMNT_ID=Y.INSTRMNT_ID_SIMUL</v>
      </c>
      <c r="L40" s="35" t="str">
        <f>+IF(C40="Coerência", +IF(LEFT(G40,5)="FLOAT","SELECT '"&amp;UPPER(B40)&amp;"' AS TABELA, '"&amp;UPPER(C40)&amp;"' AS TIPOLOGIA_TESTE,'"&amp;D40&amp;"' AS TABELA_LT,'"&amp;E40&amp;"' AS TABELA_SIMUL,'"&amp;F40&amp;"' AS CAMPO, "&amp;"'${ref_date}' AS REF_DATE, COUNT(*) AS NUM_REG, SUM(IF((ABS(COALESCE(CAST(X."&amp;F40&amp;" AS DECIMAL(18,6)),0)-COALESCE(CAST(Y."&amp;F40&amp;"_SIMUL AS DECIMAL(18,6)),0))&gt;0.000001) OR (X."&amp;F40&amp;" IS NULL AND Y."&amp;F40&amp;"_SIMUL IS NOT NULL ) OR (X."&amp;F40&amp;" IS NOT NULL AND Y."&amp;F40&amp;"_SIMUL IS NULL),1,0)) AS NUM_REG_DIF,'"&amp;MAX('ID1&amp;5'!K:K)+1&amp;"' AS ID_EXEC, CURRENT_TIMESTAMP() AS TIME_EXEC FROM "&amp;I40&amp;" INNER JOIN "&amp;J40&amp;" "&amp;K40,"SELECT '"&amp;UPPER(B40)&amp;"' AS TABELA, '"&amp;UPPER(C40)&amp;"' AS TIPOLOGIA_TESTE,'"&amp;D40&amp;"' AS TABELA_LT,'"&amp;E40&amp;"' AS TABELA_SIMUL,'"&amp;F40&amp;"' AS CAMPO, "&amp;"'${ref_date}' AS REF_DATE, COUNT(*) AS NUM_REG, SUM(IF(COALESCE(CAST(X."&amp;F40&amp;" AS STRING),'')&lt;&gt;COALESCE(CAST(Y."&amp;F40&amp;"_SIMUL AS STRING),'') OR (X."&amp;F40&amp;" IS NULL AND Y."&amp;F40&amp;"_SIMUL IS NOT NULL ) OR (X."&amp;F40&amp;" IS NOT NULL AND Y."&amp;F40&amp;"_SIMUL IS NULL),1,0)) AS NUM_REG_DIF,'"&amp;MAX('ID1&amp;5'!L:L)+1&amp;"' AS ID_EXEC, CURRENT_TIMESTAMP() AS TIME_EXEC FROM "&amp;I40&amp;" INNER JOIN "&amp;J40&amp;" "&amp;K40),
IF(C40="Validade",+IF(G40="Code List","SELECT '"&amp;UPPER(B40)&amp;"' AS TABELA, '"&amp;UPPER(C40)&amp;"' AS TIPOLOGIA_TESTE,'"&amp;D40&amp;"' AS TABELA_LT,'N/A' AS TABELA_SIMUL,'"&amp;F40&amp;"' AS CAMPO, "&amp;"'${ref_date}' AS REF_DATE, COUNT(*) AS NUM_REG, SUM(IF(TRIM(CAST(X."&amp;F40&amp;" AS STRING))='' OR TRIM(CAST(X."&amp;F40&amp;" AS STRING)) IS NULL OR CAST(X."&amp;F40&amp;" AS STRING) NOT "&amp;H40&amp;",1,0)) AS NUM_REG_DIF,'"&amp;MAX('ID1&amp;5'!K:K)+1&amp;"' AS ID_EXEC, CURRENT_TIMESTAMP() AS TIME_EXEC FROM "&amp;I40,"SELECT '"&amp;UPPER(B40)&amp;"' AS TABELA, '"&amp;UPPER(C40)&amp;"' AS TIPOLOGIA_TESTE,'"&amp;D40&amp;"' AS TABELA_LT,'N/A' AS TABELA_SIMUL,'"&amp;F40&amp;"' AS CAMPO, "&amp;"'${ref_date}' AS REF_DATE, COUNT(*) AS NUM_REG, SUM(IF(TRIM(CAST(X."&amp;F40&amp;" AS STRING))='' OR TRIM(CAST(X."&amp;F40&amp;" AS STRING)) IS NULL,1,0)) AS NUM_REG_DIF,'"&amp;MAX('ID1&amp;5'!K:K)+1&amp;"' AS ID_EXEC, CURRENT_TIMESTAMP() AS TIME_EXEC FROM "&amp;I40),
IF(C40="Caracteres Especiais",+"SELECT '"&amp;UPPER(B40)&amp;"' AS TABELA, '"&amp;UPPER(C40)&amp;"' AS TIPOLOGIA_TESTE,'"&amp;D40&amp;"' AS TABELA_LT,'N/A' AS TABELA_SIMUL,'"&amp;F40&amp;"' AS CAMPO, "&amp;"'${ref_date}' AS REF_DATE, COUNT(*) AS NUM_REG, SUM(IF(REGEXP_REPLACE(TRIM(CAST(X."&amp;F40&amp;" AS STRING)),'[^a-zA-Z0-9_\\s]','') &lt;&gt;TRIM(CAST(X."&amp;F40&amp;" AS STRING)),1,0)) AS NUM_REG_DIF,'"&amp;MAX('ID1&amp;5'!K:K)+1&amp;"' AS ID_EXEC, CURRENT_TIMESTAMP() AS TIME_EXEC FROM "&amp;I40,
IF(C40="Missings",+"SELECT '"&amp;UPPER(B40)&amp;"' AS TABELA, '"&amp;UPPER(C40)&amp;"' AS TIPOLOGIA_TESTE,'"&amp;D40&amp;"' AS TABELA_LT,'N/A' AS TABELA_SIMUL,'"&amp;F40&amp;"' AS CAMPO, "&amp;"'${ref_date}' AS REF_DATE, COUNT(*) AS NUM_REG, SUM(IF(TRIM(CAST(X."&amp;F40&amp;" AS STRING)) IN ('0000-00-00','0001-01-01','9999-12-31','MISS','00000','99999999999','99999999999.00','99999999999.000000'),1,0)) AS NUM_REG_DIF,'"&amp;MAX('ID1&amp;5'!K:K)+1&amp;"' AS ID_EXEC, CURRENT_TIMESTAMP() AS TIME_EXEC FROM "&amp;I40,
IF(C40="Not applicable",+"SELECT '"&amp;UPPER(B40)&amp;"' AS TABELA, '"&amp;UPPER(C40)&amp;"' AS TIPOLOGIA_TESTE,'"&amp;D40&amp;"' AS TABELA_LT,'N/A' AS TABELA_SIMUL,'"&amp;F40&amp;"' AS CAMPO, "&amp;"'${ref_date}' AS REF_DATE, COUNT(*) AS NUM_REG, SUM(IF(TRIM(CAST(X."&amp;F40&amp;" AS STRING)) IN ('N/A','11111111111','11111111111.00','11111111111.000000','1111-11-11'),1,0)) AS NUM_REG_DIF,'"&amp;MAX('ID1&amp;5'!K:K)+1&amp;"' AS ID_EXEC, CURRENT_TIMESTAMP() AS TIME_EXEC FROM "&amp;I40,
IF(C40="Valores extremos",+"SELECT '"&amp;UPPER(B40)&amp;"' AS TABELA, '"&amp;UPPER(C40)&amp;"' AS TIPOLOGIA_TESTE,'"&amp;D40&amp;"' AS TABELA_LT,'N/A' AS TABELA_SIMUL,'"&amp;F40&amp;"' AS CAMPO, "&amp;"'${ref_date}' AS REF_DATE, CAST(MIN("&amp;F40&amp;") AS STRING) AS VALOR_MIN, CAST(MAX("&amp;F40&amp;") AS STRING) AS VALOR_MAX,'"&amp;MAX('ID1&amp;5'!K:K)+1&amp;"' AS ID_EXEC, CURRENT_TIMESTAMP() AS TIME_EXEC FROM "&amp;MID(I40,1,LEN(I40)-2)&amp;" AND CAST("&amp;F40&amp;"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TABELA_SIMUL,'EIR_INCPTN' AS CAMPO, '${ref_date}' AS REF_DATE, COUNT(*) AS NUM_REG, SUM(IF(COALESCE(CAST(X.EIR_INCPTN AS STRING),'')&lt;&gt;COALESCE(CAST(Y.EIR_INCPTN_SIMUL AS STRING),'') OR (X.EIR_INCPTN IS NULL AND Y.EIR_INCPTN_SIMUL IS NOT NULL ) OR (X.EIR_INCPTN IS NOT NULL AND Y.EIR_INCPTN_SIMUL IS NULL),1,0)) AS NUM_REG_DIF,'1' AS ID_EXEC, CURRENT_TIMESTAMP() AS TIME_EXEC FROM (SELECT instrmnt_id, EIR_INCPTN FROM CD_LOAN_TAPES_BCE.LT002_INSTRUMENT WHERE ref_date='${ref_date}' AND nome_perimetro='Individual Corporativo' AND segmento='ESTR' AND ambito='PM' AND entidade='00100')X INNER JOIN (SELECT instrmnt_id AS instrmnt_id_SIMUL, EIR_INCPTN AS EIR_INCPTN_SIMUL FROM BU_LOANTAPE_WORK.LT002_INSTRUMENT_SRB WHERE ref_date='${ref_date}' AND nome_perimetro='Individual Corporativo' AND segmento='ESTR' AND ambito='PILAR3' AND entidade='00100')Y ON X.INSTRMNT_ID=Y.INSTRMNT_ID_SIMUL</v>
      </c>
      <c r="M40" s="36" t="str">
        <f t="shared" si="0"/>
        <v>UNION ALL SELECT 'INSTRUMENT' AS TABELA, 'COERÊNCIA' AS TIPOLOGIA_TESTE,'CD_LOAN_TAPES_BCE.LT002_INSTRUMENT' AS TABELA_LT,'BU_LOANTAPE_WORK.LT002_INSTRUMENT_SRB' AS TABELA_SIMUL,'EIR_INCPTN' AS CAMPO, '${ref_date}' AS REF_DATE, COUNT(*) AS NUM_REG, SUM(IF(COALESCE(CAST(X.EIR_INCPTN AS STRING),'')&lt;&gt;COALESCE(CAST(Y.EIR_INCPTN_SIMUL AS STRING),'') OR (X.EIR_INCPTN IS NULL AND Y.EIR_INCPTN_SIMUL IS NOT NULL ) OR (X.EIR_INCPTN IS NOT NULL AND Y.EIR_INCPTN_SIMUL IS NULL),1,0)) AS NUM_REG_DIF,'1' AS ID_EXEC, CURRENT_TIMESTAMP() AS TIME_EXEC FROM (SELECT instrmnt_id, EIR_INCPTN FROM CD_LOAN_TAPES_BCE.LT002_INSTRUMENT WHERE ref_date='${ref_date}' AND nome_perimetro='Individual Corporativo' AND segmento='ESTR' AND ambito='PM' AND entidade='00100')X INNER JOIN (SELECT instrmnt_id AS instrmnt_id_SIMUL, EIR_INCPTN AS EIR_INCPTN_SIMUL FROM BU_LOANTAPE_WORK.LT002_INSTRUMENT_SRB WHERE ref_date='${ref_date}' AND nome_perimetro='Individual Corporativo' AND segmento='ESTR' AND ambito='PILAR3' AND entidade='00100')Y ON X.INSTRMNT_ID=Y.INSTRMNT_ID_SIMUL</v>
      </c>
      <c r="N40" s="38" t="s">
        <v>45</v>
      </c>
    </row>
    <row r="41" spans="1:14" hidden="1">
      <c r="A41" s="60" t="str">
        <f t="shared" si="1"/>
        <v>INSTRUMENTISSR_CNTRY</v>
      </c>
      <c r="B41" s="34" t="s">
        <v>125</v>
      </c>
      <c r="C41" s="34" t="s">
        <v>5</v>
      </c>
      <c r="D41" s="34" t="str">
        <f>+UPPER('0. Instruções'!$D$35&amp;"."&amp;VLOOKUP(B41,'0. Instruções'!$C$27:$D$32,2,FALSE))</f>
        <v>CD_LOAN_TAPES_BCE.LT002_INSTRUMENT</v>
      </c>
      <c r="E41" s="34" t="str">
        <f>+UPPER('0. Instruções'!$D$36&amp;"."&amp;VLOOKUP(B41,'0. Instruções'!$C$27:$E$32,3,FALSE))</f>
        <v>BU_LOANTAPE_WORK.LT002_INSTRUMENT_SRB</v>
      </c>
      <c r="F41" s="34" t="s">
        <v>104</v>
      </c>
      <c r="G41" s="34"/>
      <c r="H41" s="34" t="s">
        <v>88</v>
      </c>
      <c r="I41" s="34" t="str">
        <f>"(SELECT "&amp;VLOOKUP(B41,'0. Instruções'!$C$27:$G$32,4,FALSE)&amp;", "&amp;F41&amp;" FROM "&amp;D41&amp;" WHERE "&amp;'0. Instruções'!$D$42&amp;")X"</f>
        <v>(SELECT instrmnt_id, ISSR_CNTRY FROM CD_LOAN_TAPES_BCE.LT002_INSTRUMENT WHERE ref_date='${ref_date}' AND nome_perimetro='Individual Corporativo' AND segmento='ESTR' AND ambito='PM' AND entidade='00100')X</v>
      </c>
      <c r="J41" s="34" t="str">
        <f>"(SELECT "&amp;VLOOKUP(B41,'0. Instruções'!$C$27:$G$32,4,FALSE)&amp;" AS "&amp;VLOOKUP(B41,'0. Instruções'!$C$27:$G$32,4,FALSE)&amp;"_SIMUL, "&amp;F41&amp;" AS "&amp;F41&amp;"_SIMUL FROM "&amp;E41&amp;" WHERE "&amp;'0. Instruções'!$D$43&amp;")Y"</f>
        <v>(SELECT instrmnt_id AS instrmnt_id_SIMUL, ISSR_CNTRY AS ISSR_CNTRY_SIMUL FROM BU_LOANTAPE_WORK.LT002_INSTRUMENT_SRB WHERE ref_date='${ref_date}' AND nome_perimetro='Individual Corporativo' AND segmento='ESTR' AND ambito='PILAR3' AND entidade='00100')Y</v>
      </c>
      <c r="K41" s="35" t="str">
        <f>+UPPER("ON X."&amp;VLOOKUP(B41,'0. Instruções'!$C$27:$G$32,4,FALSE)&amp;"=Y."&amp;VLOOKUP(B41,'0. Instruções'!$C$27:$G$32,4,FALSE)&amp;"_SIMUL")</f>
        <v>ON X.INSTRMNT_ID=Y.INSTRMNT_ID_SIMUL</v>
      </c>
      <c r="L41" s="35" t="str">
        <f>+IF(C41="Coerência", +IF(LEFT(G41,5)="FLOAT","SELECT '"&amp;UPPER(B41)&amp;"' AS TABELA, '"&amp;UPPER(C41)&amp;"' AS TIPOLOGIA_TESTE,'"&amp;D41&amp;"' AS TABELA_LT,'"&amp;E41&amp;"' AS TABELA_SIMUL,'"&amp;F41&amp;"' AS CAMPO, "&amp;"'${ref_date}' AS REF_DATE, COUNT(*) AS NUM_REG, SUM(IF((ABS(COALESCE(CAST(X."&amp;F41&amp;" AS DECIMAL(18,6)),0)-COALESCE(CAST(Y."&amp;F41&amp;"_SIMUL AS DECIMAL(18,6)),0))&gt;0.000001) OR (X."&amp;F41&amp;" IS NULL AND Y."&amp;F41&amp;"_SIMUL IS NOT NULL ) OR (X."&amp;F41&amp;" IS NOT NULL AND Y."&amp;F41&amp;"_SIMUL IS NULL),1,0)) AS NUM_REG_DIF,'"&amp;MAX('ID1&amp;5'!K:K)+1&amp;"' AS ID_EXEC, CURRENT_TIMESTAMP() AS TIME_EXEC FROM "&amp;I41&amp;" INNER JOIN "&amp;J41&amp;" "&amp;K41,"SELECT '"&amp;UPPER(B41)&amp;"' AS TABELA, '"&amp;UPPER(C41)&amp;"' AS TIPOLOGIA_TESTE,'"&amp;D41&amp;"' AS TABELA_LT,'"&amp;E41&amp;"' AS TABELA_SIMUL,'"&amp;F41&amp;"' AS CAMPO, "&amp;"'${ref_date}' AS REF_DATE, COUNT(*) AS NUM_REG, SUM(IF(COALESCE(CAST(X."&amp;F41&amp;" AS STRING),'')&lt;&gt;COALESCE(CAST(Y."&amp;F41&amp;"_SIMUL AS STRING),'') OR (X."&amp;F41&amp;" IS NULL AND Y."&amp;F41&amp;"_SIMUL IS NOT NULL ) OR (X."&amp;F41&amp;" IS NOT NULL AND Y."&amp;F41&amp;"_SIMUL IS NULL),1,0)) AS NUM_REG_DIF,'"&amp;MAX('ID1&amp;5'!L:L)+1&amp;"' AS ID_EXEC, CURRENT_TIMESTAMP() AS TIME_EXEC FROM "&amp;I41&amp;" INNER JOIN "&amp;J41&amp;" "&amp;K41),
IF(C41="Validade",+IF(G41="Code List","SELECT '"&amp;UPPER(B41)&amp;"' AS TABELA, '"&amp;UPPER(C41)&amp;"' AS TIPOLOGIA_TESTE,'"&amp;D41&amp;"' AS TABELA_LT,'N/A' AS TABELA_SIMUL,'"&amp;F41&amp;"' AS CAMPO, "&amp;"'${ref_date}' AS REF_DATE, COUNT(*) AS NUM_REG, SUM(IF(TRIM(CAST(X."&amp;F41&amp;" AS STRING))='' OR TRIM(CAST(X."&amp;F41&amp;" AS STRING)) IS NULL OR CAST(X."&amp;F41&amp;" AS STRING) NOT "&amp;H41&amp;",1,0)) AS NUM_REG_DIF,'"&amp;MAX('ID1&amp;5'!K:K)+1&amp;"' AS ID_EXEC, CURRENT_TIMESTAMP() AS TIME_EXEC FROM "&amp;I41,"SELECT '"&amp;UPPER(B41)&amp;"' AS TABELA, '"&amp;UPPER(C41)&amp;"' AS TIPOLOGIA_TESTE,'"&amp;D41&amp;"' AS TABELA_LT,'N/A' AS TABELA_SIMUL,'"&amp;F41&amp;"' AS CAMPO, "&amp;"'${ref_date}' AS REF_DATE, COUNT(*) AS NUM_REG, SUM(IF(TRIM(CAST(X."&amp;F41&amp;" AS STRING))='' OR TRIM(CAST(X."&amp;F41&amp;" AS STRING)) IS NULL,1,0)) AS NUM_REG_DIF,'"&amp;MAX('ID1&amp;5'!K:K)+1&amp;"' AS ID_EXEC, CURRENT_TIMESTAMP() AS TIME_EXEC FROM "&amp;I41),
IF(C41="Caracteres Especiais",+"SELECT '"&amp;UPPER(B41)&amp;"' AS TABELA, '"&amp;UPPER(C41)&amp;"' AS TIPOLOGIA_TESTE,'"&amp;D41&amp;"' AS TABELA_LT,'N/A' AS TABELA_SIMUL,'"&amp;F41&amp;"' AS CAMPO, "&amp;"'${ref_date}' AS REF_DATE, COUNT(*) AS NUM_REG, SUM(IF(REGEXP_REPLACE(TRIM(CAST(X."&amp;F41&amp;" AS STRING)),'[^a-zA-Z0-9_\\s]','') &lt;&gt;TRIM(CAST(X."&amp;F41&amp;" AS STRING)),1,0)) AS NUM_REG_DIF,'"&amp;MAX('ID1&amp;5'!K:K)+1&amp;"' AS ID_EXEC, CURRENT_TIMESTAMP() AS TIME_EXEC FROM "&amp;I41,
IF(C41="Missings",+"SELECT '"&amp;UPPER(B41)&amp;"' AS TABELA, '"&amp;UPPER(C41)&amp;"' AS TIPOLOGIA_TESTE,'"&amp;D41&amp;"' AS TABELA_LT,'N/A' AS TABELA_SIMUL,'"&amp;F41&amp;"' AS CAMPO, "&amp;"'${ref_date}' AS REF_DATE, COUNT(*) AS NUM_REG, SUM(IF(TRIM(CAST(X."&amp;F41&amp;" AS STRING)) IN ('0000-00-00','0001-01-01','9999-12-31','MISS','00000','99999999999','99999999999.00','99999999999.000000'),1,0)) AS NUM_REG_DIF,'"&amp;MAX('ID1&amp;5'!K:K)+1&amp;"' AS ID_EXEC, CURRENT_TIMESTAMP() AS TIME_EXEC FROM "&amp;I41,
IF(C41="Not applicable",+"SELECT '"&amp;UPPER(B41)&amp;"' AS TABELA, '"&amp;UPPER(C41)&amp;"' AS TIPOLOGIA_TESTE,'"&amp;D41&amp;"' AS TABELA_LT,'N/A' AS TABELA_SIMUL,'"&amp;F41&amp;"' AS CAMPO, "&amp;"'${ref_date}' AS REF_DATE, COUNT(*) AS NUM_REG, SUM(IF(TRIM(CAST(X."&amp;F41&amp;" AS STRING)) IN ('N/A','11111111111','11111111111.00','11111111111.000000','1111-11-11'),1,0)) AS NUM_REG_DIF,'"&amp;MAX('ID1&amp;5'!K:K)+1&amp;"' AS ID_EXEC, CURRENT_TIMESTAMP() AS TIME_EXEC FROM "&amp;I41,
IF(C41="Valores extremos",+"SELECT '"&amp;UPPER(B41)&amp;"' AS TABELA, '"&amp;UPPER(C41)&amp;"' AS TIPOLOGIA_TESTE,'"&amp;D41&amp;"' AS TABELA_LT,'N/A' AS TABELA_SIMUL,'"&amp;F41&amp;"' AS CAMPO, "&amp;"'${ref_date}' AS REF_DATE, CAST(MIN("&amp;F41&amp;") AS STRING) AS VALOR_MIN, CAST(MAX("&amp;F41&amp;") AS STRING) AS VALOR_MAX,'"&amp;MAX('ID1&amp;5'!K:K)+1&amp;"' AS ID_EXEC, CURRENT_TIMESTAMP() AS TIME_EXEC FROM "&amp;MID(I41,1,LEN(I41)-2)&amp;" AND CAST("&amp;F41&amp;"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TABELA_SIMUL,'ISSR_CNTRY' AS CAMPO, '${ref_date}' AS REF_DATE, COUNT(*) AS NUM_REG, SUM(IF(COALESCE(CAST(X.ISSR_CNTRY AS STRING),'')&lt;&gt;COALESCE(CAST(Y.ISSR_CNTRY_SIMUL AS STRING),'') OR (X.ISSR_CNTRY IS NULL AND Y.ISSR_CNTRY_SIMUL IS NOT NULL ) OR (X.ISSR_CNTRY IS NOT NULL AND Y.ISSR_CNTRY_SIMUL IS NULL),1,0)) AS NUM_REG_DIF,'1' AS ID_EXEC, CURRENT_TIMESTAMP() AS TIME_EXEC FROM (SELECT instrmnt_id, ISSR_CNTRY FROM CD_LOAN_TAPES_BCE.LT002_INSTRUMENT WHERE ref_date='${ref_date}' AND nome_perimetro='Individual Corporativo' AND segmento='ESTR' AND ambito='PM' AND entidade='00100')X INNER JOIN (SELECT instrmnt_id AS instrmnt_id_SIMUL, ISSR_CNTRY AS ISSR_CNTRY_SIMUL FROM BU_LOANTAPE_WORK.LT002_INSTRUMENT_SRB WHERE ref_date='${ref_date}' AND nome_perimetro='Individual Corporativo' AND segmento='ESTR' AND ambito='PILAR3' AND entidade='00100')Y ON X.INSTRMNT_ID=Y.INSTRMNT_ID_SIMUL</v>
      </c>
      <c r="M41" s="36" t="str">
        <f t="shared" si="0"/>
        <v>UNION ALL SELECT 'INSTRUMENT' AS TABELA, 'COERÊNCIA' AS TIPOLOGIA_TESTE,'CD_LOAN_TAPES_BCE.LT002_INSTRUMENT' AS TABELA_LT,'BU_LOANTAPE_WORK.LT002_INSTRUMENT_SRB' AS TABELA_SIMUL,'ISSR_CNTRY' AS CAMPO, '${ref_date}' AS REF_DATE, COUNT(*) AS NUM_REG, SUM(IF(COALESCE(CAST(X.ISSR_CNTRY AS STRING),'')&lt;&gt;COALESCE(CAST(Y.ISSR_CNTRY_SIMUL AS STRING),'') OR (X.ISSR_CNTRY IS NULL AND Y.ISSR_CNTRY_SIMUL IS NOT NULL ) OR (X.ISSR_CNTRY IS NOT NULL AND Y.ISSR_CNTRY_SIMUL IS NULL),1,0)) AS NUM_REG_DIF,'1' AS ID_EXEC, CURRENT_TIMESTAMP() AS TIME_EXEC FROM (SELECT instrmnt_id, ISSR_CNTRY FROM CD_LOAN_TAPES_BCE.LT002_INSTRUMENT WHERE ref_date='${ref_date}' AND nome_perimetro='Individual Corporativo' AND segmento='ESTR' AND ambito='PM' AND entidade='00100')X INNER JOIN (SELECT instrmnt_id AS instrmnt_id_SIMUL, ISSR_CNTRY AS ISSR_CNTRY_SIMUL FROM BU_LOANTAPE_WORK.LT002_INSTRUMENT_SRB WHERE ref_date='${ref_date}' AND nome_perimetro='Individual Corporativo' AND segmento='ESTR' AND ambito='PILAR3' AND entidade='00100')Y ON X.INSTRMNT_ID=Y.INSTRMNT_ID_SIMUL</v>
      </c>
      <c r="N41" s="38" t="s">
        <v>45</v>
      </c>
    </row>
    <row r="42" spans="1:14" hidden="1">
      <c r="A42" s="60" t="str">
        <f t="shared" si="1"/>
        <v>INSTRUMENTISSR_NACE_SCTR</v>
      </c>
      <c r="B42" s="34" t="s">
        <v>125</v>
      </c>
      <c r="C42" s="34" t="s">
        <v>5</v>
      </c>
      <c r="D42" s="34" t="str">
        <f>+UPPER('0. Instruções'!$D$35&amp;"."&amp;VLOOKUP(B42,'0. Instruções'!$C$27:$D$32,2,FALSE))</f>
        <v>CD_LOAN_TAPES_BCE.LT002_INSTRUMENT</v>
      </c>
      <c r="E42" s="34" t="str">
        <f>+UPPER('0. Instruções'!$D$36&amp;"."&amp;VLOOKUP(B42,'0. Instruções'!$C$27:$E$32,3,FALSE))</f>
        <v>BU_LOANTAPE_WORK.LT002_INSTRUMENT_SRB</v>
      </c>
      <c r="F42" s="34" t="s">
        <v>105</v>
      </c>
      <c r="G42" s="34"/>
      <c r="H42" s="34" t="s">
        <v>88</v>
      </c>
      <c r="I42" s="34" t="str">
        <f>"(SELECT "&amp;VLOOKUP(B42,'0. Instruções'!$C$27:$G$32,4,FALSE)&amp;", "&amp;F42&amp;" FROM "&amp;D42&amp;" WHERE "&amp;'0. Instruções'!$D$42&amp;")X"</f>
        <v>(SELECT instrmnt_id, ISSR_NACE_SCTR FROM CD_LOAN_TAPES_BCE.LT002_INSTRUMENT WHERE ref_date='${ref_date}' AND nome_perimetro='Individual Corporativo' AND segmento='ESTR' AND ambito='PM' AND entidade='00100')X</v>
      </c>
      <c r="J42" s="34" t="str">
        <f>"(SELECT "&amp;VLOOKUP(B42,'0. Instruções'!$C$27:$G$32,4,FALSE)&amp;" AS "&amp;VLOOKUP(B42,'0. Instruções'!$C$27:$G$32,4,FALSE)&amp;"_SIMUL, "&amp;F42&amp;" AS "&amp;F42&amp;"_SIMUL FROM "&amp;E42&amp;" WHERE "&amp;'0. Instruções'!$D$43&amp;")Y"</f>
        <v>(SELECT instrmnt_id AS instrmnt_id_SIMUL, ISSR_NACE_SCTR AS ISSR_NACE_SCTR_SIMUL FROM BU_LOANTAPE_WORK.LT002_INSTRUMENT_SRB WHERE ref_date='${ref_date}' AND nome_perimetro='Individual Corporativo' AND segmento='ESTR' AND ambito='PILAR3' AND entidade='00100')Y</v>
      </c>
      <c r="K42" s="35" t="str">
        <f>+UPPER("ON X."&amp;VLOOKUP(B42,'0. Instruções'!$C$27:$G$32,4,FALSE)&amp;"=Y."&amp;VLOOKUP(B42,'0. Instruções'!$C$27:$G$32,4,FALSE)&amp;"_SIMUL")</f>
        <v>ON X.INSTRMNT_ID=Y.INSTRMNT_ID_SIMUL</v>
      </c>
      <c r="L42" s="35" t="str">
        <f>+IF(C42="Coerência", +IF(LEFT(G42,5)="FLOAT","SELECT '"&amp;UPPER(B42)&amp;"' AS TABELA, '"&amp;UPPER(C42)&amp;"' AS TIPOLOGIA_TESTE,'"&amp;D42&amp;"' AS TABELA_LT,'"&amp;E42&amp;"' AS TABELA_SIMUL,'"&amp;F42&amp;"' AS CAMPO, "&amp;"'${ref_date}' AS REF_DATE, COUNT(*) AS NUM_REG, SUM(IF((ABS(COALESCE(CAST(X."&amp;F42&amp;" AS DECIMAL(18,6)),0)-COALESCE(CAST(Y."&amp;F42&amp;"_SIMUL AS DECIMAL(18,6)),0))&gt;0.000001) OR (X."&amp;F42&amp;" IS NULL AND Y."&amp;F42&amp;"_SIMUL IS NOT NULL ) OR (X."&amp;F42&amp;" IS NOT NULL AND Y."&amp;F42&amp;"_SIMUL IS NULL),1,0)) AS NUM_REG_DIF,'"&amp;MAX('ID1&amp;5'!K:K)+1&amp;"' AS ID_EXEC, CURRENT_TIMESTAMP() AS TIME_EXEC FROM "&amp;I42&amp;" INNER JOIN "&amp;J42&amp;" "&amp;K42,"SELECT '"&amp;UPPER(B42)&amp;"' AS TABELA, '"&amp;UPPER(C42)&amp;"' AS TIPOLOGIA_TESTE,'"&amp;D42&amp;"' AS TABELA_LT,'"&amp;E42&amp;"' AS TABELA_SIMUL,'"&amp;F42&amp;"' AS CAMPO, "&amp;"'${ref_date}' AS REF_DATE, COUNT(*) AS NUM_REG, SUM(IF(COALESCE(CAST(X."&amp;F42&amp;" AS STRING),'')&lt;&gt;COALESCE(CAST(Y."&amp;F42&amp;"_SIMUL AS STRING),'') OR (X."&amp;F42&amp;" IS NULL AND Y."&amp;F42&amp;"_SIMUL IS NOT NULL ) OR (X."&amp;F42&amp;" IS NOT NULL AND Y."&amp;F42&amp;"_SIMUL IS NULL),1,0)) AS NUM_REG_DIF,'"&amp;MAX('ID1&amp;5'!L:L)+1&amp;"' AS ID_EXEC, CURRENT_TIMESTAMP() AS TIME_EXEC FROM "&amp;I42&amp;" INNER JOIN "&amp;J42&amp;" "&amp;K42),
IF(C42="Validade",+IF(G42="Code List","SELECT '"&amp;UPPER(B42)&amp;"' AS TABELA, '"&amp;UPPER(C42)&amp;"' AS TIPOLOGIA_TESTE,'"&amp;D42&amp;"' AS TABELA_LT,'N/A' AS TABELA_SIMUL,'"&amp;F42&amp;"' AS CAMPO, "&amp;"'${ref_date}' AS REF_DATE, COUNT(*) AS NUM_REG, SUM(IF(TRIM(CAST(X."&amp;F42&amp;" AS STRING))='' OR TRIM(CAST(X."&amp;F42&amp;" AS STRING)) IS NULL OR CAST(X."&amp;F42&amp;" AS STRING) NOT "&amp;H42&amp;",1,0)) AS NUM_REG_DIF,'"&amp;MAX('ID1&amp;5'!K:K)+1&amp;"' AS ID_EXEC, CURRENT_TIMESTAMP() AS TIME_EXEC FROM "&amp;I42,"SELECT '"&amp;UPPER(B42)&amp;"' AS TABELA, '"&amp;UPPER(C42)&amp;"' AS TIPOLOGIA_TESTE,'"&amp;D42&amp;"' AS TABELA_LT,'N/A' AS TABELA_SIMUL,'"&amp;F42&amp;"' AS CAMPO, "&amp;"'${ref_date}' AS REF_DATE, COUNT(*) AS NUM_REG, SUM(IF(TRIM(CAST(X."&amp;F42&amp;" AS STRING))='' OR TRIM(CAST(X."&amp;F42&amp;" AS STRING)) IS NULL,1,0)) AS NUM_REG_DIF,'"&amp;MAX('ID1&amp;5'!K:K)+1&amp;"' AS ID_EXEC, CURRENT_TIMESTAMP() AS TIME_EXEC FROM "&amp;I42),
IF(C42="Caracteres Especiais",+"SELECT '"&amp;UPPER(B42)&amp;"' AS TABELA, '"&amp;UPPER(C42)&amp;"' AS TIPOLOGIA_TESTE,'"&amp;D42&amp;"' AS TABELA_LT,'N/A' AS TABELA_SIMUL,'"&amp;F42&amp;"' AS CAMPO, "&amp;"'${ref_date}' AS REF_DATE, COUNT(*) AS NUM_REG, SUM(IF(REGEXP_REPLACE(TRIM(CAST(X."&amp;F42&amp;" AS STRING)),'[^a-zA-Z0-9_\\s]','') &lt;&gt;TRIM(CAST(X."&amp;F42&amp;" AS STRING)),1,0)) AS NUM_REG_DIF,'"&amp;MAX('ID1&amp;5'!K:K)+1&amp;"' AS ID_EXEC, CURRENT_TIMESTAMP() AS TIME_EXEC FROM "&amp;I42,
IF(C42="Missings",+"SELECT '"&amp;UPPER(B42)&amp;"' AS TABELA, '"&amp;UPPER(C42)&amp;"' AS TIPOLOGIA_TESTE,'"&amp;D42&amp;"' AS TABELA_LT,'N/A' AS TABELA_SIMUL,'"&amp;F42&amp;"' AS CAMPO, "&amp;"'${ref_date}' AS REF_DATE, COUNT(*) AS NUM_REG, SUM(IF(TRIM(CAST(X."&amp;F42&amp;" AS STRING)) IN ('0000-00-00','0001-01-01','9999-12-31','MISS','00000','99999999999','99999999999.00','99999999999.000000'),1,0)) AS NUM_REG_DIF,'"&amp;MAX('ID1&amp;5'!K:K)+1&amp;"' AS ID_EXEC, CURRENT_TIMESTAMP() AS TIME_EXEC FROM "&amp;I42,
IF(C42="Not applicable",+"SELECT '"&amp;UPPER(B42)&amp;"' AS TABELA, '"&amp;UPPER(C42)&amp;"' AS TIPOLOGIA_TESTE,'"&amp;D42&amp;"' AS TABELA_LT,'N/A' AS TABELA_SIMUL,'"&amp;F42&amp;"' AS CAMPO, "&amp;"'${ref_date}' AS REF_DATE, COUNT(*) AS NUM_REG, SUM(IF(TRIM(CAST(X."&amp;F42&amp;" AS STRING)) IN ('N/A','11111111111','11111111111.00','11111111111.000000','1111-11-11'),1,0)) AS NUM_REG_DIF,'"&amp;MAX('ID1&amp;5'!K:K)+1&amp;"' AS ID_EXEC, CURRENT_TIMESTAMP() AS TIME_EXEC FROM "&amp;I42,
IF(C42="Valores extremos",+"SELECT '"&amp;UPPER(B42)&amp;"' AS TABELA, '"&amp;UPPER(C42)&amp;"' AS TIPOLOGIA_TESTE,'"&amp;D42&amp;"' AS TABELA_LT,'N/A' AS TABELA_SIMUL,'"&amp;F42&amp;"' AS CAMPO, "&amp;"'${ref_date}' AS REF_DATE, CAST(MIN("&amp;F42&amp;") AS STRING) AS VALOR_MIN, CAST(MAX("&amp;F42&amp;") AS STRING) AS VALOR_MAX,'"&amp;MAX('ID1&amp;5'!K:K)+1&amp;"' AS ID_EXEC, CURRENT_TIMESTAMP() AS TIME_EXEC FROM "&amp;MID(I42,1,LEN(I42)-2)&amp;" AND CAST("&amp;F42&amp;"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TABELA_SIMUL,'ISSR_NACE_SCTR' AS CAMPO, '${ref_date}' AS REF_DATE, COUNT(*) AS NUM_REG, SUM(IF(COALESCE(CAST(X.ISSR_NACE_SCTR AS STRING),'')&lt;&gt;COALESCE(CAST(Y.ISSR_NACE_SCTR_SIMUL AS STRING),'') OR (X.ISSR_NACE_SCTR IS NULL AND Y.ISSR_NACE_SCTR_SIMUL IS NOT NULL ) OR (X.ISSR_NACE_SCTR IS NOT NULL AND Y.ISSR_NACE_SCTR_SIMUL IS NULL),1,0)) AS NUM_REG_DIF,'1' AS ID_EXEC, CURRENT_TIMESTAMP() AS TIME_EXEC FROM (SELECT instrmnt_id, ISSR_NACE_SCTR FROM CD_LOAN_TAPES_BCE.LT002_INSTRUMENT WHERE ref_date='${ref_date}' AND nome_perimetro='Individual Corporativo' AND segmento='ESTR' AND ambito='PM' AND entidade='00100')X INNER JOIN (SELECT instrmnt_id AS instrmnt_id_SIMUL, ISSR_NACE_SCTR AS ISSR_NACE_SCTR_SIMUL FROM BU_LOANTAPE_WORK.LT002_INSTRUMENT_SRB WHERE ref_date='${ref_date}' AND nome_perimetro='Individual Corporativo' AND segmento='ESTR' AND ambito='PILAR3' AND entidade='00100')Y ON X.INSTRMNT_ID=Y.INSTRMNT_ID_SIMUL</v>
      </c>
      <c r="M42" s="36" t="str">
        <f t="shared" si="0"/>
        <v>UNION ALL SELECT 'INSTRUMENT' AS TABELA, 'COERÊNCIA' AS TIPOLOGIA_TESTE,'CD_LOAN_TAPES_BCE.LT002_INSTRUMENT' AS TABELA_LT,'BU_LOANTAPE_WORK.LT002_INSTRUMENT_SRB' AS TABELA_SIMUL,'ISSR_NACE_SCTR' AS CAMPO, '${ref_date}' AS REF_DATE, COUNT(*) AS NUM_REG, SUM(IF(COALESCE(CAST(X.ISSR_NACE_SCTR AS STRING),'')&lt;&gt;COALESCE(CAST(Y.ISSR_NACE_SCTR_SIMUL AS STRING),'') OR (X.ISSR_NACE_SCTR IS NULL AND Y.ISSR_NACE_SCTR_SIMUL IS NOT NULL ) OR (X.ISSR_NACE_SCTR IS NOT NULL AND Y.ISSR_NACE_SCTR_SIMUL IS NULL),1,0)) AS NUM_REG_DIF,'1' AS ID_EXEC, CURRENT_TIMESTAMP() AS TIME_EXEC FROM (SELECT instrmnt_id, ISSR_NACE_SCTR FROM CD_LOAN_TAPES_BCE.LT002_INSTRUMENT WHERE ref_date='${ref_date}' AND nome_perimetro='Individual Corporativo' AND segmento='ESTR' AND ambito='PM' AND entidade='00100')X INNER JOIN (SELECT instrmnt_id AS instrmnt_id_SIMUL, ISSR_NACE_SCTR AS ISSR_NACE_SCTR_SIMUL FROM BU_LOANTAPE_WORK.LT002_INSTRUMENT_SRB WHERE ref_date='${ref_date}' AND nome_perimetro='Individual Corporativo' AND segmento='ESTR' AND ambito='PILAR3' AND entidade='00100')Y ON X.INSTRMNT_ID=Y.INSTRMNT_ID_SIMUL</v>
      </c>
      <c r="N42" s="38" t="s">
        <v>45</v>
      </c>
    </row>
    <row r="43" spans="1:14" hidden="1">
      <c r="A43" s="60" t="str">
        <f t="shared" si="1"/>
        <v>INSTRUMENTPRMRY_ASST_CLSSF</v>
      </c>
      <c r="B43" s="34" t="s">
        <v>125</v>
      </c>
      <c r="C43" s="34" t="s">
        <v>5</v>
      </c>
      <c r="D43" s="34" t="str">
        <f>+UPPER('0. Instruções'!$D$35&amp;"."&amp;VLOOKUP(B43,'0. Instruções'!$C$27:$D$32,2,FALSE))</f>
        <v>CD_LOAN_TAPES_BCE.LT002_INSTRUMENT</v>
      </c>
      <c r="E43" s="34" t="str">
        <f>+UPPER('0. Instruções'!$D$36&amp;"."&amp;VLOOKUP(B43,'0. Instruções'!$C$27:$E$32,3,FALSE))</f>
        <v>BU_LOANTAPE_WORK.LT002_INSTRUMENT_SRB</v>
      </c>
      <c r="F43" s="34" t="s">
        <v>106</v>
      </c>
      <c r="G43" s="34"/>
      <c r="H43" s="34" t="s">
        <v>88</v>
      </c>
      <c r="I43" s="34" t="str">
        <f>"(SELECT "&amp;VLOOKUP(B43,'0. Instruções'!$C$27:$G$32,4,FALSE)&amp;", "&amp;F43&amp;" FROM "&amp;D43&amp;" WHERE "&amp;'0. Instruções'!$D$42&amp;")X"</f>
        <v>(SELECT instrmnt_id, PRMRY_ASST_CLSSF FROM CD_LOAN_TAPES_BCE.LT002_INSTRUMENT WHERE ref_date='${ref_date}' AND nome_perimetro='Individual Corporativo' AND segmento='ESTR' AND ambito='PM' AND entidade='00100')X</v>
      </c>
      <c r="J43" s="34" t="str">
        <f>"(SELECT "&amp;VLOOKUP(B43,'0. Instruções'!$C$27:$G$32,4,FALSE)&amp;" AS "&amp;VLOOKUP(B43,'0. Instruções'!$C$27:$G$32,4,FALSE)&amp;"_SIMUL, "&amp;F43&amp;" AS "&amp;F43&amp;"_SIMUL FROM "&amp;E43&amp;" WHERE "&amp;'0. Instruções'!$D$43&amp;")Y"</f>
        <v>(SELECT instrmnt_id AS instrmnt_id_SIMUL, PRMRY_ASST_CLSSF AS PRMRY_ASST_CLSSF_SIMUL FROM BU_LOANTAPE_WORK.LT002_INSTRUMENT_SRB WHERE ref_date='${ref_date}' AND nome_perimetro='Individual Corporativo' AND segmento='ESTR' AND ambito='PILAR3' AND entidade='00100')Y</v>
      </c>
      <c r="K43" s="35" t="str">
        <f>+UPPER("ON X."&amp;VLOOKUP(B43,'0. Instruções'!$C$27:$G$32,4,FALSE)&amp;"=Y."&amp;VLOOKUP(B43,'0. Instruções'!$C$27:$G$32,4,FALSE)&amp;"_SIMUL")</f>
        <v>ON X.INSTRMNT_ID=Y.INSTRMNT_ID_SIMUL</v>
      </c>
      <c r="L43" s="35" t="str">
        <f>+IF(C43="Coerência", +IF(LEFT(G43,5)="FLOAT","SELECT '"&amp;UPPER(B43)&amp;"' AS TABELA, '"&amp;UPPER(C43)&amp;"' AS TIPOLOGIA_TESTE,'"&amp;D43&amp;"' AS TABELA_LT,'"&amp;E43&amp;"' AS TABELA_SIMUL,'"&amp;F43&amp;"' AS CAMPO, "&amp;"'${ref_date}' AS REF_DATE, COUNT(*) AS NUM_REG, SUM(IF((ABS(COALESCE(CAST(X."&amp;F43&amp;" AS DECIMAL(18,6)),0)-COALESCE(CAST(Y."&amp;F43&amp;"_SIMUL AS DECIMAL(18,6)),0))&gt;0.000001) OR (X."&amp;F43&amp;" IS NULL AND Y."&amp;F43&amp;"_SIMUL IS NOT NULL ) OR (X."&amp;F43&amp;" IS NOT NULL AND Y."&amp;F43&amp;"_SIMUL IS NULL),1,0)) AS NUM_REG_DIF,'"&amp;MAX('ID1&amp;5'!K:K)+1&amp;"' AS ID_EXEC, CURRENT_TIMESTAMP() AS TIME_EXEC FROM "&amp;I43&amp;" INNER JOIN "&amp;J43&amp;" "&amp;K43,"SELECT '"&amp;UPPER(B43)&amp;"' AS TABELA, '"&amp;UPPER(C43)&amp;"' AS TIPOLOGIA_TESTE,'"&amp;D43&amp;"' AS TABELA_LT,'"&amp;E43&amp;"' AS TABELA_SIMUL,'"&amp;F43&amp;"' AS CAMPO, "&amp;"'${ref_date}' AS REF_DATE, COUNT(*) AS NUM_REG, SUM(IF(COALESCE(CAST(X."&amp;F43&amp;" AS STRING),'')&lt;&gt;COALESCE(CAST(Y."&amp;F43&amp;"_SIMUL AS STRING),'') OR (X."&amp;F43&amp;" IS NULL AND Y."&amp;F43&amp;"_SIMUL IS NOT NULL ) OR (X."&amp;F43&amp;" IS NOT NULL AND Y."&amp;F43&amp;"_SIMUL IS NULL),1,0)) AS NUM_REG_DIF,'"&amp;MAX('ID1&amp;5'!L:L)+1&amp;"' AS ID_EXEC, CURRENT_TIMESTAMP() AS TIME_EXEC FROM "&amp;I43&amp;" INNER JOIN "&amp;J43&amp;" "&amp;K43),
IF(C43="Validade",+IF(G43="Code List","SELECT '"&amp;UPPER(B43)&amp;"' AS TABELA, '"&amp;UPPER(C43)&amp;"' AS TIPOLOGIA_TESTE,'"&amp;D43&amp;"' AS TABELA_LT,'N/A' AS TABELA_SIMUL,'"&amp;F43&amp;"' AS CAMPO, "&amp;"'${ref_date}' AS REF_DATE, COUNT(*) AS NUM_REG, SUM(IF(TRIM(CAST(X."&amp;F43&amp;" AS STRING))='' OR TRIM(CAST(X."&amp;F43&amp;" AS STRING)) IS NULL OR CAST(X."&amp;F43&amp;" AS STRING) NOT "&amp;H43&amp;",1,0)) AS NUM_REG_DIF,'"&amp;MAX('ID1&amp;5'!K:K)+1&amp;"' AS ID_EXEC, CURRENT_TIMESTAMP() AS TIME_EXEC FROM "&amp;I43,"SELECT '"&amp;UPPER(B43)&amp;"' AS TABELA, '"&amp;UPPER(C43)&amp;"' AS TIPOLOGIA_TESTE,'"&amp;D43&amp;"' AS TABELA_LT,'N/A' AS TABELA_SIMUL,'"&amp;F43&amp;"' AS CAMPO, "&amp;"'${ref_date}' AS REF_DATE, COUNT(*) AS NUM_REG, SUM(IF(TRIM(CAST(X."&amp;F43&amp;" AS STRING))='' OR TRIM(CAST(X."&amp;F43&amp;" AS STRING)) IS NULL,1,0)) AS NUM_REG_DIF,'"&amp;MAX('ID1&amp;5'!K:K)+1&amp;"' AS ID_EXEC, CURRENT_TIMESTAMP() AS TIME_EXEC FROM "&amp;I43),
IF(C43="Caracteres Especiais",+"SELECT '"&amp;UPPER(B43)&amp;"' AS TABELA, '"&amp;UPPER(C43)&amp;"' AS TIPOLOGIA_TESTE,'"&amp;D43&amp;"' AS TABELA_LT,'N/A' AS TABELA_SIMUL,'"&amp;F43&amp;"' AS CAMPO, "&amp;"'${ref_date}' AS REF_DATE, COUNT(*) AS NUM_REG, SUM(IF(REGEXP_REPLACE(TRIM(CAST(X."&amp;F43&amp;" AS STRING)),'[^a-zA-Z0-9_\\s]','') &lt;&gt;TRIM(CAST(X."&amp;F43&amp;" AS STRING)),1,0)) AS NUM_REG_DIF,'"&amp;MAX('ID1&amp;5'!K:K)+1&amp;"' AS ID_EXEC, CURRENT_TIMESTAMP() AS TIME_EXEC FROM "&amp;I43,
IF(C43="Missings",+"SELECT '"&amp;UPPER(B43)&amp;"' AS TABELA, '"&amp;UPPER(C43)&amp;"' AS TIPOLOGIA_TESTE,'"&amp;D43&amp;"' AS TABELA_LT,'N/A' AS TABELA_SIMUL,'"&amp;F43&amp;"' AS CAMPO, "&amp;"'${ref_date}' AS REF_DATE, COUNT(*) AS NUM_REG, SUM(IF(TRIM(CAST(X."&amp;F43&amp;" AS STRING)) IN ('0000-00-00','0001-01-01','9999-12-31','MISS','00000','99999999999','99999999999.00','99999999999.000000'),1,0)) AS NUM_REG_DIF,'"&amp;MAX('ID1&amp;5'!K:K)+1&amp;"' AS ID_EXEC, CURRENT_TIMESTAMP() AS TIME_EXEC FROM "&amp;I43,
IF(C43="Not applicable",+"SELECT '"&amp;UPPER(B43)&amp;"' AS TABELA, '"&amp;UPPER(C43)&amp;"' AS TIPOLOGIA_TESTE,'"&amp;D43&amp;"' AS TABELA_LT,'N/A' AS TABELA_SIMUL,'"&amp;F43&amp;"' AS CAMPO, "&amp;"'${ref_date}' AS REF_DATE, COUNT(*) AS NUM_REG, SUM(IF(TRIM(CAST(X."&amp;F43&amp;" AS STRING)) IN ('N/A','11111111111','11111111111.00','11111111111.000000','1111-11-11'),1,0)) AS NUM_REG_DIF,'"&amp;MAX('ID1&amp;5'!K:K)+1&amp;"' AS ID_EXEC, CURRENT_TIMESTAMP() AS TIME_EXEC FROM "&amp;I43,
IF(C43="Valores extremos",+"SELECT '"&amp;UPPER(B43)&amp;"' AS TABELA, '"&amp;UPPER(C43)&amp;"' AS TIPOLOGIA_TESTE,'"&amp;D43&amp;"' AS TABELA_LT,'N/A' AS TABELA_SIMUL,'"&amp;F43&amp;"' AS CAMPO, "&amp;"'${ref_date}' AS REF_DATE, CAST(MIN("&amp;F43&amp;") AS STRING) AS VALOR_MIN, CAST(MAX("&amp;F43&amp;") AS STRING) AS VALOR_MAX,'"&amp;MAX('ID1&amp;5'!K:K)+1&amp;"' AS ID_EXEC, CURRENT_TIMESTAMP() AS TIME_EXEC FROM "&amp;MID(I43,1,LEN(I43)-2)&amp;" AND CAST("&amp;F43&amp;"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TABELA_SIMUL,'PRMRY_ASST_CLSSF' AS CAMPO, '${ref_date}' AS REF_DATE, COUNT(*) AS NUM_REG, SUM(IF(COALESCE(CAST(X.PRMRY_ASST_CLSSF AS STRING),'')&lt;&gt;COALESCE(CAST(Y.PRMRY_ASST_CLSSF_SIMUL AS STRING),'') OR (X.PRMRY_ASST_CLSSF IS NULL AND Y.PRMRY_ASST_CLSSF_SIMUL IS NOT NULL ) OR (X.PRMRY_ASST_CLSSF IS NOT NULL AND Y.PRMRY_ASST_CLSSF_SIMUL IS NULL),1,0)) AS NUM_REG_DIF,'1' AS ID_EXEC, CURRENT_TIMESTAMP() AS TIME_EXEC FROM (SELECT instrmnt_id, PRMRY_ASST_CLSSF FROM CD_LOAN_TAPES_BCE.LT002_INSTRUMENT WHERE ref_date='${ref_date}' AND nome_perimetro='Individual Corporativo' AND segmento='ESTR' AND ambito='PM' AND entidade='00100')X INNER JOIN (SELECT instrmnt_id AS instrmnt_id_SIMUL, PRMRY_ASST_CLSSF AS PRMRY_ASST_CLSSF_SIMUL FROM BU_LOANTAPE_WORK.LT002_INSTRUMENT_SRB WHERE ref_date='${ref_date}' AND nome_perimetro='Individual Corporativo' AND segmento='ESTR' AND ambito='PILAR3' AND entidade='00100')Y ON X.INSTRMNT_ID=Y.INSTRMNT_ID_SIMUL</v>
      </c>
      <c r="M43" s="36" t="str">
        <f t="shared" si="0"/>
        <v>UNION ALL SELECT 'INSTRUMENT' AS TABELA, 'COERÊNCIA' AS TIPOLOGIA_TESTE,'CD_LOAN_TAPES_BCE.LT002_INSTRUMENT' AS TABELA_LT,'BU_LOANTAPE_WORK.LT002_INSTRUMENT_SRB' AS TABELA_SIMUL,'PRMRY_ASST_CLSSF' AS CAMPO, '${ref_date}' AS REF_DATE, COUNT(*) AS NUM_REG, SUM(IF(COALESCE(CAST(X.PRMRY_ASST_CLSSF AS STRING),'')&lt;&gt;COALESCE(CAST(Y.PRMRY_ASST_CLSSF_SIMUL AS STRING),'') OR (X.PRMRY_ASST_CLSSF IS NULL AND Y.PRMRY_ASST_CLSSF_SIMUL IS NOT NULL ) OR (X.PRMRY_ASST_CLSSF IS NOT NULL AND Y.PRMRY_ASST_CLSSF_SIMUL IS NULL),1,0)) AS NUM_REG_DIF,'1' AS ID_EXEC, CURRENT_TIMESTAMP() AS TIME_EXEC FROM (SELECT instrmnt_id, PRMRY_ASST_CLSSF FROM CD_LOAN_TAPES_BCE.LT002_INSTRUMENT WHERE ref_date='${ref_date}' AND nome_perimetro='Individual Corporativo' AND segmento='ESTR' AND ambito='PM' AND entidade='00100')X INNER JOIN (SELECT instrmnt_id AS instrmnt_id_SIMUL, PRMRY_ASST_CLSSF AS PRMRY_ASST_CLSSF_SIMUL FROM BU_LOANTAPE_WORK.LT002_INSTRUMENT_SRB WHERE ref_date='${ref_date}' AND nome_perimetro='Individual Corporativo' AND segmento='ESTR' AND ambito='PILAR3' AND entidade='00100')Y ON X.INSTRMNT_ID=Y.INSTRMNT_ID_SIMUL</v>
      </c>
      <c r="N43" s="38" t="s">
        <v>45</v>
      </c>
    </row>
    <row r="44" spans="1:14" hidden="1">
      <c r="A44" s="60" t="str">
        <f t="shared" si="1"/>
        <v>INSTRUMENTLCL_INSTMRNT_ID</v>
      </c>
      <c r="B44" s="34" t="s">
        <v>125</v>
      </c>
      <c r="C44" s="34" t="s">
        <v>5</v>
      </c>
      <c r="D44" s="34" t="str">
        <f>+UPPER('0. Instruções'!$D$35&amp;"."&amp;VLOOKUP(B44,'0. Instruções'!$C$27:$D$32,2,FALSE))</f>
        <v>CD_LOAN_TAPES_BCE.LT002_INSTRUMENT</v>
      </c>
      <c r="E44" s="34" t="str">
        <f>+UPPER('0. Instruções'!$D$36&amp;"."&amp;VLOOKUP(B44,'0. Instruções'!$C$27:$E$32,3,FALSE))</f>
        <v>BU_LOANTAPE_WORK.LT002_INSTRUMENT_SRB</v>
      </c>
      <c r="F44" s="34" t="s">
        <v>109</v>
      </c>
      <c r="G44" s="34"/>
      <c r="H44" s="34" t="s">
        <v>601</v>
      </c>
      <c r="I44" s="34" t="str">
        <f>"(SELECT "&amp;VLOOKUP(B44,'0. Instruções'!$C$27:$G$32,4,FALSE)&amp;", "&amp;F44&amp;" FROM "&amp;D44&amp;" WHERE "&amp;'0. Instruções'!$D$42&amp;")X"</f>
        <v>(SELECT instrmnt_id, LCL_INSTMRNT_ID FROM CD_LOAN_TAPES_BCE.LT002_INSTRUMENT WHERE ref_date='${ref_date}' AND nome_perimetro='Individual Corporativo' AND segmento='ESTR' AND ambito='PM' AND entidade='00100')X</v>
      </c>
      <c r="J44" s="34" t="str">
        <f>"(SELECT "&amp;VLOOKUP(B44,'0. Instruções'!$C$27:$G$32,4,FALSE)&amp;" AS "&amp;VLOOKUP(B44,'0. Instruções'!$C$27:$G$32,4,FALSE)&amp;"_SIMUL, "&amp;F44&amp;" AS "&amp;F44&amp;"_SIMUL FROM "&amp;E44&amp;" WHERE "&amp;'0. Instruções'!$D$43&amp;")Y"</f>
        <v>(SELECT instrmnt_id AS instrmnt_id_SIMUL, LCL_INSTMRNT_ID AS LCL_INSTMRNT_ID_SIMUL FROM BU_LOANTAPE_WORK.LT002_INSTRUMENT_SRB WHERE ref_date='${ref_date}' AND nome_perimetro='Individual Corporativo' AND segmento='ESTR' AND ambito='PILAR3' AND entidade='00100')Y</v>
      </c>
      <c r="K44" s="35" t="str">
        <f>+UPPER("ON X."&amp;VLOOKUP(B44,'0. Instruções'!$C$27:$G$32,4,FALSE)&amp;"=Y."&amp;VLOOKUP(B44,'0. Instruções'!$C$27:$G$32,4,FALSE)&amp;"_SIMUL")</f>
        <v>ON X.INSTRMNT_ID=Y.INSTRMNT_ID_SIMUL</v>
      </c>
      <c r="L44" s="35" t="str">
        <f>+IF(C44="Coerência", +IF(LEFT(G44,5)="FLOAT","SELECT '"&amp;UPPER(B44)&amp;"' AS TABELA, '"&amp;UPPER(C44)&amp;"' AS TIPOLOGIA_TESTE,'"&amp;D44&amp;"' AS TABELA_LT,'"&amp;E44&amp;"' AS TABELA_SIMUL,'"&amp;F44&amp;"' AS CAMPO, "&amp;"'${ref_date}' AS REF_DATE, COUNT(*) AS NUM_REG, SUM(IF((ABS(COALESCE(CAST(X."&amp;F44&amp;" AS DECIMAL(18,6)),0)-COALESCE(CAST(Y."&amp;F44&amp;"_SIMUL AS DECIMAL(18,6)),0))&gt;0.000001) OR (X."&amp;F44&amp;" IS NULL AND Y."&amp;F44&amp;"_SIMUL IS NOT NULL ) OR (X."&amp;F44&amp;" IS NOT NULL AND Y."&amp;F44&amp;"_SIMUL IS NULL),1,0)) AS NUM_REG_DIF,'"&amp;MAX('ID1&amp;5'!K:K)+1&amp;"' AS ID_EXEC, CURRENT_TIMESTAMP() AS TIME_EXEC FROM "&amp;I44&amp;" INNER JOIN "&amp;J44&amp;" "&amp;K44,"SELECT '"&amp;UPPER(B44)&amp;"' AS TABELA, '"&amp;UPPER(C44)&amp;"' AS TIPOLOGIA_TESTE,'"&amp;D44&amp;"' AS TABELA_LT,'"&amp;E44&amp;"' AS TABELA_SIMUL,'"&amp;F44&amp;"' AS CAMPO, "&amp;"'${ref_date}' AS REF_DATE, COUNT(*) AS NUM_REG, SUM(IF(COALESCE(CAST(X."&amp;F44&amp;" AS STRING),'')&lt;&gt;COALESCE(CAST(Y."&amp;F44&amp;"_SIMUL AS STRING),'') OR (X."&amp;F44&amp;" IS NULL AND Y."&amp;F44&amp;"_SIMUL IS NOT NULL ) OR (X."&amp;F44&amp;" IS NOT NULL AND Y."&amp;F44&amp;"_SIMUL IS NULL),1,0)) AS NUM_REG_DIF,'"&amp;MAX('ID1&amp;5'!L:L)+1&amp;"' AS ID_EXEC, CURRENT_TIMESTAMP() AS TIME_EXEC FROM "&amp;I44&amp;" INNER JOIN "&amp;J44&amp;" "&amp;K44),
IF(C44="Validade",+IF(G44="Code List","SELECT '"&amp;UPPER(B44)&amp;"' AS TABELA, '"&amp;UPPER(C44)&amp;"' AS TIPOLOGIA_TESTE,'"&amp;D44&amp;"' AS TABELA_LT,'N/A' AS TABELA_SIMUL,'"&amp;F44&amp;"' AS CAMPO, "&amp;"'${ref_date}' AS REF_DATE, COUNT(*) AS NUM_REG, SUM(IF(TRIM(CAST(X."&amp;F44&amp;" AS STRING))='' OR TRIM(CAST(X."&amp;F44&amp;" AS STRING)) IS NULL OR CAST(X."&amp;F44&amp;" AS STRING) NOT "&amp;H44&amp;",1,0)) AS NUM_REG_DIF,'"&amp;MAX('ID1&amp;5'!K:K)+1&amp;"' AS ID_EXEC, CURRENT_TIMESTAMP() AS TIME_EXEC FROM "&amp;I44,"SELECT '"&amp;UPPER(B44)&amp;"' AS TABELA, '"&amp;UPPER(C44)&amp;"' AS TIPOLOGIA_TESTE,'"&amp;D44&amp;"' AS TABELA_LT,'N/A' AS TABELA_SIMUL,'"&amp;F44&amp;"' AS CAMPO, "&amp;"'${ref_date}' AS REF_DATE, COUNT(*) AS NUM_REG, SUM(IF(TRIM(CAST(X."&amp;F44&amp;" AS STRING))='' OR TRIM(CAST(X."&amp;F44&amp;" AS STRING)) IS NULL,1,0)) AS NUM_REG_DIF,'"&amp;MAX('ID1&amp;5'!K:K)+1&amp;"' AS ID_EXEC, CURRENT_TIMESTAMP() AS TIME_EXEC FROM "&amp;I44),
IF(C44="Caracteres Especiais",+"SELECT '"&amp;UPPER(B44)&amp;"' AS TABELA, '"&amp;UPPER(C44)&amp;"' AS TIPOLOGIA_TESTE,'"&amp;D44&amp;"' AS TABELA_LT,'N/A' AS TABELA_SIMUL,'"&amp;F44&amp;"' AS CAMPO, "&amp;"'${ref_date}' AS REF_DATE, COUNT(*) AS NUM_REG, SUM(IF(REGEXP_REPLACE(TRIM(CAST(X."&amp;F44&amp;" AS STRING)),'[^a-zA-Z0-9_\\s]','') &lt;&gt;TRIM(CAST(X."&amp;F44&amp;" AS STRING)),1,0)) AS NUM_REG_DIF,'"&amp;MAX('ID1&amp;5'!K:K)+1&amp;"' AS ID_EXEC, CURRENT_TIMESTAMP() AS TIME_EXEC FROM "&amp;I44,
IF(C44="Missings",+"SELECT '"&amp;UPPER(B44)&amp;"' AS TABELA, '"&amp;UPPER(C44)&amp;"' AS TIPOLOGIA_TESTE,'"&amp;D44&amp;"' AS TABELA_LT,'N/A' AS TABELA_SIMUL,'"&amp;F44&amp;"' AS CAMPO, "&amp;"'${ref_date}' AS REF_DATE, COUNT(*) AS NUM_REG, SUM(IF(TRIM(CAST(X."&amp;F44&amp;" AS STRING)) IN ('0000-00-00','0001-01-01','9999-12-31','MISS','00000','99999999999','99999999999.00','99999999999.000000'),1,0)) AS NUM_REG_DIF,'"&amp;MAX('ID1&amp;5'!K:K)+1&amp;"' AS ID_EXEC, CURRENT_TIMESTAMP() AS TIME_EXEC FROM "&amp;I44,
IF(C44="Not applicable",+"SELECT '"&amp;UPPER(B44)&amp;"' AS TABELA, '"&amp;UPPER(C44)&amp;"' AS TIPOLOGIA_TESTE,'"&amp;D44&amp;"' AS TABELA_LT,'N/A' AS TABELA_SIMUL,'"&amp;F44&amp;"' AS CAMPO, "&amp;"'${ref_date}' AS REF_DATE, COUNT(*) AS NUM_REG, SUM(IF(TRIM(CAST(X."&amp;F44&amp;" AS STRING)) IN ('N/A','11111111111','11111111111.00','11111111111.000000','1111-11-11'),1,0)) AS NUM_REG_DIF,'"&amp;MAX('ID1&amp;5'!K:K)+1&amp;"' AS ID_EXEC, CURRENT_TIMESTAMP() AS TIME_EXEC FROM "&amp;I44,
IF(C44="Valores extremos",+"SELECT '"&amp;UPPER(B44)&amp;"' AS TABELA, '"&amp;UPPER(C44)&amp;"' AS TIPOLOGIA_TESTE,'"&amp;D44&amp;"' AS TABELA_LT,'N/A' AS TABELA_SIMUL,'"&amp;F44&amp;"' AS CAMPO, "&amp;"'${ref_date}' AS REF_DATE, CAST(MIN("&amp;F44&amp;") AS STRING) AS VALOR_MIN, CAST(MAX("&amp;F44&amp;") AS STRING) AS VALOR_MAX,'"&amp;MAX('ID1&amp;5'!K:K)+1&amp;"' AS ID_EXEC, CURRENT_TIMESTAMP() AS TIME_EXEC FROM "&amp;MID(I44,1,LEN(I44)-2)&amp;" AND CAST("&amp;F44&amp;"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TABELA_SIMUL,'LCL_INSTMRNT_ID' AS CAMPO, '${ref_date}' AS REF_DATE, COUNT(*) AS NUM_REG, SUM(IF(COALESCE(CAST(X.LCL_INSTMRNT_ID AS STRING),'')&lt;&gt;COALESCE(CAST(Y.LCL_INSTMRNT_ID_SIMUL AS STRING),'') OR (X.LCL_INSTMRNT_ID IS NULL AND Y.LCL_INSTMRNT_ID_SIMUL IS NOT NULL ) OR (X.LCL_INSTMRNT_ID IS NOT NULL AND Y.LCL_INSTMRNT_ID_SIMUL IS NULL),1,0)) AS NUM_REG_DIF,'1' AS ID_EXEC, CURRENT_TIMESTAMP() AS TIME_EXEC FROM (SELECT instrmnt_id, LCL_INSTMRNT_ID FROM CD_LOAN_TAPES_BCE.LT002_INSTRUMENT WHERE ref_date='${ref_date}' AND nome_perimetro='Individual Corporativo' AND segmento='ESTR' AND ambito='PM' AND entidade='00100')X INNER JOIN (SELECT instrmnt_id AS instrmnt_id_SIMUL, LCL_INSTMRNT_ID AS LCL_INSTMRNT_ID_SIMUL FROM BU_LOANTAPE_WORK.LT002_INSTRUMENT_SRB WHERE ref_date='${ref_date}' AND nome_perimetro='Individual Corporativo' AND segmento='ESTR' AND ambito='PILAR3' AND entidade='00100')Y ON X.INSTRMNT_ID=Y.INSTRMNT_ID_SIMUL</v>
      </c>
      <c r="M44" s="36" t="str">
        <f t="shared" si="0"/>
        <v>UNION ALL SELECT 'INSTRUMENT' AS TABELA, 'COERÊNCIA' AS TIPOLOGIA_TESTE,'CD_LOAN_TAPES_BCE.LT002_INSTRUMENT' AS TABELA_LT,'BU_LOANTAPE_WORK.LT002_INSTRUMENT_SRB' AS TABELA_SIMUL,'LCL_INSTMRNT_ID' AS CAMPO, '${ref_date}' AS REF_DATE, COUNT(*) AS NUM_REG, SUM(IF(COALESCE(CAST(X.LCL_INSTMRNT_ID AS STRING),'')&lt;&gt;COALESCE(CAST(Y.LCL_INSTMRNT_ID_SIMUL AS STRING),'') OR (X.LCL_INSTMRNT_ID IS NULL AND Y.LCL_INSTMRNT_ID_SIMUL IS NOT NULL ) OR (X.LCL_INSTMRNT_ID IS NOT NULL AND Y.LCL_INSTMRNT_ID_SIMUL IS NULL),1,0)) AS NUM_REG_DIF,'1' AS ID_EXEC, CURRENT_TIMESTAMP() AS TIME_EXEC FROM (SELECT instrmnt_id, LCL_INSTMRNT_ID FROM CD_LOAN_TAPES_BCE.LT002_INSTRUMENT WHERE ref_date='${ref_date}' AND nome_perimetro='Individual Corporativo' AND segmento='ESTR' AND ambito='PM' AND entidade='00100')X INNER JOIN (SELECT instrmnt_id AS instrmnt_id_SIMUL, LCL_INSTMRNT_ID AS LCL_INSTMRNT_ID_SIMUL FROM BU_LOANTAPE_WORK.LT002_INSTRUMENT_SRB WHERE ref_date='${ref_date}' AND nome_perimetro='Individual Corporativo' AND segmento='ESTR' AND ambito='PILAR3' AND entidade='00100')Y ON X.INSTRMNT_ID=Y.INSTRMNT_ID_SIMUL</v>
      </c>
      <c r="N44" s="38" t="s">
        <v>45</v>
      </c>
    </row>
    <row r="45" spans="1:14" hidden="1">
      <c r="A45" s="60" t="str">
        <f t="shared" si="1"/>
        <v>INSTRUMENTIDCMB</v>
      </c>
      <c r="B45" s="34" t="s">
        <v>125</v>
      </c>
      <c r="C45" s="34" t="s">
        <v>5</v>
      </c>
      <c r="D45" s="34" t="str">
        <f>+UPPER('0. Instruções'!$D$35&amp;"."&amp;VLOOKUP(B45,'0. Instruções'!$C$27:$D$32,2,FALSE))</f>
        <v>CD_LOAN_TAPES_BCE.LT002_INSTRUMENT</v>
      </c>
      <c r="E45" s="34" t="str">
        <f>+UPPER('0. Instruções'!$D$36&amp;"."&amp;VLOOKUP(B45,'0. Instruções'!$C$27:$E$32,3,FALSE))</f>
        <v>BU_LOANTAPE_WORK.LT002_INSTRUMENT_SRB</v>
      </c>
      <c r="F45" s="34" t="s">
        <v>110</v>
      </c>
      <c r="G45" s="34"/>
      <c r="H45" s="34" t="s">
        <v>597</v>
      </c>
      <c r="I45" s="34" t="str">
        <f>"(SELECT "&amp;VLOOKUP(B45,'0. Instruções'!$C$27:$G$32,4,FALSE)&amp;", "&amp;F45&amp;" FROM "&amp;D45&amp;" WHERE "&amp;'0. Instruções'!$D$42&amp;")X"</f>
        <v>(SELECT instrmnt_id, IDCMB FROM CD_LOAN_TAPES_BCE.LT002_INSTRUMENT WHERE ref_date='${ref_date}' AND nome_perimetro='Individual Corporativo' AND segmento='ESTR' AND ambito='PM' AND entidade='00100')X</v>
      </c>
      <c r="J45" s="34" t="str">
        <f>"(SELECT "&amp;VLOOKUP(B45,'0. Instruções'!$C$27:$G$32,4,FALSE)&amp;" AS "&amp;VLOOKUP(B45,'0. Instruções'!$C$27:$G$32,4,FALSE)&amp;"_SIMUL, "&amp;F45&amp;" AS "&amp;F45&amp;"_SIMUL FROM "&amp;E45&amp;" WHERE "&amp;'0. Instruções'!$D$43&amp;")Y"</f>
        <v>(SELECT instrmnt_id AS instrmnt_id_SIMUL, IDCMB AS IDCMB_SIMUL FROM BU_LOANTAPE_WORK.LT002_INSTRUMENT_SRB WHERE ref_date='${ref_date}' AND nome_perimetro='Individual Corporativo' AND segmento='ESTR' AND ambito='PILAR3' AND entidade='00100')Y</v>
      </c>
      <c r="K45" s="35" t="str">
        <f>+UPPER("ON X."&amp;VLOOKUP(B45,'0. Instruções'!$C$27:$G$32,4,FALSE)&amp;"=Y."&amp;VLOOKUP(B45,'0. Instruções'!$C$27:$G$32,4,FALSE)&amp;"_SIMUL")</f>
        <v>ON X.INSTRMNT_ID=Y.INSTRMNT_ID_SIMUL</v>
      </c>
      <c r="L45" s="35" t="str">
        <f>+IF(C45="Coerência", +IF(LEFT(G45,5)="FLOAT","SELECT '"&amp;UPPER(B45)&amp;"' AS TABELA, '"&amp;UPPER(C45)&amp;"' AS TIPOLOGIA_TESTE,'"&amp;D45&amp;"' AS TABELA_LT,'"&amp;E45&amp;"' AS TABELA_SIMUL,'"&amp;F45&amp;"' AS CAMPO, "&amp;"'${ref_date}' AS REF_DATE, COUNT(*) AS NUM_REG, SUM(IF((ABS(COALESCE(CAST(X."&amp;F45&amp;" AS DECIMAL(18,6)),0)-COALESCE(CAST(Y."&amp;F45&amp;"_SIMUL AS DECIMAL(18,6)),0))&gt;0.000001) OR (X."&amp;F45&amp;" IS NULL AND Y."&amp;F45&amp;"_SIMUL IS NOT NULL ) OR (X."&amp;F45&amp;" IS NOT NULL AND Y."&amp;F45&amp;"_SIMUL IS NULL),1,0)) AS NUM_REG_DIF,'"&amp;MAX('ID1&amp;5'!K:K)+1&amp;"' AS ID_EXEC, CURRENT_TIMESTAMP() AS TIME_EXEC FROM "&amp;I45&amp;" INNER JOIN "&amp;J45&amp;" "&amp;K45,"SELECT '"&amp;UPPER(B45)&amp;"' AS TABELA, '"&amp;UPPER(C45)&amp;"' AS TIPOLOGIA_TESTE,'"&amp;D45&amp;"' AS TABELA_LT,'"&amp;E45&amp;"' AS TABELA_SIMUL,'"&amp;F45&amp;"' AS CAMPO, "&amp;"'${ref_date}' AS REF_DATE, COUNT(*) AS NUM_REG, SUM(IF(COALESCE(CAST(X."&amp;F45&amp;" AS STRING),'')&lt;&gt;COALESCE(CAST(Y."&amp;F45&amp;"_SIMUL AS STRING),'') OR (X."&amp;F45&amp;" IS NULL AND Y."&amp;F45&amp;"_SIMUL IS NOT NULL ) OR (X."&amp;F45&amp;" IS NOT NULL AND Y."&amp;F45&amp;"_SIMUL IS NULL),1,0)) AS NUM_REG_DIF,'"&amp;MAX('ID1&amp;5'!L:L)+1&amp;"' AS ID_EXEC, CURRENT_TIMESTAMP() AS TIME_EXEC FROM "&amp;I45&amp;" INNER JOIN "&amp;J45&amp;" "&amp;K45),
IF(C45="Validade",+IF(G45="Code List","SELECT '"&amp;UPPER(B45)&amp;"' AS TABELA, '"&amp;UPPER(C45)&amp;"' AS TIPOLOGIA_TESTE,'"&amp;D45&amp;"' AS TABELA_LT,'N/A' AS TABELA_SIMUL,'"&amp;F45&amp;"' AS CAMPO, "&amp;"'${ref_date}' AS REF_DATE, COUNT(*) AS NUM_REG, SUM(IF(TRIM(CAST(X."&amp;F45&amp;" AS STRING))='' OR TRIM(CAST(X."&amp;F45&amp;" AS STRING)) IS NULL OR CAST(X."&amp;F45&amp;" AS STRING) NOT "&amp;H45&amp;",1,0)) AS NUM_REG_DIF,'"&amp;MAX('ID1&amp;5'!K:K)+1&amp;"' AS ID_EXEC, CURRENT_TIMESTAMP() AS TIME_EXEC FROM "&amp;I45,"SELECT '"&amp;UPPER(B45)&amp;"' AS TABELA, '"&amp;UPPER(C45)&amp;"' AS TIPOLOGIA_TESTE,'"&amp;D45&amp;"' AS TABELA_LT,'N/A' AS TABELA_SIMUL,'"&amp;F45&amp;"' AS CAMPO, "&amp;"'${ref_date}' AS REF_DATE, COUNT(*) AS NUM_REG, SUM(IF(TRIM(CAST(X."&amp;F45&amp;" AS STRING))='' OR TRIM(CAST(X."&amp;F45&amp;" AS STRING)) IS NULL,1,0)) AS NUM_REG_DIF,'"&amp;MAX('ID1&amp;5'!K:K)+1&amp;"' AS ID_EXEC, CURRENT_TIMESTAMP() AS TIME_EXEC FROM "&amp;I45),
IF(C45="Caracteres Especiais",+"SELECT '"&amp;UPPER(B45)&amp;"' AS TABELA, '"&amp;UPPER(C45)&amp;"' AS TIPOLOGIA_TESTE,'"&amp;D45&amp;"' AS TABELA_LT,'N/A' AS TABELA_SIMUL,'"&amp;F45&amp;"' AS CAMPO, "&amp;"'${ref_date}' AS REF_DATE, COUNT(*) AS NUM_REG, SUM(IF(REGEXP_REPLACE(TRIM(CAST(X."&amp;F45&amp;" AS STRING)),'[^a-zA-Z0-9_\\s]','') &lt;&gt;TRIM(CAST(X."&amp;F45&amp;" AS STRING)),1,0)) AS NUM_REG_DIF,'"&amp;MAX('ID1&amp;5'!K:K)+1&amp;"' AS ID_EXEC, CURRENT_TIMESTAMP() AS TIME_EXEC FROM "&amp;I45,
IF(C45="Missings",+"SELECT '"&amp;UPPER(B45)&amp;"' AS TABELA, '"&amp;UPPER(C45)&amp;"' AS TIPOLOGIA_TESTE,'"&amp;D45&amp;"' AS TABELA_LT,'N/A' AS TABELA_SIMUL,'"&amp;F45&amp;"' AS CAMPO, "&amp;"'${ref_date}' AS REF_DATE, COUNT(*) AS NUM_REG, SUM(IF(TRIM(CAST(X."&amp;F45&amp;" AS STRING)) IN ('0000-00-00','0001-01-01','9999-12-31','MISS','00000','99999999999','99999999999.00','99999999999.000000'),1,0)) AS NUM_REG_DIF,'"&amp;MAX('ID1&amp;5'!K:K)+1&amp;"' AS ID_EXEC, CURRENT_TIMESTAMP() AS TIME_EXEC FROM "&amp;I45,
IF(C45="Not applicable",+"SELECT '"&amp;UPPER(B45)&amp;"' AS TABELA, '"&amp;UPPER(C45)&amp;"' AS TIPOLOGIA_TESTE,'"&amp;D45&amp;"' AS TABELA_LT,'N/A' AS TABELA_SIMUL,'"&amp;F45&amp;"' AS CAMPO, "&amp;"'${ref_date}' AS REF_DATE, COUNT(*) AS NUM_REG, SUM(IF(TRIM(CAST(X."&amp;F45&amp;" AS STRING)) IN ('N/A','11111111111','11111111111.00','11111111111.000000','1111-11-11'),1,0)) AS NUM_REG_DIF,'"&amp;MAX('ID1&amp;5'!K:K)+1&amp;"' AS ID_EXEC, CURRENT_TIMESTAMP() AS TIME_EXEC FROM "&amp;I45,
IF(C45="Valores extremos",+"SELECT '"&amp;UPPER(B45)&amp;"' AS TABELA, '"&amp;UPPER(C45)&amp;"' AS TIPOLOGIA_TESTE,'"&amp;D45&amp;"' AS TABELA_LT,'N/A' AS TABELA_SIMUL,'"&amp;F45&amp;"' AS CAMPO, "&amp;"'${ref_date}' AS REF_DATE, CAST(MIN("&amp;F45&amp;") AS STRING) AS VALOR_MIN, CAST(MAX("&amp;F45&amp;") AS STRING) AS VALOR_MAX,'"&amp;MAX('ID1&amp;5'!K:K)+1&amp;"' AS ID_EXEC, CURRENT_TIMESTAMP() AS TIME_EXEC FROM "&amp;MID(I45,1,LEN(I45)-2)&amp;" AND CAST("&amp;F45&amp;"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TABELA_SIMUL,'IDCMB' AS CAMPO, '${ref_date}' AS REF_DATE, COUNT(*) AS NUM_REG, SUM(IF(COALESCE(CAST(X.IDCMB AS STRING),'')&lt;&gt;COALESCE(CAST(Y.IDCMB_SIMUL AS STRING),'') OR (X.IDCMB IS NULL AND Y.IDCMB_SIMUL IS NOT NULL ) OR (X.IDCMB IS NOT NULL AND Y.IDCMB_SIMUL IS NULL),1,0)) AS NUM_REG_DIF,'1' AS ID_EXEC, CURRENT_TIMESTAMP() AS TIME_EXEC FROM (SELECT instrmnt_id, IDCMB FROM CD_LOAN_TAPES_BCE.LT002_INSTRUMENT WHERE ref_date='${ref_date}' AND nome_perimetro='Individual Corporativo' AND segmento='ESTR' AND ambito='PM' AND entidade='00100')X INNER JOIN (SELECT instrmnt_id AS instrmnt_id_SIMUL, IDCMB AS IDCMB_SIMUL FROM BU_LOANTAPE_WORK.LT002_INSTRUMENT_SRB WHERE ref_date='${ref_date}' AND nome_perimetro='Individual Corporativo' AND segmento='ESTR' AND ambito='PILAR3' AND entidade='00100')Y ON X.INSTRMNT_ID=Y.INSTRMNT_ID_SIMUL</v>
      </c>
      <c r="M45" s="36" t="str">
        <f t="shared" si="0"/>
        <v>UNION ALL SELECT 'INSTRUMENT' AS TABELA, 'COERÊNCIA' AS TIPOLOGIA_TESTE,'CD_LOAN_TAPES_BCE.LT002_INSTRUMENT' AS TABELA_LT,'BU_LOANTAPE_WORK.LT002_INSTRUMENT_SRB' AS TABELA_SIMUL,'IDCMB' AS CAMPO, '${ref_date}' AS REF_DATE, COUNT(*) AS NUM_REG, SUM(IF(COALESCE(CAST(X.IDCMB AS STRING),'')&lt;&gt;COALESCE(CAST(Y.IDCMB_SIMUL AS STRING),'') OR (X.IDCMB IS NULL AND Y.IDCMB_SIMUL IS NOT NULL ) OR (X.IDCMB IS NOT NULL AND Y.IDCMB_SIMUL IS NULL),1,0)) AS NUM_REG_DIF,'1' AS ID_EXEC, CURRENT_TIMESTAMP() AS TIME_EXEC FROM (SELECT instrmnt_id, IDCMB FROM CD_LOAN_TAPES_BCE.LT002_INSTRUMENT WHERE ref_date='${ref_date}' AND nome_perimetro='Individual Corporativo' AND segmento='ESTR' AND ambito='PM' AND entidade='00100')X INNER JOIN (SELECT instrmnt_id AS instrmnt_id_SIMUL, IDCMB AS IDCMB_SIMUL FROM BU_LOANTAPE_WORK.LT002_INSTRUMENT_SRB WHERE ref_date='${ref_date}' AND nome_perimetro='Individual Corporativo' AND segmento='ESTR' AND ambito='PILAR3' AND entidade='00100')Y ON X.INSTRMNT_ID=Y.INSTRMNT_ID_SIMUL</v>
      </c>
      <c r="N45" s="38" t="s">
        <v>45</v>
      </c>
    </row>
    <row r="46" spans="1:14" hidden="1">
      <c r="A46" s="60" t="str">
        <f t="shared" si="1"/>
        <v>INSTRUMENTTYP_OFF_BLNC_PRDCT</v>
      </c>
      <c r="B46" s="34" t="s">
        <v>125</v>
      </c>
      <c r="C46" s="34" t="s">
        <v>5</v>
      </c>
      <c r="D46" s="34" t="str">
        <f>+UPPER('0. Instruções'!$D$35&amp;"."&amp;VLOOKUP(B46,'0. Instruções'!$C$27:$D$32,2,FALSE))</f>
        <v>CD_LOAN_TAPES_BCE.LT002_INSTRUMENT</v>
      </c>
      <c r="E46" s="34" t="str">
        <f>+UPPER('0. Instruções'!$D$36&amp;"."&amp;VLOOKUP(B46,'0. Instruções'!$C$27:$E$32,3,FALSE))</f>
        <v>BU_LOANTAPE_WORK.LT002_INSTRUMENT_SRB</v>
      </c>
      <c r="F46" s="34" t="s">
        <v>560</v>
      </c>
      <c r="G46" s="34"/>
      <c r="H46" s="34" t="s">
        <v>88</v>
      </c>
      <c r="I46" s="34" t="str">
        <f>"(SELECT "&amp;VLOOKUP(B46,'0. Instruções'!$C$27:$G$32,4,FALSE)&amp;", "&amp;F46&amp;" FROM "&amp;D46&amp;" WHERE "&amp;'0. Instruções'!$D$42&amp;")X"</f>
        <v>(SELECT instrmnt_id, TYP_OFF_BLNC_PRDCT FROM CD_LOAN_TAPES_BCE.LT002_INSTRUMENT WHERE ref_date='${ref_date}' AND nome_perimetro='Individual Corporativo' AND segmento='ESTR' AND ambito='PM' AND entidade='00100')X</v>
      </c>
      <c r="J46" s="34" t="str">
        <f>"(SELECT "&amp;VLOOKUP(B46,'0. Instruções'!$C$27:$G$32,4,FALSE)&amp;" AS "&amp;VLOOKUP(B46,'0. Instruções'!$C$27:$G$32,4,FALSE)&amp;"_SIMUL, "&amp;F46&amp;" AS "&amp;F46&amp;"_SIMUL FROM "&amp;E46&amp;" WHERE "&amp;'0. Instruções'!$D$43&amp;")Y"</f>
        <v>(SELECT instrmnt_id AS instrmnt_id_SIMUL, TYP_OFF_BLNC_PRDCT AS TYP_OFF_BLNC_PRDCT_SIMUL FROM BU_LOANTAPE_WORK.LT002_INSTRUMENT_SRB WHERE ref_date='${ref_date}' AND nome_perimetro='Individual Corporativo' AND segmento='ESTR' AND ambito='PILAR3' AND entidade='00100')Y</v>
      </c>
      <c r="K46" s="35" t="str">
        <f>+UPPER("ON X."&amp;VLOOKUP(B46,'0. Instruções'!$C$27:$G$32,4,FALSE)&amp;"=Y."&amp;VLOOKUP(B46,'0. Instruções'!$C$27:$G$32,4,FALSE)&amp;"_SIMUL")</f>
        <v>ON X.INSTRMNT_ID=Y.INSTRMNT_ID_SIMUL</v>
      </c>
      <c r="L46" s="35" t="str">
        <f>+IF(C46="Coerência", +IF(LEFT(G46,5)="FLOAT","SELECT '"&amp;UPPER(B46)&amp;"' AS TABELA, '"&amp;UPPER(C46)&amp;"' AS TIPOLOGIA_TESTE,'"&amp;D46&amp;"' AS TABELA_LT,'"&amp;E46&amp;"' AS TABELA_SIMUL,'"&amp;F46&amp;"' AS CAMPO, "&amp;"'${ref_date}' AS REF_DATE, COUNT(*) AS NUM_REG, SUM(IF((ABS(COALESCE(CAST(X."&amp;F46&amp;" AS DECIMAL(18,6)),0)-COALESCE(CAST(Y."&amp;F46&amp;"_SIMUL AS DECIMAL(18,6)),0))&gt;0.000001) OR (X."&amp;F46&amp;" IS NULL AND Y."&amp;F46&amp;"_SIMUL IS NOT NULL ) OR (X."&amp;F46&amp;" IS NOT NULL AND Y."&amp;F46&amp;"_SIMUL IS NULL),1,0)) AS NUM_REG_DIF,'"&amp;MAX('ID1&amp;5'!K:K)+1&amp;"' AS ID_EXEC, CURRENT_TIMESTAMP() AS TIME_EXEC FROM "&amp;I46&amp;" INNER JOIN "&amp;J46&amp;" "&amp;K46,"SELECT '"&amp;UPPER(B46)&amp;"' AS TABELA, '"&amp;UPPER(C46)&amp;"' AS TIPOLOGIA_TESTE,'"&amp;D46&amp;"' AS TABELA_LT,'"&amp;E46&amp;"' AS TABELA_SIMUL,'"&amp;F46&amp;"' AS CAMPO, "&amp;"'${ref_date}' AS REF_DATE, COUNT(*) AS NUM_REG, SUM(IF(COALESCE(CAST(X."&amp;F46&amp;" AS STRING),'')&lt;&gt;COALESCE(CAST(Y."&amp;F46&amp;"_SIMUL AS STRING),'') OR (X."&amp;F46&amp;" IS NULL AND Y."&amp;F46&amp;"_SIMUL IS NOT NULL ) OR (X."&amp;F46&amp;" IS NOT NULL AND Y."&amp;F46&amp;"_SIMUL IS NULL),1,0)) AS NUM_REG_DIF,'"&amp;MAX('ID1&amp;5'!L:L)+1&amp;"' AS ID_EXEC, CURRENT_TIMESTAMP() AS TIME_EXEC FROM "&amp;I46&amp;" INNER JOIN "&amp;J46&amp;" "&amp;K46),
IF(C46="Validade",+IF(G46="Code List","SELECT '"&amp;UPPER(B46)&amp;"' AS TABELA, '"&amp;UPPER(C46)&amp;"' AS TIPOLOGIA_TESTE,'"&amp;D46&amp;"' AS TABELA_LT,'N/A' AS TABELA_SIMUL,'"&amp;F46&amp;"' AS CAMPO, "&amp;"'${ref_date}' AS REF_DATE, COUNT(*) AS NUM_REG, SUM(IF(TRIM(CAST(X."&amp;F46&amp;" AS STRING))='' OR TRIM(CAST(X."&amp;F46&amp;" AS STRING)) IS NULL OR CAST(X."&amp;F46&amp;" AS STRING) NOT "&amp;H46&amp;",1,0)) AS NUM_REG_DIF,'"&amp;MAX('ID1&amp;5'!K:K)+1&amp;"' AS ID_EXEC, CURRENT_TIMESTAMP() AS TIME_EXEC FROM "&amp;I46,"SELECT '"&amp;UPPER(B46)&amp;"' AS TABELA, '"&amp;UPPER(C46)&amp;"' AS TIPOLOGIA_TESTE,'"&amp;D46&amp;"' AS TABELA_LT,'N/A' AS TABELA_SIMUL,'"&amp;F46&amp;"' AS CAMPO, "&amp;"'${ref_date}' AS REF_DATE, COUNT(*) AS NUM_REG, SUM(IF(TRIM(CAST(X."&amp;F46&amp;" AS STRING))='' OR TRIM(CAST(X."&amp;F46&amp;" AS STRING)) IS NULL,1,0)) AS NUM_REG_DIF,'"&amp;MAX('ID1&amp;5'!K:K)+1&amp;"' AS ID_EXEC, CURRENT_TIMESTAMP() AS TIME_EXEC FROM "&amp;I46),
IF(C46="Caracteres Especiais",+"SELECT '"&amp;UPPER(B46)&amp;"' AS TABELA, '"&amp;UPPER(C46)&amp;"' AS TIPOLOGIA_TESTE,'"&amp;D46&amp;"' AS TABELA_LT,'N/A' AS TABELA_SIMUL,'"&amp;F46&amp;"' AS CAMPO, "&amp;"'${ref_date}' AS REF_DATE, COUNT(*) AS NUM_REG, SUM(IF(REGEXP_REPLACE(TRIM(CAST(X."&amp;F46&amp;" AS STRING)),'[^a-zA-Z0-9_\\s]','') &lt;&gt;TRIM(CAST(X."&amp;F46&amp;" AS STRING)),1,0)) AS NUM_REG_DIF,'"&amp;MAX('ID1&amp;5'!K:K)+1&amp;"' AS ID_EXEC, CURRENT_TIMESTAMP() AS TIME_EXEC FROM "&amp;I46,
IF(C46="Missings",+"SELECT '"&amp;UPPER(B46)&amp;"' AS TABELA, '"&amp;UPPER(C46)&amp;"' AS TIPOLOGIA_TESTE,'"&amp;D46&amp;"' AS TABELA_LT,'N/A' AS TABELA_SIMUL,'"&amp;F46&amp;"' AS CAMPO, "&amp;"'${ref_date}' AS REF_DATE, COUNT(*) AS NUM_REG, SUM(IF(TRIM(CAST(X."&amp;F46&amp;" AS STRING)) IN ('0000-00-00','0001-01-01','9999-12-31','MISS','00000','99999999999','99999999999.00','99999999999.000000'),1,0)) AS NUM_REG_DIF,'"&amp;MAX('ID1&amp;5'!K:K)+1&amp;"' AS ID_EXEC, CURRENT_TIMESTAMP() AS TIME_EXEC FROM "&amp;I46,
IF(C46="Not applicable",+"SELECT '"&amp;UPPER(B46)&amp;"' AS TABELA, '"&amp;UPPER(C46)&amp;"' AS TIPOLOGIA_TESTE,'"&amp;D46&amp;"' AS TABELA_LT,'N/A' AS TABELA_SIMUL,'"&amp;F46&amp;"' AS CAMPO, "&amp;"'${ref_date}' AS REF_DATE, COUNT(*) AS NUM_REG, SUM(IF(TRIM(CAST(X."&amp;F46&amp;" AS STRING)) IN ('N/A','11111111111','11111111111.00','11111111111.000000','1111-11-11'),1,0)) AS NUM_REG_DIF,'"&amp;MAX('ID1&amp;5'!K:K)+1&amp;"' AS ID_EXEC, CURRENT_TIMESTAMP() AS TIME_EXEC FROM "&amp;I46,
IF(C46="Valores extremos",+"SELECT '"&amp;UPPER(B46)&amp;"' AS TABELA, '"&amp;UPPER(C46)&amp;"' AS TIPOLOGIA_TESTE,'"&amp;D46&amp;"' AS TABELA_LT,'N/A' AS TABELA_SIMUL,'"&amp;F46&amp;"' AS CAMPO, "&amp;"'${ref_date}' AS REF_DATE, CAST(MIN("&amp;F46&amp;") AS STRING) AS VALOR_MIN, CAST(MAX("&amp;F46&amp;") AS STRING) AS VALOR_MAX,'"&amp;MAX('ID1&amp;5'!K:K)+1&amp;"' AS ID_EXEC, CURRENT_TIMESTAMP() AS TIME_EXEC FROM "&amp;MID(I46,1,LEN(I46)-2)&amp;" AND CAST("&amp;F46&amp;"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TABELA_LT,'BU_LOANTAPE_WORK.LT002_INSTRUMENT_SRB' AS TABELA_SIMUL,'TYP_OFF_BLNC_PRDCT' AS CAMPO, '${ref_date}' AS REF_DATE, COUNT(*) AS NUM_REG, SUM(IF(COALESCE(CAST(X.TYP_OFF_BLNC_PRDCT AS STRING),'')&lt;&gt;COALESCE(CAST(Y.TYP_OFF_BLNC_PRDCT_SIMUL AS STRING),'') OR (X.TYP_OFF_BLNC_PRDCT IS NULL AND Y.TYP_OFF_BLNC_PRDCT_SIMUL IS NOT NULL ) OR (X.TYP_OFF_BLNC_PRDCT IS NOT NULL AND Y.TYP_OFF_BLNC_PRDCT_SIMUL IS NULL),1,0)) AS NUM_REG_DIF,'1' AS ID_EXEC, CURRENT_TIMESTAMP() AS TIME_EXEC FROM (SELECT instrmnt_id, TYP_OFF_BLNC_PRDCT FROM CD_LOAN_TAPES_BCE.LT002_INSTRUMENT WHERE ref_date='${ref_date}' AND nome_perimetro='Individual Corporativo' AND segmento='ESTR' AND ambito='PM' AND entidade='00100')X INNER JOIN (SELECT instrmnt_id AS instrmnt_id_SIMUL, TYP_OFF_BLNC_PRDCT AS TYP_OFF_BLNC_PRDCT_SIMUL FROM BU_LOANTAPE_WORK.LT002_INSTRUMENT_SRB WHERE ref_date='${ref_date}' AND nome_perimetro='Individual Corporativo' AND segmento='ESTR' AND ambito='PILAR3' AND entidade='00100')Y ON X.INSTRMNT_ID=Y.INSTRMNT_ID_SIMUL</v>
      </c>
      <c r="M46" s="36" t="str">
        <f t="shared" si="0"/>
        <v>UNION ALL SELECT 'INSTRUMENT' AS TABELA, 'COERÊNCIA' AS TIPOLOGIA_TESTE,'CD_LOAN_TAPES_BCE.LT002_INSTRUMENT' AS TABELA_LT,'BU_LOANTAPE_WORK.LT002_INSTRUMENT_SRB' AS TABELA_SIMUL,'TYP_OFF_BLNC_PRDCT' AS CAMPO, '${ref_date}' AS REF_DATE, COUNT(*) AS NUM_REG, SUM(IF(COALESCE(CAST(X.TYP_OFF_BLNC_PRDCT AS STRING),'')&lt;&gt;COALESCE(CAST(Y.TYP_OFF_BLNC_PRDCT_SIMUL AS STRING),'') OR (X.TYP_OFF_BLNC_PRDCT IS NULL AND Y.TYP_OFF_BLNC_PRDCT_SIMUL IS NOT NULL ) OR (X.TYP_OFF_BLNC_PRDCT IS NOT NULL AND Y.TYP_OFF_BLNC_PRDCT_SIMUL IS NULL),1,0)) AS NUM_REG_DIF,'1' AS ID_EXEC, CURRENT_TIMESTAMP() AS TIME_EXEC FROM (SELECT instrmnt_id, TYP_OFF_BLNC_PRDCT FROM CD_LOAN_TAPES_BCE.LT002_INSTRUMENT WHERE ref_date='${ref_date}' AND nome_perimetro='Individual Corporativo' AND segmento='ESTR' AND ambito='PM' AND entidade='00100')X INNER JOIN (SELECT instrmnt_id AS instrmnt_id_SIMUL, TYP_OFF_BLNC_PRDCT AS TYP_OFF_BLNC_PRDCT_SIMUL FROM BU_LOANTAPE_WORK.LT002_INSTRUMENT_SRB WHERE ref_date='${ref_date}' AND nome_perimetro='Individual Corporativo' AND segmento='ESTR' AND ambito='PILAR3' AND entidade='00100')Y ON X.INSTRMNT_ID=Y.INSTRMNT_ID_SIMUL</v>
      </c>
      <c r="N46" s="38" t="s">
        <v>45</v>
      </c>
    </row>
    <row r="47" spans="1:14" hidden="1">
      <c r="A47" s="60" t="str">
        <f t="shared" si="1"/>
        <v>INSTR_PROTECTIONCOD_SOC</v>
      </c>
      <c r="B47" s="34" t="s">
        <v>321</v>
      </c>
      <c r="C47" s="34" t="s">
        <v>5</v>
      </c>
      <c r="D47" s="34" t="str">
        <f>+UPPER('0. Instruções'!$D$35&amp;"."&amp;VLOOKUP(B47,'0. Instruções'!$C$27:$D$32,2,FALSE))</f>
        <v>CD_LOAN_TAPES_BCE.LT006_INSTR_PROT</v>
      </c>
      <c r="E47" s="34" t="str">
        <f>+UPPER('0. Instruções'!$D$36&amp;"."&amp;VLOOKUP(B47,'0. Instruções'!$C$27:$E$32,3,FALSE))</f>
        <v>BU_LOANTAPE_WORK.LT006_INSTR_PROT_SRB</v>
      </c>
      <c r="F47" s="34" t="s">
        <v>108</v>
      </c>
      <c r="G47" s="34"/>
      <c r="H47" s="34" t="s">
        <v>595</v>
      </c>
      <c r="I47" s="34" t="str">
        <f>"(SELECT "&amp;VLOOKUP(B47,'0. Instruções'!$C$27:$G$32,4,FALSE)&amp;", "&amp;F47&amp;" FROM "&amp;D47&amp;" WHERE "&amp;'0. Instruções'!$D$42&amp;")X"</f>
        <v>(SELECT instrmnt_id, COD_SOC FROM CD_LOAN_TAPES_BCE.LT006_INSTR_PROT WHERE ref_date='${ref_date}' AND nome_perimetro='Individual Corporativo' AND segmento='ESTR' AND ambito='PM' AND entidade='00100')X</v>
      </c>
      <c r="J47" s="34" t="str">
        <f>"(SELECT "&amp;VLOOKUP(B47,'0. Instruções'!$C$27:$G$32,4,FALSE)&amp;" AS "&amp;VLOOKUP(B47,'0. Instruções'!$C$27:$G$32,4,FALSE)&amp;"_SIMUL, "&amp;F47&amp;" AS "&amp;F47&amp;"_SIMUL FROM "&amp;E47&amp;" WHERE "&amp;'0. Instruções'!$D$43&amp;")Y"</f>
        <v>(SELECT instrmnt_id AS instrmnt_id_SIMUL, COD_SOC AS COD_SOC_SIMUL FROM BU_LOANTAPE_WORK.LT006_INSTR_PROT_SRB WHERE ref_date='${ref_date}' AND nome_perimetro='Individual Corporativo' AND segmento='ESTR' AND ambito='PILAR3' AND entidade='00100')Y</v>
      </c>
      <c r="K47" s="35" t="str">
        <f>+UPPER("ON X."&amp;VLOOKUP(B47,'0. Instruções'!$C$27:$G$32,4,FALSE)&amp;"=Y."&amp;VLOOKUP(B47,'0. Instruções'!$C$27:$G$32,4,FALSE)&amp;"_SIMUL")</f>
        <v>ON X.INSTRMNT_ID=Y.INSTRMNT_ID_SIMUL</v>
      </c>
      <c r="L47" s="35" t="str">
        <f>+IF(C47="Coerência", +IF(LEFT(G47,5)="FLOAT","SELECT '"&amp;UPPER(B47)&amp;"' AS TABELA, '"&amp;UPPER(C47)&amp;"' AS TIPOLOGIA_TESTE,'"&amp;D47&amp;"' AS TABELA_LT,'"&amp;E47&amp;"' AS TABELA_SIMUL,'"&amp;F47&amp;"' AS CAMPO, "&amp;"'${ref_date}' AS REF_DATE, COUNT(*) AS NUM_REG, SUM(IF((ABS(COALESCE(CAST(X."&amp;F47&amp;" AS DECIMAL(18,6)),0)-COALESCE(CAST(Y."&amp;F47&amp;"_SIMUL AS DECIMAL(18,6)),0))&gt;0.000001) OR (X."&amp;F47&amp;" IS NULL AND Y."&amp;F47&amp;"_SIMUL IS NOT NULL ) OR (X."&amp;F47&amp;" IS NOT NULL AND Y."&amp;F47&amp;"_SIMUL IS NULL),1,0)) AS NUM_REG_DIF,'"&amp;MAX('ID1&amp;5'!K:K)+1&amp;"' AS ID_EXEC, CURRENT_TIMESTAMP() AS TIME_EXEC FROM "&amp;I47&amp;" INNER JOIN "&amp;J47&amp;" "&amp;K47,"SELECT '"&amp;UPPER(B47)&amp;"' AS TABELA, '"&amp;UPPER(C47)&amp;"' AS TIPOLOGIA_TESTE,'"&amp;D47&amp;"' AS TABELA_LT,'"&amp;E47&amp;"' AS TABELA_SIMUL,'"&amp;F47&amp;"' AS CAMPO, "&amp;"'${ref_date}' AS REF_DATE, COUNT(*) AS NUM_REG, SUM(IF(COALESCE(CAST(X."&amp;F47&amp;" AS STRING),'')&lt;&gt;COALESCE(CAST(Y."&amp;F47&amp;"_SIMUL AS STRING),'') OR (X."&amp;F47&amp;" IS NULL AND Y."&amp;F47&amp;"_SIMUL IS NOT NULL ) OR (X."&amp;F47&amp;" IS NOT NULL AND Y."&amp;F47&amp;"_SIMUL IS NULL),1,0)) AS NUM_REG_DIF,'"&amp;MAX('ID1&amp;5'!L:L)+1&amp;"' AS ID_EXEC, CURRENT_TIMESTAMP() AS TIME_EXEC FROM "&amp;I47&amp;" INNER JOIN "&amp;J47&amp;" "&amp;K47),
IF(C47="Validade",+IF(G47="Code List","SELECT '"&amp;UPPER(B47)&amp;"' AS TABELA, '"&amp;UPPER(C47)&amp;"' AS TIPOLOGIA_TESTE,'"&amp;D47&amp;"' AS TABELA_LT,'N/A' AS TABELA_SIMUL,'"&amp;F47&amp;"' AS CAMPO, "&amp;"'${ref_date}' AS REF_DATE, COUNT(*) AS NUM_REG, SUM(IF(TRIM(CAST(X."&amp;F47&amp;" AS STRING))='' OR TRIM(CAST(X."&amp;F47&amp;" AS STRING)) IS NULL OR CAST(X."&amp;F47&amp;" AS STRING) NOT "&amp;H47&amp;",1,0)) AS NUM_REG_DIF,'"&amp;MAX('ID1&amp;5'!K:K)+1&amp;"' AS ID_EXEC, CURRENT_TIMESTAMP() AS TIME_EXEC FROM "&amp;I47,"SELECT '"&amp;UPPER(B47)&amp;"' AS TABELA, '"&amp;UPPER(C47)&amp;"' AS TIPOLOGIA_TESTE,'"&amp;D47&amp;"' AS TABELA_LT,'N/A' AS TABELA_SIMUL,'"&amp;F47&amp;"' AS CAMPO, "&amp;"'${ref_date}' AS REF_DATE, COUNT(*) AS NUM_REG, SUM(IF(TRIM(CAST(X."&amp;F47&amp;" AS STRING))='' OR TRIM(CAST(X."&amp;F47&amp;" AS STRING)) IS NULL,1,0)) AS NUM_REG_DIF,'"&amp;MAX('ID1&amp;5'!K:K)+1&amp;"' AS ID_EXEC, CURRENT_TIMESTAMP() AS TIME_EXEC FROM "&amp;I47),
IF(C47="Caracteres Especiais",+"SELECT '"&amp;UPPER(B47)&amp;"' AS TABELA, '"&amp;UPPER(C47)&amp;"' AS TIPOLOGIA_TESTE,'"&amp;D47&amp;"' AS TABELA_LT,'N/A' AS TABELA_SIMUL,'"&amp;F47&amp;"' AS CAMPO, "&amp;"'${ref_date}' AS REF_DATE, COUNT(*) AS NUM_REG, SUM(IF(REGEXP_REPLACE(TRIM(CAST(X."&amp;F47&amp;" AS STRING)),'[^a-zA-Z0-9_\\s]','') &lt;&gt;TRIM(CAST(X."&amp;F47&amp;" AS STRING)),1,0)) AS NUM_REG_DIF,'"&amp;MAX('ID1&amp;5'!K:K)+1&amp;"' AS ID_EXEC, CURRENT_TIMESTAMP() AS TIME_EXEC FROM "&amp;I47,
IF(C47="Missings",+"SELECT '"&amp;UPPER(B47)&amp;"' AS TABELA, '"&amp;UPPER(C47)&amp;"' AS TIPOLOGIA_TESTE,'"&amp;D47&amp;"' AS TABELA_LT,'N/A' AS TABELA_SIMUL,'"&amp;F47&amp;"' AS CAMPO, "&amp;"'${ref_date}' AS REF_DATE, COUNT(*) AS NUM_REG, SUM(IF(TRIM(CAST(X."&amp;F47&amp;" AS STRING)) IN ('0000-00-00','0001-01-01','9999-12-31','MISS','00000','99999999999','99999999999.00','99999999999.000000'),1,0)) AS NUM_REG_DIF,'"&amp;MAX('ID1&amp;5'!K:K)+1&amp;"' AS ID_EXEC, CURRENT_TIMESTAMP() AS TIME_EXEC FROM "&amp;I47,
IF(C47="Not applicable",+"SELECT '"&amp;UPPER(B47)&amp;"' AS TABELA, '"&amp;UPPER(C47)&amp;"' AS TIPOLOGIA_TESTE,'"&amp;D47&amp;"' AS TABELA_LT,'N/A' AS TABELA_SIMUL,'"&amp;F47&amp;"' AS CAMPO, "&amp;"'${ref_date}' AS REF_DATE, COUNT(*) AS NUM_REG, SUM(IF(TRIM(CAST(X."&amp;F47&amp;" AS STRING)) IN ('N/A','11111111111','11111111111.00','11111111111.000000','1111-11-11'),1,0)) AS NUM_REG_DIF,'"&amp;MAX('ID1&amp;5'!K:K)+1&amp;"' AS ID_EXEC, CURRENT_TIMESTAMP() AS TIME_EXEC FROM "&amp;I47,
IF(C47="Valores extremos",+"SELECT '"&amp;UPPER(B47)&amp;"' AS TABELA, '"&amp;UPPER(C47)&amp;"' AS TIPOLOGIA_TESTE,'"&amp;D47&amp;"' AS TABELA_LT,'N/A' AS TABELA_SIMUL,'"&amp;F47&amp;"' AS CAMPO, "&amp;"'${ref_date}' AS REF_DATE, CAST(MIN("&amp;F47&amp;") AS STRING) AS VALOR_MIN, CAST(MAX("&amp;F47&amp;") AS STRING) AS VALOR_MAX,'"&amp;MAX('ID1&amp;5'!K:K)+1&amp;"' AS ID_EXEC, CURRENT_TIMESTAMP() AS TIME_EXEC FROM "&amp;MID(I47,1,LEN(I47)-2)&amp;" AND CAST("&amp;F47&amp;"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TIPOLOGIA_TESTE,'CD_LOAN_TAPES_BCE.LT006_INSTR_PROT' AS TABELA_LT,'BU_LOANTAPE_WORK.LT006_INSTR_PROT_SRB'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CD_LOAN_TAPES_BCE.LT006_INSTR_PROT WHERE ref_date='${ref_date}' AND nome_perimetro='Individual Corporativo' AND segmento='ESTR' AND ambito='PM' AND entidade='00100')X INNER JOIN (SELECT instrmnt_id AS instrmnt_id_SIMUL, COD_SOC AS COD_SOC_SIMUL FROM BU_LOANTAPE_WORK.LT006_INSTR_PROT_SRB WHERE ref_date='${ref_date}' AND nome_perimetro='Individual Corporativo' AND segmento='ESTR' AND ambito='PILAR3' AND entidade='00100')Y ON X.INSTRMNT_ID=Y.INSTRMNT_ID_SIMUL</v>
      </c>
      <c r="M47" s="36" t="str">
        <f t="shared" si="0"/>
        <v>UNION ALL SELECT 'INSTR_PROTECTION' AS TABELA, 'COERÊNCIA' AS TIPOLOGIA_TESTE,'CD_LOAN_TAPES_BCE.LT006_INSTR_PROT' AS TABELA_LT,'BU_LOANTAPE_WORK.LT006_INSTR_PROT_SRB'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CD_LOAN_TAPES_BCE.LT006_INSTR_PROT WHERE ref_date='${ref_date}' AND nome_perimetro='Individual Corporativo' AND segmento='ESTR' AND ambito='PM' AND entidade='00100')X INNER JOIN (SELECT instrmnt_id AS instrmnt_id_SIMUL, COD_SOC AS COD_SOC_SIMUL FROM BU_LOANTAPE_WORK.LT006_INSTR_PROT_SRB WHERE ref_date='${ref_date}' AND nome_perimetro='Individual Corporativo' AND segmento='ESTR' AND ambito='PILAR3' AND entidade='00100')Y ON X.INSTRMNT_ID=Y.INSTRMNT_ID_SIMUL</v>
      </c>
      <c r="N47" s="38" t="s">
        <v>45</v>
      </c>
    </row>
    <row r="48" spans="1:14" hidden="1">
      <c r="A48" s="60" t="str">
        <f t="shared" si="1"/>
        <v>INSTR_PROTECTIONPRTCTN_ALLCTD_VL</v>
      </c>
      <c r="B48" s="34" t="s">
        <v>321</v>
      </c>
      <c r="C48" s="34" t="s">
        <v>5</v>
      </c>
      <c r="D48" s="34" t="str">
        <f>+UPPER('0. Instruções'!$D$35&amp;"."&amp;VLOOKUP(B48,'0. Instruções'!$C$27:$D$32,2,FALSE))</f>
        <v>CD_LOAN_TAPES_BCE.LT006_INSTR_PROT</v>
      </c>
      <c r="E48" s="34" t="str">
        <f>+UPPER('0. Instruções'!$D$36&amp;"."&amp;VLOOKUP(B48,'0. Instruções'!$C$27:$E$32,3,FALSE))</f>
        <v>BU_LOANTAPE_WORK.LT006_INSTR_PROT_SRB</v>
      </c>
      <c r="F48" s="34" t="s">
        <v>561</v>
      </c>
      <c r="G48" s="34"/>
      <c r="H48" s="34" t="s">
        <v>91</v>
      </c>
      <c r="I48" s="34" t="str">
        <f>"(SELECT "&amp;VLOOKUP(B48,'0. Instruções'!$C$27:$G$32,4,FALSE)&amp;", "&amp;F48&amp;" FROM "&amp;D48&amp;" WHERE "&amp;'0. Instruções'!$D$42&amp;")X"</f>
        <v>(SELECT instrmnt_id, PRTCTN_ALLCTD_VL FROM CD_LOAN_TAPES_BCE.LT006_INSTR_PROT WHERE ref_date='${ref_date}' AND nome_perimetro='Individual Corporativo' AND segmento='ESTR' AND ambito='PM' AND entidade='00100')X</v>
      </c>
      <c r="J48" s="34" t="str">
        <f>"(SELECT "&amp;VLOOKUP(B48,'0. Instruções'!$C$27:$G$32,4,FALSE)&amp;" AS "&amp;VLOOKUP(B48,'0. Instruções'!$C$27:$G$32,4,FALSE)&amp;"_SIMUL, "&amp;F48&amp;" AS "&amp;F48&amp;"_SIMUL FROM "&amp;E48&amp;" WHERE "&amp;'0. Instruções'!$D$43&amp;")Y"</f>
        <v>(SELECT instrmnt_id AS instrmnt_id_SIMUL, PRTCTN_ALLCTD_VL AS PRTCTN_ALLCTD_VL_SIMUL FROM BU_LOANTAPE_WORK.LT006_INSTR_PROT_SRB WHERE ref_date='${ref_date}' AND nome_perimetro='Individual Corporativo' AND segmento='ESTR' AND ambito='PILAR3' AND entidade='00100')Y</v>
      </c>
      <c r="K48" s="35" t="str">
        <f>+UPPER("ON X."&amp;VLOOKUP(B48,'0. Instruções'!$C$27:$G$32,4,FALSE)&amp;"=Y."&amp;VLOOKUP(B48,'0. Instruções'!$C$27:$G$32,4,FALSE)&amp;"_SIMUL")</f>
        <v>ON X.INSTRMNT_ID=Y.INSTRMNT_ID_SIMUL</v>
      </c>
      <c r="L48" s="35" t="str">
        <f>+IF(C48="Coerência", +IF(LEFT(G48,5)="FLOAT","SELECT '"&amp;UPPER(B48)&amp;"' AS TABELA, '"&amp;UPPER(C48)&amp;"' AS TIPOLOGIA_TESTE,'"&amp;D48&amp;"' AS TABELA_LT,'"&amp;E48&amp;"' AS TABELA_SIMUL,'"&amp;F48&amp;"' AS CAMPO, "&amp;"'${ref_date}' AS REF_DATE, COUNT(*) AS NUM_REG, SUM(IF((ABS(COALESCE(CAST(X."&amp;F48&amp;" AS DECIMAL(18,6)),0)-COALESCE(CAST(Y."&amp;F48&amp;"_SIMUL AS DECIMAL(18,6)),0))&gt;0.000001) OR (X."&amp;F48&amp;" IS NULL AND Y."&amp;F48&amp;"_SIMUL IS NOT NULL ) OR (X."&amp;F48&amp;" IS NOT NULL AND Y."&amp;F48&amp;"_SIMUL IS NULL),1,0)) AS NUM_REG_DIF,'"&amp;MAX('ID1&amp;5'!K:K)+1&amp;"' AS ID_EXEC, CURRENT_TIMESTAMP() AS TIME_EXEC FROM "&amp;I48&amp;" INNER JOIN "&amp;J48&amp;" "&amp;K48,"SELECT '"&amp;UPPER(B48)&amp;"' AS TABELA, '"&amp;UPPER(C48)&amp;"' AS TIPOLOGIA_TESTE,'"&amp;D48&amp;"' AS TABELA_LT,'"&amp;E48&amp;"' AS TABELA_SIMUL,'"&amp;F48&amp;"' AS CAMPO, "&amp;"'${ref_date}' AS REF_DATE, COUNT(*) AS NUM_REG, SUM(IF(COALESCE(CAST(X."&amp;F48&amp;" AS STRING),'')&lt;&gt;COALESCE(CAST(Y."&amp;F48&amp;"_SIMUL AS STRING),'') OR (X."&amp;F48&amp;" IS NULL AND Y."&amp;F48&amp;"_SIMUL IS NOT NULL ) OR (X."&amp;F48&amp;" IS NOT NULL AND Y."&amp;F48&amp;"_SIMUL IS NULL),1,0)) AS NUM_REG_DIF,'"&amp;MAX('ID1&amp;5'!L:L)+1&amp;"' AS ID_EXEC, CURRENT_TIMESTAMP() AS TIME_EXEC FROM "&amp;I48&amp;" INNER JOIN "&amp;J48&amp;" "&amp;K48),
IF(C48="Validade",+IF(G48="Code List","SELECT '"&amp;UPPER(B48)&amp;"' AS TABELA, '"&amp;UPPER(C48)&amp;"' AS TIPOLOGIA_TESTE,'"&amp;D48&amp;"' AS TABELA_LT,'N/A' AS TABELA_SIMUL,'"&amp;F48&amp;"' AS CAMPO, "&amp;"'${ref_date}' AS REF_DATE, COUNT(*) AS NUM_REG, SUM(IF(TRIM(CAST(X."&amp;F48&amp;" AS STRING))='' OR TRIM(CAST(X."&amp;F48&amp;" AS STRING)) IS NULL OR CAST(X."&amp;F48&amp;" AS STRING) NOT "&amp;H48&amp;",1,0)) AS NUM_REG_DIF,'"&amp;MAX('ID1&amp;5'!K:K)+1&amp;"' AS ID_EXEC, CURRENT_TIMESTAMP() AS TIME_EXEC FROM "&amp;I48,"SELECT '"&amp;UPPER(B48)&amp;"' AS TABELA, '"&amp;UPPER(C48)&amp;"' AS TIPOLOGIA_TESTE,'"&amp;D48&amp;"' AS TABELA_LT,'N/A' AS TABELA_SIMUL,'"&amp;F48&amp;"' AS CAMPO, "&amp;"'${ref_date}' AS REF_DATE, COUNT(*) AS NUM_REG, SUM(IF(TRIM(CAST(X."&amp;F48&amp;" AS STRING))='' OR TRIM(CAST(X."&amp;F48&amp;" AS STRING)) IS NULL,1,0)) AS NUM_REG_DIF,'"&amp;MAX('ID1&amp;5'!K:K)+1&amp;"' AS ID_EXEC, CURRENT_TIMESTAMP() AS TIME_EXEC FROM "&amp;I48),
IF(C48="Caracteres Especiais",+"SELECT '"&amp;UPPER(B48)&amp;"' AS TABELA, '"&amp;UPPER(C48)&amp;"' AS TIPOLOGIA_TESTE,'"&amp;D48&amp;"' AS TABELA_LT,'N/A' AS TABELA_SIMUL,'"&amp;F48&amp;"' AS CAMPO, "&amp;"'${ref_date}' AS REF_DATE, COUNT(*) AS NUM_REG, SUM(IF(REGEXP_REPLACE(TRIM(CAST(X."&amp;F48&amp;" AS STRING)),'[^a-zA-Z0-9_\\s]','') &lt;&gt;TRIM(CAST(X."&amp;F48&amp;" AS STRING)),1,0)) AS NUM_REG_DIF,'"&amp;MAX('ID1&amp;5'!K:K)+1&amp;"' AS ID_EXEC, CURRENT_TIMESTAMP() AS TIME_EXEC FROM "&amp;I48,
IF(C48="Missings",+"SELECT '"&amp;UPPER(B48)&amp;"' AS TABELA, '"&amp;UPPER(C48)&amp;"' AS TIPOLOGIA_TESTE,'"&amp;D48&amp;"' AS TABELA_LT,'N/A' AS TABELA_SIMUL,'"&amp;F48&amp;"' AS CAMPO, "&amp;"'${ref_date}' AS REF_DATE, COUNT(*) AS NUM_REG, SUM(IF(TRIM(CAST(X."&amp;F48&amp;" AS STRING)) IN ('0000-00-00','0001-01-01','9999-12-31','MISS','00000','99999999999','99999999999.00','99999999999.000000'),1,0)) AS NUM_REG_DIF,'"&amp;MAX('ID1&amp;5'!K:K)+1&amp;"' AS ID_EXEC, CURRENT_TIMESTAMP() AS TIME_EXEC FROM "&amp;I48,
IF(C48="Not applicable",+"SELECT '"&amp;UPPER(B48)&amp;"' AS TABELA, '"&amp;UPPER(C48)&amp;"' AS TIPOLOGIA_TESTE,'"&amp;D48&amp;"' AS TABELA_LT,'N/A' AS TABELA_SIMUL,'"&amp;F48&amp;"' AS CAMPO, "&amp;"'${ref_date}' AS REF_DATE, COUNT(*) AS NUM_REG, SUM(IF(TRIM(CAST(X."&amp;F48&amp;" AS STRING)) IN ('N/A','11111111111','11111111111.00','11111111111.000000','1111-11-11'),1,0)) AS NUM_REG_DIF,'"&amp;MAX('ID1&amp;5'!K:K)+1&amp;"' AS ID_EXEC, CURRENT_TIMESTAMP() AS TIME_EXEC FROM "&amp;I48,
IF(C48="Valores extremos",+"SELECT '"&amp;UPPER(B48)&amp;"' AS TABELA, '"&amp;UPPER(C48)&amp;"' AS TIPOLOGIA_TESTE,'"&amp;D48&amp;"' AS TABELA_LT,'N/A' AS TABELA_SIMUL,'"&amp;F48&amp;"' AS CAMPO, "&amp;"'${ref_date}' AS REF_DATE, CAST(MIN("&amp;F48&amp;") AS STRING) AS VALOR_MIN, CAST(MAX("&amp;F48&amp;") AS STRING) AS VALOR_MAX,'"&amp;MAX('ID1&amp;5'!K:K)+1&amp;"' AS ID_EXEC, CURRENT_TIMESTAMP() AS TIME_EXEC FROM "&amp;MID(I48,1,LEN(I48)-2)&amp;" AND CAST("&amp;F48&amp;"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TIPOLOGIA_TESTE,'CD_LOAN_TAPES_BCE.LT006_INSTR_PROT' AS TABELA_LT,'BU_LOANTAPE_WORK.LT006_INSTR_PROT_SRB' AS TABELA_SIMUL,'PRTCTN_ALLCTD_VL' AS CAMPO, '${ref_date}' AS REF_DATE, COUNT(*) AS NUM_REG, SUM(IF(COALESCE(CAST(X.PRTCTN_ALLCTD_VL AS STRING),'')&lt;&gt;COALESCE(CAST(Y.PRTCTN_ALLCTD_VL_SIMUL AS STRING),'') OR (X.PRTCTN_ALLCTD_VL IS NULL AND Y.PRTCTN_ALLCTD_VL_SIMUL IS NOT NULL ) OR (X.PRTCTN_ALLCTD_VL IS NOT NULL AND Y.PRTCTN_ALLCTD_VL_SIMUL IS NULL),1,0)) AS NUM_REG_DIF,'1' AS ID_EXEC, CURRENT_TIMESTAMP() AS TIME_EXEC FROM (SELECT instrmnt_id, PRTCTN_ALLCTD_VL FROM CD_LOAN_TAPES_BCE.LT006_INSTR_PROT WHERE ref_date='${ref_date}' AND nome_perimetro='Individual Corporativo' AND segmento='ESTR' AND ambito='PM' AND entidade='00100')X INNER JOIN (SELECT instrmnt_id AS instrmnt_id_SIMUL, PRTCTN_ALLCTD_VL AS PRTCTN_ALLCTD_VL_SIMUL FROM BU_LOANTAPE_WORK.LT006_INSTR_PROT_SRB WHERE ref_date='${ref_date}' AND nome_perimetro='Individual Corporativo' AND segmento='ESTR' AND ambito='PILAR3' AND entidade='00100')Y ON X.INSTRMNT_ID=Y.INSTRMNT_ID_SIMUL</v>
      </c>
      <c r="M48" s="36" t="str">
        <f t="shared" si="0"/>
        <v>UNION ALL SELECT 'INSTR_PROTECTION' AS TABELA, 'COERÊNCIA' AS TIPOLOGIA_TESTE,'CD_LOAN_TAPES_BCE.LT006_INSTR_PROT' AS TABELA_LT,'BU_LOANTAPE_WORK.LT006_INSTR_PROT_SRB' AS TABELA_SIMUL,'PRTCTN_ALLCTD_VL' AS CAMPO, '${ref_date}' AS REF_DATE, COUNT(*) AS NUM_REG, SUM(IF(COALESCE(CAST(X.PRTCTN_ALLCTD_VL AS STRING),'')&lt;&gt;COALESCE(CAST(Y.PRTCTN_ALLCTD_VL_SIMUL AS STRING),'') OR (X.PRTCTN_ALLCTD_VL IS NULL AND Y.PRTCTN_ALLCTD_VL_SIMUL IS NOT NULL ) OR (X.PRTCTN_ALLCTD_VL IS NOT NULL AND Y.PRTCTN_ALLCTD_VL_SIMUL IS NULL),1,0)) AS NUM_REG_DIF,'1' AS ID_EXEC, CURRENT_TIMESTAMP() AS TIME_EXEC FROM (SELECT instrmnt_id, PRTCTN_ALLCTD_VL FROM CD_LOAN_TAPES_BCE.LT006_INSTR_PROT WHERE ref_date='${ref_date}' AND nome_perimetro='Individual Corporativo' AND segmento='ESTR' AND ambito='PM' AND entidade='00100')X INNER JOIN (SELECT instrmnt_id AS instrmnt_id_SIMUL, PRTCTN_ALLCTD_VL AS PRTCTN_ALLCTD_VL_SIMUL FROM BU_LOANTAPE_WORK.LT006_INSTR_PROT_SRB WHERE ref_date='${ref_date}' AND nome_perimetro='Individual Corporativo' AND segmento='ESTR' AND ambito='PILAR3' AND entidade='00100')Y ON X.INSTRMNT_ID=Y.INSTRMNT_ID_SIMUL</v>
      </c>
      <c r="N48" s="38" t="s">
        <v>45</v>
      </c>
    </row>
    <row r="49" spans="1:14" hidden="1">
      <c r="A49" s="60" t="str">
        <f t="shared" si="1"/>
        <v>PROTECTIONCOD_SOC</v>
      </c>
      <c r="B49" s="34" t="s">
        <v>127</v>
      </c>
      <c r="C49" s="34" t="s">
        <v>5</v>
      </c>
      <c r="D49" s="34" t="str">
        <f>+UPPER('0. Instruções'!$D$35&amp;"."&amp;VLOOKUP(B49,'0. Instruções'!$C$27:$D$32,2,FALSE))</f>
        <v>CD_LOAN_TAPES_BCE.LT004_PROTECTION</v>
      </c>
      <c r="E49" s="34" t="str">
        <f>+UPPER('0. Instruções'!$D$36&amp;"."&amp;VLOOKUP(B49,'0. Instruções'!$C$27:$E$32,3,FALSE))</f>
        <v>BU_LOANTAPE_WORK.LT004_PROTECTION_SRB</v>
      </c>
      <c r="F49" s="34" t="s">
        <v>108</v>
      </c>
      <c r="G49" s="34"/>
      <c r="H49" s="34" t="s">
        <v>595</v>
      </c>
      <c r="I49" s="34" t="str">
        <f>"(SELECT "&amp;VLOOKUP(B49,'0. Instruções'!$C$27:$G$32,4,FALSE)&amp;", "&amp;F49&amp;" FROM "&amp;D49&amp;" WHERE "&amp;'0. Instruções'!$D$42&amp;")X"</f>
        <v>(SELECT prtctn_id, COD_SOC FROM CD_LOAN_TAPES_BCE.LT004_PROTECTION WHERE ref_date='${ref_date}' AND nome_perimetro='Individual Corporativo' AND segmento='ESTR' AND ambito='PM' AND entidade='00100')X</v>
      </c>
      <c r="J49" s="34" t="str">
        <f>"(SELECT "&amp;VLOOKUP(B49,'0. Instruções'!$C$27:$G$32,4,FALSE)&amp;" AS "&amp;VLOOKUP(B49,'0. Instruções'!$C$27:$G$32,4,FALSE)&amp;"_SIMUL, "&amp;F49&amp;" AS "&amp;F49&amp;"_SIMUL FROM "&amp;E49&amp;" WHERE "&amp;'0. Instruções'!$D$43&amp;")Y"</f>
        <v>(SELECT prtctn_id AS prtctn_id_SIMUL, COD_SOC AS COD_SOC_SIMUL FROM BU_LOANTAPE_WORK.LT004_PROTECTION_SRB WHERE ref_date='${ref_date}' AND nome_perimetro='Individual Corporativo' AND segmento='ESTR' AND ambito='PILAR3' AND entidade='00100')Y</v>
      </c>
      <c r="K49" s="35" t="str">
        <f>+UPPER("ON X."&amp;VLOOKUP(B49,'0. Instruções'!$C$27:$G$32,4,FALSE)&amp;"=Y."&amp;VLOOKUP(B49,'0. Instruções'!$C$27:$G$32,4,FALSE)&amp;"_SIMUL")</f>
        <v>ON X.PRTCTN_ID=Y.PRTCTN_ID_SIMUL</v>
      </c>
      <c r="L49" s="35" t="str">
        <f>+IF(C49="Coerência", +IF(LEFT(G49,5)="FLOAT","SELECT '"&amp;UPPER(B49)&amp;"' AS TABELA, '"&amp;UPPER(C49)&amp;"' AS TIPOLOGIA_TESTE,'"&amp;D49&amp;"' AS TABELA_LT,'"&amp;E49&amp;"' AS TABELA_SIMUL,'"&amp;F49&amp;"' AS CAMPO, "&amp;"'${ref_date}' AS REF_DATE, COUNT(*) AS NUM_REG, SUM(IF((ABS(COALESCE(CAST(X."&amp;F49&amp;" AS DECIMAL(18,6)),0)-COALESCE(CAST(Y."&amp;F49&amp;"_SIMUL AS DECIMAL(18,6)),0))&gt;0.000001) OR (X."&amp;F49&amp;" IS NULL AND Y."&amp;F49&amp;"_SIMUL IS NOT NULL ) OR (X."&amp;F49&amp;" IS NOT NULL AND Y."&amp;F49&amp;"_SIMUL IS NULL),1,0)) AS NUM_REG_DIF,'"&amp;MAX('ID1&amp;5'!K:K)+1&amp;"' AS ID_EXEC, CURRENT_TIMESTAMP() AS TIME_EXEC FROM "&amp;I49&amp;" INNER JOIN "&amp;J49&amp;" "&amp;K49,"SELECT '"&amp;UPPER(B49)&amp;"' AS TABELA, '"&amp;UPPER(C49)&amp;"' AS TIPOLOGIA_TESTE,'"&amp;D49&amp;"' AS TABELA_LT,'"&amp;E49&amp;"' AS TABELA_SIMUL,'"&amp;F49&amp;"' AS CAMPO, "&amp;"'${ref_date}' AS REF_DATE, COUNT(*) AS NUM_REG, SUM(IF(COALESCE(CAST(X."&amp;F49&amp;" AS STRING),'')&lt;&gt;COALESCE(CAST(Y."&amp;F49&amp;"_SIMUL AS STRING),'') OR (X."&amp;F49&amp;" IS NULL AND Y."&amp;F49&amp;"_SIMUL IS NOT NULL ) OR (X."&amp;F49&amp;" IS NOT NULL AND Y."&amp;F49&amp;"_SIMUL IS NULL),1,0)) AS NUM_REG_DIF,'"&amp;MAX('ID1&amp;5'!L:L)+1&amp;"' AS ID_EXEC, CURRENT_TIMESTAMP() AS TIME_EXEC FROM "&amp;I49&amp;" INNER JOIN "&amp;J49&amp;" "&amp;K49),
IF(C49="Validade",+IF(G49="Code List","SELECT '"&amp;UPPER(B49)&amp;"' AS TABELA, '"&amp;UPPER(C49)&amp;"' AS TIPOLOGIA_TESTE,'"&amp;D49&amp;"' AS TABELA_LT,'N/A' AS TABELA_SIMUL,'"&amp;F49&amp;"' AS CAMPO, "&amp;"'${ref_date}' AS REF_DATE, COUNT(*) AS NUM_REG, SUM(IF(TRIM(CAST(X."&amp;F49&amp;" AS STRING))='' OR TRIM(CAST(X."&amp;F49&amp;" AS STRING)) IS NULL OR CAST(X."&amp;F49&amp;" AS STRING) NOT "&amp;H49&amp;",1,0)) AS NUM_REG_DIF,'"&amp;MAX('ID1&amp;5'!K:K)+1&amp;"' AS ID_EXEC, CURRENT_TIMESTAMP() AS TIME_EXEC FROM "&amp;I49,"SELECT '"&amp;UPPER(B49)&amp;"' AS TABELA, '"&amp;UPPER(C49)&amp;"' AS TIPOLOGIA_TESTE,'"&amp;D49&amp;"' AS TABELA_LT,'N/A' AS TABELA_SIMUL,'"&amp;F49&amp;"' AS CAMPO, "&amp;"'${ref_date}' AS REF_DATE, COUNT(*) AS NUM_REG, SUM(IF(TRIM(CAST(X."&amp;F49&amp;" AS STRING))='' OR TRIM(CAST(X."&amp;F49&amp;" AS STRING)) IS NULL,1,0)) AS NUM_REG_DIF,'"&amp;MAX('ID1&amp;5'!K:K)+1&amp;"' AS ID_EXEC, CURRENT_TIMESTAMP() AS TIME_EXEC FROM "&amp;I49),
IF(C49="Caracteres Especiais",+"SELECT '"&amp;UPPER(B49)&amp;"' AS TABELA, '"&amp;UPPER(C49)&amp;"' AS TIPOLOGIA_TESTE,'"&amp;D49&amp;"' AS TABELA_LT,'N/A' AS TABELA_SIMUL,'"&amp;F49&amp;"' AS CAMPO, "&amp;"'${ref_date}' AS REF_DATE, COUNT(*) AS NUM_REG, SUM(IF(REGEXP_REPLACE(TRIM(CAST(X."&amp;F49&amp;" AS STRING)),'[^a-zA-Z0-9_\\s]','') &lt;&gt;TRIM(CAST(X."&amp;F49&amp;" AS STRING)),1,0)) AS NUM_REG_DIF,'"&amp;MAX('ID1&amp;5'!K:K)+1&amp;"' AS ID_EXEC, CURRENT_TIMESTAMP() AS TIME_EXEC FROM "&amp;I49,
IF(C49="Missings",+"SELECT '"&amp;UPPER(B49)&amp;"' AS TABELA, '"&amp;UPPER(C49)&amp;"' AS TIPOLOGIA_TESTE,'"&amp;D49&amp;"' AS TABELA_LT,'N/A' AS TABELA_SIMUL,'"&amp;F49&amp;"' AS CAMPO, "&amp;"'${ref_date}' AS REF_DATE, COUNT(*) AS NUM_REG, SUM(IF(TRIM(CAST(X."&amp;F49&amp;" AS STRING)) IN ('0000-00-00','0001-01-01','9999-12-31','MISS','00000','99999999999','99999999999.00','99999999999.000000'),1,0)) AS NUM_REG_DIF,'"&amp;MAX('ID1&amp;5'!K:K)+1&amp;"' AS ID_EXEC, CURRENT_TIMESTAMP() AS TIME_EXEC FROM "&amp;I49,
IF(C49="Not applicable",+"SELECT '"&amp;UPPER(B49)&amp;"' AS TABELA, '"&amp;UPPER(C49)&amp;"' AS TIPOLOGIA_TESTE,'"&amp;D49&amp;"' AS TABELA_LT,'N/A' AS TABELA_SIMUL,'"&amp;F49&amp;"' AS CAMPO, "&amp;"'${ref_date}' AS REF_DATE, COUNT(*) AS NUM_REG, SUM(IF(TRIM(CAST(X."&amp;F49&amp;" AS STRING)) IN ('N/A','11111111111','11111111111.00','11111111111.000000','1111-11-11'),1,0)) AS NUM_REG_DIF,'"&amp;MAX('ID1&amp;5'!K:K)+1&amp;"' AS ID_EXEC, CURRENT_TIMESTAMP() AS TIME_EXEC FROM "&amp;I49,
IF(C49="Valores extremos",+"SELECT '"&amp;UPPER(B49)&amp;"' AS TABELA, '"&amp;UPPER(C49)&amp;"' AS TIPOLOGIA_TESTE,'"&amp;D49&amp;"' AS TABELA_LT,'N/A' AS TABELA_SIMUL,'"&amp;F49&amp;"' AS CAMPO, "&amp;"'${ref_date}' AS REF_DATE, CAST(MIN("&amp;F49&amp;") AS STRING) AS VALOR_MIN, CAST(MAX("&amp;F49&amp;") AS STRING) AS VALOR_MAX,'"&amp;MAX('ID1&amp;5'!K:K)+1&amp;"' AS ID_EXEC, CURRENT_TIMESTAMP() AS TIME_EXEC FROM "&amp;MID(I49,1,LEN(I49)-2)&amp;" AND CAST("&amp;F49&amp;"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TABELA_LT,'BU_LOANTAPE_WORK.LT004_PROTECTION_SRB'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prtctn_id, COD_SOC FROM CD_LOAN_TAPES_BCE.LT004_PROTECTION WHERE ref_date='${ref_date}' AND nome_perimetro='Individual Corporativo' AND segmento='ESTR' AND ambito='PM' AND entidade='00100')X INNER JOIN (SELECT prtctn_id AS prtctn_id_SIMUL, COD_SOC AS COD_SOC_SIMUL FROM BU_LOANTAPE_WORK.LT004_PROTECTION_SRB WHERE ref_date='${ref_date}' AND nome_perimetro='Individual Corporativo' AND segmento='ESTR' AND ambito='PILAR3' AND entidade='00100')Y ON X.PRTCTN_ID=Y.PRTCTN_ID_SIMUL</v>
      </c>
      <c r="M49" s="36" t="str">
        <f t="shared" si="0"/>
        <v>UNION ALL SELECT 'PROTECTION' AS TABELA, 'COERÊNCIA' AS TIPOLOGIA_TESTE,'CD_LOAN_TAPES_BCE.LT004_PROTECTION' AS TABELA_LT,'BU_LOANTAPE_WORK.LT004_PROTECTION_SRB'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prtctn_id, COD_SOC FROM CD_LOAN_TAPES_BCE.LT004_PROTECTION WHERE ref_date='${ref_date}' AND nome_perimetro='Individual Corporativo' AND segmento='ESTR' AND ambito='PM' AND entidade='00100')X INNER JOIN (SELECT prtctn_id AS prtctn_id_SIMUL, COD_SOC AS COD_SOC_SIMUL FROM BU_LOANTAPE_WORK.LT004_PROTECTION_SRB WHERE ref_date='${ref_date}' AND nome_perimetro='Individual Corporativo' AND segmento='ESTR' AND ambito='PILAR3' AND entidade='00100')Y ON X.PRTCTN_ID=Y.PRTCTN_ID_SIMUL</v>
      </c>
      <c r="N49" s="38" t="s">
        <v>45</v>
      </c>
    </row>
    <row r="50" spans="1:14" hidden="1">
      <c r="A50" s="60" t="str">
        <f t="shared" si="1"/>
        <v>PROTECTIONRL_ESTT_CLLTRL_LCTN</v>
      </c>
      <c r="B50" s="34" t="s">
        <v>127</v>
      </c>
      <c r="C50" s="34" t="s">
        <v>5</v>
      </c>
      <c r="D50" s="34" t="str">
        <f>+UPPER('0. Instruções'!$D$35&amp;"."&amp;VLOOKUP(B50,'0. Instruções'!$C$27:$D$32,2,FALSE))</f>
        <v>CD_LOAN_TAPES_BCE.LT004_PROTECTION</v>
      </c>
      <c r="E50" s="34" t="str">
        <f>+UPPER('0. Instruções'!$D$36&amp;"."&amp;VLOOKUP(B50,'0. Instruções'!$C$27:$E$32,3,FALSE))</f>
        <v>BU_LOANTAPE_WORK.LT004_PROTECTION_SRB</v>
      </c>
      <c r="F50" s="34" t="s">
        <v>120</v>
      </c>
      <c r="G50" s="34"/>
      <c r="H50" s="34" t="s">
        <v>88</v>
      </c>
      <c r="I50" s="34" t="str">
        <f>"(SELECT "&amp;VLOOKUP(B50,'0. Instruções'!$C$27:$G$32,4,FALSE)&amp;", "&amp;F50&amp;" FROM "&amp;D50&amp;" WHERE "&amp;'0. Instruções'!$D$42&amp;")X"</f>
        <v>(SELECT prtctn_id, RL_ESTT_CLLTRL_LCTN FROM CD_LOAN_TAPES_BCE.LT004_PROTECTION WHERE ref_date='${ref_date}' AND nome_perimetro='Individual Corporativo' AND segmento='ESTR' AND ambito='PM' AND entidade='00100')X</v>
      </c>
      <c r="J50" s="34" t="str">
        <f>"(SELECT "&amp;VLOOKUP(B50,'0. Instruções'!$C$27:$G$32,4,FALSE)&amp;" AS "&amp;VLOOKUP(B50,'0. Instruções'!$C$27:$G$32,4,FALSE)&amp;"_SIMUL, "&amp;F50&amp;" AS "&amp;F50&amp;"_SIMUL FROM "&amp;E50&amp;" WHERE "&amp;'0. Instruções'!$D$43&amp;")Y"</f>
        <v>(SELECT prtctn_id AS prtctn_id_SIMUL, RL_ESTT_CLLTRL_LCTN AS RL_ESTT_CLLTRL_LCTN_SIMUL FROM BU_LOANTAPE_WORK.LT004_PROTECTION_SRB WHERE ref_date='${ref_date}' AND nome_perimetro='Individual Corporativo' AND segmento='ESTR' AND ambito='PILAR3' AND entidade='00100')Y</v>
      </c>
      <c r="K50" s="35" t="str">
        <f>+UPPER("ON X."&amp;VLOOKUP(B50,'0. Instruções'!$C$27:$G$32,4,FALSE)&amp;"=Y."&amp;VLOOKUP(B50,'0. Instruções'!$C$27:$G$32,4,FALSE)&amp;"_SIMUL")</f>
        <v>ON X.PRTCTN_ID=Y.PRTCTN_ID_SIMUL</v>
      </c>
      <c r="L50" s="35" t="str">
        <f>+IF(C50="Coerência", +IF(LEFT(G50,5)="FLOAT","SELECT '"&amp;UPPER(B50)&amp;"' AS TABELA, '"&amp;UPPER(C50)&amp;"' AS TIPOLOGIA_TESTE,'"&amp;D50&amp;"' AS TABELA_LT,'"&amp;E50&amp;"' AS TABELA_SIMUL,'"&amp;F50&amp;"' AS CAMPO, "&amp;"'${ref_date}' AS REF_DATE, COUNT(*) AS NUM_REG, SUM(IF((ABS(COALESCE(CAST(X."&amp;F50&amp;" AS DECIMAL(18,6)),0)-COALESCE(CAST(Y."&amp;F50&amp;"_SIMUL AS DECIMAL(18,6)),0))&gt;0.000001) OR (X."&amp;F50&amp;" IS NULL AND Y."&amp;F50&amp;"_SIMUL IS NOT NULL ) OR (X."&amp;F50&amp;" IS NOT NULL AND Y."&amp;F50&amp;"_SIMUL IS NULL),1,0)) AS NUM_REG_DIF,'"&amp;MAX('ID1&amp;5'!K:K)+1&amp;"' AS ID_EXEC, CURRENT_TIMESTAMP() AS TIME_EXEC FROM "&amp;I50&amp;" INNER JOIN "&amp;J50&amp;" "&amp;K50,"SELECT '"&amp;UPPER(B50)&amp;"' AS TABELA, '"&amp;UPPER(C50)&amp;"' AS TIPOLOGIA_TESTE,'"&amp;D50&amp;"' AS TABELA_LT,'"&amp;E50&amp;"' AS TABELA_SIMUL,'"&amp;F50&amp;"' AS CAMPO, "&amp;"'${ref_date}' AS REF_DATE, COUNT(*) AS NUM_REG, SUM(IF(COALESCE(CAST(X."&amp;F50&amp;" AS STRING),'')&lt;&gt;COALESCE(CAST(Y."&amp;F50&amp;"_SIMUL AS STRING),'') OR (X."&amp;F50&amp;" IS NULL AND Y."&amp;F50&amp;"_SIMUL IS NOT NULL ) OR (X."&amp;F50&amp;" IS NOT NULL AND Y."&amp;F50&amp;"_SIMUL IS NULL),1,0)) AS NUM_REG_DIF,'"&amp;MAX('ID1&amp;5'!L:L)+1&amp;"' AS ID_EXEC, CURRENT_TIMESTAMP() AS TIME_EXEC FROM "&amp;I50&amp;" INNER JOIN "&amp;J50&amp;" "&amp;K50),
IF(C50="Validade",+IF(G50="Code List","SELECT '"&amp;UPPER(B50)&amp;"' AS TABELA, '"&amp;UPPER(C50)&amp;"' AS TIPOLOGIA_TESTE,'"&amp;D50&amp;"' AS TABELA_LT,'N/A' AS TABELA_SIMUL,'"&amp;F50&amp;"' AS CAMPO, "&amp;"'${ref_date}' AS REF_DATE, COUNT(*) AS NUM_REG, SUM(IF(TRIM(CAST(X."&amp;F50&amp;" AS STRING))='' OR TRIM(CAST(X."&amp;F50&amp;" AS STRING)) IS NULL OR CAST(X."&amp;F50&amp;" AS STRING) NOT "&amp;H50&amp;",1,0)) AS NUM_REG_DIF,'"&amp;MAX('ID1&amp;5'!K:K)+1&amp;"' AS ID_EXEC, CURRENT_TIMESTAMP() AS TIME_EXEC FROM "&amp;I50,"SELECT '"&amp;UPPER(B50)&amp;"' AS TABELA, '"&amp;UPPER(C50)&amp;"' AS TIPOLOGIA_TESTE,'"&amp;D50&amp;"' AS TABELA_LT,'N/A' AS TABELA_SIMUL,'"&amp;F50&amp;"' AS CAMPO, "&amp;"'${ref_date}' AS REF_DATE, COUNT(*) AS NUM_REG, SUM(IF(TRIM(CAST(X."&amp;F50&amp;" AS STRING))='' OR TRIM(CAST(X."&amp;F50&amp;" AS STRING)) IS NULL,1,0)) AS NUM_REG_DIF,'"&amp;MAX('ID1&amp;5'!K:K)+1&amp;"' AS ID_EXEC, CURRENT_TIMESTAMP() AS TIME_EXEC FROM "&amp;I50),
IF(C50="Caracteres Especiais",+"SELECT '"&amp;UPPER(B50)&amp;"' AS TABELA, '"&amp;UPPER(C50)&amp;"' AS TIPOLOGIA_TESTE,'"&amp;D50&amp;"' AS TABELA_LT,'N/A' AS TABELA_SIMUL,'"&amp;F50&amp;"' AS CAMPO, "&amp;"'${ref_date}' AS REF_DATE, COUNT(*) AS NUM_REG, SUM(IF(REGEXP_REPLACE(TRIM(CAST(X."&amp;F50&amp;" AS STRING)),'[^a-zA-Z0-9_\\s]','') &lt;&gt;TRIM(CAST(X."&amp;F50&amp;" AS STRING)),1,0)) AS NUM_REG_DIF,'"&amp;MAX('ID1&amp;5'!K:K)+1&amp;"' AS ID_EXEC, CURRENT_TIMESTAMP() AS TIME_EXEC FROM "&amp;I50,
IF(C50="Missings",+"SELECT '"&amp;UPPER(B50)&amp;"' AS TABELA, '"&amp;UPPER(C50)&amp;"' AS TIPOLOGIA_TESTE,'"&amp;D50&amp;"' AS TABELA_LT,'N/A' AS TABELA_SIMUL,'"&amp;F50&amp;"' AS CAMPO, "&amp;"'${ref_date}' AS REF_DATE, COUNT(*) AS NUM_REG, SUM(IF(TRIM(CAST(X."&amp;F50&amp;" AS STRING)) IN ('0000-00-00','0001-01-01','9999-12-31','MISS','00000','99999999999','99999999999.00','99999999999.000000'),1,0)) AS NUM_REG_DIF,'"&amp;MAX('ID1&amp;5'!K:K)+1&amp;"' AS ID_EXEC, CURRENT_TIMESTAMP() AS TIME_EXEC FROM "&amp;I50,
IF(C50="Not applicable",+"SELECT '"&amp;UPPER(B50)&amp;"' AS TABELA, '"&amp;UPPER(C50)&amp;"' AS TIPOLOGIA_TESTE,'"&amp;D50&amp;"' AS TABELA_LT,'N/A' AS TABELA_SIMUL,'"&amp;F50&amp;"' AS CAMPO, "&amp;"'${ref_date}' AS REF_DATE, COUNT(*) AS NUM_REG, SUM(IF(TRIM(CAST(X."&amp;F50&amp;" AS STRING)) IN ('N/A','11111111111','11111111111.00','11111111111.000000','1111-11-11'),1,0)) AS NUM_REG_DIF,'"&amp;MAX('ID1&amp;5'!K:K)+1&amp;"' AS ID_EXEC, CURRENT_TIMESTAMP() AS TIME_EXEC FROM "&amp;I50,
IF(C50="Valores extremos",+"SELECT '"&amp;UPPER(B50)&amp;"' AS TABELA, '"&amp;UPPER(C50)&amp;"' AS TIPOLOGIA_TESTE,'"&amp;D50&amp;"' AS TABELA_LT,'N/A' AS TABELA_SIMUL,'"&amp;F50&amp;"' AS CAMPO, "&amp;"'${ref_date}' AS REF_DATE, CAST(MIN("&amp;F50&amp;") AS STRING) AS VALOR_MIN, CAST(MAX("&amp;F50&amp;") AS STRING) AS VALOR_MAX,'"&amp;MAX('ID1&amp;5'!K:K)+1&amp;"' AS ID_EXEC, CURRENT_TIMESTAMP() AS TIME_EXEC FROM "&amp;MID(I50,1,LEN(I50)-2)&amp;" AND CAST("&amp;F50&amp;"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TABELA_LT,'BU_LOANTAPE_WORK.LT004_PROTECTION_SRB' AS TABELA_SIMUL,'RL_ESTT_CLLTRL_LCTN' AS CAMPO, '${ref_date}' AS REF_DATE, COUNT(*) AS NUM_REG, SUM(IF(COALESCE(CAST(X.RL_ESTT_CLLTRL_LCTN AS STRING),'')&lt;&gt;COALESCE(CAST(Y.RL_ESTT_CLLTRL_LCTN_SIMUL AS STRING),'') OR (X.RL_ESTT_CLLTRL_LCTN IS NULL AND Y.RL_ESTT_CLLTRL_LCTN_SIMUL IS NOT NULL ) OR (X.RL_ESTT_CLLTRL_LCTN IS NOT NULL AND Y.RL_ESTT_CLLTRL_LCTN_SIMUL IS NULL),1,0)) AS NUM_REG_DIF,'1' AS ID_EXEC, CURRENT_TIMESTAMP() AS TIME_EXEC FROM (SELECT prtctn_id, RL_ESTT_CLLTRL_LCTN FROM CD_LOAN_TAPES_BCE.LT004_PROTECTION WHERE ref_date='${ref_date}' AND nome_perimetro='Individual Corporativo' AND segmento='ESTR' AND ambito='PM' AND entidade='00100')X INNER JOIN (SELECT prtctn_id AS prtctn_id_SIMUL, RL_ESTT_CLLTRL_LCTN AS RL_ESTT_CLLTRL_LCTN_SIMUL FROM BU_LOANTAPE_WORK.LT004_PROTECTION_SRB WHERE ref_date='${ref_date}' AND nome_perimetro='Individual Corporativo' AND segmento='ESTR' AND ambito='PILAR3' AND entidade='00100')Y ON X.PRTCTN_ID=Y.PRTCTN_ID_SIMUL</v>
      </c>
      <c r="M50" s="36" t="str">
        <f t="shared" ref="M50:M56" si="2">+"UNION ALL "&amp;L50</f>
        <v>UNION ALL SELECT 'PROTECTION' AS TABELA, 'COERÊNCIA' AS TIPOLOGIA_TESTE,'CD_LOAN_TAPES_BCE.LT004_PROTECTION' AS TABELA_LT,'BU_LOANTAPE_WORK.LT004_PROTECTION_SRB' AS TABELA_SIMUL,'RL_ESTT_CLLTRL_LCTN' AS CAMPO, '${ref_date}' AS REF_DATE, COUNT(*) AS NUM_REG, SUM(IF(COALESCE(CAST(X.RL_ESTT_CLLTRL_LCTN AS STRING),'')&lt;&gt;COALESCE(CAST(Y.RL_ESTT_CLLTRL_LCTN_SIMUL AS STRING),'') OR (X.RL_ESTT_CLLTRL_LCTN IS NULL AND Y.RL_ESTT_CLLTRL_LCTN_SIMUL IS NOT NULL ) OR (X.RL_ESTT_CLLTRL_LCTN IS NOT NULL AND Y.RL_ESTT_CLLTRL_LCTN_SIMUL IS NULL),1,0)) AS NUM_REG_DIF,'1' AS ID_EXEC, CURRENT_TIMESTAMP() AS TIME_EXEC FROM (SELECT prtctn_id, RL_ESTT_CLLTRL_LCTN FROM CD_LOAN_TAPES_BCE.LT004_PROTECTION WHERE ref_date='${ref_date}' AND nome_perimetro='Individual Corporativo' AND segmento='ESTR' AND ambito='PM' AND entidade='00100')X INNER JOIN (SELECT prtctn_id AS prtctn_id_SIMUL, RL_ESTT_CLLTRL_LCTN AS RL_ESTT_CLLTRL_LCTN_SIMUL FROM BU_LOANTAPE_WORK.LT004_PROTECTION_SRB WHERE ref_date='${ref_date}' AND nome_perimetro='Individual Corporativo' AND segmento='ESTR' AND ambito='PILAR3' AND entidade='00100')Y ON X.PRTCTN_ID=Y.PRTCTN_ID_SIMUL</v>
      </c>
      <c r="N50" s="38" t="s">
        <v>45</v>
      </c>
    </row>
    <row r="51" spans="1:14" hidden="1">
      <c r="A51" s="60" t="str">
        <f t="shared" si="1"/>
        <v>PROTECTIONRL_ESTT_PST_CD</v>
      </c>
      <c r="B51" s="34" t="s">
        <v>127</v>
      </c>
      <c r="C51" s="34" t="s">
        <v>5</v>
      </c>
      <c r="D51" s="34" t="str">
        <f>+UPPER('0. Instruções'!$D$35&amp;"."&amp;VLOOKUP(B51,'0. Instruções'!$C$27:$D$32,2,FALSE))</f>
        <v>CD_LOAN_TAPES_BCE.LT004_PROTECTION</v>
      </c>
      <c r="E51" s="34" t="str">
        <f>+UPPER('0. Instruções'!$D$36&amp;"."&amp;VLOOKUP(B51,'0. Instruções'!$C$27:$E$32,3,FALSE))</f>
        <v>BU_LOANTAPE_WORK.LT004_PROTECTION_SRB</v>
      </c>
      <c r="F51" s="34" t="s">
        <v>121</v>
      </c>
      <c r="G51" s="34"/>
      <c r="H51" s="34" t="s">
        <v>597</v>
      </c>
      <c r="I51" s="34" t="str">
        <f>"(SELECT "&amp;VLOOKUP(B51,'0. Instruções'!$C$27:$G$32,4,FALSE)&amp;", "&amp;F51&amp;" FROM "&amp;D51&amp;" WHERE "&amp;'0. Instruções'!$D$42&amp;")X"</f>
        <v>(SELECT prtctn_id, RL_ESTT_PST_CD FROM CD_LOAN_TAPES_BCE.LT004_PROTECTION WHERE ref_date='${ref_date}' AND nome_perimetro='Individual Corporativo' AND segmento='ESTR' AND ambito='PM' AND entidade='00100')X</v>
      </c>
      <c r="J51" s="34" t="str">
        <f>"(SELECT "&amp;VLOOKUP(B51,'0. Instruções'!$C$27:$G$32,4,FALSE)&amp;" AS "&amp;VLOOKUP(B51,'0. Instruções'!$C$27:$G$32,4,FALSE)&amp;"_SIMUL, "&amp;F51&amp;" AS "&amp;F51&amp;"_SIMUL FROM "&amp;E51&amp;" WHERE "&amp;'0. Instruções'!$D$43&amp;")Y"</f>
        <v>(SELECT prtctn_id AS prtctn_id_SIMUL, RL_ESTT_PST_CD AS RL_ESTT_PST_CD_SIMUL FROM BU_LOANTAPE_WORK.LT004_PROTECTION_SRB WHERE ref_date='${ref_date}' AND nome_perimetro='Individual Corporativo' AND segmento='ESTR' AND ambito='PILAR3' AND entidade='00100')Y</v>
      </c>
      <c r="K51" s="35" t="str">
        <f>+UPPER("ON X."&amp;VLOOKUP(B51,'0. Instruções'!$C$27:$G$32,4,FALSE)&amp;"=Y."&amp;VLOOKUP(B51,'0. Instruções'!$C$27:$G$32,4,FALSE)&amp;"_SIMUL")</f>
        <v>ON X.PRTCTN_ID=Y.PRTCTN_ID_SIMUL</v>
      </c>
      <c r="L51" s="35" t="str">
        <f>+IF(C51="Coerência", +IF(LEFT(G51,5)="FLOAT","SELECT '"&amp;UPPER(B51)&amp;"' AS TABELA, '"&amp;UPPER(C51)&amp;"' AS TIPOLOGIA_TESTE,'"&amp;D51&amp;"' AS TABELA_LT,'"&amp;E51&amp;"' AS TABELA_SIMUL,'"&amp;F51&amp;"' AS CAMPO, "&amp;"'${ref_date}' AS REF_DATE, COUNT(*) AS NUM_REG, SUM(IF((ABS(COALESCE(CAST(X."&amp;F51&amp;" AS DECIMAL(18,6)),0)-COALESCE(CAST(Y."&amp;F51&amp;"_SIMUL AS DECIMAL(18,6)),0))&gt;0.000001) OR (X."&amp;F51&amp;" IS NULL AND Y."&amp;F51&amp;"_SIMUL IS NOT NULL ) OR (X."&amp;F51&amp;" IS NOT NULL AND Y."&amp;F51&amp;"_SIMUL IS NULL),1,0)) AS NUM_REG_DIF,'"&amp;MAX('ID1&amp;5'!K:K)+1&amp;"' AS ID_EXEC, CURRENT_TIMESTAMP() AS TIME_EXEC FROM "&amp;I51&amp;" INNER JOIN "&amp;J51&amp;" "&amp;K51,"SELECT '"&amp;UPPER(B51)&amp;"' AS TABELA, '"&amp;UPPER(C51)&amp;"' AS TIPOLOGIA_TESTE,'"&amp;D51&amp;"' AS TABELA_LT,'"&amp;E51&amp;"' AS TABELA_SIMUL,'"&amp;F51&amp;"' AS CAMPO, "&amp;"'${ref_date}' AS REF_DATE, COUNT(*) AS NUM_REG, SUM(IF(COALESCE(CAST(X."&amp;F51&amp;" AS STRING),'')&lt;&gt;COALESCE(CAST(Y."&amp;F51&amp;"_SIMUL AS STRING),'') OR (X."&amp;F51&amp;" IS NULL AND Y."&amp;F51&amp;"_SIMUL IS NOT NULL ) OR (X."&amp;F51&amp;" IS NOT NULL AND Y."&amp;F51&amp;"_SIMUL IS NULL),1,0)) AS NUM_REG_DIF,'"&amp;MAX('ID1&amp;5'!L:L)+1&amp;"' AS ID_EXEC, CURRENT_TIMESTAMP() AS TIME_EXEC FROM "&amp;I51&amp;" INNER JOIN "&amp;J51&amp;" "&amp;K51),
IF(C51="Validade",+IF(G51="Code List","SELECT '"&amp;UPPER(B51)&amp;"' AS TABELA, '"&amp;UPPER(C51)&amp;"' AS TIPOLOGIA_TESTE,'"&amp;D51&amp;"' AS TABELA_LT,'N/A' AS TABELA_SIMUL,'"&amp;F51&amp;"' AS CAMPO, "&amp;"'${ref_date}' AS REF_DATE, COUNT(*) AS NUM_REG, SUM(IF(TRIM(CAST(X."&amp;F51&amp;" AS STRING))='' OR TRIM(CAST(X."&amp;F51&amp;" AS STRING)) IS NULL OR CAST(X."&amp;F51&amp;" AS STRING) NOT "&amp;H51&amp;",1,0)) AS NUM_REG_DIF,'"&amp;MAX('ID1&amp;5'!K:K)+1&amp;"' AS ID_EXEC, CURRENT_TIMESTAMP() AS TIME_EXEC FROM "&amp;I51,"SELECT '"&amp;UPPER(B51)&amp;"' AS TABELA, '"&amp;UPPER(C51)&amp;"' AS TIPOLOGIA_TESTE,'"&amp;D51&amp;"' AS TABELA_LT,'N/A' AS TABELA_SIMUL,'"&amp;F51&amp;"' AS CAMPO, "&amp;"'${ref_date}' AS REF_DATE, COUNT(*) AS NUM_REG, SUM(IF(TRIM(CAST(X."&amp;F51&amp;" AS STRING))='' OR TRIM(CAST(X."&amp;F51&amp;" AS STRING)) IS NULL,1,0)) AS NUM_REG_DIF,'"&amp;MAX('ID1&amp;5'!K:K)+1&amp;"' AS ID_EXEC, CURRENT_TIMESTAMP() AS TIME_EXEC FROM "&amp;I51),
IF(C51="Caracteres Especiais",+"SELECT '"&amp;UPPER(B51)&amp;"' AS TABELA, '"&amp;UPPER(C51)&amp;"' AS TIPOLOGIA_TESTE,'"&amp;D51&amp;"' AS TABELA_LT,'N/A' AS TABELA_SIMUL,'"&amp;F51&amp;"' AS CAMPO, "&amp;"'${ref_date}' AS REF_DATE, COUNT(*) AS NUM_REG, SUM(IF(REGEXP_REPLACE(TRIM(CAST(X."&amp;F51&amp;" AS STRING)),'[^a-zA-Z0-9_\\s]','') &lt;&gt;TRIM(CAST(X."&amp;F51&amp;" AS STRING)),1,0)) AS NUM_REG_DIF,'"&amp;MAX('ID1&amp;5'!K:K)+1&amp;"' AS ID_EXEC, CURRENT_TIMESTAMP() AS TIME_EXEC FROM "&amp;I51,
IF(C51="Missings",+"SELECT '"&amp;UPPER(B51)&amp;"' AS TABELA, '"&amp;UPPER(C51)&amp;"' AS TIPOLOGIA_TESTE,'"&amp;D51&amp;"' AS TABELA_LT,'N/A' AS TABELA_SIMUL,'"&amp;F51&amp;"' AS CAMPO, "&amp;"'${ref_date}' AS REF_DATE, COUNT(*) AS NUM_REG, SUM(IF(TRIM(CAST(X."&amp;F51&amp;" AS STRING)) IN ('0000-00-00','0001-01-01','9999-12-31','MISS','00000','99999999999','99999999999.00','99999999999.000000'),1,0)) AS NUM_REG_DIF,'"&amp;MAX('ID1&amp;5'!K:K)+1&amp;"' AS ID_EXEC, CURRENT_TIMESTAMP() AS TIME_EXEC FROM "&amp;I51,
IF(C51="Not applicable",+"SELECT '"&amp;UPPER(B51)&amp;"' AS TABELA, '"&amp;UPPER(C51)&amp;"' AS TIPOLOGIA_TESTE,'"&amp;D51&amp;"' AS TABELA_LT,'N/A' AS TABELA_SIMUL,'"&amp;F51&amp;"' AS CAMPO, "&amp;"'${ref_date}' AS REF_DATE, COUNT(*) AS NUM_REG, SUM(IF(TRIM(CAST(X."&amp;F51&amp;" AS STRING)) IN ('N/A','11111111111','11111111111.00','11111111111.000000','1111-11-11'),1,0)) AS NUM_REG_DIF,'"&amp;MAX('ID1&amp;5'!K:K)+1&amp;"' AS ID_EXEC, CURRENT_TIMESTAMP() AS TIME_EXEC FROM "&amp;I51,
IF(C51="Valores extremos",+"SELECT '"&amp;UPPER(B51)&amp;"' AS TABELA, '"&amp;UPPER(C51)&amp;"' AS TIPOLOGIA_TESTE,'"&amp;D51&amp;"' AS TABELA_LT,'N/A' AS TABELA_SIMUL,'"&amp;F51&amp;"' AS CAMPO, "&amp;"'${ref_date}' AS REF_DATE, CAST(MIN("&amp;F51&amp;") AS STRING) AS VALOR_MIN, CAST(MAX("&amp;F51&amp;") AS STRING) AS VALOR_MAX,'"&amp;MAX('ID1&amp;5'!K:K)+1&amp;"' AS ID_EXEC, CURRENT_TIMESTAMP() AS TIME_EXEC FROM "&amp;MID(I51,1,LEN(I51)-2)&amp;" AND CAST("&amp;F51&amp;"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TABELA_LT,'BU_LOANTAPE_WORK.LT004_PROTECTION_SRB' AS TABELA_SIMUL,'RL_ESTT_PST_CD' AS CAMPO, '${ref_date}' AS REF_DATE, COUNT(*) AS NUM_REG, SUM(IF(COALESCE(CAST(X.RL_ESTT_PST_CD AS STRING),'')&lt;&gt;COALESCE(CAST(Y.RL_ESTT_PST_CD_SIMUL AS STRING),'') OR (X.RL_ESTT_PST_CD IS NULL AND Y.RL_ESTT_PST_CD_SIMUL IS NOT NULL ) OR (X.RL_ESTT_PST_CD IS NOT NULL AND Y.RL_ESTT_PST_CD_SIMUL IS NULL),1,0)) AS NUM_REG_DIF,'1' AS ID_EXEC, CURRENT_TIMESTAMP() AS TIME_EXEC FROM (SELECT prtctn_id, RL_ESTT_PST_CD FROM CD_LOAN_TAPES_BCE.LT004_PROTECTION WHERE ref_date='${ref_date}' AND nome_perimetro='Individual Corporativo' AND segmento='ESTR' AND ambito='PM' AND entidade='00100')X INNER JOIN (SELECT prtctn_id AS prtctn_id_SIMUL, RL_ESTT_PST_CD AS RL_ESTT_PST_CD_SIMUL FROM BU_LOANTAPE_WORK.LT004_PROTECTION_SRB WHERE ref_date='${ref_date}' AND nome_perimetro='Individual Corporativo' AND segmento='ESTR' AND ambito='PILAR3' AND entidade='00100')Y ON X.PRTCTN_ID=Y.PRTCTN_ID_SIMUL</v>
      </c>
      <c r="M51" s="36" t="str">
        <f t="shared" si="2"/>
        <v>UNION ALL SELECT 'PROTECTION' AS TABELA, 'COERÊNCIA' AS TIPOLOGIA_TESTE,'CD_LOAN_TAPES_BCE.LT004_PROTECTION' AS TABELA_LT,'BU_LOANTAPE_WORK.LT004_PROTECTION_SRB' AS TABELA_SIMUL,'RL_ESTT_PST_CD' AS CAMPO, '${ref_date}' AS REF_DATE, COUNT(*) AS NUM_REG, SUM(IF(COALESCE(CAST(X.RL_ESTT_PST_CD AS STRING),'')&lt;&gt;COALESCE(CAST(Y.RL_ESTT_PST_CD_SIMUL AS STRING),'') OR (X.RL_ESTT_PST_CD IS NULL AND Y.RL_ESTT_PST_CD_SIMUL IS NOT NULL ) OR (X.RL_ESTT_PST_CD IS NOT NULL AND Y.RL_ESTT_PST_CD_SIMUL IS NULL),1,0)) AS NUM_REG_DIF,'1' AS ID_EXEC, CURRENT_TIMESTAMP() AS TIME_EXEC FROM (SELECT prtctn_id, RL_ESTT_PST_CD FROM CD_LOAN_TAPES_BCE.LT004_PROTECTION WHERE ref_date='${ref_date}' AND nome_perimetro='Individual Corporativo' AND segmento='ESTR' AND ambito='PM' AND entidade='00100')X INNER JOIN (SELECT prtctn_id AS prtctn_id_SIMUL, RL_ESTT_PST_CD AS RL_ESTT_PST_CD_SIMUL FROM BU_LOANTAPE_WORK.LT004_PROTECTION_SRB WHERE ref_date='${ref_date}' AND nome_perimetro='Individual Corporativo' AND segmento='ESTR' AND ambito='PILAR3' AND entidade='00100')Y ON X.PRTCTN_ID=Y.PRTCTN_ID_SIMUL</v>
      </c>
      <c r="N51" s="38" t="s">
        <v>45</v>
      </c>
    </row>
    <row r="52" spans="1:14" hidden="1">
      <c r="A52" s="60" t="str">
        <f t="shared" si="1"/>
        <v>PROTECTIONTYP_PRTCTN</v>
      </c>
      <c r="B52" s="34" t="s">
        <v>127</v>
      </c>
      <c r="C52" s="34" t="s">
        <v>5</v>
      </c>
      <c r="D52" s="34" t="str">
        <f>+UPPER('0. Instruções'!$D$35&amp;"."&amp;VLOOKUP(B52,'0. Instruções'!$C$27:$D$32,2,FALSE))</f>
        <v>CD_LOAN_TAPES_BCE.LT004_PROTECTION</v>
      </c>
      <c r="E52" s="34" t="str">
        <f>+UPPER('0. Instruções'!$D$36&amp;"."&amp;VLOOKUP(B52,'0. Instruções'!$C$27:$E$32,3,FALSE))</f>
        <v>BU_LOANTAPE_WORK.LT004_PROTECTION_SRB</v>
      </c>
      <c r="F52" s="34" t="s">
        <v>122</v>
      </c>
      <c r="G52" s="34"/>
      <c r="H52" s="34" t="s">
        <v>88</v>
      </c>
      <c r="I52" s="34" t="str">
        <f>"(SELECT "&amp;VLOOKUP(B52,'0. Instruções'!$C$27:$G$32,4,FALSE)&amp;", "&amp;F52&amp;" FROM "&amp;D52&amp;" WHERE "&amp;'0. Instruções'!$D$42&amp;")X"</f>
        <v>(SELECT prtctn_id, TYP_PRTCTN FROM CD_LOAN_TAPES_BCE.LT004_PROTECTION WHERE ref_date='${ref_date}' AND nome_perimetro='Individual Corporativo' AND segmento='ESTR' AND ambito='PM' AND entidade='00100')X</v>
      </c>
      <c r="J52" s="34" t="str">
        <f>"(SELECT "&amp;VLOOKUP(B52,'0. Instruções'!$C$27:$G$32,4,FALSE)&amp;" AS "&amp;VLOOKUP(B52,'0. Instruções'!$C$27:$G$32,4,FALSE)&amp;"_SIMUL, "&amp;F52&amp;" AS "&amp;F52&amp;"_SIMUL FROM "&amp;E52&amp;" WHERE "&amp;'0. Instruções'!$D$43&amp;")Y"</f>
        <v>(SELECT prtctn_id AS prtctn_id_SIMUL, TYP_PRTCTN AS TYP_PRTCTN_SIMUL FROM BU_LOANTAPE_WORK.LT004_PROTECTION_SRB WHERE ref_date='${ref_date}' AND nome_perimetro='Individual Corporativo' AND segmento='ESTR' AND ambito='PILAR3' AND entidade='00100')Y</v>
      </c>
      <c r="K52" s="35" t="str">
        <f>+UPPER("ON X."&amp;VLOOKUP(B52,'0. Instruções'!$C$27:$G$32,4,FALSE)&amp;"=Y."&amp;VLOOKUP(B52,'0. Instruções'!$C$27:$G$32,4,FALSE)&amp;"_SIMUL")</f>
        <v>ON X.PRTCTN_ID=Y.PRTCTN_ID_SIMUL</v>
      </c>
      <c r="L52" s="35" t="str">
        <f>+IF(C52="Coerência", +IF(LEFT(G52,5)="FLOAT","SELECT '"&amp;UPPER(B52)&amp;"' AS TABELA, '"&amp;UPPER(C52)&amp;"' AS TIPOLOGIA_TESTE,'"&amp;D52&amp;"' AS TABELA_LT,'"&amp;E52&amp;"' AS TABELA_SIMUL,'"&amp;F52&amp;"' AS CAMPO, "&amp;"'${ref_date}' AS REF_DATE, COUNT(*) AS NUM_REG, SUM(IF((ABS(COALESCE(CAST(X."&amp;F52&amp;" AS DECIMAL(18,6)),0)-COALESCE(CAST(Y."&amp;F52&amp;"_SIMUL AS DECIMAL(18,6)),0))&gt;0.000001) OR (X."&amp;F52&amp;" IS NULL AND Y."&amp;F52&amp;"_SIMUL IS NOT NULL ) OR (X."&amp;F52&amp;" IS NOT NULL AND Y."&amp;F52&amp;"_SIMUL IS NULL),1,0)) AS NUM_REG_DIF,'"&amp;MAX('ID1&amp;5'!K:K)+1&amp;"' AS ID_EXEC, CURRENT_TIMESTAMP() AS TIME_EXEC FROM "&amp;I52&amp;" INNER JOIN "&amp;J52&amp;" "&amp;K52,"SELECT '"&amp;UPPER(B52)&amp;"' AS TABELA, '"&amp;UPPER(C52)&amp;"' AS TIPOLOGIA_TESTE,'"&amp;D52&amp;"' AS TABELA_LT,'"&amp;E52&amp;"' AS TABELA_SIMUL,'"&amp;F52&amp;"' AS CAMPO, "&amp;"'${ref_date}' AS REF_DATE, COUNT(*) AS NUM_REG, SUM(IF(COALESCE(CAST(X."&amp;F52&amp;" AS STRING),'')&lt;&gt;COALESCE(CAST(Y."&amp;F52&amp;"_SIMUL AS STRING),'') OR (X."&amp;F52&amp;" IS NULL AND Y."&amp;F52&amp;"_SIMUL IS NOT NULL ) OR (X."&amp;F52&amp;" IS NOT NULL AND Y."&amp;F52&amp;"_SIMUL IS NULL),1,0)) AS NUM_REG_DIF,'"&amp;MAX('ID1&amp;5'!L:L)+1&amp;"' AS ID_EXEC, CURRENT_TIMESTAMP() AS TIME_EXEC FROM "&amp;I52&amp;" INNER JOIN "&amp;J52&amp;" "&amp;K52),
IF(C52="Validade",+IF(G52="Code List","SELECT '"&amp;UPPER(B52)&amp;"' AS TABELA, '"&amp;UPPER(C52)&amp;"' AS TIPOLOGIA_TESTE,'"&amp;D52&amp;"' AS TABELA_LT,'N/A' AS TABELA_SIMUL,'"&amp;F52&amp;"' AS CAMPO, "&amp;"'${ref_date}' AS REF_DATE, COUNT(*) AS NUM_REG, SUM(IF(TRIM(CAST(X."&amp;F52&amp;" AS STRING))='' OR TRIM(CAST(X."&amp;F52&amp;" AS STRING)) IS NULL OR CAST(X."&amp;F52&amp;" AS STRING) NOT "&amp;H52&amp;",1,0)) AS NUM_REG_DIF,'"&amp;MAX('ID1&amp;5'!K:K)+1&amp;"' AS ID_EXEC, CURRENT_TIMESTAMP() AS TIME_EXEC FROM "&amp;I52,"SELECT '"&amp;UPPER(B52)&amp;"' AS TABELA, '"&amp;UPPER(C52)&amp;"' AS TIPOLOGIA_TESTE,'"&amp;D52&amp;"' AS TABELA_LT,'N/A' AS TABELA_SIMUL,'"&amp;F52&amp;"' AS CAMPO, "&amp;"'${ref_date}' AS REF_DATE, COUNT(*) AS NUM_REG, SUM(IF(TRIM(CAST(X."&amp;F52&amp;" AS STRING))='' OR TRIM(CAST(X."&amp;F52&amp;" AS STRING)) IS NULL,1,0)) AS NUM_REG_DIF,'"&amp;MAX('ID1&amp;5'!K:K)+1&amp;"' AS ID_EXEC, CURRENT_TIMESTAMP() AS TIME_EXEC FROM "&amp;I52),
IF(C52="Caracteres Especiais",+"SELECT '"&amp;UPPER(B52)&amp;"' AS TABELA, '"&amp;UPPER(C52)&amp;"' AS TIPOLOGIA_TESTE,'"&amp;D52&amp;"' AS TABELA_LT,'N/A' AS TABELA_SIMUL,'"&amp;F52&amp;"' AS CAMPO, "&amp;"'${ref_date}' AS REF_DATE, COUNT(*) AS NUM_REG, SUM(IF(REGEXP_REPLACE(TRIM(CAST(X."&amp;F52&amp;" AS STRING)),'[^a-zA-Z0-9_\\s]','') &lt;&gt;TRIM(CAST(X."&amp;F52&amp;" AS STRING)),1,0)) AS NUM_REG_DIF,'"&amp;MAX('ID1&amp;5'!K:K)+1&amp;"' AS ID_EXEC, CURRENT_TIMESTAMP() AS TIME_EXEC FROM "&amp;I52,
IF(C52="Missings",+"SELECT '"&amp;UPPER(B52)&amp;"' AS TABELA, '"&amp;UPPER(C52)&amp;"' AS TIPOLOGIA_TESTE,'"&amp;D52&amp;"' AS TABELA_LT,'N/A' AS TABELA_SIMUL,'"&amp;F52&amp;"' AS CAMPO, "&amp;"'${ref_date}' AS REF_DATE, COUNT(*) AS NUM_REG, SUM(IF(TRIM(CAST(X."&amp;F52&amp;" AS STRING)) IN ('0000-00-00','0001-01-01','9999-12-31','MISS','00000','99999999999','99999999999.00','99999999999.000000'),1,0)) AS NUM_REG_DIF,'"&amp;MAX('ID1&amp;5'!K:K)+1&amp;"' AS ID_EXEC, CURRENT_TIMESTAMP() AS TIME_EXEC FROM "&amp;I52,
IF(C52="Not applicable",+"SELECT '"&amp;UPPER(B52)&amp;"' AS TABELA, '"&amp;UPPER(C52)&amp;"' AS TIPOLOGIA_TESTE,'"&amp;D52&amp;"' AS TABELA_LT,'N/A' AS TABELA_SIMUL,'"&amp;F52&amp;"' AS CAMPO, "&amp;"'${ref_date}' AS REF_DATE, COUNT(*) AS NUM_REG, SUM(IF(TRIM(CAST(X."&amp;F52&amp;" AS STRING)) IN ('N/A','11111111111','11111111111.00','11111111111.000000','1111-11-11'),1,0)) AS NUM_REG_DIF,'"&amp;MAX('ID1&amp;5'!K:K)+1&amp;"' AS ID_EXEC, CURRENT_TIMESTAMP() AS TIME_EXEC FROM "&amp;I52,
IF(C52="Valores extremos",+"SELECT '"&amp;UPPER(B52)&amp;"' AS TABELA, '"&amp;UPPER(C52)&amp;"' AS TIPOLOGIA_TESTE,'"&amp;D52&amp;"' AS TABELA_LT,'N/A' AS TABELA_SIMUL,'"&amp;F52&amp;"' AS CAMPO, "&amp;"'${ref_date}' AS REF_DATE, CAST(MIN("&amp;F52&amp;") AS STRING) AS VALOR_MIN, CAST(MAX("&amp;F52&amp;") AS STRING) AS VALOR_MAX,'"&amp;MAX('ID1&amp;5'!K:K)+1&amp;"' AS ID_EXEC, CURRENT_TIMESTAMP() AS TIME_EXEC FROM "&amp;MID(I52,1,LEN(I52)-2)&amp;" AND CAST("&amp;F52&amp;"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TABELA_LT,'BU_LOANTAPE_WORK.LT004_PROTECTION_SRB' AS TABELA_SIMUL,'TYP_PRTCTN' AS CAMPO, '${ref_date}' AS REF_DATE, COUNT(*) AS NUM_REG, SUM(IF(COALESCE(CAST(X.TYP_PRTCTN AS STRING),'')&lt;&gt;COALESCE(CAST(Y.TYP_PRTCTN_SIMUL AS STRING),'') OR (X.TYP_PRTCTN IS NULL AND Y.TYP_PRTCTN_SIMUL IS NOT NULL ) OR (X.TYP_PRTCTN IS NOT NULL AND Y.TYP_PRTCTN_SIMUL IS NULL),1,0)) AS NUM_REG_DIF,'1' AS ID_EXEC, CURRENT_TIMESTAMP() AS TIME_EXEC FROM (SELECT prtctn_id, TYP_PRTCTN FROM CD_LOAN_TAPES_BCE.LT004_PROTECTION WHERE ref_date='${ref_date}' AND nome_perimetro='Individual Corporativo' AND segmento='ESTR' AND ambito='PM' AND entidade='00100')X INNER JOIN (SELECT prtctn_id AS prtctn_id_SIMUL, TYP_PRTCTN AS TYP_PRTCTN_SIMUL FROM BU_LOANTAPE_WORK.LT004_PROTECTION_SRB WHERE ref_date='${ref_date}' AND nome_perimetro='Individual Corporativo' AND segmento='ESTR' AND ambito='PILAR3' AND entidade='00100')Y ON X.PRTCTN_ID=Y.PRTCTN_ID_SIMUL</v>
      </c>
      <c r="M52" s="36" t="str">
        <f t="shared" si="2"/>
        <v>UNION ALL SELECT 'PROTECTION' AS TABELA, 'COERÊNCIA' AS TIPOLOGIA_TESTE,'CD_LOAN_TAPES_BCE.LT004_PROTECTION' AS TABELA_LT,'BU_LOANTAPE_WORK.LT004_PROTECTION_SRB' AS TABELA_SIMUL,'TYP_PRTCTN' AS CAMPO, '${ref_date}' AS REF_DATE, COUNT(*) AS NUM_REG, SUM(IF(COALESCE(CAST(X.TYP_PRTCTN AS STRING),'')&lt;&gt;COALESCE(CAST(Y.TYP_PRTCTN_SIMUL AS STRING),'') OR (X.TYP_PRTCTN IS NULL AND Y.TYP_PRTCTN_SIMUL IS NOT NULL ) OR (X.TYP_PRTCTN IS NOT NULL AND Y.TYP_PRTCTN_SIMUL IS NULL),1,0)) AS NUM_REG_DIF,'1' AS ID_EXEC, CURRENT_TIMESTAMP() AS TIME_EXEC FROM (SELECT prtctn_id, TYP_PRTCTN FROM CD_LOAN_TAPES_BCE.LT004_PROTECTION WHERE ref_date='${ref_date}' AND nome_perimetro='Individual Corporativo' AND segmento='ESTR' AND ambito='PM' AND entidade='00100')X INNER JOIN (SELECT prtctn_id AS prtctn_id_SIMUL, TYP_PRTCTN AS TYP_PRTCTN_SIMUL FROM BU_LOANTAPE_WORK.LT004_PROTECTION_SRB WHERE ref_date='${ref_date}' AND nome_perimetro='Individual Corporativo' AND segmento='ESTR' AND ambito='PILAR3' AND entidade='00100')Y ON X.PRTCTN_ID=Y.PRTCTN_ID_SIMUL</v>
      </c>
      <c r="N52" s="38" t="s">
        <v>45</v>
      </c>
    </row>
    <row r="53" spans="1:14" hidden="1">
      <c r="A53" s="60" t="str">
        <f t="shared" si="1"/>
        <v>PROTECTIONORGNL_PRTCTN_VL</v>
      </c>
      <c r="B53" s="34" t="s">
        <v>127</v>
      </c>
      <c r="C53" s="34" t="s">
        <v>5</v>
      </c>
      <c r="D53" s="34" t="str">
        <f>+UPPER('0. Instruções'!$D$35&amp;"."&amp;VLOOKUP(B53,'0. Instruções'!$C$27:$D$32,2,FALSE))</f>
        <v>CD_LOAN_TAPES_BCE.LT004_PROTECTION</v>
      </c>
      <c r="E53" s="34" t="str">
        <f>+UPPER('0. Instruções'!$D$36&amp;"."&amp;VLOOKUP(B53,'0. Instruções'!$C$27:$E$32,3,FALSE))</f>
        <v>BU_LOANTAPE_WORK.LT004_PROTECTION_SRB</v>
      </c>
      <c r="F53" s="34" t="s">
        <v>123</v>
      </c>
      <c r="G53" s="34"/>
      <c r="H53" s="34" t="s">
        <v>91</v>
      </c>
      <c r="I53" s="34" t="str">
        <f>"(SELECT "&amp;VLOOKUP(B53,'0. Instruções'!$C$27:$G$32,4,FALSE)&amp;", "&amp;F53&amp;" FROM "&amp;D53&amp;" WHERE "&amp;'0. Instruções'!$D$42&amp;")X"</f>
        <v>(SELECT prtctn_id, ORGNL_PRTCTN_VL FROM CD_LOAN_TAPES_BCE.LT004_PROTECTION WHERE ref_date='${ref_date}' AND nome_perimetro='Individual Corporativo' AND segmento='ESTR' AND ambito='PM' AND entidade='00100')X</v>
      </c>
      <c r="J53" s="34" t="str">
        <f>"(SELECT "&amp;VLOOKUP(B53,'0. Instruções'!$C$27:$G$32,4,FALSE)&amp;" AS "&amp;VLOOKUP(B53,'0. Instruções'!$C$27:$G$32,4,FALSE)&amp;"_SIMUL, "&amp;F53&amp;" AS "&amp;F53&amp;"_SIMUL FROM "&amp;E53&amp;" WHERE "&amp;'0. Instruções'!$D$43&amp;")Y"</f>
        <v>(SELECT prtctn_id AS prtctn_id_SIMUL, ORGNL_PRTCTN_VL AS ORGNL_PRTCTN_VL_SIMUL FROM BU_LOANTAPE_WORK.LT004_PROTECTION_SRB WHERE ref_date='${ref_date}' AND nome_perimetro='Individual Corporativo' AND segmento='ESTR' AND ambito='PILAR3' AND entidade='00100')Y</v>
      </c>
      <c r="K53" s="35" t="str">
        <f>+UPPER("ON X."&amp;VLOOKUP(B53,'0. Instruções'!$C$27:$G$32,4,FALSE)&amp;"=Y."&amp;VLOOKUP(B53,'0. Instruções'!$C$27:$G$32,4,FALSE)&amp;"_SIMUL")</f>
        <v>ON X.PRTCTN_ID=Y.PRTCTN_ID_SIMUL</v>
      </c>
      <c r="L53" s="35" t="str">
        <f>+IF(C53="Coerência", +IF(LEFT(G53,5)="FLOAT","SELECT '"&amp;UPPER(B53)&amp;"' AS TABELA, '"&amp;UPPER(C53)&amp;"' AS TIPOLOGIA_TESTE,'"&amp;D53&amp;"' AS TABELA_LT,'"&amp;E53&amp;"' AS TABELA_SIMUL,'"&amp;F53&amp;"' AS CAMPO, "&amp;"'${ref_date}' AS REF_DATE, COUNT(*) AS NUM_REG, SUM(IF((ABS(COALESCE(CAST(X."&amp;F53&amp;" AS DECIMAL(18,6)),0)-COALESCE(CAST(Y."&amp;F53&amp;"_SIMUL AS DECIMAL(18,6)),0))&gt;0.000001) OR (X."&amp;F53&amp;" IS NULL AND Y."&amp;F53&amp;"_SIMUL IS NOT NULL ) OR (X."&amp;F53&amp;" IS NOT NULL AND Y."&amp;F53&amp;"_SIMUL IS NULL),1,0)) AS NUM_REG_DIF,'"&amp;MAX('ID1&amp;5'!K:K)+1&amp;"' AS ID_EXEC, CURRENT_TIMESTAMP() AS TIME_EXEC FROM "&amp;I53&amp;" INNER JOIN "&amp;J53&amp;" "&amp;K53,"SELECT '"&amp;UPPER(B53)&amp;"' AS TABELA, '"&amp;UPPER(C53)&amp;"' AS TIPOLOGIA_TESTE,'"&amp;D53&amp;"' AS TABELA_LT,'"&amp;E53&amp;"' AS TABELA_SIMUL,'"&amp;F53&amp;"' AS CAMPO, "&amp;"'${ref_date}' AS REF_DATE, COUNT(*) AS NUM_REG, SUM(IF(COALESCE(CAST(X."&amp;F53&amp;" AS STRING),'')&lt;&gt;COALESCE(CAST(Y."&amp;F53&amp;"_SIMUL AS STRING),'') OR (X."&amp;F53&amp;" IS NULL AND Y."&amp;F53&amp;"_SIMUL IS NOT NULL ) OR (X."&amp;F53&amp;" IS NOT NULL AND Y."&amp;F53&amp;"_SIMUL IS NULL),1,0)) AS NUM_REG_DIF,'"&amp;MAX('ID1&amp;5'!L:L)+1&amp;"' AS ID_EXEC, CURRENT_TIMESTAMP() AS TIME_EXEC FROM "&amp;I53&amp;" INNER JOIN "&amp;J53&amp;" "&amp;K53),
IF(C53="Validade",+IF(G53="Code List","SELECT '"&amp;UPPER(B53)&amp;"' AS TABELA, '"&amp;UPPER(C53)&amp;"' AS TIPOLOGIA_TESTE,'"&amp;D53&amp;"' AS TABELA_LT,'N/A' AS TABELA_SIMUL,'"&amp;F53&amp;"' AS CAMPO, "&amp;"'${ref_date}' AS REF_DATE, COUNT(*) AS NUM_REG, SUM(IF(TRIM(CAST(X."&amp;F53&amp;" AS STRING))='' OR TRIM(CAST(X."&amp;F53&amp;" AS STRING)) IS NULL OR CAST(X."&amp;F53&amp;" AS STRING) NOT "&amp;H53&amp;",1,0)) AS NUM_REG_DIF,'"&amp;MAX('ID1&amp;5'!K:K)+1&amp;"' AS ID_EXEC, CURRENT_TIMESTAMP() AS TIME_EXEC FROM "&amp;I53,"SELECT '"&amp;UPPER(B53)&amp;"' AS TABELA, '"&amp;UPPER(C53)&amp;"' AS TIPOLOGIA_TESTE,'"&amp;D53&amp;"' AS TABELA_LT,'N/A' AS TABELA_SIMUL,'"&amp;F53&amp;"' AS CAMPO, "&amp;"'${ref_date}' AS REF_DATE, COUNT(*) AS NUM_REG, SUM(IF(TRIM(CAST(X."&amp;F53&amp;" AS STRING))='' OR TRIM(CAST(X."&amp;F53&amp;" AS STRING)) IS NULL,1,0)) AS NUM_REG_DIF,'"&amp;MAX('ID1&amp;5'!K:K)+1&amp;"' AS ID_EXEC, CURRENT_TIMESTAMP() AS TIME_EXEC FROM "&amp;I53),
IF(C53="Caracteres Especiais",+"SELECT '"&amp;UPPER(B53)&amp;"' AS TABELA, '"&amp;UPPER(C53)&amp;"' AS TIPOLOGIA_TESTE,'"&amp;D53&amp;"' AS TABELA_LT,'N/A' AS TABELA_SIMUL,'"&amp;F53&amp;"' AS CAMPO, "&amp;"'${ref_date}' AS REF_DATE, COUNT(*) AS NUM_REG, SUM(IF(REGEXP_REPLACE(TRIM(CAST(X."&amp;F53&amp;" AS STRING)),'[^a-zA-Z0-9_\\s]','') &lt;&gt;TRIM(CAST(X."&amp;F53&amp;" AS STRING)),1,0)) AS NUM_REG_DIF,'"&amp;MAX('ID1&amp;5'!K:K)+1&amp;"' AS ID_EXEC, CURRENT_TIMESTAMP() AS TIME_EXEC FROM "&amp;I53,
IF(C53="Missings",+"SELECT '"&amp;UPPER(B53)&amp;"' AS TABELA, '"&amp;UPPER(C53)&amp;"' AS TIPOLOGIA_TESTE,'"&amp;D53&amp;"' AS TABELA_LT,'N/A' AS TABELA_SIMUL,'"&amp;F53&amp;"' AS CAMPO, "&amp;"'${ref_date}' AS REF_DATE, COUNT(*) AS NUM_REG, SUM(IF(TRIM(CAST(X."&amp;F53&amp;" AS STRING)) IN ('0000-00-00','0001-01-01','9999-12-31','MISS','00000','99999999999','99999999999.00','99999999999.000000'),1,0)) AS NUM_REG_DIF,'"&amp;MAX('ID1&amp;5'!K:K)+1&amp;"' AS ID_EXEC, CURRENT_TIMESTAMP() AS TIME_EXEC FROM "&amp;I53,
IF(C53="Not applicable",+"SELECT '"&amp;UPPER(B53)&amp;"' AS TABELA, '"&amp;UPPER(C53)&amp;"' AS TIPOLOGIA_TESTE,'"&amp;D53&amp;"' AS TABELA_LT,'N/A' AS TABELA_SIMUL,'"&amp;F53&amp;"' AS CAMPO, "&amp;"'${ref_date}' AS REF_DATE, COUNT(*) AS NUM_REG, SUM(IF(TRIM(CAST(X."&amp;F53&amp;" AS STRING)) IN ('N/A','11111111111','11111111111.00','11111111111.000000','1111-11-11'),1,0)) AS NUM_REG_DIF,'"&amp;MAX('ID1&amp;5'!K:K)+1&amp;"' AS ID_EXEC, CURRENT_TIMESTAMP() AS TIME_EXEC FROM "&amp;I53,
IF(C53="Valores extremos",+"SELECT '"&amp;UPPER(B53)&amp;"' AS TABELA, '"&amp;UPPER(C53)&amp;"' AS TIPOLOGIA_TESTE,'"&amp;D53&amp;"' AS TABELA_LT,'N/A' AS TABELA_SIMUL,'"&amp;F53&amp;"' AS CAMPO, "&amp;"'${ref_date}' AS REF_DATE, CAST(MIN("&amp;F53&amp;") AS STRING) AS VALOR_MIN, CAST(MAX("&amp;F53&amp;") AS STRING) AS VALOR_MAX,'"&amp;MAX('ID1&amp;5'!K:K)+1&amp;"' AS ID_EXEC, CURRENT_TIMESTAMP() AS TIME_EXEC FROM "&amp;MID(I53,1,LEN(I53)-2)&amp;" AND CAST("&amp;F53&amp;"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TABELA_LT,'BU_LOANTAPE_WORK.LT004_PROTECTION_SRB' AS TABELA_SIMUL,'ORGNL_PRTCTN_VL' AS CAMPO, '${ref_date}' AS REF_DATE, COUNT(*) AS NUM_REG, SUM(IF(COALESCE(CAST(X.ORGNL_PRTCTN_VL AS STRING),'')&lt;&gt;COALESCE(CAST(Y.ORGNL_PRTCTN_VL_SIMUL AS STRING),'') OR (X.ORGNL_PRTCTN_VL IS NULL AND Y.ORGNL_PRTCTN_VL_SIMUL IS NOT NULL ) OR (X.ORGNL_PRTCTN_VL IS NOT NULL AND Y.ORGNL_PRTCTN_VL_SIMUL IS NULL),1,0)) AS NUM_REG_DIF,'1' AS ID_EXEC, CURRENT_TIMESTAMP() AS TIME_EXEC FROM (SELECT prtctn_id, ORGNL_PRTCTN_VL FROM CD_LOAN_TAPES_BCE.LT004_PROTECTION WHERE ref_date='${ref_date}' AND nome_perimetro='Individual Corporativo' AND segmento='ESTR' AND ambito='PM' AND entidade='00100')X INNER JOIN (SELECT prtctn_id AS prtctn_id_SIMUL, ORGNL_PRTCTN_VL AS ORGNL_PRTCTN_VL_SIMUL FROM BU_LOANTAPE_WORK.LT004_PROTECTION_SRB WHERE ref_date='${ref_date}' AND nome_perimetro='Individual Corporativo' AND segmento='ESTR' AND ambito='PILAR3' AND entidade='00100')Y ON X.PRTCTN_ID=Y.PRTCTN_ID_SIMUL</v>
      </c>
      <c r="M53" s="36" t="str">
        <f t="shared" si="2"/>
        <v>UNION ALL SELECT 'PROTECTION' AS TABELA, 'COERÊNCIA' AS TIPOLOGIA_TESTE,'CD_LOAN_TAPES_BCE.LT004_PROTECTION' AS TABELA_LT,'BU_LOANTAPE_WORK.LT004_PROTECTION_SRB' AS TABELA_SIMUL,'ORGNL_PRTCTN_VL' AS CAMPO, '${ref_date}' AS REF_DATE, COUNT(*) AS NUM_REG, SUM(IF(COALESCE(CAST(X.ORGNL_PRTCTN_VL AS STRING),'')&lt;&gt;COALESCE(CAST(Y.ORGNL_PRTCTN_VL_SIMUL AS STRING),'') OR (X.ORGNL_PRTCTN_VL IS NULL AND Y.ORGNL_PRTCTN_VL_SIMUL IS NOT NULL ) OR (X.ORGNL_PRTCTN_VL IS NOT NULL AND Y.ORGNL_PRTCTN_VL_SIMUL IS NULL),1,0)) AS NUM_REG_DIF,'1' AS ID_EXEC, CURRENT_TIMESTAMP() AS TIME_EXEC FROM (SELECT prtctn_id, ORGNL_PRTCTN_VL FROM CD_LOAN_TAPES_BCE.LT004_PROTECTION WHERE ref_date='${ref_date}' AND nome_perimetro='Individual Corporativo' AND segmento='ESTR' AND ambito='PM' AND entidade='00100')X INNER JOIN (SELECT prtctn_id AS prtctn_id_SIMUL, ORGNL_PRTCTN_VL AS ORGNL_PRTCTN_VL_SIMUL FROM BU_LOANTAPE_WORK.LT004_PROTECTION_SRB WHERE ref_date='${ref_date}' AND nome_perimetro='Individual Corporativo' AND segmento='ESTR' AND ambito='PILAR3' AND entidade='00100')Y ON X.PRTCTN_ID=Y.PRTCTN_ID_SIMUL</v>
      </c>
      <c r="N53" s="38" t="s">
        <v>45</v>
      </c>
    </row>
    <row r="54" spans="1:14" hidden="1">
      <c r="A54" s="60" t="str">
        <f t="shared" si="1"/>
        <v>PROTECTIONPRTCTN_VL</v>
      </c>
      <c r="B54" s="34" t="s">
        <v>127</v>
      </c>
      <c r="C54" s="34" t="s">
        <v>5</v>
      </c>
      <c r="D54" s="34" t="str">
        <f>+UPPER('0. Instruções'!$D$35&amp;"."&amp;VLOOKUP(B54,'0. Instruções'!$C$27:$D$32,2,FALSE))</f>
        <v>CD_LOAN_TAPES_BCE.LT004_PROTECTION</v>
      </c>
      <c r="E54" s="34" t="str">
        <f>+UPPER('0. Instruções'!$D$36&amp;"."&amp;VLOOKUP(B54,'0. Instruções'!$C$27:$E$32,3,FALSE))</f>
        <v>BU_LOANTAPE_WORK.LT004_PROTECTION_SRB</v>
      </c>
      <c r="F54" s="34" t="s">
        <v>124</v>
      </c>
      <c r="G54" s="34"/>
      <c r="H54" s="34" t="s">
        <v>91</v>
      </c>
      <c r="I54" s="34" t="str">
        <f>"(SELECT "&amp;VLOOKUP(B54,'0. Instruções'!$C$27:$G$32,4,FALSE)&amp;", "&amp;F54&amp;" FROM "&amp;D54&amp;" WHERE "&amp;'0. Instruções'!$D$42&amp;")X"</f>
        <v>(SELECT prtctn_id, PRTCTN_VL FROM CD_LOAN_TAPES_BCE.LT004_PROTECTION WHERE ref_date='${ref_date}' AND nome_perimetro='Individual Corporativo' AND segmento='ESTR' AND ambito='PM' AND entidade='00100')X</v>
      </c>
      <c r="J54" s="34" t="str">
        <f>"(SELECT "&amp;VLOOKUP(B54,'0. Instruções'!$C$27:$G$32,4,FALSE)&amp;" AS "&amp;VLOOKUP(B54,'0. Instruções'!$C$27:$G$32,4,FALSE)&amp;"_SIMUL, "&amp;F54&amp;" AS "&amp;F54&amp;"_SIMUL FROM "&amp;E54&amp;" WHERE "&amp;'0. Instruções'!$D$43&amp;")Y"</f>
        <v>(SELECT prtctn_id AS prtctn_id_SIMUL, PRTCTN_VL AS PRTCTN_VL_SIMUL FROM BU_LOANTAPE_WORK.LT004_PROTECTION_SRB WHERE ref_date='${ref_date}' AND nome_perimetro='Individual Corporativo' AND segmento='ESTR' AND ambito='PILAR3' AND entidade='00100')Y</v>
      </c>
      <c r="K54" s="35" t="str">
        <f>+UPPER("ON X."&amp;VLOOKUP(B54,'0. Instruções'!$C$27:$G$32,4,FALSE)&amp;"=Y."&amp;VLOOKUP(B54,'0. Instruções'!$C$27:$G$32,4,FALSE)&amp;"_SIMUL")</f>
        <v>ON X.PRTCTN_ID=Y.PRTCTN_ID_SIMUL</v>
      </c>
      <c r="L54" s="35" t="str">
        <f>+IF(C54="Coerência", +IF(LEFT(G54,5)="FLOAT","SELECT '"&amp;UPPER(B54)&amp;"' AS TABELA, '"&amp;UPPER(C54)&amp;"' AS TIPOLOGIA_TESTE,'"&amp;D54&amp;"' AS TABELA_LT,'"&amp;E54&amp;"' AS TABELA_SIMUL,'"&amp;F54&amp;"' AS CAMPO, "&amp;"'${ref_date}' AS REF_DATE, COUNT(*) AS NUM_REG, SUM(IF((ABS(COALESCE(CAST(X."&amp;F54&amp;" AS DECIMAL(18,6)),0)-COALESCE(CAST(Y."&amp;F54&amp;"_SIMUL AS DECIMAL(18,6)),0))&gt;0.000001) OR (X."&amp;F54&amp;" IS NULL AND Y."&amp;F54&amp;"_SIMUL IS NOT NULL ) OR (X."&amp;F54&amp;" IS NOT NULL AND Y."&amp;F54&amp;"_SIMUL IS NULL),1,0)) AS NUM_REG_DIF,'"&amp;MAX('ID1&amp;5'!K:K)+1&amp;"' AS ID_EXEC, CURRENT_TIMESTAMP() AS TIME_EXEC FROM "&amp;I54&amp;" INNER JOIN "&amp;J54&amp;" "&amp;K54,"SELECT '"&amp;UPPER(B54)&amp;"' AS TABELA, '"&amp;UPPER(C54)&amp;"' AS TIPOLOGIA_TESTE,'"&amp;D54&amp;"' AS TABELA_LT,'"&amp;E54&amp;"' AS TABELA_SIMUL,'"&amp;F54&amp;"' AS CAMPO, "&amp;"'${ref_date}' AS REF_DATE, COUNT(*) AS NUM_REG, SUM(IF(COALESCE(CAST(X."&amp;F54&amp;" AS STRING),'')&lt;&gt;COALESCE(CAST(Y."&amp;F54&amp;"_SIMUL AS STRING),'') OR (X."&amp;F54&amp;" IS NULL AND Y."&amp;F54&amp;"_SIMUL IS NOT NULL ) OR (X."&amp;F54&amp;" IS NOT NULL AND Y."&amp;F54&amp;"_SIMUL IS NULL),1,0)) AS NUM_REG_DIF,'"&amp;MAX('ID1&amp;5'!L:L)+1&amp;"' AS ID_EXEC, CURRENT_TIMESTAMP() AS TIME_EXEC FROM "&amp;I54&amp;" INNER JOIN "&amp;J54&amp;" "&amp;K54),
IF(C54="Validade",+IF(G54="Code List","SELECT '"&amp;UPPER(B54)&amp;"' AS TABELA, '"&amp;UPPER(C54)&amp;"' AS TIPOLOGIA_TESTE,'"&amp;D54&amp;"' AS TABELA_LT,'N/A' AS TABELA_SIMUL,'"&amp;F54&amp;"' AS CAMPO, "&amp;"'${ref_date}' AS REF_DATE, COUNT(*) AS NUM_REG, SUM(IF(TRIM(CAST(X."&amp;F54&amp;" AS STRING))='' OR TRIM(CAST(X."&amp;F54&amp;" AS STRING)) IS NULL OR CAST(X."&amp;F54&amp;" AS STRING) NOT "&amp;H54&amp;",1,0)) AS NUM_REG_DIF,'"&amp;MAX('ID1&amp;5'!K:K)+1&amp;"' AS ID_EXEC, CURRENT_TIMESTAMP() AS TIME_EXEC FROM "&amp;I54,"SELECT '"&amp;UPPER(B54)&amp;"' AS TABELA, '"&amp;UPPER(C54)&amp;"' AS TIPOLOGIA_TESTE,'"&amp;D54&amp;"' AS TABELA_LT,'N/A' AS TABELA_SIMUL,'"&amp;F54&amp;"' AS CAMPO, "&amp;"'${ref_date}' AS REF_DATE, COUNT(*) AS NUM_REG, SUM(IF(TRIM(CAST(X."&amp;F54&amp;" AS STRING))='' OR TRIM(CAST(X."&amp;F54&amp;" AS STRING)) IS NULL,1,0)) AS NUM_REG_DIF,'"&amp;MAX('ID1&amp;5'!K:K)+1&amp;"' AS ID_EXEC, CURRENT_TIMESTAMP() AS TIME_EXEC FROM "&amp;I54),
IF(C54="Caracteres Especiais",+"SELECT '"&amp;UPPER(B54)&amp;"' AS TABELA, '"&amp;UPPER(C54)&amp;"' AS TIPOLOGIA_TESTE,'"&amp;D54&amp;"' AS TABELA_LT,'N/A' AS TABELA_SIMUL,'"&amp;F54&amp;"' AS CAMPO, "&amp;"'${ref_date}' AS REF_DATE, COUNT(*) AS NUM_REG, SUM(IF(REGEXP_REPLACE(TRIM(CAST(X."&amp;F54&amp;" AS STRING)),'[^a-zA-Z0-9_\\s]','') &lt;&gt;TRIM(CAST(X."&amp;F54&amp;" AS STRING)),1,0)) AS NUM_REG_DIF,'"&amp;MAX('ID1&amp;5'!K:K)+1&amp;"' AS ID_EXEC, CURRENT_TIMESTAMP() AS TIME_EXEC FROM "&amp;I54,
IF(C54="Missings",+"SELECT '"&amp;UPPER(B54)&amp;"' AS TABELA, '"&amp;UPPER(C54)&amp;"' AS TIPOLOGIA_TESTE,'"&amp;D54&amp;"' AS TABELA_LT,'N/A' AS TABELA_SIMUL,'"&amp;F54&amp;"' AS CAMPO, "&amp;"'${ref_date}' AS REF_DATE, COUNT(*) AS NUM_REG, SUM(IF(TRIM(CAST(X."&amp;F54&amp;" AS STRING)) IN ('0000-00-00','0001-01-01','9999-12-31','MISS','00000','99999999999','99999999999.00','99999999999.000000'),1,0)) AS NUM_REG_DIF,'"&amp;MAX('ID1&amp;5'!K:K)+1&amp;"' AS ID_EXEC, CURRENT_TIMESTAMP() AS TIME_EXEC FROM "&amp;I54,
IF(C54="Not applicable",+"SELECT '"&amp;UPPER(B54)&amp;"' AS TABELA, '"&amp;UPPER(C54)&amp;"' AS TIPOLOGIA_TESTE,'"&amp;D54&amp;"' AS TABELA_LT,'N/A' AS TABELA_SIMUL,'"&amp;F54&amp;"' AS CAMPO, "&amp;"'${ref_date}' AS REF_DATE, COUNT(*) AS NUM_REG, SUM(IF(TRIM(CAST(X."&amp;F54&amp;" AS STRING)) IN ('N/A','11111111111','11111111111.00','11111111111.000000','1111-11-11'),1,0)) AS NUM_REG_DIF,'"&amp;MAX('ID1&amp;5'!K:K)+1&amp;"' AS ID_EXEC, CURRENT_TIMESTAMP() AS TIME_EXEC FROM "&amp;I54,
IF(C54="Valores extremos",+"SELECT '"&amp;UPPER(B54)&amp;"' AS TABELA, '"&amp;UPPER(C54)&amp;"' AS TIPOLOGIA_TESTE,'"&amp;D54&amp;"' AS TABELA_LT,'N/A' AS TABELA_SIMUL,'"&amp;F54&amp;"' AS CAMPO, "&amp;"'${ref_date}' AS REF_DATE, CAST(MIN("&amp;F54&amp;") AS STRING) AS VALOR_MIN, CAST(MAX("&amp;F54&amp;") AS STRING) AS VALOR_MAX,'"&amp;MAX('ID1&amp;5'!K:K)+1&amp;"' AS ID_EXEC, CURRENT_TIMESTAMP() AS TIME_EXEC FROM "&amp;MID(I54,1,LEN(I54)-2)&amp;" AND CAST("&amp;F54&amp;"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TABELA_LT,'BU_LOANTAPE_WORK.LT004_PROTECTION_SRB' AS TABELA_SIMUL,'PRTCTN_VL' AS CAMPO, '${ref_date}' AS REF_DATE, COUNT(*) AS NUM_REG, SUM(IF(COALESCE(CAST(X.PRTCTN_VL AS STRING),'')&lt;&gt;COALESCE(CAST(Y.PRTCTN_VL_SIMUL AS STRING),'') OR (X.PRTCTN_VL IS NULL AND Y.PRTCTN_VL_SIMUL IS NOT NULL ) OR (X.PRTCTN_VL IS NOT NULL AND Y.PRTCTN_VL_SIMUL IS NULL),1,0)) AS NUM_REG_DIF,'1' AS ID_EXEC, CURRENT_TIMESTAMP() AS TIME_EXEC FROM (SELECT prtctn_id, PRTCTN_VL FROM CD_LOAN_TAPES_BCE.LT004_PROTECTION WHERE ref_date='${ref_date}' AND nome_perimetro='Individual Corporativo' AND segmento='ESTR' AND ambito='PM' AND entidade='00100')X INNER JOIN (SELECT prtctn_id AS prtctn_id_SIMUL, PRTCTN_VL AS PRTCTN_VL_SIMUL FROM BU_LOANTAPE_WORK.LT004_PROTECTION_SRB WHERE ref_date='${ref_date}' AND nome_perimetro='Individual Corporativo' AND segmento='ESTR' AND ambito='PILAR3' AND entidade='00100')Y ON X.PRTCTN_ID=Y.PRTCTN_ID_SIMUL</v>
      </c>
      <c r="M54" s="36" t="str">
        <f t="shared" si="2"/>
        <v>UNION ALL SELECT 'PROTECTION' AS TABELA, 'COERÊNCIA' AS TIPOLOGIA_TESTE,'CD_LOAN_TAPES_BCE.LT004_PROTECTION' AS TABELA_LT,'BU_LOANTAPE_WORK.LT004_PROTECTION_SRB' AS TABELA_SIMUL,'PRTCTN_VL' AS CAMPO, '${ref_date}' AS REF_DATE, COUNT(*) AS NUM_REG, SUM(IF(COALESCE(CAST(X.PRTCTN_VL AS STRING),'')&lt;&gt;COALESCE(CAST(Y.PRTCTN_VL_SIMUL AS STRING),'') OR (X.PRTCTN_VL IS NULL AND Y.PRTCTN_VL_SIMUL IS NOT NULL ) OR (X.PRTCTN_VL IS NOT NULL AND Y.PRTCTN_VL_SIMUL IS NULL),1,0)) AS NUM_REG_DIF,'1' AS ID_EXEC, CURRENT_TIMESTAMP() AS TIME_EXEC FROM (SELECT prtctn_id, PRTCTN_VL FROM CD_LOAN_TAPES_BCE.LT004_PROTECTION WHERE ref_date='${ref_date}' AND nome_perimetro='Individual Corporativo' AND segmento='ESTR' AND ambito='PM' AND entidade='00100')X INNER JOIN (SELECT prtctn_id AS prtctn_id_SIMUL, PRTCTN_VL AS PRTCTN_VL_SIMUL FROM BU_LOANTAPE_WORK.LT004_PROTECTION_SRB WHERE ref_date='${ref_date}' AND nome_perimetro='Individual Corporativo' AND segmento='ESTR' AND ambito='PILAR3' AND entidade='00100')Y ON X.PRTCTN_ID=Y.PRTCTN_ID_SIMUL</v>
      </c>
      <c r="N54" s="38" t="s">
        <v>45</v>
      </c>
    </row>
    <row r="55" spans="1:14" hidden="1">
      <c r="A55" s="60" t="str">
        <f t="shared" si="1"/>
        <v>PROTECTIONYR_CNSTRCTN</v>
      </c>
      <c r="B55" s="34" t="s">
        <v>127</v>
      </c>
      <c r="C55" s="34" t="s">
        <v>5</v>
      </c>
      <c r="D55" s="34" t="str">
        <f>+UPPER('0. Instruções'!$D$35&amp;"."&amp;VLOOKUP(B55,'0. Instruções'!$C$27:$D$32,2,FALSE))</f>
        <v>CD_LOAN_TAPES_BCE.LT004_PROTECTION</v>
      </c>
      <c r="E55" s="34" t="str">
        <f>+UPPER('0. Instruções'!$D$36&amp;"."&amp;VLOOKUP(B55,'0. Instruções'!$C$27:$E$32,3,FALSE))</f>
        <v>BU_LOANTAPE_WORK.LT004_PROTECTION_SRB</v>
      </c>
      <c r="F55" s="34" t="s">
        <v>593</v>
      </c>
      <c r="G55" s="34"/>
      <c r="H55" s="34" t="s">
        <v>600</v>
      </c>
      <c r="I55" s="34" t="str">
        <f>"(SELECT "&amp;VLOOKUP(B55,'0. Instruções'!$C$27:$G$32,4,FALSE)&amp;", "&amp;F55&amp;" FROM "&amp;D55&amp;" WHERE "&amp;'0. Instruções'!$D$42&amp;")X"</f>
        <v>(SELECT prtctn_id, YR_CNSTRCTN FROM CD_LOAN_TAPES_BCE.LT004_PROTECTION WHERE ref_date='${ref_date}' AND nome_perimetro='Individual Corporativo' AND segmento='ESTR' AND ambito='PM' AND entidade='00100')X</v>
      </c>
      <c r="J55" s="34" t="str">
        <f>"(SELECT "&amp;VLOOKUP(B55,'0. Instruções'!$C$27:$G$32,4,FALSE)&amp;" AS "&amp;VLOOKUP(B55,'0. Instruções'!$C$27:$G$32,4,FALSE)&amp;"_SIMUL, "&amp;F55&amp;" AS "&amp;F55&amp;"_SIMUL FROM "&amp;E55&amp;" WHERE "&amp;'0. Instruções'!$D$43&amp;")Y"</f>
        <v>(SELECT prtctn_id AS prtctn_id_SIMUL, YR_CNSTRCTN AS YR_CNSTRCTN_SIMUL FROM BU_LOANTAPE_WORK.LT004_PROTECTION_SRB WHERE ref_date='${ref_date}' AND nome_perimetro='Individual Corporativo' AND segmento='ESTR' AND ambito='PILAR3' AND entidade='00100')Y</v>
      </c>
      <c r="K55" s="35" t="str">
        <f>+UPPER("ON X."&amp;VLOOKUP(B55,'0. Instruções'!$C$27:$G$32,4,FALSE)&amp;"=Y."&amp;VLOOKUP(B55,'0. Instruções'!$C$27:$G$32,4,FALSE)&amp;"_SIMUL")</f>
        <v>ON X.PRTCTN_ID=Y.PRTCTN_ID_SIMUL</v>
      </c>
      <c r="L55" s="35" t="str">
        <f>+IF(C55="Coerência", +IF(LEFT(G55,5)="FLOAT","SELECT '"&amp;UPPER(B55)&amp;"' AS TABELA, '"&amp;UPPER(C55)&amp;"' AS TIPOLOGIA_TESTE,'"&amp;D55&amp;"' AS TABELA_LT,'"&amp;E55&amp;"' AS TABELA_SIMUL,'"&amp;F55&amp;"' AS CAMPO, "&amp;"'${ref_date}' AS REF_DATE, COUNT(*) AS NUM_REG, SUM(IF((ABS(COALESCE(CAST(X."&amp;F55&amp;" AS DECIMAL(18,6)),0)-COALESCE(CAST(Y."&amp;F55&amp;"_SIMUL AS DECIMAL(18,6)),0))&gt;0.000001) OR (X."&amp;F55&amp;" IS NULL AND Y."&amp;F55&amp;"_SIMUL IS NOT NULL ) OR (X."&amp;F55&amp;" IS NOT NULL AND Y."&amp;F55&amp;"_SIMUL IS NULL),1,0)) AS NUM_REG_DIF,'"&amp;MAX('ID1&amp;5'!K:K)+1&amp;"' AS ID_EXEC, CURRENT_TIMESTAMP() AS TIME_EXEC FROM "&amp;I55&amp;" INNER JOIN "&amp;J55&amp;" "&amp;K55,"SELECT '"&amp;UPPER(B55)&amp;"' AS TABELA, '"&amp;UPPER(C55)&amp;"' AS TIPOLOGIA_TESTE,'"&amp;D55&amp;"' AS TABELA_LT,'"&amp;E55&amp;"' AS TABELA_SIMUL,'"&amp;F55&amp;"' AS CAMPO, "&amp;"'${ref_date}' AS REF_DATE, COUNT(*) AS NUM_REG, SUM(IF(COALESCE(CAST(X."&amp;F55&amp;" AS STRING),'')&lt;&gt;COALESCE(CAST(Y."&amp;F55&amp;"_SIMUL AS STRING),'') OR (X."&amp;F55&amp;" IS NULL AND Y."&amp;F55&amp;"_SIMUL IS NOT NULL ) OR (X."&amp;F55&amp;" IS NOT NULL AND Y."&amp;F55&amp;"_SIMUL IS NULL),1,0)) AS NUM_REG_DIF,'"&amp;MAX('ID1&amp;5'!L:L)+1&amp;"' AS ID_EXEC, CURRENT_TIMESTAMP() AS TIME_EXEC FROM "&amp;I55&amp;" INNER JOIN "&amp;J55&amp;" "&amp;K55),
IF(C55="Validade",+IF(G55="Code List","SELECT '"&amp;UPPER(B55)&amp;"' AS TABELA, '"&amp;UPPER(C55)&amp;"' AS TIPOLOGIA_TESTE,'"&amp;D55&amp;"' AS TABELA_LT,'N/A' AS TABELA_SIMUL,'"&amp;F55&amp;"' AS CAMPO, "&amp;"'${ref_date}' AS REF_DATE, COUNT(*) AS NUM_REG, SUM(IF(TRIM(CAST(X."&amp;F55&amp;" AS STRING))='' OR TRIM(CAST(X."&amp;F55&amp;" AS STRING)) IS NULL OR CAST(X."&amp;F55&amp;" AS STRING) NOT "&amp;H55&amp;",1,0)) AS NUM_REG_DIF,'"&amp;MAX('ID1&amp;5'!K:K)+1&amp;"' AS ID_EXEC, CURRENT_TIMESTAMP() AS TIME_EXEC FROM "&amp;I55,"SELECT '"&amp;UPPER(B55)&amp;"' AS TABELA, '"&amp;UPPER(C55)&amp;"' AS TIPOLOGIA_TESTE,'"&amp;D55&amp;"' AS TABELA_LT,'N/A' AS TABELA_SIMUL,'"&amp;F55&amp;"' AS CAMPO, "&amp;"'${ref_date}' AS REF_DATE, COUNT(*) AS NUM_REG, SUM(IF(TRIM(CAST(X."&amp;F55&amp;" AS STRING))='' OR TRIM(CAST(X."&amp;F55&amp;" AS STRING)) IS NULL,1,0)) AS NUM_REG_DIF,'"&amp;MAX('ID1&amp;5'!K:K)+1&amp;"' AS ID_EXEC, CURRENT_TIMESTAMP() AS TIME_EXEC FROM "&amp;I55),
IF(C55="Caracteres Especiais",+"SELECT '"&amp;UPPER(B55)&amp;"' AS TABELA, '"&amp;UPPER(C55)&amp;"' AS TIPOLOGIA_TESTE,'"&amp;D55&amp;"' AS TABELA_LT,'N/A' AS TABELA_SIMUL,'"&amp;F55&amp;"' AS CAMPO, "&amp;"'${ref_date}' AS REF_DATE, COUNT(*) AS NUM_REG, SUM(IF(REGEXP_REPLACE(TRIM(CAST(X."&amp;F55&amp;" AS STRING)),'[^a-zA-Z0-9_\\s]','') &lt;&gt;TRIM(CAST(X."&amp;F55&amp;" AS STRING)),1,0)) AS NUM_REG_DIF,'"&amp;MAX('ID1&amp;5'!K:K)+1&amp;"' AS ID_EXEC, CURRENT_TIMESTAMP() AS TIME_EXEC FROM "&amp;I55,
IF(C55="Missings",+"SELECT '"&amp;UPPER(B55)&amp;"' AS TABELA, '"&amp;UPPER(C55)&amp;"' AS TIPOLOGIA_TESTE,'"&amp;D55&amp;"' AS TABELA_LT,'N/A' AS TABELA_SIMUL,'"&amp;F55&amp;"' AS CAMPO, "&amp;"'${ref_date}' AS REF_DATE, COUNT(*) AS NUM_REG, SUM(IF(TRIM(CAST(X."&amp;F55&amp;" AS STRING)) IN ('0000-00-00','0001-01-01','9999-12-31','MISS','00000','99999999999','99999999999.00','99999999999.000000'),1,0)) AS NUM_REG_DIF,'"&amp;MAX('ID1&amp;5'!K:K)+1&amp;"' AS ID_EXEC, CURRENT_TIMESTAMP() AS TIME_EXEC FROM "&amp;I55,
IF(C55="Not applicable",+"SELECT '"&amp;UPPER(B55)&amp;"' AS TABELA, '"&amp;UPPER(C55)&amp;"' AS TIPOLOGIA_TESTE,'"&amp;D55&amp;"' AS TABELA_LT,'N/A' AS TABELA_SIMUL,'"&amp;F55&amp;"' AS CAMPO, "&amp;"'${ref_date}' AS REF_DATE, COUNT(*) AS NUM_REG, SUM(IF(TRIM(CAST(X."&amp;F55&amp;" AS STRING)) IN ('N/A','11111111111','11111111111.00','11111111111.000000','1111-11-11'),1,0)) AS NUM_REG_DIF,'"&amp;MAX('ID1&amp;5'!K:K)+1&amp;"' AS ID_EXEC, CURRENT_TIMESTAMP() AS TIME_EXEC FROM "&amp;I55,
IF(C55="Valores extremos",+"SELECT '"&amp;UPPER(B55)&amp;"' AS TABELA, '"&amp;UPPER(C55)&amp;"' AS TIPOLOGIA_TESTE,'"&amp;D55&amp;"' AS TABELA_LT,'N/A' AS TABELA_SIMUL,'"&amp;F55&amp;"' AS CAMPO, "&amp;"'${ref_date}' AS REF_DATE, CAST(MIN("&amp;F55&amp;") AS STRING) AS VALOR_MIN, CAST(MAX("&amp;F55&amp;") AS STRING) AS VALOR_MAX,'"&amp;MAX('ID1&amp;5'!K:K)+1&amp;"' AS ID_EXEC, CURRENT_TIMESTAMP() AS TIME_EXEC FROM "&amp;MID(I55,1,LEN(I55)-2)&amp;" AND CAST("&amp;F55&amp;"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TABELA_LT,'BU_LOANTAPE_WORK.LT004_PROTECTION_SRB' AS TABELA_SIMUL,'YR_CNSTRCTN' AS CAMPO, '${ref_date}' AS REF_DATE, COUNT(*) AS NUM_REG, SUM(IF(COALESCE(CAST(X.YR_CNSTRCTN AS STRING),'')&lt;&gt;COALESCE(CAST(Y.YR_CNSTRCTN_SIMUL AS STRING),'') OR (X.YR_CNSTRCTN IS NULL AND Y.YR_CNSTRCTN_SIMUL IS NOT NULL ) OR (X.YR_CNSTRCTN IS NOT NULL AND Y.YR_CNSTRCTN_SIMUL IS NULL),1,0)) AS NUM_REG_DIF,'1' AS ID_EXEC, CURRENT_TIMESTAMP() AS TIME_EXEC FROM (SELECT prtctn_id, YR_CNSTRCTN FROM CD_LOAN_TAPES_BCE.LT004_PROTECTION WHERE ref_date='${ref_date}' AND nome_perimetro='Individual Corporativo' AND segmento='ESTR' AND ambito='PM' AND entidade='00100')X INNER JOIN (SELECT prtctn_id AS prtctn_id_SIMUL, YR_CNSTRCTN AS YR_CNSTRCTN_SIMUL FROM BU_LOANTAPE_WORK.LT004_PROTECTION_SRB WHERE ref_date='${ref_date}' AND nome_perimetro='Individual Corporativo' AND segmento='ESTR' AND ambito='PILAR3' AND entidade='00100')Y ON X.PRTCTN_ID=Y.PRTCTN_ID_SIMUL</v>
      </c>
      <c r="M55" s="36" t="str">
        <f t="shared" si="2"/>
        <v>UNION ALL SELECT 'PROTECTION' AS TABELA, 'COERÊNCIA' AS TIPOLOGIA_TESTE,'CD_LOAN_TAPES_BCE.LT004_PROTECTION' AS TABELA_LT,'BU_LOANTAPE_WORK.LT004_PROTECTION_SRB' AS TABELA_SIMUL,'YR_CNSTRCTN' AS CAMPO, '${ref_date}' AS REF_DATE, COUNT(*) AS NUM_REG, SUM(IF(COALESCE(CAST(X.YR_CNSTRCTN AS STRING),'')&lt;&gt;COALESCE(CAST(Y.YR_CNSTRCTN_SIMUL AS STRING),'') OR (X.YR_CNSTRCTN IS NULL AND Y.YR_CNSTRCTN_SIMUL IS NOT NULL ) OR (X.YR_CNSTRCTN IS NOT NULL AND Y.YR_CNSTRCTN_SIMUL IS NULL),1,0)) AS NUM_REG_DIF,'1' AS ID_EXEC, CURRENT_TIMESTAMP() AS TIME_EXEC FROM (SELECT prtctn_id, YR_CNSTRCTN FROM CD_LOAN_TAPES_BCE.LT004_PROTECTION WHERE ref_date='${ref_date}' AND nome_perimetro='Individual Corporativo' AND segmento='ESTR' AND ambito='PM' AND entidade='00100')X INNER JOIN (SELECT prtctn_id AS prtctn_id_SIMUL, YR_CNSTRCTN AS YR_CNSTRCTN_SIMUL FROM BU_LOANTAPE_WORK.LT004_PROTECTION_SRB WHERE ref_date='${ref_date}' AND nome_perimetro='Individual Corporativo' AND segmento='ESTR' AND ambito='PILAR3' AND entidade='00100')Y ON X.PRTCTN_ID=Y.PRTCTN_ID_SIMUL</v>
      </c>
      <c r="N55" s="38" t="s">
        <v>45</v>
      </c>
    </row>
    <row r="56" spans="1:14" hidden="1">
      <c r="A56" s="60" t="str">
        <f t="shared" si="1"/>
        <v>INSTR_ACTIVITYPRCNTG_ACTVTY</v>
      </c>
      <c r="B56" s="34" t="s">
        <v>322</v>
      </c>
      <c r="C56" s="34" t="s">
        <v>5</v>
      </c>
      <c r="D56" s="34" t="str">
        <f>+UPPER('0. Instruções'!$D$35&amp;"."&amp;VLOOKUP(B56,'0. Instruções'!$C$27:$D$32,2,FALSE))</f>
        <v>CD_LOAN_TAPES_BCE.LT007_INSTR_ACTIVITY</v>
      </c>
      <c r="E56" s="34" t="str">
        <f>+UPPER('0. Instruções'!$D$36&amp;"."&amp;VLOOKUP(B56,'0. Instruções'!$C$27:$E$32,3,FALSE))</f>
        <v>BU_LOANTAPE_WORK.LT007_INSTR_ACTIVITY_SRB</v>
      </c>
      <c r="F56" s="34" t="s">
        <v>594</v>
      </c>
      <c r="G56" s="34"/>
      <c r="H56" s="34" t="s">
        <v>90</v>
      </c>
      <c r="I56" s="34" t="str">
        <f>"(SELECT "&amp;VLOOKUP(B56,'0. Instruções'!$C$27:$G$32,4,FALSE)&amp;", "&amp;F56&amp;" FROM "&amp;D56&amp;" WHERE "&amp;'0. Instruções'!$D$42&amp;")X"</f>
        <v>(SELECT instrmnt_id, PRCNTG_ACTVTY FROM CD_LOAN_TAPES_BCE.LT007_INSTR_ACTIVITY WHERE ref_date='${ref_date}' AND nome_perimetro='Individual Corporativo' AND segmento='ESTR' AND ambito='PM' AND entidade='00100')X</v>
      </c>
      <c r="J56" s="34" t="str">
        <f>"(SELECT "&amp;VLOOKUP(B56,'0. Instruções'!$C$27:$G$32,4,FALSE)&amp;" AS "&amp;VLOOKUP(B56,'0. Instruções'!$C$27:$G$32,4,FALSE)&amp;"_SIMUL, "&amp;F56&amp;" AS "&amp;F56&amp;"_SIMUL FROM "&amp;E56&amp;" WHERE "&amp;'0. Instruções'!$D$43&amp;")Y"</f>
        <v>(SELECT instrmnt_id AS instrmnt_id_SIMUL, PRCNTG_ACTVTY AS PRCNTG_ACTVTY_SIMUL FROM BU_LOANTAPE_WORK.LT007_INSTR_ACTIVITY_SRB WHERE ref_date='${ref_date}' AND nome_perimetro='Individual Corporativo' AND segmento='ESTR' AND ambito='PILAR3' AND entidade='00100')Y</v>
      </c>
      <c r="K56" s="35" t="str">
        <f>+UPPER("ON X."&amp;VLOOKUP(B56,'0. Instruções'!$C$27:$G$32,4,FALSE)&amp;"=Y."&amp;VLOOKUP(B56,'0. Instruções'!$C$27:$G$32,4,FALSE)&amp;"_SIMUL")</f>
        <v>ON X.INSTRMNT_ID=Y.INSTRMNT_ID_SIMUL</v>
      </c>
      <c r="L56" s="35" t="str">
        <f>+IF(C56="Coerência", +IF(LEFT(G56,5)="FLOAT","SELECT '"&amp;UPPER(B56)&amp;"' AS TABELA, '"&amp;UPPER(C56)&amp;"' AS TIPOLOGIA_TESTE,'"&amp;D56&amp;"' AS TABELA_LT,'"&amp;E56&amp;"' AS TABELA_SIMUL,'"&amp;F56&amp;"' AS CAMPO, "&amp;"'${ref_date}' AS REF_DATE, COUNT(*) AS NUM_REG, SUM(IF((ABS(COALESCE(CAST(X."&amp;F56&amp;" AS DECIMAL(18,6)),0)-COALESCE(CAST(Y."&amp;F56&amp;"_SIMUL AS DECIMAL(18,6)),0))&gt;0.000001) OR (X."&amp;F56&amp;" IS NULL AND Y."&amp;F56&amp;"_SIMUL IS NOT NULL ) OR (X."&amp;F56&amp;" IS NOT NULL AND Y."&amp;F56&amp;"_SIMUL IS NULL),1,0)) AS NUM_REG_DIF,'"&amp;MAX('ID1&amp;5'!K:K)+1&amp;"' AS ID_EXEC, CURRENT_TIMESTAMP() AS TIME_EXEC FROM "&amp;I56&amp;" INNER JOIN "&amp;J56&amp;" "&amp;K56,"SELECT '"&amp;UPPER(B56)&amp;"' AS TABELA, '"&amp;UPPER(C56)&amp;"' AS TIPOLOGIA_TESTE,'"&amp;D56&amp;"' AS TABELA_LT,'"&amp;E56&amp;"' AS TABELA_SIMUL,'"&amp;F56&amp;"' AS CAMPO, "&amp;"'${ref_date}' AS REF_DATE, COUNT(*) AS NUM_REG, SUM(IF(COALESCE(CAST(X."&amp;F56&amp;" AS STRING),'')&lt;&gt;COALESCE(CAST(Y."&amp;F56&amp;"_SIMUL AS STRING),'') OR (X."&amp;F56&amp;" IS NULL AND Y."&amp;F56&amp;"_SIMUL IS NOT NULL ) OR (X."&amp;F56&amp;" IS NOT NULL AND Y."&amp;F56&amp;"_SIMUL IS NULL),1,0)) AS NUM_REG_DIF,'"&amp;MAX('ID1&amp;5'!L:L)+1&amp;"' AS ID_EXEC, CURRENT_TIMESTAMP() AS TIME_EXEC FROM "&amp;I56&amp;" INNER JOIN "&amp;J56&amp;" "&amp;K56),
IF(C56="Validade",+IF(G56="Code List","SELECT '"&amp;UPPER(B56)&amp;"' AS TABELA, '"&amp;UPPER(C56)&amp;"' AS TIPOLOGIA_TESTE,'"&amp;D56&amp;"' AS TABELA_LT,'N/A' AS TABELA_SIMUL,'"&amp;F56&amp;"' AS CAMPO, "&amp;"'${ref_date}' AS REF_DATE, COUNT(*) AS NUM_REG, SUM(IF(TRIM(CAST(X."&amp;F56&amp;" AS STRING))='' OR TRIM(CAST(X."&amp;F56&amp;" AS STRING)) IS NULL OR CAST(X."&amp;F56&amp;" AS STRING) NOT "&amp;H56&amp;",1,0)) AS NUM_REG_DIF,'"&amp;MAX('ID1&amp;5'!K:K)+1&amp;"' AS ID_EXEC, CURRENT_TIMESTAMP() AS TIME_EXEC FROM "&amp;I56,"SELECT '"&amp;UPPER(B56)&amp;"' AS TABELA, '"&amp;UPPER(C56)&amp;"' AS TIPOLOGIA_TESTE,'"&amp;D56&amp;"' AS TABELA_LT,'N/A' AS TABELA_SIMUL,'"&amp;F56&amp;"' AS CAMPO, "&amp;"'${ref_date}' AS REF_DATE, COUNT(*) AS NUM_REG, SUM(IF(TRIM(CAST(X."&amp;F56&amp;" AS STRING))='' OR TRIM(CAST(X."&amp;F56&amp;" AS STRING)) IS NULL,1,0)) AS NUM_REG_DIF,'"&amp;MAX('ID1&amp;5'!K:K)+1&amp;"' AS ID_EXEC, CURRENT_TIMESTAMP() AS TIME_EXEC FROM "&amp;I56),
IF(C56="Caracteres Especiais",+"SELECT '"&amp;UPPER(B56)&amp;"' AS TABELA, '"&amp;UPPER(C56)&amp;"' AS TIPOLOGIA_TESTE,'"&amp;D56&amp;"' AS TABELA_LT,'N/A' AS TABELA_SIMUL,'"&amp;F56&amp;"' AS CAMPO, "&amp;"'${ref_date}' AS REF_DATE, COUNT(*) AS NUM_REG, SUM(IF(REGEXP_REPLACE(TRIM(CAST(X."&amp;F56&amp;" AS STRING)),'[^a-zA-Z0-9_\\s]','') &lt;&gt;TRIM(CAST(X."&amp;F56&amp;" AS STRING)),1,0)) AS NUM_REG_DIF,'"&amp;MAX('ID1&amp;5'!K:K)+1&amp;"' AS ID_EXEC, CURRENT_TIMESTAMP() AS TIME_EXEC FROM "&amp;I56,
IF(C56="Missings",+"SELECT '"&amp;UPPER(B56)&amp;"' AS TABELA, '"&amp;UPPER(C56)&amp;"' AS TIPOLOGIA_TESTE,'"&amp;D56&amp;"' AS TABELA_LT,'N/A' AS TABELA_SIMUL,'"&amp;F56&amp;"' AS CAMPO, "&amp;"'${ref_date}' AS REF_DATE, COUNT(*) AS NUM_REG, SUM(IF(TRIM(CAST(X."&amp;F56&amp;" AS STRING)) IN ('0000-00-00','0001-01-01','9999-12-31','MISS','00000','99999999999','99999999999.00','99999999999.000000'),1,0)) AS NUM_REG_DIF,'"&amp;MAX('ID1&amp;5'!K:K)+1&amp;"' AS ID_EXEC, CURRENT_TIMESTAMP() AS TIME_EXEC FROM "&amp;I56,
IF(C56="Not applicable",+"SELECT '"&amp;UPPER(B56)&amp;"' AS TABELA, '"&amp;UPPER(C56)&amp;"' AS TIPOLOGIA_TESTE,'"&amp;D56&amp;"' AS TABELA_LT,'N/A' AS TABELA_SIMUL,'"&amp;F56&amp;"' AS CAMPO, "&amp;"'${ref_date}' AS REF_DATE, COUNT(*) AS NUM_REG, SUM(IF(TRIM(CAST(X."&amp;F56&amp;" AS STRING)) IN ('N/A','11111111111','11111111111.00','11111111111.000000','1111-11-11'),1,0)) AS NUM_REG_DIF,'"&amp;MAX('ID1&amp;5'!K:K)+1&amp;"' AS ID_EXEC, CURRENT_TIMESTAMP() AS TIME_EXEC FROM "&amp;I56,
IF(C56="Valores extremos",+"SELECT '"&amp;UPPER(B56)&amp;"' AS TABELA, '"&amp;UPPER(C56)&amp;"' AS TIPOLOGIA_TESTE,'"&amp;D56&amp;"' AS TABELA_LT,'N/A' AS TABELA_SIMUL,'"&amp;F56&amp;"' AS CAMPO, "&amp;"'${ref_date}' AS REF_DATE, CAST(MIN("&amp;F56&amp;") AS STRING) AS VALOR_MIN, CAST(MAX("&amp;F56&amp;") AS STRING) AS VALOR_MAX,'"&amp;MAX('ID1&amp;5'!K:K)+1&amp;"' AS ID_EXEC, CURRENT_TIMESTAMP() AS TIME_EXEC FROM "&amp;MID(I56,1,LEN(I56)-2)&amp;" AND CAST("&amp;F56&amp;" AS STRING) NOT IN ('0000-00-00','0001-01-01','9999-12-31','MISS','00000','99999999999','99999999999.00','99999999999.000000','N/A','11111111111','11111111111.00','11111111111.000000','1111-11-11'))X"))))))</f>
        <v>SELECT 'INSTR_ACTIVITY' AS TABELA, 'COERÊNCIA' AS TIPOLOGIA_TESTE,'CD_LOAN_TAPES_BCE.LT007_INSTR_ACTIVITY' AS TABELA_LT,'BU_LOANTAPE_WORK.LT007_INSTR_ACTIVITY_SRB' AS TABELA_SIMUL,'PRCNTG_ACTVTY' AS CAMPO, '${ref_date}' AS REF_DATE, COUNT(*) AS NUM_REG, SUM(IF(COALESCE(CAST(X.PRCNTG_ACTVTY AS STRING),'')&lt;&gt;COALESCE(CAST(Y.PRCNTG_ACTVTY_SIMUL AS STRING),'') OR (X.PRCNTG_ACTVTY IS NULL AND Y.PRCNTG_ACTVTY_SIMUL IS NOT NULL ) OR (X.PRCNTG_ACTVTY IS NOT NULL AND Y.PRCNTG_ACTVTY_SIMUL IS NULL),1,0)) AS NUM_REG_DIF,'1' AS ID_EXEC, CURRENT_TIMESTAMP() AS TIME_EXEC FROM (SELECT instrmnt_id, PRCNTG_ACTVTY FROM CD_LOAN_TAPES_BCE.LT007_INSTR_ACTIVITY WHERE ref_date='${ref_date}' AND nome_perimetro='Individual Corporativo' AND segmento='ESTR' AND ambito='PM' AND entidade='00100')X INNER JOIN (SELECT instrmnt_id AS instrmnt_id_SIMUL, PRCNTG_ACTVTY AS PRCNTG_ACTVTY_SIMUL FROM BU_LOANTAPE_WORK.LT007_INSTR_ACTIVITY_SRB WHERE ref_date='${ref_date}' AND nome_perimetro='Individual Corporativo' AND segmento='ESTR' AND ambito='PILAR3' AND entidade='00100')Y ON X.INSTRMNT_ID=Y.INSTRMNT_ID_SIMUL</v>
      </c>
      <c r="M56" s="36" t="str">
        <f t="shared" si="2"/>
        <v>UNION ALL SELECT 'INSTR_ACTIVITY' AS TABELA, 'COERÊNCIA' AS TIPOLOGIA_TESTE,'CD_LOAN_TAPES_BCE.LT007_INSTR_ACTIVITY' AS TABELA_LT,'BU_LOANTAPE_WORK.LT007_INSTR_ACTIVITY_SRB' AS TABELA_SIMUL,'PRCNTG_ACTVTY' AS CAMPO, '${ref_date}' AS REF_DATE, COUNT(*) AS NUM_REG, SUM(IF(COALESCE(CAST(X.PRCNTG_ACTVTY AS STRING),'')&lt;&gt;COALESCE(CAST(Y.PRCNTG_ACTVTY_SIMUL AS STRING),'') OR (X.PRCNTG_ACTVTY IS NULL AND Y.PRCNTG_ACTVTY_SIMUL IS NOT NULL ) OR (X.PRCNTG_ACTVTY IS NOT NULL AND Y.PRCNTG_ACTVTY_SIMUL IS NULL),1,0)) AS NUM_REG_DIF,'1' AS ID_EXEC, CURRENT_TIMESTAMP() AS TIME_EXEC FROM (SELECT instrmnt_id, PRCNTG_ACTVTY FROM CD_LOAN_TAPES_BCE.LT007_INSTR_ACTIVITY WHERE ref_date='${ref_date}' AND nome_perimetro='Individual Corporativo' AND segmento='ESTR' AND ambito='PM' AND entidade='00100')X INNER JOIN (SELECT instrmnt_id AS instrmnt_id_SIMUL, PRCNTG_ACTVTY AS PRCNTG_ACTVTY_SIMUL FROM BU_LOANTAPE_WORK.LT007_INSTR_ACTIVITY_SRB WHERE ref_date='${ref_date}' AND nome_perimetro='Individual Corporativo' AND segmento='ESTR' AND ambito='PILAR3' AND entidade='00100')Y ON X.INSTRMNT_ID=Y.INSTRMNT_ID_SIMUL</v>
      </c>
      <c r="N56" s="38" t="s">
        <v>45</v>
      </c>
    </row>
    <row r="57" spans="1:14" hidden="1">
      <c r="N57" s="38" t="s">
        <v>45</v>
      </c>
    </row>
    <row r="58" spans="1:14" hidden="1">
      <c r="N58" s="38" t="s">
        <v>45</v>
      </c>
    </row>
    <row r="59" spans="1:14" hidden="1">
      <c r="N59" s="38" t="s">
        <v>45</v>
      </c>
    </row>
    <row r="60" spans="1:14" hidden="1">
      <c r="N60" s="38" t="s">
        <v>45</v>
      </c>
    </row>
    <row r="61" spans="1:14" hidden="1">
      <c r="N61" s="38" t="s">
        <v>45</v>
      </c>
    </row>
    <row r="62" spans="1:14" hidden="1">
      <c r="N62" s="38" t="s">
        <v>45</v>
      </c>
    </row>
    <row r="63" spans="1:14" hidden="1">
      <c r="N63" s="38" t="s">
        <v>45</v>
      </c>
    </row>
    <row r="64" spans="1:14" hidden="1">
      <c r="N64" s="38" t="s">
        <v>45</v>
      </c>
    </row>
    <row r="65" spans="14:14" hidden="1">
      <c r="N65" s="38" t="s">
        <v>45</v>
      </c>
    </row>
    <row r="66" spans="14:14" hidden="1">
      <c r="N66" s="38" t="s">
        <v>45</v>
      </c>
    </row>
    <row r="67" spans="14:14" hidden="1">
      <c r="N67" s="38" t="s">
        <v>45</v>
      </c>
    </row>
    <row r="68" spans="14:14" hidden="1">
      <c r="N68" s="38" t="s">
        <v>45</v>
      </c>
    </row>
    <row r="69" spans="14:14" hidden="1">
      <c r="N69" s="38" t="s">
        <v>45</v>
      </c>
    </row>
    <row r="70" spans="14:14" hidden="1">
      <c r="N70" s="38" t="s">
        <v>45</v>
      </c>
    </row>
    <row r="71" spans="14:14" hidden="1">
      <c r="N71" s="38" t="s">
        <v>45</v>
      </c>
    </row>
    <row r="72" spans="14:14" hidden="1">
      <c r="N72" s="38" t="s">
        <v>45</v>
      </c>
    </row>
    <row r="73" spans="14:14" hidden="1">
      <c r="N73" s="38" t="s">
        <v>45</v>
      </c>
    </row>
    <row r="74" spans="14:14" hidden="1">
      <c r="N74" s="38" t="s">
        <v>45</v>
      </c>
    </row>
    <row r="75" spans="14:14" hidden="1">
      <c r="N75" s="38" t="s">
        <v>45</v>
      </c>
    </row>
    <row r="76" spans="14:14" hidden="1">
      <c r="N76" s="38" t="s">
        <v>45</v>
      </c>
    </row>
    <row r="77" spans="14:14" hidden="1">
      <c r="N77" s="38" t="s">
        <v>45</v>
      </c>
    </row>
    <row r="78" spans="14:14" hidden="1">
      <c r="N78" s="38" t="s">
        <v>45</v>
      </c>
    </row>
    <row r="79" spans="14:14" hidden="1">
      <c r="N79" s="38" t="s">
        <v>45</v>
      </c>
    </row>
    <row r="80" spans="14:14" hidden="1">
      <c r="N80" s="38" t="s">
        <v>45</v>
      </c>
    </row>
    <row r="81" spans="14:14" hidden="1">
      <c r="N81" s="38" t="s">
        <v>45</v>
      </c>
    </row>
    <row r="82" spans="14:14" hidden="1">
      <c r="N82" s="38" t="s">
        <v>45</v>
      </c>
    </row>
    <row r="83" spans="14:14" hidden="1">
      <c r="N83" s="38" t="s">
        <v>45</v>
      </c>
    </row>
    <row r="84" spans="14:14" hidden="1">
      <c r="N84" s="38" t="s">
        <v>45</v>
      </c>
    </row>
    <row r="85" spans="14:14" hidden="1">
      <c r="N85" s="38" t="s">
        <v>45</v>
      </c>
    </row>
    <row r="86" spans="14:14" hidden="1">
      <c r="N86" s="38" t="s">
        <v>45</v>
      </c>
    </row>
    <row r="87" spans="14:14" hidden="1">
      <c r="N87" s="38" t="s">
        <v>45</v>
      </c>
    </row>
    <row r="88" spans="14:14" hidden="1">
      <c r="N88" s="38" t="s">
        <v>45</v>
      </c>
    </row>
    <row r="89" spans="14:14" hidden="1">
      <c r="N89" s="38" t="s">
        <v>45</v>
      </c>
    </row>
    <row r="90" spans="14:14" hidden="1">
      <c r="N90" s="38" t="s">
        <v>45</v>
      </c>
    </row>
    <row r="91" spans="14:14" hidden="1">
      <c r="N91" s="38" t="s">
        <v>45</v>
      </c>
    </row>
    <row r="92" spans="14:14" hidden="1">
      <c r="N92" s="38" t="s">
        <v>45</v>
      </c>
    </row>
    <row r="93" spans="14:14" hidden="1">
      <c r="N93" s="38" t="s">
        <v>45</v>
      </c>
    </row>
    <row r="94" spans="14:14" hidden="1">
      <c r="N94" s="38" t="s">
        <v>45</v>
      </c>
    </row>
    <row r="95" spans="14:14" hidden="1">
      <c r="N95" s="38" t="s">
        <v>45</v>
      </c>
    </row>
    <row r="96" spans="14:14" hidden="1">
      <c r="N96" s="38" t="s">
        <v>45</v>
      </c>
    </row>
    <row r="97" spans="14:14" hidden="1">
      <c r="N97" s="38" t="s">
        <v>45</v>
      </c>
    </row>
    <row r="98" spans="14:14" hidden="1">
      <c r="N98" s="38" t="s">
        <v>45</v>
      </c>
    </row>
    <row r="99" spans="14:14" hidden="1">
      <c r="N99" s="38" t="s">
        <v>45</v>
      </c>
    </row>
    <row r="100" spans="14:14" hidden="1">
      <c r="N100" s="38" t="s">
        <v>45</v>
      </c>
    </row>
    <row r="101" spans="14:14" hidden="1">
      <c r="N101" s="38" t="s">
        <v>45</v>
      </c>
    </row>
    <row r="102" spans="14:14" hidden="1">
      <c r="N102" s="38" t="s">
        <v>45</v>
      </c>
    </row>
    <row r="103" spans="14:14" hidden="1">
      <c r="N103" s="38" t="s">
        <v>45</v>
      </c>
    </row>
    <row r="104" spans="14:14" hidden="1">
      <c r="N104" s="38" t="s">
        <v>45</v>
      </c>
    </row>
    <row r="105" spans="14:14" hidden="1">
      <c r="N105" s="38" t="s">
        <v>45</v>
      </c>
    </row>
    <row r="106" spans="14:14" hidden="1">
      <c r="N106" s="38" t="s">
        <v>45</v>
      </c>
    </row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</sheetData>
  <autoFilter ref="B8:M106" xr:uid="{00000000-0009-0000-0000-000002000000}">
    <filterColumn colId="4">
      <filters>
        <filter val="ANNLSD_AGRD_RT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D24" sqref="D24"/>
    </sheetView>
  </sheetViews>
  <sheetFormatPr defaultRowHeight="14.25"/>
  <sheetData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48559"/>
  <sheetViews>
    <sheetView showGridLines="0" zoomScaleNormal="100" workbookViewId="0">
      <selection activeCell="C9" sqref="C9:L54"/>
    </sheetView>
  </sheetViews>
  <sheetFormatPr defaultColWidth="0" defaultRowHeight="14.25"/>
  <cols>
    <col min="1" max="2" width="2" style="2" customWidth="1"/>
    <col min="3" max="12" width="28.375" style="2" customWidth="1"/>
    <col min="13" max="13" width="3.625" style="2" customWidth="1"/>
    <col min="14" max="14" width="13.875" style="2" hidden="1" customWidth="1"/>
    <col min="15" max="15" width="12.125" style="2" hidden="1" customWidth="1"/>
    <col min="16" max="38" width="0" style="2" hidden="1" customWidth="1"/>
    <col min="39" max="16384" width="9.125" style="2" hidden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thickBot="1">
      <c r="A6" s="30"/>
      <c r="B6" s="30"/>
      <c r="C6" s="31" t="s">
        <v>75</v>
      </c>
      <c r="D6" s="31"/>
      <c r="E6" s="32"/>
      <c r="F6" s="32"/>
      <c r="G6" s="32"/>
      <c r="H6" s="32"/>
      <c r="I6" s="32"/>
      <c r="J6" s="32"/>
      <c r="K6" s="32"/>
      <c r="L6" s="32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8" spans="1:30">
      <c r="B8" s="61"/>
      <c r="C8" s="18" t="s">
        <v>0</v>
      </c>
      <c r="D8" s="18" t="s">
        <v>3</v>
      </c>
      <c r="E8" s="18" t="s">
        <v>52</v>
      </c>
      <c r="F8" s="18" t="s">
        <v>2</v>
      </c>
      <c r="G8" s="18" t="s">
        <v>6</v>
      </c>
      <c r="H8" s="18" t="s">
        <v>47</v>
      </c>
      <c r="I8" s="18" t="s">
        <v>51</v>
      </c>
      <c r="J8" s="18" t="s">
        <v>48</v>
      </c>
      <c r="K8" s="18" t="s">
        <v>50</v>
      </c>
      <c r="L8" s="18" t="s">
        <v>49</v>
      </c>
      <c r="M8" s="4"/>
      <c r="N8" s="4"/>
    </row>
    <row r="9" spans="1:30">
      <c r="A9" s="60" t="str">
        <f>+C9&amp;G9&amp;H9&amp;D9</f>
        <v>INSTRUMENTFRBRNC_STTS_INSTRMNT45657COERÊNCIA</v>
      </c>
      <c r="B9" s="60" t="str">
        <f>+C9&amp;G9&amp;H9&amp;D9&amp;K9</f>
        <v>INSTRUMENTFRBRNC_STTS_INSTRMNT45657COERÊNCIA1</v>
      </c>
      <c r="C9" s="17" t="s">
        <v>125</v>
      </c>
      <c r="D9" s="17" t="s">
        <v>1099</v>
      </c>
      <c r="E9" s="17" t="s">
        <v>1103</v>
      </c>
      <c r="F9" s="17" t="s">
        <v>1104</v>
      </c>
      <c r="G9" s="17" t="s">
        <v>429</v>
      </c>
      <c r="H9" s="23">
        <v>45657</v>
      </c>
      <c r="I9" s="17">
        <v>2091533</v>
      </c>
      <c r="J9" s="17">
        <v>2090803</v>
      </c>
      <c r="K9" s="17">
        <v>1</v>
      </c>
      <c r="L9" s="17" t="s">
        <v>1105</v>
      </c>
      <c r="M9" s="4"/>
      <c r="N9" s="16"/>
    </row>
    <row r="10" spans="1:30">
      <c r="A10" s="60" t="str">
        <f t="shared" ref="A10:A19" si="0">+C10&amp;G10&amp;H10&amp;D10</f>
        <v>INSTRUMENTANNLSD_AGRD_RT45657COERÊNCIA</v>
      </c>
      <c r="B10" s="60" t="str">
        <f t="shared" ref="B10:B19" si="1">+C10&amp;G10&amp;H10&amp;D10&amp;K10</f>
        <v>INSTRUMENTANNLSD_AGRD_RT45657COERÊNCIA1</v>
      </c>
      <c r="C10" s="17" t="s">
        <v>125</v>
      </c>
      <c r="D10" s="17" t="s">
        <v>1099</v>
      </c>
      <c r="E10" s="17" t="s">
        <v>1103</v>
      </c>
      <c r="F10" s="17" t="s">
        <v>1104</v>
      </c>
      <c r="G10" s="17" t="s">
        <v>498</v>
      </c>
      <c r="H10" s="23">
        <v>45657</v>
      </c>
      <c r="I10" s="17">
        <v>2091533</v>
      </c>
      <c r="J10" s="17">
        <v>2090803</v>
      </c>
      <c r="K10" s="17">
        <v>1</v>
      </c>
      <c r="L10" s="17" t="s">
        <v>1105</v>
      </c>
      <c r="M10" s="4"/>
    </row>
    <row r="11" spans="1:30">
      <c r="A11" s="60" t="str">
        <f t="shared" si="0"/>
        <v>INSTRUMENTEIR_INCPTN45657COERÊNCIA</v>
      </c>
      <c r="B11" s="60" t="str">
        <f t="shared" si="1"/>
        <v>INSTRUMENTEIR_INCPTN45657COERÊNCIA1</v>
      </c>
      <c r="C11" s="17" t="s">
        <v>125</v>
      </c>
      <c r="D11" s="17" t="s">
        <v>1099</v>
      </c>
      <c r="E11" s="17" t="s">
        <v>1103</v>
      </c>
      <c r="F11" s="17" t="s">
        <v>1104</v>
      </c>
      <c r="G11" s="17" t="s">
        <v>500</v>
      </c>
      <c r="H11" s="23">
        <v>45657</v>
      </c>
      <c r="I11" s="17">
        <v>2091533</v>
      </c>
      <c r="J11" s="17">
        <v>2090121</v>
      </c>
      <c r="K11" s="17">
        <v>1</v>
      </c>
      <c r="L11" s="17" t="s">
        <v>1105</v>
      </c>
      <c r="M11" s="4"/>
    </row>
    <row r="12" spans="1:30">
      <c r="A12" s="60" t="str">
        <f t="shared" si="0"/>
        <v>INSTRUMENTIFRS9_BHVRL_MTRTY45657COERÊNCIA</v>
      </c>
      <c r="B12" s="60" t="str">
        <f t="shared" si="1"/>
        <v>INSTRUMENTIFRS9_BHVRL_MTRTY45657COERÊNCIA1</v>
      </c>
      <c r="C12" s="17" t="s">
        <v>125</v>
      </c>
      <c r="D12" s="17" t="s">
        <v>1099</v>
      </c>
      <c r="E12" s="17" t="s">
        <v>1103</v>
      </c>
      <c r="F12" s="17" t="s">
        <v>1104</v>
      </c>
      <c r="G12" s="17" t="s">
        <v>456</v>
      </c>
      <c r="H12" s="23">
        <v>45657</v>
      </c>
      <c r="I12" s="17">
        <v>2091533</v>
      </c>
      <c r="J12" s="17">
        <v>2089891</v>
      </c>
      <c r="K12" s="17">
        <v>1</v>
      </c>
      <c r="L12" s="17" t="s">
        <v>1105</v>
      </c>
      <c r="M12" s="4"/>
    </row>
    <row r="13" spans="1:30">
      <c r="A13" s="60" t="str">
        <f t="shared" si="0"/>
        <v>ENTITYENTTY_NM45657COERÊNCIA</v>
      </c>
      <c r="B13" s="60" t="str">
        <f t="shared" si="1"/>
        <v>ENTITYENTTY_NM45657COERÊNCIA1</v>
      </c>
      <c r="C13" s="17" t="s">
        <v>126</v>
      </c>
      <c r="D13" s="17" t="s">
        <v>1099</v>
      </c>
      <c r="E13" s="17" t="s">
        <v>1100</v>
      </c>
      <c r="F13" s="17" t="s">
        <v>1101</v>
      </c>
      <c r="G13" s="17" t="s">
        <v>333</v>
      </c>
      <c r="H13" s="23">
        <v>45657</v>
      </c>
      <c r="I13" s="17">
        <v>1123670</v>
      </c>
      <c r="J13" s="17">
        <v>1123670</v>
      </c>
      <c r="K13" s="17">
        <v>1</v>
      </c>
      <c r="L13" s="17" t="s">
        <v>1102</v>
      </c>
      <c r="M13" s="4"/>
    </row>
    <row r="14" spans="1:30">
      <c r="A14" s="60" t="str">
        <f t="shared" ref="A14" si="2">+C14&amp;G14&amp;H14&amp;D14</f>
        <v>INSTR_ENTITYMN_ENTTY_ID45657COERÊNCIA</v>
      </c>
      <c r="B14" s="60" t="str">
        <f t="shared" ref="B14" si="3">+C14&amp;G14&amp;H14&amp;D14&amp;K14</f>
        <v>INSTR_ENTITYMN_ENTTY_ID45657COERÊNCIA1</v>
      </c>
      <c r="C14" s="17" t="s">
        <v>320</v>
      </c>
      <c r="D14" s="17" t="s">
        <v>1099</v>
      </c>
      <c r="E14" s="17" t="s">
        <v>1109</v>
      </c>
      <c r="F14" s="17" t="s">
        <v>1110</v>
      </c>
      <c r="G14" s="17" t="s">
        <v>409</v>
      </c>
      <c r="H14" s="23">
        <v>45657</v>
      </c>
      <c r="I14" s="17">
        <v>3568644</v>
      </c>
      <c r="J14" s="17">
        <v>997532</v>
      </c>
      <c r="K14" s="17">
        <v>1</v>
      </c>
      <c r="L14" s="17" t="s">
        <v>1111</v>
      </c>
      <c r="M14" s="4"/>
    </row>
    <row r="15" spans="1:30">
      <c r="A15" s="60" t="str">
        <f t="shared" si="0"/>
        <v>INSTR_PROTECTIONPRTCTN_ALLCTD_VL45657COERÊNCIA</v>
      </c>
      <c r="B15" s="60" t="str">
        <f t="shared" si="1"/>
        <v>INSTR_PROTECTIONPRTCTN_ALLCTD_VL45657COERÊNCIA1</v>
      </c>
      <c r="C15" s="17" t="s">
        <v>321</v>
      </c>
      <c r="D15" s="17" t="s">
        <v>1099</v>
      </c>
      <c r="E15" s="17" t="s">
        <v>1112</v>
      </c>
      <c r="F15" s="17" t="s">
        <v>1113</v>
      </c>
      <c r="G15" s="17" t="s">
        <v>561</v>
      </c>
      <c r="H15" s="23">
        <v>45657</v>
      </c>
      <c r="I15" s="17">
        <v>1690585</v>
      </c>
      <c r="J15" s="17">
        <v>489516</v>
      </c>
      <c r="K15" s="17">
        <v>1</v>
      </c>
      <c r="L15" s="17" t="s">
        <v>1111</v>
      </c>
    </row>
    <row r="16" spans="1:30">
      <c r="A16" s="60" t="str">
        <f t="shared" si="0"/>
        <v>PROTECTIONYR_CNSTRCTN45657COERÊNCIA</v>
      </c>
      <c r="B16" s="60" t="str">
        <f t="shared" si="1"/>
        <v>PROTECTIONYR_CNSTRCTN45657COERÊNCIA1</v>
      </c>
      <c r="C16" s="17" t="s">
        <v>127</v>
      </c>
      <c r="D16" s="17" t="s">
        <v>1099</v>
      </c>
      <c r="E16" s="17" t="s">
        <v>1106</v>
      </c>
      <c r="F16" s="17" t="s">
        <v>1107</v>
      </c>
      <c r="G16" s="17" t="s">
        <v>593</v>
      </c>
      <c r="H16" s="23">
        <v>45657</v>
      </c>
      <c r="I16" s="17">
        <v>444990</v>
      </c>
      <c r="J16" s="17">
        <v>444990</v>
      </c>
      <c r="K16" s="17">
        <v>1</v>
      </c>
      <c r="L16" s="17" t="s">
        <v>1108</v>
      </c>
    </row>
    <row r="17" spans="1:12">
      <c r="A17" s="60" t="str">
        <f t="shared" si="0"/>
        <v>INSTRUMENTLTV45657COERÊNCIA</v>
      </c>
      <c r="B17" s="60" t="str">
        <f t="shared" si="1"/>
        <v>INSTRUMENTLTV45657COERÊNCIA1</v>
      </c>
      <c r="C17" s="17" t="s">
        <v>125</v>
      </c>
      <c r="D17" s="17" t="s">
        <v>1099</v>
      </c>
      <c r="E17" s="17" t="s">
        <v>1103</v>
      </c>
      <c r="F17" s="17" t="s">
        <v>1104</v>
      </c>
      <c r="G17" s="17" t="s">
        <v>489</v>
      </c>
      <c r="H17" s="23">
        <v>45657</v>
      </c>
      <c r="I17" s="17">
        <v>2091533</v>
      </c>
      <c r="J17" s="17">
        <v>358678</v>
      </c>
      <c r="K17" s="17">
        <v>1</v>
      </c>
      <c r="L17" s="17" t="s">
        <v>1105</v>
      </c>
    </row>
    <row r="18" spans="1:12">
      <c r="A18" s="60" t="str">
        <f t="shared" si="0"/>
        <v>INSTRUMENTLTV_INCPTN45657COERÊNCIA</v>
      </c>
      <c r="B18" s="60" t="str">
        <f t="shared" si="1"/>
        <v>INSTRUMENTLTV_INCPTN45657COERÊNCIA1</v>
      </c>
      <c r="C18" s="17" t="s">
        <v>125</v>
      </c>
      <c r="D18" s="17" t="s">
        <v>1099</v>
      </c>
      <c r="E18" s="17" t="s">
        <v>1103</v>
      </c>
      <c r="F18" s="17" t="s">
        <v>1104</v>
      </c>
      <c r="G18" s="17" t="s">
        <v>490</v>
      </c>
      <c r="H18" s="23">
        <v>45657</v>
      </c>
      <c r="I18" s="17">
        <v>2091533</v>
      </c>
      <c r="J18" s="17">
        <v>358678</v>
      </c>
      <c r="K18" s="17">
        <v>1</v>
      </c>
      <c r="L18" s="17" t="s">
        <v>1105</v>
      </c>
    </row>
    <row r="19" spans="1:12">
      <c r="A19" s="60" t="str">
        <f t="shared" si="0"/>
        <v>PROTECTIONORGNL_PRTCTN_VL45657COERÊNCIA</v>
      </c>
      <c r="B19" s="60" t="str">
        <f t="shared" si="1"/>
        <v>PROTECTIONORGNL_PRTCTN_VL45657COERÊNCIA1</v>
      </c>
      <c r="C19" s="17" t="s">
        <v>127</v>
      </c>
      <c r="D19" s="17" t="s">
        <v>1099</v>
      </c>
      <c r="E19" s="17" t="s">
        <v>1106</v>
      </c>
      <c r="F19" s="17" t="s">
        <v>1107</v>
      </c>
      <c r="G19" s="17" t="s">
        <v>123</v>
      </c>
      <c r="H19" s="23">
        <v>45657</v>
      </c>
      <c r="I19" s="17">
        <v>444990</v>
      </c>
      <c r="J19" s="17">
        <v>277641</v>
      </c>
      <c r="K19" s="17">
        <v>1</v>
      </c>
      <c r="L19" s="17" t="s">
        <v>1108</v>
      </c>
    </row>
    <row r="20" spans="1:12">
      <c r="A20" s="60" t="str">
        <f t="shared" ref="A20:A62" si="4">+C20&amp;G20&amp;H20&amp;D20</f>
        <v>INSTRUMENTGRSS_CRRYNG_AMNT_INSTRMNT45657COERÊNCIA</v>
      </c>
      <c r="B20" s="60" t="str">
        <f t="shared" ref="B20:B62" si="5">+C20&amp;G20&amp;H20&amp;D20&amp;K20</f>
        <v>INSTRUMENTGRSS_CRRYNG_AMNT_INSTRMNT45657COERÊNCIA1</v>
      </c>
      <c r="C20" s="17" t="s">
        <v>125</v>
      </c>
      <c r="D20" s="17" t="s">
        <v>1099</v>
      </c>
      <c r="E20" s="17" t="s">
        <v>1103</v>
      </c>
      <c r="F20" s="17" t="s">
        <v>1104</v>
      </c>
      <c r="G20" s="17" t="s">
        <v>99</v>
      </c>
      <c r="H20" s="23">
        <v>45657</v>
      </c>
      <c r="I20" s="17">
        <v>2091533</v>
      </c>
      <c r="J20" s="17">
        <v>32</v>
      </c>
      <c r="K20" s="17">
        <v>1</v>
      </c>
      <c r="L20" s="17" t="s">
        <v>1105</v>
      </c>
    </row>
    <row r="21" spans="1:12">
      <c r="A21" s="60" t="str">
        <f t="shared" si="4"/>
        <v>INSTRUMENTSUBPORTFOLIO_ID45657COERÊNCIA</v>
      </c>
      <c r="B21" s="60" t="str">
        <f t="shared" si="5"/>
        <v>INSTRUMENTSUBPORTFOLIO_ID45657COERÊNCIA1</v>
      </c>
      <c r="C21" s="17" t="s">
        <v>125</v>
      </c>
      <c r="D21" s="17" t="s">
        <v>1099</v>
      </c>
      <c r="E21" s="17" t="s">
        <v>1103</v>
      </c>
      <c r="F21" s="17" t="s">
        <v>1104</v>
      </c>
      <c r="G21" s="17" t="s">
        <v>107</v>
      </c>
      <c r="H21" s="23">
        <v>45657</v>
      </c>
      <c r="I21" s="17">
        <v>2091533</v>
      </c>
      <c r="J21" s="17">
        <v>5</v>
      </c>
      <c r="K21" s="17">
        <v>1</v>
      </c>
      <c r="L21" s="17" t="s">
        <v>1105</v>
      </c>
    </row>
    <row r="22" spans="1:12">
      <c r="A22" s="60" t="str">
        <f t="shared" si="4"/>
        <v>ENTITYCOD_SOC45657COERÊNCIA</v>
      </c>
      <c r="B22" s="60" t="str">
        <f t="shared" si="5"/>
        <v>ENTITYCOD_SOC45657COERÊNCIA1</v>
      </c>
      <c r="C22" s="17" t="s">
        <v>126</v>
      </c>
      <c r="D22" s="17" t="s">
        <v>1099</v>
      </c>
      <c r="E22" s="17" t="s">
        <v>1100</v>
      </c>
      <c r="F22" s="17" t="s">
        <v>1101</v>
      </c>
      <c r="G22" s="17" t="s">
        <v>108</v>
      </c>
      <c r="H22" s="23">
        <v>45657</v>
      </c>
      <c r="I22" s="17">
        <v>1123670</v>
      </c>
      <c r="J22" s="17">
        <v>0</v>
      </c>
      <c r="K22" s="17">
        <v>1</v>
      </c>
      <c r="L22" s="17" t="s">
        <v>1102</v>
      </c>
    </row>
    <row r="23" spans="1:12">
      <c r="A23" s="60" t="str">
        <f t="shared" si="4"/>
        <v>ENTITYCNTRY45657COERÊNCIA</v>
      </c>
      <c r="B23" s="60" t="str">
        <f t="shared" si="5"/>
        <v>ENTITYCNTRY45657COERÊNCIA1</v>
      </c>
      <c r="C23" s="17" t="s">
        <v>126</v>
      </c>
      <c r="D23" s="17" t="s">
        <v>1099</v>
      </c>
      <c r="E23" s="17" t="s">
        <v>1100</v>
      </c>
      <c r="F23" s="17" t="s">
        <v>1101</v>
      </c>
      <c r="G23" s="17" t="s">
        <v>112</v>
      </c>
      <c r="H23" s="23">
        <v>45657</v>
      </c>
      <c r="I23" s="17">
        <v>1123670</v>
      </c>
      <c r="J23" s="17">
        <v>0</v>
      </c>
      <c r="K23" s="17">
        <v>1</v>
      </c>
      <c r="L23" s="17" t="s">
        <v>1102</v>
      </c>
    </row>
    <row r="24" spans="1:12">
      <c r="A24" s="60" t="str">
        <f t="shared" si="4"/>
        <v>ENTITYLEI45657COERÊNCIA</v>
      </c>
      <c r="B24" s="60" t="str">
        <f t="shared" si="5"/>
        <v>ENTITYLEI45657COERÊNCIA1</v>
      </c>
      <c r="C24" s="17" t="s">
        <v>126</v>
      </c>
      <c r="D24" s="17" t="s">
        <v>1099</v>
      </c>
      <c r="E24" s="17" t="s">
        <v>1100</v>
      </c>
      <c r="F24" s="17" t="s">
        <v>1101</v>
      </c>
      <c r="G24" s="17" t="s">
        <v>113</v>
      </c>
      <c r="H24" s="23">
        <v>45657</v>
      </c>
      <c r="I24" s="17">
        <v>1123670</v>
      </c>
      <c r="J24" s="17">
        <v>0</v>
      </c>
      <c r="K24" s="17">
        <v>1</v>
      </c>
      <c r="L24" s="17" t="s">
        <v>1102</v>
      </c>
    </row>
    <row r="25" spans="1:12">
      <c r="A25" s="60" t="str">
        <f t="shared" si="4"/>
        <v>ENTITYECNMC_ACTVTY45657COERÊNCIA</v>
      </c>
      <c r="B25" s="60" t="str">
        <f t="shared" si="5"/>
        <v>ENTITYECNMC_ACTVTY45657COERÊNCIA1</v>
      </c>
      <c r="C25" s="17" t="s">
        <v>126</v>
      </c>
      <c r="D25" s="17" t="s">
        <v>1099</v>
      </c>
      <c r="E25" s="17" t="s">
        <v>1100</v>
      </c>
      <c r="F25" s="17" t="s">
        <v>1101</v>
      </c>
      <c r="G25" s="17" t="s">
        <v>114</v>
      </c>
      <c r="H25" s="23">
        <v>45657</v>
      </c>
      <c r="I25" s="17">
        <v>1123670</v>
      </c>
      <c r="J25" s="17">
        <v>0</v>
      </c>
      <c r="K25" s="17">
        <v>1</v>
      </c>
      <c r="L25" s="17" t="s">
        <v>1102</v>
      </c>
    </row>
    <row r="26" spans="1:12">
      <c r="A26" s="60" t="str">
        <f t="shared" si="4"/>
        <v>ENTITYGRP_EQTY45657COERÊNCIA</v>
      </c>
      <c r="B26" s="60" t="str">
        <f t="shared" si="5"/>
        <v>ENTITYGRP_EQTY45657COERÊNCIA1</v>
      </c>
      <c r="C26" s="17" t="s">
        <v>126</v>
      </c>
      <c r="D26" s="17" t="s">
        <v>1099</v>
      </c>
      <c r="E26" s="17" t="s">
        <v>1100</v>
      </c>
      <c r="F26" s="17" t="s">
        <v>1101</v>
      </c>
      <c r="G26" s="17" t="s">
        <v>115</v>
      </c>
      <c r="H26" s="23">
        <v>45657</v>
      </c>
      <c r="I26" s="17">
        <v>1123670</v>
      </c>
      <c r="J26" s="17">
        <v>0</v>
      </c>
      <c r="K26" s="17">
        <v>1</v>
      </c>
      <c r="L26" s="17" t="s">
        <v>1102</v>
      </c>
    </row>
    <row r="27" spans="1:12">
      <c r="A27" s="60" t="str">
        <f t="shared" si="4"/>
        <v>ENTITYANNL_TRNVR_LE45657COERÊNCIA</v>
      </c>
      <c r="B27" s="60" t="str">
        <f t="shared" si="5"/>
        <v>ENTITYANNL_TRNVR_LE45657COERÊNCIA1</v>
      </c>
      <c r="C27" s="17" t="s">
        <v>126</v>
      </c>
      <c r="D27" s="17" t="s">
        <v>1099</v>
      </c>
      <c r="E27" s="17" t="s">
        <v>1100</v>
      </c>
      <c r="F27" s="17" t="s">
        <v>1101</v>
      </c>
      <c r="G27" s="17" t="s">
        <v>116</v>
      </c>
      <c r="H27" s="23">
        <v>45657</v>
      </c>
      <c r="I27" s="17">
        <v>1123670</v>
      </c>
      <c r="J27" s="17">
        <v>0</v>
      </c>
      <c r="K27" s="17">
        <v>1</v>
      </c>
      <c r="L27" s="17" t="s">
        <v>1102</v>
      </c>
    </row>
    <row r="28" spans="1:12">
      <c r="A28" s="60" t="str">
        <f t="shared" si="4"/>
        <v>ENTITYEQTY45657COERÊNCIA</v>
      </c>
      <c r="B28" s="60" t="str">
        <f t="shared" si="5"/>
        <v>ENTITYEQTY45657COERÊNCIA1</v>
      </c>
      <c r="C28" s="17" t="s">
        <v>126</v>
      </c>
      <c r="D28" s="17" t="s">
        <v>1099</v>
      </c>
      <c r="E28" s="17" t="s">
        <v>1100</v>
      </c>
      <c r="F28" s="17" t="s">
        <v>1101</v>
      </c>
      <c r="G28" s="17" t="s">
        <v>117</v>
      </c>
      <c r="H28" s="23">
        <v>45657</v>
      </c>
      <c r="I28" s="17">
        <v>1123670</v>
      </c>
      <c r="J28" s="17">
        <v>0</v>
      </c>
      <c r="K28" s="17">
        <v>1</v>
      </c>
      <c r="L28" s="17" t="s">
        <v>1102</v>
      </c>
    </row>
    <row r="29" spans="1:12">
      <c r="A29" s="60" t="str">
        <f t="shared" si="4"/>
        <v>ENTITYGRP_TTL_DBT45657COERÊNCIA</v>
      </c>
      <c r="B29" s="60" t="str">
        <f t="shared" si="5"/>
        <v>ENTITYGRP_TTL_DBT45657COERÊNCIA1</v>
      </c>
      <c r="C29" s="17" t="s">
        <v>126</v>
      </c>
      <c r="D29" s="17" t="s">
        <v>1099</v>
      </c>
      <c r="E29" s="17" t="s">
        <v>1100</v>
      </c>
      <c r="F29" s="17" t="s">
        <v>1101</v>
      </c>
      <c r="G29" s="17" t="s">
        <v>118</v>
      </c>
      <c r="H29" s="23">
        <v>45657</v>
      </c>
      <c r="I29" s="17">
        <v>1123670</v>
      </c>
      <c r="J29" s="17">
        <v>0</v>
      </c>
      <c r="K29" s="17">
        <v>1</v>
      </c>
      <c r="L29" s="17" t="s">
        <v>1102</v>
      </c>
    </row>
    <row r="30" spans="1:12">
      <c r="A30" s="60" t="str">
        <f t="shared" si="4"/>
        <v>ENTITYTTL_DBT45657COERÊNCIA</v>
      </c>
      <c r="B30" s="60" t="str">
        <f t="shared" si="5"/>
        <v>ENTITYTTL_DBT45657COERÊNCIA1</v>
      </c>
      <c r="C30" s="17" t="s">
        <v>126</v>
      </c>
      <c r="D30" s="17" t="s">
        <v>1099</v>
      </c>
      <c r="E30" s="17" t="s">
        <v>1100</v>
      </c>
      <c r="F30" s="17" t="s">
        <v>1101</v>
      </c>
      <c r="G30" s="17" t="s">
        <v>119</v>
      </c>
      <c r="H30" s="23">
        <v>45657</v>
      </c>
      <c r="I30" s="17">
        <v>1123670</v>
      </c>
      <c r="J30" s="17">
        <v>0</v>
      </c>
      <c r="K30" s="17">
        <v>1</v>
      </c>
      <c r="L30" s="17" t="s">
        <v>1102</v>
      </c>
    </row>
    <row r="31" spans="1:12">
      <c r="A31" s="60" t="str">
        <f t="shared" si="4"/>
        <v>ENTITYEC_GRP_NM45657COERÊNCIA</v>
      </c>
      <c r="B31" s="60" t="str">
        <f t="shared" si="5"/>
        <v>ENTITYEC_GRP_NM45657COERÊNCIA1</v>
      </c>
      <c r="C31" s="17" t="s">
        <v>126</v>
      </c>
      <c r="D31" s="17" t="s">
        <v>1099</v>
      </c>
      <c r="E31" s="17" t="s">
        <v>1100</v>
      </c>
      <c r="F31" s="17" t="s">
        <v>1101</v>
      </c>
      <c r="G31" s="17" t="s">
        <v>402</v>
      </c>
      <c r="H31" s="23">
        <v>45657</v>
      </c>
      <c r="I31" s="17">
        <v>1123670</v>
      </c>
      <c r="J31" s="17">
        <v>0</v>
      </c>
      <c r="K31" s="17">
        <v>1</v>
      </c>
      <c r="L31" s="17" t="s">
        <v>1102</v>
      </c>
    </row>
    <row r="32" spans="1:12">
      <c r="A32" s="60" t="str">
        <f t="shared" si="4"/>
        <v>INSTRUMENTCOD_SOC45657COERÊNCIA</v>
      </c>
      <c r="B32" s="60" t="str">
        <f t="shared" si="5"/>
        <v>INSTRUMENTCOD_SOC45657COERÊNCIA1</v>
      </c>
      <c r="C32" s="17" t="s">
        <v>125</v>
      </c>
      <c r="D32" s="17" t="s">
        <v>1099</v>
      </c>
      <c r="E32" s="17" t="s">
        <v>1103</v>
      </c>
      <c r="F32" s="17" t="s">
        <v>1104</v>
      </c>
      <c r="G32" s="17" t="s">
        <v>108</v>
      </c>
      <c r="H32" s="23">
        <v>45657</v>
      </c>
      <c r="I32" s="17">
        <v>2091533</v>
      </c>
      <c r="J32" s="17">
        <v>0</v>
      </c>
      <c r="K32" s="17">
        <v>1</v>
      </c>
      <c r="L32" s="17" t="s">
        <v>1105</v>
      </c>
    </row>
    <row r="33" spans="1:12">
      <c r="A33" s="60" t="str">
        <f t="shared" si="4"/>
        <v>INSTRUMENTDT_INCPTN45657COERÊNCIA</v>
      </c>
      <c r="B33" s="60" t="str">
        <f t="shared" si="5"/>
        <v>INSTRUMENTDT_INCPTN45657COERÊNCIA1</v>
      </c>
      <c r="C33" s="17" t="s">
        <v>125</v>
      </c>
      <c r="D33" s="17" t="s">
        <v>1099</v>
      </c>
      <c r="E33" s="17" t="s">
        <v>1103</v>
      </c>
      <c r="F33" s="17" t="s">
        <v>1104</v>
      </c>
      <c r="G33" s="17" t="s">
        <v>93</v>
      </c>
      <c r="H33" s="23">
        <v>45657</v>
      </c>
      <c r="I33" s="17">
        <v>2091533</v>
      </c>
      <c r="J33" s="17">
        <v>0</v>
      </c>
      <c r="K33" s="17">
        <v>1</v>
      </c>
      <c r="L33" s="17" t="s">
        <v>1105</v>
      </c>
    </row>
    <row r="34" spans="1:12">
      <c r="A34" s="60" t="str">
        <f t="shared" si="4"/>
        <v>INSTRUMENTDFLT_STTS_INSTRMNT45657COERÊNCIA</v>
      </c>
      <c r="B34" s="60" t="str">
        <f t="shared" si="5"/>
        <v>INSTRUMENTDFLT_STTS_INSTRMNT45657COERÊNCIA1</v>
      </c>
      <c r="C34" s="17" t="s">
        <v>125</v>
      </c>
      <c r="D34" s="17" t="s">
        <v>1099</v>
      </c>
      <c r="E34" s="17" t="s">
        <v>1103</v>
      </c>
      <c r="F34" s="17" t="s">
        <v>1104</v>
      </c>
      <c r="G34" s="17" t="s">
        <v>94</v>
      </c>
      <c r="H34" s="23">
        <v>45657</v>
      </c>
      <c r="I34" s="17">
        <v>2091533</v>
      </c>
      <c r="J34" s="17">
        <v>0</v>
      </c>
      <c r="K34" s="17">
        <v>1</v>
      </c>
      <c r="L34" s="17" t="s">
        <v>1105</v>
      </c>
    </row>
    <row r="35" spans="1:12">
      <c r="A35" s="60" t="str">
        <f t="shared" si="4"/>
        <v>INSTRUMENTIMPRMNT_STTS45657COERÊNCIA</v>
      </c>
      <c r="B35" s="60" t="str">
        <f t="shared" si="5"/>
        <v>INSTRUMENTIMPRMNT_STTS45657COERÊNCIA1</v>
      </c>
      <c r="C35" s="17" t="s">
        <v>125</v>
      </c>
      <c r="D35" s="17" t="s">
        <v>1099</v>
      </c>
      <c r="E35" s="17" t="s">
        <v>1103</v>
      </c>
      <c r="F35" s="17" t="s">
        <v>1104</v>
      </c>
      <c r="G35" s="17" t="s">
        <v>95</v>
      </c>
      <c r="H35" s="23">
        <v>45657</v>
      </c>
      <c r="I35" s="17">
        <v>2091533</v>
      </c>
      <c r="J35" s="17">
        <v>0</v>
      </c>
      <c r="K35" s="17">
        <v>1</v>
      </c>
      <c r="L35" s="17" t="s">
        <v>1105</v>
      </c>
    </row>
    <row r="36" spans="1:12">
      <c r="A36" s="60" t="str">
        <f t="shared" si="4"/>
        <v>INSTRUMENTPRFRMNG_STTS45657COERÊNCIA</v>
      </c>
      <c r="B36" s="60" t="str">
        <f t="shared" si="5"/>
        <v>INSTRUMENTPRFRMNG_STTS45657COERÊNCIA1</v>
      </c>
      <c r="C36" s="17" t="s">
        <v>125</v>
      </c>
      <c r="D36" s="17" t="s">
        <v>1099</v>
      </c>
      <c r="E36" s="17" t="s">
        <v>1103</v>
      </c>
      <c r="F36" s="17" t="s">
        <v>1104</v>
      </c>
      <c r="G36" s="17" t="s">
        <v>96</v>
      </c>
      <c r="H36" s="23">
        <v>45657</v>
      </c>
      <c r="I36" s="17">
        <v>2091533</v>
      </c>
      <c r="J36" s="17">
        <v>0</v>
      </c>
      <c r="K36" s="17">
        <v>1</v>
      </c>
      <c r="L36" s="17" t="s">
        <v>1105</v>
      </c>
    </row>
    <row r="37" spans="1:12">
      <c r="A37" s="60" t="str">
        <f t="shared" si="4"/>
        <v>INSTRUMENTPRJCT_FNNC_LN45657COERÊNCIA</v>
      </c>
      <c r="B37" s="60" t="str">
        <f t="shared" si="5"/>
        <v>INSTRUMENTPRJCT_FNNC_LN45657COERÊNCIA1</v>
      </c>
      <c r="C37" s="17" t="s">
        <v>125</v>
      </c>
      <c r="D37" s="17" t="s">
        <v>1099</v>
      </c>
      <c r="E37" s="17" t="s">
        <v>1103</v>
      </c>
      <c r="F37" s="17" t="s">
        <v>1104</v>
      </c>
      <c r="G37" s="17" t="s">
        <v>97</v>
      </c>
      <c r="H37" s="23">
        <v>45657</v>
      </c>
      <c r="I37" s="17">
        <v>2091533</v>
      </c>
      <c r="J37" s="17">
        <v>0</v>
      </c>
      <c r="K37" s="17">
        <v>1</v>
      </c>
      <c r="L37" s="17" t="s">
        <v>1105</v>
      </c>
    </row>
    <row r="38" spans="1:12">
      <c r="A38" s="60" t="str">
        <f t="shared" si="4"/>
        <v>INSTRUMENTTYP_INSTRMNT45657COERÊNCIA</v>
      </c>
      <c r="B38" s="60" t="str">
        <f t="shared" si="5"/>
        <v>INSTRUMENTTYP_INSTRMNT45657COERÊNCIA1</v>
      </c>
      <c r="C38" s="17" t="s">
        <v>125</v>
      </c>
      <c r="D38" s="17" t="s">
        <v>1099</v>
      </c>
      <c r="E38" s="17" t="s">
        <v>1103</v>
      </c>
      <c r="F38" s="17" t="s">
        <v>1104</v>
      </c>
      <c r="G38" s="17" t="s">
        <v>98</v>
      </c>
      <c r="H38" s="23">
        <v>45657</v>
      </c>
      <c r="I38" s="17">
        <v>2091533</v>
      </c>
      <c r="J38" s="17">
        <v>0</v>
      </c>
      <c r="K38" s="17">
        <v>1</v>
      </c>
      <c r="L38" s="17" t="s">
        <v>1105</v>
      </c>
    </row>
    <row r="39" spans="1:12">
      <c r="A39" s="60" t="str">
        <f t="shared" si="4"/>
        <v>INSTRUMENTACCMLTD_CHNGS_FV_CR_INSTRMNT45657COERÊNCIA</v>
      </c>
      <c r="B39" s="60" t="str">
        <f t="shared" si="5"/>
        <v>INSTRUMENTACCMLTD_CHNGS_FV_CR_INSTRMNT45657COERÊNCIA1</v>
      </c>
      <c r="C39" s="17" t="s">
        <v>125</v>
      </c>
      <c r="D39" s="17" t="s">
        <v>1099</v>
      </c>
      <c r="E39" s="17" t="s">
        <v>1103</v>
      </c>
      <c r="F39" s="17" t="s">
        <v>1104</v>
      </c>
      <c r="G39" s="17" t="s">
        <v>100</v>
      </c>
      <c r="H39" s="23">
        <v>45657</v>
      </c>
      <c r="I39" s="17">
        <v>2091533</v>
      </c>
      <c r="J39" s="17">
        <v>0</v>
      </c>
      <c r="K39" s="17">
        <v>1</v>
      </c>
      <c r="L39" s="17" t="s">
        <v>1105</v>
      </c>
    </row>
    <row r="40" spans="1:12">
      <c r="A40" s="60" t="str">
        <f t="shared" si="4"/>
        <v>INSTRUMENTACCNTNG_CLSSFCTN45657COERÊNCIA</v>
      </c>
      <c r="B40" s="60" t="str">
        <f t="shared" si="5"/>
        <v>INSTRUMENTACCNTNG_CLSSFCTN45657COERÊNCIA1</v>
      </c>
      <c r="C40" s="17" t="s">
        <v>125</v>
      </c>
      <c r="D40" s="17" t="s">
        <v>1099</v>
      </c>
      <c r="E40" s="17" t="s">
        <v>1103</v>
      </c>
      <c r="F40" s="17" t="s">
        <v>1104</v>
      </c>
      <c r="G40" s="17" t="s">
        <v>101</v>
      </c>
      <c r="H40" s="23">
        <v>45657</v>
      </c>
      <c r="I40" s="17">
        <v>2091533</v>
      </c>
      <c r="J40" s="17">
        <v>0</v>
      </c>
      <c r="K40" s="17">
        <v>1</v>
      </c>
      <c r="L40" s="17" t="s">
        <v>1105</v>
      </c>
    </row>
    <row r="41" spans="1:12">
      <c r="A41" s="60" t="str">
        <f t="shared" si="4"/>
        <v>INSTRUMENTDT_LGL_FNL_MTRTY45657COERÊNCIA</v>
      </c>
      <c r="B41" s="60" t="str">
        <f t="shared" si="5"/>
        <v>INSTRUMENTDT_LGL_FNL_MTRTY45657COERÊNCIA1</v>
      </c>
      <c r="C41" s="17" t="s">
        <v>125</v>
      </c>
      <c r="D41" s="17" t="s">
        <v>1099</v>
      </c>
      <c r="E41" s="17" t="s">
        <v>1103</v>
      </c>
      <c r="F41" s="17" t="s">
        <v>1104</v>
      </c>
      <c r="G41" s="17" t="s">
        <v>102</v>
      </c>
      <c r="H41" s="23">
        <v>45657</v>
      </c>
      <c r="I41" s="17">
        <v>2091533</v>
      </c>
      <c r="J41" s="17">
        <v>0</v>
      </c>
      <c r="K41" s="17">
        <v>1</v>
      </c>
      <c r="L41" s="17" t="s">
        <v>1105</v>
      </c>
    </row>
    <row r="42" spans="1:12">
      <c r="A42" s="60" t="str">
        <f t="shared" si="4"/>
        <v>INSTRUMENTACCMLTD_IMPRMNT_INSTRMNT45657COERÊNCIA</v>
      </c>
      <c r="B42" s="60" t="str">
        <f t="shared" si="5"/>
        <v>INSTRUMENTACCMLTD_IMPRMNT_INSTRMNT45657COERÊNCIA1</v>
      </c>
      <c r="C42" s="17" t="s">
        <v>125</v>
      </c>
      <c r="D42" s="17" t="s">
        <v>1099</v>
      </c>
      <c r="E42" s="17" t="s">
        <v>1103</v>
      </c>
      <c r="F42" s="17" t="s">
        <v>1104</v>
      </c>
      <c r="G42" s="17" t="s">
        <v>103</v>
      </c>
      <c r="H42" s="23">
        <v>45657</v>
      </c>
      <c r="I42" s="17">
        <v>2091533</v>
      </c>
      <c r="J42" s="17">
        <v>0</v>
      </c>
      <c r="K42" s="17">
        <v>1</v>
      </c>
      <c r="L42" s="17" t="s">
        <v>1105</v>
      </c>
    </row>
    <row r="43" spans="1:12">
      <c r="A43" s="60" t="str">
        <f t="shared" si="4"/>
        <v>INSTRUMENTISSR_CNTRY45657COERÊNCIA</v>
      </c>
      <c r="B43" s="60" t="str">
        <f t="shared" si="5"/>
        <v>INSTRUMENTISSR_CNTRY45657COERÊNCIA1</v>
      </c>
      <c r="C43" s="17" t="s">
        <v>125</v>
      </c>
      <c r="D43" s="17" t="s">
        <v>1099</v>
      </c>
      <c r="E43" s="17" t="s">
        <v>1103</v>
      </c>
      <c r="F43" s="17" t="s">
        <v>1104</v>
      </c>
      <c r="G43" s="17" t="s">
        <v>104</v>
      </c>
      <c r="H43" s="23">
        <v>45657</v>
      </c>
      <c r="I43" s="17">
        <v>2091533</v>
      </c>
      <c r="J43" s="17">
        <v>0</v>
      </c>
      <c r="K43" s="17">
        <v>1</v>
      </c>
      <c r="L43" s="17" t="s">
        <v>1105</v>
      </c>
    </row>
    <row r="44" spans="1:12">
      <c r="A44" s="60" t="str">
        <f t="shared" si="4"/>
        <v>INSTRUMENTISSR_NACE_SCTR45657COERÊNCIA</v>
      </c>
      <c r="B44" s="60" t="str">
        <f t="shared" si="5"/>
        <v>INSTRUMENTISSR_NACE_SCTR45657COERÊNCIA1</v>
      </c>
      <c r="C44" s="17" t="s">
        <v>125</v>
      </c>
      <c r="D44" s="17" t="s">
        <v>1099</v>
      </c>
      <c r="E44" s="17" t="s">
        <v>1103</v>
      </c>
      <c r="F44" s="17" t="s">
        <v>1104</v>
      </c>
      <c r="G44" s="17" t="s">
        <v>105</v>
      </c>
      <c r="H44" s="23">
        <v>45657</v>
      </c>
      <c r="I44" s="17">
        <v>2091533</v>
      </c>
      <c r="J44" s="17">
        <v>0</v>
      </c>
      <c r="K44" s="17">
        <v>1</v>
      </c>
      <c r="L44" s="17" t="s">
        <v>1105</v>
      </c>
    </row>
    <row r="45" spans="1:12">
      <c r="A45" s="60" t="str">
        <f t="shared" si="4"/>
        <v>INSTRUMENTPRMRY_ASST_CLSSF45657COERÊNCIA</v>
      </c>
      <c r="B45" s="60" t="str">
        <f t="shared" si="5"/>
        <v>INSTRUMENTPRMRY_ASST_CLSSF45657COERÊNCIA1</v>
      </c>
      <c r="C45" s="17" t="s">
        <v>125</v>
      </c>
      <c r="D45" s="17" t="s">
        <v>1099</v>
      </c>
      <c r="E45" s="17" t="s">
        <v>1103</v>
      </c>
      <c r="F45" s="17" t="s">
        <v>1104</v>
      </c>
      <c r="G45" s="17" t="s">
        <v>106</v>
      </c>
      <c r="H45" s="23">
        <v>45657</v>
      </c>
      <c r="I45" s="17">
        <v>2091533</v>
      </c>
      <c r="J45" s="17">
        <v>0</v>
      </c>
      <c r="K45" s="17">
        <v>1</v>
      </c>
      <c r="L45" s="17" t="s">
        <v>1105</v>
      </c>
    </row>
    <row r="46" spans="1:12">
      <c r="A46" s="60" t="str">
        <f t="shared" si="4"/>
        <v>INSTRUMENTLCL_INSTMRNT_ID45657COERÊNCIA</v>
      </c>
      <c r="B46" s="60" t="str">
        <f t="shared" si="5"/>
        <v>INSTRUMENTLCL_INSTMRNT_ID45657COERÊNCIA1</v>
      </c>
      <c r="C46" s="17" t="s">
        <v>125</v>
      </c>
      <c r="D46" s="17" t="s">
        <v>1099</v>
      </c>
      <c r="E46" s="17" t="s">
        <v>1103</v>
      </c>
      <c r="F46" s="17" t="s">
        <v>1104</v>
      </c>
      <c r="G46" s="17" t="s">
        <v>109</v>
      </c>
      <c r="H46" s="23">
        <v>45657</v>
      </c>
      <c r="I46" s="17">
        <v>2091533</v>
      </c>
      <c r="J46" s="17">
        <v>0</v>
      </c>
      <c r="K46" s="17">
        <v>1</v>
      </c>
      <c r="L46" s="17" t="s">
        <v>1105</v>
      </c>
    </row>
    <row r="47" spans="1:12">
      <c r="A47" s="60" t="str">
        <f t="shared" si="4"/>
        <v>INSTRUMENTIDCMB45657COERÊNCIA</v>
      </c>
      <c r="B47" s="60" t="str">
        <f t="shared" si="5"/>
        <v>INSTRUMENTIDCMB45657COERÊNCIA1</v>
      </c>
      <c r="C47" s="17" t="s">
        <v>125</v>
      </c>
      <c r="D47" s="17" t="s">
        <v>1099</v>
      </c>
      <c r="E47" s="17" t="s">
        <v>1103</v>
      </c>
      <c r="F47" s="17" t="s">
        <v>1104</v>
      </c>
      <c r="G47" s="17" t="s">
        <v>110</v>
      </c>
      <c r="H47" s="23">
        <v>45657</v>
      </c>
      <c r="I47" s="17">
        <v>2091533</v>
      </c>
      <c r="J47" s="17">
        <v>0</v>
      </c>
      <c r="K47" s="17">
        <v>1</v>
      </c>
      <c r="L47" s="17" t="s">
        <v>1105</v>
      </c>
    </row>
    <row r="48" spans="1:12">
      <c r="A48" s="60" t="str">
        <f t="shared" si="4"/>
        <v>PROTECTIONCOD_SOC45657COERÊNCIA</v>
      </c>
      <c r="B48" s="60" t="str">
        <f t="shared" si="5"/>
        <v>PROTECTIONCOD_SOC45657COERÊNCIA1</v>
      </c>
      <c r="C48" s="17" t="s">
        <v>127</v>
      </c>
      <c r="D48" s="17" t="s">
        <v>1099</v>
      </c>
      <c r="E48" s="17" t="s">
        <v>1106</v>
      </c>
      <c r="F48" s="17" t="s">
        <v>1107</v>
      </c>
      <c r="G48" s="17" t="s">
        <v>108</v>
      </c>
      <c r="H48" s="23">
        <v>45657</v>
      </c>
      <c r="I48" s="17">
        <v>444990</v>
      </c>
      <c r="J48" s="17">
        <v>0</v>
      </c>
      <c r="K48" s="17">
        <v>1</v>
      </c>
      <c r="L48" s="17" t="s">
        <v>1108</v>
      </c>
    </row>
    <row r="49" spans="1:12">
      <c r="A49" s="60" t="str">
        <f t="shared" si="4"/>
        <v>PROTECTIONRL_ESTT_CLLTRL_LCTN45657COERÊNCIA</v>
      </c>
      <c r="B49" s="60" t="str">
        <f t="shared" si="5"/>
        <v>PROTECTIONRL_ESTT_CLLTRL_LCTN45657COERÊNCIA1</v>
      </c>
      <c r="C49" s="17" t="s">
        <v>127</v>
      </c>
      <c r="D49" s="17" t="s">
        <v>1099</v>
      </c>
      <c r="E49" s="17" t="s">
        <v>1106</v>
      </c>
      <c r="F49" s="17" t="s">
        <v>1107</v>
      </c>
      <c r="G49" s="17" t="s">
        <v>120</v>
      </c>
      <c r="H49" s="23">
        <v>45657</v>
      </c>
      <c r="I49" s="17">
        <v>444990</v>
      </c>
      <c r="J49" s="17">
        <v>0</v>
      </c>
      <c r="K49" s="17">
        <v>1</v>
      </c>
      <c r="L49" s="17" t="s">
        <v>1108</v>
      </c>
    </row>
    <row r="50" spans="1:12">
      <c r="A50" s="60" t="str">
        <f t="shared" si="4"/>
        <v>PROTECTIONRL_ESTT_PST_CD45657COERÊNCIA</v>
      </c>
      <c r="B50" s="60" t="str">
        <f t="shared" si="5"/>
        <v>PROTECTIONRL_ESTT_PST_CD45657COERÊNCIA1</v>
      </c>
      <c r="C50" s="17" t="s">
        <v>127</v>
      </c>
      <c r="D50" s="17" t="s">
        <v>1099</v>
      </c>
      <c r="E50" s="17" t="s">
        <v>1106</v>
      </c>
      <c r="F50" s="17" t="s">
        <v>1107</v>
      </c>
      <c r="G50" s="17" t="s">
        <v>121</v>
      </c>
      <c r="H50" s="23">
        <v>45657</v>
      </c>
      <c r="I50" s="17">
        <v>444990</v>
      </c>
      <c r="J50" s="17">
        <v>0</v>
      </c>
      <c r="K50" s="17">
        <v>1</v>
      </c>
      <c r="L50" s="17" t="s">
        <v>1108</v>
      </c>
    </row>
    <row r="51" spans="1:12">
      <c r="A51" s="60" t="str">
        <f t="shared" si="4"/>
        <v>PROTECTIONTYP_PRTCTN45657COERÊNCIA</v>
      </c>
      <c r="B51" s="60" t="str">
        <f t="shared" si="5"/>
        <v>PROTECTIONTYP_PRTCTN45657COERÊNCIA1</v>
      </c>
      <c r="C51" s="17" t="s">
        <v>127</v>
      </c>
      <c r="D51" s="17" t="s">
        <v>1099</v>
      </c>
      <c r="E51" s="17" t="s">
        <v>1106</v>
      </c>
      <c r="F51" s="17" t="s">
        <v>1107</v>
      </c>
      <c r="G51" s="17" t="s">
        <v>122</v>
      </c>
      <c r="H51" s="23">
        <v>45657</v>
      </c>
      <c r="I51" s="17">
        <v>444990</v>
      </c>
      <c r="J51" s="17">
        <v>0</v>
      </c>
      <c r="K51" s="17">
        <v>1</v>
      </c>
      <c r="L51" s="17" t="s">
        <v>1108</v>
      </c>
    </row>
    <row r="52" spans="1:12">
      <c r="A52" s="60" t="str">
        <f t="shared" si="4"/>
        <v>PROTECTIONPRTCTN_VL45657COERÊNCIA</v>
      </c>
      <c r="B52" s="60" t="str">
        <f t="shared" si="5"/>
        <v>PROTECTIONPRTCTN_VL45657COERÊNCIA1</v>
      </c>
      <c r="C52" s="17" t="s">
        <v>127</v>
      </c>
      <c r="D52" s="17" t="s">
        <v>1099</v>
      </c>
      <c r="E52" s="17" t="s">
        <v>1106</v>
      </c>
      <c r="F52" s="17" t="s">
        <v>1107</v>
      </c>
      <c r="G52" s="17" t="s">
        <v>124</v>
      </c>
      <c r="H52" s="23">
        <v>45657</v>
      </c>
      <c r="I52" s="17">
        <v>444990</v>
      </c>
      <c r="J52" s="17">
        <v>0</v>
      </c>
      <c r="K52" s="17">
        <v>1</v>
      </c>
      <c r="L52" s="17" t="s">
        <v>1108</v>
      </c>
    </row>
    <row r="53" spans="1:12">
      <c r="A53" s="60" t="str">
        <f t="shared" si="4"/>
        <v>INSTR_ENTITYCOD_SOC45657COERÊNCIA</v>
      </c>
      <c r="B53" s="60" t="str">
        <f t="shared" si="5"/>
        <v>INSTR_ENTITYCOD_SOC45657COERÊNCIA1</v>
      </c>
      <c r="C53" s="17" t="s">
        <v>320</v>
      </c>
      <c r="D53" s="17" t="s">
        <v>1099</v>
      </c>
      <c r="E53" s="17" t="s">
        <v>1109</v>
      </c>
      <c r="F53" s="17" t="s">
        <v>1110</v>
      </c>
      <c r="G53" s="17" t="s">
        <v>108</v>
      </c>
      <c r="H53" s="23">
        <v>45657</v>
      </c>
      <c r="I53" s="17">
        <v>3568644</v>
      </c>
      <c r="J53" s="17">
        <v>0</v>
      </c>
      <c r="K53" s="17">
        <v>1</v>
      </c>
      <c r="L53" s="17" t="s">
        <v>1111</v>
      </c>
    </row>
    <row r="54" spans="1:12">
      <c r="A54" s="60" t="str">
        <f t="shared" si="4"/>
        <v>INSTR_PROTECTIONCOD_SOC45657COERÊNCIA</v>
      </c>
      <c r="B54" s="60" t="str">
        <f t="shared" si="5"/>
        <v>INSTR_PROTECTIONCOD_SOC45657COERÊNCIA1</v>
      </c>
      <c r="C54" s="17" t="s">
        <v>321</v>
      </c>
      <c r="D54" s="17" t="s">
        <v>1099</v>
      </c>
      <c r="E54" s="17" t="s">
        <v>1112</v>
      </c>
      <c r="F54" s="17" t="s">
        <v>1113</v>
      </c>
      <c r="G54" s="17" t="s">
        <v>108</v>
      </c>
      <c r="H54" s="23">
        <v>45657</v>
      </c>
      <c r="I54" s="17">
        <v>1690585</v>
      </c>
      <c r="J54" s="17">
        <v>0</v>
      </c>
      <c r="K54" s="17">
        <v>1</v>
      </c>
      <c r="L54" s="17" t="s">
        <v>1111</v>
      </c>
    </row>
    <row r="55" spans="1:12">
      <c r="A55" s="60" t="str">
        <f t="shared" si="4"/>
        <v/>
      </c>
      <c r="B55" s="60" t="str">
        <f t="shared" si="5"/>
        <v/>
      </c>
      <c r="C55" s="17"/>
      <c r="D55" s="17"/>
      <c r="E55" s="17"/>
      <c r="F55" s="17"/>
      <c r="G55" s="17"/>
      <c r="H55" s="23"/>
      <c r="I55" s="17"/>
      <c r="J55" s="17"/>
      <c r="K55" s="17"/>
      <c r="L55" s="17"/>
    </row>
    <row r="56" spans="1:12">
      <c r="A56" s="60" t="str">
        <f t="shared" si="4"/>
        <v/>
      </c>
      <c r="B56" s="60" t="str">
        <f t="shared" si="5"/>
        <v/>
      </c>
      <c r="C56" s="17"/>
      <c r="D56" s="17"/>
      <c r="E56" s="17"/>
      <c r="F56" s="17"/>
      <c r="G56" s="17"/>
      <c r="H56" s="23"/>
      <c r="I56" s="17"/>
      <c r="J56" s="17"/>
      <c r="K56" s="17"/>
      <c r="L56" s="17"/>
    </row>
    <row r="57" spans="1:12">
      <c r="A57" s="60" t="str">
        <f t="shared" si="4"/>
        <v/>
      </c>
      <c r="B57" s="60" t="str">
        <f t="shared" si="5"/>
        <v/>
      </c>
      <c r="C57" s="17"/>
      <c r="D57" s="17"/>
      <c r="E57" s="17"/>
      <c r="F57" s="17"/>
      <c r="G57" s="17"/>
      <c r="H57" s="23"/>
      <c r="I57" s="17"/>
      <c r="J57" s="17"/>
      <c r="K57" s="17"/>
      <c r="L57" s="17"/>
    </row>
    <row r="58" spans="1:12">
      <c r="A58" s="60" t="str">
        <f t="shared" si="4"/>
        <v/>
      </c>
      <c r="B58" s="60" t="str">
        <f t="shared" si="5"/>
        <v/>
      </c>
      <c r="C58" s="17"/>
      <c r="D58" s="17"/>
      <c r="E58" s="17"/>
      <c r="F58" s="17"/>
      <c r="G58" s="17"/>
      <c r="H58" s="23"/>
      <c r="I58" s="17"/>
      <c r="J58" s="17"/>
      <c r="K58" s="17"/>
      <c r="L58" s="17"/>
    </row>
    <row r="59" spans="1:12">
      <c r="A59" s="60" t="str">
        <f t="shared" si="4"/>
        <v/>
      </c>
      <c r="B59" s="60" t="str">
        <f t="shared" si="5"/>
        <v/>
      </c>
      <c r="C59" s="17"/>
      <c r="D59" s="17"/>
      <c r="E59" s="17"/>
      <c r="F59" s="17"/>
      <c r="G59" s="17"/>
      <c r="H59" s="23"/>
      <c r="I59" s="17"/>
      <c r="J59" s="17"/>
      <c r="K59" s="17"/>
      <c r="L59" s="17"/>
    </row>
    <row r="60" spans="1:12">
      <c r="A60" s="60" t="str">
        <f t="shared" si="4"/>
        <v/>
      </c>
      <c r="B60" s="60" t="str">
        <f t="shared" si="5"/>
        <v/>
      </c>
      <c r="C60" s="17"/>
      <c r="D60" s="17"/>
      <c r="E60" s="17"/>
      <c r="F60" s="17"/>
      <c r="G60" s="17"/>
      <c r="H60" s="23"/>
      <c r="I60" s="17"/>
      <c r="J60" s="17"/>
      <c r="K60" s="17"/>
      <c r="L60" s="17"/>
    </row>
    <row r="61" spans="1:12">
      <c r="A61" s="60" t="str">
        <f t="shared" si="4"/>
        <v/>
      </c>
      <c r="B61" s="60" t="str">
        <f t="shared" si="5"/>
        <v/>
      </c>
      <c r="C61" s="17"/>
      <c r="D61" s="17"/>
      <c r="E61" s="17"/>
      <c r="F61" s="17"/>
      <c r="G61" s="17"/>
      <c r="H61" s="23"/>
      <c r="I61" s="17"/>
      <c r="J61" s="17"/>
      <c r="K61" s="17"/>
      <c r="L61" s="17"/>
    </row>
    <row r="62" spans="1:12">
      <c r="A62" s="60" t="str">
        <f t="shared" si="4"/>
        <v/>
      </c>
      <c r="B62" s="60" t="str">
        <f t="shared" si="5"/>
        <v/>
      </c>
      <c r="C62" s="17"/>
      <c r="D62" s="17"/>
      <c r="E62" s="17"/>
      <c r="F62" s="17"/>
      <c r="G62" s="17"/>
      <c r="H62" s="23"/>
      <c r="I62" s="17"/>
      <c r="J62" s="17"/>
      <c r="K62" s="17"/>
      <c r="L62" s="17"/>
    </row>
    <row r="63" spans="1:12">
      <c r="A63" s="60" t="str">
        <f t="shared" ref="A63:A126" si="6">+C63&amp;G63&amp;H63&amp;D63</f>
        <v/>
      </c>
      <c r="B63" s="60" t="str">
        <f t="shared" ref="B63:B126" si="7">+C63&amp;G63&amp;H63&amp;D63&amp;K63</f>
        <v/>
      </c>
      <c r="C63" s="17"/>
      <c r="D63" s="17"/>
      <c r="E63" s="17"/>
      <c r="F63" s="17"/>
      <c r="G63" s="17"/>
      <c r="H63" s="23"/>
      <c r="I63" s="17"/>
      <c r="J63" s="17"/>
      <c r="K63" s="17"/>
      <c r="L63" s="17"/>
    </row>
    <row r="64" spans="1:12">
      <c r="A64" s="60" t="str">
        <f t="shared" si="6"/>
        <v/>
      </c>
      <c r="B64" s="60" t="str">
        <f t="shared" si="7"/>
        <v/>
      </c>
      <c r="C64" s="17"/>
      <c r="D64" s="17"/>
      <c r="E64" s="17"/>
      <c r="F64" s="17"/>
      <c r="G64" s="17"/>
      <c r="H64" s="23"/>
      <c r="I64" s="17"/>
      <c r="J64" s="17"/>
      <c r="K64" s="17"/>
      <c r="L64" s="17"/>
    </row>
    <row r="65" spans="1:12">
      <c r="A65" s="60" t="str">
        <f t="shared" si="6"/>
        <v/>
      </c>
      <c r="B65" s="60" t="str">
        <f t="shared" si="7"/>
        <v/>
      </c>
      <c r="C65" s="17"/>
      <c r="D65" s="17"/>
      <c r="E65" s="17"/>
      <c r="F65" s="17"/>
      <c r="G65" s="17"/>
      <c r="H65" s="23"/>
      <c r="I65" s="17"/>
      <c r="J65" s="17"/>
      <c r="K65" s="17"/>
      <c r="L65" s="17"/>
    </row>
    <row r="66" spans="1:12">
      <c r="A66" s="60" t="str">
        <f t="shared" si="6"/>
        <v/>
      </c>
      <c r="B66" s="60" t="str">
        <f t="shared" si="7"/>
        <v/>
      </c>
      <c r="C66" s="17"/>
      <c r="D66" s="17"/>
      <c r="E66" s="17"/>
      <c r="F66" s="17"/>
      <c r="G66" s="17"/>
      <c r="H66" s="23"/>
      <c r="I66" s="17"/>
      <c r="J66" s="17"/>
      <c r="K66" s="17"/>
      <c r="L66" s="17"/>
    </row>
    <row r="67" spans="1:12">
      <c r="A67" s="60" t="str">
        <f t="shared" si="6"/>
        <v/>
      </c>
      <c r="B67" s="60" t="str">
        <f t="shared" si="7"/>
        <v/>
      </c>
      <c r="C67" s="17"/>
      <c r="D67" s="17"/>
      <c r="E67" s="17"/>
      <c r="F67" s="17"/>
      <c r="G67" s="17"/>
      <c r="H67" s="23"/>
      <c r="I67" s="17"/>
      <c r="J67" s="17"/>
      <c r="K67" s="17"/>
      <c r="L67" s="17"/>
    </row>
    <row r="68" spans="1:12">
      <c r="A68" s="60" t="str">
        <f t="shared" si="6"/>
        <v/>
      </c>
      <c r="B68" s="60" t="str">
        <f t="shared" si="7"/>
        <v/>
      </c>
      <c r="C68" s="17"/>
      <c r="D68" s="17"/>
      <c r="E68" s="17"/>
      <c r="F68" s="17"/>
      <c r="G68" s="17"/>
      <c r="H68" s="23"/>
      <c r="I68" s="17"/>
      <c r="J68" s="17"/>
      <c r="K68" s="17"/>
      <c r="L68" s="17"/>
    </row>
    <row r="69" spans="1:12">
      <c r="A69" s="60" t="str">
        <f t="shared" si="6"/>
        <v/>
      </c>
      <c r="B69" s="60" t="str">
        <f t="shared" si="7"/>
        <v/>
      </c>
      <c r="C69" s="17"/>
      <c r="D69" s="17"/>
      <c r="E69" s="17"/>
      <c r="F69" s="17"/>
      <c r="G69" s="17"/>
      <c r="H69" s="23"/>
      <c r="I69" s="17"/>
      <c r="J69" s="17"/>
      <c r="K69" s="17"/>
      <c r="L69" s="17"/>
    </row>
    <row r="70" spans="1:12">
      <c r="A70" s="60" t="str">
        <f t="shared" si="6"/>
        <v/>
      </c>
      <c r="B70" s="60" t="str">
        <f t="shared" si="7"/>
        <v/>
      </c>
      <c r="C70" s="17"/>
      <c r="D70" s="17"/>
      <c r="E70" s="17"/>
      <c r="F70" s="17"/>
      <c r="G70" s="17"/>
      <c r="H70" s="23"/>
      <c r="I70" s="17"/>
      <c r="J70" s="17"/>
      <c r="K70" s="17"/>
      <c r="L70" s="17"/>
    </row>
    <row r="71" spans="1:12">
      <c r="A71" s="60" t="str">
        <f t="shared" si="6"/>
        <v/>
      </c>
      <c r="B71" s="60" t="str">
        <f t="shared" si="7"/>
        <v/>
      </c>
      <c r="C71" s="17"/>
      <c r="D71" s="17"/>
      <c r="E71" s="17"/>
      <c r="F71" s="17"/>
      <c r="G71" s="17"/>
      <c r="H71" s="23"/>
      <c r="I71" s="17"/>
      <c r="J71" s="17"/>
      <c r="K71" s="17"/>
      <c r="L71" s="17"/>
    </row>
    <row r="72" spans="1:12">
      <c r="A72" s="60" t="str">
        <f t="shared" si="6"/>
        <v/>
      </c>
      <c r="B72" s="60" t="str">
        <f t="shared" si="7"/>
        <v/>
      </c>
      <c r="C72" s="17"/>
      <c r="D72" s="17"/>
      <c r="E72" s="17"/>
      <c r="F72" s="17"/>
      <c r="G72" s="17"/>
      <c r="H72" s="23"/>
      <c r="I72" s="17"/>
      <c r="J72" s="17"/>
      <c r="K72" s="17"/>
      <c r="L72" s="17"/>
    </row>
    <row r="73" spans="1:12">
      <c r="A73" s="60" t="str">
        <f t="shared" si="6"/>
        <v/>
      </c>
      <c r="B73" s="60" t="str">
        <f t="shared" si="7"/>
        <v/>
      </c>
      <c r="C73" s="17"/>
      <c r="D73" s="17"/>
      <c r="E73" s="17"/>
      <c r="F73" s="17"/>
      <c r="G73" s="17"/>
      <c r="H73" s="23"/>
      <c r="I73" s="17"/>
      <c r="J73" s="17"/>
      <c r="K73" s="17"/>
      <c r="L73" s="17"/>
    </row>
    <row r="74" spans="1:12">
      <c r="A74" s="60" t="str">
        <f t="shared" si="6"/>
        <v/>
      </c>
      <c r="B74" s="60" t="str">
        <f t="shared" si="7"/>
        <v/>
      </c>
      <c r="C74" s="17"/>
      <c r="D74" s="17"/>
      <c r="E74" s="17"/>
      <c r="F74" s="17"/>
      <c r="G74" s="17"/>
      <c r="H74" s="23"/>
      <c r="I74" s="17"/>
      <c r="J74" s="17"/>
      <c r="K74" s="17"/>
      <c r="L74" s="17"/>
    </row>
    <row r="75" spans="1:12">
      <c r="A75" s="60" t="str">
        <f t="shared" si="6"/>
        <v/>
      </c>
      <c r="B75" s="60" t="str">
        <f t="shared" si="7"/>
        <v/>
      </c>
      <c r="C75" s="17"/>
      <c r="D75" s="17"/>
      <c r="E75" s="17"/>
      <c r="F75" s="17"/>
      <c r="G75" s="17"/>
      <c r="H75" s="23"/>
      <c r="I75" s="17"/>
      <c r="J75" s="17"/>
      <c r="K75" s="17"/>
      <c r="L75" s="17"/>
    </row>
    <row r="76" spans="1:12">
      <c r="A76" s="60" t="str">
        <f t="shared" si="6"/>
        <v/>
      </c>
      <c r="B76" s="60" t="str">
        <f t="shared" si="7"/>
        <v/>
      </c>
      <c r="C76" s="17"/>
      <c r="D76" s="17"/>
      <c r="E76" s="17"/>
      <c r="F76" s="17"/>
      <c r="G76" s="17"/>
      <c r="H76" s="23"/>
      <c r="I76" s="17"/>
      <c r="J76" s="17"/>
      <c r="K76" s="17"/>
      <c r="L76" s="17"/>
    </row>
    <row r="77" spans="1:12">
      <c r="A77" s="60" t="str">
        <f t="shared" si="6"/>
        <v/>
      </c>
      <c r="B77" s="60" t="str">
        <f t="shared" si="7"/>
        <v/>
      </c>
      <c r="C77" s="17"/>
      <c r="D77" s="17"/>
      <c r="E77" s="17"/>
      <c r="F77" s="17"/>
      <c r="G77" s="17"/>
      <c r="H77" s="23"/>
      <c r="I77" s="17"/>
      <c r="J77" s="17"/>
      <c r="K77" s="17"/>
      <c r="L77" s="17"/>
    </row>
    <row r="78" spans="1:12">
      <c r="A78" s="60" t="str">
        <f t="shared" si="6"/>
        <v/>
      </c>
      <c r="B78" s="60" t="str">
        <f t="shared" si="7"/>
        <v/>
      </c>
      <c r="C78" s="17"/>
      <c r="D78" s="17"/>
      <c r="E78" s="17"/>
      <c r="F78" s="17"/>
      <c r="G78" s="17"/>
      <c r="H78" s="23"/>
      <c r="I78" s="17"/>
      <c r="J78" s="17"/>
      <c r="K78" s="17"/>
      <c r="L78" s="17"/>
    </row>
    <row r="79" spans="1:12">
      <c r="A79" s="60" t="str">
        <f t="shared" si="6"/>
        <v/>
      </c>
      <c r="B79" s="60" t="str">
        <f t="shared" si="7"/>
        <v/>
      </c>
      <c r="C79" s="17"/>
      <c r="D79" s="17"/>
      <c r="E79" s="17"/>
      <c r="F79" s="17"/>
      <c r="G79" s="17"/>
      <c r="H79" s="23"/>
      <c r="I79" s="17"/>
      <c r="J79" s="17"/>
      <c r="K79" s="17"/>
      <c r="L79" s="17"/>
    </row>
    <row r="80" spans="1:12">
      <c r="A80" s="60" t="str">
        <f t="shared" si="6"/>
        <v/>
      </c>
      <c r="B80" s="60" t="str">
        <f t="shared" si="7"/>
        <v/>
      </c>
      <c r="C80" s="17"/>
      <c r="D80" s="17"/>
      <c r="E80" s="17"/>
      <c r="F80" s="17"/>
      <c r="G80" s="17"/>
      <c r="H80" s="23"/>
      <c r="I80" s="17"/>
      <c r="J80" s="17"/>
      <c r="K80" s="17"/>
      <c r="L80" s="17"/>
    </row>
    <row r="81" spans="1:12">
      <c r="A81" s="60" t="str">
        <f t="shared" si="6"/>
        <v/>
      </c>
      <c r="B81" s="60" t="str">
        <f t="shared" si="7"/>
        <v/>
      </c>
      <c r="C81" s="17"/>
      <c r="D81" s="17"/>
      <c r="E81" s="17"/>
      <c r="F81" s="17"/>
      <c r="G81" s="17"/>
      <c r="H81" s="23"/>
      <c r="I81" s="17"/>
      <c r="J81" s="17"/>
      <c r="K81" s="17"/>
      <c r="L81" s="17"/>
    </row>
    <row r="82" spans="1:12">
      <c r="A82" s="60" t="str">
        <f t="shared" si="6"/>
        <v/>
      </c>
      <c r="B82" s="60" t="str">
        <f t="shared" si="7"/>
        <v/>
      </c>
      <c r="C82" s="17"/>
      <c r="D82" s="17"/>
      <c r="E82" s="17"/>
      <c r="F82" s="17"/>
      <c r="G82" s="17"/>
      <c r="H82" s="23"/>
      <c r="I82" s="17"/>
      <c r="J82" s="17"/>
      <c r="K82" s="17"/>
      <c r="L82" s="17"/>
    </row>
    <row r="83" spans="1:12">
      <c r="A83" s="60" t="str">
        <f t="shared" si="6"/>
        <v/>
      </c>
      <c r="B83" s="60" t="str">
        <f t="shared" si="7"/>
        <v/>
      </c>
      <c r="C83" s="17"/>
      <c r="D83" s="17"/>
      <c r="E83" s="17"/>
      <c r="F83" s="17"/>
      <c r="G83" s="17"/>
      <c r="H83" s="23"/>
      <c r="I83" s="17"/>
      <c r="J83" s="17"/>
      <c r="K83" s="17"/>
      <c r="L83" s="17"/>
    </row>
    <row r="84" spans="1:12">
      <c r="A84" s="60" t="str">
        <f t="shared" si="6"/>
        <v/>
      </c>
      <c r="B84" s="60" t="str">
        <f t="shared" si="7"/>
        <v/>
      </c>
      <c r="C84" s="17"/>
      <c r="D84" s="17"/>
      <c r="E84" s="17"/>
      <c r="F84" s="17"/>
      <c r="G84" s="17"/>
      <c r="H84" s="23"/>
      <c r="I84" s="17"/>
      <c r="J84" s="17"/>
      <c r="K84" s="17"/>
      <c r="L84" s="17"/>
    </row>
    <row r="85" spans="1:12">
      <c r="A85" s="60" t="str">
        <f t="shared" si="6"/>
        <v/>
      </c>
      <c r="B85" s="60" t="str">
        <f t="shared" si="7"/>
        <v/>
      </c>
      <c r="C85" s="17"/>
      <c r="D85" s="17"/>
      <c r="E85" s="17"/>
      <c r="F85" s="17"/>
      <c r="G85" s="17"/>
      <c r="H85" s="23"/>
      <c r="I85" s="17"/>
      <c r="J85" s="17"/>
      <c r="K85" s="17"/>
      <c r="L85" s="17"/>
    </row>
    <row r="86" spans="1:12">
      <c r="A86" s="60" t="str">
        <f t="shared" si="6"/>
        <v/>
      </c>
      <c r="B86" s="60" t="str">
        <f t="shared" si="7"/>
        <v/>
      </c>
      <c r="C86" s="17"/>
      <c r="D86" s="17"/>
      <c r="E86" s="17"/>
      <c r="F86" s="17"/>
      <c r="G86" s="17"/>
      <c r="H86" s="23"/>
      <c r="I86" s="17"/>
      <c r="J86" s="17"/>
      <c r="K86" s="17"/>
      <c r="L86" s="17"/>
    </row>
    <row r="87" spans="1:12">
      <c r="A87" s="60" t="str">
        <f t="shared" si="6"/>
        <v/>
      </c>
      <c r="B87" s="60" t="str">
        <f t="shared" si="7"/>
        <v/>
      </c>
      <c r="C87" s="17"/>
      <c r="D87" s="17"/>
      <c r="E87" s="17"/>
      <c r="F87" s="17"/>
      <c r="G87" s="17"/>
      <c r="H87" s="23"/>
      <c r="I87" s="17"/>
      <c r="J87" s="17"/>
      <c r="K87" s="17"/>
      <c r="L87" s="17"/>
    </row>
    <row r="88" spans="1:12">
      <c r="A88" s="60" t="str">
        <f t="shared" si="6"/>
        <v/>
      </c>
      <c r="B88" s="60" t="str">
        <f t="shared" si="7"/>
        <v/>
      </c>
      <c r="C88" s="17"/>
      <c r="D88" s="17"/>
      <c r="E88" s="17"/>
      <c r="F88" s="17"/>
      <c r="G88" s="17"/>
      <c r="H88" s="23"/>
      <c r="I88" s="17"/>
      <c r="J88" s="17"/>
      <c r="K88" s="17"/>
      <c r="L88" s="17"/>
    </row>
    <row r="89" spans="1:12">
      <c r="A89" s="60" t="str">
        <f t="shared" si="6"/>
        <v/>
      </c>
      <c r="B89" s="60" t="str">
        <f t="shared" si="7"/>
        <v/>
      </c>
      <c r="C89" s="17"/>
      <c r="D89" s="17"/>
      <c r="E89" s="17"/>
      <c r="F89" s="17"/>
      <c r="G89" s="17"/>
      <c r="H89" s="23"/>
      <c r="I89" s="17"/>
      <c r="J89" s="17"/>
      <c r="K89" s="17"/>
      <c r="L89" s="17"/>
    </row>
    <row r="90" spans="1:12">
      <c r="A90" s="60" t="str">
        <f t="shared" si="6"/>
        <v/>
      </c>
      <c r="B90" s="60" t="str">
        <f t="shared" si="7"/>
        <v/>
      </c>
      <c r="C90" s="17"/>
      <c r="D90" s="17"/>
      <c r="E90" s="17"/>
      <c r="F90" s="17"/>
      <c r="G90" s="17"/>
      <c r="H90" s="23"/>
      <c r="I90" s="17"/>
      <c r="J90" s="17"/>
      <c r="K90" s="17"/>
      <c r="L90" s="17"/>
    </row>
    <row r="91" spans="1:12">
      <c r="A91" s="60" t="str">
        <f t="shared" si="6"/>
        <v/>
      </c>
      <c r="B91" s="60" t="str">
        <f t="shared" si="7"/>
        <v/>
      </c>
      <c r="C91" s="17"/>
      <c r="D91" s="17"/>
      <c r="E91" s="17"/>
      <c r="F91" s="17"/>
      <c r="G91" s="17"/>
      <c r="H91" s="23"/>
      <c r="I91" s="17"/>
      <c r="J91" s="17"/>
      <c r="K91" s="17"/>
      <c r="L91" s="17"/>
    </row>
    <row r="92" spans="1:12">
      <c r="A92" s="60" t="str">
        <f t="shared" si="6"/>
        <v/>
      </c>
      <c r="B92" s="60" t="str">
        <f t="shared" si="7"/>
        <v/>
      </c>
      <c r="C92" s="17"/>
      <c r="D92" s="17"/>
      <c r="E92" s="17"/>
      <c r="F92" s="17"/>
      <c r="G92" s="17"/>
      <c r="H92" s="23"/>
      <c r="I92" s="17"/>
      <c r="J92" s="17"/>
      <c r="K92" s="17"/>
      <c r="L92" s="17"/>
    </row>
    <row r="93" spans="1:12">
      <c r="A93" s="60" t="str">
        <f t="shared" si="6"/>
        <v/>
      </c>
      <c r="B93" s="60" t="str">
        <f t="shared" si="7"/>
        <v/>
      </c>
      <c r="C93" s="17"/>
      <c r="D93" s="17"/>
      <c r="E93" s="17"/>
      <c r="F93" s="17"/>
      <c r="G93" s="17"/>
      <c r="H93" s="23"/>
      <c r="I93" s="17"/>
      <c r="J93" s="17"/>
      <c r="K93" s="17"/>
      <c r="L93" s="17"/>
    </row>
    <row r="94" spans="1:12">
      <c r="A94" s="60" t="str">
        <f t="shared" si="6"/>
        <v/>
      </c>
      <c r="B94" s="60" t="str">
        <f t="shared" si="7"/>
        <v/>
      </c>
      <c r="C94" s="17"/>
      <c r="D94" s="17"/>
      <c r="E94" s="17"/>
      <c r="F94" s="17"/>
      <c r="G94" s="17"/>
      <c r="H94" s="23"/>
      <c r="I94" s="17"/>
      <c r="J94" s="17"/>
      <c r="K94" s="17"/>
      <c r="L94" s="17"/>
    </row>
    <row r="95" spans="1:12">
      <c r="A95" s="60" t="str">
        <f t="shared" si="6"/>
        <v/>
      </c>
      <c r="B95" s="60" t="str">
        <f t="shared" si="7"/>
        <v/>
      </c>
      <c r="C95" s="17"/>
      <c r="D95" s="17"/>
      <c r="E95" s="17"/>
      <c r="F95" s="17"/>
      <c r="G95" s="17"/>
      <c r="H95" s="23"/>
      <c r="I95" s="17"/>
      <c r="J95" s="17"/>
      <c r="K95" s="17"/>
      <c r="L95" s="17"/>
    </row>
    <row r="96" spans="1:12">
      <c r="A96" s="60" t="str">
        <f t="shared" si="6"/>
        <v/>
      </c>
      <c r="B96" s="60" t="str">
        <f t="shared" si="7"/>
        <v/>
      </c>
      <c r="C96" s="17"/>
      <c r="D96" s="17"/>
      <c r="E96" s="17"/>
      <c r="F96" s="17"/>
      <c r="G96" s="17"/>
      <c r="H96" s="23"/>
      <c r="I96" s="17"/>
      <c r="J96" s="17"/>
      <c r="K96" s="17"/>
      <c r="L96" s="17"/>
    </row>
    <row r="97" spans="1:12">
      <c r="A97" s="60" t="str">
        <f t="shared" si="6"/>
        <v/>
      </c>
      <c r="B97" s="60" t="str">
        <f t="shared" si="7"/>
        <v/>
      </c>
      <c r="C97" s="17"/>
      <c r="D97" s="17"/>
      <c r="E97" s="17"/>
      <c r="F97" s="17"/>
      <c r="G97" s="17"/>
      <c r="H97" s="23"/>
      <c r="I97" s="17"/>
      <c r="J97" s="17"/>
      <c r="K97" s="17"/>
      <c r="L97" s="17"/>
    </row>
    <row r="98" spans="1:12">
      <c r="A98" s="60" t="str">
        <f t="shared" si="6"/>
        <v/>
      </c>
      <c r="B98" s="60" t="str">
        <f t="shared" si="7"/>
        <v/>
      </c>
      <c r="C98" s="17"/>
      <c r="D98" s="17"/>
      <c r="E98" s="17"/>
      <c r="F98" s="17"/>
      <c r="G98" s="17"/>
      <c r="H98" s="23"/>
      <c r="I98" s="17"/>
      <c r="J98" s="17"/>
      <c r="K98" s="17"/>
      <c r="L98" s="17"/>
    </row>
    <row r="99" spans="1:12">
      <c r="A99" s="60" t="str">
        <f t="shared" si="6"/>
        <v/>
      </c>
      <c r="B99" s="60" t="str">
        <f t="shared" si="7"/>
        <v/>
      </c>
      <c r="C99" s="17"/>
      <c r="D99" s="17"/>
      <c r="E99" s="17"/>
      <c r="F99" s="17"/>
      <c r="G99" s="17"/>
      <c r="H99" s="23"/>
      <c r="I99" s="17"/>
      <c r="J99" s="17"/>
      <c r="K99" s="17"/>
      <c r="L99" s="17"/>
    </row>
    <row r="100" spans="1:12">
      <c r="A100" s="60" t="str">
        <f t="shared" si="6"/>
        <v/>
      </c>
      <c r="B100" s="60" t="str">
        <f t="shared" si="7"/>
        <v/>
      </c>
      <c r="C100" s="17"/>
      <c r="D100" s="17"/>
      <c r="E100" s="17"/>
      <c r="F100" s="17"/>
      <c r="G100" s="17"/>
      <c r="H100" s="23"/>
      <c r="I100" s="17"/>
      <c r="J100" s="17"/>
      <c r="K100" s="17"/>
      <c r="L100" s="17"/>
    </row>
    <row r="101" spans="1:12">
      <c r="A101" s="60" t="str">
        <f t="shared" si="6"/>
        <v/>
      </c>
      <c r="B101" s="60" t="str">
        <f t="shared" si="7"/>
        <v/>
      </c>
      <c r="C101" s="17"/>
      <c r="D101" s="17"/>
      <c r="E101" s="17"/>
      <c r="F101" s="17"/>
      <c r="G101" s="17"/>
      <c r="H101" s="23"/>
      <c r="I101" s="17"/>
      <c r="J101" s="17"/>
      <c r="K101" s="17"/>
      <c r="L101" s="17"/>
    </row>
    <row r="102" spans="1:12">
      <c r="A102" s="60" t="str">
        <f t="shared" si="6"/>
        <v/>
      </c>
      <c r="B102" s="60" t="str">
        <f t="shared" si="7"/>
        <v/>
      </c>
      <c r="C102" s="17"/>
      <c r="D102" s="17"/>
      <c r="E102" s="17"/>
      <c r="F102" s="17"/>
      <c r="G102" s="17"/>
      <c r="H102" s="23"/>
      <c r="I102" s="17"/>
      <c r="J102" s="17"/>
      <c r="K102" s="17"/>
      <c r="L102" s="17"/>
    </row>
    <row r="103" spans="1:12">
      <c r="A103" s="60" t="str">
        <f t="shared" si="6"/>
        <v/>
      </c>
      <c r="B103" s="60" t="str">
        <f t="shared" si="7"/>
        <v/>
      </c>
      <c r="C103" s="17"/>
      <c r="D103" s="17"/>
      <c r="E103" s="17"/>
      <c r="F103" s="17"/>
      <c r="G103" s="17"/>
      <c r="H103" s="23"/>
      <c r="I103" s="17"/>
      <c r="J103" s="17"/>
      <c r="K103" s="17"/>
      <c r="L103" s="17"/>
    </row>
    <row r="104" spans="1:12">
      <c r="A104" s="60" t="str">
        <f t="shared" si="6"/>
        <v/>
      </c>
      <c r="B104" s="60" t="str">
        <f t="shared" si="7"/>
        <v/>
      </c>
      <c r="C104" s="17"/>
      <c r="D104" s="17"/>
      <c r="E104" s="17"/>
      <c r="F104" s="17"/>
      <c r="G104" s="17"/>
      <c r="H104" s="23"/>
      <c r="I104" s="17"/>
      <c r="J104" s="17"/>
      <c r="K104" s="17"/>
      <c r="L104" s="17"/>
    </row>
    <row r="105" spans="1:12">
      <c r="A105" s="60" t="str">
        <f t="shared" si="6"/>
        <v/>
      </c>
      <c r="B105" s="60" t="str">
        <f t="shared" si="7"/>
        <v/>
      </c>
      <c r="C105" s="17"/>
      <c r="D105" s="17"/>
      <c r="E105" s="17"/>
      <c r="F105" s="17"/>
      <c r="G105" s="17"/>
      <c r="H105" s="23"/>
      <c r="I105" s="17"/>
      <c r="J105" s="17"/>
      <c r="K105" s="17"/>
      <c r="L105" s="17"/>
    </row>
    <row r="106" spans="1:12">
      <c r="A106" s="60" t="str">
        <f t="shared" si="6"/>
        <v/>
      </c>
      <c r="B106" s="60" t="str">
        <f t="shared" si="7"/>
        <v/>
      </c>
      <c r="C106" s="17"/>
      <c r="D106" s="17"/>
      <c r="E106" s="17"/>
      <c r="F106" s="17"/>
      <c r="G106" s="17"/>
      <c r="H106" s="23"/>
      <c r="I106" s="17"/>
      <c r="J106" s="17"/>
      <c r="K106" s="17"/>
      <c r="L106" s="17"/>
    </row>
    <row r="107" spans="1:12">
      <c r="A107" s="60" t="str">
        <f t="shared" si="6"/>
        <v/>
      </c>
      <c r="B107" s="60" t="str">
        <f t="shared" si="7"/>
        <v/>
      </c>
      <c r="C107" s="17"/>
      <c r="D107" s="17"/>
      <c r="E107" s="17"/>
      <c r="F107" s="17"/>
      <c r="G107" s="17"/>
      <c r="H107" s="23"/>
      <c r="I107" s="17"/>
      <c r="J107" s="17"/>
      <c r="K107" s="17"/>
      <c r="L107" s="17"/>
    </row>
    <row r="108" spans="1:12">
      <c r="A108" s="60" t="str">
        <f t="shared" si="6"/>
        <v/>
      </c>
      <c r="B108" s="60" t="str">
        <f t="shared" si="7"/>
        <v/>
      </c>
      <c r="C108" s="17"/>
      <c r="D108" s="17"/>
      <c r="E108" s="17"/>
      <c r="F108" s="17"/>
      <c r="G108" s="17"/>
      <c r="H108" s="23"/>
      <c r="I108" s="17"/>
      <c r="J108" s="17"/>
      <c r="K108" s="17"/>
      <c r="L108" s="17"/>
    </row>
    <row r="109" spans="1:12">
      <c r="A109" s="60" t="str">
        <f t="shared" si="6"/>
        <v/>
      </c>
      <c r="B109" s="60" t="str">
        <f t="shared" si="7"/>
        <v/>
      </c>
      <c r="C109" s="17"/>
      <c r="D109" s="17"/>
      <c r="E109" s="17"/>
      <c r="F109" s="17"/>
      <c r="G109" s="17"/>
      <c r="H109" s="23"/>
      <c r="I109" s="17"/>
      <c r="J109" s="17"/>
      <c r="K109" s="17"/>
      <c r="L109" s="17"/>
    </row>
    <row r="110" spans="1:12">
      <c r="A110" s="60" t="str">
        <f t="shared" si="6"/>
        <v/>
      </c>
      <c r="B110" s="60" t="str">
        <f t="shared" si="7"/>
        <v/>
      </c>
      <c r="C110" s="17"/>
      <c r="D110" s="17"/>
      <c r="E110" s="17"/>
      <c r="F110" s="17"/>
      <c r="G110" s="17"/>
      <c r="H110" s="23"/>
      <c r="I110" s="17"/>
      <c r="J110" s="17"/>
      <c r="K110" s="17"/>
      <c r="L110" s="17"/>
    </row>
    <row r="111" spans="1:12">
      <c r="A111" s="60" t="str">
        <f t="shared" si="6"/>
        <v/>
      </c>
      <c r="B111" s="60" t="str">
        <f t="shared" si="7"/>
        <v/>
      </c>
      <c r="C111" s="17"/>
      <c r="D111" s="17"/>
      <c r="E111" s="17"/>
      <c r="F111" s="17"/>
      <c r="G111" s="17"/>
      <c r="H111" s="23"/>
      <c r="I111" s="17"/>
      <c r="J111" s="17"/>
      <c r="K111" s="17"/>
      <c r="L111" s="17"/>
    </row>
    <row r="112" spans="1:12">
      <c r="A112" s="60" t="str">
        <f t="shared" si="6"/>
        <v/>
      </c>
      <c r="B112" s="60" t="str">
        <f t="shared" si="7"/>
        <v/>
      </c>
      <c r="C112" s="17"/>
      <c r="D112" s="17"/>
      <c r="E112" s="17"/>
      <c r="F112" s="17"/>
      <c r="G112" s="17"/>
      <c r="H112" s="23"/>
      <c r="I112" s="17"/>
      <c r="J112" s="17"/>
      <c r="K112" s="17"/>
      <c r="L112" s="17"/>
    </row>
    <row r="113" spans="1:12">
      <c r="A113" s="60" t="str">
        <f t="shared" si="6"/>
        <v/>
      </c>
      <c r="B113" s="60" t="str">
        <f t="shared" si="7"/>
        <v/>
      </c>
      <c r="C113" s="17"/>
      <c r="D113" s="17"/>
      <c r="E113" s="17"/>
      <c r="F113" s="17"/>
      <c r="G113" s="17"/>
      <c r="H113" s="23"/>
      <c r="I113" s="17"/>
      <c r="J113" s="17"/>
      <c r="K113" s="17"/>
      <c r="L113" s="17"/>
    </row>
    <row r="114" spans="1:12">
      <c r="A114" s="60" t="str">
        <f t="shared" si="6"/>
        <v/>
      </c>
      <c r="B114" s="60" t="str">
        <f t="shared" si="7"/>
        <v/>
      </c>
      <c r="C114" s="17"/>
      <c r="D114" s="17"/>
      <c r="E114" s="17"/>
      <c r="F114" s="17"/>
      <c r="G114" s="17"/>
      <c r="H114" s="23"/>
      <c r="I114" s="17"/>
      <c r="J114" s="17"/>
      <c r="K114" s="17"/>
      <c r="L114" s="17"/>
    </row>
    <row r="115" spans="1:12">
      <c r="A115" s="60" t="str">
        <f t="shared" si="6"/>
        <v/>
      </c>
      <c r="B115" s="60" t="str">
        <f t="shared" si="7"/>
        <v/>
      </c>
      <c r="C115" s="17"/>
      <c r="D115" s="17"/>
      <c r="E115" s="17"/>
      <c r="F115" s="17"/>
      <c r="G115" s="17"/>
      <c r="H115" s="23"/>
      <c r="I115" s="17"/>
      <c r="J115" s="17"/>
      <c r="K115" s="17"/>
      <c r="L115" s="17"/>
    </row>
    <row r="116" spans="1:12">
      <c r="A116" s="60" t="str">
        <f t="shared" si="6"/>
        <v/>
      </c>
      <c r="B116" s="60" t="str">
        <f t="shared" si="7"/>
        <v/>
      </c>
      <c r="C116" s="17"/>
      <c r="D116" s="17"/>
      <c r="E116" s="17"/>
      <c r="F116" s="17"/>
      <c r="G116" s="17"/>
      <c r="H116" s="23"/>
      <c r="I116" s="17"/>
      <c r="J116" s="17"/>
      <c r="K116" s="17"/>
      <c r="L116" s="17"/>
    </row>
    <row r="117" spans="1:12">
      <c r="A117" s="60" t="str">
        <f t="shared" si="6"/>
        <v/>
      </c>
      <c r="B117" s="60" t="str">
        <f t="shared" si="7"/>
        <v/>
      </c>
      <c r="C117" s="17"/>
      <c r="D117" s="17"/>
      <c r="E117" s="17"/>
      <c r="F117" s="17"/>
      <c r="G117" s="17"/>
      <c r="H117" s="23"/>
      <c r="I117" s="17"/>
      <c r="J117" s="17"/>
      <c r="K117" s="17"/>
      <c r="L117" s="17"/>
    </row>
    <row r="118" spans="1:12">
      <c r="A118" s="60" t="str">
        <f t="shared" si="6"/>
        <v/>
      </c>
      <c r="B118" s="60" t="str">
        <f t="shared" si="7"/>
        <v/>
      </c>
      <c r="C118" s="17"/>
      <c r="D118" s="17"/>
      <c r="E118" s="17"/>
      <c r="F118" s="17"/>
      <c r="G118" s="17"/>
      <c r="H118" s="23"/>
      <c r="I118" s="17"/>
      <c r="J118" s="17"/>
      <c r="K118" s="17"/>
      <c r="L118" s="17"/>
    </row>
    <row r="119" spans="1:12">
      <c r="A119" s="60" t="str">
        <f t="shared" si="6"/>
        <v/>
      </c>
      <c r="B119" s="60" t="str">
        <f t="shared" si="7"/>
        <v/>
      </c>
      <c r="C119" s="17"/>
      <c r="D119" s="17"/>
      <c r="E119" s="17"/>
      <c r="F119" s="17"/>
      <c r="G119" s="17"/>
      <c r="H119" s="23"/>
      <c r="I119" s="17"/>
      <c r="J119" s="17"/>
      <c r="K119" s="17"/>
      <c r="L119" s="17"/>
    </row>
    <row r="120" spans="1:12">
      <c r="A120" s="60" t="str">
        <f t="shared" si="6"/>
        <v/>
      </c>
      <c r="B120" s="60" t="str">
        <f t="shared" si="7"/>
        <v/>
      </c>
      <c r="C120" s="17"/>
      <c r="D120" s="17"/>
      <c r="E120" s="17"/>
      <c r="F120" s="17"/>
      <c r="G120" s="17"/>
      <c r="H120" s="23"/>
      <c r="I120" s="17"/>
      <c r="J120" s="17"/>
      <c r="K120" s="17"/>
      <c r="L120" s="17"/>
    </row>
    <row r="121" spans="1:12">
      <c r="A121" s="60" t="str">
        <f t="shared" si="6"/>
        <v/>
      </c>
      <c r="B121" s="60" t="str">
        <f t="shared" si="7"/>
        <v/>
      </c>
      <c r="C121" s="17"/>
      <c r="D121" s="17"/>
      <c r="E121" s="17"/>
      <c r="F121" s="17"/>
      <c r="G121" s="17"/>
      <c r="H121" s="23"/>
      <c r="I121" s="17"/>
      <c r="J121" s="17"/>
      <c r="K121" s="17"/>
      <c r="L121" s="17"/>
    </row>
    <row r="122" spans="1:12">
      <c r="A122" s="60" t="str">
        <f t="shared" si="6"/>
        <v/>
      </c>
      <c r="B122" s="60" t="str">
        <f t="shared" si="7"/>
        <v/>
      </c>
      <c r="C122" s="17"/>
      <c r="D122" s="17"/>
      <c r="E122" s="17"/>
      <c r="F122" s="17"/>
      <c r="G122" s="17"/>
      <c r="H122" s="23"/>
      <c r="I122" s="17"/>
      <c r="J122" s="17"/>
      <c r="K122" s="17"/>
      <c r="L122" s="17"/>
    </row>
    <row r="123" spans="1:12">
      <c r="A123" s="60" t="str">
        <f t="shared" si="6"/>
        <v/>
      </c>
      <c r="B123" s="60" t="str">
        <f t="shared" si="7"/>
        <v/>
      </c>
      <c r="C123" s="17"/>
      <c r="D123" s="17"/>
      <c r="E123" s="17"/>
      <c r="F123" s="17"/>
      <c r="G123" s="17"/>
      <c r="H123" s="23"/>
      <c r="I123" s="17"/>
      <c r="J123" s="17"/>
      <c r="K123" s="17"/>
      <c r="L123" s="17"/>
    </row>
    <row r="124" spans="1:12">
      <c r="A124" s="60" t="str">
        <f t="shared" si="6"/>
        <v/>
      </c>
      <c r="B124" s="60" t="str">
        <f t="shared" si="7"/>
        <v/>
      </c>
      <c r="C124" s="17"/>
      <c r="D124" s="17"/>
      <c r="E124" s="17"/>
      <c r="F124" s="17"/>
      <c r="G124" s="17"/>
      <c r="H124" s="23"/>
      <c r="I124" s="17"/>
      <c r="J124" s="17"/>
      <c r="K124" s="17"/>
      <c r="L124" s="17"/>
    </row>
    <row r="125" spans="1:12">
      <c r="A125" s="60" t="str">
        <f t="shared" si="6"/>
        <v/>
      </c>
      <c r="B125" s="60" t="str">
        <f t="shared" si="7"/>
        <v/>
      </c>
      <c r="C125" s="17"/>
      <c r="D125" s="17"/>
      <c r="E125" s="17"/>
      <c r="F125" s="17"/>
      <c r="G125" s="17"/>
      <c r="H125" s="23"/>
      <c r="I125" s="17"/>
      <c r="J125" s="17"/>
      <c r="K125" s="17"/>
      <c r="L125" s="17"/>
    </row>
    <row r="126" spans="1:12">
      <c r="A126" s="60" t="str">
        <f t="shared" si="6"/>
        <v/>
      </c>
      <c r="B126" s="60" t="str">
        <f t="shared" si="7"/>
        <v/>
      </c>
      <c r="C126" s="17"/>
      <c r="D126" s="17"/>
      <c r="E126" s="17"/>
      <c r="F126" s="17"/>
      <c r="G126" s="17"/>
      <c r="H126" s="23"/>
      <c r="I126" s="17"/>
      <c r="J126" s="17"/>
      <c r="K126" s="17"/>
      <c r="L126" s="17"/>
    </row>
    <row r="127" spans="1:12">
      <c r="A127" s="60" t="str">
        <f t="shared" ref="A127:A190" si="8">+C127&amp;G127&amp;H127&amp;D127</f>
        <v/>
      </c>
      <c r="B127" s="60" t="str">
        <f t="shared" ref="B127:B190" si="9">+C127&amp;G127&amp;H127&amp;D127&amp;K127</f>
        <v/>
      </c>
      <c r="C127" s="17"/>
      <c r="D127" s="17"/>
      <c r="E127" s="17"/>
      <c r="F127" s="17"/>
      <c r="G127" s="17"/>
      <c r="H127" s="23"/>
      <c r="I127" s="17"/>
      <c r="J127" s="17"/>
      <c r="K127" s="17"/>
      <c r="L127" s="17"/>
    </row>
    <row r="128" spans="1:12">
      <c r="A128" s="60" t="str">
        <f t="shared" si="8"/>
        <v/>
      </c>
      <c r="B128" s="60" t="str">
        <f t="shared" si="9"/>
        <v/>
      </c>
      <c r="C128" s="17"/>
      <c r="D128" s="17"/>
      <c r="E128" s="17"/>
      <c r="F128" s="17"/>
      <c r="G128" s="17"/>
      <c r="H128" s="23"/>
      <c r="I128" s="17"/>
      <c r="J128" s="17"/>
      <c r="K128" s="17"/>
      <c r="L128" s="17"/>
    </row>
    <row r="129" spans="1:12">
      <c r="A129" s="60" t="str">
        <f t="shared" si="8"/>
        <v/>
      </c>
      <c r="B129" s="60" t="str">
        <f t="shared" si="9"/>
        <v/>
      </c>
      <c r="C129" s="17"/>
      <c r="D129" s="17"/>
      <c r="E129" s="17"/>
      <c r="F129" s="17"/>
      <c r="G129" s="17"/>
      <c r="H129" s="23"/>
      <c r="I129" s="17"/>
      <c r="J129" s="17"/>
      <c r="K129" s="17"/>
      <c r="L129" s="17"/>
    </row>
    <row r="130" spans="1:12">
      <c r="A130" s="60" t="str">
        <f t="shared" si="8"/>
        <v/>
      </c>
      <c r="B130" s="60" t="str">
        <f t="shared" si="9"/>
        <v/>
      </c>
      <c r="C130" s="17"/>
      <c r="D130" s="17"/>
      <c r="E130" s="17"/>
      <c r="F130" s="17"/>
      <c r="G130" s="17"/>
      <c r="H130" s="23"/>
      <c r="I130" s="17"/>
      <c r="J130" s="17"/>
      <c r="K130" s="17"/>
      <c r="L130" s="17"/>
    </row>
    <row r="131" spans="1:12">
      <c r="A131" s="60" t="str">
        <f t="shared" si="8"/>
        <v/>
      </c>
      <c r="B131" s="60" t="str">
        <f t="shared" si="9"/>
        <v/>
      </c>
      <c r="C131" s="17"/>
      <c r="D131" s="17"/>
      <c r="E131" s="17"/>
      <c r="F131" s="17"/>
      <c r="G131" s="17"/>
      <c r="H131" s="23"/>
      <c r="I131" s="17"/>
      <c r="J131" s="17"/>
      <c r="K131" s="17"/>
      <c r="L131" s="17"/>
    </row>
    <row r="132" spans="1:12">
      <c r="A132" s="60" t="str">
        <f t="shared" si="8"/>
        <v/>
      </c>
      <c r="B132" s="60" t="str">
        <f t="shared" si="9"/>
        <v/>
      </c>
      <c r="C132" s="17"/>
      <c r="D132" s="17"/>
      <c r="E132" s="17"/>
      <c r="F132" s="17"/>
      <c r="G132" s="17"/>
      <c r="H132" s="23"/>
      <c r="I132" s="17"/>
      <c r="J132" s="17"/>
      <c r="K132" s="17"/>
      <c r="L132" s="17"/>
    </row>
    <row r="133" spans="1:12">
      <c r="A133" s="60" t="str">
        <f t="shared" si="8"/>
        <v/>
      </c>
      <c r="B133" s="60" t="str">
        <f t="shared" si="9"/>
        <v/>
      </c>
      <c r="C133" s="17"/>
      <c r="D133" s="17"/>
      <c r="E133" s="17"/>
      <c r="F133" s="17"/>
      <c r="G133" s="17"/>
      <c r="H133" s="23"/>
      <c r="I133" s="17"/>
      <c r="J133" s="17"/>
      <c r="K133" s="17"/>
      <c r="L133" s="17"/>
    </row>
    <row r="134" spans="1:12">
      <c r="A134" s="60" t="str">
        <f t="shared" si="8"/>
        <v/>
      </c>
      <c r="B134" s="60" t="str">
        <f t="shared" si="9"/>
        <v/>
      </c>
      <c r="C134" s="17"/>
      <c r="D134" s="17"/>
      <c r="E134" s="17"/>
      <c r="F134" s="17"/>
      <c r="G134" s="17"/>
      <c r="H134" s="23"/>
      <c r="I134" s="17"/>
      <c r="J134" s="17"/>
      <c r="K134" s="17"/>
      <c r="L134" s="17"/>
    </row>
    <row r="135" spans="1:12">
      <c r="A135" s="60" t="str">
        <f t="shared" si="8"/>
        <v/>
      </c>
      <c r="B135" s="60" t="str">
        <f t="shared" si="9"/>
        <v/>
      </c>
      <c r="C135" s="17"/>
      <c r="D135" s="17"/>
      <c r="E135" s="17"/>
      <c r="F135" s="17"/>
      <c r="G135" s="17"/>
      <c r="H135" s="23"/>
      <c r="I135" s="17"/>
      <c r="J135" s="17"/>
      <c r="K135" s="17"/>
      <c r="L135" s="17"/>
    </row>
    <row r="136" spans="1:12">
      <c r="A136" s="60" t="str">
        <f t="shared" si="8"/>
        <v/>
      </c>
      <c r="B136" s="60" t="str">
        <f t="shared" si="9"/>
        <v/>
      </c>
      <c r="C136" s="17"/>
      <c r="D136" s="17"/>
      <c r="E136" s="17"/>
      <c r="F136" s="17"/>
      <c r="G136" s="17"/>
      <c r="H136" s="23"/>
      <c r="I136" s="17"/>
      <c r="J136" s="17"/>
      <c r="K136" s="17"/>
      <c r="L136" s="17"/>
    </row>
    <row r="137" spans="1:12">
      <c r="A137" s="60" t="str">
        <f t="shared" si="8"/>
        <v/>
      </c>
      <c r="B137" s="60" t="str">
        <f t="shared" si="9"/>
        <v/>
      </c>
      <c r="C137" s="17"/>
      <c r="D137" s="17"/>
      <c r="E137" s="17"/>
      <c r="F137" s="17"/>
      <c r="G137" s="17"/>
      <c r="H137" s="23"/>
      <c r="I137" s="17"/>
      <c r="J137" s="17"/>
      <c r="K137" s="17"/>
      <c r="L137" s="17"/>
    </row>
    <row r="138" spans="1:12">
      <c r="A138" s="60" t="str">
        <f t="shared" si="8"/>
        <v/>
      </c>
      <c r="B138" s="60" t="str">
        <f t="shared" si="9"/>
        <v/>
      </c>
      <c r="C138" s="17"/>
      <c r="D138" s="17"/>
      <c r="E138" s="17"/>
      <c r="F138" s="17"/>
      <c r="G138" s="17"/>
      <c r="H138" s="23"/>
      <c r="I138" s="17"/>
      <c r="J138" s="17"/>
      <c r="K138" s="17"/>
      <c r="L138" s="17"/>
    </row>
    <row r="139" spans="1:12">
      <c r="A139" s="60" t="str">
        <f t="shared" si="8"/>
        <v/>
      </c>
      <c r="B139" s="60" t="str">
        <f t="shared" si="9"/>
        <v/>
      </c>
      <c r="C139" s="17"/>
      <c r="D139" s="17"/>
      <c r="E139" s="17"/>
      <c r="F139" s="17"/>
      <c r="G139" s="17"/>
      <c r="H139" s="23"/>
      <c r="I139" s="17"/>
      <c r="J139" s="17"/>
      <c r="K139" s="17"/>
      <c r="L139" s="17"/>
    </row>
    <row r="140" spans="1:12">
      <c r="A140" s="60" t="str">
        <f t="shared" si="8"/>
        <v/>
      </c>
      <c r="B140" s="60" t="str">
        <f t="shared" si="9"/>
        <v/>
      </c>
      <c r="C140" s="17"/>
      <c r="D140" s="17"/>
      <c r="E140" s="17"/>
      <c r="F140" s="17"/>
      <c r="G140" s="17"/>
      <c r="H140" s="23"/>
      <c r="I140" s="17"/>
      <c r="J140" s="17"/>
      <c r="K140" s="17"/>
      <c r="L140" s="17"/>
    </row>
    <row r="141" spans="1:12">
      <c r="A141" s="60" t="str">
        <f t="shared" si="8"/>
        <v/>
      </c>
      <c r="B141" s="60" t="str">
        <f t="shared" si="9"/>
        <v/>
      </c>
      <c r="C141" s="17"/>
      <c r="D141" s="17"/>
      <c r="E141" s="17"/>
      <c r="F141" s="17"/>
      <c r="G141" s="17"/>
      <c r="H141" s="23"/>
      <c r="I141" s="17"/>
      <c r="J141" s="17"/>
      <c r="K141" s="17"/>
      <c r="L141" s="17"/>
    </row>
    <row r="142" spans="1:12">
      <c r="A142" s="60" t="str">
        <f t="shared" si="8"/>
        <v/>
      </c>
      <c r="B142" s="60" t="str">
        <f t="shared" si="9"/>
        <v/>
      </c>
      <c r="C142" s="17"/>
      <c r="D142" s="17"/>
      <c r="E142" s="17"/>
      <c r="F142" s="17"/>
      <c r="G142" s="17"/>
      <c r="H142" s="23"/>
      <c r="I142" s="17"/>
      <c r="J142" s="17"/>
      <c r="K142" s="17"/>
      <c r="L142" s="17"/>
    </row>
    <row r="143" spans="1:12">
      <c r="A143" s="60" t="str">
        <f t="shared" si="8"/>
        <v/>
      </c>
      <c r="B143" s="60" t="str">
        <f t="shared" si="9"/>
        <v/>
      </c>
      <c r="C143" s="17"/>
      <c r="D143" s="17"/>
      <c r="E143" s="17"/>
      <c r="F143" s="17"/>
      <c r="G143" s="17"/>
      <c r="H143" s="23"/>
      <c r="I143" s="17"/>
      <c r="J143" s="17"/>
      <c r="K143" s="17"/>
      <c r="L143" s="17"/>
    </row>
    <row r="144" spans="1:12">
      <c r="A144" s="60" t="str">
        <f t="shared" si="8"/>
        <v/>
      </c>
      <c r="B144" s="60" t="str">
        <f t="shared" si="9"/>
        <v/>
      </c>
      <c r="C144" s="17"/>
      <c r="D144" s="17"/>
      <c r="E144" s="17"/>
      <c r="F144" s="17"/>
      <c r="G144" s="17"/>
      <c r="H144" s="23"/>
      <c r="I144" s="17"/>
      <c r="J144" s="17"/>
      <c r="K144" s="17"/>
      <c r="L144" s="17"/>
    </row>
    <row r="145" spans="1:12">
      <c r="A145" s="60" t="str">
        <f t="shared" si="8"/>
        <v/>
      </c>
      <c r="B145" s="60" t="str">
        <f t="shared" si="9"/>
        <v/>
      </c>
      <c r="C145" s="17"/>
      <c r="D145" s="17"/>
      <c r="E145" s="17"/>
      <c r="F145" s="17"/>
      <c r="G145" s="17"/>
      <c r="H145" s="23"/>
      <c r="I145" s="17"/>
      <c r="J145" s="17"/>
      <c r="K145" s="17"/>
      <c r="L145" s="17"/>
    </row>
    <row r="146" spans="1:12">
      <c r="A146" s="60" t="str">
        <f t="shared" si="8"/>
        <v/>
      </c>
      <c r="B146" s="60" t="str">
        <f t="shared" si="9"/>
        <v/>
      </c>
      <c r="C146" s="17"/>
      <c r="D146" s="17"/>
      <c r="E146" s="17"/>
      <c r="F146" s="17"/>
      <c r="G146" s="17"/>
      <c r="H146" s="23"/>
      <c r="I146" s="17"/>
      <c r="J146" s="17"/>
      <c r="K146" s="17"/>
      <c r="L146" s="17"/>
    </row>
    <row r="147" spans="1:12">
      <c r="A147" s="60" t="str">
        <f t="shared" si="8"/>
        <v/>
      </c>
      <c r="B147" s="60" t="str">
        <f t="shared" si="9"/>
        <v/>
      </c>
      <c r="C147" s="17"/>
      <c r="D147" s="17"/>
      <c r="E147" s="17"/>
      <c r="F147" s="17"/>
      <c r="G147" s="17"/>
      <c r="H147" s="23"/>
      <c r="I147" s="17"/>
      <c r="J147" s="17"/>
      <c r="K147" s="17"/>
      <c r="L147" s="17"/>
    </row>
    <row r="148" spans="1:12">
      <c r="A148" s="60" t="str">
        <f t="shared" si="8"/>
        <v/>
      </c>
      <c r="B148" s="60" t="str">
        <f t="shared" si="9"/>
        <v/>
      </c>
      <c r="C148" s="17"/>
      <c r="D148" s="17"/>
      <c r="E148" s="17"/>
      <c r="F148" s="17"/>
      <c r="G148" s="17"/>
      <c r="H148" s="23"/>
      <c r="I148" s="17"/>
      <c r="J148" s="17"/>
      <c r="K148" s="17"/>
      <c r="L148" s="17"/>
    </row>
    <row r="149" spans="1:12">
      <c r="A149" s="60" t="str">
        <f t="shared" si="8"/>
        <v/>
      </c>
      <c r="B149" s="60" t="str">
        <f t="shared" si="9"/>
        <v/>
      </c>
      <c r="C149" s="17"/>
      <c r="D149" s="17"/>
      <c r="E149" s="17"/>
      <c r="F149" s="17"/>
      <c r="G149" s="17"/>
      <c r="H149" s="23"/>
      <c r="I149" s="17"/>
      <c r="J149" s="17"/>
      <c r="K149" s="17"/>
      <c r="L149" s="17"/>
    </row>
    <row r="150" spans="1:12">
      <c r="A150" s="60" t="str">
        <f t="shared" si="8"/>
        <v/>
      </c>
      <c r="B150" s="60" t="str">
        <f t="shared" si="9"/>
        <v/>
      </c>
      <c r="C150" s="17"/>
      <c r="D150" s="17"/>
      <c r="E150" s="17"/>
      <c r="F150" s="17"/>
      <c r="G150" s="17"/>
      <c r="H150" s="23"/>
      <c r="I150" s="17"/>
      <c r="J150" s="17"/>
      <c r="K150" s="17"/>
      <c r="L150" s="17"/>
    </row>
    <row r="151" spans="1:12">
      <c r="A151" s="60" t="str">
        <f t="shared" si="8"/>
        <v/>
      </c>
      <c r="B151" s="60" t="str">
        <f t="shared" si="9"/>
        <v/>
      </c>
      <c r="C151" s="17"/>
      <c r="D151" s="17"/>
      <c r="E151" s="17"/>
      <c r="F151" s="17"/>
      <c r="G151" s="17"/>
      <c r="H151" s="23"/>
      <c r="I151" s="17"/>
      <c r="J151" s="17"/>
      <c r="K151" s="17"/>
      <c r="L151" s="17"/>
    </row>
    <row r="152" spans="1:12">
      <c r="A152" s="60" t="str">
        <f t="shared" si="8"/>
        <v/>
      </c>
      <c r="B152" s="60" t="str">
        <f t="shared" si="9"/>
        <v/>
      </c>
      <c r="C152" s="17"/>
      <c r="D152" s="17"/>
      <c r="E152" s="17"/>
      <c r="F152" s="17"/>
      <c r="G152" s="17"/>
      <c r="H152" s="23"/>
      <c r="I152" s="17"/>
      <c r="J152" s="17"/>
      <c r="K152" s="17"/>
      <c r="L152" s="17"/>
    </row>
    <row r="153" spans="1:12">
      <c r="A153" s="60" t="str">
        <f t="shared" si="8"/>
        <v/>
      </c>
      <c r="B153" s="60" t="str">
        <f t="shared" si="9"/>
        <v/>
      </c>
      <c r="C153" s="17"/>
      <c r="D153" s="17"/>
      <c r="E153" s="17"/>
      <c r="F153" s="17"/>
      <c r="G153" s="17"/>
      <c r="H153" s="23"/>
      <c r="I153" s="17"/>
      <c r="J153" s="17"/>
      <c r="K153" s="17"/>
      <c r="L153" s="17"/>
    </row>
    <row r="154" spans="1:12">
      <c r="A154" s="60" t="str">
        <f t="shared" si="8"/>
        <v/>
      </c>
      <c r="B154" s="60" t="str">
        <f t="shared" si="9"/>
        <v/>
      </c>
      <c r="C154" s="17"/>
      <c r="D154" s="17"/>
      <c r="E154" s="17"/>
      <c r="F154" s="17"/>
      <c r="G154" s="17"/>
      <c r="H154" s="23"/>
      <c r="I154" s="17"/>
      <c r="J154" s="17"/>
      <c r="K154" s="17"/>
      <c r="L154" s="17"/>
    </row>
    <row r="155" spans="1:12">
      <c r="A155" s="60" t="str">
        <f t="shared" si="8"/>
        <v/>
      </c>
      <c r="B155" s="60" t="str">
        <f t="shared" si="9"/>
        <v/>
      </c>
      <c r="C155" s="17"/>
      <c r="D155" s="17"/>
      <c r="E155" s="17"/>
      <c r="F155" s="17"/>
      <c r="G155" s="17"/>
      <c r="H155" s="23"/>
      <c r="I155" s="17"/>
      <c r="J155" s="17"/>
      <c r="K155" s="17"/>
      <c r="L155" s="17"/>
    </row>
    <row r="156" spans="1:12">
      <c r="A156" s="60" t="str">
        <f t="shared" si="8"/>
        <v/>
      </c>
      <c r="B156" s="60" t="str">
        <f t="shared" si="9"/>
        <v/>
      </c>
      <c r="C156" s="17"/>
      <c r="D156" s="17"/>
      <c r="E156" s="17"/>
      <c r="F156" s="17"/>
      <c r="G156" s="17"/>
      <c r="H156" s="23"/>
      <c r="I156" s="17"/>
      <c r="J156" s="17"/>
      <c r="K156" s="17"/>
      <c r="L156" s="17"/>
    </row>
    <row r="157" spans="1:12">
      <c r="A157" s="60" t="str">
        <f t="shared" si="8"/>
        <v/>
      </c>
      <c r="B157" s="60" t="str">
        <f t="shared" si="9"/>
        <v/>
      </c>
      <c r="C157" s="17"/>
      <c r="D157" s="17"/>
      <c r="E157" s="17"/>
      <c r="F157" s="17"/>
      <c r="G157" s="17"/>
      <c r="H157" s="23"/>
      <c r="I157" s="17"/>
      <c r="J157" s="17"/>
      <c r="K157" s="17"/>
      <c r="L157" s="17"/>
    </row>
    <row r="158" spans="1:12">
      <c r="A158" s="60" t="str">
        <f t="shared" si="8"/>
        <v/>
      </c>
      <c r="B158" s="60" t="str">
        <f t="shared" si="9"/>
        <v/>
      </c>
      <c r="C158" s="17"/>
      <c r="D158" s="17"/>
      <c r="E158" s="17"/>
      <c r="F158" s="17"/>
      <c r="G158" s="17"/>
      <c r="H158" s="23"/>
      <c r="I158" s="17"/>
      <c r="J158" s="17"/>
      <c r="K158" s="17"/>
      <c r="L158" s="17"/>
    </row>
    <row r="159" spans="1:12">
      <c r="A159" s="60" t="str">
        <f t="shared" si="8"/>
        <v/>
      </c>
      <c r="B159" s="60" t="str">
        <f t="shared" si="9"/>
        <v/>
      </c>
      <c r="C159" s="17"/>
      <c r="D159" s="17"/>
      <c r="E159" s="17"/>
      <c r="F159" s="17"/>
      <c r="G159" s="17"/>
      <c r="H159" s="23"/>
      <c r="I159" s="17"/>
      <c r="J159" s="17"/>
      <c r="K159" s="17"/>
      <c r="L159" s="17"/>
    </row>
    <row r="160" spans="1:12">
      <c r="A160" s="60" t="str">
        <f t="shared" si="8"/>
        <v/>
      </c>
      <c r="B160" s="60" t="str">
        <f t="shared" si="9"/>
        <v/>
      </c>
      <c r="C160" s="17"/>
      <c r="D160" s="17"/>
      <c r="E160" s="17"/>
      <c r="F160" s="17"/>
      <c r="G160" s="17"/>
      <c r="H160" s="23"/>
      <c r="I160" s="17"/>
      <c r="J160" s="17"/>
      <c r="K160" s="17"/>
      <c r="L160" s="17"/>
    </row>
    <row r="161" spans="1:12">
      <c r="A161" s="60" t="str">
        <f t="shared" si="8"/>
        <v/>
      </c>
      <c r="B161" s="60" t="str">
        <f t="shared" si="9"/>
        <v/>
      </c>
      <c r="C161" s="17"/>
      <c r="D161" s="17"/>
      <c r="E161" s="17"/>
      <c r="F161" s="17"/>
      <c r="G161" s="17"/>
      <c r="H161" s="23"/>
      <c r="I161" s="17"/>
      <c r="J161" s="17"/>
      <c r="K161" s="17"/>
      <c r="L161" s="17"/>
    </row>
    <row r="162" spans="1:12">
      <c r="A162" s="60" t="str">
        <f t="shared" si="8"/>
        <v/>
      </c>
      <c r="B162" s="60" t="str">
        <f t="shared" si="9"/>
        <v/>
      </c>
      <c r="C162" s="17"/>
      <c r="D162" s="17"/>
      <c r="E162" s="17"/>
      <c r="F162" s="17"/>
      <c r="G162" s="17"/>
      <c r="H162" s="23"/>
      <c r="I162" s="17"/>
      <c r="J162" s="17"/>
      <c r="K162" s="17"/>
      <c r="L162" s="17"/>
    </row>
    <row r="163" spans="1:12">
      <c r="A163" s="60" t="str">
        <f t="shared" si="8"/>
        <v/>
      </c>
      <c r="B163" s="60" t="str">
        <f t="shared" si="9"/>
        <v/>
      </c>
      <c r="C163" s="17"/>
      <c r="D163" s="17"/>
      <c r="E163" s="17"/>
      <c r="F163" s="17"/>
      <c r="G163" s="17"/>
      <c r="H163" s="23"/>
      <c r="I163" s="17"/>
      <c r="J163" s="17"/>
      <c r="K163" s="17"/>
      <c r="L163" s="17"/>
    </row>
    <row r="164" spans="1:12">
      <c r="A164" s="60" t="str">
        <f t="shared" si="8"/>
        <v/>
      </c>
      <c r="B164" s="60" t="str">
        <f t="shared" si="9"/>
        <v/>
      </c>
      <c r="C164" s="17"/>
      <c r="D164" s="17"/>
      <c r="E164" s="17"/>
      <c r="F164" s="17"/>
      <c r="G164" s="17"/>
      <c r="H164" s="23"/>
      <c r="I164" s="17"/>
      <c r="J164" s="17"/>
      <c r="K164" s="17"/>
      <c r="L164" s="17"/>
    </row>
    <row r="165" spans="1:12">
      <c r="A165" s="60" t="str">
        <f t="shared" si="8"/>
        <v/>
      </c>
      <c r="B165" s="60" t="str">
        <f t="shared" si="9"/>
        <v/>
      </c>
      <c r="C165" s="17"/>
      <c r="D165" s="17"/>
      <c r="E165" s="17"/>
      <c r="F165" s="17"/>
      <c r="G165" s="17"/>
      <c r="H165" s="23"/>
      <c r="I165" s="17"/>
      <c r="J165" s="17"/>
      <c r="K165" s="17"/>
      <c r="L165" s="17"/>
    </row>
    <row r="166" spans="1:12">
      <c r="A166" s="60" t="str">
        <f t="shared" si="8"/>
        <v/>
      </c>
      <c r="B166" s="60" t="str">
        <f t="shared" si="9"/>
        <v/>
      </c>
      <c r="C166" s="17"/>
      <c r="D166" s="17"/>
      <c r="E166" s="17"/>
      <c r="F166" s="17"/>
      <c r="G166" s="17"/>
      <c r="H166" s="23"/>
      <c r="I166" s="17"/>
      <c r="J166" s="17"/>
      <c r="K166" s="17"/>
      <c r="L166" s="17"/>
    </row>
    <row r="167" spans="1:12">
      <c r="A167" s="60" t="str">
        <f t="shared" si="8"/>
        <v/>
      </c>
      <c r="B167" s="60" t="str">
        <f t="shared" si="9"/>
        <v/>
      </c>
      <c r="C167" s="17"/>
      <c r="D167" s="17"/>
      <c r="E167" s="17"/>
      <c r="F167" s="17"/>
      <c r="G167" s="17"/>
      <c r="H167" s="23"/>
      <c r="I167" s="17"/>
      <c r="J167" s="17"/>
      <c r="K167" s="17"/>
      <c r="L167" s="17"/>
    </row>
    <row r="168" spans="1:12">
      <c r="A168" s="60" t="str">
        <f t="shared" si="8"/>
        <v/>
      </c>
      <c r="B168" s="60" t="str">
        <f t="shared" si="9"/>
        <v/>
      </c>
      <c r="C168" s="17"/>
      <c r="D168" s="17"/>
      <c r="E168" s="17"/>
      <c r="F168" s="17"/>
      <c r="G168" s="17"/>
      <c r="H168" s="23"/>
      <c r="I168" s="17"/>
      <c r="J168" s="17"/>
      <c r="K168" s="17"/>
      <c r="L168" s="17"/>
    </row>
    <row r="169" spans="1:12">
      <c r="A169" s="60" t="str">
        <f t="shared" si="8"/>
        <v/>
      </c>
      <c r="B169" s="60" t="str">
        <f t="shared" si="9"/>
        <v/>
      </c>
      <c r="C169" s="17"/>
      <c r="D169" s="17"/>
      <c r="E169" s="17"/>
      <c r="F169" s="17"/>
      <c r="G169" s="17"/>
      <c r="H169" s="23"/>
      <c r="I169" s="17"/>
      <c r="J169" s="17"/>
      <c r="K169" s="17"/>
      <c r="L169" s="17"/>
    </row>
    <row r="170" spans="1:12">
      <c r="A170" s="60" t="str">
        <f t="shared" si="8"/>
        <v/>
      </c>
      <c r="B170" s="60" t="str">
        <f t="shared" si="9"/>
        <v/>
      </c>
      <c r="C170" s="17"/>
      <c r="D170" s="17"/>
      <c r="E170" s="17"/>
      <c r="F170" s="17"/>
      <c r="G170" s="17"/>
      <c r="H170" s="23"/>
      <c r="I170" s="17"/>
      <c r="J170" s="17"/>
      <c r="K170" s="17"/>
      <c r="L170" s="17"/>
    </row>
    <row r="171" spans="1:12">
      <c r="A171" s="60" t="str">
        <f t="shared" si="8"/>
        <v/>
      </c>
      <c r="B171" s="60" t="str">
        <f t="shared" si="9"/>
        <v/>
      </c>
      <c r="C171" s="17"/>
      <c r="D171" s="17"/>
      <c r="E171" s="17"/>
      <c r="F171" s="17"/>
      <c r="G171" s="17"/>
      <c r="H171" s="23"/>
      <c r="I171" s="17"/>
      <c r="J171" s="17"/>
      <c r="K171" s="17"/>
      <c r="L171" s="17"/>
    </row>
    <row r="172" spans="1:12">
      <c r="A172" s="60" t="str">
        <f t="shared" si="8"/>
        <v/>
      </c>
      <c r="B172" s="60" t="str">
        <f t="shared" si="9"/>
        <v/>
      </c>
      <c r="C172" s="17"/>
      <c r="D172" s="17"/>
      <c r="E172" s="17"/>
      <c r="F172" s="17"/>
      <c r="G172" s="17"/>
      <c r="H172" s="23"/>
      <c r="I172" s="17"/>
      <c r="J172" s="17"/>
      <c r="K172" s="17"/>
      <c r="L172" s="17"/>
    </row>
    <row r="173" spans="1:12">
      <c r="A173" s="60" t="str">
        <f t="shared" si="8"/>
        <v/>
      </c>
      <c r="B173" s="60" t="str">
        <f t="shared" si="9"/>
        <v/>
      </c>
      <c r="C173" s="17"/>
      <c r="D173" s="17"/>
      <c r="E173" s="17"/>
      <c r="F173" s="17"/>
      <c r="G173" s="17"/>
      <c r="H173" s="23"/>
      <c r="I173" s="17"/>
      <c r="J173" s="17"/>
      <c r="K173" s="17"/>
      <c r="L173" s="17"/>
    </row>
    <row r="174" spans="1:12">
      <c r="A174" s="60" t="str">
        <f t="shared" si="8"/>
        <v/>
      </c>
      <c r="B174" s="60" t="str">
        <f t="shared" si="9"/>
        <v/>
      </c>
      <c r="C174" s="17"/>
      <c r="D174" s="17"/>
      <c r="E174" s="17"/>
      <c r="F174" s="17"/>
      <c r="G174" s="17"/>
      <c r="H174" s="23"/>
      <c r="I174" s="17"/>
      <c r="J174" s="17"/>
      <c r="K174" s="17"/>
      <c r="L174" s="17"/>
    </row>
    <row r="175" spans="1:12">
      <c r="A175" s="60" t="str">
        <f t="shared" si="8"/>
        <v/>
      </c>
      <c r="B175" s="60" t="str">
        <f t="shared" si="9"/>
        <v/>
      </c>
      <c r="C175" s="17"/>
      <c r="D175" s="17"/>
      <c r="E175" s="17"/>
      <c r="F175" s="17"/>
      <c r="G175" s="17"/>
      <c r="H175" s="23"/>
      <c r="I175" s="17"/>
      <c r="J175" s="17"/>
      <c r="K175" s="17"/>
      <c r="L175" s="17"/>
    </row>
    <row r="176" spans="1:12">
      <c r="A176" s="60" t="str">
        <f t="shared" si="8"/>
        <v/>
      </c>
      <c r="B176" s="60" t="str">
        <f t="shared" si="9"/>
        <v/>
      </c>
      <c r="C176" s="17"/>
      <c r="D176" s="17"/>
      <c r="E176" s="17"/>
      <c r="F176" s="17"/>
      <c r="G176" s="17"/>
      <c r="H176" s="23"/>
      <c r="I176" s="17"/>
      <c r="J176" s="17"/>
      <c r="K176" s="17"/>
      <c r="L176" s="17"/>
    </row>
    <row r="177" spans="1:12">
      <c r="A177" s="60" t="str">
        <f t="shared" si="8"/>
        <v/>
      </c>
      <c r="B177" s="60" t="str">
        <f t="shared" si="9"/>
        <v/>
      </c>
      <c r="C177" s="17"/>
      <c r="D177" s="17"/>
      <c r="E177" s="17"/>
      <c r="F177" s="17"/>
      <c r="G177" s="17"/>
      <c r="H177" s="23"/>
      <c r="I177" s="17"/>
      <c r="J177" s="17"/>
      <c r="K177" s="17"/>
      <c r="L177" s="17"/>
    </row>
    <row r="178" spans="1:12">
      <c r="A178" s="60" t="str">
        <f t="shared" si="8"/>
        <v/>
      </c>
      <c r="B178" s="60" t="str">
        <f t="shared" si="9"/>
        <v/>
      </c>
      <c r="C178" s="17"/>
      <c r="D178" s="17"/>
      <c r="E178" s="17"/>
      <c r="F178" s="17"/>
      <c r="G178" s="17"/>
      <c r="H178" s="23"/>
      <c r="I178" s="17"/>
      <c r="J178" s="17"/>
      <c r="K178" s="17"/>
      <c r="L178" s="17"/>
    </row>
    <row r="179" spans="1:12">
      <c r="A179" s="60" t="str">
        <f t="shared" si="8"/>
        <v/>
      </c>
      <c r="B179" s="60" t="str">
        <f t="shared" si="9"/>
        <v/>
      </c>
      <c r="C179" s="17"/>
      <c r="D179" s="17"/>
      <c r="E179" s="17"/>
      <c r="F179" s="17"/>
      <c r="G179" s="17"/>
      <c r="H179" s="23"/>
      <c r="I179" s="17"/>
      <c r="J179" s="17"/>
      <c r="K179" s="17"/>
      <c r="L179" s="17"/>
    </row>
    <row r="180" spans="1:12">
      <c r="A180" s="60" t="str">
        <f t="shared" si="8"/>
        <v/>
      </c>
      <c r="B180" s="60" t="str">
        <f t="shared" si="9"/>
        <v/>
      </c>
      <c r="C180" s="17"/>
      <c r="D180" s="17"/>
      <c r="E180" s="17"/>
      <c r="F180" s="17"/>
      <c r="G180" s="17"/>
      <c r="H180" s="23"/>
      <c r="I180" s="17"/>
      <c r="J180" s="17"/>
      <c r="K180" s="17"/>
      <c r="L180" s="17"/>
    </row>
    <row r="181" spans="1:12">
      <c r="A181" s="60" t="str">
        <f t="shared" si="8"/>
        <v/>
      </c>
      <c r="B181" s="60" t="str">
        <f t="shared" si="9"/>
        <v/>
      </c>
      <c r="C181" s="17"/>
      <c r="D181" s="17"/>
      <c r="E181" s="17"/>
      <c r="F181" s="17"/>
      <c r="G181" s="17"/>
      <c r="H181" s="23"/>
      <c r="I181" s="17"/>
      <c r="J181" s="17"/>
      <c r="K181" s="17"/>
      <c r="L181" s="17"/>
    </row>
    <row r="182" spans="1:12">
      <c r="A182" s="60" t="str">
        <f t="shared" si="8"/>
        <v/>
      </c>
      <c r="B182" s="60" t="str">
        <f t="shared" si="9"/>
        <v/>
      </c>
      <c r="C182" s="17"/>
      <c r="D182" s="17"/>
      <c r="E182" s="17"/>
      <c r="F182" s="17"/>
      <c r="G182" s="17"/>
      <c r="H182" s="23"/>
      <c r="I182" s="17"/>
      <c r="J182" s="17"/>
      <c r="K182" s="17"/>
      <c r="L182" s="17"/>
    </row>
    <row r="183" spans="1:12">
      <c r="A183" s="60" t="str">
        <f t="shared" si="8"/>
        <v/>
      </c>
      <c r="B183" s="60" t="str">
        <f t="shared" si="9"/>
        <v/>
      </c>
      <c r="C183" s="17"/>
      <c r="D183" s="17"/>
      <c r="E183" s="17"/>
      <c r="F183" s="17"/>
      <c r="G183" s="17"/>
      <c r="H183" s="23"/>
      <c r="I183" s="17"/>
      <c r="J183" s="17"/>
      <c r="K183" s="17"/>
      <c r="L183" s="17"/>
    </row>
    <row r="184" spans="1:12">
      <c r="A184" s="60" t="str">
        <f t="shared" si="8"/>
        <v/>
      </c>
      <c r="B184" s="60" t="str">
        <f t="shared" si="9"/>
        <v/>
      </c>
      <c r="C184" s="17"/>
      <c r="D184" s="17"/>
      <c r="E184" s="17"/>
      <c r="F184" s="17"/>
      <c r="G184" s="17"/>
      <c r="H184" s="23"/>
      <c r="I184" s="17"/>
      <c r="J184" s="17"/>
      <c r="K184" s="17"/>
      <c r="L184" s="17"/>
    </row>
    <row r="185" spans="1:12">
      <c r="A185" s="60" t="str">
        <f t="shared" si="8"/>
        <v/>
      </c>
      <c r="B185" s="60" t="str">
        <f t="shared" si="9"/>
        <v/>
      </c>
      <c r="C185" s="17"/>
      <c r="D185" s="17"/>
      <c r="E185" s="17"/>
      <c r="F185" s="17"/>
      <c r="G185" s="17"/>
      <c r="H185" s="23"/>
      <c r="I185" s="17"/>
      <c r="J185" s="17"/>
      <c r="K185" s="17"/>
      <c r="L185" s="17"/>
    </row>
    <row r="186" spans="1:12">
      <c r="A186" s="60" t="str">
        <f t="shared" si="8"/>
        <v/>
      </c>
      <c r="B186" s="60" t="str">
        <f t="shared" si="9"/>
        <v/>
      </c>
      <c r="C186" s="17"/>
      <c r="D186" s="17"/>
      <c r="E186" s="17"/>
      <c r="F186" s="17"/>
      <c r="G186" s="17"/>
      <c r="H186" s="23"/>
      <c r="I186" s="17"/>
      <c r="J186" s="17"/>
      <c r="K186" s="17"/>
      <c r="L186" s="17"/>
    </row>
    <row r="187" spans="1:12">
      <c r="A187" s="60" t="str">
        <f t="shared" si="8"/>
        <v/>
      </c>
      <c r="B187" s="60" t="str">
        <f t="shared" si="9"/>
        <v/>
      </c>
      <c r="C187" s="17"/>
      <c r="D187" s="17"/>
      <c r="E187" s="17"/>
      <c r="F187" s="17"/>
      <c r="G187" s="17"/>
      <c r="H187" s="23"/>
      <c r="I187" s="17"/>
      <c r="J187" s="17"/>
      <c r="K187" s="17"/>
      <c r="L187" s="17"/>
    </row>
    <row r="188" spans="1:12">
      <c r="A188" s="60" t="str">
        <f t="shared" si="8"/>
        <v/>
      </c>
      <c r="B188" s="60" t="str">
        <f t="shared" si="9"/>
        <v/>
      </c>
      <c r="C188" s="17"/>
      <c r="D188" s="17"/>
      <c r="E188" s="17"/>
      <c r="F188" s="17"/>
      <c r="G188" s="17"/>
      <c r="H188" s="23"/>
      <c r="I188" s="17"/>
      <c r="J188" s="17"/>
      <c r="K188" s="17"/>
      <c r="L188" s="17"/>
    </row>
    <row r="189" spans="1:12">
      <c r="A189" s="60" t="str">
        <f t="shared" si="8"/>
        <v/>
      </c>
      <c r="B189" s="60" t="str">
        <f t="shared" si="9"/>
        <v/>
      </c>
      <c r="C189" s="17"/>
      <c r="D189" s="17"/>
      <c r="E189" s="17"/>
      <c r="F189" s="17"/>
      <c r="G189" s="17"/>
      <c r="H189" s="23"/>
      <c r="I189" s="17"/>
      <c r="J189" s="17"/>
      <c r="K189" s="17"/>
      <c r="L189" s="17"/>
    </row>
    <row r="190" spans="1:12">
      <c r="A190" s="60" t="str">
        <f t="shared" si="8"/>
        <v/>
      </c>
      <c r="B190" s="60" t="str">
        <f t="shared" si="9"/>
        <v/>
      </c>
      <c r="C190" s="17"/>
      <c r="D190" s="17"/>
      <c r="E190" s="17"/>
      <c r="F190" s="17"/>
      <c r="G190" s="17"/>
      <c r="H190" s="23"/>
      <c r="I190" s="17"/>
      <c r="J190" s="17"/>
      <c r="K190" s="17"/>
      <c r="L190" s="17"/>
    </row>
    <row r="191" spans="1:12">
      <c r="A191" s="60" t="str">
        <f t="shared" ref="A191:A228" si="10">+C191&amp;G191&amp;H191&amp;D191</f>
        <v/>
      </c>
      <c r="B191" s="60" t="str">
        <f t="shared" ref="B191:B228" si="11">+C191&amp;G191&amp;H191&amp;D191&amp;K191</f>
        <v/>
      </c>
      <c r="C191" s="17"/>
      <c r="D191" s="17"/>
      <c r="E191" s="17"/>
      <c r="F191" s="17"/>
      <c r="G191" s="17"/>
      <c r="H191" s="23"/>
      <c r="I191" s="17"/>
      <c r="J191" s="17"/>
      <c r="K191" s="17"/>
      <c r="L191" s="17"/>
    </row>
    <row r="192" spans="1:12">
      <c r="A192" s="60" t="str">
        <f t="shared" si="10"/>
        <v/>
      </c>
      <c r="B192" s="60" t="str">
        <f t="shared" si="11"/>
        <v/>
      </c>
      <c r="C192" s="17"/>
      <c r="D192" s="17"/>
      <c r="E192" s="17"/>
      <c r="F192" s="17"/>
      <c r="G192" s="17"/>
      <c r="H192" s="23"/>
      <c r="I192" s="17"/>
      <c r="J192" s="17"/>
      <c r="K192" s="17"/>
      <c r="L192" s="17"/>
    </row>
    <row r="193" spans="1:12">
      <c r="A193" s="60" t="str">
        <f t="shared" si="10"/>
        <v/>
      </c>
      <c r="B193" s="60" t="str">
        <f t="shared" si="11"/>
        <v/>
      </c>
      <c r="C193" s="17"/>
      <c r="D193" s="17"/>
      <c r="E193" s="17"/>
      <c r="F193" s="17"/>
      <c r="G193" s="17"/>
      <c r="H193" s="23"/>
      <c r="I193" s="17"/>
      <c r="J193" s="17"/>
      <c r="K193" s="17"/>
      <c r="L193" s="17"/>
    </row>
    <row r="194" spans="1:12">
      <c r="A194" s="60" t="str">
        <f t="shared" si="10"/>
        <v/>
      </c>
      <c r="B194" s="60" t="str">
        <f t="shared" si="11"/>
        <v/>
      </c>
      <c r="C194" s="17"/>
      <c r="D194" s="17"/>
      <c r="E194" s="17"/>
      <c r="F194" s="17"/>
      <c r="G194" s="17"/>
      <c r="H194" s="23"/>
      <c r="I194" s="17"/>
      <c r="J194" s="17"/>
      <c r="K194" s="17"/>
      <c r="L194" s="17"/>
    </row>
    <row r="195" spans="1:12">
      <c r="A195" s="60" t="str">
        <f t="shared" si="10"/>
        <v/>
      </c>
      <c r="B195" s="60" t="str">
        <f t="shared" si="11"/>
        <v/>
      </c>
      <c r="C195" s="17"/>
      <c r="D195" s="17"/>
      <c r="E195" s="17"/>
      <c r="F195" s="17"/>
      <c r="G195" s="17"/>
      <c r="H195" s="23"/>
      <c r="I195" s="17"/>
      <c r="J195" s="17"/>
      <c r="K195" s="17"/>
      <c r="L195" s="17"/>
    </row>
    <row r="196" spans="1:12">
      <c r="A196" s="60" t="str">
        <f t="shared" si="10"/>
        <v/>
      </c>
      <c r="B196" s="60" t="str">
        <f t="shared" si="11"/>
        <v/>
      </c>
      <c r="C196" s="17"/>
      <c r="D196" s="17"/>
      <c r="E196" s="17"/>
      <c r="F196" s="17"/>
      <c r="G196" s="17"/>
      <c r="H196" s="23"/>
      <c r="I196" s="17"/>
      <c r="J196" s="17"/>
      <c r="K196" s="17"/>
      <c r="L196" s="17"/>
    </row>
    <row r="197" spans="1:12">
      <c r="A197" s="60" t="str">
        <f t="shared" si="10"/>
        <v/>
      </c>
      <c r="B197" s="60" t="str">
        <f t="shared" si="11"/>
        <v/>
      </c>
      <c r="C197" s="17"/>
      <c r="D197" s="17"/>
      <c r="E197" s="17"/>
      <c r="F197" s="17"/>
      <c r="G197" s="17"/>
      <c r="H197" s="23"/>
      <c r="I197" s="17"/>
      <c r="J197" s="17"/>
      <c r="K197" s="17"/>
      <c r="L197" s="17"/>
    </row>
    <row r="198" spans="1:12">
      <c r="A198" s="60" t="str">
        <f t="shared" si="10"/>
        <v/>
      </c>
      <c r="B198" s="60" t="str">
        <f t="shared" si="11"/>
        <v/>
      </c>
      <c r="C198" s="17"/>
      <c r="D198" s="17"/>
      <c r="E198" s="17"/>
      <c r="F198" s="17"/>
      <c r="G198" s="17"/>
      <c r="H198" s="23"/>
      <c r="I198" s="17"/>
      <c r="J198" s="17"/>
      <c r="K198" s="17"/>
      <c r="L198" s="17"/>
    </row>
    <row r="199" spans="1:12">
      <c r="A199" s="60" t="str">
        <f t="shared" si="10"/>
        <v/>
      </c>
      <c r="B199" s="60" t="str">
        <f t="shared" si="11"/>
        <v/>
      </c>
      <c r="C199" s="17"/>
      <c r="D199" s="17"/>
      <c r="E199" s="17"/>
      <c r="F199" s="17"/>
      <c r="G199" s="17"/>
      <c r="H199" s="23"/>
      <c r="I199" s="17"/>
      <c r="J199" s="17"/>
      <c r="K199" s="17"/>
      <c r="L199" s="17"/>
    </row>
    <row r="200" spans="1:12">
      <c r="A200" s="60" t="str">
        <f t="shared" si="10"/>
        <v/>
      </c>
      <c r="B200" s="60" t="str">
        <f t="shared" si="11"/>
        <v/>
      </c>
      <c r="C200" s="17"/>
      <c r="D200" s="17"/>
      <c r="E200" s="17"/>
      <c r="F200" s="17"/>
      <c r="G200" s="17"/>
      <c r="H200" s="23"/>
      <c r="I200" s="17"/>
      <c r="J200" s="17"/>
      <c r="K200" s="17"/>
      <c r="L200" s="17"/>
    </row>
    <row r="201" spans="1:12">
      <c r="A201" s="60" t="str">
        <f t="shared" si="10"/>
        <v/>
      </c>
      <c r="B201" s="60" t="str">
        <f t="shared" si="11"/>
        <v/>
      </c>
      <c r="C201" s="17"/>
      <c r="D201" s="17"/>
      <c r="E201" s="17"/>
      <c r="F201" s="17"/>
      <c r="G201" s="17"/>
      <c r="H201" s="23"/>
      <c r="I201" s="17"/>
      <c r="J201" s="17"/>
      <c r="K201" s="17"/>
      <c r="L201" s="17"/>
    </row>
    <row r="202" spans="1:12">
      <c r="A202" s="60" t="str">
        <f t="shared" si="10"/>
        <v/>
      </c>
      <c r="B202" s="60" t="str">
        <f t="shared" si="11"/>
        <v/>
      </c>
      <c r="C202" s="17"/>
      <c r="D202" s="17"/>
      <c r="E202" s="17"/>
      <c r="F202" s="17"/>
      <c r="G202" s="17"/>
      <c r="H202" s="23"/>
      <c r="I202" s="17"/>
      <c r="J202" s="17"/>
      <c r="K202" s="17"/>
      <c r="L202" s="17"/>
    </row>
    <row r="203" spans="1:12">
      <c r="A203" s="60" t="str">
        <f t="shared" si="10"/>
        <v/>
      </c>
      <c r="B203" s="60" t="str">
        <f t="shared" si="11"/>
        <v/>
      </c>
      <c r="C203" s="17"/>
      <c r="D203" s="17"/>
      <c r="E203" s="17"/>
      <c r="F203" s="17"/>
      <c r="G203" s="17"/>
      <c r="H203" s="23"/>
      <c r="I203" s="17"/>
      <c r="J203" s="17"/>
      <c r="K203" s="17"/>
      <c r="L203" s="17"/>
    </row>
    <row r="204" spans="1:12">
      <c r="A204" s="60" t="str">
        <f t="shared" si="10"/>
        <v/>
      </c>
      <c r="B204" s="60" t="str">
        <f t="shared" si="11"/>
        <v/>
      </c>
      <c r="C204" s="17"/>
      <c r="D204" s="17"/>
      <c r="E204" s="17"/>
      <c r="F204" s="17"/>
      <c r="G204" s="17"/>
      <c r="H204" s="23"/>
      <c r="I204" s="17"/>
      <c r="J204" s="17"/>
      <c r="K204" s="17"/>
      <c r="L204" s="17"/>
    </row>
    <row r="205" spans="1:12">
      <c r="A205" s="60" t="str">
        <f t="shared" si="10"/>
        <v/>
      </c>
      <c r="B205" s="60" t="str">
        <f t="shared" si="11"/>
        <v/>
      </c>
      <c r="C205" s="17"/>
      <c r="D205" s="17"/>
      <c r="E205" s="17"/>
      <c r="F205" s="17"/>
      <c r="G205" s="17"/>
      <c r="H205" s="23"/>
      <c r="I205" s="17"/>
      <c r="J205" s="17"/>
      <c r="K205" s="17"/>
      <c r="L205" s="17"/>
    </row>
    <row r="206" spans="1:12">
      <c r="A206" s="60" t="str">
        <f t="shared" si="10"/>
        <v/>
      </c>
      <c r="B206" s="60" t="str">
        <f t="shared" si="11"/>
        <v/>
      </c>
      <c r="C206" s="17"/>
      <c r="D206" s="17"/>
      <c r="E206" s="17"/>
      <c r="F206" s="17"/>
      <c r="G206" s="17"/>
      <c r="H206" s="23"/>
      <c r="I206" s="17"/>
      <c r="J206" s="17"/>
      <c r="K206" s="17"/>
      <c r="L206" s="17"/>
    </row>
    <row r="207" spans="1:12">
      <c r="A207" s="60" t="str">
        <f t="shared" si="10"/>
        <v/>
      </c>
      <c r="B207" s="60" t="str">
        <f t="shared" si="11"/>
        <v/>
      </c>
      <c r="C207" s="17"/>
      <c r="D207" s="17"/>
      <c r="E207" s="17"/>
      <c r="F207" s="17"/>
      <c r="G207" s="17"/>
      <c r="H207" s="23"/>
      <c r="I207" s="17"/>
      <c r="J207" s="17"/>
      <c r="K207" s="17"/>
      <c r="L207" s="17"/>
    </row>
    <row r="208" spans="1:12">
      <c r="A208" s="60" t="str">
        <f t="shared" si="10"/>
        <v/>
      </c>
      <c r="B208" s="60" t="str">
        <f t="shared" si="11"/>
        <v/>
      </c>
      <c r="C208" s="17"/>
      <c r="D208" s="17"/>
      <c r="E208" s="17"/>
      <c r="F208" s="17"/>
      <c r="G208" s="17"/>
      <c r="H208" s="23"/>
      <c r="I208" s="17"/>
      <c r="J208" s="17"/>
      <c r="K208" s="17"/>
      <c r="L208" s="17"/>
    </row>
    <row r="209" spans="1:12">
      <c r="A209" s="60" t="str">
        <f t="shared" si="10"/>
        <v/>
      </c>
      <c r="B209" s="60" t="str">
        <f t="shared" si="11"/>
        <v/>
      </c>
      <c r="C209" s="17"/>
      <c r="D209" s="17"/>
      <c r="E209" s="17"/>
      <c r="F209" s="17"/>
      <c r="G209" s="17"/>
      <c r="H209" s="23"/>
      <c r="I209" s="17"/>
      <c r="J209" s="17"/>
      <c r="K209" s="17"/>
      <c r="L209" s="17"/>
    </row>
    <row r="210" spans="1:12">
      <c r="A210" s="60" t="str">
        <f t="shared" si="10"/>
        <v/>
      </c>
      <c r="B210" s="60" t="str">
        <f t="shared" si="11"/>
        <v/>
      </c>
      <c r="C210" s="17"/>
      <c r="D210" s="17"/>
      <c r="E210" s="17"/>
      <c r="F210" s="17"/>
      <c r="G210" s="17"/>
      <c r="H210" s="23"/>
      <c r="I210" s="17"/>
      <c r="J210" s="17"/>
      <c r="K210" s="17"/>
      <c r="L210" s="17"/>
    </row>
    <row r="211" spans="1:12">
      <c r="A211" s="60" t="str">
        <f t="shared" si="10"/>
        <v/>
      </c>
      <c r="B211" s="60" t="str">
        <f t="shared" si="11"/>
        <v/>
      </c>
      <c r="C211" s="17"/>
      <c r="D211" s="17"/>
      <c r="E211" s="17"/>
      <c r="F211" s="17"/>
      <c r="G211" s="17"/>
      <c r="H211" s="23"/>
      <c r="I211" s="17"/>
      <c r="J211" s="17"/>
      <c r="K211" s="17"/>
      <c r="L211" s="17"/>
    </row>
    <row r="212" spans="1:12">
      <c r="A212" s="60" t="str">
        <f t="shared" si="10"/>
        <v/>
      </c>
      <c r="B212" s="60" t="str">
        <f t="shared" si="11"/>
        <v/>
      </c>
      <c r="C212" s="17"/>
      <c r="D212" s="17"/>
      <c r="E212" s="17"/>
      <c r="F212" s="17"/>
      <c r="G212" s="17"/>
      <c r="H212" s="23"/>
      <c r="I212" s="17"/>
      <c r="J212" s="17"/>
      <c r="K212" s="17"/>
      <c r="L212" s="17"/>
    </row>
    <row r="213" spans="1:12">
      <c r="A213" s="60" t="str">
        <f t="shared" si="10"/>
        <v/>
      </c>
      <c r="B213" s="60" t="str">
        <f t="shared" si="11"/>
        <v/>
      </c>
      <c r="C213" s="17"/>
      <c r="D213" s="17"/>
      <c r="E213" s="17"/>
      <c r="F213" s="17"/>
      <c r="G213" s="17"/>
      <c r="H213" s="23"/>
      <c r="I213" s="17"/>
      <c r="J213" s="17"/>
      <c r="K213" s="17"/>
      <c r="L213" s="17"/>
    </row>
    <row r="214" spans="1:12">
      <c r="A214" s="60" t="str">
        <f t="shared" si="10"/>
        <v/>
      </c>
      <c r="B214" s="60" t="str">
        <f t="shared" si="11"/>
        <v/>
      </c>
      <c r="C214" s="17"/>
      <c r="D214" s="17"/>
      <c r="E214" s="17"/>
      <c r="F214" s="17"/>
      <c r="G214" s="17"/>
      <c r="H214" s="23"/>
      <c r="I214" s="17"/>
      <c r="J214" s="17"/>
      <c r="K214" s="17"/>
      <c r="L214" s="17"/>
    </row>
    <row r="215" spans="1:12">
      <c r="A215" s="60" t="str">
        <f t="shared" si="10"/>
        <v/>
      </c>
      <c r="B215" s="60" t="str">
        <f t="shared" si="11"/>
        <v/>
      </c>
      <c r="C215" s="17"/>
      <c r="D215" s="17"/>
      <c r="E215" s="17"/>
      <c r="F215" s="17"/>
      <c r="G215" s="17"/>
      <c r="H215" s="23"/>
      <c r="I215" s="17"/>
      <c r="J215" s="17"/>
      <c r="K215" s="17"/>
      <c r="L215" s="17"/>
    </row>
    <row r="216" spans="1:12">
      <c r="A216" s="60" t="str">
        <f t="shared" si="10"/>
        <v/>
      </c>
      <c r="B216" s="60" t="str">
        <f t="shared" si="11"/>
        <v/>
      </c>
      <c r="C216" s="17"/>
      <c r="D216" s="17"/>
      <c r="E216" s="17"/>
      <c r="F216" s="17"/>
      <c r="G216" s="17"/>
      <c r="H216" s="23"/>
      <c r="I216" s="17"/>
      <c r="J216" s="17"/>
      <c r="K216" s="17"/>
      <c r="L216" s="17"/>
    </row>
    <row r="217" spans="1:12">
      <c r="A217" s="60" t="str">
        <f t="shared" si="10"/>
        <v/>
      </c>
      <c r="B217" s="60" t="str">
        <f t="shared" si="11"/>
        <v/>
      </c>
      <c r="C217" s="17"/>
      <c r="D217" s="17"/>
      <c r="E217" s="17"/>
      <c r="F217" s="17"/>
      <c r="G217" s="17"/>
      <c r="H217" s="23"/>
      <c r="I217" s="17"/>
      <c r="J217" s="17"/>
      <c r="K217" s="17"/>
      <c r="L217" s="17"/>
    </row>
    <row r="218" spans="1:12">
      <c r="A218" s="60" t="str">
        <f t="shared" si="10"/>
        <v/>
      </c>
      <c r="B218" s="60" t="str">
        <f t="shared" si="11"/>
        <v/>
      </c>
      <c r="C218" s="17"/>
      <c r="D218" s="17"/>
      <c r="E218" s="17"/>
      <c r="F218" s="17"/>
      <c r="G218" s="17"/>
      <c r="H218" s="23"/>
      <c r="I218" s="17"/>
      <c r="J218" s="17"/>
      <c r="K218" s="17"/>
      <c r="L218" s="17"/>
    </row>
    <row r="219" spans="1:12">
      <c r="A219" s="60" t="str">
        <f t="shared" si="10"/>
        <v/>
      </c>
      <c r="B219" s="60" t="str">
        <f t="shared" si="11"/>
        <v/>
      </c>
      <c r="C219" s="17"/>
      <c r="D219" s="17"/>
      <c r="E219" s="17"/>
      <c r="F219" s="17"/>
      <c r="G219" s="17"/>
      <c r="H219" s="23"/>
      <c r="I219" s="17"/>
      <c r="J219" s="17"/>
      <c r="K219" s="17"/>
      <c r="L219" s="17"/>
    </row>
    <row r="220" spans="1:12">
      <c r="A220" s="60" t="str">
        <f t="shared" si="10"/>
        <v/>
      </c>
      <c r="B220" s="60" t="str">
        <f t="shared" si="11"/>
        <v/>
      </c>
      <c r="C220" s="17"/>
      <c r="D220" s="17"/>
      <c r="E220" s="17"/>
      <c r="F220" s="17"/>
      <c r="G220" s="17"/>
      <c r="H220" s="23"/>
      <c r="I220" s="17"/>
      <c r="J220" s="17"/>
      <c r="K220" s="17"/>
      <c r="L220" s="17"/>
    </row>
    <row r="221" spans="1:12">
      <c r="A221" s="60" t="str">
        <f t="shared" si="10"/>
        <v/>
      </c>
      <c r="B221" s="60" t="str">
        <f t="shared" si="11"/>
        <v/>
      </c>
      <c r="C221" s="17"/>
      <c r="D221" s="17"/>
      <c r="E221" s="17"/>
      <c r="F221" s="17"/>
      <c r="G221" s="17"/>
      <c r="H221" s="23"/>
      <c r="I221" s="17"/>
      <c r="J221" s="17"/>
      <c r="K221" s="17"/>
      <c r="L221" s="17"/>
    </row>
    <row r="222" spans="1:12">
      <c r="A222" s="60" t="str">
        <f t="shared" si="10"/>
        <v/>
      </c>
      <c r="B222" s="60" t="str">
        <f t="shared" si="11"/>
        <v/>
      </c>
      <c r="C222" s="17"/>
      <c r="D222" s="17"/>
      <c r="E222" s="17"/>
      <c r="F222" s="17"/>
      <c r="G222" s="17"/>
      <c r="H222" s="23"/>
      <c r="I222" s="17"/>
      <c r="J222" s="17"/>
      <c r="K222" s="17"/>
      <c r="L222" s="17"/>
    </row>
    <row r="223" spans="1:12">
      <c r="A223" s="60" t="str">
        <f t="shared" si="10"/>
        <v/>
      </c>
      <c r="B223" s="60" t="str">
        <f t="shared" si="11"/>
        <v/>
      </c>
      <c r="C223" s="17"/>
      <c r="D223" s="17"/>
      <c r="E223" s="17"/>
      <c r="F223" s="17"/>
      <c r="G223" s="17"/>
      <c r="H223" s="23"/>
      <c r="I223" s="17"/>
      <c r="J223" s="17"/>
      <c r="K223" s="17"/>
      <c r="L223" s="17"/>
    </row>
    <row r="224" spans="1:12">
      <c r="A224" s="60" t="str">
        <f t="shared" si="10"/>
        <v/>
      </c>
      <c r="B224" s="60" t="str">
        <f t="shared" si="11"/>
        <v/>
      </c>
      <c r="C224" s="17"/>
      <c r="D224" s="17"/>
      <c r="E224" s="17"/>
      <c r="F224" s="17"/>
      <c r="G224" s="17"/>
      <c r="H224" s="23"/>
      <c r="I224" s="17"/>
      <c r="J224" s="17"/>
      <c r="K224" s="17"/>
      <c r="L224" s="17"/>
    </row>
    <row r="225" spans="1:12">
      <c r="A225" s="60" t="str">
        <f t="shared" si="10"/>
        <v/>
      </c>
      <c r="B225" s="60" t="str">
        <f t="shared" si="11"/>
        <v/>
      </c>
      <c r="C225" s="17"/>
      <c r="D225" s="17"/>
      <c r="E225" s="17"/>
      <c r="F225" s="17"/>
      <c r="G225" s="17"/>
      <c r="H225" s="23"/>
      <c r="I225" s="17"/>
      <c r="J225" s="17"/>
      <c r="K225" s="17"/>
      <c r="L225" s="17"/>
    </row>
    <row r="226" spans="1:12">
      <c r="A226" s="60" t="str">
        <f t="shared" si="10"/>
        <v/>
      </c>
      <c r="B226" s="60" t="str">
        <f t="shared" si="11"/>
        <v/>
      </c>
      <c r="C226" s="17"/>
      <c r="D226" s="17"/>
      <c r="E226" s="17"/>
      <c r="F226" s="17"/>
      <c r="G226" s="17"/>
      <c r="H226" s="23"/>
      <c r="I226" s="17"/>
      <c r="J226" s="17"/>
      <c r="K226" s="17"/>
      <c r="L226" s="17"/>
    </row>
    <row r="227" spans="1:12">
      <c r="A227" s="60" t="str">
        <f t="shared" si="10"/>
        <v/>
      </c>
      <c r="B227" s="60" t="str">
        <f t="shared" si="11"/>
        <v/>
      </c>
      <c r="C227" s="17"/>
      <c r="D227" s="17"/>
      <c r="E227" s="17"/>
      <c r="F227" s="17"/>
      <c r="G227" s="17"/>
      <c r="H227" s="23"/>
      <c r="I227" s="17"/>
      <c r="J227" s="17"/>
      <c r="K227" s="17"/>
      <c r="L227" s="17"/>
    </row>
    <row r="228" spans="1:12">
      <c r="A228" s="60" t="str">
        <f t="shared" si="10"/>
        <v/>
      </c>
      <c r="B228" s="60" t="str">
        <f t="shared" si="11"/>
        <v/>
      </c>
      <c r="C228" s="17"/>
      <c r="D228" s="17"/>
      <c r="E228" s="17"/>
      <c r="F228" s="17"/>
      <c r="G228" s="17"/>
      <c r="H228" s="23"/>
      <c r="I228" s="17"/>
      <c r="J228" s="17"/>
      <c r="K228" s="17"/>
      <c r="L228" s="17"/>
    </row>
    <row r="1048559" spans="8:8">
      <c r="H1048559" s="2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321"/>
  <sheetViews>
    <sheetView showGridLines="0" zoomScaleNormal="100" workbookViewId="0"/>
  </sheetViews>
  <sheetFormatPr defaultColWidth="0" defaultRowHeight="0" customHeight="1" zeroHeight="1"/>
  <cols>
    <col min="1" max="2" width="2" style="2" customWidth="1"/>
    <col min="3" max="12" width="28.375" style="2" customWidth="1"/>
    <col min="13" max="13" width="3.625" style="2" customWidth="1"/>
    <col min="14" max="14" width="13.875" style="2" hidden="1" customWidth="1"/>
    <col min="15" max="15" width="12.125" style="2" hidden="1" customWidth="1"/>
    <col min="16" max="40" width="0" style="2" hidden="1" customWidth="1"/>
    <col min="41" max="16384" width="9.125" style="2" hidden="1"/>
  </cols>
  <sheetData>
    <row r="1" spans="1:30" ht="14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4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thickBot="1">
      <c r="A6" s="30"/>
      <c r="B6" s="30"/>
      <c r="C6" s="31" t="s">
        <v>76</v>
      </c>
      <c r="D6" s="31"/>
      <c r="E6" s="32"/>
      <c r="F6" s="32"/>
      <c r="G6" s="32"/>
      <c r="H6" s="32"/>
      <c r="I6" s="32"/>
      <c r="J6" s="32"/>
      <c r="K6" s="32"/>
      <c r="L6" s="32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4.25"/>
    <row r="8" spans="1:30" ht="14.25">
      <c r="C8" s="18" t="s">
        <v>0</v>
      </c>
      <c r="D8" s="18" t="s">
        <v>3</v>
      </c>
      <c r="E8" s="18" t="s">
        <v>52</v>
      </c>
      <c r="F8" s="18" t="s">
        <v>2</v>
      </c>
      <c r="G8" s="18" t="s">
        <v>6</v>
      </c>
      <c r="H8" s="18" t="s">
        <v>47</v>
      </c>
      <c r="I8" s="18" t="s">
        <v>55</v>
      </c>
      <c r="J8" s="18" t="s">
        <v>56</v>
      </c>
      <c r="K8" s="18" t="s">
        <v>50</v>
      </c>
      <c r="L8" s="18" t="s">
        <v>49</v>
      </c>
      <c r="M8" s="4"/>
      <c r="N8" s="4"/>
    </row>
    <row r="9" spans="1:30" ht="14.25">
      <c r="A9" s="60" t="str">
        <f t="shared" ref="A9:A68" si="0">+C9&amp;G9&amp;H9</f>
        <v/>
      </c>
      <c r="B9" s="60"/>
      <c r="C9" s="17"/>
      <c r="D9" s="17"/>
      <c r="E9" s="17"/>
      <c r="F9" s="17"/>
      <c r="G9" s="17"/>
      <c r="H9" s="23"/>
      <c r="I9" s="17"/>
      <c r="J9" s="17"/>
      <c r="K9" s="17"/>
      <c r="L9" s="17"/>
      <c r="M9" s="5"/>
    </row>
    <row r="10" spans="1:30" ht="14.25">
      <c r="A10" s="60" t="str">
        <f t="shared" si="0"/>
        <v/>
      </c>
      <c r="B10" s="60"/>
      <c r="C10" s="17"/>
      <c r="D10" s="17"/>
      <c r="E10" s="17"/>
      <c r="F10" s="17"/>
      <c r="G10" s="17"/>
      <c r="H10" s="23"/>
      <c r="I10" s="17"/>
      <c r="J10" s="17"/>
      <c r="K10" s="17"/>
      <c r="L10" s="17"/>
      <c r="M10" s="5"/>
    </row>
    <row r="11" spans="1:30" ht="14.25">
      <c r="A11" s="60" t="str">
        <f t="shared" ref="A11" si="1">+C11&amp;G11&amp;H11</f>
        <v/>
      </c>
      <c r="B11" s="60"/>
      <c r="C11" s="17"/>
      <c r="D11" s="17"/>
      <c r="E11" s="17"/>
      <c r="F11" s="17"/>
      <c r="G11" s="17"/>
      <c r="H11" s="23"/>
      <c r="I11" s="17"/>
      <c r="J11" s="17"/>
      <c r="K11" s="17"/>
      <c r="L11" s="17"/>
      <c r="M11" s="5"/>
    </row>
    <row r="12" spans="1:30" ht="14.25">
      <c r="A12" s="60" t="str">
        <f t="shared" si="0"/>
        <v/>
      </c>
      <c r="B12" s="60"/>
      <c r="C12" s="17"/>
      <c r="D12" s="17"/>
      <c r="E12" s="17"/>
      <c r="F12" s="17"/>
      <c r="G12" s="17"/>
      <c r="H12" s="23"/>
      <c r="I12" s="17"/>
      <c r="J12" s="17"/>
      <c r="K12" s="17"/>
      <c r="L12" s="17"/>
      <c r="M12" s="5"/>
    </row>
    <row r="13" spans="1:30" ht="14.25">
      <c r="A13" s="60" t="str">
        <f t="shared" si="0"/>
        <v/>
      </c>
      <c r="B13" s="60"/>
      <c r="C13" s="17"/>
      <c r="D13" s="17"/>
      <c r="E13" s="17"/>
      <c r="F13" s="17"/>
      <c r="G13" s="17"/>
      <c r="H13" s="23"/>
      <c r="I13" s="17"/>
      <c r="J13" s="17"/>
      <c r="K13" s="17"/>
      <c r="L13" s="17"/>
      <c r="M13" s="5"/>
    </row>
    <row r="14" spans="1:30" ht="14.25">
      <c r="A14" s="60" t="str">
        <f t="shared" si="0"/>
        <v/>
      </c>
      <c r="B14" s="60"/>
      <c r="C14" s="17"/>
      <c r="D14" s="17"/>
      <c r="E14" s="17"/>
      <c r="F14" s="17"/>
      <c r="G14" s="17"/>
      <c r="H14" s="23"/>
      <c r="I14" s="17"/>
      <c r="J14" s="17"/>
      <c r="K14" s="17"/>
      <c r="L14" s="17"/>
      <c r="M14" s="5"/>
    </row>
    <row r="15" spans="1:30" s="17" customFormat="1" ht="14.25">
      <c r="A15" s="60" t="str">
        <f t="shared" si="0"/>
        <v/>
      </c>
      <c r="B15" s="60"/>
      <c r="H15" s="23"/>
      <c r="M15" s="5"/>
    </row>
    <row r="16" spans="1:30" ht="14.25">
      <c r="A16" s="60" t="str">
        <f t="shared" si="0"/>
        <v/>
      </c>
      <c r="B16" s="60"/>
      <c r="C16" s="17"/>
      <c r="D16" s="17"/>
      <c r="E16" s="17"/>
      <c r="F16" s="17"/>
      <c r="G16" s="17"/>
      <c r="H16" s="23"/>
      <c r="I16" s="17"/>
      <c r="J16" s="17"/>
      <c r="K16" s="17"/>
      <c r="L16" s="23"/>
      <c r="M16" s="5"/>
    </row>
    <row r="17" spans="1:13" ht="14.25">
      <c r="A17" s="60" t="str">
        <f t="shared" si="0"/>
        <v/>
      </c>
      <c r="B17" s="60"/>
      <c r="C17" s="17"/>
      <c r="D17" s="17"/>
      <c r="E17" s="17"/>
      <c r="F17" s="17"/>
      <c r="G17" s="17"/>
      <c r="H17" s="23"/>
      <c r="I17" s="17"/>
      <c r="J17" s="17"/>
      <c r="K17" s="17"/>
      <c r="L17" s="23"/>
      <c r="M17" s="5"/>
    </row>
    <row r="18" spans="1:13" ht="14.25">
      <c r="A18" s="60" t="str">
        <f t="shared" si="0"/>
        <v/>
      </c>
      <c r="B18" s="60"/>
      <c r="C18" s="17"/>
      <c r="D18" s="17"/>
      <c r="E18" s="17"/>
      <c r="F18" s="17"/>
      <c r="G18" s="17"/>
      <c r="H18" s="23"/>
      <c r="I18" s="17"/>
      <c r="J18" s="17"/>
      <c r="K18" s="17"/>
      <c r="L18" s="23"/>
      <c r="M18" s="5"/>
    </row>
    <row r="19" spans="1:13" ht="14.25">
      <c r="A19" s="60" t="str">
        <f t="shared" si="0"/>
        <v/>
      </c>
      <c r="B19" s="60"/>
      <c r="C19" s="17"/>
      <c r="D19" s="17"/>
      <c r="E19" s="17"/>
      <c r="F19" s="17"/>
      <c r="G19" s="17"/>
      <c r="H19" s="23"/>
      <c r="I19" s="17"/>
      <c r="J19" s="17"/>
      <c r="K19" s="17"/>
      <c r="L19" s="23"/>
      <c r="M19" s="5"/>
    </row>
    <row r="20" spans="1:13" ht="14.25">
      <c r="A20" s="60" t="str">
        <f t="shared" si="0"/>
        <v/>
      </c>
      <c r="B20" s="60"/>
      <c r="C20" s="17"/>
      <c r="D20" s="17"/>
      <c r="E20" s="17"/>
      <c r="F20" s="17"/>
      <c r="G20" s="17"/>
      <c r="H20" s="23"/>
      <c r="I20" s="17"/>
      <c r="J20" s="17"/>
      <c r="K20" s="17"/>
      <c r="L20" s="23"/>
      <c r="M20" s="5"/>
    </row>
    <row r="21" spans="1:13" ht="14.25">
      <c r="A21" s="60" t="str">
        <f t="shared" si="0"/>
        <v/>
      </c>
      <c r="B21" s="60"/>
      <c r="C21" s="17"/>
      <c r="D21" s="17"/>
      <c r="E21" s="17"/>
      <c r="F21" s="17"/>
      <c r="G21" s="17"/>
      <c r="H21" s="23"/>
      <c r="I21" s="17"/>
      <c r="J21" s="17"/>
      <c r="K21" s="17"/>
      <c r="L21" s="23"/>
      <c r="M21" s="5"/>
    </row>
    <row r="22" spans="1:13" ht="14.25">
      <c r="A22" s="60" t="str">
        <f t="shared" si="0"/>
        <v/>
      </c>
      <c r="B22" s="60"/>
      <c r="C22" s="17"/>
      <c r="D22" s="17"/>
      <c r="E22" s="17"/>
      <c r="F22" s="17"/>
      <c r="G22" s="17"/>
      <c r="H22" s="23"/>
      <c r="I22" s="17"/>
      <c r="J22" s="17"/>
      <c r="K22" s="17"/>
      <c r="L22" s="23"/>
      <c r="M22" s="5"/>
    </row>
    <row r="23" spans="1:13" ht="14.25">
      <c r="A23" s="60" t="str">
        <f t="shared" si="0"/>
        <v/>
      </c>
      <c r="B23" s="60"/>
      <c r="C23" s="17"/>
      <c r="D23" s="17"/>
      <c r="E23" s="17"/>
      <c r="F23" s="17"/>
      <c r="G23" s="17"/>
      <c r="H23" s="23"/>
      <c r="I23" s="17"/>
      <c r="J23" s="17"/>
      <c r="K23" s="17"/>
      <c r="L23" s="23"/>
      <c r="M23" s="5"/>
    </row>
    <row r="24" spans="1:13" ht="14.25">
      <c r="A24" s="60" t="str">
        <f t="shared" si="0"/>
        <v/>
      </c>
      <c r="B24" s="60"/>
      <c r="C24" s="17"/>
      <c r="D24" s="17"/>
      <c r="E24" s="17"/>
      <c r="F24" s="17"/>
      <c r="G24" s="17"/>
      <c r="H24" s="23"/>
      <c r="I24" s="17"/>
      <c r="J24" s="17"/>
      <c r="K24" s="17"/>
      <c r="L24" s="23"/>
      <c r="M24" s="5"/>
    </row>
    <row r="25" spans="1:13" ht="14.25">
      <c r="A25" s="60" t="str">
        <f t="shared" si="0"/>
        <v/>
      </c>
      <c r="B25" s="60"/>
      <c r="C25" s="17"/>
      <c r="D25" s="17"/>
      <c r="E25" s="17"/>
      <c r="F25" s="17"/>
      <c r="G25" s="17"/>
      <c r="H25" s="23"/>
      <c r="I25" s="17"/>
      <c r="J25" s="17"/>
      <c r="K25" s="17"/>
      <c r="L25" s="23"/>
      <c r="M25" s="5"/>
    </row>
    <row r="26" spans="1:13" ht="14.25">
      <c r="A26" s="60" t="str">
        <f t="shared" si="0"/>
        <v/>
      </c>
      <c r="B26" s="60"/>
      <c r="C26" s="17"/>
      <c r="D26" s="17"/>
      <c r="E26" s="17"/>
      <c r="F26" s="17"/>
      <c r="G26" s="17"/>
      <c r="H26" s="23"/>
      <c r="I26" s="17"/>
      <c r="J26" s="17"/>
      <c r="K26" s="17"/>
      <c r="L26" s="23"/>
      <c r="M26" s="5"/>
    </row>
    <row r="27" spans="1:13" ht="14.25">
      <c r="A27" s="60" t="str">
        <f t="shared" si="0"/>
        <v/>
      </c>
      <c r="B27" s="60"/>
      <c r="C27" s="17"/>
      <c r="D27" s="17"/>
      <c r="E27" s="17"/>
      <c r="F27" s="17"/>
      <c r="G27" s="17"/>
      <c r="H27" s="23"/>
      <c r="I27" s="17"/>
      <c r="J27" s="17"/>
      <c r="K27" s="17"/>
      <c r="L27" s="23"/>
      <c r="M27" s="5"/>
    </row>
    <row r="28" spans="1:13" ht="14.25">
      <c r="A28" s="60" t="str">
        <f t="shared" si="0"/>
        <v/>
      </c>
      <c r="B28" s="60"/>
      <c r="C28" s="17"/>
      <c r="D28" s="17"/>
      <c r="E28" s="17"/>
      <c r="F28" s="17"/>
      <c r="G28" s="17"/>
      <c r="H28" s="23"/>
      <c r="I28" s="17"/>
      <c r="J28" s="17"/>
      <c r="K28" s="17"/>
      <c r="L28" s="23"/>
      <c r="M28" s="5"/>
    </row>
    <row r="29" spans="1:13" ht="14.25">
      <c r="A29" s="60" t="str">
        <f t="shared" si="0"/>
        <v/>
      </c>
      <c r="B29" s="60"/>
      <c r="C29" s="17"/>
      <c r="D29" s="17"/>
      <c r="E29" s="17"/>
      <c r="F29" s="17"/>
      <c r="G29" s="17"/>
      <c r="H29" s="23"/>
      <c r="I29" s="17"/>
      <c r="J29" s="17"/>
      <c r="K29" s="17"/>
      <c r="L29" s="23"/>
      <c r="M29" s="5"/>
    </row>
    <row r="30" spans="1:13" ht="14.25">
      <c r="A30" s="60" t="str">
        <f t="shared" si="0"/>
        <v/>
      </c>
      <c r="B30" s="60"/>
      <c r="C30" s="17"/>
      <c r="D30" s="17"/>
      <c r="E30" s="17"/>
      <c r="F30" s="17"/>
      <c r="G30" s="17"/>
      <c r="H30" s="23"/>
      <c r="I30" s="17"/>
      <c r="J30" s="17"/>
      <c r="K30" s="17"/>
      <c r="L30" s="23"/>
      <c r="M30" s="5"/>
    </row>
    <row r="31" spans="1:13" ht="14.25">
      <c r="A31" s="60" t="str">
        <f t="shared" si="0"/>
        <v/>
      </c>
      <c r="B31" s="60"/>
      <c r="C31" s="17"/>
      <c r="D31" s="17"/>
      <c r="E31" s="17"/>
      <c r="F31" s="17"/>
      <c r="G31" s="17"/>
      <c r="H31" s="23"/>
      <c r="I31" s="17"/>
      <c r="J31" s="17"/>
      <c r="K31" s="17"/>
      <c r="L31" s="23"/>
      <c r="M31" s="5"/>
    </row>
    <row r="32" spans="1:13" ht="14.25">
      <c r="A32" s="60" t="str">
        <f t="shared" si="0"/>
        <v/>
      </c>
      <c r="B32" s="60"/>
      <c r="C32" s="17"/>
      <c r="D32" s="17"/>
      <c r="E32" s="17"/>
      <c r="F32" s="17"/>
      <c r="G32" s="17"/>
      <c r="H32" s="23"/>
      <c r="I32" s="17"/>
      <c r="J32" s="17"/>
      <c r="K32" s="17"/>
      <c r="L32" s="23"/>
      <c r="M32" s="5"/>
    </row>
    <row r="33" spans="1:13" ht="14.25">
      <c r="A33" s="60" t="str">
        <f t="shared" si="0"/>
        <v/>
      </c>
      <c r="B33" s="60"/>
      <c r="C33" s="17"/>
      <c r="D33" s="17"/>
      <c r="E33" s="17"/>
      <c r="F33" s="17"/>
      <c r="G33" s="17"/>
      <c r="H33" s="23"/>
      <c r="I33" s="17"/>
      <c r="J33" s="17"/>
      <c r="K33" s="17"/>
      <c r="L33" s="17"/>
      <c r="M33" s="5"/>
    </row>
    <row r="34" spans="1:13" ht="14.25">
      <c r="A34" s="60" t="str">
        <f t="shared" si="0"/>
        <v/>
      </c>
      <c r="B34" s="60"/>
      <c r="C34" s="17"/>
      <c r="D34" s="17"/>
      <c r="E34" s="17"/>
      <c r="F34" s="17"/>
      <c r="G34" s="17"/>
      <c r="H34" s="23"/>
      <c r="I34" s="17"/>
      <c r="J34" s="17"/>
      <c r="K34" s="17"/>
      <c r="L34" s="17"/>
      <c r="M34" s="5"/>
    </row>
    <row r="35" spans="1:13" ht="14.25">
      <c r="A35" s="60" t="str">
        <f t="shared" si="0"/>
        <v/>
      </c>
      <c r="B35" s="60"/>
      <c r="C35" s="17"/>
      <c r="D35" s="17"/>
      <c r="E35" s="17"/>
      <c r="F35" s="17"/>
      <c r="G35" s="17"/>
      <c r="H35" s="23"/>
      <c r="I35" s="17"/>
      <c r="J35" s="17"/>
      <c r="K35" s="17"/>
      <c r="L35" s="17"/>
      <c r="M35" s="5"/>
    </row>
    <row r="36" spans="1:13" ht="14.25">
      <c r="A36" s="60" t="str">
        <f t="shared" si="0"/>
        <v/>
      </c>
      <c r="B36" s="60"/>
      <c r="C36" s="17"/>
      <c r="D36" s="17"/>
      <c r="E36" s="17"/>
      <c r="F36" s="17"/>
      <c r="G36" s="17"/>
      <c r="H36" s="23"/>
      <c r="I36" s="17"/>
      <c r="J36" s="17"/>
      <c r="K36" s="17"/>
      <c r="L36" s="17"/>
      <c r="M36" s="5"/>
    </row>
    <row r="37" spans="1:13" ht="14.25">
      <c r="A37" s="60" t="str">
        <f t="shared" si="0"/>
        <v/>
      </c>
      <c r="B37" s="60"/>
      <c r="C37" s="17"/>
      <c r="D37" s="17"/>
      <c r="E37" s="17"/>
      <c r="F37" s="17"/>
      <c r="G37" s="17"/>
      <c r="H37" s="23"/>
      <c r="I37" s="17"/>
      <c r="J37" s="17"/>
      <c r="K37" s="17"/>
      <c r="L37" s="17"/>
      <c r="M37" s="5"/>
    </row>
    <row r="38" spans="1:13" ht="14.25">
      <c r="A38" s="60" t="str">
        <f t="shared" si="0"/>
        <v/>
      </c>
      <c r="B38" s="60"/>
      <c r="C38" s="17"/>
      <c r="D38" s="17"/>
      <c r="E38" s="17"/>
      <c r="F38" s="17"/>
      <c r="G38" s="17"/>
      <c r="H38" s="23"/>
      <c r="I38" s="17"/>
      <c r="J38" s="17"/>
      <c r="K38" s="17"/>
      <c r="L38" s="17"/>
      <c r="M38" s="5"/>
    </row>
    <row r="39" spans="1:13" ht="14.25">
      <c r="A39" s="60" t="str">
        <f t="shared" si="0"/>
        <v/>
      </c>
      <c r="B39" s="60"/>
      <c r="C39" s="17"/>
      <c r="D39" s="17"/>
      <c r="E39" s="17"/>
      <c r="F39" s="17"/>
      <c r="G39" s="17"/>
      <c r="H39" s="23"/>
      <c r="I39" s="17"/>
      <c r="J39" s="17"/>
      <c r="K39" s="17"/>
      <c r="L39" s="17"/>
      <c r="M39" s="5"/>
    </row>
    <row r="40" spans="1:13" ht="14.25">
      <c r="A40" s="60" t="str">
        <f t="shared" si="0"/>
        <v/>
      </c>
      <c r="B40" s="60"/>
      <c r="C40" s="17"/>
      <c r="D40" s="17"/>
      <c r="E40" s="17"/>
      <c r="F40" s="17"/>
      <c r="G40" s="17"/>
      <c r="H40" s="23"/>
      <c r="I40" s="17"/>
      <c r="J40" s="17"/>
      <c r="K40" s="17"/>
      <c r="L40" s="17"/>
      <c r="M40" s="5"/>
    </row>
    <row r="41" spans="1:13" ht="14.25">
      <c r="A41" s="60" t="str">
        <f t="shared" si="0"/>
        <v/>
      </c>
      <c r="B41" s="60"/>
      <c r="C41" s="17"/>
      <c r="D41" s="17"/>
      <c r="E41" s="17"/>
      <c r="F41" s="17"/>
      <c r="G41" s="17"/>
      <c r="H41" s="23"/>
      <c r="I41" s="17"/>
      <c r="J41" s="17"/>
      <c r="K41" s="17"/>
      <c r="L41" s="17"/>
      <c r="M41" s="5"/>
    </row>
    <row r="42" spans="1:13" ht="14.25">
      <c r="A42" s="60" t="str">
        <f t="shared" si="0"/>
        <v/>
      </c>
      <c r="B42" s="60"/>
      <c r="C42" s="17"/>
      <c r="D42" s="17"/>
      <c r="E42" s="17"/>
      <c r="F42" s="17"/>
      <c r="G42" s="17"/>
      <c r="H42" s="23"/>
      <c r="I42" s="17"/>
      <c r="J42" s="17"/>
      <c r="K42" s="17"/>
      <c r="L42" s="17"/>
      <c r="M42" s="5"/>
    </row>
    <row r="43" spans="1:13" ht="14.25">
      <c r="A43" s="60" t="str">
        <f t="shared" si="0"/>
        <v/>
      </c>
      <c r="B43" s="60"/>
      <c r="C43" s="17"/>
      <c r="D43" s="17"/>
      <c r="E43" s="17"/>
      <c r="F43" s="17"/>
      <c r="G43" s="17"/>
      <c r="H43" s="23"/>
      <c r="I43" s="17"/>
      <c r="J43" s="17"/>
      <c r="K43" s="17"/>
      <c r="L43" s="17"/>
      <c r="M43" s="5"/>
    </row>
    <row r="44" spans="1:13" ht="14.25">
      <c r="A44" s="60" t="str">
        <f t="shared" si="0"/>
        <v/>
      </c>
      <c r="B44" s="60"/>
      <c r="C44" s="17"/>
      <c r="D44" s="17"/>
      <c r="E44" s="17"/>
      <c r="F44" s="17"/>
      <c r="G44" s="17"/>
      <c r="H44" s="23"/>
      <c r="I44" s="17"/>
      <c r="J44" s="17"/>
      <c r="K44" s="17"/>
      <c r="L44" s="17"/>
      <c r="M44" s="5"/>
    </row>
    <row r="45" spans="1:13" ht="14.25">
      <c r="A45" s="60" t="str">
        <f t="shared" si="0"/>
        <v/>
      </c>
      <c r="B45" s="60"/>
      <c r="C45" s="17"/>
      <c r="D45" s="17"/>
      <c r="E45" s="17"/>
      <c r="F45" s="17"/>
      <c r="G45" s="17"/>
      <c r="H45" s="23"/>
      <c r="I45" s="17"/>
      <c r="J45" s="17"/>
      <c r="K45" s="17"/>
      <c r="L45" s="17"/>
      <c r="M45" s="5"/>
    </row>
    <row r="46" spans="1:13" ht="14.25">
      <c r="A46" s="60" t="str">
        <f t="shared" si="0"/>
        <v/>
      </c>
      <c r="B46" s="60"/>
      <c r="C46" s="17"/>
      <c r="D46" s="17"/>
      <c r="E46" s="17"/>
      <c r="F46" s="17"/>
      <c r="G46" s="17"/>
      <c r="H46" s="23"/>
      <c r="I46" s="17"/>
      <c r="J46" s="17"/>
      <c r="K46" s="17"/>
      <c r="L46" s="17"/>
      <c r="M46" s="5"/>
    </row>
    <row r="47" spans="1:13" ht="14.25">
      <c r="A47" s="60" t="str">
        <f t="shared" si="0"/>
        <v/>
      </c>
      <c r="B47" s="60"/>
      <c r="C47" s="17"/>
      <c r="D47" s="17"/>
      <c r="E47" s="17"/>
      <c r="F47" s="17"/>
      <c r="G47" s="17"/>
      <c r="H47" s="23"/>
      <c r="I47" s="17"/>
      <c r="J47" s="17"/>
      <c r="K47" s="17"/>
      <c r="L47" s="17"/>
      <c r="M47" s="5"/>
    </row>
    <row r="48" spans="1:13" ht="14.25">
      <c r="A48" s="60" t="str">
        <f t="shared" si="0"/>
        <v/>
      </c>
      <c r="B48" s="60"/>
      <c r="C48" s="17"/>
      <c r="D48" s="17"/>
      <c r="E48" s="17"/>
      <c r="F48" s="17"/>
      <c r="G48" s="17"/>
      <c r="H48" s="23"/>
      <c r="I48" s="17"/>
      <c r="J48" s="17"/>
      <c r="K48" s="17"/>
      <c r="L48" s="17"/>
      <c r="M48" s="5"/>
    </row>
    <row r="49" spans="1:13" ht="14.25">
      <c r="A49" s="60" t="str">
        <f t="shared" si="0"/>
        <v/>
      </c>
      <c r="B49" s="60"/>
      <c r="C49" s="17"/>
      <c r="D49" s="17"/>
      <c r="E49" s="17"/>
      <c r="F49" s="17"/>
      <c r="G49" s="17"/>
      <c r="H49" s="23"/>
      <c r="I49" s="17"/>
      <c r="J49" s="17"/>
      <c r="K49" s="17"/>
      <c r="L49" s="17"/>
      <c r="M49" s="5"/>
    </row>
    <row r="50" spans="1:13" ht="14.25">
      <c r="A50" s="60" t="str">
        <f t="shared" si="0"/>
        <v/>
      </c>
      <c r="B50" s="60"/>
      <c r="C50" s="17"/>
      <c r="D50" s="17"/>
      <c r="E50" s="17"/>
      <c r="F50" s="17"/>
      <c r="G50" s="17"/>
      <c r="H50" s="23"/>
      <c r="I50" s="17"/>
      <c r="J50" s="17"/>
      <c r="K50" s="17"/>
      <c r="L50" s="23"/>
      <c r="M50" s="5"/>
    </row>
    <row r="51" spans="1:13" ht="14.25">
      <c r="A51" s="60" t="str">
        <f t="shared" si="0"/>
        <v/>
      </c>
      <c r="B51" s="60"/>
      <c r="C51" s="17"/>
      <c r="D51" s="17"/>
      <c r="E51" s="17"/>
      <c r="F51" s="17"/>
      <c r="G51" s="17"/>
      <c r="H51" s="23"/>
      <c r="I51" s="17"/>
      <c r="J51" s="17"/>
      <c r="K51" s="17"/>
      <c r="L51" s="23"/>
      <c r="M51" s="5"/>
    </row>
    <row r="52" spans="1:13" ht="14.25">
      <c r="A52" s="60" t="str">
        <f t="shared" si="0"/>
        <v/>
      </c>
      <c r="B52" s="60"/>
      <c r="C52" s="17"/>
      <c r="D52" s="17"/>
      <c r="E52" s="17"/>
      <c r="F52" s="17"/>
      <c r="G52" s="17"/>
      <c r="H52" s="23"/>
      <c r="I52" s="17"/>
      <c r="J52" s="17"/>
      <c r="K52" s="17"/>
      <c r="L52" s="23"/>
      <c r="M52" s="5"/>
    </row>
    <row r="53" spans="1:13" ht="14.25">
      <c r="A53" s="60" t="str">
        <f t="shared" si="0"/>
        <v/>
      </c>
      <c r="B53" s="60"/>
      <c r="C53" s="17"/>
      <c r="D53" s="17"/>
      <c r="E53" s="17"/>
      <c r="F53" s="17"/>
      <c r="G53" s="17"/>
      <c r="H53" s="23"/>
      <c r="I53" s="17"/>
      <c r="J53" s="17"/>
      <c r="K53" s="17"/>
      <c r="L53" s="23"/>
      <c r="M53" s="5"/>
    </row>
    <row r="54" spans="1:13" ht="14.25">
      <c r="A54" s="60" t="str">
        <f t="shared" si="0"/>
        <v/>
      </c>
      <c r="B54" s="60"/>
      <c r="C54" s="17"/>
      <c r="D54" s="17"/>
      <c r="E54" s="17"/>
      <c r="F54" s="17"/>
      <c r="G54" s="17"/>
      <c r="H54" s="23"/>
      <c r="I54" s="17"/>
      <c r="J54" s="17"/>
      <c r="K54" s="17"/>
      <c r="L54" s="23"/>
      <c r="M54" s="5"/>
    </row>
    <row r="55" spans="1:13" ht="14.25">
      <c r="A55" s="60" t="str">
        <f t="shared" si="0"/>
        <v/>
      </c>
      <c r="B55" s="60"/>
      <c r="C55" s="17"/>
      <c r="D55" s="17"/>
      <c r="E55" s="17"/>
      <c r="F55" s="17"/>
      <c r="G55" s="17"/>
      <c r="H55" s="23"/>
      <c r="I55" s="17"/>
      <c r="J55" s="17"/>
      <c r="K55" s="17"/>
      <c r="L55" s="23"/>
      <c r="M55" s="5"/>
    </row>
    <row r="56" spans="1:13" ht="14.25">
      <c r="A56" s="60" t="str">
        <f t="shared" si="0"/>
        <v/>
      </c>
      <c r="B56" s="60"/>
      <c r="C56" s="17"/>
      <c r="D56" s="17"/>
      <c r="E56" s="17"/>
      <c r="F56" s="17"/>
      <c r="G56" s="17"/>
      <c r="H56" s="23"/>
      <c r="I56" s="17"/>
      <c r="J56" s="17"/>
      <c r="K56" s="17"/>
      <c r="L56" s="23"/>
      <c r="M56" s="5"/>
    </row>
    <row r="57" spans="1:13" ht="14.25">
      <c r="A57" s="60" t="str">
        <f t="shared" si="0"/>
        <v/>
      </c>
      <c r="B57" s="60"/>
      <c r="C57" s="17"/>
      <c r="D57" s="17"/>
      <c r="E57" s="17"/>
      <c r="F57" s="17"/>
      <c r="G57" s="17"/>
      <c r="H57" s="23"/>
      <c r="I57" s="17"/>
      <c r="J57" s="17"/>
      <c r="K57" s="17"/>
      <c r="L57" s="23"/>
      <c r="M57" s="5"/>
    </row>
    <row r="58" spans="1:13" ht="14.25">
      <c r="A58" s="60" t="str">
        <f t="shared" si="0"/>
        <v/>
      </c>
      <c r="B58" s="60"/>
      <c r="C58" s="17"/>
      <c r="D58" s="17"/>
      <c r="E58" s="17"/>
      <c r="F58" s="17"/>
      <c r="G58" s="17"/>
      <c r="H58" s="23"/>
      <c r="I58" s="17"/>
      <c r="J58" s="17"/>
      <c r="K58" s="17"/>
      <c r="L58" s="23"/>
      <c r="M58" s="5"/>
    </row>
    <row r="59" spans="1:13" ht="14.25">
      <c r="A59" s="60" t="str">
        <f t="shared" si="0"/>
        <v/>
      </c>
      <c r="B59" s="60"/>
      <c r="C59" s="17"/>
      <c r="D59" s="17"/>
      <c r="E59" s="17"/>
      <c r="F59" s="17"/>
      <c r="G59" s="17"/>
      <c r="H59" s="23"/>
      <c r="I59" s="17"/>
      <c r="J59" s="17"/>
      <c r="K59" s="17"/>
      <c r="L59" s="23"/>
      <c r="M59" s="5"/>
    </row>
    <row r="60" spans="1:13" ht="14.25">
      <c r="A60" s="60" t="str">
        <f t="shared" si="0"/>
        <v/>
      </c>
      <c r="B60" s="60"/>
      <c r="C60" s="17"/>
      <c r="D60" s="17"/>
      <c r="E60" s="17"/>
      <c r="F60" s="17"/>
      <c r="G60" s="17"/>
      <c r="H60" s="23"/>
      <c r="I60" s="17"/>
      <c r="J60" s="17"/>
      <c r="K60" s="17"/>
      <c r="L60" s="23"/>
      <c r="M60" s="5"/>
    </row>
    <row r="61" spans="1:13" ht="14.25">
      <c r="A61" s="60" t="str">
        <f t="shared" si="0"/>
        <v/>
      </c>
      <c r="B61" s="60"/>
      <c r="C61" s="17"/>
      <c r="D61" s="17"/>
      <c r="E61" s="17"/>
      <c r="F61" s="17"/>
      <c r="G61" s="17"/>
      <c r="H61" s="23"/>
      <c r="I61" s="17"/>
      <c r="J61" s="17"/>
      <c r="K61" s="17"/>
      <c r="L61" s="23"/>
      <c r="M61" s="5"/>
    </row>
    <row r="62" spans="1:13" ht="14.25">
      <c r="A62" s="60" t="str">
        <f t="shared" si="0"/>
        <v/>
      </c>
      <c r="B62" s="60"/>
      <c r="C62" s="17"/>
      <c r="D62" s="17"/>
      <c r="E62" s="17"/>
      <c r="F62" s="17"/>
      <c r="G62" s="17"/>
      <c r="H62" s="23"/>
      <c r="I62" s="17"/>
      <c r="J62" s="17"/>
      <c r="K62" s="17"/>
      <c r="L62" s="23"/>
      <c r="M62" s="5"/>
    </row>
    <row r="63" spans="1:13" ht="14.25">
      <c r="A63" s="60" t="str">
        <f t="shared" si="0"/>
        <v/>
      </c>
      <c r="B63" s="60"/>
      <c r="C63" s="17"/>
      <c r="D63" s="17"/>
      <c r="E63" s="17"/>
      <c r="F63" s="17"/>
      <c r="G63" s="17"/>
      <c r="H63" s="23"/>
      <c r="I63" s="17"/>
      <c r="J63" s="17"/>
      <c r="K63" s="17"/>
      <c r="L63" s="23"/>
      <c r="M63" s="5"/>
    </row>
    <row r="64" spans="1:13" ht="14.25">
      <c r="A64" s="60" t="str">
        <f t="shared" si="0"/>
        <v/>
      </c>
      <c r="B64" s="60"/>
      <c r="C64" s="17"/>
      <c r="D64" s="17"/>
      <c r="E64" s="17"/>
      <c r="F64" s="17"/>
      <c r="G64" s="17"/>
      <c r="H64" s="23"/>
      <c r="I64" s="17"/>
      <c r="J64" s="17"/>
      <c r="K64" s="17"/>
      <c r="L64" s="23"/>
      <c r="M64" s="5"/>
    </row>
    <row r="65" spans="1:13" ht="14.25">
      <c r="A65" s="60" t="str">
        <f t="shared" si="0"/>
        <v/>
      </c>
      <c r="B65" s="60"/>
      <c r="C65" s="17"/>
      <c r="D65" s="17"/>
      <c r="E65" s="17"/>
      <c r="F65" s="17"/>
      <c r="G65" s="17"/>
      <c r="H65" s="23"/>
      <c r="I65" s="17"/>
      <c r="J65" s="17"/>
      <c r="K65" s="17"/>
      <c r="L65" s="23"/>
      <c r="M65" s="5"/>
    </row>
    <row r="66" spans="1:13" ht="14.25">
      <c r="A66" s="60" t="str">
        <f t="shared" si="0"/>
        <v/>
      </c>
      <c r="B66" s="60"/>
      <c r="C66" s="17"/>
      <c r="D66" s="17"/>
      <c r="E66" s="17"/>
      <c r="F66" s="17"/>
      <c r="G66" s="17"/>
      <c r="H66" s="23"/>
      <c r="I66" s="17"/>
      <c r="J66" s="17"/>
      <c r="K66" s="17"/>
      <c r="L66" s="23"/>
      <c r="M66" s="5"/>
    </row>
    <row r="67" spans="1:13" ht="14.25">
      <c r="A67" s="60" t="str">
        <f t="shared" si="0"/>
        <v/>
      </c>
      <c r="B67" s="60"/>
      <c r="C67" s="17"/>
      <c r="D67" s="17"/>
      <c r="E67" s="17"/>
      <c r="F67" s="17"/>
      <c r="G67" s="17"/>
      <c r="H67" s="23"/>
      <c r="I67" s="17"/>
      <c r="J67" s="17"/>
      <c r="K67" s="17"/>
      <c r="L67" s="23"/>
      <c r="M67" s="5"/>
    </row>
    <row r="68" spans="1:13" ht="14.25">
      <c r="A68" s="60" t="str">
        <f t="shared" si="0"/>
        <v/>
      </c>
      <c r="B68" s="60"/>
      <c r="C68" s="17"/>
      <c r="D68" s="17"/>
      <c r="E68" s="17"/>
      <c r="F68" s="17"/>
      <c r="G68" s="17"/>
      <c r="H68" s="23"/>
      <c r="I68" s="17"/>
      <c r="J68" s="17"/>
      <c r="K68" s="17"/>
      <c r="L68" s="23"/>
      <c r="M68" s="5"/>
    </row>
    <row r="69" spans="1:13" ht="14.25">
      <c r="A69" s="60" t="str">
        <f t="shared" ref="A69:A96" si="2">+C69&amp;G69&amp;H69</f>
        <v/>
      </c>
      <c r="B69" s="60"/>
      <c r="C69" s="17"/>
      <c r="D69" s="17"/>
      <c r="E69" s="17"/>
      <c r="F69" s="17"/>
      <c r="G69" s="17"/>
      <c r="H69" s="23"/>
      <c r="I69" s="17"/>
      <c r="J69" s="17"/>
      <c r="K69" s="17"/>
      <c r="L69" s="23"/>
      <c r="M69" s="5"/>
    </row>
    <row r="70" spans="1:13" ht="14.25">
      <c r="A70" s="60" t="str">
        <f t="shared" si="2"/>
        <v/>
      </c>
      <c r="B70" s="60"/>
      <c r="C70" s="17"/>
      <c r="D70" s="17"/>
      <c r="E70" s="17"/>
      <c r="F70" s="17"/>
      <c r="G70" s="17"/>
      <c r="H70" s="23"/>
      <c r="I70" s="17"/>
      <c r="J70" s="17"/>
      <c r="K70" s="17"/>
      <c r="L70" s="23"/>
      <c r="M70" s="5"/>
    </row>
    <row r="71" spans="1:13" ht="14.25">
      <c r="A71" s="60" t="str">
        <f t="shared" si="2"/>
        <v/>
      </c>
      <c r="B71" s="60"/>
      <c r="C71" s="17"/>
      <c r="D71" s="17"/>
      <c r="E71" s="17"/>
      <c r="F71" s="17"/>
      <c r="G71" s="17"/>
      <c r="H71" s="23"/>
      <c r="I71" s="17"/>
      <c r="J71" s="17"/>
      <c r="K71" s="17"/>
      <c r="L71" s="23"/>
      <c r="M71" s="5"/>
    </row>
    <row r="72" spans="1:13" ht="14.25">
      <c r="A72" s="60" t="str">
        <f t="shared" si="2"/>
        <v/>
      </c>
      <c r="B72" s="60"/>
      <c r="C72" s="17"/>
      <c r="D72" s="17"/>
      <c r="E72" s="17"/>
      <c r="F72" s="17"/>
      <c r="G72" s="17"/>
      <c r="H72" s="23"/>
      <c r="I72" s="17"/>
      <c r="J72" s="17"/>
      <c r="K72" s="17"/>
      <c r="L72" s="23"/>
      <c r="M72" s="5"/>
    </row>
    <row r="73" spans="1:13" ht="14.25">
      <c r="A73" s="60" t="str">
        <f t="shared" si="2"/>
        <v/>
      </c>
      <c r="B73" s="60"/>
      <c r="C73" s="17"/>
      <c r="D73" s="17"/>
      <c r="E73" s="17"/>
      <c r="F73" s="17"/>
      <c r="G73" s="17"/>
      <c r="H73" s="23"/>
      <c r="I73" s="17"/>
      <c r="J73" s="17"/>
      <c r="K73" s="17"/>
      <c r="L73" s="23"/>
      <c r="M73" s="5"/>
    </row>
    <row r="74" spans="1:13" ht="14.25">
      <c r="A74" s="60" t="str">
        <f t="shared" si="2"/>
        <v/>
      </c>
      <c r="B74" s="60"/>
      <c r="C74" s="17"/>
      <c r="D74" s="17"/>
      <c r="E74" s="17"/>
      <c r="F74" s="17"/>
      <c r="G74" s="17"/>
      <c r="H74" s="23"/>
      <c r="I74" s="17"/>
      <c r="J74" s="17"/>
      <c r="K74" s="17"/>
      <c r="L74" s="23"/>
      <c r="M74" s="5"/>
    </row>
    <row r="75" spans="1:13" ht="14.25">
      <c r="A75" s="60" t="str">
        <f t="shared" si="2"/>
        <v/>
      </c>
      <c r="B75" s="60"/>
      <c r="C75" s="17"/>
      <c r="D75" s="17"/>
      <c r="E75" s="17"/>
      <c r="F75" s="17"/>
      <c r="G75" s="17"/>
      <c r="H75" s="23"/>
      <c r="I75" s="17"/>
      <c r="J75" s="17"/>
      <c r="K75" s="17"/>
      <c r="L75" s="23"/>
      <c r="M75" s="5"/>
    </row>
    <row r="76" spans="1:13" ht="14.25">
      <c r="A76" s="60" t="str">
        <f t="shared" si="2"/>
        <v/>
      </c>
      <c r="B76" s="60"/>
      <c r="C76" s="17"/>
      <c r="D76" s="17"/>
      <c r="E76" s="17"/>
      <c r="F76" s="17"/>
      <c r="G76" s="17"/>
      <c r="H76" s="23"/>
      <c r="I76" s="17"/>
      <c r="J76" s="17"/>
      <c r="K76" s="17"/>
      <c r="L76" s="23"/>
      <c r="M76" s="5"/>
    </row>
    <row r="77" spans="1:13" ht="14.25">
      <c r="A77" s="60" t="str">
        <f t="shared" si="2"/>
        <v/>
      </c>
      <c r="B77" s="60"/>
      <c r="C77" s="17"/>
      <c r="D77" s="17"/>
      <c r="E77" s="17"/>
      <c r="F77" s="17"/>
      <c r="G77" s="17"/>
      <c r="H77" s="23"/>
      <c r="I77" s="17"/>
      <c r="J77" s="17"/>
      <c r="K77" s="17"/>
      <c r="L77" s="23"/>
      <c r="M77" s="5"/>
    </row>
    <row r="78" spans="1:13" ht="14.25">
      <c r="A78" s="60" t="str">
        <f t="shared" si="2"/>
        <v/>
      </c>
      <c r="B78" s="60"/>
      <c r="C78" s="17"/>
      <c r="D78" s="17"/>
      <c r="E78" s="17"/>
      <c r="F78" s="17"/>
      <c r="G78" s="17"/>
      <c r="H78" s="23"/>
      <c r="I78" s="17"/>
      <c r="J78" s="17"/>
      <c r="K78" s="17"/>
      <c r="L78" s="23"/>
      <c r="M78" s="5"/>
    </row>
    <row r="79" spans="1:13" ht="14.25">
      <c r="A79" s="60" t="str">
        <f t="shared" si="2"/>
        <v/>
      </c>
      <c r="B79" s="60"/>
      <c r="C79" s="17"/>
      <c r="D79" s="17"/>
      <c r="E79" s="17"/>
      <c r="F79" s="17"/>
      <c r="G79" s="17"/>
      <c r="H79" s="23"/>
      <c r="I79" s="17"/>
      <c r="J79" s="17"/>
      <c r="K79" s="17"/>
      <c r="L79" s="23"/>
      <c r="M79" s="5"/>
    </row>
    <row r="80" spans="1:13" ht="14.25">
      <c r="A80" s="60" t="str">
        <f t="shared" si="2"/>
        <v/>
      </c>
      <c r="B80" s="60"/>
      <c r="C80" s="17"/>
      <c r="D80" s="17"/>
      <c r="E80" s="17"/>
      <c r="F80" s="17"/>
      <c r="G80" s="17"/>
      <c r="H80" s="23"/>
      <c r="I80" s="17"/>
      <c r="J80" s="17"/>
      <c r="K80" s="17"/>
      <c r="L80" s="23"/>
      <c r="M80" s="5"/>
    </row>
    <row r="81" spans="1:13" ht="14.25">
      <c r="A81" s="60" t="str">
        <f t="shared" si="2"/>
        <v/>
      </c>
      <c r="B81" s="60"/>
      <c r="C81" s="17"/>
      <c r="D81" s="17"/>
      <c r="E81" s="17"/>
      <c r="F81" s="17"/>
      <c r="G81" s="17"/>
      <c r="H81" s="23"/>
      <c r="I81" s="17"/>
      <c r="J81" s="17"/>
      <c r="K81" s="17"/>
      <c r="L81" s="23"/>
      <c r="M81" s="5"/>
    </row>
    <row r="82" spans="1:13" ht="14.25">
      <c r="A82" s="60" t="str">
        <f t="shared" si="2"/>
        <v/>
      </c>
      <c r="B82" s="60"/>
      <c r="C82" s="17"/>
      <c r="D82" s="17"/>
      <c r="E82" s="17"/>
      <c r="F82" s="17"/>
      <c r="G82" s="17"/>
      <c r="H82" s="23"/>
      <c r="I82" s="17"/>
      <c r="J82" s="17"/>
      <c r="K82" s="17"/>
      <c r="L82" s="23"/>
      <c r="M82" s="5"/>
    </row>
    <row r="83" spans="1:13" ht="14.25">
      <c r="A83" s="60" t="str">
        <f t="shared" si="2"/>
        <v/>
      </c>
      <c r="B83" s="60"/>
      <c r="C83" s="17"/>
      <c r="D83" s="17"/>
      <c r="E83" s="17"/>
      <c r="F83" s="17"/>
      <c r="G83" s="17"/>
      <c r="H83" s="23"/>
      <c r="I83" s="17"/>
      <c r="J83" s="17"/>
      <c r="K83" s="17"/>
      <c r="L83" s="23"/>
      <c r="M83" s="5"/>
    </row>
    <row r="84" spans="1:13" ht="14.25">
      <c r="A84" s="60" t="str">
        <f t="shared" si="2"/>
        <v/>
      </c>
      <c r="B84" s="60"/>
      <c r="C84" s="17"/>
      <c r="D84" s="17"/>
      <c r="E84" s="17"/>
      <c r="F84" s="17"/>
      <c r="G84" s="17"/>
      <c r="H84" s="23"/>
      <c r="I84" s="17"/>
      <c r="J84" s="17"/>
      <c r="K84" s="17"/>
      <c r="L84" s="23"/>
      <c r="M84" s="5"/>
    </row>
    <row r="85" spans="1:13" ht="14.25">
      <c r="A85" s="60" t="str">
        <f t="shared" si="2"/>
        <v/>
      </c>
      <c r="B85" s="60"/>
      <c r="C85" s="17"/>
      <c r="D85" s="17"/>
      <c r="E85" s="17"/>
      <c r="F85" s="17"/>
      <c r="G85" s="17"/>
      <c r="H85" s="23"/>
      <c r="I85" s="17"/>
      <c r="J85" s="17"/>
      <c r="K85" s="17"/>
      <c r="L85" s="23"/>
      <c r="M85" s="5"/>
    </row>
    <row r="86" spans="1:13" ht="14.25">
      <c r="A86" s="60" t="str">
        <f t="shared" si="2"/>
        <v/>
      </c>
      <c r="B86" s="60"/>
      <c r="C86" s="17"/>
      <c r="D86" s="17"/>
      <c r="E86" s="17"/>
      <c r="F86" s="17"/>
      <c r="G86" s="17"/>
      <c r="H86" s="23"/>
      <c r="I86" s="17"/>
      <c r="J86" s="17"/>
      <c r="K86" s="17"/>
      <c r="L86" s="23"/>
      <c r="M86" s="5"/>
    </row>
    <row r="87" spans="1:13" ht="14.25">
      <c r="A87" s="60" t="str">
        <f t="shared" si="2"/>
        <v/>
      </c>
      <c r="B87" s="60"/>
      <c r="C87" s="17"/>
      <c r="D87" s="17"/>
      <c r="E87" s="17"/>
      <c r="F87" s="17"/>
      <c r="G87" s="17"/>
      <c r="H87" s="23"/>
      <c r="I87" s="17"/>
      <c r="J87" s="17"/>
      <c r="K87" s="17"/>
      <c r="L87" s="23"/>
      <c r="M87" s="5"/>
    </row>
    <row r="88" spans="1:13" ht="14.25">
      <c r="A88" s="60" t="str">
        <f t="shared" si="2"/>
        <v/>
      </c>
      <c r="B88" s="60"/>
      <c r="C88" s="17"/>
      <c r="D88" s="17"/>
      <c r="E88" s="17"/>
      <c r="F88" s="17"/>
      <c r="G88" s="17"/>
      <c r="H88" s="23"/>
      <c r="I88" s="17"/>
      <c r="J88" s="17"/>
      <c r="K88" s="17"/>
      <c r="L88" s="23"/>
      <c r="M88" s="5"/>
    </row>
    <row r="89" spans="1:13" ht="14.25">
      <c r="A89" s="60" t="str">
        <f t="shared" si="2"/>
        <v/>
      </c>
      <c r="B89" s="60"/>
      <c r="C89" s="17"/>
      <c r="D89" s="17"/>
      <c r="E89" s="17"/>
      <c r="F89" s="17"/>
      <c r="G89" s="17"/>
      <c r="H89" s="23"/>
      <c r="I89" s="17"/>
      <c r="J89" s="17"/>
      <c r="K89" s="17"/>
      <c r="L89" s="23"/>
      <c r="M89" s="5"/>
    </row>
    <row r="90" spans="1:13" ht="14.25">
      <c r="A90" s="60" t="str">
        <f t="shared" si="2"/>
        <v/>
      </c>
      <c r="B90" s="60"/>
      <c r="C90" s="17"/>
      <c r="D90" s="17"/>
      <c r="E90" s="17"/>
      <c r="F90" s="17"/>
      <c r="G90" s="17"/>
      <c r="H90" s="23"/>
      <c r="I90" s="17"/>
      <c r="J90" s="17"/>
      <c r="K90" s="17"/>
      <c r="L90" s="23"/>
      <c r="M90" s="5"/>
    </row>
    <row r="91" spans="1:13" ht="14.25">
      <c r="A91" s="60" t="str">
        <f t="shared" si="2"/>
        <v/>
      </c>
      <c r="B91" s="60"/>
      <c r="C91" s="17"/>
      <c r="D91" s="17"/>
      <c r="E91" s="17"/>
      <c r="F91" s="17"/>
      <c r="G91" s="17"/>
      <c r="H91" s="23"/>
      <c r="I91" s="17"/>
      <c r="J91" s="17"/>
      <c r="K91" s="17"/>
      <c r="L91" s="23"/>
      <c r="M91" s="5"/>
    </row>
    <row r="92" spans="1:13" ht="14.25">
      <c r="A92" s="60" t="str">
        <f t="shared" si="2"/>
        <v/>
      </c>
      <c r="B92" s="60"/>
      <c r="C92" s="17"/>
      <c r="D92" s="17"/>
      <c r="E92" s="17"/>
      <c r="F92" s="17"/>
      <c r="G92" s="17"/>
      <c r="H92" s="23"/>
      <c r="I92" s="17"/>
      <c r="J92" s="17"/>
      <c r="K92" s="17"/>
      <c r="L92" s="23"/>
      <c r="M92" s="5"/>
    </row>
    <row r="93" spans="1:13" ht="14.25">
      <c r="A93" s="60" t="str">
        <f t="shared" si="2"/>
        <v/>
      </c>
      <c r="B93" s="60"/>
      <c r="C93" s="17"/>
      <c r="D93" s="17"/>
      <c r="E93" s="17"/>
      <c r="F93" s="17"/>
      <c r="G93" s="17"/>
      <c r="H93" s="23"/>
      <c r="I93" s="17"/>
      <c r="J93" s="17"/>
      <c r="K93" s="17"/>
      <c r="L93" s="23"/>
      <c r="M93" s="5"/>
    </row>
    <row r="94" spans="1:13" ht="14.25">
      <c r="A94" s="60" t="str">
        <f t="shared" si="2"/>
        <v/>
      </c>
      <c r="B94" s="60"/>
      <c r="C94" s="17"/>
      <c r="D94" s="17"/>
      <c r="E94" s="17"/>
      <c r="F94" s="17"/>
      <c r="G94" s="17"/>
      <c r="H94" s="23"/>
      <c r="I94" s="17"/>
      <c r="J94" s="17"/>
      <c r="K94" s="17"/>
      <c r="L94" s="23"/>
      <c r="M94" s="5"/>
    </row>
    <row r="95" spans="1:13" ht="14.25">
      <c r="A95" s="60" t="str">
        <f t="shared" si="2"/>
        <v/>
      </c>
      <c r="B95" s="60"/>
      <c r="C95" s="17"/>
      <c r="D95" s="17"/>
      <c r="E95" s="17"/>
      <c r="F95" s="17"/>
      <c r="G95" s="17"/>
      <c r="H95" s="23"/>
      <c r="I95" s="17"/>
      <c r="J95" s="17"/>
      <c r="K95" s="17"/>
      <c r="L95" s="23"/>
      <c r="M95" s="5"/>
    </row>
    <row r="96" spans="1:13" ht="14.25">
      <c r="A96" s="60" t="str">
        <f t="shared" si="2"/>
        <v/>
      </c>
      <c r="B96" s="60"/>
      <c r="C96" s="17"/>
      <c r="D96" s="17"/>
      <c r="E96" s="17"/>
      <c r="F96" s="17"/>
      <c r="G96" s="17"/>
      <c r="H96" s="23"/>
      <c r="I96" s="17"/>
      <c r="J96" s="17"/>
      <c r="K96" s="17"/>
      <c r="L96" s="23"/>
      <c r="M96" s="5"/>
    </row>
    <row r="97" spans="1:13" ht="14.25">
      <c r="A97" s="60" t="str">
        <f t="shared" ref="A97:A100" si="3">+C97&amp;G97&amp;H97</f>
        <v/>
      </c>
      <c r="B97" s="60"/>
      <c r="C97" s="17"/>
      <c r="D97" s="17"/>
      <c r="E97" s="17"/>
      <c r="F97" s="17"/>
      <c r="G97" s="17"/>
      <c r="H97" s="23"/>
      <c r="I97" s="17"/>
      <c r="J97" s="17"/>
      <c r="K97" s="17"/>
      <c r="L97" s="23"/>
      <c r="M97" s="5"/>
    </row>
    <row r="98" spans="1:13" ht="14.25">
      <c r="A98" s="60" t="str">
        <f t="shared" si="3"/>
        <v/>
      </c>
      <c r="B98" s="60"/>
      <c r="C98" s="17"/>
      <c r="D98" s="17"/>
      <c r="E98" s="17"/>
      <c r="F98" s="17"/>
      <c r="G98" s="17"/>
      <c r="H98" s="23"/>
      <c r="I98" s="17"/>
      <c r="J98" s="17"/>
      <c r="K98" s="17"/>
      <c r="L98" s="23"/>
      <c r="M98" s="5"/>
    </row>
    <row r="99" spans="1:13" ht="14.25">
      <c r="A99" s="60" t="str">
        <f t="shared" si="3"/>
        <v/>
      </c>
      <c r="B99" s="60"/>
      <c r="C99" s="17"/>
      <c r="D99" s="17"/>
      <c r="E99" s="17"/>
      <c r="F99" s="17"/>
      <c r="G99" s="17"/>
      <c r="H99" s="23"/>
      <c r="I99" s="17"/>
      <c r="J99" s="17"/>
      <c r="K99" s="17"/>
      <c r="L99" s="23"/>
      <c r="M99" s="5"/>
    </row>
    <row r="100" spans="1:13" ht="14.25">
      <c r="A100" s="60" t="str">
        <f t="shared" si="3"/>
        <v/>
      </c>
      <c r="B100" s="60"/>
      <c r="C100" s="17"/>
      <c r="D100" s="17"/>
      <c r="E100" s="17"/>
      <c r="F100" s="17"/>
      <c r="G100" s="17"/>
      <c r="H100" s="23"/>
      <c r="I100" s="17"/>
      <c r="J100" s="17"/>
      <c r="K100" s="17"/>
      <c r="L100" s="23"/>
      <c r="M100" s="5"/>
    </row>
    <row r="101" spans="1:13" ht="14.25">
      <c r="M101" s="5"/>
    </row>
    <row r="102" spans="1:13" ht="14.25" hidden="1"/>
    <row r="103" spans="1:13" ht="14.25" hidden="1"/>
    <row r="104" spans="1:13" ht="14.25" hidden="1"/>
    <row r="105" spans="1:13" ht="14.25" hidden="1"/>
    <row r="106" spans="1:13" ht="14.25" hidden="1"/>
    <row r="107" spans="1:13" ht="14.25" hidden="1"/>
    <row r="108" spans="1:13" ht="14.25" hidden="1"/>
    <row r="109" spans="1:13" ht="14.25" hidden="1"/>
    <row r="110" spans="1:13" ht="14.25" hidden="1"/>
    <row r="111" spans="1:13" ht="14.25" hidden="1"/>
    <row r="112" spans="1:13" ht="14.25" hidden="1"/>
    <row r="113" ht="14.25" hidden="1"/>
    <row r="114" ht="14.25" hidden="1"/>
    <row r="115" ht="14.25" hidden="1"/>
    <row r="116" ht="14.25" hidden="1"/>
    <row r="117" ht="14.25" hidden="1"/>
    <row r="118" ht="14.25" hidden="1"/>
    <row r="119" ht="14.25" hidden="1"/>
    <row r="120" ht="14.25" hidden="1"/>
    <row r="121" ht="14.25" hidden="1"/>
    <row r="122" ht="14.25" hidden="1"/>
    <row r="123" ht="14.25" hidden="1"/>
    <row r="124" ht="14.25" hidden="1"/>
    <row r="125" ht="14.25" hidden="1"/>
    <row r="126" ht="14.25" hidden="1"/>
    <row r="127" ht="14.25" hidden="1"/>
    <row r="128" ht="14.25" hidden="1"/>
    <row r="129" ht="14.25" hidden="1"/>
    <row r="130" ht="14.25" hidden="1"/>
    <row r="131" ht="14.25" hidden="1"/>
    <row r="132" ht="14.25" hidden="1"/>
    <row r="133" ht="14.25" hidden="1"/>
    <row r="134" ht="14.25" hidden="1"/>
    <row r="135" ht="14.25" hidden="1"/>
    <row r="136" ht="14.25" hidden="1"/>
    <row r="137" ht="14.25" hidden="1"/>
    <row r="138" ht="14.25" hidden="1"/>
    <row r="139" ht="14.25" hidden="1"/>
    <row r="140" ht="14.25" hidden="1"/>
    <row r="141" ht="14.25" hidden="1"/>
    <row r="142" ht="14.25" hidden="1"/>
    <row r="143" ht="14.25" hidden="1"/>
    <row r="144" ht="14.25" hidden="1"/>
    <row r="145" ht="14.25" hidden="1"/>
    <row r="146" ht="14.25" hidden="1"/>
    <row r="147" ht="14.25" hidden="1"/>
    <row r="148" ht="14.25" hidden="1"/>
    <row r="149" ht="14.25" hidden="1"/>
    <row r="150" ht="14.25" hidden="1"/>
    <row r="151" ht="14.25" hidden="1"/>
    <row r="152" ht="14.25" hidden="1"/>
    <row r="153" ht="14.25" hidden="1"/>
    <row r="154" ht="14.25" hidden="1"/>
    <row r="155" ht="14.25" hidden="1"/>
    <row r="156" ht="14.25" hidden="1"/>
    <row r="157" ht="14.25" hidden="1"/>
    <row r="158" ht="14.25" hidden="1"/>
    <row r="159" ht="14.25" hidden="1"/>
    <row r="160" ht="14.25" hidden="1"/>
    <row r="161" ht="14.25" hidden="1"/>
    <row r="162" ht="14.25" hidden="1"/>
    <row r="163" ht="14.25" hidden="1"/>
    <row r="164" ht="14.25" hidden="1"/>
    <row r="165" ht="14.25" hidden="1"/>
    <row r="166" ht="14.25" hidden="1"/>
    <row r="167" ht="14.25" hidden="1"/>
    <row r="168" ht="14.25" hidden="1"/>
    <row r="169" ht="14.25" hidden="1"/>
    <row r="170" ht="14.25" hidden="1"/>
    <row r="171" ht="14.25" hidden="1"/>
    <row r="172" ht="14.25" hidden="1"/>
    <row r="173" ht="14.25" hidden="1"/>
    <row r="174" ht="14.25" hidden="1"/>
    <row r="175" ht="14.25" hidden="1"/>
    <row r="176" ht="14.25" hidden="1"/>
    <row r="177" ht="14.25" hidden="1"/>
    <row r="178" ht="14.25" hidden="1"/>
    <row r="179" ht="14.25" hidden="1"/>
    <row r="180" ht="14.25" hidden="1"/>
    <row r="181" ht="14.25" hidden="1"/>
    <row r="182" ht="14.25" hidden="1"/>
    <row r="183" ht="14.25" hidden="1"/>
    <row r="184" ht="14.25" hidden="1"/>
    <row r="185" ht="14.25" hidden="1"/>
    <row r="186" ht="14.25" hidden="1"/>
    <row r="187" ht="14.25" hidden="1"/>
    <row r="188" ht="14.25" hidden="1"/>
    <row r="189" ht="14.25" hidden="1"/>
    <row r="190" ht="14.25" hidden="1"/>
    <row r="191" ht="14.25" hidden="1"/>
    <row r="192" ht="14.25" hidden="1"/>
    <row r="193" ht="14.25" hidden="1"/>
    <row r="194" ht="14.25" hidden="1"/>
    <row r="195" ht="14.25" hidden="1"/>
    <row r="196" ht="14.25" hidden="1"/>
    <row r="197" ht="14.25" hidden="1"/>
    <row r="198" ht="14.25" hidden="1"/>
    <row r="199" ht="14.25" hidden="1"/>
    <row r="200" ht="14.25" hidden="1"/>
    <row r="201" ht="14.25" hidden="1"/>
    <row r="202" ht="14.25" hidden="1"/>
    <row r="203" ht="14.25" hidden="1"/>
    <row r="204" ht="14.25" hidden="1"/>
    <row r="205" ht="14.25" hidden="1"/>
    <row r="206" ht="14.25" hidden="1"/>
    <row r="207" ht="14.25" hidden="1"/>
    <row r="208" ht="14.25" hidden="1"/>
    <row r="209" ht="14.25" hidden="1"/>
    <row r="210" ht="14.25" hidden="1"/>
    <row r="211" ht="14.25" hidden="1"/>
    <row r="212" ht="14.25" hidden="1"/>
    <row r="213" ht="14.25" hidden="1"/>
    <row r="214" ht="14.25" hidden="1"/>
    <row r="215" ht="14.25" hidden="1"/>
    <row r="216" ht="14.25" hidden="1"/>
    <row r="217" ht="14.25" hidden="1"/>
    <row r="218" ht="14.25" hidden="1"/>
    <row r="219" ht="14.25" hidden="1"/>
    <row r="220" ht="14.25" hidden="1"/>
    <row r="221" ht="14.25" hidden="1"/>
    <row r="222" ht="14.25" hidden="1"/>
    <row r="223" ht="14.25" hidden="1"/>
    <row r="224" ht="14.25" hidden="1"/>
    <row r="225" ht="14.25" hidden="1"/>
    <row r="226" ht="14.25" hidden="1"/>
    <row r="227" ht="14.25" hidden="1"/>
    <row r="228" ht="14.25" hidden="1"/>
    <row r="229" ht="14.25" hidden="1"/>
    <row r="230" ht="14.25" hidden="1"/>
    <row r="231" ht="14.25" hidden="1"/>
    <row r="232" ht="14.25" hidden="1"/>
    <row r="233" ht="14.25" hidden="1"/>
    <row r="234" ht="14.25" hidden="1"/>
    <row r="235" ht="14.25" hidden="1"/>
    <row r="236" ht="14.25" hidden="1"/>
    <row r="237" ht="14.25" hidden="1"/>
    <row r="238" ht="14.25" hidden="1"/>
    <row r="239" ht="14.25" hidden="1"/>
    <row r="240" ht="14.25" hidden="1"/>
    <row r="241" ht="14.25" hidden="1"/>
    <row r="242" ht="14.25" hidden="1"/>
    <row r="243" ht="14.25" hidden="1"/>
    <row r="244" ht="14.25" hidden="1"/>
    <row r="245" ht="14.25" hidden="1"/>
    <row r="246" ht="14.25" hidden="1"/>
    <row r="247" ht="14.25" hidden="1"/>
    <row r="248" ht="14.25" hidden="1"/>
    <row r="249" ht="14.25" hidden="1"/>
    <row r="250" ht="14.25" hidden="1"/>
    <row r="251" ht="14.25" hidden="1"/>
    <row r="252" ht="14.25" hidden="1"/>
    <row r="253" ht="14.25" hidden="1"/>
    <row r="254" ht="14.25" hidden="1"/>
    <row r="255" ht="14.25" hidden="1"/>
    <row r="256" ht="14.25" hidden="1"/>
    <row r="257" ht="14.25" hidden="1"/>
    <row r="258" ht="14.25" hidden="1"/>
    <row r="259" ht="14.25" hidden="1"/>
    <row r="260" ht="14.25" hidden="1"/>
    <row r="261" ht="14.25" hidden="1"/>
    <row r="262" ht="14.25" hidden="1"/>
    <row r="263" ht="14.25" hidden="1"/>
    <row r="264" ht="14.25" hidden="1"/>
    <row r="265" ht="14.25" hidden="1"/>
    <row r="266" ht="14.25" hidden="1"/>
    <row r="267" ht="14.25" hidden="1"/>
    <row r="268" ht="14.25" hidden="1"/>
    <row r="269" ht="14.25" hidden="1"/>
    <row r="270" ht="14.25" hidden="1"/>
    <row r="271" ht="14.25" hidden="1"/>
    <row r="272" ht="14.25" hidden="1"/>
    <row r="273" ht="14.25" hidden="1"/>
    <row r="274" ht="14.25" hidden="1"/>
    <row r="275" ht="14.25" hidden="1"/>
    <row r="276" ht="14.25" hidden="1"/>
    <row r="277" ht="14.25" hidden="1"/>
    <row r="278" ht="14.25" hidden="1"/>
    <row r="279" ht="14.25" hidden="1"/>
    <row r="280" ht="14.25" hidden="1"/>
    <row r="281" ht="14.25" hidden="1"/>
    <row r="282" ht="14.25" hidden="1"/>
    <row r="283" ht="14.25" hidden="1"/>
    <row r="284" ht="14.25" hidden="1"/>
    <row r="285" ht="14.25" hidden="1"/>
    <row r="286" ht="14.25" hidden="1"/>
    <row r="287" ht="14.25" hidden="1"/>
    <row r="288" ht="14.25" hidden="1"/>
    <row r="289" ht="14.25" hidden="1"/>
    <row r="290" ht="14.25" hidden="1"/>
    <row r="291" ht="14.25" hidden="1"/>
    <row r="292" ht="14.25" hidden="1"/>
    <row r="293" ht="14.25" hidden="1"/>
    <row r="294" ht="14.25" hidden="1"/>
    <row r="295" ht="14.25" hidden="1"/>
    <row r="296" ht="14.25" hidden="1"/>
    <row r="297" ht="14.25" hidden="1"/>
    <row r="298" ht="14.25" hidden="1"/>
    <row r="299" ht="14.25" hidden="1"/>
    <row r="300" ht="14.25" hidden="1"/>
    <row r="301" ht="14.25" hidden="1"/>
    <row r="302" ht="14.25" hidden="1"/>
    <row r="303" ht="14.25" hidden="1"/>
    <row r="304" ht="14.25" hidden="1"/>
    <row r="305" ht="14.25" hidden="1"/>
    <row r="306" ht="14.25" hidden="1"/>
    <row r="307" ht="14.25" hidden="1"/>
    <row r="308" ht="14.25" hidden="1"/>
    <row r="309" ht="14.25" hidden="1"/>
    <row r="310" ht="14.25" hidden="1"/>
    <row r="311" ht="14.25" hidden="1"/>
    <row r="312" ht="14.25" hidden="1"/>
    <row r="313" ht="14.25" hidden="1"/>
    <row r="314" ht="14.25" hidden="1"/>
    <row r="315" ht="14.25" hidden="1"/>
    <row r="316" ht="14.25" hidden="1"/>
    <row r="317" ht="14.25" hidden="1"/>
    <row r="318" ht="14.25" hidden="1"/>
    <row r="319" ht="14.25" hidden="1"/>
    <row r="320" ht="14.25" hidden="1"/>
    <row r="321" ht="14.25" hidden="1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>
      <selection activeCell="I13" sqref="I13"/>
    </sheetView>
  </sheetViews>
  <sheetFormatPr defaultRowHeight="14.25"/>
  <sheetData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M159"/>
  <sheetViews>
    <sheetView showGridLines="0" zoomScale="90" zoomScaleNormal="90" workbookViewId="0">
      <selection activeCell="D9" sqref="D9"/>
    </sheetView>
  </sheetViews>
  <sheetFormatPr defaultColWidth="9.125" defaultRowHeight="14.25" zeroHeight="1"/>
  <cols>
    <col min="1" max="1" width="3.625" style="2" customWidth="1"/>
    <col min="2" max="2" width="16.25" style="2" customWidth="1"/>
    <col min="3" max="3" width="25.75" style="2" customWidth="1"/>
    <col min="4" max="4" width="126.625" style="2" customWidth="1"/>
    <col min="5" max="119" width="5.625" style="2" customWidth="1"/>
    <col min="120" max="16384" width="9.125" style="2"/>
  </cols>
  <sheetData>
    <row r="1" spans="1:1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2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r="5" spans="1:120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</row>
    <row r="6" spans="1:120" ht="15.75" thickBot="1">
      <c r="A6" s="30"/>
      <c r="B6" s="31" t="s">
        <v>149</v>
      </c>
      <c r="C6" s="31"/>
      <c r="D6" s="31"/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</row>
    <row r="7" spans="1:120"/>
    <row r="8" spans="1:120">
      <c r="B8" s="73" t="s">
        <v>150</v>
      </c>
      <c r="C8" s="73" t="s">
        <v>53</v>
      </c>
      <c r="D8" s="73" t="s">
        <v>66</v>
      </c>
      <c r="E8" s="74" t="s">
        <v>151</v>
      </c>
      <c r="F8" s="74" t="s">
        <v>156</v>
      </c>
      <c r="G8" s="74" t="s">
        <v>157</v>
      </c>
      <c r="H8" s="74" t="s">
        <v>158</v>
      </c>
      <c r="I8" s="74" t="s">
        <v>159</v>
      </c>
      <c r="J8" s="74" t="s">
        <v>160</v>
      </c>
      <c r="K8" s="74" t="s">
        <v>161</v>
      </c>
      <c r="L8" s="74" t="s">
        <v>162</v>
      </c>
      <c r="M8" s="74" t="s">
        <v>163</v>
      </c>
      <c r="N8" s="74" t="s">
        <v>151</v>
      </c>
      <c r="O8" s="74" t="s">
        <v>164</v>
      </c>
      <c r="P8" s="74" t="s">
        <v>151</v>
      </c>
      <c r="Q8" s="74" t="s">
        <v>165</v>
      </c>
      <c r="R8" s="74" t="s">
        <v>166</v>
      </c>
      <c r="S8" s="74" t="s">
        <v>151</v>
      </c>
      <c r="T8" s="74" t="s">
        <v>167</v>
      </c>
      <c r="U8" s="74" t="s">
        <v>168</v>
      </c>
      <c r="V8" s="74" t="s">
        <v>169</v>
      </c>
      <c r="W8" s="74" t="s">
        <v>170</v>
      </c>
      <c r="X8" s="74" t="s">
        <v>171</v>
      </c>
      <c r="Y8" s="74" t="s">
        <v>172</v>
      </c>
      <c r="Z8" s="74" t="s">
        <v>173</v>
      </c>
      <c r="AA8" s="74" t="s">
        <v>169</v>
      </c>
      <c r="AB8" s="74" t="s">
        <v>165</v>
      </c>
      <c r="AC8" s="74" t="s">
        <v>174</v>
      </c>
      <c r="AD8" s="74" t="s">
        <v>175</v>
      </c>
      <c r="AE8" s="74" t="s">
        <v>176</v>
      </c>
      <c r="AF8" s="74" t="s">
        <v>177</v>
      </c>
      <c r="AG8" s="74" t="s">
        <v>178</v>
      </c>
      <c r="AH8" s="74" t="s">
        <v>179</v>
      </c>
      <c r="AI8" s="74" t="s">
        <v>180</v>
      </c>
      <c r="AJ8" s="74" t="s">
        <v>181</v>
      </c>
      <c r="AK8" s="74" t="s">
        <v>182</v>
      </c>
      <c r="AL8" s="74" t="s">
        <v>183</v>
      </c>
      <c r="AM8" s="74" t="s">
        <v>184</v>
      </c>
      <c r="AN8" s="74" t="s">
        <v>185</v>
      </c>
      <c r="AO8" s="74" t="s">
        <v>186</v>
      </c>
      <c r="AP8" s="74" t="s">
        <v>187</v>
      </c>
      <c r="AQ8" s="74" t="s">
        <v>188</v>
      </c>
      <c r="AR8" s="74" t="s">
        <v>189</v>
      </c>
      <c r="AS8" s="74" t="s">
        <v>190</v>
      </c>
      <c r="AT8" s="74" t="s">
        <v>191</v>
      </c>
      <c r="AU8" s="74" t="s">
        <v>171</v>
      </c>
      <c r="AV8" s="74" t="s">
        <v>172</v>
      </c>
      <c r="AW8" s="74" t="s">
        <v>173</v>
      </c>
      <c r="AX8" s="74" t="s">
        <v>169</v>
      </c>
      <c r="AY8" s="74" t="s">
        <v>165</v>
      </c>
      <c r="AZ8" s="74" t="s">
        <v>174</v>
      </c>
      <c r="BA8" s="74" t="s">
        <v>175</v>
      </c>
      <c r="BB8" s="74" t="s">
        <v>176</v>
      </c>
      <c r="BC8" s="74" t="s">
        <v>177</v>
      </c>
      <c r="BD8" s="74" t="s">
        <v>178</v>
      </c>
      <c r="BE8" s="74" t="s">
        <v>179</v>
      </c>
      <c r="BF8" s="74" t="s">
        <v>180</v>
      </c>
      <c r="BG8" s="74" t="s">
        <v>181</v>
      </c>
      <c r="BH8" s="74" t="s">
        <v>182</v>
      </c>
      <c r="BI8" s="74" t="s">
        <v>183</v>
      </c>
      <c r="BJ8" s="74" t="s">
        <v>184</v>
      </c>
      <c r="BK8" s="74" t="s">
        <v>185</v>
      </c>
      <c r="BL8" s="74" t="s">
        <v>186</v>
      </c>
      <c r="BM8" s="74" t="s">
        <v>187</v>
      </c>
      <c r="BN8" s="74" t="s">
        <v>188</v>
      </c>
      <c r="BO8" s="74" t="s">
        <v>189</v>
      </c>
      <c r="BP8" s="74" t="s">
        <v>190</v>
      </c>
      <c r="BQ8" s="74" t="s">
        <v>191</v>
      </c>
      <c r="BR8" s="74" t="s">
        <v>171</v>
      </c>
      <c r="BS8" s="74" t="s">
        <v>172</v>
      </c>
      <c r="BT8" s="74" t="s">
        <v>173</v>
      </c>
      <c r="BU8" s="74" t="s">
        <v>169</v>
      </c>
      <c r="BV8" s="74" t="s">
        <v>165</v>
      </c>
      <c r="BW8" s="74" t="s">
        <v>174</v>
      </c>
      <c r="BX8" s="74" t="s">
        <v>175</v>
      </c>
      <c r="BY8" s="74" t="s">
        <v>176</v>
      </c>
      <c r="BZ8" s="74" t="s">
        <v>177</v>
      </c>
      <c r="CA8" s="74" t="s">
        <v>178</v>
      </c>
      <c r="CB8" s="74" t="s">
        <v>179</v>
      </c>
      <c r="CC8" s="74" t="s">
        <v>180</v>
      </c>
      <c r="CD8" s="74" t="s">
        <v>181</v>
      </c>
      <c r="CE8" s="74" t="s">
        <v>182</v>
      </c>
      <c r="CF8" s="74" t="s">
        <v>183</v>
      </c>
      <c r="CG8" s="74" t="s">
        <v>184</v>
      </c>
      <c r="CH8" s="74" t="s">
        <v>185</v>
      </c>
      <c r="CI8" s="74" t="s">
        <v>186</v>
      </c>
      <c r="CJ8" s="74" t="s">
        <v>187</v>
      </c>
      <c r="CK8" s="74" t="s">
        <v>188</v>
      </c>
      <c r="CL8" s="74" t="s">
        <v>189</v>
      </c>
      <c r="CM8" s="74" t="s">
        <v>190</v>
      </c>
      <c r="CN8" s="74" t="s">
        <v>191</v>
      </c>
      <c r="CO8" s="74" t="s">
        <v>171</v>
      </c>
      <c r="CP8" s="74" t="s">
        <v>172</v>
      </c>
      <c r="CQ8" s="74" t="s">
        <v>173</v>
      </c>
      <c r="CR8" s="74" t="s">
        <v>169</v>
      </c>
      <c r="CS8" s="74" t="s">
        <v>165</v>
      </c>
      <c r="CT8" s="74" t="s">
        <v>174</v>
      </c>
      <c r="CU8" s="74" t="s">
        <v>175</v>
      </c>
      <c r="CV8" s="74" t="s">
        <v>176</v>
      </c>
      <c r="CW8" s="74" t="s">
        <v>177</v>
      </c>
      <c r="CX8" s="74" t="s">
        <v>178</v>
      </c>
      <c r="CY8" s="74" t="s">
        <v>179</v>
      </c>
      <c r="CZ8" s="74" t="s">
        <v>180</v>
      </c>
      <c r="DA8" s="74" t="s">
        <v>181</v>
      </c>
      <c r="DB8" s="74" t="s">
        <v>182</v>
      </c>
      <c r="DC8" s="74" t="s">
        <v>183</v>
      </c>
      <c r="DD8" s="74" t="s">
        <v>184</v>
      </c>
      <c r="DE8" s="74" t="s">
        <v>185</v>
      </c>
      <c r="DF8" s="74" t="s">
        <v>186</v>
      </c>
      <c r="DG8" s="74" t="s">
        <v>187</v>
      </c>
      <c r="DH8" s="74" t="s">
        <v>188</v>
      </c>
      <c r="DI8" s="74" t="s">
        <v>189</v>
      </c>
      <c r="DJ8" s="74" t="s">
        <v>190</v>
      </c>
      <c r="DK8" s="74" t="s">
        <v>191</v>
      </c>
      <c r="DL8" s="74" t="s">
        <v>151</v>
      </c>
      <c r="DM8" s="74" t="s">
        <v>192</v>
      </c>
      <c r="DN8" s="74" t="s">
        <v>193</v>
      </c>
      <c r="DO8" s="74" t="s">
        <v>191</v>
      </c>
      <c r="DP8" s="80"/>
    </row>
    <row r="9" spans="1:120">
      <c r="A9" s="60"/>
      <c r="B9" s="27" t="s">
        <v>194</v>
      </c>
      <c r="C9" s="81" t="s">
        <v>195</v>
      </c>
      <c r="D9" s="75" t="s">
        <v>196</v>
      </c>
      <c r="E9" s="75" t="s">
        <v>197</v>
      </c>
      <c r="F9" s="75" t="s">
        <v>198</v>
      </c>
      <c r="G9" s="75" t="s">
        <v>198</v>
      </c>
      <c r="H9" s="75" t="s">
        <v>198</v>
      </c>
      <c r="I9" s="75" t="s">
        <v>198</v>
      </c>
      <c r="J9" s="75" t="s">
        <v>198</v>
      </c>
      <c r="K9" s="75" t="s">
        <v>198</v>
      </c>
      <c r="L9" s="75" t="s">
        <v>198</v>
      </c>
      <c r="M9" s="75" t="s">
        <v>198</v>
      </c>
      <c r="N9" s="75" t="s">
        <v>197</v>
      </c>
      <c r="O9" s="75" t="s">
        <v>199</v>
      </c>
      <c r="P9" s="75" t="s">
        <v>197</v>
      </c>
      <c r="Q9" s="75" t="s">
        <v>200</v>
      </c>
      <c r="R9" s="75" t="s">
        <v>201</v>
      </c>
      <c r="S9" s="75" t="s">
        <v>197</v>
      </c>
      <c r="T9" s="75" t="s">
        <v>202</v>
      </c>
      <c r="U9" s="75" t="s">
        <v>203</v>
      </c>
      <c r="V9" s="75" t="s">
        <v>204</v>
      </c>
      <c r="W9" s="75" t="s">
        <v>205</v>
      </c>
      <c r="X9" s="75" t="s">
        <v>198</v>
      </c>
      <c r="Y9" s="75" t="s">
        <v>198</v>
      </c>
      <c r="Z9" s="75" t="s">
        <v>198</v>
      </c>
      <c r="AA9" s="75" t="s">
        <v>198</v>
      </c>
      <c r="AB9" s="75" t="s">
        <v>198</v>
      </c>
      <c r="AC9" s="75" t="s">
        <v>198</v>
      </c>
      <c r="AD9" s="75" t="s">
        <v>198</v>
      </c>
      <c r="AE9" s="75" t="s">
        <v>198</v>
      </c>
      <c r="AF9" s="75" t="s">
        <v>198</v>
      </c>
      <c r="AG9" s="75" t="s">
        <v>198</v>
      </c>
      <c r="AH9" s="75" t="s">
        <v>198</v>
      </c>
      <c r="AI9" s="75" t="s">
        <v>198</v>
      </c>
      <c r="AJ9" s="75" t="s">
        <v>198</v>
      </c>
      <c r="AK9" s="75" t="s">
        <v>198</v>
      </c>
      <c r="AL9" s="75" t="s">
        <v>198</v>
      </c>
      <c r="AM9" s="75" t="s">
        <v>198</v>
      </c>
      <c r="AN9" s="75" t="s">
        <v>198</v>
      </c>
      <c r="AO9" s="75" t="s">
        <v>198</v>
      </c>
      <c r="AP9" s="75" t="s">
        <v>198</v>
      </c>
      <c r="AQ9" s="75" t="s">
        <v>198</v>
      </c>
      <c r="AR9" s="75" t="s">
        <v>198</v>
      </c>
      <c r="AS9" s="75" t="s">
        <v>198</v>
      </c>
      <c r="AT9" s="75" t="s">
        <v>198</v>
      </c>
      <c r="AU9" s="75" t="s">
        <v>198</v>
      </c>
      <c r="AV9" s="75" t="s">
        <v>198</v>
      </c>
      <c r="AW9" s="75" t="s">
        <v>198</v>
      </c>
      <c r="AX9" s="75" t="s">
        <v>198</v>
      </c>
      <c r="AY9" s="75" t="s">
        <v>198</v>
      </c>
      <c r="AZ9" s="75" t="s">
        <v>198</v>
      </c>
      <c r="BA9" s="75" t="s">
        <v>198</v>
      </c>
      <c r="BB9" s="75" t="s">
        <v>198</v>
      </c>
      <c r="BC9" s="75" t="s">
        <v>198</v>
      </c>
      <c r="BD9" s="75" t="s">
        <v>198</v>
      </c>
      <c r="BE9" s="75" t="s">
        <v>198</v>
      </c>
      <c r="BF9" s="75" t="s">
        <v>198</v>
      </c>
      <c r="BG9" s="75" t="s">
        <v>198</v>
      </c>
      <c r="BH9" s="75" t="s">
        <v>198</v>
      </c>
      <c r="BI9" s="75" t="s">
        <v>198</v>
      </c>
      <c r="BJ9" s="75" t="s">
        <v>198</v>
      </c>
      <c r="BK9" s="75" t="s">
        <v>198</v>
      </c>
      <c r="BL9" s="75" t="s">
        <v>198</v>
      </c>
      <c r="BM9" s="75" t="s">
        <v>198</v>
      </c>
      <c r="BN9" s="75" t="s">
        <v>198</v>
      </c>
      <c r="BO9" s="75" t="s">
        <v>198</v>
      </c>
      <c r="BP9" s="75" t="s">
        <v>198</v>
      </c>
      <c r="BQ9" s="75" t="s">
        <v>198</v>
      </c>
      <c r="BR9" s="75" t="s">
        <v>198</v>
      </c>
      <c r="BS9" s="75" t="s">
        <v>198</v>
      </c>
      <c r="BT9" s="75" t="s">
        <v>198</v>
      </c>
      <c r="BU9" s="75" t="s">
        <v>198</v>
      </c>
      <c r="BV9" s="75" t="s">
        <v>198</v>
      </c>
      <c r="BW9" s="75" t="s">
        <v>198</v>
      </c>
      <c r="BX9" s="75" t="s">
        <v>198</v>
      </c>
      <c r="BY9" s="75" t="s">
        <v>198</v>
      </c>
      <c r="BZ9" s="75" t="s">
        <v>198</v>
      </c>
      <c r="CA9" s="75" t="s">
        <v>198</v>
      </c>
      <c r="CB9" s="75" t="s">
        <v>198</v>
      </c>
      <c r="CC9" s="75" t="s">
        <v>198</v>
      </c>
      <c r="CD9" s="75" t="s">
        <v>198</v>
      </c>
      <c r="CE9" s="75" t="s">
        <v>198</v>
      </c>
      <c r="CF9" s="75" t="s">
        <v>198</v>
      </c>
      <c r="CG9" s="75" t="s">
        <v>198</v>
      </c>
      <c r="CH9" s="75" t="s">
        <v>198</v>
      </c>
      <c r="CI9" s="75" t="s">
        <v>198</v>
      </c>
      <c r="CJ9" s="75" t="s">
        <v>198</v>
      </c>
      <c r="CK9" s="75" t="s">
        <v>198</v>
      </c>
      <c r="CL9" s="75" t="s">
        <v>198</v>
      </c>
      <c r="CM9" s="75" t="s">
        <v>198</v>
      </c>
      <c r="CN9" s="75" t="s">
        <v>198</v>
      </c>
      <c r="CO9" s="75" t="s">
        <v>198</v>
      </c>
      <c r="CP9" s="75" t="s">
        <v>198</v>
      </c>
      <c r="CQ9" s="75" t="s">
        <v>198</v>
      </c>
      <c r="CR9" s="75" t="s">
        <v>198</v>
      </c>
      <c r="CS9" s="75" t="s">
        <v>198</v>
      </c>
      <c r="CT9" s="75" t="s">
        <v>198</v>
      </c>
      <c r="CU9" s="75" t="s">
        <v>198</v>
      </c>
      <c r="CV9" s="75" t="s">
        <v>198</v>
      </c>
      <c r="CW9" s="75" t="s">
        <v>198</v>
      </c>
      <c r="CX9" s="75" t="s">
        <v>198</v>
      </c>
      <c r="CY9" s="75" t="s">
        <v>198</v>
      </c>
      <c r="CZ9" s="75" t="s">
        <v>198</v>
      </c>
      <c r="DA9" s="75" t="s">
        <v>198</v>
      </c>
      <c r="DB9" s="75" t="s">
        <v>198</v>
      </c>
      <c r="DC9" s="75" t="s">
        <v>198</v>
      </c>
      <c r="DD9" s="75" t="s">
        <v>198</v>
      </c>
      <c r="DE9" s="75" t="s">
        <v>198</v>
      </c>
      <c r="DF9" s="75" t="s">
        <v>198</v>
      </c>
      <c r="DG9" s="75" t="s">
        <v>198</v>
      </c>
      <c r="DH9" s="75" t="s">
        <v>198</v>
      </c>
      <c r="DI9" s="75" t="s">
        <v>198</v>
      </c>
      <c r="DJ9" s="75" t="s">
        <v>198</v>
      </c>
      <c r="DK9" s="75" t="s">
        <v>198</v>
      </c>
      <c r="DL9" s="75" t="s">
        <v>197</v>
      </c>
      <c r="DM9" s="75" t="s">
        <v>206</v>
      </c>
      <c r="DN9" s="75" t="s">
        <v>153</v>
      </c>
      <c r="DO9" s="75" t="s">
        <v>153</v>
      </c>
      <c r="DP9" s="80"/>
    </row>
    <row r="10" spans="1:120">
      <c r="A10" s="60"/>
      <c r="B10" s="27" t="s">
        <v>194</v>
      </c>
      <c r="C10" s="81" t="s">
        <v>195</v>
      </c>
      <c r="D10" s="75" t="s">
        <v>196</v>
      </c>
      <c r="E10" s="75" t="s">
        <v>207</v>
      </c>
      <c r="F10" s="75" t="s">
        <v>198</v>
      </c>
      <c r="G10" s="75" t="s">
        <v>198</v>
      </c>
      <c r="H10" s="75" t="s">
        <v>198</v>
      </c>
      <c r="I10" s="75" t="s">
        <v>198</v>
      </c>
      <c r="J10" s="75" t="s">
        <v>198</v>
      </c>
      <c r="K10" s="75" t="s">
        <v>198</v>
      </c>
      <c r="L10" s="75" t="s">
        <v>198</v>
      </c>
      <c r="M10" s="75" t="s">
        <v>198</v>
      </c>
      <c r="N10" s="75" t="s">
        <v>207</v>
      </c>
      <c r="O10" s="75" t="s">
        <v>208</v>
      </c>
      <c r="P10" s="75" t="s">
        <v>207</v>
      </c>
      <c r="Q10" s="75" t="s">
        <v>200</v>
      </c>
      <c r="R10" s="75" t="s">
        <v>201</v>
      </c>
      <c r="S10" s="75" t="s">
        <v>207</v>
      </c>
      <c r="T10" s="75" t="s">
        <v>202</v>
      </c>
      <c r="U10" s="75" t="s">
        <v>203</v>
      </c>
      <c r="V10" s="75" t="s">
        <v>204</v>
      </c>
      <c r="W10" s="75" t="s">
        <v>205</v>
      </c>
      <c r="X10" s="75" t="s">
        <v>198</v>
      </c>
      <c r="Y10" s="75" t="s">
        <v>198</v>
      </c>
      <c r="Z10" s="75" t="s">
        <v>198</v>
      </c>
      <c r="AA10" s="75" t="s">
        <v>198</v>
      </c>
      <c r="AB10" s="75" t="s">
        <v>198</v>
      </c>
      <c r="AC10" s="75" t="s">
        <v>198</v>
      </c>
      <c r="AD10" s="75" t="s">
        <v>198</v>
      </c>
      <c r="AE10" s="75" t="s">
        <v>198</v>
      </c>
      <c r="AF10" s="75" t="s">
        <v>198</v>
      </c>
      <c r="AG10" s="75" t="s">
        <v>198</v>
      </c>
      <c r="AH10" s="75" t="s">
        <v>198</v>
      </c>
      <c r="AI10" s="75" t="s">
        <v>198</v>
      </c>
      <c r="AJ10" s="75" t="s">
        <v>198</v>
      </c>
      <c r="AK10" s="75" t="s">
        <v>198</v>
      </c>
      <c r="AL10" s="75" t="s">
        <v>198</v>
      </c>
      <c r="AM10" s="75" t="s">
        <v>198</v>
      </c>
      <c r="AN10" s="75" t="s">
        <v>198</v>
      </c>
      <c r="AO10" s="75" t="s">
        <v>198</v>
      </c>
      <c r="AP10" s="75" t="s">
        <v>198</v>
      </c>
      <c r="AQ10" s="75" t="s">
        <v>198</v>
      </c>
      <c r="AR10" s="75" t="s">
        <v>198</v>
      </c>
      <c r="AS10" s="75" t="s">
        <v>198</v>
      </c>
      <c r="AT10" s="75" t="s">
        <v>198</v>
      </c>
      <c r="AU10" s="75" t="s">
        <v>198</v>
      </c>
      <c r="AV10" s="75" t="s">
        <v>198</v>
      </c>
      <c r="AW10" s="75" t="s">
        <v>198</v>
      </c>
      <c r="AX10" s="75" t="s">
        <v>198</v>
      </c>
      <c r="AY10" s="75" t="s">
        <v>198</v>
      </c>
      <c r="AZ10" s="75" t="s">
        <v>198</v>
      </c>
      <c r="BA10" s="75" t="s">
        <v>198</v>
      </c>
      <c r="BB10" s="75" t="s">
        <v>198</v>
      </c>
      <c r="BC10" s="75" t="s">
        <v>198</v>
      </c>
      <c r="BD10" s="75" t="s">
        <v>198</v>
      </c>
      <c r="BE10" s="75" t="s">
        <v>198</v>
      </c>
      <c r="BF10" s="75" t="s">
        <v>198</v>
      </c>
      <c r="BG10" s="75" t="s">
        <v>198</v>
      </c>
      <c r="BH10" s="75" t="s">
        <v>198</v>
      </c>
      <c r="BI10" s="75" t="s">
        <v>198</v>
      </c>
      <c r="BJ10" s="75" t="s">
        <v>198</v>
      </c>
      <c r="BK10" s="75" t="s">
        <v>198</v>
      </c>
      <c r="BL10" s="75" t="s">
        <v>198</v>
      </c>
      <c r="BM10" s="75" t="s">
        <v>198</v>
      </c>
      <c r="BN10" s="75" t="s">
        <v>198</v>
      </c>
      <c r="BO10" s="75" t="s">
        <v>198</v>
      </c>
      <c r="BP10" s="75" t="s">
        <v>198</v>
      </c>
      <c r="BQ10" s="75" t="s">
        <v>198</v>
      </c>
      <c r="BR10" s="75" t="s">
        <v>198</v>
      </c>
      <c r="BS10" s="75" t="s">
        <v>198</v>
      </c>
      <c r="BT10" s="75" t="s">
        <v>198</v>
      </c>
      <c r="BU10" s="75" t="s">
        <v>198</v>
      </c>
      <c r="BV10" s="75" t="s">
        <v>198</v>
      </c>
      <c r="BW10" s="75" t="s">
        <v>198</v>
      </c>
      <c r="BX10" s="75" t="s">
        <v>198</v>
      </c>
      <c r="BY10" s="75" t="s">
        <v>198</v>
      </c>
      <c r="BZ10" s="75" t="s">
        <v>198</v>
      </c>
      <c r="CA10" s="75" t="s">
        <v>198</v>
      </c>
      <c r="CB10" s="75" t="s">
        <v>198</v>
      </c>
      <c r="CC10" s="75" t="s">
        <v>198</v>
      </c>
      <c r="CD10" s="75" t="s">
        <v>198</v>
      </c>
      <c r="CE10" s="75" t="s">
        <v>198</v>
      </c>
      <c r="CF10" s="75" t="s">
        <v>198</v>
      </c>
      <c r="CG10" s="75" t="s">
        <v>198</v>
      </c>
      <c r="CH10" s="75" t="s">
        <v>198</v>
      </c>
      <c r="CI10" s="75" t="s">
        <v>198</v>
      </c>
      <c r="CJ10" s="75" t="s">
        <v>198</v>
      </c>
      <c r="CK10" s="75" t="s">
        <v>198</v>
      </c>
      <c r="CL10" s="75" t="s">
        <v>198</v>
      </c>
      <c r="CM10" s="75" t="s">
        <v>198</v>
      </c>
      <c r="CN10" s="75" t="s">
        <v>198</v>
      </c>
      <c r="CO10" s="75" t="s">
        <v>198</v>
      </c>
      <c r="CP10" s="75" t="s">
        <v>198</v>
      </c>
      <c r="CQ10" s="75" t="s">
        <v>198</v>
      </c>
      <c r="CR10" s="75" t="s">
        <v>198</v>
      </c>
      <c r="CS10" s="75" t="s">
        <v>198</v>
      </c>
      <c r="CT10" s="75" t="s">
        <v>198</v>
      </c>
      <c r="CU10" s="75" t="s">
        <v>198</v>
      </c>
      <c r="CV10" s="75" t="s">
        <v>198</v>
      </c>
      <c r="CW10" s="75" t="s">
        <v>198</v>
      </c>
      <c r="CX10" s="75" t="s">
        <v>198</v>
      </c>
      <c r="CY10" s="75" t="s">
        <v>198</v>
      </c>
      <c r="CZ10" s="75" t="s">
        <v>198</v>
      </c>
      <c r="DA10" s="75" t="s">
        <v>198</v>
      </c>
      <c r="DB10" s="75" t="s">
        <v>198</v>
      </c>
      <c r="DC10" s="75" t="s">
        <v>198</v>
      </c>
      <c r="DD10" s="75" t="s">
        <v>198</v>
      </c>
      <c r="DE10" s="75" t="s">
        <v>198</v>
      </c>
      <c r="DF10" s="75" t="s">
        <v>198</v>
      </c>
      <c r="DG10" s="75" t="s">
        <v>198</v>
      </c>
      <c r="DH10" s="75" t="s">
        <v>198</v>
      </c>
      <c r="DI10" s="75" t="s">
        <v>198</v>
      </c>
      <c r="DJ10" s="75" t="s">
        <v>198</v>
      </c>
      <c r="DK10" s="75" t="s">
        <v>198</v>
      </c>
      <c r="DL10" s="75" t="s">
        <v>207</v>
      </c>
      <c r="DM10" s="75" t="s">
        <v>209</v>
      </c>
      <c r="DN10" s="75" t="s">
        <v>153</v>
      </c>
      <c r="DO10" s="75" t="s">
        <v>153</v>
      </c>
      <c r="DP10" s="80"/>
    </row>
    <row r="11" spans="1:120">
      <c r="A11" s="60"/>
      <c r="B11" s="27" t="s">
        <v>194</v>
      </c>
      <c r="C11" s="81" t="s">
        <v>195</v>
      </c>
      <c r="D11" s="75" t="s">
        <v>196</v>
      </c>
      <c r="E11" s="75" t="s">
        <v>210</v>
      </c>
      <c r="F11" s="75" t="s">
        <v>198</v>
      </c>
      <c r="G11" s="75" t="s">
        <v>198</v>
      </c>
      <c r="H11" s="75" t="s">
        <v>198</v>
      </c>
      <c r="I11" s="75" t="s">
        <v>198</v>
      </c>
      <c r="J11" s="75" t="s">
        <v>198</v>
      </c>
      <c r="K11" s="75" t="s">
        <v>198</v>
      </c>
      <c r="L11" s="75" t="s">
        <v>198</v>
      </c>
      <c r="M11" s="75" t="s">
        <v>198</v>
      </c>
      <c r="N11" s="75" t="s">
        <v>210</v>
      </c>
      <c r="O11" s="75" t="s">
        <v>211</v>
      </c>
      <c r="P11" s="75" t="s">
        <v>210</v>
      </c>
      <c r="Q11" s="75" t="s">
        <v>200</v>
      </c>
      <c r="R11" s="75" t="s">
        <v>201</v>
      </c>
      <c r="S11" s="75" t="s">
        <v>210</v>
      </c>
      <c r="T11" s="75" t="s">
        <v>202</v>
      </c>
      <c r="U11" s="75" t="s">
        <v>203</v>
      </c>
      <c r="V11" s="75" t="s">
        <v>204</v>
      </c>
      <c r="W11" s="75" t="s">
        <v>205</v>
      </c>
      <c r="X11" s="75" t="s">
        <v>198</v>
      </c>
      <c r="Y11" s="75" t="s">
        <v>198</v>
      </c>
      <c r="Z11" s="75" t="s">
        <v>198</v>
      </c>
      <c r="AA11" s="75" t="s">
        <v>198</v>
      </c>
      <c r="AB11" s="75" t="s">
        <v>198</v>
      </c>
      <c r="AC11" s="75" t="s">
        <v>198</v>
      </c>
      <c r="AD11" s="75" t="s">
        <v>198</v>
      </c>
      <c r="AE11" s="75" t="s">
        <v>198</v>
      </c>
      <c r="AF11" s="75" t="s">
        <v>198</v>
      </c>
      <c r="AG11" s="75" t="s">
        <v>198</v>
      </c>
      <c r="AH11" s="75" t="s">
        <v>198</v>
      </c>
      <c r="AI11" s="75" t="s">
        <v>198</v>
      </c>
      <c r="AJ11" s="75" t="s">
        <v>198</v>
      </c>
      <c r="AK11" s="75" t="s">
        <v>198</v>
      </c>
      <c r="AL11" s="75" t="s">
        <v>198</v>
      </c>
      <c r="AM11" s="75" t="s">
        <v>198</v>
      </c>
      <c r="AN11" s="75" t="s">
        <v>198</v>
      </c>
      <c r="AO11" s="75" t="s">
        <v>198</v>
      </c>
      <c r="AP11" s="75" t="s">
        <v>198</v>
      </c>
      <c r="AQ11" s="75" t="s">
        <v>198</v>
      </c>
      <c r="AR11" s="75" t="s">
        <v>198</v>
      </c>
      <c r="AS11" s="75" t="s">
        <v>198</v>
      </c>
      <c r="AT11" s="75" t="s">
        <v>198</v>
      </c>
      <c r="AU11" s="75" t="s">
        <v>198</v>
      </c>
      <c r="AV11" s="75" t="s">
        <v>198</v>
      </c>
      <c r="AW11" s="75" t="s">
        <v>198</v>
      </c>
      <c r="AX11" s="75" t="s">
        <v>198</v>
      </c>
      <c r="AY11" s="75" t="s">
        <v>198</v>
      </c>
      <c r="AZ11" s="75" t="s">
        <v>198</v>
      </c>
      <c r="BA11" s="75" t="s">
        <v>198</v>
      </c>
      <c r="BB11" s="75" t="s">
        <v>198</v>
      </c>
      <c r="BC11" s="75" t="s">
        <v>198</v>
      </c>
      <c r="BD11" s="75" t="s">
        <v>198</v>
      </c>
      <c r="BE11" s="75" t="s">
        <v>198</v>
      </c>
      <c r="BF11" s="75" t="s">
        <v>198</v>
      </c>
      <c r="BG11" s="75" t="s">
        <v>198</v>
      </c>
      <c r="BH11" s="75" t="s">
        <v>198</v>
      </c>
      <c r="BI11" s="75" t="s">
        <v>198</v>
      </c>
      <c r="BJ11" s="75" t="s">
        <v>198</v>
      </c>
      <c r="BK11" s="75" t="s">
        <v>198</v>
      </c>
      <c r="BL11" s="75" t="s">
        <v>198</v>
      </c>
      <c r="BM11" s="75" t="s">
        <v>198</v>
      </c>
      <c r="BN11" s="75" t="s">
        <v>198</v>
      </c>
      <c r="BO11" s="75" t="s">
        <v>198</v>
      </c>
      <c r="BP11" s="75" t="s">
        <v>198</v>
      </c>
      <c r="BQ11" s="75" t="s">
        <v>198</v>
      </c>
      <c r="BR11" s="75" t="s">
        <v>198</v>
      </c>
      <c r="BS11" s="75" t="s">
        <v>198</v>
      </c>
      <c r="BT11" s="75" t="s">
        <v>198</v>
      </c>
      <c r="BU11" s="75" t="s">
        <v>198</v>
      </c>
      <c r="BV11" s="75" t="s">
        <v>198</v>
      </c>
      <c r="BW11" s="75" t="s">
        <v>198</v>
      </c>
      <c r="BX11" s="75" t="s">
        <v>198</v>
      </c>
      <c r="BY11" s="75" t="s">
        <v>198</v>
      </c>
      <c r="BZ11" s="75" t="s">
        <v>198</v>
      </c>
      <c r="CA11" s="75" t="s">
        <v>198</v>
      </c>
      <c r="CB11" s="75" t="s">
        <v>198</v>
      </c>
      <c r="CC11" s="75" t="s">
        <v>198</v>
      </c>
      <c r="CD11" s="75" t="s">
        <v>198</v>
      </c>
      <c r="CE11" s="75" t="s">
        <v>198</v>
      </c>
      <c r="CF11" s="75" t="s">
        <v>198</v>
      </c>
      <c r="CG11" s="75" t="s">
        <v>198</v>
      </c>
      <c r="CH11" s="75" t="s">
        <v>198</v>
      </c>
      <c r="CI11" s="75" t="s">
        <v>198</v>
      </c>
      <c r="CJ11" s="75" t="s">
        <v>198</v>
      </c>
      <c r="CK11" s="75" t="s">
        <v>198</v>
      </c>
      <c r="CL11" s="75" t="s">
        <v>198</v>
      </c>
      <c r="CM11" s="75" t="s">
        <v>198</v>
      </c>
      <c r="CN11" s="75" t="s">
        <v>198</v>
      </c>
      <c r="CO11" s="75" t="s">
        <v>198</v>
      </c>
      <c r="CP11" s="75" t="s">
        <v>198</v>
      </c>
      <c r="CQ11" s="75" t="s">
        <v>198</v>
      </c>
      <c r="CR11" s="75" t="s">
        <v>198</v>
      </c>
      <c r="CS11" s="75" t="s">
        <v>198</v>
      </c>
      <c r="CT11" s="75" t="s">
        <v>198</v>
      </c>
      <c r="CU11" s="75" t="s">
        <v>198</v>
      </c>
      <c r="CV11" s="75" t="s">
        <v>198</v>
      </c>
      <c r="CW11" s="75" t="s">
        <v>198</v>
      </c>
      <c r="CX11" s="75" t="s">
        <v>198</v>
      </c>
      <c r="CY11" s="75" t="s">
        <v>198</v>
      </c>
      <c r="CZ11" s="75" t="s">
        <v>198</v>
      </c>
      <c r="DA11" s="75" t="s">
        <v>198</v>
      </c>
      <c r="DB11" s="75" t="s">
        <v>198</v>
      </c>
      <c r="DC11" s="75" t="s">
        <v>198</v>
      </c>
      <c r="DD11" s="75" t="s">
        <v>198</v>
      </c>
      <c r="DE11" s="75" t="s">
        <v>198</v>
      </c>
      <c r="DF11" s="75" t="s">
        <v>198</v>
      </c>
      <c r="DG11" s="75" t="s">
        <v>198</v>
      </c>
      <c r="DH11" s="75" t="s">
        <v>198</v>
      </c>
      <c r="DI11" s="75" t="s">
        <v>198</v>
      </c>
      <c r="DJ11" s="75" t="s">
        <v>198</v>
      </c>
      <c r="DK11" s="75" t="s">
        <v>198</v>
      </c>
      <c r="DL11" s="75" t="s">
        <v>210</v>
      </c>
      <c r="DM11" s="75" t="s">
        <v>212</v>
      </c>
      <c r="DN11" s="75" t="s">
        <v>153</v>
      </c>
      <c r="DO11" s="75" t="s">
        <v>153</v>
      </c>
      <c r="DP11" s="80"/>
    </row>
    <row r="12" spans="1:120">
      <c r="A12" s="60"/>
      <c r="B12" s="27" t="s">
        <v>194</v>
      </c>
      <c r="C12" s="81" t="s">
        <v>195</v>
      </c>
      <c r="D12" s="75" t="s">
        <v>196</v>
      </c>
      <c r="E12" s="75" t="s">
        <v>213</v>
      </c>
      <c r="F12" s="75" t="s">
        <v>198</v>
      </c>
      <c r="G12" s="75" t="s">
        <v>198</v>
      </c>
      <c r="H12" s="75" t="s">
        <v>198</v>
      </c>
      <c r="I12" s="75" t="s">
        <v>198</v>
      </c>
      <c r="J12" s="75" t="s">
        <v>198</v>
      </c>
      <c r="K12" s="75" t="s">
        <v>198</v>
      </c>
      <c r="L12" s="75" t="s">
        <v>198</v>
      </c>
      <c r="M12" s="75" t="s">
        <v>198</v>
      </c>
      <c r="N12" s="75" t="s">
        <v>213</v>
      </c>
      <c r="O12" s="75" t="s">
        <v>214</v>
      </c>
      <c r="P12" s="75" t="s">
        <v>213</v>
      </c>
      <c r="Q12" s="75" t="s">
        <v>200</v>
      </c>
      <c r="R12" s="75" t="s">
        <v>201</v>
      </c>
      <c r="S12" s="75" t="s">
        <v>213</v>
      </c>
      <c r="T12" s="75" t="s">
        <v>202</v>
      </c>
      <c r="U12" s="75" t="s">
        <v>203</v>
      </c>
      <c r="V12" s="75" t="s">
        <v>204</v>
      </c>
      <c r="W12" s="75" t="s">
        <v>205</v>
      </c>
      <c r="X12" s="75" t="s">
        <v>198</v>
      </c>
      <c r="Y12" s="75" t="s">
        <v>198</v>
      </c>
      <c r="Z12" s="75" t="s">
        <v>198</v>
      </c>
      <c r="AA12" s="75" t="s">
        <v>198</v>
      </c>
      <c r="AB12" s="75" t="s">
        <v>198</v>
      </c>
      <c r="AC12" s="75" t="s">
        <v>198</v>
      </c>
      <c r="AD12" s="75" t="s">
        <v>198</v>
      </c>
      <c r="AE12" s="75" t="s">
        <v>198</v>
      </c>
      <c r="AF12" s="75" t="s">
        <v>198</v>
      </c>
      <c r="AG12" s="75" t="s">
        <v>198</v>
      </c>
      <c r="AH12" s="75" t="s">
        <v>198</v>
      </c>
      <c r="AI12" s="75" t="s">
        <v>198</v>
      </c>
      <c r="AJ12" s="75" t="s">
        <v>198</v>
      </c>
      <c r="AK12" s="75" t="s">
        <v>198</v>
      </c>
      <c r="AL12" s="75" t="s">
        <v>198</v>
      </c>
      <c r="AM12" s="75" t="s">
        <v>198</v>
      </c>
      <c r="AN12" s="75" t="s">
        <v>198</v>
      </c>
      <c r="AO12" s="75" t="s">
        <v>198</v>
      </c>
      <c r="AP12" s="75" t="s">
        <v>198</v>
      </c>
      <c r="AQ12" s="75" t="s">
        <v>198</v>
      </c>
      <c r="AR12" s="75" t="s">
        <v>198</v>
      </c>
      <c r="AS12" s="75" t="s">
        <v>198</v>
      </c>
      <c r="AT12" s="75" t="s">
        <v>198</v>
      </c>
      <c r="AU12" s="75" t="s">
        <v>198</v>
      </c>
      <c r="AV12" s="75" t="s">
        <v>198</v>
      </c>
      <c r="AW12" s="75" t="s">
        <v>198</v>
      </c>
      <c r="AX12" s="75" t="s">
        <v>198</v>
      </c>
      <c r="AY12" s="75" t="s">
        <v>198</v>
      </c>
      <c r="AZ12" s="75" t="s">
        <v>198</v>
      </c>
      <c r="BA12" s="75" t="s">
        <v>198</v>
      </c>
      <c r="BB12" s="75" t="s">
        <v>198</v>
      </c>
      <c r="BC12" s="75" t="s">
        <v>198</v>
      </c>
      <c r="BD12" s="75" t="s">
        <v>198</v>
      </c>
      <c r="BE12" s="75" t="s">
        <v>198</v>
      </c>
      <c r="BF12" s="75" t="s">
        <v>198</v>
      </c>
      <c r="BG12" s="75" t="s">
        <v>198</v>
      </c>
      <c r="BH12" s="75" t="s">
        <v>198</v>
      </c>
      <c r="BI12" s="75" t="s">
        <v>198</v>
      </c>
      <c r="BJ12" s="75" t="s">
        <v>198</v>
      </c>
      <c r="BK12" s="75" t="s">
        <v>198</v>
      </c>
      <c r="BL12" s="75" t="s">
        <v>198</v>
      </c>
      <c r="BM12" s="75" t="s">
        <v>198</v>
      </c>
      <c r="BN12" s="75" t="s">
        <v>198</v>
      </c>
      <c r="BO12" s="75" t="s">
        <v>198</v>
      </c>
      <c r="BP12" s="75" t="s">
        <v>198</v>
      </c>
      <c r="BQ12" s="75" t="s">
        <v>198</v>
      </c>
      <c r="BR12" s="75" t="s">
        <v>198</v>
      </c>
      <c r="BS12" s="75" t="s">
        <v>198</v>
      </c>
      <c r="BT12" s="75" t="s">
        <v>198</v>
      </c>
      <c r="BU12" s="75" t="s">
        <v>198</v>
      </c>
      <c r="BV12" s="75" t="s">
        <v>198</v>
      </c>
      <c r="BW12" s="75" t="s">
        <v>198</v>
      </c>
      <c r="BX12" s="75" t="s">
        <v>198</v>
      </c>
      <c r="BY12" s="75" t="s">
        <v>198</v>
      </c>
      <c r="BZ12" s="75" t="s">
        <v>198</v>
      </c>
      <c r="CA12" s="75" t="s">
        <v>198</v>
      </c>
      <c r="CB12" s="75" t="s">
        <v>198</v>
      </c>
      <c r="CC12" s="75" t="s">
        <v>198</v>
      </c>
      <c r="CD12" s="75" t="s">
        <v>198</v>
      </c>
      <c r="CE12" s="75" t="s">
        <v>198</v>
      </c>
      <c r="CF12" s="75" t="s">
        <v>198</v>
      </c>
      <c r="CG12" s="75" t="s">
        <v>198</v>
      </c>
      <c r="CH12" s="75" t="s">
        <v>198</v>
      </c>
      <c r="CI12" s="75" t="s">
        <v>198</v>
      </c>
      <c r="CJ12" s="75" t="s">
        <v>198</v>
      </c>
      <c r="CK12" s="75" t="s">
        <v>198</v>
      </c>
      <c r="CL12" s="75" t="s">
        <v>198</v>
      </c>
      <c r="CM12" s="75" t="s">
        <v>198</v>
      </c>
      <c r="CN12" s="75" t="s">
        <v>198</v>
      </c>
      <c r="CO12" s="75" t="s">
        <v>198</v>
      </c>
      <c r="CP12" s="75" t="s">
        <v>198</v>
      </c>
      <c r="CQ12" s="75" t="s">
        <v>198</v>
      </c>
      <c r="CR12" s="75" t="s">
        <v>198</v>
      </c>
      <c r="CS12" s="75" t="s">
        <v>198</v>
      </c>
      <c r="CT12" s="75" t="s">
        <v>198</v>
      </c>
      <c r="CU12" s="75" t="s">
        <v>198</v>
      </c>
      <c r="CV12" s="75" t="s">
        <v>198</v>
      </c>
      <c r="CW12" s="75" t="s">
        <v>198</v>
      </c>
      <c r="CX12" s="75" t="s">
        <v>198</v>
      </c>
      <c r="CY12" s="75" t="s">
        <v>198</v>
      </c>
      <c r="CZ12" s="75" t="s">
        <v>198</v>
      </c>
      <c r="DA12" s="75" t="s">
        <v>198</v>
      </c>
      <c r="DB12" s="75" t="s">
        <v>198</v>
      </c>
      <c r="DC12" s="75" t="s">
        <v>198</v>
      </c>
      <c r="DD12" s="75" t="s">
        <v>198</v>
      </c>
      <c r="DE12" s="75" t="s">
        <v>198</v>
      </c>
      <c r="DF12" s="75" t="s">
        <v>198</v>
      </c>
      <c r="DG12" s="75" t="s">
        <v>198</v>
      </c>
      <c r="DH12" s="75" t="s">
        <v>198</v>
      </c>
      <c r="DI12" s="75" t="s">
        <v>198</v>
      </c>
      <c r="DJ12" s="75" t="s">
        <v>198</v>
      </c>
      <c r="DK12" s="75" t="s">
        <v>198</v>
      </c>
      <c r="DL12" s="75" t="s">
        <v>213</v>
      </c>
      <c r="DM12" s="75" t="s">
        <v>215</v>
      </c>
      <c r="DN12" s="75" t="s">
        <v>153</v>
      </c>
      <c r="DO12" s="75" t="s">
        <v>153</v>
      </c>
      <c r="DP12" s="80"/>
    </row>
    <row r="13" spans="1:120">
      <c r="A13" s="60"/>
      <c r="B13" s="27" t="s">
        <v>194</v>
      </c>
      <c r="C13" s="81" t="s">
        <v>195</v>
      </c>
      <c r="D13" s="75" t="s">
        <v>196</v>
      </c>
      <c r="E13" s="75" t="s">
        <v>216</v>
      </c>
      <c r="F13" s="75" t="s">
        <v>198</v>
      </c>
      <c r="G13" s="75" t="s">
        <v>198</v>
      </c>
      <c r="H13" s="75" t="s">
        <v>198</v>
      </c>
      <c r="I13" s="75" t="s">
        <v>198</v>
      </c>
      <c r="J13" s="75" t="s">
        <v>198</v>
      </c>
      <c r="K13" s="75" t="s">
        <v>198</v>
      </c>
      <c r="L13" s="75" t="s">
        <v>198</v>
      </c>
      <c r="M13" s="75" t="s">
        <v>198</v>
      </c>
      <c r="N13" s="75" t="s">
        <v>216</v>
      </c>
      <c r="O13" s="75" t="s">
        <v>214</v>
      </c>
      <c r="P13" s="75" t="s">
        <v>216</v>
      </c>
      <c r="Q13" s="75" t="s">
        <v>200</v>
      </c>
      <c r="R13" s="75" t="s">
        <v>201</v>
      </c>
      <c r="S13" s="75" t="s">
        <v>216</v>
      </c>
      <c r="T13" s="75" t="s">
        <v>202</v>
      </c>
      <c r="U13" s="75" t="s">
        <v>203</v>
      </c>
      <c r="V13" s="75" t="s">
        <v>204</v>
      </c>
      <c r="W13" s="75" t="s">
        <v>205</v>
      </c>
      <c r="X13" s="75" t="s">
        <v>198</v>
      </c>
      <c r="Y13" s="75" t="s">
        <v>198</v>
      </c>
      <c r="Z13" s="75" t="s">
        <v>198</v>
      </c>
      <c r="AA13" s="75" t="s">
        <v>198</v>
      </c>
      <c r="AB13" s="75" t="s">
        <v>198</v>
      </c>
      <c r="AC13" s="75" t="s">
        <v>198</v>
      </c>
      <c r="AD13" s="75" t="s">
        <v>198</v>
      </c>
      <c r="AE13" s="75" t="s">
        <v>198</v>
      </c>
      <c r="AF13" s="75" t="s">
        <v>198</v>
      </c>
      <c r="AG13" s="75" t="s">
        <v>198</v>
      </c>
      <c r="AH13" s="75" t="s">
        <v>198</v>
      </c>
      <c r="AI13" s="75" t="s">
        <v>198</v>
      </c>
      <c r="AJ13" s="75" t="s">
        <v>198</v>
      </c>
      <c r="AK13" s="75" t="s">
        <v>198</v>
      </c>
      <c r="AL13" s="75" t="s">
        <v>198</v>
      </c>
      <c r="AM13" s="75" t="s">
        <v>198</v>
      </c>
      <c r="AN13" s="75" t="s">
        <v>198</v>
      </c>
      <c r="AO13" s="75" t="s">
        <v>198</v>
      </c>
      <c r="AP13" s="75" t="s">
        <v>198</v>
      </c>
      <c r="AQ13" s="75" t="s">
        <v>198</v>
      </c>
      <c r="AR13" s="75" t="s">
        <v>198</v>
      </c>
      <c r="AS13" s="75" t="s">
        <v>198</v>
      </c>
      <c r="AT13" s="75" t="s">
        <v>198</v>
      </c>
      <c r="AU13" s="75" t="s">
        <v>198</v>
      </c>
      <c r="AV13" s="75" t="s">
        <v>198</v>
      </c>
      <c r="AW13" s="75" t="s">
        <v>198</v>
      </c>
      <c r="AX13" s="75" t="s">
        <v>198</v>
      </c>
      <c r="AY13" s="75" t="s">
        <v>198</v>
      </c>
      <c r="AZ13" s="75" t="s">
        <v>198</v>
      </c>
      <c r="BA13" s="75" t="s">
        <v>198</v>
      </c>
      <c r="BB13" s="75" t="s">
        <v>198</v>
      </c>
      <c r="BC13" s="75" t="s">
        <v>198</v>
      </c>
      <c r="BD13" s="75" t="s">
        <v>198</v>
      </c>
      <c r="BE13" s="75" t="s">
        <v>198</v>
      </c>
      <c r="BF13" s="75" t="s">
        <v>198</v>
      </c>
      <c r="BG13" s="75" t="s">
        <v>198</v>
      </c>
      <c r="BH13" s="75" t="s">
        <v>198</v>
      </c>
      <c r="BI13" s="75" t="s">
        <v>198</v>
      </c>
      <c r="BJ13" s="75" t="s">
        <v>198</v>
      </c>
      <c r="BK13" s="75" t="s">
        <v>198</v>
      </c>
      <c r="BL13" s="75" t="s">
        <v>198</v>
      </c>
      <c r="BM13" s="75" t="s">
        <v>198</v>
      </c>
      <c r="BN13" s="75" t="s">
        <v>198</v>
      </c>
      <c r="BO13" s="75" t="s">
        <v>198</v>
      </c>
      <c r="BP13" s="75" t="s">
        <v>198</v>
      </c>
      <c r="BQ13" s="75" t="s">
        <v>198</v>
      </c>
      <c r="BR13" s="75" t="s">
        <v>198</v>
      </c>
      <c r="BS13" s="75" t="s">
        <v>198</v>
      </c>
      <c r="BT13" s="75" t="s">
        <v>198</v>
      </c>
      <c r="BU13" s="75" t="s">
        <v>198</v>
      </c>
      <c r="BV13" s="75" t="s">
        <v>198</v>
      </c>
      <c r="BW13" s="75" t="s">
        <v>198</v>
      </c>
      <c r="BX13" s="75" t="s">
        <v>198</v>
      </c>
      <c r="BY13" s="75" t="s">
        <v>198</v>
      </c>
      <c r="BZ13" s="75" t="s">
        <v>198</v>
      </c>
      <c r="CA13" s="75" t="s">
        <v>198</v>
      </c>
      <c r="CB13" s="75" t="s">
        <v>198</v>
      </c>
      <c r="CC13" s="75" t="s">
        <v>198</v>
      </c>
      <c r="CD13" s="75" t="s">
        <v>198</v>
      </c>
      <c r="CE13" s="75" t="s">
        <v>198</v>
      </c>
      <c r="CF13" s="75" t="s">
        <v>198</v>
      </c>
      <c r="CG13" s="75" t="s">
        <v>198</v>
      </c>
      <c r="CH13" s="75" t="s">
        <v>198</v>
      </c>
      <c r="CI13" s="75" t="s">
        <v>198</v>
      </c>
      <c r="CJ13" s="75" t="s">
        <v>198</v>
      </c>
      <c r="CK13" s="75" t="s">
        <v>198</v>
      </c>
      <c r="CL13" s="75" t="s">
        <v>198</v>
      </c>
      <c r="CM13" s="75" t="s">
        <v>198</v>
      </c>
      <c r="CN13" s="75" t="s">
        <v>198</v>
      </c>
      <c r="CO13" s="75" t="s">
        <v>198</v>
      </c>
      <c r="CP13" s="75" t="s">
        <v>198</v>
      </c>
      <c r="CQ13" s="75" t="s">
        <v>198</v>
      </c>
      <c r="CR13" s="75" t="s">
        <v>198</v>
      </c>
      <c r="CS13" s="75" t="s">
        <v>198</v>
      </c>
      <c r="CT13" s="75" t="s">
        <v>198</v>
      </c>
      <c r="CU13" s="75" t="s">
        <v>198</v>
      </c>
      <c r="CV13" s="75" t="s">
        <v>198</v>
      </c>
      <c r="CW13" s="75" t="s">
        <v>198</v>
      </c>
      <c r="CX13" s="75" t="s">
        <v>198</v>
      </c>
      <c r="CY13" s="75" t="s">
        <v>198</v>
      </c>
      <c r="CZ13" s="75" t="s">
        <v>198</v>
      </c>
      <c r="DA13" s="75" t="s">
        <v>198</v>
      </c>
      <c r="DB13" s="75" t="s">
        <v>198</v>
      </c>
      <c r="DC13" s="75" t="s">
        <v>198</v>
      </c>
      <c r="DD13" s="75" t="s">
        <v>198</v>
      </c>
      <c r="DE13" s="75" t="s">
        <v>198</v>
      </c>
      <c r="DF13" s="75" t="s">
        <v>198</v>
      </c>
      <c r="DG13" s="75" t="s">
        <v>198</v>
      </c>
      <c r="DH13" s="75" t="s">
        <v>198</v>
      </c>
      <c r="DI13" s="75" t="s">
        <v>198</v>
      </c>
      <c r="DJ13" s="75" t="s">
        <v>198</v>
      </c>
      <c r="DK13" s="75" t="s">
        <v>198</v>
      </c>
      <c r="DL13" s="75" t="s">
        <v>216</v>
      </c>
      <c r="DM13" s="75" t="s">
        <v>217</v>
      </c>
      <c r="DN13" s="75" t="s">
        <v>153</v>
      </c>
      <c r="DO13" s="75" t="s">
        <v>153</v>
      </c>
      <c r="DP13" s="80"/>
    </row>
    <row r="14" spans="1:120">
      <c r="A14" s="60"/>
      <c r="B14" s="27" t="s">
        <v>194</v>
      </c>
      <c r="C14" s="81" t="s">
        <v>195</v>
      </c>
      <c r="D14" s="75" t="s">
        <v>196</v>
      </c>
      <c r="E14" s="75" t="s">
        <v>218</v>
      </c>
      <c r="F14" s="75" t="s">
        <v>198</v>
      </c>
      <c r="G14" s="75" t="s">
        <v>198</v>
      </c>
      <c r="H14" s="75" t="s">
        <v>198</v>
      </c>
      <c r="I14" s="75" t="s">
        <v>198</v>
      </c>
      <c r="J14" s="75" t="s">
        <v>198</v>
      </c>
      <c r="K14" s="75" t="s">
        <v>198</v>
      </c>
      <c r="L14" s="75" t="s">
        <v>198</v>
      </c>
      <c r="M14" s="75" t="s">
        <v>198</v>
      </c>
      <c r="N14" s="75" t="s">
        <v>218</v>
      </c>
      <c r="O14" s="75" t="s">
        <v>214</v>
      </c>
      <c r="P14" s="75" t="s">
        <v>218</v>
      </c>
      <c r="Q14" s="75" t="s">
        <v>200</v>
      </c>
      <c r="R14" s="75" t="s">
        <v>201</v>
      </c>
      <c r="S14" s="75" t="s">
        <v>218</v>
      </c>
      <c r="T14" s="75" t="s">
        <v>202</v>
      </c>
      <c r="U14" s="75" t="s">
        <v>203</v>
      </c>
      <c r="V14" s="75" t="s">
        <v>204</v>
      </c>
      <c r="W14" s="75" t="s">
        <v>205</v>
      </c>
      <c r="X14" s="75" t="s">
        <v>198</v>
      </c>
      <c r="Y14" s="75" t="s">
        <v>198</v>
      </c>
      <c r="Z14" s="75" t="s">
        <v>198</v>
      </c>
      <c r="AA14" s="75" t="s">
        <v>198</v>
      </c>
      <c r="AB14" s="75" t="s">
        <v>198</v>
      </c>
      <c r="AC14" s="75" t="s">
        <v>198</v>
      </c>
      <c r="AD14" s="75" t="s">
        <v>198</v>
      </c>
      <c r="AE14" s="75" t="s">
        <v>198</v>
      </c>
      <c r="AF14" s="75" t="s">
        <v>198</v>
      </c>
      <c r="AG14" s="75" t="s">
        <v>198</v>
      </c>
      <c r="AH14" s="75" t="s">
        <v>198</v>
      </c>
      <c r="AI14" s="75" t="s">
        <v>198</v>
      </c>
      <c r="AJ14" s="75" t="s">
        <v>198</v>
      </c>
      <c r="AK14" s="75" t="s">
        <v>198</v>
      </c>
      <c r="AL14" s="75" t="s">
        <v>198</v>
      </c>
      <c r="AM14" s="75" t="s">
        <v>198</v>
      </c>
      <c r="AN14" s="75" t="s">
        <v>198</v>
      </c>
      <c r="AO14" s="75" t="s">
        <v>198</v>
      </c>
      <c r="AP14" s="75" t="s">
        <v>198</v>
      </c>
      <c r="AQ14" s="75" t="s">
        <v>198</v>
      </c>
      <c r="AR14" s="75" t="s">
        <v>198</v>
      </c>
      <c r="AS14" s="75" t="s">
        <v>198</v>
      </c>
      <c r="AT14" s="75" t="s">
        <v>198</v>
      </c>
      <c r="AU14" s="75" t="s">
        <v>198</v>
      </c>
      <c r="AV14" s="75" t="s">
        <v>198</v>
      </c>
      <c r="AW14" s="75" t="s">
        <v>198</v>
      </c>
      <c r="AX14" s="75" t="s">
        <v>198</v>
      </c>
      <c r="AY14" s="75" t="s">
        <v>198</v>
      </c>
      <c r="AZ14" s="75" t="s">
        <v>198</v>
      </c>
      <c r="BA14" s="75" t="s">
        <v>198</v>
      </c>
      <c r="BB14" s="75" t="s">
        <v>198</v>
      </c>
      <c r="BC14" s="75" t="s">
        <v>198</v>
      </c>
      <c r="BD14" s="75" t="s">
        <v>198</v>
      </c>
      <c r="BE14" s="75" t="s">
        <v>198</v>
      </c>
      <c r="BF14" s="75" t="s">
        <v>198</v>
      </c>
      <c r="BG14" s="75" t="s">
        <v>198</v>
      </c>
      <c r="BH14" s="75" t="s">
        <v>198</v>
      </c>
      <c r="BI14" s="75" t="s">
        <v>198</v>
      </c>
      <c r="BJ14" s="75" t="s">
        <v>198</v>
      </c>
      <c r="BK14" s="75" t="s">
        <v>198</v>
      </c>
      <c r="BL14" s="75" t="s">
        <v>198</v>
      </c>
      <c r="BM14" s="75" t="s">
        <v>198</v>
      </c>
      <c r="BN14" s="75" t="s">
        <v>198</v>
      </c>
      <c r="BO14" s="75" t="s">
        <v>198</v>
      </c>
      <c r="BP14" s="75" t="s">
        <v>198</v>
      </c>
      <c r="BQ14" s="75" t="s">
        <v>198</v>
      </c>
      <c r="BR14" s="75" t="s">
        <v>198</v>
      </c>
      <c r="BS14" s="75" t="s">
        <v>198</v>
      </c>
      <c r="BT14" s="75" t="s">
        <v>198</v>
      </c>
      <c r="BU14" s="75" t="s">
        <v>198</v>
      </c>
      <c r="BV14" s="75" t="s">
        <v>198</v>
      </c>
      <c r="BW14" s="75" t="s">
        <v>198</v>
      </c>
      <c r="BX14" s="75" t="s">
        <v>198</v>
      </c>
      <c r="BY14" s="75" t="s">
        <v>198</v>
      </c>
      <c r="BZ14" s="75" t="s">
        <v>198</v>
      </c>
      <c r="CA14" s="75" t="s">
        <v>198</v>
      </c>
      <c r="CB14" s="75" t="s">
        <v>198</v>
      </c>
      <c r="CC14" s="75" t="s">
        <v>198</v>
      </c>
      <c r="CD14" s="75" t="s">
        <v>198</v>
      </c>
      <c r="CE14" s="75" t="s">
        <v>198</v>
      </c>
      <c r="CF14" s="75" t="s">
        <v>198</v>
      </c>
      <c r="CG14" s="75" t="s">
        <v>198</v>
      </c>
      <c r="CH14" s="75" t="s">
        <v>198</v>
      </c>
      <c r="CI14" s="75" t="s">
        <v>198</v>
      </c>
      <c r="CJ14" s="75" t="s">
        <v>198</v>
      </c>
      <c r="CK14" s="75" t="s">
        <v>198</v>
      </c>
      <c r="CL14" s="75" t="s">
        <v>198</v>
      </c>
      <c r="CM14" s="75" t="s">
        <v>198</v>
      </c>
      <c r="CN14" s="75" t="s">
        <v>198</v>
      </c>
      <c r="CO14" s="75" t="s">
        <v>198</v>
      </c>
      <c r="CP14" s="75" t="s">
        <v>198</v>
      </c>
      <c r="CQ14" s="75" t="s">
        <v>198</v>
      </c>
      <c r="CR14" s="75" t="s">
        <v>198</v>
      </c>
      <c r="CS14" s="75" t="s">
        <v>198</v>
      </c>
      <c r="CT14" s="75" t="s">
        <v>198</v>
      </c>
      <c r="CU14" s="75" t="s">
        <v>198</v>
      </c>
      <c r="CV14" s="75" t="s">
        <v>198</v>
      </c>
      <c r="CW14" s="75" t="s">
        <v>198</v>
      </c>
      <c r="CX14" s="75" t="s">
        <v>198</v>
      </c>
      <c r="CY14" s="75" t="s">
        <v>198</v>
      </c>
      <c r="CZ14" s="75" t="s">
        <v>198</v>
      </c>
      <c r="DA14" s="75" t="s">
        <v>198</v>
      </c>
      <c r="DB14" s="75" t="s">
        <v>198</v>
      </c>
      <c r="DC14" s="75" t="s">
        <v>198</v>
      </c>
      <c r="DD14" s="75" t="s">
        <v>198</v>
      </c>
      <c r="DE14" s="75" t="s">
        <v>198</v>
      </c>
      <c r="DF14" s="75" t="s">
        <v>198</v>
      </c>
      <c r="DG14" s="75" t="s">
        <v>198</v>
      </c>
      <c r="DH14" s="75" t="s">
        <v>198</v>
      </c>
      <c r="DI14" s="75" t="s">
        <v>198</v>
      </c>
      <c r="DJ14" s="75" t="s">
        <v>198</v>
      </c>
      <c r="DK14" s="75" t="s">
        <v>198</v>
      </c>
      <c r="DL14" s="75" t="s">
        <v>218</v>
      </c>
      <c r="DM14" s="75" t="s">
        <v>219</v>
      </c>
      <c r="DN14" s="75" t="s">
        <v>153</v>
      </c>
      <c r="DO14" s="75" t="s">
        <v>153</v>
      </c>
      <c r="DP14" s="80"/>
    </row>
    <row r="15" spans="1:120">
      <c r="A15" s="60"/>
      <c r="B15" s="27" t="s">
        <v>194</v>
      </c>
      <c r="C15" s="81" t="s">
        <v>195</v>
      </c>
      <c r="D15" s="75" t="s">
        <v>196</v>
      </c>
      <c r="E15" s="75" t="s">
        <v>220</v>
      </c>
      <c r="F15" s="75" t="s">
        <v>198</v>
      </c>
      <c r="G15" s="75" t="s">
        <v>198</v>
      </c>
      <c r="H15" s="75" t="s">
        <v>198</v>
      </c>
      <c r="I15" s="75" t="s">
        <v>198</v>
      </c>
      <c r="J15" s="75" t="s">
        <v>198</v>
      </c>
      <c r="K15" s="75" t="s">
        <v>198</v>
      </c>
      <c r="L15" s="75" t="s">
        <v>198</v>
      </c>
      <c r="M15" s="75" t="s">
        <v>198</v>
      </c>
      <c r="N15" s="75" t="s">
        <v>220</v>
      </c>
      <c r="O15" s="75" t="s">
        <v>221</v>
      </c>
      <c r="P15" s="75" t="s">
        <v>220</v>
      </c>
      <c r="Q15" s="75" t="s">
        <v>200</v>
      </c>
      <c r="R15" s="75" t="s">
        <v>201</v>
      </c>
      <c r="S15" s="75" t="s">
        <v>220</v>
      </c>
      <c r="T15" s="75" t="s">
        <v>202</v>
      </c>
      <c r="U15" s="75" t="s">
        <v>203</v>
      </c>
      <c r="V15" s="75" t="s">
        <v>204</v>
      </c>
      <c r="W15" s="75" t="s">
        <v>205</v>
      </c>
      <c r="X15" s="75" t="s">
        <v>198</v>
      </c>
      <c r="Y15" s="75" t="s">
        <v>198</v>
      </c>
      <c r="Z15" s="75" t="s">
        <v>198</v>
      </c>
      <c r="AA15" s="75" t="s">
        <v>198</v>
      </c>
      <c r="AB15" s="75" t="s">
        <v>198</v>
      </c>
      <c r="AC15" s="75" t="s">
        <v>198</v>
      </c>
      <c r="AD15" s="75" t="s">
        <v>198</v>
      </c>
      <c r="AE15" s="75" t="s">
        <v>198</v>
      </c>
      <c r="AF15" s="75" t="s">
        <v>198</v>
      </c>
      <c r="AG15" s="75" t="s">
        <v>198</v>
      </c>
      <c r="AH15" s="75" t="s">
        <v>198</v>
      </c>
      <c r="AI15" s="75" t="s">
        <v>198</v>
      </c>
      <c r="AJ15" s="75" t="s">
        <v>198</v>
      </c>
      <c r="AK15" s="75" t="s">
        <v>198</v>
      </c>
      <c r="AL15" s="75" t="s">
        <v>198</v>
      </c>
      <c r="AM15" s="75" t="s">
        <v>198</v>
      </c>
      <c r="AN15" s="75" t="s">
        <v>198</v>
      </c>
      <c r="AO15" s="75" t="s">
        <v>198</v>
      </c>
      <c r="AP15" s="75" t="s">
        <v>198</v>
      </c>
      <c r="AQ15" s="75" t="s">
        <v>198</v>
      </c>
      <c r="AR15" s="75" t="s">
        <v>198</v>
      </c>
      <c r="AS15" s="75" t="s">
        <v>198</v>
      </c>
      <c r="AT15" s="75" t="s">
        <v>198</v>
      </c>
      <c r="AU15" s="75" t="s">
        <v>198</v>
      </c>
      <c r="AV15" s="75" t="s">
        <v>198</v>
      </c>
      <c r="AW15" s="75" t="s">
        <v>198</v>
      </c>
      <c r="AX15" s="75" t="s">
        <v>198</v>
      </c>
      <c r="AY15" s="75" t="s">
        <v>198</v>
      </c>
      <c r="AZ15" s="75" t="s">
        <v>198</v>
      </c>
      <c r="BA15" s="75" t="s">
        <v>198</v>
      </c>
      <c r="BB15" s="75" t="s">
        <v>198</v>
      </c>
      <c r="BC15" s="75" t="s">
        <v>198</v>
      </c>
      <c r="BD15" s="75" t="s">
        <v>198</v>
      </c>
      <c r="BE15" s="75" t="s">
        <v>198</v>
      </c>
      <c r="BF15" s="75" t="s">
        <v>198</v>
      </c>
      <c r="BG15" s="75" t="s">
        <v>198</v>
      </c>
      <c r="BH15" s="75" t="s">
        <v>198</v>
      </c>
      <c r="BI15" s="75" t="s">
        <v>198</v>
      </c>
      <c r="BJ15" s="75" t="s">
        <v>198</v>
      </c>
      <c r="BK15" s="75" t="s">
        <v>198</v>
      </c>
      <c r="BL15" s="75" t="s">
        <v>198</v>
      </c>
      <c r="BM15" s="75" t="s">
        <v>198</v>
      </c>
      <c r="BN15" s="75" t="s">
        <v>198</v>
      </c>
      <c r="BO15" s="75" t="s">
        <v>198</v>
      </c>
      <c r="BP15" s="75" t="s">
        <v>198</v>
      </c>
      <c r="BQ15" s="75" t="s">
        <v>198</v>
      </c>
      <c r="BR15" s="75" t="s">
        <v>198</v>
      </c>
      <c r="BS15" s="75" t="s">
        <v>198</v>
      </c>
      <c r="BT15" s="75" t="s">
        <v>198</v>
      </c>
      <c r="BU15" s="75" t="s">
        <v>198</v>
      </c>
      <c r="BV15" s="75" t="s">
        <v>198</v>
      </c>
      <c r="BW15" s="75" t="s">
        <v>198</v>
      </c>
      <c r="BX15" s="75" t="s">
        <v>198</v>
      </c>
      <c r="BY15" s="75" t="s">
        <v>198</v>
      </c>
      <c r="BZ15" s="75" t="s">
        <v>198</v>
      </c>
      <c r="CA15" s="75" t="s">
        <v>198</v>
      </c>
      <c r="CB15" s="75" t="s">
        <v>198</v>
      </c>
      <c r="CC15" s="75" t="s">
        <v>198</v>
      </c>
      <c r="CD15" s="75" t="s">
        <v>198</v>
      </c>
      <c r="CE15" s="75" t="s">
        <v>198</v>
      </c>
      <c r="CF15" s="75" t="s">
        <v>198</v>
      </c>
      <c r="CG15" s="75" t="s">
        <v>198</v>
      </c>
      <c r="CH15" s="75" t="s">
        <v>198</v>
      </c>
      <c r="CI15" s="75" t="s">
        <v>198</v>
      </c>
      <c r="CJ15" s="75" t="s">
        <v>198</v>
      </c>
      <c r="CK15" s="75" t="s">
        <v>198</v>
      </c>
      <c r="CL15" s="75" t="s">
        <v>198</v>
      </c>
      <c r="CM15" s="75" t="s">
        <v>198</v>
      </c>
      <c r="CN15" s="75" t="s">
        <v>198</v>
      </c>
      <c r="CO15" s="75" t="s">
        <v>198</v>
      </c>
      <c r="CP15" s="75" t="s">
        <v>198</v>
      </c>
      <c r="CQ15" s="75" t="s">
        <v>198</v>
      </c>
      <c r="CR15" s="75" t="s">
        <v>198</v>
      </c>
      <c r="CS15" s="75" t="s">
        <v>198</v>
      </c>
      <c r="CT15" s="75" t="s">
        <v>198</v>
      </c>
      <c r="CU15" s="75" t="s">
        <v>198</v>
      </c>
      <c r="CV15" s="75" t="s">
        <v>198</v>
      </c>
      <c r="CW15" s="75" t="s">
        <v>198</v>
      </c>
      <c r="CX15" s="75" t="s">
        <v>198</v>
      </c>
      <c r="CY15" s="75" t="s">
        <v>198</v>
      </c>
      <c r="CZ15" s="75" t="s">
        <v>198</v>
      </c>
      <c r="DA15" s="75" t="s">
        <v>198</v>
      </c>
      <c r="DB15" s="75" t="s">
        <v>198</v>
      </c>
      <c r="DC15" s="75" t="s">
        <v>198</v>
      </c>
      <c r="DD15" s="75" t="s">
        <v>198</v>
      </c>
      <c r="DE15" s="75" t="s">
        <v>198</v>
      </c>
      <c r="DF15" s="75" t="s">
        <v>198</v>
      </c>
      <c r="DG15" s="75" t="s">
        <v>198</v>
      </c>
      <c r="DH15" s="75" t="s">
        <v>198</v>
      </c>
      <c r="DI15" s="75" t="s">
        <v>198</v>
      </c>
      <c r="DJ15" s="75" t="s">
        <v>198</v>
      </c>
      <c r="DK15" s="75" t="s">
        <v>198</v>
      </c>
      <c r="DL15" s="75" t="s">
        <v>220</v>
      </c>
      <c r="DM15" s="75" t="s">
        <v>222</v>
      </c>
      <c r="DN15" s="75" t="s">
        <v>153</v>
      </c>
      <c r="DO15" s="75" t="s">
        <v>153</v>
      </c>
      <c r="DP15" s="80"/>
    </row>
    <row r="16" spans="1:120">
      <c r="A16" s="60"/>
      <c r="B16" s="27" t="s">
        <v>194</v>
      </c>
      <c r="C16" s="81" t="s">
        <v>195</v>
      </c>
      <c r="D16" s="75" t="s">
        <v>196</v>
      </c>
      <c r="E16" s="75" t="s">
        <v>223</v>
      </c>
      <c r="F16" s="75" t="s">
        <v>198</v>
      </c>
      <c r="G16" s="75" t="s">
        <v>198</v>
      </c>
      <c r="H16" s="75" t="s">
        <v>198</v>
      </c>
      <c r="I16" s="75" t="s">
        <v>198</v>
      </c>
      <c r="J16" s="75" t="s">
        <v>198</v>
      </c>
      <c r="K16" s="75" t="s">
        <v>198</v>
      </c>
      <c r="L16" s="75" t="s">
        <v>198</v>
      </c>
      <c r="M16" s="75" t="s">
        <v>198</v>
      </c>
      <c r="N16" s="75" t="s">
        <v>223</v>
      </c>
      <c r="O16" s="75" t="s">
        <v>224</v>
      </c>
      <c r="P16" s="75" t="s">
        <v>223</v>
      </c>
      <c r="Q16" s="75" t="s">
        <v>200</v>
      </c>
      <c r="R16" s="75" t="s">
        <v>201</v>
      </c>
      <c r="S16" s="75" t="s">
        <v>223</v>
      </c>
      <c r="T16" s="75" t="s">
        <v>202</v>
      </c>
      <c r="U16" s="75" t="s">
        <v>203</v>
      </c>
      <c r="V16" s="75" t="s">
        <v>204</v>
      </c>
      <c r="W16" s="75" t="s">
        <v>205</v>
      </c>
      <c r="X16" s="75" t="s">
        <v>198</v>
      </c>
      <c r="Y16" s="75" t="s">
        <v>198</v>
      </c>
      <c r="Z16" s="75" t="s">
        <v>198</v>
      </c>
      <c r="AA16" s="75" t="s">
        <v>198</v>
      </c>
      <c r="AB16" s="75" t="s">
        <v>198</v>
      </c>
      <c r="AC16" s="75" t="s">
        <v>198</v>
      </c>
      <c r="AD16" s="75" t="s">
        <v>198</v>
      </c>
      <c r="AE16" s="75" t="s">
        <v>198</v>
      </c>
      <c r="AF16" s="75" t="s">
        <v>198</v>
      </c>
      <c r="AG16" s="75" t="s">
        <v>198</v>
      </c>
      <c r="AH16" s="75" t="s">
        <v>198</v>
      </c>
      <c r="AI16" s="75" t="s">
        <v>198</v>
      </c>
      <c r="AJ16" s="75" t="s">
        <v>198</v>
      </c>
      <c r="AK16" s="75" t="s">
        <v>198</v>
      </c>
      <c r="AL16" s="75" t="s">
        <v>198</v>
      </c>
      <c r="AM16" s="75" t="s">
        <v>198</v>
      </c>
      <c r="AN16" s="75" t="s">
        <v>198</v>
      </c>
      <c r="AO16" s="75" t="s">
        <v>198</v>
      </c>
      <c r="AP16" s="75" t="s">
        <v>198</v>
      </c>
      <c r="AQ16" s="75" t="s">
        <v>198</v>
      </c>
      <c r="AR16" s="75" t="s">
        <v>198</v>
      </c>
      <c r="AS16" s="75" t="s">
        <v>198</v>
      </c>
      <c r="AT16" s="75" t="s">
        <v>198</v>
      </c>
      <c r="AU16" s="75" t="s">
        <v>198</v>
      </c>
      <c r="AV16" s="75" t="s">
        <v>198</v>
      </c>
      <c r="AW16" s="75" t="s">
        <v>198</v>
      </c>
      <c r="AX16" s="75" t="s">
        <v>198</v>
      </c>
      <c r="AY16" s="75" t="s">
        <v>198</v>
      </c>
      <c r="AZ16" s="75" t="s">
        <v>198</v>
      </c>
      <c r="BA16" s="75" t="s">
        <v>198</v>
      </c>
      <c r="BB16" s="75" t="s">
        <v>198</v>
      </c>
      <c r="BC16" s="75" t="s">
        <v>198</v>
      </c>
      <c r="BD16" s="75" t="s">
        <v>198</v>
      </c>
      <c r="BE16" s="75" t="s">
        <v>198</v>
      </c>
      <c r="BF16" s="75" t="s">
        <v>198</v>
      </c>
      <c r="BG16" s="75" t="s">
        <v>198</v>
      </c>
      <c r="BH16" s="75" t="s">
        <v>198</v>
      </c>
      <c r="BI16" s="75" t="s">
        <v>198</v>
      </c>
      <c r="BJ16" s="75" t="s">
        <v>198</v>
      </c>
      <c r="BK16" s="75" t="s">
        <v>198</v>
      </c>
      <c r="BL16" s="75" t="s">
        <v>198</v>
      </c>
      <c r="BM16" s="75" t="s">
        <v>198</v>
      </c>
      <c r="BN16" s="75" t="s">
        <v>198</v>
      </c>
      <c r="BO16" s="75" t="s">
        <v>198</v>
      </c>
      <c r="BP16" s="75" t="s">
        <v>198</v>
      </c>
      <c r="BQ16" s="75" t="s">
        <v>198</v>
      </c>
      <c r="BR16" s="75" t="s">
        <v>198</v>
      </c>
      <c r="BS16" s="75" t="s">
        <v>198</v>
      </c>
      <c r="BT16" s="75" t="s">
        <v>198</v>
      </c>
      <c r="BU16" s="75" t="s">
        <v>198</v>
      </c>
      <c r="BV16" s="75" t="s">
        <v>198</v>
      </c>
      <c r="BW16" s="75" t="s">
        <v>198</v>
      </c>
      <c r="BX16" s="75" t="s">
        <v>198</v>
      </c>
      <c r="BY16" s="75" t="s">
        <v>198</v>
      </c>
      <c r="BZ16" s="75" t="s">
        <v>198</v>
      </c>
      <c r="CA16" s="75" t="s">
        <v>198</v>
      </c>
      <c r="CB16" s="75" t="s">
        <v>198</v>
      </c>
      <c r="CC16" s="75" t="s">
        <v>198</v>
      </c>
      <c r="CD16" s="75" t="s">
        <v>198</v>
      </c>
      <c r="CE16" s="75" t="s">
        <v>198</v>
      </c>
      <c r="CF16" s="75" t="s">
        <v>198</v>
      </c>
      <c r="CG16" s="75" t="s">
        <v>198</v>
      </c>
      <c r="CH16" s="75" t="s">
        <v>198</v>
      </c>
      <c r="CI16" s="75" t="s">
        <v>198</v>
      </c>
      <c r="CJ16" s="75" t="s">
        <v>198</v>
      </c>
      <c r="CK16" s="75" t="s">
        <v>198</v>
      </c>
      <c r="CL16" s="75" t="s">
        <v>198</v>
      </c>
      <c r="CM16" s="75" t="s">
        <v>198</v>
      </c>
      <c r="CN16" s="75" t="s">
        <v>198</v>
      </c>
      <c r="CO16" s="75" t="s">
        <v>198</v>
      </c>
      <c r="CP16" s="75" t="s">
        <v>198</v>
      </c>
      <c r="CQ16" s="75" t="s">
        <v>198</v>
      </c>
      <c r="CR16" s="75" t="s">
        <v>198</v>
      </c>
      <c r="CS16" s="75" t="s">
        <v>198</v>
      </c>
      <c r="CT16" s="75" t="s">
        <v>198</v>
      </c>
      <c r="CU16" s="75" t="s">
        <v>198</v>
      </c>
      <c r="CV16" s="75" t="s">
        <v>198</v>
      </c>
      <c r="CW16" s="75" t="s">
        <v>198</v>
      </c>
      <c r="CX16" s="75" t="s">
        <v>198</v>
      </c>
      <c r="CY16" s="75" t="s">
        <v>198</v>
      </c>
      <c r="CZ16" s="75" t="s">
        <v>198</v>
      </c>
      <c r="DA16" s="75" t="s">
        <v>198</v>
      </c>
      <c r="DB16" s="75" t="s">
        <v>198</v>
      </c>
      <c r="DC16" s="75" t="s">
        <v>198</v>
      </c>
      <c r="DD16" s="75" t="s">
        <v>198</v>
      </c>
      <c r="DE16" s="75" t="s">
        <v>198</v>
      </c>
      <c r="DF16" s="75" t="s">
        <v>198</v>
      </c>
      <c r="DG16" s="75" t="s">
        <v>198</v>
      </c>
      <c r="DH16" s="75" t="s">
        <v>198</v>
      </c>
      <c r="DI16" s="75" t="s">
        <v>198</v>
      </c>
      <c r="DJ16" s="75" t="s">
        <v>198</v>
      </c>
      <c r="DK16" s="75" t="s">
        <v>198</v>
      </c>
      <c r="DL16" s="75" t="s">
        <v>223</v>
      </c>
      <c r="DM16" s="75" t="s">
        <v>225</v>
      </c>
      <c r="DN16" s="75" t="s">
        <v>153</v>
      </c>
      <c r="DO16" s="75" t="s">
        <v>153</v>
      </c>
      <c r="DP16" s="80"/>
    </row>
    <row r="17" spans="1:143">
      <c r="A17" s="60"/>
      <c r="B17" s="27" t="s">
        <v>194</v>
      </c>
      <c r="C17" s="81" t="s">
        <v>195</v>
      </c>
      <c r="D17" s="75" t="s">
        <v>196</v>
      </c>
      <c r="E17" s="75" t="s">
        <v>226</v>
      </c>
      <c r="F17" s="75" t="s">
        <v>198</v>
      </c>
      <c r="G17" s="75" t="s">
        <v>198</v>
      </c>
      <c r="H17" s="75" t="s">
        <v>198</v>
      </c>
      <c r="I17" s="75" t="s">
        <v>198</v>
      </c>
      <c r="J17" s="75" t="s">
        <v>198</v>
      </c>
      <c r="K17" s="75" t="s">
        <v>198</v>
      </c>
      <c r="L17" s="75" t="s">
        <v>198</v>
      </c>
      <c r="M17" s="75" t="s">
        <v>198</v>
      </c>
      <c r="N17" s="75" t="s">
        <v>226</v>
      </c>
      <c r="O17" s="75" t="s">
        <v>227</v>
      </c>
      <c r="P17" s="75" t="s">
        <v>226</v>
      </c>
      <c r="Q17" s="75" t="s">
        <v>200</v>
      </c>
      <c r="R17" s="75" t="s">
        <v>201</v>
      </c>
      <c r="S17" s="75" t="s">
        <v>226</v>
      </c>
      <c r="T17" s="75" t="s">
        <v>202</v>
      </c>
      <c r="U17" s="75" t="s">
        <v>203</v>
      </c>
      <c r="V17" s="75" t="s">
        <v>204</v>
      </c>
      <c r="W17" s="75" t="s">
        <v>205</v>
      </c>
      <c r="X17" s="75" t="s">
        <v>198</v>
      </c>
      <c r="Y17" s="75" t="s">
        <v>198</v>
      </c>
      <c r="Z17" s="75" t="s">
        <v>198</v>
      </c>
      <c r="AA17" s="75" t="s">
        <v>198</v>
      </c>
      <c r="AB17" s="75" t="s">
        <v>198</v>
      </c>
      <c r="AC17" s="75" t="s">
        <v>198</v>
      </c>
      <c r="AD17" s="75" t="s">
        <v>198</v>
      </c>
      <c r="AE17" s="75" t="s">
        <v>198</v>
      </c>
      <c r="AF17" s="75" t="s">
        <v>198</v>
      </c>
      <c r="AG17" s="75" t="s">
        <v>198</v>
      </c>
      <c r="AH17" s="75" t="s">
        <v>198</v>
      </c>
      <c r="AI17" s="75" t="s">
        <v>198</v>
      </c>
      <c r="AJ17" s="75" t="s">
        <v>198</v>
      </c>
      <c r="AK17" s="75" t="s">
        <v>198</v>
      </c>
      <c r="AL17" s="75" t="s">
        <v>198</v>
      </c>
      <c r="AM17" s="75" t="s">
        <v>198</v>
      </c>
      <c r="AN17" s="75" t="s">
        <v>198</v>
      </c>
      <c r="AO17" s="75" t="s">
        <v>198</v>
      </c>
      <c r="AP17" s="75" t="s">
        <v>198</v>
      </c>
      <c r="AQ17" s="75" t="s">
        <v>198</v>
      </c>
      <c r="AR17" s="75" t="s">
        <v>198</v>
      </c>
      <c r="AS17" s="75" t="s">
        <v>198</v>
      </c>
      <c r="AT17" s="75" t="s">
        <v>198</v>
      </c>
      <c r="AU17" s="75" t="s">
        <v>198</v>
      </c>
      <c r="AV17" s="75" t="s">
        <v>198</v>
      </c>
      <c r="AW17" s="75" t="s">
        <v>198</v>
      </c>
      <c r="AX17" s="75" t="s">
        <v>198</v>
      </c>
      <c r="AY17" s="75" t="s">
        <v>198</v>
      </c>
      <c r="AZ17" s="75" t="s">
        <v>198</v>
      </c>
      <c r="BA17" s="75" t="s">
        <v>198</v>
      </c>
      <c r="BB17" s="75" t="s">
        <v>198</v>
      </c>
      <c r="BC17" s="75" t="s">
        <v>198</v>
      </c>
      <c r="BD17" s="75" t="s">
        <v>198</v>
      </c>
      <c r="BE17" s="75" t="s">
        <v>198</v>
      </c>
      <c r="BF17" s="75" t="s">
        <v>198</v>
      </c>
      <c r="BG17" s="75" t="s">
        <v>198</v>
      </c>
      <c r="BH17" s="75" t="s">
        <v>198</v>
      </c>
      <c r="BI17" s="75" t="s">
        <v>198</v>
      </c>
      <c r="BJ17" s="75" t="s">
        <v>198</v>
      </c>
      <c r="BK17" s="75" t="s">
        <v>198</v>
      </c>
      <c r="BL17" s="75" t="s">
        <v>198</v>
      </c>
      <c r="BM17" s="75" t="s">
        <v>198</v>
      </c>
      <c r="BN17" s="75" t="s">
        <v>198</v>
      </c>
      <c r="BO17" s="75" t="s">
        <v>198</v>
      </c>
      <c r="BP17" s="75" t="s">
        <v>198</v>
      </c>
      <c r="BQ17" s="75" t="s">
        <v>198</v>
      </c>
      <c r="BR17" s="75" t="s">
        <v>198</v>
      </c>
      <c r="BS17" s="75" t="s">
        <v>198</v>
      </c>
      <c r="BT17" s="75" t="s">
        <v>198</v>
      </c>
      <c r="BU17" s="75" t="s">
        <v>198</v>
      </c>
      <c r="BV17" s="75" t="s">
        <v>198</v>
      </c>
      <c r="BW17" s="75" t="s">
        <v>198</v>
      </c>
      <c r="BX17" s="75" t="s">
        <v>198</v>
      </c>
      <c r="BY17" s="75" t="s">
        <v>198</v>
      </c>
      <c r="BZ17" s="75" t="s">
        <v>198</v>
      </c>
      <c r="CA17" s="75" t="s">
        <v>198</v>
      </c>
      <c r="CB17" s="75" t="s">
        <v>198</v>
      </c>
      <c r="CC17" s="75" t="s">
        <v>198</v>
      </c>
      <c r="CD17" s="75" t="s">
        <v>198</v>
      </c>
      <c r="CE17" s="75" t="s">
        <v>198</v>
      </c>
      <c r="CF17" s="75" t="s">
        <v>198</v>
      </c>
      <c r="CG17" s="75" t="s">
        <v>198</v>
      </c>
      <c r="CH17" s="75" t="s">
        <v>198</v>
      </c>
      <c r="CI17" s="75" t="s">
        <v>198</v>
      </c>
      <c r="CJ17" s="75" t="s">
        <v>198</v>
      </c>
      <c r="CK17" s="75" t="s">
        <v>198</v>
      </c>
      <c r="CL17" s="75" t="s">
        <v>198</v>
      </c>
      <c r="CM17" s="75" t="s">
        <v>198</v>
      </c>
      <c r="CN17" s="75" t="s">
        <v>198</v>
      </c>
      <c r="CO17" s="75" t="s">
        <v>198</v>
      </c>
      <c r="CP17" s="75" t="s">
        <v>198</v>
      </c>
      <c r="CQ17" s="75" t="s">
        <v>198</v>
      </c>
      <c r="CR17" s="75" t="s">
        <v>198</v>
      </c>
      <c r="CS17" s="75" t="s">
        <v>198</v>
      </c>
      <c r="CT17" s="75" t="s">
        <v>198</v>
      </c>
      <c r="CU17" s="75" t="s">
        <v>198</v>
      </c>
      <c r="CV17" s="75" t="s">
        <v>198</v>
      </c>
      <c r="CW17" s="75" t="s">
        <v>198</v>
      </c>
      <c r="CX17" s="75" t="s">
        <v>198</v>
      </c>
      <c r="CY17" s="75" t="s">
        <v>198</v>
      </c>
      <c r="CZ17" s="75" t="s">
        <v>198</v>
      </c>
      <c r="DA17" s="75" t="s">
        <v>198</v>
      </c>
      <c r="DB17" s="75" t="s">
        <v>198</v>
      </c>
      <c r="DC17" s="75" t="s">
        <v>198</v>
      </c>
      <c r="DD17" s="75" t="s">
        <v>198</v>
      </c>
      <c r="DE17" s="75" t="s">
        <v>198</v>
      </c>
      <c r="DF17" s="75" t="s">
        <v>198</v>
      </c>
      <c r="DG17" s="75" t="s">
        <v>198</v>
      </c>
      <c r="DH17" s="75" t="s">
        <v>198</v>
      </c>
      <c r="DI17" s="75" t="s">
        <v>198</v>
      </c>
      <c r="DJ17" s="75" t="s">
        <v>198</v>
      </c>
      <c r="DK17" s="75" t="s">
        <v>198</v>
      </c>
      <c r="DL17" s="75" t="s">
        <v>226</v>
      </c>
      <c r="DM17" s="75" t="s">
        <v>228</v>
      </c>
      <c r="DN17" s="75" t="s">
        <v>153</v>
      </c>
      <c r="DO17" s="75" t="s">
        <v>153</v>
      </c>
      <c r="DP17" s="80"/>
    </row>
    <row r="18" spans="1:143">
      <c r="A18" s="60"/>
      <c r="B18" s="27" t="s">
        <v>194</v>
      </c>
      <c r="C18" s="81" t="s">
        <v>195</v>
      </c>
      <c r="D18" s="75" t="s">
        <v>196</v>
      </c>
      <c r="E18" s="75" t="s">
        <v>229</v>
      </c>
      <c r="F18" s="75" t="s">
        <v>198</v>
      </c>
      <c r="G18" s="75" t="s">
        <v>198</v>
      </c>
      <c r="H18" s="75" t="s">
        <v>198</v>
      </c>
      <c r="I18" s="75" t="s">
        <v>198</v>
      </c>
      <c r="J18" s="75" t="s">
        <v>198</v>
      </c>
      <c r="K18" s="75" t="s">
        <v>198</v>
      </c>
      <c r="L18" s="75" t="s">
        <v>198</v>
      </c>
      <c r="M18" s="75" t="s">
        <v>198</v>
      </c>
      <c r="N18" s="75" t="s">
        <v>229</v>
      </c>
      <c r="O18" s="75" t="s">
        <v>230</v>
      </c>
      <c r="P18" s="75" t="s">
        <v>229</v>
      </c>
      <c r="Q18" s="75" t="s">
        <v>200</v>
      </c>
      <c r="R18" s="75" t="s">
        <v>201</v>
      </c>
      <c r="S18" s="75" t="s">
        <v>229</v>
      </c>
      <c r="T18" s="75" t="s">
        <v>202</v>
      </c>
      <c r="U18" s="75" t="s">
        <v>203</v>
      </c>
      <c r="V18" s="75" t="s">
        <v>204</v>
      </c>
      <c r="W18" s="75" t="s">
        <v>205</v>
      </c>
      <c r="X18" s="75" t="s">
        <v>198</v>
      </c>
      <c r="Y18" s="75" t="s">
        <v>198</v>
      </c>
      <c r="Z18" s="75" t="s">
        <v>198</v>
      </c>
      <c r="AA18" s="75" t="s">
        <v>198</v>
      </c>
      <c r="AB18" s="75" t="s">
        <v>198</v>
      </c>
      <c r="AC18" s="75" t="s">
        <v>198</v>
      </c>
      <c r="AD18" s="75" t="s">
        <v>198</v>
      </c>
      <c r="AE18" s="75" t="s">
        <v>198</v>
      </c>
      <c r="AF18" s="75" t="s">
        <v>198</v>
      </c>
      <c r="AG18" s="75" t="s">
        <v>198</v>
      </c>
      <c r="AH18" s="75" t="s">
        <v>198</v>
      </c>
      <c r="AI18" s="75" t="s">
        <v>198</v>
      </c>
      <c r="AJ18" s="75" t="s">
        <v>198</v>
      </c>
      <c r="AK18" s="75" t="s">
        <v>198</v>
      </c>
      <c r="AL18" s="75" t="s">
        <v>198</v>
      </c>
      <c r="AM18" s="75" t="s">
        <v>198</v>
      </c>
      <c r="AN18" s="75" t="s">
        <v>198</v>
      </c>
      <c r="AO18" s="75" t="s">
        <v>198</v>
      </c>
      <c r="AP18" s="75" t="s">
        <v>198</v>
      </c>
      <c r="AQ18" s="75" t="s">
        <v>198</v>
      </c>
      <c r="AR18" s="75" t="s">
        <v>198</v>
      </c>
      <c r="AS18" s="75" t="s">
        <v>198</v>
      </c>
      <c r="AT18" s="75" t="s">
        <v>198</v>
      </c>
      <c r="AU18" s="75" t="s">
        <v>198</v>
      </c>
      <c r="AV18" s="75" t="s">
        <v>198</v>
      </c>
      <c r="AW18" s="75" t="s">
        <v>198</v>
      </c>
      <c r="AX18" s="75" t="s">
        <v>198</v>
      </c>
      <c r="AY18" s="75" t="s">
        <v>198</v>
      </c>
      <c r="AZ18" s="75" t="s">
        <v>198</v>
      </c>
      <c r="BA18" s="75" t="s">
        <v>198</v>
      </c>
      <c r="BB18" s="75" t="s">
        <v>198</v>
      </c>
      <c r="BC18" s="75" t="s">
        <v>198</v>
      </c>
      <c r="BD18" s="75" t="s">
        <v>198</v>
      </c>
      <c r="BE18" s="75" t="s">
        <v>198</v>
      </c>
      <c r="BF18" s="75" t="s">
        <v>198</v>
      </c>
      <c r="BG18" s="75" t="s">
        <v>198</v>
      </c>
      <c r="BH18" s="75" t="s">
        <v>198</v>
      </c>
      <c r="BI18" s="75" t="s">
        <v>198</v>
      </c>
      <c r="BJ18" s="75" t="s">
        <v>198</v>
      </c>
      <c r="BK18" s="75" t="s">
        <v>198</v>
      </c>
      <c r="BL18" s="75" t="s">
        <v>198</v>
      </c>
      <c r="BM18" s="75" t="s">
        <v>198</v>
      </c>
      <c r="BN18" s="75" t="s">
        <v>198</v>
      </c>
      <c r="BO18" s="75" t="s">
        <v>198</v>
      </c>
      <c r="BP18" s="75" t="s">
        <v>198</v>
      </c>
      <c r="BQ18" s="75" t="s">
        <v>198</v>
      </c>
      <c r="BR18" s="75" t="s">
        <v>198</v>
      </c>
      <c r="BS18" s="75" t="s">
        <v>198</v>
      </c>
      <c r="BT18" s="75" t="s">
        <v>198</v>
      </c>
      <c r="BU18" s="75" t="s">
        <v>198</v>
      </c>
      <c r="BV18" s="75" t="s">
        <v>198</v>
      </c>
      <c r="BW18" s="75" t="s">
        <v>198</v>
      </c>
      <c r="BX18" s="75" t="s">
        <v>198</v>
      </c>
      <c r="BY18" s="75" t="s">
        <v>198</v>
      </c>
      <c r="BZ18" s="75" t="s">
        <v>198</v>
      </c>
      <c r="CA18" s="75" t="s">
        <v>198</v>
      </c>
      <c r="CB18" s="75" t="s">
        <v>198</v>
      </c>
      <c r="CC18" s="75" t="s">
        <v>198</v>
      </c>
      <c r="CD18" s="75" t="s">
        <v>198</v>
      </c>
      <c r="CE18" s="75" t="s">
        <v>198</v>
      </c>
      <c r="CF18" s="75" t="s">
        <v>198</v>
      </c>
      <c r="CG18" s="75" t="s">
        <v>198</v>
      </c>
      <c r="CH18" s="75" t="s">
        <v>198</v>
      </c>
      <c r="CI18" s="75" t="s">
        <v>198</v>
      </c>
      <c r="CJ18" s="75" t="s">
        <v>198</v>
      </c>
      <c r="CK18" s="75" t="s">
        <v>198</v>
      </c>
      <c r="CL18" s="75" t="s">
        <v>198</v>
      </c>
      <c r="CM18" s="75" t="s">
        <v>198</v>
      </c>
      <c r="CN18" s="75" t="s">
        <v>198</v>
      </c>
      <c r="CO18" s="75" t="s">
        <v>198</v>
      </c>
      <c r="CP18" s="75" t="s">
        <v>198</v>
      </c>
      <c r="CQ18" s="75" t="s">
        <v>198</v>
      </c>
      <c r="CR18" s="75" t="s">
        <v>198</v>
      </c>
      <c r="CS18" s="75" t="s">
        <v>198</v>
      </c>
      <c r="CT18" s="75" t="s">
        <v>198</v>
      </c>
      <c r="CU18" s="75" t="s">
        <v>198</v>
      </c>
      <c r="CV18" s="75" t="s">
        <v>198</v>
      </c>
      <c r="CW18" s="75" t="s">
        <v>198</v>
      </c>
      <c r="CX18" s="75" t="s">
        <v>198</v>
      </c>
      <c r="CY18" s="75" t="s">
        <v>198</v>
      </c>
      <c r="CZ18" s="75" t="s">
        <v>198</v>
      </c>
      <c r="DA18" s="75" t="s">
        <v>198</v>
      </c>
      <c r="DB18" s="75" t="s">
        <v>198</v>
      </c>
      <c r="DC18" s="75" t="s">
        <v>198</v>
      </c>
      <c r="DD18" s="75" t="s">
        <v>198</v>
      </c>
      <c r="DE18" s="75" t="s">
        <v>198</v>
      </c>
      <c r="DF18" s="75" t="s">
        <v>198</v>
      </c>
      <c r="DG18" s="75" t="s">
        <v>198</v>
      </c>
      <c r="DH18" s="75" t="s">
        <v>198</v>
      </c>
      <c r="DI18" s="75" t="s">
        <v>198</v>
      </c>
      <c r="DJ18" s="75" t="s">
        <v>198</v>
      </c>
      <c r="DK18" s="75" t="s">
        <v>198</v>
      </c>
      <c r="DL18" s="75" t="s">
        <v>229</v>
      </c>
      <c r="DM18" s="75" t="s">
        <v>231</v>
      </c>
      <c r="DN18" s="75" t="s">
        <v>153</v>
      </c>
      <c r="DO18" s="75" t="s">
        <v>153</v>
      </c>
      <c r="DP18" s="80"/>
    </row>
    <row r="19" spans="1:143">
      <c r="A19" s="60"/>
      <c r="B19" s="27" t="s">
        <v>194</v>
      </c>
      <c r="C19" s="81" t="s">
        <v>195</v>
      </c>
      <c r="D19" s="75" t="s">
        <v>196</v>
      </c>
      <c r="E19" s="75" t="s">
        <v>232</v>
      </c>
      <c r="F19" s="75" t="s">
        <v>198</v>
      </c>
      <c r="G19" s="75" t="s">
        <v>198</v>
      </c>
      <c r="H19" s="75" t="s">
        <v>198</v>
      </c>
      <c r="I19" s="75" t="s">
        <v>198</v>
      </c>
      <c r="J19" s="75" t="s">
        <v>198</v>
      </c>
      <c r="K19" s="75" t="s">
        <v>198</v>
      </c>
      <c r="L19" s="75" t="s">
        <v>198</v>
      </c>
      <c r="M19" s="75" t="s">
        <v>198</v>
      </c>
      <c r="N19" s="75" t="s">
        <v>232</v>
      </c>
      <c r="O19" s="75" t="s">
        <v>233</v>
      </c>
      <c r="P19" s="75" t="s">
        <v>232</v>
      </c>
      <c r="Q19" s="75" t="s">
        <v>200</v>
      </c>
      <c r="R19" s="75" t="s">
        <v>201</v>
      </c>
      <c r="S19" s="75" t="s">
        <v>232</v>
      </c>
      <c r="T19" s="75" t="s">
        <v>202</v>
      </c>
      <c r="U19" s="75" t="s">
        <v>203</v>
      </c>
      <c r="V19" s="75" t="s">
        <v>204</v>
      </c>
      <c r="W19" s="75" t="s">
        <v>205</v>
      </c>
      <c r="X19" s="75" t="s">
        <v>198</v>
      </c>
      <c r="Y19" s="75" t="s">
        <v>198</v>
      </c>
      <c r="Z19" s="75" t="s">
        <v>198</v>
      </c>
      <c r="AA19" s="75" t="s">
        <v>198</v>
      </c>
      <c r="AB19" s="75" t="s">
        <v>198</v>
      </c>
      <c r="AC19" s="75" t="s">
        <v>198</v>
      </c>
      <c r="AD19" s="75" t="s">
        <v>198</v>
      </c>
      <c r="AE19" s="75" t="s">
        <v>198</v>
      </c>
      <c r="AF19" s="75" t="s">
        <v>198</v>
      </c>
      <c r="AG19" s="75" t="s">
        <v>198</v>
      </c>
      <c r="AH19" s="75" t="s">
        <v>198</v>
      </c>
      <c r="AI19" s="75" t="s">
        <v>198</v>
      </c>
      <c r="AJ19" s="75" t="s">
        <v>198</v>
      </c>
      <c r="AK19" s="75" t="s">
        <v>198</v>
      </c>
      <c r="AL19" s="75" t="s">
        <v>198</v>
      </c>
      <c r="AM19" s="75" t="s">
        <v>198</v>
      </c>
      <c r="AN19" s="75" t="s">
        <v>198</v>
      </c>
      <c r="AO19" s="75" t="s">
        <v>198</v>
      </c>
      <c r="AP19" s="75" t="s">
        <v>198</v>
      </c>
      <c r="AQ19" s="75" t="s">
        <v>198</v>
      </c>
      <c r="AR19" s="75" t="s">
        <v>198</v>
      </c>
      <c r="AS19" s="75" t="s">
        <v>198</v>
      </c>
      <c r="AT19" s="75" t="s">
        <v>198</v>
      </c>
      <c r="AU19" s="75" t="s">
        <v>198</v>
      </c>
      <c r="AV19" s="75" t="s">
        <v>198</v>
      </c>
      <c r="AW19" s="75" t="s">
        <v>198</v>
      </c>
      <c r="AX19" s="75" t="s">
        <v>198</v>
      </c>
      <c r="AY19" s="75" t="s">
        <v>198</v>
      </c>
      <c r="AZ19" s="75" t="s">
        <v>198</v>
      </c>
      <c r="BA19" s="75" t="s">
        <v>198</v>
      </c>
      <c r="BB19" s="75" t="s">
        <v>198</v>
      </c>
      <c r="BC19" s="75" t="s">
        <v>198</v>
      </c>
      <c r="BD19" s="75" t="s">
        <v>198</v>
      </c>
      <c r="BE19" s="75" t="s">
        <v>198</v>
      </c>
      <c r="BF19" s="75" t="s">
        <v>198</v>
      </c>
      <c r="BG19" s="75" t="s">
        <v>198</v>
      </c>
      <c r="BH19" s="75" t="s">
        <v>198</v>
      </c>
      <c r="BI19" s="75" t="s">
        <v>198</v>
      </c>
      <c r="BJ19" s="75" t="s">
        <v>198</v>
      </c>
      <c r="BK19" s="75" t="s">
        <v>198</v>
      </c>
      <c r="BL19" s="75" t="s">
        <v>198</v>
      </c>
      <c r="BM19" s="75" t="s">
        <v>198</v>
      </c>
      <c r="BN19" s="75" t="s">
        <v>198</v>
      </c>
      <c r="BO19" s="75" t="s">
        <v>198</v>
      </c>
      <c r="BP19" s="75" t="s">
        <v>198</v>
      </c>
      <c r="BQ19" s="75" t="s">
        <v>198</v>
      </c>
      <c r="BR19" s="75" t="s">
        <v>198</v>
      </c>
      <c r="BS19" s="75" t="s">
        <v>198</v>
      </c>
      <c r="BT19" s="75" t="s">
        <v>198</v>
      </c>
      <c r="BU19" s="75" t="s">
        <v>198</v>
      </c>
      <c r="BV19" s="75" t="s">
        <v>198</v>
      </c>
      <c r="BW19" s="75" t="s">
        <v>198</v>
      </c>
      <c r="BX19" s="75" t="s">
        <v>198</v>
      </c>
      <c r="BY19" s="75" t="s">
        <v>198</v>
      </c>
      <c r="BZ19" s="75" t="s">
        <v>198</v>
      </c>
      <c r="CA19" s="75" t="s">
        <v>198</v>
      </c>
      <c r="CB19" s="75" t="s">
        <v>198</v>
      </c>
      <c r="CC19" s="75" t="s">
        <v>198</v>
      </c>
      <c r="CD19" s="75" t="s">
        <v>198</v>
      </c>
      <c r="CE19" s="75" t="s">
        <v>198</v>
      </c>
      <c r="CF19" s="75" t="s">
        <v>198</v>
      </c>
      <c r="CG19" s="75" t="s">
        <v>198</v>
      </c>
      <c r="CH19" s="75" t="s">
        <v>198</v>
      </c>
      <c r="CI19" s="75" t="s">
        <v>198</v>
      </c>
      <c r="CJ19" s="75" t="s">
        <v>198</v>
      </c>
      <c r="CK19" s="75" t="s">
        <v>198</v>
      </c>
      <c r="CL19" s="75" t="s">
        <v>198</v>
      </c>
      <c r="CM19" s="75" t="s">
        <v>198</v>
      </c>
      <c r="CN19" s="75" t="s">
        <v>198</v>
      </c>
      <c r="CO19" s="75" t="s">
        <v>198</v>
      </c>
      <c r="CP19" s="75" t="s">
        <v>198</v>
      </c>
      <c r="CQ19" s="75" t="s">
        <v>198</v>
      </c>
      <c r="CR19" s="75" t="s">
        <v>198</v>
      </c>
      <c r="CS19" s="75" t="s">
        <v>198</v>
      </c>
      <c r="CT19" s="75" t="s">
        <v>198</v>
      </c>
      <c r="CU19" s="75" t="s">
        <v>198</v>
      </c>
      <c r="CV19" s="75" t="s">
        <v>198</v>
      </c>
      <c r="CW19" s="75" t="s">
        <v>198</v>
      </c>
      <c r="CX19" s="75" t="s">
        <v>198</v>
      </c>
      <c r="CY19" s="75" t="s">
        <v>198</v>
      </c>
      <c r="CZ19" s="75" t="s">
        <v>198</v>
      </c>
      <c r="DA19" s="75" t="s">
        <v>198</v>
      </c>
      <c r="DB19" s="75" t="s">
        <v>198</v>
      </c>
      <c r="DC19" s="75" t="s">
        <v>198</v>
      </c>
      <c r="DD19" s="75" t="s">
        <v>198</v>
      </c>
      <c r="DE19" s="75" t="s">
        <v>198</v>
      </c>
      <c r="DF19" s="75" t="s">
        <v>198</v>
      </c>
      <c r="DG19" s="75" t="s">
        <v>198</v>
      </c>
      <c r="DH19" s="75" t="s">
        <v>198</v>
      </c>
      <c r="DI19" s="75" t="s">
        <v>198</v>
      </c>
      <c r="DJ19" s="75" t="s">
        <v>198</v>
      </c>
      <c r="DK19" s="75" t="s">
        <v>198</v>
      </c>
      <c r="DL19" s="75" t="s">
        <v>232</v>
      </c>
      <c r="DM19" s="75" t="s">
        <v>234</v>
      </c>
      <c r="DN19" s="75" t="s">
        <v>153</v>
      </c>
      <c r="DO19" s="75" t="s">
        <v>153</v>
      </c>
      <c r="DP19" s="80"/>
    </row>
    <row r="20" spans="1:143">
      <c r="A20" s="60"/>
      <c r="B20" s="27" t="s">
        <v>194</v>
      </c>
      <c r="C20" s="81" t="s">
        <v>195</v>
      </c>
      <c r="D20" s="75" t="s">
        <v>196</v>
      </c>
      <c r="E20" s="75" t="s">
        <v>235</v>
      </c>
      <c r="F20" s="75" t="s">
        <v>198</v>
      </c>
      <c r="G20" s="75" t="s">
        <v>198</v>
      </c>
      <c r="H20" s="75" t="s">
        <v>198</v>
      </c>
      <c r="I20" s="75" t="s">
        <v>198</v>
      </c>
      <c r="J20" s="75" t="s">
        <v>198</v>
      </c>
      <c r="K20" s="75" t="s">
        <v>198</v>
      </c>
      <c r="L20" s="75" t="s">
        <v>198</v>
      </c>
      <c r="M20" s="75" t="s">
        <v>198</v>
      </c>
      <c r="N20" s="75" t="s">
        <v>235</v>
      </c>
      <c r="O20" s="75" t="s">
        <v>236</v>
      </c>
      <c r="P20" s="75" t="s">
        <v>235</v>
      </c>
      <c r="Q20" s="75" t="s">
        <v>200</v>
      </c>
      <c r="R20" s="75" t="s">
        <v>201</v>
      </c>
      <c r="S20" s="75" t="s">
        <v>235</v>
      </c>
      <c r="T20" s="75" t="s">
        <v>202</v>
      </c>
      <c r="U20" s="75" t="s">
        <v>203</v>
      </c>
      <c r="V20" s="75" t="s">
        <v>204</v>
      </c>
      <c r="W20" s="75" t="s">
        <v>205</v>
      </c>
      <c r="X20" s="75" t="s">
        <v>198</v>
      </c>
      <c r="Y20" s="75" t="s">
        <v>198</v>
      </c>
      <c r="Z20" s="75" t="s">
        <v>198</v>
      </c>
      <c r="AA20" s="75" t="s">
        <v>198</v>
      </c>
      <c r="AB20" s="75" t="s">
        <v>198</v>
      </c>
      <c r="AC20" s="75" t="s">
        <v>198</v>
      </c>
      <c r="AD20" s="75" t="s">
        <v>198</v>
      </c>
      <c r="AE20" s="75" t="s">
        <v>198</v>
      </c>
      <c r="AF20" s="75" t="s">
        <v>198</v>
      </c>
      <c r="AG20" s="75" t="s">
        <v>198</v>
      </c>
      <c r="AH20" s="75" t="s">
        <v>198</v>
      </c>
      <c r="AI20" s="75" t="s">
        <v>198</v>
      </c>
      <c r="AJ20" s="75" t="s">
        <v>198</v>
      </c>
      <c r="AK20" s="75" t="s">
        <v>198</v>
      </c>
      <c r="AL20" s="75" t="s">
        <v>198</v>
      </c>
      <c r="AM20" s="75" t="s">
        <v>198</v>
      </c>
      <c r="AN20" s="75" t="s">
        <v>198</v>
      </c>
      <c r="AO20" s="75" t="s">
        <v>198</v>
      </c>
      <c r="AP20" s="75" t="s">
        <v>198</v>
      </c>
      <c r="AQ20" s="75" t="s">
        <v>198</v>
      </c>
      <c r="AR20" s="75" t="s">
        <v>198</v>
      </c>
      <c r="AS20" s="75" t="s">
        <v>198</v>
      </c>
      <c r="AT20" s="75" t="s">
        <v>198</v>
      </c>
      <c r="AU20" s="75" t="s">
        <v>198</v>
      </c>
      <c r="AV20" s="75" t="s">
        <v>198</v>
      </c>
      <c r="AW20" s="75" t="s">
        <v>198</v>
      </c>
      <c r="AX20" s="75" t="s">
        <v>198</v>
      </c>
      <c r="AY20" s="75" t="s">
        <v>198</v>
      </c>
      <c r="AZ20" s="75" t="s">
        <v>198</v>
      </c>
      <c r="BA20" s="75" t="s">
        <v>198</v>
      </c>
      <c r="BB20" s="75" t="s">
        <v>198</v>
      </c>
      <c r="BC20" s="75" t="s">
        <v>198</v>
      </c>
      <c r="BD20" s="75" t="s">
        <v>198</v>
      </c>
      <c r="BE20" s="75" t="s">
        <v>198</v>
      </c>
      <c r="BF20" s="75" t="s">
        <v>198</v>
      </c>
      <c r="BG20" s="75" t="s">
        <v>198</v>
      </c>
      <c r="BH20" s="75" t="s">
        <v>198</v>
      </c>
      <c r="BI20" s="75" t="s">
        <v>198</v>
      </c>
      <c r="BJ20" s="75" t="s">
        <v>198</v>
      </c>
      <c r="BK20" s="75" t="s">
        <v>198</v>
      </c>
      <c r="BL20" s="75" t="s">
        <v>198</v>
      </c>
      <c r="BM20" s="75" t="s">
        <v>198</v>
      </c>
      <c r="BN20" s="75" t="s">
        <v>198</v>
      </c>
      <c r="BO20" s="75" t="s">
        <v>198</v>
      </c>
      <c r="BP20" s="75" t="s">
        <v>198</v>
      </c>
      <c r="BQ20" s="75" t="s">
        <v>198</v>
      </c>
      <c r="BR20" s="75" t="s">
        <v>198</v>
      </c>
      <c r="BS20" s="75" t="s">
        <v>198</v>
      </c>
      <c r="BT20" s="75" t="s">
        <v>198</v>
      </c>
      <c r="BU20" s="75" t="s">
        <v>198</v>
      </c>
      <c r="BV20" s="75" t="s">
        <v>198</v>
      </c>
      <c r="BW20" s="75" t="s">
        <v>198</v>
      </c>
      <c r="BX20" s="75" t="s">
        <v>198</v>
      </c>
      <c r="BY20" s="75" t="s">
        <v>198</v>
      </c>
      <c r="BZ20" s="75" t="s">
        <v>198</v>
      </c>
      <c r="CA20" s="75" t="s">
        <v>198</v>
      </c>
      <c r="CB20" s="75" t="s">
        <v>198</v>
      </c>
      <c r="CC20" s="75" t="s">
        <v>198</v>
      </c>
      <c r="CD20" s="75" t="s">
        <v>198</v>
      </c>
      <c r="CE20" s="75" t="s">
        <v>198</v>
      </c>
      <c r="CF20" s="75" t="s">
        <v>198</v>
      </c>
      <c r="CG20" s="75" t="s">
        <v>198</v>
      </c>
      <c r="CH20" s="75" t="s">
        <v>198</v>
      </c>
      <c r="CI20" s="75" t="s">
        <v>198</v>
      </c>
      <c r="CJ20" s="75" t="s">
        <v>198</v>
      </c>
      <c r="CK20" s="75" t="s">
        <v>198</v>
      </c>
      <c r="CL20" s="75" t="s">
        <v>198</v>
      </c>
      <c r="CM20" s="75" t="s">
        <v>198</v>
      </c>
      <c r="CN20" s="75" t="s">
        <v>198</v>
      </c>
      <c r="CO20" s="75" t="s">
        <v>198</v>
      </c>
      <c r="CP20" s="75" t="s">
        <v>198</v>
      </c>
      <c r="CQ20" s="75" t="s">
        <v>198</v>
      </c>
      <c r="CR20" s="75" t="s">
        <v>198</v>
      </c>
      <c r="CS20" s="75" t="s">
        <v>198</v>
      </c>
      <c r="CT20" s="75" t="s">
        <v>198</v>
      </c>
      <c r="CU20" s="75" t="s">
        <v>198</v>
      </c>
      <c r="CV20" s="75" t="s">
        <v>198</v>
      </c>
      <c r="CW20" s="75" t="s">
        <v>198</v>
      </c>
      <c r="CX20" s="75" t="s">
        <v>198</v>
      </c>
      <c r="CY20" s="75" t="s">
        <v>198</v>
      </c>
      <c r="CZ20" s="75" t="s">
        <v>198</v>
      </c>
      <c r="DA20" s="75" t="s">
        <v>198</v>
      </c>
      <c r="DB20" s="75" t="s">
        <v>198</v>
      </c>
      <c r="DC20" s="75" t="s">
        <v>198</v>
      </c>
      <c r="DD20" s="75" t="s">
        <v>198</v>
      </c>
      <c r="DE20" s="75" t="s">
        <v>198</v>
      </c>
      <c r="DF20" s="75" t="s">
        <v>198</v>
      </c>
      <c r="DG20" s="75" t="s">
        <v>198</v>
      </c>
      <c r="DH20" s="75" t="s">
        <v>198</v>
      </c>
      <c r="DI20" s="75" t="s">
        <v>198</v>
      </c>
      <c r="DJ20" s="75" t="s">
        <v>198</v>
      </c>
      <c r="DK20" s="75" t="s">
        <v>198</v>
      </c>
      <c r="DL20" s="75" t="s">
        <v>235</v>
      </c>
      <c r="DM20" s="75" t="s">
        <v>237</v>
      </c>
      <c r="DN20" s="75" t="s">
        <v>153</v>
      </c>
      <c r="DO20" s="75" t="s">
        <v>153</v>
      </c>
      <c r="DP20" s="80"/>
    </row>
    <row r="21" spans="1:143">
      <c r="A21" s="60"/>
      <c r="B21" s="27" t="s">
        <v>194</v>
      </c>
      <c r="C21" s="81" t="s">
        <v>195</v>
      </c>
      <c r="D21" s="75" t="s">
        <v>196</v>
      </c>
      <c r="E21" s="75" t="s">
        <v>238</v>
      </c>
      <c r="F21" s="75" t="s">
        <v>198</v>
      </c>
      <c r="G21" s="75" t="s">
        <v>198</v>
      </c>
      <c r="H21" s="75" t="s">
        <v>198</v>
      </c>
      <c r="I21" s="75" t="s">
        <v>198</v>
      </c>
      <c r="J21" s="75" t="s">
        <v>198</v>
      </c>
      <c r="K21" s="75" t="s">
        <v>198</v>
      </c>
      <c r="L21" s="75" t="s">
        <v>198</v>
      </c>
      <c r="M21" s="75" t="s">
        <v>198</v>
      </c>
      <c r="N21" s="75" t="s">
        <v>238</v>
      </c>
      <c r="O21" s="75" t="s">
        <v>239</v>
      </c>
      <c r="P21" s="75" t="s">
        <v>238</v>
      </c>
      <c r="Q21" s="75" t="s">
        <v>200</v>
      </c>
      <c r="R21" s="75" t="s">
        <v>201</v>
      </c>
      <c r="S21" s="75" t="s">
        <v>238</v>
      </c>
      <c r="T21" s="75" t="s">
        <v>202</v>
      </c>
      <c r="U21" s="75" t="s">
        <v>203</v>
      </c>
      <c r="V21" s="75" t="s">
        <v>204</v>
      </c>
      <c r="W21" s="75" t="s">
        <v>205</v>
      </c>
      <c r="X21" s="75" t="s">
        <v>198</v>
      </c>
      <c r="Y21" s="75" t="s">
        <v>198</v>
      </c>
      <c r="Z21" s="75" t="s">
        <v>198</v>
      </c>
      <c r="AA21" s="75" t="s">
        <v>198</v>
      </c>
      <c r="AB21" s="75" t="s">
        <v>198</v>
      </c>
      <c r="AC21" s="75" t="s">
        <v>198</v>
      </c>
      <c r="AD21" s="75" t="s">
        <v>198</v>
      </c>
      <c r="AE21" s="75" t="s">
        <v>198</v>
      </c>
      <c r="AF21" s="75" t="s">
        <v>198</v>
      </c>
      <c r="AG21" s="75" t="s">
        <v>198</v>
      </c>
      <c r="AH21" s="75" t="s">
        <v>198</v>
      </c>
      <c r="AI21" s="75" t="s">
        <v>198</v>
      </c>
      <c r="AJ21" s="75" t="s">
        <v>198</v>
      </c>
      <c r="AK21" s="75" t="s">
        <v>198</v>
      </c>
      <c r="AL21" s="75" t="s">
        <v>198</v>
      </c>
      <c r="AM21" s="75" t="s">
        <v>198</v>
      </c>
      <c r="AN21" s="75" t="s">
        <v>198</v>
      </c>
      <c r="AO21" s="75" t="s">
        <v>198</v>
      </c>
      <c r="AP21" s="75" t="s">
        <v>198</v>
      </c>
      <c r="AQ21" s="75" t="s">
        <v>198</v>
      </c>
      <c r="AR21" s="75" t="s">
        <v>198</v>
      </c>
      <c r="AS21" s="75" t="s">
        <v>198</v>
      </c>
      <c r="AT21" s="75" t="s">
        <v>198</v>
      </c>
      <c r="AU21" s="75" t="s">
        <v>198</v>
      </c>
      <c r="AV21" s="75" t="s">
        <v>198</v>
      </c>
      <c r="AW21" s="75" t="s">
        <v>198</v>
      </c>
      <c r="AX21" s="75" t="s">
        <v>198</v>
      </c>
      <c r="AY21" s="75" t="s">
        <v>198</v>
      </c>
      <c r="AZ21" s="75" t="s">
        <v>198</v>
      </c>
      <c r="BA21" s="75" t="s">
        <v>198</v>
      </c>
      <c r="BB21" s="75" t="s">
        <v>198</v>
      </c>
      <c r="BC21" s="75" t="s">
        <v>198</v>
      </c>
      <c r="BD21" s="75" t="s">
        <v>198</v>
      </c>
      <c r="BE21" s="75" t="s">
        <v>198</v>
      </c>
      <c r="BF21" s="75" t="s">
        <v>198</v>
      </c>
      <c r="BG21" s="75" t="s">
        <v>198</v>
      </c>
      <c r="BH21" s="75" t="s">
        <v>198</v>
      </c>
      <c r="BI21" s="75" t="s">
        <v>198</v>
      </c>
      <c r="BJ21" s="75" t="s">
        <v>198</v>
      </c>
      <c r="BK21" s="75" t="s">
        <v>198</v>
      </c>
      <c r="BL21" s="75" t="s">
        <v>198</v>
      </c>
      <c r="BM21" s="75" t="s">
        <v>198</v>
      </c>
      <c r="BN21" s="75" t="s">
        <v>198</v>
      </c>
      <c r="BO21" s="75" t="s">
        <v>198</v>
      </c>
      <c r="BP21" s="75" t="s">
        <v>198</v>
      </c>
      <c r="BQ21" s="75" t="s">
        <v>198</v>
      </c>
      <c r="BR21" s="75" t="s">
        <v>198</v>
      </c>
      <c r="BS21" s="75" t="s">
        <v>198</v>
      </c>
      <c r="BT21" s="75" t="s">
        <v>198</v>
      </c>
      <c r="BU21" s="75" t="s">
        <v>198</v>
      </c>
      <c r="BV21" s="75" t="s">
        <v>198</v>
      </c>
      <c r="BW21" s="75" t="s">
        <v>198</v>
      </c>
      <c r="BX21" s="75" t="s">
        <v>198</v>
      </c>
      <c r="BY21" s="75" t="s">
        <v>198</v>
      </c>
      <c r="BZ21" s="75" t="s">
        <v>198</v>
      </c>
      <c r="CA21" s="75" t="s">
        <v>198</v>
      </c>
      <c r="CB21" s="75" t="s">
        <v>198</v>
      </c>
      <c r="CC21" s="75" t="s">
        <v>198</v>
      </c>
      <c r="CD21" s="75" t="s">
        <v>198</v>
      </c>
      <c r="CE21" s="75" t="s">
        <v>198</v>
      </c>
      <c r="CF21" s="75" t="s">
        <v>198</v>
      </c>
      <c r="CG21" s="75" t="s">
        <v>198</v>
      </c>
      <c r="CH21" s="75" t="s">
        <v>198</v>
      </c>
      <c r="CI21" s="75" t="s">
        <v>198</v>
      </c>
      <c r="CJ21" s="75" t="s">
        <v>198</v>
      </c>
      <c r="CK21" s="75" t="s">
        <v>198</v>
      </c>
      <c r="CL21" s="75" t="s">
        <v>198</v>
      </c>
      <c r="CM21" s="75" t="s">
        <v>198</v>
      </c>
      <c r="CN21" s="75" t="s">
        <v>198</v>
      </c>
      <c r="CO21" s="75" t="s">
        <v>198</v>
      </c>
      <c r="CP21" s="75" t="s">
        <v>198</v>
      </c>
      <c r="CQ21" s="75" t="s">
        <v>198</v>
      </c>
      <c r="CR21" s="75" t="s">
        <v>198</v>
      </c>
      <c r="CS21" s="75" t="s">
        <v>198</v>
      </c>
      <c r="CT21" s="75" t="s">
        <v>198</v>
      </c>
      <c r="CU21" s="75" t="s">
        <v>198</v>
      </c>
      <c r="CV21" s="75" t="s">
        <v>198</v>
      </c>
      <c r="CW21" s="75" t="s">
        <v>198</v>
      </c>
      <c r="CX21" s="75" t="s">
        <v>198</v>
      </c>
      <c r="CY21" s="75" t="s">
        <v>198</v>
      </c>
      <c r="CZ21" s="75" t="s">
        <v>198</v>
      </c>
      <c r="DA21" s="75" t="s">
        <v>198</v>
      </c>
      <c r="DB21" s="75" t="s">
        <v>198</v>
      </c>
      <c r="DC21" s="75" t="s">
        <v>198</v>
      </c>
      <c r="DD21" s="75" t="s">
        <v>198</v>
      </c>
      <c r="DE21" s="75" t="s">
        <v>198</v>
      </c>
      <c r="DF21" s="75" t="s">
        <v>198</v>
      </c>
      <c r="DG21" s="75" t="s">
        <v>198</v>
      </c>
      <c r="DH21" s="75" t="s">
        <v>198</v>
      </c>
      <c r="DI21" s="75" t="s">
        <v>198</v>
      </c>
      <c r="DJ21" s="75" t="s">
        <v>198</v>
      </c>
      <c r="DK21" s="75" t="s">
        <v>198</v>
      </c>
      <c r="DL21" s="75" t="s">
        <v>238</v>
      </c>
      <c r="DM21" s="75" t="s">
        <v>240</v>
      </c>
      <c r="DN21" s="75" t="s">
        <v>153</v>
      </c>
      <c r="DO21" s="75" t="s">
        <v>153</v>
      </c>
      <c r="DP21" s="80"/>
    </row>
    <row r="22" spans="1:143">
      <c r="A22" s="60"/>
      <c r="B22" s="27" t="s">
        <v>194</v>
      </c>
      <c r="C22" s="81" t="s">
        <v>195</v>
      </c>
      <c r="D22" s="75" t="s">
        <v>196</v>
      </c>
      <c r="E22" s="75" t="s">
        <v>241</v>
      </c>
      <c r="F22" s="75" t="s">
        <v>198</v>
      </c>
      <c r="G22" s="75" t="s">
        <v>198</v>
      </c>
      <c r="H22" s="75" t="s">
        <v>198</v>
      </c>
      <c r="I22" s="75" t="s">
        <v>198</v>
      </c>
      <c r="J22" s="75" t="s">
        <v>198</v>
      </c>
      <c r="K22" s="75" t="s">
        <v>198</v>
      </c>
      <c r="L22" s="75" t="s">
        <v>198</v>
      </c>
      <c r="M22" s="75" t="s">
        <v>198</v>
      </c>
      <c r="N22" s="75" t="s">
        <v>241</v>
      </c>
      <c r="O22" s="75" t="s">
        <v>242</v>
      </c>
      <c r="P22" s="75" t="s">
        <v>241</v>
      </c>
      <c r="Q22" s="75" t="s">
        <v>200</v>
      </c>
      <c r="R22" s="75" t="s">
        <v>201</v>
      </c>
      <c r="S22" s="75" t="s">
        <v>241</v>
      </c>
      <c r="T22" s="75" t="s">
        <v>202</v>
      </c>
      <c r="U22" s="75" t="s">
        <v>203</v>
      </c>
      <c r="V22" s="75" t="s">
        <v>204</v>
      </c>
      <c r="W22" s="75" t="s">
        <v>205</v>
      </c>
      <c r="X22" s="75" t="s">
        <v>198</v>
      </c>
      <c r="Y22" s="75" t="s">
        <v>198</v>
      </c>
      <c r="Z22" s="75" t="s">
        <v>198</v>
      </c>
      <c r="AA22" s="75" t="s">
        <v>198</v>
      </c>
      <c r="AB22" s="75" t="s">
        <v>198</v>
      </c>
      <c r="AC22" s="75" t="s">
        <v>198</v>
      </c>
      <c r="AD22" s="75" t="s">
        <v>198</v>
      </c>
      <c r="AE22" s="75" t="s">
        <v>198</v>
      </c>
      <c r="AF22" s="75" t="s">
        <v>198</v>
      </c>
      <c r="AG22" s="75" t="s">
        <v>198</v>
      </c>
      <c r="AH22" s="75" t="s">
        <v>198</v>
      </c>
      <c r="AI22" s="75" t="s">
        <v>198</v>
      </c>
      <c r="AJ22" s="75" t="s">
        <v>198</v>
      </c>
      <c r="AK22" s="75" t="s">
        <v>198</v>
      </c>
      <c r="AL22" s="75" t="s">
        <v>198</v>
      </c>
      <c r="AM22" s="75" t="s">
        <v>198</v>
      </c>
      <c r="AN22" s="75" t="s">
        <v>198</v>
      </c>
      <c r="AO22" s="75" t="s">
        <v>198</v>
      </c>
      <c r="AP22" s="75" t="s">
        <v>198</v>
      </c>
      <c r="AQ22" s="75" t="s">
        <v>198</v>
      </c>
      <c r="AR22" s="75" t="s">
        <v>198</v>
      </c>
      <c r="AS22" s="75" t="s">
        <v>198</v>
      </c>
      <c r="AT22" s="75" t="s">
        <v>198</v>
      </c>
      <c r="AU22" s="75" t="s">
        <v>198</v>
      </c>
      <c r="AV22" s="75" t="s">
        <v>198</v>
      </c>
      <c r="AW22" s="75" t="s">
        <v>198</v>
      </c>
      <c r="AX22" s="75" t="s">
        <v>198</v>
      </c>
      <c r="AY22" s="75" t="s">
        <v>198</v>
      </c>
      <c r="AZ22" s="75" t="s">
        <v>198</v>
      </c>
      <c r="BA22" s="75" t="s">
        <v>198</v>
      </c>
      <c r="BB22" s="75" t="s">
        <v>198</v>
      </c>
      <c r="BC22" s="75" t="s">
        <v>198</v>
      </c>
      <c r="BD22" s="75" t="s">
        <v>198</v>
      </c>
      <c r="BE22" s="75" t="s">
        <v>198</v>
      </c>
      <c r="BF22" s="75" t="s">
        <v>198</v>
      </c>
      <c r="BG22" s="75" t="s">
        <v>198</v>
      </c>
      <c r="BH22" s="75" t="s">
        <v>198</v>
      </c>
      <c r="BI22" s="75" t="s">
        <v>198</v>
      </c>
      <c r="BJ22" s="75" t="s">
        <v>198</v>
      </c>
      <c r="BK22" s="75" t="s">
        <v>198</v>
      </c>
      <c r="BL22" s="75" t="s">
        <v>198</v>
      </c>
      <c r="BM22" s="75" t="s">
        <v>198</v>
      </c>
      <c r="BN22" s="75" t="s">
        <v>198</v>
      </c>
      <c r="BO22" s="75" t="s">
        <v>198</v>
      </c>
      <c r="BP22" s="75" t="s">
        <v>198</v>
      </c>
      <c r="BQ22" s="75" t="s">
        <v>198</v>
      </c>
      <c r="BR22" s="75" t="s">
        <v>198</v>
      </c>
      <c r="BS22" s="75" t="s">
        <v>198</v>
      </c>
      <c r="BT22" s="75" t="s">
        <v>198</v>
      </c>
      <c r="BU22" s="75" t="s">
        <v>198</v>
      </c>
      <c r="BV22" s="75" t="s">
        <v>198</v>
      </c>
      <c r="BW22" s="75" t="s">
        <v>198</v>
      </c>
      <c r="BX22" s="75" t="s">
        <v>198</v>
      </c>
      <c r="BY22" s="75" t="s">
        <v>198</v>
      </c>
      <c r="BZ22" s="75" t="s">
        <v>198</v>
      </c>
      <c r="CA22" s="75" t="s">
        <v>198</v>
      </c>
      <c r="CB22" s="75" t="s">
        <v>198</v>
      </c>
      <c r="CC22" s="75" t="s">
        <v>198</v>
      </c>
      <c r="CD22" s="75" t="s">
        <v>198</v>
      </c>
      <c r="CE22" s="75" t="s">
        <v>198</v>
      </c>
      <c r="CF22" s="75" t="s">
        <v>198</v>
      </c>
      <c r="CG22" s="75" t="s">
        <v>198</v>
      </c>
      <c r="CH22" s="75" t="s">
        <v>198</v>
      </c>
      <c r="CI22" s="75" t="s">
        <v>198</v>
      </c>
      <c r="CJ22" s="75" t="s">
        <v>198</v>
      </c>
      <c r="CK22" s="75" t="s">
        <v>198</v>
      </c>
      <c r="CL22" s="75" t="s">
        <v>198</v>
      </c>
      <c r="CM22" s="75" t="s">
        <v>198</v>
      </c>
      <c r="CN22" s="75" t="s">
        <v>198</v>
      </c>
      <c r="CO22" s="75" t="s">
        <v>198</v>
      </c>
      <c r="CP22" s="75" t="s">
        <v>198</v>
      </c>
      <c r="CQ22" s="75" t="s">
        <v>198</v>
      </c>
      <c r="CR22" s="75" t="s">
        <v>198</v>
      </c>
      <c r="CS22" s="75" t="s">
        <v>198</v>
      </c>
      <c r="CT22" s="75" t="s">
        <v>198</v>
      </c>
      <c r="CU22" s="75" t="s">
        <v>198</v>
      </c>
      <c r="CV22" s="75" t="s">
        <v>198</v>
      </c>
      <c r="CW22" s="75" t="s">
        <v>198</v>
      </c>
      <c r="CX22" s="75" t="s">
        <v>198</v>
      </c>
      <c r="CY22" s="75" t="s">
        <v>198</v>
      </c>
      <c r="CZ22" s="75" t="s">
        <v>198</v>
      </c>
      <c r="DA22" s="75" t="s">
        <v>198</v>
      </c>
      <c r="DB22" s="75" t="s">
        <v>198</v>
      </c>
      <c r="DC22" s="75" t="s">
        <v>198</v>
      </c>
      <c r="DD22" s="75" t="s">
        <v>198</v>
      </c>
      <c r="DE22" s="75" t="s">
        <v>198</v>
      </c>
      <c r="DF22" s="75" t="s">
        <v>198</v>
      </c>
      <c r="DG22" s="75" t="s">
        <v>198</v>
      </c>
      <c r="DH22" s="75" t="s">
        <v>198</v>
      </c>
      <c r="DI22" s="75" t="s">
        <v>198</v>
      </c>
      <c r="DJ22" s="75" t="s">
        <v>198</v>
      </c>
      <c r="DK22" s="75" t="s">
        <v>198</v>
      </c>
      <c r="DL22" s="75" t="s">
        <v>241</v>
      </c>
      <c r="DM22" s="75" t="s">
        <v>243</v>
      </c>
      <c r="DN22" s="75" t="s">
        <v>153</v>
      </c>
      <c r="DO22" s="75" t="s">
        <v>153</v>
      </c>
      <c r="DP22" s="80"/>
    </row>
    <row r="23" spans="1:143">
      <c r="A23" s="60"/>
      <c r="B23" s="27" t="s">
        <v>194</v>
      </c>
      <c r="C23" s="81" t="s">
        <v>195</v>
      </c>
      <c r="D23" s="75" t="s">
        <v>196</v>
      </c>
      <c r="E23" s="75" t="s">
        <v>244</v>
      </c>
      <c r="F23" s="75" t="s">
        <v>198</v>
      </c>
      <c r="G23" s="75" t="s">
        <v>198</v>
      </c>
      <c r="H23" s="75" t="s">
        <v>198</v>
      </c>
      <c r="I23" s="75" t="s">
        <v>198</v>
      </c>
      <c r="J23" s="75" t="s">
        <v>198</v>
      </c>
      <c r="K23" s="75" t="s">
        <v>198</v>
      </c>
      <c r="L23" s="75" t="s">
        <v>198</v>
      </c>
      <c r="M23" s="75" t="s">
        <v>198</v>
      </c>
      <c r="N23" s="75" t="s">
        <v>244</v>
      </c>
      <c r="O23" s="75" t="s">
        <v>208</v>
      </c>
      <c r="P23" s="75" t="s">
        <v>244</v>
      </c>
      <c r="Q23" s="75" t="s">
        <v>200</v>
      </c>
      <c r="R23" s="75" t="s">
        <v>201</v>
      </c>
      <c r="S23" s="75" t="s">
        <v>244</v>
      </c>
      <c r="T23" s="75" t="s">
        <v>202</v>
      </c>
      <c r="U23" s="75" t="s">
        <v>203</v>
      </c>
      <c r="V23" s="75" t="s">
        <v>204</v>
      </c>
      <c r="W23" s="75" t="s">
        <v>205</v>
      </c>
      <c r="X23" s="75" t="s">
        <v>198</v>
      </c>
      <c r="Y23" s="75" t="s">
        <v>198</v>
      </c>
      <c r="Z23" s="75" t="s">
        <v>198</v>
      </c>
      <c r="AA23" s="75" t="s">
        <v>198</v>
      </c>
      <c r="AB23" s="75" t="s">
        <v>198</v>
      </c>
      <c r="AC23" s="75" t="s">
        <v>198</v>
      </c>
      <c r="AD23" s="75" t="s">
        <v>198</v>
      </c>
      <c r="AE23" s="75" t="s">
        <v>198</v>
      </c>
      <c r="AF23" s="75" t="s">
        <v>198</v>
      </c>
      <c r="AG23" s="75" t="s">
        <v>198</v>
      </c>
      <c r="AH23" s="75" t="s">
        <v>198</v>
      </c>
      <c r="AI23" s="75" t="s">
        <v>198</v>
      </c>
      <c r="AJ23" s="75" t="s">
        <v>198</v>
      </c>
      <c r="AK23" s="75" t="s">
        <v>198</v>
      </c>
      <c r="AL23" s="75" t="s">
        <v>198</v>
      </c>
      <c r="AM23" s="75" t="s">
        <v>198</v>
      </c>
      <c r="AN23" s="75" t="s">
        <v>198</v>
      </c>
      <c r="AO23" s="75" t="s">
        <v>198</v>
      </c>
      <c r="AP23" s="75" t="s">
        <v>198</v>
      </c>
      <c r="AQ23" s="75" t="s">
        <v>198</v>
      </c>
      <c r="AR23" s="75" t="s">
        <v>198</v>
      </c>
      <c r="AS23" s="75" t="s">
        <v>198</v>
      </c>
      <c r="AT23" s="75" t="s">
        <v>198</v>
      </c>
      <c r="AU23" s="75" t="s">
        <v>198</v>
      </c>
      <c r="AV23" s="75" t="s">
        <v>198</v>
      </c>
      <c r="AW23" s="75" t="s">
        <v>198</v>
      </c>
      <c r="AX23" s="75" t="s">
        <v>198</v>
      </c>
      <c r="AY23" s="75" t="s">
        <v>198</v>
      </c>
      <c r="AZ23" s="75" t="s">
        <v>198</v>
      </c>
      <c r="BA23" s="75" t="s">
        <v>198</v>
      </c>
      <c r="BB23" s="75" t="s">
        <v>198</v>
      </c>
      <c r="BC23" s="75" t="s">
        <v>198</v>
      </c>
      <c r="BD23" s="75" t="s">
        <v>198</v>
      </c>
      <c r="BE23" s="75" t="s">
        <v>198</v>
      </c>
      <c r="BF23" s="75" t="s">
        <v>198</v>
      </c>
      <c r="BG23" s="75" t="s">
        <v>198</v>
      </c>
      <c r="BH23" s="75" t="s">
        <v>198</v>
      </c>
      <c r="BI23" s="75" t="s">
        <v>198</v>
      </c>
      <c r="BJ23" s="75" t="s">
        <v>198</v>
      </c>
      <c r="BK23" s="75" t="s">
        <v>198</v>
      </c>
      <c r="BL23" s="75" t="s">
        <v>198</v>
      </c>
      <c r="BM23" s="75" t="s">
        <v>198</v>
      </c>
      <c r="BN23" s="75" t="s">
        <v>198</v>
      </c>
      <c r="BO23" s="75" t="s">
        <v>198</v>
      </c>
      <c r="BP23" s="75" t="s">
        <v>198</v>
      </c>
      <c r="BQ23" s="75" t="s">
        <v>198</v>
      </c>
      <c r="BR23" s="75" t="s">
        <v>198</v>
      </c>
      <c r="BS23" s="75" t="s">
        <v>198</v>
      </c>
      <c r="BT23" s="75" t="s">
        <v>198</v>
      </c>
      <c r="BU23" s="75" t="s">
        <v>198</v>
      </c>
      <c r="BV23" s="75" t="s">
        <v>198</v>
      </c>
      <c r="BW23" s="75" t="s">
        <v>198</v>
      </c>
      <c r="BX23" s="75" t="s">
        <v>198</v>
      </c>
      <c r="BY23" s="75" t="s">
        <v>198</v>
      </c>
      <c r="BZ23" s="75" t="s">
        <v>198</v>
      </c>
      <c r="CA23" s="75" t="s">
        <v>198</v>
      </c>
      <c r="CB23" s="75" t="s">
        <v>198</v>
      </c>
      <c r="CC23" s="75" t="s">
        <v>198</v>
      </c>
      <c r="CD23" s="75" t="s">
        <v>198</v>
      </c>
      <c r="CE23" s="75" t="s">
        <v>198</v>
      </c>
      <c r="CF23" s="75" t="s">
        <v>198</v>
      </c>
      <c r="CG23" s="75" t="s">
        <v>198</v>
      </c>
      <c r="CH23" s="75" t="s">
        <v>198</v>
      </c>
      <c r="CI23" s="75" t="s">
        <v>198</v>
      </c>
      <c r="CJ23" s="75" t="s">
        <v>198</v>
      </c>
      <c r="CK23" s="75" t="s">
        <v>198</v>
      </c>
      <c r="CL23" s="75" t="s">
        <v>198</v>
      </c>
      <c r="CM23" s="75" t="s">
        <v>198</v>
      </c>
      <c r="CN23" s="75" t="s">
        <v>198</v>
      </c>
      <c r="CO23" s="75" t="s">
        <v>198</v>
      </c>
      <c r="CP23" s="75" t="s">
        <v>198</v>
      </c>
      <c r="CQ23" s="75" t="s">
        <v>198</v>
      </c>
      <c r="CR23" s="75" t="s">
        <v>198</v>
      </c>
      <c r="CS23" s="75" t="s">
        <v>198</v>
      </c>
      <c r="CT23" s="75" t="s">
        <v>198</v>
      </c>
      <c r="CU23" s="75" t="s">
        <v>198</v>
      </c>
      <c r="CV23" s="75" t="s">
        <v>198</v>
      </c>
      <c r="CW23" s="75" t="s">
        <v>198</v>
      </c>
      <c r="CX23" s="75" t="s">
        <v>198</v>
      </c>
      <c r="CY23" s="75" t="s">
        <v>198</v>
      </c>
      <c r="CZ23" s="75" t="s">
        <v>198</v>
      </c>
      <c r="DA23" s="75" t="s">
        <v>198</v>
      </c>
      <c r="DB23" s="75" t="s">
        <v>198</v>
      </c>
      <c r="DC23" s="75" t="s">
        <v>198</v>
      </c>
      <c r="DD23" s="75" t="s">
        <v>198</v>
      </c>
      <c r="DE23" s="75" t="s">
        <v>198</v>
      </c>
      <c r="DF23" s="75" t="s">
        <v>198</v>
      </c>
      <c r="DG23" s="75" t="s">
        <v>198</v>
      </c>
      <c r="DH23" s="75" t="s">
        <v>198</v>
      </c>
      <c r="DI23" s="75" t="s">
        <v>198</v>
      </c>
      <c r="DJ23" s="75" t="s">
        <v>198</v>
      </c>
      <c r="DK23" s="75" t="s">
        <v>198</v>
      </c>
      <c r="DL23" s="75" t="s">
        <v>244</v>
      </c>
      <c r="DM23" s="75" t="s">
        <v>245</v>
      </c>
      <c r="DN23" s="75" t="s">
        <v>153</v>
      </c>
      <c r="DO23" s="75" t="s">
        <v>153</v>
      </c>
      <c r="DP23" s="80"/>
    </row>
    <row r="24" spans="1:143">
      <c r="A24" s="60"/>
      <c r="B24" s="27" t="s">
        <v>194</v>
      </c>
      <c r="C24" s="81" t="s">
        <v>195</v>
      </c>
      <c r="D24" s="75" t="s">
        <v>196</v>
      </c>
      <c r="E24" s="75" t="s">
        <v>246</v>
      </c>
      <c r="F24" s="75" t="s">
        <v>198</v>
      </c>
      <c r="G24" s="75" t="s">
        <v>198</v>
      </c>
      <c r="H24" s="75" t="s">
        <v>198</v>
      </c>
      <c r="I24" s="75" t="s">
        <v>198</v>
      </c>
      <c r="J24" s="75" t="s">
        <v>198</v>
      </c>
      <c r="K24" s="75" t="s">
        <v>198</v>
      </c>
      <c r="L24" s="75" t="s">
        <v>198</v>
      </c>
      <c r="M24" s="75" t="s">
        <v>198</v>
      </c>
      <c r="N24" s="75" t="s">
        <v>246</v>
      </c>
      <c r="O24" s="75" t="s">
        <v>247</v>
      </c>
      <c r="P24" s="75" t="s">
        <v>246</v>
      </c>
      <c r="Q24" s="75" t="s">
        <v>200</v>
      </c>
      <c r="R24" s="75" t="s">
        <v>201</v>
      </c>
      <c r="S24" s="75" t="s">
        <v>246</v>
      </c>
      <c r="T24" s="75" t="s">
        <v>202</v>
      </c>
      <c r="U24" s="75" t="s">
        <v>203</v>
      </c>
      <c r="V24" s="75" t="s">
        <v>204</v>
      </c>
      <c r="W24" s="75" t="s">
        <v>205</v>
      </c>
      <c r="X24" s="75" t="s">
        <v>198</v>
      </c>
      <c r="Y24" s="75" t="s">
        <v>198</v>
      </c>
      <c r="Z24" s="75" t="s">
        <v>198</v>
      </c>
      <c r="AA24" s="75" t="s">
        <v>198</v>
      </c>
      <c r="AB24" s="75" t="s">
        <v>198</v>
      </c>
      <c r="AC24" s="75" t="s">
        <v>198</v>
      </c>
      <c r="AD24" s="75" t="s">
        <v>198</v>
      </c>
      <c r="AE24" s="75" t="s">
        <v>198</v>
      </c>
      <c r="AF24" s="75" t="s">
        <v>198</v>
      </c>
      <c r="AG24" s="75" t="s">
        <v>198</v>
      </c>
      <c r="AH24" s="75" t="s">
        <v>198</v>
      </c>
      <c r="AI24" s="75" t="s">
        <v>198</v>
      </c>
      <c r="AJ24" s="75" t="s">
        <v>198</v>
      </c>
      <c r="AK24" s="75" t="s">
        <v>198</v>
      </c>
      <c r="AL24" s="75" t="s">
        <v>198</v>
      </c>
      <c r="AM24" s="75" t="s">
        <v>198</v>
      </c>
      <c r="AN24" s="75" t="s">
        <v>198</v>
      </c>
      <c r="AO24" s="75" t="s">
        <v>198</v>
      </c>
      <c r="AP24" s="75" t="s">
        <v>198</v>
      </c>
      <c r="AQ24" s="75" t="s">
        <v>198</v>
      </c>
      <c r="AR24" s="75" t="s">
        <v>198</v>
      </c>
      <c r="AS24" s="75" t="s">
        <v>198</v>
      </c>
      <c r="AT24" s="75" t="s">
        <v>198</v>
      </c>
      <c r="AU24" s="75" t="s">
        <v>198</v>
      </c>
      <c r="AV24" s="75" t="s">
        <v>198</v>
      </c>
      <c r="AW24" s="75" t="s">
        <v>198</v>
      </c>
      <c r="AX24" s="75" t="s">
        <v>198</v>
      </c>
      <c r="AY24" s="75" t="s">
        <v>198</v>
      </c>
      <c r="AZ24" s="75" t="s">
        <v>198</v>
      </c>
      <c r="BA24" s="75" t="s">
        <v>198</v>
      </c>
      <c r="BB24" s="75" t="s">
        <v>198</v>
      </c>
      <c r="BC24" s="75" t="s">
        <v>198</v>
      </c>
      <c r="BD24" s="75" t="s">
        <v>198</v>
      </c>
      <c r="BE24" s="75" t="s">
        <v>198</v>
      </c>
      <c r="BF24" s="75" t="s">
        <v>198</v>
      </c>
      <c r="BG24" s="75" t="s">
        <v>198</v>
      </c>
      <c r="BH24" s="75" t="s">
        <v>198</v>
      </c>
      <c r="BI24" s="75" t="s">
        <v>198</v>
      </c>
      <c r="BJ24" s="75" t="s">
        <v>198</v>
      </c>
      <c r="BK24" s="75" t="s">
        <v>198</v>
      </c>
      <c r="BL24" s="75" t="s">
        <v>198</v>
      </c>
      <c r="BM24" s="75" t="s">
        <v>198</v>
      </c>
      <c r="BN24" s="75" t="s">
        <v>198</v>
      </c>
      <c r="BO24" s="75" t="s">
        <v>198</v>
      </c>
      <c r="BP24" s="75" t="s">
        <v>198</v>
      </c>
      <c r="BQ24" s="75" t="s">
        <v>198</v>
      </c>
      <c r="BR24" s="75" t="s">
        <v>198</v>
      </c>
      <c r="BS24" s="75" t="s">
        <v>198</v>
      </c>
      <c r="BT24" s="75" t="s">
        <v>198</v>
      </c>
      <c r="BU24" s="75" t="s">
        <v>198</v>
      </c>
      <c r="BV24" s="75" t="s">
        <v>198</v>
      </c>
      <c r="BW24" s="75" t="s">
        <v>198</v>
      </c>
      <c r="BX24" s="75" t="s">
        <v>198</v>
      </c>
      <c r="BY24" s="75" t="s">
        <v>198</v>
      </c>
      <c r="BZ24" s="75" t="s">
        <v>198</v>
      </c>
      <c r="CA24" s="75" t="s">
        <v>198</v>
      </c>
      <c r="CB24" s="75" t="s">
        <v>198</v>
      </c>
      <c r="CC24" s="75" t="s">
        <v>198</v>
      </c>
      <c r="CD24" s="75" t="s">
        <v>198</v>
      </c>
      <c r="CE24" s="75" t="s">
        <v>198</v>
      </c>
      <c r="CF24" s="75" t="s">
        <v>198</v>
      </c>
      <c r="CG24" s="75" t="s">
        <v>198</v>
      </c>
      <c r="CH24" s="75" t="s">
        <v>198</v>
      </c>
      <c r="CI24" s="75" t="s">
        <v>198</v>
      </c>
      <c r="CJ24" s="75" t="s">
        <v>198</v>
      </c>
      <c r="CK24" s="75" t="s">
        <v>198</v>
      </c>
      <c r="CL24" s="75" t="s">
        <v>198</v>
      </c>
      <c r="CM24" s="75" t="s">
        <v>198</v>
      </c>
      <c r="CN24" s="75" t="s">
        <v>198</v>
      </c>
      <c r="CO24" s="75" t="s">
        <v>198</v>
      </c>
      <c r="CP24" s="75" t="s">
        <v>198</v>
      </c>
      <c r="CQ24" s="75" t="s">
        <v>198</v>
      </c>
      <c r="CR24" s="75" t="s">
        <v>198</v>
      </c>
      <c r="CS24" s="75" t="s">
        <v>198</v>
      </c>
      <c r="CT24" s="75" t="s">
        <v>198</v>
      </c>
      <c r="CU24" s="75" t="s">
        <v>198</v>
      </c>
      <c r="CV24" s="75" t="s">
        <v>198</v>
      </c>
      <c r="CW24" s="75" t="s">
        <v>198</v>
      </c>
      <c r="CX24" s="75" t="s">
        <v>198</v>
      </c>
      <c r="CY24" s="75" t="s">
        <v>198</v>
      </c>
      <c r="CZ24" s="75" t="s">
        <v>198</v>
      </c>
      <c r="DA24" s="75" t="s">
        <v>198</v>
      </c>
      <c r="DB24" s="75" t="s">
        <v>198</v>
      </c>
      <c r="DC24" s="75" t="s">
        <v>198</v>
      </c>
      <c r="DD24" s="75" t="s">
        <v>198</v>
      </c>
      <c r="DE24" s="75" t="s">
        <v>198</v>
      </c>
      <c r="DF24" s="75" t="s">
        <v>198</v>
      </c>
      <c r="DG24" s="75" t="s">
        <v>198</v>
      </c>
      <c r="DH24" s="75" t="s">
        <v>198</v>
      </c>
      <c r="DI24" s="75" t="s">
        <v>198</v>
      </c>
      <c r="DJ24" s="75" t="s">
        <v>198</v>
      </c>
      <c r="DK24" s="75" t="s">
        <v>198</v>
      </c>
      <c r="DL24" s="75" t="s">
        <v>246</v>
      </c>
      <c r="DM24" s="75" t="s">
        <v>248</v>
      </c>
      <c r="DN24" s="75" t="s">
        <v>153</v>
      </c>
      <c r="DO24" s="75" t="s">
        <v>153</v>
      </c>
      <c r="DP24" s="80"/>
    </row>
    <row r="25" spans="1:143">
      <c r="A25" s="60"/>
      <c r="B25" s="27" t="s">
        <v>194</v>
      </c>
      <c r="C25" s="81" t="s">
        <v>195</v>
      </c>
      <c r="D25" s="75" t="s">
        <v>249</v>
      </c>
      <c r="E25" s="75" t="s">
        <v>250</v>
      </c>
      <c r="F25" s="75" t="s">
        <v>198</v>
      </c>
      <c r="G25" s="75" t="s">
        <v>198</v>
      </c>
      <c r="H25" s="75" t="s">
        <v>198</v>
      </c>
      <c r="I25" s="75" t="s">
        <v>198</v>
      </c>
      <c r="J25" s="75" t="s">
        <v>198</v>
      </c>
      <c r="K25" s="75" t="s">
        <v>198</v>
      </c>
      <c r="L25" s="75" t="s">
        <v>198</v>
      </c>
      <c r="M25" s="75" t="s">
        <v>198</v>
      </c>
      <c r="N25" s="75" t="s">
        <v>250</v>
      </c>
      <c r="O25" s="75" t="s">
        <v>251</v>
      </c>
      <c r="P25" s="75" t="s">
        <v>250</v>
      </c>
      <c r="Q25" s="75" t="s">
        <v>200</v>
      </c>
      <c r="R25" s="75" t="s">
        <v>201</v>
      </c>
      <c r="S25" s="75" t="s">
        <v>250</v>
      </c>
      <c r="T25" s="75" t="s">
        <v>252</v>
      </c>
      <c r="U25" s="75" t="s">
        <v>253</v>
      </c>
      <c r="V25" s="75" t="s">
        <v>254</v>
      </c>
      <c r="W25" s="75" t="s">
        <v>205</v>
      </c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5"/>
      <c r="DN25" s="75"/>
      <c r="DO25" s="75"/>
      <c r="DP25" s="80"/>
      <c r="DQ25" s="80"/>
      <c r="DR25" s="80"/>
      <c r="DS25" s="80"/>
      <c r="DT25" s="80"/>
      <c r="DU25" s="80"/>
      <c r="DV25" s="80"/>
      <c r="DW25" s="80"/>
      <c r="DX25" s="80"/>
      <c r="DY25" s="80"/>
      <c r="DZ25" s="80"/>
      <c r="EA25" s="80"/>
      <c r="EB25" s="80"/>
      <c r="EC25" s="80"/>
      <c r="ED25" s="80"/>
      <c r="EE25" s="80"/>
      <c r="EF25" s="80"/>
      <c r="EG25" s="80"/>
      <c r="EH25" s="80"/>
      <c r="EI25" s="80"/>
      <c r="EJ25" s="80"/>
      <c r="EK25" s="80"/>
      <c r="EL25" s="80"/>
      <c r="EM25" s="80"/>
    </row>
    <row r="26" spans="1:143">
      <c r="A26" s="60"/>
      <c r="B26" s="27" t="s">
        <v>194</v>
      </c>
      <c r="C26" s="81" t="s">
        <v>195</v>
      </c>
      <c r="D26" s="75" t="s">
        <v>249</v>
      </c>
      <c r="E26" s="75" t="s">
        <v>255</v>
      </c>
      <c r="F26" s="75" t="s">
        <v>198</v>
      </c>
      <c r="G26" s="75" t="s">
        <v>198</v>
      </c>
      <c r="H26" s="75" t="s">
        <v>198</v>
      </c>
      <c r="I26" s="75" t="s">
        <v>198</v>
      </c>
      <c r="J26" s="75" t="s">
        <v>198</v>
      </c>
      <c r="K26" s="75" t="s">
        <v>198</v>
      </c>
      <c r="L26" s="75" t="s">
        <v>198</v>
      </c>
      <c r="M26" s="75" t="s">
        <v>198</v>
      </c>
      <c r="N26" s="75" t="s">
        <v>255</v>
      </c>
      <c r="O26" s="75" t="s">
        <v>256</v>
      </c>
      <c r="P26" s="75" t="s">
        <v>255</v>
      </c>
      <c r="Q26" s="75" t="s">
        <v>200</v>
      </c>
      <c r="R26" s="75" t="s">
        <v>201</v>
      </c>
      <c r="S26" s="75" t="s">
        <v>255</v>
      </c>
      <c r="T26" s="75" t="s">
        <v>252</v>
      </c>
      <c r="U26" s="75" t="s">
        <v>253</v>
      </c>
      <c r="V26" s="75" t="s">
        <v>254</v>
      </c>
      <c r="W26" s="75" t="s">
        <v>205</v>
      </c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80"/>
      <c r="EL26" s="80"/>
      <c r="EM26" s="80"/>
    </row>
    <row r="27" spans="1:143">
      <c r="A27" s="60"/>
      <c r="B27" s="27" t="s">
        <v>194</v>
      </c>
      <c r="C27" s="81" t="s">
        <v>195</v>
      </c>
      <c r="D27" s="75" t="s">
        <v>249</v>
      </c>
      <c r="E27" s="75" t="s">
        <v>257</v>
      </c>
      <c r="F27" s="75" t="s">
        <v>198</v>
      </c>
      <c r="G27" s="75" t="s">
        <v>198</v>
      </c>
      <c r="H27" s="75" t="s">
        <v>198</v>
      </c>
      <c r="I27" s="75" t="s">
        <v>198</v>
      </c>
      <c r="J27" s="75" t="s">
        <v>198</v>
      </c>
      <c r="K27" s="75" t="s">
        <v>198</v>
      </c>
      <c r="L27" s="75" t="s">
        <v>198</v>
      </c>
      <c r="M27" s="75" t="s">
        <v>198</v>
      </c>
      <c r="N27" s="75" t="s">
        <v>257</v>
      </c>
      <c r="O27" s="75" t="s">
        <v>258</v>
      </c>
      <c r="P27" s="75" t="s">
        <v>257</v>
      </c>
      <c r="Q27" s="75" t="s">
        <v>200</v>
      </c>
      <c r="R27" s="75" t="s">
        <v>201</v>
      </c>
      <c r="S27" s="75" t="s">
        <v>257</v>
      </c>
      <c r="T27" s="75" t="s">
        <v>259</v>
      </c>
      <c r="U27" s="75" t="s">
        <v>260</v>
      </c>
      <c r="V27" s="75" t="s">
        <v>261</v>
      </c>
      <c r="W27" s="75" t="s">
        <v>205</v>
      </c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80"/>
      <c r="DQ27" s="80"/>
      <c r="DR27" s="80"/>
      <c r="DS27" s="80"/>
      <c r="DT27" s="80"/>
      <c r="DU27" s="80"/>
      <c r="DV27" s="80"/>
      <c r="DW27" s="80"/>
      <c r="DX27" s="80"/>
      <c r="DY27" s="80"/>
      <c r="DZ27" s="80"/>
      <c r="EA27" s="80"/>
      <c r="EB27" s="80"/>
      <c r="EC27" s="80"/>
      <c r="ED27" s="80"/>
      <c r="EE27" s="80"/>
      <c r="EF27" s="80"/>
      <c r="EG27" s="80"/>
      <c r="EH27" s="80"/>
      <c r="EI27" s="80"/>
      <c r="EJ27" s="80"/>
      <c r="EK27" s="80"/>
      <c r="EL27" s="80"/>
      <c r="EM27" s="80"/>
    </row>
    <row r="28" spans="1:143">
      <c r="A28" s="60"/>
      <c r="B28" s="27" t="s">
        <v>194</v>
      </c>
      <c r="C28" s="81" t="s">
        <v>195</v>
      </c>
      <c r="D28" s="75" t="s">
        <v>249</v>
      </c>
      <c r="E28" s="75" t="s">
        <v>262</v>
      </c>
      <c r="F28" s="75" t="s">
        <v>198</v>
      </c>
      <c r="G28" s="75" t="s">
        <v>198</v>
      </c>
      <c r="H28" s="75" t="s">
        <v>198</v>
      </c>
      <c r="I28" s="75" t="s">
        <v>198</v>
      </c>
      <c r="J28" s="75" t="s">
        <v>198</v>
      </c>
      <c r="K28" s="75" t="s">
        <v>198</v>
      </c>
      <c r="L28" s="75" t="s">
        <v>198</v>
      </c>
      <c r="M28" s="75" t="s">
        <v>198</v>
      </c>
      <c r="N28" s="75" t="s">
        <v>262</v>
      </c>
      <c r="O28" s="75" t="s">
        <v>263</v>
      </c>
      <c r="P28" s="75" t="s">
        <v>262</v>
      </c>
      <c r="Q28" s="75" t="s">
        <v>200</v>
      </c>
      <c r="R28" s="75" t="s">
        <v>201</v>
      </c>
      <c r="S28" s="75">
        <v>3.1003215729439999E+31</v>
      </c>
      <c r="T28" s="75">
        <v>4</v>
      </c>
      <c r="U28" s="75" t="s">
        <v>264</v>
      </c>
      <c r="V28" s="75" t="s">
        <v>265</v>
      </c>
      <c r="W28" s="75" t="s">
        <v>205</v>
      </c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</row>
    <row r="29" spans="1:143">
      <c r="A29" s="60"/>
      <c r="B29" s="60"/>
      <c r="C29" s="60"/>
      <c r="D29" s="60"/>
    </row>
    <row r="30" spans="1:143">
      <c r="A30" s="60"/>
      <c r="B30" s="73" t="s">
        <v>150</v>
      </c>
      <c r="C30" s="73" t="s">
        <v>53</v>
      </c>
      <c r="D30" s="73" t="s">
        <v>66</v>
      </c>
      <c r="E30" s="74" t="s">
        <v>151</v>
      </c>
      <c r="F30" s="74" t="s">
        <v>156</v>
      </c>
      <c r="G30" s="74" t="s">
        <v>157</v>
      </c>
      <c r="H30" s="74" t="s">
        <v>159</v>
      </c>
      <c r="I30" s="74" t="s">
        <v>160</v>
      </c>
      <c r="J30" s="74" t="s">
        <v>266</v>
      </c>
      <c r="K30" s="74" t="s">
        <v>267</v>
      </c>
      <c r="L30" s="74" t="s">
        <v>157</v>
      </c>
      <c r="M30" s="74" t="s">
        <v>159</v>
      </c>
      <c r="N30" s="74" t="s">
        <v>160</v>
      </c>
    </row>
    <row r="31" spans="1:143">
      <c r="A31" s="60"/>
      <c r="B31" s="76" t="s">
        <v>152</v>
      </c>
      <c r="C31" s="77" t="s">
        <v>268</v>
      </c>
      <c r="D31" s="75" t="s">
        <v>269</v>
      </c>
      <c r="E31" s="75" t="s">
        <v>270</v>
      </c>
      <c r="F31" s="75" t="s">
        <v>198</v>
      </c>
      <c r="G31" s="75" t="s">
        <v>271</v>
      </c>
      <c r="H31" s="75" t="s">
        <v>198</v>
      </c>
      <c r="I31" s="75" t="s">
        <v>272</v>
      </c>
      <c r="J31" s="75" t="s">
        <v>270</v>
      </c>
      <c r="K31" s="75" t="s">
        <v>271</v>
      </c>
      <c r="L31" s="75" t="s">
        <v>271</v>
      </c>
      <c r="M31" s="75" t="s">
        <v>198</v>
      </c>
      <c r="N31" s="75" t="s">
        <v>273</v>
      </c>
    </row>
    <row r="32" spans="1:143">
      <c r="A32" s="60"/>
      <c r="B32" s="76" t="s">
        <v>152</v>
      </c>
      <c r="C32" s="77" t="s">
        <v>268</v>
      </c>
      <c r="D32" s="75" t="s">
        <v>274</v>
      </c>
      <c r="E32" s="75" t="s">
        <v>275</v>
      </c>
      <c r="F32" s="75" t="s">
        <v>276</v>
      </c>
      <c r="G32" s="75" t="s">
        <v>276</v>
      </c>
      <c r="H32" s="75" t="s">
        <v>277</v>
      </c>
      <c r="I32" s="75" t="s">
        <v>278</v>
      </c>
      <c r="J32" s="75" t="s">
        <v>275</v>
      </c>
      <c r="K32" s="75" t="s">
        <v>271</v>
      </c>
      <c r="L32" s="75" t="s">
        <v>271</v>
      </c>
      <c r="M32" s="75" t="s">
        <v>279</v>
      </c>
      <c r="N32" s="75" t="s">
        <v>280</v>
      </c>
    </row>
    <row r="33" spans="1:14">
      <c r="A33" s="60"/>
      <c r="B33" s="76" t="s">
        <v>152</v>
      </c>
      <c r="C33" s="77" t="s">
        <v>268</v>
      </c>
      <c r="D33" s="75" t="s">
        <v>281</v>
      </c>
      <c r="E33" s="75" t="s">
        <v>282</v>
      </c>
      <c r="F33" s="75" t="s">
        <v>198</v>
      </c>
      <c r="G33" s="75" t="s">
        <v>198</v>
      </c>
      <c r="H33" s="75" t="s">
        <v>198</v>
      </c>
      <c r="I33" s="75" t="s">
        <v>198</v>
      </c>
      <c r="J33" s="75" t="s">
        <v>282</v>
      </c>
      <c r="K33" s="75" t="s">
        <v>276</v>
      </c>
      <c r="L33" s="75" t="s">
        <v>276</v>
      </c>
      <c r="M33" s="75" t="s">
        <v>283</v>
      </c>
      <c r="N33" s="75" t="s">
        <v>284</v>
      </c>
    </row>
    <row r="34" spans="1:14">
      <c r="A34" s="60"/>
      <c r="B34" s="60"/>
      <c r="C34" s="60"/>
      <c r="D34" s="60"/>
    </row>
    <row r="35" spans="1:14" hidden="1">
      <c r="A35" s="60"/>
      <c r="B35" s="60"/>
      <c r="C35" s="60"/>
      <c r="D35" s="60"/>
    </row>
    <row r="36" spans="1:14" hidden="1">
      <c r="A36" s="60"/>
      <c r="B36" s="60"/>
      <c r="C36" s="60"/>
      <c r="D36" s="60"/>
    </row>
    <row r="37" spans="1:14" hidden="1">
      <c r="A37" s="60"/>
      <c r="B37" s="60"/>
      <c r="C37" s="60"/>
      <c r="D37" s="60"/>
    </row>
    <row r="38" spans="1:14" hidden="1">
      <c r="A38" s="60"/>
      <c r="B38" s="60"/>
      <c r="C38" s="60"/>
      <c r="D38" s="60"/>
    </row>
    <row r="39" spans="1:14" hidden="1">
      <c r="A39" s="60"/>
      <c r="B39" s="60"/>
      <c r="C39" s="60"/>
      <c r="D39" s="60"/>
    </row>
    <row r="40" spans="1:14" hidden="1">
      <c r="A40" s="60"/>
      <c r="B40" s="60"/>
      <c r="C40" s="60"/>
      <c r="D40" s="60"/>
    </row>
    <row r="41" spans="1:14" hidden="1">
      <c r="A41" s="60"/>
      <c r="B41" s="60"/>
      <c r="C41" s="60"/>
      <c r="D41" s="60"/>
    </row>
    <row r="42" spans="1:14" hidden="1">
      <c r="A42" s="60"/>
      <c r="B42" s="60"/>
      <c r="C42" s="60"/>
      <c r="D42" s="60"/>
    </row>
    <row r="43" spans="1:14" hidden="1">
      <c r="A43" s="60"/>
      <c r="B43" s="60"/>
      <c r="C43" s="60"/>
      <c r="D43" s="60"/>
    </row>
    <row r="44" spans="1:14" hidden="1">
      <c r="A44" s="60"/>
      <c r="B44" s="60"/>
      <c r="C44" s="60"/>
      <c r="D44" s="60"/>
    </row>
    <row r="45" spans="1:14" hidden="1">
      <c r="A45" s="60"/>
      <c r="B45" s="60"/>
      <c r="C45" s="60"/>
      <c r="D45" s="60"/>
    </row>
    <row r="46" spans="1:14" hidden="1">
      <c r="A46" s="60"/>
      <c r="B46" s="60"/>
      <c r="C46" s="60"/>
      <c r="D46" s="60"/>
    </row>
    <row r="47" spans="1:14" hidden="1">
      <c r="A47" s="60"/>
      <c r="B47" s="60"/>
      <c r="C47" s="60"/>
      <c r="D47" s="60"/>
    </row>
    <row r="48" spans="1:14" hidden="1">
      <c r="A48" s="60"/>
      <c r="B48" s="60"/>
      <c r="C48" s="60"/>
      <c r="D48" s="60"/>
    </row>
    <row r="49" spans="1:4" hidden="1">
      <c r="A49" s="60"/>
      <c r="B49" s="60"/>
      <c r="C49" s="60"/>
      <c r="D49" s="60"/>
    </row>
    <row r="50" spans="1:4" hidden="1">
      <c r="A50" s="60"/>
      <c r="B50" s="60"/>
      <c r="C50" s="60"/>
      <c r="D50" s="60"/>
    </row>
    <row r="51" spans="1:4" hidden="1">
      <c r="A51" s="60"/>
      <c r="B51" s="60"/>
      <c r="C51" s="60"/>
      <c r="D51" s="60"/>
    </row>
    <row r="52" spans="1:4" hidden="1">
      <c r="A52" s="60"/>
      <c r="B52" s="60"/>
      <c r="C52" s="60"/>
      <c r="D52" s="60"/>
    </row>
    <row r="53" spans="1:4" hidden="1">
      <c r="A53" s="60"/>
      <c r="B53" s="60"/>
      <c r="C53" s="60"/>
      <c r="D53" s="60"/>
    </row>
    <row r="54" spans="1:4" hidden="1">
      <c r="A54" s="60"/>
      <c r="B54" s="60"/>
      <c r="C54" s="60"/>
      <c r="D54" s="60"/>
    </row>
    <row r="55" spans="1:4" hidden="1">
      <c r="A55" s="60"/>
      <c r="B55" s="60"/>
      <c r="C55" s="60"/>
      <c r="D55" s="60"/>
    </row>
    <row r="56" spans="1:4" hidden="1">
      <c r="A56" s="60"/>
      <c r="B56" s="60"/>
      <c r="C56" s="60"/>
      <c r="D56" s="60"/>
    </row>
    <row r="57" spans="1:4" hidden="1">
      <c r="A57" s="60"/>
      <c r="B57" s="60"/>
      <c r="C57" s="60"/>
      <c r="D57" s="60"/>
    </row>
    <row r="58" spans="1:4" hidden="1">
      <c r="A58" s="60"/>
      <c r="B58" s="60"/>
      <c r="C58" s="60"/>
      <c r="D58" s="60"/>
    </row>
    <row r="59" spans="1:4" hidden="1">
      <c r="A59" s="60"/>
      <c r="B59" s="60"/>
      <c r="C59" s="60"/>
      <c r="D59" s="60"/>
    </row>
    <row r="60" spans="1:4" hidden="1">
      <c r="A60" s="60"/>
      <c r="B60" s="60"/>
      <c r="C60" s="60"/>
      <c r="D60" s="60"/>
    </row>
    <row r="61" spans="1:4" hidden="1">
      <c r="A61" s="60"/>
      <c r="B61" s="60"/>
      <c r="C61" s="60"/>
      <c r="D61" s="60"/>
    </row>
    <row r="62" spans="1:4" hidden="1">
      <c r="A62" s="60"/>
      <c r="B62" s="60"/>
      <c r="C62" s="60"/>
      <c r="D62" s="60"/>
    </row>
    <row r="63" spans="1:4" hidden="1">
      <c r="A63" s="60"/>
      <c r="B63" s="60"/>
      <c r="C63" s="60"/>
      <c r="D63" s="60"/>
    </row>
    <row r="64" spans="1:4" hidden="1">
      <c r="A64" s="60"/>
      <c r="B64" s="60"/>
      <c r="C64" s="60"/>
      <c r="D64" s="60"/>
    </row>
    <row r="65" spans="1:4" hidden="1">
      <c r="A65" s="60"/>
      <c r="B65" s="60"/>
      <c r="C65" s="60"/>
      <c r="D65" s="60"/>
    </row>
    <row r="66" spans="1:4" hidden="1">
      <c r="A66" s="60"/>
      <c r="B66" s="60"/>
      <c r="C66" s="60"/>
      <c r="D66" s="60"/>
    </row>
    <row r="67" spans="1:4" hidden="1">
      <c r="A67" s="60"/>
      <c r="B67" s="60"/>
      <c r="C67" s="60"/>
      <c r="D67" s="60"/>
    </row>
    <row r="68" spans="1:4" hidden="1">
      <c r="A68" s="60"/>
      <c r="B68" s="60"/>
      <c r="C68" s="60"/>
      <c r="D68" s="60"/>
    </row>
    <row r="69" spans="1:4" hidden="1">
      <c r="A69" s="60"/>
      <c r="B69" s="60"/>
      <c r="C69" s="60"/>
      <c r="D69" s="60"/>
    </row>
    <row r="70" spans="1:4" hidden="1">
      <c r="A70" s="60"/>
      <c r="B70" s="60"/>
      <c r="C70" s="60"/>
      <c r="D70" s="60"/>
    </row>
    <row r="71" spans="1:4" hidden="1">
      <c r="A71" s="60"/>
      <c r="B71" s="60"/>
      <c r="C71" s="60"/>
      <c r="D71" s="60"/>
    </row>
    <row r="72" spans="1:4" hidden="1">
      <c r="A72" s="60"/>
      <c r="B72" s="60"/>
      <c r="C72" s="60"/>
      <c r="D72" s="60"/>
    </row>
    <row r="73" spans="1:4" hidden="1">
      <c r="A73" s="60"/>
      <c r="B73" s="60"/>
      <c r="C73" s="60"/>
      <c r="D73" s="60"/>
    </row>
    <row r="74" spans="1:4" hidden="1">
      <c r="A74" s="60"/>
      <c r="B74" s="60"/>
      <c r="C74" s="60"/>
      <c r="D74" s="60"/>
    </row>
    <row r="75" spans="1:4" hidden="1">
      <c r="A75" s="60"/>
      <c r="B75" s="60"/>
      <c r="C75" s="60"/>
      <c r="D75" s="60"/>
    </row>
    <row r="76" spans="1:4" hidden="1">
      <c r="A76" s="60"/>
      <c r="B76" s="60"/>
      <c r="C76" s="60"/>
      <c r="D76" s="60"/>
    </row>
    <row r="77" spans="1:4" hidden="1">
      <c r="A77" s="60"/>
      <c r="B77" s="60"/>
      <c r="C77" s="60"/>
      <c r="D77" s="60"/>
    </row>
    <row r="78" spans="1:4" hidden="1">
      <c r="A78" s="60"/>
      <c r="B78" s="60"/>
      <c r="C78" s="60"/>
      <c r="D78" s="60"/>
    </row>
    <row r="79" spans="1:4" hidden="1">
      <c r="A79" s="60"/>
      <c r="B79" s="60"/>
      <c r="C79" s="60"/>
      <c r="D79" s="60"/>
    </row>
    <row r="80" spans="1:4" hidden="1">
      <c r="A80" s="60"/>
      <c r="B80" s="60"/>
      <c r="C80" s="60"/>
      <c r="D80" s="60"/>
    </row>
    <row r="81" spans="1:4" hidden="1">
      <c r="A81" s="60"/>
      <c r="B81" s="60"/>
      <c r="C81" s="60"/>
      <c r="D81" s="60"/>
    </row>
    <row r="82" spans="1:4" hidden="1">
      <c r="A82" s="60"/>
      <c r="B82" s="60"/>
      <c r="C82" s="60"/>
      <c r="D82" s="60"/>
    </row>
    <row r="83" spans="1:4" hidden="1">
      <c r="A83" s="60"/>
      <c r="B83" s="60"/>
      <c r="C83" s="60"/>
      <c r="D83" s="60"/>
    </row>
    <row r="84" spans="1:4" hidden="1">
      <c r="A84" s="60"/>
      <c r="B84" s="60"/>
      <c r="C84" s="60"/>
      <c r="D84" s="60"/>
    </row>
    <row r="85" spans="1:4" hidden="1">
      <c r="A85" s="60"/>
      <c r="B85" s="60"/>
      <c r="C85" s="60"/>
      <c r="D85" s="60"/>
    </row>
    <row r="86" spans="1:4" hidden="1">
      <c r="A86" s="60"/>
      <c r="B86" s="60"/>
      <c r="C86" s="60"/>
      <c r="D86" s="60"/>
    </row>
    <row r="87" spans="1:4" hidden="1">
      <c r="A87" s="60"/>
      <c r="B87" s="60"/>
      <c r="C87" s="60"/>
      <c r="D87" s="60"/>
    </row>
    <row r="88" spans="1:4" hidden="1">
      <c r="A88" s="60"/>
      <c r="B88" s="60"/>
      <c r="C88" s="60"/>
      <c r="D88" s="60"/>
    </row>
    <row r="89" spans="1:4" hidden="1">
      <c r="A89" s="60"/>
      <c r="B89" s="60"/>
      <c r="C89" s="60"/>
      <c r="D89" s="60"/>
    </row>
    <row r="90" spans="1:4" hidden="1">
      <c r="A90" s="60"/>
      <c r="B90" s="60"/>
      <c r="C90" s="60"/>
      <c r="D90" s="60"/>
    </row>
    <row r="91" spans="1:4" hidden="1">
      <c r="A91" s="60"/>
      <c r="B91" s="60"/>
      <c r="C91" s="60"/>
      <c r="D91" s="60"/>
    </row>
    <row r="92" spans="1:4" hidden="1">
      <c r="A92" s="60"/>
      <c r="B92" s="60"/>
      <c r="C92" s="60"/>
      <c r="D92" s="60"/>
    </row>
    <row r="93" spans="1:4" hidden="1">
      <c r="A93" s="60"/>
      <c r="B93" s="60"/>
      <c r="C93" s="60"/>
      <c r="D93" s="60"/>
    </row>
    <row r="94" spans="1:4" hidden="1">
      <c r="A94" s="60"/>
      <c r="B94" s="60"/>
      <c r="C94" s="60"/>
      <c r="D94" s="60"/>
    </row>
    <row r="95" spans="1:4" hidden="1">
      <c r="A95" s="60"/>
      <c r="B95" s="60"/>
      <c r="C95" s="60"/>
      <c r="D95" s="60"/>
    </row>
    <row r="96" spans="1:4" hidden="1">
      <c r="A96" s="60"/>
      <c r="B96" s="60"/>
      <c r="C96" s="60"/>
      <c r="D96" s="60"/>
    </row>
    <row r="97" spans="1:4" hidden="1">
      <c r="A97" s="60"/>
      <c r="B97" s="60"/>
      <c r="C97" s="60"/>
      <c r="D97" s="60"/>
    </row>
    <row r="98" spans="1:4" hidden="1">
      <c r="A98" s="60"/>
      <c r="B98" s="60"/>
      <c r="C98" s="60"/>
      <c r="D98" s="60"/>
    </row>
    <row r="99" spans="1:4" hidden="1">
      <c r="A99" s="60"/>
      <c r="B99" s="60"/>
      <c r="C99" s="60"/>
      <c r="D99" s="60"/>
    </row>
    <row r="100" spans="1:4" hidden="1">
      <c r="A100" s="60"/>
      <c r="B100" s="60"/>
      <c r="C100" s="60"/>
      <c r="D100" s="60"/>
    </row>
    <row r="101" spans="1:4" hidden="1">
      <c r="A101" s="60"/>
      <c r="B101" s="60"/>
      <c r="C101" s="60"/>
      <c r="D101" s="60"/>
    </row>
    <row r="102" spans="1:4" hidden="1">
      <c r="A102" s="60"/>
      <c r="B102" s="60"/>
      <c r="C102" s="60"/>
      <c r="D102" s="60"/>
    </row>
    <row r="103" spans="1:4" hidden="1">
      <c r="A103" s="60"/>
      <c r="B103" s="60"/>
      <c r="C103" s="60"/>
      <c r="D103" s="60"/>
    </row>
    <row r="104" spans="1:4" hidden="1">
      <c r="A104" s="60"/>
      <c r="B104" s="60"/>
      <c r="C104" s="60"/>
      <c r="D104" s="60"/>
    </row>
    <row r="105" spans="1:4" hidden="1">
      <c r="A105" s="60"/>
      <c r="B105" s="60"/>
      <c r="C105" s="60"/>
      <c r="D105" s="60"/>
    </row>
    <row r="106" spans="1:4" hidden="1">
      <c r="A106" s="60"/>
      <c r="B106" s="60"/>
      <c r="C106" s="60"/>
      <c r="D106" s="60"/>
    </row>
    <row r="107" spans="1:4" hidden="1">
      <c r="A107" s="60"/>
      <c r="B107" s="60"/>
      <c r="C107" s="60"/>
      <c r="D107" s="60"/>
    </row>
    <row r="108" spans="1:4" hidden="1">
      <c r="A108" s="60"/>
      <c r="B108" s="60"/>
      <c r="C108" s="60"/>
      <c r="D108" s="60"/>
    </row>
    <row r="109" spans="1:4" hidden="1">
      <c r="A109" s="60"/>
      <c r="B109" s="60"/>
      <c r="C109" s="60"/>
      <c r="D109" s="60"/>
    </row>
    <row r="110" spans="1:4" hidden="1">
      <c r="A110" s="60"/>
      <c r="B110" s="60"/>
      <c r="C110" s="60"/>
      <c r="D110" s="60"/>
    </row>
    <row r="111" spans="1:4" hidden="1">
      <c r="A111" s="60"/>
      <c r="B111" s="60"/>
      <c r="C111" s="60"/>
      <c r="D111" s="60"/>
    </row>
    <row r="112" spans="1:4" hidden="1">
      <c r="A112" s="60"/>
      <c r="B112" s="60"/>
      <c r="C112" s="60"/>
      <c r="D112" s="60"/>
    </row>
    <row r="113" spans="1:4" hidden="1">
      <c r="A113" s="60"/>
      <c r="B113" s="60"/>
      <c r="C113" s="60"/>
      <c r="D113" s="60"/>
    </row>
    <row r="114" spans="1:4" hidden="1">
      <c r="A114" s="60"/>
      <c r="B114" s="60"/>
      <c r="C114" s="60"/>
      <c r="D114" s="60"/>
    </row>
    <row r="115" spans="1:4" hidden="1">
      <c r="A115" s="60"/>
      <c r="B115" s="60"/>
      <c r="C115" s="60"/>
      <c r="D115" s="60"/>
    </row>
    <row r="116" spans="1:4" hidden="1">
      <c r="A116" s="60"/>
      <c r="B116" s="60"/>
      <c r="C116" s="60"/>
      <c r="D116" s="60"/>
    </row>
    <row r="117" spans="1:4" hidden="1">
      <c r="A117" s="60"/>
      <c r="B117" s="60"/>
      <c r="C117" s="60"/>
      <c r="D117" s="60"/>
    </row>
    <row r="118" spans="1:4" hidden="1">
      <c r="A118" s="60"/>
      <c r="B118" s="60"/>
      <c r="C118" s="60"/>
      <c r="D118" s="60"/>
    </row>
    <row r="119" spans="1:4" hidden="1">
      <c r="A119" s="60"/>
      <c r="B119" s="60"/>
      <c r="C119" s="60"/>
      <c r="D119" s="60"/>
    </row>
    <row r="120" spans="1:4" hidden="1">
      <c r="A120" s="60"/>
      <c r="B120" s="60"/>
      <c r="C120" s="60"/>
      <c r="D120" s="60"/>
    </row>
    <row r="121" spans="1:4" hidden="1">
      <c r="A121" s="60"/>
      <c r="B121" s="60"/>
      <c r="C121" s="60"/>
      <c r="D121" s="60"/>
    </row>
    <row r="122" spans="1:4" hidden="1">
      <c r="A122" s="60"/>
      <c r="B122" s="60"/>
      <c r="C122" s="60"/>
      <c r="D122" s="60"/>
    </row>
    <row r="123" spans="1:4" hidden="1">
      <c r="A123" s="60"/>
      <c r="B123" s="60"/>
      <c r="C123" s="60"/>
      <c r="D123" s="60"/>
    </row>
    <row r="124" spans="1:4" hidden="1">
      <c r="A124" s="60"/>
      <c r="B124" s="60"/>
      <c r="C124" s="60"/>
      <c r="D124" s="60"/>
    </row>
    <row r="125" spans="1:4" hidden="1">
      <c r="A125" s="60"/>
      <c r="B125" s="60"/>
      <c r="C125" s="60"/>
      <c r="D125" s="60"/>
    </row>
    <row r="126" spans="1:4" hidden="1">
      <c r="A126" s="60"/>
      <c r="B126" s="60"/>
      <c r="C126" s="60"/>
      <c r="D126" s="60"/>
    </row>
    <row r="127" spans="1:4" hidden="1">
      <c r="A127" s="60"/>
      <c r="B127" s="60"/>
      <c r="C127" s="60"/>
      <c r="D127" s="60"/>
    </row>
    <row r="128" spans="1:4" hidden="1">
      <c r="A128" s="60"/>
      <c r="B128" s="60"/>
      <c r="C128" s="60"/>
      <c r="D128" s="60"/>
    </row>
    <row r="129" spans="1:4" hidden="1">
      <c r="A129" s="60"/>
      <c r="B129" s="60"/>
      <c r="C129" s="60"/>
      <c r="D129" s="60"/>
    </row>
    <row r="130" spans="1:4" hidden="1">
      <c r="A130" s="60"/>
      <c r="B130" s="60"/>
      <c r="C130" s="60"/>
      <c r="D130" s="60"/>
    </row>
    <row r="131" spans="1:4" hidden="1">
      <c r="A131" s="60"/>
      <c r="B131" s="60"/>
      <c r="C131" s="60"/>
      <c r="D131" s="60"/>
    </row>
    <row r="132" spans="1:4" hidden="1">
      <c r="A132" s="60"/>
      <c r="B132" s="60"/>
      <c r="C132" s="60"/>
      <c r="D132" s="60"/>
    </row>
    <row r="133" spans="1:4" hidden="1">
      <c r="A133" s="60"/>
      <c r="B133" s="60"/>
      <c r="C133" s="60"/>
      <c r="D133" s="60"/>
    </row>
    <row r="134" spans="1:4" hidden="1">
      <c r="A134" s="60"/>
      <c r="B134" s="60"/>
      <c r="C134" s="60"/>
      <c r="D134" s="60"/>
    </row>
    <row r="135" spans="1:4" hidden="1">
      <c r="A135" s="60"/>
      <c r="B135" s="60"/>
      <c r="C135" s="60"/>
      <c r="D135" s="60"/>
    </row>
    <row r="136" spans="1:4" hidden="1">
      <c r="A136" s="60"/>
      <c r="B136" s="60"/>
      <c r="C136" s="60"/>
      <c r="D136" s="60"/>
    </row>
    <row r="137" spans="1:4" hidden="1">
      <c r="A137" s="60"/>
      <c r="B137" s="60"/>
      <c r="C137" s="60"/>
      <c r="D137" s="60"/>
    </row>
    <row r="138" spans="1:4" hidden="1">
      <c r="A138" s="60"/>
      <c r="B138" s="60"/>
      <c r="C138" s="60"/>
      <c r="D138" s="60"/>
    </row>
    <row r="139" spans="1:4" hidden="1">
      <c r="A139" s="60"/>
      <c r="B139" s="60"/>
      <c r="C139" s="60"/>
      <c r="D139" s="60"/>
    </row>
    <row r="140" spans="1:4" hidden="1">
      <c r="A140" s="60"/>
      <c r="B140" s="60"/>
      <c r="C140" s="60"/>
      <c r="D140" s="60"/>
    </row>
    <row r="141" spans="1:4" hidden="1">
      <c r="A141" s="60"/>
      <c r="B141" s="60"/>
      <c r="C141" s="60"/>
      <c r="D141" s="60"/>
    </row>
    <row r="142" spans="1:4" hidden="1">
      <c r="A142" s="60"/>
      <c r="B142" s="60"/>
      <c r="C142" s="60"/>
      <c r="D142" s="60"/>
    </row>
    <row r="143" spans="1:4" hidden="1">
      <c r="A143" s="60"/>
      <c r="B143" s="60"/>
      <c r="C143" s="60"/>
      <c r="D143" s="60"/>
    </row>
    <row r="144" spans="1:4" hidden="1">
      <c r="A144" s="60"/>
      <c r="B144" s="60"/>
      <c r="C144" s="60"/>
      <c r="D144" s="60"/>
    </row>
    <row r="145" spans="1:4" hidden="1">
      <c r="A145" s="60"/>
      <c r="B145" s="60"/>
      <c r="C145" s="60"/>
      <c r="D145" s="60"/>
    </row>
    <row r="146" spans="1:4" hidden="1">
      <c r="A146" s="60"/>
      <c r="B146" s="60"/>
      <c r="C146" s="60"/>
      <c r="D146" s="60"/>
    </row>
    <row r="147" spans="1:4" hidden="1">
      <c r="A147" s="60"/>
      <c r="B147" s="60"/>
      <c r="C147" s="60"/>
      <c r="D147" s="60"/>
    </row>
    <row r="148" spans="1:4" hidden="1">
      <c r="A148" s="60"/>
      <c r="B148" s="60"/>
      <c r="C148" s="60"/>
      <c r="D148" s="60"/>
    </row>
    <row r="149" spans="1:4" hidden="1">
      <c r="A149" s="60"/>
      <c r="B149" s="60"/>
      <c r="C149" s="60"/>
      <c r="D149" s="60"/>
    </row>
    <row r="150" spans="1:4" hidden="1">
      <c r="A150" s="60"/>
      <c r="B150" s="60"/>
      <c r="C150" s="60"/>
      <c r="D150" s="60"/>
    </row>
    <row r="151" spans="1:4" hidden="1">
      <c r="A151" s="60"/>
      <c r="B151" s="60"/>
      <c r="C151" s="60"/>
      <c r="D151" s="60"/>
    </row>
    <row r="152" spans="1:4" hidden="1">
      <c r="A152" s="60"/>
      <c r="B152" s="60"/>
      <c r="C152" s="60"/>
      <c r="D152" s="60"/>
    </row>
    <row r="153" spans="1:4" hidden="1">
      <c r="A153" s="60"/>
      <c r="B153" s="60"/>
      <c r="C153" s="60"/>
      <c r="D153" s="60"/>
    </row>
    <row r="154" spans="1:4" hidden="1">
      <c r="A154" s="60"/>
      <c r="B154" s="60"/>
      <c r="C154" s="60"/>
      <c r="D154" s="60"/>
    </row>
    <row r="155" spans="1:4" hidden="1">
      <c r="A155" s="60"/>
      <c r="B155" s="60"/>
      <c r="C155" s="60"/>
      <c r="D155" s="60"/>
    </row>
    <row r="156" spans="1:4" hidden="1">
      <c r="A156" s="60"/>
      <c r="B156" s="60"/>
      <c r="C156" s="60"/>
      <c r="D156" s="60"/>
    </row>
    <row r="157" spans="1:4" hidden="1">
      <c r="A157" s="60"/>
      <c r="B157" s="60"/>
      <c r="C157" s="60"/>
      <c r="D157" s="60"/>
    </row>
    <row r="158" spans="1:4" hidden="1">
      <c r="A158" s="60"/>
      <c r="B158" s="60"/>
      <c r="C158" s="60"/>
      <c r="D158" s="60"/>
    </row>
    <row r="159" spans="1:4" hidden="1">
      <c r="A159" s="60"/>
      <c r="B159" s="60"/>
      <c r="C159" s="60"/>
      <c r="D159" s="60"/>
    </row>
  </sheetData>
  <conditionalFormatting sqref="B9:C9 B10:D28">
    <cfRule type="cellIs" dxfId="11" priority="9" operator="equal">
      <formula>"Por iniciar"</formula>
    </cfRule>
    <cfRule type="cellIs" dxfId="10" priority="10" operator="equal">
      <formula>"EM TESTES"</formula>
    </cfRule>
    <cfRule type="cellIs" dxfId="9" priority="11" operator="equal">
      <formula>"NOK"</formula>
    </cfRule>
    <cfRule type="cellIs" dxfId="8" priority="12" operator="equal">
      <formula>"OK"</formula>
    </cfRule>
  </conditionalFormatting>
  <conditionalFormatting sqref="B28:D28">
    <cfRule type="cellIs" dxfId="7" priority="5" operator="equal">
      <formula>"Por iniciar"</formula>
    </cfRule>
    <cfRule type="cellIs" dxfId="6" priority="6" operator="equal">
      <formula>"EM TESTES"</formula>
    </cfRule>
    <cfRule type="cellIs" dxfId="5" priority="7" operator="equal">
      <formula>"NOK"</formula>
    </cfRule>
    <cfRule type="cellIs" dxfId="4" priority="8" operator="equal">
      <formula>"OK"</formula>
    </cfRule>
  </conditionalFormatting>
  <conditionalFormatting sqref="B31:C33">
    <cfRule type="cellIs" dxfId="3" priority="1" operator="equal">
      <formula>"Por iniciar"</formula>
    </cfRule>
    <cfRule type="cellIs" dxfId="2" priority="2" operator="equal">
      <formula>"EM TESTES"</formula>
    </cfRule>
    <cfRule type="cellIs" dxfId="1" priority="3" operator="equal">
      <formula>"NOK"</formula>
    </cfRule>
    <cfRule type="cellIs" dxfId="0" priority="4" operator="equal">
      <formula>"OK"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18"/>
  <sheetViews>
    <sheetView showGridLines="0" workbookViewId="0">
      <selection activeCell="D11" sqref="D11"/>
    </sheetView>
  </sheetViews>
  <sheetFormatPr defaultRowHeight="14.25"/>
  <cols>
    <col min="1" max="1" width="3.625" customWidth="1"/>
    <col min="2" max="2" width="18.625" bestFit="1" customWidth="1"/>
    <col min="3" max="3" width="18.25" bestFit="1" customWidth="1"/>
    <col min="4" max="4" width="28.5" bestFit="1" customWidth="1"/>
    <col min="5" max="5" width="9.875" bestFit="1" customWidth="1"/>
    <col min="6" max="6" width="11" bestFit="1" customWidth="1"/>
  </cols>
  <sheetData>
    <row r="2" spans="2:7">
      <c r="B2" t="s">
        <v>289</v>
      </c>
      <c r="C2" t="s">
        <v>290</v>
      </c>
      <c r="D2" t="s">
        <v>291</v>
      </c>
      <c r="E2" t="s">
        <v>187</v>
      </c>
      <c r="F2" t="s">
        <v>292</v>
      </c>
    </row>
    <row r="3" spans="2:7">
      <c r="B3" t="s">
        <v>293</v>
      </c>
      <c r="C3" t="s">
        <v>294</v>
      </c>
      <c r="D3" t="s">
        <v>295</v>
      </c>
      <c r="E3" s="87">
        <v>45657</v>
      </c>
      <c r="F3">
        <v>16511</v>
      </c>
      <c r="G3" t="s">
        <v>296</v>
      </c>
    </row>
    <row r="4" spans="2:7">
      <c r="B4" t="s">
        <v>293</v>
      </c>
      <c r="C4" t="s">
        <v>294</v>
      </c>
      <c r="D4" t="s">
        <v>297</v>
      </c>
      <c r="E4" s="87">
        <v>45657</v>
      </c>
      <c r="F4">
        <v>51078</v>
      </c>
      <c r="G4" t="s">
        <v>298</v>
      </c>
    </row>
    <row r="5" spans="2:7">
      <c r="B5" t="s">
        <v>293</v>
      </c>
      <c r="C5" t="s">
        <v>299</v>
      </c>
      <c r="D5" t="s">
        <v>300</v>
      </c>
      <c r="E5" s="87">
        <v>45657</v>
      </c>
      <c r="F5">
        <v>482441</v>
      </c>
      <c r="G5" t="s">
        <v>301</v>
      </c>
    </row>
    <row r="6" spans="2:7">
      <c r="B6" t="s">
        <v>293</v>
      </c>
      <c r="C6" t="s">
        <v>302</v>
      </c>
      <c r="D6" t="s">
        <v>303</v>
      </c>
      <c r="E6" s="87">
        <v>45657</v>
      </c>
      <c r="F6">
        <v>994709</v>
      </c>
      <c r="G6" t="s">
        <v>304</v>
      </c>
    </row>
    <row r="7" spans="2:7">
      <c r="B7" t="s">
        <v>293</v>
      </c>
      <c r="C7" t="s">
        <v>302</v>
      </c>
      <c r="D7" t="s">
        <v>305</v>
      </c>
      <c r="E7" s="87">
        <v>45657</v>
      </c>
      <c r="F7">
        <v>994709</v>
      </c>
      <c r="G7" t="s">
        <v>304</v>
      </c>
    </row>
    <row r="8" spans="2:7">
      <c r="B8" t="s">
        <v>293</v>
      </c>
      <c r="C8" t="s">
        <v>302</v>
      </c>
      <c r="D8" t="s">
        <v>306</v>
      </c>
      <c r="E8" s="87">
        <v>45657</v>
      </c>
      <c r="F8">
        <v>994709</v>
      </c>
      <c r="G8" t="s">
        <v>304</v>
      </c>
    </row>
    <row r="9" spans="2:7">
      <c r="B9" t="s">
        <v>293</v>
      </c>
      <c r="C9" t="s">
        <v>302</v>
      </c>
      <c r="D9" t="s">
        <v>307</v>
      </c>
      <c r="E9" s="87">
        <v>45657</v>
      </c>
      <c r="F9">
        <v>1178229</v>
      </c>
      <c r="G9" t="s">
        <v>304</v>
      </c>
    </row>
    <row r="10" spans="2:7">
      <c r="B10" t="s">
        <v>293</v>
      </c>
      <c r="C10" t="s">
        <v>302</v>
      </c>
      <c r="D10" t="s">
        <v>308</v>
      </c>
      <c r="E10" s="87">
        <v>45657</v>
      </c>
      <c r="F10">
        <v>1878</v>
      </c>
      <c r="G10" t="s">
        <v>304</v>
      </c>
    </row>
    <row r="11" spans="2:7">
      <c r="B11" t="s">
        <v>293</v>
      </c>
      <c r="C11" t="s">
        <v>302</v>
      </c>
      <c r="D11" t="s">
        <v>309</v>
      </c>
      <c r="E11" s="87">
        <v>45657</v>
      </c>
      <c r="F11">
        <v>181475</v>
      </c>
      <c r="G11" t="s">
        <v>304</v>
      </c>
    </row>
    <row r="12" spans="2:7">
      <c r="B12" t="s">
        <v>293</v>
      </c>
      <c r="C12" t="s">
        <v>302</v>
      </c>
      <c r="D12" t="s">
        <v>310</v>
      </c>
      <c r="E12" s="87">
        <v>45657</v>
      </c>
      <c r="F12">
        <v>81757</v>
      </c>
      <c r="G12" t="s">
        <v>304</v>
      </c>
    </row>
    <row r="13" spans="2:7">
      <c r="B13" t="s">
        <v>293</v>
      </c>
      <c r="C13" t="s">
        <v>302</v>
      </c>
      <c r="D13" t="s">
        <v>311</v>
      </c>
      <c r="E13" s="87">
        <v>45657</v>
      </c>
      <c r="F13">
        <v>129958</v>
      </c>
      <c r="G13" t="s">
        <v>304</v>
      </c>
    </row>
    <row r="14" spans="2:7">
      <c r="B14" t="s">
        <v>293</v>
      </c>
      <c r="C14" t="s">
        <v>302</v>
      </c>
      <c r="D14" t="s">
        <v>312</v>
      </c>
      <c r="E14" s="87">
        <v>45657</v>
      </c>
      <c r="F14">
        <v>176</v>
      </c>
      <c r="G14" t="s">
        <v>313</v>
      </c>
    </row>
    <row r="15" spans="2:7">
      <c r="B15" t="s">
        <v>293</v>
      </c>
      <c r="C15" t="s">
        <v>302</v>
      </c>
      <c r="D15" t="s">
        <v>314</v>
      </c>
      <c r="E15" s="87">
        <v>45657</v>
      </c>
      <c r="F15">
        <v>598</v>
      </c>
      <c r="G15" t="s">
        <v>304</v>
      </c>
    </row>
    <row r="16" spans="2:7">
      <c r="B16" t="s">
        <v>293</v>
      </c>
      <c r="C16" t="s">
        <v>302</v>
      </c>
      <c r="D16" t="s">
        <v>315</v>
      </c>
      <c r="E16" s="87">
        <v>45657</v>
      </c>
      <c r="F16">
        <v>982874</v>
      </c>
      <c r="G16" t="s">
        <v>304</v>
      </c>
    </row>
    <row r="17" spans="2:7">
      <c r="B17" t="s">
        <v>293</v>
      </c>
      <c r="C17" t="s">
        <v>302</v>
      </c>
      <c r="D17" t="s">
        <v>316</v>
      </c>
      <c r="E17" s="87">
        <v>45657</v>
      </c>
      <c r="F17">
        <v>2090803</v>
      </c>
      <c r="G17" t="s">
        <v>304</v>
      </c>
    </row>
    <row r="18" spans="2:7">
      <c r="B18" t="s">
        <v>293</v>
      </c>
      <c r="C18" t="s">
        <v>302</v>
      </c>
      <c r="D18" t="s">
        <v>317</v>
      </c>
      <c r="E18" s="87">
        <v>45657</v>
      </c>
      <c r="F18">
        <v>1</v>
      </c>
      <c r="G18" t="s">
        <v>318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N68"/>
  <sheetViews>
    <sheetView showGridLines="0" topLeftCell="F1" workbookViewId="0"/>
  </sheetViews>
  <sheetFormatPr defaultRowHeight="14.25"/>
  <cols>
    <col min="1" max="1" width="3.625" style="98" customWidth="1"/>
    <col min="2" max="2" width="19.625" bestFit="1" customWidth="1"/>
    <col min="3" max="3" width="35" bestFit="1" customWidth="1"/>
    <col min="4" max="4" width="3.625" style="98" customWidth="1"/>
    <col min="5" max="5" width="19.625" bestFit="1" customWidth="1"/>
    <col min="6" max="6" width="35" bestFit="1" customWidth="1"/>
    <col min="7" max="7" width="3.625" style="98" customWidth="1"/>
    <col min="8" max="8" width="19.625" bestFit="1" customWidth="1"/>
    <col min="9" max="9" width="35" bestFit="1" customWidth="1"/>
    <col min="10" max="10" width="3.625" style="98" customWidth="1"/>
    <col min="11" max="11" width="19.625" bestFit="1" customWidth="1"/>
    <col min="12" max="12" width="35" bestFit="1" customWidth="1"/>
    <col min="13" max="13" width="47" bestFit="1" customWidth="1"/>
  </cols>
  <sheetData>
    <row r="2" spans="2:14" ht="15">
      <c r="B2" s="97" t="s">
        <v>1095</v>
      </c>
      <c r="E2" s="97" t="s">
        <v>1096</v>
      </c>
      <c r="H2" s="97" t="s">
        <v>1097</v>
      </c>
    </row>
    <row r="3" spans="2:14" ht="15">
      <c r="B3" s="97"/>
      <c r="E3" s="97"/>
      <c r="H3" s="97"/>
    </row>
    <row r="4" spans="2:14" ht="15">
      <c r="B4" s="88" t="s">
        <v>0</v>
      </c>
      <c r="C4" s="88" t="s">
        <v>6</v>
      </c>
      <c r="E4" s="88" t="s">
        <v>0</v>
      </c>
      <c r="F4" s="88" t="s">
        <v>6</v>
      </c>
      <c r="H4" s="88" t="s">
        <v>0</v>
      </c>
      <c r="I4" s="88" t="s">
        <v>6</v>
      </c>
      <c r="K4" s="88" t="s">
        <v>0</v>
      </c>
      <c r="L4" s="88" t="s">
        <v>6</v>
      </c>
      <c r="M4" s="88" t="s">
        <v>1098</v>
      </c>
    </row>
    <row r="5" spans="2:14">
      <c r="B5" t="s">
        <v>126</v>
      </c>
      <c r="C5" t="s">
        <v>108</v>
      </c>
      <c r="E5" t="s">
        <v>126</v>
      </c>
      <c r="F5" t="s">
        <v>108</v>
      </c>
      <c r="H5" t="s">
        <v>126</v>
      </c>
      <c r="I5" t="s">
        <v>108</v>
      </c>
      <c r="J5" s="99" t="str">
        <f>+K5&amp;L5</f>
        <v>ENTITYCOD_SOC</v>
      </c>
      <c r="K5" t="s">
        <v>126</v>
      </c>
      <c r="L5" t="s">
        <v>108</v>
      </c>
      <c r="M5" t="str">
        <f>+VLOOKUP(J5,'2. Script '!A:A,1,FALSE)</f>
        <v>ENTITYCOD_SOC</v>
      </c>
      <c r="N5">
        <f>+VLOOKUP(J5,ANL_CAMPOS_PDS!E:K,7,FALSE)</f>
        <v>0</v>
      </c>
    </row>
    <row r="6" spans="2:14">
      <c r="B6" t="s">
        <v>126</v>
      </c>
      <c r="C6" t="s">
        <v>112</v>
      </c>
      <c r="E6" t="s">
        <v>126</v>
      </c>
      <c r="F6" t="s">
        <v>112</v>
      </c>
      <c r="H6" t="s">
        <v>126</v>
      </c>
      <c r="I6" t="s">
        <v>112</v>
      </c>
      <c r="J6" s="99" t="str">
        <f t="shared" ref="J6:J68" si="0">+K6&amp;L6</f>
        <v>ENTITYCNTRY</v>
      </c>
      <c r="K6" t="s">
        <v>126</v>
      </c>
      <c r="L6" t="s">
        <v>112</v>
      </c>
      <c r="M6" t="str">
        <f>+VLOOKUP(J6,'2. Script '!A:A,1,FALSE)</f>
        <v>ENTITYCNTRY</v>
      </c>
      <c r="N6">
        <f>+VLOOKUP(J6,ANL_CAMPOS_PDS!E:K,7,FALSE)</f>
        <v>0</v>
      </c>
    </row>
    <row r="7" spans="2:14">
      <c r="B7" t="s">
        <v>126</v>
      </c>
      <c r="C7" t="s">
        <v>603</v>
      </c>
      <c r="E7" t="s">
        <v>126</v>
      </c>
      <c r="F7" t="s">
        <v>603</v>
      </c>
      <c r="H7" t="s">
        <v>126</v>
      </c>
      <c r="I7" t="s">
        <v>603</v>
      </c>
      <c r="J7" s="99" t="str">
        <f t="shared" si="0"/>
        <v>ENTITYDT_RFRNC</v>
      </c>
      <c r="K7" t="s">
        <v>126</v>
      </c>
      <c r="L7" t="s">
        <v>603</v>
      </c>
      <c r="M7" t="e">
        <f>+VLOOKUP(J7,'2. Script '!A:A,1,FALSE)</f>
        <v>#N/A</v>
      </c>
      <c r="N7">
        <f>+VLOOKUP(J7,ANL_CAMPOS_PDS!E:K,7,FALSE)</f>
        <v>0</v>
      </c>
    </row>
    <row r="8" spans="2:14">
      <c r="B8" t="s">
        <v>126</v>
      </c>
      <c r="C8" t="s">
        <v>604</v>
      </c>
      <c r="E8" t="s">
        <v>126</v>
      </c>
      <c r="F8" t="s">
        <v>604</v>
      </c>
      <c r="H8" t="s">
        <v>126</v>
      </c>
      <c r="I8" t="s">
        <v>604</v>
      </c>
      <c r="J8" s="99" t="str">
        <f t="shared" si="0"/>
        <v>ENTITYENTTY_ID</v>
      </c>
      <c r="K8" t="s">
        <v>126</v>
      </c>
      <c r="L8" t="s">
        <v>604</v>
      </c>
      <c r="M8" t="e">
        <f>+VLOOKUP(J8,'2. Script '!A:A,1,FALSE)</f>
        <v>#N/A</v>
      </c>
      <c r="N8">
        <f>+VLOOKUP(J8,ANL_CAMPOS_PDS!E:K,7,FALSE)</f>
        <v>0</v>
      </c>
    </row>
    <row r="9" spans="2:14">
      <c r="B9" t="s">
        <v>126</v>
      </c>
      <c r="C9" t="s">
        <v>113</v>
      </c>
      <c r="E9" t="s">
        <v>126</v>
      </c>
      <c r="F9" t="s">
        <v>113</v>
      </c>
      <c r="H9" t="s">
        <v>126</v>
      </c>
      <c r="I9" t="s">
        <v>113</v>
      </c>
      <c r="J9" s="99" t="str">
        <f t="shared" si="0"/>
        <v>ENTITYLEI</v>
      </c>
      <c r="K9" t="s">
        <v>126</v>
      </c>
      <c r="L9" t="s">
        <v>113</v>
      </c>
      <c r="M9" t="str">
        <f>+VLOOKUP(J9,'2. Script '!A:A,1,FALSE)</f>
        <v>ENTITYLEI</v>
      </c>
      <c r="N9">
        <f>+VLOOKUP(J9,ANL_CAMPOS_PDS!E:K,7,FALSE)</f>
        <v>0</v>
      </c>
    </row>
    <row r="10" spans="2:14">
      <c r="B10" t="s">
        <v>126</v>
      </c>
      <c r="C10" t="s">
        <v>114</v>
      </c>
      <c r="E10" t="s">
        <v>126</v>
      </c>
      <c r="F10" t="s">
        <v>333</v>
      </c>
      <c r="H10" t="s">
        <v>126</v>
      </c>
      <c r="I10" t="s">
        <v>333</v>
      </c>
      <c r="J10" s="99" t="str">
        <f t="shared" si="0"/>
        <v>ENTITYECNMC_ACTVTY</v>
      </c>
      <c r="K10" t="s">
        <v>126</v>
      </c>
      <c r="L10" t="s">
        <v>114</v>
      </c>
      <c r="M10" t="str">
        <f>+VLOOKUP(J10,'2. Script '!A:A,1,FALSE)</f>
        <v>ENTITYECNMC_ACTVTY</v>
      </c>
      <c r="N10">
        <f>+VLOOKUP(J10,ANL_CAMPOS_PDS!E:K,7,FALSE)</f>
        <v>0</v>
      </c>
    </row>
    <row r="11" spans="2:14">
      <c r="B11" t="s">
        <v>126</v>
      </c>
      <c r="C11" t="s">
        <v>115</v>
      </c>
      <c r="E11" t="s">
        <v>126</v>
      </c>
      <c r="F11" t="s">
        <v>114</v>
      </c>
      <c r="H11" t="s">
        <v>126</v>
      </c>
      <c r="I11" t="s">
        <v>114</v>
      </c>
      <c r="J11" s="99" t="str">
        <f t="shared" si="0"/>
        <v>ENTITYGRP_EQTY</v>
      </c>
      <c r="K11" t="s">
        <v>126</v>
      </c>
      <c r="L11" t="s">
        <v>115</v>
      </c>
      <c r="M11" t="str">
        <f>+VLOOKUP(J11,'2. Script '!A:A,1,FALSE)</f>
        <v>ENTITYGRP_EQTY</v>
      </c>
      <c r="N11">
        <f>+VLOOKUP(J11,ANL_CAMPOS_PDS!E:K,7,FALSE)</f>
        <v>0</v>
      </c>
    </row>
    <row r="12" spans="2:14">
      <c r="B12" t="s">
        <v>126</v>
      </c>
      <c r="C12" t="s">
        <v>116</v>
      </c>
      <c r="E12" t="s">
        <v>126</v>
      </c>
      <c r="F12" t="s">
        <v>115</v>
      </c>
      <c r="H12" t="s">
        <v>126</v>
      </c>
      <c r="I12" t="s">
        <v>115</v>
      </c>
      <c r="J12" s="99" t="str">
        <f t="shared" si="0"/>
        <v>ENTITYANNL_TRNVR_LE</v>
      </c>
      <c r="K12" t="s">
        <v>126</v>
      </c>
      <c r="L12" t="s">
        <v>116</v>
      </c>
      <c r="M12" t="str">
        <f>+VLOOKUP(J12,'2. Script '!A:A,1,FALSE)</f>
        <v>ENTITYANNL_TRNVR_LE</v>
      </c>
      <c r="N12">
        <f>+VLOOKUP(J12,ANL_CAMPOS_PDS!E:K,7,FALSE)</f>
        <v>0</v>
      </c>
    </row>
    <row r="13" spans="2:14">
      <c r="B13" t="s">
        <v>126</v>
      </c>
      <c r="C13" t="s">
        <v>117</v>
      </c>
      <c r="E13" t="s">
        <v>126</v>
      </c>
      <c r="F13" t="s">
        <v>116</v>
      </c>
      <c r="H13" t="s">
        <v>126</v>
      </c>
      <c r="I13" t="s">
        <v>116</v>
      </c>
      <c r="J13" s="99" t="str">
        <f t="shared" si="0"/>
        <v>ENTITYEQTY</v>
      </c>
      <c r="K13" t="s">
        <v>126</v>
      </c>
      <c r="L13" t="s">
        <v>117</v>
      </c>
      <c r="M13" t="str">
        <f>+VLOOKUP(J13,'2. Script '!A:A,1,FALSE)</f>
        <v>ENTITYEQTY</v>
      </c>
      <c r="N13">
        <f>+VLOOKUP(J13,ANL_CAMPOS_PDS!E:K,7,FALSE)</f>
        <v>0</v>
      </c>
    </row>
    <row r="14" spans="2:14">
      <c r="B14" t="s">
        <v>126</v>
      </c>
      <c r="C14" t="s">
        <v>118</v>
      </c>
      <c r="E14" t="s">
        <v>126</v>
      </c>
      <c r="F14" t="s">
        <v>117</v>
      </c>
      <c r="H14" t="s">
        <v>126</v>
      </c>
      <c r="I14" t="s">
        <v>117</v>
      </c>
      <c r="J14" s="99" t="str">
        <f t="shared" si="0"/>
        <v>ENTITYGRP_TTL_DBT</v>
      </c>
      <c r="K14" t="s">
        <v>126</v>
      </c>
      <c r="L14" t="s">
        <v>118</v>
      </c>
      <c r="M14" t="str">
        <f>+VLOOKUP(J14,'2. Script '!A:A,1,FALSE)</f>
        <v>ENTITYGRP_TTL_DBT</v>
      </c>
      <c r="N14">
        <f>+VLOOKUP(J14,ANL_CAMPOS_PDS!E:K,7,FALSE)</f>
        <v>0</v>
      </c>
    </row>
    <row r="15" spans="2:14">
      <c r="B15" t="s">
        <v>126</v>
      </c>
      <c r="C15" t="s">
        <v>119</v>
      </c>
      <c r="E15" t="s">
        <v>126</v>
      </c>
      <c r="F15" t="s">
        <v>118</v>
      </c>
      <c r="H15" t="s">
        <v>126</v>
      </c>
      <c r="I15" t="s">
        <v>118</v>
      </c>
      <c r="J15" s="99" t="str">
        <f t="shared" si="0"/>
        <v>ENTITYTTL_DBT</v>
      </c>
      <c r="K15" t="s">
        <v>126</v>
      </c>
      <c r="L15" t="s">
        <v>119</v>
      </c>
      <c r="M15" t="str">
        <f>+VLOOKUP(J15,'2. Script '!A:A,1,FALSE)</f>
        <v>ENTITYTTL_DBT</v>
      </c>
      <c r="N15">
        <f>+VLOOKUP(J15,ANL_CAMPOS_PDS!E:K,7,FALSE)</f>
        <v>0</v>
      </c>
    </row>
    <row r="16" spans="2:14">
      <c r="B16" t="s">
        <v>320</v>
      </c>
      <c r="C16" t="s">
        <v>108</v>
      </c>
      <c r="E16" t="s">
        <v>126</v>
      </c>
      <c r="F16" t="s">
        <v>119</v>
      </c>
      <c r="H16" t="s">
        <v>126</v>
      </c>
      <c r="I16" t="s">
        <v>119</v>
      </c>
      <c r="J16" s="99" t="str">
        <f t="shared" si="0"/>
        <v>INSTR_ENTITYCOD_SOC</v>
      </c>
      <c r="K16" t="s">
        <v>320</v>
      </c>
      <c r="L16" t="s">
        <v>108</v>
      </c>
      <c r="M16" t="str">
        <f>+VLOOKUP(J16,'2. Script '!A:A,1,FALSE)</f>
        <v>INSTR_ENTITYCOD_SOC</v>
      </c>
      <c r="N16">
        <f>+VLOOKUP(J16,ANL_CAMPOS_PDS!E:K,7,FALSE)</f>
        <v>0</v>
      </c>
    </row>
    <row r="17" spans="2:14">
      <c r="B17" t="s">
        <v>320</v>
      </c>
      <c r="C17" t="s">
        <v>603</v>
      </c>
      <c r="E17" t="s">
        <v>126</v>
      </c>
      <c r="F17" t="s">
        <v>402</v>
      </c>
      <c r="H17" t="s">
        <v>126</v>
      </c>
      <c r="I17" t="s">
        <v>401</v>
      </c>
      <c r="J17" s="99" t="str">
        <f t="shared" si="0"/>
        <v>INSTR_ENTITYDT_RFRNC</v>
      </c>
      <c r="K17" t="s">
        <v>320</v>
      </c>
      <c r="L17" t="s">
        <v>603</v>
      </c>
      <c r="M17" t="e">
        <f>+VLOOKUP(J17,'2. Script '!A:A,1,FALSE)</f>
        <v>#N/A</v>
      </c>
      <c r="N17">
        <f>+VLOOKUP(J17,ANL_CAMPOS_PDS!E:K,7,FALSE)</f>
        <v>0</v>
      </c>
    </row>
    <row r="18" spans="2:14">
      <c r="B18" t="s">
        <v>320</v>
      </c>
      <c r="C18" t="s">
        <v>604</v>
      </c>
      <c r="E18" t="s">
        <v>320</v>
      </c>
      <c r="F18" t="s">
        <v>108</v>
      </c>
      <c r="H18" t="s">
        <v>126</v>
      </c>
      <c r="I18" t="s">
        <v>402</v>
      </c>
      <c r="J18" s="99" t="str">
        <f t="shared" si="0"/>
        <v>INSTR_ENTITYENTTY_ID</v>
      </c>
      <c r="K18" t="s">
        <v>320</v>
      </c>
      <c r="L18" t="s">
        <v>604</v>
      </c>
      <c r="M18" t="e">
        <f>+VLOOKUP(J18,'2. Script '!A:A,1,FALSE)</f>
        <v>#N/A</v>
      </c>
      <c r="N18">
        <f>+VLOOKUP(J18,ANL_CAMPOS_PDS!E:K,7,FALSE)</f>
        <v>0</v>
      </c>
    </row>
    <row r="19" spans="2:14">
      <c r="B19" t="s">
        <v>320</v>
      </c>
      <c r="C19" t="s">
        <v>605</v>
      </c>
      <c r="E19" t="s">
        <v>320</v>
      </c>
      <c r="F19" t="s">
        <v>603</v>
      </c>
      <c r="H19" t="s">
        <v>320</v>
      </c>
      <c r="I19" t="s">
        <v>108</v>
      </c>
      <c r="J19" s="99" t="str">
        <f t="shared" si="0"/>
        <v>INSTR_ENTITYINSTRMNT_ID</v>
      </c>
      <c r="K19" t="s">
        <v>320</v>
      </c>
      <c r="L19" t="s">
        <v>605</v>
      </c>
      <c r="M19" t="e">
        <f>+VLOOKUP(J19,'2. Script '!A:A,1,FALSE)</f>
        <v>#N/A</v>
      </c>
      <c r="N19">
        <f>+VLOOKUP(J19,ANL_CAMPOS_PDS!E:K,7,FALSE)</f>
        <v>0</v>
      </c>
    </row>
    <row r="20" spans="2:14">
      <c r="B20" t="s">
        <v>320</v>
      </c>
      <c r="C20" t="s">
        <v>409</v>
      </c>
      <c r="E20" t="s">
        <v>320</v>
      </c>
      <c r="F20" t="s">
        <v>604</v>
      </c>
      <c r="H20" t="s">
        <v>320</v>
      </c>
      <c r="I20" t="s">
        <v>603</v>
      </c>
      <c r="J20" s="99" t="str">
        <f t="shared" si="0"/>
        <v>INSTR_ENTITYMN_ENTTY_ID</v>
      </c>
      <c r="K20" t="s">
        <v>320</v>
      </c>
      <c r="L20" t="s">
        <v>409</v>
      </c>
      <c r="M20" t="str">
        <f>+VLOOKUP(J20,'2. Script '!A:A,1,FALSE)</f>
        <v>INSTR_ENTITYMN_ENTTY_ID</v>
      </c>
      <c r="N20">
        <f>+VLOOKUP(J20,ANL_CAMPOS_PDS!E:K,7,FALSE)</f>
        <v>0</v>
      </c>
    </row>
    <row r="21" spans="2:14">
      <c r="B21" t="s">
        <v>125</v>
      </c>
      <c r="C21" t="s">
        <v>100</v>
      </c>
      <c r="E21" t="s">
        <v>320</v>
      </c>
      <c r="F21" t="s">
        <v>605</v>
      </c>
      <c r="H21" t="s">
        <v>320</v>
      </c>
      <c r="I21" t="s">
        <v>604</v>
      </c>
      <c r="J21" s="99" t="str">
        <f t="shared" si="0"/>
        <v>INSTRUMENTACCMLTD_CHNGS_FV_CR_INSTRMNT</v>
      </c>
      <c r="K21" t="s">
        <v>125</v>
      </c>
      <c r="L21" t="s">
        <v>100</v>
      </c>
      <c r="M21" t="str">
        <f>+VLOOKUP(J21,'2. Script '!A:A,1,FALSE)</f>
        <v>INSTRUMENTACCMLTD_CHNGS_FV_CR_INSTRMNT</v>
      </c>
      <c r="N21">
        <f>+VLOOKUP(J21,ANL_CAMPOS_PDS!E:K,7,FALSE)</f>
        <v>0</v>
      </c>
    </row>
    <row r="22" spans="2:14">
      <c r="B22" t="s">
        <v>125</v>
      </c>
      <c r="C22" t="s">
        <v>103</v>
      </c>
      <c r="E22" t="s">
        <v>320</v>
      </c>
      <c r="F22" t="s">
        <v>409</v>
      </c>
      <c r="H22" t="s">
        <v>320</v>
      </c>
      <c r="I22" t="s">
        <v>605</v>
      </c>
      <c r="J22" s="99" t="str">
        <f t="shared" si="0"/>
        <v>INSTRUMENTACCMLTD_IMPRMNT_INSTRMNT</v>
      </c>
      <c r="K22" t="s">
        <v>125</v>
      </c>
      <c r="L22" t="s">
        <v>103</v>
      </c>
      <c r="M22" t="str">
        <f>+VLOOKUP(J22,'2. Script '!A:A,1,FALSE)</f>
        <v>INSTRUMENTACCMLTD_IMPRMNT_INSTRMNT</v>
      </c>
      <c r="N22">
        <f>+VLOOKUP(J22,ANL_CAMPOS_PDS!E:K,7,FALSE)</f>
        <v>0</v>
      </c>
    </row>
    <row r="23" spans="2:14">
      <c r="B23" t="s">
        <v>125</v>
      </c>
      <c r="C23" t="s">
        <v>101</v>
      </c>
      <c r="E23" t="s">
        <v>125</v>
      </c>
      <c r="F23" t="s">
        <v>108</v>
      </c>
      <c r="H23" t="s">
        <v>320</v>
      </c>
      <c r="I23" t="s">
        <v>409</v>
      </c>
      <c r="J23" s="99" t="str">
        <f t="shared" si="0"/>
        <v>INSTRUMENTACCNTNG_CLSSFCTN</v>
      </c>
      <c r="K23" t="s">
        <v>125</v>
      </c>
      <c r="L23" t="s">
        <v>101</v>
      </c>
      <c r="M23" t="str">
        <f>+VLOOKUP(J23,'2. Script '!A:A,1,FALSE)</f>
        <v>INSTRUMENTACCNTNG_CLSSFCTN</v>
      </c>
      <c r="N23">
        <f>+VLOOKUP(J23,ANL_CAMPOS_PDS!E:K,7,FALSE)</f>
        <v>0</v>
      </c>
    </row>
    <row r="24" spans="2:14">
      <c r="B24" t="s">
        <v>125</v>
      </c>
      <c r="C24" t="s">
        <v>93</v>
      </c>
      <c r="E24" t="s">
        <v>125</v>
      </c>
      <c r="F24" t="s">
        <v>107</v>
      </c>
      <c r="H24" t="s">
        <v>125</v>
      </c>
      <c r="I24" t="s">
        <v>108</v>
      </c>
      <c r="J24" s="99" t="str">
        <f t="shared" si="0"/>
        <v>INSTRUMENTDT_INCPTN</v>
      </c>
      <c r="K24" t="s">
        <v>125</v>
      </c>
      <c r="L24" t="s">
        <v>93</v>
      </c>
      <c r="M24" t="str">
        <f>+VLOOKUP(J24,'2. Script '!A:A,1,FALSE)</f>
        <v>INSTRUMENTDT_INCPTN</v>
      </c>
      <c r="N24">
        <f>+VLOOKUP(J24,ANL_CAMPOS_PDS!E:K,7,FALSE)</f>
        <v>0</v>
      </c>
    </row>
    <row r="25" spans="2:14">
      <c r="B25" t="s">
        <v>125</v>
      </c>
      <c r="C25" t="s">
        <v>97</v>
      </c>
      <c r="E25" t="s">
        <v>125</v>
      </c>
      <c r="F25" t="s">
        <v>603</v>
      </c>
      <c r="H25" t="s">
        <v>125</v>
      </c>
      <c r="I25" t="s">
        <v>107</v>
      </c>
      <c r="J25" s="99" t="str">
        <f t="shared" si="0"/>
        <v>INSTRUMENTPRJCT_FNNC_LN</v>
      </c>
      <c r="K25" t="s">
        <v>125</v>
      </c>
      <c r="L25" t="s">
        <v>97</v>
      </c>
      <c r="M25" t="str">
        <f>+VLOOKUP(J25,'2. Script '!A:A,1,FALSE)</f>
        <v>INSTRUMENTPRJCT_FNNC_LN</v>
      </c>
      <c r="N25">
        <f>+VLOOKUP(J25,ANL_CAMPOS_PDS!E:K,7,FALSE)</f>
        <v>0</v>
      </c>
    </row>
    <row r="26" spans="2:14">
      <c r="B26" t="s">
        <v>125</v>
      </c>
      <c r="C26" t="s">
        <v>108</v>
      </c>
      <c r="E26" t="s">
        <v>125</v>
      </c>
      <c r="F26" t="s">
        <v>605</v>
      </c>
      <c r="H26" t="s">
        <v>125</v>
      </c>
      <c r="I26" t="s">
        <v>603</v>
      </c>
      <c r="J26" s="99" t="str">
        <f t="shared" si="0"/>
        <v>INSTRUMENTCOD_SOC</v>
      </c>
      <c r="K26" t="s">
        <v>125</v>
      </c>
      <c r="L26" t="s">
        <v>108</v>
      </c>
      <c r="M26" t="str">
        <f>+VLOOKUP(J26,'2. Script '!A:A,1,FALSE)</f>
        <v>INSTRUMENTCOD_SOC</v>
      </c>
      <c r="N26">
        <f>+VLOOKUP(J26,ANL_CAMPOS_PDS!E:K,7,FALSE)</f>
        <v>0</v>
      </c>
    </row>
    <row r="27" spans="2:14">
      <c r="B27" t="s">
        <v>125</v>
      </c>
      <c r="C27" t="s">
        <v>102</v>
      </c>
      <c r="E27" t="s">
        <v>125</v>
      </c>
      <c r="F27" t="s">
        <v>93</v>
      </c>
      <c r="H27" t="s">
        <v>125</v>
      </c>
      <c r="I27" t="s">
        <v>605</v>
      </c>
      <c r="J27" s="99" t="str">
        <f t="shared" si="0"/>
        <v>INSTRUMENTDT_LGL_FNL_MTRTY</v>
      </c>
      <c r="K27" t="s">
        <v>125</v>
      </c>
      <c r="L27" t="s">
        <v>102</v>
      </c>
      <c r="M27" t="str">
        <f>+VLOOKUP(J27,'2. Script '!A:A,1,FALSE)</f>
        <v>INSTRUMENTDT_LGL_FNL_MTRTY</v>
      </c>
      <c r="N27">
        <f>+VLOOKUP(J27,ANL_CAMPOS_PDS!E:K,7,FALSE)</f>
        <v>0</v>
      </c>
    </row>
    <row r="28" spans="2:14">
      <c r="B28" t="s">
        <v>125</v>
      </c>
      <c r="C28" t="s">
        <v>94</v>
      </c>
      <c r="E28" t="s">
        <v>125</v>
      </c>
      <c r="F28" t="s">
        <v>94</v>
      </c>
      <c r="H28" t="s">
        <v>125</v>
      </c>
      <c r="I28" t="s">
        <v>93</v>
      </c>
      <c r="J28" s="99" t="str">
        <f t="shared" si="0"/>
        <v>INSTRUMENTDFLT_STTS_INSTRMNT</v>
      </c>
      <c r="K28" t="s">
        <v>125</v>
      </c>
      <c r="L28" t="s">
        <v>94</v>
      </c>
      <c r="M28" t="str">
        <f>+VLOOKUP(J28,'2. Script '!A:A,1,FALSE)</f>
        <v>INSTRUMENTDFLT_STTS_INSTRMNT</v>
      </c>
      <c r="N28">
        <f>+VLOOKUP(J28,ANL_CAMPOS_PDS!E:K,7,FALSE)</f>
        <v>0</v>
      </c>
    </row>
    <row r="29" spans="2:14">
      <c r="B29" t="s">
        <v>125</v>
      </c>
      <c r="C29" t="s">
        <v>603</v>
      </c>
      <c r="E29" t="s">
        <v>125</v>
      </c>
      <c r="F29" t="s">
        <v>429</v>
      </c>
      <c r="H29" t="s">
        <v>125</v>
      </c>
      <c r="I29" t="s">
        <v>94</v>
      </c>
      <c r="J29" s="99" t="str">
        <f t="shared" si="0"/>
        <v>INSTRUMENTDT_RFRNC</v>
      </c>
      <c r="K29" t="s">
        <v>125</v>
      </c>
      <c r="L29" t="s">
        <v>603</v>
      </c>
      <c r="M29" t="e">
        <f>+VLOOKUP(J29,'2. Script '!A:A,1,FALSE)</f>
        <v>#N/A</v>
      </c>
      <c r="N29">
        <f>+VLOOKUP(J29,ANL_CAMPOS_PDS!E:K,7,FALSE)</f>
        <v>0</v>
      </c>
    </row>
    <row r="30" spans="2:14">
      <c r="B30" t="s">
        <v>125</v>
      </c>
      <c r="C30" t="s">
        <v>104</v>
      </c>
      <c r="E30" t="s">
        <v>125</v>
      </c>
      <c r="F30" t="s">
        <v>95</v>
      </c>
      <c r="H30" t="s">
        <v>125</v>
      </c>
      <c r="I30" t="s">
        <v>429</v>
      </c>
      <c r="J30" s="99" t="str">
        <f t="shared" si="0"/>
        <v>INSTRUMENTISSR_CNTRY</v>
      </c>
      <c r="K30" t="s">
        <v>125</v>
      </c>
      <c r="L30" t="s">
        <v>104</v>
      </c>
      <c r="M30" t="str">
        <f>+VLOOKUP(J30,'2. Script '!A:A,1,FALSE)</f>
        <v>INSTRUMENTISSR_CNTRY</v>
      </c>
      <c r="N30">
        <f>+VLOOKUP(J30,ANL_CAMPOS_PDS!E:K,7,FALSE)</f>
        <v>0</v>
      </c>
    </row>
    <row r="31" spans="2:14">
      <c r="B31" t="s">
        <v>125</v>
      </c>
      <c r="C31" t="s">
        <v>105</v>
      </c>
      <c r="E31" t="s">
        <v>125</v>
      </c>
      <c r="F31" t="s">
        <v>96</v>
      </c>
      <c r="H31" t="s">
        <v>125</v>
      </c>
      <c r="I31" t="s">
        <v>95</v>
      </c>
      <c r="J31" s="99" t="str">
        <f t="shared" si="0"/>
        <v>INSTRUMENTISSR_NACE_SCTR</v>
      </c>
      <c r="K31" t="s">
        <v>125</v>
      </c>
      <c r="L31" t="s">
        <v>105</v>
      </c>
      <c r="M31" t="str">
        <f>+VLOOKUP(J31,'2. Script '!A:A,1,FALSE)</f>
        <v>INSTRUMENTISSR_NACE_SCTR</v>
      </c>
      <c r="N31">
        <f>+VLOOKUP(J31,ANL_CAMPOS_PDS!E:K,7,FALSE)</f>
        <v>0</v>
      </c>
    </row>
    <row r="32" spans="2:14">
      <c r="B32" t="s">
        <v>125</v>
      </c>
      <c r="C32" t="s">
        <v>106</v>
      </c>
      <c r="E32" t="s">
        <v>125</v>
      </c>
      <c r="F32" t="s">
        <v>97</v>
      </c>
      <c r="H32" t="s">
        <v>125</v>
      </c>
      <c r="I32" t="s">
        <v>96</v>
      </c>
      <c r="J32" s="99" t="str">
        <f t="shared" si="0"/>
        <v>INSTRUMENTPRMRY_ASST_CLSSF</v>
      </c>
      <c r="K32" t="s">
        <v>125</v>
      </c>
      <c r="L32" t="s">
        <v>106</v>
      </c>
      <c r="M32" t="str">
        <f>+VLOOKUP(J32,'2. Script '!A:A,1,FALSE)</f>
        <v>INSTRUMENTPRMRY_ASST_CLSSF</v>
      </c>
      <c r="N32">
        <f>+VLOOKUP(J32,ANL_CAMPOS_PDS!E:K,7,FALSE)</f>
        <v>0</v>
      </c>
    </row>
    <row r="33" spans="2:14">
      <c r="B33" t="s">
        <v>125</v>
      </c>
      <c r="C33" t="s">
        <v>99</v>
      </c>
      <c r="E33" t="s">
        <v>125</v>
      </c>
      <c r="F33" t="s">
        <v>98</v>
      </c>
      <c r="H33" t="s">
        <v>125</v>
      </c>
      <c r="I33" t="s">
        <v>97</v>
      </c>
      <c r="J33" s="99" t="str">
        <f t="shared" si="0"/>
        <v>INSTRUMENTGRSS_CRRYNG_AMNT_INSTRMNT</v>
      </c>
      <c r="K33" t="s">
        <v>125</v>
      </c>
      <c r="L33" t="s">
        <v>99</v>
      </c>
      <c r="M33" t="str">
        <f>+VLOOKUP(J33,'2. Script '!A:A,1,FALSE)</f>
        <v>INSTRUMENTGRSS_CRRYNG_AMNT_INSTRMNT</v>
      </c>
      <c r="N33">
        <f>+VLOOKUP(J33,ANL_CAMPOS_PDS!E:K,7,FALSE)</f>
        <v>0</v>
      </c>
    </row>
    <row r="34" spans="2:14">
      <c r="B34" t="s">
        <v>125</v>
      </c>
      <c r="C34" t="s">
        <v>110</v>
      </c>
      <c r="E34" t="s">
        <v>125</v>
      </c>
      <c r="F34" t="s">
        <v>99</v>
      </c>
      <c r="H34" t="s">
        <v>125</v>
      </c>
      <c r="I34" t="s">
        <v>98</v>
      </c>
      <c r="J34" s="99" t="str">
        <f t="shared" si="0"/>
        <v>INSTRUMENTIDCMB</v>
      </c>
      <c r="K34" t="s">
        <v>125</v>
      </c>
      <c r="L34" t="s">
        <v>110</v>
      </c>
      <c r="M34" t="str">
        <f>+VLOOKUP(J34,'2. Script '!A:A,1,FALSE)</f>
        <v>INSTRUMENTIDCMB</v>
      </c>
      <c r="N34">
        <f>+VLOOKUP(J34,ANL_CAMPOS_PDS!E:K,7,FALSE)</f>
        <v>0</v>
      </c>
    </row>
    <row r="35" spans="2:14">
      <c r="B35" t="s">
        <v>125</v>
      </c>
      <c r="C35" t="s">
        <v>95</v>
      </c>
      <c r="E35" t="s">
        <v>125</v>
      </c>
      <c r="F35" t="s">
        <v>100</v>
      </c>
      <c r="H35" t="s">
        <v>125</v>
      </c>
      <c r="I35" t="s">
        <v>99</v>
      </c>
      <c r="J35" s="99" t="str">
        <f t="shared" si="0"/>
        <v>INSTRUMENTIMPRMNT_STTS</v>
      </c>
      <c r="K35" t="s">
        <v>125</v>
      </c>
      <c r="L35" t="s">
        <v>95</v>
      </c>
      <c r="M35" t="str">
        <f>+VLOOKUP(J35,'2. Script '!A:A,1,FALSE)</f>
        <v>INSTRUMENTIMPRMNT_STTS</v>
      </c>
      <c r="N35">
        <f>+VLOOKUP(J35,ANL_CAMPOS_PDS!E:K,7,FALSE)</f>
        <v>0</v>
      </c>
    </row>
    <row r="36" spans="2:14">
      <c r="B36" t="s">
        <v>125</v>
      </c>
      <c r="C36" t="s">
        <v>605</v>
      </c>
      <c r="E36" t="s">
        <v>125</v>
      </c>
      <c r="F36" t="s">
        <v>101</v>
      </c>
      <c r="H36" t="s">
        <v>125</v>
      </c>
      <c r="I36" t="s">
        <v>100</v>
      </c>
      <c r="J36" s="99" t="str">
        <f t="shared" si="0"/>
        <v>INSTRUMENTINSTRMNT_ID</v>
      </c>
      <c r="K36" t="s">
        <v>125</v>
      </c>
      <c r="L36" t="s">
        <v>605</v>
      </c>
      <c r="M36" t="e">
        <f>+VLOOKUP(J36,'2. Script '!A:A,1,FALSE)</f>
        <v>#N/A</v>
      </c>
      <c r="N36">
        <f>+VLOOKUP(J36,ANL_CAMPOS_PDS!E:K,7,FALSE)</f>
        <v>0</v>
      </c>
    </row>
    <row r="37" spans="2:14">
      <c r="B37" t="s">
        <v>125</v>
      </c>
      <c r="C37" t="s">
        <v>109</v>
      </c>
      <c r="E37" t="s">
        <v>125</v>
      </c>
      <c r="F37" t="s">
        <v>102</v>
      </c>
      <c r="H37" t="s">
        <v>125</v>
      </c>
      <c r="I37" t="s">
        <v>101</v>
      </c>
      <c r="J37" s="99" t="str">
        <f t="shared" si="0"/>
        <v>INSTRUMENTLCL_INSTMRNT_ID</v>
      </c>
      <c r="K37" t="s">
        <v>125</v>
      </c>
      <c r="L37" t="s">
        <v>109</v>
      </c>
      <c r="M37" t="str">
        <f>+VLOOKUP(J37,'2. Script '!A:A,1,FALSE)</f>
        <v>INSTRUMENTLCL_INSTMRNT_ID</v>
      </c>
      <c r="N37">
        <f>+VLOOKUP(J37,ANL_CAMPOS_PDS!E:K,7,FALSE)</f>
        <v>0</v>
      </c>
    </row>
    <row r="38" spans="2:14">
      <c r="B38" t="s">
        <v>125</v>
      </c>
      <c r="C38" t="s">
        <v>96</v>
      </c>
      <c r="E38" t="s">
        <v>125</v>
      </c>
      <c r="F38" t="s">
        <v>456</v>
      </c>
      <c r="H38" t="s">
        <v>125</v>
      </c>
      <c r="I38" t="s">
        <v>102</v>
      </c>
      <c r="J38" s="99" t="str">
        <f t="shared" si="0"/>
        <v>INSTRUMENTPRFRMNG_STTS</v>
      </c>
      <c r="K38" t="s">
        <v>125</v>
      </c>
      <c r="L38" t="s">
        <v>96</v>
      </c>
      <c r="M38" t="str">
        <f>+VLOOKUP(J38,'2. Script '!A:A,1,FALSE)</f>
        <v>INSTRUMENTPRFRMNG_STTS</v>
      </c>
      <c r="N38">
        <f>+VLOOKUP(J38,ANL_CAMPOS_PDS!E:K,7,FALSE)</f>
        <v>0</v>
      </c>
    </row>
    <row r="39" spans="2:14">
      <c r="B39" t="s">
        <v>125</v>
      </c>
      <c r="C39" t="s">
        <v>107</v>
      </c>
      <c r="E39" t="s">
        <v>125</v>
      </c>
      <c r="F39" t="s">
        <v>103</v>
      </c>
      <c r="H39" t="s">
        <v>125</v>
      </c>
      <c r="I39" t="s">
        <v>455</v>
      </c>
      <c r="J39" s="99" t="str">
        <f t="shared" si="0"/>
        <v>INSTRUMENTSUBPORTFOLIO_ID</v>
      </c>
      <c r="K39" t="s">
        <v>125</v>
      </c>
      <c r="L39" t="s">
        <v>107</v>
      </c>
      <c r="M39" t="str">
        <f>+VLOOKUP(J39,'2. Script '!A:A,1,FALSE)</f>
        <v>INSTRUMENTSUBPORTFOLIO_ID</v>
      </c>
      <c r="N39">
        <f>+VLOOKUP(J39,ANL_CAMPOS_PDS!E:K,7,FALSE)</f>
        <v>0</v>
      </c>
    </row>
    <row r="40" spans="2:14">
      <c r="B40" t="s">
        <v>125</v>
      </c>
      <c r="C40" t="s">
        <v>98</v>
      </c>
      <c r="E40" t="s">
        <v>125</v>
      </c>
      <c r="F40" t="s">
        <v>489</v>
      </c>
      <c r="H40" t="s">
        <v>125</v>
      </c>
      <c r="I40" t="s">
        <v>468</v>
      </c>
      <c r="J40" s="99" t="str">
        <f t="shared" si="0"/>
        <v>INSTRUMENTTYP_INSTRMNT</v>
      </c>
      <c r="K40" t="s">
        <v>125</v>
      </c>
      <c r="L40" t="s">
        <v>98</v>
      </c>
      <c r="M40" t="str">
        <f>+VLOOKUP(J40,'2. Script '!A:A,1,FALSE)</f>
        <v>INSTRUMENTTYP_INSTRMNT</v>
      </c>
      <c r="N40">
        <f>+VLOOKUP(J40,ANL_CAMPOS_PDS!E:K,7,FALSE)</f>
        <v>0</v>
      </c>
    </row>
    <row r="41" spans="2:14">
      <c r="B41" t="s">
        <v>321</v>
      </c>
      <c r="C41" t="s">
        <v>108</v>
      </c>
      <c r="E41" t="s">
        <v>125</v>
      </c>
      <c r="F41" t="s">
        <v>490</v>
      </c>
      <c r="H41" t="s">
        <v>125</v>
      </c>
      <c r="I41" t="s">
        <v>103</v>
      </c>
      <c r="J41" s="99" t="str">
        <f t="shared" si="0"/>
        <v>INSTR_PROTECTIONCOD_SOC</v>
      </c>
      <c r="K41" t="s">
        <v>321</v>
      </c>
      <c r="L41" t="s">
        <v>108</v>
      </c>
      <c r="M41" t="str">
        <f>+VLOOKUP(J41,'2. Script '!A:A,1,FALSE)</f>
        <v>INSTR_PROTECTIONCOD_SOC</v>
      </c>
      <c r="N41">
        <f>+VLOOKUP(J41,ANL_CAMPOS_PDS!E:K,7,FALSE)</f>
        <v>0</v>
      </c>
    </row>
    <row r="42" spans="2:14">
      <c r="B42" t="s">
        <v>321</v>
      </c>
      <c r="C42" t="s">
        <v>603</v>
      </c>
      <c r="E42" t="s">
        <v>125</v>
      </c>
      <c r="F42" t="s">
        <v>498</v>
      </c>
      <c r="H42" t="s">
        <v>125</v>
      </c>
      <c r="I42" t="s">
        <v>489</v>
      </c>
      <c r="J42" s="99" t="str">
        <f t="shared" si="0"/>
        <v>INSTR_PROTECTIONDT_RFRNC</v>
      </c>
      <c r="K42" t="s">
        <v>321</v>
      </c>
      <c r="L42" t="s">
        <v>603</v>
      </c>
      <c r="M42" t="e">
        <f>+VLOOKUP(J42,'2. Script '!A:A,1,FALSE)</f>
        <v>#N/A</v>
      </c>
      <c r="N42">
        <f>+VLOOKUP(J42,ANL_CAMPOS_PDS!E:K,7,FALSE)</f>
        <v>0</v>
      </c>
    </row>
    <row r="43" spans="2:14">
      <c r="B43" t="s">
        <v>321</v>
      </c>
      <c r="C43" t="s">
        <v>605</v>
      </c>
      <c r="E43" t="s">
        <v>125</v>
      </c>
      <c r="F43" t="s">
        <v>500</v>
      </c>
      <c r="H43" t="s">
        <v>125</v>
      </c>
      <c r="I43" t="s">
        <v>490</v>
      </c>
      <c r="J43" s="99" t="str">
        <f t="shared" si="0"/>
        <v>INSTR_PROTECTIONINSTRMNT_ID</v>
      </c>
      <c r="K43" t="s">
        <v>321</v>
      </c>
      <c r="L43" t="s">
        <v>605</v>
      </c>
      <c r="M43" t="e">
        <f>+VLOOKUP(J43,'2. Script '!A:A,1,FALSE)</f>
        <v>#N/A</v>
      </c>
      <c r="N43">
        <f>+VLOOKUP(J43,ANL_CAMPOS_PDS!E:K,7,FALSE)</f>
        <v>0</v>
      </c>
    </row>
    <row r="44" spans="2:14">
      <c r="B44" t="s">
        <v>321</v>
      </c>
      <c r="C44" t="s">
        <v>606</v>
      </c>
      <c r="E44" t="s">
        <v>125</v>
      </c>
      <c r="F44" t="s">
        <v>104</v>
      </c>
      <c r="H44" t="s">
        <v>125</v>
      </c>
      <c r="I44" t="s">
        <v>499</v>
      </c>
      <c r="J44" s="99" t="str">
        <f t="shared" si="0"/>
        <v>INSTR_PROTECTIONPRTCTN_ID</v>
      </c>
      <c r="K44" t="s">
        <v>321</v>
      </c>
      <c r="L44" t="s">
        <v>606</v>
      </c>
      <c r="M44" t="e">
        <f>+VLOOKUP(J44,'2. Script '!A:A,1,FALSE)</f>
        <v>#N/A</v>
      </c>
      <c r="N44">
        <f>+VLOOKUP(J44,ANL_CAMPOS_PDS!E:K,7,FALSE)</f>
        <v>0</v>
      </c>
    </row>
    <row r="45" spans="2:14">
      <c r="B45" t="s">
        <v>321</v>
      </c>
      <c r="C45" t="s">
        <v>561</v>
      </c>
      <c r="E45" t="s">
        <v>125</v>
      </c>
      <c r="F45" t="s">
        <v>105</v>
      </c>
      <c r="H45" t="s">
        <v>125</v>
      </c>
      <c r="I45" t="s">
        <v>500</v>
      </c>
      <c r="J45" s="99" t="str">
        <f t="shared" si="0"/>
        <v>INSTR_PROTECTIONPRTCTN_ALLCTD_VL</v>
      </c>
      <c r="K45" t="s">
        <v>321</v>
      </c>
      <c r="L45" t="s">
        <v>561</v>
      </c>
      <c r="M45" t="str">
        <f>+VLOOKUP(J45,'2. Script '!A:A,1,FALSE)</f>
        <v>INSTR_PROTECTIONPRTCTN_ALLCTD_VL</v>
      </c>
      <c r="N45" t="str">
        <f>+VLOOKUP(J45,ANL_CAMPOS_PDS!E:K,7,FALSE)</f>
        <v>Package 2</v>
      </c>
    </row>
    <row r="46" spans="2:14">
      <c r="B46" t="s">
        <v>127</v>
      </c>
      <c r="C46" t="s">
        <v>108</v>
      </c>
      <c r="E46" t="s">
        <v>125</v>
      </c>
      <c r="F46" t="s">
        <v>106</v>
      </c>
      <c r="H46" t="s">
        <v>125</v>
      </c>
      <c r="I46" t="s">
        <v>104</v>
      </c>
      <c r="J46" s="99" t="str">
        <f t="shared" si="0"/>
        <v>PROTECTIONCOD_SOC</v>
      </c>
      <c r="K46" t="s">
        <v>127</v>
      </c>
      <c r="L46" t="s">
        <v>108</v>
      </c>
      <c r="M46" t="str">
        <f>+VLOOKUP(J46,'2. Script '!A:A,1,FALSE)</f>
        <v>PROTECTIONCOD_SOC</v>
      </c>
      <c r="N46">
        <f>+VLOOKUP(J46,ANL_CAMPOS_PDS!E:K,7,FALSE)</f>
        <v>0</v>
      </c>
    </row>
    <row r="47" spans="2:14">
      <c r="B47" t="s">
        <v>127</v>
      </c>
      <c r="C47" t="s">
        <v>603</v>
      </c>
      <c r="E47" t="s">
        <v>125</v>
      </c>
      <c r="F47" t="s">
        <v>109</v>
      </c>
      <c r="H47" t="s">
        <v>125</v>
      </c>
      <c r="I47" t="s">
        <v>105</v>
      </c>
      <c r="J47" s="99" t="str">
        <f t="shared" si="0"/>
        <v>PROTECTIONDT_RFRNC</v>
      </c>
      <c r="K47" t="s">
        <v>127</v>
      </c>
      <c r="L47" t="s">
        <v>603</v>
      </c>
      <c r="M47" t="e">
        <f>+VLOOKUP(J47,'2. Script '!A:A,1,FALSE)</f>
        <v>#N/A</v>
      </c>
      <c r="N47">
        <f>+VLOOKUP(J47,ANL_CAMPOS_PDS!E:K,7,FALSE)</f>
        <v>0</v>
      </c>
    </row>
    <row r="48" spans="2:14">
      <c r="B48" t="s">
        <v>127</v>
      </c>
      <c r="C48" t="s">
        <v>606</v>
      </c>
      <c r="E48" t="s">
        <v>125</v>
      </c>
      <c r="F48" t="s">
        <v>110</v>
      </c>
      <c r="H48" t="s">
        <v>125</v>
      </c>
      <c r="I48" t="s">
        <v>106</v>
      </c>
      <c r="J48" s="99" t="str">
        <f t="shared" si="0"/>
        <v>PROTECTIONPRTCTN_ID</v>
      </c>
      <c r="K48" t="s">
        <v>127</v>
      </c>
      <c r="L48" t="s">
        <v>606</v>
      </c>
      <c r="M48" t="e">
        <f>+VLOOKUP(J48,'2. Script '!A:A,1,FALSE)</f>
        <v>#N/A</v>
      </c>
      <c r="N48">
        <f>+VLOOKUP(J48,ANL_CAMPOS_PDS!E:K,7,FALSE)</f>
        <v>0</v>
      </c>
    </row>
    <row r="49" spans="2:14">
      <c r="B49" t="s">
        <v>127</v>
      </c>
      <c r="C49" t="s">
        <v>120</v>
      </c>
      <c r="E49" t="s">
        <v>125</v>
      </c>
      <c r="F49" t="s">
        <v>560</v>
      </c>
      <c r="H49" t="s">
        <v>125</v>
      </c>
      <c r="I49" t="s">
        <v>109</v>
      </c>
      <c r="J49" s="99" t="str">
        <f t="shared" si="0"/>
        <v>PROTECTIONRL_ESTT_CLLTRL_LCTN</v>
      </c>
      <c r="K49" t="s">
        <v>127</v>
      </c>
      <c r="L49" t="s">
        <v>120</v>
      </c>
      <c r="M49" t="str">
        <f>+VLOOKUP(J49,'2. Script '!A:A,1,FALSE)</f>
        <v>PROTECTIONRL_ESTT_CLLTRL_LCTN</v>
      </c>
      <c r="N49">
        <f>+VLOOKUP(J49,ANL_CAMPOS_PDS!E:K,7,FALSE)</f>
        <v>0</v>
      </c>
    </row>
    <row r="50" spans="2:14">
      <c r="B50" t="s">
        <v>127</v>
      </c>
      <c r="C50" t="s">
        <v>121</v>
      </c>
      <c r="E50" t="s">
        <v>321</v>
      </c>
      <c r="F50" t="s">
        <v>108</v>
      </c>
      <c r="H50" t="s">
        <v>125</v>
      </c>
      <c r="I50" t="s">
        <v>110</v>
      </c>
      <c r="J50" s="99" t="str">
        <f t="shared" si="0"/>
        <v>PROTECTIONRL_ESTT_PST_CD</v>
      </c>
      <c r="K50" t="s">
        <v>127</v>
      </c>
      <c r="L50" t="s">
        <v>121</v>
      </c>
      <c r="M50" t="str">
        <f>+VLOOKUP(J50,'2. Script '!A:A,1,FALSE)</f>
        <v>PROTECTIONRL_ESTT_PST_CD</v>
      </c>
      <c r="N50">
        <f>+VLOOKUP(J50,ANL_CAMPOS_PDS!E:K,7,FALSE)</f>
        <v>0</v>
      </c>
    </row>
    <row r="51" spans="2:14">
      <c r="B51" t="s">
        <v>127</v>
      </c>
      <c r="C51" t="s">
        <v>122</v>
      </c>
      <c r="E51" t="s">
        <v>321</v>
      </c>
      <c r="F51" t="s">
        <v>603</v>
      </c>
      <c r="H51" t="s">
        <v>125</v>
      </c>
      <c r="I51" t="s">
        <v>560</v>
      </c>
      <c r="J51" s="99" t="str">
        <f t="shared" si="0"/>
        <v>PROTECTIONTYP_PRTCTN</v>
      </c>
      <c r="K51" t="s">
        <v>127</v>
      </c>
      <c r="L51" t="s">
        <v>122</v>
      </c>
      <c r="M51" t="str">
        <f>+VLOOKUP(J51,'2. Script '!A:A,1,FALSE)</f>
        <v>PROTECTIONTYP_PRTCTN</v>
      </c>
      <c r="N51">
        <f>+VLOOKUP(J51,ANL_CAMPOS_PDS!E:K,7,FALSE)</f>
        <v>0</v>
      </c>
    </row>
    <row r="52" spans="2:14">
      <c r="B52" t="s">
        <v>127</v>
      </c>
      <c r="C52" t="s">
        <v>123</v>
      </c>
      <c r="E52" t="s">
        <v>321</v>
      </c>
      <c r="F52" t="s">
        <v>605</v>
      </c>
      <c r="H52" t="s">
        <v>321</v>
      </c>
      <c r="I52" t="s">
        <v>108</v>
      </c>
      <c r="J52" s="99" t="str">
        <f t="shared" si="0"/>
        <v>PROTECTIONORGNL_PRTCTN_VL</v>
      </c>
      <c r="K52" t="s">
        <v>127</v>
      </c>
      <c r="L52" t="s">
        <v>123</v>
      </c>
      <c r="M52" t="str">
        <f>+VLOOKUP(J52,'2. Script '!A:A,1,FALSE)</f>
        <v>PROTECTIONORGNL_PRTCTN_VL</v>
      </c>
      <c r="N52">
        <f>+VLOOKUP(J52,ANL_CAMPOS_PDS!E:K,7,FALSE)</f>
        <v>0</v>
      </c>
    </row>
    <row r="53" spans="2:14">
      <c r="B53" t="s">
        <v>127</v>
      </c>
      <c r="C53" t="s">
        <v>124</v>
      </c>
      <c r="E53" t="s">
        <v>321</v>
      </c>
      <c r="F53" t="s">
        <v>606</v>
      </c>
      <c r="H53" t="s">
        <v>321</v>
      </c>
      <c r="I53" t="s">
        <v>603</v>
      </c>
      <c r="J53" s="99" t="str">
        <f t="shared" si="0"/>
        <v>PROTECTIONPRTCTN_VL</v>
      </c>
      <c r="K53" t="s">
        <v>127</v>
      </c>
      <c r="L53" t="s">
        <v>124</v>
      </c>
      <c r="M53" t="str">
        <f>+VLOOKUP(J53,'2. Script '!A:A,1,FALSE)</f>
        <v>PROTECTIONPRTCTN_VL</v>
      </c>
      <c r="N53">
        <f>+VLOOKUP(J53,ANL_CAMPOS_PDS!E:K,7,FALSE)</f>
        <v>0</v>
      </c>
    </row>
    <row r="54" spans="2:14">
      <c r="E54" t="s">
        <v>321</v>
      </c>
      <c r="F54" t="s">
        <v>561</v>
      </c>
      <c r="H54" t="s">
        <v>321</v>
      </c>
      <c r="I54" t="s">
        <v>605</v>
      </c>
      <c r="J54" s="99" t="str">
        <f t="shared" si="0"/>
        <v>ENTITYENTTY_NM</v>
      </c>
      <c r="K54" t="s">
        <v>126</v>
      </c>
      <c r="L54" t="s">
        <v>333</v>
      </c>
      <c r="M54" t="str">
        <f>+VLOOKUP(J54,'2. Script '!A:A,1,FALSE)</f>
        <v>ENTITYENTTY_NM</v>
      </c>
      <c r="N54" t="str">
        <f>+VLOOKUP(J54,ANL_CAMPOS_PDS!E:K,7,FALSE)</f>
        <v>Package 3</v>
      </c>
    </row>
    <row r="55" spans="2:14">
      <c r="E55" t="s">
        <v>127</v>
      </c>
      <c r="F55" t="s">
        <v>108</v>
      </c>
      <c r="H55" t="s">
        <v>321</v>
      </c>
      <c r="I55" t="s">
        <v>606</v>
      </c>
      <c r="J55" s="99" t="str">
        <f t="shared" si="0"/>
        <v>ENTITYEC_GRP_NM</v>
      </c>
      <c r="K55" t="s">
        <v>126</v>
      </c>
      <c r="L55" t="s">
        <v>402</v>
      </c>
      <c r="M55" t="str">
        <f>+VLOOKUP(J55,'2. Script '!A:A,1,FALSE)</f>
        <v>ENTITYEC_GRP_NM</v>
      </c>
      <c r="N55" t="str">
        <f>+VLOOKUP(J55,ANL_CAMPOS_PDS!E:K,7,FALSE)</f>
        <v>Package 4</v>
      </c>
    </row>
    <row r="56" spans="2:14">
      <c r="E56" t="s">
        <v>127</v>
      </c>
      <c r="F56" t="s">
        <v>603</v>
      </c>
      <c r="H56" t="s">
        <v>321</v>
      </c>
      <c r="I56" t="s">
        <v>561</v>
      </c>
      <c r="J56" s="99" t="str">
        <f t="shared" si="0"/>
        <v>INSTRUMENTFRBRNC_STTS_INSTRMNT</v>
      </c>
      <c r="K56" t="s">
        <v>125</v>
      </c>
      <c r="L56" t="s">
        <v>429</v>
      </c>
      <c r="M56" t="str">
        <f>+VLOOKUP(J56,'2. Script '!A:A,1,FALSE)</f>
        <v>INSTRUMENTFRBRNC_STTS_INSTRMNT</v>
      </c>
      <c r="N56" t="str">
        <f>+VLOOKUP(J56,ANL_CAMPOS_PDS!E:K,7,FALSE)</f>
        <v>Package 2</v>
      </c>
    </row>
    <row r="57" spans="2:14">
      <c r="E57" t="s">
        <v>127</v>
      </c>
      <c r="F57" t="s">
        <v>606</v>
      </c>
      <c r="H57" t="s">
        <v>127</v>
      </c>
      <c r="I57" t="s">
        <v>108</v>
      </c>
      <c r="J57" s="99" t="str">
        <f t="shared" si="0"/>
        <v>INSTRUMENTIFRS9_BHVRL_MTRTY</v>
      </c>
      <c r="K57" t="s">
        <v>125</v>
      </c>
      <c r="L57" t="s">
        <v>456</v>
      </c>
      <c r="M57" t="str">
        <f>+VLOOKUP(J57,'2. Script '!A:A,1,FALSE)</f>
        <v>INSTRUMENTIFRS9_BHVRL_MTRTY</v>
      </c>
      <c r="N57" t="e">
        <f>+VLOOKUP(J57,ANL_CAMPOS_PDS!E:K,7,FALSE)</f>
        <v>#N/A</v>
      </c>
    </row>
    <row r="58" spans="2:14">
      <c r="E58" t="s">
        <v>127</v>
      </c>
      <c r="F58" t="s">
        <v>120</v>
      </c>
      <c r="H58" t="s">
        <v>127</v>
      </c>
      <c r="I58" t="s">
        <v>603</v>
      </c>
      <c r="J58" s="99" t="str">
        <f t="shared" si="0"/>
        <v>INSTRUMENTLTV</v>
      </c>
      <c r="K58" t="s">
        <v>125</v>
      </c>
      <c r="L58" t="s">
        <v>489</v>
      </c>
      <c r="M58" t="str">
        <f>+VLOOKUP(J58,'2. Script '!A:A,1,FALSE)</f>
        <v>INSTRUMENTLTV</v>
      </c>
      <c r="N58" t="str">
        <f>+VLOOKUP(J58,ANL_CAMPOS_PDS!E:K,7,FALSE)</f>
        <v>Package 3</v>
      </c>
    </row>
    <row r="59" spans="2:14">
      <c r="E59" t="s">
        <v>127</v>
      </c>
      <c r="F59" t="s">
        <v>121</v>
      </c>
      <c r="H59" t="s">
        <v>127</v>
      </c>
      <c r="I59" t="s">
        <v>606</v>
      </c>
      <c r="J59" s="99" t="str">
        <f t="shared" si="0"/>
        <v>INSTRUMENTLTV_INCPTN</v>
      </c>
      <c r="K59" t="s">
        <v>125</v>
      </c>
      <c r="L59" t="s">
        <v>490</v>
      </c>
      <c r="M59" t="str">
        <f>+VLOOKUP(J59,'2. Script '!A:A,1,FALSE)</f>
        <v>INSTRUMENTLTV_INCPTN</v>
      </c>
      <c r="N59" t="str">
        <f>+VLOOKUP(J59,ANL_CAMPOS_PDS!E:K,7,FALSE)</f>
        <v>Package 3</v>
      </c>
    </row>
    <row r="60" spans="2:14">
      <c r="E60" t="s">
        <v>127</v>
      </c>
      <c r="F60" t="s">
        <v>122</v>
      </c>
      <c r="H60" t="s">
        <v>127</v>
      </c>
      <c r="I60" t="s">
        <v>120</v>
      </c>
      <c r="J60" s="99" t="str">
        <f t="shared" si="0"/>
        <v>INSTRUMENTANNLSD_AGRD_RT</v>
      </c>
      <c r="K60" t="s">
        <v>125</v>
      </c>
      <c r="L60" t="s">
        <v>498</v>
      </c>
      <c r="M60" t="str">
        <f>+VLOOKUP(J60,'2. Script '!A:A,1,FALSE)</f>
        <v>INSTRUMENTANNLSD_AGRD_RT</v>
      </c>
      <c r="N60" t="e">
        <f>+VLOOKUP(J60,ANL_CAMPOS_PDS!E:K,7,FALSE)</f>
        <v>#N/A</v>
      </c>
    </row>
    <row r="61" spans="2:14">
      <c r="E61" t="s">
        <v>127</v>
      </c>
      <c r="F61" t="s">
        <v>123</v>
      </c>
      <c r="H61" t="s">
        <v>127</v>
      </c>
      <c r="I61" t="s">
        <v>121</v>
      </c>
      <c r="J61" s="99" t="str">
        <f t="shared" si="0"/>
        <v>INSTRUMENTEIR_INCPTN</v>
      </c>
      <c r="K61" t="s">
        <v>125</v>
      </c>
      <c r="L61" t="s">
        <v>500</v>
      </c>
      <c r="M61" t="str">
        <f>+VLOOKUP(J61,'2. Script '!A:A,1,FALSE)</f>
        <v>INSTRUMENTEIR_INCPTN</v>
      </c>
      <c r="N61" t="str">
        <f>+VLOOKUP(J61,ANL_CAMPOS_PDS!E:K,7,FALSE)</f>
        <v>Package 3</v>
      </c>
    </row>
    <row r="62" spans="2:14">
      <c r="E62" t="s">
        <v>127</v>
      </c>
      <c r="F62" t="s">
        <v>124</v>
      </c>
      <c r="H62" t="s">
        <v>127</v>
      </c>
      <c r="I62" t="s">
        <v>122</v>
      </c>
      <c r="J62" s="99" t="str">
        <f t="shared" si="0"/>
        <v>INSTRUMENTTYP_OFF_BLNC_PRDCT</v>
      </c>
      <c r="K62" t="s">
        <v>125</v>
      </c>
      <c r="L62" t="s">
        <v>560</v>
      </c>
      <c r="M62" t="str">
        <f>+VLOOKUP(J62,'2. Script '!A:A,1,FALSE)</f>
        <v>INSTRUMENTTYP_OFF_BLNC_PRDCT</v>
      </c>
      <c r="N62" t="str">
        <f>+VLOOKUP(J62,ANL_CAMPOS_PDS!E:K,7,FALSE)</f>
        <v>Package 4 --&gt; Não está especificado no LT - não conseguimos testar</v>
      </c>
    </row>
    <row r="63" spans="2:14">
      <c r="E63" t="s">
        <v>127</v>
      </c>
      <c r="F63" t="s">
        <v>593</v>
      </c>
      <c r="H63" t="s">
        <v>127</v>
      </c>
      <c r="I63" t="s">
        <v>123</v>
      </c>
      <c r="J63" s="99" t="str">
        <f t="shared" si="0"/>
        <v>PROTECTIONYR_CNSTRCTN</v>
      </c>
      <c r="K63" t="s">
        <v>127</v>
      </c>
      <c r="L63" t="s">
        <v>593</v>
      </c>
      <c r="M63" t="str">
        <f>+VLOOKUP(J63,'2. Script '!A:A,1,FALSE)</f>
        <v>PROTECTIONYR_CNSTRCTN</v>
      </c>
      <c r="N63" t="str">
        <f>+VLOOKUP(J63,ANL_CAMPOS_PDS!E:K,7,FALSE)</f>
        <v>Package 3</v>
      </c>
    </row>
    <row r="64" spans="2:14">
      <c r="E64" t="s">
        <v>322</v>
      </c>
      <c r="F64" t="s">
        <v>594</v>
      </c>
      <c r="H64" t="s">
        <v>127</v>
      </c>
      <c r="I64" t="s">
        <v>124</v>
      </c>
      <c r="J64" s="99" t="str">
        <f t="shared" si="0"/>
        <v>INSTR_ACTIVITYPRCNTG_ACTVTY</v>
      </c>
      <c r="K64" t="s">
        <v>322</v>
      </c>
      <c r="L64" t="s">
        <v>594</v>
      </c>
      <c r="M64" t="str">
        <f>+VLOOKUP(J64,'2. Script '!A:A,1,FALSE)</f>
        <v>INSTR_ACTIVITYPRCNTG_ACTVTY</v>
      </c>
      <c r="N64" t="str">
        <f>+VLOOKUP(J64,ANL_CAMPOS_PDS!E:K,7,FALSE)</f>
        <v>Package 5</v>
      </c>
    </row>
    <row r="65" spans="8:14">
      <c r="H65" t="s">
        <v>127</v>
      </c>
      <c r="I65" t="s">
        <v>593</v>
      </c>
      <c r="J65" s="99" t="str">
        <f t="shared" si="0"/>
        <v>ENTITYEC_GRP_ID</v>
      </c>
      <c r="K65" t="s">
        <v>126</v>
      </c>
      <c r="L65" t="s">
        <v>401</v>
      </c>
      <c r="M65" t="e">
        <f>+VLOOKUP(J65,'2. Script '!A:A,1,FALSE)</f>
        <v>#N/A</v>
      </c>
      <c r="N65" t="str">
        <f>+VLOOKUP(J65,ANL_CAMPOS_PDS!E:K,7,FALSE)</f>
        <v>Package 4</v>
      </c>
    </row>
    <row r="66" spans="8:14">
      <c r="J66" s="99" t="str">
        <f t="shared" si="0"/>
        <v>INSTRUMENTDT_ORGNL_MTRTY</v>
      </c>
      <c r="K66" t="s">
        <v>125</v>
      </c>
      <c r="L66" t="s">
        <v>455</v>
      </c>
      <c r="M66" t="e">
        <f>+VLOOKUP(J66,'2. Script '!A:A,1,FALSE)</f>
        <v>#N/A</v>
      </c>
      <c r="N66" t="str">
        <f>+VLOOKUP(J66,ANL_CAMPOS_PDS!E:K,7,FALSE)</f>
        <v>Package 3</v>
      </c>
    </row>
    <row r="67" spans="8:14">
      <c r="J67" s="99" t="str">
        <f t="shared" si="0"/>
        <v>INSTRUMENTRWA</v>
      </c>
      <c r="K67" t="s">
        <v>125</v>
      </c>
      <c r="L67" t="s">
        <v>468</v>
      </c>
      <c r="M67" t="e">
        <f>+VLOOKUP(J67,'2. Script '!A:A,1,FALSE)</f>
        <v>#N/A</v>
      </c>
      <c r="N67" t="str">
        <f>+VLOOKUP(J67,ANL_CAMPOS_PDS!E:K,7,FALSE)</f>
        <v>Package 3</v>
      </c>
    </row>
    <row r="68" spans="8:14">
      <c r="J68" s="99" t="str">
        <f t="shared" si="0"/>
        <v>INSTRUMENTEIR</v>
      </c>
      <c r="K68" t="s">
        <v>125</v>
      </c>
      <c r="L68" t="s">
        <v>499</v>
      </c>
      <c r="M68" t="e">
        <f>+VLOOKUP(J68,'2. Script '!A:A,1,FALSE)</f>
        <v>#N/A</v>
      </c>
      <c r="N68" t="str">
        <f>+VLOOKUP(J68,ANL_CAMPOS_PDS!E:K,7,FALSE)</f>
        <v>Package 3</v>
      </c>
    </row>
  </sheetData>
  <autoFilter ref="K4:N68" xr:uid="{00000000-0009-0000-0000-000009000000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M324"/>
  <sheetViews>
    <sheetView showGridLines="0" workbookViewId="0">
      <selection activeCell="B1" sqref="B1"/>
    </sheetView>
  </sheetViews>
  <sheetFormatPr defaultRowHeight="14.25"/>
  <cols>
    <col min="1" max="1" width="3.625" customWidth="1"/>
    <col min="2" max="5" width="13.375" customWidth="1"/>
    <col min="6" max="6" width="6.125" customWidth="1"/>
    <col min="7" max="7" width="15.875" bestFit="1" customWidth="1"/>
    <col min="8" max="8" width="29.75" bestFit="1" customWidth="1"/>
    <col min="9" max="10" width="34.625" bestFit="1" customWidth="1"/>
    <col min="11" max="11" width="28.5" bestFit="1" customWidth="1"/>
  </cols>
  <sheetData>
    <row r="2" spans="2:13" ht="15">
      <c r="B2" s="91" t="s">
        <v>1090</v>
      </c>
      <c r="C2" s="91" t="s">
        <v>1090</v>
      </c>
      <c r="D2" s="91" t="s">
        <v>1090</v>
      </c>
      <c r="E2" s="91"/>
      <c r="F2" s="89" t="s">
        <v>766</v>
      </c>
      <c r="G2" s="88" t="s">
        <v>53</v>
      </c>
      <c r="H2" s="88" t="s">
        <v>54</v>
      </c>
      <c r="I2" s="88" t="s">
        <v>696</v>
      </c>
      <c r="J2" s="88" t="s">
        <v>697</v>
      </c>
      <c r="K2" s="88" t="s">
        <v>698</v>
      </c>
      <c r="L2" s="88" t="s">
        <v>767</v>
      </c>
      <c r="M2" s="88" t="s">
        <v>1090</v>
      </c>
    </row>
    <row r="3" spans="2:13">
      <c r="B3" s="92" t="s">
        <v>125</v>
      </c>
      <c r="C3" s="92" t="s">
        <v>100</v>
      </c>
      <c r="D3" s="92" t="s">
        <v>796</v>
      </c>
      <c r="E3" s="92" t="str">
        <f>+F3&amp;H3</f>
        <v>ENTITYnace_esg</v>
      </c>
      <c r="F3" s="90" t="s">
        <v>126</v>
      </c>
      <c r="G3" t="s">
        <v>27</v>
      </c>
      <c r="H3" t="s">
        <v>607</v>
      </c>
      <c r="I3" t="s">
        <v>699</v>
      </c>
      <c r="J3" t="s">
        <v>699</v>
      </c>
      <c r="L3" t="str">
        <f>+IF(IFERROR(VLOOKUP(CONCATENATE(F3,H3),'2. Script '!A:A,1,FALSE),"#")=CONCATENATE(F3,H3),"Y","N")</f>
        <v>N</v>
      </c>
      <c r="M3" t="str">
        <f t="shared" ref="M3:M34" si="0">+IF(IFERROR(VLOOKUP(CONCATENATE(F3,H3),D:D,1,FALSE),"#")=CONCATENATE(F3,H3),"Y","N")</f>
        <v>N</v>
      </c>
    </row>
    <row r="4" spans="2:13">
      <c r="B4" s="92" t="s">
        <v>125</v>
      </c>
      <c r="C4" s="92" t="s">
        <v>103</v>
      </c>
      <c r="D4" s="92" t="s">
        <v>799</v>
      </c>
      <c r="E4" s="92" t="str">
        <f t="shared" ref="E4:E67" si="1">+F4&amp;H4</f>
        <v>ENTITYtxnmy_elgbl_capex_ccm</v>
      </c>
      <c r="F4" s="90" t="s">
        <v>126</v>
      </c>
      <c r="G4" t="s">
        <v>27</v>
      </c>
      <c r="H4" t="s">
        <v>608</v>
      </c>
      <c r="I4" t="s">
        <v>700</v>
      </c>
      <c r="J4" t="s">
        <v>700</v>
      </c>
      <c r="L4" t="str">
        <f>+IF(IFERROR(VLOOKUP(CONCATENATE(F4,H4),'2. Script '!A:A,1,FALSE),"#")=CONCATENATE(F4,H4),"Y","N")</f>
        <v>N</v>
      </c>
      <c r="M4" t="str">
        <f t="shared" si="0"/>
        <v>N</v>
      </c>
    </row>
    <row r="5" spans="2:13">
      <c r="B5" s="92" t="s">
        <v>125</v>
      </c>
      <c r="C5" s="92" t="s">
        <v>471</v>
      </c>
      <c r="D5" s="92" t="s">
        <v>822</v>
      </c>
      <c r="E5" s="92" t="str">
        <f t="shared" si="1"/>
        <v>ENTITYtxnmy_elgbl_trnvr_ccm</v>
      </c>
      <c r="F5" s="90" t="s">
        <v>126</v>
      </c>
      <c r="G5" t="s">
        <v>27</v>
      </c>
      <c r="H5" t="s">
        <v>609</v>
      </c>
      <c r="I5" t="s">
        <v>700</v>
      </c>
      <c r="J5" t="s">
        <v>700</v>
      </c>
      <c r="L5" t="str">
        <f>+IF(IFERROR(VLOOKUP(CONCATENATE(F5,H5),'2. Script '!A:A,1,FALSE),"#")=CONCATENATE(F5,H5),"Y","N")</f>
        <v>N</v>
      </c>
      <c r="M5" t="str">
        <f t="shared" si="0"/>
        <v>N</v>
      </c>
    </row>
    <row r="6" spans="2:13">
      <c r="B6" s="92" t="s">
        <v>125</v>
      </c>
      <c r="C6" s="92" t="s">
        <v>472</v>
      </c>
      <c r="D6" s="92" t="s">
        <v>823</v>
      </c>
      <c r="E6" s="92" t="str">
        <f t="shared" si="1"/>
        <v>ENTITYtxnmy_elgbl_capex_cca</v>
      </c>
      <c r="F6" s="90" t="s">
        <v>126</v>
      </c>
      <c r="G6" t="s">
        <v>27</v>
      </c>
      <c r="H6" t="s">
        <v>610</v>
      </c>
      <c r="I6" t="s">
        <v>700</v>
      </c>
      <c r="J6" t="s">
        <v>700</v>
      </c>
      <c r="L6" t="str">
        <f>+IF(IFERROR(VLOOKUP(CONCATENATE(F6,H6),'2. Script '!A:A,1,FALSE),"#")=CONCATENATE(F6,H6),"Y","N")</f>
        <v>N</v>
      </c>
      <c r="M6" t="str">
        <f t="shared" si="0"/>
        <v>N</v>
      </c>
    </row>
    <row r="7" spans="2:13">
      <c r="B7" s="92" t="s">
        <v>125</v>
      </c>
      <c r="C7" s="92" t="s">
        <v>101</v>
      </c>
      <c r="D7" s="92" t="s">
        <v>797</v>
      </c>
      <c r="E7" s="92" t="str">
        <f t="shared" si="1"/>
        <v>ENTITYtxnmy_elgbl_trnvr_cca</v>
      </c>
      <c r="F7" s="90" t="s">
        <v>126</v>
      </c>
      <c r="G7" t="s">
        <v>27</v>
      </c>
      <c r="H7" t="s">
        <v>611</v>
      </c>
      <c r="I7" t="s">
        <v>700</v>
      </c>
      <c r="J7" t="s">
        <v>700</v>
      </c>
      <c r="L7" t="str">
        <f>+IF(IFERROR(VLOOKUP(CONCATENATE(F7,H7),'2. Script '!A:A,1,FALSE),"#")=CONCATENATE(F7,H7),"Y","N")</f>
        <v>N</v>
      </c>
      <c r="M7" t="str">
        <f t="shared" si="0"/>
        <v>N</v>
      </c>
    </row>
    <row r="8" spans="2:13">
      <c r="B8" s="92" t="s">
        <v>125</v>
      </c>
      <c r="C8" s="92" t="s">
        <v>448</v>
      </c>
      <c r="D8" s="92" t="s">
        <v>824</v>
      </c>
      <c r="E8" s="92" t="str">
        <f t="shared" si="1"/>
        <v>ENTITYenblng_capex_ccm</v>
      </c>
      <c r="F8" s="90" t="s">
        <v>126</v>
      </c>
      <c r="G8" t="s">
        <v>27</v>
      </c>
      <c r="H8" t="s">
        <v>612</v>
      </c>
      <c r="I8" t="s">
        <v>700</v>
      </c>
      <c r="J8" t="s">
        <v>700</v>
      </c>
      <c r="L8" t="str">
        <f>+IF(IFERROR(VLOOKUP(CONCATENATE(F8,H8),'2. Script '!A:A,1,FALSE),"#")=CONCATENATE(F8,H8),"Y","N")</f>
        <v>N</v>
      </c>
      <c r="M8" t="str">
        <f t="shared" si="0"/>
        <v>N</v>
      </c>
    </row>
    <row r="9" spans="2:13">
      <c r="B9" s="92" t="s">
        <v>125</v>
      </c>
      <c r="C9" s="92" t="s">
        <v>449</v>
      </c>
      <c r="D9" s="92" t="s">
        <v>825</v>
      </c>
      <c r="E9" s="92" t="str">
        <f t="shared" si="1"/>
        <v>ENTITYenblng_capex_cca</v>
      </c>
      <c r="F9" s="90" t="s">
        <v>126</v>
      </c>
      <c r="G9" t="s">
        <v>27</v>
      </c>
      <c r="H9" t="s">
        <v>613</v>
      </c>
      <c r="I9" t="s">
        <v>700</v>
      </c>
      <c r="J9" t="s">
        <v>700</v>
      </c>
      <c r="L9" t="str">
        <f>+IF(IFERROR(VLOOKUP(CONCATENATE(F9,H9),'2. Script '!A:A,1,FALSE),"#")=CONCATENATE(F9,H9),"Y","N")</f>
        <v>N</v>
      </c>
      <c r="M9" t="str">
        <f t="shared" si="0"/>
        <v>N</v>
      </c>
    </row>
    <row r="10" spans="2:13">
      <c r="B10" s="92" t="s">
        <v>125</v>
      </c>
      <c r="C10" s="92" t="s">
        <v>498</v>
      </c>
      <c r="D10" s="92" t="s">
        <v>802</v>
      </c>
      <c r="E10" s="92" t="str">
        <f t="shared" si="1"/>
        <v>ENTITYtrnstnl_capex</v>
      </c>
      <c r="F10" s="90" t="s">
        <v>126</v>
      </c>
      <c r="G10" t="s">
        <v>27</v>
      </c>
      <c r="H10" t="s">
        <v>614</v>
      </c>
      <c r="I10" t="s">
        <v>700</v>
      </c>
      <c r="J10" t="s">
        <v>700</v>
      </c>
      <c r="L10" t="str">
        <f>+IF(IFERROR(VLOOKUP(CONCATENATE(F10,H10),'2. Script '!A:A,1,FALSE),"#")=CONCATENATE(F10,H10),"Y","N")</f>
        <v>N</v>
      </c>
      <c r="M10" t="str">
        <f t="shared" si="0"/>
        <v>N</v>
      </c>
    </row>
    <row r="11" spans="2:13">
      <c r="B11" s="92" t="s">
        <v>125</v>
      </c>
      <c r="C11" s="92" t="s">
        <v>473</v>
      </c>
      <c r="D11" s="92" t="s">
        <v>826</v>
      </c>
      <c r="E11" s="92" t="str">
        <f t="shared" si="1"/>
        <v>ENTITYpure_capex_ccm</v>
      </c>
      <c r="F11" s="90" t="s">
        <v>126</v>
      </c>
      <c r="G11" t="s">
        <v>27</v>
      </c>
      <c r="H11" t="s">
        <v>615</v>
      </c>
      <c r="I11" t="s">
        <v>700</v>
      </c>
      <c r="J11" t="s">
        <v>700</v>
      </c>
      <c r="L11" t="str">
        <f>+IF(IFERROR(VLOOKUP(CONCATENATE(F11,H11),'2. Script '!A:A,1,FALSE),"#")=CONCATENATE(F11,H11),"Y","N")</f>
        <v>N</v>
      </c>
      <c r="M11" t="str">
        <f t="shared" si="0"/>
        <v>N</v>
      </c>
    </row>
    <row r="12" spans="2:13">
      <c r="B12" s="92" t="s">
        <v>125</v>
      </c>
      <c r="C12" s="92" t="s">
        <v>474</v>
      </c>
      <c r="D12" s="92" t="s">
        <v>827</v>
      </c>
      <c r="E12" s="92" t="str">
        <f t="shared" si="1"/>
        <v>ENTITYpure_capex_cca</v>
      </c>
      <c r="F12" s="90" t="s">
        <v>126</v>
      </c>
      <c r="G12" t="s">
        <v>27</v>
      </c>
      <c r="H12" t="s">
        <v>616</v>
      </c>
      <c r="I12" t="s">
        <v>700</v>
      </c>
      <c r="J12" t="s">
        <v>700</v>
      </c>
      <c r="L12" t="str">
        <f>+IF(IFERROR(VLOOKUP(CONCATENATE(F12,H12),'2. Script '!A:A,1,FALSE),"#")=CONCATENATE(F12,H12),"Y","N")</f>
        <v>N</v>
      </c>
      <c r="M12" t="str">
        <f t="shared" si="0"/>
        <v>N</v>
      </c>
    </row>
    <row r="13" spans="2:13">
      <c r="B13" s="92" t="s">
        <v>125</v>
      </c>
      <c r="C13" s="92" t="s">
        <v>526</v>
      </c>
      <c r="D13" s="92" t="s">
        <v>828</v>
      </c>
      <c r="E13" s="92" t="str">
        <f t="shared" si="1"/>
        <v>ENTITYenblng_trnvr_ccm</v>
      </c>
      <c r="F13" s="90" t="s">
        <v>126</v>
      </c>
      <c r="G13" t="s">
        <v>27</v>
      </c>
      <c r="H13" t="s">
        <v>617</v>
      </c>
      <c r="I13" t="s">
        <v>700</v>
      </c>
      <c r="J13" t="s">
        <v>700</v>
      </c>
      <c r="L13" t="str">
        <f>+IF(IFERROR(VLOOKUP(CONCATENATE(F13,H13),'2. Script '!A:A,1,FALSE),"#")=CONCATENATE(F13,H13),"Y","N")</f>
        <v>N</v>
      </c>
      <c r="M13" t="str">
        <f t="shared" si="0"/>
        <v>N</v>
      </c>
    </row>
    <row r="14" spans="2:13">
      <c r="B14" s="92" t="s">
        <v>125</v>
      </c>
      <c r="C14" s="92" t="s">
        <v>419</v>
      </c>
      <c r="D14" s="92" t="s">
        <v>829</v>
      </c>
      <c r="E14" s="92" t="str">
        <f t="shared" si="1"/>
        <v>ENTITYenblng_trnvr_cca</v>
      </c>
      <c r="F14" s="90" t="s">
        <v>126</v>
      </c>
      <c r="G14" t="s">
        <v>27</v>
      </c>
      <c r="H14" t="s">
        <v>618</v>
      </c>
      <c r="I14" t="s">
        <v>700</v>
      </c>
      <c r="J14" t="s">
        <v>700</v>
      </c>
      <c r="L14" t="str">
        <f>+IF(IFERROR(VLOOKUP(CONCATENATE(F14,H14),'2. Script '!A:A,1,FALSE),"#")=CONCATENATE(F14,H14),"Y","N")</f>
        <v>N</v>
      </c>
      <c r="M14" t="str">
        <f t="shared" si="0"/>
        <v>N</v>
      </c>
    </row>
    <row r="15" spans="2:13">
      <c r="B15" s="92" t="s">
        <v>125</v>
      </c>
      <c r="C15" s="92" t="s">
        <v>450</v>
      </c>
      <c r="D15" s="92" t="s">
        <v>830</v>
      </c>
      <c r="E15" s="92" t="str">
        <f t="shared" si="1"/>
        <v>ENTITYtrnstnl_trnvr</v>
      </c>
      <c r="F15" s="90" t="s">
        <v>126</v>
      </c>
      <c r="G15" t="s">
        <v>27</v>
      </c>
      <c r="H15" t="s">
        <v>619</v>
      </c>
      <c r="I15" t="s">
        <v>700</v>
      </c>
      <c r="J15" t="s">
        <v>700</v>
      </c>
      <c r="L15" t="str">
        <f>+IF(IFERROR(VLOOKUP(CONCATENATE(F15,H15),'2. Script '!A:A,1,FALSE),"#")=CONCATENATE(F15,H15),"Y","N")</f>
        <v>N</v>
      </c>
      <c r="M15" t="str">
        <f t="shared" si="0"/>
        <v>N</v>
      </c>
    </row>
    <row r="16" spans="2:13">
      <c r="B16" s="92" t="s">
        <v>125</v>
      </c>
      <c r="C16" s="92" t="s">
        <v>420</v>
      </c>
      <c r="D16" s="92" t="s">
        <v>831</v>
      </c>
      <c r="E16" s="92" t="str">
        <f t="shared" si="1"/>
        <v>ENTITYpure_trnvr_ccm</v>
      </c>
      <c r="F16" s="90" t="s">
        <v>126</v>
      </c>
      <c r="G16" t="s">
        <v>27</v>
      </c>
      <c r="H16" t="s">
        <v>620</v>
      </c>
      <c r="I16" t="s">
        <v>700</v>
      </c>
      <c r="J16" t="s">
        <v>700</v>
      </c>
      <c r="L16" t="str">
        <f>+IF(IFERROR(VLOOKUP(CONCATENATE(F16,H16),'2. Script '!A:A,1,FALSE),"#")=CONCATENATE(F16,H16),"Y","N")</f>
        <v>N</v>
      </c>
      <c r="M16" t="str">
        <f t="shared" si="0"/>
        <v>N</v>
      </c>
    </row>
    <row r="17" spans="2:13">
      <c r="B17" s="92" t="s">
        <v>125</v>
      </c>
      <c r="C17" s="92" t="s">
        <v>475</v>
      </c>
      <c r="D17" s="92" t="s">
        <v>832</v>
      </c>
      <c r="E17" s="92" t="str">
        <f t="shared" si="1"/>
        <v>ENTITYpure_trnvr_cca</v>
      </c>
      <c r="F17" s="90" t="s">
        <v>126</v>
      </c>
      <c r="G17" t="s">
        <v>27</v>
      </c>
      <c r="H17" t="s">
        <v>621</v>
      </c>
      <c r="I17" t="s">
        <v>700</v>
      </c>
      <c r="J17" t="s">
        <v>700</v>
      </c>
      <c r="L17" t="str">
        <f>+IF(IFERROR(VLOOKUP(CONCATENATE(F17,H17),'2. Script '!A:A,1,FALSE),"#")=CONCATENATE(F17,H17),"Y","N")</f>
        <v>N</v>
      </c>
      <c r="M17" t="str">
        <f t="shared" si="0"/>
        <v>N</v>
      </c>
    </row>
    <row r="18" spans="2:13">
      <c r="B18" s="92" t="s">
        <v>125</v>
      </c>
      <c r="C18" s="92" t="s">
        <v>451</v>
      </c>
      <c r="D18" s="92" t="s">
        <v>833</v>
      </c>
      <c r="E18" s="92" t="str">
        <f t="shared" si="1"/>
        <v>ENTITYflg_nfrd_applcblty</v>
      </c>
      <c r="F18" s="90" t="s">
        <v>126</v>
      </c>
      <c r="G18" t="s">
        <v>27</v>
      </c>
      <c r="H18" t="s">
        <v>622</v>
      </c>
      <c r="I18" t="s">
        <v>700</v>
      </c>
      <c r="J18" t="s">
        <v>700</v>
      </c>
      <c r="L18" t="str">
        <f>+IF(IFERROR(VLOOKUP(CONCATENATE(F18,H18),'2. Script '!A:A,1,FALSE),"#")=CONCATENATE(F18,H18),"Y","N")</f>
        <v>N</v>
      </c>
      <c r="M18" t="str">
        <f t="shared" si="0"/>
        <v>N</v>
      </c>
    </row>
    <row r="19" spans="2:13">
      <c r="B19" s="92" t="s">
        <v>125</v>
      </c>
      <c r="C19" s="92" t="s">
        <v>452</v>
      </c>
      <c r="D19" s="92" t="s">
        <v>834</v>
      </c>
      <c r="E19" s="92" t="str">
        <f t="shared" si="1"/>
        <v>ENTITYcntrprty_emssns_scp1</v>
      </c>
      <c r="F19" s="90" t="s">
        <v>126</v>
      </c>
      <c r="G19" t="s">
        <v>27</v>
      </c>
      <c r="H19" t="s">
        <v>623</v>
      </c>
      <c r="I19" t="s">
        <v>700</v>
      </c>
      <c r="J19" t="s">
        <v>700</v>
      </c>
      <c r="L19" t="str">
        <f>+IF(IFERROR(VLOOKUP(CONCATENATE(F19,H19),'2. Script '!A:A,1,FALSE),"#")=CONCATENATE(F19,H19),"Y","N")</f>
        <v>N</v>
      </c>
      <c r="M19" t="str">
        <f t="shared" si="0"/>
        <v>N</v>
      </c>
    </row>
    <row r="20" spans="2:13">
      <c r="B20" s="92" t="s">
        <v>125</v>
      </c>
      <c r="C20" s="92" t="s">
        <v>517</v>
      </c>
      <c r="D20" s="92" t="s">
        <v>835</v>
      </c>
      <c r="E20" s="92" t="str">
        <f t="shared" si="1"/>
        <v>ENTITYcntrprty_emssns_scp2</v>
      </c>
      <c r="F20" s="90" t="s">
        <v>126</v>
      </c>
      <c r="G20" t="s">
        <v>27</v>
      </c>
      <c r="H20" t="s">
        <v>624</v>
      </c>
      <c r="I20" t="s">
        <v>700</v>
      </c>
      <c r="J20" t="s">
        <v>700</v>
      </c>
      <c r="L20" t="str">
        <f>+IF(IFERROR(VLOOKUP(CONCATENATE(F20,H20),'2. Script '!A:A,1,FALSE),"#")=CONCATENATE(F20,H20),"Y","N")</f>
        <v>N</v>
      </c>
      <c r="M20" t="str">
        <f t="shared" si="0"/>
        <v>N</v>
      </c>
    </row>
    <row r="21" spans="2:13">
      <c r="B21" s="92" t="s">
        <v>125</v>
      </c>
      <c r="C21" s="92" t="s">
        <v>413</v>
      </c>
      <c r="D21" s="92" t="s">
        <v>836</v>
      </c>
      <c r="E21" s="92" t="str">
        <f t="shared" si="1"/>
        <v>ENTITYcntrprty_emssns_scp3</v>
      </c>
      <c r="F21" s="90" t="s">
        <v>126</v>
      </c>
      <c r="G21" t="s">
        <v>27</v>
      </c>
      <c r="H21" t="s">
        <v>625</v>
      </c>
      <c r="I21" t="s">
        <v>700</v>
      </c>
      <c r="J21" t="s">
        <v>700</v>
      </c>
      <c r="L21" t="str">
        <f>+IF(IFERROR(VLOOKUP(CONCATENATE(F21,H21),'2. Script '!A:A,1,FALSE),"#")=CONCATENATE(F21,H21),"Y","N")</f>
        <v>N</v>
      </c>
      <c r="M21" t="str">
        <f t="shared" si="0"/>
        <v>N</v>
      </c>
    </row>
    <row r="22" spans="2:13">
      <c r="B22" s="92" t="s">
        <v>125</v>
      </c>
      <c r="C22" s="92" t="s">
        <v>414</v>
      </c>
      <c r="D22" s="92" t="s">
        <v>837</v>
      </c>
      <c r="E22" s="92" t="str">
        <f t="shared" si="1"/>
        <v>ENTITYflg_excldd_eu_prs_algnd_bnchmrk</v>
      </c>
      <c r="F22" s="90" t="s">
        <v>126</v>
      </c>
      <c r="G22" t="s">
        <v>27</v>
      </c>
      <c r="H22" t="s">
        <v>626</v>
      </c>
      <c r="I22" t="s">
        <v>700</v>
      </c>
      <c r="J22" t="s">
        <v>700</v>
      </c>
      <c r="L22" t="str">
        <f>+IF(IFERROR(VLOOKUP(CONCATENATE(F22,H22),'2. Script '!A:A,1,FALSE),"#")=CONCATENATE(F22,H22),"Y","N")</f>
        <v>N</v>
      </c>
      <c r="M22" t="str">
        <f t="shared" si="0"/>
        <v>N</v>
      </c>
    </row>
    <row r="23" spans="2:13">
      <c r="B23" s="92" t="s">
        <v>125</v>
      </c>
      <c r="C23" s="92" t="s">
        <v>554</v>
      </c>
      <c r="D23" s="92" t="s">
        <v>838</v>
      </c>
      <c r="E23" s="92" t="str">
        <f t="shared" si="1"/>
        <v>ENTITYflg_act_physcl_rsk</v>
      </c>
      <c r="F23" s="90" t="s">
        <v>126</v>
      </c>
      <c r="G23" t="s">
        <v>27</v>
      </c>
      <c r="H23" t="s">
        <v>627</v>
      </c>
      <c r="I23" t="s">
        <v>699</v>
      </c>
      <c r="J23" t="s">
        <v>699</v>
      </c>
      <c r="L23" t="str">
        <f>+IF(IFERROR(VLOOKUP(CONCATENATE(F23,H23),'2. Script '!A:A,1,FALSE),"#")=CONCATENATE(F23,H23),"Y","N")</f>
        <v>N</v>
      </c>
      <c r="M23" t="str">
        <f t="shared" si="0"/>
        <v>N</v>
      </c>
    </row>
    <row r="24" spans="2:13">
      <c r="B24" s="92" t="s">
        <v>125</v>
      </c>
      <c r="C24" s="92" t="s">
        <v>108</v>
      </c>
      <c r="D24" s="92" t="s">
        <v>786</v>
      </c>
      <c r="E24" s="92" t="str">
        <f t="shared" si="1"/>
        <v>ENTITYflg_chrnc_physcl_rsk</v>
      </c>
      <c r="F24" s="90" t="s">
        <v>126</v>
      </c>
      <c r="G24" t="s">
        <v>27</v>
      </c>
      <c r="H24" t="s">
        <v>628</v>
      </c>
      <c r="I24" t="s">
        <v>699</v>
      </c>
      <c r="J24" t="s">
        <v>699</v>
      </c>
      <c r="L24" t="str">
        <f>+IF(IFERROR(VLOOKUP(CONCATENATE(F24,H24),'2. Script '!A:A,1,FALSE),"#")=CONCATENATE(F24,H24),"Y","N")</f>
        <v>N</v>
      </c>
      <c r="M24" t="str">
        <f t="shared" si="0"/>
        <v>N</v>
      </c>
    </row>
    <row r="25" spans="2:13">
      <c r="B25" s="92" t="s">
        <v>125</v>
      </c>
      <c r="C25" s="92" t="s">
        <v>555</v>
      </c>
      <c r="D25" s="92" t="s">
        <v>839</v>
      </c>
      <c r="E25" s="92" t="str">
        <f t="shared" si="1"/>
        <v>ENTITYpst_cd</v>
      </c>
      <c r="F25" s="90" t="s">
        <v>126</v>
      </c>
      <c r="G25" t="s">
        <v>27</v>
      </c>
      <c r="H25" s="93" t="s">
        <v>629</v>
      </c>
      <c r="I25" t="s">
        <v>700</v>
      </c>
      <c r="J25" t="s">
        <v>700</v>
      </c>
      <c r="L25" t="str">
        <f>+IF(IFERROR(VLOOKUP(CONCATENATE(F25,H25),'2. Script '!A:A,1,FALSE),"#")=CONCATENATE(F25,H25),"Y","N")</f>
        <v>N</v>
      </c>
      <c r="M25" t="str">
        <f t="shared" si="0"/>
        <v>N</v>
      </c>
    </row>
    <row r="26" spans="2:13">
      <c r="B26" s="92" t="s">
        <v>125</v>
      </c>
      <c r="C26" s="92" t="s">
        <v>527</v>
      </c>
      <c r="D26" s="92" t="s">
        <v>840</v>
      </c>
      <c r="E26" s="92" t="str">
        <f t="shared" si="1"/>
        <v>ENTITYesg_sbsctr</v>
      </c>
      <c r="F26" s="90" t="s">
        <v>126</v>
      </c>
      <c r="G26" t="s">
        <v>27</v>
      </c>
      <c r="H26" t="s">
        <v>701</v>
      </c>
      <c r="I26" t="s">
        <v>699</v>
      </c>
      <c r="J26" t="s">
        <v>699</v>
      </c>
      <c r="K26" t="s">
        <v>702</v>
      </c>
      <c r="L26" t="str">
        <f>+IF(IFERROR(VLOOKUP(CONCATENATE(F26,H26),'2. Script '!A:A,1,FALSE),"#")=CONCATENATE(F26,H26),"Y","N")</f>
        <v>N</v>
      </c>
      <c r="M26" t="str">
        <f t="shared" si="0"/>
        <v>N</v>
      </c>
    </row>
    <row r="27" spans="2:13">
      <c r="B27" s="92" t="s">
        <v>125</v>
      </c>
      <c r="C27" s="92" t="s">
        <v>602</v>
      </c>
      <c r="D27" s="92" t="s">
        <v>841</v>
      </c>
      <c r="E27" s="92" t="str">
        <f t="shared" si="1"/>
        <v>ENTITYttl_lblty</v>
      </c>
      <c r="F27" s="90" t="s">
        <v>126</v>
      </c>
      <c r="G27" t="s">
        <v>27</v>
      </c>
      <c r="H27" s="93" t="s">
        <v>630</v>
      </c>
      <c r="I27" t="s">
        <v>700</v>
      </c>
      <c r="J27" t="s">
        <v>700</v>
      </c>
      <c r="L27" t="str">
        <f>+IF(IFERROR(VLOOKUP(CONCATENATE(F27,H27),'2. Script '!A:A,1,FALSE),"#")=CONCATENATE(F27,H27),"Y","N")</f>
        <v>N</v>
      </c>
      <c r="M27" t="str">
        <f t="shared" si="0"/>
        <v>N</v>
      </c>
    </row>
    <row r="28" spans="2:13">
      <c r="B28" s="92" t="s">
        <v>125</v>
      </c>
      <c r="C28" s="92" t="s">
        <v>410</v>
      </c>
      <c r="D28" s="92" t="s">
        <v>842</v>
      </c>
      <c r="E28" s="92" t="str">
        <f t="shared" si="1"/>
        <v>ENTITYisin</v>
      </c>
      <c r="F28" s="90" t="s">
        <v>126</v>
      </c>
      <c r="G28" t="s">
        <v>27</v>
      </c>
      <c r="H28" s="93" t="s">
        <v>631</v>
      </c>
      <c r="I28" t="s">
        <v>700</v>
      </c>
      <c r="J28" t="s">
        <v>700</v>
      </c>
      <c r="L28" t="str">
        <f>+IF(IFERROR(VLOOKUP(CONCATENATE(F28,H28),'2. Script '!A:A,1,FALSE),"#")=CONCATENATE(F28,H28),"Y","N")</f>
        <v>N</v>
      </c>
      <c r="M28" t="str">
        <f t="shared" si="0"/>
        <v>N</v>
      </c>
    </row>
    <row r="29" spans="2:13">
      <c r="B29" s="92" t="s">
        <v>125</v>
      </c>
      <c r="C29" s="92" t="s">
        <v>552</v>
      </c>
      <c r="D29" s="92" t="s">
        <v>843</v>
      </c>
      <c r="E29" s="92" t="str">
        <f t="shared" si="1"/>
        <v>ENTITYgrp_annl_trnvr_le</v>
      </c>
      <c r="F29" s="90" t="s">
        <v>126</v>
      </c>
      <c r="G29" t="s">
        <v>27</v>
      </c>
      <c r="H29" s="93" t="s">
        <v>632</v>
      </c>
      <c r="I29" t="s">
        <v>700</v>
      </c>
      <c r="J29" t="s">
        <v>700</v>
      </c>
      <c r="L29" t="str">
        <f>+IF(IFERROR(VLOOKUP(CONCATENATE(F29,H29),'2. Script '!A:A,1,FALSE),"#")=CONCATENATE(F29,H29),"Y","N")</f>
        <v>N</v>
      </c>
      <c r="M29" t="str">
        <f t="shared" si="0"/>
        <v>N</v>
      </c>
    </row>
    <row r="30" spans="2:13">
      <c r="B30" s="92" t="s">
        <v>125</v>
      </c>
      <c r="C30" s="92" t="s">
        <v>415</v>
      </c>
      <c r="D30" s="92" t="s">
        <v>844</v>
      </c>
      <c r="E30" s="92" t="str">
        <f t="shared" si="1"/>
        <v>ENTITYgrp_ttl_lblty</v>
      </c>
      <c r="F30" s="90" t="s">
        <v>126</v>
      </c>
      <c r="G30" t="s">
        <v>27</v>
      </c>
      <c r="H30" s="93" t="s">
        <v>633</v>
      </c>
      <c r="I30" t="s">
        <v>700</v>
      </c>
      <c r="J30" t="s">
        <v>700</v>
      </c>
      <c r="L30" t="str">
        <f>+IF(IFERROR(VLOOKUP(CONCATENATE(F30,H30),'2. Script '!A:A,1,FALSE),"#")=CONCATENATE(F30,H30),"Y","N")</f>
        <v>N</v>
      </c>
      <c r="M30" t="str">
        <f t="shared" si="0"/>
        <v>N</v>
      </c>
    </row>
    <row r="31" spans="2:13">
      <c r="B31" s="92" t="s">
        <v>125</v>
      </c>
      <c r="C31" s="92" t="s">
        <v>453</v>
      </c>
      <c r="D31" s="92" t="s">
        <v>845</v>
      </c>
      <c r="E31" s="92" t="str">
        <f t="shared" si="1"/>
        <v>ENTITYflg_grp_nfrd_applcblty</v>
      </c>
      <c r="F31" s="90" t="s">
        <v>126</v>
      </c>
      <c r="G31" t="s">
        <v>27</v>
      </c>
      <c r="H31" t="s">
        <v>634</v>
      </c>
      <c r="I31" t="s">
        <v>700</v>
      </c>
      <c r="J31" t="s">
        <v>700</v>
      </c>
      <c r="L31" t="str">
        <f>+IF(IFERROR(VLOOKUP(CONCATENATE(F31,H31),'2. Script '!A:A,1,FALSE),"#")=CONCATENATE(F31,H31),"Y","N")</f>
        <v>N</v>
      </c>
      <c r="M31" t="str">
        <f t="shared" si="0"/>
        <v>N</v>
      </c>
    </row>
    <row r="32" spans="2:13">
      <c r="B32" s="92" t="s">
        <v>125</v>
      </c>
      <c r="C32" s="92" t="s">
        <v>421</v>
      </c>
      <c r="D32" s="92" t="s">
        <v>846</v>
      </c>
      <c r="E32" s="92" t="str">
        <f t="shared" si="1"/>
        <v>ENTITYgrp_emssns_scp1</v>
      </c>
      <c r="F32" s="90" t="s">
        <v>126</v>
      </c>
      <c r="G32" t="s">
        <v>27</v>
      </c>
      <c r="H32" t="s">
        <v>635</v>
      </c>
      <c r="I32" t="s">
        <v>700</v>
      </c>
      <c r="J32" t="s">
        <v>700</v>
      </c>
      <c r="L32" t="str">
        <f>+IF(IFERROR(VLOOKUP(CONCATENATE(F32,H32),'2. Script '!A:A,1,FALSE),"#")=CONCATENATE(F32,H32),"Y","N")</f>
        <v>N</v>
      </c>
      <c r="M32" t="str">
        <f t="shared" si="0"/>
        <v>N</v>
      </c>
    </row>
    <row r="33" spans="2:13">
      <c r="B33" s="92" t="s">
        <v>125</v>
      </c>
      <c r="C33" s="92" t="s">
        <v>422</v>
      </c>
      <c r="D33" s="92" t="s">
        <v>847</v>
      </c>
      <c r="E33" s="92" t="str">
        <f t="shared" si="1"/>
        <v>ENTITYgrp_emssns_scp2</v>
      </c>
      <c r="F33" s="90" t="s">
        <v>126</v>
      </c>
      <c r="G33" t="s">
        <v>27</v>
      </c>
      <c r="H33" t="s">
        <v>636</v>
      </c>
      <c r="I33" t="s">
        <v>700</v>
      </c>
      <c r="J33" t="s">
        <v>700</v>
      </c>
      <c r="L33" t="str">
        <f>+IF(IFERROR(VLOOKUP(CONCATENATE(F33,H33),'2. Script '!A:A,1,FALSE),"#")=CONCATENATE(F33,H33),"Y","N")</f>
        <v>N</v>
      </c>
      <c r="M33" t="str">
        <f t="shared" si="0"/>
        <v>N</v>
      </c>
    </row>
    <row r="34" spans="2:13">
      <c r="B34" s="92" t="s">
        <v>125</v>
      </c>
      <c r="C34" s="92" t="s">
        <v>423</v>
      </c>
      <c r="D34" s="92" t="s">
        <v>848</v>
      </c>
      <c r="E34" s="92" t="str">
        <f t="shared" si="1"/>
        <v>ENTITYgrp_emssns_scp3</v>
      </c>
      <c r="F34" s="90" t="s">
        <v>126</v>
      </c>
      <c r="G34" t="s">
        <v>27</v>
      </c>
      <c r="H34" t="s">
        <v>637</v>
      </c>
      <c r="I34" t="s">
        <v>700</v>
      </c>
      <c r="J34" t="s">
        <v>700</v>
      </c>
      <c r="L34" t="str">
        <f>+IF(IFERROR(VLOOKUP(CONCATENATE(F34,H34),'2. Script '!A:A,1,FALSE),"#")=CONCATENATE(F34,H34),"Y","N")</f>
        <v>N</v>
      </c>
      <c r="M34" t="str">
        <f t="shared" si="0"/>
        <v>N</v>
      </c>
    </row>
    <row r="35" spans="2:13">
      <c r="B35" s="92" t="s">
        <v>125</v>
      </c>
      <c r="C35" s="92" t="s">
        <v>454</v>
      </c>
      <c r="D35" s="92" t="s">
        <v>849</v>
      </c>
      <c r="E35" s="92" t="str">
        <f t="shared" si="1"/>
        <v>PROTECTIONtyp_ep_scr</v>
      </c>
      <c r="F35" s="90" t="s">
        <v>127</v>
      </c>
      <c r="G35" t="s">
        <v>33</v>
      </c>
      <c r="H35" t="s">
        <v>638</v>
      </c>
      <c r="I35" t="s">
        <v>700</v>
      </c>
      <c r="J35" t="s">
        <v>700</v>
      </c>
      <c r="L35" t="str">
        <f>+IF(IFERROR(VLOOKUP(CONCATENATE(F35,H35),'2. Script '!A:A,1,FALSE),"#")=CONCATENATE(F35,H35),"Y","N")</f>
        <v>N</v>
      </c>
      <c r="M35" t="str">
        <f t="shared" ref="M35:M66" si="2">+IF(IFERROR(VLOOKUP(CONCATENATE(F35,H35),D:D,1,FALSE),"#")=CONCATENATE(F35,H35),"Y","N")</f>
        <v>N</v>
      </c>
    </row>
    <row r="36" spans="2:13">
      <c r="B36" s="92" t="s">
        <v>125</v>
      </c>
      <c r="C36" s="92" t="s">
        <v>94</v>
      </c>
      <c r="D36" s="92" t="s">
        <v>789</v>
      </c>
      <c r="E36" s="92" t="str">
        <f t="shared" si="1"/>
        <v>PROTECTIONep_scr</v>
      </c>
      <c r="F36" s="90" t="s">
        <v>127</v>
      </c>
      <c r="G36" t="s">
        <v>33</v>
      </c>
      <c r="H36" t="s">
        <v>639</v>
      </c>
      <c r="I36" t="s">
        <v>700</v>
      </c>
      <c r="J36" t="s">
        <v>700</v>
      </c>
      <c r="L36" t="str">
        <f>+IF(IFERROR(VLOOKUP(CONCATENATE(F36,H36),'2. Script '!A:A,1,FALSE),"#")=CONCATENATE(F36,H36),"Y","N")</f>
        <v>N</v>
      </c>
      <c r="M36" t="str">
        <f t="shared" si="2"/>
        <v>N</v>
      </c>
    </row>
    <row r="37" spans="2:13">
      <c r="B37" s="92" t="s">
        <v>125</v>
      </c>
      <c r="C37" s="92" t="s">
        <v>476</v>
      </c>
      <c r="D37" s="92" t="s">
        <v>850</v>
      </c>
      <c r="E37" s="92" t="str">
        <f t="shared" si="1"/>
        <v>PROTECTIONtyp_epc_lbl</v>
      </c>
      <c r="F37" s="90" t="s">
        <v>127</v>
      </c>
      <c r="G37" t="s">
        <v>33</v>
      </c>
      <c r="H37" t="s">
        <v>640</v>
      </c>
      <c r="I37" t="s">
        <v>700</v>
      </c>
      <c r="J37" t="s">
        <v>700</v>
      </c>
      <c r="L37" t="str">
        <f>+IF(IFERROR(VLOOKUP(CONCATENATE(F37,H37),'2. Script '!A:A,1,FALSE),"#")=CONCATENATE(F37,H37),"Y","N")</f>
        <v>N</v>
      </c>
      <c r="M37" t="str">
        <f t="shared" si="2"/>
        <v>N</v>
      </c>
    </row>
    <row r="38" spans="2:13">
      <c r="B38" s="92" t="s">
        <v>125</v>
      </c>
      <c r="C38" s="92" t="s">
        <v>477</v>
      </c>
      <c r="D38" s="92" t="s">
        <v>851</v>
      </c>
      <c r="E38" s="92" t="str">
        <f t="shared" si="1"/>
        <v>PROTECTIONepc_lbl</v>
      </c>
      <c r="F38" s="90" t="s">
        <v>127</v>
      </c>
      <c r="G38" t="s">
        <v>33</v>
      </c>
      <c r="H38" t="s">
        <v>641</v>
      </c>
      <c r="I38" t="s">
        <v>700</v>
      </c>
      <c r="J38" t="s">
        <v>700</v>
      </c>
      <c r="L38" t="str">
        <f>+IF(IFERROR(VLOOKUP(CONCATENATE(F38,H38),'2. Script '!A:A,1,FALSE),"#")=CONCATENATE(F38,H38),"Y","N")</f>
        <v>N</v>
      </c>
      <c r="M38" t="str">
        <f t="shared" si="2"/>
        <v>N</v>
      </c>
    </row>
    <row r="39" spans="2:13">
      <c r="B39" s="92" t="s">
        <v>125</v>
      </c>
      <c r="C39" s="92" t="s">
        <v>478</v>
      </c>
      <c r="D39" s="92" t="s">
        <v>852</v>
      </c>
      <c r="E39" s="92" t="str">
        <f t="shared" si="1"/>
        <v>PROTECTIONemssns_scp1_prtctn</v>
      </c>
      <c r="F39" s="90" t="s">
        <v>127</v>
      </c>
      <c r="G39" t="s">
        <v>33</v>
      </c>
      <c r="H39" t="s">
        <v>642</v>
      </c>
      <c r="I39" t="s">
        <v>700</v>
      </c>
      <c r="J39" t="s">
        <v>700</v>
      </c>
      <c r="L39" t="str">
        <f>+IF(IFERROR(VLOOKUP(CONCATENATE(F39,H39),'2. Script '!A:A,1,FALSE),"#")=CONCATENATE(F39,H39),"Y","N")</f>
        <v>N</v>
      </c>
      <c r="M39" t="str">
        <f t="shared" si="2"/>
        <v>N</v>
      </c>
    </row>
    <row r="40" spans="2:13">
      <c r="B40" s="92" t="s">
        <v>125</v>
      </c>
      <c r="C40" s="92" t="s">
        <v>479</v>
      </c>
      <c r="D40" s="92" t="s">
        <v>853</v>
      </c>
      <c r="E40" s="92" t="str">
        <f t="shared" si="1"/>
        <v>PROTECTIONemssns_scp2_prtctn</v>
      </c>
      <c r="F40" s="90" t="s">
        <v>127</v>
      </c>
      <c r="G40" t="s">
        <v>33</v>
      </c>
      <c r="H40" t="s">
        <v>643</v>
      </c>
      <c r="I40" t="s">
        <v>700</v>
      </c>
      <c r="J40" t="s">
        <v>700</v>
      </c>
      <c r="L40" t="str">
        <f>+IF(IFERROR(VLOOKUP(CONCATENATE(F40,H40),'2. Script '!A:A,1,FALSE),"#")=CONCATENATE(F40,H40),"Y","N")</f>
        <v>N</v>
      </c>
      <c r="M40" t="str">
        <f t="shared" si="2"/>
        <v>N</v>
      </c>
    </row>
    <row r="41" spans="2:13">
      <c r="B41" s="92" t="s">
        <v>125</v>
      </c>
      <c r="C41" s="92" t="s">
        <v>480</v>
      </c>
      <c r="D41" s="92" t="s">
        <v>854</v>
      </c>
      <c r="E41" s="92" t="str">
        <f t="shared" si="1"/>
        <v>PROTECTIONemssns_scp3_prtctn</v>
      </c>
      <c r="F41" s="90" t="s">
        <v>127</v>
      </c>
      <c r="G41" t="s">
        <v>33</v>
      </c>
      <c r="H41" t="s">
        <v>644</v>
      </c>
      <c r="I41" t="s">
        <v>700</v>
      </c>
      <c r="J41" t="s">
        <v>700</v>
      </c>
      <c r="L41" t="str">
        <f>+IF(IFERROR(VLOOKUP(CONCATENATE(F41,H41),'2. Script '!A:A,1,FALSE),"#")=CONCATENATE(F41,H41),"Y","N")</f>
        <v>N</v>
      </c>
      <c r="M41" t="str">
        <f t="shared" si="2"/>
        <v>N</v>
      </c>
    </row>
    <row r="42" spans="2:13">
      <c r="B42" s="92" t="s">
        <v>125</v>
      </c>
      <c r="C42" s="92" t="s">
        <v>481</v>
      </c>
      <c r="D42" s="92" t="s">
        <v>855</v>
      </c>
      <c r="E42" s="92" t="str">
        <f t="shared" si="1"/>
        <v>PROTECTIONmthd_usd_prtctn_scp_1</v>
      </c>
      <c r="F42" s="90" t="s">
        <v>127</v>
      </c>
      <c r="G42" t="s">
        <v>33</v>
      </c>
      <c r="H42" t="s">
        <v>645</v>
      </c>
      <c r="I42" t="s">
        <v>700</v>
      </c>
      <c r="J42" t="s">
        <v>700</v>
      </c>
      <c r="L42" t="str">
        <f>+IF(IFERROR(VLOOKUP(CONCATENATE(F42,H42),'2. Script '!A:A,1,FALSE),"#")=CONCATENATE(F42,H42),"Y","N")</f>
        <v>N</v>
      </c>
      <c r="M42" t="str">
        <f t="shared" si="2"/>
        <v>N</v>
      </c>
    </row>
    <row r="43" spans="2:13">
      <c r="B43" s="92" t="s">
        <v>125</v>
      </c>
      <c r="C43" s="92" t="s">
        <v>482</v>
      </c>
      <c r="D43" s="92" t="s">
        <v>856</v>
      </c>
      <c r="E43" s="92" t="str">
        <f t="shared" si="1"/>
        <v>PROTECTIONmthd_usd_prtctn_scp_2</v>
      </c>
      <c r="F43" s="90" t="s">
        <v>127</v>
      </c>
      <c r="G43" t="s">
        <v>33</v>
      </c>
      <c r="H43" t="s">
        <v>646</v>
      </c>
      <c r="I43" t="s">
        <v>700</v>
      </c>
      <c r="J43" t="s">
        <v>700</v>
      </c>
      <c r="L43" t="str">
        <f>+IF(IFERROR(VLOOKUP(CONCATENATE(F43,H43),'2. Script '!A:A,1,FALSE),"#")=CONCATENATE(F43,H43),"Y","N")</f>
        <v>N</v>
      </c>
      <c r="M43" t="str">
        <f t="shared" si="2"/>
        <v>N</v>
      </c>
    </row>
    <row r="44" spans="2:13">
      <c r="B44" s="92" t="s">
        <v>125</v>
      </c>
      <c r="C44" s="92" t="s">
        <v>483</v>
      </c>
      <c r="D44" s="92" t="s">
        <v>857</v>
      </c>
      <c r="E44" s="92" t="str">
        <f t="shared" si="1"/>
        <v>PROTECTIONmthd_usd_prtctn_scp_3</v>
      </c>
      <c r="F44" s="90" t="s">
        <v>127</v>
      </c>
      <c r="G44" t="s">
        <v>33</v>
      </c>
      <c r="H44" t="s">
        <v>647</v>
      </c>
      <c r="I44" t="s">
        <v>700</v>
      </c>
      <c r="J44" t="s">
        <v>700</v>
      </c>
      <c r="L44" t="str">
        <f>+IF(IFERROR(VLOOKUP(CONCATENATE(F44,H44),'2. Script '!A:A,1,FALSE),"#")=CONCATENATE(F44,H44),"Y","N")</f>
        <v>N</v>
      </c>
      <c r="M44" t="str">
        <f t="shared" si="2"/>
        <v>N</v>
      </c>
    </row>
    <row r="45" spans="2:13">
      <c r="B45" s="92" t="s">
        <v>125</v>
      </c>
      <c r="C45" s="92" t="s">
        <v>557</v>
      </c>
      <c r="D45" s="92" t="s">
        <v>858</v>
      </c>
      <c r="E45" s="92" t="str">
        <f t="shared" si="1"/>
        <v>PROTECTIONflg_act_physcl_rsk</v>
      </c>
      <c r="F45" s="90" t="s">
        <v>127</v>
      </c>
      <c r="G45" t="s">
        <v>33</v>
      </c>
      <c r="H45" t="s">
        <v>627</v>
      </c>
      <c r="I45" t="s">
        <v>699</v>
      </c>
      <c r="J45" t="s">
        <v>699</v>
      </c>
      <c r="L45" t="str">
        <f>+IF(IFERROR(VLOOKUP(CONCATENATE(F45,H45),'2. Script '!A:A,1,FALSE),"#")=CONCATENATE(F45,H45),"Y","N")</f>
        <v>N</v>
      </c>
      <c r="M45" t="str">
        <f t="shared" si="2"/>
        <v>N</v>
      </c>
    </row>
    <row r="46" spans="2:13">
      <c r="B46" s="92" t="s">
        <v>125</v>
      </c>
      <c r="C46" s="92" t="s">
        <v>512</v>
      </c>
      <c r="D46" s="92" t="s">
        <v>859</v>
      </c>
      <c r="E46" s="92" t="str">
        <f t="shared" si="1"/>
        <v>PROTECTIONflg_chrnc_physcl_rsk</v>
      </c>
      <c r="F46" s="90" t="s">
        <v>127</v>
      </c>
      <c r="G46" t="s">
        <v>33</v>
      </c>
      <c r="H46" t="s">
        <v>628</v>
      </c>
      <c r="I46" t="s">
        <v>699</v>
      </c>
      <c r="J46" t="s">
        <v>699</v>
      </c>
      <c r="L46" t="str">
        <f>+IF(IFERROR(VLOOKUP(CONCATENATE(F46,H46),'2. Script '!A:A,1,FALSE),"#")=CONCATENATE(F46,H46),"Y","N")</f>
        <v>N</v>
      </c>
      <c r="M46" t="str">
        <f t="shared" si="2"/>
        <v>N</v>
      </c>
    </row>
    <row r="47" spans="2:13">
      <c r="B47" s="92" t="s">
        <v>125</v>
      </c>
      <c r="C47" s="92" t="s">
        <v>513</v>
      </c>
      <c r="D47" s="92" t="s">
        <v>860</v>
      </c>
      <c r="E47" s="92" t="str">
        <f t="shared" si="1"/>
        <v>INSTRUMENTrsk_mtgtd_cct</v>
      </c>
      <c r="F47" s="90" t="s">
        <v>125</v>
      </c>
      <c r="G47" t="s">
        <v>26</v>
      </c>
      <c r="H47" t="s">
        <v>648</v>
      </c>
      <c r="I47" t="s">
        <v>700</v>
      </c>
      <c r="J47" t="s">
        <v>700</v>
      </c>
      <c r="L47" t="str">
        <f>+IF(IFERROR(VLOOKUP(CONCATENATE(F47,H47),'2. Script '!A:A,1,FALSE),"#")=CONCATENATE(F47,H47),"Y","N")</f>
        <v>N</v>
      </c>
      <c r="M47" t="str">
        <f t="shared" si="2"/>
        <v>N</v>
      </c>
    </row>
    <row r="48" spans="2:13">
      <c r="B48" s="92" t="s">
        <v>125</v>
      </c>
      <c r="C48" s="92" t="s">
        <v>424</v>
      </c>
      <c r="D48" s="92" t="s">
        <v>861</v>
      </c>
      <c r="E48" s="92" t="str">
        <f t="shared" si="1"/>
        <v>INSTRUMENTrsk_mtgtd_ccp</v>
      </c>
      <c r="F48" s="90" t="s">
        <v>125</v>
      </c>
      <c r="G48" t="s">
        <v>26</v>
      </c>
      <c r="H48" t="s">
        <v>649</v>
      </c>
      <c r="I48" t="s">
        <v>699</v>
      </c>
      <c r="J48" t="s">
        <v>699</v>
      </c>
      <c r="L48" t="str">
        <f>+IF(IFERROR(VLOOKUP(CONCATENATE(F48,H48),'2. Script '!A:A,1,FALSE),"#")=CONCATENATE(F48,H48),"Y","N")</f>
        <v>N</v>
      </c>
      <c r="M48" t="str">
        <f t="shared" si="2"/>
        <v>N</v>
      </c>
    </row>
    <row r="49" spans="2:13">
      <c r="B49" s="92" t="s">
        <v>125</v>
      </c>
      <c r="C49" s="92" t="s">
        <v>425</v>
      </c>
      <c r="D49" s="92" t="s">
        <v>862</v>
      </c>
      <c r="E49" s="92" t="str">
        <f t="shared" si="1"/>
        <v>INSTR_ACTIVITYenvrnmntl_objctv</v>
      </c>
      <c r="F49" s="90" t="s">
        <v>322</v>
      </c>
      <c r="G49" t="s">
        <v>155</v>
      </c>
      <c r="H49" t="s">
        <v>650</v>
      </c>
      <c r="I49" t="s">
        <v>700</v>
      </c>
      <c r="J49" t="s">
        <v>700</v>
      </c>
      <c r="L49" t="str">
        <f>+IF(IFERROR(VLOOKUP(CONCATENATE(F49,H49),'2. Script '!A:A,1,FALSE),"#")=CONCATENATE(F49,H49),"Y","N")</f>
        <v>N</v>
      </c>
      <c r="M49" t="str">
        <f t="shared" si="2"/>
        <v>N</v>
      </c>
    </row>
    <row r="50" spans="2:13">
      <c r="B50" s="92" t="s">
        <v>125</v>
      </c>
      <c r="C50" s="92" t="s">
        <v>521</v>
      </c>
      <c r="D50" s="92" t="s">
        <v>863</v>
      </c>
      <c r="E50" s="92" t="str">
        <f t="shared" si="1"/>
        <v>INSTR_ACTIVITYtyp_actvty</v>
      </c>
      <c r="F50" s="90" t="s">
        <v>322</v>
      </c>
      <c r="G50" t="s">
        <v>155</v>
      </c>
      <c r="H50" t="s">
        <v>651</v>
      </c>
      <c r="I50" t="s">
        <v>700</v>
      </c>
      <c r="J50" t="s">
        <v>700</v>
      </c>
      <c r="L50" t="str">
        <f>+IF(IFERROR(VLOOKUP(CONCATENATE(F50,H50),'2. Script '!A:A,1,FALSE),"#")=CONCATENATE(F50,H50),"Y","N")</f>
        <v>N</v>
      </c>
      <c r="M50" t="str">
        <f t="shared" si="2"/>
        <v>N</v>
      </c>
    </row>
    <row r="51" spans="2:13">
      <c r="B51" s="92" t="s">
        <v>125</v>
      </c>
      <c r="C51" s="92" t="s">
        <v>426</v>
      </c>
      <c r="D51" s="92" t="s">
        <v>864</v>
      </c>
      <c r="E51" s="92" t="str">
        <f t="shared" si="1"/>
        <v>INSTRUMENTlns_clltrlzd_clssfctn</v>
      </c>
      <c r="F51" s="90" t="s">
        <v>125</v>
      </c>
      <c r="G51" t="s">
        <v>26</v>
      </c>
      <c r="H51" t="s">
        <v>652</v>
      </c>
      <c r="I51" t="s">
        <v>700</v>
      </c>
      <c r="J51" t="s">
        <v>700</v>
      </c>
      <c r="L51" t="str">
        <f>+IF(IFERROR(VLOOKUP(CONCATENATE(F51,H51),'2. Script '!A:A,1,FALSE),"#")=CONCATENATE(F51,H51),"Y","N")</f>
        <v>N</v>
      </c>
      <c r="M51" t="str">
        <f t="shared" si="2"/>
        <v>N</v>
      </c>
    </row>
    <row r="52" spans="2:13">
      <c r="B52" s="92" t="s">
        <v>125</v>
      </c>
      <c r="C52" s="92" t="s">
        <v>522</v>
      </c>
      <c r="D52" s="92" t="s">
        <v>865</v>
      </c>
      <c r="E52" s="92" t="str">
        <f t="shared" si="1"/>
        <v>INSTRUMENTmthd_usd_instrmnt_scp_1</v>
      </c>
      <c r="F52" s="90" t="s">
        <v>125</v>
      </c>
      <c r="G52" t="s">
        <v>26</v>
      </c>
      <c r="H52" t="s">
        <v>653</v>
      </c>
      <c r="I52" t="s">
        <v>699</v>
      </c>
      <c r="J52" t="s">
        <v>699</v>
      </c>
      <c r="L52" t="str">
        <f>+IF(IFERROR(VLOOKUP(CONCATENATE(F52,H52),'2. Script '!A:A,1,FALSE),"#")=CONCATENATE(F52,H52),"Y","N")</f>
        <v>N</v>
      </c>
      <c r="M52" t="str">
        <f t="shared" si="2"/>
        <v>N</v>
      </c>
    </row>
    <row r="53" spans="2:13">
      <c r="B53" s="92" t="s">
        <v>125</v>
      </c>
      <c r="C53" s="92" t="s">
        <v>427</v>
      </c>
      <c r="D53" s="92" t="s">
        <v>866</v>
      </c>
      <c r="E53" s="92" t="str">
        <f t="shared" si="1"/>
        <v>INSTRUMENTmthd_usd_instrmnt_scp_2</v>
      </c>
      <c r="F53" s="90" t="s">
        <v>125</v>
      </c>
      <c r="G53" t="s">
        <v>26</v>
      </c>
      <c r="H53" t="s">
        <v>654</v>
      </c>
      <c r="I53" t="s">
        <v>699</v>
      </c>
      <c r="J53" t="s">
        <v>699</v>
      </c>
      <c r="L53" t="str">
        <f>+IF(IFERROR(VLOOKUP(CONCATENATE(F53,H53),'2. Script '!A:A,1,FALSE),"#")=CONCATENATE(F53,H53),"Y","N")</f>
        <v>N</v>
      </c>
      <c r="M53" t="str">
        <f t="shared" si="2"/>
        <v>N</v>
      </c>
    </row>
    <row r="54" spans="2:13">
      <c r="B54" s="92" t="s">
        <v>125</v>
      </c>
      <c r="C54" s="92" t="s">
        <v>519</v>
      </c>
      <c r="D54" s="92" t="s">
        <v>867</v>
      </c>
      <c r="E54" s="92" t="str">
        <f t="shared" si="1"/>
        <v>INSTRUMENTmthd_usd_instrmnt_scp_3</v>
      </c>
      <c r="F54" s="90" t="s">
        <v>125</v>
      </c>
      <c r="G54" t="s">
        <v>26</v>
      </c>
      <c r="H54" t="s">
        <v>655</v>
      </c>
      <c r="I54" t="s">
        <v>699</v>
      </c>
      <c r="J54" t="s">
        <v>699</v>
      </c>
      <c r="L54" t="str">
        <f>+IF(IFERROR(VLOOKUP(CONCATENATE(F54,H54),'2. Script '!A:A,1,FALSE),"#")=CONCATENATE(F54,H54),"Y","N")</f>
        <v>N</v>
      </c>
      <c r="M54" t="str">
        <f t="shared" si="2"/>
        <v>N</v>
      </c>
    </row>
    <row r="55" spans="2:13">
      <c r="B55" s="92" t="s">
        <v>125</v>
      </c>
      <c r="C55" s="92" t="s">
        <v>428</v>
      </c>
      <c r="D55" s="92" t="s">
        <v>868</v>
      </c>
      <c r="E55" s="92" t="str">
        <f t="shared" si="1"/>
        <v>INSTRUMENTsstnbl_ctgry_txnmy</v>
      </c>
      <c r="F55" s="90" t="s">
        <v>125</v>
      </c>
      <c r="G55" t="s">
        <v>26</v>
      </c>
      <c r="H55" t="s">
        <v>656</v>
      </c>
      <c r="I55" t="s">
        <v>700</v>
      </c>
      <c r="J55" t="s">
        <v>700</v>
      </c>
      <c r="L55" t="str">
        <f>+IF(IFERROR(VLOOKUP(CONCATENATE(F55,H55),'2. Script '!A:A,1,FALSE),"#")=CONCATENATE(F55,H55),"Y","N")</f>
        <v>N</v>
      </c>
      <c r="M55" t="str">
        <f t="shared" si="2"/>
        <v>N</v>
      </c>
    </row>
    <row r="56" spans="2:13">
      <c r="B56" s="92" t="s">
        <v>125</v>
      </c>
      <c r="C56" s="92" t="s">
        <v>518</v>
      </c>
      <c r="D56" s="92" t="s">
        <v>869</v>
      </c>
      <c r="E56" s="92" t="str">
        <f t="shared" si="1"/>
        <v>INSTRUMENTdt_rfrnc</v>
      </c>
      <c r="F56" s="90" t="s">
        <v>125</v>
      </c>
      <c r="G56" t="s">
        <v>26</v>
      </c>
      <c r="H56" t="s">
        <v>657</v>
      </c>
      <c r="I56" t="s">
        <v>700</v>
      </c>
      <c r="J56" t="s">
        <v>700</v>
      </c>
      <c r="L56" t="str">
        <f>+IF(IFERROR(VLOOKUP(CONCATENATE(F56,H56),'2. Script '!A:A,1,FALSE),"#")=CONCATENATE(F56,H56),"Y","N")</f>
        <v>N</v>
      </c>
      <c r="M56" t="str">
        <f t="shared" si="2"/>
        <v>N</v>
      </c>
    </row>
    <row r="57" spans="2:13">
      <c r="B57" s="92" t="s">
        <v>125</v>
      </c>
      <c r="C57" s="92" t="s">
        <v>429</v>
      </c>
      <c r="D57" s="92" t="s">
        <v>790</v>
      </c>
      <c r="E57" s="92" t="str">
        <f t="shared" si="1"/>
        <v>INSTRUMENTinstrmnt_id</v>
      </c>
      <c r="F57" s="90" t="s">
        <v>125</v>
      </c>
      <c r="G57" t="s">
        <v>26</v>
      </c>
      <c r="H57" t="s">
        <v>30</v>
      </c>
      <c r="I57" t="s">
        <v>700</v>
      </c>
      <c r="J57" t="s">
        <v>700</v>
      </c>
      <c r="L57" t="str">
        <f>+IF(IFERROR(VLOOKUP(CONCATENATE(F57,H57),'2. Script '!A:A,1,FALSE),"#")=CONCATENATE(F57,H57),"Y","N")</f>
        <v>N</v>
      </c>
      <c r="M57" t="str">
        <f t="shared" si="2"/>
        <v>Y</v>
      </c>
    </row>
    <row r="58" spans="2:13">
      <c r="B58" s="92" t="s">
        <v>125</v>
      </c>
      <c r="C58" s="92" t="s">
        <v>516</v>
      </c>
      <c r="D58" s="92" t="s">
        <v>870</v>
      </c>
      <c r="E58" s="92" t="str">
        <f t="shared" si="1"/>
        <v>INSTRUMENTdt_incptn</v>
      </c>
      <c r="F58" s="90" t="s">
        <v>125</v>
      </c>
      <c r="G58" t="s">
        <v>26</v>
      </c>
      <c r="H58" t="s">
        <v>658</v>
      </c>
      <c r="I58" t="s">
        <v>700</v>
      </c>
      <c r="J58" t="s">
        <v>700</v>
      </c>
      <c r="L58" t="str">
        <f>+IF(IFERROR(VLOOKUP(CONCATENATE(F58,H58),'2. Script '!A:A,1,FALSE),"#")=CONCATENATE(F58,H58),"Y","N")</f>
        <v>Y</v>
      </c>
      <c r="M58" t="str">
        <f t="shared" si="2"/>
        <v>N</v>
      </c>
    </row>
    <row r="59" spans="2:13">
      <c r="B59" s="92" t="s">
        <v>125</v>
      </c>
      <c r="C59" s="92" t="s">
        <v>528</v>
      </c>
      <c r="D59" s="92" t="s">
        <v>871</v>
      </c>
      <c r="E59" s="92" t="str">
        <f t="shared" si="1"/>
        <v>INSTRUMENTdflt_stts_instrmnt</v>
      </c>
      <c r="F59" s="90" t="s">
        <v>125</v>
      </c>
      <c r="G59" t="s">
        <v>26</v>
      </c>
      <c r="H59" t="s">
        <v>659</v>
      </c>
      <c r="I59" t="s">
        <v>700</v>
      </c>
      <c r="J59" t="s">
        <v>700</v>
      </c>
      <c r="L59" t="str">
        <f>+IF(IFERROR(VLOOKUP(CONCATENATE(F59,H59),'2. Script '!A:A,1,FALSE),"#")=CONCATENATE(F59,H59),"Y","N")</f>
        <v>Y</v>
      </c>
      <c r="M59" t="str">
        <f t="shared" si="2"/>
        <v>Y</v>
      </c>
    </row>
    <row r="60" spans="2:13">
      <c r="B60" s="92" t="s">
        <v>125</v>
      </c>
      <c r="C60" s="92" t="s">
        <v>529</v>
      </c>
      <c r="D60" s="92" t="s">
        <v>872</v>
      </c>
      <c r="E60" s="92" t="str">
        <f t="shared" si="1"/>
        <v>INSTRUMENTimprmnt_stts</v>
      </c>
      <c r="F60" s="90" t="s">
        <v>125</v>
      </c>
      <c r="G60" t="s">
        <v>26</v>
      </c>
      <c r="H60" t="s">
        <v>660</v>
      </c>
      <c r="I60" t="s">
        <v>700</v>
      </c>
      <c r="J60" t="s">
        <v>700</v>
      </c>
      <c r="L60" t="str">
        <f>+IF(IFERROR(VLOOKUP(CONCATENATE(F60,H60),'2. Script '!A:A,1,FALSE),"#")=CONCATENATE(F60,H60),"Y","N")</f>
        <v>Y</v>
      </c>
      <c r="M60" t="str">
        <f t="shared" si="2"/>
        <v>Y</v>
      </c>
    </row>
    <row r="61" spans="2:13">
      <c r="B61" s="92" t="s">
        <v>125</v>
      </c>
      <c r="C61" s="92" t="s">
        <v>99</v>
      </c>
      <c r="D61" s="92" t="s">
        <v>795</v>
      </c>
      <c r="E61" s="92" t="str">
        <f t="shared" si="1"/>
        <v>INSTRUMENTprfrmng_stts</v>
      </c>
      <c r="F61" s="90" t="s">
        <v>125</v>
      </c>
      <c r="G61" t="s">
        <v>26</v>
      </c>
      <c r="H61" t="s">
        <v>661</v>
      </c>
      <c r="I61" t="s">
        <v>700</v>
      </c>
      <c r="J61" t="s">
        <v>700</v>
      </c>
      <c r="L61" t="str">
        <f>+IF(IFERROR(VLOOKUP(CONCATENATE(F61,H61),'2. Script '!A:A,1,FALSE),"#")=CONCATENATE(F61,H61),"Y","N")</f>
        <v>Y</v>
      </c>
      <c r="M61" t="str">
        <f t="shared" si="2"/>
        <v>Y</v>
      </c>
    </row>
    <row r="62" spans="2:13">
      <c r="B62" s="92" t="s">
        <v>125</v>
      </c>
      <c r="C62" s="92" t="s">
        <v>530</v>
      </c>
      <c r="D62" s="92" t="s">
        <v>873</v>
      </c>
      <c r="E62" s="92" t="str">
        <f t="shared" si="1"/>
        <v>INSTRUMENTprjct_fnnc_ln</v>
      </c>
      <c r="F62" s="90" t="s">
        <v>125</v>
      </c>
      <c r="G62" t="s">
        <v>26</v>
      </c>
      <c r="H62" t="s">
        <v>662</v>
      </c>
      <c r="I62" t="s">
        <v>700</v>
      </c>
      <c r="J62" t="s">
        <v>700</v>
      </c>
      <c r="L62" t="str">
        <f>+IF(IFERROR(VLOOKUP(CONCATENATE(F62,H62),'2. Script '!A:A,1,FALSE),"#")=CONCATENATE(F62,H62),"Y","N")</f>
        <v>Y</v>
      </c>
      <c r="M62" t="str">
        <f t="shared" si="2"/>
        <v>Y</v>
      </c>
    </row>
    <row r="63" spans="2:13">
      <c r="B63" s="92" t="s">
        <v>125</v>
      </c>
      <c r="C63" s="92" t="s">
        <v>110</v>
      </c>
      <c r="D63" s="92" t="s">
        <v>807</v>
      </c>
      <c r="E63" s="92" t="str">
        <f t="shared" si="1"/>
        <v>INSTRUMENTtyp_instrmnt</v>
      </c>
      <c r="F63" s="90" t="s">
        <v>125</v>
      </c>
      <c r="G63" t="s">
        <v>26</v>
      </c>
      <c r="H63" t="s">
        <v>663</v>
      </c>
      <c r="I63" t="s">
        <v>700</v>
      </c>
      <c r="J63" t="s">
        <v>700</v>
      </c>
      <c r="L63" t="str">
        <f>+IF(IFERROR(VLOOKUP(CONCATENATE(F63,H63),'2. Script '!A:A,1,FALSE),"#")=CONCATENATE(F63,H63),"Y","N")</f>
        <v>Y</v>
      </c>
      <c r="M63" t="str">
        <f t="shared" si="2"/>
        <v>Y</v>
      </c>
    </row>
    <row r="64" spans="2:13">
      <c r="B64" s="92" t="s">
        <v>125</v>
      </c>
      <c r="C64" s="92" t="s">
        <v>456</v>
      </c>
      <c r="D64" s="92" t="s">
        <v>798</v>
      </c>
      <c r="E64" s="92" t="str">
        <f t="shared" si="1"/>
        <v>INSTRUMENTgrss_crryng_amnt_instrmnt</v>
      </c>
      <c r="F64" s="90" t="s">
        <v>125</v>
      </c>
      <c r="G64" t="s">
        <v>26</v>
      </c>
      <c r="H64" t="s">
        <v>664</v>
      </c>
      <c r="I64" t="s">
        <v>700</v>
      </c>
      <c r="J64" t="s">
        <v>700</v>
      </c>
      <c r="L64" t="str">
        <f>+IF(IFERROR(VLOOKUP(CONCATENATE(F64,H64),'2. Script '!A:A,1,FALSE),"#")=CONCATENATE(F64,H64),"Y","N")</f>
        <v>Y</v>
      </c>
      <c r="M64" t="str">
        <f t="shared" si="2"/>
        <v>Y</v>
      </c>
    </row>
    <row r="65" spans="2:13">
      <c r="B65" s="92" t="s">
        <v>125</v>
      </c>
      <c r="C65" s="92" t="s">
        <v>458</v>
      </c>
      <c r="D65" s="92" t="s">
        <v>874</v>
      </c>
      <c r="E65" s="92" t="str">
        <f t="shared" si="1"/>
        <v>INSTRUMENTaccmltd_chngs_fv_cr_instrmnt</v>
      </c>
      <c r="F65" s="90" t="s">
        <v>125</v>
      </c>
      <c r="G65" t="s">
        <v>26</v>
      </c>
      <c r="H65" t="s">
        <v>665</v>
      </c>
      <c r="I65" t="s">
        <v>700</v>
      </c>
      <c r="J65" t="s">
        <v>700</v>
      </c>
      <c r="L65" t="str">
        <f>+IF(IFERROR(VLOOKUP(CONCATENATE(F65,H65),'2. Script '!A:A,1,FALSE),"#")=CONCATENATE(F65,H65),"Y","N")</f>
        <v>Y</v>
      </c>
      <c r="M65" t="str">
        <f t="shared" si="2"/>
        <v>Y</v>
      </c>
    </row>
    <row r="66" spans="2:13">
      <c r="B66" s="92" t="s">
        <v>125</v>
      </c>
      <c r="C66" s="92" t="s">
        <v>459</v>
      </c>
      <c r="D66" s="92" t="s">
        <v>875</v>
      </c>
      <c r="E66" s="92" t="str">
        <f t="shared" si="1"/>
        <v>INSTRUMENTaccntng_clssfctn</v>
      </c>
      <c r="F66" s="90" t="s">
        <v>125</v>
      </c>
      <c r="G66" t="s">
        <v>26</v>
      </c>
      <c r="H66" t="s">
        <v>666</v>
      </c>
      <c r="I66" t="s">
        <v>700</v>
      </c>
      <c r="J66" t="s">
        <v>700</v>
      </c>
      <c r="L66" t="str">
        <f>+IF(IFERROR(VLOOKUP(CONCATENATE(F66,H66),'2. Script '!A:A,1,FALSE),"#")=CONCATENATE(F66,H66),"Y","N")</f>
        <v>Y</v>
      </c>
      <c r="M66" t="str">
        <f t="shared" si="2"/>
        <v>Y</v>
      </c>
    </row>
    <row r="67" spans="2:13">
      <c r="B67" s="92" t="s">
        <v>125</v>
      </c>
      <c r="C67" s="92" t="s">
        <v>487</v>
      </c>
      <c r="D67" s="92" t="s">
        <v>876</v>
      </c>
      <c r="E67" s="92" t="str">
        <f t="shared" si="1"/>
        <v>INSTRUMENTdt_lgl_fnl_mtrty</v>
      </c>
      <c r="F67" s="90" t="s">
        <v>125</v>
      </c>
      <c r="G67" t="s">
        <v>26</v>
      </c>
      <c r="H67" t="s">
        <v>667</v>
      </c>
      <c r="I67" t="s">
        <v>700</v>
      </c>
      <c r="J67" t="s">
        <v>700</v>
      </c>
      <c r="L67" t="str">
        <f>+IF(IFERROR(VLOOKUP(CONCATENATE(F67,H67),'2. Script '!A:A,1,FALSE),"#")=CONCATENATE(F67,H67),"Y","N")</f>
        <v>Y</v>
      </c>
      <c r="M67" t="str">
        <f t="shared" ref="M67:M98" si="3">+IF(IFERROR(VLOOKUP(CONCATENATE(F67,H67),D:D,1,FALSE),"#")=CONCATENATE(F67,H67),"Y","N")</f>
        <v>N</v>
      </c>
    </row>
    <row r="68" spans="2:13">
      <c r="B68" s="92" t="s">
        <v>125</v>
      </c>
      <c r="C68" s="92" t="s">
        <v>484</v>
      </c>
      <c r="D68" s="92" t="s">
        <v>877</v>
      </c>
      <c r="E68" s="92" t="str">
        <f t="shared" ref="E68:E131" si="4">+F68&amp;H68</f>
        <v>INSTRUMENTaccmltd_imprmnt_instrmnt</v>
      </c>
      <c r="F68" s="90" t="s">
        <v>125</v>
      </c>
      <c r="G68" t="s">
        <v>26</v>
      </c>
      <c r="H68" t="s">
        <v>668</v>
      </c>
      <c r="I68" t="s">
        <v>700</v>
      </c>
      <c r="J68" t="s">
        <v>700</v>
      </c>
      <c r="L68" t="str">
        <f>+IF(IFERROR(VLOOKUP(CONCATENATE(F68,H68),'2. Script '!A:A,1,FALSE),"#")=CONCATENATE(F68,H68),"Y","N")</f>
        <v>Y</v>
      </c>
      <c r="M68" t="str">
        <f t="shared" si="3"/>
        <v>Y</v>
      </c>
    </row>
    <row r="69" spans="2:13">
      <c r="B69" s="92" t="s">
        <v>125</v>
      </c>
      <c r="C69" s="92" t="s">
        <v>485</v>
      </c>
      <c r="D69" s="92" t="s">
        <v>878</v>
      </c>
      <c r="E69" s="92" t="str">
        <f t="shared" si="4"/>
        <v>INSTRUMENTissr_cntry</v>
      </c>
      <c r="F69" s="90" t="s">
        <v>125</v>
      </c>
      <c r="G69" t="s">
        <v>26</v>
      </c>
      <c r="H69" t="s">
        <v>669</v>
      </c>
      <c r="I69" t="s">
        <v>700</v>
      </c>
      <c r="J69" t="s">
        <v>700</v>
      </c>
      <c r="L69" t="str">
        <f>+IF(IFERROR(VLOOKUP(CONCATENATE(F69,H69),'2. Script '!A:A,1,FALSE),"#")=CONCATENATE(F69,H69),"Y","N")</f>
        <v>Y</v>
      </c>
      <c r="M69" t="str">
        <f t="shared" si="3"/>
        <v>Y</v>
      </c>
    </row>
    <row r="70" spans="2:13">
      <c r="B70" s="92" t="s">
        <v>125</v>
      </c>
      <c r="C70" s="92" t="s">
        <v>95</v>
      </c>
      <c r="D70" s="92" t="s">
        <v>791</v>
      </c>
      <c r="E70" s="92" t="str">
        <f t="shared" si="4"/>
        <v>INSTRUMENTissr_nace_sctr</v>
      </c>
      <c r="F70" s="90" t="s">
        <v>125</v>
      </c>
      <c r="G70" t="s">
        <v>26</v>
      </c>
      <c r="H70" t="s">
        <v>670</v>
      </c>
      <c r="I70" t="s">
        <v>700</v>
      </c>
      <c r="J70" t="s">
        <v>700</v>
      </c>
      <c r="L70" t="str">
        <f>+IF(IFERROR(VLOOKUP(CONCATENATE(F70,H70),'2. Script '!A:A,1,FALSE),"#")=CONCATENATE(F70,H70),"Y","N")</f>
        <v>Y</v>
      </c>
      <c r="M70" t="str">
        <f t="shared" si="3"/>
        <v>Y</v>
      </c>
    </row>
    <row r="71" spans="2:13">
      <c r="B71" s="92" t="s">
        <v>125</v>
      </c>
      <c r="C71" s="92" t="s">
        <v>430</v>
      </c>
      <c r="D71" s="92" t="s">
        <v>879</v>
      </c>
      <c r="E71" s="92" t="str">
        <f t="shared" si="4"/>
        <v>INSTRUMENTprmry_asst_clssf</v>
      </c>
      <c r="F71" s="90" t="s">
        <v>125</v>
      </c>
      <c r="G71" t="s">
        <v>26</v>
      </c>
      <c r="H71" t="s">
        <v>671</v>
      </c>
      <c r="I71" t="s">
        <v>700</v>
      </c>
      <c r="J71" t="s">
        <v>700</v>
      </c>
      <c r="L71" t="str">
        <f>+IF(IFERROR(VLOOKUP(CONCATENATE(F71,H71),'2. Script '!A:A,1,FALSE),"#")=CONCATENATE(F71,H71),"Y","N")</f>
        <v>Y</v>
      </c>
      <c r="M71" t="str">
        <f t="shared" si="3"/>
        <v>Y</v>
      </c>
    </row>
    <row r="72" spans="2:13">
      <c r="B72" s="92" t="s">
        <v>125</v>
      </c>
      <c r="C72" s="92" t="s">
        <v>460</v>
      </c>
      <c r="D72" s="92" t="s">
        <v>880</v>
      </c>
      <c r="E72" s="92" t="str">
        <f t="shared" si="4"/>
        <v>INSTRUMENTsubportfolio_id</v>
      </c>
      <c r="F72" s="90" t="s">
        <v>125</v>
      </c>
      <c r="G72" t="s">
        <v>26</v>
      </c>
      <c r="H72" t="s">
        <v>672</v>
      </c>
      <c r="I72" t="s">
        <v>700</v>
      </c>
      <c r="J72" t="s">
        <v>700</v>
      </c>
      <c r="L72" t="str">
        <f>+IF(IFERROR(VLOOKUP(CONCATENATE(F72,H72),'2. Script '!A:A,1,FALSE),"#")=CONCATENATE(F72,H72),"Y","N")</f>
        <v>Y</v>
      </c>
      <c r="M72" t="str">
        <f t="shared" si="3"/>
        <v>Y</v>
      </c>
    </row>
    <row r="73" spans="2:13">
      <c r="B73" s="92" t="s">
        <v>125</v>
      </c>
      <c r="C73" s="92" t="s">
        <v>531</v>
      </c>
      <c r="D73" s="92" t="s">
        <v>881</v>
      </c>
      <c r="E73" s="92" t="str">
        <f t="shared" si="4"/>
        <v>INSTRUMENTcod_soc</v>
      </c>
      <c r="F73" s="90" t="s">
        <v>125</v>
      </c>
      <c r="G73" t="s">
        <v>26</v>
      </c>
      <c r="H73" t="s">
        <v>673</v>
      </c>
      <c r="I73" t="s">
        <v>700</v>
      </c>
      <c r="J73" t="s">
        <v>700</v>
      </c>
      <c r="L73" t="str">
        <f>+IF(IFERROR(VLOOKUP(CONCATENATE(F73,H73),'2. Script '!A:A,1,FALSE),"#")=CONCATENATE(F73,H73),"Y","N")</f>
        <v>Y</v>
      </c>
      <c r="M73" t="str">
        <f t="shared" si="3"/>
        <v>Y</v>
      </c>
    </row>
    <row r="74" spans="2:13">
      <c r="B74" s="92" t="s">
        <v>125</v>
      </c>
      <c r="C74" s="92" t="s">
        <v>532</v>
      </c>
      <c r="D74" s="92" t="s">
        <v>882</v>
      </c>
      <c r="E74" s="92" t="str">
        <f t="shared" si="4"/>
        <v>INSTRUMENTlcl_instmrnt_id</v>
      </c>
      <c r="F74" s="90" t="s">
        <v>125</v>
      </c>
      <c r="G74" t="s">
        <v>26</v>
      </c>
      <c r="H74" t="s">
        <v>674</v>
      </c>
      <c r="I74" t="s">
        <v>700</v>
      </c>
      <c r="J74" t="s">
        <v>700</v>
      </c>
      <c r="L74" t="str">
        <f>+IF(IFERROR(VLOOKUP(CONCATENATE(F74,H74),'2. Script '!A:A,1,FALSE),"#")=CONCATENATE(F74,H74),"Y","N")</f>
        <v>Y</v>
      </c>
      <c r="M74" t="str">
        <f t="shared" si="3"/>
        <v>Y</v>
      </c>
    </row>
    <row r="75" spans="2:13">
      <c r="B75" s="92" t="s">
        <v>125</v>
      </c>
      <c r="C75" s="92" t="s">
        <v>605</v>
      </c>
      <c r="D75" s="92" t="s">
        <v>788</v>
      </c>
      <c r="E75" s="92" t="str">
        <f t="shared" si="4"/>
        <v>INSTR_ACTIVITYsstnbl_indctr</v>
      </c>
      <c r="F75" s="90" t="s">
        <v>322</v>
      </c>
      <c r="G75" t="s">
        <v>155</v>
      </c>
      <c r="H75" t="s">
        <v>703</v>
      </c>
      <c r="I75" t="s">
        <v>704</v>
      </c>
      <c r="J75" t="s">
        <v>704</v>
      </c>
      <c r="K75" t="s">
        <v>705</v>
      </c>
      <c r="L75" t="str">
        <f>+IF(IFERROR(VLOOKUP(CONCATENATE(F75,H75),'2. Script '!A:A,1,FALSE),"#")=CONCATENATE(F75,H75),"Y","N")</f>
        <v>N</v>
      </c>
      <c r="M75" t="str">
        <f t="shared" si="3"/>
        <v>N</v>
      </c>
    </row>
    <row r="76" spans="2:13">
      <c r="B76" s="92" t="s">
        <v>125</v>
      </c>
      <c r="C76" s="92" t="s">
        <v>355</v>
      </c>
      <c r="D76" s="92" t="s">
        <v>883</v>
      </c>
      <c r="E76" s="92" t="str">
        <f t="shared" si="4"/>
        <v>INSTR_ACTIVITYCOD_SOC</v>
      </c>
      <c r="F76" s="90" t="s">
        <v>322</v>
      </c>
      <c r="G76" t="s">
        <v>155</v>
      </c>
      <c r="H76" t="s">
        <v>108</v>
      </c>
      <c r="I76" t="s">
        <v>706</v>
      </c>
      <c r="J76" t="s">
        <v>707</v>
      </c>
      <c r="K76" t="s">
        <v>708</v>
      </c>
      <c r="L76" t="str">
        <f>+IF(IFERROR(VLOOKUP(CONCATENATE(F76,H76),'2. Script '!A:A,1,FALSE),"#")=CONCATENATE(F76,H76),"Y","N")</f>
        <v>N</v>
      </c>
      <c r="M76" t="str">
        <f t="shared" si="3"/>
        <v>N</v>
      </c>
    </row>
    <row r="77" spans="2:13">
      <c r="B77" s="92" t="s">
        <v>125</v>
      </c>
      <c r="C77" s="92" t="s">
        <v>431</v>
      </c>
      <c r="D77" s="92" t="s">
        <v>884</v>
      </c>
      <c r="E77" s="92" t="str">
        <f t="shared" si="4"/>
        <v>INSTR_ACTIVITYDT_RFRNC</v>
      </c>
      <c r="F77" s="90" t="s">
        <v>322</v>
      </c>
      <c r="G77" t="s">
        <v>155</v>
      </c>
      <c r="H77" t="s">
        <v>603</v>
      </c>
      <c r="I77" t="s">
        <v>706</v>
      </c>
      <c r="J77" t="s">
        <v>706</v>
      </c>
      <c r="K77" t="s">
        <v>709</v>
      </c>
      <c r="L77" t="str">
        <f>+IF(IFERROR(VLOOKUP(CONCATENATE(F77,H77),'2. Script '!A:A,1,FALSE),"#")=CONCATENATE(F77,H77),"Y","N")</f>
        <v>N</v>
      </c>
      <c r="M77" t="str">
        <f t="shared" si="3"/>
        <v>N</v>
      </c>
    </row>
    <row r="78" spans="2:13">
      <c r="B78" s="92" t="s">
        <v>125</v>
      </c>
      <c r="C78" s="92" t="s">
        <v>331</v>
      </c>
      <c r="D78" s="92" t="s">
        <v>885</v>
      </c>
      <c r="E78" s="92" t="str">
        <f t="shared" si="4"/>
        <v>INSTR_ACTIVITYINSTRMNT_ID</v>
      </c>
      <c r="F78" s="90" t="s">
        <v>322</v>
      </c>
      <c r="G78" t="s">
        <v>155</v>
      </c>
      <c r="H78" t="s">
        <v>605</v>
      </c>
      <c r="I78" t="s">
        <v>706</v>
      </c>
      <c r="J78" t="s">
        <v>707</v>
      </c>
      <c r="K78" t="s">
        <v>708</v>
      </c>
      <c r="L78" t="str">
        <f>+IF(IFERROR(VLOOKUP(CONCATENATE(F78,H78),'2. Script '!A:A,1,FALSE),"#")=CONCATENATE(F78,H78),"Y","N")</f>
        <v>N</v>
      </c>
      <c r="M78" t="str">
        <f t="shared" si="3"/>
        <v>N</v>
      </c>
    </row>
    <row r="79" spans="2:13">
      <c r="B79" s="92" t="s">
        <v>125</v>
      </c>
      <c r="C79" s="92" t="s">
        <v>550</v>
      </c>
      <c r="D79" s="92" t="s">
        <v>886</v>
      </c>
      <c r="E79" s="92" t="str">
        <f t="shared" si="4"/>
        <v>INSTR_ACTIVITYPRCNTG_ACTVTY</v>
      </c>
      <c r="F79" s="90" t="s">
        <v>322</v>
      </c>
      <c r="G79" t="s">
        <v>155</v>
      </c>
      <c r="H79" t="s">
        <v>594</v>
      </c>
      <c r="I79" t="s">
        <v>707</v>
      </c>
      <c r="J79" t="s">
        <v>707</v>
      </c>
      <c r="K79" t="s">
        <v>705</v>
      </c>
      <c r="L79" t="str">
        <f>+IF(IFERROR(VLOOKUP(CONCATENATE(F79,H79),'2. Script '!A:A,1,FALSE),"#")=CONCATENATE(F79,H79),"Y","N")</f>
        <v>Y</v>
      </c>
      <c r="M79" t="str">
        <f t="shared" si="3"/>
        <v>N</v>
      </c>
    </row>
    <row r="80" spans="2:13">
      <c r="B80" s="92" t="s">
        <v>125</v>
      </c>
      <c r="C80" s="92" t="s">
        <v>551</v>
      </c>
      <c r="D80" s="92" t="s">
        <v>887</v>
      </c>
      <c r="E80" s="92" t="str">
        <f t="shared" si="4"/>
        <v>INSTR_ACTIVITYFLG_SBSTNTL_CNTRBTN</v>
      </c>
      <c r="F80" s="90" t="s">
        <v>322</v>
      </c>
      <c r="G80" t="s">
        <v>155</v>
      </c>
      <c r="H80" t="s">
        <v>710</v>
      </c>
      <c r="I80" t="s">
        <v>707</v>
      </c>
      <c r="J80" t="s">
        <v>707</v>
      </c>
      <c r="K80" t="s">
        <v>705</v>
      </c>
      <c r="L80" t="str">
        <f>+IF(IFERROR(VLOOKUP(CONCATENATE(F80,H80),'2. Script '!A:A,1,FALSE),"#")=CONCATENATE(F80,H80),"Y","N")</f>
        <v>N</v>
      </c>
      <c r="M80" t="str">
        <f t="shared" si="3"/>
        <v>N</v>
      </c>
    </row>
    <row r="81" spans="2:13">
      <c r="B81" s="92" t="s">
        <v>125</v>
      </c>
      <c r="C81" s="92" t="s">
        <v>549</v>
      </c>
      <c r="D81" s="92" t="s">
        <v>888</v>
      </c>
      <c r="E81" s="92" t="str">
        <f t="shared" si="4"/>
        <v>INSTR_ACTIVITYFLG_DNSH_CMPLNC</v>
      </c>
      <c r="F81" s="90" t="s">
        <v>322</v>
      </c>
      <c r="G81" t="s">
        <v>155</v>
      </c>
      <c r="H81" t="s">
        <v>711</v>
      </c>
      <c r="I81" t="s">
        <v>706</v>
      </c>
      <c r="J81" t="s">
        <v>706</v>
      </c>
      <c r="K81" t="s">
        <v>702</v>
      </c>
      <c r="L81" t="str">
        <f>+IF(IFERROR(VLOOKUP(CONCATENATE(F81,H81),'2. Script '!A:A,1,FALSE),"#")=CONCATENATE(F81,H81),"Y","N")</f>
        <v>N</v>
      </c>
      <c r="M81" t="str">
        <f t="shared" si="3"/>
        <v>N</v>
      </c>
    </row>
    <row r="82" spans="2:13">
      <c r="B82" s="92" t="s">
        <v>125</v>
      </c>
      <c r="C82" s="92" t="s">
        <v>332</v>
      </c>
      <c r="D82" s="92" t="s">
        <v>889</v>
      </c>
      <c r="E82" s="92" t="str">
        <f t="shared" si="4"/>
        <v>INSTR_ACTIVITYDNSH_DTL</v>
      </c>
      <c r="F82" s="90" t="s">
        <v>322</v>
      </c>
      <c r="G82" t="s">
        <v>155</v>
      </c>
      <c r="H82" t="s">
        <v>712</v>
      </c>
      <c r="I82" t="s">
        <v>706</v>
      </c>
      <c r="J82" t="s">
        <v>706</v>
      </c>
      <c r="K82" t="s">
        <v>702</v>
      </c>
      <c r="L82" t="str">
        <f>+IF(IFERROR(VLOOKUP(CONCATENATE(F82,H82),'2. Script '!A:A,1,FALSE),"#")=CONCATENATE(F82,H82),"Y","N")</f>
        <v>N</v>
      </c>
      <c r="M82" t="str">
        <f t="shared" si="3"/>
        <v>N</v>
      </c>
    </row>
    <row r="83" spans="2:13">
      <c r="B83" s="92" t="s">
        <v>125</v>
      </c>
      <c r="C83" s="92" t="s">
        <v>501</v>
      </c>
      <c r="D83" s="92" t="s">
        <v>890</v>
      </c>
      <c r="E83" s="92" t="str">
        <f t="shared" si="4"/>
        <v>INSTR_ACTIVITYsstnbl_ctgry</v>
      </c>
      <c r="F83" s="90" t="s">
        <v>322</v>
      </c>
      <c r="G83" t="s">
        <v>155</v>
      </c>
      <c r="H83" t="s">
        <v>713</v>
      </c>
      <c r="I83" t="s">
        <v>704</v>
      </c>
      <c r="J83" t="s">
        <v>704</v>
      </c>
      <c r="K83" t="s">
        <v>705</v>
      </c>
      <c r="L83" t="str">
        <f>+IF(IFERROR(VLOOKUP(CONCATENATE(F83,H83),'2. Script '!A:A,1,FALSE),"#")=CONCATENATE(F83,H83),"Y","N")</f>
        <v>N</v>
      </c>
      <c r="M83" t="str">
        <f t="shared" si="3"/>
        <v>N</v>
      </c>
    </row>
    <row r="84" spans="2:13">
      <c r="B84" s="92" t="s">
        <v>125</v>
      </c>
      <c r="C84" s="92" t="s">
        <v>111</v>
      </c>
      <c r="D84" s="92" t="s">
        <v>891</v>
      </c>
      <c r="E84" s="92" t="str">
        <f t="shared" si="4"/>
        <v>INSTRUMENTgrss_intrst_incm</v>
      </c>
      <c r="F84" s="90" t="s">
        <v>125</v>
      </c>
      <c r="G84" t="s">
        <v>26</v>
      </c>
      <c r="H84" t="s">
        <v>675</v>
      </c>
      <c r="I84" t="s">
        <v>714</v>
      </c>
      <c r="J84" t="s">
        <v>714</v>
      </c>
      <c r="L84" t="str">
        <f>+IF(IFERROR(VLOOKUP(CONCATENATE(F84,H84),'2. Script '!A:A,1,FALSE),"#")=CONCATENATE(F84,H84),"Y","N")</f>
        <v>N</v>
      </c>
      <c r="M84" t="str">
        <f t="shared" si="3"/>
        <v>N</v>
      </c>
    </row>
    <row r="85" spans="2:13">
      <c r="B85" s="92" t="s">
        <v>125</v>
      </c>
      <c r="C85" s="92" t="s">
        <v>553</v>
      </c>
      <c r="D85" s="92" t="s">
        <v>892</v>
      </c>
      <c r="E85" s="92" t="str">
        <f t="shared" si="4"/>
        <v>INSTRUMENTgrss_cmmssn_incm</v>
      </c>
      <c r="F85" s="90" t="s">
        <v>125</v>
      </c>
      <c r="G85" t="s">
        <v>26</v>
      </c>
      <c r="H85" t="s">
        <v>676</v>
      </c>
      <c r="I85" t="s">
        <v>714</v>
      </c>
      <c r="J85" t="s">
        <v>714</v>
      </c>
      <c r="L85" t="str">
        <f>+IF(IFERROR(VLOOKUP(CONCATENATE(F85,H85),'2. Script '!A:A,1,FALSE),"#")=CONCATENATE(F85,H85),"Y","N")</f>
        <v>N</v>
      </c>
      <c r="M85" t="str">
        <f t="shared" si="3"/>
        <v>N</v>
      </c>
    </row>
    <row r="86" spans="2:13">
      <c r="B86" s="92" t="s">
        <v>125</v>
      </c>
      <c r="C86" s="92" t="s">
        <v>104</v>
      </c>
      <c r="D86" s="92" t="s">
        <v>803</v>
      </c>
      <c r="E86" s="92" t="str">
        <f t="shared" si="4"/>
        <v>INSTRUMENTgrss_cmmssn_incm_off_blnc</v>
      </c>
      <c r="F86" s="90" t="s">
        <v>125</v>
      </c>
      <c r="G86" t="s">
        <v>26</v>
      </c>
      <c r="H86" t="s">
        <v>677</v>
      </c>
      <c r="I86" t="s">
        <v>714</v>
      </c>
      <c r="J86" t="s">
        <v>714</v>
      </c>
      <c r="L86" t="str">
        <f>+IF(IFERROR(VLOOKUP(CONCATENATE(F86,H86),'2. Script '!A:A,1,FALSE),"#")=CONCATENATE(F86,H86),"Y","N")</f>
        <v>N</v>
      </c>
      <c r="M86" t="str">
        <f t="shared" si="3"/>
        <v>N</v>
      </c>
    </row>
    <row r="87" spans="2:13">
      <c r="B87" s="92" t="s">
        <v>125</v>
      </c>
      <c r="C87" s="92" t="s">
        <v>533</v>
      </c>
      <c r="D87" s="92" t="s">
        <v>893</v>
      </c>
      <c r="E87" s="92" t="str">
        <f t="shared" si="4"/>
        <v>INSTRUMENTidcmb</v>
      </c>
      <c r="F87" s="90" t="s">
        <v>125</v>
      </c>
      <c r="G87" t="s">
        <v>26</v>
      </c>
      <c r="H87" t="s">
        <v>678</v>
      </c>
      <c r="I87" t="s">
        <v>700</v>
      </c>
      <c r="J87" t="s">
        <v>700</v>
      </c>
      <c r="L87" t="str">
        <f>+IF(IFERROR(VLOOKUP(CONCATENATE(F87,H87),'2. Script '!A:A,1,FALSE),"#")=CONCATENATE(F87,H87),"Y","N")</f>
        <v>Y</v>
      </c>
      <c r="M87" t="str">
        <f t="shared" si="3"/>
        <v>Y</v>
      </c>
    </row>
    <row r="88" spans="2:13">
      <c r="B88" s="92" t="s">
        <v>125</v>
      </c>
      <c r="C88" s="92" t="s">
        <v>534</v>
      </c>
      <c r="D88" s="92" t="s">
        <v>894</v>
      </c>
      <c r="E88" s="92" t="str">
        <f t="shared" si="4"/>
        <v>INSTRUMENTFRBRNC_STTS_INSTRMNT</v>
      </c>
      <c r="F88" s="90" t="s">
        <v>125</v>
      </c>
      <c r="G88" t="s">
        <v>26</v>
      </c>
      <c r="H88" t="s">
        <v>429</v>
      </c>
      <c r="I88" t="s">
        <v>706</v>
      </c>
      <c r="J88" t="s">
        <v>706</v>
      </c>
      <c r="K88" t="s">
        <v>702</v>
      </c>
      <c r="L88" t="str">
        <f>+IF(IFERROR(VLOOKUP(CONCATENATE(F88,H88),'2. Script '!A:A,1,FALSE),"#")=CONCATENATE(F88,H88),"Y","N")</f>
        <v>Y</v>
      </c>
      <c r="M88" t="str">
        <f t="shared" si="3"/>
        <v>Y</v>
      </c>
    </row>
    <row r="89" spans="2:13">
      <c r="B89" s="92" t="s">
        <v>125</v>
      </c>
      <c r="C89" s="92" t="s">
        <v>535</v>
      </c>
      <c r="D89" s="92" t="s">
        <v>895</v>
      </c>
      <c r="E89" s="92" t="str">
        <f t="shared" si="4"/>
        <v>INSTRUMENTINTRNL_SGMNT</v>
      </c>
      <c r="F89" s="90" t="s">
        <v>125</v>
      </c>
      <c r="G89" t="s">
        <v>26</v>
      </c>
      <c r="H89" t="s">
        <v>331</v>
      </c>
      <c r="I89" t="s">
        <v>706</v>
      </c>
      <c r="J89" t="s">
        <v>706</v>
      </c>
      <c r="K89" t="s">
        <v>709</v>
      </c>
      <c r="L89" t="str">
        <f>+IF(IFERROR(VLOOKUP(CONCATENATE(F89,H89),'2. Script '!A:A,1,FALSE),"#")=CONCATENATE(F89,H89),"Y","N")</f>
        <v>N</v>
      </c>
      <c r="M89" t="str">
        <f t="shared" si="3"/>
        <v>Y</v>
      </c>
    </row>
    <row r="90" spans="2:13">
      <c r="B90" s="92" t="s">
        <v>125</v>
      </c>
      <c r="C90" s="92" t="s">
        <v>105</v>
      </c>
      <c r="D90" s="92" t="s">
        <v>804</v>
      </c>
      <c r="E90" s="92" t="str">
        <f t="shared" si="4"/>
        <v>INSTRUMENTDT_ORGNL_MTRTY</v>
      </c>
      <c r="F90" s="90" t="s">
        <v>125</v>
      </c>
      <c r="G90" t="s">
        <v>26</v>
      </c>
      <c r="H90" t="s">
        <v>455</v>
      </c>
      <c r="I90" t="s">
        <v>706</v>
      </c>
      <c r="J90" t="s">
        <v>706</v>
      </c>
      <c r="K90" t="s">
        <v>709</v>
      </c>
      <c r="L90" t="str">
        <f>+IF(IFERROR(VLOOKUP(CONCATENATE(F90,H90),'2. Script '!A:A,1,FALSE),"#")=CONCATENATE(F90,H90),"Y","N")</f>
        <v>N</v>
      </c>
      <c r="M90" t="str">
        <f t="shared" si="3"/>
        <v>N</v>
      </c>
    </row>
    <row r="91" spans="2:13">
      <c r="B91" s="92" t="s">
        <v>125</v>
      </c>
      <c r="C91" s="92" t="s">
        <v>536</v>
      </c>
      <c r="D91" s="92" t="s">
        <v>896</v>
      </c>
      <c r="E91" s="92" t="str">
        <f t="shared" si="4"/>
        <v>INSTRUMENTEAD</v>
      </c>
      <c r="F91" s="90" t="s">
        <v>125</v>
      </c>
      <c r="G91" t="s">
        <v>26</v>
      </c>
      <c r="H91" t="s">
        <v>457</v>
      </c>
      <c r="I91" t="s">
        <v>706</v>
      </c>
      <c r="J91" t="s">
        <v>706</v>
      </c>
      <c r="K91" t="s">
        <v>709</v>
      </c>
      <c r="L91" t="str">
        <f>+IF(IFERROR(VLOOKUP(CONCATENATE(F91,H91),'2. Script '!A:A,1,FALSE),"#")=CONCATENATE(F91,H91),"Y","N")</f>
        <v>N</v>
      </c>
      <c r="M91" t="str">
        <f t="shared" si="3"/>
        <v>N</v>
      </c>
    </row>
    <row r="92" spans="2:13">
      <c r="B92" s="92" t="s">
        <v>125</v>
      </c>
      <c r="C92" s="92" t="s">
        <v>537</v>
      </c>
      <c r="D92" s="92" t="s">
        <v>897</v>
      </c>
      <c r="E92" s="92" t="str">
        <f t="shared" si="4"/>
        <v>INSTRUMENTOFF_BLNC_SHT_AMNT_INSTRMNT</v>
      </c>
      <c r="F92" s="90" t="s">
        <v>125</v>
      </c>
      <c r="G92" t="s">
        <v>26</v>
      </c>
      <c r="H92" t="s">
        <v>461</v>
      </c>
      <c r="I92" t="s">
        <v>706</v>
      </c>
      <c r="J92" t="s">
        <v>707</v>
      </c>
      <c r="K92" t="s">
        <v>708</v>
      </c>
      <c r="L92" t="str">
        <f>+IF(IFERROR(VLOOKUP(CONCATENATE(F92,H92),'2. Script '!A:A,1,FALSE),"#")=CONCATENATE(F92,H92),"Y","N")</f>
        <v>N</v>
      </c>
      <c r="M92" t="str">
        <f t="shared" si="3"/>
        <v>Y</v>
      </c>
    </row>
    <row r="93" spans="2:13">
      <c r="B93" s="92" t="s">
        <v>125</v>
      </c>
      <c r="C93" s="92" t="s">
        <v>538</v>
      </c>
      <c r="D93" s="92" t="s">
        <v>898</v>
      </c>
      <c r="E93" s="92" t="str">
        <f t="shared" si="4"/>
        <v>INSTRUMENTRWA</v>
      </c>
      <c r="F93" s="90" t="s">
        <v>125</v>
      </c>
      <c r="G93" t="s">
        <v>26</v>
      </c>
      <c r="H93" t="s">
        <v>468</v>
      </c>
      <c r="I93" t="s">
        <v>706</v>
      </c>
      <c r="J93" t="s">
        <v>706</v>
      </c>
      <c r="K93" t="s">
        <v>709</v>
      </c>
      <c r="L93" t="str">
        <f>+IF(IFERROR(VLOOKUP(CONCATENATE(F93,H93),'2. Script '!A:A,1,FALSE),"#")=CONCATENATE(F93,H93),"Y","N")</f>
        <v>N</v>
      </c>
      <c r="M93" t="str">
        <f t="shared" si="3"/>
        <v>Y</v>
      </c>
    </row>
    <row r="94" spans="2:13">
      <c r="B94" s="92" t="s">
        <v>125</v>
      </c>
      <c r="C94" s="92" t="s">
        <v>109</v>
      </c>
      <c r="D94" s="92" t="s">
        <v>806</v>
      </c>
      <c r="E94" s="92" t="str">
        <f t="shared" si="4"/>
        <v>INSTRUMENTLTV</v>
      </c>
      <c r="F94" s="90" t="s">
        <v>125</v>
      </c>
      <c r="G94" t="s">
        <v>26</v>
      </c>
      <c r="H94" t="s">
        <v>489</v>
      </c>
      <c r="I94" t="s">
        <v>706</v>
      </c>
      <c r="J94" t="s">
        <v>706</v>
      </c>
      <c r="K94" t="s">
        <v>709</v>
      </c>
      <c r="L94" t="str">
        <f>+IF(IFERROR(VLOOKUP(CONCATENATE(F94,H94),'2. Script '!A:A,1,FALSE),"#")=CONCATENATE(F94,H94),"Y","N")</f>
        <v>Y</v>
      </c>
      <c r="M94" t="str">
        <f t="shared" si="3"/>
        <v>Y</v>
      </c>
    </row>
    <row r="95" spans="2:13">
      <c r="B95" s="92" t="s">
        <v>125</v>
      </c>
      <c r="C95" s="92" t="s">
        <v>539</v>
      </c>
      <c r="D95" s="92" t="s">
        <v>899</v>
      </c>
      <c r="E95" s="92" t="str">
        <f t="shared" si="4"/>
        <v>INSTRUMENTLTV_INCPTN</v>
      </c>
      <c r="F95" s="90" t="s">
        <v>125</v>
      </c>
      <c r="G95" t="s">
        <v>26</v>
      </c>
      <c r="H95" t="s">
        <v>490</v>
      </c>
      <c r="I95" t="s">
        <v>706</v>
      </c>
      <c r="J95" t="s">
        <v>706</v>
      </c>
      <c r="K95" t="s">
        <v>709</v>
      </c>
      <c r="L95" t="str">
        <f>+IF(IFERROR(VLOOKUP(CONCATENATE(F95,H95),'2. Script '!A:A,1,FALSE),"#")=CONCATENATE(F95,H95),"Y","N")</f>
        <v>Y</v>
      </c>
      <c r="M95" t="str">
        <f t="shared" si="3"/>
        <v>Y</v>
      </c>
    </row>
    <row r="96" spans="2:13">
      <c r="B96" s="92" t="s">
        <v>125</v>
      </c>
      <c r="C96" s="92" t="s">
        <v>432</v>
      </c>
      <c r="D96" s="92" t="s">
        <v>900</v>
      </c>
      <c r="E96" s="92" t="str">
        <f t="shared" si="4"/>
        <v>INSTRUMENTEIR</v>
      </c>
      <c r="F96" s="90" t="s">
        <v>125</v>
      </c>
      <c r="G96" t="s">
        <v>26</v>
      </c>
      <c r="H96" t="s">
        <v>499</v>
      </c>
      <c r="I96" t="s">
        <v>706</v>
      </c>
      <c r="J96" t="s">
        <v>706</v>
      </c>
      <c r="K96" t="s">
        <v>709</v>
      </c>
      <c r="L96" t="str">
        <f>+IF(IFERROR(VLOOKUP(CONCATENATE(F96,H96),'2. Script '!A:A,1,FALSE),"#")=CONCATENATE(F96,H96),"Y","N")</f>
        <v>N</v>
      </c>
      <c r="M96" t="str">
        <f t="shared" si="3"/>
        <v>N</v>
      </c>
    </row>
    <row r="97" spans="2:13">
      <c r="B97" s="92" t="s">
        <v>125</v>
      </c>
      <c r="C97" s="92" t="s">
        <v>488</v>
      </c>
      <c r="D97" s="92" t="s">
        <v>901</v>
      </c>
      <c r="E97" s="92" t="str">
        <f t="shared" si="4"/>
        <v>INSTRUMENTEIR_INCPTN</v>
      </c>
      <c r="F97" s="90" t="s">
        <v>125</v>
      </c>
      <c r="G97" t="s">
        <v>26</v>
      </c>
      <c r="H97" t="s">
        <v>500</v>
      </c>
      <c r="I97" t="s">
        <v>706</v>
      </c>
      <c r="J97" t="s">
        <v>706</v>
      </c>
      <c r="K97" t="s">
        <v>709</v>
      </c>
      <c r="L97" t="str">
        <f>+IF(IFERROR(VLOOKUP(CONCATENATE(F97,H97),'2. Script '!A:A,1,FALSE),"#")=CONCATENATE(F97,H97),"Y","N")</f>
        <v>Y</v>
      </c>
      <c r="M97" t="str">
        <f t="shared" si="3"/>
        <v>N</v>
      </c>
    </row>
    <row r="98" spans="2:13">
      <c r="B98" s="92" t="s">
        <v>125</v>
      </c>
      <c r="C98" s="92" t="s">
        <v>433</v>
      </c>
      <c r="D98" s="92" t="s">
        <v>902</v>
      </c>
      <c r="E98" s="92" t="str">
        <f t="shared" si="4"/>
        <v>INSTRUMENTINTRNL_SGMNT_CAT_MSTA</v>
      </c>
      <c r="F98" s="90" t="s">
        <v>125</v>
      </c>
      <c r="G98" t="s">
        <v>26</v>
      </c>
      <c r="H98" t="s">
        <v>550</v>
      </c>
      <c r="I98" t="s">
        <v>706</v>
      </c>
      <c r="J98" t="s">
        <v>706</v>
      </c>
      <c r="K98" t="s">
        <v>709</v>
      </c>
      <c r="L98" t="str">
        <f>+IF(IFERROR(VLOOKUP(CONCATENATE(F98,H98),'2. Script '!A:A,1,FALSE),"#")=CONCATENATE(F98,H98),"Y","N")</f>
        <v>N</v>
      </c>
      <c r="M98" t="str">
        <f t="shared" si="3"/>
        <v>Y</v>
      </c>
    </row>
    <row r="99" spans="2:13">
      <c r="B99" s="92" t="s">
        <v>125</v>
      </c>
      <c r="C99" s="92" t="s">
        <v>434</v>
      </c>
      <c r="D99" s="92" t="s">
        <v>903</v>
      </c>
      <c r="E99" s="92" t="str">
        <f t="shared" si="4"/>
        <v>INSTRUMENTINTRNL_SGMNT_CATGSUB</v>
      </c>
      <c r="F99" s="90" t="s">
        <v>125</v>
      </c>
      <c r="G99" t="s">
        <v>26</v>
      </c>
      <c r="H99" t="s">
        <v>551</v>
      </c>
      <c r="I99" t="s">
        <v>706</v>
      </c>
      <c r="J99" t="s">
        <v>706</v>
      </c>
      <c r="K99" t="s">
        <v>709</v>
      </c>
      <c r="L99" t="str">
        <f>+IF(IFERROR(VLOOKUP(CONCATENATE(F99,H99),'2. Script '!A:A,1,FALSE),"#")=CONCATENATE(F99,H99),"Y","N")</f>
        <v>N</v>
      </c>
      <c r="M99" t="str">
        <f t="shared" ref="M99:M130" si="5">+IF(IFERROR(VLOOKUP(CONCATENATE(F99,H99),D:D,1,FALSE),"#")=CONCATENATE(F99,H99),"Y","N")</f>
        <v>Y</v>
      </c>
    </row>
    <row r="100" spans="2:13">
      <c r="B100" s="92" t="s">
        <v>125</v>
      </c>
      <c r="C100" s="92" t="s">
        <v>556</v>
      </c>
      <c r="D100" s="92" t="s">
        <v>904</v>
      </c>
      <c r="E100" s="92" t="str">
        <f t="shared" si="4"/>
        <v>INSTRUMENTNW_BSNSS</v>
      </c>
      <c r="F100" s="90" t="s">
        <v>125</v>
      </c>
      <c r="G100" t="s">
        <v>26</v>
      </c>
      <c r="H100" t="s">
        <v>715</v>
      </c>
      <c r="I100" t="s">
        <v>707</v>
      </c>
      <c r="J100" t="s">
        <v>707</v>
      </c>
      <c r="K100" t="s">
        <v>705</v>
      </c>
      <c r="L100" t="str">
        <f>+IF(IFERROR(VLOOKUP(CONCATENATE(F100,H100),'2. Script '!A:A,1,FALSE),"#")=CONCATENATE(F100,H100),"Y","N")</f>
        <v>N</v>
      </c>
      <c r="M100" t="str">
        <f t="shared" si="5"/>
        <v>N</v>
      </c>
    </row>
    <row r="101" spans="2:13">
      <c r="B101" s="92" t="s">
        <v>125</v>
      </c>
      <c r="C101" s="92" t="s">
        <v>558</v>
      </c>
      <c r="D101" s="92" t="s">
        <v>905</v>
      </c>
      <c r="E101" s="92" t="str">
        <f t="shared" si="4"/>
        <v>INSTRUMENTCNCLLD_INSTRMNT_STTS</v>
      </c>
      <c r="F101" s="90" t="s">
        <v>125</v>
      </c>
      <c r="G101" t="s">
        <v>26</v>
      </c>
      <c r="H101" t="s">
        <v>716</v>
      </c>
      <c r="I101" t="s">
        <v>707</v>
      </c>
      <c r="J101" t="s">
        <v>707</v>
      </c>
      <c r="K101" t="s">
        <v>705</v>
      </c>
      <c r="L101" t="str">
        <f>+IF(IFERROR(VLOOKUP(CONCATENATE(F101,H101),'2. Script '!A:A,1,FALSE),"#")=CONCATENATE(F101,H101),"Y","N")</f>
        <v>N</v>
      </c>
      <c r="M101" t="str">
        <f t="shared" si="5"/>
        <v>N</v>
      </c>
    </row>
    <row r="102" spans="2:13">
      <c r="B102" s="92" t="s">
        <v>125</v>
      </c>
      <c r="C102" s="92" t="s">
        <v>489</v>
      </c>
      <c r="D102" s="92" t="s">
        <v>800</v>
      </c>
      <c r="E102" s="92" t="str">
        <f t="shared" si="4"/>
        <v>INSTRUMENTTYP_OFF_BLNC_PRDCT</v>
      </c>
      <c r="F102" s="90" t="s">
        <v>125</v>
      </c>
      <c r="G102" t="s">
        <v>26</v>
      </c>
      <c r="H102" t="s">
        <v>560</v>
      </c>
      <c r="I102" t="s">
        <v>706</v>
      </c>
      <c r="J102" t="s">
        <v>707</v>
      </c>
      <c r="K102" t="s">
        <v>717</v>
      </c>
      <c r="L102" t="str">
        <f>+IF(IFERROR(VLOOKUP(CONCATENATE(F102,H102),'2. Script '!A:A,1,FALSE),"#")=CONCATENATE(F102,H102),"Y","N")</f>
        <v>Y</v>
      </c>
      <c r="M102" t="str">
        <f t="shared" si="5"/>
        <v>N</v>
      </c>
    </row>
    <row r="103" spans="2:13">
      <c r="B103" s="92" t="s">
        <v>125</v>
      </c>
      <c r="C103" s="92" t="s">
        <v>490</v>
      </c>
      <c r="D103" s="92" t="s">
        <v>801</v>
      </c>
      <c r="E103" s="92" t="str">
        <f t="shared" si="4"/>
        <v>INSTRUMENTFLG_MNMM_SFGRDS</v>
      </c>
      <c r="F103" s="90" t="s">
        <v>125</v>
      </c>
      <c r="G103" t="s">
        <v>26</v>
      </c>
      <c r="H103" t="s">
        <v>718</v>
      </c>
      <c r="I103" t="s">
        <v>706</v>
      </c>
      <c r="J103" t="s">
        <v>706</v>
      </c>
      <c r="K103" t="s">
        <v>702</v>
      </c>
      <c r="L103" t="str">
        <f>+IF(IFERROR(VLOOKUP(CONCATENATE(F103,H103),'2. Script '!A:A,1,FALSE),"#")=CONCATENATE(F103,H103),"Y","N")</f>
        <v>N</v>
      </c>
      <c r="M103" t="str">
        <f t="shared" si="5"/>
        <v>N</v>
      </c>
    </row>
    <row r="104" spans="2:13">
      <c r="B104" s="92" t="s">
        <v>125</v>
      </c>
      <c r="C104" s="92" t="s">
        <v>491</v>
      </c>
      <c r="D104" s="92" t="s">
        <v>906</v>
      </c>
      <c r="E104" s="92" t="str">
        <f t="shared" si="4"/>
        <v>ENTITYcntry</v>
      </c>
      <c r="F104" s="90" t="s">
        <v>126</v>
      </c>
      <c r="G104" t="s">
        <v>27</v>
      </c>
      <c r="H104" t="s">
        <v>679</v>
      </c>
      <c r="I104" t="s">
        <v>700</v>
      </c>
      <c r="J104" t="s">
        <v>700</v>
      </c>
      <c r="L104" t="str">
        <f>+IF(IFERROR(VLOOKUP(CONCATENATE(F104,H104),'2. Script '!A:A,1,FALSE),"#")=CONCATENATE(F104,H104),"Y","N")</f>
        <v>Y</v>
      </c>
      <c r="M104" t="str">
        <f t="shared" si="5"/>
        <v>Y</v>
      </c>
    </row>
    <row r="105" spans="2:13">
      <c r="B105" s="92" t="s">
        <v>125</v>
      </c>
      <c r="C105" s="92" t="s">
        <v>548</v>
      </c>
      <c r="D105" s="92" t="s">
        <v>907</v>
      </c>
      <c r="E105" s="92" t="str">
        <f t="shared" si="4"/>
        <v>ENTITYdt_rfrnc</v>
      </c>
      <c r="F105" s="90" t="s">
        <v>126</v>
      </c>
      <c r="G105" t="s">
        <v>27</v>
      </c>
      <c r="H105" t="s">
        <v>657</v>
      </c>
      <c r="I105" t="s">
        <v>700</v>
      </c>
      <c r="J105" t="s">
        <v>700</v>
      </c>
      <c r="L105" t="str">
        <f>+IF(IFERROR(VLOOKUP(CONCATENATE(F105,H105),'2. Script '!A:A,1,FALSE),"#")=CONCATENATE(F105,H105),"Y","N")</f>
        <v>N</v>
      </c>
      <c r="M105" t="str">
        <f t="shared" si="5"/>
        <v>Y</v>
      </c>
    </row>
    <row r="106" spans="2:13">
      <c r="B106" s="92" t="s">
        <v>125</v>
      </c>
      <c r="C106" s="92" t="s">
        <v>520</v>
      </c>
      <c r="D106" s="92" t="s">
        <v>908</v>
      </c>
      <c r="E106" s="92" t="str">
        <f t="shared" si="4"/>
        <v>ENTITYentty_id</v>
      </c>
      <c r="F106" s="90" t="s">
        <v>126</v>
      </c>
      <c r="G106" t="s">
        <v>27</v>
      </c>
      <c r="H106" t="s">
        <v>28</v>
      </c>
      <c r="I106" t="s">
        <v>700</v>
      </c>
      <c r="J106" t="s">
        <v>700</v>
      </c>
      <c r="L106" t="str">
        <f>+IF(IFERROR(VLOOKUP(CONCATENATE(F106,H106),'2. Script '!A:A,1,FALSE),"#")=CONCATENATE(F106,H106),"Y","N")</f>
        <v>N</v>
      </c>
      <c r="M106" t="str">
        <f t="shared" si="5"/>
        <v>Y</v>
      </c>
    </row>
    <row r="107" spans="2:13">
      <c r="B107" s="92" t="s">
        <v>125</v>
      </c>
      <c r="C107" s="92" t="s">
        <v>514</v>
      </c>
      <c r="D107" s="92" t="s">
        <v>909</v>
      </c>
      <c r="E107" s="92" t="str">
        <f t="shared" si="4"/>
        <v>ENTITYlei</v>
      </c>
      <c r="F107" s="90" t="s">
        <v>126</v>
      </c>
      <c r="G107" t="s">
        <v>27</v>
      </c>
      <c r="H107" t="s">
        <v>680</v>
      </c>
      <c r="I107" t="s">
        <v>700</v>
      </c>
      <c r="J107" t="s">
        <v>700</v>
      </c>
      <c r="L107" t="str">
        <f>+IF(IFERROR(VLOOKUP(CONCATENATE(F107,H107),'2. Script '!A:A,1,FALSE),"#")=CONCATENATE(F107,H107),"Y","N")</f>
        <v>Y</v>
      </c>
      <c r="M107" t="str">
        <f t="shared" si="5"/>
        <v>Y</v>
      </c>
    </row>
    <row r="108" spans="2:13">
      <c r="B108" s="92" t="s">
        <v>125</v>
      </c>
      <c r="C108" s="92" t="s">
        <v>486</v>
      </c>
      <c r="D108" s="92" t="s">
        <v>910</v>
      </c>
      <c r="E108" s="92" t="str">
        <f t="shared" si="4"/>
        <v>ENTITYecnmc_actvty</v>
      </c>
      <c r="F108" s="90" t="s">
        <v>126</v>
      </c>
      <c r="G108" t="s">
        <v>27</v>
      </c>
      <c r="H108" t="s">
        <v>681</v>
      </c>
      <c r="I108" t="s">
        <v>700</v>
      </c>
      <c r="J108" t="s">
        <v>700</v>
      </c>
      <c r="L108" t="str">
        <f>+IF(IFERROR(VLOOKUP(CONCATENATE(F108,H108),'2. Script '!A:A,1,FALSE),"#")=CONCATENATE(F108,H108),"Y","N")</f>
        <v>Y</v>
      </c>
      <c r="M108" t="str">
        <f t="shared" si="5"/>
        <v>Y</v>
      </c>
    </row>
    <row r="109" spans="2:13">
      <c r="B109" s="92" t="s">
        <v>125</v>
      </c>
      <c r="C109" s="92" t="s">
        <v>416</v>
      </c>
      <c r="D109" s="92" t="s">
        <v>911</v>
      </c>
      <c r="E109" s="92" t="str">
        <f t="shared" si="4"/>
        <v>ENTITYgrp_eqty</v>
      </c>
      <c r="F109" s="90" t="s">
        <v>126</v>
      </c>
      <c r="G109" t="s">
        <v>27</v>
      </c>
      <c r="H109" t="s">
        <v>682</v>
      </c>
      <c r="I109" t="s">
        <v>700</v>
      </c>
      <c r="J109" t="s">
        <v>700</v>
      </c>
      <c r="L109" t="str">
        <f>+IF(IFERROR(VLOOKUP(CONCATENATE(F109,H109),'2. Script '!A:A,1,FALSE),"#")=CONCATENATE(F109,H109),"Y","N")</f>
        <v>Y</v>
      </c>
      <c r="M109" t="str">
        <f t="shared" si="5"/>
        <v>Y</v>
      </c>
    </row>
    <row r="110" spans="2:13">
      <c r="B110" s="92" t="s">
        <v>125</v>
      </c>
      <c r="C110" s="92" t="s">
        <v>417</v>
      </c>
      <c r="D110" s="92" t="s">
        <v>912</v>
      </c>
      <c r="E110" s="92" t="str">
        <f t="shared" si="4"/>
        <v>ENTITYannl_trnvr_le</v>
      </c>
      <c r="F110" s="90" t="s">
        <v>126</v>
      </c>
      <c r="G110" t="s">
        <v>27</v>
      </c>
      <c r="H110" t="s">
        <v>683</v>
      </c>
      <c r="I110" t="s">
        <v>700</v>
      </c>
      <c r="J110" t="s">
        <v>700</v>
      </c>
      <c r="L110" t="str">
        <f>+IF(IFERROR(VLOOKUP(CONCATENATE(F110,H110),'2. Script '!A:A,1,FALSE),"#")=CONCATENATE(F110,H110),"Y","N")</f>
        <v>Y</v>
      </c>
      <c r="M110" t="str">
        <f t="shared" si="5"/>
        <v>Y</v>
      </c>
    </row>
    <row r="111" spans="2:13">
      <c r="B111" s="92" t="s">
        <v>125</v>
      </c>
      <c r="C111" s="92" t="s">
        <v>461</v>
      </c>
      <c r="D111" s="92" t="s">
        <v>913</v>
      </c>
      <c r="E111" s="92" t="str">
        <f t="shared" si="4"/>
        <v>ENTITYeqty</v>
      </c>
      <c r="F111" s="90" t="s">
        <v>126</v>
      </c>
      <c r="G111" t="s">
        <v>27</v>
      </c>
      <c r="H111" t="s">
        <v>684</v>
      </c>
      <c r="I111" t="s">
        <v>700</v>
      </c>
      <c r="J111" t="s">
        <v>700</v>
      </c>
      <c r="L111" t="str">
        <f>+IF(IFERROR(VLOOKUP(CONCATENATE(F111,H111),'2. Script '!A:A,1,FALSE),"#")=CONCATENATE(F111,H111),"Y","N")</f>
        <v>Y</v>
      </c>
      <c r="M111" t="str">
        <f t="shared" si="5"/>
        <v>Y</v>
      </c>
    </row>
    <row r="112" spans="2:13">
      <c r="B112" s="92" t="s">
        <v>125</v>
      </c>
      <c r="C112" s="92" t="s">
        <v>462</v>
      </c>
      <c r="D112" s="92" t="s">
        <v>914</v>
      </c>
      <c r="E112" s="92" t="str">
        <f t="shared" si="4"/>
        <v>ENTITYgrp_ttl_dbt</v>
      </c>
      <c r="F112" s="90" t="s">
        <v>126</v>
      </c>
      <c r="G112" t="s">
        <v>27</v>
      </c>
      <c r="H112" t="s">
        <v>685</v>
      </c>
      <c r="I112" t="s">
        <v>700</v>
      </c>
      <c r="J112" t="s">
        <v>700</v>
      </c>
      <c r="L112" t="str">
        <f>+IF(IFERROR(VLOOKUP(CONCATENATE(F112,H112),'2. Script '!A:A,1,FALSE),"#")=CONCATENATE(F112,H112),"Y","N")</f>
        <v>Y</v>
      </c>
      <c r="M112" t="str">
        <f t="shared" si="5"/>
        <v>Y</v>
      </c>
    </row>
    <row r="113" spans="2:13">
      <c r="B113" s="92" t="s">
        <v>125</v>
      </c>
      <c r="C113" s="92" t="s">
        <v>463</v>
      </c>
      <c r="D113" s="92" t="s">
        <v>915</v>
      </c>
      <c r="E113" s="92" t="str">
        <f t="shared" si="4"/>
        <v>ENTITYttl_dbt</v>
      </c>
      <c r="F113" s="90" t="s">
        <v>126</v>
      </c>
      <c r="G113" t="s">
        <v>27</v>
      </c>
      <c r="H113" t="s">
        <v>686</v>
      </c>
      <c r="I113" t="s">
        <v>700</v>
      </c>
      <c r="J113" t="s">
        <v>700</v>
      </c>
      <c r="L113" t="str">
        <f>+IF(IFERROR(VLOOKUP(CONCATENATE(F113,H113),'2. Script '!A:A,1,FALSE),"#")=CONCATENATE(F113,H113),"Y","N")</f>
        <v>Y</v>
      </c>
      <c r="M113" t="str">
        <f t="shared" si="5"/>
        <v>Y</v>
      </c>
    </row>
    <row r="114" spans="2:13">
      <c r="B114" s="92" t="s">
        <v>125</v>
      </c>
      <c r="C114" s="92" t="s">
        <v>464</v>
      </c>
      <c r="D114" s="92" t="s">
        <v>916</v>
      </c>
      <c r="E114" s="92" t="str">
        <f t="shared" si="4"/>
        <v>ENTITYcod_soc</v>
      </c>
      <c r="F114" s="90" t="s">
        <v>126</v>
      </c>
      <c r="G114" t="s">
        <v>27</v>
      </c>
      <c r="H114" t="s">
        <v>673</v>
      </c>
      <c r="I114" t="s">
        <v>700</v>
      </c>
      <c r="J114" t="s">
        <v>700</v>
      </c>
      <c r="L114" t="str">
        <f>+IF(IFERROR(VLOOKUP(CONCATENATE(F114,H114),'2. Script '!A:A,1,FALSE),"#")=CONCATENATE(F114,H114),"Y","N")</f>
        <v>Y</v>
      </c>
      <c r="M114" t="str">
        <f t="shared" si="5"/>
        <v>Y</v>
      </c>
    </row>
    <row r="115" spans="2:13">
      <c r="B115" s="92" t="s">
        <v>125</v>
      </c>
      <c r="C115" s="92" t="s">
        <v>524</v>
      </c>
      <c r="D115" s="92" t="s">
        <v>917</v>
      </c>
      <c r="E115" s="92" t="str">
        <f t="shared" si="4"/>
        <v>ENTITYentty_nm</v>
      </c>
      <c r="F115" s="90" t="s">
        <v>126</v>
      </c>
      <c r="G115" t="s">
        <v>27</v>
      </c>
      <c r="H115" t="s">
        <v>719</v>
      </c>
      <c r="I115" t="s">
        <v>706</v>
      </c>
      <c r="J115" t="s">
        <v>706</v>
      </c>
      <c r="K115" t="s">
        <v>709</v>
      </c>
      <c r="L115" t="str">
        <f>+IF(IFERROR(VLOOKUP(CONCATENATE(F115,H115),'2. Script '!A:A,1,FALSE),"#")=CONCATENATE(F115,H115),"Y","N")</f>
        <v>Y</v>
      </c>
      <c r="M115" t="str">
        <f t="shared" si="5"/>
        <v>Y</v>
      </c>
    </row>
    <row r="116" spans="2:13">
      <c r="B116" s="92" t="s">
        <v>125</v>
      </c>
      <c r="C116" s="92" t="s">
        <v>492</v>
      </c>
      <c r="D116" s="92" t="s">
        <v>918</v>
      </c>
      <c r="E116" s="92" t="str">
        <f t="shared" si="4"/>
        <v>ENTITYec_grp_id</v>
      </c>
      <c r="F116" s="90" t="s">
        <v>126</v>
      </c>
      <c r="G116" t="s">
        <v>27</v>
      </c>
      <c r="H116" t="s">
        <v>720</v>
      </c>
      <c r="I116" t="s">
        <v>706</v>
      </c>
      <c r="J116" t="s">
        <v>707</v>
      </c>
      <c r="K116" t="s">
        <v>708</v>
      </c>
      <c r="L116" t="str">
        <f>+IF(IFERROR(VLOOKUP(CONCATENATE(F116,H116),'2. Script '!A:A,1,FALSE),"#")=CONCATENATE(F116,H116),"Y","N")</f>
        <v>N</v>
      </c>
      <c r="M116" t="str">
        <f t="shared" si="5"/>
        <v>Y</v>
      </c>
    </row>
    <row r="117" spans="2:13">
      <c r="B117" s="92" t="s">
        <v>125</v>
      </c>
      <c r="C117" s="92" t="s">
        <v>393</v>
      </c>
      <c r="D117" s="92" t="s">
        <v>919</v>
      </c>
      <c r="E117" s="92" t="str">
        <f t="shared" si="4"/>
        <v>ENTITYec_grp_nm</v>
      </c>
      <c r="F117" s="90" t="s">
        <v>126</v>
      </c>
      <c r="G117" t="s">
        <v>27</v>
      </c>
      <c r="H117" t="s">
        <v>721</v>
      </c>
      <c r="I117" t="s">
        <v>706</v>
      </c>
      <c r="J117" t="s">
        <v>707</v>
      </c>
      <c r="K117" t="s">
        <v>708</v>
      </c>
      <c r="L117" t="str">
        <f>+IF(IFERROR(VLOOKUP(CONCATENATE(F117,H117),'2. Script '!A:A,1,FALSE),"#")=CONCATENATE(F117,H117),"Y","N")</f>
        <v>Y</v>
      </c>
      <c r="M117" t="str">
        <f t="shared" si="5"/>
        <v>Y</v>
      </c>
    </row>
    <row r="118" spans="2:13">
      <c r="B118" s="92" t="s">
        <v>125</v>
      </c>
      <c r="C118" s="92" t="s">
        <v>400</v>
      </c>
      <c r="D118" s="92" t="s">
        <v>920</v>
      </c>
      <c r="E118" s="92" t="str">
        <f t="shared" si="4"/>
        <v>ENTITYgrp_ecnmc_actvty</v>
      </c>
      <c r="F118" s="90" t="s">
        <v>126</v>
      </c>
      <c r="G118" t="s">
        <v>27</v>
      </c>
      <c r="H118" t="s">
        <v>722</v>
      </c>
      <c r="I118" t="s">
        <v>707</v>
      </c>
      <c r="J118" t="s">
        <v>707</v>
      </c>
      <c r="K118" t="s">
        <v>705</v>
      </c>
      <c r="L118" t="str">
        <f>+IF(IFERROR(VLOOKUP(CONCATENATE(F118,H118),'2. Script '!A:A,1,FALSE),"#")=CONCATENATE(F118,H118),"Y","N")</f>
        <v>N</v>
      </c>
      <c r="M118" t="str">
        <f t="shared" si="5"/>
        <v>N</v>
      </c>
    </row>
    <row r="119" spans="2:13">
      <c r="B119" s="92" t="s">
        <v>125</v>
      </c>
      <c r="C119" s="92" t="s">
        <v>493</v>
      </c>
      <c r="D119" s="92" t="s">
        <v>921</v>
      </c>
      <c r="E119" s="92" t="str">
        <f t="shared" si="4"/>
        <v>ENTITYtxnmy_elgbl_capex_w</v>
      </c>
      <c r="F119" s="90" t="s">
        <v>126</v>
      </c>
      <c r="G119" t="s">
        <v>27</v>
      </c>
      <c r="H119" t="s">
        <v>723</v>
      </c>
      <c r="I119" t="s">
        <v>706</v>
      </c>
      <c r="J119" t="s">
        <v>706</v>
      </c>
      <c r="K119" t="s">
        <v>724</v>
      </c>
      <c r="L119" t="str">
        <f>+IF(IFERROR(VLOOKUP(CONCATENATE(F119,H119),'2. Script '!A:A,1,FALSE),"#")=CONCATENATE(F119,H119),"Y","N")</f>
        <v>N</v>
      </c>
      <c r="M119" t="str">
        <f t="shared" si="5"/>
        <v>N</v>
      </c>
    </row>
    <row r="120" spans="2:13">
      <c r="B120" s="92" t="s">
        <v>125</v>
      </c>
      <c r="C120" s="92" t="s">
        <v>394</v>
      </c>
      <c r="D120" s="92" t="s">
        <v>922</v>
      </c>
      <c r="E120" s="92" t="str">
        <f t="shared" si="4"/>
        <v>ENTITYtxnmy_elgbl_trnvr_w</v>
      </c>
      <c r="F120" s="90" t="s">
        <v>126</v>
      </c>
      <c r="G120" t="s">
        <v>27</v>
      </c>
      <c r="H120" t="s">
        <v>725</v>
      </c>
      <c r="I120" t="s">
        <v>706</v>
      </c>
      <c r="J120" t="s">
        <v>706</v>
      </c>
      <c r="K120" t="s">
        <v>724</v>
      </c>
      <c r="L120" t="str">
        <f>+IF(IFERROR(VLOOKUP(CONCATENATE(F120,H120),'2. Script '!A:A,1,FALSE),"#")=CONCATENATE(F120,H120),"Y","N")</f>
        <v>N</v>
      </c>
      <c r="M120" t="str">
        <f t="shared" si="5"/>
        <v>N</v>
      </c>
    </row>
    <row r="121" spans="2:13">
      <c r="B121" s="92" t="s">
        <v>125</v>
      </c>
      <c r="C121" s="92" t="s">
        <v>395</v>
      </c>
      <c r="D121" s="92" t="s">
        <v>923</v>
      </c>
      <c r="E121" s="92" t="str">
        <f t="shared" si="4"/>
        <v>ENTITYtxnmy_elgbl_capex_p</v>
      </c>
      <c r="F121" s="90" t="s">
        <v>126</v>
      </c>
      <c r="G121" t="s">
        <v>27</v>
      </c>
      <c r="H121" t="s">
        <v>726</v>
      </c>
      <c r="I121" t="s">
        <v>706</v>
      </c>
      <c r="J121" t="s">
        <v>706</v>
      </c>
      <c r="K121" t="s">
        <v>724</v>
      </c>
      <c r="L121" t="str">
        <f>+IF(IFERROR(VLOOKUP(CONCATENATE(F121,H121),'2. Script '!A:A,1,FALSE),"#")=CONCATENATE(F121,H121),"Y","N")</f>
        <v>N</v>
      </c>
      <c r="M121" t="str">
        <f t="shared" si="5"/>
        <v>N</v>
      </c>
    </row>
    <row r="122" spans="2:13">
      <c r="B122" s="92" t="s">
        <v>125</v>
      </c>
      <c r="C122" s="92" t="s">
        <v>494</v>
      </c>
      <c r="D122" s="92" t="s">
        <v>924</v>
      </c>
      <c r="E122" s="92" t="str">
        <f t="shared" si="4"/>
        <v>ENTITYtxnmy_elgbl_trnvr_p</v>
      </c>
      <c r="F122" s="90" t="s">
        <v>126</v>
      </c>
      <c r="G122" t="s">
        <v>27</v>
      </c>
      <c r="H122" t="s">
        <v>727</v>
      </c>
      <c r="I122" t="s">
        <v>706</v>
      </c>
      <c r="J122" t="s">
        <v>706</v>
      </c>
      <c r="K122" t="s">
        <v>724</v>
      </c>
      <c r="L122" t="str">
        <f>+IF(IFERROR(VLOOKUP(CONCATENATE(F122,H122),'2. Script '!A:A,1,FALSE),"#")=CONCATENATE(F122,H122),"Y","N")</f>
        <v>N</v>
      </c>
      <c r="M122" t="str">
        <f t="shared" si="5"/>
        <v>N</v>
      </c>
    </row>
    <row r="123" spans="2:13">
      <c r="B123" s="92" t="s">
        <v>125</v>
      </c>
      <c r="C123" s="92" t="s">
        <v>495</v>
      </c>
      <c r="D123" s="92" t="s">
        <v>925</v>
      </c>
      <c r="E123" s="92" t="str">
        <f t="shared" si="4"/>
        <v>ENTITYtxnmy_elgbl_capex_b</v>
      </c>
      <c r="F123" s="90" t="s">
        <v>126</v>
      </c>
      <c r="G123" t="s">
        <v>27</v>
      </c>
      <c r="H123" t="s">
        <v>728</v>
      </c>
      <c r="I123" t="s">
        <v>706</v>
      </c>
      <c r="J123" t="s">
        <v>706</v>
      </c>
      <c r="K123" t="s">
        <v>724</v>
      </c>
      <c r="L123" t="str">
        <f>+IF(IFERROR(VLOOKUP(CONCATENATE(F123,H123),'2. Script '!A:A,1,FALSE),"#")=CONCATENATE(F123,H123),"Y","N")</f>
        <v>N</v>
      </c>
      <c r="M123" t="str">
        <f t="shared" si="5"/>
        <v>N</v>
      </c>
    </row>
    <row r="124" spans="2:13">
      <c r="B124" s="92" t="s">
        <v>125</v>
      </c>
      <c r="C124" s="92" t="s">
        <v>496</v>
      </c>
      <c r="D124" s="92" t="s">
        <v>926</v>
      </c>
      <c r="E124" s="92" t="str">
        <f t="shared" si="4"/>
        <v>ENTITYtxnmy_elgbl_trnvr_b</v>
      </c>
      <c r="F124" s="90" t="s">
        <v>126</v>
      </c>
      <c r="G124" t="s">
        <v>27</v>
      </c>
      <c r="H124" t="s">
        <v>729</v>
      </c>
      <c r="I124" t="s">
        <v>706</v>
      </c>
      <c r="J124" t="s">
        <v>706</v>
      </c>
      <c r="K124" t="s">
        <v>724</v>
      </c>
      <c r="L124" t="str">
        <f>+IF(IFERROR(VLOOKUP(CONCATENATE(F124,H124),'2. Script '!A:A,1,FALSE),"#")=CONCATENATE(F124,H124),"Y","N")</f>
        <v>N</v>
      </c>
      <c r="M124" t="str">
        <f t="shared" si="5"/>
        <v>N</v>
      </c>
    </row>
    <row r="125" spans="2:13">
      <c r="B125" s="92" t="s">
        <v>125</v>
      </c>
      <c r="C125" s="92" t="s">
        <v>525</v>
      </c>
      <c r="D125" s="92" t="s">
        <v>927</v>
      </c>
      <c r="E125" s="92" t="str">
        <f t="shared" si="4"/>
        <v>ENTITYtxnmy_elgbl_capex_ce</v>
      </c>
      <c r="F125" s="90" t="s">
        <v>126</v>
      </c>
      <c r="G125" t="s">
        <v>27</v>
      </c>
      <c r="H125" t="s">
        <v>730</v>
      </c>
      <c r="I125" t="s">
        <v>706</v>
      </c>
      <c r="J125" t="s">
        <v>706</v>
      </c>
      <c r="K125" t="s">
        <v>724</v>
      </c>
      <c r="L125" t="str">
        <f>+IF(IFERROR(VLOOKUP(CONCATENATE(F125,H125),'2. Script '!A:A,1,FALSE),"#")=CONCATENATE(F125,H125),"Y","N")</f>
        <v>N</v>
      </c>
      <c r="M125" t="str">
        <f t="shared" si="5"/>
        <v>N</v>
      </c>
    </row>
    <row r="126" spans="2:13">
      <c r="B126" s="92" t="s">
        <v>125</v>
      </c>
      <c r="C126" s="92" t="s">
        <v>435</v>
      </c>
      <c r="D126" s="92" t="s">
        <v>928</v>
      </c>
      <c r="E126" s="92" t="str">
        <f t="shared" si="4"/>
        <v>ENTITYtxnmy_elgbl_trnvr_ce</v>
      </c>
      <c r="F126" s="90" t="s">
        <v>126</v>
      </c>
      <c r="G126" t="s">
        <v>27</v>
      </c>
      <c r="H126" t="s">
        <v>731</v>
      </c>
      <c r="I126" t="s">
        <v>706</v>
      </c>
      <c r="J126" t="s">
        <v>706</v>
      </c>
      <c r="K126" t="s">
        <v>724</v>
      </c>
      <c r="L126" t="str">
        <f>+IF(IFERROR(VLOOKUP(CONCATENATE(F126,H126),'2. Script '!A:A,1,FALSE),"#")=CONCATENATE(F126,H126),"Y","N")</f>
        <v>N</v>
      </c>
      <c r="M126" t="str">
        <f t="shared" si="5"/>
        <v>N</v>
      </c>
    </row>
    <row r="127" spans="2:13">
      <c r="B127" s="92" t="s">
        <v>125</v>
      </c>
      <c r="C127" s="92" t="s">
        <v>540</v>
      </c>
      <c r="D127" s="92" t="s">
        <v>929</v>
      </c>
      <c r="E127" s="92" t="str">
        <f t="shared" si="4"/>
        <v>ENTITYpure_capex_p</v>
      </c>
      <c r="F127" s="90" t="s">
        <v>126</v>
      </c>
      <c r="G127" t="s">
        <v>27</v>
      </c>
      <c r="H127" t="s">
        <v>732</v>
      </c>
      <c r="I127" t="s">
        <v>706</v>
      </c>
      <c r="J127" t="s">
        <v>706</v>
      </c>
      <c r="K127" t="s">
        <v>724</v>
      </c>
      <c r="L127" t="str">
        <f>+IF(IFERROR(VLOOKUP(CONCATENATE(F127,H127),'2. Script '!A:A,1,FALSE),"#")=CONCATENATE(F127,H127),"Y","N")</f>
        <v>N</v>
      </c>
      <c r="M127" t="str">
        <f t="shared" si="5"/>
        <v>N</v>
      </c>
    </row>
    <row r="128" spans="2:13">
      <c r="B128" s="92" t="s">
        <v>125</v>
      </c>
      <c r="C128" s="92" t="s">
        <v>418</v>
      </c>
      <c r="D128" s="92" t="s">
        <v>930</v>
      </c>
      <c r="E128" s="92" t="str">
        <f t="shared" si="4"/>
        <v>ENTITYpure_trnvr_p</v>
      </c>
      <c r="F128" s="90" t="s">
        <v>126</v>
      </c>
      <c r="G128" t="s">
        <v>27</v>
      </c>
      <c r="H128" t="s">
        <v>733</v>
      </c>
      <c r="I128" t="s">
        <v>706</v>
      </c>
      <c r="J128" t="s">
        <v>706</v>
      </c>
      <c r="K128" t="s">
        <v>724</v>
      </c>
      <c r="L128" t="str">
        <f>+IF(IFERROR(VLOOKUP(CONCATENATE(F128,H128),'2. Script '!A:A,1,FALSE),"#")=CONCATENATE(F128,H128),"Y","N")</f>
        <v>N</v>
      </c>
      <c r="M128" t="str">
        <f t="shared" si="5"/>
        <v>N</v>
      </c>
    </row>
    <row r="129" spans="2:13">
      <c r="B129" s="92" t="s">
        <v>125</v>
      </c>
      <c r="C129" s="92" t="s">
        <v>541</v>
      </c>
      <c r="D129" s="92" t="s">
        <v>931</v>
      </c>
      <c r="E129" s="92" t="str">
        <f t="shared" si="4"/>
        <v>ENTITYpure_capex_b</v>
      </c>
      <c r="F129" s="90" t="s">
        <v>126</v>
      </c>
      <c r="G129" t="s">
        <v>27</v>
      </c>
      <c r="H129" t="s">
        <v>734</v>
      </c>
      <c r="I129" t="s">
        <v>706</v>
      </c>
      <c r="J129" t="s">
        <v>706</v>
      </c>
      <c r="K129" t="s">
        <v>724</v>
      </c>
      <c r="L129" t="str">
        <f>+IF(IFERROR(VLOOKUP(CONCATENATE(F129,H129),'2. Script '!A:A,1,FALSE),"#")=CONCATENATE(F129,H129),"Y","N")</f>
        <v>N</v>
      </c>
      <c r="M129" t="str">
        <f t="shared" si="5"/>
        <v>N</v>
      </c>
    </row>
    <row r="130" spans="2:13">
      <c r="B130" s="92" t="s">
        <v>125</v>
      </c>
      <c r="C130" s="92" t="s">
        <v>96</v>
      </c>
      <c r="D130" s="92" t="s">
        <v>792</v>
      </c>
      <c r="E130" s="92" t="str">
        <f t="shared" si="4"/>
        <v>ENTITYpure_trnvr_b</v>
      </c>
      <c r="F130" s="90" t="s">
        <v>126</v>
      </c>
      <c r="G130" t="s">
        <v>27</v>
      </c>
      <c r="H130" t="s">
        <v>735</v>
      </c>
      <c r="I130" t="s">
        <v>706</v>
      </c>
      <c r="J130" t="s">
        <v>706</v>
      </c>
      <c r="K130" t="s">
        <v>724</v>
      </c>
      <c r="L130" t="str">
        <f>+IF(IFERROR(VLOOKUP(CONCATENATE(F130,H130),'2. Script '!A:A,1,FALSE),"#")=CONCATENATE(F130,H130),"Y","N")</f>
        <v>N</v>
      </c>
      <c r="M130" t="str">
        <f t="shared" si="5"/>
        <v>N</v>
      </c>
    </row>
    <row r="131" spans="2:13">
      <c r="B131" s="92" t="s">
        <v>125</v>
      </c>
      <c r="C131" s="92" t="s">
        <v>436</v>
      </c>
      <c r="D131" s="92" t="s">
        <v>932</v>
      </c>
      <c r="E131" s="92" t="str">
        <f t="shared" si="4"/>
        <v>ENTITYpure_capex_w</v>
      </c>
      <c r="F131" s="90" t="s">
        <v>126</v>
      </c>
      <c r="G131" t="s">
        <v>27</v>
      </c>
      <c r="H131" t="s">
        <v>736</v>
      </c>
      <c r="I131" t="s">
        <v>706</v>
      </c>
      <c r="J131" t="s">
        <v>706</v>
      </c>
      <c r="K131" t="s">
        <v>724</v>
      </c>
      <c r="L131" t="str">
        <f>+IF(IFERROR(VLOOKUP(CONCATENATE(F131,H131),'2. Script '!A:A,1,FALSE),"#")=CONCATENATE(F131,H131),"Y","N")</f>
        <v>N</v>
      </c>
      <c r="M131" t="str">
        <f t="shared" ref="M131:M162" si="6">+IF(IFERROR(VLOOKUP(CONCATENATE(F131,H131),D:D,1,FALSE),"#")=CONCATENATE(F131,H131),"Y","N")</f>
        <v>N</v>
      </c>
    </row>
    <row r="132" spans="2:13">
      <c r="B132" s="92" t="s">
        <v>125</v>
      </c>
      <c r="C132" s="92" t="s">
        <v>97</v>
      </c>
      <c r="D132" s="92" t="s">
        <v>793</v>
      </c>
      <c r="E132" s="92" t="str">
        <f t="shared" ref="E132:E184" si="7">+F132&amp;H132</f>
        <v>ENTITYpure_trnvr_w</v>
      </c>
      <c r="F132" s="90" t="s">
        <v>126</v>
      </c>
      <c r="G132" t="s">
        <v>27</v>
      </c>
      <c r="H132" t="s">
        <v>737</v>
      </c>
      <c r="I132" t="s">
        <v>706</v>
      </c>
      <c r="J132" t="s">
        <v>706</v>
      </c>
      <c r="K132" t="s">
        <v>724</v>
      </c>
      <c r="L132" t="str">
        <f>+IF(IFERROR(VLOOKUP(CONCATENATE(F132,H132),'2. Script '!A:A,1,FALSE),"#")=CONCATENATE(F132,H132),"Y","N")</f>
        <v>N</v>
      </c>
      <c r="M132" t="str">
        <f t="shared" si="6"/>
        <v>N</v>
      </c>
    </row>
    <row r="133" spans="2:13">
      <c r="B133" s="92" t="s">
        <v>125</v>
      </c>
      <c r="C133" s="92" t="s">
        <v>106</v>
      </c>
      <c r="D133" s="92" t="s">
        <v>805</v>
      </c>
      <c r="E133" s="92" t="str">
        <f t="shared" si="7"/>
        <v>ENTITYpure_capex_ce</v>
      </c>
      <c r="F133" s="90" t="s">
        <v>126</v>
      </c>
      <c r="G133" t="s">
        <v>27</v>
      </c>
      <c r="H133" t="s">
        <v>738</v>
      </c>
      <c r="I133" t="s">
        <v>706</v>
      </c>
      <c r="J133" t="s">
        <v>706</v>
      </c>
      <c r="K133" t="s">
        <v>724</v>
      </c>
      <c r="L133" t="str">
        <f>+IF(IFERROR(VLOOKUP(CONCATENATE(F133,H133),'2. Script '!A:A,1,FALSE),"#")=CONCATENATE(F133,H133),"Y","N")</f>
        <v>N</v>
      </c>
      <c r="M133" t="str">
        <f t="shared" si="6"/>
        <v>N</v>
      </c>
    </row>
    <row r="134" spans="2:13">
      <c r="B134" s="92" t="s">
        <v>125</v>
      </c>
      <c r="C134" s="92" t="s">
        <v>437</v>
      </c>
      <c r="D134" s="92" t="s">
        <v>933</v>
      </c>
      <c r="E134" s="92" t="str">
        <f t="shared" si="7"/>
        <v>ENTITYpure_trnvr_ce</v>
      </c>
      <c r="F134" s="90" t="s">
        <v>126</v>
      </c>
      <c r="G134" t="s">
        <v>27</v>
      </c>
      <c r="H134" t="s">
        <v>739</v>
      </c>
      <c r="I134" t="s">
        <v>706</v>
      </c>
      <c r="J134" t="s">
        <v>706</v>
      </c>
      <c r="K134" t="s">
        <v>724</v>
      </c>
      <c r="L134" t="str">
        <f>+IF(IFERROR(VLOOKUP(CONCATENATE(F134,H134),'2. Script '!A:A,1,FALSE),"#")=CONCATENATE(F134,H134),"Y","N")</f>
        <v>N</v>
      </c>
      <c r="M134" t="str">
        <f t="shared" si="6"/>
        <v>N</v>
      </c>
    </row>
    <row r="135" spans="2:13">
      <c r="B135" s="92" t="s">
        <v>125</v>
      </c>
      <c r="C135" s="92" t="s">
        <v>542</v>
      </c>
      <c r="D135" s="92" t="s">
        <v>934</v>
      </c>
      <c r="E135" s="92" t="str">
        <f t="shared" si="7"/>
        <v>ENTITYenblng_capex_w</v>
      </c>
      <c r="F135" s="90" t="s">
        <v>126</v>
      </c>
      <c r="G135" t="s">
        <v>27</v>
      </c>
      <c r="H135" t="s">
        <v>740</v>
      </c>
      <c r="I135" t="s">
        <v>706</v>
      </c>
      <c r="J135" t="s">
        <v>706</v>
      </c>
      <c r="K135" t="s">
        <v>724</v>
      </c>
      <c r="L135" t="str">
        <f>+IF(IFERROR(VLOOKUP(CONCATENATE(F135,H135),'2. Script '!A:A,1,FALSE),"#")=CONCATENATE(F135,H135),"Y","N")</f>
        <v>N</v>
      </c>
      <c r="M135" t="str">
        <f t="shared" si="6"/>
        <v>N</v>
      </c>
    </row>
    <row r="136" spans="2:13">
      <c r="B136" s="92" t="s">
        <v>125</v>
      </c>
      <c r="C136" s="92" t="s">
        <v>465</v>
      </c>
      <c r="D136" s="92" t="s">
        <v>935</v>
      </c>
      <c r="E136" s="92" t="str">
        <f t="shared" si="7"/>
        <v>ENTITYenblng_trnvr_w</v>
      </c>
      <c r="F136" s="90" t="s">
        <v>126</v>
      </c>
      <c r="G136" t="s">
        <v>27</v>
      </c>
      <c r="H136" t="s">
        <v>741</v>
      </c>
      <c r="I136" t="s">
        <v>706</v>
      </c>
      <c r="J136" t="s">
        <v>706</v>
      </c>
      <c r="K136" t="s">
        <v>724</v>
      </c>
      <c r="L136" t="str">
        <f>+IF(IFERROR(VLOOKUP(CONCATENATE(F136,H136),'2. Script '!A:A,1,FALSE),"#")=CONCATENATE(F136,H136),"Y","N")</f>
        <v>N</v>
      </c>
      <c r="M136" t="str">
        <f t="shared" si="6"/>
        <v>N</v>
      </c>
    </row>
    <row r="137" spans="2:13">
      <c r="B137" s="92" t="s">
        <v>125</v>
      </c>
      <c r="C137" s="92" t="s">
        <v>466</v>
      </c>
      <c r="D137" s="92" t="s">
        <v>936</v>
      </c>
      <c r="E137" s="92" t="str">
        <f t="shared" si="7"/>
        <v>ENTITYenblng_capex_ce</v>
      </c>
      <c r="F137" s="90" t="s">
        <v>126</v>
      </c>
      <c r="G137" t="s">
        <v>27</v>
      </c>
      <c r="H137" t="s">
        <v>742</v>
      </c>
      <c r="I137" t="s">
        <v>706</v>
      </c>
      <c r="J137" t="s">
        <v>706</v>
      </c>
      <c r="K137" t="s">
        <v>724</v>
      </c>
      <c r="L137" t="str">
        <f>+IF(IFERROR(VLOOKUP(CONCATENATE(F137,H137),'2. Script '!A:A,1,FALSE),"#")=CONCATENATE(F137,H137),"Y","N")</f>
        <v>N</v>
      </c>
      <c r="M137" t="str">
        <f t="shared" si="6"/>
        <v>N</v>
      </c>
    </row>
    <row r="138" spans="2:13">
      <c r="B138" s="92" t="s">
        <v>125</v>
      </c>
      <c r="C138" s="92" t="s">
        <v>438</v>
      </c>
      <c r="D138" s="92" t="s">
        <v>937</v>
      </c>
      <c r="E138" s="92" t="str">
        <f t="shared" si="7"/>
        <v>ENTITYenblng_trnvr_ce</v>
      </c>
      <c r="F138" s="90" t="s">
        <v>126</v>
      </c>
      <c r="G138" t="s">
        <v>27</v>
      </c>
      <c r="H138" t="s">
        <v>743</v>
      </c>
      <c r="I138" t="s">
        <v>706</v>
      </c>
      <c r="J138" t="s">
        <v>706</v>
      </c>
      <c r="K138" t="s">
        <v>724</v>
      </c>
      <c r="L138" t="str">
        <f>+IF(IFERROR(VLOOKUP(CONCATENATE(F138,H138),'2. Script '!A:A,1,FALSE),"#")=CONCATENATE(F138,H138),"Y","N")</f>
        <v>N</v>
      </c>
      <c r="M138" t="str">
        <f t="shared" si="6"/>
        <v>N</v>
      </c>
    </row>
    <row r="139" spans="2:13">
      <c r="B139" s="92" t="s">
        <v>125</v>
      </c>
      <c r="C139" s="92" t="s">
        <v>439</v>
      </c>
      <c r="D139" s="92" t="s">
        <v>938</v>
      </c>
      <c r="E139" s="92" t="str">
        <f t="shared" si="7"/>
        <v>PROTECTIONdt_rfrnc</v>
      </c>
      <c r="F139" s="90" t="s">
        <v>127</v>
      </c>
      <c r="G139" t="s">
        <v>33</v>
      </c>
      <c r="H139" t="s">
        <v>657</v>
      </c>
      <c r="I139" t="s">
        <v>700</v>
      </c>
      <c r="J139" t="s">
        <v>700</v>
      </c>
      <c r="L139" t="str">
        <f>+IF(IFERROR(VLOOKUP(CONCATENATE(F139,H139),'2. Script '!A:A,1,FALSE),"#")=CONCATENATE(F139,H139),"Y","N")</f>
        <v>N</v>
      </c>
      <c r="M139" t="str">
        <f t="shared" si="6"/>
        <v>Y</v>
      </c>
    </row>
    <row r="140" spans="2:13">
      <c r="B140" s="92" t="s">
        <v>125</v>
      </c>
      <c r="C140" s="92" t="s">
        <v>502</v>
      </c>
      <c r="D140" s="92" t="s">
        <v>939</v>
      </c>
      <c r="E140" s="92" t="str">
        <f t="shared" si="7"/>
        <v>PROTECTIONprtctn_id</v>
      </c>
      <c r="F140" s="90" t="s">
        <v>127</v>
      </c>
      <c r="G140" t="s">
        <v>33</v>
      </c>
      <c r="H140" t="s">
        <v>32</v>
      </c>
      <c r="I140" t="s">
        <v>700</v>
      </c>
      <c r="J140" t="s">
        <v>700</v>
      </c>
      <c r="L140" t="str">
        <f>+IF(IFERROR(VLOOKUP(CONCATENATE(F140,H140),'2. Script '!A:A,1,FALSE),"#")=CONCATENATE(F140,H140),"Y","N")</f>
        <v>N</v>
      </c>
      <c r="M140" t="str">
        <f t="shared" si="6"/>
        <v>Y</v>
      </c>
    </row>
    <row r="141" spans="2:13">
      <c r="B141" s="92" t="s">
        <v>125</v>
      </c>
      <c r="C141" s="92" t="s">
        <v>503</v>
      </c>
      <c r="D141" s="92" t="s">
        <v>940</v>
      </c>
      <c r="E141" s="92" t="str">
        <f t="shared" si="7"/>
        <v>PROTECTIONrl_estt_clltrl_lctn</v>
      </c>
      <c r="F141" s="90" t="s">
        <v>127</v>
      </c>
      <c r="G141" t="s">
        <v>33</v>
      </c>
      <c r="H141" t="s">
        <v>687</v>
      </c>
      <c r="I141" t="s">
        <v>700</v>
      </c>
      <c r="J141" t="s">
        <v>700</v>
      </c>
      <c r="L141" t="str">
        <f>+IF(IFERROR(VLOOKUP(CONCATENATE(F141,H141),'2. Script '!A:A,1,FALSE),"#")=CONCATENATE(F141,H141),"Y","N")</f>
        <v>Y</v>
      </c>
      <c r="M141" t="str">
        <f t="shared" si="6"/>
        <v>Y</v>
      </c>
    </row>
    <row r="142" spans="2:13">
      <c r="B142" s="92" t="s">
        <v>125</v>
      </c>
      <c r="C142" s="92" t="s">
        <v>504</v>
      </c>
      <c r="D142" s="92" t="s">
        <v>941</v>
      </c>
      <c r="E142" s="92" t="str">
        <f t="shared" si="7"/>
        <v>PROTECTIONrl_estt_pst_cd</v>
      </c>
      <c r="F142" s="90" t="s">
        <v>127</v>
      </c>
      <c r="G142" t="s">
        <v>33</v>
      </c>
      <c r="H142" t="s">
        <v>688</v>
      </c>
      <c r="I142" t="s">
        <v>700</v>
      </c>
      <c r="J142" t="s">
        <v>700</v>
      </c>
      <c r="L142" t="str">
        <f>+IF(IFERROR(VLOOKUP(CONCATENATE(F142,H142),'2. Script '!A:A,1,FALSE),"#")=CONCATENATE(F142,H142),"Y","N")</f>
        <v>Y</v>
      </c>
      <c r="M142" t="str">
        <f t="shared" si="6"/>
        <v>Y</v>
      </c>
    </row>
    <row r="143" spans="2:13">
      <c r="B143" s="92" t="s">
        <v>125</v>
      </c>
      <c r="C143" s="92" t="s">
        <v>505</v>
      </c>
      <c r="D143" s="92" t="s">
        <v>942</v>
      </c>
      <c r="E143" s="92" t="str">
        <f t="shared" si="7"/>
        <v>PROTECTIONtyp_prtctn</v>
      </c>
      <c r="F143" s="90" t="s">
        <v>127</v>
      </c>
      <c r="G143" t="s">
        <v>33</v>
      </c>
      <c r="H143" t="s">
        <v>689</v>
      </c>
      <c r="I143" t="s">
        <v>700</v>
      </c>
      <c r="J143" t="s">
        <v>700</v>
      </c>
      <c r="L143" t="str">
        <f>+IF(IFERROR(VLOOKUP(CONCATENATE(F143,H143),'2. Script '!A:A,1,FALSE),"#")=CONCATENATE(F143,H143),"Y","N")</f>
        <v>Y</v>
      </c>
      <c r="M143" t="str">
        <f t="shared" si="6"/>
        <v>Y</v>
      </c>
    </row>
    <row r="144" spans="2:13">
      <c r="B144" s="92" t="s">
        <v>125</v>
      </c>
      <c r="C144" s="92" t="s">
        <v>440</v>
      </c>
      <c r="D144" s="92" t="s">
        <v>943</v>
      </c>
      <c r="E144" s="92" t="str">
        <f t="shared" si="7"/>
        <v>PROTECTIONorgnl_prtctn_vl</v>
      </c>
      <c r="F144" s="90" t="s">
        <v>127</v>
      </c>
      <c r="G144" t="s">
        <v>33</v>
      </c>
      <c r="H144" t="s">
        <v>690</v>
      </c>
      <c r="I144" t="s">
        <v>700</v>
      </c>
      <c r="J144" t="s">
        <v>700</v>
      </c>
      <c r="L144" t="str">
        <f>+IF(IFERROR(VLOOKUP(CONCATENATE(F144,H144),'2. Script '!A:A,1,FALSE),"#")=CONCATENATE(F144,H144),"Y","N")</f>
        <v>Y</v>
      </c>
      <c r="M144" t="str">
        <f t="shared" si="6"/>
        <v>Y</v>
      </c>
    </row>
    <row r="145" spans="2:13">
      <c r="B145" s="92" t="s">
        <v>125</v>
      </c>
      <c r="C145" s="92" t="s">
        <v>559</v>
      </c>
      <c r="D145" s="92" t="s">
        <v>944</v>
      </c>
      <c r="E145" s="92" t="str">
        <f t="shared" si="7"/>
        <v>PROTECTIONprtctn_vl</v>
      </c>
      <c r="F145" s="90" t="s">
        <v>127</v>
      </c>
      <c r="G145" t="s">
        <v>33</v>
      </c>
      <c r="H145" t="s">
        <v>691</v>
      </c>
      <c r="I145" t="s">
        <v>700</v>
      </c>
      <c r="J145" t="s">
        <v>700</v>
      </c>
      <c r="L145" t="str">
        <f>+IF(IFERROR(VLOOKUP(CONCATENATE(F145,H145),'2. Script '!A:A,1,FALSE),"#")=CONCATENATE(F145,H145),"Y","N")</f>
        <v>Y</v>
      </c>
      <c r="M145" t="str">
        <f t="shared" si="6"/>
        <v>Y</v>
      </c>
    </row>
    <row r="146" spans="2:13">
      <c r="B146" s="92" t="s">
        <v>125</v>
      </c>
      <c r="C146" s="92" t="s">
        <v>412</v>
      </c>
      <c r="D146" s="92" t="s">
        <v>945</v>
      </c>
      <c r="E146" s="92" t="str">
        <f t="shared" si="7"/>
        <v>PROTECTIONcod_soc</v>
      </c>
      <c r="F146" s="90" t="s">
        <v>127</v>
      </c>
      <c r="G146" t="s">
        <v>33</v>
      </c>
      <c r="H146" t="s">
        <v>673</v>
      </c>
      <c r="I146" t="s">
        <v>700</v>
      </c>
      <c r="J146" t="s">
        <v>700</v>
      </c>
      <c r="L146" t="str">
        <f>+IF(IFERROR(VLOOKUP(CONCATENATE(F146,H146),'2. Script '!A:A,1,FALSE),"#")=CONCATENATE(F146,H146),"Y","N")</f>
        <v>Y</v>
      </c>
      <c r="M146" t="str">
        <f t="shared" si="6"/>
        <v>Y</v>
      </c>
    </row>
    <row r="147" spans="2:13">
      <c r="B147" s="92" t="s">
        <v>125</v>
      </c>
      <c r="C147" s="92" t="s">
        <v>360</v>
      </c>
      <c r="D147" s="92" t="s">
        <v>946</v>
      </c>
      <c r="E147" s="92" t="str">
        <f t="shared" si="7"/>
        <v>INSTR_ENTITYdt_rfrnc</v>
      </c>
      <c r="F147" s="90" t="s">
        <v>320</v>
      </c>
      <c r="G147" t="s">
        <v>29</v>
      </c>
      <c r="H147" t="s">
        <v>657</v>
      </c>
      <c r="I147" t="s">
        <v>700</v>
      </c>
      <c r="J147" t="s">
        <v>700</v>
      </c>
      <c r="L147" t="str">
        <f>+IF(IFERROR(VLOOKUP(CONCATENATE(F147,H147),'2. Script '!A:A,1,FALSE),"#")=CONCATENATE(F147,H147),"Y","N")</f>
        <v>N</v>
      </c>
      <c r="M147" t="str">
        <f t="shared" si="6"/>
        <v>Y</v>
      </c>
    </row>
    <row r="148" spans="2:13">
      <c r="B148" s="92" t="s">
        <v>125</v>
      </c>
      <c r="C148" s="92" t="s">
        <v>361</v>
      </c>
      <c r="D148" s="92" t="s">
        <v>947</v>
      </c>
      <c r="E148" s="92" t="str">
        <f t="shared" si="7"/>
        <v>INSTR_ENTITYentty_id</v>
      </c>
      <c r="F148" s="90" t="s">
        <v>320</v>
      </c>
      <c r="G148" t="s">
        <v>29</v>
      </c>
      <c r="H148" t="s">
        <v>28</v>
      </c>
      <c r="I148" t="s">
        <v>700</v>
      </c>
      <c r="J148" t="s">
        <v>700</v>
      </c>
      <c r="L148" t="str">
        <f>+IF(IFERROR(VLOOKUP(CONCATENATE(F148,H148),'2. Script '!A:A,1,FALSE),"#")=CONCATENATE(F148,H148),"Y","N")</f>
        <v>N</v>
      </c>
      <c r="M148" t="str">
        <f t="shared" si="6"/>
        <v>Y</v>
      </c>
    </row>
    <row r="149" spans="2:13">
      <c r="B149" s="92" t="s">
        <v>125</v>
      </c>
      <c r="C149" s="92" t="s">
        <v>467</v>
      </c>
      <c r="D149" s="92" t="s">
        <v>948</v>
      </c>
      <c r="E149" s="92" t="str">
        <f t="shared" si="7"/>
        <v>INSTR_ENTITYinstrmnt_id</v>
      </c>
      <c r="F149" s="90" t="s">
        <v>320</v>
      </c>
      <c r="G149" t="s">
        <v>29</v>
      </c>
      <c r="H149" t="s">
        <v>30</v>
      </c>
      <c r="I149" t="s">
        <v>700</v>
      </c>
      <c r="J149" t="s">
        <v>700</v>
      </c>
      <c r="L149" t="str">
        <f>+IF(IFERROR(VLOOKUP(CONCATENATE(F149,H149),'2. Script '!A:A,1,FALSE),"#")=CONCATENATE(F149,H149),"Y","N")</f>
        <v>N</v>
      </c>
      <c r="M149" t="str">
        <f t="shared" si="6"/>
        <v>Y</v>
      </c>
    </row>
    <row r="150" spans="2:13">
      <c r="B150" s="92" t="s">
        <v>125</v>
      </c>
      <c r="C150" s="92" t="s">
        <v>468</v>
      </c>
      <c r="D150" s="92" t="s">
        <v>949</v>
      </c>
      <c r="E150" s="92" t="str">
        <f t="shared" si="7"/>
        <v>INSTR_ENTITYcod_soc</v>
      </c>
      <c r="F150" s="90" t="s">
        <v>320</v>
      </c>
      <c r="G150" t="s">
        <v>29</v>
      </c>
      <c r="H150" t="s">
        <v>673</v>
      </c>
      <c r="I150" t="s">
        <v>700</v>
      </c>
      <c r="J150" t="s">
        <v>700</v>
      </c>
      <c r="L150" t="str">
        <f>+IF(IFERROR(VLOOKUP(CONCATENATE(F150,H150),'2. Script '!A:A,1,FALSE),"#")=CONCATENATE(F150,H150),"Y","N")</f>
        <v>Y</v>
      </c>
      <c r="M150" t="str">
        <f t="shared" si="6"/>
        <v>Y</v>
      </c>
    </row>
    <row r="151" spans="2:13">
      <c r="B151" s="92" t="s">
        <v>125</v>
      </c>
      <c r="C151" s="92" t="s">
        <v>469</v>
      </c>
      <c r="D151" s="92" t="s">
        <v>950</v>
      </c>
      <c r="E151" s="92" t="str">
        <f t="shared" si="7"/>
        <v>INSTR_ENTITYmn_entty_id</v>
      </c>
      <c r="F151" s="90" t="s">
        <v>320</v>
      </c>
      <c r="G151" t="s">
        <v>29</v>
      </c>
      <c r="H151" t="s">
        <v>300</v>
      </c>
      <c r="I151" t="s">
        <v>700</v>
      </c>
      <c r="J151" t="s">
        <v>700</v>
      </c>
      <c r="L151" t="str">
        <f>+IF(IFERROR(VLOOKUP(CONCATENATE(F151,H151),'2. Script '!A:A,1,FALSE),"#")=CONCATENATE(F151,H151),"Y","N")</f>
        <v>Y</v>
      </c>
      <c r="M151" t="str">
        <f t="shared" si="6"/>
        <v>Y</v>
      </c>
    </row>
    <row r="152" spans="2:13">
      <c r="B152" s="92" t="s">
        <v>125</v>
      </c>
      <c r="C152" s="92" t="s">
        <v>523</v>
      </c>
      <c r="D152" s="92" t="s">
        <v>951</v>
      </c>
      <c r="E152" s="92" t="str">
        <f t="shared" si="7"/>
        <v>INSTR_PROTECTIONdt_rfrnc</v>
      </c>
      <c r="F152" s="90" t="s">
        <v>321</v>
      </c>
      <c r="G152" t="s">
        <v>31</v>
      </c>
      <c r="H152" t="s">
        <v>657</v>
      </c>
      <c r="I152" t="s">
        <v>700</v>
      </c>
      <c r="J152" t="s">
        <v>700</v>
      </c>
      <c r="L152" t="str">
        <f>+IF(IFERROR(VLOOKUP(CONCATENATE(F152,H152),'2. Script '!A:A,1,FALSE),"#")=CONCATENATE(F152,H152),"Y","N")</f>
        <v>N</v>
      </c>
      <c r="M152" t="str">
        <f t="shared" si="6"/>
        <v>Y</v>
      </c>
    </row>
    <row r="153" spans="2:13">
      <c r="B153" s="92" t="s">
        <v>125</v>
      </c>
      <c r="C153" s="92" t="s">
        <v>497</v>
      </c>
      <c r="D153" s="92" t="s">
        <v>952</v>
      </c>
      <c r="E153" s="92" t="str">
        <f t="shared" si="7"/>
        <v>INSTR_PROTECTIONinstrmnt_id</v>
      </c>
      <c r="F153" s="90" t="s">
        <v>321</v>
      </c>
      <c r="G153" t="s">
        <v>31</v>
      </c>
      <c r="H153" t="s">
        <v>30</v>
      </c>
      <c r="I153" t="s">
        <v>700</v>
      </c>
      <c r="J153" t="s">
        <v>700</v>
      </c>
      <c r="L153" t="str">
        <f>+IF(IFERROR(VLOOKUP(CONCATENATE(F153,H153),'2. Script '!A:A,1,FALSE),"#")=CONCATENATE(F153,H153),"Y","N")</f>
        <v>N</v>
      </c>
      <c r="M153" t="str">
        <f t="shared" si="6"/>
        <v>Y</v>
      </c>
    </row>
    <row r="154" spans="2:13">
      <c r="B154" s="92" t="s">
        <v>125</v>
      </c>
      <c r="C154" s="92" t="s">
        <v>411</v>
      </c>
      <c r="D154" s="92" t="s">
        <v>953</v>
      </c>
      <c r="E154" s="92" t="str">
        <f t="shared" si="7"/>
        <v>INSTR_PROTECTIONprtctn_id</v>
      </c>
      <c r="F154" s="90" t="s">
        <v>321</v>
      </c>
      <c r="G154" t="s">
        <v>31</v>
      </c>
      <c r="H154" t="s">
        <v>32</v>
      </c>
      <c r="I154" t="s">
        <v>700</v>
      </c>
      <c r="J154" t="s">
        <v>700</v>
      </c>
      <c r="L154" t="str">
        <f>+IF(IFERROR(VLOOKUP(CONCATENATE(F154,H154),'2. Script '!A:A,1,FALSE),"#")=CONCATENATE(F154,H154),"Y","N")</f>
        <v>N</v>
      </c>
      <c r="M154" t="str">
        <f t="shared" si="6"/>
        <v>Y</v>
      </c>
    </row>
    <row r="155" spans="2:13">
      <c r="B155" s="92" t="s">
        <v>125</v>
      </c>
      <c r="C155" s="92" t="s">
        <v>441</v>
      </c>
      <c r="D155" s="92" t="s">
        <v>954</v>
      </c>
      <c r="E155" s="92" t="str">
        <f t="shared" si="7"/>
        <v>INSTR_PROTECTIONprtctn_allctd_vl</v>
      </c>
      <c r="F155" s="90" t="s">
        <v>321</v>
      </c>
      <c r="G155" t="s">
        <v>31</v>
      </c>
      <c r="H155" t="s">
        <v>744</v>
      </c>
      <c r="I155" t="s">
        <v>706</v>
      </c>
      <c r="J155" t="s">
        <v>706</v>
      </c>
      <c r="K155" t="s">
        <v>702</v>
      </c>
      <c r="L155" t="str">
        <f>+IF(IFERROR(VLOOKUP(CONCATENATE(F155,H155),'2. Script '!A:A,1,FALSE),"#")=CONCATENATE(F155,H155),"Y","N")</f>
        <v>Y</v>
      </c>
      <c r="M155" t="str">
        <f t="shared" si="6"/>
        <v>Y</v>
      </c>
    </row>
    <row r="156" spans="2:13">
      <c r="B156" s="92" t="s">
        <v>125</v>
      </c>
      <c r="C156" s="92" t="s">
        <v>470</v>
      </c>
      <c r="D156" s="92" t="s">
        <v>955</v>
      </c>
      <c r="E156" s="92" t="str">
        <f t="shared" si="7"/>
        <v>INSTR_PROTECTIONTYP_RLTN</v>
      </c>
      <c r="F156" s="90" t="s">
        <v>321</v>
      </c>
      <c r="G156" t="s">
        <v>31</v>
      </c>
      <c r="H156" t="s">
        <v>745</v>
      </c>
      <c r="I156" t="s">
        <v>707</v>
      </c>
      <c r="J156" t="s">
        <v>707</v>
      </c>
      <c r="K156" t="s">
        <v>705</v>
      </c>
      <c r="L156" t="str">
        <f>+IF(IFERROR(VLOOKUP(CONCATENATE(F156,H156),'2. Script '!A:A,1,FALSE),"#")=CONCATENATE(F156,H156),"Y","N")</f>
        <v>N</v>
      </c>
      <c r="M156" t="str">
        <f t="shared" si="6"/>
        <v>N</v>
      </c>
    </row>
    <row r="157" spans="2:13">
      <c r="B157" s="92" t="s">
        <v>125</v>
      </c>
      <c r="C157" s="92" t="s">
        <v>543</v>
      </c>
      <c r="D157" s="92" t="s">
        <v>956</v>
      </c>
      <c r="E157" s="92" t="str">
        <f t="shared" si="7"/>
        <v>INSTR_PROTECTIONcod_soc</v>
      </c>
      <c r="F157" s="90" t="s">
        <v>321</v>
      </c>
      <c r="G157" t="s">
        <v>31</v>
      </c>
      <c r="H157" t="s">
        <v>673</v>
      </c>
      <c r="I157" t="s">
        <v>700</v>
      </c>
      <c r="J157" t="s">
        <v>700</v>
      </c>
      <c r="L157" t="str">
        <f>+IF(IFERROR(VLOOKUP(CONCATENATE(F157,H157),'2. Script '!A:A,1,FALSE),"#")=CONCATENATE(F157,H157),"Y","N")</f>
        <v>Y</v>
      </c>
      <c r="M157" t="str">
        <f t="shared" si="6"/>
        <v>Y</v>
      </c>
    </row>
    <row r="158" spans="2:13">
      <c r="B158" s="92" t="s">
        <v>125</v>
      </c>
      <c r="C158" s="92" t="s">
        <v>544</v>
      </c>
      <c r="D158" s="92" t="s">
        <v>957</v>
      </c>
      <c r="E158" s="92" t="str">
        <f t="shared" si="7"/>
        <v>PROTECTIONflg_fin</v>
      </c>
      <c r="F158" s="90" t="s">
        <v>127</v>
      </c>
      <c r="G158" t="s">
        <v>33</v>
      </c>
      <c r="H158" t="s">
        <v>692</v>
      </c>
      <c r="I158" t="s">
        <v>746</v>
      </c>
      <c r="J158" t="s">
        <v>746</v>
      </c>
      <c r="L158" t="str">
        <f>+IF(IFERROR(VLOOKUP(CONCATENATE(F158,H158),'2. Script '!A:A,1,FALSE),"#")=CONCATENATE(F158,H158),"Y","N")</f>
        <v>N</v>
      </c>
      <c r="M158" t="str">
        <f t="shared" si="6"/>
        <v>N</v>
      </c>
    </row>
    <row r="159" spans="2:13">
      <c r="B159" s="92" t="s">
        <v>125</v>
      </c>
      <c r="C159" s="92" t="s">
        <v>442</v>
      </c>
      <c r="D159" s="92" t="s">
        <v>958</v>
      </c>
      <c r="E159" s="92" t="str">
        <f t="shared" si="7"/>
        <v>PROTECTIONflg_exec</v>
      </c>
      <c r="F159" s="90" t="s">
        <v>127</v>
      </c>
      <c r="G159" t="s">
        <v>33</v>
      </c>
      <c r="H159" t="s">
        <v>693</v>
      </c>
      <c r="I159" t="s">
        <v>746</v>
      </c>
      <c r="J159" t="s">
        <v>746</v>
      </c>
      <c r="L159" t="str">
        <f>+IF(IFERROR(VLOOKUP(CONCATENATE(F159,H159),'2. Script '!A:A,1,FALSE),"#")=CONCATENATE(F159,H159),"Y","N")</f>
        <v>N</v>
      </c>
      <c r="M159" t="str">
        <f t="shared" si="6"/>
        <v>N</v>
      </c>
    </row>
    <row r="160" spans="2:13">
      <c r="B160" s="92" t="s">
        <v>125</v>
      </c>
      <c r="C160" s="92" t="s">
        <v>107</v>
      </c>
      <c r="D160" s="92" t="s">
        <v>787</v>
      </c>
      <c r="E160" s="92" t="str">
        <f t="shared" si="7"/>
        <v>PROTECTIONRL_ESTT_ADDRSS</v>
      </c>
      <c r="F160" s="90" t="s">
        <v>127</v>
      </c>
      <c r="G160" t="s">
        <v>33</v>
      </c>
      <c r="H160" t="s">
        <v>566</v>
      </c>
      <c r="I160" t="s">
        <v>706</v>
      </c>
      <c r="J160" t="s">
        <v>707</v>
      </c>
      <c r="K160" t="s">
        <v>708</v>
      </c>
      <c r="L160" t="str">
        <f>+IF(IFERROR(VLOOKUP(CONCATENATE(F160,H160),'2. Script '!A:A,1,FALSE),"#")=CONCATENATE(F160,H160),"Y","N")</f>
        <v>N</v>
      </c>
      <c r="M160" t="str">
        <f t="shared" si="6"/>
        <v>Y</v>
      </c>
    </row>
    <row r="161" spans="2:13">
      <c r="B161" s="92" t="s">
        <v>125</v>
      </c>
      <c r="C161" s="92" t="s">
        <v>506</v>
      </c>
      <c r="D161" s="92" t="s">
        <v>959</v>
      </c>
      <c r="E161" s="92" t="str">
        <f t="shared" si="7"/>
        <v>PROTECTIONRL_ESTT_CLLTRL_LCTN_INT</v>
      </c>
      <c r="F161" s="90" t="s">
        <v>127</v>
      </c>
      <c r="G161" t="s">
        <v>33</v>
      </c>
      <c r="H161" t="s">
        <v>567</v>
      </c>
      <c r="I161" t="s">
        <v>707</v>
      </c>
      <c r="J161" t="s">
        <v>707</v>
      </c>
      <c r="K161" t="s">
        <v>705</v>
      </c>
      <c r="L161" t="str">
        <f>+IF(IFERROR(VLOOKUP(CONCATENATE(F161,H161),'2. Script '!A:A,1,FALSE),"#")=CONCATENATE(F161,H161),"Y","N")</f>
        <v>N</v>
      </c>
      <c r="M161" t="str">
        <f t="shared" si="6"/>
        <v>Y</v>
      </c>
    </row>
    <row r="162" spans="2:13">
      <c r="B162" s="92" t="s">
        <v>125</v>
      </c>
      <c r="C162" s="92" t="s">
        <v>507</v>
      </c>
      <c r="D162" s="92" t="s">
        <v>960</v>
      </c>
      <c r="E162" s="92" t="str">
        <f t="shared" si="7"/>
        <v>PROTECTIONRL_ESTT_CTY</v>
      </c>
      <c r="F162" s="90" t="s">
        <v>127</v>
      </c>
      <c r="G162" t="s">
        <v>33</v>
      </c>
      <c r="H162" t="s">
        <v>568</v>
      </c>
      <c r="I162" t="s">
        <v>706</v>
      </c>
      <c r="J162" t="s">
        <v>706</v>
      </c>
      <c r="K162" t="s">
        <v>709</v>
      </c>
      <c r="L162" t="str">
        <f>+IF(IFERROR(VLOOKUP(CONCATENATE(F162,H162),'2. Script '!A:A,1,FALSE),"#")=CONCATENATE(F162,H162),"Y","N")</f>
        <v>N</v>
      </c>
      <c r="M162" t="str">
        <f t="shared" si="6"/>
        <v>Y</v>
      </c>
    </row>
    <row r="163" spans="2:13">
      <c r="B163" s="92" t="s">
        <v>125</v>
      </c>
      <c r="C163" s="92" t="s">
        <v>508</v>
      </c>
      <c r="D163" s="92" t="s">
        <v>961</v>
      </c>
      <c r="E163" s="92" t="str">
        <f t="shared" si="7"/>
        <v>PROTECTIONTYP_EMSSNS_LBL</v>
      </c>
      <c r="F163" s="90" t="s">
        <v>127</v>
      </c>
      <c r="G163" t="s">
        <v>33</v>
      </c>
      <c r="H163" t="s">
        <v>747</v>
      </c>
      <c r="I163" t="s">
        <v>706</v>
      </c>
      <c r="J163" t="s">
        <v>706</v>
      </c>
      <c r="K163" t="s">
        <v>702</v>
      </c>
      <c r="L163" t="str">
        <f>+IF(IFERROR(VLOOKUP(CONCATENATE(F163,H163),'2. Script '!A:A,1,FALSE),"#")=CONCATENATE(F163,H163),"Y","N")</f>
        <v>N</v>
      </c>
      <c r="M163" t="str">
        <f t="shared" ref="M163:M184" si="8">+IF(IFERROR(VLOOKUP(CONCATENATE(F163,H163),D:D,1,FALSE),"#")=CONCATENATE(F163,H163),"Y","N")</f>
        <v>N</v>
      </c>
    </row>
    <row r="164" spans="2:13">
      <c r="B164" s="92" t="s">
        <v>125</v>
      </c>
      <c r="C164" s="92" t="s">
        <v>509</v>
      </c>
      <c r="D164" s="92" t="s">
        <v>962</v>
      </c>
      <c r="E164" s="92" t="str">
        <f t="shared" si="7"/>
        <v>PROTECTIONEPC_EMSSNS_LBL</v>
      </c>
      <c r="F164" s="90" t="s">
        <v>127</v>
      </c>
      <c r="G164" t="s">
        <v>33</v>
      </c>
      <c r="H164" t="s">
        <v>748</v>
      </c>
      <c r="I164" t="s">
        <v>704</v>
      </c>
      <c r="J164" t="s">
        <v>707</v>
      </c>
      <c r="K164" t="s">
        <v>708</v>
      </c>
      <c r="L164" t="str">
        <f>+IF(IFERROR(VLOOKUP(CONCATENATE(F164,H164),'2. Script '!A:A,1,FALSE),"#")=CONCATENATE(F164,H164),"Y","N")</f>
        <v>N</v>
      </c>
      <c r="M164" t="str">
        <f t="shared" si="8"/>
        <v>N</v>
      </c>
    </row>
    <row r="165" spans="2:13">
      <c r="B165" s="92" t="s">
        <v>125</v>
      </c>
      <c r="C165" s="92" t="s">
        <v>510</v>
      </c>
      <c r="D165" s="92" t="s">
        <v>963</v>
      </c>
      <c r="E165" s="92" t="str">
        <f t="shared" si="7"/>
        <v>PROTECTIONVHCL_EMSSNS_LBL</v>
      </c>
      <c r="F165" s="90" t="s">
        <v>127</v>
      </c>
      <c r="G165" t="s">
        <v>33</v>
      </c>
      <c r="H165" t="s">
        <v>749</v>
      </c>
      <c r="I165" t="s">
        <v>706</v>
      </c>
      <c r="J165" t="s">
        <v>706</v>
      </c>
      <c r="K165" t="s">
        <v>702</v>
      </c>
      <c r="L165" t="str">
        <f>+IF(IFERROR(VLOOKUP(CONCATENATE(F165,H165),'2. Script '!A:A,1,FALSE),"#")=CONCATENATE(F165,H165),"Y","N")</f>
        <v>N</v>
      </c>
      <c r="M165" t="str">
        <f t="shared" si="8"/>
        <v>N</v>
      </c>
    </row>
    <row r="166" spans="2:13">
      <c r="B166" s="92" t="s">
        <v>125</v>
      </c>
      <c r="C166" s="92" t="s">
        <v>511</v>
      </c>
      <c r="D166" s="92" t="s">
        <v>964</v>
      </c>
      <c r="E166" s="92" t="str">
        <f t="shared" si="7"/>
        <v>PROTECTIONTYP_EMSSNS_SCR</v>
      </c>
      <c r="F166" s="90" t="s">
        <v>127</v>
      </c>
      <c r="G166" t="s">
        <v>33</v>
      </c>
      <c r="H166" t="s">
        <v>750</v>
      </c>
      <c r="I166" t="s">
        <v>704</v>
      </c>
      <c r="J166" t="s">
        <v>707</v>
      </c>
      <c r="K166" t="s">
        <v>708</v>
      </c>
      <c r="L166" t="str">
        <f>+IF(IFERROR(VLOOKUP(CONCATENATE(F166,H166),'2. Script '!A:A,1,FALSE),"#")=CONCATENATE(F166,H166),"Y","N")</f>
        <v>N</v>
      </c>
      <c r="M166" t="str">
        <f t="shared" si="8"/>
        <v>N</v>
      </c>
    </row>
    <row r="167" spans="2:13">
      <c r="B167" s="92" t="s">
        <v>125</v>
      </c>
      <c r="C167" s="92" t="s">
        <v>443</v>
      </c>
      <c r="D167" s="92" t="s">
        <v>965</v>
      </c>
      <c r="E167" s="92" t="str">
        <f t="shared" si="7"/>
        <v>PROTECTIONEPC_EMSSNS_SCR</v>
      </c>
      <c r="F167" s="90" t="s">
        <v>127</v>
      </c>
      <c r="G167" t="s">
        <v>33</v>
      </c>
      <c r="H167" t="s">
        <v>751</v>
      </c>
      <c r="I167" t="s">
        <v>704</v>
      </c>
      <c r="J167" t="s">
        <v>707</v>
      </c>
      <c r="K167" t="s">
        <v>708</v>
      </c>
      <c r="L167" t="str">
        <f>+IF(IFERROR(VLOOKUP(CONCATENATE(F167,H167),'2. Script '!A:A,1,FALSE),"#")=CONCATENATE(F167,H167),"Y","N")</f>
        <v>N</v>
      </c>
      <c r="M167" t="str">
        <f t="shared" si="8"/>
        <v>N</v>
      </c>
    </row>
    <row r="168" spans="2:13">
      <c r="B168" s="92" t="s">
        <v>125</v>
      </c>
      <c r="C168" s="92" t="s">
        <v>444</v>
      </c>
      <c r="D168" s="92" t="s">
        <v>966</v>
      </c>
      <c r="E168" s="92" t="str">
        <f t="shared" si="7"/>
        <v>PROTECTIONVHCL_EMSSNS_SCR</v>
      </c>
      <c r="F168" s="90" t="s">
        <v>127</v>
      </c>
      <c r="G168" t="s">
        <v>33</v>
      </c>
      <c r="H168" t="s">
        <v>752</v>
      </c>
      <c r="I168" t="s">
        <v>706</v>
      </c>
      <c r="J168" t="s">
        <v>706</v>
      </c>
      <c r="K168" t="s">
        <v>702</v>
      </c>
      <c r="L168" t="str">
        <f>+IF(IFERROR(VLOOKUP(CONCATENATE(F168,H168),'2. Script '!A:A,1,FALSE),"#")=CONCATENATE(F168,H168),"Y","N")</f>
        <v>N</v>
      </c>
      <c r="M168" t="str">
        <f t="shared" si="8"/>
        <v>N</v>
      </c>
    </row>
    <row r="169" spans="2:13">
      <c r="B169" s="92" t="s">
        <v>125</v>
      </c>
      <c r="C169" s="92" t="s">
        <v>515</v>
      </c>
      <c r="D169" s="92" t="s">
        <v>967</v>
      </c>
      <c r="E169" s="92" t="str">
        <f t="shared" si="7"/>
        <v>PROTECTIONINSRNC_ID</v>
      </c>
      <c r="F169" s="90" t="s">
        <v>127</v>
      </c>
      <c r="G169" t="s">
        <v>33</v>
      </c>
      <c r="H169" t="s">
        <v>753</v>
      </c>
      <c r="I169" t="s">
        <v>706</v>
      </c>
      <c r="J169" t="s">
        <v>706</v>
      </c>
      <c r="K169" t="s">
        <v>702</v>
      </c>
      <c r="L169" t="str">
        <f>+IF(IFERROR(VLOOKUP(CONCATENATE(F169,H169),'2. Script '!A:A,1,FALSE),"#")=CONCATENATE(F169,H169),"Y","N")</f>
        <v>N</v>
      </c>
      <c r="M169" t="str">
        <f t="shared" si="8"/>
        <v>N</v>
      </c>
    </row>
    <row r="170" spans="2:13">
      <c r="B170" s="92" t="s">
        <v>125</v>
      </c>
      <c r="C170" s="92" t="s">
        <v>447</v>
      </c>
      <c r="D170" s="92" t="s">
        <v>968</v>
      </c>
      <c r="E170" s="92" t="str">
        <f t="shared" si="7"/>
        <v>PROTECTIONTYP_HZRDS_INSRD</v>
      </c>
      <c r="F170" s="90" t="s">
        <v>127</v>
      </c>
      <c r="G170" t="s">
        <v>33</v>
      </c>
      <c r="H170" t="s">
        <v>754</v>
      </c>
      <c r="I170" t="s">
        <v>706</v>
      </c>
      <c r="J170" t="s">
        <v>706</v>
      </c>
      <c r="K170" t="s">
        <v>702</v>
      </c>
      <c r="L170" t="str">
        <f>+IF(IFERROR(VLOOKUP(CONCATENATE(F170,H170),'2. Script '!A:A,1,FALSE),"#")=CONCATENATE(F170,H170),"Y","N")</f>
        <v>N</v>
      </c>
      <c r="M170" t="str">
        <f t="shared" si="8"/>
        <v>N</v>
      </c>
    </row>
    <row r="171" spans="2:13">
      <c r="B171" s="92" t="s">
        <v>125</v>
      </c>
      <c r="C171" s="92" t="s">
        <v>98</v>
      </c>
      <c r="D171" s="92" t="s">
        <v>794</v>
      </c>
      <c r="E171" s="92" t="str">
        <f t="shared" si="7"/>
        <v>PROTECTIONAMNT_CVRD_INSRNC</v>
      </c>
      <c r="F171" s="90" t="s">
        <v>127</v>
      </c>
      <c r="G171" t="s">
        <v>33</v>
      </c>
      <c r="H171" t="s">
        <v>755</v>
      </c>
      <c r="I171" t="s">
        <v>706</v>
      </c>
      <c r="J171" t="s">
        <v>706</v>
      </c>
      <c r="K171" t="s">
        <v>702</v>
      </c>
      <c r="L171" t="str">
        <f>+IF(IFERROR(VLOOKUP(CONCATENATE(F171,H171),'2. Script '!A:A,1,FALSE),"#")=CONCATENATE(F171,H171),"Y","N")</f>
        <v>N</v>
      </c>
      <c r="M171" t="str">
        <f t="shared" si="8"/>
        <v>N</v>
      </c>
    </row>
    <row r="172" spans="2:13">
      <c r="B172" s="92" t="s">
        <v>125</v>
      </c>
      <c r="C172" s="92" t="s">
        <v>445</v>
      </c>
      <c r="D172" s="92" t="s">
        <v>969</v>
      </c>
      <c r="E172" s="92" t="str">
        <f t="shared" si="7"/>
        <v>PROTECTIONDT_MTRTY_INSRNC</v>
      </c>
      <c r="F172" s="90" t="s">
        <v>127</v>
      </c>
      <c r="G172" t="s">
        <v>33</v>
      </c>
      <c r="H172" t="s">
        <v>756</v>
      </c>
      <c r="I172" t="s">
        <v>706</v>
      </c>
      <c r="J172" t="s">
        <v>706</v>
      </c>
      <c r="K172" t="s">
        <v>702</v>
      </c>
      <c r="L172" t="str">
        <f>+IF(IFERROR(VLOOKUP(CONCATENATE(F172,H172),'2. Script '!A:A,1,FALSE),"#")=CONCATENATE(F172,H172),"Y","N")</f>
        <v>N</v>
      </c>
      <c r="M172" t="str">
        <f t="shared" si="8"/>
        <v>N</v>
      </c>
    </row>
    <row r="173" spans="2:13">
      <c r="B173" s="92" t="s">
        <v>125</v>
      </c>
      <c r="C173" s="92" t="s">
        <v>446</v>
      </c>
      <c r="D173" s="92" t="s">
        <v>970</v>
      </c>
      <c r="E173" s="92" t="str">
        <f t="shared" si="7"/>
        <v>PROTECTIONFLG_FRST_HM</v>
      </c>
      <c r="F173" s="90" t="s">
        <v>127</v>
      </c>
      <c r="G173" t="s">
        <v>33</v>
      </c>
      <c r="H173" t="s">
        <v>757</v>
      </c>
      <c r="I173" t="s">
        <v>706</v>
      </c>
      <c r="J173" t="s">
        <v>706</v>
      </c>
      <c r="K173" t="s">
        <v>702</v>
      </c>
      <c r="L173" t="str">
        <f>+IF(IFERROR(VLOOKUP(CONCATENATE(F173,H173),'2. Script '!A:A,1,FALSE),"#")=CONCATENATE(F173,H173),"Y","N")</f>
        <v>N</v>
      </c>
      <c r="M173" t="str">
        <f t="shared" si="8"/>
        <v>N</v>
      </c>
    </row>
    <row r="174" spans="2:13">
      <c r="B174" s="92" t="s">
        <v>125</v>
      </c>
      <c r="C174" s="92" t="s">
        <v>545</v>
      </c>
      <c r="D174" s="92" t="s">
        <v>971</v>
      </c>
      <c r="E174" s="92" t="str">
        <f t="shared" si="7"/>
        <v>PROTECTIONYR_CNSTRCTN</v>
      </c>
      <c r="F174" s="90" t="s">
        <v>127</v>
      </c>
      <c r="G174" t="s">
        <v>33</v>
      </c>
      <c r="H174" t="s">
        <v>593</v>
      </c>
      <c r="I174" t="s">
        <v>706</v>
      </c>
      <c r="J174" t="s">
        <v>706</v>
      </c>
      <c r="K174" t="s">
        <v>709</v>
      </c>
      <c r="L174" t="str">
        <f>+IF(IFERROR(VLOOKUP(CONCATENATE(F174,H174),'2. Script '!A:A,1,FALSE),"#")=CONCATENATE(F174,H174),"Y","N")</f>
        <v>Y</v>
      </c>
      <c r="M174" t="str">
        <f t="shared" si="8"/>
        <v>Y</v>
      </c>
    </row>
    <row r="175" spans="2:13">
      <c r="B175" s="92" t="s">
        <v>125</v>
      </c>
      <c r="C175" s="92" t="s">
        <v>546</v>
      </c>
      <c r="D175" s="92" t="s">
        <v>972</v>
      </c>
      <c r="E175" s="92" t="str">
        <f t="shared" si="7"/>
        <v>PROTECTIONBLDNG_AR</v>
      </c>
      <c r="F175" s="90" t="s">
        <v>127</v>
      </c>
      <c r="G175" t="s">
        <v>33</v>
      </c>
      <c r="H175" t="s">
        <v>758</v>
      </c>
      <c r="I175" t="s">
        <v>706</v>
      </c>
      <c r="J175" t="s">
        <v>706</v>
      </c>
      <c r="K175" t="s">
        <v>709</v>
      </c>
      <c r="L175" t="str">
        <f>+IF(IFERROR(VLOOKUP(CONCATENATE(F175,H175),'2. Script '!A:A,1,FALSE),"#")=CONCATENATE(F175,H175),"Y","N")</f>
        <v>N</v>
      </c>
      <c r="M175" t="str">
        <f t="shared" si="8"/>
        <v>N</v>
      </c>
    </row>
    <row r="176" spans="2:13">
      <c r="B176" s="92" t="s">
        <v>125</v>
      </c>
      <c r="C176" s="92" t="s">
        <v>547</v>
      </c>
      <c r="D176" s="92" t="s">
        <v>973</v>
      </c>
      <c r="E176" s="92" t="str">
        <f t="shared" si="7"/>
        <v>PROTECTIONRL_ESTT_CRTFCTN</v>
      </c>
      <c r="F176" s="90" t="s">
        <v>127</v>
      </c>
      <c r="G176" t="s">
        <v>33</v>
      </c>
      <c r="H176" t="s">
        <v>759</v>
      </c>
      <c r="I176" t="s">
        <v>706</v>
      </c>
      <c r="J176" t="s">
        <v>706</v>
      </c>
      <c r="K176" t="s">
        <v>702</v>
      </c>
      <c r="L176" t="str">
        <f>+IF(IFERROR(VLOOKUP(CONCATENATE(F176,H176),'2. Script '!A:A,1,FALSE),"#")=CONCATENATE(F176,H176),"Y","N")</f>
        <v>N</v>
      </c>
      <c r="M176" t="str">
        <f t="shared" si="8"/>
        <v>N</v>
      </c>
    </row>
    <row r="177" spans="2:13">
      <c r="B177" s="92" t="s">
        <v>126</v>
      </c>
      <c r="C177" s="92" t="s">
        <v>335</v>
      </c>
      <c r="D177" s="92" t="s">
        <v>974</v>
      </c>
      <c r="E177" s="92" t="str">
        <f t="shared" si="7"/>
        <v>PROTECTIONTYP_VHCL</v>
      </c>
      <c r="F177" s="90" t="s">
        <v>127</v>
      </c>
      <c r="G177" t="s">
        <v>33</v>
      </c>
      <c r="H177" t="s">
        <v>760</v>
      </c>
      <c r="I177" t="s">
        <v>704</v>
      </c>
      <c r="J177" t="s">
        <v>707</v>
      </c>
      <c r="K177" t="s">
        <v>708</v>
      </c>
      <c r="L177" t="str">
        <f>+IF(IFERROR(VLOOKUP(CONCATENATE(F177,H177),'2. Script '!A:A,1,FALSE),"#")=CONCATENATE(F177,H177),"Y","N")</f>
        <v>N</v>
      </c>
      <c r="M177" t="str">
        <f t="shared" si="8"/>
        <v>N</v>
      </c>
    </row>
    <row r="178" spans="2:13">
      <c r="B178" s="92" t="s">
        <v>126</v>
      </c>
      <c r="C178" s="92" t="s">
        <v>116</v>
      </c>
      <c r="D178" s="92" t="s">
        <v>776</v>
      </c>
      <c r="E178" s="92" t="str">
        <f t="shared" si="7"/>
        <v>PROTECTIONDT_RGSTRTN</v>
      </c>
      <c r="F178" s="90" t="s">
        <v>127</v>
      </c>
      <c r="G178" t="s">
        <v>33</v>
      </c>
      <c r="H178" t="s">
        <v>761</v>
      </c>
      <c r="I178" t="s">
        <v>706</v>
      </c>
      <c r="J178" t="s">
        <v>706</v>
      </c>
      <c r="K178" t="s">
        <v>702</v>
      </c>
      <c r="L178" t="str">
        <f>+IF(IFERROR(VLOOKUP(CONCATENATE(F178,H178),'2. Script '!A:A,1,FALSE),"#")=CONCATENATE(F178,H178),"Y","N")</f>
        <v>N</v>
      </c>
      <c r="M178" t="str">
        <f t="shared" si="8"/>
        <v>N</v>
      </c>
    </row>
    <row r="179" spans="2:13">
      <c r="B179" s="92" t="s">
        <v>126</v>
      </c>
      <c r="C179" s="92" t="s">
        <v>397</v>
      </c>
      <c r="D179" s="92" t="s">
        <v>975</v>
      </c>
      <c r="E179" s="92" t="str">
        <f t="shared" si="7"/>
        <v>PROTECTIONPRMRY_ENRGY_DMND_NN_RNWBL</v>
      </c>
      <c r="F179" s="90" t="s">
        <v>127</v>
      </c>
      <c r="G179" t="s">
        <v>33</v>
      </c>
      <c r="H179" t="s">
        <v>762</v>
      </c>
      <c r="I179" t="s">
        <v>706</v>
      </c>
      <c r="J179" t="s">
        <v>706</v>
      </c>
      <c r="K179" t="s">
        <v>709</v>
      </c>
      <c r="L179" t="str">
        <f>+IF(IFERROR(VLOOKUP(CONCATENATE(F179,H179),'2. Script '!A:A,1,FALSE),"#")=CONCATENATE(F179,H179),"Y","N")</f>
        <v>N</v>
      </c>
      <c r="M179" t="str">
        <f t="shared" si="8"/>
        <v>N</v>
      </c>
    </row>
    <row r="180" spans="2:13">
      <c r="B180" s="92" t="s">
        <v>126</v>
      </c>
      <c r="C180" s="92" t="s">
        <v>366</v>
      </c>
      <c r="D180" s="92" t="s">
        <v>976</v>
      </c>
      <c r="E180" s="92" t="str">
        <f t="shared" si="7"/>
        <v>PROTECTIONPRMRY_ENRGY_DMND_TTL</v>
      </c>
      <c r="F180" s="90" t="s">
        <v>127</v>
      </c>
      <c r="G180" t="s">
        <v>33</v>
      </c>
      <c r="H180" t="s">
        <v>763</v>
      </c>
      <c r="I180" t="s">
        <v>706</v>
      </c>
      <c r="J180" t="s">
        <v>707</v>
      </c>
      <c r="K180" t="s">
        <v>708</v>
      </c>
      <c r="L180" t="str">
        <f>+IF(IFERROR(VLOOKUP(CONCATENATE(F180,H180),'2. Script '!A:A,1,FALSE),"#")=CONCATENATE(F180,H180),"Y","N")</f>
        <v>N</v>
      </c>
      <c r="M180" t="str">
        <f t="shared" si="8"/>
        <v>N</v>
      </c>
    </row>
    <row r="181" spans="2:13">
      <c r="B181" s="92" t="s">
        <v>126</v>
      </c>
      <c r="C181" s="92" t="s">
        <v>398</v>
      </c>
      <c r="D181" s="92" t="s">
        <v>977</v>
      </c>
      <c r="E181" s="92" t="str">
        <f t="shared" si="7"/>
        <v>PROTECTIONPRMRY_ENRGY_DMND_RFRNC_VL</v>
      </c>
      <c r="F181" s="90" t="s">
        <v>127</v>
      </c>
      <c r="G181" t="s">
        <v>33</v>
      </c>
      <c r="H181" t="s">
        <v>764</v>
      </c>
      <c r="I181" t="s">
        <v>706</v>
      </c>
      <c r="J181" t="s">
        <v>707</v>
      </c>
      <c r="K181" t="s">
        <v>708</v>
      </c>
      <c r="L181" t="str">
        <f>+IF(IFERROR(VLOOKUP(CONCATENATE(F181,H181),'2. Script '!A:A,1,FALSE),"#")=CONCATENATE(F181,H181),"Y","N")</f>
        <v>N</v>
      </c>
      <c r="M181" t="str">
        <f t="shared" si="8"/>
        <v>N</v>
      </c>
    </row>
    <row r="182" spans="2:13">
      <c r="B182" s="92" t="s">
        <v>126</v>
      </c>
      <c r="C182" s="92" t="s">
        <v>367</v>
      </c>
      <c r="D182" s="92" t="s">
        <v>978</v>
      </c>
      <c r="E182" s="92" t="str">
        <f t="shared" si="7"/>
        <v>PROTECTIONRL_ESTT_CLMT_ZN</v>
      </c>
      <c r="F182" s="90" t="s">
        <v>127</v>
      </c>
      <c r="G182" t="s">
        <v>33</v>
      </c>
      <c r="H182" t="s">
        <v>765</v>
      </c>
      <c r="I182" t="s">
        <v>706</v>
      </c>
      <c r="J182" t="s">
        <v>707</v>
      </c>
      <c r="K182" t="s">
        <v>708</v>
      </c>
      <c r="L182" t="str">
        <f>+IF(IFERROR(VLOOKUP(CONCATENATE(F182,H182),'2. Script '!A:A,1,FALSE),"#")=CONCATENATE(F182,H182),"Y","N")</f>
        <v>N</v>
      </c>
      <c r="M182" t="str">
        <f t="shared" si="8"/>
        <v>N</v>
      </c>
    </row>
    <row r="183" spans="2:13">
      <c r="B183" s="92" t="s">
        <v>126</v>
      </c>
      <c r="C183" s="92" t="s">
        <v>368</v>
      </c>
      <c r="D183" s="92" t="s">
        <v>979</v>
      </c>
      <c r="E183" s="92" t="str">
        <f t="shared" si="7"/>
        <v>PROTECTIONflg_col</v>
      </c>
      <c r="F183" s="90" t="s">
        <v>127</v>
      </c>
      <c r="G183" t="s">
        <v>33</v>
      </c>
      <c r="H183" t="s">
        <v>694</v>
      </c>
      <c r="I183" t="s">
        <v>746</v>
      </c>
      <c r="J183" t="s">
        <v>746</v>
      </c>
      <c r="L183" t="str">
        <f>+IF(IFERROR(VLOOKUP(CONCATENATE(F183,H183),'2. Script '!A:A,1,FALSE),"#")=CONCATENATE(F183,H183),"Y","N")</f>
        <v>N</v>
      </c>
      <c r="M183" t="str">
        <f t="shared" si="8"/>
        <v>N</v>
      </c>
    </row>
    <row r="184" spans="2:13">
      <c r="B184" s="92" t="s">
        <v>126</v>
      </c>
      <c r="C184" s="92" t="s">
        <v>369</v>
      </c>
      <c r="D184" s="92" t="s">
        <v>980</v>
      </c>
      <c r="E184" s="92" t="str">
        <f t="shared" si="7"/>
        <v>PROTECTIONflg_pro</v>
      </c>
      <c r="F184" s="90" t="s">
        <v>127</v>
      </c>
      <c r="G184" t="s">
        <v>33</v>
      </c>
      <c r="H184" t="s">
        <v>695</v>
      </c>
      <c r="I184" t="s">
        <v>746</v>
      </c>
      <c r="J184" t="s">
        <v>746</v>
      </c>
      <c r="L184" t="str">
        <f>+IF(IFERROR(VLOOKUP(CONCATENATE(F184,H184),'2. Script '!A:A,1,FALSE),"#")=CONCATENATE(F184,H184),"Y","N")</f>
        <v>N</v>
      </c>
      <c r="M184" t="str">
        <f t="shared" si="8"/>
        <v>N</v>
      </c>
    </row>
    <row r="185" spans="2:13">
      <c r="B185" s="92" t="s">
        <v>126</v>
      </c>
      <c r="C185" s="92" t="s">
        <v>112</v>
      </c>
      <c r="D185" s="92" t="s">
        <v>769</v>
      </c>
      <c r="E185" s="92"/>
    </row>
    <row r="186" spans="2:13">
      <c r="B186" s="92" t="s">
        <v>126</v>
      </c>
      <c r="C186" s="92" t="s">
        <v>108</v>
      </c>
      <c r="D186" s="92" t="s">
        <v>768</v>
      </c>
      <c r="E186" s="92"/>
    </row>
    <row r="187" spans="2:13">
      <c r="B187" s="92" t="s">
        <v>126</v>
      </c>
      <c r="C187" s="92" t="s">
        <v>336</v>
      </c>
      <c r="D187" s="92" t="s">
        <v>981</v>
      </c>
      <c r="E187" s="92"/>
    </row>
    <row r="188" spans="2:13">
      <c r="B188" s="92" t="s">
        <v>126</v>
      </c>
      <c r="C188" s="92" t="s">
        <v>370</v>
      </c>
      <c r="D188" s="92" t="s">
        <v>982</v>
      </c>
      <c r="E188" s="92"/>
    </row>
    <row r="189" spans="2:13">
      <c r="B189" s="92" t="s">
        <v>126</v>
      </c>
      <c r="C189" s="92" t="s">
        <v>371</v>
      </c>
      <c r="D189" s="92" t="s">
        <v>983</v>
      </c>
      <c r="E189" s="92"/>
    </row>
    <row r="190" spans="2:13">
      <c r="B190" s="92" t="s">
        <v>126</v>
      </c>
      <c r="C190" s="92" t="s">
        <v>389</v>
      </c>
      <c r="D190" s="92" t="s">
        <v>984</v>
      </c>
      <c r="E190" s="92"/>
    </row>
    <row r="191" spans="2:13">
      <c r="B191" s="92" t="s">
        <v>126</v>
      </c>
      <c r="C191" s="92" t="s">
        <v>390</v>
      </c>
      <c r="D191" s="92" t="s">
        <v>985</v>
      </c>
      <c r="E191" s="92"/>
    </row>
    <row r="192" spans="2:13">
      <c r="B192" s="92" t="s">
        <v>126</v>
      </c>
      <c r="C192" s="92" t="s">
        <v>391</v>
      </c>
      <c r="D192" s="92" t="s">
        <v>986</v>
      </c>
      <c r="E192" s="92"/>
    </row>
    <row r="193" spans="2:5">
      <c r="B193" s="92" t="s">
        <v>126</v>
      </c>
      <c r="C193" s="92" t="s">
        <v>392</v>
      </c>
      <c r="D193" s="92" t="s">
        <v>987</v>
      </c>
      <c r="E193" s="92"/>
    </row>
    <row r="194" spans="2:5">
      <c r="B194" s="92" t="s">
        <v>126</v>
      </c>
      <c r="C194" s="92" t="s">
        <v>337</v>
      </c>
      <c r="D194" s="92" t="s">
        <v>988</v>
      </c>
      <c r="E194" s="92"/>
    </row>
    <row r="195" spans="2:5">
      <c r="B195" s="92" t="s">
        <v>126</v>
      </c>
      <c r="C195" s="92" t="s">
        <v>338</v>
      </c>
      <c r="D195" s="92" t="s">
        <v>989</v>
      </c>
      <c r="E195" s="92"/>
    </row>
    <row r="196" spans="2:5">
      <c r="B196" s="92" t="s">
        <v>126</v>
      </c>
      <c r="C196" s="92" t="s">
        <v>323</v>
      </c>
      <c r="D196" s="92" t="s">
        <v>990</v>
      </c>
      <c r="E196" s="92"/>
    </row>
    <row r="197" spans="2:5">
      <c r="B197" s="92" t="s">
        <v>126</v>
      </c>
      <c r="C197" s="92" t="s">
        <v>324</v>
      </c>
      <c r="D197" s="92" t="s">
        <v>991</v>
      </c>
      <c r="E197" s="92"/>
    </row>
    <row r="198" spans="2:5">
      <c r="B198" s="92" t="s">
        <v>126</v>
      </c>
      <c r="C198" s="92" t="s">
        <v>339</v>
      </c>
      <c r="D198" s="92" t="s">
        <v>992</v>
      </c>
      <c r="E198" s="92"/>
    </row>
    <row r="199" spans="2:5">
      <c r="B199" s="92" t="s">
        <v>126</v>
      </c>
      <c r="C199" s="92" t="s">
        <v>325</v>
      </c>
      <c r="D199" s="92" t="s">
        <v>993</v>
      </c>
      <c r="E199" s="92"/>
    </row>
    <row r="200" spans="2:5">
      <c r="B200" s="92" t="s">
        <v>126</v>
      </c>
      <c r="C200" s="92" t="s">
        <v>326</v>
      </c>
      <c r="D200" s="92" t="s">
        <v>994</v>
      </c>
      <c r="E200" s="92"/>
    </row>
    <row r="201" spans="2:5">
      <c r="B201" s="92" t="s">
        <v>126</v>
      </c>
      <c r="C201" s="92" t="s">
        <v>340</v>
      </c>
      <c r="D201" s="92" t="s">
        <v>995</v>
      </c>
      <c r="E201" s="92"/>
    </row>
    <row r="202" spans="2:5">
      <c r="B202" s="92" t="s">
        <v>126</v>
      </c>
      <c r="C202" s="92" t="s">
        <v>327</v>
      </c>
      <c r="D202" s="92" t="s">
        <v>996</v>
      </c>
      <c r="E202" s="92"/>
    </row>
    <row r="203" spans="2:5">
      <c r="B203" s="92" t="s">
        <v>126</v>
      </c>
      <c r="C203" s="92" t="s">
        <v>328</v>
      </c>
      <c r="D203" s="92" t="s">
        <v>997</v>
      </c>
      <c r="E203" s="92"/>
    </row>
    <row r="204" spans="2:5">
      <c r="B204" s="92" t="s">
        <v>126</v>
      </c>
      <c r="C204" s="92" t="s">
        <v>603</v>
      </c>
      <c r="D204" s="92" t="s">
        <v>770</v>
      </c>
      <c r="E204" s="92"/>
    </row>
    <row r="205" spans="2:5">
      <c r="B205" s="92" t="s">
        <v>126</v>
      </c>
      <c r="C205" s="92" t="s">
        <v>372</v>
      </c>
      <c r="D205" s="92" t="s">
        <v>998</v>
      </c>
      <c r="E205" s="92"/>
    </row>
    <row r="206" spans="2:5">
      <c r="B206" s="92" t="s">
        <v>126</v>
      </c>
      <c r="C206" s="92" t="s">
        <v>373</v>
      </c>
      <c r="D206" s="92" t="s">
        <v>999</v>
      </c>
      <c r="E206" s="92"/>
    </row>
    <row r="207" spans="2:5">
      <c r="B207" s="92" t="s">
        <v>126</v>
      </c>
      <c r="C207" s="92" t="s">
        <v>401</v>
      </c>
      <c r="D207" s="92" t="s">
        <v>1000</v>
      </c>
      <c r="E207" s="92"/>
    </row>
    <row r="208" spans="2:5">
      <c r="B208" s="92" t="s">
        <v>126</v>
      </c>
      <c r="C208" s="92" t="s">
        <v>402</v>
      </c>
      <c r="D208" s="92" t="s">
        <v>780</v>
      </c>
      <c r="E208" s="92"/>
    </row>
    <row r="209" spans="2:5">
      <c r="B209" s="92" t="s">
        <v>126</v>
      </c>
      <c r="C209" s="92" t="s">
        <v>114</v>
      </c>
      <c r="D209" s="92" t="s">
        <v>774</v>
      </c>
      <c r="E209" s="92"/>
    </row>
    <row r="210" spans="2:5">
      <c r="B210" s="92" t="s">
        <v>126</v>
      </c>
      <c r="C210" s="92" t="s">
        <v>342</v>
      </c>
      <c r="D210" s="92" t="s">
        <v>1001</v>
      </c>
      <c r="E210" s="92"/>
    </row>
    <row r="211" spans="2:5">
      <c r="B211" s="92" t="s">
        <v>126</v>
      </c>
      <c r="C211" s="92" t="s">
        <v>341</v>
      </c>
      <c r="D211" s="92" t="s">
        <v>1002</v>
      </c>
      <c r="E211" s="92"/>
    </row>
    <row r="212" spans="2:5">
      <c r="B212" s="92" t="s">
        <v>126</v>
      </c>
      <c r="C212" s="92" t="s">
        <v>343</v>
      </c>
      <c r="D212" s="92" t="s">
        <v>1003</v>
      </c>
      <c r="E212" s="92"/>
    </row>
    <row r="213" spans="2:5">
      <c r="B213" s="92" t="s">
        <v>126</v>
      </c>
      <c r="C213" s="92" t="s">
        <v>604</v>
      </c>
      <c r="D213" s="92" t="s">
        <v>771</v>
      </c>
      <c r="E213" s="92"/>
    </row>
    <row r="214" spans="2:5">
      <c r="B214" s="92" t="s">
        <v>126</v>
      </c>
      <c r="C214" s="92" t="s">
        <v>333</v>
      </c>
      <c r="D214" s="92" t="s">
        <v>773</v>
      </c>
      <c r="E214" s="92"/>
    </row>
    <row r="215" spans="2:5">
      <c r="B215" s="92" t="s">
        <v>126</v>
      </c>
      <c r="C215" s="92" t="s">
        <v>117</v>
      </c>
      <c r="D215" s="92" t="s">
        <v>777</v>
      </c>
      <c r="E215" s="92"/>
    </row>
    <row r="216" spans="2:5">
      <c r="B216" s="92" t="s">
        <v>126</v>
      </c>
      <c r="C216" s="92" t="s">
        <v>374</v>
      </c>
      <c r="D216" s="92" t="s">
        <v>1004</v>
      </c>
      <c r="E216" s="92"/>
    </row>
    <row r="217" spans="2:5">
      <c r="B217" s="92" t="s">
        <v>126</v>
      </c>
      <c r="C217" s="92" t="s">
        <v>344</v>
      </c>
      <c r="D217" s="92" t="s">
        <v>1005</v>
      </c>
      <c r="E217" s="92"/>
    </row>
    <row r="218" spans="2:5">
      <c r="B218" s="92" t="s">
        <v>126</v>
      </c>
      <c r="C218" s="92" t="s">
        <v>334</v>
      </c>
      <c r="D218" s="92" t="s">
        <v>1006</v>
      </c>
      <c r="E218" s="92"/>
    </row>
    <row r="219" spans="2:5">
      <c r="B219" s="92" t="s">
        <v>126</v>
      </c>
      <c r="C219" s="92" t="s">
        <v>345</v>
      </c>
      <c r="D219" s="92" t="s">
        <v>1007</v>
      </c>
      <c r="E219" s="92"/>
    </row>
    <row r="220" spans="2:5">
      <c r="B220" s="92" t="s">
        <v>126</v>
      </c>
      <c r="C220" s="92" t="s">
        <v>346</v>
      </c>
      <c r="D220" s="92" t="s">
        <v>1008</v>
      </c>
      <c r="E220" s="92"/>
    </row>
    <row r="221" spans="2:5">
      <c r="B221" s="92" t="s">
        <v>126</v>
      </c>
      <c r="C221" s="92" t="s">
        <v>347</v>
      </c>
      <c r="D221" s="92" t="s">
        <v>1009</v>
      </c>
      <c r="E221" s="92"/>
    </row>
    <row r="222" spans="2:5">
      <c r="B222" s="92" t="s">
        <v>126</v>
      </c>
      <c r="C222" s="92" t="s">
        <v>348</v>
      </c>
      <c r="D222" s="92" t="s">
        <v>1010</v>
      </c>
      <c r="E222" s="92"/>
    </row>
    <row r="223" spans="2:5">
      <c r="B223" s="92" t="s">
        <v>126</v>
      </c>
      <c r="C223" s="92" t="s">
        <v>349</v>
      </c>
      <c r="D223" s="92" t="s">
        <v>1011</v>
      </c>
      <c r="E223" s="92"/>
    </row>
    <row r="224" spans="2:5">
      <c r="B224" s="92" t="s">
        <v>126</v>
      </c>
      <c r="C224" s="92" t="s">
        <v>350</v>
      </c>
      <c r="D224" s="92" t="s">
        <v>1012</v>
      </c>
      <c r="E224" s="92"/>
    </row>
    <row r="225" spans="2:5">
      <c r="B225" s="92" t="s">
        <v>126</v>
      </c>
      <c r="C225" s="92" t="s">
        <v>351</v>
      </c>
      <c r="D225" s="92" t="s">
        <v>1013</v>
      </c>
      <c r="E225" s="92"/>
    </row>
    <row r="226" spans="2:5">
      <c r="B226" s="92" t="s">
        <v>126</v>
      </c>
      <c r="C226" s="92" t="s">
        <v>352</v>
      </c>
      <c r="D226" s="92" t="s">
        <v>1014</v>
      </c>
      <c r="E226" s="92"/>
    </row>
    <row r="227" spans="2:5">
      <c r="B227" s="92" t="s">
        <v>126</v>
      </c>
      <c r="C227" s="92" t="s">
        <v>353</v>
      </c>
      <c r="D227" s="92" t="s">
        <v>1015</v>
      </c>
      <c r="E227" s="92"/>
    </row>
    <row r="228" spans="2:5">
      <c r="B228" s="92" t="s">
        <v>126</v>
      </c>
      <c r="C228" s="92" t="s">
        <v>404</v>
      </c>
      <c r="D228" s="92" t="s">
        <v>1016</v>
      </c>
      <c r="E228" s="92"/>
    </row>
    <row r="229" spans="2:5">
      <c r="B229" s="92" t="s">
        <v>126</v>
      </c>
      <c r="C229" s="92" t="s">
        <v>405</v>
      </c>
      <c r="D229" s="92" t="s">
        <v>1017</v>
      </c>
      <c r="E229" s="92"/>
    </row>
    <row r="230" spans="2:5">
      <c r="B230" s="92" t="s">
        <v>126</v>
      </c>
      <c r="C230" s="92" t="s">
        <v>406</v>
      </c>
      <c r="D230" s="92" t="s">
        <v>1018</v>
      </c>
      <c r="E230" s="92"/>
    </row>
    <row r="231" spans="2:5">
      <c r="B231" s="92" t="s">
        <v>126</v>
      </c>
      <c r="C231" s="92" t="s">
        <v>407</v>
      </c>
      <c r="D231" s="92" t="s">
        <v>1019</v>
      </c>
      <c r="E231" s="92"/>
    </row>
    <row r="232" spans="2:5">
      <c r="B232" s="92" t="s">
        <v>126</v>
      </c>
      <c r="C232" s="92" t="s">
        <v>329</v>
      </c>
      <c r="D232" s="92" t="s">
        <v>1020</v>
      </c>
      <c r="E232" s="92"/>
    </row>
    <row r="233" spans="2:5">
      <c r="B233" s="92" t="s">
        <v>126</v>
      </c>
      <c r="C233" s="92" t="s">
        <v>330</v>
      </c>
      <c r="D233" s="92" t="s">
        <v>1021</v>
      </c>
      <c r="E233" s="92"/>
    </row>
    <row r="234" spans="2:5">
      <c r="B234" s="92" t="s">
        <v>126</v>
      </c>
      <c r="C234" s="92" t="s">
        <v>375</v>
      </c>
      <c r="D234" s="92" t="s">
        <v>1022</v>
      </c>
      <c r="E234" s="92"/>
    </row>
    <row r="235" spans="2:5">
      <c r="B235" s="92" t="s">
        <v>126</v>
      </c>
      <c r="C235" s="92" t="s">
        <v>376</v>
      </c>
      <c r="D235" s="92" t="s">
        <v>1023</v>
      </c>
      <c r="E235" s="92"/>
    </row>
    <row r="236" spans="2:5">
      <c r="B236" s="92" t="s">
        <v>126</v>
      </c>
      <c r="C236" s="92" t="s">
        <v>364</v>
      </c>
      <c r="D236" s="92" t="s">
        <v>1024</v>
      </c>
      <c r="E236" s="92"/>
    </row>
    <row r="237" spans="2:5">
      <c r="B237" s="92" t="s">
        <v>126</v>
      </c>
      <c r="C237" s="92" t="s">
        <v>115</v>
      </c>
      <c r="D237" s="92" t="s">
        <v>775</v>
      </c>
      <c r="E237" s="92"/>
    </row>
    <row r="238" spans="2:5">
      <c r="B238" s="92" t="s">
        <v>126</v>
      </c>
      <c r="C238" s="92" t="s">
        <v>365</v>
      </c>
      <c r="D238" s="92" t="s">
        <v>1025</v>
      </c>
      <c r="E238" s="92"/>
    </row>
    <row r="239" spans="2:5">
      <c r="B239" s="92" t="s">
        <v>126</v>
      </c>
      <c r="C239" s="92" t="s">
        <v>118</v>
      </c>
      <c r="D239" s="92" t="s">
        <v>778</v>
      </c>
      <c r="E239" s="92"/>
    </row>
    <row r="240" spans="2:5">
      <c r="B240" s="92" t="s">
        <v>126</v>
      </c>
      <c r="C240" s="92" t="s">
        <v>354</v>
      </c>
      <c r="D240" s="92" t="s">
        <v>1026</v>
      </c>
      <c r="E240" s="92"/>
    </row>
    <row r="241" spans="2:5">
      <c r="B241" s="92" t="s">
        <v>126</v>
      </c>
      <c r="C241" s="92" t="s">
        <v>355</v>
      </c>
      <c r="D241" s="92" t="s">
        <v>1027</v>
      </c>
      <c r="E241" s="92"/>
    </row>
    <row r="242" spans="2:5">
      <c r="B242" s="92" t="s">
        <v>126</v>
      </c>
      <c r="C242" s="92" t="s">
        <v>356</v>
      </c>
      <c r="D242" s="92" t="s">
        <v>1028</v>
      </c>
      <c r="E242" s="92"/>
    </row>
    <row r="243" spans="2:5">
      <c r="B243" s="92" t="s">
        <v>126</v>
      </c>
      <c r="C243" s="92" t="s">
        <v>331</v>
      </c>
      <c r="D243" s="92" t="s">
        <v>1029</v>
      </c>
      <c r="E243" s="92"/>
    </row>
    <row r="244" spans="2:5">
      <c r="B244" s="92" t="s">
        <v>126</v>
      </c>
      <c r="C244" s="92" t="s">
        <v>332</v>
      </c>
      <c r="D244" s="92" t="s">
        <v>1030</v>
      </c>
      <c r="E244" s="92"/>
    </row>
    <row r="245" spans="2:5">
      <c r="B245" s="92" t="s">
        <v>126</v>
      </c>
      <c r="C245" s="92" t="s">
        <v>113</v>
      </c>
      <c r="D245" s="92" t="s">
        <v>772</v>
      </c>
      <c r="E245" s="92"/>
    </row>
    <row r="246" spans="2:5">
      <c r="B246" s="92" t="s">
        <v>126</v>
      </c>
      <c r="C246" s="92" t="s">
        <v>357</v>
      </c>
      <c r="D246" s="92" t="s">
        <v>1031</v>
      </c>
      <c r="E246" s="92"/>
    </row>
    <row r="247" spans="2:5">
      <c r="B247" s="92" t="s">
        <v>126</v>
      </c>
      <c r="C247" s="92" t="s">
        <v>377</v>
      </c>
      <c r="D247" s="92" t="s">
        <v>1032</v>
      </c>
      <c r="E247" s="92"/>
    </row>
    <row r="248" spans="2:5">
      <c r="B248" s="92" t="s">
        <v>126</v>
      </c>
      <c r="C248" s="92" t="s">
        <v>378</v>
      </c>
      <c r="D248" s="92" t="s">
        <v>1033</v>
      </c>
      <c r="E248" s="92"/>
    </row>
    <row r="249" spans="2:5">
      <c r="B249" s="92" t="s">
        <v>126</v>
      </c>
      <c r="C249" s="92" t="s">
        <v>379</v>
      </c>
      <c r="D249" s="92" t="s">
        <v>1034</v>
      </c>
      <c r="E249" s="92"/>
    </row>
    <row r="250" spans="2:5">
      <c r="B250" s="92" t="s">
        <v>126</v>
      </c>
      <c r="C250" s="92" t="s">
        <v>380</v>
      </c>
      <c r="D250" s="92" t="s">
        <v>1035</v>
      </c>
      <c r="E250" s="92"/>
    </row>
    <row r="251" spans="2:5">
      <c r="B251" s="92" t="s">
        <v>126</v>
      </c>
      <c r="C251" s="92" t="s">
        <v>381</v>
      </c>
      <c r="D251" s="92" t="s">
        <v>1036</v>
      </c>
      <c r="E251" s="92"/>
    </row>
    <row r="252" spans="2:5">
      <c r="B252" s="92" t="s">
        <v>126</v>
      </c>
      <c r="C252" s="92" t="s">
        <v>382</v>
      </c>
      <c r="D252" s="92" t="s">
        <v>1037</v>
      </c>
      <c r="E252" s="92"/>
    </row>
    <row r="253" spans="2:5">
      <c r="B253" s="92" t="s">
        <v>126</v>
      </c>
      <c r="C253" s="92" t="s">
        <v>383</v>
      </c>
      <c r="D253" s="92" t="s">
        <v>1038</v>
      </c>
      <c r="E253" s="92"/>
    </row>
    <row r="254" spans="2:5">
      <c r="B254" s="92" t="s">
        <v>126</v>
      </c>
      <c r="C254" s="92" t="s">
        <v>384</v>
      </c>
      <c r="D254" s="92" t="s">
        <v>1039</v>
      </c>
      <c r="E254" s="92"/>
    </row>
    <row r="255" spans="2:5">
      <c r="B255" s="92" t="s">
        <v>126</v>
      </c>
      <c r="C255" s="92" t="s">
        <v>399</v>
      </c>
      <c r="D255" s="92" t="s">
        <v>1040</v>
      </c>
      <c r="E255" s="92"/>
    </row>
    <row r="256" spans="2:5">
      <c r="B256" s="92" t="s">
        <v>126</v>
      </c>
      <c r="C256" s="92" t="s">
        <v>358</v>
      </c>
      <c r="D256" s="92" t="s">
        <v>1041</v>
      </c>
      <c r="E256" s="92"/>
    </row>
    <row r="257" spans="2:5">
      <c r="B257" s="92" t="s">
        <v>126</v>
      </c>
      <c r="C257" s="92" t="s">
        <v>393</v>
      </c>
      <c r="D257" s="92" t="s">
        <v>1042</v>
      </c>
      <c r="E257" s="92"/>
    </row>
    <row r="258" spans="2:5">
      <c r="B258" s="92" t="s">
        <v>126</v>
      </c>
      <c r="C258" s="92" t="s">
        <v>400</v>
      </c>
      <c r="D258" s="92" t="s">
        <v>1043</v>
      </c>
      <c r="E258" s="92"/>
    </row>
    <row r="259" spans="2:5">
      <c r="B259" s="92" t="s">
        <v>126</v>
      </c>
      <c r="C259" s="92" t="s">
        <v>394</v>
      </c>
      <c r="D259" s="92" t="s">
        <v>1044</v>
      </c>
      <c r="E259" s="92"/>
    </row>
    <row r="260" spans="2:5">
      <c r="B260" s="92" t="s">
        <v>126</v>
      </c>
      <c r="C260" s="92" t="s">
        <v>395</v>
      </c>
      <c r="D260" s="92" t="s">
        <v>1045</v>
      </c>
      <c r="E260" s="92"/>
    </row>
    <row r="261" spans="2:5">
      <c r="B261" s="92" t="s">
        <v>126</v>
      </c>
      <c r="C261" s="92" t="s">
        <v>359</v>
      </c>
      <c r="D261" s="92" t="s">
        <v>1046</v>
      </c>
      <c r="E261" s="92"/>
    </row>
    <row r="262" spans="2:5">
      <c r="B262" s="92" t="s">
        <v>126</v>
      </c>
      <c r="C262" s="92" t="s">
        <v>403</v>
      </c>
      <c r="D262" s="92" t="s">
        <v>1047</v>
      </c>
      <c r="E262" s="92"/>
    </row>
    <row r="263" spans="2:5">
      <c r="B263" s="92" t="s">
        <v>126</v>
      </c>
      <c r="C263" s="92" t="s">
        <v>360</v>
      </c>
      <c r="D263" s="92" t="s">
        <v>1048</v>
      </c>
      <c r="E263" s="92"/>
    </row>
    <row r="264" spans="2:5">
      <c r="B264" s="92" t="s">
        <v>126</v>
      </c>
      <c r="C264" s="92" t="s">
        <v>361</v>
      </c>
      <c r="D264" s="92" t="s">
        <v>1049</v>
      </c>
      <c r="E264" s="92"/>
    </row>
    <row r="265" spans="2:5">
      <c r="B265" s="92" t="s">
        <v>126</v>
      </c>
      <c r="C265" s="92" t="s">
        <v>363</v>
      </c>
      <c r="D265" s="92" t="s">
        <v>1050</v>
      </c>
      <c r="E265" s="92"/>
    </row>
    <row r="266" spans="2:5">
      <c r="B266" s="92" t="s">
        <v>126</v>
      </c>
      <c r="C266" s="92" t="s">
        <v>396</v>
      </c>
      <c r="D266" s="92" t="s">
        <v>1051</v>
      </c>
      <c r="E266" s="92"/>
    </row>
    <row r="267" spans="2:5">
      <c r="B267" s="92" t="s">
        <v>126</v>
      </c>
      <c r="C267" s="92" t="s">
        <v>119</v>
      </c>
      <c r="D267" s="92" t="s">
        <v>779</v>
      </c>
      <c r="E267" s="92"/>
    </row>
    <row r="268" spans="2:5">
      <c r="B268" s="92" t="s">
        <v>126</v>
      </c>
      <c r="C268" s="92" t="s">
        <v>385</v>
      </c>
      <c r="D268" s="92" t="s">
        <v>1052</v>
      </c>
      <c r="E268" s="92"/>
    </row>
    <row r="269" spans="2:5">
      <c r="B269" s="92" t="s">
        <v>126</v>
      </c>
      <c r="C269" s="92" t="s">
        <v>386</v>
      </c>
      <c r="D269" s="92" t="s">
        <v>1053</v>
      </c>
      <c r="E269" s="92"/>
    </row>
    <row r="270" spans="2:5">
      <c r="B270" s="92" t="s">
        <v>126</v>
      </c>
      <c r="C270" s="92" t="s">
        <v>387</v>
      </c>
      <c r="D270" s="92" t="s">
        <v>1054</v>
      </c>
      <c r="E270" s="92"/>
    </row>
    <row r="271" spans="2:5">
      <c r="B271" s="92" t="s">
        <v>126</v>
      </c>
      <c r="C271" s="92" t="s">
        <v>388</v>
      </c>
      <c r="D271" s="92" t="s">
        <v>1055</v>
      </c>
      <c r="E271" s="92"/>
    </row>
    <row r="272" spans="2:5">
      <c r="B272" s="92" t="s">
        <v>126</v>
      </c>
      <c r="C272" s="92" t="s">
        <v>362</v>
      </c>
      <c r="D272" s="92" t="s">
        <v>1056</v>
      </c>
      <c r="E272" s="92"/>
    </row>
    <row r="273" spans="2:5">
      <c r="B273" s="92" t="s">
        <v>127</v>
      </c>
      <c r="C273" s="92" t="s">
        <v>573</v>
      </c>
      <c r="D273" s="92" t="s">
        <v>1057</v>
      </c>
      <c r="E273" s="92"/>
    </row>
    <row r="274" spans="2:5">
      <c r="B274" s="92" t="s">
        <v>127</v>
      </c>
      <c r="C274" s="92" t="s">
        <v>574</v>
      </c>
      <c r="D274" s="92" t="s">
        <v>1058</v>
      </c>
      <c r="E274" s="92"/>
    </row>
    <row r="275" spans="2:5">
      <c r="B275" s="92" t="s">
        <v>127</v>
      </c>
      <c r="C275" s="92" t="s">
        <v>583</v>
      </c>
      <c r="D275" s="92" t="s">
        <v>1059</v>
      </c>
      <c r="E275" s="92"/>
    </row>
    <row r="276" spans="2:5">
      <c r="B276" s="92" t="s">
        <v>127</v>
      </c>
      <c r="C276" s="92" t="s">
        <v>108</v>
      </c>
      <c r="D276" s="92" t="s">
        <v>813</v>
      </c>
      <c r="E276" s="92"/>
    </row>
    <row r="277" spans="2:5">
      <c r="B277" s="92" t="s">
        <v>127</v>
      </c>
      <c r="C277" s="92" t="s">
        <v>589</v>
      </c>
      <c r="D277" s="92" t="s">
        <v>1060</v>
      </c>
      <c r="E277" s="92"/>
    </row>
    <row r="278" spans="2:5">
      <c r="B278" s="92" t="s">
        <v>127</v>
      </c>
      <c r="C278" s="92" t="s">
        <v>590</v>
      </c>
      <c r="D278" s="92" t="s">
        <v>1061</v>
      </c>
      <c r="E278" s="92"/>
    </row>
    <row r="279" spans="2:5">
      <c r="B279" s="92" t="s">
        <v>127</v>
      </c>
      <c r="C279" s="92" t="s">
        <v>591</v>
      </c>
      <c r="D279" s="92" t="s">
        <v>1062</v>
      </c>
      <c r="E279" s="92"/>
    </row>
    <row r="280" spans="2:5">
      <c r="B280" s="92" t="s">
        <v>127</v>
      </c>
      <c r="C280" s="92" t="s">
        <v>581</v>
      </c>
      <c r="D280" s="92" t="s">
        <v>1063</v>
      </c>
      <c r="E280" s="92"/>
    </row>
    <row r="281" spans="2:5">
      <c r="B281" s="92" t="s">
        <v>127</v>
      </c>
      <c r="C281" s="92" t="s">
        <v>584</v>
      </c>
      <c r="D281" s="92" t="s">
        <v>1064</v>
      </c>
      <c r="E281" s="92"/>
    </row>
    <row r="282" spans="2:5">
      <c r="B282" s="92" t="s">
        <v>127</v>
      </c>
      <c r="C282" s="92" t="s">
        <v>585</v>
      </c>
      <c r="D282" s="92" t="s">
        <v>1065</v>
      </c>
      <c r="E282" s="92"/>
    </row>
    <row r="283" spans="2:5">
      <c r="B283" s="92" t="s">
        <v>127</v>
      </c>
      <c r="C283" s="92" t="s">
        <v>575</v>
      </c>
      <c r="D283" s="92" t="s">
        <v>1066</v>
      </c>
      <c r="E283" s="92"/>
    </row>
    <row r="284" spans="2:5">
      <c r="B284" s="92" t="s">
        <v>127</v>
      </c>
      <c r="C284" s="92" t="s">
        <v>563</v>
      </c>
      <c r="D284" s="92" t="s">
        <v>1067</v>
      </c>
      <c r="E284" s="92"/>
    </row>
    <row r="285" spans="2:5">
      <c r="B285" s="92" t="s">
        <v>127</v>
      </c>
      <c r="C285" s="92" t="s">
        <v>576</v>
      </c>
      <c r="D285" s="92" t="s">
        <v>1068</v>
      </c>
      <c r="E285" s="92"/>
    </row>
    <row r="286" spans="2:5">
      <c r="B286" s="92" t="s">
        <v>127</v>
      </c>
      <c r="C286" s="92" t="s">
        <v>577</v>
      </c>
      <c r="D286" s="92" t="s">
        <v>1069</v>
      </c>
      <c r="E286" s="92"/>
    </row>
    <row r="287" spans="2:5">
      <c r="B287" s="92" t="s">
        <v>127</v>
      </c>
      <c r="C287" s="92" t="s">
        <v>603</v>
      </c>
      <c r="D287" s="92" t="s">
        <v>814</v>
      </c>
      <c r="E287" s="92"/>
    </row>
    <row r="288" spans="2:5">
      <c r="B288" s="92" t="s">
        <v>127</v>
      </c>
      <c r="C288" s="92" t="s">
        <v>586</v>
      </c>
      <c r="D288" s="92" t="s">
        <v>1070</v>
      </c>
      <c r="E288" s="92"/>
    </row>
    <row r="289" spans="2:5">
      <c r="B289" s="92" t="s">
        <v>127</v>
      </c>
      <c r="C289" s="92" t="s">
        <v>569</v>
      </c>
      <c r="D289" s="92" t="s">
        <v>1071</v>
      </c>
      <c r="E289" s="92"/>
    </row>
    <row r="290" spans="2:5">
      <c r="B290" s="92" t="s">
        <v>127</v>
      </c>
      <c r="C290" s="92" t="s">
        <v>587</v>
      </c>
      <c r="D290" s="92" t="s">
        <v>1072</v>
      </c>
      <c r="E290" s="92"/>
    </row>
    <row r="291" spans="2:5">
      <c r="B291" s="92" t="s">
        <v>127</v>
      </c>
      <c r="C291" s="92" t="s">
        <v>564</v>
      </c>
      <c r="D291" s="92" t="s">
        <v>1073</v>
      </c>
      <c r="E291" s="92"/>
    </row>
    <row r="292" spans="2:5">
      <c r="B292" s="92" t="s">
        <v>127</v>
      </c>
      <c r="C292" s="92" t="s">
        <v>123</v>
      </c>
      <c r="D292" s="92" t="s">
        <v>819</v>
      </c>
      <c r="E292" s="92"/>
    </row>
    <row r="293" spans="2:5">
      <c r="B293" s="92" t="s">
        <v>127</v>
      </c>
      <c r="C293" s="92" t="s">
        <v>588</v>
      </c>
      <c r="D293" s="92" t="s">
        <v>1074</v>
      </c>
      <c r="E293" s="92"/>
    </row>
    <row r="294" spans="2:5">
      <c r="B294" s="92" t="s">
        <v>127</v>
      </c>
      <c r="C294" s="92" t="s">
        <v>570</v>
      </c>
      <c r="D294" s="92" t="s">
        <v>1075</v>
      </c>
      <c r="E294" s="92"/>
    </row>
    <row r="295" spans="2:5">
      <c r="B295" s="92" t="s">
        <v>127</v>
      </c>
      <c r="C295" s="92" t="s">
        <v>578</v>
      </c>
      <c r="D295" s="92" t="s">
        <v>1076</v>
      </c>
      <c r="E295" s="92"/>
    </row>
    <row r="296" spans="2:5">
      <c r="B296" s="92" t="s">
        <v>127</v>
      </c>
      <c r="C296" s="92" t="s">
        <v>606</v>
      </c>
      <c r="D296" s="92" t="s">
        <v>815</v>
      </c>
      <c r="E296" s="92"/>
    </row>
    <row r="297" spans="2:5">
      <c r="B297" s="92" t="s">
        <v>127</v>
      </c>
      <c r="C297" s="92" t="s">
        <v>565</v>
      </c>
      <c r="D297" s="92" t="s">
        <v>1077</v>
      </c>
      <c r="E297" s="92"/>
    </row>
    <row r="298" spans="2:5">
      <c r="B298" s="92" t="s">
        <v>127</v>
      </c>
      <c r="C298" s="92" t="s">
        <v>592</v>
      </c>
      <c r="D298" s="92" t="s">
        <v>1078</v>
      </c>
      <c r="E298" s="92"/>
    </row>
    <row r="299" spans="2:5">
      <c r="B299" s="92" t="s">
        <v>127</v>
      </c>
      <c r="C299" s="92" t="s">
        <v>124</v>
      </c>
      <c r="D299" s="92" t="s">
        <v>820</v>
      </c>
      <c r="E299" s="92"/>
    </row>
    <row r="300" spans="2:5">
      <c r="B300" s="92" t="s">
        <v>127</v>
      </c>
      <c r="C300" s="92" t="s">
        <v>579</v>
      </c>
      <c r="D300" s="92" t="s">
        <v>1079</v>
      </c>
      <c r="E300" s="92"/>
    </row>
    <row r="301" spans="2:5">
      <c r="B301" s="92" t="s">
        <v>127</v>
      </c>
      <c r="C301" s="92" t="s">
        <v>582</v>
      </c>
      <c r="D301" s="92" t="s">
        <v>1080</v>
      </c>
      <c r="E301" s="92"/>
    </row>
    <row r="302" spans="2:5">
      <c r="B302" s="92" t="s">
        <v>127</v>
      </c>
      <c r="C302" s="92" t="s">
        <v>580</v>
      </c>
      <c r="D302" s="92" t="s">
        <v>1081</v>
      </c>
      <c r="E302" s="92"/>
    </row>
    <row r="303" spans="2:5">
      <c r="B303" s="92" t="s">
        <v>127</v>
      </c>
      <c r="C303" s="92" t="s">
        <v>566</v>
      </c>
      <c r="D303" s="92" t="s">
        <v>1082</v>
      </c>
      <c r="E303" s="92"/>
    </row>
    <row r="304" spans="2:5">
      <c r="B304" s="92" t="s">
        <v>127</v>
      </c>
      <c r="C304" s="92" t="s">
        <v>120</v>
      </c>
      <c r="D304" s="92" t="s">
        <v>816</v>
      </c>
      <c r="E304" s="92"/>
    </row>
    <row r="305" spans="2:5">
      <c r="B305" s="92" t="s">
        <v>127</v>
      </c>
      <c r="C305" s="92" t="s">
        <v>567</v>
      </c>
      <c r="D305" s="92" t="s">
        <v>1083</v>
      </c>
      <c r="E305" s="92"/>
    </row>
    <row r="306" spans="2:5">
      <c r="B306" s="92" t="s">
        <v>127</v>
      </c>
      <c r="C306" s="92" t="s">
        <v>568</v>
      </c>
      <c r="D306" s="92" t="s">
        <v>1084</v>
      </c>
      <c r="E306" s="92"/>
    </row>
    <row r="307" spans="2:5">
      <c r="B307" s="92" t="s">
        <v>127</v>
      </c>
      <c r="C307" s="92" t="s">
        <v>121</v>
      </c>
      <c r="D307" s="92" t="s">
        <v>817</v>
      </c>
      <c r="E307" s="92"/>
    </row>
    <row r="308" spans="2:5">
      <c r="B308" s="92" t="s">
        <v>127</v>
      </c>
      <c r="C308" s="92" t="s">
        <v>396</v>
      </c>
      <c r="D308" s="92" t="s">
        <v>1085</v>
      </c>
      <c r="E308" s="92"/>
    </row>
    <row r="309" spans="2:5">
      <c r="B309" s="92" t="s">
        <v>127</v>
      </c>
      <c r="C309" s="92" t="s">
        <v>122</v>
      </c>
      <c r="D309" s="92" t="s">
        <v>818</v>
      </c>
      <c r="E309" s="92"/>
    </row>
    <row r="310" spans="2:5">
      <c r="B310" s="92" t="s">
        <v>127</v>
      </c>
      <c r="C310" s="92" t="s">
        <v>571</v>
      </c>
      <c r="D310" s="92" t="s">
        <v>1086</v>
      </c>
      <c r="E310" s="92"/>
    </row>
    <row r="311" spans="2:5">
      <c r="B311" s="92" t="s">
        <v>127</v>
      </c>
      <c r="C311" s="92" t="s">
        <v>572</v>
      </c>
      <c r="D311" s="92" t="s">
        <v>1087</v>
      </c>
      <c r="E311" s="92"/>
    </row>
    <row r="312" spans="2:5">
      <c r="B312" s="92" t="s">
        <v>127</v>
      </c>
      <c r="C312" s="92" t="s">
        <v>593</v>
      </c>
      <c r="D312" s="92" t="s">
        <v>821</v>
      </c>
      <c r="E312" s="92"/>
    </row>
    <row r="313" spans="2:5">
      <c r="B313" s="92" t="s">
        <v>320</v>
      </c>
      <c r="C313" s="92" t="s">
        <v>603</v>
      </c>
      <c r="D313" s="92" t="s">
        <v>782</v>
      </c>
      <c r="E313" s="92"/>
    </row>
    <row r="314" spans="2:5">
      <c r="B314" s="92" t="s">
        <v>320</v>
      </c>
      <c r="C314" s="92" t="s">
        <v>604</v>
      </c>
      <c r="D314" s="92" t="s">
        <v>783</v>
      </c>
      <c r="E314" s="92"/>
    </row>
    <row r="315" spans="2:5">
      <c r="B315" s="92" t="s">
        <v>320</v>
      </c>
      <c r="C315" s="92" t="s">
        <v>605</v>
      </c>
      <c r="D315" s="92" t="s">
        <v>784</v>
      </c>
      <c r="E315" s="92"/>
    </row>
    <row r="316" spans="2:5">
      <c r="B316" s="92" t="s">
        <v>320</v>
      </c>
      <c r="C316" s="92" t="s">
        <v>408</v>
      </c>
      <c r="D316" s="92" t="s">
        <v>1088</v>
      </c>
      <c r="E316" s="92"/>
    </row>
    <row r="317" spans="2:5">
      <c r="B317" s="92" t="s">
        <v>320</v>
      </c>
      <c r="C317" s="92" t="s">
        <v>108</v>
      </c>
      <c r="D317" s="92" t="s">
        <v>781</v>
      </c>
      <c r="E317" s="92"/>
    </row>
    <row r="318" spans="2:5">
      <c r="B318" s="92" t="s">
        <v>320</v>
      </c>
      <c r="C318" s="92" t="s">
        <v>409</v>
      </c>
      <c r="D318" s="92" t="s">
        <v>785</v>
      </c>
      <c r="E318" s="92"/>
    </row>
    <row r="319" spans="2:5">
      <c r="B319" s="92" t="s">
        <v>321</v>
      </c>
      <c r="C319" s="92" t="s">
        <v>603</v>
      </c>
      <c r="D319" s="92" t="s">
        <v>809</v>
      </c>
      <c r="E319" s="92"/>
    </row>
    <row r="320" spans="2:5">
      <c r="B320" s="92" t="s">
        <v>321</v>
      </c>
      <c r="C320" s="92" t="s">
        <v>605</v>
      </c>
      <c r="D320" s="92" t="s">
        <v>810</v>
      </c>
      <c r="E320" s="92"/>
    </row>
    <row r="321" spans="2:5">
      <c r="B321" s="92" t="s">
        <v>321</v>
      </c>
      <c r="C321" s="92" t="s">
        <v>606</v>
      </c>
      <c r="D321" s="92" t="s">
        <v>811</v>
      </c>
      <c r="E321" s="92"/>
    </row>
    <row r="322" spans="2:5">
      <c r="B322" s="92" t="s">
        <v>321</v>
      </c>
      <c r="C322" s="92" t="s">
        <v>561</v>
      </c>
      <c r="D322" s="92" t="s">
        <v>812</v>
      </c>
      <c r="E322" s="92"/>
    </row>
    <row r="323" spans="2:5">
      <c r="B323" s="92" t="s">
        <v>321</v>
      </c>
      <c r="C323" s="92" t="s">
        <v>562</v>
      </c>
      <c r="D323" s="92" t="s">
        <v>1089</v>
      </c>
      <c r="E323" s="92"/>
    </row>
    <row r="324" spans="2:5">
      <c r="B324" s="92" t="s">
        <v>321</v>
      </c>
      <c r="C324" s="92" t="s">
        <v>108</v>
      </c>
      <c r="D324" s="92" t="s">
        <v>808</v>
      </c>
      <c r="E324" s="92"/>
    </row>
  </sheetData>
  <autoFilter ref="B2:M324" xr:uid="{00000000-0009-0000-0000-00000A000000}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CF67E-18A3-44F3-A5B4-709C46479FC7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0683c779-04fc-4b63-89c9-6c25ffa1c0a4"/>
    <ds:schemaRef ds:uri="http://schemas.openxmlformats.org/package/2006/metadata/core-properties"/>
    <ds:schemaRef ds:uri="6ea7b29d-57ec-408d-9ea9-cf73b04f66d5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2245C61-0587-4AF4-B06E-A266858205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204D78-48FA-4E17-A398-D61FFC7AA3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0. Instruções</vt:lpstr>
      <vt:lpstr>1. Status</vt:lpstr>
      <vt:lpstr>2. Script </vt:lpstr>
      <vt:lpstr>3. Resultados &gt;&gt;</vt:lpstr>
      <vt:lpstr>ID1&amp;5</vt:lpstr>
      <vt:lpstr>ID6&amp;7</vt:lpstr>
      <vt:lpstr>4. Incidências &gt;&gt; </vt:lpstr>
      <vt:lpstr>ID1</vt:lpstr>
      <vt:lpstr>Input_GF</vt:lpstr>
      <vt:lpstr>Campos</vt:lpstr>
      <vt:lpstr>ANL_CAMPOS_PDS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Hélder Filipe Felicidade Fernandes</cp:lastModifiedBy>
  <dcterms:created xsi:type="dcterms:W3CDTF">2024-10-18T20:46:00Z</dcterms:created>
  <dcterms:modified xsi:type="dcterms:W3CDTF">2026-01-12T14:54:07Z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2024-10-19T00:47:24Z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5e8aba04-4250-4b89-bbc0-81f0c39a1635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