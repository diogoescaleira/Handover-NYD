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BSTestesBail-In/Shared Documents/Geral/07. Testes Regressivos/03. PILAR 3/"/>
    </mc:Choice>
  </mc:AlternateContent>
  <xr:revisionPtr revIDLastSave="2" documentId="11_8B36D678293B65CFFA866F480B04EFF0E1148FB8" xr6:coauthVersionLast="47" xr6:coauthVersionMax="47" xr10:uidLastSave="{47D15BFC-3608-4688-8307-B103B4CD4A34}"/>
  <bookViews>
    <workbookView xWindow="-108" yWindow="-108" windowWidth="23256" windowHeight="12456" activeTab="2" xr2:uid="{00000000-000D-0000-FFFF-FFFF00000000}"/>
  </bookViews>
  <sheets>
    <sheet name="0. Instruções" sheetId="5" r:id="rId1"/>
    <sheet name="1. Status" sheetId="7" r:id="rId2"/>
    <sheet name="2. Script " sheetId="4" r:id="rId3"/>
    <sheet name="3. Resultados &gt;&gt;" sheetId="11" r:id="rId4"/>
    <sheet name="ID1&amp;5" sheetId="8" r:id="rId5"/>
    <sheet name="ID6&amp;7" sheetId="10" r:id="rId6"/>
    <sheet name="4. Incidências &gt;&gt; " sheetId="13" r:id="rId7"/>
    <sheet name="ID1" sheetId="14" r:id="rId8"/>
    <sheet name="Input_GF" sheetId="16" r:id="rId9"/>
  </sheets>
  <definedNames>
    <definedName name="_xlnm._FilterDatabase" localSheetId="1" hidden="1">'1. Status'!$A$10:$AS$378</definedName>
    <definedName name="_xlnm._FilterDatabase" localSheetId="2" hidden="1">'2. Script '!$B$8:$M$426</definedName>
    <definedName name="_xlnm._FilterDatabase" localSheetId="4" hidden="1">'ID1&amp;5'!$A$8:$L$146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5" l="1"/>
  <c r="D42" i="5"/>
  <c r="A378" i="7"/>
  <c r="A377" i="7"/>
  <c r="A376" i="7"/>
  <c r="A375" i="7"/>
  <c r="A374" i="7"/>
  <c r="A373" i="7"/>
  <c r="A372" i="7"/>
  <c r="A371" i="7"/>
  <c r="A370" i="7"/>
  <c r="A369" i="7"/>
  <c r="A368" i="7"/>
  <c r="A367" i="7"/>
  <c r="A366" i="7"/>
  <c r="A365" i="7"/>
  <c r="A364" i="7"/>
  <c r="A363" i="7"/>
  <c r="A362" i="7"/>
  <c r="A361" i="7"/>
  <c r="A360" i="7"/>
  <c r="A359" i="7"/>
  <c r="A358" i="7"/>
  <c r="A357" i="7"/>
  <c r="A356" i="7"/>
  <c r="A355" i="7"/>
  <c r="A354" i="7"/>
  <c r="A353" i="7"/>
  <c r="A352" i="7"/>
  <c r="A351" i="7"/>
  <c r="A350" i="7"/>
  <c r="A349" i="7"/>
  <c r="A348" i="7"/>
  <c r="A347" i="7"/>
  <c r="A346" i="7"/>
  <c r="A345" i="7"/>
  <c r="A344" i="7"/>
  <c r="A343" i="7"/>
  <c r="A342" i="7"/>
  <c r="A341" i="7"/>
  <c r="A340" i="7"/>
  <c r="A339" i="7"/>
  <c r="A338" i="7"/>
  <c r="A337" i="7"/>
  <c r="A336" i="7"/>
  <c r="A335" i="7"/>
  <c r="A334" i="7"/>
  <c r="A333" i="7"/>
  <c r="A332" i="7"/>
  <c r="A331" i="7"/>
  <c r="A330" i="7"/>
  <c r="A329" i="7"/>
  <c r="A328" i="7"/>
  <c r="A327" i="7"/>
  <c r="A326" i="7"/>
  <c r="A325" i="7"/>
  <c r="A324" i="7"/>
  <c r="A323" i="7"/>
  <c r="A322" i="7"/>
  <c r="A321" i="7"/>
  <c r="A320" i="7"/>
  <c r="A319" i="7"/>
  <c r="A318" i="7"/>
  <c r="A317" i="7"/>
  <c r="A316" i="7"/>
  <c r="A314" i="7"/>
  <c r="A313" i="7"/>
  <c r="A312" i="7"/>
  <c r="A311" i="7"/>
  <c r="A310" i="7"/>
  <c r="A309" i="7"/>
  <c r="A308" i="7"/>
  <c r="A307" i="7"/>
  <c r="A306" i="7"/>
  <c r="A305" i="7"/>
  <c r="A304" i="7"/>
  <c r="A303" i="7"/>
  <c r="A302" i="7"/>
  <c r="A301" i="7"/>
  <c r="A300" i="7"/>
  <c r="A299" i="7"/>
  <c r="A298" i="7"/>
  <c r="A297" i="7"/>
  <c r="A296" i="7"/>
  <c r="A295" i="7"/>
  <c r="A294" i="7"/>
  <c r="A293" i="7"/>
  <c r="A292" i="7"/>
  <c r="A291" i="7"/>
  <c r="A290" i="7"/>
  <c r="A289" i="7"/>
  <c r="A288" i="7"/>
  <c r="A287" i="7"/>
  <c r="A286" i="7"/>
  <c r="A285" i="7"/>
  <c r="A284" i="7"/>
  <c r="A283" i="7"/>
  <c r="A282" i="7"/>
  <c r="A281" i="7"/>
  <c r="A280" i="7"/>
  <c r="A279" i="7"/>
  <c r="A278" i="7"/>
  <c r="A277" i="7"/>
  <c r="A276" i="7"/>
  <c r="A275" i="7"/>
  <c r="A274" i="7"/>
  <c r="A273" i="7"/>
  <c r="A272" i="7"/>
  <c r="A271" i="7"/>
  <c r="A270" i="7"/>
  <c r="A269" i="7"/>
  <c r="A268" i="7"/>
  <c r="A267" i="7"/>
  <c r="A266" i="7"/>
  <c r="A265" i="7"/>
  <c r="A264" i="7"/>
  <c r="A263" i="7"/>
  <c r="A262" i="7"/>
  <c r="A261" i="7"/>
  <c r="A260" i="7"/>
  <c r="A259" i="7"/>
  <c r="A258" i="7"/>
  <c r="A257" i="7"/>
  <c r="A256" i="7"/>
  <c r="A255" i="7"/>
  <c r="A254" i="7"/>
  <c r="A253" i="7"/>
  <c r="A252" i="7"/>
  <c r="A251" i="7"/>
  <c r="A250" i="7"/>
  <c r="A249" i="7"/>
  <c r="A248" i="7"/>
  <c r="A247" i="7"/>
  <c r="A246" i="7"/>
  <c r="A245" i="7"/>
  <c r="A244" i="7"/>
  <c r="A243" i="7"/>
  <c r="A242" i="7"/>
  <c r="A241" i="7"/>
  <c r="A240" i="7"/>
  <c r="A239" i="7"/>
  <c r="A238" i="7"/>
  <c r="A237" i="7"/>
  <c r="A236" i="7"/>
  <c r="A235" i="7"/>
  <c r="A234" i="7"/>
  <c r="A233" i="7"/>
  <c r="A232" i="7"/>
  <c r="A231" i="7"/>
  <c r="A230" i="7"/>
  <c r="A229" i="7"/>
  <c r="A228" i="7"/>
  <c r="A227" i="7"/>
  <c r="A226" i="7"/>
  <c r="A225" i="7"/>
  <c r="A224" i="7"/>
  <c r="A223" i="7"/>
  <c r="A222" i="7"/>
  <c r="A221" i="7"/>
  <c r="A220" i="7"/>
  <c r="A219" i="7"/>
  <c r="A218" i="7"/>
  <c r="A217" i="7"/>
  <c r="A216" i="7"/>
  <c r="A215" i="7"/>
  <c r="A214" i="7"/>
  <c r="A213" i="7"/>
  <c r="A212" i="7"/>
  <c r="A211" i="7"/>
  <c r="A210" i="7"/>
  <c r="A209" i="7"/>
  <c r="A208" i="7"/>
  <c r="A207" i="7"/>
  <c r="A206" i="7"/>
  <c r="A205" i="7"/>
  <c r="A204" i="7"/>
  <c r="A203" i="7"/>
  <c r="A202" i="7"/>
  <c r="A201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183" i="7"/>
  <c r="A182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U111" i="7"/>
  <c r="S111" i="7"/>
  <c r="Q111" i="7"/>
  <c r="O111" i="7"/>
  <c r="L111" i="7"/>
  <c r="J111" i="7"/>
  <c r="Z111" i="7" s="1"/>
  <c r="K310" i="4"/>
  <c r="E310" i="4"/>
  <c r="J310" i="4" s="1"/>
  <c r="D310" i="4"/>
  <c r="I310" i="4" s="1"/>
  <c r="L310" i="4" s="1"/>
  <c r="M310" i="4" s="1"/>
  <c r="J378" i="7" l="1"/>
  <c r="Z378" i="7" s="1"/>
  <c r="J377" i="7"/>
  <c r="Z377" i="7" s="1"/>
  <c r="J376" i="7"/>
  <c r="Z376" i="7" s="1"/>
  <c r="J375" i="7"/>
  <c r="Z375" i="7" s="1"/>
  <c r="J374" i="7"/>
  <c r="Z374" i="7" s="1"/>
  <c r="J373" i="7"/>
  <c r="Z373" i="7" s="1"/>
  <c r="J372" i="7"/>
  <c r="Z372" i="7" s="1"/>
  <c r="J371" i="7"/>
  <c r="Z371" i="7" s="1"/>
  <c r="J370" i="7"/>
  <c r="Z370" i="7" s="1"/>
  <c r="J369" i="7"/>
  <c r="Z369" i="7" s="1"/>
  <c r="J368" i="7"/>
  <c r="Z368" i="7" s="1"/>
  <c r="J367" i="7"/>
  <c r="Z367" i="7" s="1"/>
  <c r="J366" i="7"/>
  <c r="Z366" i="7" s="1"/>
  <c r="J365" i="7"/>
  <c r="Z365" i="7" s="1"/>
  <c r="J364" i="7"/>
  <c r="Z364" i="7" s="1"/>
  <c r="J363" i="7"/>
  <c r="Z363" i="7" s="1"/>
  <c r="J362" i="7"/>
  <c r="Z362" i="7" s="1"/>
  <c r="J361" i="7"/>
  <c r="Z361" i="7" s="1"/>
  <c r="J360" i="7"/>
  <c r="Z360" i="7" s="1"/>
  <c r="J359" i="7"/>
  <c r="Z359" i="7" s="1"/>
  <c r="J358" i="7"/>
  <c r="Z358" i="7" s="1"/>
  <c r="J357" i="7"/>
  <c r="Z357" i="7" s="1"/>
  <c r="J356" i="7"/>
  <c r="Z356" i="7" s="1"/>
  <c r="J355" i="7"/>
  <c r="Z355" i="7" s="1"/>
  <c r="J354" i="7"/>
  <c r="Z354" i="7" s="1"/>
  <c r="J353" i="7"/>
  <c r="Z353" i="7" s="1"/>
  <c r="J352" i="7"/>
  <c r="Z352" i="7" s="1"/>
  <c r="J351" i="7"/>
  <c r="Z351" i="7" s="1"/>
  <c r="J350" i="7"/>
  <c r="Z350" i="7" s="1"/>
  <c r="J349" i="7"/>
  <c r="Z349" i="7" s="1"/>
  <c r="J348" i="7"/>
  <c r="Z348" i="7" s="1"/>
  <c r="J347" i="7"/>
  <c r="Z347" i="7" s="1"/>
  <c r="J346" i="7"/>
  <c r="Z346" i="7" s="1"/>
  <c r="J345" i="7"/>
  <c r="Z345" i="7" s="1"/>
  <c r="J344" i="7"/>
  <c r="Z344" i="7" s="1"/>
  <c r="J343" i="7"/>
  <c r="Z343" i="7" s="1"/>
  <c r="J342" i="7"/>
  <c r="Z342" i="7" s="1"/>
  <c r="J341" i="7"/>
  <c r="Z341" i="7" s="1"/>
  <c r="J340" i="7"/>
  <c r="Z340" i="7" s="1"/>
  <c r="J339" i="7"/>
  <c r="Z339" i="7" s="1"/>
  <c r="J338" i="7"/>
  <c r="Z338" i="7" s="1"/>
  <c r="J337" i="7"/>
  <c r="Z337" i="7" s="1"/>
  <c r="J336" i="7"/>
  <c r="Z336" i="7" s="1"/>
  <c r="J335" i="7"/>
  <c r="Z335" i="7" s="1"/>
  <c r="J334" i="7"/>
  <c r="Z334" i="7" s="1"/>
  <c r="J333" i="7"/>
  <c r="Z333" i="7" s="1"/>
  <c r="J332" i="7"/>
  <c r="Z332" i="7" s="1"/>
  <c r="J331" i="7"/>
  <c r="Z331" i="7" s="1"/>
  <c r="J330" i="7"/>
  <c r="Z330" i="7" s="1"/>
  <c r="J329" i="7"/>
  <c r="Z329" i="7" s="1"/>
  <c r="J328" i="7"/>
  <c r="Z328" i="7" s="1"/>
  <c r="J327" i="7"/>
  <c r="Z327" i="7" s="1"/>
  <c r="J326" i="7"/>
  <c r="Z326" i="7" s="1"/>
  <c r="J325" i="7"/>
  <c r="Z325" i="7" s="1"/>
  <c r="J324" i="7"/>
  <c r="Z324" i="7" s="1"/>
  <c r="J323" i="7"/>
  <c r="Z323" i="7" s="1"/>
  <c r="J322" i="7"/>
  <c r="Z322" i="7" s="1"/>
  <c r="J321" i="7"/>
  <c r="Z321" i="7" s="1"/>
  <c r="J320" i="7"/>
  <c r="Z320" i="7" s="1"/>
  <c r="J319" i="7"/>
  <c r="Z319" i="7" s="1"/>
  <c r="J318" i="7"/>
  <c r="Z318" i="7" s="1"/>
  <c r="J317" i="7"/>
  <c r="Z317" i="7" s="1"/>
  <c r="J316" i="7"/>
  <c r="Z316" i="7" s="1"/>
  <c r="J315" i="7"/>
  <c r="Z315" i="7" s="1"/>
  <c r="J314" i="7"/>
  <c r="Z314" i="7" s="1"/>
  <c r="U313" i="7"/>
  <c r="S313" i="7"/>
  <c r="Q313" i="7"/>
  <c r="O313" i="7"/>
  <c r="L313" i="7"/>
  <c r="J313" i="7"/>
  <c r="Z313" i="7" s="1"/>
  <c r="U312" i="7"/>
  <c r="S312" i="7"/>
  <c r="Q312" i="7"/>
  <c r="O312" i="7"/>
  <c r="L312" i="7"/>
  <c r="J312" i="7"/>
  <c r="Z312" i="7" s="1"/>
  <c r="U311" i="7"/>
  <c r="S311" i="7"/>
  <c r="Q311" i="7"/>
  <c r="O311" i="7"/>
  <c r="L311" i="7"/>
  <c r="J311" i="7"/>
  <c r="Z311" i="7" s="1"/>
  <c r="U310" i="7"/>
  <c r="S310" i="7"/>
  <c r="Q310" i="7"/>
  <c r="O310" i="7"/>
  <c r="L310" i="7"/>
  <c r="J310" i="7"/>
  <c r="Z310" i="7" s="1"/>
  <c r="U309" i="7"/>
  <c r="S309" i="7"/>
  <c r="Q309" i="7"/>
  <c r="O309" i="7"/>
  <c r="L309" i="7"/>
  <c r="J309" i="7"/>
  <c r="Z309" i="7" s="1"/>
  <c r="U308" i="7"/>
  <c r="S308" i="7"/>
  <c r="Q308" i="7"/>
  <c r="O308" i="7"/>
  <c r="L308" i="7"/>
  <c r="J308" i="7"/>
  <c r="Z308" i="7" s="1"/>
  <c r="U307" i="7"/>
  <c r="S307" i="7"/>
  <c r="Q307" i="7"/>
  <c r="O307" i="7"/>
  <c r="L307" i="7"/>
  <c r="J307" i="7"/>
  <c r="Z307" i="7" s="1"/>
  <c r="U306" i="7"/>
  <c r="S306" i="7"/>
  <c r="Q306" i="7"/>
  <c r="O306" i="7"/>
  <c r="L306" i="7"/>
  <c r="J306" i="7"/>
  <c r="Z306" i="7" s="1"/>
  <c r="U305" i="7"/>
  <c r="S305" i="7"/>
  <c r="Q305" i="7"/>
  <c r="O305" i="7"/>
  <c r="L305" i="7"/>
  <c r="J305" i="7"/>
  <c r="Z305" i="7" s="1"/>
  <c r="U304" i="7"/>
  <c r="S304" i="7"/>
  <c r="Q304" i="7"/>
  <c r="O304" i="7"/>
  <c r="L304" i="7"/>
  <c r="J304" i="7"/>
  <c r="Z304" i="7" s="1"/>
  <c r="U303" i="7"/>
  <c r="S303" i="7"/>
  <c r="Q303" i="7"/>
  <c r="O303" i="7"/>
  <c r="L303" i="7"/>
  <c r="J303" i="7"/>
  <c r="Z303" i="7" s="1"/>
  <c r="U302" i="7"/>
  <c r="S302" i="7"/>
  <c r="Q302" i="7"/>
  <c r="O302" i="7"/>
  <c r="L302" i="7"/>
  <c r="J302" i="7"/>
  <c r="Z302" i="7" s="1"/>
  <c r="U301" i="7"/>
  <c r="S301" i="7"/>
  <c r="Q301" i="7"/>
  <c r="O301" i="7"/>
  <c r="L301" i="7"/>
  <c r="J301" i="7"/>
  <c r="Z301" i="7" s="1"/>
  <c r="U300" i="7"/>
  <c r="S300" i="7"/>
  <c r="Q300" i="7"/>
  <c r="O300" i="7"/>
  <c r="L300" i="7"/>
  <c r="J300" i="7"/>
  <c r="Z300" i="7" s="1"/>
  <c r="U299" i="7"/>
  <c r="S299" i="7"/>
  <c r="Q299" i="7"/>
  <c r="O299" i="7"/>
  <c r="L299" i="7"/>
  <c r="J299" i="7"/>
  <c r="Z299" i="7" s="1"/>
  <c r="U298" i="7"/>
  <c r="S298" i="7"/>
  <c r="Q298" i="7"/>
  <c r="O298" i="7"/>
  <c r="L298" i="7"/>
  <c r="J298" i="7"/>
  <c r="Z298" i="7" s="1"/>
  <c r="U297" i="7"/>
  <c r="S297" i="7"/>
  <c r="Q297" i="7"/>
  <c r="O297" i="7"/>
  <c r="L297" i="7"/>
  <c r="J297" i="7"/>
  <c r="Z297" i="7" s="1"/>
  <c r="U296" i="7"/>
  <c r="S296" i="7"/>
  <c r="Q296" i="7"/>
  <c r="O296" i="7"/>
  <c r="L296" i="7"/>
  <c r="J296" i="7"/>
  <c r="Z296" i="7" s="1"/>
  <c r="U295" i="7"/>
  <c r="S295" i="7"/>
  <c r="Q295" i="7"/>
  <c r="O295" i="7"/>
  <c r="L295" i="7"/>
  <c r="J295" i="7"/>
  <c r="Z295" i="7" s="1"/>
  <c r="U294" i="7"/>
  <c r="S294" i="7"/>
  <c r="Q294" i="7"/>
  <c r="O294" i="7"/>
  <c r="L294" i="7"/>
  <c r="J294" i="7"/>
  <c r="Z294" i="7" s="1"/>
  <c r="U293" i="7"/>
  <c r="S293" i="7"/>
  <c r="Q293" i="7"/>
  <c r="O293" i="7"/>
  <c r="L293" i="7"/>
  <c r="J293" i="7"/>
  <c r="Z293" i="7" s="1"/>
  <c r="U292" i="7"/>
  <c r="S292" i="7"/>
  <c r="Q292" i="7"/>
  <c r="O292" i="7"/>
  <c r="L292" i="7"/>
  <c r="J292" i="7"/>
  <c r="Z292" i="7" s="1"/>
  <c r="U291" i="7"/>
  <c r="S291" i="7"/>
  <c r="Q291" i="7"/>
  <c r="O291" i="7"/>
  <c r="L291" i="7"/>
  <c r="J291" i="7"/>
  <c r="Z291" i="7" s="1"/>
  <c r="U290" i="7"/>
  <c r="S290" i="7"/>
  <c r="Q290" i="7"/>
  <c r="O290" i="7"/>
  <c r="L290" i="7"/>
  <c r="J290" i="7"/>
  <c r="Z290" i="7" s="1"/>
  <c r="U289" i="7"/>
  <c r="S289" i="7"/>
  <c r="Q289" i="7"/>
  <c r="O289" i="7"/>
  <c r="L289" i="7"/>
  <c r="J289" i="7"/>
  <c r="Z289" i="7" s="1"/>
  <c r="U288" i="7"/>
  <c r="S288" i="7"/>
  <c r="Q288" i="7"/>
  <c r="O288" i="7"/>
  <c r="L288" i="7"/>
  <c r="J288" i="7"/>
  <c r="Z288" i="7" s="1"/>
  <c r="U287" i="7"/>
  <c r="S287" i="7"/>
  <c r="Q287" i="7"/>
  <c r="O287" i="7"/>
  <c r="L287" i="7"/>
  <c r="J287" i="7"/>
  <c r="Z287" i="7" s="1"/>
  <c r="U286" i="7"/>
  <c r="S286" i="7"/>
  <c r="Q286" i="7"/>
  <c r="O286" i="7"/>
  <c r="L286" i="7"/>
  <c r="J286" i="7"/>
  <c r="Z286" i="7" s="1"/>
  <c r="U285" i="7"/>
  <c r="S285" i="7"/>
  <c r="Q285" i="7"/>
  <c r="O285" i="7"/>
  <c r="L285" i="7"/>
  <c r="J285" i="7"/>
  <c r="Z285" i="7" s="1"/>
  <c r="U284" i="7"/>
  <c r="S284" i="7"/>
  <c r="Q284" i="7"/>
  <c r="O284" i="7"/>
  <c r="L284" i="7"/>
  <c r="J284" i="7"/>
  <c r="Z284" i="7" s="1"/>
  <c r="U283" i="7"/>
  <c r="S283" i="7"/>
  <c r="Q283" i="7"/>
  <c r="O283" i="7"/>
  <c r="L283" i="7"/>
  <c r="J283" i="7"/>
  <c r="Z283" i="7" s="1"/>
  <c r="U282" i="7"/>
  <c r="S282" i="7"/>
  <c r="Q282" i="7"/>
  <c r="O282" i="7"/>
  <c r="L282" i="7"/>
  <c r="J282" i="7"/>
  <c r="Z282" i="7" s="1"/>
  <c r="U281" i="7"/>
  <c r="S281" i="7"/>
  <c r="Q281" i="7"/>
  <c r="O281" i="7"/>
  <c r="L281" i="7"/>
  <c r="J281" i="7"/>
  <c r="Z281" i="7" s="1"/>
  <c r="U280" i="7"/>
  <c r="S280" i="7"/>
  <c r="Q280" i="7"/>
  <c r="O280" i="7"/>
  <c r="L280" i="7"/>
  <c r="J280" i="7"/>
  <c r="Z280" i="7" s="1"/>
  <c r="U279" i="7"/>
  <c r="S279" i="7"/>
  <c r="Q279" i="7"/>
  <c r="O279" i="7"/>
  <c r="L279" i="7"/>
  <c r="J279" i="7"/>
  <c r="Z279" i="7" s="1"/>
  <c r="U278" i="7"/>
  <c r="S278" i="7"/>
  <c r="Q278" i="7"/>
  <c r="O278" i="7"/>
  <c r="L278" i="7"/>
  <c r="J278" i="7"/>
  <c r="Z278" i="7" s="1"/>
  <c r="U277" i="7"/>
  <c r="S277" i="7"/>
  <c r="Q277" i="7"/>
  <c r="O277" i="7"/>
  <c r="L277" i="7"/>
  <c r="J277" i="7"/>
  <c r="Z277" i="7" s="1"/>
  <c r="U276" i="7"/>
  <c r="S276" i="7"/>
  <c r="Q276" i="7"/>
  <c r="O276" i="7"/>
  <c r="L276" i="7"/>
  <c r="J276" i="7"/>
  <c r="Z276" i="7" s="1"/>
  <c r="U275" i="7"/>
  <c r="S275" i="7"/>
  <c r="Q275" i="7"/>
  <c r="O275" i="7"/>
  <c r="L275" i="7"/>
  <c r="J275" i="7"/>
  <c r="Z275" i="7" s="1"/>
  <c r="U274" i="7"/>
  <c r="S274" i="7"/>
  <c r="Q274" i="7"/>
  <c r="O274" i="7"/>
  <c r="L274" i="7"/>
  <c r="J274" i="7"/>
  <c r="Z274" i="7" s="1"/>
  <c r="U273" i="7"/>
  <c r="S273" i="7"/>
  <c r="Q273" i="7"/>
  <c r="O273" i="7"/>
  <c r="L273" i="7"/>
  <c r="J273" i="7"/>
  <c r="Z273" i="7" s="1"/>
  <c r="U272" i="7"/>
  <c r="S272" i="7"/>
  <c r="Q272" i="7"/>
  <c r="O272" i="7"/>
  <c r="L272" i="7"/>
  <c r="J272" i="7"/>
  <c r="Z272" i="7" s="1"/>
  <c r="U271" i="7"/>
  <c r="S271" i="7"/>
  <c r="Q271" i="7"/>
  <c r="O271" i="7"/>
  <c r="L271" i="7"/>
  <c r="J271" i="7"/>
  <c r="Z271" i="7" s="1"/>
  <c r="U270" i="7"/>
  <c r="S270" i="7"/>
  <c r="Q270" i="7"/>
  <c r="O270" i="7"/>
  <c r="L270" i="7"/>
  <c r="J270" i="7"/>
  <c r="Z270" i="7" s="1"/>
  <c r="U269" i="7"/>
  <c r="S269" i="7"/>
  <c r="Q269" i="7"/>
  <c r="O269" i="7"/>
  <c r="L269" i="7"/>
  <c r="J269" i="7"/>
  <c r="Z269" i="7" s="1"/>
  <c r="U268" i="7"/>
  <c r="S268" i="7"/>
  <c r="Q268" i="7"/>
  <c r="O268" i="7"/>
  <c r="L268" i="7"/>
  <c r="J268" i="7"/>
  <c r="Z268" i="7" s="1"/>
  <c r="U267" i="7"/>
  <c r="S267" i="7"/>
  <c r="Q267" i="7"/>
  <c r="O267" i="7"/>
  <c r="L267" i="7"/>
  <c r="J267" i="7"/>
  <c r="Z267" i="7" s="1"/>
  <c r="U266" i="7"/>
  <c r="S266" i="7"/>
  <c r="Q266" i="7"/>
  <c r="O266" i="7"/>
  <c r="L266" i="7"/>
  <c r="J266" i="7"/>
  <c r="Z266" i="7" s="1"/>
  <c r="U265" i="7"/>
  <c r="S265" i="7"/>
  <c r="Q265" i="7"/>
  <c r="O265" i="7"/>
  <c r="L265" i="7"/>
  <c r="J265" i="7"/>
  <c r="Z265" i="7" s="1"/>
  <c r="U264" i="7"/>
  <c r="S264" i="7"/>
  <c r="Q264" i="7"/>
  <c r="O264" i="7"/>
  <c r="L264" i="7"/>
  <c r="J264" i="7"/>
  <c r="Z264" i="7" s="1"/>
  <c r="U263" i="7"/>
  <c r="S263" i="7"/>
  <c r="Q263" i="7"/>
  <c r="O263" i="7"/>
  <c r="L263" i="7"/>
  <c r="J263" i="7"/>
  <c r="Z263" i="7" s="1"/>
  <c r="U262" i="7"/>
  <c r="S262" i="7"/>
  <c r="Q262" i="7"/>
  <c r="O262" i="7"/>
  <c r="L262" i="7"/>
  <c r="J262" i="7"/>
  <c r="Z262" i="7" s="1"/>
  <c r="U261" i="7"/>
  <c r="S261" i="7"/>
  <c r="Q261" i="7"/>
  <c r="O261" i="7"/>
  <c r="L261" i="7"/>
  <c r="J261" i="7"/>
  <c r="Z261" i="7" s="1"/>
  <c r="U260" i="7"/>
  <c r="S260" i="7"/>
  <c r="Q260" i="7"/>
  <c r="O260" i="7"/>
  <c r="L260" i="7"/>
  <c r="J260" i="7"/>
  <c r="Z260" i="7" s="1"/>
  <c r="U259" i="7"/>
  <c r="S259" i="7"/>
  <c r="Q259" i="7"/>
  <c r="O259" i="7"/>
  <c r="L259" i="7"/>
  <c r="J259" i="7"/>
  <c r="Z259" i="7" s="1"/>
  <c r="U258" i="7"/>
  <c r="S258" i="7"/>
  <c r="Q258" i="7"/>
  <c r="O258" i="7"/>
  <c r="L258" i="7"/>
  <c r="J258" i="7"/>
  <c r="Z258" i="7" s="1"/>
  <c r="U257" i="7"/>
  <c r="S257" i="7"/>
  <c r="Q257" i="7"/>
  <c r="O257" i="7"/>
  <c r="L257" i="7"/>
  <c r="J257" i="7"/>
  <c r="Z257" i="7" s="1"/>
  <c r="U256" i="7"/>
  <c r="S256" i="7"/>
  <c r="Q256" i="7"/>
  <c r="O256" i="7"/>
  <c r="L256" i="7"/>
  <c r="J256" i="7"/>
  <c r="Z256" i="7" s="1"/>
  <c r="U255" i="7"/>
  <c r="S255" i="7"/>
  <c r="Q255" i="7"/>
  <c r="O255" i="7"/>
  <c r="L255" i="7"/>
  <c r="J255" i="7"/>
  <c r="Z255" i="7" s="1"/>
  <c r="U254" i="7"/>
  <c r="S254" i="7"/>
  <c r="Q254" i="7"/>
  <c r="O254" i="7"/>
  <c r="L254" i="7"/>
  <c r="J254" i="7"/>
  <c r="Z254" i="7" s="1"/>
  <c r="U253" i="7"/>
  <c r="S253" i="7"/>
  <c r="Q253" i="7"/>
  <c r="O253" i="7"/>
  <c r="L253" i="7"/>
  <c r="J253" i="7"/>
  <c r="Z253" i="7" s="1"/>
  <c r="U252" i="7"/>
  <c r="S252" i="7"/>
  <c r="Q252" i="7"/>
  <c r="O252" i="7"/>
  <c r="L252" i="7"/>
  <c r="J252" i="7"/>
  <c r="Z252" i="7" s="1"/>
  <c r="U251" i="7"/>
  <c r="S251" i="7"/>
  <c r="Q251" i="7"/>
  <c r="O251" i="7"/>
  <c r="L251" i="7"/>
  <c r="J251" i="7"/>
  <c r="Z251" i="7" s="1"/>
  <c r="U250" i="7"/>
  <c r="S250" i="7"/>
  <c r="Q250" i="7"/>
  <c r="O250" i="7"/>
  <c r="L250" i="7"/>
  <c r="J250" i="7"/>
  <c r="Z250" i="7" s="1"/>
  <c r="U249" i="7"/>
  <c r="S249" i="7"/>
  <c r="Q249" i="7"/>
  <c r="O249" i="7"/>
  <c r="L249" i="7"/>
  <c r="J249" i="7"/>
  <c r="Z249" i="7" s="1"/>
  <c r="U248" i="7"/>
  <c r="S248" i="7"/>
  <c r="Q248" i="7"/>
  <c r="O248" i="7"/>
  <c r="L248" i="7"/>
  <c r="J248" i="7"/>
  <c r="Z248" i="7" s="1"/>
  <c r="U247" i="7"/>
  <c r="S247" i="7"/>
  <c r="Q247" i="7"/>
  <c r="O247" i="7"/>
  <c r="L247" i="7"/>
  <c r="J247" i="7"/>
  <c r="Z247" i="7" s="1"/>
  <c r="U246" i="7"/>
  <c r="S246" i="7"/>
  <c r="Q246" i="7"/>
  <c r="O246" i="7"/>
  <c r="L246" i="7"/>
  <c r="J246" i="7"/>
  <c r="Z246" i="7" s="1"/>
  <c r="U245" i="7"/>
  <c r="S245" i="7"/>
  <c r="Q245" i="7"/>
  <c r="O245" i="7"/>
  <c r="L245" i="7"/>
  <c r="J245" i="7"/>
  <c r="Z245" i="7" s="1"/>
  <c r="U244" i="7"/>
  <c r="S244" i="7"/>
  <c r="Q244" i="7"/>
  <c r="O244" i="7"/>
  <c r="L244" i="7"/>
  <c r="J244" i="7"/>
  <c r="Z244" i="7" s="1"/>
  <c r="U243" i="7"/>
  <c r="S243" i="7"/>
  <c r="Q243" i="7"/>
  <c r="O243" i="7"/>
  <c r="L243" i="7"/>
  <c r="J243" i="7"/>
  <c r="Z243" i="7" s="1"/>
  <c r="U242" i="7"/>
  <c r="S242" i="7"/>
  <c r="Q242" i="7"/>
  <c r="O242" i="7"/>
  <c r="L242" i="7"/>
  <c r="J242" i="7"/>
  <c r="Z242" i="7" s="1"/>
  <c r="U241" i="7"/>
  <c r="S241" i="7"/>
  <c r="Q241" i="7"/>
  <c r="O241" i="7"/>
  <c r="L241" i="7"/>
  <c r="J241" i="7"/>
  <c r="Z241" i="7" s="1"/>
  <c r="U240" i="7"/>
  <c r="S240" i="7"/>
  <c r="Q240" i="7"/>
  <c r="O240" i="7"/>
  <c r="L240" i="7"/>
  <c r="J240" i="7"/>
  <c r="Z240" i="7" s="1"/>
  <c r="U239" i="7"/>
  <c r="S239" i="7"/>
  <c r="Q239" i="7"/>
  <c r="O239" i="7"/>
  <c r="L239" i="7"/>
  <c r="J239" i="7"/>
  <c r="Z239" i="7" s="1"/>
  <c r="U238" i="7"/>
  <c r="S238" i="7"/>
  <c r="Q238" i="7"/>
  <c r="O238" i="7"/>
  <c r="L238" i="7"/>
  <c r="J238" i="7"/>
  <c r="Z238" i="7" s="1"/>
  <c r="U237" i="7"/>
  <c r="S237" i="7"/>
  <c r="Q237" i="7"/>
  <c r="O237" i="7"/>
  <c r="L237" i="7"/>
  <c r="J237" i="7"/>
  <c r="Z237" i="7" s="1"/>
  <c r="U236" i="7"/>
  <c r="S236" i="7"/>
  <c r="Q236" i="7"/>
  <c r="O236" i="7"/>
  <c r="L236" i="7"/>
  <c r="J236" i="7"/>
  <c r="Z236" i="7" s="1"/>
  <c r="U235" i="7"/>
  <c r="S235" i="7"/>
  <c r="Q235" i="7"/>
  <c r="O235" i="7"/>
  <c r="L235" i="7"/>
  <c r="J235" i="7"/>
  <c r="Z235" i="7" s="1"/>
  <c r="U234" i="7"/>
  <c r="S234" i="7"/>
  <c r="Q234" i="7"/>
  <c r="O234" i="7"/>
  <c r="L234" i="7"/>
  <c r="J234" i="7"/>
  <c r="Z234" i="7" s="1"/>
  <c r="U233" i="7"/>
  <c r="S233" i="7"/>
  <c r="Q233" i="7"/>
  <c r="O233" i="7"/>
  <c r="L233" i="7"/>
  <c r="J233" i="7"/>
  <c r="Z233" i="7" s="1"/>
  <c r="U232" i="7"/>
  <c r="S232" i="7"/>
  <c r="Q232" i="7"/>
  <c r="O232" i="7"/>
  <c r="L232" i="7"/>
  <c r="J232" i="7"/>
  <c r="Z232" i="7" s="1"/>
  <c r="U231" i="7"/>
  <c r="S231" i="7"/>
  <c r="Q231" i="7"/>
  <c r="O231" i="7"/>
  <c r="L231" i="7"/>
  <c r="J231" i="7"/>
  <c r="Z231" i="7" s="1"/>
  <c r="U230" i="7"/>
  <c r="S230" i="7"/>
  <c r="Q230" i="7"/>
  <c r="O230" i="7"/>
  <c r="L230" i="7"/>
  <c r="J230" i="7"/>
  <c r="Z230" i="7" s="1"/>
  <c r="U229" i="7"/>
  <c r="S229" i="7"/>
  <c r="Q229" i="7"/>
  <c r="O229" i="7"/>
  <c r="L229" i="7"/>
  <c r="J229" i="7"/>
  <c r="Z229" i="7" s="1"/>
  <c r="U228" i="7"/>
  <c r="S228" i="7"/>
  <c r="Q228" i="7"/>
  <c r="O228" i="7"/>
  <c r="L228" i="7"/>
  <c r="J228" i="7"/>
  <c r="Z228" i="7" s="1"/>
  <c r="U227" i="7"/>
  <c r="S227" i="7"/>
  <c r="Q227" i="7"/>
  <c r="O227" i="7"/>
  <c r="L227" i="7"/>
  <c r="J227" i="7"/>
  <c r="Z227" i="7" s="1"/>
  <c r="U226" i="7"/>
  <c r="S226" i="7"/>
  <c r="Q226" i="7"/>
  <c r="O226" i="7"/>
  <c r="L226" i="7"/>
  <c r="J226" i="7"/>
  <c r="Z226" i="7" s="1"/>
  <c r="U225" i="7"/>
  <c r="S225" i="7"/>
  <c r="Q225" i="7"/>
  <c r="O225" i="7"/>
  <c r="L225" i="7"/>
  <c r="J225" i="7"/>
  <c r="Z225" i="7" s="1"/>
  <c r="U224" i="7"/>
  <c r="S224" i="7"/>
  <c r="Q224" i="7"/>
  <c r="O224" i="7"/>
  <c r="L224" i="7"/>
  <c r="J224" i="7"/>
  <c r="Z224" i="7" s="1"/>
  <c r="U223" i="7"/>
  <c r="S223" i="7"/>
  <c r="Q223" i="7"/>
  <c r="O223" i="7"/>
  <c r="L223" i="7"/>
  <c r="J223" i="7"/>
  <c r="Z223" i="7" s="1"/>
  <c r="U222" i="7"/>
  <c r="S222" i="7"/>
  <c r="Q222" i="7"/>
  <c r="O222" i="7"/>
  <c r="L222" i="7"/>
  <c r="J222" i="7"/>
  <c r="Z222" i="7" s="1"/>
  <c r="U221" i="7"/>
  <c r="S221" i="7"/>
  <c r="Q221" i="7"/>
  <c r="O221" i="7"/>
  <c r="L221" i="7"/>
  <c r="J221" i="7"/>
  <c r="Z221" i="7" s="1"/>
  <c r="U220" i="7"/>
  <c r="S220" i="7"/>
  <c r="Q220" i="7"/>
  <c r="O220" i="7"/>
  <c r="L220" i="7"/>
  <c r="J220" i="7"/>
  <c r="Z220" i="7" s="1"/>
  <c r="U219" i="7"/>
  <c r="S219" i="7"/>
  <c r="Q219" i="7"/>
  <c r="O219" i="7"/>
  <c r="L219" i="7"/>
  <c r="J219" i="7"/>
  <c r="Z219" i="7" s="1"/>
  <c r="U218" i="7"/>
  <c r="S218" i="7"/>
  <c r="Q218" i="7"/>
  <c r="O218" i="7"/>
  <c r="L218" i="7"/>
  <c r="J218" i="7"/>
  <c r="Z218" i="7" s="1"/>
  <c r="U217" i="7"/>
  <c r="S217" i="7"/>
  <c r="Q217" i="7"/>
  <c r="O217" i="7"/>
  <c r="L217" i="7"/>
  <c r="J217" i="7"/>
  <c r="Z217" i="7" s="1"/>
  <c r="U216" i="7"/>
  <c r="S216" i="7"/>
  <c r="Q216" i="7"/>
  <c r="O216" i="7"/>
  <c r="L216" i="7"/>
  <c r="J216" i="7"/>
  <c r="Z216" i="7" s="1"/>
  <c r="U215" i="7"/>
  <c r="S215" i="7"/>
  <c r="Q215" i="7"/>
  <c r="O215" i="7"/>
  <c r="L215" i="7"/>
  <c r="J215" i="7"/>
  <c r="Z215" i="7" s="1"/>
  <c r="U214" i="7"/>
  <c r="S214" i="7"/>
  <c r="Q214" i="7"/>
  <c r="O214" i="7"/>
  <c r="L214" i="7"/>
  <c r="J214" i="7"/>
  <c r="Z214" i="7" s="1"/>
  <c r="U213" i="7"/>
  <c r="S213" i="7"/>
  <c r="Q213" i="7"/>
  <c r="O213" i="7"/>
  <c r="L213" i="7"/>
  <c r="J213" i="7"/>
  <c r="Z213" i="7" s="1"/>
  <c r="U212" i="7"/>
  <c r="S212" i="7"/>
  <c r="Q212" i="7"/>
  <c r="O212" i="7"/>
  <c r="L212" i="7"/>
  <c r="J212" i="7"/>
  <c r="Z212" i="7" s="1"/>
  <c r="U211" i="7"/>
  <c r="S211" i="7"/>
  <c r="Q211" i="7"/>
  <c r="O211" i="7"/>
  <c r="L211" i="7"/>
  <c r="J211" i="7"/>
  <c r="Z211" i="7" s="1"/>
  <c r="U210" i="7"/>
  <c r="S210" i="7"/>
  <c r="Q210" i="7"/>
  <c r="O210" i="7"/>
  <c r="L210" i="7"/>
  <c r="J210" i="7"/>
  <c r="Z210" i="7" s="1"/>
  <c r="U209" i="7"/>
  <c r="S209" i="7"/>
  <c r="Q209" i="7"/>
  <c r="O209" i="7"/>
  <c r="L209" i="7"/>
  <c r="J209" i="7"/>
  <c r="Z209" i="7" s="1"/>
  <c r="U208" i="7"/>
  <c r="S208" i="7"/>
  <c r="Q208" i="7"/>
  <c r="O208" i="7"/>
  <c r="L208" i="7"/>
  <c r="J208" i="7"/>
  <c r="Z208" i="7" s="1"/>
  <c r="U207" i="7"/>
  <c r="S207" i="7"/>
  <c r="Q207" i="7"/>
  <c r="O207" i="7"/>
  <c r="L207" i="7"/>
  <c r="J207" i="7"/>
  <c r="Z207" i="7" s="1"/>
  <c r="U206" i="7"/>
  <c r="S206" i="7"/>
  <c r="Q206" i="7"/>
  <c r="O206" i="7"/>
  <c r="L206" i="7"/>
  <c r="J206" i="7"/>
  <c r="Z206" i="7" s="1"/>
  <c r="U205" i="7"/>
  <c r="S205" i="7"/>
  <c r="Q205" i="7"/>
  <c r="O205" i="7"/>
  <c r="L205" i="7"/>
  <c r="J205" i="7"/>
  <c r="Z205" i="7" s="1"/>
  <c r="U204" i="7"/>
  <c r="S204" i="7"/>
  <c r="Q204" i="7"/>
  <c r="O204" i="7"/>
  <c r="L204" i="7"/>
  <c r="J204" i="7"/>
  <c r="Z204" i="7" s="1"/>
  <c r="U203" i="7"/>
  <c r="S203" i="7"/>
  <c r="Q203" i="7"/>
  <c r="O203" i="7"/>
  <c r="L203" i="7"/>
  <c r="J203" i="7"/>
  <c r="Z203" i="7" s="1"/>
  <c r="U202" i="7"/>
  <c r="S202" i="7"/>
  <c r="Q202" i="7"/>
  <c r="O202" i="7"/>
  <c r="L202" i="7"/>
  <c r="J202" i="7"/>
  <c r="Z202" i="7" s="1"/>
  <c r="U201" i="7"/>
  <c r="S201" i="7"/>
  <c r="Q201" i="7"/>
  <c r="O201" i="7"/>
  <c r="L201" i="7"/>
  <c r="J201" i="7"/>
  <c r="Z201" i="7" s="1"/>
  <c r="U200" i="7"/>
  <c r="S200" i="7"/>
  <c r="Q200" i="7"/>
  <c r="O200" i="7"/>
  <c r="L200" i="7"/>
  <c r="J200" i="7"/>
  <c r="Z200" i="7" s="1"/>
  <c r="U199" i="7"/>
  <c r="S199" i="7"/>
  <c r="Q199" i="7"/>
  <c r="O199" i="7"/>
  <c r="L199" i="7"/>
  <c r="J199" i="7"/>
  <c r="Z199" i="7" s="1"/>
  <c r="U198" i="7"/>
  <c r="S198" i="7"/>
  <c r="Q198" i="7"/>
  <c r="O198" i="7"/>
  <c r="L198" i="7"/>
  <c r="J198" i="7"/>
  <c r="Z198" i="7" s="1"/>
  <c r="U197" i="7"/>
  <c r="S197" i="7"/>
  <c r="Q197" i="7"/>
  <c r="O197" i="7"/>
  <c r="L197" i="7"/>
  <c r="J197" i="7"/>
  <c r="Z197" i="7" s="1"/>
  <c r="U196" i="7"/>
  <c r="S196" i="7"/>
  <c r="Q196" i="7"/>
  <c r="O196" i="7"/>
  <c r="L196" i="7"/>
  <c r="J196" i="7"/>
  <c r="Z196" i="7" s="1"/>
  <c r="U195" i="7"/>
  <c r="S195" i="7"/>
  <c r="Q195" i="7"/>
  <c r="O195" i="7"/>
  <c r="L195" i="7"/>
  <c r="J195" i="7"/>
  <c r="Z195" i="7" s="1"/>
  <c r="U194" i="7"/>
  <c r="S194" i="7"/>
  <c r="Q194" i="7"/>
  <c r="O194" i="7"/>
  <c r="L194" i="7"/>
  <c r="J194" i="7"/>
  <c r="Z194" i="7" s="1"/>
  <c r="U193" i="7"/>
  <c r="S193" i="7"/>
  <c r="Q193" i="7"/>
  <c r="O193" i="7"/>
  <c r="L193" i="7"/>
  <c r="J193" i="7"/>
  <c r="Z193" i="7" s="1"/>
  <c r="U192" i="7"/>
  <c r="S192" i="7"/>
  <c r="Q192" i="7"/>
  <c r="O192" i="7"/>
  <c r="L192" i="7"/>
  <c r="J192" i="7"/>
  <c r="Z192" i="7" s="1"/>
  <c r="U191" i="7"/>
  <c r="S191" i="7"/>
  <c r="Q191" i="7"/>
  <c r="O191" i="7"/>
  <c r="L191" i="7"/>
  <c r="J191" i="7"/>
  <c r="Z191" i="7" s="1"/>
  <c r="U190" i="7"/>
  <c r="S190" i="7"/>
  <c r="Q190" i="7"/>
  <c r="O190" i="7"/>
  <c r="L190" i="7"/>
  <c r="J190" i="7"/>
  <c r="Z190" i="7" s="1"/>
  <c r="U189" i="7"/>
  <c r="S189" i="7"/>
  <c r="Q189" i="7"/>
  <c r="O189" i="7"/>
  <c r="L189" i="7"/>
  <c r="J189" i="7"/>
  <c r="Z189" i="7" s="1"/>
  <c r="U188" i="7"/>
  <c r="S188" i="7"/>
  <c r="Q188" i="7"/>
  <c r="O188" i="7"/>
  <c r="L188" i="7"/>
  <c r="J188" i="7"/>
  <c r="Z188" i="7" s="1"/>
  <c r="U187" i="7"/>
  <c r="S187" i="7"/>
  <c r="Q187" i="7"/>
  <c r="O187" i="7"/>
  <c r="L187" i="7"/>
  <c r="J187" i="7"/>
  <c r="Z187" i="7" s="1"/>
  <c r="U186" i="7"/>
  <c r="S186" i="7"/>
  <c r="Q186" i="7"/>
  <c r="O186" i="7"/>
  <c r="L186" i="7"/>
  <c r="J186" i="7"/>
  <c r="Z186" i="7" s="1"/>
  <c r="U185" i="7"/>
  <c r="S185" i="7"/>
  <c r="Q185" i="7"/>
  <c r="O185" i="7"/>
  <c r="L185" i="7"/>
  <c r="J185" i="7"/>
  <c r="Z185" i="7" s="1"/>
  <c r="U184" i="7"/>
  <c r="S184" i="7"/>
  <c r="Q184" i="7"/>
  <c r="O184" i="7"/>
  <c r="L184" i="7"/>
  <c r="J184" i="7"/>
  <c r="Z184" i="7" s="1"/>
  <c r="U183" i="7"/>
  <c r="S183" i="7"/>
  <c r="Q183" i="7"/>
  <c r="O183" i="7"/>
  <c r="L183" i="7"/>
  <c r="J183" i="7"/>
  <c r="Z183" i="7" s="1"/>
  <c r="U182" i="7"/>
  <c r="S182" i="7"/>
  <c r="Q182" i="7"/>
  <c r="O182" i="7"/>
  <c r="L182" i="7"/>
  <c r="J182" i="7"/>
  <c r="Z182" i="7" s="1"/>
  <c r="U181" i="7"/>
  <c r="S181" i="7"/>
  <c r="Q181" i="7"/>
  <c r="O181" i="7"/>
  <c r="L181" i="7"/>
  <c r="J181" i="7"/>
  <c r="Z181" i="7" s="1"/>
  <c r="U180" i="7"/>
  <c r="S180" i="7"/>
  <c r="Q180" i="7"/>
  <c r="O180" i="7"/>
  <c r="L180" i="7"/>
  <c r="J180" i="7"/>
  <c r="Z180" i="7" s="1"/>
  <c r="U179" i="7"/>
  <c r="S179" i="7"/>
  <c r="Q179" i="7"/>
  <c r="O179" i="7"/>
  <c r="L179" i="7"/>
  <c r="J179" i="7"/>
  <c r="Z179" i="7" s="1"/>
  <c r="U178" i="7"/>
  <c r="S178" i="7"/>
  <c r="Q178" i="7"/>
  <c r="O178" i="7"/>
  <c r="L178" i="7"/>
  <c r="J178" i="7"/>
  <c r="Z178" i="7" s="1"/>
  <c r="U177" i="7"/>
  <c r="S177" i="7"/>
  <c r="Q177" i="7"/>
  <c r="O177" i="7"/>
  <c r="L177" i="7"/>
  <c r="J177" i="7"/>
  <c r="Z177" i="7" s="1"/>
  <c r="U176" i="7"/>
  <c r="S176" i="7"/>
  <c r="Q176" i="7"/>
  <c r="O176" i="7"/>
  <c r="L176" i="7"/>
  <c r="J176" i="7"/>
  <c r="Z176" i="7" s="1"/>
  <c r="U175" i="7"/>
  <c r="S175" i="7"/>
  <c r="Q175" i="7"/>
  <c r="O175" i="7"/>
  <c r="L175" i="7"/>
  <c r="J175" i="7"/>
  <c r="Z175" i="7" s="1"/>
  <c r="U174" i="7"/>
  <c r="S174" i="7"/>
  <c r="Q174" i="7"/>
  <c r="O174" i="7"/>
  <c r="L174" i="7"/>
  <c r="J174" i="7"/>
  <c r="Z174" i="7" s="1"/>
  <c r="U173" i="7"/>
  <c r="S173" i="7"/>
  <c r="Q173" i="7"/>
  <c r="O173" i="7"/>
  <c r="L173" i="7"/>
  <c r="J173" i="7"/>
  <c r="Z173" i="7" s="1"/>
  <c r="U172" i="7"/>
  <c r="S172" i="7"/>
  <c r="Q172" i="7"/>
  <c r="O172" i="7"/>
  <c r="L172" i="7"/>
  <c r="J172" i="7"/>
  <c r="Z172" i="7" s="1"/>
  <c r="U171" i="7"/>
  <c r="S171" i="7"/>
  <c r="Q171" i="7"/>
  <c r="O171" i="7"/>
  <c r="L171" i="7"/>
  <c r="J171" i="7"/>
  <c r="Z171" i="7" s="1"/>
  <c r="U170" i="7"/>
  <c r="S170" i="7"/>
  <c r="Q170" i="7"/>
  <c r="O170" i="7"/>
  <c r="L170" i="7"/>
  <c r="J170" i="7"/>
  <c r="Z170" i="7" s="1"/>
  <c r="U169" i="7"/>
  <c r="S169" i="7"/>
  <c r="Q169" i="7"/>
  <c r="O169" i="7"/>
  <c r="L169" i="7"/>
  <c r="J169" i="7"/>
  <c r="Z169" i="7" s="1"/>
  <c r="U168" i="7"/>
  <c r="S168" i="7"/>
  <c r="Q168" i="7"/>
  <c r="O168" i="7"/>
  <c r="L168" i="7"/>
  <c r="J168" i="7"/>
  <c r="Z168" i="7" s="1"/>
  <c r="U167" i="7"/>
  <c r="S167" i="7"/>
  <c r="Q167" i="7"/>
  <c r="O167" i="7"/>
  <c r="L167" i="7"/>
  <c r="J167" i="7"/>
  <c r="Z167" i="7" s="1"/>
  <c r="U166" i="7"/>
  <c r="S166" i="7"/>
  <c r="Q166" i="7"/>
  <c r="O166" i="7"/>
  <c r="L166" i="7"/>
  <c r="J166" i="7"/>
  <c r="Z166" i="7" s="1"/>
  <c r="U165" i="7"/>
  <c r="S165" i="7"/>
  <c r="Q165" i="7"/>
  <c r="O165" i="7"/>
  <c r="L165" i="7"/>
  <c r="J165" i="7"/>
  <c r="Z165" i="7" s="1"/>
  <c r="U164" i="7"/>
  <c r="S164" i="7"/>
  <c r="Q164" i="7"/>
  <c r="O164" i="7"/>
  <c r="L164" i="7"/>
  <c r="J164" i="7"/>
  <c r="Z164" i="7" s="1"/>
  <c r="U163" i="7"/>
  <c r="S163" i="7"/>
  <c r="Q163" i="7"/>
  <c r="O163" i="7"/>
  <c r="L163" i="7"/>
  <c r="J163" i="7"/>
  <c r="Z163" i="7" s="1"/>
  <c r="U162" i="7"/>
  <c r="S162" i="7"/>
  <c r="Q162" i="7"/>
  <c r="O162" i="7"/>
  <c r="L162" i="7"/>
  <c r="J162" i="7"/>
  <c r="Z162" i="7" s="1"/>
  <c r="U161" i="7"/>
  <c r="S161" i="7"/>
  <c r="Q161" i="7"/>
  <c r="O161" i="7"/>
  <c r="L161" i="7"/>
  <c r="J161" i="7"/>
  <c r="Z161" i="7" s="1"/>
  <c r="U160" i="7"/>
  <c r="S160" i="7"/>
  <c r="Q160" i="7"/>
  <c r="O160" i="7"/>
  <c r="L160" i="7"/>
  <c r="J160" i="7"/>
  <c r="Z160" i="7" s="1"/>
  <c r="U159" i="7"/>
  <c r="S159" i="7"/>
  <c r="Q159" i="7"/>
  <c r="O159" i="7"/>
  <c r="L159" i="7"/>
  <c r="J159" i="7"/>
  <c r="Z159" i="7" s="1"/>
  <c r="U158" i="7"/>
  <c r="S158" i="7"/>
  <c r="Q158" i="7"/>
  <c r="O158" i="7"/>
  <c r="L158" i="7"/>
  <c r="J158" i="7"/>
  <c r="Z158" i="7" s="1"/>
  <c r="U157" i="7"/>
  <c r="S157" i="7"/>
  <c r="Q157" i="7"/>
  <c r="O157" i="7"/>
  <c r="L157" i="7"/>
  <c r="J157" i="7"/>
  <c r="Z157" i="7" s="1"/>
  <c r="U156" i="7"/>
  <c r="S156" i="7"/>
  <c r="Q156" i="7"/>
  <c r="O156" i="7"/>
  <c r="L156" i="7"/>
  <c r="J156" i="7"/>
  <c r="Z156" i="7" s="1"/>
  <c r="U155" i="7"/>
  <c r="S155" i="7"/>
  <c r="Q155" i="7"/>
  <c r="O155" i="7"/>
  <c r="L155" i="7"/>
  <c r="J155" i="7"/>
  <c r="Z155" i="7" s="1"/>
  <c r="U154" i="7"/>
  <c r="S154" i="7"/>
  <c r="Q154" i="7"/>
  <c r="O154" i="7"/>
  <c r="L154" i="7"/>
  <c r="J154" i="7"/>
  <c r="Z154" i="7" s="1"/>
  <c r="U153" i="7"/>
  <c r="S153" i="7"/>
  <c r="Q153" i="7"/>
  <c r="O153" i="7"/>
  <c r="L153" i="7"/>
  <c r="J153" i="7"/>
  <c r="Z153" i="7" s="1"/>
  <c r="U152" i="7"/>
  <c r="S152" i="7"/>
  <c r="Q152" i="7"/>
  <c r="O152" i="7"/>
  <c r="L152" i="7"/>
  <c r="J152" i="7"/>
  <c r="Z152" i="7" s="1"/>
  <c r="U151" i="7"/>
  <c r="S151" i="7"/>
  <c r="Q151" i="7"/>
  <c r="O151" i="7"/>
  <c r="L151" i="7"/>
  <c r="J151" i="7"/>
  <c r="Z151" i="7" s="1"/>
  <c r="U150" i="7"/>
  <c r="S150" i="7"/>
  <c r="Q150" i="7"/>
  <c r="O150" i="7"/>
  <c r="L150" i="7"/>
  <c r="J150" i="7"/>
  <c r="Z150" i="7" s="1"/>
  <c r="U149" i="7"/>
  <c r="S149" i="7"/>
  <c r="Q149" i="7"/>
  <c r="O149" i="7"/>
  <c r="L149" i="7"/>
  <c r="J149" i="7"/>
  <c r="Z149" i="7" s="1"/>
  <c r="U148" i="7"/>
  <c r="S148" i="7"/>
  <c r="Q148" i="7"/>
  <c r="O148" i="7"/>
  <c r="L148" i="7"/>
  <c r="J148" i="7"/>
  <c r="Z148" i="7" s="1"/>
  <c r="U147" i="7"/>
  <c r="S147" i="7"/>
  <c r="Q147" i="7"/>
  <c r="O147" i="7"/>
  <c r="L147" i="7"/>
  <c r="J147" i="7"/>
  <c r="Z147" i="7" s="1"/>
  <c r="U146" i="7"/>
  <c r="S146" i="7"/>
  <c r="Q146" i="7"/>
  <c r="O146" i="7"/>
  <c r="L146" i="7"/>
  <c r="J146" i="7"/>
  <c r="Z146" i="7" s="1"/>
  <c r="U145" i="7"/>
  <c r="S145" i="7"/>
  <c r="Q145" i="7"/>
  <c r="O145" i="7"/>
  <c r="L145" i="7"/>
  <c r="J145" i="7"/>
  <c r="Z145" i="7" s="1"/>
  <c r="U144" i="7"/>
  <c r="S144" i="7"/>
  <c r="Q144" i="7"/>
  <c r="O144" i="7"/>
  <c r="L144" i="7"/>
  <c r="J144" i="7"/>
  <c r="Z144" i="7" s="1"/>
  <c r="U143" i="7"/>
  <c r="S143" i="7"/>
  <c r="Q143" i="7"/>
  <c r="O143" i="7"/>
  <c r="L143" i="7"/>
  <c r="J143" i="7"/>
  <c r="Z143" i="7" s="1"/>
  <c r="U142" i="7"/>
  <c r="S142" i="7"/>
  <c r="Q142" i="7"/>
  <c r="O142" i="7"/>
  <c r="L142" i="7"/>
  <c r="J142" i="7"/>
  <c r="Z142" i="7" s="1"/>
  <c r="U141" i="7"/>
  <c r="S141" i="7"/>
  <c r="Q141" i="7"/>
  <c r="O141" i="7"/>
  <c r="L141" i="7"/>
  <c r="J141" i="7"/>
  <c r="Z141" i="7" s="1"/>
  <c r="U140" i="7"/>
  <c r="S140" i="7"/>
  <c r="Q140" i="7"/>
  <c r="O140" i="7"/>
  <c r="L140" i="7"/>
  <c r="J140" i="7"/>
  <c r="Z140" i="7" s="1"/>
  <c r="U139" i="7"/>
  <c r="S139" i="7"/>
  <c r="Q139" i="7"/>
  <c r="O139" i="7"/>
  <c r="L139" i="7"/>
  <c r="J139" i="7"/>
  <c r="Z139" i="7" s="1"/>
  <c r="U138" i="7"/>
  <c r="S138" i="7"/>
  <c r="Q138" i="7"/>
  <c r="O138" i="7"/>
  <c r="L138" i="7"/>
  <c r="J138" i="7"/>
  <c r="Z138" i="7" s="1"/>
  <c r="U137" i="7"/>
  <c r="S137" i="7"/>
  <c r="Q137" i="7"/>
  <c r="O137" i="7"/>
  <c r="L137" i="7"/>
  <c r="J137" i="7"/>
  <c r="Z137" i="7" s="1"/>
  <c r="U136" i="7"/>
  <c r="S136" i="7"/>
  <c r="Q136" i="7"/>
  <c r="O136" i="7"/>
  <c r="L136" i="7"/>
  <c r="J136" i="7"/>
  <c r="Z136" i="7" s="1"/>
  <c r="U135" i="7"/>
  <c r="S135" i="7"/>
  <c r="Q135" i="7"/>
  <c r="O135" i="7"/>
  <c r="L135" i="7"/>
  <c r="J135" i="7"/>
  <c r="Z135" i="7" s="1"/>
  <c r="U134" i="7"/>
  <c r="S134" i="7"/>
  <c r="Q134" i="7"/>
  <c r="O134" i="7"/>
  <c r="L134" i="7"/>
  <c r="J134" i="7"/>
  <c r="Z134" i="7" s="1"/>
  <c r="U133" i="7"/>
  <c r="S133" i="7"/>
  <c r="Q133" i="7"/>
  <c r="O133" i="7"/>
  <c r="L133" i="7"/>
  <c r="J133" i="7"/>
  <c r="Z133" i="7" s="1"/>
  <c r="U132" i="7"/>
  <c r="S132" i="7"/>
  <c r="Q132" i="7"/>
  <c r="O132" i="7"/>
  <c r="L132" i="7"/>
  <c r="J132" i="7"/>
  <c r="Z132" i="7" s="1"/>
  <c r="U131" i="7"/>
  <c r="S131" i="7"/>
  <c r="Q131" i="7"/>
  <c r="O131" i="7"/>
  <c r="L131" i="7"/>
  <c r="J131" i="7"/>
  <c r="Z131" i="7" s="1"/>
  <c r="U130" i="7"/>
  <c r="S130" i="7"/>
  <c r="Q130" i="7"/>
  <c r="O130" i="7"/>
  <c r="L130" i="7"/>
  <c r="J130" i="7"/>
  <c r="Z130" i="7" s="1"/>
  <c r="U129" i="7"/>
  <c r="S129" i="7"/>
  <c r="Q129" i="7"/>
  <c r="O129" i="7"/>
  <c r="L129" i="7"/>
  <c r="J129" i="7"/>
  <c r="Z129" i="7" s="1"/>
  <c r="U128" i="7"/>
  <c r="S128" i="7"/>
  <c r="Q128" i="7"/>
  <c r="O128" i="7"/>
  <c r="L128" i="7"/>
  <c r="J128" i="7"/>
  <c r="Z128" i="7" s="1"/>
  <c r="U127" i="7"/>
  <c r="S127" i="7"/>
  <c r="Q127" i="7"/>
  <c r="O127" i="7"/>
  <c r="L127" i="7"/>
  <c r="J127" i="7"/>
  <c r="Z127" i="7" s="1"/>
  <c r="U126" i="7"/>
  <c r="S126" i="7"/>
  <c r="Q126" i="7"/>
  <c r="O126" i="7"/>
  <c r="L126" i="7"/>
  <c r="J126" i="7"/>
  <c r="Z126" i="7" s="1"/>
  <c r="U125" i="7"/>
  <c r="S125" i="7"/>
  <c r="Q125" i="7"/>
  <c r="O125" i="7"/>
  <c r="L125" i="7"/>
  <c r="J125" i="7"/>
  <c r="Z125" i="7" s="1"/>
  <c r="U124" i="7"/>
  <c r="S124" i="7"/>
  <c r="Q124" i="7"/>
  <c r="O124" i="7"/>
  <c r="L124" i="7"/>
  <c r="J124" i="7"/>
  <c r="Z124" i="7" s="1"/>
  <c r="U123" i="7"/>
  <c r="S123" i="7"/>
  <c r="Q123" i="7"/>
  <c r="O123" i="7"/>
  <c r="L123" i="7"/>
  <c r="J123" i="7"/>
  <c r="Z123" i="7" s="1"/>
  <c r="U122" i="7"/>
  <c r="S122" i="7"/>
  <c r="Q122" i="7"/>
  <c r="O122" i="7"/>
  <c r="L122" i="7"/>
  <c r="J122" i="7"/>
  <c r="Z122" i="7" s="1"/>
  <c r="U121" i="7"/>
  <c r="S121" i="7"/>
  <c r="Q121" i="7"/>
  <c r="O121" i="7"/>
  <c r="L121" i="7"/>
  <c r="J121" i="7"/>
  <c r="Z121" i="7" s="1"/>
  <c r="U120" i="7"/>
  <c r="S120" i="7"/>
  <c r="Q120" i="7"/>
  <c r="O120" i="7"/>
  <c r="L120" i="7"/>
  <c r="J120" i="7"/>
  <c r="Z120" i="7" s="1"/>
  <c r="J119" i="7"/>
  <c r="Z119" i="7" s="1"/>
  <c r="J118" i="7"/>
  <c r="Z118" i="7" s="1"/>
  <c r="J117" i="7"/>
  <c r="Z117" i="7" s="1"/>
  <c r="J116" i="7"/>
  <c r="Z116" i="7" s="1"/>
  <c r="J115" i="7"/>
  <c r="Z115" i="7" s="1"/>
  <c r="J114" i="7"/>
  <c r="Z114" i="7" s="1"/>
  <c r="J113" i="7"/>
  <c r="Z113" i="7" s="1"/>
  <c r="J112" i="7"/>
  <c r="Z112" i="7" s="1"/>
  <c r="J110" i="7"/>
  <c r="Z110" i="7" s="1"/>
  <c r="J109" i="7"/>
  <c r="Z109" i="7" s="1"/>
  <c r="J108" i="7"/>
  <c r="Z108" i="7" s="1"/>
  <c r="J107" i="7"/>
  <c r="Z107" i="7" s="1"/>
  <c r="J106" i="7"/>
  <c r="Z106" i="7" s="1"/>
  <c r="J105" i="7"/>
  <c r="Z105" i="7" s="1"/>
  <c r="J104" i="7"/>
  <c r="Z104" i="7" s="1"/>
  <c r="J103" i="7"/>
  <c r="Z103" i="7" s="1"/>
  <c r="J102" i="7"/>
  <c r="Z102" i="7" s="1"/>
  <c r="J101" i="7"/>
  <c r="Z101" i="7" s="1"/>
  <c r="J100" i="7"/>
  <c r="Z100" i="7" s="1"/>
  <c r="J99" i="7"/>
  <c r="Z99" i="7" s="1"/>
  <c r="J98" i="7"/>
  <c r="Z98" i="7" s="1"/>
  <c r="J97" i="7"/>
  <c r="Z97" i="7" s="1"/>
  <c r="J96" i="7"/>
  <c r="Z96" i="7" s="1"/>
  <c r="J95" i="7"/>
  <c r="Z95" i="7" s="1"/>
  <c r="J94" i="7"/>
  <c r="Z94" i="7" s="1"/>
  <c r="J93" i="7"/>
  <c r="Z93" i="7" s="1"/>
  <c r="J92" i="7"/>
  <c r="Z92" i="7" s="1"/>
  <c r="J91" i="7"/>
  <c r="Z91" i="7" s="1"/>
  <c r="J90" i="7"/>
  <c r="Z90" i="7" s="1"/>
  <c r="J89" i="7"/>
  <c r="U88" i="7"/>
  <c r="S88" i="7"/>
  <c r="Q88" i="7"/>
  <c r="O88" i="7"/>
  <c r="L88" i="7"/>
  <c r="J88" i="7"/>
  <c r="Z88" i="7" s="1"/>
  <c r="U87" i="7"/>
  <c r="S87" i="7"/>
  <c r="Q87" i="7"/>
  <c r="O87" i="7"/>
  <c r="L87" i="7"/>
  <c r="J87" i="7"/>
  <c r="Z87" i="7" s="1"/>
  <c r="U86" i="7"/>
  <c r="S86" i="7"/>
  <c r="Q86" i="7"/>
  <c r="O86" i="7"/>
  <c r="L86" i="7"/>
  <c r="J86" i="7"/>
  <c r="Z86" i="7" s="1"/>
  <c r="U85" i="7"/>
  <c r="S85" i="7"/>
  <c r="Q85" i="7"/>
  <c r="O85" i="7"/>
  <c r="L85" i="7"/>
  <c r="J85" i="7"/>
  <c r="Z85" i="7" s="1"/>
  <c r="U84" i="7"/>
  <c r="S84" i="7"/>
  <c r="Q84" i="7"/>
  <c r="O84" i="7"/>
  <c r="L84" i="7"/>
  <c r="J84" i="7"/>
  <c r="Z84" i="7" s="1"/>
  <c r="U83" i="7"/>
  <c r="S83" i="7"/>
  <c r="Q83" i="7"/>
  <c r="O83" i="7"/>
  <c r="L83" i="7"/>
  <c r="J83" i="7"/>
  <c r="Z83" i="7" s="1"/>
  <c r="U82" i="7"/>
  <c r="S82" i="7"/>
  <c r="Q82" i="7"/>
  <c r="O82" i="7"/>
  <c r="L82" i="7"/>
  <c r="J82" i="7"/>
  <c r="Z82" i="7" s="1"/>
  <c r="U81" i="7"/>
  <c r="S81" i="7"/>
  <c r="Q81" i="7"/>
  <c r="O81" i="7"/>
  <c r="L81" i="7"/>
  <c r="J81" i="7"/>
  <c r="Z81" i="7" s="1"/>
  <c r="U80" i="7"/>
  <c r="S80" i="7"/>
  <c r="Q80" i="7"/>
  <c r="O80" i="7"/>
  <c r="L80" i="7"/>
  <c r="J80" i="7"/>
  <c r="Z80" i="7" s="1"/>
  <c r="U79" i="7"/>
  <c r="S79" i="7"/>
  <c r="Q79" i="7"/>
  <c r="O79" i="7"/>
  <c r="L79" i="7"/>
  <c r="J79" i="7"/>
  <c r="Z79" i="7" s="1"/>
  <c r="U78" i="7"/>
  <c r="S78" i="7"/>
  <c r="Q78" i="7"/>
  <c r="O78" i="7"/>
  <c r="L78" i="7"/>
  <c r="J78" i="7"/>
  <c r="Z78" i="7" s="1"/>
  <c r="U77" i="7"/>
  <c r="S77" i="7"/>
  <c r="Q77" i="7"/>
  <c r="O77" i="7"/>
  <c r="L77" i="7"/>
  <c r="J77" i="7"/>
  <c r="Z77" i="7" s="1"/>
  <c r="U76" i="7"/>
  <c r="S76" i="7"/>
  <c r="Q76" i="7"/>
  <c r="O76" i="7"/>
  <c r="L76" i="7"/>
  <c r="J76" i="7"/>
  <c r="Z76" i="7" s="1"/>
  <c r="U75" i="7"/>
  <c r="S75" i="7"/>
  <c r="Q75" i="7"/>
  <c r="O75" i="7"/>
  <c r="L75" i="7"/>
  <c r="J75" i="7"/>
  <c r="Z75" i="7" s="1"/>
  <c r="U74" i="7"/>
  <c r="S74" i="7"/>
  <c r="Q74" i="7"/>
  <c r="O74" i="7"/>
  <c r="L74" i="7"/>
  <c r="J74" i="7"/>
  <c r="Z74" i="7" s="1"/>
  <c r="U73" i="7"/>
  <c r="S73" i="7"/>
  <c r="Q73" i="7"/>
  <c r="O73" i="7"/>
  <c r="L73" i="7"/>
  <c r="J73" i="7"/>
  <c r="Z73" i="7" s="1"/>
  <c r="U72" i="7"/>
  <c r="S72" i="7"/>
  <c r="Q72" i="7"/>
  <c r="O72" i="7"/>
  <c r="L72" i="7"/>
  <c r="J72" i="7"/>
  <c r="Z72" i="7" s="1"/>
  <c r="U71" i="7"/>
  <c r="S71" i="7"/>
  <c r="Q71" i="7"/>
  <c r="O71" i="7"/>
  <c r="L71" i="7"/>
  <c r="J71" i="7"/>
  <c r="Z71" i="7" s="1"/>
  <c r="U70" i="7"/>
  <c r="S70" i="7"/>
  <c r="Q70" i="7"/>
  <c r="O70" i="7"/>
  <c r="L70" i="7"/>
  <c r="J70" i="7"/>
  <c r="Z70" i="7" s="1"/>
  <c r="U69" i="7"/>
  <c r="S69" i="7"/>
  <c r="Q69" i="7"/>
  <c r="O69" i="7"/>
  <c r="L69" i="7"/>
  <c r="J69" i="7"/>
  <c r="Z69" i="7" s="1"/>
  <c r="U68" i="7"/>
  <c r="S68" i="7"/>
  <c r="Q68" i="7"/>
  <c r="O68" i="7"/>
  <c r="L68" i="7"/>
  <c r="J68" i="7"/>
  <c r="Z68" i="7" s="1"/>
  <c r="U67" i="7"/>
  <c r="S67" i="7"/>
  <c r="Q67" i="7"/>
  <c r="O67" i="7"/>
  <c r="L67" i="7"/>
  <c r="J67" i="7"/>
  <c r="Z67" i="7" s="1"/>
  <c r="U66" i="7"/>
  <c r="S66" i="7"/>
  <c r="Q66" i="7"/>
  <c r="O66" i="7"/>
  <c r="L66" i="7"/>
  <c r="J66" i="7"/>
  <c r="Z66" i="7" s="1"/>
  <c r="U65" i="7"/>
  <c r="S65" i="7"/>
  <c r="Q65" i="7"/>
  <c r="O65" i="7"/>
  <c r="L65" i="7"/>
  <c r="J65" i="7"/>
  <c r="Z65" i="7" s="1"/>
  <c r="U64" i="7"/>
  <c r="S64" i="7"/>
  <c r="Q64" i="7"/>
  <c r="O64" i="7"/>
  <c r="L64" i="7"/>
  <c r="J64" i="7"/>
  <c r="Z64" i="7" s="1"/>
  <c r="U63" i="7"/>
  <c r="S63" i="7"/>
  <c r="Q63" i="7"/>
  <c r="O63" i="7"/>
  <c r="L63" i="7"/>
  <c r="J63" i="7"/>
  <c r="Z63" i="7" s="1"/>
  <c r="U62" i="7"/>
  <c r="S62" i="7"/>
  <c r="Q62" i="7"/>
  <c r="O62" i="7"/>
  <c r="L62" i="7"/>
  <c r="J62" i="7"/>
  <c r="Z62" i="7" s="1"/>
  <c r="U61" i="7"/>
  <c r="S61" i="7"/>
  <c r="Q61" i="7"/>
  <c r="O61" i="7"/>
  <c r="L61" i="7"/>
  <c r="J61" i="7"/>
  <c r="Z61" i="7" s="1"/>
  <c r="U60" i="7"/>
  <c r="S60" i="7"/>
  <c r="Q60" i="7"/>
  <c r="O60" i="7"/>
  <c r="L60" i="7"/>
  <c r="J60" i="7"/>
  <c r="Z60" i="7" s="1"/>
  <c r="U59" i="7"/>
  <c r="S59" i="7"/>
  <c r="Q59" i="7"/>
  <c r="O59" i="7"/>
  <c r="L59" i="7"/>
  <c r="J59" i="7"/>
  <c r="Z59" i="7" s="1"/>
  <c r="U58" i="7"/>
  <c r="S58" i="7"/>
  <c r="Q58" i="7"/>
  <c r="O58" i="7"/>
  <c r="L58" i="7"/>
  <c r="J58" i="7"/>
  <c r="Z58" i="7" s="1"/>
  <c r="U57" i="7"/>
  <c r="S57" i="7"/>
  <c r="Q57" i="7"/>
  <c r="O57" i="7"/>
  <c r="L57" i="7"/>
  <c r="J57" i="7"/>
  <c r="Z57" i="7" s="1"/>
  <c r="U56" i="7"/>
  <c r="S56" i="7"/>
  <c r="Q56" i="7"/>
  <c r="O56" i="7"/>
  <c r="L56" i="7"/>
  <c r="J56" i="7"/>
  <c r="Z56" i="7" s="1"/>
  <c r="U55" i="7"/>
  <c r="S55" i="7"/>
  <c r="Q55" i="7"/>
  <c r="O55" i="7"/>
  <c r="L55" i="7"/>
  <c r="J55" i="7"/>
  <c r="Z55" i="7" s="1"/>
  <c r="U54" i="7"/>
  <c r="S54" i="7"/>
  <c r="Q54" i="7"/>
  <c r="O54" i="7"/>
  <c r="L54" i="7"/>
  <c r="J54" i="7"/>
  <c r="Z54" i="7" s="1"/>
  <c r="U53" i="7"/>
  <c r="S53" i="7"/>
  <c r="Q53" i="7"/>
  <c r="O53" i="7"/>
  <c r="L53" i="7"/>
  <c r="J53" i="7"/>
  <c r="Z53" i="7" s="1"/>
  <c r="U52" i="7"/>
  <c r="S52" i="7"/>
  <c r="Q52" i="7"/>
  <c r="O52" i="7"/>
  <c r="L52" i="7"/>
  <c r="J52" i="7"/>
  <c r="Z52" i="7" s="1"/>
  <c r="U51" i="7"/>
  <c r="S51" i="7"/>
  <c r="Q51" i="7"/>
  <c r="O51" i="7"/>
  <c r="L51" i="7"/>
  <c r="J51" i="7"/>
  <c r="Z51" i="7" s="1"/>
  <c r="U50" i="7"/>
  <c r="S50" i="7"/>
  <c r="Q50" i="7"/>
  <c r="O50" i="7"/>
  <c r="L50" i="7"/>
  <c r="J50" i="7"/>
  <c r="Z50" i="7" s="1"/>
  <c r="U49" i="7"/>
  <c r="S49" i="7"/>
  <c r="Q49" i="7"/>
  <c r="O49" i="7"/>
  <c r="L49" i="7"/>
  <c r="J49" i="7"/>
  <c r="Z49" i="7" s="1"/>
  <c r="U48" i="7"/>
  <c r="S48" i="7"/>
  <c r="Q48" i="7"/>
  <c r="O48" i="7"/>
  <c r="L48" i="7"/>
  <c r="J48" i="7"/>
  <c r="Z48" i="7" s="1"/>
  <c r="U47" i="7"/>
  <c r="S47" i="7"/>
  <c r="Q47" i="7"/>
  <c r="O47" i="7"/>
  <c r="L47" i="7"/>
  <c r="J47" i="7"/>
  <c r="Z47" i="7" s="1"/>
  <c r="U46" i="7"/>
  <c r="S46" i="7"/>
  <c r="Q46" i="7"/>
  <c r="O46" i="7"/>
  <c r="L46" i="7"/>
  <c r="J46" i="7"/>
  <c r="Z46" i="7" s="1"/>
  <c r="U45" i="7"/>
  <c r="S45" i="7"/>
  <c r="Q45" i="7"/>
  <c r="O45" i="7"/>
  <c r="L45" i="7"/>
  <c r="J45" i="7"/>
  <c r="Z45" i="7" s="1"/>
  <c r="U44" i="7"/>
  <c r="S44" i="7"/>
  <c r="Q44" i="7"/>
  <c r="O44" i="7"/>
  <c r="L44" i="7"/>
  <c r="J44" i="7"/>
  <c r="Z44" i="7" s="1"/>
  <c r="U43" i="7"/>
  <c r="S43" i="7"/>
  <c r="Q43" i="7"/>
  <c r="O43" i="7"/>
  <c r="L43" i="7"/>
  <c r="J43" i="7"/>
  <c r="Z43" i="7" s="1"/>
  <c r="U42" i="7"/>
  <c r="S42" i="7"/>
  <c r="Q42" i="7"/>
  <c r="O42" i="7"/>
  <c r="L42" i="7"/>
  <c r="J42" i="7"/>
  <c r="Z42" i="7" s="1"/>
  <c r="U41" i="7"/>
  <c r="S41" i="7"/>
  <c r="Q41" i="7"/>
  <c r="O41" i="7"/>
  <c r="L41" i="7"/>
  <c r="J41" i="7"/>
  <c r="Z41" i="7" s="1"/>
  <c r="U40" i="7"/>
  <c r="S40" i="7"/>
  <c r="Q40" i="7"/>
  <c r="O40" i="7"/>
  <c r="L40" i="7"/>
  <c r="J40" i="7"/>
  <c r="Z40" i="7" s="1"/>
  <c r="U39" i="7"/>
  <c r="S39" i="7"/>
  <c r="Q39" i="7"/>
  <c r="O39" i="7"/>
  <c r="L39" i="7"/>
  <c r="J39" i="7"/>
  <c r="Z39" i="7" s="1"/>
  <c r="U38" i="7"/>
  <c r="S38" i="7"/>
  <c r="Q38" i="7"/>
  <c r="O38" i="7"/>
  <c r="L38" i="7"/>
  <c r="J38" i="7"/>
  <c r="Z38" i="7" s="1"/>
  <c r="U37" i="7"/>
  <c r="S37" i="7"/>
  <c r="Q37" i="7"/>
  <c r="O37" i="7"/>
  <c r="L37" i="7"/>
  <c r="J37" i="7"/>
  <c r="Z37" i="7" s="1"/>
  <c r="U36" i="7"/>
  <c r="S36" i="7"/>
  <c r="Q36" i="7"/>
  <c r="O36" i="7"/>
  <c r="L36" i="7"/>
  <c r="J36" i="7"/>
  <c r="Z36" i="7" s="1"/>
  <c r="U35" i="7"/>
  <c r="S35" i="7"/>
  <c r="Q35" i="7"/>
  <c r="O35" i="7"/>
  <c r="L35" i="7"/>
  <c r="J35" i="7"/>
  <c r="Z35" i="7" s="1"/>
  <c r="U34" i="7"/>
  <c r="S34" i="7"/>
  <c r="Q34" i="7"/>
  <c r="O34" i="7"/>
  <c r="L34" i="7"/>
  <c r="J34" i="7"/>
  <c r="Z34" i="7" s="1"/>
  <c r="U33" i="7"/>
  <c r="S33" i="7"/>
  <c r="Q33" i="7"/>
  <c r="O33" i="7"/>
  <c r="L33" i="7"/>
  <c r="J33" i="7"/>
  <c r="Z33" i="7" s="1"/>
  <c r="U32" i="7"/>
  <c r="S32" i="7"/>
  <c r="Q32" i="7"/>
  <c r="O32" i="7"/>
  <c r="L32" i="7"/>
  <c r="J32" i="7"/>
  <c r="Z32" i="7" s="1"/>
  <c r="U31" i="7"/>
  <c r="S31" i="7"/>
  <c r="Q31" i="7"/>
  <c r="O31" i="7"/>
  <c r="L31" i="7"/>
  <c r="J31" i="7"/>
  <c r="Z31" i="7" s="1"/>
  <c r="U30" i="7"/>
  <c r="S30" i="7"/>
  <c r="Q30" i="7"/>
  <c r="O30" i="7"/>
  <c r="L30" i="7"/>
  <c r="J30" i="7"/>
  <c r="Z30" i="7" s="1"/>
  <c r="U29" i="7"/>
  <c r="S29" i="7"/>
  <c r="Q29" i="7"/>
  <c r="O29" i="7"/>
  <c r="L29" i="7"/>
  <c r="J29" i="7"/>
  <c r="Z29" i="7" s="1"/>
  <c r="U28" i="7"/>
  <c r="S28" i="7"/>
  <c r="Q28" i="7"/>
  <c r="O28" i="7"/>
  <c r="L28" i="7"/>
  <c r="J28" i="7"/>
  <c r="Z28" i="7" s="1"/>
  <c r="U27" i="7"/>
  <c r="S27" i="7"/>
  <c r="Q27" i="7"/>
  <c r="O27" i="7"/>
  <c r="L27" i="7"/>
  <c r="J27" i="7"/>
  <c r="Z27" i="7" s="1"/>
  <c r="U26" i="7"/>
  <c r="S26" i="7"/>
  <c r="Q26" i="7"/>
  <c r="O26" i="7"/>
  <c r="L26" i="7"/>
  <c r="J26" i="7"/>
  <c r="Z26" i="7" s="1"/>
  <c r="U25" i="7"/>
  <c r="S25" i="7"/>
  <c r="Q25" i="7"/>
  <c r="O25" i="7"/>
  <c r="L25" i="7"/>
  <c r="J25" i="7"/>
  <c r="Z25" i="7" s="1"/>
  <c r="U24" i="7"/>
  <c r="S24" i="7"/>
  <c r="Q24" i="7"/>
  <c r="O24" i="7"/>
  <c r="L24" i="7"/>
  <c r="J24" i="7"/>
  <c r="Z24" i="7" s="1"/>
  <c r="U23" i="7"/>
  <c r="S23" i="7"/>
  <c r="Q23" i="7"/>
  <c r="O23" i="7"/>
  <c r="L23" i="7"/>
  <c r="J23" i="7"/>
  <c r="Z23" i="7" s="1"/>
  <c r="U22" i="7"/>
  <c r="S22" i="7"/>
  <c r="Q22" i="7"/>
  <c r="O22" i="7"/>
  <c r="L22" i="7"/>
  <c r="J22" i="7"/>
  <c r="Z22" i="7" s="1"/>
  <c r="U21" i="7"/>
  <c r="S21" i="7"/>
  <c r="Q21" i="7"/>
  <c r="O21" i="7"/>
  <c r="L21" i="7"/>
  <c r="J21" i="7"/>
  <c r="Z21" i="7" s="1"/>
  <c r="U20" i="7"/>
  <c r="S20" i="7"/>
  <c r="Q20" i="7"/>
  <c r="O20" i="7"/>
  <c r="L20" i="7"/>
  <c r="J20" i="7"/>
  <c r="Z20" i="7" s="1"/>
  <c r="U19" i="7"/>
  <c r="S19" i="7"/>
  <c r="Q19" i="7"/>
  <c r="O19" i="7"/>
  <c r="L19" i="7"/>
  <c r="J19" i="7"/>
  <c r="Z19" i="7" s="1"/>
  <c r="U18" i="7"/>
  <c r="S18" i="7"/>
  <c r="Q18" i="7"/>
  <c r="O18" i="7"/>
  <c r="L18" i="7"/>
  <c r="J18" i="7"/>
  <c r="Z18" i="7" s="1"/>
  <c r="U17" i="7"/>
  <c r="S17" i="7"/>
  <c r="Q17" i="7"/>
  <c r="O17" i="7"/>
  <c r="L17" i="7"/>
  <c r="J17" i="7"/>
  <c r="Z17" i="7" s="1"/>
  <c r="U16" i="7"/>
  <c r="S16" i="7"/>
  <c r="Q16" i="7"/>
  <c r="O16" i="7"/>
  <c r="L16" i="7"/>
  <c r="J16" i="7"/>
  <c r="Z16" i="7" s="1"/>
  <c r="U15" i="7"/>
  <c r="S15" i="7"/>
  <c r="Q15" i="7"/>
  <c r="O15" i="7"/>
  <c r="L15" i="7"/>
  <c r="J15" i="7"/>
  <c r="Z15" i="7" s="1"/>
  <c r="U14" i="7"/>
  <c r="S14" i="7"/>
  <c r="Q14" i="7"/>
  <c r="O14" i="7"/>
  <c r="L14" i="7"/>
  <c r="J14" i="7"/>
  <c r="Z14" i="7" s="1"/>
  <c r="U13" i="7"/>
  <c r="S13" i="7"/>
  <c r="Q13" i="7"/>
  <c r="O13" i="7"/>
  <c r="L13" i="7"/>
  <c r="J13" i="7"/>
  <c r="Z13" i="7" s="1"/>
  <c r="U12" i="7"/>
  <c r="S12" i="7"/>
  <c r="Q12" i="7"/>
  <c r="O12" i="7"/>
  <c r="L12" i="7"/>
  <c r="J12" i="7"/>
  <c r="Z12" i="7" s="1"/>
  <c r="U11" i="7"/>
  <c r="S11" i="7"/>
  <c r="Q11" i="7"/>
  <c r="O11" i="7"/>
  <c r="L11" i="7"/>
  <c r="J11" i="7"/>
  <c r="Z11" i="7" s="1"/>
  <c r="B214" i="8" l="1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K179" i="4" l="1"/>
  <c r="K178" i="4"/>
  <c r="K177" i="4"/>
  <c r="K176" i="4"/>
  <c r="K269" i="4"/>
  <c r="K268" i="4"/>
  <c r="K267" i="4"/>
  <c r="K266" i="4"/>
  <c r="K355" i="4"/>
  <c r="K354" i="4"/>
  <c r="K353" i="4"/>
  <c r="K352" i="4"/>
  <c r="E355" i="4"/>
  <c r="J355" i="4" s="1"/>
  <c r="D355" i="4"/>
  <c r="E354" i="4"/>
  <c r="J354" i="4" s="1"/>
  <c r="D354" i="4"/>
  <c r="E353" i="4"/>
  <c r="J353" i="4" s="1"/>
  <c r="D353" i="4"/>
  <c r="E352" i="4"/>
  <c r="J352" i="4" s="1"/>
  <c r="D352" i="4"/>
  <c r="E269" i="4"/>
  <c r="J269" i="4" s="1"/>
  <c r="D269" i="4"/>
  <c r="E268" i="4"/>
  <c r="J268" i="4" s="1"/>
  <c r="D268" i="4"/>
  <c r="E267" i="4"/>
  <c r="J267" i="4" s="1"/>
  <c r="D267" i="4"/>
  <c r="E266" i="4"/>
  <c r="J266" i="4" s="1"/>
  <c r="D266" i="4"/>
  <c r="E179" i="4"/>
  <c r="J179" i="4" s="1"/>
  <c r="D179" i="4"/>
  <c r="E178" i="4"/>
  <c r="J178" i="4" s="1"/>
  <c r="D178" i="4"/>
  <c r="E177" i="4"/>
  <c r="J177" i="4" s="1"/>
  <c r="D177" i="4"/>
  <c r="E176" i="4"/>
  <c r="J176" i="4" s="1"/>
  <c r="D176" i="4"/>
  <c r="K94" i="4"/>
  <c r="K93" i="4"/>
  <c r="K92" i="4"/>
  <c r="K91" i="4"/>
  <c r="E94" i="4"/>
  <c r="J94" i="4" s="1"/>
  <c r="E93" i="4"/>
  <c r="J93" i="4" s="1"/>
  <c r="E92" i="4"/>
  <c r="J92" i="4" s="1"/>
  <c r="E91" i="4"/>
  <c r="J91" i="4" s="1"/>
  <c r="D94" i="4"/>
  <c r="D93" i="4"/>
  <c r="D92" i="4"/>
  <c r="D91" i="4"/>
  <c r="B204" i="8" l="1"/>
  <c r="B205" i="8"/>
  <c r="B206" i="8"/>
  <c r="B207" i="8"/>
  <c r="B208" i="8"/>
  <c r="B209" i="8"/>
  <c r="B210" i="8"/>
  <c r="B211" i="8"/>
  <c r="B212" i="8"/>
  <c r="B213" i="8"/>
  <c r="A204" i="8"/>
  <c r="A205" i="8"/>
  <c r="A206" i="8"/>
  <c r="A207" i="8"/>
  <c r="A208" i="8"/>
  <c r="A209" i="8"/>
  <c r="A210" i="8"/>
  <c r="A211" i="8"/>
  <c r="A212" i="8"/>
  <c r="A213" i="8"/>
  <c r="B189" i="8" l="1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33" i="10" l="1"/>
  <c r="B184" i="8"/>
  <c r="B185" i="8"/>
  <c r="B186" i="8"/>
  <c r="B187" i="8"/>
  <c r="B188" i="8"/>
  <c r="A184" i="8"/>
  <c r="A185" i="8"/>
  <c r="A186" i="8"/>
  <c r="A187" i="8"/>
  <c r="A18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B158" i="8"/>
  <c r="A158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1" i="10" l="1"/>
  <c r="B14" i="8" l="1"/>
  <c r="A14" i="8"/>
  <c r="D98" i="4" l="1"/>
  <c r="E98" i="4"/>
  <c r="J98" i="4" s="1"/>
  <c r="K98" i="4"/>
  <c r="D29" i="4"/>
  <c r="E29" i="4"/>
  <c r="J29" i="4" s="1"/>
  <c r="K29" i="4"/>
  <c r="A9" i="8" l="1"/>
  <c r="A100" i="10" l="1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0" i="10"/>
  <c r="A9" i="10"/>
  <c r="B140" i="8"/>
  <c r="A140" i="8"/>
  <c r="B139" i="8"/>
  <c r="A139" i="8"/>
  <c r="B138" i="8"/>
  <c r="A138" i="8"/>
  <c r="B137" i="8"/>
  <c r="A137" i="8"/>
  <c r="B136" i="8"/>
  <c r="A136" i="8"/>
  <c r="B135" i="8"/>
  <c r="A135" i="8"/>
  <c r="B134" i="8"/>
  <c r="A134" i="8"/>
  <c r="B133" i="8"/>
  <c r="A133" i="8"/>
  <c r="B132" i="8"/>
  <c r="A132" i="8"/>
  <c r="B131" i="8"/>
  <c r="A131" i="8"/>
  <c r="B130" i="8"/>
  <c r="A130" i="8"/>
  <c r="B129" i="8"/>
  <c r="A129" i="8"/>
  <c r="B128" i="8"/>
  <c r="A128" i="8"/>
  <c r="B127" i="8"/>
  <c r="A127" i="8"/>
  <c r="B126" i="8"/>
  <c r="A126" i="8"/>
  <c r="B125" i="8"/>
  <c r="A125" i="8"/>
  <c r="B124" i="8"/>
  <c r="A124" i="8"/>
  <c r="B123" i="8"/>
  <c r="A123" i="8"/>
  <c r="B122" i="8"/>
  <c r="A122" i="8"/>
  <c r="B121" i="8"/>
  <c r="A121" i="8"/>
  <c r="B120" i="8"/>
  <c r="A120" i="8"/>
  <c r="B119" i="8"/>
  <c r="A119" i="8"/>
  <c r="B118" i="8"/>
  <c r="A118" i="8"/>
  <c r="B117" i="8"/>
  <c r="A117" i="8"/>
  <c r="B116" i="8"/>
  <c r="A116" i="8"/>
  <c r="B115" i="8"/>
  <c r="A115" i="8"/>
  <c r="B114" i="8"/>
  <c r="A114" i="8"/>
  <c r="B113" i="8"/>
  <c r="A113" i="8"/>
  <c r="B112" i="8"/>
  <c r="A112" i="8"/>
  <c r="B111" i="8"/>
  <c r="A111" i="8"/>
  <c r="B110" i="8"/>
  <c r="A110" i="8"/>
  <c r="B109" i="8"/>
  <c r="A109" i="8"/>
  <c r="B108" i="8"/>
  <c r="A108" i="8"/>
  <c r="B107" i="8"/>
  <c r="A107" i="8"/>
  <c r="B106" i="8"/>
  <c r="A106" i="8"/>
  <c r="B105" i="8"/>
  <c r="A105" i="8"/>
  <c r="B104" i="8"/>
  <c r="A104" i="8"/>
  <c r="B103" i="8"/>
  <c r="A103" i="8"/>
  <c r="B102" i="8"/>
  <c r="A102" i="8"/>
  <c r="B101" i="8"/>
  <c r="A101" i="8"/>
  <c r="B100" i="8"/>
  <c r="A100" i="8"/>
  <c r="B99" i="8"/>
  <c r="A99" i="8"/>
  <c r="B98" i="8"/>
  <c r="A98" i="8"/>
  <c r="B97" i="8"/>
  <c r="A97" i="8"/>
  <c r="B96" i="8"/>
  <c r="A96" i="8"/>
  <c r="B95" i="8"/>
  <c r="A95" i="8"/>
  <c r="B94" i="8"/>
  <c r="A94" i="8"/>
  <c r="B93" i="8"/>
  <c r="A93" i="8"/>
  <c r="B92" i="8"/>
  <c r="A92" i="8"/>
  <c r="B91" i="8"/>
  <c r="A91" i="8"/>
  <c r="B90" i="8"/>
  <c r="A90" i="8"/>
  <c r="B89" i="8"/>
  <c r="A89" i="8"/>
  <c r="B88" i="8"/>
  <c r="A88" i="8"/>
  <c r="B87" i="8"/>
  <c r="A87" i="8"/>
  <c r="B86" i="8"/>
  <c r="A86" i="8"/>
  <c r="B85" i="8"/>
  <c r="A85" i="8"/>
  <c r="B84" i="8"/>
  <c r="A84" i="8"/>
  <c r="B83" i="8"/>
  <c r="A83" i="8"/>
  <c r="B82" i="8"/>
  <c r="A82" i="8"/>
  <c r="B81" i="8"/>
  <c r="A81" i="8"/>
  <c r="B80" i="8"/>
  <c r="A80" i="8"/>
  <c r="B79" i="8"/>
  <c r="A79" i="8"/>
  <c r="B78" i="8"/>
  <c r="A78" i="8"/>
  <c r="B77" i="8"/>
  <c r="A77" i="8"/>
  <c r="B76" i="8"/>
  <c r="A76" i="8"/>
  <c r="B75" i="8"/>
  <c r="A75" i="8"/>
  <c r="B74" i="8"/>
  <c r="A74" i="8"/>
  <c r="B73" i="8"/>
  <c r="A73" i="8"/>
  <c r="B72" i="8"/>
  <c r="A72" i="8"/>
  <c r="B71" i="8"/>
  <c r="A71" i="8"/>
  <c r="B70" i="8"/>
  <c r="A70" i="8"/>
  <c r="B69" i="8"/>
  <c r="A69" i="8"/>
  <c r="B68" i="8"/>
  <c r="A68" i="8"/>
  <c r="B67" i="8"/>
  <c r="A67" i="8"/>
  <c r="B66" i="8"/>
  <c r="A66" i="8"/>
  <c r="B65" i="8"/>
  <c r="A65" i="8"/>
  <c r="B64" i="8"/>
  <c r="A64" i="8"/>
  <c r="B63" i="8"/>
  <c r="A63" i="8"/>
  <c r="B62" i="8"/>
  <c r="A62" i="8"/>
  <c r="B61" i="8"/>
  <c r="A61" i="8"/>
  <c r="B60" i="8"/>
  <c r="A60" i="8"/>
  <c r="B59" i="8"/>
  <c r="A59" i="8"/>
  <c r="B58" i="8"/>
  <c r="A58" i="8"/>
  <c r="B57" i="8"/>
  <c r="A57" i="8"/>
  <c r="B56" i="8"/>
  <c r="A56" i="8"/>
  <c r="B55" i="8"/>
  <c r="A55" i="8"/>
  <c r="B54" i="8"/>
  <c r="A54" i="8"/>
  <c r="B53" i="8"/>
  <c r="A53" i="8"/>
  <c r="B52" i="8"/>
  <c r="A52" i="8"/>
  <c r="B51" i="8"/>
  <c r="A51" i="8"/>
  <c r="B50" i="8"/>
  <c r="A50" i="8"/>
  <c r="B49" i="8"/>
  <c r="A49" i="8"/>
  <c r="B48" i="8"/>
  <c r="A48" i="8"/>
  <c r="B47" i="8"/>
  <c r="A47" i="8"/>
  <c r="B46" i="8"/>
  <c r="A46" i="8"/>
  <c r="B45" i="8"/>
  <c r="A45" i="8"/>
  <c r="B44" i="8"/>
  <c r="A44" i="8"/>
  <c r="B43" i="8"/>
  <c r="A43" i="8"/>
  <c r="B42" i="8"/>
  <c r="A42" i="8"/>
  <c r="B41" i="8"/>
  <c r="A41" i="8"/>
  <c r="B40" i="8"/>
  <c r="A40" i="8"/>
  <c r="B39" i="8"/>
  <c r="A39" i="8"/>
  <c r="B38" i="8"/>
  <c r="A38" i="8"/>
  <c r="B37" i="8"/>
  <c r="A37" i="8"/>
  <c r="B36" i="8"/>
  <c r="A36" i="8"/>
  <c r="B35" i="8"/>
  <c r="A35" i="8"/>
  <c r="B34" i="8"/>
  <c r="A34" i="8"/>
  <c r="B33" i="8"/>
  <c r="A33" i="8"/>
  <c r="B32" i="8"/>
  <c r="A32" i="8"/>
  <c r="B31" i="8"/>
  <c r="A31" i="8"/>
  <c r="B30" i="8"/>
  <c r="A30" i="8"/>
  <c r="B29" i="8"/>
  <c r="A29" i="8"/>
  <c r="B28" i="8"/>
  <c r="A28" i="8"/>
  <c r="B27" i="8"/>
  <c r="A27" i="8"/>
  <c r="B26" i="8"/>
  <c r="A26" i="8"/>
  <c r="B25" i="8"/>
  <c r="A25" i="8"/>
  <c r="B24" i="8"/>
  <c r="A24" i="8"/>
  <c r="B23" i="8"/>
  <c r="A23" i="8"/>
  <c r="B22" i="8"/>
  <c r="A22" i="8"/>
  <c r="B21" i="8"/>
  <c r="A21" i="8"/>
  <c r="B20" i="8"/>
  <c r="A20" i="8"/>
  <c r="K376" i="4"/>
  <c r="K375" i="4"/>
  <c r="K374" i="4"/>
  <c r="K373" i="4"/>
  <c r="K372" i="4"/>
  <c r="K371" i="4"/>
  <c r="K370" i="4"/>
  <c r="K369" i="4"/>
  <c r="K368" i="4"/>
  <c r="K367" i="4"/>
  <c r="K366" i="4"/>
  <c r="K365" i="4"/>
  <c r="K364" i="4"/>
  <c r="K363" i="4"/>
  <c r="K362" i="4"/>
  <c r="K361" i="4"/>
  <c r="K360" i="4"/>
  <c r="K359" i="4"/>
  <c r="K358" i="4"/>
  <c r="K357" i="4"/>
  <c r="K356" i="4"/>
  <c r="K351" i="4"/>
  <c r="K350" i="4"/>
  <c r="K349" i="4"/>
  <c r="K348" i="4"/>
  <c r="K347" i="4"/>
  <c r="K346" i="4"/>
  <c r="K345" i="4"/>
  <c r="K344" i="4"/>
  <c r="K343" i="4"/>
  <c r="K342" i="4"/>
  <c r="K341" i="4"/>
  <c r="K340" i="4"/>
  <c r="K339" i="4"/>
  <c r="K338" i="4"/>
  <c r="K337" i="4"/>
  <c r="K336" i="4"/>
  <c r="K335" i="4"/>
  <c r="K334" i="4"/>
  <c r="K330" i="4"/>
  <c r="K329" i="4"/>
  <c r="K328" i="4"/>
  <c r="K327" i="4"/>
  <c r="K326" i="4"/>
  <c r="K325" i="4"/>
  <c r="K324" i="4"/>
  <c r="K323" i="4"/>
  <c r="K322" i="4"/>
  <c r="K321" i="4"/>
  <c r="K320" i="4"/>
  <c r="K319" i="4"/>
  <c r="K318" i="4"/>
  <c r="K317" i="4"/>
  <c r="K311" i="4"/>
  <c r="K316" i="4"/>
  <c r="K315" i="4"/>
  <c r="K314" i="4"/>
  <c r="K309" i="4"/>
  <c r="K308" i="4"/>
  <c r="K307" i="4"/>
  <c r="K306" i="4"/>
  <c r="K305" i="4"/>
  <c r="K304" i="4"/>
  <c r="K303" i="4"/>
  <c r="K302" i="4"/>
  <c r="K301" i="4"/>
  <c r="K300" i="4"/>
  <c r="K299" i="4"/>
  <c r="K298" i="4"/>
  <c r="K297" i="4"/>
  <c r="K296" i="4"/>
  <c r="K295" i="4"/>
  <c r="K294" i="4"/>
  <c r="K293" i="4"/>
  <c r="K292" i="4"/>
  <c r="K291" i="4"/>
  <c r="K313" i="4"/>
  <c r="K290" i="4"/>
  <c r="K289" i="4"/>
  <c r="K288" i="4"/>
  <c r="K287" i="4"/>
  <c r="K286" i="4"/>
  <c r="K285" i="4"/>
  <c r="K284" i="4"/>
  <c r="K283" i="4"/>
  <c r="K282" i="4"/>
  <c r="K281" i="4"/>
  <c r="K280" i="4"/>
  <c r="K279" i="4"/>
  <c r="K278" i="4"/>
  <c r="K277" i="4"/>
  <c r="K276" i="4"/>
  <c r="K275" i="4"/>
  <c r="K274" i="4"/>
  <c r="K273" i="4"/>
  <c r="K272" i="4"/>
  <c r="K271" i="4"/>
  <c r="K270" i="4"/>
  <c r="K312" i="4"/>
  <c r="K265" i="4"/>
  <c r="K264" i="4"/>
  <c r="K263" i="4"/>
  <c r="K262" i="4"/>
  <c r="K261" i="4"/>
  <c r="K260" i="4"/>
  <c r="K259" i="4"/>
  <c r="K258" i="4"/>
  <c r="K257" i="4"/>
  <c r="K256" i="4"/>
  <c r="K255" i="4"/>
  <c r="K254" i="4"/>
  <c r="K253" i="4"/>
  <c r="K252" i="4"/>
  <c r="K251" i="4"/>
  <c r="K250" i="4"/>
  <c r="K249" i="4"/>
  <c r="K248" i="4"/>
  <c r="K247" i="4"/>
  <c r="K246" i="4"/>
  <c r="K245" i="4"/>
  <c r="K244" i="4"/>
  <c r="K243" i="4"/>
  <c r="K242" i="4"/>
  <c r="K241" i="4"/>
  <c r="K240" i="4"/>
  <c r="K239" i="4"/>
  <c r="K238" i="4"/>
  <c r="K237" i="4"/>
  <c r="K236" i="4"/>
  <c r="K235" i="4"/>
  <c r="K234" i="4"/>
  <c r="K233" i="4"/>
  <c r="K232" i="4"/>
  <c r="K231" i="4"/>
  <c r="K230" i="4"/>
  <c r="K229" i="4"/>
  <c r="K228" i="4"/>
  <c r="K227" i="4"/>
  <c r="K226" i="4"/>
  <c r="K225" i="4"/>
  <c r="K224" i="4"/>
  <c r="K223" i="4"/>
  <c r="K222" i="4"/>
  <c r="K221" i="4"/>
  <c r="K220" i="4"/>
  <c r="K219" i="4"/>
  <c r="K218" i="4"/>
  <c r="K217" i="4"/>
  <c r="K216" i="4"/>
  <c r="K215" i="4"/>
  <c r="K214" i="4"/>
  <c r="K213" i="4"/>
  <c r="K212" i="4"/>
  <c r="K211" i="4"/>
  <c r="K210" i="4"/>
  <c r="K209" i="4"/>
  <c r="K208" i="4"/>
  <c r="K207" i="4"/>
  <c r="K206" i="4"/>
  <c r="K205" i="4"/>
  <c r="K204" i="4"/>
  <c r="K203" i="4"/>
  <c r="K202" i="4"/>
  <c r="K201" i="4"/>
  <c r="K200" i="4"/>
  <c r="K199" i="4"/>
  <c r="K198" i="4"/>
  <c r="K197" i="4"/>
  <c r="K196" i="4"/>
  <c r="K195" i="4"/>
  <c r="K194" i="4"/>
  <c r="K193" i="4"/>
  <c r="K192" i="4"/>
  <c r="K191" i="4"/>
  <c r="K190" i="4"/>
  <c r="K189" i="4"/>
  <c r="K188" i="4"/>
  <c r="K187" i="4"/>
  <c r="K186" i="4"/>
  <c r="K185" i="4"/>
  <c r="K184" i="4"/>
  <c r="K183" i="4"/>
  <c r="K182" i="4"/>
  <c r="K181" i="4"/>
  <c r="K180" i="4"/>
  <c r="K175" i="4"/>
  <c r="K174" i="4"/>
  <c r="K173" i="4"/>
  <c r="K172" i="4"/>
  <c r="K171" i="4"/>
  <c r="K170" i="4"/>
  <c r="K169" i="4"/>
  <c r="K168" i="4"/>
  <c r="K167" i="4"/>
  <c r="K166" i="4"/>
  <c r="K165" i="4"/>
  <c r="K164" i="4"/>
  <c r="K163" i="4"/>
  <c r="K162" i="4"/>
  <c r="K161" i="4"/>
  <c r="K160" i="4"/>
  <c r="K159" i="4"/>
  <c r="K158" i="4"/>
  <c r="K157" i="4"/>
  <c r="K156" i="4"/>
  <c r="K155" i="4"/>
  <c r="K154" i="4"/>
  <c r="K153" i="4"/>
  <c r="K152" i="4"/>
  <c r="K151" i="4"/>
  <c r="K150" i="4"/>
  <c r="K149" i="4"/>
  <c r="K148" i="4"/>
  <c r="K147" i="4"/>
  <c r="K146" i="4"/>
  <c r="K145" i="4"/>
  <c r="K144" i="4"/>
  <c r="K143" i="4"/>
  <c r="K142" i="4"/>
  <c r="K141" i="4"/>
  <c r="K140" i="4"/>
  <c r="K139" i="4"/>
  <c r="K138" i="4"/>
  <c r="K137" i="4"/>
  <c r="K136" i="4"/>
  <c r="K135" i="4"/>
  <c r="K134" i="4"/>
  <c r="K133" i="4"/>
  <c r="K132" i="4"/>
  <c r="K131" i="4"/>
  <c r="K130" i="4"/>
  <c r="K129" i="4"/>
  <c r="K128" i="4"/>
  <c r="K127" i="4"/>
  <c r="K126" i="4"/>
  <c r="K125" i="4"/>
  <c r="K124" i="4"/>
  <c r="K123" i="4"/>
  <c r="K122" i="4"/>
  <c r="K121" i="4"/>
  <c r="K120" i="4"/>
  <c r="K119" i="4"/>
  <c r="K118" i="4"/>
  <c r="K117" i="4"/>
  <c r="K116" i="4"/>
  <c r="K112" i="4"/>
  <c r="K111" i="4"/>
  <c r="K110" i="4"/>
  <c r="K109" i="4"/>
  <c r="K108" i="4"/>
  <c r="K107" i="4"/>
  <c r="K106" i="4"/>
  <c r="K105" i="4"/>
  <c r="K104" i="4"/>
  <c r="K103" i="4"/>
  <c r="K102" i="4"/>
  <c r="K101" i="4"/>
  <c r="K100" i="4"/>
  <c r="K99" i="4"/>
  <c r="K97" i="4"/>
  <c r="K96" i="4"/>
  <c r="K95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E376" i="4"/>
  <c r="J376" i="4" s="1"/>
  <c r="D376" i="4"/>
  <c r="E375" i="4"/>
  <c r="J375" i="4" s="1"/>
  <c r="D375" i="4"/>
  <c r="E374" i="4"/>
  <c r="J374" i="4" s="1"/>
  <c r="D374" i="4"/>
  <c r="E373" i="4"/>
  <c r="J373" i="4" s="1"/>
  <c r="D373" i="4"/>
  <c r="E372" i="4"/>
  <c r="J372" i="4" s="1"/>
  <c r="D372" i="4"/>
  <c r="E371" i="4"/>
  <c r="J371" i="4" s="1"/>
  <c r="D371" i="4"/>
  <c r="E370" i="4"/>
  <c r="J370" i="4" s="1"/>
  <c r="D370" i="4"/>
  <c r="E369" i="4"/>
  <c r="J369" i="4" s="1"/>
  <c r="D369" i="4"/>
  <c r="E368" i="4"/>
  <c r="J368" i="4" s="1"/>
  <c r="D368" i="4"/>
  <c r="E367" i="4"/>
  <c r="J367" i="4" s="1"/>
  <c r="D367" i="4"/>
  <c r="E366" i="4"/>
  <c r="J366" i="4" s="1"/>
  <c r="D366" i="4"/>
  <c r="E365" i="4"/>
  <c r="J365" i="4" s="1"/>
  <c r="D365" i="4"/>
  <c r="E364" i="4"/>
  <c r="J364" i="4" s="1"/>
  <c r="D364" i="4"/>
  <c r="E363" i="4"/>
  <c r="J363" i="4" s="1"/>
  <c r="D363" i="4"/>
  <c r="E362" i="4"/>
  <c r="J362" i="4" s="1"/>
  <c r="D362" i="4"/>
  <c r="E361" i="4"/>
  <c r="J361" i="4" s="1"/>
  <c r="D361" i="4"/>
  <c r="E360" i="4"/>
  <c r="J360" i="4" s="1"/>
  <c r="D360" i="4"/>
  <c r="E359" i="4"/>
  <c r="J359" i="4" s="1"/>
  <c r="D359" i="4"/>
  <c r="E358" i="4"/>
  <c r="J358" i="4" s="1"/>
  <c r="D358" i="4"/>
  <c r="E357" i="4"/>
  <c r="J357" i="4" s="1"/>
  <c r="D357" i="4"/>
  <c r="E356" i="4"/>
  <c r="J356" i="4" s="1"/>
  <c r="D356" i="4"/>
  <c r="E351" i="4"/>
  <c r="J351" i="4" s="1"/>
  <c r="D351" i="4"/>
  <c r="E350" i="4"/>
  <c r="J350" i="4" s="1"/>
  <c r="D350" i="4"/>
  <c r="E349" i="4"/>
  <c r="J349" i="4" s="1"/>
  <c r="D349" i="4"/>
  <c r="E348" i="4"/>
  <c r="J348" i="4" s="1"/>
  <c r="D348" i="4"/>
  <c r="E347" i="4"/>
  <c r="J347" i="4" s="1"/>
  <c r="D347" i="4"/>
  <c r="E346" i="4"/>
  <c r="J346" i="4" s="1"/>
  <c r="D346" i="4"/>
  <c r="E345" i="4"/>
  <c r="J345" i="4" s="1"/>
  <c r="D345" i="4"/>
  <c r="E344" i="4"/>
  <c r="J344" i="4" s="1"/>
  <c r="D344" i="4"/>
  <c r="E343" i="4"/>
  <c r="J343" i="4" s="1"/>
  <c r="D343" i="4"/>
  <c r="E342" i="4"/>
  <c r="J342" i="4" s="1"/>
  <c r="D342" i="4"/>
  <c r="E341" i="4"/>
  <c r="J341" i="4" s="1"/>
  <c r="D341" i="4"/>
  <c r="E340" i="4"/>
  <c r="J340" i="4" s="1"/>
  <c r="D340" i="4"/>
  <c r="E339" i="4"/>
  <c r="J339" i="4" s="1"/>
  <c r="D339" i="4"/>
  <c r="E338" i="4"/>
  <c r="J338" i="4" s="1"/>
  <c r="D338" i="4"/>
  <c r="E337" i="4"/>
  <c r="J337" i="4" s="1"/>
  <c r="D337" i="4"/>
  <c r="E336" i="4"/>
  <c r="J336" i="4" s="1"/>
  <c r="D336" i="4"/>
  <c r="E335" i="4"/>
  <c r="J335" i="4" s="1"/>
  <c r="D335" i="4"/>
  <c r="E334" i="4"/>
  <c r="J334" i="4" s="1"/>
  <c r="D334" i="4"/>
  <c r="E333" i="4"/>
  <c r="J333" i="4" s="1"/>
  <c r="D333" i="4"/>
  <c r="E332" i="4"/>
  <c r="J332" i="4" s="1"/>
  <c r="D332" i="4"/>
  <c r="E331" i="4"/>
  <c r="J331" i="4" s="1"/>
  <c r="D331" i="4"/>
  <c r="E330" i="4"/>
  <c r="J330" i="4" s="1"/>
  <c r="D330" i="4"/>
  <c r="E329" i="4"/>
  <c r="J329" i="4" s="1"/>
  <c r="D329" i="4"/>
  <c r="E328" i="4"/>
  <c r="J328" i="4" s="1"/>
  <c r="D328" i="4"/>
  <c r="E327" i="4"/>
  <c r="J327" i="4" s="1"/>
  <c r="D327" i="4"/>
  <c r="E326" i="4"/>
  <c r="J326" i="4" s="1"/>
  <c r="D326" i="4"/>
  <c r="E325" i="4"/>
  <c r="J325" i="4" s="1"/>
  <c r="D325" i="4"/>
  <c r="E324" i="4"/>
  <c r="J324" i="4" s="1"/>
  <c r="D324" i="4"/>
  <c r="E323" i="4"/>
  <c r="J323" i="4" s="1"/>
  <c r="D323" i="4"/>
  <c r="E322" i="4"/>
  <c r="J322" i="4" s="1"/>
  <c r="D322" i="4"/>
  <c r="E321" i="4"/>
  <c r="J321" i="4" s="1"/>
  <c r="D321" i="4"/>
  <c r="E320" i="4"/>
  <c r="J320" i="4" s="1"/>
  <c r="D320" i="4"/>
  <c r="E319" i="4"/>
  <c r="J319" i="4" s="1"/>
  <c r="D319" i="4"/>
  <c r="E318" i="4"/>
  <c r="J318" i="4" s="1"/>
  <c r="D318" i="4"/>
  <c r="E317" i="4"/>
  <c r="J317" i="4" s="1"/>
  <c r="D317" i="4"/>
  <c r="E311" i="4"/>
  <c r="J311" i="4" s="1"/>
  <c r="D311" i="4"/>
  <c r="E316" i="4"/>
  <c r="J316" i="4" s="1"/>
  <c r="D316" i="4"/>
  <c r="E315" i="4"/>
  <c r="J315" i="4" s="1"/>
  <c r="D315" i="4"/>
  <c r="E314" i="4"/>
  <c r="J314" i="4" s="1"/>
  <c r="D314" i="4"/>
  <c r="E309" i="4"/>
  <c r="J309" i="4" s="1"/>
  <c r="D309" i="4"/>
  <c r="E308" i="4"/>
  <c r="J308" i="4" s="1"/>
  <c r="D308" i="4"/>
  <c r="E307" i="4"/>
  <c r="J307" i="4" s="1"/>
  <c r="D307" i="4"/>
  <c r="E306" i="4"/>
  <c r="J306" i="4" s="1"/>
  <c r="D306" i="4"/>
  <c r="E305" i="4"/>
  <c r="J305" i="4" s="1"/>
  <c r="D305" i="4"/>
  <c r="E304" i="4"/>
  <c r="J304" i="4" s="1"/>
  <c r="D304" i="4"/>
  <c r="E303" i="4"/>
  <c r="J303" i="4" s="1"/>
  <c r="D303" i="4"/>
  <c r="E302" i="4"/>
  <c r="J302" i="4" s="1"/>
  <c r="D302" i="4"/>
  <c r="E301" i="4"/>
  <c r="J301" i="4" s="1"/>
  <c r="D301" i="4"/>
  <c r="E300" i="4"/>
  <c r="J300" i="4" s="1"/>
  <c r="D300" i="4"/>
  <c r="E299" i="4"/>
  <c r="J299" i="4" s="1"/>
  <c r="D299" i="4"/>
  <c r="E298" i="4"/>
  <c r="J298" i="4" s="1"/>
  <c r="D298" i="4"/>
  <c r="E297" i="4"/>
  <c r="J297" i="4" s="1"/>
  <c r="D297" i="4"/>
  <c r="E296" i="4"/>
  <c r="J296" i="4" s="1"/>
  <c r="D296" i="4"/>
  <c r="E295" i="4"/>
  <c r="J295" i="4" s="1"/>
  <c r="D295" i="4"/>
  <c r="E294" i="4"/>
  <c r="J294" i="4" s="1"/>
  <c r="D294" i="4"/>
  <c r="E293" i="4"/>
  <c r="J293" i="4" s="1"/>
  <c r="D293" i="4"/>
  <c r="E292" i="4"/>
  <c r="J292" i="4" s="1"/>
  <c r="D292" i="4"/>
  <c r="E291" i="4"/>
  <c r="J291" i="4" s="1"/>
  <c r="D291" i="4"/>
  <c r="E313" i="4"/>
  <c r="J313" i="4" s="1"/>
  <c r="D313" i="4"/>
  <c r="E290" i="4"/>
  <c r="J290" i="4" s="1"/>
  <c r="D290" i="4"/>
  <c r="E289" i="4"/>
  <c r="J289" i="4" s="1"/>
  <c r="D289" i="4"/>
  <c r="E288" i="4"/>
  <c r="J288" i="4" s="1"/>
  <c r="D288" i="4"/>
  <c r="E287" i="4"/>
  <c r="J287" i="4" s="1"/>
  <c r="D287" i="4"/>
  <c r="E286" i="4"/>
  <c r="J286" i="4" s="1"/>
  <c r="D286" i="4"/>
  <c r="E285" i="4"/>
  <c r="J285" i="4" s="1"/>
  <c r="D285" i="4"/>
  <c r="E284" i="4"/>
  <c r="J284" i="4" s="1"/>
  <c r="D284" i="4"/>
  <c r="E283" i="4"/>
  <c r="J283" i="4" s="1"/>
  <c r="D283" i="4"/>
  <c r="E282" i="4"/>
  <c r="J282" i="4" s="1"/>
  <c r="D282" i="4"/>
  <c r="E281" i="4"/>
  <c r="J281" i="4" s="1"/>
  <c r="D281" i="4"/>
  <c r="E280" i="4"/>
  <c r="J280" i="4" s="1"/>
  <c r="D280" i="4"/>
  <c r="E279" i="4"/>
  <c r="J279" i="4" s="1"/>
  <c r="D279" i="4"/>
  <c r="E278" i="4"/>
  <c r="J278" i="4" s="1"/>
  <c r="D278" i="4"/>
  <c r="E277" i="4"/>
  <c r="J277" i="4" s="1"/>
  <c r="D277" i="4"/>
  <c r="E276" i="4"/>
  <c r="J276" i="4" s="1"/>
  <c r="D276" i="4"/>
  <c r="E275" i="4"/>
  <c r="J275" i="4" s="1"/>
  <c r="D275" i="4"/>
  <c r="E274" i="4"/>
  <c r="J274" i="4" s="1"/>
  <c r="D274" i="4"/>
  <c r="E273" i="4"/>
  <c r="J273" i="4" s="1"/>
  <c r="D273" i="4"/>
  <c r="E272" i="4"/>
  <c r="J272" i="4" s="1"/>
  <c r="D272" i="4"/>
  <c r="E271" i="4"/>
  <c r="J271" i="4" s="1"/>
  <c r="D271" i="4"/>
  <c r="E270" i="4"/>
  <c r="J270" i="4" s="1"/>
  <c r="D270" i="4"/>
  <c r="E312" i="4"/>
  <c r="J312" i="4" s="1"/>
  <c r="D312" i="4"/>
  <c r="E265" i="4"/>
  <c r="J265" i="4" s="1"/>
  <c r="D265" i="4"/>
  <c r="E264" i="4"/>
  <c r="J264" i="4" s="1"/>
  <c r="D264" i="4"/>
  <c r="E263" i="4"/>
  <c r="J263" i="4" s="1"/>
  <c r="D263" i="4"/>
  <c r="E262" i="4"/>
  <c r="J262" i="4" s="1"/>
  <c r="D262" i="4"/>
  <c r="E261" i="4"/>
  <c r="J261" i="4" s="1"/>
  <c r="D261" i="4"/>
  <c r="E260" i="4"/>
  <c r="J260" i="4" s="1"/>
  <c r="D260" i="4"/>
  <c r="E259" i="4"/>
  <c r="J259" i="4" s="1"/>
  <c r="D259" i="4"/>
  <c r="E258" i="4"/>
  <c r="J258" i="4" s="1"/>
  <c r="D258" i="4"/>
  <c r="E257" i="4"/>
  <c r="J257" i="4" s="1"/>
  <c r="D257" i="4"/>
  <c r="E256" i="4"/>
  <c r="J256" i="4" s="1"/>
  <c r="D256" i="4"/>
  <c r="E255" i="4"/>
  <c r="J255" i="4" s="1"/>
  <c r="D255" i="4"/>
  <c r="E254" i="4"/>
  <c r="J254" i="4" s="1"/>
  <c r="D254" i="4"/>
  <c r="E253" i="4"/>
  <c r="J253" i="4" s="1"/>
  <c r="D253" i="4"/>
  <c r="E252" i="4"/>
  <c r="J252" i="4" s="1"/>
  <c r="D252" i="4"/>
  <c r="E251" i="4"/>
  <c r="J251" i="4" s="1"/>
  <c r="D251" i="4"/>
  <c r="E250" i="4"/>
  <c r="J250" i="4" s="1"/>
  <c r="D250" i="4"/>
  <c r="E249" i="4"/>
  <c r="J249" i="4" s="1"/>
  <c r="D249" i="4"/>
  <c r="E248" i="4"/>
  <c r="J248" i="4" s="1"/>
  <c r="D248" i="4"/>
  <c r="E247" i="4"/>
  <c r="J247" i="4" s="1"/>
  <c r="D247" i="4"/>
  <c r="E246" i="4"/>
  <c r="J246" i="4" s="1"/>
  <c r="D246" i="4"/>
  <c r="E245" i="4"/>
  <c r="J245" i="4" s="1"/>
  <c r="D245" i="4"/>
  <c r="E244" i="4"/>
  <c r="J244" i="4" s="1"/>
  <c r="D244" i="4"/>
  <c r="E243" i="4"/>
  <c r="J243" i="4" s="1"/>
  <c r="D243" i="4"/>
  <c r="E242" i="4"/>
  <c r="J242" i="4" s="1"/>
  <c r="D242" i="4"/>
  <c r="E241" i="4"/>
  <c r="J241" i="4" s="1"/>
  <c r="D241" i="4"/>
  <c r="E240" i="4"/>
  <c r="J240" i="4" s="1"/>
  <c r="D240" i="4"/>
  <c r="E239" i="4"/>
  <c r="J239" i="4" s="1"/>
  <c r="D239" i="4"/>
  <c r="E238" i="4"/>
  <c r="J238" i="4" s="1"/>
  <c r="D238" i="4"/>
  <c r="E237" i="4"/>
  <c r="J237" i="4" s="1"/>
  <c r="D237" i="4"/>
  <c r="E236" i="4"/>
  <c r="J236" i="4" s="1"/>
  <c r="D236" i="4"/>
  <c r="E235" i="4"/>
  <c r="J235" i="4" s="1"/>
  <c r="D235" i="4"/>
  <c r="E234" i="4"/>
  <c r="J234" i="4" s="1"/>
  <c r="D234" i="4"/>
  <c r="E233" i="4"/>
  <c r="J233" i="4" s="1"/>
  <c r="D233" i="4"/>
  <c r="E232" i="4"/>
  <c r="J232" i="4" s="1"/>
  <c r="D232" i="4"/>
  <c r="E231" i="4"/>
  <c r="J231" i="4" s="1"/>
  <c r="D231" i="4"/>
  <c r="E230" i="4"/>
  <c r="J230" i="4" s="1"/>
  <c r="D230" i="4"/>
  <c r="E229" i="4"/>
  <c r="J229" i="4" s="1"/>
  <c r="D229" i="4"/>
  <c r="E228" i="4"/>
  <c r="J228" i="4" s="1"/>
  <c r="D228" i="4"/>
  <c r="E227" i="4"/>
  <c r="J227" i="4" s="1"/>
  <c r="D227" i="4"/>
  <c r="E226" i="4"/>
  <c r="J226" i="4" s="1"/>
  <c r="D226" i="4"/>
  <c r="E225" i="4"/>
  <c r="J225" i="4" s="1"/>
  <c r="D225" i="4"/>
  <c r="E224" i="4"/>
  <c r="J224" i="4" s="1"/>
  <c r="D224" i="4"/>
  <c r="E223" i="4"/>
  <c r="J223" i="4" s="1"/>
  <c r="D223" i="4"/>
  <c r="E222" i="4"/>
  <c r="J222" i="4" s="1"/>
  <c r="D222" i="4"/>
  <c r="E221" i="4"/>
  <c r="J221" i="4" s="1"/>
  <c r="D221" i="4"/>
  <c r="E220" i="4"/>
  <c r="J220" i="4" s="1"/>
  <c r="D220" i="4"/>
  <c r="E219" i="4"/>
  <c r="J219" i="4" s="1"/>
  <c r="D219" i="4"/>
  <c r="E218" i="4"/>
  <c r="J218" i="4" s="1"/>
  <c r="D218" i="4"/>
  <c r="E217" i="4"/>
  <c r="J217" i="4" s="1"/>
  <c r="D217" i="4"/>
  <c r="E216" i="4"/>
  <c r="J216" i="4" s="1"/>
  <c r="D216" i="4"/>
  <c r="E215" i="4"/>
  <c r="J215" i="4" s="1"/>
  <c r="D215" i="4"/>
  <c r="E214" i="4"/>
  <c r="J214" i="4" s="1"/>
  <c r="D214" i="4"/>
  <c r="E213" i="4"/>
  <c r="J213" i="4" s="1"/>
  <c r="D213" i="4"/>
  <c r="E212" i="4"/>
  <c r="J212" i="4" s="1"/>
  <c r="D212" i="4"/>
  <c r="E211" i="4"/>
  <c r="J211" i="4" s="1"/>
  <c r="D211" i="4"/>
  <c r="E210" i="4"/>
  <c r="J210" i="4" s="1"/>
  <c r="D210" i="4"/>
  <c r="E209" i="4"/>
  <c r="J209" i="4" s="1"/>
  <c r="D209" i="4"/>
  <c r="E208" i="4"/>
  <c r="J208" i="4" s="1"/>
  <c r="D208" i="4"/>
  <c r="E207" i="4"/>
  <c r="J207" i="4" s="1"/>
  <c r="D207" i="4"/>
  <c r="E206" i="4"/>
  <c r="J206" i="4" s="1"/>
  <c r="D206" i="4"/>
  <c r="E205" i="4"/>
  <c r="J205" i="4" s="1"/>
  <c r="D205" i="4"/>
  <c r="E204" i="4"/>
  <c r="J204" i="4" s="1"/>
  <c r="D204" i="4"/>
  <c r="E203" i="4"/>
  <c r="J203" i="4" s="1"/>
  <c r="D203" i="4"/>
  <c r="E202" i="4"/>
  <c r="J202" i="4" s="1"/>
  <c r="D202" i="4"/>
  <c r="E201" i="4"/>
  <c r="J201" i="4" s="1"/>
  <c r="D201" i="4"/>
  <c r="E200" i="4"/>
  <c r="J200" i="4" s="1"/>
  <c r="D200" i="4"/>
  <c r="E199" i="4"/>
  <c r="J199" i="4" s="1"/>
  <c r="D199" i="4"/>
  <c r="E198" i="4"/>
  <c r="J198" i="4" s="1"/>
  <c r="D198" i="4"/>
  <c r="E197" i="4"/>
  <c r="J197" i="4" s="1"/>
  <c r="D197" i="4"/>
  <c r="E196" i="4"/>
  <c r="J196" i="4" s="1"/>
  <c r="D196" i="4"/>
  <c r="E195" i="4"/>
  <c r="J195" i="4" s="1"/>
  <c r="D195" i="4"/>
  <c r="E194" i="4"/>
  <c r="J194" i="4" s="1"/>
  <c r="D194" i="4"/>
  <c r="E193" i="4"/>
  <c r="J193" i="4" s="1"/>
  <c r="D193" i="4"/>
  <c r="E192" i="4"/>
  <c r="J192" i="4" s="1"/>
  <c r="D192" i="4"/>
  <c r="E191" i="4"/>
  <c r="J191" i="4" s="1"/>
  <c r="D191" i="4"/>
  <c r="E190" i="4"/>
  <c r="J190" i="4" s="1"/>
  <c r="D190" i="4"/>
  <c r="E189" i="4"/>
  <c r="J189" i="4" s="1"/>
  <c r="D189" i="4"/>
  <c r="E188" i="4"/>
  <c r="J188" i="4" s="1"/>
  <c r="D188" i="4"/>
  <c r="E187" i="4"/>
  <c r="J187" i="4" s="1"/>
  <c r="D187" i="4"/>
  <c r="E186" i="4"/>
  <c r="J186" i="4" s="1"/>
  <c r="D186" i="4"/>
  <c r="E185" i="4"/>
  <c r="J185" i="4" s="1"/>
  <c r="D185" i="4"/>
  <c r="E184" i="4"/>
  <c r="J184" i="4" s="1"/>
  <c r="D184" i="4"/>
  <c r="E183" i="4"/>
  <c r="J183" i="4" s="1"/>
  <c r="D183" i="4"/>
  <c r="E182" i="4"/>
  <c r="J182" i="4" s="1"/>
  <c r="D182" i="4"/>
  <c r="E181" i="4"/>
  <c r="J181" i="4" s="1"/>
  <c r="D181" i="4"/>
  <c r="E180" i="4"/>
  <c r="J180" i="4" s="1"/>
  <c r="D180" i="4"/>
  <c r="E175" i="4"/>
  <c r="J175" i="4" s="1"/>
  <c r="D175" i="4"/>
  <c r="E174" i="4"/>
  <c r="J174" i="4" s="1"/>
  <c r="D174" i="4"/>
  <c r="E173" i="4"/>
  <c r="J173" i="4" s="1"/>
  <c r="D173" i="4"/>
  <c r="E172" i="4"/>
  <c r="J172" i="4" s="1"/>
  <c r="D172" i="4"/>
  <c r="E171" i="4"/>
  <c r="J171" i="4" s="1"/>
  <c r="D171" i="4"/>
  <c r="E170" i="4"/>
  <c r="J170" i="4" s="1"/>
  <c r="D170" i="4"/>
  <c r="E169" i="4"/>
  <c r="J169" i="4" s="1"/>
  <c r="D169" i="4"/>
  <c r="E168" i="4"/>
  <c r="J168" i="4" s="1"/>
  <c r="D168" i="4"/>
  <c r="E167" i="4"/>
  <c r="J167" i="4" s="1"/>
  <c r="D167" i="4"/>
  <c r="E166" i="4"/>
  <c r="J166" i="4" s="1"/>
  <c r="D166" i="4"/>
  <c r="E165" i="4"/>
  <c r="J165" i="4" s="1"/>
  <c r="D165" i="4"/>
  <c r="E164" i="4"/>
  <c r="J164" i="4" s="1"/>
  <c r="D164" i="4"/>
  <c r="E163" i="4"/>
  <c r="J163" i="4" s="1"/>
  <c r="D163" i="4"/>
  <c r="E162" i="4"/>
  <c r="J162" i="4" s="1"/>
  <c r="D162" i="4"/>
  <c r="E161" i="4"/>
  <c r="J161" i="4" s="1"/>
  <c r="D161" i="4"/>
  <c r="E160" i="4"/>
  <c r="J160" i="4" s="1"/>
  <c r="D160" i="4"/>
  <c r="E159" i="4"/>
  <c r="J159" i="4" s="1"/>
  <c r="D159" i="4"/>
  <c r="E158" i="4"/>
  <c r="J158" i="4" s="1"/>
  <c r="D158" i="4"/>
  <c r="E157" i="4"/>
  <c r="J157" i="4" s="1"/>
  <c r="D157" i="4"/>
  <c r="E156" i="4"/>
  <c r="J156" i="4" s="1"/>
  <c r="D156" i="4"/>
  <c r="E155" i="4"/>
  <c r="J155" i="4" s="1"/>
  <c r="D155" i="4"/>
  <c r="E154" i="4"/>
  <c r="J154" i="4" s="1"/>
  <c r="D154" i="4"/>
  <c r="E153" i="4"/>
  <c r="J153" i="4" s="1"/>
  <c r="D153" i="4"/>
  <c r="E152" i="4"/>
  <c r="J152" i="4" s="1"/>
  <c r="D152" i="4"/>
  <c r="E151" i="4"/>
  <c r="J151" i="4" s="1"/>
  <c r="D151" i="4"/>
  <c r="E150" i="4"/>
  <c r="J150" i="4" s="1"/>
  <c r="D150" i="4"/>
  <c r="E149" i="4"/>
  <c r="J149" i="4" s="1"/>
  <c r="D149" i="4"/>
  <c r="E148" i="4"/>
  <c r="J148" i="4" s="1"/>
  <c r="D148" i="4"/>
  <c r="E147" i="4"/>
  <c r="J147" i="4" s="1"/>
  <c r="D147" i="4"/>
  <c r="E146" i="4"/>
  <c r="J146" i="4" s="1"/>
  <c r="D146" i="4"/>
  <c r="E145" i="4"/>
  <c r="J145" i="4" s="1"/>
  <c r="D145" i="4"/>
  <c r="E144" i="4"/>
  <c r="J144" i="4" s="1"/>
  <c r="D144" i="4"/>
  <c r="E143" i="4"/>
  <c r="J143" i="4" s="1"/>
  <c r="D143" i="4"/>
  <c r="E142" i="4"/>
  <c r="J142" i="4" s="1"/>
  <c r="D142" i="4"/>
  <c r="E141" i="4"/>
  <c r="J141" i="4" s="1"/>
  <c r="D141" i="4"/>
  <c r="E140" i="4"/>
  <c r="J140" i="4" s="1"/>
  <c r="D140" i="4"/>
  <c r="E139" i="4"/>
  <c r="J139" i="4" s="1"/>
  <c r="D139" i="4"/>
  <c r="E138" i="4"/>
  <c r="J138" i="4" s="1"/>
  <c r="D138" i="4"/>
  <c r="E137" i="4"/>
  <c r="J137" i="4" s="1"/>
  <c r="D137" i="4"/>
  <c r="E136" i="4"/>
  <c r="J136" i="4" s="1"/>
  <c r="D136" i="4"/>
  <c r="E135" i="4"/>
  <c r="J135" i="4" s="1"/>
  <c r="D135" i="4"/>
  <c r="E134" i="4"/>
  <c r="J134" i="4" s="1"/>
  <c r="D134" i="4"/>
  <c r="E133" i="4"/>
  <c r="J133" i="4" s="1"/>
  <c r="D133" i="4"/>
  <c r="E132" i="4"/>
  <c r="J132" i="4" s="1"/>
  <c r="D132" i="4"/>
  <c r="E131" i="4"/>
  <c r="J131" i="4" s="1"/>
  <c r="D131" i="4"/>
  <c r="E130" i="4"/>
  <c r="J130" i="4" s="1"/>
  <c r="D130" i="4"/>
  <c r="E129" i="4"/>
  <c r="J129" i="4" s="1"/>
  <c r="D129" i="4"/>
  <c r="E128" i="4"/>
  <c r="J128" i="4" s="1"/>
  <c r="D128" i="4"/>
  <c r="E127" i="4"/>
  <c r="J127" i="4" s="1"/>
  <c r="D127" i="4"/>
  <c r="E126" i="4"/>
  <c r="J126" i="4" s="1"/>
  <c r="D126" i="4"/>
  <c r="E125" i="4"/>
  <c r="J125" i="4" s="1"/>
  <c r="D125" i="4"/>
  <c r="E124" i="4"/>
  <c r="J124" i="4" s="1"/>
  <c r="D124" i="4"/>
  <c r="E123" i="4"/>
  <c r="J123" i="4" s="1"/>
  <c r="D123" i="4"/>
  <c r="E122" i="4"/>
  <c r="J122" i="4" s="1"/>
  <c r="D122" i="4"/>
  <c r="E121" i="4"/>
  <c r="J121" i="4" s="1"/>
  <c r="D121" i="4"/>
  <c r="E120" i="4"/>
  <c r="J120" i="4" s="1"/>
  <c r="D120" i="4"/>
  <c r="E119" i="4"/>
  <c r="J119" i="4" s="1"/>
  <c r="D119" i="4"/>
  <c r="E118" i="4"/>
  <c r="J118" i="4" s="1"/>
  <c r="D118" i="4"/>
  <c r="E117" i="4"/>
  <c r="J117" i="4" s="1"/>
  <c r="D117" i="4"/>
  <c r="E116" i="4"/>
  <c r="J116" i="4" s="1"/>
  <c r="D116" i="4"/>
  <c r="E115" i="4"/>
  <c r="J115" i="4" s="1"/>
  <c r="D115" i="4"/>
  <c r="E114" i="4"/>
  <c r="J114" i="4" s="1"/>
  <c r="D114" i="4"/>
  <c r="E113" i="4"/>
  <c r="J113" i="4" s="1"/>
  <c r="D113" i="4"/>
  <c r="E112" i="4"/>
  <c r="J112" i="4" s="1"/>
  <c r="D112" i="4"/>
  <c r="E111" i="4"/>
  <c r="J111" i="4" s="1"/>
  <c r="D111" i="4"/>
  <c r="E110" i="4"/>
  <c r="J110" i="4" s="1"/>
  <c r="D110" i="4"/>
  <c r="E109" i="4"/>
  <c r="J109" i="4" s="1"/>
  <c r="D109" i="4"/>
  <c r="E108" i="4"/>
  <c r="J108" i="4" s="1"/>
  <c r="D108" i="4"/>
  <c r="E107" i="4"/>
  <c r="J107" i="4" s="1"/>
  <c r="D107" i="4"/>
  <c r="E106" i="4"/>
  <c r="J106" i="4" s="1"/>
  <c r="D106" i="4"/>
  <c r="E105" i="4"/>
  <c r="J105" i="4" s="1"/>
  <c r="D105" i="4"/>
  <c r="E104" i="4"/>
  <c r="J104" i="4" s="1"/>
  <c r="D104" i="4"/>
  <c r="E103" i="4"/>
  <c r="J103" i="4" s="1"/>
  <c r="D103" i="4"/>
  <c r="E102" i="4"/>
  <c r="J102" i="4" s="1"/>
  <c r="D102" i="4"/>
  <c r="E101" i="4"/>
  <c r="J101" i="4" s="1"/>
  <c r="D101" i="4"/>
  <c r="E100" i="4"/>
  <c r="J100" i="4" s="1"/>
  <c r="D100" i="4"/>
  <c r="E99" i="4"/>
  <c r="J99" i="4" s="1"/>
  <c r="D99" i="4"/>
  <c r="E97" i="4"/>
  <c r="J97" i="4" s="1"/>
  <c r="D97" i="4"/>
  <c r="E96" i="4"/>
  <c r="J96" i="4" s="1"/>
  <c r="D96" i="4"/>
  <c r="E95" i="4"/>
  <c r="J95" i="4" s="1"/>
  <c r="D95" i="4"/>
  <c r="E90" i="4"/>
  <c r="J90" i="4" s="1"/>
  <c r="D90" i="4"/>
  <c r="E89" i="4"/>
  <c r="J89" i="4" s="1"/>
  <c r="D89" i="4"/>
  <c r="E88" i="4"/>
  <c r="J88" i="4" s="1"/>
  <c r="D88" i="4"/>
  <c r="E87" i="4"/>
  <c r="J87" i="4" s="1"/>
  <c r="D87" i="4"/>
  <c r="E86" i="4"/>
  <c r="J86" i="4" s="1"/>
  <c r="D86" i="4"/>
  <c r="E85" i="4"/>
  <c r="J85" i="4" s="1"/>
  <c r="D85" i="4"/>
  <c r="E84" i="4"/>
  <c r="J84" i="4" s="1"/>
  <c r="D84" i="4"/>
  <c r="E83" i="4"/>
  <c r="J83" i="4" s="1"/>
  <c r="D83" i="4"/>
  <c r="E82" i="4"/>
  <c r="J82" i="4" s="1"/>
  <c r="D82" i="4"/>
  <c r="E81" i="4"/>
  <c r="J81" i="4" s="1"/>
  <c r="D81" i="4"/>
  <c r="E80" i="4"/>
  <c r="J80" i="4" s="1"/>
  <c r="D80" i="4"/>
  <c r="E79" i="4"/>
  <c r="J79" i="4" s="1"/>
  <c r="D79" i="4"/>
  <c r="E78" i="4"/>
  <c r="J78" i="4" s="1"/>
  <c r="D78" i="4"/>
  <c r="E77" i="4"/>
  <c r="J77" i="4" s="1"/>
  <c r="D77" i="4"/>
  <c r="E76" i="4"/>
  <c r="J76" i="4" s="1"/>
  <c r="D76" i="4"/>
  <c r="E75" i="4"/>
  <c r="J75" i="4" s="1"/>
  <c r="D75" i="4"/>
  <c r="E74" i="4"/>
  <c r="J74" i="4" s="1"/>
  <c r="D74" i="4"/>
  <c r="E73" i="4"/>
  <c r="J73" i="4" s="1"/>
  <c r="D73" i="4"/>
  <c r="E72" i="4"/>
  <c r="J72" i="4" s="1"/>
  <c r="D72" i="4"/>
  <c r="E71" i="4"/>
  <c r="J71" i="4" s="1"/>
  <c r="D71" i="4"/>
  <c r="E70" i="4"/>
  <c r="J70" i="4" s="1"/>
  <c r="D70" i="4"/>
  <c r="E69" i="4"/>
  <c r="J69" i="4" s="1"/>
  <c r="D69" i="4"/>
  <c r="E68" i="4"/>
  <c r="J68" i="4" s="1"/>
  <c r="D68" i="4"/>
  <c r="E67" i="4"/>
  <c r="J67" i="4" s="1"/>
  <c r="D67" i="4"/>
  <c r="E66" i="4"/>
  <c r="J66" i="4" s="1"/>
  <c r="D66" i="4"/>
  <c r="E65" i="4"/>
  <c r="J65" i="4" s="1"/>
  <c r="D65" i="4"/>
  <c r="E64" i="4"/>
  <c r="J64" i="4" s="1"/>
  <c r="D64" i="4"/>
  <c r="E63" i="4"/>
  <c r="J63" i="4" s="1"/>
  <c r="D63" i="4"/>
  <c r="E62" i="4"/>
  <c r="J62" i="4" s="1"/>
  <c r="D62" i="4"/>
  <c r="E61" i="4"/>
  <c r="J61" i="4" s="1"/>
  <c r="D61" i="4"/>
  <c r="E60" i="4"/>
  <c r="J60" i="4" s="1"/>
  <c r="D60" i="4"/>
  <c r="E59" i="4"/>
  <c r="J59" i="4" s="1"/>
  <c r="D59" i="4"/>
  <c r="E58" i="4"/>
  <c r="J58" i="4" s="1"/>
  <c r="D58" i="4"/>
  <c r="E57" i="4"/>
  <c r="J57" i="4" s="1"/>
  <c r="D57" i="4"/>
  <c r="E56" i="4"/>
  <c r="J56" i="4" s="1"/>
  <c r="D56" i="4"/>
  <c r="E55" i="4"/>
  <c r="J55" i="4" s="1"/>
  <c r="D55" i="4"/>
  <c r="E54" i="4"/>
  <c r="J54" i="4" s="1"/>
  <c r="D54" i="4"/>
  <c r="E53" i="4"/>
  <c r="J53" i="4" s="1"/>
  <c r="D53" i="4"/>
  <c r="E52" i="4"/>
  <c r="J52" i="4" s="1"/>
  <c r="D52" i="4"/>
  <c r="E51" i="4"/>
  <c r="J51" i="4" s="1"/>
  <c r="D51" i="4"/>
  <c r="E50" i="4"/>
  <c r="J50" i="4" s="1"/>
  <c r="D50" i="4"/>
  <c r="E49" i="4"/>
  <c r="J49" i="4" s="1"/>
  <c r="D49" i="4"/>
  <c r="E48" i="4"/>
  <c r="J48" i="4" s="1"/>
  <c r="D48" i="4"/>
  <c r="E47" i="4"/>
  <c r="J47" i="4" s="1"/>
  <c r="D47" i="4"/>
  <c r="E46" i="4"/>
  <c r="J46" i="4" s="1"/>
  <c r="D46" i="4"/>
  <c r="E45" i="4"/>
  <c r="J45" i="4" s="1"/>
  <c r="D45" i="4"/>
  <c r="E44" i="4"/>
  <c r="J44" i="4" s="1"/>
  <c r="D44" i="4"/>
  <c r="E43" i="4"/>
  <c r="J43" i="4" s="1"/>
  <c r="D43" i="4"/>
  <c r="E42" i="4"/>
  <c r="J42" i="4" s="1"/>
  <c r="D42" i="4"/>
  <c r="E41" i="4"/>
  <c r="J41" i="4" s="1"/>
  <c r="D41" i="4"/>
  <c r="E40" i="4"/>
  <c r="J40" i="4" s="1"/>
  <c r="D40" i="4"/>
  <c r="E39" i="4"/>
  <c r="J39" i="4" s="1"/>
  <c r="D39" i="4"/>
  <c r="E38" i="4"/>
  <c r="J38" i="4" s="1"/>
  <c r="D38" i="4"/>
  <c r="E37" i="4"/>
  <c r="J37" i="4" s="1"/>
  <c r="D37" i="4"/>
  <c r="E36" i="4"/>
  <c r="J36" i="4" s="1"/>
  <c r="D36" i="4"/>
  <c r="E35" i="4"/>
  <c r="J35" i="4" s="1"/>
  <c r="D35" i="4"/>
  <c r="E34" i="4"/>
  <c r="J34" i="4" s="1"/>
  <c r="D34" i="4"/>
  <c r="E33" i="4"/>
  <c r="J33" i="4" s="1"/>
  <c r="D33" i="4"/>
  <c r="E32" i="4"/>
  <c r="J32" i="4" s="1"/>
  <c r="D32" i="4"/>
  <c r="E31" i="4"/>
  <c r="J31" i="4" s="1"/>
  <c r="D31" i="4"/>
  <c r="E30" i="4"/>
  <c r="J30" i="4" s="1"/>
  <c r="D30" i="4"/>
  <c r="E28" i="4"/>
  <c r="J28" i="4" s="1"/>
  <c r="D28" i="4"/>
  <c r="E27" i="4"/>
  <c r="J27" i="4" s="1"/>
  <c r="D27" i="4"/>
  <c r="E26" i="4"/>
  <c r="J26" i="4" s="1"/>
  <c r="D26" i="4"/>
  <c r="E25" i="4"/>
  <c r="J25" i="4" s="1"/>
  <c r="D25" i="4"/>
  <c r="E24" i="4"/>
  <c r="J24" i="4" s="1"/>
  <c r="D24" i="4"/>
  <c r="E23" i="4"/>
  <c r="J23" i="4" s="1"/>
  <c r="D23" i="4"/>
  <c r="E22" i="4"/>
  <c r="J22" i="4" s="1"/>
  <c r="D22" i="4"/>
  <c r="E21" i="4"/>
  <c r="J21" i="4" s="1"/>
  <c r="D21" i="4"/>
  <c r="E20" i="4"/>
  <c r="J20" i="4" s="1"/>
  <c r="D20" i="4"/>
  <c r="E19" i="4"/>
  <c r="J19" i="4" s="1"/>
  <c r="D19" i="4"/>
  <c r="E18" i="4"/>
  <c r="J18" i="4" s="1"/>
  <c r="D18" i="4"/>
  <c r="E17" i="4"/>
  <c r="J17" i="4" s="1"/>
  <c r="D17" i="4"/>
  <c r="E16" i="4"/>
  <c r="J16" i="4" s="1"/>
  <c r="D16" i="4"/>
  <c r="E15" i="4"/>
  <c r="J15" i="4" s="1"/>
  <c r="D15" i="4"/>
  <c r="E14" i="4"/>
  <c r="J14" i="4" s="1"/>
  <c r="D14" i="4"/>
  <c r="E13" i="4"/>
  <c r="J13" i="4" s="1"/>
  <c r="D13" i="4"/>
  <c r="E12" i="4"/>
  <c r="J12" i="4" s="1"/>
  <c r="D12" i="4"/>
  <c r="E11" i="4"/>
  <c r="J11" i="4" s="1"/>
  <c r="D11" i="4"/>
  <c r="E10" i="4"/>
  <c r="J10" i="4" s="1"/>
  <c r="D10" i="4"/>
  <c r="E9" i="4"/>
  <c r="J9" i="4" s="1"/>
  <c r="D9" i="4"/>
  <c r="W111" i="7" l="1"/>
  <c r="X111" i="7"/>
  <c r="X313" i="7"/>
  <c r="W313" i="7"/>
  <c r="X312" i="7"/>
  <c r="W312" i="7"/>
  <c r="X311" i="7"/>
  <c r="W311" i="7"/>
  <c r="X310" i="7"/>
  <c r="W310" i="7"/>
  <c r="W282" i="7"/>
  <c r="W281" i="7"/>
  <c r="X278" i="7"/>
  <c r="X276" i="7"/>
  <c r="X273" i="7"/>
  <c r="X271" i="7"/>
  <c r="X270" i="7"/>
  <c r="W265" i="7"/>
  <c r="X262" i="7"/>
  <c r="W250" i="7"/>
  <c r="W249" i="7"/>
  <c r="X246" i="7"/>
  <c r="X242" i="7"/>
  <c r="X239" i="7"/>
  <c r="X236" i="7"/>
  <c r="W229" i="7"/>
  <c r="X227" i="7"/>
  <c r="X225" i="7"/>
  <c r="W223" i="7"/>
  <c r="X217" i="7"/>
  <c r="W211" i="7"/>
  <c r="W209" i="7"/>
  <c r="X208" i="7"/>
  <c r="X206" i="7"/>
  <c r="X205" i="7"/>
  <c r="X202" i="7"/>
  <c r="X200" i="7"/>
  <c r="W199" i="7"/>
  <c r="X197" i="7"/>
  <c r="W192" i="7"/>
  <c r="X190" i="7"/>
  <c r="W188" i="7"/>
  <c r="X184" i="7"/>
  <c r="W183" i="7"/>
  <c r="W182" i="7"/>
  <c r="W181" i="7"/>
  <c r="X285" i="7"/>
  <c r="W285" i="7"/>
  <c r="X284" i="7"/>
  <c r="W284" i="7"/>
  <c r="X214" i="7"/>
  <c r="W214" i="7"/>
  <c r="X213" i="7"/>
  <c r="W213" i="7"/>
  <c r="X212" i="7"/>
  <c r="W212" i="7"/>
  <c r="X179" i="7"/>
  <c r="W179" i="7"/>
  <c r="X178" i="7"/>
  <c r="W178" i="7"/>
  <c r="X177" i="7"/>
  <c r="W177" i="7"/>
  <c r="X176" i="7"/>
  <c r="W176" i="7"/>
  <c r="X175" i="7"/>
  <c r="W175" i="7"/>
  <c r="X174" i="7"/>
  <c r="W174" i="7"/>
  <c r="X173" i="7"/>
  <c r="W173" i="7"/>
  <c r="X172" i="7"/>
  <c r="W172" i="7"/>
  <c r="X171" i="7"/>
  <c r="W171" i="7"/>
  <c r="X170" i="7"/>
  <c r="W170" i="7"/>
  <c r="X169" i="7"/>
  <c r="W169" i="7"/>
  <c r="X168" i="7"/>
  <c r="W168" i="7"/>
  <c r="X167" i="7"/>
  <c r="W167" i="7"/>
  <c r="X166" i="7"/>
  <c r="W166" i="7"/>
  <c r="X165" i="7"/>
  <c r="W165" i="7"/>
  <c r="X164" i="7"/>
  <c r="W164" i="7"/>
  <c r="X163" i="7"/>
  <c r="W163" i="7"/>
  <c r="X162" i="7"/>
  <c r="W162" i="7"/>
  <c r="X161" i="7"/>
  <c r="W161" i="7"/>
  <c r="X160" i="7"/>
  <c r="W160" i="7"/>
  <c r="X159" i="7"/>
  <c r="W159" i="7"/>
  <c r="X158" i="7"/>
  <c r="W158" i="7"/>
  <c r="X157" i="7"/>
  <c r="W157" i="7"/>
  <c r="X156" i="7"/>
  <c r="W156" i="7"/>
  <c r="X155" i="7"/>
  <c r="W155" i="7"/>
  <c r="X154" i="7"/>
  <c r="W154" i="7"/>
  <c r="X153" i="7"/>
  <c r="W153" i="7"/>
  <c r="X152" i="7"/>
  <c r="W152" i="7"/>
  <c r="X151" i="7"/>
  <c r="W151" i="7"/>
  <c r="X150" i="7"/>
  <c r="W150" i="7"/>
  <c r="X149" i="7"/>
  <c r="W149" i="7"/>
  <c r="X148" i="7"/>
  <c r="W148" i="7"/>
  <c r="X147" i="7"/>
  <c r="W147" i="7"/>
  <c r="X146" i="7"/>
  <c r="W146" i="7"/>
  <c r="X145" i="7"/>
  <c r="W145" i="7"/>
  <c r="X144" i="7"/>
  <c r="W144" i="7"/>
  <c r="X294" i="7"/>
  <c r="W292" i="7"/>
  <c r="W291" i="7"/>
  <c r="W290" i="7"/>
  <c r="W288" i="7"/>
  <c r="X287" i="7"/>
  <c r="X282" i="7"/>
  <c r="X279" i="7"/>
  <c r="X274" i="7"/>
  <c r="W269" i="7"/>
  <c r="X260" i="7"/>
  <c r="W258" i="7"/>
  <c r="W257" i="7"/>
  <c r="X256" i="7"/>
  <c r="X255" i="7"/>
  <c r="X254" i="7"/>
  <c r="X247" i="7"/>
  <c r="X241" i="7"/>
  <c r="X238" i="7"/>
  <c r="X233" i="7"/>
  <c r="W230" i="7"/>
  <c r="X222" i="7"/>
  <c r="X219" i="7"/>
  <c r="X215" i="7"/>
  <c r="X207" i="7"/>
  <c r="W206" i="7"/>
  <c r="X203" i="7"/>
  <c r="W202" i="7"/>
  <c r="W201" i="7"/>
  <c r="X199" i="7"/>
  <c r="W198" i="7"/>
  <c r="X195" i="7"/>
  <c r="X191" i="7"/>
  <c r="X188" i="7"/>
  <c r="X186" i="7"/>
  <c r="X181" i="7"/>
  <c r="X143" i="7"/>
  <c r="W143" i="7"/>
  <c r="X142" i="7"/>
  <c r="W142" i="7"/>
  <c r="X141" i="7"/>
  <c r="W141" i="7"/>
  <c r="X140" i="7"/>
  <c r="W140" i="7"/>
  <c r="X139" i="7"/>
  <c r="W139" i="7"/>
  <c r="X138" i="7"/>
  <c r="W138" i="7"/>
  <c r="X137" i="7"/>
  <c r="W137" i="7"/>
  <c r="X136" i="7"/>
  <c r="W136" i="7"/>
  <c r="X135" i="7"/>
  <c r="W135" i="7"/>
  <c r="X134" i="7"/>
  <c r="W134" i="7"/>
  <c r="X133" i="7"/>
  <c r="W133" i="7"/>
  <c r="X132" i="7"/>
  <c r="W132" i="7"/>
  <c r="X131" i="7"/>
  <c r="W131" i="7"/>
  <c r="X130" i="7"/>
  <c r="W130" i="7"/>
  <c r="X129" i="7"/>
  <c r="W129" i="7"/>
  <c r="X128" i="7"/>
  <c r="W128" i="7"/>
  <c r="X127" i="7"/>
  <c r="W127" i="7"/>
  <c r="X126" i="7"/>
  <c r="W126" i="7"/>
  <c r="X125" i="7"/>
  <c r="W125" i="7"/>
  <c r="X124" i="7"/>
  <c r="W124" i="7"/>
  <c r="X123" i="7"/>
  <c r="W123" i="7"/>
  <c r="X122" i="7"/>
  <c r="W122" i="7"/>
  <c r="X121" i="7"/>
  <c r="W121" i="7"/>
  <c r="X120" i="7"/>
  <c r="W120" i="7"/>
  <c r="X88" i="7"/>
  <c r="W88" i="7"/>
  <c r="X87" i="7"/>
  <c r="W87" i="7"/>
  <c r="X86" i="7"/>
  <c r="W86" i="7"/>
  <c r="X85" i="7"/>
  <c r="W85" i="7"/>
  <c r="X84" i="7"/>
  <c r="W84" i="7"/>
  <c r="X83" i="7"/>
  <c r="W83" i="7"/>
  <c r="X82" i="7"/>
  <c r="W82" i="7"/>
  <c r="W309" i="7"/>
  <c r="X307" i="7"/>
  <c r="X305" i="7"/>
  <c r="X304" i="7"/>
  <c r="W304" i="7"/>
  <c r="W303" i="7"/>
  <c r="X302" i="7"/>
  <c r="W302" i="7"/>
  <c r="W301" i="7"/>
  <c r="X300" i="7"/>
  <c r="W300" i="7"/>
  <c r="X298" i="7"/>
  <c r="W298" i="7"/>
  <c r="X297" i="7"/>
  <c r="W297" i="7"/>
  <c r="W296" i="7"/>
  <c r="X295" i="7"/>
  <c r="W295" i="7"/>
  <c r="X293" i="7"/>
  <c r="X292" i="7"/>
  <c r="X291" i="7"/>
  <c r="X290" i="7"/>
  <c r="W289" i="7"/>
  <c r="W287" i="7"/>
  <c r="X286" i="7"/>
  <c r="X283" i="7"/>
  <c r="X281" i="7"/>
  <c r="X280" i="7"/>
  <c r="W278" i="7"/>
  <c r="X277" i="7"/>
  <c r="W276" i="7"/>
  <c r="W274" i="7"/>
  <c r="W273" i="7"/>
  <c r="W268" i="7"/>
  <c r="W267" i="7"/>
  <c r="W266" i="7"/>
  <c r="W264" i="7"/>
  <c r="X263" i="7"/>
  <c r="W261" i="7"/>
  <c r="X259" i="7"/>
  <c r="W253" i="7"/>
  <c r="X252" i="7"/>
  <c r="X250" i="7"/>
  <c r="W248" i="7"/>
  <c r="X244" i="7"/>
  <c r="X243" i="7"/>
  <c r="W234" i="7"/>
  <c r="W232" i="7"/>
  <c r="W231" i="7"/>
  <c r="X229" i="7"/>
  <c r="W228" i="7"/>
  <c r="W227" i="7"/>
  <c r="W226" i="7"/>
  <c r="W225" i="7"/>
  <c r="W224" i="7"/>
  <c r="X223" i="7"/>
  <c r="W222" i="7"/>
  <c r="X221" i="7"/>
  <c r="X220" i="7"/>
  <c r="W219" i="7"/>
  <c r="X218" i="7"/>
  <c r="W217" i="7"/>
  <c r="W216" i="7"/>
  <c r="W215" i="7"/>
  <c r="X210" i="7"/>
  <c r="W207" i="7"/>
  <c r="W205" i="7"/>
  <c r="W196" i="7"/>
  <c r="X193" i="7"/>
  <c r="X192" i="7"/>
  <c r="X189" i="7"/>
  <c r="W185" i="7"/>
  <c r="X81" i="7"/>
  <c r="W81" i="7"/>
  <c r="X80" i="7"/>
  <c r="W80" i="7"/>
  <c r="X79" i="7"/>
  <c r="W79" i="7"/>
  <c r="X78" i="7"/>
  <c r="W78" i="7"/>
  <c r="X77" i="7"/>
  <c r="W77" i="7"/>
  <c r="X76" i="7"/>
  <c r="W76" i="7"/>
  <c r="X75" i="7"/>
  <c r="W75" i="7"/>
  <c r="X74" i="7"/>
  <c r="W74" i="7"/>
  <c r="X73" i="7"/>
  <c r="W73" i="7"/>
  <c r="X72" i="7"/>
  <c r="W72" i="7"/>
  <c r="X71" i="7"/>
  <c r="W71" i="7"/>
  <c r="X70" i="7"/>
  <c r="W70" i="7"/>
  <c r="X69" i="7"/>
  <c r="W69" i="7"/>
  <c r="X68" i="7"/>
  <c r="W68" i="7"/>
  <c r="X67" i="7"/>
  <c r="W67" i="7"/>
  <c r="X66" i="7"/>
  <c r="W66" i="7"/>
  <c r="X65" i="7"/>
  <c r="W65" i="7"/>
  <c r="X64" i="7"/>
  <c r="W64" i="7"/>
  <c r="X63" i="7"/>
  <c r="W63" i="7"/>
  <c r="X62" i="7"/>
  <c r="W62" i="7"/>
  <c r="X61" i="7"/>
  <c r="W61" i="7"/>
  <c r="X60" i="7"/>
  <c r="W60" i="7"/>
  <c r="X59" i="7"/>
  <c r="W59" i="7"/>
  <c r="X58" i="7"/>
  <c r="W58" i="7"/>
  <c r="X57" i="7"/>
  <c r="W57" i="7"/>
  <c r="X56" i="7"/>
  <c r="W56" i="7"/>
  <c r="X55" i="7"/>
  <c r="W55" i="7"/>
  <c r="X54" i="7"/>
  <c r="W54" i="7"/>
  <c r="X53" i="7"/>
  <c r="W53" i="7"/>
  <c r="X52" i="7"/>
  <c r="W52" i="7"/>
  <c r="X51" i="7"/>
  <c r="W51" i="7"/>
  <c r="X50" i="7"/>
  <c r="W50" i="7"/>
  <c r="X49" i="7"/>
  <c r="W49" i="7"/>
  <c r="X48" i="7"/>
  <c r="W48" i="7"/>
  <c r="X47" i="7"/>
  <c r="W47" i="7"/>
  <c r="X46" i="7"/>
  <c r="W46" i="7"/>
  <c r="X42" i="7"/>
  <c r="W42" i="7"/>
  <c r="X41" i="7"/>
  <c r="W41" i="7"/>
  <c r="X40" i="7"/>
  <c r="W40" i="7"/>
  <c r="X39" i="7"/>
  <c r="W39" i="7"/>
  <c r="X38" i="7"/>
  <c r="W38" i="7"/>
  <c r="X37" i="7"/>
  <c r="W37" i="7"/>
  <c r="X36" i="7"/>
  <c r="W36" i="7"/>
  <c r="X35" i="7"/>
  <c r="W35" i="7"/>
  <c r="X34" i="7"/>
  <c r="W34" i="7"/>
  <c r="X33" i="7"/>
  <c r="W33" i="7"/>
  <c r="X32" i="7"/>
  <c r="W32" i="7"/>
  <c r="X31" i="7"/>
  <c r="W31" i="7"/>
  <c r="X30" i="7"/>
  <c r="W30" i="7"/>
  <c r="X29" i="7"/>
  <c r="W29" i="7"/>
  <c r="X28" i="7"/>
  <c r="W28" i="7"/>
  <c r="X27" i="7"/>
  <c r="W27" i="7"/>
  <c r="X26" i="7"/>
  <c r="W26" i="7"/>
  <c r="X25" i="7"/>
  <c r="W25" i="7"/>
  <c r="X24" i="7"/>
  <c r="W24" i="7"/>
  <c r="X23" i="7"/>
  <c r="W23" i="7"/>
  <c r="X22" i="7"/>
  <c r="W22" i="7"/>
  <c r="X21" i="7"/>
  <c r="W21" i="7"/>
  <c r="X20" i="7"/>
  <c r="W20" i="7"/>
  <c r="X19" i="7"/>
  <c r="W19" i="7"/>
  <c r="X18" i="7"/>
  <c r="W18" i="7"/>
  <c r="X17" i="7"/>
  <c r="W17" i="7"/>
  <c r="X16" i="7"/>
  <c r="W16" i="7"/>
  <c r="X15" i="7"/>
  <c r="W15" i="7"/>
  <c r="X14" i="7"/>
  <c r="W14" i="7"/>
  <c r="X13" i="7"/>
  <c r="W13" i="7"/>
  <c r="X12" i="7"/>
  <c r="W12" i="7"/>
  <c r="X11" i="7"/>
  <c r="W11" i="7"/>
  <c r="X309" i="7"/>
  <c r="X308" i="7"/>
  <c r="W308" i="7"/>
  <c r="W307" i="7"/>
  <c r="X306" i="7"/>
  <c r="W306" i="7"/>
  <c r="W305" i="7"/>
  <c r="X303" i="7"/>
  <c r="X301" i="7"/>
  <c r="X299" i="7"/>
  <c r="W299" i="7"/>
  <c r="X296" i="7"/>
  <c r="W294" i="7"/>
  <c r="W293" i="7"/>
  <c r="X289" i="7"/>
  <c r="X288" i="7"/>
  <c r="W286" i="7"/>
  <c r="W283" i="7"/>
  <c r="W280" i="7"/>
  <c r="W279" i="7"/>
  <c r="W275" i="7"/>
  <c r="W272" i="7"/>
  <c r="W271" i="7"/>
  <c r="W270" i="7"/>
  <c r="X269" i="7"/>
  <c r="X268" i="7"/>
  <c r="X267" i="7"/>
  <c r="X266" i="7"/>
  <c r="X265" i="7"/>
  <c r="X264" i="7"/>
  <c r="W263" i="7"/>
  <c r="W262" i="7"/>
  <c r="X261" i="7"/>
  <c r="W260" i="7"/>
  <c r="X258" i="7"/>
  <c r="X257" i="7"/>
  <c r="W256" i="7"/>
  <c r="W254" i="7"/>
  <c r="W252" i="7"/>
  <c r="X251" i="7"/>
  <c r="X249" i="7"/>
  <c r="X248" i="7"/>
  <c r="W247" i="7"/>
  <c r="W246" i="7"/>
  <c r="X245" i="7"/>
  <c r="W244" i="7"/>
  <c r="W243" i="7"/>
  <c r="W242" i="7"/>
  <c r="W241" i="7"/>
  <c r="W240" i="7"/>
  <c r="W239" i="7"/>
  <c r="W238" i="7"/>
  <c r="W237" i="7"/>
  <c r="W236" i="7"/>
  <c r="W235" i="7"/>
  <c r="X234" i="7"/>
  <c r="W233" i="7"/>
  <c r="X232" i="7"/>
  <c r="X231" i="7"/>
  <c r="X230" i="7"/>
  <c r="X228" i="7"/>
  <c r="W221" i="7"/>
  <c r="W220" i="7"/>
  <c r="W204" i="7"/>
  <c r="X196" i="7"/>
  <c r="W195" i="7"/>
  <c r="X194" i="7"/>
  <c r="W193" i="7"/>
  <c r="W191" i="7"/>
  <c r="W190" i="7"/>
  <c r="W189" i="7"/>
  <c r="W187" i="7"/>
  <c r="W184" i="7"/>
  <c r="X182" i="7"/>
  <c r="W180" i="7"/>
  <c r="X45" i="7"/>
  <c r="W45" i="7"/>
  <c r="X44" i="7"/>
  <c r="W44" i="7"/>
  <c r="X43" i="7"/>
  <c r="W43" i="7"/>
  <c r="W277" i="7"/>
  <c r="X275" i="7"/>
  <c r="X272" i="7"/>
  <c r="W259" i="7"/>
  <c r="W255" i="7"/>
  <c r="X253" i="7"/>
  <c r="W251" i="7"/>
  <c r="W245" i="7"/>
  <c r="X240" i="7"/>
  <c r="X237" i="7"/>
  <c r="X235" i="7"/>
  <c r="X226" i="7"/>
  <c r="X224" i="7"/>
  <c r="W218" i="7"/>
  <c r="X216" i="7"/>
  <c r="X211" i="7"/>
  <c r="W210" i="7"/>
  <c r="X209" i="7"/>
  <c r="W208" i="7"/>
  <c r="X204" i="7"/>
  <c r="W203" i="7"/>
  <c r="X201" i="7"/>
  <c r="W200" i="7"/>
  <c r="X198" i="7"/>
  <c r="W197" i="7"/>
  <c r="W194" i="7"/>
  <c r="X187" i="7"/>
  <c r="W186" i="7"/>
  <c r="X185" i="7"/>
  <c r="X183" i="7"/>
  <c r="X180" i="7"/>
  <c r="B19" i="8"/>
  <c r="A19" i="8"/>
  <c r="B18" i="8"/>
  <c r="A18" i="8"/>
  <c r="B17" i="8"/>
  <c r="A17" i="8"/>
  <c r="B16" i="8"/>
  <c r="A16" i="8"/>
  <c r="B15" i="8"/>
  <c r="A15" i="8"/>
  <c r="B13" i="8"/>
  <c r="A13" i="8"/>
  <c r="B12" i="8"/>
  <c r="A12" i="8"/>
  <c r="B11" i="8"/>
  <c r="A11" i="8"/>
  <c r="B10" i="8"/>
  <c r="A10" i="8"/>
  <c r="B9" i="8"/>
  <c r="P111" i="7" l="1"/>
  <c r="M111" i="7"/>
  <c r="R111" i="7"/>
  <c r="V111" i="7"/>
  <c r="N111" i="7"/>
  <c r="T111" i="7"/>
  <c r="K111" i="7"/>
  <c r="P312" i="7"/>
  <c r="V310" i="7"/>
  <c r="N310" i="7"/>
  <c r="M309" i="7"/>
  <c r="T308" i="7"/>
  <c r="K307" i="7"/>
  <c r="R306" i="7"/>
  <c r="P304" i="7"/>
  <c r="V302" i="7"/>
  <c r="N302" i="7"/>
  <c r="M301" i="7"/>
  <c r="T300" i="7"/>
  <c r="K299" i="7"/>
  <c r="R298" i="7"/>
  <c r="P296" i="7"/>
  <c r="V294" i="7"/>
  <c r="N294" i="7"/>
  <c r="M293" i="7"/>
  <c r="T292" i="7"/>
  <c r="K291" i="7"/>
  <c r="R290" i="7"/>
  <c r="P288" i="7"/>
  <c r="V286" i="7"/>
  <c r="N286" i="7"/>
  <c r="M285" i="7"/>
  <c r="T284" i="7"/>
  <c r="K283" i="7"/>
  <c r="R282" i="7"/>
  <c r="P280" i="7"/>
  <c r="V278" i="7"/>
  <c r="N278" i="7"/>
  <c r="M277" i="7"/>
  <c r="T276" i="7"/>
  <c r="K275" i="7"/>
  <c r="R274" i="7"/>
  <c r="P272" i="7"/>
  <c r="V270" i="7"/>
  <c r="N270" i="7"/>
  <c r="M269" i="7"/>
  <c r="T268" i="7"/>
  <c r="K267" i="7"/>
  <c r="R266" i="7"/>
  <c r="P264" i="7"/>
  <c r="V262" i="7"/>
  <c r="N262" i="7"/>
  <c r="M261" i="7"/>
  <c r="T260" i="7"/>
  <c r="K259" i="7"/>
  <c r="R258" i="7"/>
  <c r="P256" i="7"/>
  <c r="V254" i="7"/>
  <c r="N254" i="7"/>
  <c r="M253" i="7"/>
  <c r="T252" i="7"/>
  <c r="K251" i="7"/>
  <c r="R250" i="7"/>
  <c r="P248" i="7"/>
  <c r="V246" i="7"/>
  <c r="N246" i="7"/>
  <c r="M245" i="7"/>
  <c r="T244" i="7"/>
  <c r="K243" i="7"/>
  <c r="R242" i="7"/>
  <c r="P240" i="7"/>
  <c r="V238" i="7"/>
  <c r="N238" i="7"/>
  <c r="M237" i="7"/>
  <c r="T236" i="7"/>
  <c r="K235" i="7"/>
  <c r="R234" i="7"/>
  <c r="P232" i="7"/>
  <c r="V230" i="7"/>
  <c r="N230" i="7"/>
  <c r="M229" i="7"/>
  <c r="T228" i="7"/>
  <c r="K227" i="7"/>
  <c r="R226" i="7"/>
  <c r="P224" i="7"/>
  <c r="V222" i="7"/>
  <c r="N222" i="7"/>
  <c r="M221" i="7"/>
  <c r="T220" i="7"/>
  <c r="K219" i="7"/>
  <c r="R218" i="7"/>
  <c r="P313" i="7"/>
  <c r="V311" i="7"/>
  <c r="N311" i="7"/>
  <c r="M310" i="7"/>
  <c r="T309" i="7"/>
  <c r="K308" i="7"/>
  <c r="R307" i="7"/>
  <c r="P305" i="7"/>
  <c r="V303" i="7"/>
  <c r="N303" i="7"/>
  <c r="M302" i="7"/>
  <c r="T301" i="7"/>
  <c r="K300" i="7"/>
  <c r="R299" i="7"/>
  <c r="P297" i="7"/>
  <c r="V295" i="7"/>
  <c r="N295" i="7"/>
  <c r="M294" i="7"/>
  <c r="T293" i="7"/>
  <c r="K292" i="7"/>
  <c r="R291" i="7"/>
  <c r="P289" i="7"/>
  <c r="V287" i="7"/>
  <c r="N287" i="7"/>
  <c r="M286" i="7"/>
  <c r="T285" i="7"/>
  <c r="K284" i="7"/>
  <c r="R283" i="7"/>
  <c r="P281" i="7"/>
  <c r="V279" i="7"/>
  <c r="N279" i="7"/>
  <c r="M278" i="7"/>
  <c r="T277" i="7"/>
  <c r="K276" i="7"/>
  <c r="R275" i="7"/>
  <c r="P273" i="7"/>
  <c r="V271" i="7"/>
  <c r="N271" i="7"/>
  <c r="M270" i="7"/>
  <c r="T269" i="7"/>
  <c r="K268" i="7"/>
  <c r="R267" i="7"/>
  <c r="P265" i="7"/>
  <c r="V263" i="7"/>
  <c r="N263" i="7"/>
  <c r="M262" i="7"/>
  <c r="T261" i="7"/>
  <c r="K260" i="7"/>
  <c r="R259" i="7"/>
  <c r="P257" i="7"/>
  <c r="V255" i="7"/>
  <c r="N255" i="7"/>
  <c r="M254" i="7"/>
  <c r="T253" i="7"/>
  <c r="K252" i="7"/>
  <c r="R251" i="7"/>
  <c r="P249" i="7"/>
  <c r="V247" i="7"/>
  <c r="N247" i="7"/>
  <c r="M246" i="7"/>
  <c r="T245" i="7"/>
  <c r="K244" i="7"/>
  <c r="R243" i="7"/>
  <c r="P241" i="7"/>
  <c r="V239" i="7"/>
  <c r="N239" i="7"/>
  <c r="M238" i="7"/>
  <c r="T237" i="7"/>
  <c r="K236" i="7"/>
  <c r="R235" i="7"/>
  <c r="P233" i="7"/>
  <c r="V231" i="7"/>
  <c r="N231" i="7"/>
  <c r="M230" i="7"/>
  <c r="T229" i="7"/>
  <c r="K228" i="7"/>
  <c r="R227" i="7"/>
  <c r="P225" i="7"/>
  <c r="V223" i="7"/>
  <c r="N223" i="7"/>
  <c r="M222" i="7"/>
  <c r="T221" i="7"/>
  <c r="K220" i="7"/>
  <c r="R219" i="7"/>
  <c r="P217" i="7"/>
  <c r="V313" i="7"/>
  <c r="N313" i="7"/>
  <c r="M312" i="7"/>
  <c r="T311" i="7"/>
  <c r="K310" i="7"/>
  <c r="R309" i="7"/>
  <c r="P307" i="7"/>
  <c r="V305" i="7"/>
  <c r="N305" i="7"/>
  <c r="M304" i="7"/>
  <c r="T303" i="7"/>
  <c r="K302" i="7"/>
  <c r="R301" i="7"/>
  <c r="P299" i="7"/>
  <c r="V297" i="7"/>
  <c r="N297" i="7"/>
  <c r="M296" i="7"/>
  <c r="T295" i="7"/>
  <c r="K294" i="7"/>
  <c r="R293" i="7"/>
  <c r="P291" i="7"/>
  <c r="V289" i="7"/>
  <c r="N289" i="7"/>
  <c r="M288" i="7"/>
  <c r="T287" i="7"/>
  <c r="K286" i="7"/>
  <c r="R285" i="7"/>
  <c r="P283" i="7"/>
  <c r="V281" i="7"/>
  <c r="N281" i="7"/>
  <c r="M280" i="7"/>
  <c r="T279" i="7"/>
  <c r="K278" i="7"/>
  <c r="R277" i="7"/>
  <c r="P275" i="7"/>
  <c r="V273" i="7"/>
  <c r="N273" i="7"/>
  <c r="M272" i="7"/>
  <c r="T271" i="7"/>
  <c r="K270" i="7"/>
  <c r="R269" i="7"/>
  <c r="P267" i="7"/>
  <c r="V265" i="7"/>
  <c r="N265" i="7"/>
  <c r="M264" i="7"/>
  <c r="T263" i="7"/>
  <c r="K262" i="7"/>
  <c r="R261" i="7"/>
  <c r="P259" i="7"/>
  <c r="V257" i="7"/>
  <c r="N257" i="7"/>
  <c r="M256" i="7"/>
  <c r="T255" i="7"/>
  <c r="K254" i="7"/>
  <c r="R253" i="7"/>
  <c r="P251" i="7"/>
  <c r="V249" i="7"/>
  <c r="N249" i="7"/>
  <c r="M248" i="7"/>
  <c r="T247" i="7"/>
  <c r="K246" i="7"/>
  <c r="R245" i="7"/>
  <c r="P243" i="7"/>
  <c r="V241" i="7"/>
  <c r="N241" i="7"/>
  <c r="M240" i="7"/>
  <c r="T239" i="7"/>
  <c r="K238" i="7"/>
  <c r="R237" i="7"/>
  <c r="P235" i="7"/>
  <c r="V233" i="7"/>
  <c r="N233" i="7"/>
  <c r="M232" i="7"/>
  <c r="T231" i="7"/>
  <c r="K230" i="7"/>
  <c r="R229" i="7"/>
  <c r="P227" i="7"/>
  <c r="V225" i="7"/>
  <c r="N225" i="7"/>
  <c r="M224" i="7"/>
  <c r="T223" i="7"/>
  <c r="K222" i="7"/>
  <c r="R221" i="7"/>
  <c r="P219" i="7"/>
  <c r="V217" i="7"/>
  <c r="K312" i="7"/>
  <c r="P311" i="7"/>
  <c r="V306" i="7"/>
  <c r="M306" i="7"/>
  <c r="P302" i="7"/>
  <c r="P298" i="7"/>
  <c r="M295" i="7"/>
  <c r="R292" i="7"/>
  <c r="N291" i="7"/>
  <c r="T290" i="7"/>
  <c r="K290" i="7"/>
  <c r="V288" i="7"/>
  <c r="P285" i="7"/>
  <c r="V284" i="7"/>
  <c r="M284" i="7"/>
  <c r="N282" i="7"/>
  <c r="T281" i="7"/>
  <c r="K279" i="7"/>
  <c r="P276" i="7"/>
  <c r="V275" i="7"/>
  <c r="M273" i="7"/>
  <c r="T272" i="7"/>
  <c r="T270" i="7"/>
  <c r="N269" i="7"/>
  <c r="R265" i="7"/>
  <c r="N264" i="7"/>
  <c r="R263" i="7"/>
  <c r="N260" i="7"/>
  <c r="T259" i="7"/>
  <c r="K257" i="7"/>
  <c r="R256" i="7"/>
  <c r="R254" i="7"/>
  <c r="V253" i="7"/>
  <c r="K253" i="7"/>
  <c r="M251" i="7"/>
  <c r="K248" i="7"/>
  <c r="P247" i="7"/>
  <c r="V242" i="7"/>
  <c r="M242" i="7"/>
  <c r="P238" i="7"/>
  <c r="P234" i="7"/>
  <c r="M231" i="7"/>
  <c r="R228" i="7"/>
  <c r="N227" i="7"/>
  <c r="T226" i="7"/>
  <c r="K226" i="7"/>
  <c r="V224" i="7"/>
  <c r="P221" i="7"/>
  <c r="V220" i="7"/>
  <c r="M220" i="7"/>
  <c r="N218" i="7"/>
  <c r="T217" i="7"/>
  <c r="K217" i="7"/>
  <c r="R216" i="7"/>
  <c r="P214" i="7"/>
  <c r="V212" i="7"/>
  <c r="N212" i="7"/>
  <c r="M211" i="7"/>
  <c r="T210" i="7"/>
  <c r="K209" i="7"/>
  <c r="R208" i="7"/>
  <c r="P206" i="7"/>
  <c r="V204" i="7"/>
  <c r="N204" i="7"/>
  <c r="M203" i="7"/>
  <c r="T202" i="7"/>
  <c r="K201" i="7"/>
  <c r="R200" i="7"/>
  <c r="P198" i="7"/>
  <c r="V196" i="7"/>
  <c r="N196" i="7"/>
  <c r="M195" i="7"/>
  <c r="T194" i="7"/>
  <c r="K193" i="7"/>
  <c r="R192" i="7"/>
  <c r="P190" i="7"/>
  <c r="V188" i="7"/>
  <c r="N188" i="7"/>
  <c r="M187" i="7"/>
  <c r="T186" i="7"/>
  <c r="K185" i="7"/>
  <c r="R184" i="7"/>
  <c r="P182" i="7"/>
  <c r="M313" i="7"/>
  <c r="T312" i="7"/>
  <c r="T310" i="7"/>
  <c r="N309" i="7"/>
  <c r="R305" i="7"/>
  <c r="N304" i="7"/>
  <c r="R303" i="7"/>
  <c r="N300" i="7"/>
  <c r="T299" i="7"/>
  <c r="K297" i="7"/>
  <c r="R296" i="7"/>
  <c r="R294" i="7"/>
  <c r="V293" i="7"/>
  <c r="K293" i="7"/>
  <c r="M291" i="7"/>
  <c r="K288" i="7"/>
  <c r="P287" i="7"/>
  <c r="V282" i="7"/>
  <c r="M282" i="7"/>
  <c r="P278" i="7"/>
  <c r="P274" i="7"/>
  <c r="M271" i="7"/>
  <c r="R268" i="7"/>
  <c r="N267" i="7"/>
  <c r="T266" i="7"/>
  <c r="K266" i="7"/>
  <c r="V264" i="7"/>
  <c r="P261" i="7"/>
  <c r="V260" i="7"/>
  <c r="M260" i="7"/>
  <c r="N258" i="7"/>
  <c r="T257" i="7"/>
  <c r="K255" i="7"/>
  <c r="P252" i="7"/>
  <c r="V251" i="7"/>
  <c r="M249" i="7"/>
  <c r="T248" i="7"/>
  <c r="T246" i="7"/>
  <c r="N245" i="7"/>
  <c r="R241" i="7"/>
  <c r="N240" i="7"/>
  <c r="R239" i="7"/>
  <c r="N236" i="7"/>
  <c r="T235" i="7"/>
  <c r="K233" i="7"/>
  <c r="R232" i="7"/>
  <c r="R230" i="7"/>
  <c r="V229" i="7"/>
  <c r="K229" i="7"/>
  <c r="M227" i="7"/>
  <c r="K224" i="7"/>
  <c r="P223" i="7"/>
  <c r="V218" i="7"/>
  <c r="M218" i="7"/>
  <c r="P215" i="7"/>
  <c r="V213" i="7"/>
  <c r="N213" i="7"/>
  <c r="M212" i="7"/>
  <c r="T211" i="7"/>
  <c r="K210" i="7"/>
  <c r="R209" i="7"/>
  <c r="P207" i="7"/>
  <c r="V205" i="7"/>
  <c r="N205" i="7"/>
  <c r="M204" i="7"/>
  <c r="T203" i="7"/>
  <c r="K202" i="7"/>
  <c r="R201" i="7"/>
  <c r="P199" i="7"/>
  <c r="V197" i="7"/>
  <c r="N197" i="7"/>
  <c r="M196" i="7"/>
  <c r="T195" i="7"/>
  <c r="K194" i="7"/>
  <c r="R193" i="7"/>
  <c r="P191" i="7"/>
  <c r="V189" i="7"/>
  <c r="N189" i="7"/>
  <c r="M188" i="7"/>
  <c r="T187" i="7"/>
  <c r="K186" i="7"/>
  <c r="R185" i="7"/>
  <c r="P183" i="7"/>
  <c r="V181" i="7"/>
  <c r="N181" i="7"/>
  <c r="M180" i="7"/>
  <c r="T179" i="7"/>
  <c r="M311" i="7"/>
  <c r="R308" i="7"/>
  <c r="N307" i="7"/>
  <c r="T306" i="7"/>
  <c r="K306" i="7"/>
  <c r="V304" i="7"/>
  <c r="P301" i="7"/>
  <c r="V300" i="7"/>
  <c r="M300" i="7"/>
  <c r="K313" i="7"/>
  <c r="R312" i="7"/>
  <c r="R310" i="7"/>
  <c r="V309" i="7"/>
  <c r="K309" i="7"/>
  <c r="M307" i="7"/>
  <c r="K304" i="7"/>
  <c r="P303" i="7"/>
  <c r="V298" i="7"/>
  <c r="M298" i="7"/>
  <c r="P294" i="7"/>
  <c r="P290" i="7"/>
  <c r="M287" i="7"/>
  <c r="R284" i="7"/>
  <c r="N283" i="7"/>
  <c r="T282" i="7"/>
  <c r="K282" i="7"/>
  <c r="V280" i="7"/>
  <c r="P277" i="7"/>
  <c r="V276" i="7"/>
  <c r="M276" i="7"/>
  <c r="N274" i="7"/>
  <c r="T273" i="7"/>
  <c r="K271" i="7"/>
  <c r="P268" i="7"/>
  <c r="V267" i="7"/>
  <c r="M265" i="7"/>
  <c r="T264" i="7"/>
  <c r="T262" i="7"/>
  <c r="N261" i="7"/>
  <c r="R257" i="7"/>
  <c r="N256" i="7"/>
  <c r="R255" i="7"/>
  <c r="N252" i="7"/>
  <c r="T251" i="7"/>
  <c r="K249" i="7"/>
  <c r="R248" i="7"/>
  <c r="R246" i="7"/>
  <c r="V245" i="7"/>
  <c r="K245" i="7"/>
  <c r="M243" i="7"/>
  <c r="K240" i="7"/>
  <c r="P239" i="7"/>
  <c r="V234" i="7"/>
  <c r="M234" i="7"/>
  <c r="P230" i="7"/>
  <c r="P226" i="7"/>
  <c r="M223" i="7"/>
  <c r="R220" i="7"/>
  <c r="N219" i="7"/>
  <c r="T218" i="7"/>
  <c r="K218" i="7"/>
  <c r="V215" i="7"/>
  <c r="N215" i="7"/>
  <c r="M214" i="7"/>
  <c r="T213" i="7"/>
  <c r="K212" i="7"/>
  <c r="R211" i="7"/>
  <c r="P209" i="7"/>
  <c r="V207" i="7"/>
  <c r="N207" i="7"/>
  <c r="M206" i="7"/>
  <c r="T205" i="7"/>
  <c r="K204" i="7"/>
  <c r="R203" i="7"/>
  <c r="P201" i="7"/>
  <c r="V199" i="7"/>
  <c r="N199" i="7"/>
  <c r="M198" i="7"/>
  <c r="T197" i="7"/>
  <c r="K196" i="7"/>
  <c r="R195" i="7"/>
  <c r="P193" i="7"/>
  <c r="V191" i="7"/>
  <c r="N191" i="7"/>
  <c r="M190" i="7"/>
  <c r="T189" i="7"/>
  <c r="K188" i="7"/>
  <c r="R187" i="7"/>
  <c r="P185" i="7"/>
  <c r="V183" i="7"/>
  <c r="N183" i="7"/>
  <c r="M182" i="7"/>
  <c r="T181" i="7"/>
  <c r="K180" i="7"/>
  <c r="M305" i="7"/>
  <c r="T297" i="7"/>
  <c r="N296" i="7"/>
  <c r="R295" i="7"/>
  <c r="P292" i="7"/>
  <c r="V291" i="7"/>
  <c r="M290" i="7"/>
  <c r="R289" i="7"/>
  <c r="K285" i="7"/>
  <c r="T283" i="7"/>
  <c r="R280" i="7"/>
  <c r="N275" i="7"/>
  <c r="T274" i="7"/>
  <c r="K273" i="7"/>
  <c r="P269" i="7"/>
  <c r="P266" i="7"/>
  <c r="K264" i="7"/>
  <c r="V258" i="7"/>
  <c r="T256" i="7"/>
  <c r="P253" i="7"/>
  <c r="P250" i="7"/>
  <c r="N248" i="7"/>
  <c r="N242" i="7"/>
  <c r="M239" i="7"/>
  <c r="V237" i="7"/>
  <c r="K237" i="7"/>
  <c r="V235" i="7"/>
  <c r="N234" i="7"/>
  <c r="R222" i="7"/>
  <c r="V221" i="7"/>
  <c r="N220" i="7"/>
  <c r="M215" i="7"/>
  <c r="T214" i="7"/>
  <c r="T212" i="7"/>
  <c r="N211" i="7"/>
  <c r="R207" i="7"/>
  <c r="N206" i="7"/>
  <c r="R205" i="7"/>
  <c r="N202" i="7"/>
  <c r="T201" i="7"/>
  <c r="K199" i="7"/>
  <c r="R198" i="7"/>
  <c r="R196" i="7"/>
  <c r="V195" i="7"/>
  <c r="K195" i="7"/>
  <c r="M193" i="7"/>
  <c r="K190" i="7"/>
  <c r="P189" i="7"/>
  <c r="V184" i="7"/>
  <c r="M184" i="7"/>
  <c r="V179" i="7"/>
  <c r="M179" i="7"/>
  <c r="T178" i="7"/>
  <c r="K177" i="7"/>
  <c r="R176" i="7"/>
  <c r="P174" i="7"/>
  <c r="V172" i="7"/>
  <c r="N172" i="7"/>
  <c r="M171" i="7"/>
  <c r="T170" i="7"/>
  <c r="K169" i="7"/>
  <c r="R168" i="7"/>
  <c r="P166" i="7"/>
  <c r="V164" i="7"/>
  <c r="N164" i="7"/>
  <c r="M163" i="7"/>
  <c r="T162" i="7"/>
  <c r="K161" i="7"/>
  <c r="R160" i="7"/>
  <c r="P158" i="7"/>
  <c r="V156" i="7"/>
  <c r="N156" i="7"/>
  <c r="M155" i="7"/>
  <c r="T154" i="7"/>
  <c r="K153" i="7"/>
  <c r="R152" i="7"/>
  <c r="R311" i="7"/>
  <c r="N308" i="7"/>
  <c r="T307" i="7"/>
  <c r="R304" i="7"/>
  <c r="N301" i="7"/>
  <c r="R300" i="7"/>
  <c r="V299" i="7"/>
  <c r="N298" i="7"/>
  <c r="R286" i="7"/>
  <c r="V285" i="7"/>
  <c r="N284" i="7"/>
  <c r="K281" i="7"/>
  <c r="M275" i="7"/>
  <c r="T265" i="7"/>
  <c r="M263" i="7"/>
  <c r="R262" i="7"/>
  <c r="V261" i="7"/>
  <c r="K258" i="7"/>
  <c r="M257" i="7"/>
  <c r="N244" i="7"/>
  <c r="T243" i="7"/>
  <c r="V240" i="7"/>
  <c r="R238" i="7"/>
  <c r="P236" i="7"/>
  <c r="R233" i="7"/>
  <c r="V232" i="7"/>
  <c r="K232" i="7"/>
  <c r="P231" i="7"/>
  <c r="T230" i="7"/>
  <c r="N228" i="7"/>
  <c r="T227" i="7"/>
  <c r="V226" i="7"/>
  <c r="T224" i="7"/>
  <c r="K223" i="7"/>
  <c r="P216" i="7"/>
  <c r="M213" i="7"/>
  <c r="R210" i="7"/>
  <c r="N209" i="7"/>
  <c r="T208" i="7"/>
  <c r="K208" i="7"/>
  <c r="V206" i="7"/>
  <c r="P203" i="7"/>
  <c r="V202" i="7"/>
  <c r="M202" i="7"/>
  <c r="N200" i="7"/>
  <c r="T199" i="7"/>
  <c r="K197" i="7"/>
  <c r="P194" i="7"/>
  <c r="V193" i="7"/>
  <c r="M191" i="7"/>
  <c r="T190" i="7"/>
  <c r="T188" i="7"/>
  <c r="N187" i="7"/>
  <c r="R183" i="7"/>
  <c r="N182" i="7"/>
  <c r="R181" i="7"/>
  <c r="P180" i="7"/>
  <c r="K178" i="7"/>
  <c r="R177" i="7"/>
  <c r="P175" i="7"/>
  <c r="V173" i="7"/>
  <c r="N312" i="7"/>
  <c r="M308" i="7"/>
  <c r="K305" i="7"/>
  <c r="R297" i="7"/>
  <c r="V296" i="7"/>
  <c r="K296" i="7"/>
  <c r="P295" i="7"/>
  <c r="T294" i="7"/>
  <c r="N292" i="7"/>
  <c r="T291" i="7"/>
  <c r="V290" i="7"/>
  <c r="T288" i="7"/>
  <c r="K287" i="7"/>
  <c r="N272" i="7"/>
  <c r="R271" i="7"/>
  <c r="N266" i="7"/>
  <c r="N259" i="7"/>
  <c r="T258" i="7"/>
  <c r="N253" i="7"/>
  <c r="R252" i="7"/>
  <c r="N250" i="7"/>
  <c r="T249" i="7"/>
  <c r="M247" i="7"/>
  <c r="V244" i="7"/>
  <c r="M244" i="7"/>
  <c r="K242" i="7"/>
  <c r="K239" i="7"/>
  <c r="K234" i="7"/>
  <c r="M228" i="7"/>
  <c r="M225" i="7"/>
  <c r="P222" i="7"/>
  <c r="K215" i="7"/>
  <c r="R214" i="7"/>
  <c r="R212" i="7"/>
  <c r="V211" i="7"/>
  <c r="K211" i="7"/>
  <c r="M209" i="7"/>
  <c r="K206" i="7"/>
  <c r="P205" i="7"/>
  <c r="V200" i="7"/>
  <c r="M200" i="7"/>
  <c r="P196" i="7"/>
  <c r="P192" i="7"/>
  <c r="M189" i="7"/>
  <c r="R186" i="7"/>
  <c r="N185" i="7"/>
  <c r="T184" i="7"/>
  <c r="K184" i="7"/>
  <c r="V182" i="7"/>
  <c r="K179" i="7"/>
  <c r="R178" i="7"/>
  <c r="P176" i="7"/>
  <c r="V174" i="7"/>
  <c r="N174" i="7"/>
  <c r="M173" i="7"/>
  <c r="T172" i="7"/>
  <c r="K171" i="7"/>
  <c r="R170" i="7"/>
  <c r="P168" i="7"/>
  <c r="V166" i="7"/>
  <c r="N166" i="7"/>
  <c r="M165" i="7"/>
  <c r="T164" i="7"/>
  <c r="K163" i="7"/>
  <c r="R162" i="7"/>
  <c r="P160" i="7"/>
  <c r="V158" i="7"/>
  <c r="N158" i="7"/>
  <c r="M157" i="7"/>
  <c r="T156" i="7"/>
  <c r="K155" i="7"/>
  <c r="R154" i="7"/>
  <c r="P152" i="7"/>
  <c r="V150" i="7"/>
  <c r="N150" i="7"/>
  <c r="M149" i="7"/>
  <c r="T148" i="7"/>
  <c r="K147" i="7"/>
  <c r="R146" i="7"/>
  <c r="P144" i="7"/>
  <c r="V142" i="7"/>
  <c r="N142" i="7"/>
  <c r="M141" i="7"/>
  <c r="T140" i="7"/>
  <c r="K139" i="7"/>
  <c r="V308" i="7"/>
  <c r="T302" i="7"/>
  <c r="K301" i="7"/>
  <c r="P300" i="7"/>
  <c r="K298" i="7"/>
  <c r="M292" i="7"/>
  <c r="M289" i="7"/>
  <c r="P286" i="7"/>
  <c r="N280" i="7"/>
  <c r="R279" i="7"/>
  <c r="N277" i="7"/>
  <c r="R276" i="7"/>
  <c r="K269" i="7"/>
  <c r="T267" i="7"/>
  <c r="M266" i="7"/>
  <c r="K263" i="7"/>
  <c r="P262" i="7"/>
  <c r="M259" i="7"/>
  <c r="V250" i="7"/>
  <c r="M250" i="7"/>
  <c r="V248" i="7"/>
  <c r="P246" i="7"/>
  <c r="T242" i="7"/>
  <c r="M241" i="7"/>
  <c r="T240" i="7"/>
  <c r="M236" i="7"/>
  <c r="T232" i="7"/>
  <c r="V228" i="7"/>
  <c r="R224" i="7"/>
  <c r="M219" i="7"/>
  <c r="P218" i="7"/>
  <c r="R217" i="7"/>
  <c r="N216" i="7"/>
  <c r="T215" i="7"/>
  <c r="K213" i="7"/>
  <c r="P210" i="7"/>
  <c r="V209" i="7"/>
  <c r="M207" i="7"/>
  <c r="T206" i="7"/>
  <c r="T204" i="7"/>
  <c r="N203" i="7"/>
  <c r="R199" i="7"/>
  <c r="N198" i="7"/>
  <c r="R197" i="7"/>
  <c r="N194" i="7"/>
  <c r="T193" i="7"/>
  <c r="K191" i="7"/>
  <c r="R190" i="7"/>
  <c r="R188" i="7"/>
  <c r="V187" i="7"/>
  <c r="K187" i="7"/>
  <c r="M185" i="7"/>
  <c r="K182" i="7"/>
  <c r="P181" i="7"/>
  <c r="V180" i="7"/>
  <c r="N180" i="7"/>
  <c r="R179" i="7"/>
  <c r="P177" i="7"/>
  <c r="V175" i="7"/>
  <c r="N175" i="7"/>
  <c r="M174" i="7"/>
  <c r="T173" i="7"/>
  <c r="K172" i="7"/>
  <c r="R171" i="7"/>
  <c r="P169" i="7"/>
  <c r="V167" i="7"/>
  <c r="N167" i="7"/>
  <c r="M166" i="7"/>
  <c r="T165" i="7"/>
  <c r="K164" i="7"/>
  <c r="R163" i="7"/>
  <c r="P161" i="7"/>
  <c r="V159" i="7"/>
  <c r="V312" i="7"/>
  <c r="K311" i="7"/>
  <c r="P309" i="7"/>
  <c r="R302" i="7"/>
  <c r="T298" i="7"/>
  <c r="M297" i="7"/>
  <c r="K295" i="7"/>
  <c r="P293" i="7"/>
  <c r="K289" i="7"/>
  <c r="K280" i="7"/>
  <c r="P279" i="7"/>
  <c r="T278" i="7"/>
  <c r="K277" i="7"/>
  <c r="M268" i="7"/>
  <c r="R260" i="7"/>
  <c r="V259" i="7"/>
  <c r="P258" i="7"/>
  <c r="K256" i="7"/>
  <c r="M252" i="7"/>
  <c r="T250" i="7"/>
  <c r="K250" i="7"/>
  <c r="R244" i="7"/>
  <c r="N243" i="7"/>
  <c r="K241" i="7"/>
  <c r="R240" i="7"/>
  <c r="N235" i="7"/>
  <c r="T225" i="7"/>
  <c r="R223" i="7"/>
  <c r="N221" i="7"/>
  <c r="V219" i="7"/>
  <c r="R215" i="7"/>
  <c r="N214" i="7"/>
  <c r="R213" i="7"/>
  <c r="N210" i="7"/>
  <c r="T209" i="7"/>
  <c r="K207" i="7"/>
  <c r="R206" i="7"/>
  <c r="R204" i="7"/>
  <c r="V203" i="7"/>
  <c r="K203" i="7"/>
  <c r="M201" i="7"/>
  <c r="K198" i="7"/>
  <c r="P197" i="7"/>
  <c r="V192" i="7"/>
  <c r="M192" i="7"/>
  <c r="P188" i="7"/>
  <c r="P184" i="7"/>
  <c r="M181" i="7"/>
  <c r="T180" i="7"/>
  <c r="P179" i="7"/>
  <c r="V177" i="7"/>
  <c r="N177" i="7"/>
  <c r="M176" i="7"/>
  <c r="T175" i="7"/>
  <c r="K174" i="7"/>
  <c r="R173" i="7"/>
  <c r="P171" i="7"/>
  <c r="V169" i="7"/>
  <c r="N169" i="7"/>
  <c r="M168" i="7"/>
  <c r="T167" i="7"/>
  <c r="K166" i="7"/>
  <c r="R165" i="7"/>
  <c r="P163" i="7"/>
  <c r="V161" i="7"/>
  <c r="N161" i="7"/>
  <c r="M160" i="7"/>
  <c r="T159" i="7"/>
  <c r="K158" i="7"/>
  <c r="R157" i="7"/>
  <c r="P155" i="7"/>
  <c r="V153" i="7"/>
  <c r="N153" i="7"/>
  <c r="M152" i="7"/>
  <c r="T151" i="7"/>
  <c r="K150" i="7"/>
  <c r="R149" i="7"/>
  <c r="P147" i="7"/>
  <c r="V145" i="7"/>
  <c r="N145" i="7"/>
  <c r="M144" i="7"/>
  <c r="T143" i="7"/>
  <c r="K142" i="7"/>
  <c r="R141" i="7"/>
  <c r="P139" i="7"/>
  <c r="P310" i="7"/>
  <c r="M303" i="7"/>
  <c r="N290" i="7"/>
  <c r="R288" i="7"/>
  <c r="M267" i="7"/>
  <c r="P255" i="7"/>
  <c r="T254" i="7"/>
  <c r="V243" i="7"/>
  <c r="N232" i="7"/>
  <c r="M226" i="7"/>
  <c r="N217" i="7"/>
  <c r="T216" i="7"/>
  <c r="K214" i="7"/>
  <c r="P212" i="7"/>
  <c r="M208" i="7"/>
  <c r="N201" i="7"/>
  <c r="P195" i="7"/>
  <c r="N192" i="7"/>
  <c r="V190" i="7"/>
  <c r="K189" i="7"/>
  <c r="T182" i="7"/>
  <c r="P178" i="7"/>
  <c r="N176" i="7"/>
  <c r="R175" i="7"/>
  <c r="N173" i="7"/>
  <c r="R172" i="7"/>
  <c r="P170" i="7"/>
  <c r="K167" i="7"/>
  <c r="M164" i="7"/>
  <c r="V162" i="7"/>
  <c r="R161" i="7"/>
  <c r="V160" i="7"/>
  <c r="K160" i="7"/>
  <c r="P159" i="7"/>
  <c r="M154" i="7"/>
  <c r="N152" i="7"/>
  <c r="K151" i="7"/>
  <c r="V149" i="7"/>
  <c r="R148" i="7"/>
  <c r="V146" i="7"/>
  <c r="M146" i="7"/>
  <c r="V143" i="7"/>
  <c r="M143" i="7"/>
  <c r="P138" i="7"/>
  <c r="V136" i="7"/>
  <c r="N136" i="7"/>
  <c r="M135" i="7"/>
  <c r="T134" i="7"/>
  <c r="K133" i="7"/>
  <c r="R132" i="7"/>
  <c r="P130" i="7"/>
  <c r="V128" i="7"/>
  <c r="N128" i="7"/>
  <c r="M127" i="7"/>
  <c r="T126" i="7"/>
  <c r="K125" i="7"/>
  <c r="R124" i="7"/>
  <c r="P122" i="7"/>
  <c r="V120" i="7"/>
  <c r="N120" i="7"/>
  <c r="K88" i="7"/>
  <c r="R87" i="7"/>
  <c r="P85" i="7"/>
  <c r="V83" i="7"/>
  <c r="N83" i="7"/>
  <c r="M82" i="7"/>
  <c r="T81" i="7"/>
  <c r="K80" i="7"/>
  <c r="R79" i="7"/>
  <c r="P77" i="7"/>
  <c r="V75" i="7"/>
  <c r="P308" i="7"/>
  <c r="M283" i="7"/>
  <c r="P282" i="7"/>
  <c r="R281" i="7"/>
  <c r="N276" i="7"/>
  <c r="P271" i="7"/>
  <c r="R270" i="7"/>
  <c r="V269" i="7"/>
  <c r="R264" i="7"/>
  <c r="V252" i="7"/>
  <c r="P245" i="7"/>
  <c r="N237" i="7"/>
  <c r="R236" i="7"/>
  <c r="T222" i="7"/>
  <c r="M217" i="7"/>
  <c r="P211" i="7"/>
  <c r="V208" i="7"/>
  <c r="P200" i="7"/>
  <c r="V198" i="7"/>
  <c r="R191" i="7"/>
  <c r="P186" i="7"/>
  <c r="V185" i="7"/>
  <c r="M183" i="7"/>
  <c r="T177" i="7"/>
  <c r="V171" i="7"/>
  <c r="K162" i="7"/>
  <c r="P157" i="7"/>
  <c r="K156" i="7"/>
  <c r="R155" i="7"/>
  <c r="V154" i="7"/>
  <c r="R153" i="7"/>
  <c r="R151" i="7"/>
  <c r="P150" i="7"/>
  <c r="K149" i="7"/>
  <c r="R145" i="7"/>
  <c r="R142" i="7"/>
  <c r="N141" i="7"/>
  <c r="K140" i="7"/>
  <c r="R139" i="7"/>
  <c r="V137" i="7"/>
  <c r="N137" i="7"/>
  <c r="M136" i="7"/>
  <c r="T135" i="7"/>
  <c r="K134" i="7"/>
  <c r="R133" i="7"/>
  <c r="P131" i="7"/>
  <c r="V129" i="7"/>
  <c r="N129" i="7"/>
  <c r="M128" i="7"/>
  <c r="T127" i="7"/>
  <c r="K126" i="7"/>
  <c r="R125" i="7"/>
  <c r="P123" i="7"/>
  <c r="V121" i="7"/>
  <c r="N121" i="7"/>
  <c r="M120" i="7"/>
  <c r="R88" i="7"/>
  <c r="P86" i="7"/>
  <c r="V84" i="7"/>
  <c r="N84" i="7"/>
  <c r="M83" i="7"/>
  <c r="T82" i="7"/>
  <c r="K81" i="7"/>
  <c r="R80" i="7"/>
  <c r="P78" i="7"/>
  <c r="V76" i="7"/>
  <c r="N76" i="7"/>
  <c r="K303" i="7"/>
  <c r="T296" i="7"/>
  <c r="R287" i="7"/>
  <c r="T286" i="7"/>
  <c r="T280" i="7"/>
  <c r="K272" i="7"/>
  <c r="V268" i="7"/>
  <c r="M255" i="7"/>
  <c r="K247" i="7"/>
  <c r="P244" i="7"/>
  <c r="T234" i="7"/>
  <c r="P229" i="7"/>
  <c r="V227" i="7"/>
  <c r="V214" i="7"/>
  <c r="M205" i="7"/>
  <c r="N195" i="7"/>
  <c r="R194" i="7"/>
  <c r="K192" i="7"/>
  <c r="R182" i="7"/>
  <c r="N178" i="7"/>
  <c r="V176" i="7"/>
  <c r="K176" i="7"/>
  <c r="T174" i="7"/>
  <c r="K173" i="7"/>
  <c r="P172" i="7"/>
  <c r="N170" i="7"/>
  <c r="T169" i="7"/>
  <c r="N168" i="7"/>
  <c r="R167" i="7"/>
  <c r="P165" i="7"/>
  <c r="T160" i="7"/>
  <c r="N159" i="7"/>
  <c r="T158" i="7"/>
  <c r="K154" i="7"/>
  <c r="V152" i="7"/>
  <c r="K152" i="7"/>
  <c r="T149" i="7"/>
  <c r="P148" i="7"/>
  <c r="N147" i="7"/>
  <c r="T146" i="7"/>
  <c r="K146" i="7"/>
  <c r="N144" i="7"/>
  <c r="K143" i="7"/>
  <c r="V141" i="7"/>
  <c r="R140" i="7"/>
  <c r="V138" i="7"/>
  <c r="N138" i="7"/>
  <c r="M137" i="7"/>
  <c r="T136" i="7"/>
  <c r="K135" i="7"/>
  <c r="R134" i="7"/>
  <c r="P132" i="7"/>
  <c r="V130" i="7"/>
  <c r="N130" i="7"/>
  <c r="M129" i="7"/>
  <c r="T128" i="7"/>
  <c r="K127" i="7"/>
  <c r="R126" i="7"/>
  <c r="P124" i="7"/>
  <c r="V122" i="7"/>
  <c r="N122" i="7"/>
  <c r="M121" i="7"/>
  <c r="T120" i="7"/>
  <c r="P87" i="7"/>
  <c r="V85" i="7"/>
  <c r="N85" i="7"/>
  <c r="M84" i="7"/>
  <c r="T83" i="7"/>
  <c r="K82" i="7"/>
  <c r="R81" i="7"/>
  <c r="P79" i="7"/>
  <c r="V77" i="7"/>
  <c r="N77" i="7"/>
  <c r="M76" i="7"/>
  <c r="T75" i="7"/>
  <c r="K74" i="7"/>
  <c r="R73" i="7"/>
  <c r="P71" i="7"/>
  <c r="V69" i="7"/>
  <c r="N69" i="7"/>
  <c r="M68" i="7"/>
  <c r="T67" i="7"/>
  <c r="K66" i="7"/>
  <c r="R65" i="7"/>
  <c r="P63" i="7"/>
  <c r="P306" i="7"/>
  <c r="T305" i="7"/>
  <c r="N299" i="7"/>
  <c r="V292" i="7"/>
  <c r="N288" i="7"/>
  <c r="V272" i="7"/>
  <c r="P270" i="7"/>
  <c r="K265" i="7"/>
  <c r="P263" i="7"/>
  <c r="P254" i="7"/>
  <c r="T241" i="7"/>
  <c r="T233" i="7"/>
  <c r="K231" i="7"/>
  <c r="K225" i="7"/>
  <c r="N224" i="7"/>
  <c r="P204" i="7"/>
  <c r="R202" i="7"/>
  <c r="V201" i="7"/>
  <c r="T198" i="7"/>
  <c r="N186" i="7"/>
  <c r="T185" i="7"/>
  <c r="K183" i="7"/>
  <c r="M178" i="7"/>
  <c r="M175" i="7"/>
  <c r="T171" i="7"/>
  <c r="M170" i="7"/>
  <c r="N163" i="7"/>
  <c r="M161" i="7"/>
  <c r="M159" i="7"/>
  <c r="N157" i="7"/>
  <c r="R156" i="7"/>
  <c r="P153" i="7"/>
  <c r="P151" i="7"/>
  <c r="M150" i="7"/>
  <c r="V147" i="7"/>
  <c r="M147" i="7"/>
  <c r="P145" i="7"/>
  <c r="V144" i="7"/>
  <c r="R143" i="7"/>
  <c r="P142" i="7"/>
  <c r="K141" i="7"/>
  <c r="M138" i="7"/>
  <c r="T137" i="7"/>
  <c r="K136" i="7"/>
  <c r="R135" i="7"/>
  <c r="P133" i="7"/>
  <c r="V131" i="7"/>
  <c r="N131" i="7"/>
  <c r="M130" i="7"/>
  <c r="T129" i="7"/>
  <c r="K128" i="7"/>
  <c r="R127" i="7"/>
  <c r="P125" i="7"/>
  <c r="V123" i="7"/>
  <c r="N123" i="7"/>
  <c r="M122" i="7"/>
  <c r="T121" i="7"/>
  <c r="K120" i="7"/>
  <c r="P88" i="7"/>
  <c r="V86" i="7"/>
  <c r="N86" i="7"/>
  <c r="M85" i="7"/>
  <c r="T84" i="7"/>
  <c r="K83" i="7"/>
  <c r="R82" i="7"/>
  <c r="P80" i="7"/>
  <c r="V78" i="7"/>
  <c r="N78" i="7"/>
  <c r="M77" i="7"/>
  <c r="T76" i="7"/>
  <c r="K75" i="7"/>
  <c r="R74" i="7"/>
  <c r="P72" i="7"/>
  <c r="N306" i="7"/>
  <c r="R278" i="7"/>
  <c r="V266" i="7"/>
  <c r="P260" i="7"/>
  <c r="R249" i="7"/>
  <c r="P220" i="7"/>
  <c r="P208" i="7"/>
  <c r="P202" i="7"/>
  <c r="T196" i="7"/>
  <c r="M194" i="7"/>
  <c r="N190" i="7"/>
  <c r="V186" i="7"/>
  <c r="T183" i="7"/>
  <c r="M177" i="7"/>
  <c r="K175" i="7"/>
  <c r="K170" i="7"/>
  <c r="T166" i="7"/>
  <c r="V163" i="7"/>
  <c r="K159" i="7"/>
  <c r="K157" i="7"/>
  <c r="P156" i="7"/>
  <c r="V155" i="7"/>
  <c r="P154" i="7"/>
  <c r="M153" i="7"/>
  <c r="N151" i="7"/>
  <c r="T150" i="7"/>
  <c r="P149" i="7"/>
  <c r="V148" i="7"/>
  <c r="M148" i="7"/>
  <c r="T147" i="7"/>
  <c r="P146" i="7"/>
  <c r="M145" i="7"/>
  <c r="T144" i="7"/>
  <c r="P143" i="7"/>
  <c r="M142" i="7"/>
  <c r="V139" i="7"/>
  <c r="M139" i="7"/>
  <c r="K138" i="7"/>
  <c r="R137" i="7"/>
  <c r="P135" i="7"/>
  <c r="V133" i="7"/>
  <c r="N133" i="7"/>
  <c r="M132" i="7"/>
  <c r="T131" i="7"/>
  <c r="K130" i="7"/>
  <c r="R129" i="7"/>
  <c r="P127" i="7"/>
  <c r="V125" i="7"/>
  <c r="N125" i="7"/>
  <c r="M124" i="7"/>
  <c r="T123" i="7"/>
  <c r="K122" i="7"/>
  <c r="R121" i="7"/>
  <c r="V88" i="7"/>
  <c r="N88" i="7"/>
  <c r="M87" i="7"/>
  <c r="T86" i="7"/>
  <c r="K85" i="7"/>
  <c r="R84" i="7"/>
  <c r="P82" i="7"/>
  <c r="V80" i="7"/>
  <c r="N80" i="7"/>
  <c r="M79" i="7"/>
  <c r="T78" i="7"/>
  <c r="K77" i="7"/>
  <c r="R76" i="7"/>
  <c r="P74" i="7"/>
  <c r="V72" i="7"/>
  <c r="N72" i="7"/>
  <c r="M71" i="7"/>
  <c r="T70" i="7"/>
  <c r="K69" i="7"/>
  <c r="R68" i="7"/>
  <c r="P66" i="7"/>
  <c r="V64" i="7"/>
  <c r="N64" i="7"/>
  <c r="M63" i="7"/>
  <c r="V277" i="7"/>
  <c r="R272" i="7"/>
  <c r="P242" i="7"/>
  <c r="V236" i="7"/>
  <c r="N229" i="7"/>
  <c r="P228" i="7"/>
  <c r="P213" i="7"/>
  <c r="P173" i="7"/>
  <c r="V170" i="7"/>
  <c r="K165" i="7"/>
  <c r="P164" i="7"/>
  <c r="N154" i="7"/>
  <c r="T145" i="7"/>
  <c r="N139" i="7"/>
  <c r="R138" i="7"/>
  <c r="N135" i="7"/>
  <c r="R128" i="7"/>
  <c r="V127" i="7"/>
  <c r="N126" i="7"/>
  <c r="V124" i="7"/>
  <c r="K124" i="7"/>
  <c r="T122" i="7"/>
  <c r="M88" i="7"/>
  <c r="K86" i="7"/>
  <c r="P81" i="7"/>
  <c r="N79" i="7"/>
  <c r="R78" i="7"/>
  <c r="M74" i="7"/>
  <c r="K71" i="7"/>
  <c r="T68" i="7"/>
  <c r="P67" i="7"/>
  <c r="N66" i="7"/>
  <c r="T65" i="7"/>
  <c r="K65" i="7"/>
  <c r="N63" i="7"/>
  <c r="T62" i="7"/>
  <c r="K61" i="7"/>
  <c r="R60" i="7"/>
  <c r="P58" i="7"/>
  <c r="V56" i="7"/>
  <c r="N56" i="7"/>
  <c r="M55" i="7"/>
  <c r="T54" i="7"/>
  <c r="K53" i="7"/>
  <c r="R52" i="7"/>
  <c r="P50" i="7"/>
  <c r="V48" i="7"/>
  <c r="N48" i="7"/>
  <c r="M47" i="7"/>
  <c r="T46" i="7"/>
  <c r="K45" i="7"/>
  <c r="R44" i="7"/>
  <c r="P42" i="7"/>
  <c r="V40" i="7"/>
  <c r="N40" i="7"/>
  <c r="M39" i="7"/>
  <c r="T38" i="7"/>
  <c r="K37" i="7"/>
  <c r="R36" i="7"/>
  <c r="P34" i="7"/>
  <c r="V32" i="7"/>
  <c r="N32" i="7"/>
  <c r="M31" i="7"/>
  <c r="T30" i="7"/>
  <c r="K29" i="7"/>
  <c r="R28" i="7"/>
  <c r="P26" i="7"/>
  <c r="V24" i="7"/>
  <c r="N24" i="7"/>
  <c r="M23" i="7"/>
  <c r="T22" i="7"/>
  <c r="K21" i="7"/>
  <c r="R20" i="7"/>
  <c r="P18" i="7"/>
  <c r="V16" i="7"/>
  <c r="N16" i="7"/>
  <c r="M15" i="7"/>
  <c r="T14" i="7"/>
  <c r="K13" i="7"/>
  <c r="R12" i="7"/>
  <c r="R13" i="7"/>
  <c r="V70" i="7"/>
  <c r="T58" i="7"/>
  <c r="V52" i="7"/>
  <c r="P46" i="7"/>
  <c r="K274" i="7"/>
  <c r="R225" i="7"/>
  <c r="K216" i="7"/>
  <c r="K200" i="7"/>
  <c r="M199" i="7"/>
  <c r="M186" i="7"/>
  <c r="P167" i="7"/>
  <c r="V165" i="7"/>
  <c r="T157" i="7"/>
  <c r="K148" i="7"/>
  <c r="P141" i="7"/>
  <c r="P134" i="7"/>
  <c r="N132" i="7"/>
  <c r="R131" i="7"/>
  <c r="M126" i="7"/>
  <c r="M123" i="7"/>
  <c r="P84" i="7"/>
  <c r="T80" i="7"/>
  <c r="K76" i="7"/>
  <c r="P75" i="7"/>
  <c r="V74" i="7"/>
  <c r="M72" i="7"/>
  <c r="T71" i="7"/>
  <c r="P70" i="7"/>
  <c r="M69" i="7"/>
  <c r="V66" i="7"/>
  <c r="M66" i="7"/>
  <c r="P64" i="7"/>
  <c r="V63" i="7"/>
  <c r="K62" i="7"/>
  <c r="R61" i="7"/>
  <c r="P59" i="7"/>
  <c r="V57" i="7"/>
  <c r="N57" i="7"/>
  <c r="M56" i="7"/>
  <c r="T55" i="7"/>
  <c r="K54" i="7"/>
  <c r="R53" i="7"/>
  <c r="P51" i="7"/>
  <c r="V49" i="7"/>
  <c r="N49" i="7"/>
  <c r="M48" i="7"/>
  <c r="T47" i="7"/>
  <c r="K46" i="7"/>
  <c r="R45" i="7"/>
  <c r="P43" i="7"/>
  <c r="V41" i="7"/>
  <c r="N41" i="7"/>
  <c r="M40" i="7"/>
  <c r="T39" i="7"/>
  <c r="K38" i="7"/>
  <c r="R37" i="7"/>
  <c r="P35" i="7"/>
  <c r="V33" i="7"/>
  <c r="N33" i="7"/>
  <c r="M32" i="7"/>
  <c r="T31" i="7"/>
  <c r="K30" i="7"/>
  <c r="R29" i="7"/>
  <c r="P27" i="7"/>
  <c r="V25" i="7"/>
  <c r="N25" i="7"/>
  <c r="M24" i="7"/>
  <c r="T23" i="7"/>
  <c r="K22" i="7"/>
  <c r="R21" i="7"/>
  <c r="P19" i="7"/>
  <c r="V17" i="7"/>
  <c r="N17" i="7"/>
  <c r="M16" i="7"/>
  <c r="T15" i="7"/>
  <c r="K14" i="7"/>
  <c r="P11" i="7"/>
  <c r="M75" i="7"/>
  <c r="V60" i="7"/>
  <c r="R56" i="7"/>
  <c r="T50" i="7"/>
  <c r="V44" i="7"/>
  <c r="M281" i="7"/>
  <c r="T275" i="7"/>
  <c r="V274" i="7"/>
  <c r="V256" i="7"/>
  <c r="P237" i="7"/>
  <c r="N226" i="7"/>
  <c r="T219" i="7"/>
  <c r="V216" i="7"/>
  <c r="T207" i="7"/>
  <c r="M197" i="7"/>
  <c r="T192" i="7"/>
  <c r="N184" i="7"/>
  <c r="R180" i="7"/>
  <c r="V178" i="7"/>
  <c r="M172" i="7"/>
  <c r="K168" i="7"/>
  <c r="R166" i="7"/>
  <c r="P162" i="7"/>
  <c r="M158" i="7"/>
  <c r="N146" i="7"/>
  <c r="P137" i="7"/>
  <c r="T133" i="7"/>
  <c r="K129" i="7"/>
  <c r="P128" i="7"/>
  <c r="V126" i="7"/>
  <c r="T124" i="7"/>
  <c r="R122" i="7"/>
  <c r="R83" i="7"/>
  <c r="V82" i="7"/>
  <c r="N81" i="7"/>
  <c r="V79" i="7"/>
  <c r="K79" i="7"/>
  <c r="T77" i="7"/>
  <c r="P73" i="7"/>
  <c r="N67" i="7"/>
  <c r="K63" i="7"/>
  <c r="R62" i="7"/>
  <c r="P60" i="7"/>
  <c r="V58" i="7"/>
  <c r="N58" i="7"/>
  <c r="M57" i="7"/>
  <c r="T56" i="7"/>
  <c r="K55" i="7"/>
  <c r="R54" i="7"/>
  <c r="P52" i="7"/>
  <c r="V50" i="7"/>
  <c r="N50" i="7"/>
  <c r="M49" i="7"/>
  <c r="T48" i="7"/>
  <c r="K47" i="7"/>
  <c r="R46" i="7"/>
  <c r="P44" i="7"/>
  <c r="V42" i="7"/>
  <c r="N42" i="7"/>
  <c r="M41" i="7"/>
  <c r="T40" i="7"/>
  <c r="K39" i="7"/>
  <c r="R38" i="7"/>
  <c r="P36" i="7"/>
  <c r="V34" i="7"/>
  <c r="N34" i="7"/>
  <c r="M33" i="7"/>
  <c r="T32" i="7"/>
  <c r="K31" i="7"/>
  <c r="R30" i="7"/>
  <c r="P28" i="7"/>
  <c r="V26" i="7"/>
  <c r="N26" i="7"/>
  <c r="M25" i="7"/>
  <c r="T24" i="7"/>
  <c r="K23" i="7"/>
  <c r="R22" i="7"/>
  <c r="P20" i="7"/>
  <c r="V18" i="7"/>
  <c r="N18" i="7"/>
  <c r="M17" i="7"/>
  <c r="T16" i="7"/>
  <c r="K15" i="7"/>
  <c r="R14" i="7"/>
  <c r="P12" i="7"/>
  <c r="M18" i="7"/>
  <c r="K16" i="7"/>
  <c r="P13" i="7"/>
  <c r="N11" i="7"/>
  <c r="T313" i="7"/>
  <c r="M299" i="7"/>
  <c r="T200" i="7"/>
  <c r="K181" i="7"/>
  <c r="T176" i="7"/>
  <c r="M151" i="7"/>
  <c r="M131" i="7"/>
  <c r="P121" i="7"/>
  <c r="P83" i="7"/>
  <c r="T79" i="7"/>
  <c r="N73" i="7"/>
  <c r="M70" i="7"/>
  <c r="N60" i="7"/>
  <c r="K57" i="7"/>
  <c r="N52" i="7"/>
  <c r="R48" i="7"/>
  <c r="M43" i="7"/>
  <c r="T289" i="7"/>
  <c r="M279" i="7"/>
  <c r="N268" i="7"/>
  <c r="M210" i="7"/>
  <c r="T191" i="7"/>
  <c r="N171" i="7"/>
  <c r="R169" i="7"/>
  <c r="V168" i="7"/>
  <c r="M167" i="7"/>
  <c r="T161" i="7"/>
  <c r="T155" i="7"/>
  <c r="R150" i="7"/>
  <c r="R144" i="7"/>
  <c r="P140" i="7"/>
  <c r="R136" i="7"/>
  <c r="V135" i="7"/>
  <c r="N134" i="7"/>
  <c r="V132" i="7"/>
  <c r="K132" i="7"/>
  <c r="T130" i="7"/>
  <c r="M125" i="7"/>
  <c r="K123" i="7"/>
  <c r="N87" i="7"/>
  <c r="R86" i="7"/>
  <c r="M81" i="7"/>
  <c r="M78" i="7"/>
  <c r="N75" i="7"/>
  <c r="T74" i="7"/>
  <c r="K72" i="7"/>
  <c r="R71" i="7"/>
  <c r="N70" i="7"/>
  <c r="T69" i="7"/>
  <c r="P68" i="7"/>
  <c r="V67" i="7"/>
  <c r="M67" i="7"/>
  <c r="T66" i="7"/>
  <c r="P65" i="7"/>
  <c r="M64" i="7"/>
  <c r="T63" i="7"/>
  <c r="P61" i="7"/>
  <c r="V59" i="7"/>
  <c r="N59" i="7"/>
  <c r="M58" i="7"/>
  <c r="T57" i="7"/>
  <c r="K56" i="7"/>
  <c r="R55" i="7"/>
  <c r="P53" i="7"/>
  <c r="V51" i="7"/>
  <c r="N51" i="7"/>
  <c r="M50" i="7"/>
  <c r="T49" i="7"/>
  <c r="K48" i="7"/>
  <c r="R47" i="7"/>
  <c r="P45" i="7"/>
  <c r="V43" i="7"/>
  <c r="N43" i="7"/>
  <c r="M42" i="7"/>
  <c r="T41" i="7"/>
  <c r="K40" i="7"/>
  <c r="R39" i="7"/>
  <c r="P37" i="7"/>
  <c r="V35" i="7"/>
  <c r="N35" i="7"/>
  <c r="M34" i="7"/>
  <c r="T33" i="7"/>
  <c r="K32" i="7"/>
  <c r="R31" i="7"/>
  <c r="P29" i="7"/>
  <c r="V27" i="7"/>
  <c r="N27" i="7"/>
  <c r="M26" i="7"/>
  <c r="T25" i="7"/>
  <c r="K24" i="7"/>
  <c r="R23" i="7"/>
  <c r="P21" i="7"/>
  <c r="V19" i="7"/>
  <c r="N19" i="7"/>
  <c r="T17" i="7"/>
  <c r="R15" i="7"/>
  <c r="V11" i="7"/>
  <c r="N208" i="7"/>
  <c r="N193" i="7"/>
  <c r="N162" i="7"/>
  <c r="T139" i="7"/>
  <c r="M134" i="7"/>
  <c r="T88" i="7"/>
  <c r="K84" i="7"/>
  <c r="V81" i="7"/>
  <c r="R77" i="7"/>
  <c r="T72" i="7"/>
  <c r="P62" i="7"/>
  <c r="M59" i="7"/>
  <c r="P54" i="7"/>
  <c r="M51" i="7"/>
  <c r="K49" i="7"/>
  <c r="N44" i="7"/>
  <c r="V307" i="7"/>
  <c r="N293" i="7"/>
  <c r="V283" i="7"/>
  <c r="K261" i="7"/>
  <c r="M258" i="7"/>
  <c r="M235" i="7"/>
  <c r="R231" i="7"/>
  <c r="K221" i="7"/>
  <c r="R189" i="7"/>
  <c r="N179" i="7"/>
  <c r="T168" i="7"/>
  <c r="M162" i="7"/>
  <c r="M156" i="7"/>
  <c r="K145" i="7"/>
  <c r="T142" i="7"/>
  <c r="N140" i="7"/>
  <c r="K137" i="7"/>
  <c r="P136" i="7"/>
  <c r="V134" i="7"/>
  <c r="T132" i="7"/>
  <c r="R130" i="7"/>
  <c r="N127" i="7"/>
  <c r="R120" i="7"/>
  <c r="V87" i="7"/>
  <c r="K87" i="7"/>
  <c r="T85" i="7"/>
  <c r="M80" i="7"/>
  <c r="K78" i="7"/>
  <c r="V73" i="7"/>
  <c r="M73" i="7"/>
  <c r="R69" i="7"/>
  <c r="N68" i="7"/>
  <c r="K67" i="7"/>
  <c r="R66" i="7"/>
  <c r="N65" i="7"/>
  <c r="T64" i="7"/>
  <c r="K64" i="7"/>
  <c r="R63" i="7"/>
  <c r="V61" i="7"/>
  <c r="N61" i="7"/>
  <c r="M60" i="7"/>
  <c r="T59" i="7"/>
  <c r="K58" i="7"/>
  <c r="R57" i="7"/>
  <c r="P55" i="7"/>
  <c r="V53" i="7"/>
  <c r="N53" i="7"/>
  <c r="M52" i="7"/>
  <c r="T51" i="7"/>
  <c r="K50" i="7"/>
  <c r="R49" i="7"/>
  <c r="P47" i="7"/>
  <c r="V45" i="7"/>
  <c r="N45" i="7"/>
  <c r="M44" i="7"/>
  <c r="T43" i="7"/>
  <c r="K42" i="7"/>
  <c r="R41" i="7"/>
  <c r="P39" i="7"/>
  <c r="V37" i="7"/>
  <c r="N37" i="7"/>
  <c r="M36" i="7"/>
  <c r="T35" i="7"/>
  <c r="K34" i="7"/>
  <c r="R33" i="7"/>
  <c r="P31" i="7"/>
  <c r="V29" i="7"/>
  <c r="N29" i="7"/>
  <c r="M28" i="7"/>
  <c r="T27" i="7"/>
  <c r="K26" i="7"/>
  <c r="R25" i="7"/>
  <c r="P23" i="7"/>
  <c r="V21" i="7"/>
  <c r="N21" i="7"/>
  <c r="M20" i="7"/>
  <c r="T19" i="7"/>
  <c r="K18" i="7"/>
  <c r="R17" i="7"/>
  <c r="P15" i="7"/>
  <c r="V13" i="7"/>
  <c r="N13" i="7"/>
  <c r="M12" i="7"/>
  <c r="T11" i="7"/>
  <c r="R313" i="7"/>
  <c r="R247" i="7"/>
  <c r="M233" i="7"/>
  <c r="V210" i="7"/>
  <c r="R174" i="7"/>
  <c r="M169" i="7"/>
  <c r="N165" i="7"/>
  <c r="R164" i="7"/>
  <c r="R159" i="7"/>
  <c r="T153" i="7"/>
  <c r="N149" i="7"/>
  <c r="T141" i="7"/>
  <c r="M140" i="7"/>
  <c r="T138" i="7"/>
  <c r="M133" i="7"/>
  <c r="K131" i="7"/>
  <c r="P126" i="7"/>
  <c r="N124" i="7"/>
  <c r="R123" i="7"/>
  <c r="M86" i="7"/>
  <c r="P76" i="7"/>
  <c r="R72" i="7"/>
  <c r="T163" i="7"/>
  <c r="R85" i="7"/>
  <c r="K73" i="7"/>
  <c r="R70" i="7"/>
  <c r="R64" i="7"/>
  <c r="R59" i="7"/>
  <c r="N55" i="7"/>
  <c r="K52" i="7"/>
  <c r="R50" i="7"/>
  <c r="N46" i="7"/>
  <c r="K43" i="7"/>
  <c r="P38" i="7"/>
  <c r="N36" i="7"/>
  <c r="R35" i="7"/>
  <c r="M30" i="7"/>
  <c r="M27" i="7"/>
  <c r="P17" i="7"/>
  <c r="T13" i="7"/>
  <c r="P57" i="7"/>
  <c r="V20" i="7"/>
  <c r="M37" i="7"/>
  <c r="R27" i="7"/>
  <c r="N30" i="7"/>
  <c r="N12" i="7"/>
  <c r="N285" i="7"/>
  <c r="P284" i="7"/>
  <c r="K205" i="7"/>
  <c r="P187" i="7"/>
  <c r="R147" i="7"/>
  <c r="P120" i="7"/>
  <c r="N71" i="7"/>
  <c r="V68" i="7"/>
  <c r="M65" i="7"/>
  <c r="T53" i="7"/>
  <c r="V47" i="7"/>
  <c r="M46" i="7"/>
  <c r="T44" i="7"/>
  <c r="P41" i="7"/>
  <c r="T37" i="7"/>
  <c r="K33" i="7"/>
  <c r="P32" i="7"/>
  <c r="V30" i="7"/>
  <c r="T28" i="7"/>
  <c r="R26" i="7"/>
  <c r="N23" i="7"/>
  <c r="R16" i="7"/>
  <c r="V15" i="7"/>
  <c r="N14" i="7"/>
  <c r="V12" i="7"/>
  <c r="K12" i="7"/>
  <c r="P48" i="7"/>
  <c r="P25" i="7"/>
  <c r="K17" i="7"/>
  <c r="T12" i="7"/>
  <c r="T304" i="7"/>
  <c r="V71" i="7"/>
  <c r="K59" i="7"/>
  <c r="R43" i="7"/>
  <c r="T36" i="7"/>
  <c r="R34" i="7"/>
  <c r="V23" i="7"/>
  <c r="K20" i="7"/>
  <c r="T42" i="7"/>
  <c r="N28" i="7"/>
  <c r="M19" i="7"/>
  <c r="P129" i="7"/>
  <c r="N47" i="7"/>
  <c r="P33" i="7"/>
  <c r="P24" i="7"/>
  <c r="T20" i="7"/>
  <c r="N15" i="7"/>
  <c r="M216" i="7"/>
  <c r="N155" i="7"/>
  <c r="K68" i="7"/>
  <c r="M61" i="7"/>
  <c r="T45" i="7"/>
  <c r="V31" i="7"/>
  <c r="K28" i="7"/>
  <c r="M21" i="7"/>
  <c r="R11" i="7"/>
  <c r="R273" i="7"/>
  <c r="V157" i="7"/>
  <c r="N148" i="7"/>
  <c r="V140" i="7"/>
  <c r="K121" i="7"/>
  <c r="R75" i="7"/>
  <c r="K60" i="7"/>
  <c r="R58" i="7"/>
  <c r="N54" i="7"/>
  <c r="K51" i="7"/>
  <c r="P49" i="7"/>
  <c r="R40" i="7"/>
  <c r="V39" i="7"/>
  <c r="N38" i="7"/>
  <c r="V36" i="7"/>
  <c r="K36" i="7"/>
  <c r="T34" i="7"/>
  <c r="M29" i="7"/>
  <c r="K27" i="7"/>
  <c r="P22" i="7"/>
  <c r="N20" i="7"/>
  <c r="R19" i="7"/>
  <c r="M14" i="7"/>
  <c r="M11" i="7"/>
  <c r="V46" i="7"/>
  <c r="M38" i="7"/>
  <c r="M35" i="7"/>
  <c r="T21" i="7"/>
  <c r="V14" i="7"/>
  <c r="V301" i="7"/>
  <c r="N160" i="7"/>
  <c r="K70" i="7"/>
  <c r="N62" i="7"/>
  <c r="K41" i="7"/>
  <c r="V38" i="7"/>
  <c r="N31" i="7"/>
  <c r="N22" i="7"/>
  <c r="T18" i="7"/>
  <c r="K11" i="7"/>
  <c r="K35" i="7"/>
  <c r="M22" i="7"/>
  <c r="T87" i="7"/>
  <c r="R51" i="7"/>
  <c r="K44" i="7"/>
  <c r="T29" i="7"/>
  <c r="V22" i="7"/>
  <c r="R18" i="7"/>
  <c r="V62" i="7"/>
  <c r="R42" i="7"/>
  <c r="R32" i="7"/>
  <c r="V28" i="7"/>
  <c r="K19" i="7"/>
  <c r="M274" i="7"/>
  <c r="T238" i="7"/>
  <c r="R158" i="7"/>
  <c r="N82" i="7"/>
  <c r="T73" i="7"/>
  <c r="P69" i="7"/>
  <c r="T61" i="7"/>
  <c r="V55" i="7"/>
  <c r="M54" i="7"/>
  <c r="T52" i="7"/>
  <c r="M45" i="7"/>
  <c r="P16" i="7"/>
  <c r="V65" i="7"/>
  <c r="P40" i="7"/>
  <c r="R24" i="7"/>
  <c r="M13" i="7"/>
  <c r="P30" i="7"/>
  <c r="K25" i="7"/>
  <c r="N39" i="7"/>
  <c r="P14" i="7"/>
  <c r="N251" i="7"/>
  <c r="V194" i="7"/>
  <c r="T152" i="7"/>
  <c r="V151" i="7"/>
  <c r="K144" i="7"/>
  <c r="N143" i="7"/>
  <c r="T125" i="7"/>
  <c r="N74" i="7"/>
  <c r="R67" i="7"/>
  <c r="M62" i="7"/>
  <c r="T60" i="7"/>
  <c r="P56" i="7"/>
  <c r="V54" i="7"/>
  <c r="M53" i="7"/>
  <c r="T26" i="7"/>
  <c r="Z89" i="7"/>
  <c r="A315" i="7"/>
  <c r="W363" i="7" l="1"/>
  <c r="X363" i="7"/>
  <c r="X316" i="7"/>
  <c r="W316" i="7"/>
  <c r="X364" i="7"/>
  <c r="W364" i="7"/>
  <c r="W90" i="7"/>
  <c r="X90" i="7"/>
  <c r="W98" i="7"/>
  <c r="X98" i="7"/>
  <c r="W106" i="7"/>
  <c r="X106" i="7"/>
  <c r="W115" i="7"/>
  <c r="X115" i="7"/>
  <c r="X317" i="7"/>
  <c r="W317" i="7"/>
  <c r="X325" i="7"/>
  <c r="W325" i="7"/>
  <c r="X333" i="7"/>
  <c r="W333" i="7"/>
  <c r="X341" i="7"/>
  <c r="W341" i="7"/>
  <c r="X349" i="7"/>
  <c r="W349" i="7"/>
  <c r="X357" i="7"/>
  <c r="W357" i="7"/>
  <c r="X365" i="7"/>
  <c r="W365" i="7"/>
  <c r="X373" i="7"/>
  <c r="W373" i="7"/>
  <c r="X113" i="7"/>
  <c r="W113" i="7"/>
  <c r="W339" i="7"/>
  <c r="X339" i="7"/>
  <c r="X97" i="7"/>
  <c r="W97" i="7"/>
  <c r="X340" i="7"/>
  <c r="W340" i="7"/>
  <c r="X99" i="7"/>
  <c r="W99" i="7"/>
  <c r="X107" i="7"/>
  <c r="W107" i="7"/>
  <c r="X116" i="7"/>
  <c r="W116" i="7"/>
  <c r="X318" i="7"/>
  <c r="W318" i="7"/>
  <c r="X326" i="7"/>
  <c r="W326" i="7"/>
  <c r="X334" i="7"/>
  <c r="W334" i="7"/>
  <c r="X342" i="7"/>
  <c r="W342" i="7"/>
  <c r="X350" i="7"/>
  <c r="W350" i="7"/>
  <c r="X358" i="7"/>
  <c r="W358" i="7"/>
  <c r="X366" i="7"/>
  <c r="W366" i="7"/>
  <c r="X374" i="7"/>
  <c r="W374" i="7"/>
  <c r="W315" i="7"/>
  <c r="X315" i="7"/>
  <c r="X332" i="7"/>
  <c r="W332" i="7"/>
  <c r="X108" i="7"/>
  <c r="W108" i="7"/>
  <c r="X351" i="7"/>
  <c r="W351" i="7"/>
  <c r="X359" i="7"/>
  <c r="W359" i="7"/>
  <c r="X367" i="7"/>
  <c r="W367" i="7"/>
  <c r="X375" i="7"/>
  <c r="W375" i="7"/>
  <c r="W96" i="7"/>
  <c r="X96" i="7"/>
  <c r="W323" i="7"/>
  <c r="X323" i="7"/>
  <c r="W347" i="7"/>
  <c r="X347" i="7"/>
  <c r="X89" i="7"/>
  <c r="W89" i="7"/>
  <c r="X324" i="7"/>
  <c r="W324" i="7"/>
  <c r="X372" i="7"/>
  <c r="W372" i="7"/>
  <c r="X100" i="7"/>
  <c r="W100" i="7"/>
  <c r="X319" i="7"/>
  <c r="W319" i="7"/>
  <c r="X335" i="7"/>
  <c r="W335" i="7"/>
  <c r="X101" i="7"/>
  <c r="W101" i="7"/>
  <c r="X109" i="7"/>
  <c r="W109" i="7"/>
  <c r="X118" i="7"/>
  <c r="W118" i="7"/>
  <c r="X320" i="7"/>
  <c r="W320" i="7"/>
  <c r="X328" i="7"/>
  <c r="W328" i="7"/>
  <c r="X336" i="7"/>
  <c r="W336" i="7"/>
  <c r="X344" i="7"/>
  <c r="W344" i="7"/>
  <c r="X352" i="7"/>
  <c r="W352" i="7"/>
  <c r="X360" i="7"/>
  <c r="W360" i="7"/>
  <c r="X368" i="7"/>
  <c r="W368" i="7"/>
  <c r="X376" i="7"/>
  <c r="W376" i="7"/>
  <c r="W104" i="7"/>
  <c r="X104" i="7"/>
  <c r="W331" i="7"/>
  <c r="X331" i="7"/>
  <c r="W371" i="7"/>
  <c r="X371" i="7"/>
  <c r="X114" i="7"/>
  <c r="W114" i="7"/>
  <c r="X348" i="7"/>
  <c r="W348" i="7"/>
  <c r="X91" i="7"/>
  <c r="W91" i="7"/>
  <c r="X117" i="7"/>
  <c r="W117" i="7"/>
  <c r="X343" i="7"/>
  <c r="W343" i="7"/>
  <c r="X94" i="7"/>
  <c r="W94" i="7"/>
  <c r="X110" i="7"/>
  <c r="W110" i="7"/>
  <c r="X321" i="7"/>
  <c r="W321" i="7"/>
  <c r="X345" i="7"/>
  <c r="W345" i="7"/>
  <c r="X353" i="7"/>
  <c r="W353" i="7"/>
  <c r="X361" i="7"/>
  <c r="W361" i="7"/>
  <c r="X369" i="7"/>
  <c r="W369" i="7"/>
  <c r="X377" i="7"/>
  <c r="W377" i="7"/>
  <c r="W355" i="7"/>
  <c r="X355" i="7"/>
  <c r="X105" i="7"/>
  <c r="W105" i="7"/>
  <c r="X356" i="7"/>
  <c r="W356" i="7"/>
  <c r="X92" i="7"/>
  <c r="W92" i="7"/>
  <c r="X327" i="7"/>
  <c r="W327" i="7"/>
  <c r="X93" i="7"/>
  <c r="W93" i="7"/>
  <c r="X102" i="7"/>
  <c r="W102" i="7"/>
  <c r="X119" i="7"/>
  <c r="W119" i="7"/>
  <c r="X329" i="7"/>
  <c r="W329" i="7"/>
  <c r="X337" i="7"/>
  <c r="W337" i="7"/>
  <c r="X95" i="7"/>
  <c r="W95" i="7"/>
  <c r="X103" i="7"/>
  <c r="W103" i="7"/>
  <c r="X112" i="7"/>
  <c r="W112" i="7"/>
  <c r="X314" i="7"/>
  <c r="W314" i="7"/>
  <c r="X322" i="7"/>
  <c r="W322" i="7"/>
  <c r="X330" i="7"/>
  <c r="W330" i="7"/>
  <c r="X338" i="7"/>
  <c r="W338" i="7"/>
  <c r="X346" i="7"/>
  <c r="W346" i="7"/>
  <c r="X354" i="7"/>
  <c r="W354" i="7"/>
  <c r="X362" i="7"/>
  <c r="W362" i="7"/>
  <c r="X370" i="7"/>
  <c r="W370" i="7"/>
  <c r="X378" i="7"/>
  <c r="W378" i="7"/>
  <c r="F90" i="7" a="1"/>
  <c r="F90" i="7" s="1"/>
  <c r="E90" i="7" a="1"/>
  <c r="E90" i="7" s="1"/>
  <c r="D90" i="7" a="1"/>
  <c r="D90" i="7" s="1"/>
  <c r="C90" i="7" a="1"/>
  <c r="C90" i="7" s="1"/>
  <c r="B90" i="7" a="1"/>
  <c r="B90" i="7" s="1"/>
  <c r="E91" i="7" a="1"/>
  <c r="E91" i="7" s="1"/>
  <c r="D91" i="7" a="1"/>
  <c r="D91" i="7" s="1"/>
  <c r="F91" i="7" a="1"/>
  <c r="F91" i="7" s="1"/>
  <c r="C91" i="7" a="1"/>
  <c r="C91" i="7" s="1"/>
  <c r="B91" i="7" a="1"/>
  <c r="B91" i="7" s="1"/>
  <c r="E99" i="7" a="1"/>
  <c r="E99" i="7" s="1"/>
  <c r="D99" i="7" a="1"/>
  <c r="D99" i="7" s="1"/>
  <c r="F99" i="7" a="1"/>
  <c r="F99" i="7" s="1"/>
  <c r="C99" i="7" a="1"/>
  <c r="C99" i="7" s="1"/>
  <c r="B99" i="7" a="1"/>
  <c r="B99" i="7" s="1"/>
  <c r="D92" i="7" a="1"/>
  <c r="D92" i="7" s="1"/>
  <c r="F92" i="7" a="1"/>
  <c r="F92" i="7" s="1"/>
  <c r="E92" i="7" a="1"/>
  <c r="E92" i="7" s="1"/>
  <c r="C92" i="7" a="1"/>
  <c r="C92" i="7" s="1"/>
  <c r="B92" i="7" a="1"/>
  <c r="B92" i="7" s="1"/>
  <c r="D96" i="7" a="1"/>
  <c r="D96" i="7" s="1"/>
  <c r="F96" i="7" a="1"/>
  <c r="F96" i="7" s="1"/>
  <c r="E96" i="7" a="1"/>
  <c r="E96" i="7" s="1"/>
  <c r="C96" i="7" a="1"/>
  <c r="C96" i="7" s="1"/>
  <c r="B96" i="7" a="1"/>
  <c r="B96" i="7" s="1"/>
  <c r="D100" i="7" a="1"/>
  <c r="D100" i="7" s="1"/>
  <c r="F100" i="7" a="1"/>
  <c r="F100" i="7" s="1"/>
  <c r="E100" i="7" a="1"/>
  <c r="E100" i="7" s="1"/>
  <c r="C100" i="7" a="1"/>
  <c r="C100" i="7" s="1"/>
  <c r="B100" i="7" a="1"/>
  <c r="B100" i="7" s="1"/>
  <c r="D104" i="7" a="1"/>
  <c r="D104" i="7" s="1"/>
  <c r="F104" i="7" a="1"/>
  <c r="F104" i="7" s="1"/>
  <c r="E104" i="7" a="1"/>
  <c r="E104" i="7" s="1"/>
  <c r="C104" i="7" a="1"/>
  <c r="C104" i="7" s="1"/>
  <c r="B104" i="7" a="1"/>
  <c r="B104" i="7" s="1"/>
  <c r="D108" i="7" a="1"/>
  <c r="D108" i="7" s="1"/>
  <c r="F108" i="7" a="1"/>
  <c r="F108" i="7" s="1"/>
  <c r="E108" i="7" a="1"/>
  <c r="E108" i="7" s="1"/>
  <c r="C108" i="7" a="1"/>
  <c r="C108" i="7" s="1"/>
  <c r="B108" i="7" a="1"/>
  <c r="B108" i="7" s="1"/>
  <c r="D113" i="7" a="1"/>
  <c r="D113" i="7" s="1"/>
  <c r="F113" i="7" a="1"/>
  <c r="F113" i="7" s="1"/>
  <c r="E113" i="7" a="1"/>
  <c r="E113" i="7" s="1"/>
  <c r="C113" i="7" a="1"/>
  <c r="C113" i="7" s="1"/>
  <c r="B113" i="7" a="1"/>
  <c r="B113" i="7" s="1"/>
  <c r="D117" i="7" a="1"/>
  <c r="D117" i="7" s="1"/>
  <c r="F117" i="7" a="1"/>
  <c r="F117" i="7" s="1"/>
  <c r="E117" i="7" a="1"/>
  <c r="E117" i="7" s="1"/>
  <c r="C117" i="7" a="1"/>
  <c r="C117" i="7" s="1"/>
  <c r="B117" i="7" a="1"/>
  <c r="B117" i="7" s="1"/>
  <c r="D315" i="7" a="1"/>
  <c r="D315" i="7" s="1"/>
  <c r="F315" i="7" a="1"/>
  <c r="F315" i="7" s="1"/>
  <c r="E315" i="7" a="1"/>
  <c r="E315" i="7" s="1"/>
  <c r="C315" i="7" a="1"/>
  <c r="C315" i="7" s="1"/>
  <c r="B315" i="7" a="1"/>
  <c r="B315" i="7" s="1"/>
  <c r="D319" i="7" a="1"/>
  <c r="D319" i="7" s="1"/>
  <c r="F319" i="7" a="1"/>
  <c r="F319" i="7" s="1"/>
  <c r="E319" i="7" a="1"/>
  <c r="E319" i="7" s="1"/>
  <c r="C319" i="7" a="1"/>
  <c r="C319" i="7" s="1"/>
  <c r="B319" i="7" a="1"/>
  <c r="B319" i="7" s="1"/>
  <c r="D323" i="7" a="1"/>
  <c r="D323" i="7" s="1"/>
  <c r="F323" i="7" a="1"/>
  <c r="F323" i="7" s="1"/>
  <c r="E323" i="7" a="1"/>
  <c r="E323" i="7" s="1"/>
  <c r="C323" i="7" a="1"/>
  <c r="C323" i="7" s="1"/>
  <c r="B323" i="7" a="1"/>
  <c r="B323" i="7" s="1"/>
  <c r="D327" i="7" a="1"/>
  <c r="D327" i="7" s="1"/>
  <c r="F327" i="7" a="1"/>
  <c r="F327" i="7" s="1"/>
  <c r="E327" i="7" a="1"/>
  <c r="E327" i="7" s="1"/>
  <c r="C327" i="7" a="1"/>
  <c r="C327" i="7" s="1"/>
  <c r="B327" i="7" a="1"/>
  <c r="B327" i="7" s="1"/>
  <c r="D331" i="7" a="1"/>
  <c r="D331" i="7" s="1"/>
  <c r="F331" i="7" a="1"/>
  <c r="F331" i="7" s="1"/>
  <c r="E331" i="7" a="1"/>
  <c r="E331" i="7" s="1"/>
  <c r="C331" i="7" a="1"/>
  <c r="C331" i="7" s="1"/>
  <c r="B331" i="7" a="1"/>
  <c r="B331" i="7" s="1"/>
  <c r="D335" i="7" a="1"/>
  <c r="D335" i="7" s="1"/>
  <c r="F335" i="7" a="1"/>
  <c r="F335" i="7" s="1"/>
  <c r="E335" i="7" a="1"/>
  <c r="E335" i="7" s="1"/>
  <c r="C335" i="7" a="1"/>
  <c r="C335" i="7" s="1"/>
  <c r="B335" i="7" a="1"/>
  <c r="B335" i="7" s="1"/>
  <c r="D339" i="7" a="1"/>
  <c r="D339" i="7" s="1"/>
  <c r="F339" i="7" a="1"/>
  <c r="F339" i="7" s="1"/>
  <c r="E339" i="7" a="1"/>
  <c r="E339" i="7" s="1"/>
  <c r="C339" i="7" a="1"/>
  <c r="C339" i="7" s="1"/>
  <c r="B339" i="7" a="1"/>
  <c r="B339" i="7" s="1"/>
  <c r="D343" i="7" a="1"/>
  <c r="D343" i="7" s="1"/>
  <c r="F343" i="7" a="1"/>
  <c r="F343" i="7" s="1"/>
  <c r="E343" i="7" a="1"/>
  <c r="E343" i="7" s="1"/>
  <c r="C343" i="7" a="1"/>
  <c r="C343" i="7" s="1"/>
  <c r="B343" i="7" a="1"/>
  <c r="B343" i="7" s="1"/>
  <c r="D347" i="7" a="1"/>
  <c r="D347" i="7" s="1"/>
  <c r="F347" i="7" a="1"/>
  <c r="F347" i="7" s="1"/>
  <c r="E347" i="7" a="1"/>
  <c r="E347" i="7" s="1"/>
  <c r="C347" i="7" a="1"/>
  <c r="C347" i="7" s="1"/>
  <c r="B347" i="7" a="1"/>
  <c r="B347" i="7" s="1"/>
  <c r="D351" i="7" a="1"/>
  <c r="D351" i="7" s="1"/>
  <c r="F351" i="7" a="1"/>
  <c r="F351" i="7" s="1"/>
  <c r="E351" i="7" a="1"/>
  <c r="E351" i="7" s="1"/>
  <c r="C351" i="7" a="1"/>
  <c r="C351" i="7" s="1"/>
  <c r="B351" i="7" a="1"/>
  <c r="B351" i="7" s="1"/>
  <c r="D355" i="7" a="1"/>
  <c r="D355" i="7" s="1"/>
  <c r="F355" i="7" a="1"/>
  <c r="F355" i="7" s="1"/>
  <c r="E355" i="7" a="1"/>
  <c r="E355" i="7" s="1"/>
  <c r="C355" i="7" a="1"/>
  <c r="C355" i="7" s="1"/>
  <c r="B355" i="7" a="1"/>
  <c r="B355" i="7" s="1"/>
  <c r="D359" i="7" a="1"/>
  <c r="D359" i="7" s="1"/>
  <c r="F359" i="7" a="1"/>
  <c r="F359" i="7" s="1"/>
  <c r="E359" i="7" a="1"/>
  <c r="E359" i="7" s="1"/>
  <c r="C359" i="7" a="1"/>
  <c r="C359" i="7" s="1"/>
  <c r="B359" i="7" a="1"/>
  <c r="B359" i="7" s="1"/>
  <c r="D363" i="7" a="1"/>
  <c r="D363" i="7" s="1"/>
  <c r="F363" i="7" a="1"/>
  <c r="F363" i="7" s="1"/>
  <c r="E363" i="7" a="1"/>
  <c r="E363" i="7" s="1"/>
  <c r="C363" i="7" a="1"/>
  <c r="C363" i="7" s="1"/>
  <c r="B363" i="7" a="1"/>
  <c r="B363" i="7" s="1"/>
  <c r="D367" i="7" a="1"/>
  <c r="D367" i="7" s="1"/>
  <c r="C367" i="7" a="1"/>
  <c r="C367" i="7" s="1"/>
  <c r="F367" i="7" a="1"/>
  <c r="F367" i="7" s="1"/>
  <c r="E367" i="7" a="1"/>
  <c r="E367" i="7" s="1"/>
  <c r="B367" i="7" a="1"/>
  <c r="B367" i="7" s="1"/>
  <c r="D371" i="7" a="1"/>
  <c r="D371" i="7" s="1"/>
  <c r="C371" i="7" a="1"/>
  <c r="C371" i="7" s="1"/>
  <c r="F371" i="7" a="1"/>
  <c r="F371" i="7" s="1"/>
  <c r="E371" i="7" a="1"/>
  <c r="E371" i="7" s="1"/>
  <c r="B371" i="7" a="1"/>
  <c r="B371" i="7" s="1"/>
  <c r="D375" i="7" a="1"/>
  <c r="D375" i="7" s="1"/>
  <c r="C375" i="7" a="1"/>
  <c r="C375" i="7" s="1"/>
  <c r="F375" i="7" a="1"/>
  <c r="F375" i="7" s="1"/>
  <c r="E375" i="7" a="1"/>
  <c r="E375" i="7" s="1"/>
  <c r="B375" i="7" a="1"/>
  <c r="B375" i="7" s="1"/>
  <c r="F94" i="7" a="1"/>
  <c r="F94" i="7" s="1"/>
  <c r="E94" i="7" a="1"/>
  <c r="E94" i="7" s="1"/>
  <c r="D94" i="7" a="1"/>
  <c r="D94" i="7" s="1"/>
  <c r="C94" i="7" a="1"/>
  <c r="C94" i="7" s="1"/>
  <c r="B94" i="7" a="1"/>
  <c r="B94" i="7" s="1"/>
  <c r="E103" i="7" a="1"/>
  <c r="E103" i="7" s="1"/>
  <c r="D103" i="7" a="1"/>
  <c r="D103" i="7" s="1"/>
  <c r="F103" i="7" a="1"/>
  <c r="F103" i="7" s="1"/>
  <c r="B103" i="7" a="1"/>
  <c r="B103" i="7" s="1"/>
  <c r="C103" i="7" a="1"/>
  <c r="C103" i="7" s="1"/>
  <c r="F89" i="7" a="1"/>
  <c r="F89" i="7" s="1"/>
  <c r="E89" i="7" a="1"/>
  <c r="E89" i="7" s="1"/>
  <c r="D89" i="7" a="1"/>
  <c r="D89" i="7" s="1"/>
  <c r="B89" i="7" a="1"/>
  <c r="B89" i="7" s="1"/>
  <c r="C89" i="7" a="1"/>
  <c r="C89" i="7" s="1"/>
  <c r="F93" i="7" a="1"/>
  <c r="F93" i="7" s="1"/>
  <c r="E93" i="7" a="1"/>
  <c r="E93" i="7" s="1"/>
  <c r="D93" i="7" a="1"/>
  <c r="D93" i="7" s="1"/>
  <c r="C93" i="7" a="1"/>
  <c r="C93" i="7" s="1"/>
  <c r="B93" i="7" a="1"/>
  <c r="B93" i="7" s="1"/>
  <c r="F97" i="7" a="1"/>
  <c r="F97" i="7" s="1"/>
  <c r="E97" i="7" a="1"/>
  <c r="E97" i="7" s="1"/>
  <c r="D97" i="7" a="1"/>
  <c r="D97" i="7" s="1"/>
  <c r="C97" i="7" a="1"/>
  <c r="C97" i="7" s="1"/>
  <c r="B97" i="7" a="1"/>
  <c r="B97" i="7" s="1"/>
  <c r="F101" i="7" a="1"/>
  <c r="F101" i="7" s="1"/>
  <c r="E101" i="7" a="1"/>
  <c r="E101" i="7" s="1"/>
  <c r="D101" i="7" a="1"/>
  <c r="D101" i="7" s="1"/>
  <c r="C101" i="7" a="1"/>
  <c r="C101" i="7" s="1"/>
  <c r="B101" i="7" a="1"/>
  <c r="B101" i="7" s="1"/>
  <c r="F105" i="7" a="1"/>
  <c r="F105" i="7" s="1"/>
  <c r="E105" i="7" a="1"/>
  <c r="E105" i="7" s="1"/>
  <c r="D105" i="7" a="1"/>
  <c r="D105" i="7" s="1"/>
  <c r="C105" i="7" a="1"/>
  <c r="C105" i="7" s="1"/>
  <c r="B105" i="7" a="1"/>
  <c r="B105" i="7" s="1"/>
  <c r="F109" i="7" a="1"/>
  <c r="F109" i="7" s="1"/>
  <c r="E109" i="7" a="1"/>
  <c r="E109" i="7" s="1"/>
  <c r="D109" i="7" a="1"/>
  <c r="D109" i="7" s="1"/>
  <c r="C109" i="7" a="1"/>
  <c r="C109" i="7" s="1"/>
  <c r="B109" i="7" a="1"/>
  <c r="B109" i="7" s="1"/>
  <c r="F114" i="7" a="1"/>
  <c r="F114" i="7" s="1"/>
  <c r="E114" i="7" a="1"/>
  <c r="E114" i="7" s="1"/>
  <c r="D114" i="7" a="1"/>
  <c r="D114" i="7" s="1"/>
  <c r="C114" i="7" a="1"/>
  <c r="C114" i="7" s="1"/>
  <c r="B114" i="7" a="1"/>
  <c r="B114" i="7" s="1"/>
  <c r="F118" i="7" a="1"/>
  <c r="F118" i="7" s="1"/>
  <c r="E118" i="7" a="1"/>
  <c r="E118" i="7" s="1"/>
  <c r="D118" i="7" a="1"/>
  <c r="D118" i="7" s="1"/>
  <c r="C118" i="7" a="1"/>
  <c r="C118" i="7" s="1"/>
  <c r="B118" i="7" a="1"/>
  <c r="B118" i="7" s="1"/>
  <c r="F316" i="7" a="1"/>
  <c r="F316" i="7" s="1"/>
  <c r="E316" i="7" a="1"/>
  <c r="E316" i="7" s="1"/>
  <c r="D316" i="7" a="1"/>
  <c r="D316" i="7" s="1"/>
  <c r="C316" i="7" a="1"/>
  <c r="C316" i="7" s="1"/>
  <c r="B316" i="7" a="1"/>
  <c r="B316" i="7" s="1"/>
  <c r="F320" i="7" a="1"/>
  <c r="F320" i="7" s="1"/>
  <c r="E320" i="7" a="1"/>
  <c r="E320" i="7" s="1"/>
  <c r="D320" i="7" a="1"/>
  <c r="D320" i="7" s="1"/>
  <c r="C320" i="7" a="1"/>
  <c r="C320" i="7" s="1"/>
  <c r="B320" i="7" a="1"/>
  <c r="B320" i="7" s="1"/>
  <c r="F324" i="7" a="1"/>
  <c r="F324" i="7" s="1"/>
  <c r="E324" i="7" a="1"/>
  <c r="E324" i="7" s="1"/>
  <c r="D324" i="7" a="1"/>
  <c r="D324" i="7" s="1"/>
  <c r="C324" i="7" a="1"/>
  <c r="C324" i="7" s="1"/>
  <c r="B324" i="7" a="1"/>
  <c r="B324" i="7" s="1"/>
  <c r="F328" i="7" a="1"/>
  <c r="F328" i="7" s="1"/>
  <c r="E328" i="7" a="1"/>
  <c r="E328" i="7" s="1"/>
  <c r="D328" i="7" a="1"/>
  <c r="D328" i="7" s="1"/>
  <c r="C328" i="7" a="1"/>
  <c r="C328" i="7" s="1"/>
  <c r="B328" i="7" a="1"/>
  <c r="B328" i="7" s="1"/>
  <c r="F332" i="7" a="1"/>
  <c r="F332" i="7" s="1"/>
  <c r="E332" i="7" a="1"/>
  <c r="E332" i="7" s="1"/>
  <c r="D332" i="7" a="1"/>
  <c r="D332" i="7" s="1"/>
  <c r="C332" i="7" a="1"/>
  <c r="C332" i="7" s="1"/>
  <c r="B332" i="7" a="1"/>
  <c r="B332" i="7" s="1"/>
  <c r="F336" i="7" a="1"/>
  <c r="F336" i="7" s="1"/>
  <c r="E336" i="7" a="1"/>
  <c r="E336" i="7" s="1"/>
  <c r="D336" i="7" a="1"/>
  <c r="D336" i="7" s="1"/>
  <c r="C336" i="7" a="1"/>
  <c r="C336" i="7" s="1"/>
  <c r="B336" i="7" a="1"/>
  <c r="B336" i="7" s="1"/>
  <c r="F340" i="7" a="1"/>
  <c r="F340" i="7" s="1"/>
  <c r="E340" i="7" a="1"/>
  <c r="E340" i="7" s="1"/>
  <c r="D340" i="7" a="1"/>
  <c r="D340" i="7" s="1"/>
  <c r="B340" i="7" a="1"/>
  <c r="B340" i="7" s="1"/>
  <c r="C340" i="7" a="1"/>
  <c r="C340" i="7" s="1"/>
  <c r="F344" i="7" a="1"/>
  <c r="F344" i="7" s="1"/>
  <c r="E344" i="7" a="1"/>
  <c r="E344" i="7" s="1"/>
  <c r="D344" i="7" a="1"/>
  <c r="D344" i="7" s="1"/>
  <c r="C344" i="7" a="1"/>
  <c r="C344" i="7" s="1"/>
  <c r="B344" i="7" a="1"/>
  <c r="B344" i="7" s="1"/>
  <c r="F348" i="7" a="1"/>
  <c r="F348" i="7" s="1"/>
  <c r="E348" i="7" a="1"/>
  <c r="E348" i="7" s="1"/>
  <c r="D348" i="7" a="1"/>
  <c r="D348" i="7" s="1"/>
  <c r="C348" i="7" a="1"/>
  <c r="C348" i="7" s="1"/>
  <c r="B348" i="7" a="1"/>
  <c r="B348" i="7" s="1"/>
  <c r="F352" i="7" a="1"/>
  <c r="F352" i="7" s="1"/>
  <c r="E352" i="7" a="1"/>
  <c r="E352" i="7" s="1"/>
  <c r="D352" i="7" a="1"/>
  <c r="D352" i="7" s="1"/>
  <c r="C352" i="7" a="1"/>
  <c r="C352" i="7" s="1"/>
  <c r="B352" i="7" a="1"/>
  <c r="B352" i="7" s="1"/>
  <c r="F356" i="7" a="1"/>
  <c r="F356" i="7" s="1"/>
  <c r="E356" i="7" a="1"/>
  <c r="E356" i="7" s="1"/>
  <c r="D356" i="7" a="1"/>
  <c r="D356" i="7" s="1"/>
  <c r="B356" i="7" a="1"/>
  <c r="B356" i="7" s="1"/>
  <c r="C356" i="7" a="1"/>
  <c r="C356" i="7" s="1"/>
  <c r="F360" i="7" a="1"/>
  <c r="F360" i="7" s="1"/>
  <c r="E360" i="7" a="1"/>
  <c r="E360" i="7" s="1"/>
  <c r="D360" i="7" a="1"/>
  <c r="D360" i="7" s="1"/>
  <c r="C360" i="7" a="1"/>
  <c r="C360" i="7" s="1"/>
  <c r="B360" i="7" a="1"/>
  <c r="B360" i="7" s="1"/>
  <c r="F364" i="7" a="1"/>
  <c r="F364" i="7" s="1"/>
  <c r="E364" i="7" a="1"/>
  <c r="E364" i="7" s="1"/>
  <c r="D364" i="7" a="1"/>
  <c r="D364" i="7" s="1"/>
  <c r="C364" i="7" a="1"/>
  <c r="C364" i="7" s="1"/>
  <c r="B364" i="7" a="1"/>
  <c r="B364" i="7" s="1"/>
  <c r="C368" i="7" a="1"/>
  <c r="C368" i="7" s="1"/>
  <c r="F368" i="7" a="1"/>
  <c r="F368" i="7" s="1"/>
  <c r="E368" i="7" a="1"/>
  <c r="E368" i="7" s="1"/>
  <c r="D368" i="7" a="1"/>
  <c r="D368" i="7" s="1"/>
  <c r="B368" i="7" a="1"/>
  <c r="B368" i="7" s="1"/>
  <c r="C372" i="7" a="1"/>
  <c r="C372" i="7" s="1"/>
  <c r="F372" i="7" a="1"/>
  <c r="F372" i="7" s="1"/>
  <c r="E372" i="7" a="1"/>
  <c r="E372" i="7" s="1"/>
  <c r="D372" i="7" a="1"/>
  <c r="D372" i="7" s="1"/>
  <c r="B372" i="7" a="1"/>
  <c r="B372" i="7" s="1"/>
  <c r="C376" i="7" a="1"/>
  <c r="C376" i="7" s="1"/>
  <c r="F376" i="7" a="1"/>
  <c r="F376" i="7" s="1"/>
  <c r="E376" i="7" a="1"/>
  <c r="E376" i="7" s="1"/>
  <c r="D376" i="7" a="1"/>
  <c r="D376" i="7" s="1"/>
  <c r="B376" i="7" a="1"/>
  <c r="B376" i="7" s="1"/>
  <c r="F98" i="7" a="1"/>
  <c r="F98" i="7" s="1"/>
  <c r="E98" i="7" a="1"/>
  <c r="E98" i="7" s="1"/>
  <c r="D98" i="7" a="1"/>
  <c r="D98" i="7" s="1"/>
  <c r="C98" i="7" a="1"/>
  <c r="C98" i="7" s="1"/>
  <c r="B98" i="7" a="1"/>
  <c r="B98" i="7" s="1"/>
  <c r="F102" i="7" a="1"/>
  <c r="F102" i="7" s="1"/>
  <c r="E102" i="7" a="1"/>
  <c r="E102" i="7" s="1"/>
  <c r="D102" i="7" a="1"/>
  <c r="D102" i="7" s="1"/>
  <c r="C102" i="7" a="1"/>
  <c r="C102" i="7" s="1"/>
  <c r="B102" i="7" a="1"/>
  <c r="B102" i="7" s="1"/>
  <c r="F106" i="7" a="1"/>
  <c r="F106" i="7" s="1"/>
  <c r="E106" i="7" a="1"/>
  <c r="E106" i="7" s="1"/>
  <c r="D106" i="7" a="1"/>
  <c r="D106" i="7" s="1"/>
  <c r="C106" i="7" a="1"/>
  <c r="C106" i="7" s="1"/>
  <c r="B106" i="7" a="1"/>
  <c r="B106" i="7" s="1"/>
  <c r="F110" i="7" a="1"/>
  <c r="F110" i="7" s="1"/>
  <c r="E110" i="7" a="1"/>
  <c r="E110" i="7" s="1"/>
  <c r="D110" i="7" a="1"/>
  <c r="D110" i="7" s="1"/>
  <c r="C110" i="7" a="1"/>
  <c r="C110" i="7" s="1"/>
  <c r="B110" i="7" a="1"/>
  <c r="B110" i="7" s="1"/>
  <c r="F115" i="7" a="1"/>
  <c r="F115" i="7" s="1"/>
  <c r="E115" i="7" a="1"/>
  <c r="E115" i="7" s="1"/>
  <c r="D115" i="7" a="1"/>
  <c r="D115" i="7" s="1"/>
  <c r="C115" i="7" a="1"/>
  <c r="C115" i="7" s="1"/>
  <c r="B115" i="7" a="1"/>
  <c r="B115" i="7" s="1"/>
  <c r="F119" i="7" a="1"/>
  <c r="F119" i="7" s="1"/>
  <c r="E119" i="7" a="1"/>
  <c r="E119" i="7" s="1"/>
  <c r="D119" i="7" a="1"/>
  <c r="D119" i="7" s="1"/>
  <c r="C119" i="7" a="1"/>
  <c r="C119" i="7" s="1"/>
  <c r="B119" i="7" a="1"/>
  <c r="B119" i="7" s="1"/>
  <c r="F317" i="7" a="1"/>
  <c r="F317" i="7" s="1"/>
  <c r="E317" i="7" a="1"/>
  <c r="E317" i="7" s="1"/>
  <c r="D317" i="7" a="1"/>
  <c r="D317" i="7" s="1"/>
  <c r="C317" i="7" a="1"/>
  <c r="C317" i="7" s="1"/>
  <c r="B317" i="7" a="1"/>
  <c r="B317" i="7" s="1"/>
  <c r="F321" i="7" a="1"/>
  <c r="F321" i="7" s="1"/>
  <c r="E321" i="7" a="1"/>
  <c r="E321" i="7" s="1"/>
  <c r="D321" i="7" a="1"/>
  <c r="D321" i="7" s="1"/>
  <c r="C321" i="7" a="1"/>
  <c r="C321" i="7" s="1"/>
  <c r="B321" i="7" a="1"/>
  <c r="B321" i="7" s="1"/>
  <c r="F325" i="7" a="1"/>
  <c r="F325" i="7" s="1"/>
  <c r="E325" i="7" a="1"/>
  <c r="E325" i="7" s="1"/>
  <c r="D325" i="7" a="1"/>
  <c r="D325" i="7" s="1"/>
  <c r="C325" i="7" a="1"/>
  <c r="C325" i="7" s="1"/>
  <c r="B325" i="7" a="1"/>
  <c r="B325" i="7" s="1"/>
  <c r="F329" i="7" a="1"/>
  <c r="F329" i="7" s="1"/>
  <c r="E329" i="7" a="1"/>
  <c r="E329" i="7" s="1"/>
  <c r="D329" i="7" a="1"/>
  <c r="D329" i="7" s="1"/>
  <c r="C329" i="7" a="1"/>
  <c r="C329" i="7" s="1"/>
  <c r="B329" i="7" a="1"/>
  <c r="B329" i="7" s="1"/>
  <c r="F333" i="7" a="1"/>
  <c r="F333" i="7" s="1"/>
  <c r="E333" i="7" a="1"/>
  <c r="E333" i="7" s="1"/>
  <c r="D333" i="7" a="1"/>
  <c r="D333" i="7" s="1"/>
  <c r="C333" i="7" a="1"/>
  <c r="C333" i="7" s="1"/>
  <c r="B333" i="7" a="1"/>
  <c r="B333" i="7" s="1"/>
  <c r="F337" i="7" a="1"/>
  <c r="F337" i="7" s="1"/>
  <c r="E337" i="7" a="1"/>
  <c r="E337" i="7" s="1"/>
  <c r="D337" i="7" a="1"/>
  <c r="D337" i="7" s="1"/>
  <c r="C337" i="7" a="1"/>
  <c r="C337" i="7" s="1"/>
  <c r="B337" i="7" a="1"/>
  <c r="B337" i="7" s="1"/>
  <c r="F341" i="7" a="1"/>
  <c r="F341" i="7" s="1"/>
  <c r="E341" i="7" a="1"/>
  <c r="E341" i="7" s="1"/>
  <c r="D341" i="7" a="1"/>
  <c r="D341" i="7" s="1"/>
  <c r="B341" i="7" a="1"/>
  <c r="B341" i="7" s="1"/>
  <c r="C341" i="7" a="1"/>
  <c r="C341" i="7" s="1"/>
  <c r="F345" i="7" a="1"/>
  <c r="F345" i="7" s="1"/>
  <c r="E345" i="7" a="1"/>
  <c r="E345" i="7" s="1"/>
  <c r="D345" i="7" a="1"/>
  <c r="D345" i="7" s="1"/>
  <c r="B345" i="7" a="1"/>
  <c r="B345" i="7" s="1"/>
  <c r="C345" i="7" a="1"/>
  <c r="C345" i="7" s="1"/>
  <c r="F349" i="7" a="1"/>
  <c r="F349" i="7" s="1"/>
  <c r="E349" i="7" a="1"/>
  <c r="E349" i="7" s="1"/>
  <c r="D349" i="7" a="1"/>
  <c r="D349" i="7" s="1"/>
  <c r="C349" i="7" a="1"/>
  <c r="C349" i="7" s="1"/>
  <c r="B349" i="7" a="1"/>
  <c r="B349" i="7" s="1"/>
  <c r="F353" i="7" a="1"/>
  <c r="F353" i="7" s="1"/>
  <c r="E353" i="7" a="1"/>
  <c r="E353" i="7" s="1"/>
  <c r="D353" i="7" a="1"/>
  <c r="D353" i="7" s="1"/>
  <c r="C353" i="7" a="1"/>
  <c r="C353" i="7" s="1"/>
  <c r="B353" i="7" a="1"/>
  <c r="B353" i="7" s="1"/>
  <c r="F357" i="7" a="1"/>
  <c r="F357" i="7" s="1"/>
  <c r="E357" i="7" a="1"/>
  <c r="E357" i="7" s="1"/>
  <c r="D357" i="7" a="1"/>
  <c r="D357" i="7" s="1"/>
  <c r="B357" i="7" a="1"/>
  <c r="B357" i="7" s="1"/>
  <c r="C357" i="7" a="1"/>
  <c r="C357" i="7" s="1"/>
  <c r="F361" i="7" a="1"/>
  <c r="F361" i="7" s="1"/>
  <c r="E361" i="7" a="1"/>
  <c r="E361" i="7" s="1"/>
  <c r="D361" i="7" a="1"/>
  <c r="D361" i="7" s="1"/>
  <c r="B361" i="7" a="1"/>
  <c r="B361" i="7" s="1"/>
  <c r="C361" i="7" a="1"/>
  <c r="C361" i="7" s="1"/>
  <c r="F365" i="7" a="1"/>
  <c r="F365" i="7" s="1"/>
  <c r="E365" i="7" a="1"/>
  <c r="E365" i="7" s="1"/>
  <c r="D365" i="7" a="1"/>
  <c r="D365" i="7" s="1"/>
  <c r="C365" i="7" a="1"/>
  <c r="C365" i="7" s="1"/>
  <c r="B365" i="7" a="1"/>
  <c r="B365" i="7" s="1"/>
  <c r="F369" i="7" a="1"/>
  <c r="F369" i="7" s="1"/>
  <c r="E369" i="7" a="1"/>
  <c r="E369" i="7" s="1"/>
  <c r="D369" i="7" a="1"/>
  <c r="D369" i="7" s="1"/>
  <c r="B369" i="7" a="1"/>
  <c r="B369" i="7" s="1"/>
  <c r="C369" i="7" a="1"/>
  <c r="C369" i="7" s="1"/>
  <c r="F373" i="7" a="1"/>
  <c r="F373" i="7" s="1"/>
  <c r="E373" i="7" a="1"/>
  <c r="E373" i="7" s="1"/>
  <c r="D373" i="7" a="1"/>
  <c r="D373" i="7" s="1"/>
  <c r="C373" i="7" a="1"/>
  <c r="C373" i="7" s="1"/>
  <c r="B373" i="7" a="1"/>
  <c r="B373" i="7" s="1"/>
  <c r="F377" i="7" a="1"/>
  <c r="F377" i="7" s="1"/>
  <c r="E377" i="7" a="1"/>
  <c r="E377" i="7" s="1"/>
  <c r="D377" i="7" a="1"/>
  <c r="D377" i="7" s="1"/>
  <c r="C377" i="7" a="1"/>
  <c r="C377" i="7" s="1"/>
  <c r="B377" i="7" a="1"/>
  <c r="B377" i="7" s="1"/>
  <c r="E95" i="7" a="1"/>
  <c r="E95" i="7" s="1"/>
  <c r="D95" i="7" a="1"/>
  <c r="D95" i="7" s="1"/>
  <c r="F95" i="7" a="1"/>
  <c r="F95" i="7" s="1"/>
  <c r="B95" i="7" a="1"/>
  <c r="B95" i="7" s="1"/>
  <c r="C95" i="7" a="1"/>
  <c r="C95" i="7" s="1"/>
  <c r="E107" i="7" a="1"/>
  <c r="E107" i="7" s="1"/>
  <c r="D107" i="7" a="1"/>
  <c r="D107" i="7" s="1"/>
  <c r="F107" i="7" a="1"/>
  <c r="F107" i="7" s="1"/>
  <c r="C107" i="7" a="1"/>
  <c r="C107" i="7" s="1"/>
  <c r="B107" i="7" a="1"/>
  <c r="B107" i="7" s="1"/>
  <c r="E112" i="7" a="1"/>
  <c r="E112" i="7" s="1"/>
  <c r="D112" i="7" a="1"/>
  <c r="D112" i="7" s="1"/>
  <c r="F112" i="7" a="1"/>
  <c r="F112" i="7" s="1"/>
  <c r="B112" i="7" a="1"/>
  <c r="B112" i="7" s="1"/>
  <c r="C112" i="7" a="1"/>
  <c r="C112" i="7" s="1"/>
  <c r="E116" i="7" a="1"/>
  <c r="E116" i="7" s="1"/>
  <c r="D116" i="7" a="1"/>
  <c r="D116" i="7" s="1"/>
  <c r="F116" i="7" a="1"/>
  <c r="F116" i="7" s="1"/>
  <c r="B116" i="7" a="1"/>
  <c r="B116" i="7" s="1"/>
  <c r="C116" i="7" a="1"/>
  <c r="C116" i="7" s="1"/>
  <c r="E314" i="7" a="1"/>
  <c r="E314" i="7" s="1"/>
  <c r="D314" i="7" a="1"/>
  <c r="D314" i="7" s="1"/>
  <c r="F314" i="7" a="1"/>
  <c r="F314" i="7" s="1"/>
  <c r="B314" i="7" a="1"/>
  <c r="B314" i="7" s="1"/>
  <c r="C314" i="7" a="1"/>
  <c r="C314" i="7" s="1"/>
  <c r="E318" i="7" a="1"/>
  <c r="E318" i="7" s="1"/>
  <c r="D318" i="7" a="1"/>
  <c r="D318" i="7" s="1"/>
  <c r="F318" i="7" a="1"/>
  <c r="F318" i="7" s="1"/>
  <c r="B318" i="7" a="1"/>
  <c r="B318" i="7" s="1"/>
  <c r="C318" i="7" a="1"/>
  <c r="C318" i="7" s="1"/>
  <c r="E322" i="7" a="1"/>
  <c r="E322" i="7" s="1"/>
  <c r="D322" i="7" a="1"/>
  <c r="D322" i="7" s="1"/>
  <c r="F322" i="7" a="1"/>
  <c r="F322" i="7" s="1"/>
  <c r="B322" i="7" a="1"/>
  <c r="B322" i="7" s="1"/>
  <c r="C322" i="7" a="1"/>
  <c r="C322" i="7" s="1"/>
  <c r="E326" i="7" a="1"/>
  <c r="E326" i="7" s="1"/>
  <c r="D326" i="7" a="1"/>
  <c r="D326" i="7" s="1"/>
  <c r="F326" i="7" a="1"/>
  <c r="F326" i="7" s="1"/>
  <c r="B326" i="7" a="1"/>
  <c r="B326" i="7" s="1"/>
  <c r="C326" i="7" a="1"/>
  <c r="C326" i="7" s="1"/>
  <c r="E330" i="7" a="1"/>
  <c r="E330" i="7" s="1"/>
  <c r="D330" i="7" a="1"/>
  <c r="D330" i="7" s="1"/>
  <c r="F330" i="7" a="1"/>
  <c r="F330" i="7" s="1"/>
  <c r="B330" i="7" a="1"/>
  <c r="B330" i="7" s="1"/>
  <c r="C330" i="7" a="1"/>
  <c r="C330" i="7" s="1"/>
  <c r="E334" i="7" a="1"/>
  <c r="E334" i="7" s="1"/>
  <c r="D334" i="7" a="1"/>
  <c r="D334" i="7" s="1"/>
  <c r="C334" i="7" a="1"/>
  <c r="C334" i="7" s="1"/>
  <c r="F334" i="7" a="1"/>
  <c r="F334" i="7" s="1"/>
  <c r="B334" i="7" a="1"/>
  <c r="B334" i="7" s="1"/>
  <c r="E338" i="7" a="1"/>
  <c r="E338" i="7" s="1"/>
  <c r="D338" i="7" a="1"/>
  <c r="D338" i="7" s="1"/>
  <c r="C338" i="7" a="1"/>
  <c r="C338" i="7" s="1"/>
  <c r="F338" i="7" a="1"/>
  <c r="F338" i="7" s="1"/>
  <c r="B338" i="7" a="1"/>
  <c r="B338" i="7" s="1"/>
  <c r="E342" i="7" a="1"/>
  <c r="E342" i="7" s="1"/>
  <c r="D342" i="7" a="1"/>
  <c r="D342" i="7" s="1"/>
  <c r="C342" i="7" a="1"/>
  <c r="C342" i="7" s="1"/>
  <c r="F342" i="7" a="1"/>
  <c r="F342" i="7" s="1"/>
  <c r="B342" i="7" a="1"/>
  <c r="B342" i="7" s="1"/>
  <c r="E346" i="7" a="1"/>
  <c r="E346" i="7" s="1"/>
  <c r="D346" i="7" a="1"/>
  <c r="D346" i="7" s="1"/>
  <c r="C346" i="7" a="1"/>
  <c r="C346" i="7" s="1"/>
  <c r="F346" i="7" a="1"/>
  <c r="F346" i="7" s="1"/>
  <c r="B346" i="7" a="1"/>
  <c r="B346" i="7" s="1"/>
  <c r="E350" i="7" a="1"/>
  <c r="E350" i="7" s="1"/>
  <c r="D350" i="7" a="1"/>
  <c r="D350" i="7" s="1"/>
  <c r="C350" i="7" a="1"/>
  <c r="C350" i="7" s="1"/>
  <c r="F350" i="7" a="1"/>
  <c r="F350" i="7" s="1"/>
  <c r="B350" i="7" a="1"/>
  <c r="B350" i="7" s="1"/>
  <c r="E354" i="7" a="1"/>
  <c r="E354" i="7" s="1"/>
  <c r="D354" i="7" a="1"/>
  <c r="D354" i="7" s="1"/>
  <c r="C354" i="7" a="1"/>
  <c r="C354" i="7" s="1"/>
  <c r="F354" i="7" a="1"/>
  <c r="F354" i="7" s="1"/>
  <c r="B354" i="7" a="1"/>
  <c r="B354" i="7" s="1"/>
  <c r="E358" i="7" a="1"/>
  <c r="E358" i="7" s="1"/>
  <c r="D358" i="7" a="1"/>
  <c r="D358" i="7" s="1"/>
  <c r="C358" i="7" a="1"/>
  <c r="C358" i="7" s="1"/>
  <c r="F358" i="7" a="1"/>
  <c r="F358" i="7" s="1"/>
  <c r="B358" i="7" a="1"/>
  <c r="B358" i="7" s="1"/>
  <c r="E362" i="7" a="1"/>
  <c r="E362" i="7" s="1"/>
  <c r="D362" i="7" a="1"/>
  <c r="D362" i="7" s="1"/>
  <c r="C362" i="7" a="1"/>
  <c r="C362" i="7" s="1"/>
  <c r="F362" i="7" a="1"/>
  <c r="F362" i="7" s="1"/>
  <c r="B362" i="7" a="1"/>
  <c r="B362" i="7" s="1"/>
  <c r="E366" i="7" a="1"/>
  <c r="E366" i="7" s="1"/>
  <c r="D366" i="7" a="1"/>
  <c r="D366" i="7" s="1"/>
  <c r="C366" i="7" a="1"/>
  <c r="C366" i="7" s="1"/>
  <c r="F366" i="7" a="1"/>
  <c r="F366" i="7" s="1"/>
  <c r="B366" i="7" a="1"/>
  <c r="B366" i="7" s="1"/>
  <c r="E370" i="7" a="1"/>
  <c r="E370" i="7" s="1"/>
  <c r="D370" i="7" a="1"/>
  <c r="D370" i="7" s="1"/>
  <c r="C370" i="7" a="1"/>
  <c r="C370" i="7" s="1"/>
  <c r="F370" i="7" a="1"/>
  <c r="F370" i="7" s="1"/>
  <c r="B370" i="7" a="1"/>
  <c r="B370" i="7" s="1"/>
  <c r="E374" i="7" a="1"/>
  <c r="E374" i="7" s="1"/>
  <c r="D374" i="7" a="1"/>
  <c r="D374" i="7" s="1"/>
  <c r="C374" i="7" a="1"/>
  <c r="C374" i="7" s="1"/>
  <c r="F374" i="7" a="1"/>
  <c r="F374" i="7" s="1"/>
  <c r="B374" i="7" a="1"/>
  <c r="B374" i="7" s="1"/>
  <c r="E378" i="7" a="1"/>
  <c r="E378" i="7" s="1"/>
  <c r="D378" i="7" a="1"/>
  <c r="D378" i="7" s="1"/>
  <c r="C378" i="7" a="1"/>
  <c r="C378" i="7" s="1"/>
  <c r="F378" i="7" a="1"/>
  <c r="F378" i="7" s="1"/>
  <c r="B378" i="7" a="1"/>
  <c r="B378" i="7" s="1"/>
  <c r="M331" i="7" l="1"/>
  <c r="L331" i="7"/>
  <c r="K331" i="7"/>
  <c r="O331" i="7"/>
  <c r="N331" i="7"/>
  <c r="P331" i="7"/>
  <c r="T331" i="7"/>
  <c r="S331" i="7"/>
  <c r="V331" i="7"/>
  <c r="U331" i="7"/>
  <c r="R331" i="7"/>
  <c r="Q331" i="7"/>
  <c r="M327" i="7"/>
  <c r="L327" i="7"/>
  <c r="K327" i="7"/>
  <c r="O327" i="7"/>
  <c r="N327" i="7"/>
  <c r="P327" i="7"/>
  <c r="T327" i="7"/>
  <c r="S327" i="7"/>
  <c r="V327" i="7"/>
  <c r="U327" i="7"/>
  <c r="R327" i="7"/>
  <c r="Q327" i="7"/>
  <c r="M323" i="7"/>
  <c r="L323" i="7"/>
  <c r="K323" i="7"/>
  <c r="O323" i="7"/>
  <c r="N323" i="7"/>
  <c r="P323" i="7"/>
  <c r="T323" i="7"/>
  <c r="S323" i="7"/>
  <c r="V323" i="7"/>
  <c r="U323" i="7"/>
  <c r="R323" i="7"/>
  <c r="Q323" i="7"/>
  <c r="M319" i="7"/>
  <c r="L319" i="7"/>
  <c r="K319" i="7"/>
  <c r="O319" i="7"/>
  <c r="N319" i="7"/>
  <c r="P319" i="7"/>
  <c r="T319" i="7"/>
  <c r="S319" i="7"/>
  <c r="V319" i="7"/>
  <c r="U319" i="7"/>
  <c r="R319" i="7"/>
  <c r="Q319" i="7"/>
  <c r="M315" i="7"/>
  <c r="L315" i="7"/>
  <c r="K315" i="7"/>
  <c r="O315" i="7"/>
  <c r="N315" i="7"/>
  <c r="P315" i="7"/>
  <c r="T315" i="7"/>
  <c r="S315" i="7"/>
  <c r="V315" i="7"/>
  <c r="U315" i="7"/>
  <c r="R315" i="7"/>
  <c r="Q315" i="7"/>
  <c r="M117" i="7"/>
  <c r="L117" i="7"/>
  <c r="K117" i="7"/>
  <c r="O117" i="7"/>
  <c r="P117" i="7"/>
  <c r="N117" i="7"/>
  <c r="T117" i="7"/>
  <c r="S117" i="7"/>
  <c r="U117" i="7"/>
  <c r="V117" i="7"/>
  <c r="R117" i="7"/>
  <c r="Q117" i="7"/>
  <c r="M113" i="7"/>
  <c r="L113" i="7"/>
  <c r="K113" i="7"/>
  <c r="O113" i="7"/>
  <c r="P113" i="7"/>
  <c r="N113" i="7"/>
  <c r="T113" i="7"/>
  <c r="S113" i="7"/>
  <c r="U113" i="7"/>
  <c r="V113" i="7"/>
  <c r="R113" i="7"/>
  <c r="Q113" i="7"/>
  <c r="M108" i="7"/>
  <c r="L108" i="7"/>
  <c r="K108" i="7"/>
  <c r="P108" i="7"/>
  <c r="O108" i="7"/>
  <c r="N108" i="7"/>
  <c r="T108" i="7"/>
  <c r="S108" i="7"/>
  <c r="U108" i="7"/>
  <c r="V108" i="7"/>
  <c r="R108" i="7"/>
  <c r="Q108" i="7"/>
  <c r="M104" i="7"/>
  <c r="L104" i="7"/>
  <c r="K104" i="7"/>
  <c r="P104" i="7"/>
  <c r="O104" i="7"/>
  <c r="N104" i="7"/>
  <c r="T104" i="7"/>
  <c r="S104" i="7"/>
  <c r="U104" i="7"/>
  <c r="V104" i="7"/>
  <c r="R104" i="7"/>
  <c r="Q104" i="7"/>
  <c r="M100" i="7"/>
  <c r="L100" i="7"/>
  <c r="K100" i="7"/>
  <c r="O100" i="7"/>
  <c r="P100" i="7"/>
  <c r="N100" i="7"/>
  <c r="T100" i="7"/>
  <c r="S100" i="7"/>
  <c r="U100" i="7"/>
  <c r="V100" i="7"/>
  <c r="R100" i="7"/>
  <c r="Q100" i="7"/>
  <c r="K96" i="7"/>
  <c r="M96" i="7"/>
  <c r="L96" i="7"/>
  <c r="P96" i="7"/>
  <c r="O96" i="7"/>
  <c r="N96" i="7"/>
  <c r="S96" i="7"/>
  <c r="T96" i="7"/>
  <c r="V96" i="7"/>
  <c r="U96" i="7"/>
  <c r="Q96" i="7"/>
  <c r="R96" i="7"/>
  <c r="K92" i="7"/>
  <c r="M92" i="7"/>
  <c r="L92" i="7"/>
  <c r="P92" i="7"/>
  <c r="O92" i="7"/>
  <c r="N92" i="7"/>
  <c r="S92" i="7"/>
  <c r="T92" i="7"/>
  <c r="V92" i="7"/>
  <c r="U92" i="7"/>
  <c r="Q92" i="7"/>
  <c r="R92" i="7"/>
  <c r="L99" i="7"/>
  <c r="K99" i="7"/>
  <c r="M99" i="7"/>
  <c r="N99" i="7"/>
  <c r="P99" i="7"/>
  <c r="O99" i="7"/>
  <c r="V99" i="7"/>
  <c r="U99" i="7"/>
  <c r="R99" i="7"/>
  <c r="Q99" i="7"/>
  <c r="T99" i="7"/>
  <c r="S99" i="7"/>
  <c r="M91" i="7"/>
  <c r="L91" i="7"/>
  <c r="K91" i="7"/>
  <c r="P91" i="7"/>
  <c r="O91" i="7"/>
  <c r="N91" i="7"/>
  <c r="V91" i="7"/>
  <c r="U91" i="7"/>
  <c r="R91" i="7"/>
  <c r="Q91" i="7"/>
  <c r="T91" i="7"/>
  <c r="S91" i="7"/>
  <c r="M90" i="7"/>
  <c r="L90" i="7"/>
  <c r="K90" i="7"/>
  <c r="O90" i="7"/>
  <c r="N90" i="7"/>
  <c r="P90" i="7"/>
  <c r="Q90" i="7"/>
  <c r="R90" i="7"/>
  <c r="T90" i="7"/>
  <c r="S90" i="7"/>
  <c r="V90" i="7"/>
  <c r="U90" i="7"/>
  <c r="S378" i="7"/>
  <c r="T378" i="7"/>
  <c r="O374" i="7"/>
  <c r="N374" i="7"/>
  <c r="P374" i="7"/>
  <c r="L366" i="7"/>
  <c r="K366" i="7"/>
  <c r="M366" i="7"/>
  <c r="R362" i="7"/>
  <c r="Q362" i="7"/>
  <c r="V354" i="7"/>
  <c r="U354" i="7"/>
  <c r="T350" i="7"/>
  <c r="S350" i="7"/>
  <c r="O342" i="7"/>
  <c r="N342" i="7"/>
  <c r="P342" i="7"/>
  <c r="L334" i="7"/>
  <c r="K334" i="7"/>
  <c r="M334" i="7"/>
  <c r="R330" i="7"/>
  <c r="Q330" i="7"/>
  <c r="M322" i="7"/>
  <c r="L322" i="7"/>
  <c r="K322" i="7"/>
  <c r="T318" i="7"/>
  <c r="S318" i="7"/>
  <c r="V116" i="7"/>
  <c r="U116" i="7"/>
  <c r="M107" i="7"/>
  <c r="L107" i="7"/>
  <c r="K107" i="7"/>
  <c r="R95" i="7"/>
  <c r="Q95" i="7"/>
  <c r="P373" i="7"/>
  <c r="N373" i="7"/>
  <c r="O373" i="7"/>
  <c r="V369" i="7"/>
  <c r="U369" i="7"/>
  <c r="R361" i="7"/>
  <c r="Q361" i="7"/>
  <c r="M353" i="7"/>
  <c r="L353" i="7"/>
  <c r="K353" i="7"/>
  <c r="S349" i="7"/>
  <c r="T349" i="7"/>
  <c r="K341" i="7"/>
  <c r="M341" i="7"/>
  <c r="L341" i="7"/>
  <c r="V337" i="7"/>
  <c r="U337" i="7"/>
  <c r="R329" i="7"/>
  <c r="Q329" i="7"/>
  <c r="M321" i="7"/>
  <c r="L321" i="7"/>
  <c r="K321" i="7"/>
  <c r="T317" i="7"/>
  <c r="S317" i="7"/>
  <c r="P115" i="7"/>
  <c r="O115" i="7"/>
  <c r="N115" i="7"/>
  <c r="U110" i="7"/>
  <c r="V110" i="7"/>
  <c r="Q102" i="7"/>
  <c r="R102" i="7"/>
  <c r="M376" i="7"/>
  <c r="L376" i="7"/>
  <c r="K376" i="7"/>
  <c r="U372" i="7"/>
  <c r="V372" i="7"/>
  <c r="P364" i="7"/>
  <c r="O364" i="7"/>
  <c r="N364" i="7"/>
  <c r="V360" i="7"/>
  <c r="U360" i="7"/>
  <c r="Q352" i="7"/>
  <c r="R352" i="7"/>
  <c r="M344" i="7"/>
  <c r="L344" i="7"/>
  <c r="K344" i="7"/>
  <c r="T340" i="7"/>
  <c r="S340" i="7"/>
  <c r="P332" i="7"/>
  <c r="O332" i="7"/>
  <c r="N332" i="7"/>
  <c r="V328" i="7"/>
  <c r="U328" i="7"/>
  <c r="R320" i="7"/>
  <c r="Q320" i="7"/>
  <c r="L118" i="7"/>
  <c r="M118" i="7"/>
  <c r="K118" i="7"/>
  <c r="T114" i="7"/>
  <c r="S114" i="7"/>
  <c r="P105" i="7"/>
  <c r="O105" i="7"/>
  <c r="N105" i="7"/>
  <c r="V101" i="7"/>
  <c r="U101" i="7"/>
  <c r="R93" i="7"/>
  <c r="Q93" i="7"/>
  <c r="N103" i="7"/>
  <c r="P103" i="7"/>
  <c r="O103" i="7"/>
  <c r="T375" i="7"/>
  <c r="S375" i="7"/>
  <c r="Q371" i="7"/>
  <c r="R371" i="7"/>
  <c r="T363" i="7"/>
  <c r="S363" i="7"/>
  <c r="L355" i="7"/>
  <c r="K355" i="7"/>
  <c r="M355" i="7"/>
  <c r="U351" i="7"/>
  <c r="V351" i="7"/>
  <c r="P343" i="7"/>
  <c r="O343" i="7"/>
  <c r="N343" i="7"/>
  <c r="Q339" i="7"/>
  <c r="R339" i="7"/>
  <c r="R374" i="7"/>
  <c r="Q374" i="7"/>
  <c r="V366" i="7"/>
  <c r="U366" i="7"/>
  <c r="S362" i="7"/>
  <c r="T362" i="7"/>
  <c r="P354" i="7"/>
  <c r="O354" i="7"/>
  <c r="N354" i="7"/>
  <c r="M346" i="7"/>
  <c r="K346" i="7"/>
  <c r="L346" i="7"/>
  <c r="R342" i="7"/>
  <c r="Q342" i="7"/>
  <c r="V334" i="7"/>
  <c r="U334" i="7"/>
  <c r="S330" i="7"/>
  <c r="T330" i="7"/>
  <c r="V322" i="7"/>
  <c r="U322" i="7"/>
  <c r="P314" i="7"/>
  <c r="O314" i="7"/>
  <c r="N314" i="7"/>
  <c r="R116" i="7"/>
  <c r="Q116" i="7"/>
  <c r="N107" i="7"/>
  <c r="O107" i="7"/>
  <c r="P107" i="7"/>
  <c r="T95" i="7"/>
  <c r="S95" i="7"/>
  <c r="R373" i="7"/>
  <c r="Q373" i="7"/>
  <c r="K365" i="7"/>
  <c r="M365" i="7"/>
  <c r="L365" i="7"/>
  <c r="T361" i="7"/>
  <c r="S361" i="7"/>
  <c r="O353" i="7"/>
  <c r="N353" i="7"/>
  <c r="P353" i="7"/>
  <c r="V349" i="7"/>
  <c r="U349" i="7"/>
  <c r="R341" i="7"/>
  <c r="Q341" i="7"/>
  <c r="K333" i="7"/>
  <c r="M333" i="7"/>
  <c r="L333" i="7"/>
  <c r="T329" i="7"/>
  <c r="S329" i="7"/>
  <c r="P321" i="7"/>
  <c r="O321" i="7"/>
  <c r="N321" i="7"/>
  <c r="V317" i="7"/>
  <c r="U317" i="7"/>
  <c r="R115" i="7"/>
  <c r="Q115" i="7"/>
  <c r="M106" i="7"/>
  <c r="L106" i="7"/>
  <c r="K106" i="7"/>
  <c r="T102" i="7"/>
  <c r="S102" i="7"/>
  <c r="Q376" i="7"/>
  <c r="R376" i="7"/>
  <c r="P372" i="7"/>
  <c r="O372" i="7"/>
  <c r="N372" i="7"/>
  <c r="R364" i="7"/>
  <c r="Q364" i="7"/>
  <c r="P356" i="7"/>
  <c r="O356" i="7"/>
  <c r="N356" i="7"/>
  <c r="T352" i="7"/>
  <c r="S352" i="7"/>
  <c r="N344" i="7"/>
  <c r="P344" i="7"/>
  <c r="O344" i="7"/>
  <c r="U340" i="7"/>
  <c r="V340" i="7"/>
  <c r="R332" i="7"/>
  <c r="Q332" i="7"/>
  <c r="L324" i="7"/>
  <c r="K324" i="7"/>
  <c r="M324" i="7"/>
  <c r="T320" i="7"/>
  <c r="S320" i="7"/>
  <c r="P118" i="7"/>
  <c r="O118" i="7"/>
  <c r="N118" i="7"/>
  <c r="V114" i="7"/>
  <c r="U114" i="7"/>
  <c r="R105" i="7"/>
  <c r="Q105" i="7"/>
  <c r="L97" i="7"/>
  <c r="K97" i="7"/>
  <c r="M97" i="7"/>
  <c r="T93" i="7"/>
  <c r="S93" i="7"/>
  <c r="M103" i="7"/>
  <c r="L103" i="7"/>
  <c r="K103" i="7"/>
  <c r="U375" i="7"/>
  <c r="V375" i="7"/>
  <c r="M367" i="7"/>
  <c r="L367" i="7"/>
  <c r="K367" i="7"/>
  <c r="V363" i="7"/>
  <c r="U363" i="7"/>
  <c r="P355" i="7"/>
  <c r="O355" i="7"/>
  <c r="N355" i="7"/>
  <c r="R351" i="7"/>
  <c r="Q351" i="7"/>
  <c r="T343" i="7"/>
  <c r="S343" i="7"/>
  <c r="M335" i="7"/>
  <c r="L335" i="7"/>
  <c r="K335" i="7"/>
  <c r="V378" i="7"/>
  <c r="U378" i="7"/>
  <c r="T374" i="7"/>
  <c r="S374" i="7"/>
  <c r="O366" i="7"/>
  <c r="N366" i="7"/>
  <c r="P366" i="7"/>
  <c r="L358" i="7"/>
  <c r="K358" i="7"/>
  <c r="M358" i="7"/>
  <c r="R354" i="7"/>
  <c r="Q354" i="7"/>
  <c r="V346" i="7"/>
  <c r="U346" i="7"/>
  <c r="T342" i="7"/>
  <c r="S342" i="7"/>
  <c r="O334" i="7"/>
  <c r="N334" i="7"/>
  <c r="P334" i="7"/>
  <c r="N326" i="7"/>
  <c r="P326" i="7"/>
  <c r="O326" i="7"/>
  <c r="R322" i="7"/>
  <c r="Q322" i="7"/>
  <c r="L314" i="7"/>
  <c r="K314" i="7"/>
  <c r="M314" i="7"/>
  <c r="T116" i="7"/>
  <c r="S116" i="7"/>
  <c r="V107" i="7"/>
  <c r="U107" i="7"/>
  <c r="M377" i="7"/>
  <c r="L377" i="7"/>
  <c r="K377" i="7"/>
  <c r="S373" i="7"/>
  <c r="T373" i="7"/>
  <c r="P365" i="7"/>
  <c r="N365" i="7"/>
  <c r="O365" i="7"/>
  <c r="V361" i="7"/>
  <c r="U361" i="7"/>
  <c r="R353" i="7"/>
  <c r="Q353" i="7"/>
  <c r="O345" i="7"/>
  <c r="N345" i="7"/>
  <c r="P345" i="7"/>
  <c r="S341" i="7"/>
  <c r="T341" i="7"/>
  <c r="P333" i="7"/>
  <c r="N333" i="7"/>
  <c r="O333" i="7"/>
  <c r="V329" i="7"/>
  <c r="U329" i="7"/>
  <c r="R321" i="7"/>
  <c r="Q321" i="7"/>
  <c r="M119" i="7"/>
  <c r="L119" i="7"/>
  <c r="K119" i="7"/>
  <c r="T115" i="7"/>
  <c r="S115" i="7"/>
  <c r="P106" i="7"/>
  <c r="N106" i="7"/>
  <c r="O106" i="7"/>
  <c r="U102" i="7"/>
  <c r="V102" i="7"/>
  <c r="T376" i="7"/>
  <c r="S376" i="7"/>
  <c r="M368" i="7"/>
  <c r="L368" i="7"/>
  <c r="K368" i="7"/>
  <c r="T364" i="7"/>
  <c r="S364" i="7"/>
  <c r="M356" i="7"/>
  <c r="L356" i="7"/>
  <c r="K356" i="7"/>
  <c r="V352" i="7"/>
  <c r="U352" i="7"/>
  <c r="Q344" i="7"/>
  <c r="R344" i="7"/>
  <c r="M336" i="7"/>
  <c r="L336" i="7"/>
  <c r="K336" i="7"/>
  <c r="T332" i="7"/>
  <c r="S332" i="7"/>
  <c r="P324" i="7"/>
  <c r="O324" i="7"/>
  <c r="N324" i="7"/>
  <c r="V320" i="7"/>
  <c r="U320" i="7"/>
  <c r="R118" i="7"/>
  <c r="Q118" i="7"/>
  <c r="L109" i="7"/>
  <c r="M109" i="7"/>
  <c r="K109" i="7"/>
  <c r="T105" i="7"/>
  <c r="S105" i="7"/>
  <c r="P97" i="7"/>
  <c r="O97" i="7"/>
  <c r="N97" i="7"/>
  <c r="V93" i="7"/>
  <c r="U93" i="7"/>
  <c r="V103" i="7"/>
  <c r="U103" i="7"/>
  <c r="M94" i="7"/>
  <c r="L94" i="7"/>
  <c r="K94" i="7"/>
  <c r="P375" i="7"/>
  <c r="O375" i="7"/>
  <c r="N375" i="7"/>
  <c r="T367" i="7"/>
  <c r="S367" i="7"/>
  <c r="Q363" i="7"/>
  <c r="R363" i="7"/>
  <c r="T355" i="7"/>
  <c r="S355" i="7"/>
  <c r="L347" i="7"/>
  <c r="K347" i="7"/>
  <c r="M347" i="7"/>
  <c r="U343" i="7"/>
  <c r="V343" i="7"/>
  <c r="P335" i="7"/>
  <c r="O335" i="7"/>
  <c r="N335" i="7"/>
  <c r="P378" i="7"/>
  <c r="O378" i="7"/>
  <c r="N378" i="7"/>
  <c r="M370" i="7"/>
  <c r="K370" i="7"/>
  <c r="L370" i="7"/>
  <c r="R366" i="7"/>
  <c r="Q366" i="7"/>
  <c r="V358" i="7"/>
  <c r="U358" i="7"/>
  <c r="S354" i="7"/>
  <c r="T354" i="7"/>
  <c r="P346" i="7"/>
  <c r="O346" i="7"/>
  <c r="N346" i="7"/>
  <c r="M338" i="7"/>
  <c r="K338" i="7"/>
  <c r="L338" i="7"/>
  <c r="R334" i="7"/>
  <c r="Q334" i="7"/>
  <c r="L326" i="7"/>
  <c r="K326" i="7"/>
  <c r="M326" i="7"/>
  <c r="T322" i="7"/>
  <c r="S322" i="7"/>
  <c r="V314" i="7"/>
  <c r="U314" i="7"/>
  <c r="N112" i="7"/>
  <c r="P112" i="7"/>
  <c r="O112" i="7"/>
  <c r="R107" i="7"/>
  <c r="Q107" i="7"/>
  <c r="O377" i="7"/>
  <c r="N377" i="7"/>
  <c r="P377" i="7"/>
  <c r="V373" i="7"/>
  <c r="U373" i="7"/>
  <c r="R365" i="7"/>
  <c r="Q365" i="7"/>
  <c r="P357" i="7"/>
  <c r="N357" i="7"/>
  <c r="O357" i="7"/>
  <c r="T353" i="7"/>
  <c r="S353" i="7"/>
  <c r="M345" i="7"/>
  <c r="L345" i="7"/>
  <c r="K345" i="7"/>
  <c r="V341" i="7"/>
  <c r="U341" i="7"/>
  <c r="R333" i="7"/>
  <c r="Q333" i="7"/>
  <c r="K325" i="7"/>
  <c r="M325" i="7"/>
  <c r="L325" i="7"/>
  <c r="T321" i="7"/>
  <c r="S321" i="7"/>
  <c r="P119" i="7"/>
  <c r="O119" i="7"/>
  <c r="N119" i="7"/>
  <c r="U115" i="7"/>
  <c r="V115" i="7"/>
  <c r="R106" i="7"/>
  <c r="Q106" i="7"/>
  <c r="M98" i="7"/>
  <c r="L98" i="7"/>
  <c r="K98" i="7"/>
  <c r="V376" i="7"/>
  <c r="U376" i="7"/>
  <c r="Q368" i="7"/>
  <c r="R368" i="7"/>
  <c r="U364" i="7"/>
  <c r="V364" i="7"/>
  <c r="R356" i="7"/>
  <c r="Q356" i="7"/>
  <c r="M348" i="7"/>
  <c r="L348" i="7"/>
  <c r="K348" i="7"/>
  <c r="T344" i="7"/>
  <c r="S344" i="7"/>
  <c r="N336" i="7"/>
  <c r="P336" i="7"/>
  <c r="O336" i="7"/>
  <c r="U332" i="7"/>
  <c r="V332" i="7"/>
  <c r="R324" i="7"/>
  <c r="Q324" i="7"/>
  <c r="M316" i="7"/>
  <c r="L316" i="7"/>
  <c r="K316" i="7"/>
  <c r="T118" i="7"/>
  <c r="S118" i="7"/>
  <c r="P109" i="7"/>
  <c r="O109" i="7"/>
  <c r="N109" i="7"/>
  <c r="U105" i="7"/>
  <c r="V105" i="7"/>
  <c r="R97" i="7"/>
  <c r="Q97" i="7"/>
  <c r="P89" i="7"/>
  <c r="O89" i="7"/>
  <c r="N89" i="7"/>
  <c r="R103" i="7"/>
  <c r="Q103" i="7"/>
  <c r="P94" i="7"/>
  <c r="O94" i="7"/>
  <c r="N94" i="7"/>
  <c r="R375" i="7"/>
  <c r="Q375" i="7"/>
  <c r="U367" i="7"/>
  <c r="V367" i="7"/>
  <c r="M359" i="7"/>
  <c r="L359" i="7"/>
  <c r="K359" i="7"/>
  <c r="V355" i="7"/>
  <c r="U355" i="7"/>
  <c r="P347" i="7"/>
  <c r="O347" i="7"/>
  <c r="N347" i="7"/>
  <c r="R343" i="7"/>
  <c r="Q343" i="7"/>
  <c r="T335" i="7"/>
  <c r="S335" i="7"/>
  <c r="M378" i="7"/>
  <c r="K378" i="7"/>
  <c r="L378" i="7"/>
  <c r="V370" i="7"/>
  <c r="U370" i="7"/>
  <c r="T366" i="7"/>
  <c r="S366" i="7"/>
  <c r="O358" i="7"/>
  <c r="N358" i="7"/>
  <c r="P358" i="7"/>
  <c r="L350" i="7"/>
  <c r="K350" i="7"/>
  <c r="M350" i="7"/>
  <c r="R346" i="7"/>
  <c r="Q346" i="7"/>
  <c r="V338" i="7"/>
  <c r="U338" i="7"/>
  <c r="T334" i="7"/>
  <c r="S334" i="7"/>
  <c r="V326" i="7"/>
  <c r="U326" i="7"/>
  <c r="P318" i="7"/>
  <c r="O318" i="7"/>
  <c r="N318" i="7"/>
  <c r="R314" i="7"/>
  <c r="Q314" i="7"/>
  <c r="M112" i="7"/>
  <c r="L112" i="7"/>
  <c r="K112" i="7"/>
  <c r="T107" i="7"/>
  <c r="S107" i="7"/>
  <c r="R377" i="7"/>
  <c r="Q377" i="7"/>
  <c r="O369" i="7"/>
  <c r="N369" i="7"/>
  <c r="P369" i="7"/>
  <c r="S365" i="7"/>
  <c r="T365" i="7"/>
  <c r="K357" i="7"/>
  <c r="M357" i="7"/>
  <c r="L357" i="7"/>
  <c r="V353" i="7"/>
  <c r="U353" i="7"/>
  <c r="R345" i="7"/>
  <c r="Q345" i="7"/>
  <c r="M337" i="7"/>
  <c r="L337" i="7"/>
  <c r="K337" i="7"/>
  <c r="S333" i="7"/>
  <c r="T333" i="7"/>
  <c r="P325" i="7"/>
  <c r="O325" i="7"/>
  <c r="N325" i="7"/>
  <c r="U321" i="7"/>
  <c r="V321" i="7"/>
  <c r="Q119" i="7"/>
  <c r="R119" i="7"/>
  <c r="M110" i="7"/>
  <c r="L110" i="7"/>
  <c r="K110" i="7"/>
  <c r="T106" i="7"/>
  <c r="S106" i="7"/>
  <c r="P98" i="7"/>
  <c r="N98" i="7"/>
  <c r="O98" i="7"/>
  <c r="N376" i="7"/>
  <c r="P376" i="7"/>
  <c r="O376" i="7"/>
  <c r="T368" i="7"/>
  <c r="S368" i="7"/>
  <c r="M360" i="7"/>
  <c r="L360" i="7"/>
  <c r="K360" i="7"/>
  <c r="T356" i="7"/>
  <c r="S356" i="7"/>
  <c r="P348" i="7"/>
  <c r="O348" i="7"/>
  <c r="N348" i="7"/>
  <c r="V344" i="7"/>
  <c r="U344" i="7"/>
  <c r="Q336" i="7"/>
  <c r="R336" i="7"/>
  <c r="M328" i="7"/>
  <c r="L328" i="7"/>
  <c r="K328" i="7"/>
  <c r="T324" i="7"/>
  <c r="S324" i="7"/>
  <c r="N316" i="7"/>
  <c r="P316" i="7"/>
  <c r="O316" i="7"/>
  <c r="V118" i="7"/>
  <c r="U118" i="7"/>
  <c r="R109" i="7"/>
  <c r="Q109" i="7"/>
  <c r="L101" i="7"/>
  <c r="M101" i="7"/>
  <c r="K101" i="7"/>
  <c r="T97" i="7"/>
  <c r="S97" i="7"/>
  <c r="L89" i="7"/>
  <c r="K89" i="7"/>
  <c r="M89" i="7"/>
  <c r="T103" i="7"/>
  <c r="S103" i="7"/>
  <c r="Q94" i="7"/>
  <c r="R94" i="7"/>
  <c r="L371" i="7"/>
  <c r="K371" i="7"/>
  <c r="M371" i="7"/>
  <c r="P367" i="7"/>
  <c r="O367" i="7"/>
  <c r="N367" i="7"/>
  <c r="P359" i="7"/>
  <c r="O359" i="7"/>
  <c r="N359" i="7"/>
  <c r="Q355" i="7"/>
  <c r="R355" i="7"/>
  <c r="T347" i="7"/>
  <c r="S347" i="7"/>
  <c r="L339" i="7"/>
  <c r="K339" i="7"/>
  <c r="M339" i="7"/>
  <c r="U335" i="7"/>
  <c r="V335" i="7"/>
  <c r="R378" i="7"/>
  <c r="Q378" i="7"/>
  <c r="P370" i="7"/>
  <c r="O370" i="7"/>
  <c r="N370" i="7"/>
  <c r="M362" i="7"/>
  <c r="K362" i="7"/>
  <c r="L362" i="7"/>
  <c r="R358" i="7"/>
  <c r="Q358" i="7"/>
  <c r="V350" i="7"/>
  <c r="U350" i="7"/>
  <c r="S346" i="7"/>
  <c r="T346" i="7"/>
  <c r="P338" i="7"/>
  <c r="O338" i="7"/>
  <c r="N338" i="7"/>
  <c r="P330" i="7"/>
  <c r="O330" i="7"/>
  <c r="N330" i="7"/>
  <c r="R326" i="7"/>
  <c r="Q326" i="7"/>
  <c r="M318" i="7"/>
  <c r="L318" i="7"/>
  <c r="K318" i="7"/>
  <c r="T314" i="7"/>
  <c r="S314" i="7"/>
  <c r="V112" i="7"/>
  <c r="U112" i="7"/>
  <c r="P95" i="7"/>
  <c r="N95" i="7"/>
  <c r="O95" i="7"/>
  <c r="T377" i="7"/>
  <c r="S377" i="7"/>
  <c r="M369" i="7"/>
  <c r="L369" i="7"/>
  <c r="K369" i="7"/>
  <c r="V365" i="7"/>
  <c r="U365" i="7"/>
  <c r="R357" i="7"/>
  <c r="Q357" i="7"/>
  <c r="K349" i="7"/>
  <c r="M349" i="7"/>
  <c r="L349" i="7"/>
  <c r="T345" i="7"/>
  <c r="S345" i="7"/>
  <c r="O337" i="7"/>
  <c r="N337" i="7"/>
  <c r="P337" i="7"/>
  <c r="V333" i="7"/>
  <c r="U333" i="7"/>
  <c r="R325" i="7"/>
  <c r="Q325" i="7"/>
  <c r="M317" i="7"/>
  <c r="L317" i="7"/>
  <c r="K317" i="7"/>
  <c r="T119" i="7"/>
  <c r="S119" i="7"/>
  <c r="P110" i="7"/>
  <c r="O110" i="7"/>
  <c r="N110" i="7"/>
  <c r="U106" i="7"/>
  <c r="V106" i="7"/>
  <c r="Q98" i="7"/>
  <c r="R98" i="7"/>
  <c r="M372" i="7"/>
  <c r="L372" i="7"/>
  <c r="K372" i="7"/>
  <c r="V368" i="7"/>
  <c r="U368" i="7"/>
  <c r="N360" i="7"/>
  <c r="P360" i="7"/>
  <c r="O360" i="7"/>
  <c r="U356" i="7"/>
  <c r="V356" i="7"/>
  <c r="R348" i="7"/>
  <c r="Q348" i="7"/>
  <c r="P340" i="7"/>
  <c r="O340" i="7"/>
  <c r="N340" i="7"/>
  <c r="T336" i="7"/>
  <c r="S336" i="7"/>
  <c r="N328" i="7"/>
  <c r="P328" i="7"/>
  <c r="O328" i="7"/>
  <c r="V324" i="7"/>
  <c r="U324" i="7"/>
  <c r="R316" i="7"/>
  <c r="Q316" i="7"/>
  <c r="L114" i="7"/>
  <c r="K114" i="7"/>
  <c r="M114" i="7"/>
  <c r="T109" i="7"/>
  <c r="S109" i="7"/>
  <c r="P101" i="7"/>
  <c r="O101" i="7"/>
  <c r="N101" i="7"/>
  <c r="U97" i="7"/>
  <c r="V97" i="7"/>
  <c r="R89" i="7"/>
  <c r="Q89" i="7"/>
  <c r="T94" i="7"/>
  <c r="S94" i="7"/>
  <c r="T371" i="7"/>
  <c r="S371" i="7"/>
  <c r="R367" i="7"/>
  <c r="Q367" i="7"/>
  <c r="T359" i="7"/>
  <c r="S359" i="7"/>
  <c r="M351" i="7"/>
  <c r="L351" i="7"/>
  <c r="K351" i="7"/>
  <c r="V347" i="7"/>
  <c r="U347" i="7"/>
  <c r="P339" i="7"/>
  <c r="O339" i="7"/>
  <c r="N339" i="7"/>
  <c r="R335" i="7"/>
  <c r="Q335" i="7"/>
  <c r="L374" i="7"/>
  <c r="K374" i="7"/>
  <c r="M374" i="7"/>
  <c r="R370" i="7"/>
  <c r="Q370" i="7"/>
  <c r="V362" i="7"/>
  <c r="U362" i="7"/>
  <c r="T358" i="7"/>
  <c r="S358" i="7"/>
  <c r="O350" i="7"/>
  <c r="N350" i="7"/>
  <c r="P350" i="7"/>
  <c r="L342" i="7"/>
  <c r="K342" i="7"/>
  <c r="M342" i="7"/>
  <c r="R338" i="7"/>
  <c r="Q338" i="7"/>
  <c r="K330" i="7"/>
  <c r="M330" i="7"/>
  <c r="L330" i="7"/>
  <c r="T326" i="7"/>
  <c r="S326" i="7"/>
  <c r="V318" i="7"/>
  <c r="U318" i="7"/>
  <c r="N116" i="7"/>
  <c r="P116" i="7"/>
  <c r="O116" i="7"/>
  <c r="R112" i="7"/>
  <c r="Q112" i="7"/>
  <c r="M95" i="7"/>
  <c r="L95" i="7"/>
  <c r="K95" i="7"/>
  <c r="V377" i="7"/>
  <c r="U377" i="7"/>
  <c r="R369" i="7"/>
  <c r="Q369" i="7"/>
  <c r="O361" i="7"/>
  <c r="N361" i="7"/>
  <c r="P361" i="7"/>
  <c r="S357" i="7"/>
  <c r="T357" i="7"/>
  <c r="P349" i="7"/>
  <c r="N349" i="7"/>
  <c r="O349" i="7"/>
  <c r="V345" i="7"/>
  <c r="U345" i="7"/>
  <c r="R337" i="7"/>
  <c r="Q337" i="7"/>
  <c r="M329" i="7"/>
  <c r="L329" i="7"/>
  <c r="K329" i="7"/>
  <c r="S325" i="7"/>
  <c r="T325" i="7"/>
  <c r="O317" i="7"/>
  <c r="N317" i="7"/>
  <c r="P317" i="7"/>
  <c r="U119" i="7"/>
  <c r="V119" i="7"/>
  <c r="Q110" i="7"/>
  <c r="R110" i="7"/>
  <c r="M102" i="7"/>
  <c r="L102" i="7"/>
  <c r="K102" i="7"/>
  <c r="T98" i="7"/>
  <c r="S98" i="7"/>
  <c r="R372" i="7"/>
  <c r="Q372" i="7"/>
  <c r="N368" i="7"/>
  <c r="P368" i="7"/>
  <c r="O368" i="7"/>
  <c r="Q360" i="7"/>
  <c r="R360" i="7"/>
  <c r="M352" i="7"/>
  <c r="L352" i="7"/>
  <c r="K352" i="7"/>
  <c r="T348" i="7"/>
  <c r="S348" i="7"/>
  <c r="M340" i="7"/>
  <c r="L340" i="7"/>
  <c r="K340" i="7"/>
  <c r="V336" i="7"/>
  <c r="U336" i="7"/>
  <c r="Q328" i="7"/>
  <c r="R328" i="7"/>
  <c r="M320" i="7"/>
  <c r="L320" i="7"/>
  <c r="K320" i="7"/>
  <c r="T316" i="7"/>
  <c r="S316" i="7"/>
  <c r="P114" i="7"/>
  <c r="O114" i="7"/>
  <c r="N114" i="7"/>
  <c r="V109" i="7"/>
  <c r="U109" i="7"/>
  <c r="Q101" i="7"/>
  <c r="R101" i="7"/>
  <c r="L93" i="7"/>
  <c r="M93" i="7"/>
  <c r="K93" i="7"/>
  <c r="T89" i="7"/>
  <c r="S89" i="7"/>
  <c r="U94" i="7"/>
  <c r="V94" i="7"/>
  <c r="V371" i="7"/>
  <c r="U371" i="7"/>
  <c r="L363" i="7"/>
  <c r="K363" i="7"/>
  <c r="M363" i="7"/>
  <c r="U359" i="7"/>
  <c r="V359" i="7"/>
  <c r="P351" i="7"/>
  <c r="O351" i="7"/>
  <c r="N351" i="7"/>
  <c r="Q347" i="7"/>
  <c r="R347" i="7"/>
  <c r="T339" i="7"/>
  <c r="S339" i="7"/>
  <c r="V374" i="7"/>
  <c r="U374" i="7"/>
  <c r="S370" i="7"/>
  <c r="T370" i="7"/>
  <c r="P362" i="7"/>
  <c r="O362" i="7"/>
  <c r="N362" i="7"/>
  <c r="M354" i="7"/>
  <c r="K354" i="7"/>
  <c r="L354" i="7"/>
  <c r="R350" i="7"/>
  <c r="Q350" i="7"/>
  <c r="V342" i="7"/>
  <c r="U342" i="7"/>
  <c r="S338" i="7"/>
  <c r="T338" i="7"/>
  <c r="V330" i="7"/>
  <c r="U330" i="7"/>
  <c r="N322" i="7"/>
  <c r="P322" i="7"/>
  <c r="O322" i="7"/>
  <c r="R318" i="7"/>
  <c r="Q318" i="7"/>
  <c r="M116" i="7"/>
  <c r="L116" i="7"/>
  <c r="K116" i="7"/>
  <c r="T112" i="7"/>
  <c r="S112" i="7"/>
  <c r="V95" i="7"/>
  <c r="U95" i="7"/>
  <c r="K373" i="7"/>
  <c r="M373" i="7"/>
  <c r="L373" i="7"/>
  <c r="T369" i="7"/>
  <c r="S369" i="7"/>
  <c r="M361" i="7"/>
  <c r="L361" i="7"/>
  <c r="K361" i="7"/>
  <c r="V357" i="7"/>
  <c r="U357" i="7"/>
  <c r="R349" i="7"/>
  <c r="Q349" i="7"/>
  <c r="P341" i="7"/>
  <c r="N341" i="7"/>
  <c r="O341" i="7"/>
  <c r="T337" i="7"/>
  <c r="S337" i="7"/>
  <c r="O329" i="7"/>
  <c r="N329" i="7"/>
  <c r="P329" i="7"/>
  <c r="U325" i="7"/>
  <c r="V325" i="7"/>
  <c r="R317" i="7"/>
  <c r="Q317" i="7"/>
  <c r="M115" i="7"/>
  <c r="L115" i="7"/>
  <c r="K115" i="7"/>
  <c r="T110" i="7"/>
  <c r="S110" i="7"/>
  <c r="P102" i="7"/>
  <c r="O102" i="7"/>
  <c r="N102" i="7"/>
  <c r="U98" i="7"/>
  <c r="V98" i="7"/>
  <c r="T372" i="7"/>
  <c r="S372" i="7"/>
  <c r="M364" i="7"/>
  <c r="L364" i="7"/>
  <c r="K364" i="7"/>
  <c r="T360" i="7"/>
  <c r="S360" i="7"/>
  <c r="N352" i="7"/>
  <c r="P352" i="7"/>
  <c r="O352" i="7"/>
  <c r="U348" i="7"/>
  <c r="V348" i="7"/>
  <c r="R340" i="7"/>
  <c r="Q340" i="7"/>
  <c r="M332" i="7"/>
  <c r="L332" i="7"/>
  <c r="K332" i="7"/>
  <c r="T328" i="7"/>
  <c r="S328" i="7"/>
  <c r="P320" i="7"/>
  <c r="O320" i="7"/>
  <c r="N320" i="7"/>
  <c r="V316" i="7"/>
  <c r="U316" i="7"/>
  <c r="R114" i="7"/>
  <c r="Q114" i="7"/>
  <c r="L105" i="7"/>
  <c r="K105" i="7"/>
  <c r="M105" i="7"/>
  <c r="T101" i="7"/>
  <c r="S101" i="7"/>
  <c r="P93" i="7"/>
  <c r="O93" i="7"/>
  <c r="N93" i="7"/>
  <c r="V89" i="7"/>
  <c r="U89" i="7"/>
  <c r="M375" i="7"/>
  <c r="L375" i="7"/>
  <c r="K375" i="7"/>
  <c r="P371" i="7"/>
  <c r="O371" i="7"/>
  <c r="N371" i="7"/>
  <c r="P363" i="7"/>
  <c r="O363" i="7"/>
  <c r="N363" i="7"/>
  <c r="R359" i="7"/>
  <c r="Q359" i="7"/>
  <c r="T351" i="7"/>
  <c r="S351" i="7"/>
  <c r="M343" i="7"/>
  <c r="L343" i="7"/>
  <c r="K343" i="7"/>
  <c r="V339" i="7"/>
  <c r="U339" i="7"/>
  <c r="I266" i="4" l="1"/>
  <c r="L266" i="4" s="1"/>
  <c r="I268" i="4"/>
  <c r="L268" i="4" s="1"/>
  <c r="I93" i="4"/>
  <c r="L93" i="4" s="1"/>
  <c r="I353" i="4"/>
  <c r="L353" i="4" s="1"/>
  <c r="I178" i="4"/>
  <c r="L178" i="4" s="1"/>
  <c r="I355" i="4"/>
  <c r="L355" i="4" s="1"/>
  <c r="I91" i="4"/>
  <c r="L91" i="4" s="1"/>
  <c r="I269" i="4"/>
  <c r="L269" i="4" s="1"/>
  <c r="I176" i="4"/>
  <c r="L176" i="4" s="1"/>
  <c r="I267" i="4"/>
  <c r="L267" i="4" s="1"/>
  <c r="I352" i="4"/>
  <c r="L352" i="4" s="1"/>
  <c r="I92" i="4"/>
  <c r="L92" i="4" s="1"/>
  <c r="I177" i="4"/>
  <c r="L177" i="4" s="1"/>
  <c r="I354" i="4"/>
  <c r="L354" i="4" s="1"/>
  <c r="I179" i="4"/>
  <c r="L179" i="4" s="1"/>
  <c r="I94" i="4"/>
  <c r="L94" i="4" s="1"/>
  <c r="I98" i="4"/>
  <c r="L98" i="4" s="1"/>
  <c r="I29" i="4"/>
  <c r="L29" i="4" s="1"/>
  <c r="I27" i="4"/>
  <c r="L27" i="4" s="1"/>
  <c r="I84" i="4"/>
  <c r="L84" i="4" s="1"/>
  <c r="I358" i="4"/>
  <c r="L358" i="4" s="1"/>
  <c r="I11" i="4"/>
  <c r="L11" i="4" s="1"/>
  <c r="I22" i="4"/>
  <c r="L22" i="4" s="1"/>
  <c r="I49" i="4"/>
  <c r="L49" i="4" s="1"/>
  <c r="I80" i="4"/>
  <c r="L80" i="4" s="1"/>
  <c r="I10" i="4"/>
  <c r="L10" i="4" s="1"/>
  <c r="I24" i="4"/>
  <c r="L24" i="4" s="1"/>
  <c r="I39" i="4"/>
  <c r="L39" i="4" s="1"/>
  <c r="I51" i="4"/>
  <c r="L51" i="4" s="1"/>
  <c r="I61" i="4"/>
  <c r="L61" i="4" s="1"/>
  <c r="I70" i="4"/>
  <c r="L70" i="4" s="1"/>
  <c r="I82" i="4"/>
  <c r="L82" i="4" s="1"/>
  <c r="I101" i="4"/>
  <c r="L101" i="4" s="1"/>
  <c r="I131" i="4"/>
  <c r="L131" i="4" s="1"/>
  <c r="I169" i="4"/>
  <c r="L169" i="4" s="1"/>
  <c r="I232" i="4"/>
  <c r="L232" i="4" s="1"/>
  <c r="I279" i="4"/>
  <c r="L279" i="4" s="1"/>
  <c r="I99" i="4"/>
  <c r="L99" i="4" s="1"/>
  <c r="I143" i="4"/>
  <c r="L143" i="4" s="1"/>
  <c r="I201" i="4"/>
  <c r="L201" i="4" s="1"/>
  <c r="I228" i="4"/>
  <c r="L228" i="4" s="1"/>
  <c r="I262" i="4"/>
  <c r="L262" i="4" s="1"/>
  <c r="I313" i="4"/>
  <c r="L313" i="4" s="1"/>
  <c r="I301" i="4"/>
  <c r="L301" i="4" s="1"/>
  <c r="I320" i="4"/>
  <c r="L320" i="4" s="1"/>
  <c r="I25" i="4"/>
  <c r="L25" i="4" s="1"/>
  <c r="I34" i="4"/>
  <c r="L34" i="4" s="1"/>
  <c r="I50" i="4"/>
  <c r="L50" i="4" s="1"/>
  <c r="I63" i="4"/>
  <c r="L63" i="4" s="1"/>
  <c r="I77" i="4"/>
  <c r="L77" i="4" s="1"/>
  <c r="I96" i="4"/>
  <c r="L96" i="4" s="1"/>
  <c r="I104" i="4"/>
  <c r="L104" i="4" s="1"/>
  <c r="I126" i="4"/>
  <c r="L126" i="4" s="1"/>
  <c r="I142" i="4"/>
  <c r="L142" i="4" s="1"/>
  <c r="I157" i="4"/>
  <c r="L157" i="4" s="1"/>
  <c r="I172" i="4"/>
  <c r="L172" i="4" s="1"/>
  <c r="I188" i="4"/>
  <c r="L188" i="4" s="1"/>
  <c r="I215" i="4"/>
  <c r="L215" i="4" s="1"/>
  <c r="I231" i="4"/>
  <c r="L231" i="4" s="1"/>
  <c r="I246" i="4"/>
  <c r="L246" i="4" s="1"/>
  <c r="I261" i="4"/>
  <c r="L261" i="4" s="1"/>
  <c r="I280" i="4"/>
  <c r="L280" i="4" s="1"/>
  <c r="I314" i="4"/>
  <c r="L314" i="4" s="1"/>
  <c r="I339" i="4"/>
  <c r="L339" i="4" s="1"/>
  <c r="I350" i="4"/>
  <c r="L350" i="4" s="1"/>
  <c r="I370" i="4"/>
  <c r="L370" i="4" s="1"/>
  <c r="I38" i="4"/>
  <c r="L38" i="4" s="1"/>
  <c r="I59" i="4"/>
  <c r="L59" i="4" s="1"/>
  <c r="I89" i="4"/>
  <c r="L89" i="4" s="1"/>
  <c r="I19" i="4"/>
  <c r="L19" i="4" s="1"/>
  <c r="I26" i="4"/>
  <c r="L26" i="4" s="1"/>
  <c r="I31" i="4"/>
  <c r="L31" i="4" s="1"/>
  <c r="I41" i="4"/>
  <c r="L41" i="4" s="1"/>
  <c r="I53" i="4"/>
  <c r="L53" i="4" s="1"/>
  <c r="I72" i="4"/>
  <c r="L72" i="4" s="1"/>
  <c r="I105" i="4"/>
  <c r="L105" i="4" s="1"/>
  <c r="I147" i="4"/>
  <c r="L147" i="4" s="1"/>
  <c r="I181" i="4"/>
  <c r="L181" i="4" s="1"/>
  <c r="I208" i="4"/>
  <c r="L208" i="4" s="1"/>
  <c r="I239" i="4"/>
  <c r="L239" i="4" s="1"/>
  <c r="I312" i="4"/>
  <c r="L312" i="4" s="1"/>
  <c r="I173" i="4"/>
  <c r="L173" i="4" s="1"/>
  <c r="I204" i="4"/>
  <c r="L204" i="4" s="1"/>
  <c r="I236" i="4"/>
  <c r="L236" i="4" s="1"/>
  <c r="I273" i="4"/>
  <c r="L273" i="4" s="1"/>
  <c r="I305" i="4"/>
  <c r="L305" i="4" s="1"/>
  <c r="I326" i="4"/>
  <c r="L326" i="4" s="1"/>
  <c r="I36" i="4"/>
  <c r="L36" i="4" s="1"/>
  <c r="I52" i="4"/>
  <c r="L52" i="4" s="1"/>
  <c r="I65" i="4"/>
  <c r="L65" i="4" s="1"/>
  <c r="I79" i="4"/>
  <c r="L79" i="4" s="1"/>
  <c r="I108" i="4"/>
  <c r="L108" i="4" s="1"/>
  <c r="I116" i="4"/>
  <c r="L116" i="4" s="1"/>
  <c r="I130" i="4"/>
  <c r="L130" i="4" s="1"/>
  <c r="I146" i="4"/>
  <c r="L146" i="4" s="1"/>
  <c r="I161" i="4"/>
  <c r="L161" i="4" s="1"/>
  <c r="I180" i="4"/>
  <c r="L180" i="4" s="1"/>
  <c r="I192" i="4"/>
  <c r="L192" i="4" s="1"/>
  <c r="I219" i="4"/>
  <c r="L219" i="4" s="1"/>
  <c r="I235" i="4"/>
  <c r="L235" i="4" s="1"/>
  <c r="I250" i="4"/>
  <c r="L250" i="4" s="1"/>
  <c r="I265" i="4"/>
  <c r="L265" i="4" s="1"/>
  <c r="I284" i="4"/>
  <c r="L284" i="4" s="1"/>
  <c r="I298" i="4"/>
  <c r="L298" i="4" s="1"/>
  <c r="I317" i="4"/>
  <c r="L317" i="4" s="1"/>
  <c r="I343" i="4"/>
  <c r="L343" i="4" s="1"/>
  <c r="I360" i="4"/>
  <c r="L360" i="4" s="1"/>
  <c r="I372" i="4"/>
  <c r="L372" i="4" s="1"/>
  <c r="I54" i="4"/>
  <c r="L54" i="4" s="1"/>
  <c r="I16" i="4"/>
  <c r="L16" i="4" s="1"/>
  <c r="I33" i="4"/>
  <c r="L33" i="4" s="1"/>
  <c r="I64" i="4"/>
  <c r="L64" i="4" s="1"/>
  <c r="I21" i="4"/>
  <c r="L21" i="4" s="1"/>
  <c r="I14" i="4"/>
  <c r="L14" i="4" s="1"/>
  <c r="I13" i="4"/>
  <c r="L13" i="4" s="1"/>
  <c r="I28" i="4"/>
  <c r="L28" i="4" s="1"/>
  <c r="I35" i="4"/>
  <c r="L35" i="4" s="1"/>
  <c r="I45" i="4"/>
  <c r="L45" i="4" s="1"/>
  <c r="I55" i="4"/>
  <c r="L55" i="4" s="1"/>
  <c r="I66" i="4"/>
  <c r="L66" i="4" s="1"/>
  <c r="I76" i="4"/>
  <c r="L76" i="4" s="1"/>
  <c r="I85" i="4"/>
  <c r="L85" i="4" s="1"/>
  <c r="I158" i="4"/>
  <c r="L158" i="4" s="1"/>
  <c r="I212" i="4"/>
  <c r="L212" i="4" s="1"/>
  <c r="I247" i="4"/>
  <c r="L247" i="4" s="1"/>
  <c r="I271" i="4"/>
  <c r="L271" i="4" s="1"/>
  <c r="I351" i="4"/>
  <c r="L351" i="4" s="1"/>
  <c r="I109" i="4"/>
  <c r="L109" i="4" s="1"/>
  <c r="I189" i="4"/>
  <c r="L189" i="4" s="1"/>
  <c r="I216" i="4"/>
  <c r="L216" i="4" s="1"/>
  <c r="I243" i="4"/>
  <c r="L243" i="4" s="1"/>
  <c r="I283" i="4"/>
  <c r="L283" i="4" s="1"/>
  <c r="I293" i="4"/>
  <c r="L293" i="4" s="1"/>
  <c r="I309" i="4"/>
  <c r="L309" i="4" s="1"/>
  <c r="I30" i="4"/>
  <c r="L30" i="4" s="1"/>
  <c r="I42" i="4"/>
  <c r="L42" i="4" s="1"/>
  <c r="I58" i="4"/>
  <c r="L58" i="4" s="1"/>
  <c r="I67" i="4"/>
  <c r="L67" i="4" s="1"/>
  <c r="I81" i="4"/>
  <c r="L81" i="4" s="1"/>
  <c r="I112" i="4"/>
  <c r="L112" i="4" s="1"/>
  <c r="I120" i="4"/>
  <c r="L120" i="4" s="1"/>
  <c r="I134" i="4"/>
  <c r="L134" i="4" s="1"/>
  <c r="I149" i="4"/>
  <c r="L149" i="4" s="1"/>
  <c r="I165" i="4"/>
  <c r="L165" i="4" s="1"/>
  <c r="I196" i="4"/>
  <c r="L196" i="4" s="1"/>
  <c r="I207" i="4"/>
  <c r="L207" i="4" s="1"/>
  <c r="I223" i="4"/>
  <c r="L223" i="4" s="1"/>
  <c r="I238" i="4"/>
  <c r="L238" i="4" s="1"/>
  <c r="I254" i="4"/>
  <c r="L254" i="4" s="1"/>
  <c r="I274" i="4"/>
  <c r="L274" i="4" s="1"/>
  <c r="I288" i="4"/>
  <c r="L288" i="4" s="1"/>
  <c r="I302" i="4"/>
  <c r="L302" i="4" s="1"/>
  <c r="I321" i="4"/>
  <c r="L321" i="4" s="1"/>
  <c r="I333" i="4"/>
  <c r="L333" i="4" s="1"/>
  <c r="I346" i="4"/>
  <c r="L346" i="4" s="1"/>
  <c r="I374" i="4"/>
  <c r="L374" i="4" s="1"/>
  <c r="I69" i="4"/>
  <c r="L69" i="4" s="1"/>
  <c r="I294" i="4"/>
  <c r="L294" i="4" s="1"/>
  <c r="I9" i="4"/>
  <c r="L9" i="4" s="1"/>
  <c r="I18" i="4"/>
  <c r="L18" i="4" s="1"/>
  <c r="I43" i="4"/>
  <c r="L43" i="4" s="1"/>
  <c r="I74" i="4"/>
  <c r="L74" i="4" s="1"/>
  <c r="I23" i="4"/>
  <c r="L23" i="4" s="1"/>
  <c r="I12" i="4"/>
  <c r="L12" i="4" s="1"/>
  <c r="I20" i="4"/>
  <c r="L20" i="4" s="1"/>
  <c r="I37" i="4"/>
  <c r="L37" i="4" s="1"/>
  <c r="I47" i="4"/>
  <c r="L47" i="4" s="1"/>
  <c r="I57" i="4"/>
  <c r="L57" i="4" s="1"/>
  <c r="I68" i="4"/>
  <c r="L68" i="4" s="1"/>
  <c r="I78" i="4"/>
  <c r="L78" i="4" s="1"/>
  <c r="I87" i="4"/>
  <c r="L87" i="4" s="1"/>
  <c r="I127" i="4"/>
  <c r="L127" i="4" s="1"/>
  <c r="I162" i="4"/>
  <c r="L162" i="4" s="1"/>
  <c r="I193" i="4"/>
  <c r="L193" i="4" s="1"/>
  <c r="I220" i="4"/>
  <c r="L220" i="4" s="1"/>
  <c r="I251" i="4"/>
  <c r="L251" i="4" s="1"/>
  <c r="I367" i="4"/>
  <c r="L367" i="4" s="1"/>
  <c r="I117" i="4"/>
  <c r="L117" i="4" s="1"/>
  <c r="I197" i="4"/>
  <c r="L197" i="4" s="1"/>
  <c r="I224" i="4"/>
  <c r="L224" i="4" s="1"/>
  <c r="I255" i="4"/>
  <c r="L255" i="4" s="1"/>
  <c r="I287" i="4"/>
  <c r="L287" i="4" s="1"/>
  <c r="I297" i="4"/>
  <c r="L297" i="4" s="1"/>
  <c r="I311" i="4"/>
  <c r="L311" i="4" s="1"/>
  <c r="I32" i="4"/>
  <c r="L32" i="4" s="1"/>
  <c r="I46" i="4"/>
  <c r="L46" i="4" s="1"/>
  <c r="I62" i="4"/>
  <c r="L62" i="4" s="1"/>
  <c r="I73" i="4"/>
  <c r="L73" i="4" s="1"/>
  <c r="I88" i="4"/>
  <c r="L88" i="4" s="1"/>
  <c r="I102" i="4"/>
  <c r="L102" i="4" s="1"/>
  <c r="I122" i="4"/>
  <c r="L122" i="4" s="1"/>
  <c r="I138" i="4"/>
  <c r="L138" i="4" s="1"/>
  <c r="I153" i="4"/>
  <c r="L153" i="4" s="1"/>
  <c r="I186" i="4"/>
  <c r="L186" i="4" s="1"/>
  <c r="I200" i="4"/>
  <c r="L200" i="4" s="1"/>
  <c r="I211" i="4"/>
  <c r="L211" i="4" s="1"/>
  <c r="I227" i="4"/>
  <c r="L227" i="4" s="1"/>
  <c r="I242" i="4"/>
  <c r="L242" i="4" s="1"/>
  <c r="I258" i="4"/>
  <c r="L258" i="4" s="1"/>
  <c r="I276" i="4"/>
  <c r="L276" i="4" s="1"/>
  <c r="I291" i="4"/>
  <c r="L291" i="4" s="1"/>
  <c r="I306" i="4"/>
  <c r="L306" i="4" s="1"/>
  <c r="I325" i="4"/>
  <c r="L325" i="4" s="1"/>
  <c r="I336" i="4"/>
  <c r="L336" i="4" s="1"/>
  <c r="I348" i="4"/>
  <c r="L348" i="4" s="1"/>
  <c r="I366" i="4"/>
  <c r="L366" i="4" s="1"/>
  <c r="I71" i="4"/>
  <c r="L71" i="4" s="1"/>
  <c r="I124" i="4"/>
  <c r="L124" i="4" s="1"/>
  <c r="I17" i="4"/>
  <c r="L17" i="4" s="1"/>
  <c r="I75" i="4"/>
  <c r="L75" i="4" s="1"/>
  <c r="I140" i="4"/>
  <c r="L140" i="4" s="1"/>
  <c r="I40" i="4"/>
  <c r="L40" i="4" s="1"/>
  <c r="I106" i="4"/>
  <c r="L106" i="4" s="1"/>
  <c r="I163" i="4"/>
  <c r="L163" i="4" s="1"/>
  <c r="I48" i="4"/>
  <c r="L48" i="4" s="1"/>
  <c r="I183" i="4"/>
  <c r="L183" i="4" s="1"/>
  <c r="I199" i="4"/>
  <c r="L199" i="4" s="1"/>
  <c r="I210" i="4"/>
  <c r="L210" i="4" s="1"/>
  <c r="I226" i="4"/>
  <c r="L226" i="4" s="1"/>
  <c r="I241" i="4"/>
  <c r="L241" i="4" s="1"/>
  <c r="I257" i="4"/>
  <c r="L257" i="4" s="1"/>
  <c r="I281" i="4"/>
  <c r="L281" i="4" s="1"/>
  <c r="I299" i="4"/>
  <c r="L299" i="4" s="1"/>
  <c r="I318" i="4"/>
  <c r="L318" i="4" s="1"/>
  <c r="I329" i="4"/>
  <c r="L329" i="4" s="1"/>
  <c r="I334" i="4"/>
  <c r="L334" i="4" s="1"/>
  <c r="I342" i="4"/>
  <c r="L342" i="4" s="1"/>
  <c r="I349" i="4"/>
  <c r="L349" i="4" s="1"/>
  <c r="I361" i="4"/>
  <c r="L361" i="4" s="1"/>
  <c r="I369" i="4"/>
  <c r="L369" i="4" s="1"/>
  <c r="I194" i="4"/>
  <c r="L194" i="4" s="1"/>
  <c r="I205" i="4"/>
  <c r="L205" i="4" s="1"/>
  <c r="I221" i="4"/>
  <c r="L221" i="4" s="1"/>
  <c r="I237" i="4"/>
  <c r="L237" i="4" s="1"/>
  <c r="I252" i="4"/>
  <c r="L252" i="4" s="1"/>
  <c r="I270" i="4"/>
  <c r="L270" i="4" s="1"/>
  <c r="I282" i="4"/>
  <c r="L282" i="4" s="1"/>
  <c r="I292" i="4"/>
  <c r="L292" i="4" s="1"/>
  <c r="I308" i="4"/>
  <c r="L308" i="4" s="1"/>
  <c r="I327" i="4"/>
  <c r="L327" i="4" s="1"/>
  <c r="I337" i="4"/>
  <c r="L337" i="4" s="1"/>
  <c r="I376" i="4"/>
  <c r="L376" i="4" s="1"/>
  <c r="I107" i="4"/>
  <c r="L107" i="4" s="1"/>
  <c r="I129" i="4"/>
  <c r="L129" i="4" s="1"/>
  <c r="I128" i="4"/>
  <c r="L128" i="4" s="1"/>
  <c r="I151" i="4"/>
  <c r="L151" i="4" s="1"/>
  <c r="I86" i="4"/>
  <c r="L86" i="4" s="1"/>
  <c r="I159" i="4"/>
  <c r="L159" i="4" s="1"/>
  <c r="I90" i="4"/>
  <c r="L90" i="4" s="1"/>
  <c r="I56" i="4"/>
  <c r="L56" i="4" s="1"/>
  <c r="I118" i="4"/>
  <c r="L118" i="4" s="1"/>
  <c r="I167" i="4"/>
  <c r="L167" i="4" s="1"/>
  <c r="I168" i="4"/>
  <c r="L168" i="4" s="1"/>
  <c r="I187" i="4"/>
  <c r="L187" i="4" s="1"/>
  <c r="I203" i="4"/>
  <c r="L203" i="4" s="1"/>
  <c r="I214" i="4"/>
  <c r="L214" i="4" s="1"/>
  <c r="I230" i="4"/>
  <c r="L230" i="4" s="1"/>
  <c r="I245" i="4"/>
  <c r="L245" i="4" s="1"/>
  <c r="I260" i="4"/>
  <c r="L260" i="4" s="1"/>
  <c r="I289" i="4"/>
  <c r="L289" i="4" s="1"/>
  <c r="I303" i="4"/>
  <c r="L303" i="4" s="1"/>
  <c r="I322" i="4"/>
  <c r="L322" i="4" s="1"/>
  <c r="I331" i="4"/>
  <c r="L331" i="4" s="1"/>
  <c r="I344" i="4"/>
  <c r="L344" i="4" s="1"/>
  <c r="I357" i="4"/>
  <c r="L357" i="4" s="1"/>
  <c r="I371" i="4"/>
  <c r="L371" i="4" s="1"/>
  <c r="I198" i="4"/>
  <c r="L198" i="4" s="1"/>
  <c r="I209" i="4"/>
  <c r="L209" i="4" s="1"/>
  <c r="I225" i="4"/>
  <c r="L225" i="4" s="1"/>
  <c r="I240" i="4"/>
  <c r="L240" i="4" s="1"/>
  <c r="I256" i="4"/>
  <c r="L256" i="4" s="1"/>
  <c r="I272" i="4"/>
  <c r="L272" i="4" s="1"/>
  <c r="I286" i="4"/>
  <c r="L286" i="4" s="1"/>
  <c r="I296" i="4"/>
  <c r="L296" i="4" s="1"/>
  <c r="I316" i="4"/>
  <c r="L316" i="4" s="1"/>
  <c r="I330" i="4"/>
  <c r="L330" i="4" s="1"/>
  <c r="I341" i="4"/>
  <c r="L341" i="4" s="1"/>
  <c r="I362" i="4"/>
  <c r="L362" i="4" s="1"/>
  <c r="I111" i="4"/>
  <c r="L111" i="4" s="1"/>
  <c r="I133" i="4"/>
  <c r="L133" i="4" s="1"/>
  <c r="I141" i="4"/>
  <c r="L141" i="4" s="1"/>
  <c r="I152" i="4"/>
  <c r="L152" i="4" s="1"/>
  <c r="I164" i="4"/>
  <c r="L164" i="4" s="1"/>
  <c r="I229" i="4"/>
  <c r="L229" i="4" s="1"/>
  <c r="I319" i="4"/>
  <c r="L319" i="4" s="1"/>
  <c r="I135" i="4"/>
  <c r="L135" i="4" s="1"/>
  <c r="I166" i="4"/>
  <c r="L166" i="4" s="1"/>
  <c r="I115" i="4"/>
  <c r="L115" i="4" s="1"/>
  <c r="I132" i="4"/>
  <c r="L132" i="4" s="1"/>
  <c r="I170" i="4"/>
  <c r="L170" i="4" s="1"/>
  <c r="I44" i="4"/>
  <c r="L44" i="4" s="1"/>
  <c r="I110" i="4"/>
  <c r="L110" i="4" s="1"/>
  <c r="I15" i="4"/>
  <c r="L15" i="4" s="1"/>
  <c r="I83" i="4"/>
  <c r="L83" i="4" s="1"/>
  <c r="I136" i="4"/>
  <c r="L136" i="4" s="1"/>
  <c r="I174" i="4"/>
  <c r="L174" i="4" s="1"/>
  <c r="I171" i="4"/>
  <c r="L171" i="4" s="1"/>
  <c r="I191" i="4"/>
  <c r="L191" i="4" s="1"/>
  <c r="I218" i="4"/>
  <c r="L218" i="4" s="1"/>
  <c r="I234" i="4"/>
  <c r="L234" i="4" s="1"/>
  <c r="I249" i="4"/>
  <c r="L249" i="4" s="1"/>
  <c r="I264" i="4"/>
  <c r="L264" i="4" s="1"/>
  <c r="I307" i="4"/>
  <c r="L307" i="4" s="1"/>
  <c r="I324" i="4"/>
  <c r="L324" i="4" s="1"/>
  <c r="I338" i="4"/>
  <c r="L338" i="4" s="1"/>
  <c r="I345" i="4"/>
  <c r="L345" i="4" s="1"/>
  <c r="I363" i="4"/>
  <c r="L363" i="4" s="1"/>
  <c r="I373" i="4"/>
  <c r="L373" i="4" s="1"/>
  <c r="I185" i="4"/>
  <c r="L185" i="4" s="1"/>
  <c r="I97" i="4"/>
  <c r="L97" i="4" s="1"/>
  <c r="I202" i="4"/>
  <c r="L202" i="4" s="1"/>
  <c r="I213" i="4"/>
  <c r="L213" i="4" s="1"/>
  <c r="I244" i="4"/>
  <c r="L244" i="4" s="1"/>
  <c r="I259" i="4"/>
  <c r="L259" i="4" s="1"/>
  <c r="I290" i="4"/>
  <c r="L290" i="4" s="1"/>
  <c r="I300" i="4"/>
  <c r="L300" i="4" s="1"/>
  <c r="I364" i="4"/>
  <c r="L364" i="4" s="1"/>
  <c r="I113" i="4"/>
  <c r="L113" i="4" s="1"/>
  <c r="I123" i="4"/>
  <c r="L123" i="4" s="1"/>
  <c r="I145" i="4"/>
  <c r="L145" i="4" s="1"/>
  <c r="I154" i="4"/>
  <c r="L154" i="4" s="1"/>
  <c r="I114" i="4"/>
  <c r="L114" i="4" s="1"/>
  <c r="I144" i="4"/>
  <c r="L144" i="4" s="1"/>
  <c r="I184" i="4"/>
  <c r="L184" i="4" s="1"/>
  <c r="I60" i="4"/>
  <c r="L60" i="4" s="1"/>
  <c r="I190" i="4"/>
  <c r="L190" i="4" s="1"/>
  <c r="I95" i="4"/>
  <c r="L95" i="4" s="1"/>
  <c r="I100" i="4"/>
  <c r="L100" i="4" s="1"/>
  <c r="I155" i="4"/>
  <c r="L155" i="4" s="1"/>
  <c r="I182" i="4"/>
  <c r="L182" i="4" s="1"/>
  <c r="I175" i="4"/>
  <c r="L175" i="4" s="1"/>
  <c r="I195" i="4"/>
  <c r="L195" i="4" s="1"/>
  <c r="I206" i="4"/>
  <c r="L206" i="4" s="1"/>
  <c r="I222" i="4"/>
  <c r="L222" i="4" s="1"/>
  <c r="I253" i="4"/>
  <c r="L253" i="4" s="1"/>
  <c r="I275" i="4"/>
  <c r="L275" i="4" s="1"/>
  <c r="I295" i="4"/>
  <c r="L295" i="4" s="1"/>
  <c r="I315" i="4"/>
  <c r="L315" i="4" s="1"/>
  <c r="I328" i="4"/>
  <c r="L328" i="4" s="1"/>
  <c r="I332" i="4"/>
  <c r="L332" i="4" s="1"/>
  <c r="I340" i="4"/>
  <c r="L340" i="4" s="1"/>
  <c r="I347" i="4"/>
  <c r="L347" i="4" s="1"/>
  <c r="I359" i="4"/>
  <c r="L359" i="4" s="1"/>
  <c r="I365" i="4"/>
  <c r="L365" i="4" s="1"/>
  <c r="I375" i="4"/>
  <c r="L375" i="4" s="1"/>
  <c r="I285" i="4"/>
  <c r="L285" i="4" s="1"/>
  <c r="I277" i="4"/>
  <c r="L277" i="4" s="1"/>
  <c r="I217" i="4"/>
  <c r="L217" i="4" s="1"/>
  <c r="I233" i="4"/>
  <c r="L233" i="4" s="1"/>
  <c r="I248" i="4"/>
  <c r="L248" i="4" s="1"/>
  <c r="I263" i="4"/>
  <c r="L263" i="4" s="1"/>
  <c r="I278" i="4"/>
  <c r="L278" i="4" s="1"/>
  <c r="I304" i="4"/>
  <c r="L304" i="4" s="1"/>
  <c r="I323" i="4"/>
  <c r="L323" i="4" s="1"/>
  <c r="I335" i="4"/>
  <c r="L335" i="4" s="1"/>
  <c r="I356" i="4"/>
  <c r="L356" i="4" s="1"/>
  <c r="I368" i="4"/>
  <c r="L368" i="4" s="1"/>
  <c r="I103" i="4"/>
  <c r="L103" i="4" s="1"/>
  <c r="I119" i="4"/>
  <c r="L119" i="4" s="1"/>
  <c r="I125" i="4"/>
  <c r="L125" i="4" s="1"/>
  <c r="I137" i="4"/>
  <c r="L137" i="4" s="1"/>
  <c r="I148" i="4"/>
  <c r="L148" i="4" s="1"/>
  <c r="I156" i="4"/>
  <c r="L156" i="4" s="1"/>
  <c r="I150" i="4"/>
  <c r="L150" i="4" s="1"/>
  <c r="I160" i="4"/>
  <c r="L160" i="4" s="1"/>
  <c r="I121" i="4"/>
  <c r="L121" i="4" s="1"/>
  <c r="I139" i="4"/>
  <c r="L139" i="4" s="1"/>
  <c r="M179" i="4" l="1"/>
  <c r="M91" i="4"/>
  <c r="M94" i="4"/>
  <c r="M269" i="4"/>
  <c r="M354" i="4"/>
  <c r="M355" i="4"/>
  <c r="M177" i="4"/>
  <c r="M178" i="4"/>
  <c r="M92" i="4"/>
  <c r="M353" i="4"/>
  <c r="M352" i="4"/>
  <c r="M93" i="4"/>
  <c r="M29" i="4"/>
  <c r="M267" i="4"/>
  <c r="M268" i="4"/>
  <c r="M98" i="4"/>
  <c r="M176" i="4"/>
  <c r="M266" i="4"/>
  <c r="M263" i="4"/>
  <c r="M340" i="4"/>
  <c r="M222" i="4"/>
  <c r="M190" i="4"/>
  <c r="M244" i="4"/>
  <c r="M363" i="4"/>
  <c r="M152" i="4"/>
  <c r="M296" i="4"/>
  <c r="M56" i="4"/>
  <c r="M349" i="4"/>
  <c r="M40" i="4"/>
  <c r="M227" i="4"/>
  <c r="M78" i="4"/>
  <c r="M11" i="4"/>
  <c r="M160" i="4"/>
  <c r="M137" i="4"/>
  <c r="M103" i="4"/>
  <c r="M323" i="4"/>
  <c r="M248" i="4"/>
  <c r="M285" i="4"/>
  <c r="M365" i="4"/>
  <c r="M332" i="4"/>
  <c r="M275" i="4"/>
  <c r="M206" i="4"/>
  <c r="M155" i="4"/>
  <c r="M154" i="4"/>
  <c r="M300" i="4"/>
  <c r="M213" i="4"/>
  <c r="M345" i="4"/>
  <c r="M307" i="4"/>
  <c r="M218" i="4"/>
  <c r="M136" i="4"/>
  <c r="M110" i="4"/>
  <c r="M115" i="4"/>
  <c r="M141" i="4"/>
  <c r="M341" i="4"/>
  <c r="M286" i="4"/>
  <c r="M225" i="4"/>
  <c r="M344" i="4"/>
  <c r="M303" i="4"/>
  <c r="M230" i="4"/>
  <c r="M168" i="4"/>
  <c r="M90" i="4"/>
  <c r="M128" i="4"/>
  <c r="M327" i="4"/>
  <c r="M270" i="4"/>
  <c r="M205" i="4"/>
  <c r="M342" i="4"/>
  <c r="M299" i="4"/>
  <c r="M226" i="4"/>
  <c r="M48" i="4"/>
  <c r="M140" i="4"/>
  <c r="M124" i="4"/>
  <c r="M336" i="4"/>
  <c r="M276" i="4"/>
  <c r="M211" i="4"/>
  <c r="M153" i="4"/>
  <c r="M102" i="4"/>
  <c r="M46" i="4"/>
  <c r="M287" i="4"/>
  <c r="M117" i="4"/>
  <c r="M162" i="4"/>
  <c r="M68" i="4"/>
  <c r="M20" i="4"/>
  <c r="M43" i="4"/>
  <c r="M69" i="4"/>
  <c r="M333" i="4"/>
  <c r="M274" i="4"/>
  <c r="M207" i="4"/>
  <c r="M134" i="4"/>
  <c r="M67" i="4"/>
  <c r="M309" i="4"/>
  <c r="M216" i="4"/>
  <c r="M212" i="4"/>
  <c r="M76" i="4"/>
  <c r="M35" i="4"/>
  <c r="M21" i="4"/>
  <c r="M372" i="4"/>
  <c r="M317" i="4"/>
  <c r="M250" i="4"/>
  <c r="M180" i="4"/>
  <c r="M116" i="4"/>
  <c r="M52" i="4"/>
  <c r="M273" i="4"/>
  <c r="M239" i="4"/>
  <c r="M105" i="4"/>
  <c r="M53" i="4"/>
  <c r="M19" i="4"/>
  <c r="M246" i="4"/>
  <c r="M172" i="4"/>
  <c r="M104" i="4"/>
  <c r="M50" i="4"/>
  <c r="M301" i="4"/>
  <c r="M201" i="4"/>
  <c r="M169" i="4"/>
  <c r="M70" i="4"/>
  <c r="M24" i="4"/>
  <c r="M80" i="4"/>
  <c r="M358" i="4"/>
  <c r="M148" i="4"/>
  <c r="M335" i="4"/>
  <c r="M277" i="4"/>
  <c r="M375" i="4"/>
  <c r="M295" i="4"/>
  <c r="M182" i="4"/>
  <c r="M144" i="4"/>
  <c r="M113" i="4"/>
  <c r="M185" i="4"/>
  <c r="M324" i="4"/>
  <c r="M174" i="4"/>
  <c r="M135" i="4"/>
  <c r="M111" i="4"/>
  <c r="M322" i="4"/>
  <c r="M245" i="4"/>
  <c r="M151" i="4"/>
  <c r="M337" i="4"/>
  <c r="M221" i="4"/>
  <c r="M241" i="4"/>
  <c r="M348" i="4"/>
  <c r="M62" i="4"/>
  <c r="M197" i="4"/>
  <c r="M193" i="4"/>
  <c r="M74" i="4"/>
  <c r="M288" i="4"/>
  <c r="M149" i="4"/>
  <c r="M30" i="4"/>
  <c r="M247" i="4"/>
  <c r="M85" i="4"/>
  <c r="M45" i="4"/>
  <c r="M14" i="4"/>
  <c r="M16" i="4"/>
  <c r="M265" i="4"/>
  <c r="M192" i="4"/>
  <c r="M130" i="4"/>
  <c r="M65" i="4"/>
  <c r="M305" i="4"/>
  <c r="M173" i="4"/>
  <c r="M312" i="4"/>
  <c r="M147" i="4"/>
  <c r="M26" i="4"/>
  <c r="M261" i="4"/>
  <c r="M126" i="4"/>
  <c r="M320" i="4"/>
  <c r="M39" i="4"/>
  <c r="M368" i="4"/>
  <c r="M304" i="4"/>
  <c r="M233" i="4"/>
  <c r="M359" i="4"/>
  <c r="M328" i="4"/>
  <c r="M195" i="4"/>
  <c r="M60" i="4"/>
  <c r="M202" i="4"/>
  <c r="M338" i="4"/>
  <c r="M264" i="4"/>
  <c r="M191" i="4"/>
  <c r="M83" i="4"/>
  <c r="M44" i="4"/>
  <c r="M229" i="4"/>
  <c r="M133" i="4"/>
  <c r="M330" i="4"/>
  <c r="M272" i="4"/>
  <c r="M209" i="4"/>
  <c r="M371" i="4"/>
  <c r="M289" i="4"/>
  <c r="M214" i="4"/>
  <c r="M167" i="4"/>
  <c r="M159" i="4"/>
  <c r="M129" i="4"/>
  <c r="M308" i="4"/>
  <c r="M252" i="4"/>
  <c r="M194" i="4"/>
  <c r="M369" i="4"/>
  <c r="M334" i="4"/>
  <c r="M281" i="4"/>
  <c r="M210" i="4"/>
  <c r="M163" i="4"/>
  <c r="M75" i="4"/>
  <c r="M71" i="4"/>
  <c r="M325" i="4"/>
  <c r="M258" i="4"/>
  <c r="M200" i="4"/>
  <c r="M138" i="4"/>
  <c r="M88" i="4"/>
  <c r="M32" i="4"/>
  <c r="M255" i="4"/>
  <c r="M251" i="4"/>
  <c r="M127" i="4"/>
  <c r="M57" i="4"/>
  <c r="M12" i="4"/>
  <c r="M18" i="4"/>
  <c r="M374" i="4"/>
  <c r="M321" i="4"/>
  <c r="M254" i="4"/>
  <c r="M196" i="4"/>
  <c r="M120" i="4"/>
  <c r="M58" i="4"/>
  <c r="M293" i="4"/>
  <c r="M189" i="4"/>
  <c r="M351" i="4"/>
  <c r="M66" i="4"/>
  <c r="M28" i="4"/>
  <c r="M64" i="4"/>
  <c r="M54" i="4"/>
  <c r="M360" i="4"/>
  <c r="M298" i="4"/>
  <c r="M235" i="4"/>
  <c r="M161" i="4"/>
  <c r="M108" i="4"/>
  <c r="M36" i="4"/>
  <c r="M236" i="4"/>
  <c r="M208" i="4"/>
  <c r="M41" i="4"/>
  <c r="M89" i="4"/>
  <c r="M370" i="4"/>
  <c r="M314" i="4"/>
  <c r="M231" i="4"/>
  <c r="M157" i="4"/>
  <c r="M96" i="4"/>
  <c r="M34" i="4"/>
  <c r="M313" i="4"/>
  <c r="M143" i="4"/>
  <c r="M279" i="4"/>
  <c r="M131" i="4"/>
  <c r="M61" i="4"/>
  <c r="M49" i="4"/>
  <c r="M84" i="4"/>
  <c r="M121" i="4"/>
  <c r="M234" i="4"/>
  <c r="M132" i="4"/>
  <c r="M319" i="4"/>
  <c r="M362" i="4"/>
  <c r="M240" i="4"/>
  <c r="M357" i="4"/>
  <c r="M187" i="4"/>
  <c r="M282" i="4"/>
  <c r="M318" i="4"/>
  <c r="M183" i="4"/>
  <c r="M291" i="4"/>
  <c r="M297" i="4"/>
  <c r="M367" i="4"/>
  <c r="M37" i="4"/>
  <c r="M294" i="4"/>
  <c r="M346" i="4"/>
  <c r="M223" i="4"/>
  <c r="M81" i="4"/>
  <c r="M243" i="4"/>
  <c r="M339" i="4"/>
  <c r="M188" i="4"/>
  <c r="M63" i="4"/>
  <c r="M228" i="4"/>
  <c r="M232" i="4"/>
  <c r="M82" i="4"/>
  <c r="M150" i="4"/>
  <c r="M125" i="4"/>
  <c r="M253" i="4"/>
  <c r="M100" i="4"/>
  <c r="M145" i="4"/>
  <c r="M290" i="4"/>
  <c r="M139" i="4"/>
  <c r="M156" i="4"/>
  <c r="M119" i="4"/>
  <c r="M356" i="4"/>
  <c r="M278" i="4"/>
  <c r="M217" i="4"/>
  <c r="M347" i="4"/>
  <c r="M315" i="4"/>
  <c r="M175" i="4"/>
  <c r="M95" i="4"/>
  <c r="M184" i="4"/>
  <c r="M114" i="4"/>
  <c r="M123" i="4"/>
  <c r="M364" i="4"/>
  <c r="M259" i="4"/>
  <c r="M97" i="4"/>
  <c r="M373" i="4"/>
  <c r="M249" i="4"/>
  <c r="M171" i="4"/>
  <c r="M15" i="4"/>
  <c r="M170" i="4"/>
  <c r="M166" i="4"/>
  <c r="M164" i="4"/>
  <c r="M316" i="4"/>
  <c r="M256" i="4"/>
  <c r="M198" i="4"/>
  <c r="M331" i="4"/>
  <c r="M260" i="4"/>
  <c r="M203" i="4"/>
  <c r="M118" i="4"/>
  <c r="M86" i="4"/>
  <c r="M107" i="4"/>
  <c r="M376" i="4"/>
  <c r="M292" i="4"/>
  <c r="M237" i="4"/>
  <c r="M361" i="4"/>
  <c r="M329" i="4"/>
  <c r="M257" i="4"/>
  <c r="M199" i="4"/>
  <c r="M106" i="4"/>
  <c r="M17" i="4"/>
  <c r="M366" i="4"/>
  <c r="M306" i="4"/>
  <c r="M242" i="4"/>
  <c r="M186" i="4"/>
  <c r="M122" i="4"/>
  <c r="M73" i="4"/>
  <c r="M311" i="4"/>
  <c r="M224" i="4"/>
  <c r="M220" i="4"/>
  <c r="M87" i="4"/>
  <c r="M47" i="4"/>
  <c r="M23" i="4"/>
  <c r="M9" i="4"/>
  <c r="M302" i="4"/>
  <c r="M238" i="4"/>
  <c r="M165" i="4"/>
  <c r="M112" i="4"/>
  <c r="M42" i="4"/>
  <c r="M283" i="4"/>
  <c r="M109" i="4"/>
  <c r="M271" i="4"/>
  <c r="M158" i="4"/>
  <c r="M55" i="4"/>
  <c r="M13" i="4"/>
  <c r="M33" i="4"/>
  <c r="M343" i="4"/>
  <c r="M284" i="4"/>
  <c r="M219" i="4"/>
  <c r="M146" i="4"/>
  <c r="M79" i="4"/>
  <c r="M326" i="4"/>
  <c r="M204" i="4"/>
  <c r="M181" i="4"/>
  <c r="M72" i="4"/>
  <c r="M31" i="4"/>
  <c r="M59" i="4"/>
  <c r="M38" i="4"/>
  <c r="M350" i="4"/>
  <c r="M280" i="4"/>
  <c r="M215" i="4"/>
  <c r="M142" i="4"/>
  <c r="M77" i="4"/>
  <c r="M25" i="4"/>
  <c r="M262" i="4"/>
  <c r="M99" i="4"/>
  <c r="M101" i="4"/>
  <c r="M51" i="4"/>
  <c r="M10" i="4"/>
  <c r="M22" i="4"/>
  <c r="M27" i="4"/>
</calcChain>
</file>

<file path=xl/sharedStrings.xml><?xml version="1.0" encoding="utf-8"?>
<sst xmlns="http://schemas.openxmlformats.org/spreadsheetml/2006/main" count="4997" uniqueCount="660">
  <si>
    <t>TABELA</t>
  </si>
  <si>
    <t>Tabela Simulada</t>
  </si>
  <si>
    <t>TABELA_SIMUL</t>
  </si>
  <si>
    <t>TIPOLOGIA_TESTE</t>
  </si>
  <si>
    <t>Caracteres Especiais</t>
  </si>
  <si>
    <t>Coerência</t>
  </si>
  <si>
    <t>CAMPO</t>
  </si>
  <si>
    <t>TABELA_LT_PILAR3</t>
  </si>
  <si>
    <t>UNIVERSO_PILAR3</t>
  </si>
  <si>
    <t>UNIVERSO_SIMUL</t>
  </si>
  <si>
    <t>CRUZAMENTO</t>
  </si>
  <si>
    <t>Instrument</t>
  </si>
  <si>
    <t>Projeto</t>
  </si>
  <si>
    <t>Âmbito</t>
  </si>
  <si>
    <t xml:space="preserve">Testes GD &amp; Pilar 3 </t>
  </si>
  <si>
    <t>Análise dos campo da Loan Tape Pilar III</t>
  </si>
  <si>
    <t>nome_perimetro</t>
  </si>
  <si>
    <r>
      <t xml:space="preserve">Para a validação dos </t>
    </r>
    <r>
      <rPr>
        <b/>
        <sz val="11"/>
        <color theme="1"/>
        <rFont val="Neo sans"/>
      </rPr>
      <t>campos da Loan Tape Pilar III</t>
    </r>
    <r>
      <rPr>
        <sz val="11"/>
        <color theme="1"/>
        <rFont val="Neo sans"/>
      </rPr>
      <t xml:space="preserve"> é necessário percorrer os seguintes </t>
    </r>
    <r>
      <rPr>
        <i/>
        <sz val="11"/>
        <color theme="1"/>
        <rFont val="Neo sans"/>
      </rPr>
      <t>steps</t>
    </r>
    <r>
      <rPr>
        <sz val="11"/>
        <color theme="1"/>
        <rFont val="Neo sans"/>
      </rPr>
      <t>:</t>
    </r>
  </si>
  <si>
    <t xml:space="preserve">1.1.  Verificar a especificação do campo em análise. Se aplicável, verificar se é necessário reportar valor para ajustes. </t>
  </si>
  <si>
    <t>1.2.  Montar a simulação do campo tendo atenção aos seguintes pormenores:</t>
  </si>
  <si>
    <t xml:space="preserve">a) Não vamos fazer JOIN com a tabela de parametrização (LT803). Em alternativa, montamos um CASE WHEN ou importamos a parametrização. </t>
  </si>
  <si>
    <t>b) Para operações de ajustes verificar se o campo deve reportar valor.</t>
  </si>
  <si>
    <t>c) Se for necessário aplicar algum filtro (ou tratamento) que não está na especificação deixar um comentário no código.</t>
  </si>
  <si>
    <t>d) Garantir que não existem duplicados e deixar no código o número de registos de cada LEFT JOIN.</t>
  </si>
  <si>
    <t>segmento</t>
  </si>
  <si>
    <t>entidade</t>
  </si>
  <si>
    <t>lt002_instrument</t>
  </si>
  <si>
    <t>lt003_entity</t>
  </si>
  <si>
    <t>entty_id</t>
  </si>
  <si>
    <t>lt005_instr_ent</t>
  </si>
  <si>
    <t>instrmnt_id</t>
  </si>
  <si>
    <t>lt006_instr_prot</t>
  </si>
  <si>
    <t>prtctn_id</t>
  </si>
  <si>
    <t>lt004_protection</t>
  </si>
  <si>
    <t>Tabela Loan Tape Pilar 3</t>
  </si>
  <si>
    <t>Nome da Tabela</t>
  </si>
  <si>
    <t>Chave 1</t>
  </si>
  <si>
    <t>Chave 2</t>
  </si>
  <si>
    <t>ambito (Pilar 3)</t>
  </si>
  <si>
    <t>ambito (PM)</t>
  </si>
  <si>
    <t>Filtro Loan Tape Pilar 3</t>
  </si>
  <si>
    <t>bu_loantape_work</t>
  </si>
  <si>
    <t>Individual Corporativo</t>
  </si>
  <si>
    <t>ESTR</t>
  </si>
  <si>
    <t>PM</t>
  </si>
  <si>
    <t>00100</t>
  </si>
  <si>
    <t/>
  </si>
  <si>
    <t>FORMATO CAMPO</t>
  </si>
  <si>
    <t>REF_DATE</t>
  </si>
  <si>
    <t>NUM_REG_DIF</t>
  </si>
  <si>
    <t>HTIMEST</t>
  </si>
  <si>
    <t>ID_EXEC</t>
  </si>
  <si>
    <t>NUM_REG</t>
  </si>
  <si>
    <t>TABELA_LT</t>
  </si>
  <si>
    <t>Tabela</t>
  </si>
  <si>
    <t>Campo</t>
  </si>
  <si>
    <t>VALOR_MIN</t>
  </si>
  <si>
    <t>VALOR_MAX</t>
  </si>
  <si>
    <t>1. Erros de Coerência (#)</t>
  </si>
  <si>
    <t>2. Erros de Valores Admitidos (#)</t>
  </si>
  <si>
    <t>3. Erros de Caract. Especiais (#)</t>
  </si>
  <si>
    <t>Testes Corridos (#)</t>
  </si>
  <si>
    <t>ID Exec. 1.</t>
  </si>
  <si>
    <t>ID Exec. 2</t>
  </si>
  <si>
    <t>ID Exec. 3.</t>
  </si>
  <si>
    <t>ID Exec. 4.</t>
  </si>
  <si>
    <t>ID Exec. 5.</t>
  </si>
  <si>
    <t>Comentário</t>
  </si>
  <si>
    <t>Status</t>
  </si>
  <si>
    <t>Validade</t>
  </si>
  <si>
    <t>4. Registos com Missing (#)</t>
  </si>
  <si>
    <t>5. Registos com N/A (#)</t>
  </si>
  <si>
    <t>6. Valor Mínimo</t>
  </si>
  <si>
    <t>7. Valor Máximo</t>
  </si>
  <si>
    <r>
      <t>1.</t>
    </r>
    <r>
      <rPr>
        <b/>
        <i/>
        <sz val="11"/>
        <color rgb="FFFF0000"/>
        <rFont val="Arial"/>
        <family val="2"/>
      </rPr>
      <t xml:space="preserve"> Status</t>
    </r>
    <r>
      <rPr>
        <b/>
        <sz val="11"/>
        <color rgb="FFFF0000"/>
        <rFont val="Arial"/>
        <family val="2"/>
      </rPr>
      <t xml:space="preserve"> dos Testes</t>
    </r>
  </si>
  <si>
    <r>
      <t xml:space="preserve">2. </t>
    </r>
    <r>
      <rPr>
        <b/>
        <i/>
        <sz val="11"/>
        <color rgb="FFFF0000"/>
        <rFont val="Arial"/>
        <family val="2"/>
      </rPr>
      <t>Script</t>
    </r>
    <r>
      <rPr>
        <b/>
        <sz val="11"/>
        <color rgb="FFFF0000"/>
        <rFont val="Arial"/>
        <family val="2"/>
      </rPr>
      <t xml:space="preserve"> de Controlos</t>
    </r>
  </si>
  <si>
    <t>3. Resultados dos controlos 1 a 5</t>
  </si>
  <si>
    <t>3. Resultados dos controlos 6 a 7</t>
  </si>
  <si>
    <t>QUERY 1</t>
  </si>
  <si>
    <t>UNION ALL</t>
  </si>
  <si>
    <r>
      <t xml:space="preserve">1. Atualizar o </t>
    </r>
    <r>
      <rPr>
        <b/>
        <i/>
        <sz val="11"/>
        <color theme="1"/>
        <rFont val="Neo sans"/>
      </rPr>
      <t>script</t>
    </r>
    <r>
      <rPr>
        <b/>
        <sz val="11"/>
        <color theme="1"/>
        <rFont val="Neo sans"/>
      </rPr>
      <t xml:space="preserve"> de simulação com o campo em análise.</t>
    </r>
  </si>
  <si>
    <r>
      <t xml:space="preserve">2. Executar no HUE (em HIVE) o CREATE TABLE do </t>
    </r>
    <r>
      <rPr>
        <b/>
        <i/>
        <sz val="11"/>
        <color theme="1"/>
        <rFont val="Neo sans"/>
      </rPr>
      <t>script</t>
    </r>
    <r>
      <rPr>
        <b/>
        <sz val="11"/>
        <color theme="1"/>
        <rFont val="Neo sans"/>
      </rPr>
      <t xml:space="preserve"> de simulação.</t>
    </r>
  </si>
  <si>
    <r>
      <t xml:space="preserve">3. Executar no HUE o </t>
    </r>
    <r>
      <rPr>
        <b/>
        <i/>
        <sz val="11"/>
        <color theme="1"/>
        <rFont val="Neo sans"/>
      </rPr>
      <t xml:space="preserve">script </t>
    </r>
    <r>
      <rPr>
        <b/>
        <sz val="11"/>
        <color theme="1"/>
        <rFont val="Neo sans"/>
      </rPr>
      <t>de controlo de universo.</t>
    </r>
  </si>
  <si>
    <r>
      <t xml:space="preserve">4. Verificar com IT o nome da tabela a testar e filtros. Caso seja necessário, atualizar as tabelas </t>
    </r>
    <r>
      <rPr>
        <b/>
        <i/>
        <sz val="11"/>
        <color theme="1"/>
        <rFont val="Neo sans"/>
      </rPr>
      <t>infra</t>
    </r>
    <r>
      <rPr>
        <b/>
        <sz val="11"/>
        <color theme="1"/>
        <rFont val="Neo sans"/>
      </rPr>
      <t>:</t>
    </r>
  </si>
  <si>
    <t>6. XXX</t>
  </si>
  <si>
    <t>7. XXX</t>
  </si>
  <si>
    <t>Protection</t>
  </si>
  <si>
    <t>Entity</t>
  </si>
  <si>
    <t>0. Instruções</t>
  </si>
  <si>
    <t>Code List</t>
  </si>
  <si>
    <t>Missings</t>
  </si>
  <si>
    <t>FLOAT 6 decimal places</t>
  </si>
  <si>
    <t>FLOAT 2 decimal places</t>
  </si>
  <si>
    <t>Not applicable</t>
  </si>
  <si>
    <t>DT_INCPTN</t>
  </si>
  <si>
    <t>DFLT_STTS_INSTRMNT</t>
  </si>
  <si>
    <t>IMPRMNT_STTS</t>
  </si>
  <si>
    <t>PRFRMNG_STTS</t>
  </si>
  <si>
    <t>PRJCT_FNNC_LN</t>
  </si>
  <si>
    <t>TYP_INSTRMNT</t>
  </si>
  <si>
    <t>GRSS_CRRYNG_AMNT_INSTRMNT</t>
  </si>
  <si>
    <t>ACCMLTD_CHNGS_FV_CR_INSTRMNT</t>
  </si>
  <si>
    <t>ACCNTNG_CLSSFCTN</t>
  </si>
  <si>
    <t>DT_LGL_FNL_MTRTY</t>
  </si>
  <si>
    <t>ACCMLTD_IMPRMNT_INSTRMNT</t>
  </si>
  <si>
    <t>ISSR_CNTRY</t>
  </si>
  <si>
    <t>ISSR_NACE_SCTR</t>
  </si>
  <si>
    <t>PRMRY_ASST_CLSSF</t>
  </si>
  <si>
    <t>SUBPORTFOLIO_ID</t>
  </si>
  <si>
    <t>COD_SOC</t>
  </si>
  <si>
    <t>LCL_INSTMRNT_ID</t>
  </si>
  <si>
    <t>IDCMB</t>
  </si>
  <si>
    <t>ISIN</t>
  </si>
  <si>
    <t>CNTRY</t>
  </si>
  <si>
    <t>LEI</t>
  </si>
  <si>
    <t>ECNMC_ACTVTY</t>
  </si>
  <si>
    <t>GRP_EQTY</t>
  </si>
  <si>
    <t>ANNL_TRNVR_LE</t>
  </si>
  <si>
    <t>EQTY</t>
  </si>
  <si>
    <t>GRP_TTL_DBT</t>
  </si>
  <si>
    <t>TTL_DBT</t>
  </si>
  <si>
    <t>RL_ESTT_CLLTRL_LCTN</t>
  </si>
  <si>
    <t>RL_ESTT_PST_CD</t>
  </si>
  <si>
    <t>TYP_PRTCTN</t>
  </si>
  <si>
    <t>ORGNL_PRTCTN_VL</t>
  </si>
  <si>
    <t>PRTCTN_VL</t>
  </si>
  <si>
    <t>INSTRUMENT</t>
  </si>
  <si>
    <t>ENTITY</t>
  </si>
  <si>
    <t>PROTECTION</t>
  </si>
  <si>
    <t>VALORES CODE LIST</t>
  </si>
  <si>
    <t>Número de Registos ID1. (#)</t>
  </si>
  <si>
    <t>Número de Registos ID2&amp;9 (#)</t>
  </si>
  <si>
    <t>Auxiliar</t>
  </si>
  <si>
    <t xml:space="preserve">a) O número de registos em comum tem de ser igual ao número de registos do teste de coerência. Caso tenhamos registos que não são comuns é necessário ver exemplos para ver o que está a acontecer. </t>
  </si>
  <si>
    <t>5. Executar no HUE a bateria de testes da sheet 2. Script para o campo em análise</t>
  </si>
  <si>
    <t>a) Analisar resultados. Caso no teste de coerência conste diferenças é necessário ver exemplos. Deixo abaixo uma query de exemplo:</t>
  </si>
  <si>
    <t>SELECT *</t>
  </si>
  <si>
    <t>FROM</t>
  </si>
  <si>
    <t xml:space="preserve">  (SELECT instrmnt_id,</t>
  </si>
  <si>
    <t xml:space="preserve">          LNS_CLLTRLZD_CLSSFCTN</t>
  </si>
  <si>
    <t xml:space="preserve">   FROM BU_LOANTAPE_WORK.LT002_INSTRUMENT</t>
  </si>
  <si>
    <t xml:space="preserve">   WHERE ref_date='${ref_date}'</t>
  </si>
  <si>
    <t xml:space="preserve">     AND nome_perimetro='Individual Corporativo'</t>
  </si>
  <si>
    <t xml:space="preserve">     AND segmento='ESTR'</t>
  </si>
  <si>
    <t xml:space="preserve">     AND ambito='PILAR3')X</t>
  </si>
  <si>
    <t>INNER JOIN</t>
  </si>
  <si>
    <t xml:space="preserve">  (SELECT instrmnt_id AS instrmnt_id_SIMUL,</t>
  </si>
  <si>
    <t xml:space="preserve">          LNS_CLLTRLZD_CLSSFCTN AS LNS_CLLTRLZD_CLSSFCTN_SIMUL</t>
  </si>
  <si>
    <t xml:space="preserve">   FROM BU_LOANTAPE_WORK.LT002_INSTRUMENT_P3_JUN24)Y ON X.INSTRMNT_ID=Y.INSTRMNT_ID_SIMUL</t>
  </si>
  <si>
    <t>WHERE COALESCE(CAST(X.LNS_CLLTRLZD_CLSSFCTN AS STRING),'')&lt;&gt;COALESCE(CAST(Y.LNS_CLLTRLZD_CLSSFCTN_SIMUL AS STRING),'')</t>
  </si>
  <si>
    <t>4. Incidências pendentes</t>
  </si>
  <si>
    <t>STATUS</t>
  </si>
  <si>
    <t>chave_bem</t>
  </si>
  <si>
    <t>Aberto</t>
  </si>
  <si>
    <t>1</t>
  </si>
  <si>
    <t>Instr_activity</t>
  </si>
  <si>
    <t>lt007_instr_activity</t>
  </si>
  <si>
    <t>origem_scp1_emss</t>
  </si>
  <si>
    <t>origem_scp2_emss</t>
  </si>
  <si>
    <t>origem_scp3_emss</t>
  </si>
  <si>
    <t>scp1_emss</t>
  </si>
  <si>
    <t>scp2_emss</t>
  </si>
  <si>
    <t>unidade_funcional_scp1_emss</t>
  </si>
  <si>
    <t>unidade_funcional_scp2_emss</t>
  </si>
  <si>
    <t>unidade_funcional_scp3_emss</t>
  </si>
  <si>
    <t>net_floor_area</t>
  </si>
  <si>
    <t>epc</t>
  </si>
  <si>
    <t>actual_value_ind</t>
  </si>
  <si>
    <t>property_purpose_code</t>
  </si>
  <si>
    <t>valor_original</t>
  </si>
  <si>
    <t>tipo_finalidade_bem</t>
  </si>
  <si>
    <t>tipo_finalidade_bem_2</t>
  </si>
  <si>
    <t>nome_pais</t>
  </si>
  <si>
    <t>nome_estado</t>
  </si>
  <si>
    <t>tipo_bem</t>
  </si>
  <si>
    <t>nome_unidade_funcional</t>
  </si>
  <si>
    <t>unidade_funcional</t>
  </si>
  <si>
    <t>nome_fator_emissao</t>
  </si>
  <si>
    <t>unidade_fator_de_emissao</t>
  </si>
  <si>
    <t>scp1_ftr_emss</t>
  </si>
  <si>
    <t>scp2_ftr_emss</t>
  </si>
  <si>
    <t>score_qualidade</t>
  </si>
  <si>
    <t>classe_ativo</t>
  </si>
  <si>
    <t>tipo_fator_emissao</t>
  </si>
  <si>
    <t>regiao</t>
  </si>
  <si>
    <t>ano_fator_emissao</t>
  </si>
  <si>
    <t>ckutulmo</t>
  </si>
  <si>
    <t>htimest</t>
  </si>
  <si>
    <t>ref_date</t>
  </si>
  <si>
    <t>cod_visao</t>
  </si>
  <si>
    <t>epc_aux</t>
  </si>
  <si>
    <t>tipo_finalidade_bem_aux</t>
  </si>
  <si>
    <t>row_1</t>
  </si>
  <si>
    <t>chave_respons</t>
  </si>
  <si>
    <t>num_bens</t>
  </si>
  <si>
    <t>Fechado</t>
  </si>
  <si>
    <t>MODESG_OUT_BENS_IMOVEIS</t>
  </si>
  <si>
    <t>15/11: Incoerência de metodologia para o EPC G. No entanto para este tipo de finalidade (Residential total) é possível cruzar em função do tratamento do upper.</t>
  </si>
  <si>
    <t>31003014433390000000000000000000</t>
  </si>
  <si>
    <t>NULL</t>
  </si>
  <si>
    <t>68.00</t>
  </si>
  <si>
    <t>G</t>
  </si>
  <si>
    <t>1-REAL</t>
  </si>
  <si>
    <t>01</t>
  </si>
  <si>
    <t>1_01</t>
  </si>
  <si>
    <t>RESIDENTIAL TOTAL</t>
  </si>
  <si>
    <t>NON-RESIDENTIAL BUILDINGS</t>
  </si>
  <si>
    <t>31000309714436096000000000000000</t>
  </si>
  <si>
    <t>31003018083200000000000000000000</t>
  </si>
  <si>
    <t>99.00</t>
  </si>
  <si>
    <t>31000317146357096000000000000000</t>
  </si>
  <si>
    <t>31003014215320000000000000000000</t>
  </si>
  <si>
    <t>178.00</t>
  </si>
  <si>
    <t>31000308290768096000000000000000</t>
  </si>
  <si>
    <t>31003014123740000000000000000000</t>
  </si>
  <si>
    <t>84.00</t>
  </si>
  <si>
    <t>31000307652802096000000000000000</t>
  </si>
  <si>
    <t>31003015235300000000000000000000</t>
  </si>
  <si>
    <t>31000310720455096000000000000000</t>
  </si>
  <si>
    <t>31003015839710001000000000000000</t>
  </si>
  <si>
    <t>31000312087473096000000000000000</t>
  </si>
  <si>
    <t>31003014670500000000000000000000</t>
  </si>
  <si>
    <t>274.00</t>
  </si>
  <si>
    <t>31000310538923096000000000000000</t>
  </si>
  <si>
    <t>31003016991750000000000000000000</t>
  </si>
  <si>
    <t>100.00</t>
  </si>
  <si>
    <t>31000314240625096000000000000000</t>
  </si>
  <si>
    <t>31003012067010000000000000000000</t>
  </si>
  <si>
    <t>304.00</t>
  </si>
  <si>
    <t>31000301922631096000000000000000</t>
  </si>
  <si>
    <t>31003015538320000000000000000000</t>
  </si>
  <si>
    <t>153.00</t>
  </si>
  <si>
    <t>31000311367462096000000000000000</t>
  </si>
  <si>
    <t>31063416067640000000000000000000</t>
  </si>
  <si>
    <t>494.00</t>
  </si>
  <si>
    <t>31000601257262096000000000000000</t>
  </si>
  <si>
    <t>31003017022440000000000000000000</t>
  </si>
  <si>
    <t>105.00</t>
  </si>
  <si>
    <t>31000314008618096000000000000000</t>
  </si>
  <si>
    <t>31003015771890000000000000000000</t>
  </si>
  <si>
    <t>90.00</t>
  </si>
  <si>
    <t>31000311926077096000000000000000</t>
  </si>
  <si>
    <t>31003016189540000000000000000000</t>
  </si>
  <si>
    <t>160.00</t>
  </si>
  <si>
    <t>31000312773312096000000000000000</t>
  </si>
  <si>
    <t>31003012707370001000000000000000</t>
  </si>
  <si>
    <t>31000303062246096000000000000000</t>
  </si>
  <si>
    <t>31063015958320000000000000000000</t>
  </si>
  <si>
    <t>116.00</t>
  </si>
  <si>
    <t>31000600305088096000000000000000</t>
  </si>
  <si>
    <t>15/11: Incoerência de metodologia para o EPC G. Para este tipo de finalidade não é possível cruzar (o tratamento do upper não é suficiente para esta limitação).</t>
  </si>
  <si>
    <t>31084015188700000000000000000000</t>
  </si>
  <si>
    <t>77.00</t>
  </si>
  <si>
    <t>02</t>
  </si>
  <si>
    <t>1_02</t>
  </si>
  <si>
    <t>RETAIL - HIGH STREET</t>
  </si>
  <si>
    <t>31084015177880000000000000000000</t>
  </si>
  <si>
    <t>22.00</t>
  </si>
  <si>
    <t>31003015636000001000000000000000</t>
  </si>
  <si>
    <t>73.00</t>
  </si>
  <si>
    <t>08</t>
  </si>
  <si>
    <t>1_08</t>
  </si>
  <si>
    <t>NON-RESIDENTIAL TOTAL</t>
  </si>
  <si>
    <t>31003215729440000000000000000000</t>
  </si>
  <si>
    <t>2423.00</t>
  </si>
  <si>
    <t>1_04</t>
  </si>
  <si>
    <t>RETAIL - WAREHOUSE</t>
  </si>
  <si>
    <t>chave_bem_simul</t>
  </si>
  <si>
    <t>origem_scp1_emss_simul</t>
  </si>
  <si>
    <t>MODESG_OUT_EMSS_VCLS</t>
  </si>
  <si>
    <t>26/11: Incoerência entre origem de scope 1 e origem de scope 2</t>
  </si>
  <si>
    <t>89000000005111415000000000000001</t>
  </si>
  <si>
    <t>MVL_DQS4_3A</t>
  </si>
  <si>
    <t>405.0414520000</t>
  </si>
  <si>
    <t>405.04145176226452906275</t>
  </si>
  <si>
    <t>26/11: Incoerência entre origem reportada por IT e método de cálculo</t>
  </si>
  <si>
    <t>89000000005116456000000000000001</t>
  </si>
  <si>
    <t>MVL_DQS5_3B</t>
  </si>
  <si>
    <t>2321.4717340000</t>
  </si>
  <si>
    <t>17.5112080000</t>
  </si>
  <si>
    <t>2321.47173306560000000000</t>
  </si>
  <si>
    <t>17.51120769560000000000</t>
  </si>
  <si>
    <t>26/11: IT não reporta valor</t>
  </si>
  <si>
    <t>89000000008041032000000000000001</t>
  </si>
  <si>
    <t>1291.46905618188799808115</t>
  </si>
  <si>
    <t>43.28045253509438002635</t>
  </si>
  <si>
    <r>
      <t xml:space="preserve">Schema </t>
    </r>
    <r>
      <rPr>
        <b/>
        <sz val="11"/>
        <color theme="1"/>
        <rFont val="Neo sans"/>
      </rPr>
      <t>Loan Tape Pilar 3</t>
    </r>
  </si>
  <si>
    <r>
      <t xml:space="preserve">Schema </t>
    </r>
    <r>
      <rPr>
        <b/>
        <sz val="11"/>
        <color theme="1"/>
        <rFont val="Neo sans"/>
      </rPr>
      <t>Simulada</t>
    </r>
  </si>
  <si>
    <t>Filtros</t>
  </si>
  <si>
    <t>cd_loan_tapes_bce</t>
  </si>
  <si>
    <t>tipologia_teste</t>
  </si>
  <si>
    <t>tabela</t>
  </si>
  <si>
    <t>campo</t>
  </si>
  <si>
    <t>num_reg_dif</t>
  </si>
  <si>
    <t>Validação de campos</t>
  </si>
  <si>
    <t>lt003_entity_srb</t>
  </si>
  <si>
    <t>cr_flg</t>
  </si>
  <si>
    <t>Dependentes de campos com nova especificação - PRFRMNG_STTS_PRVS</t>
  </si>
  <si>
    <t>dt_prfrmng_stts_le</t>
  </si>
  <si>
    <t>Dependentes de campos com nova especificação - DT_PRFRMNG_STTS</t>
  </si>
  <si>
    <t>lt005_instr_ent_srb</t>
  </si>
  <si>
    <t>mn_entty_id</t>
  </si>
  <si>
    <t>CORREÇÃO DE IT</t>
  </si>
  <si>
    <t>lt002_instrument_srb</t>
  </si>
  <si>
    <t>dpd_12m_prfrmng_stts</t>
  </si>
  <si>
    <t>CAMPO COM NOVA ESPECIFICAÇÃO</t>
  </si>
  <si>
    <t>dpd_24m_prfrmng_stts</t>
  </si>
  <si>
    <t>dpd_prfrmng_stts</t>
  </si>
  <si>
    <t>ifrs9_bhvrl_mtrty</t>
  </si>
  <si>
    <t>dt_imprmnt_stts</t>
  </si>
  <si>
    <t>dt_imprmnt_stts_prvs</t>
  </si>
  <si>
    <t>dt_prfrmng_stts</t>
  </si>
  <si>
    <t>dt_prfrmng_stts_prvs</t>
  </si>
  <si>
    <t>frbrnc_stts_instrmnt</t>
  </si>
  <si>
    <t>CAMPO COM INCIDÊNCIAS</t>
  </si>
  <si>
    <t>imprmnt_stts_prvs</t>
  </si>
  <si>
    <t>off_blnc_sht_amnt_instrmnt_prvs</t>
  </si>
  <si>
    <t>prfrmng_stts_prvs</t>
  </si>
  <si>
    <t>rfnnc_prps</t>
  </si>
  <si>
    <t>DEPENDE DO FRBRNC_STTS_INSTRMNT</t>
  </si>
  <si>
    <t>Filtro Simulada</t>
  </si>
  <si>
    <t>INSTR_ENTITY</t>
  </si>
  <si>
    <t>INSTR_PROTECTION</t>
  </si>
  <si>
    <t>INSTR_ACTIVITY</t>
  </si>
  <si>
    <t>DT_BRTH</t>
  </si>
  <si>
    <t>DT_DFLT_STTS</t>
  </si>
  <si>
    <t>DT_FNNCL_STTMTS</t>
  </si>
  <si>
    <t>DT_FNNCL_STTMTS_PRVS</t>
  </si>
  <si>
    <t>DT_INTTN_LGL_PRCDNGS_LE</t>
  </si>
  <si>
    <t>DT_PRFRMNG_STTS_LE</t>
  </si>
  <si>
    <t>GCC_PRNT_ID</t>
  </si>
  <si>
    <t>GCC_PRNT_NM</t>
  </si>
  <si>
    <t>INTRNL_SGMNT</t>
  </si>
  <si>
    <t>INTRNL_UNT</t>
  </si>
  <si>
    <t>ENTTY_NM</t>
  </si>
  <si>
    <t>EXTRNL_RTNG_NM</t>
  </si>
  <si>
    <t>ACCNTNG_FRMWRK_SL</t>
  </si>
  <si>
    <t>CR_FLG</t>
  </si>
  <si>
    <t>DCSD</t>
  </si>
  <si>
    <t>DFLT_STTS</t>
  </si>
  <si>
    <t>DT_EXTRNL_RTNG</t>
  </si>
  <si>
    <t>DT_INTRNL_RTNG</t>
  </si>
  <si>
    <t>EMPLYMNT_STTS_INTRNL</t>
  </si>
  <si>
    <t>EMPLYMNT_STTS</t>
  </si>
  <si>
    <t>ENTRPRS_SZ_LE</t>
  </si>
  <si>
    <t>EXTRNL_RTNG</t>
  </si>
  <si>
    <t>EXTRNL_RTNG_PRVS</t>
  </si>
  <si>
    <t>FLG_BNKRPTCY_IN_GRP</t>
  </si>
  <si>
    <t>FLG_HGH_CDS</t>
  </si>
  <si>
    <t>FLG_ISDA_CRDT_EVNT</t>
  </si>
  <si>
    <t>FLG_NN_ACCRL</t>
  </si>
  <si>
    <t>FLG_RQST_BNKRPTCY</t>
  </si>
  <si>
    <t>FLG_RQST_DSTRSSD_RSTRCTRNG</t>
  </si>
  <si>
    <t>FLG_RQST_EMRGNCY_FNDNG</t>
  </si>
  <si>
    <t>FLG_SLL_WTH_LSS</t>
  </si>
  <si>
    <t>INCM_SC</t>
  </si>
  <si>
    <t>INTRNL_RTNG</t>
  </si>
  <si>
    <t>INTRNL_RTNG_PRVS</t>
  </si>
  <si>
    <t>LGL_PRCDNG_STTS_LE</t>
  </si>
  <si>
    <t>OWND_BY_SPNSR</t>
  </si>
  <si>
    <t>PRFRMNG_STTS_LE</t>
  </si>
  <si>
    <t>RTNG_MTHD</t>
  </si>
  <si>
    <t>RTNG_SCL</t>
  </si>
  <si>
    <t>WTCH_LST</t>
  </si>
  <si>
    <t>SNGL_PRPS_VHCL</t>
  </si>
  <si>
    <t>GRP_EBITDA</t>
  </si>
  <si>
    <t>GRP_NT_DBT</t>
  </si>
  <si>
    <t>ANNL_TRNVR_PRVS</t>
  </si>
  <si>
    <t>CAPEX</t>
  </si>
  <si>
    <t>CAPEX_PRVS</t>
  </si>
  <si>
    <t>CLLCTN_MD</t>
  </si>
  <si>
    <t>CSH</t>
  </si>
  <si>
    <t>CSH_PRVS</t>
  </si>
  <si>
    <t>EBITDA</t>
  </si>
  <si>
    <t>EBITDA_PRVS</t>
  </si>
  <si>
    <t>EQTY_PRVS</t>
  </si>
  <si>
    <t>GDWILL</t>
  </si>
  <si>
    <t>GDWILL_PRVS</t>
  </si>
  <si>
    <t>LTI</t>
  </si>
  <si>
    <t>LVRG</t>
  </si>
  <si>
    <t>LVRG_PRVS</t>
  </si>
  <si>
    <t>MNTHL_INCM</t>
  </si>
  <si>
    <t>MNTHL_INCM_SLR</t>
  </si>
  <si>
    <t>MNTHL_TRNVR</t>
  </si>
  <si>
    <t>NT_INCM</t>
  </si>
  <si>
    <t>NT_INCM_PRVS</t>
  </si>
  <si>
    <t>TTL_DBT_PRVS</t>
  </si>
  <si>
    <t>TTL_INTRST_PD</t>
  </si>
  <si>
    <t>TTL_LVRG_RT</t>
  </si>
  <si>
    <t>TTL_LVRG_RT_PRVS</t>
  </si>
  <si>
    <t>DBT_RPYMNT_CPCTY_SNR_DBT</t>
  </si>
  <si>
    <t>DBT_RPYMNT_CPCTY_TTL</t>
  </si>
  <si>
    <t>DBT_SRVC_RT</t>
  </si>
  <si>
    <t>DBT_SRVC_RT_12M</t>
  </si>
  <si>
    <t>PD_CRR_RD</t>
  </si>
  <si>
    <t>PD_IFRS9_12M_RD</t>
  </si>
  <si>
    <t>PD_IFRS9_12M_RD_T1</t>
  </si>
  <si>
    <t>TAX_ID</t>
  </si>
  <si>
    <t>ANNL_TRNVR_LE_BDR</t>
  </si>
  <si>
    <t>ANNL_TRNVR_PRVS_BDR</t>
  </si>
  <si>
    <t>OSI_ID</t>
  </si>
  <si>
    <t>PD_CRR_RD_T1</t>
  </si>
  <si>
    <t>EC_GRP_ID</t>
  </si>
  <si>
    <t>EC_GRP_NM</t>
  </si>
  <si>
    <t>PRSN_TYP</t>
  </si>
  <si>
    <t>FR_CSH_FLW</t>
  </si>
  <si>
    <t>FR_CSH_FLW_T1</t>
  </si>
  <si>
    <t>FR_CSH_FLW_T2</t>
  </si>
  <si>
    <t>FR_CSH_FLW_T3</t>
  </si>
  <si>
    <t>ADDRSS_CTY</t>
  </si>
  <si>
    <t>ADDRSS_STRT</t>
  </si>
  <si>
    <t>DT_ENTRPRS_SZ</t>
  </si>
  <si>
    <t>NMBR_EMPLYS</t>
  </si>
  <si>
    <t>LGL_FRM</t>
  </si>
  <si>
    <t>HD_OFFC_UNDRTKNG_ID</t>
  </si>
  <si>
    <t>IMMDT_PRNT_UNDRTKNG_ID</t>
  </si>
  <si>
    <t>ULTMT_PRNT_UNDRTKNG_ID</t>
  </si>
  <si>
    <t>TTL_ASSTS</t>
  </si>
  <si>
    <t>ENTTY_ID_BDR</t>
  </si>
  <si>
    <t>JNT_LBLTY_AMNT</t>
  </si>
  <si>
    <t>MN_ENTTY_ID</t>
  </si>
  <si>
    <t>CRE_FNRP18</t>
  </si>
  <si>
    <t>SME_FNRP18</t>
  </si>
  <si>
    <t>RRE_FNRP18</t>
  </si>
  <si>
    <t>CNSMPTN_FNRP18</t>
  </si>
  <si>
    <t>CNTRCT_ID</t>
  </si>
  <si>
    <t>CRRNCY_DNMNTN</t>
  </si>
  <si>
    <t>OBSRVD_AGNT_ID</t>
  </si>
  <si>
    <t>OBSRVD_AGNT_NM</t>
  </si>
  <si>
    <t>PRDCT</t>
  </si>
  <si>
    <t>BRCHD_CVNNTS</t>
  </si>
  <si>
    <t>CHNNL_ORGNTN</t>
  </si>
  <si>
    <t>CSH_SWP_TRP</t>
  </si>
  <si>
    <t>CVNNT_STTS</t>
  </si>
  <si>
    <t>CVNNT_TYP</t>
  </si>
  <si>
    <t>DT_DFLT_STTS_INSTRMNT</t>
  </si>
  <si>
    <t>DT_END_GP_PPAL</t>
  </si>
  <si>
    <t>DT_END_INTRST_ONLY</t>
  </si>
  <si>
    <t>DT_FRBRNC_STTS</t>
  </si>
  <si>
    <t>DT_FRBRNC_STTS_PRVS</t>
  </si>
  <si>
    <t>DT_PRFRMNG_STTS</t>
  </si>
  <si>
    <t>DT_PRFRMNG_STTS_PRVS</t>
  </si>
  <si>
    <t>DT_STRT_INTRST_ONLY</t>
  </si>
  <si>
    <t>EXPSR_IN_SCP</t>
  </si>
  <si>
    <t>FLD_SYNDCTN</t>
  </si>
  <si>
    <t>FLG_LBO</t>
  </si>
  <si>
    <t>FRBRNC_STTS_INSTRMNT</t>
  </si>
  <si>
    <t>IMPRMNT_STTS_PRVS</t>
  </si>
  <si>
    <t>INTRNL_RTNG_INCPTN</t>
  </si>
  <si>
    <t>LCRE</t>
  </si>
  <si>
    <t>LGL_PRCDNG_STTS</t>
  </si>
  <si>
    <t>LND_DRGTN</t>
  </si>
  <si>
    <t>POCI</t>
  </si>
  <si>
    <t>PRFRMNG_STTS_PRVS</t>
  </si>
  <si>
    <t>PRPS</t>
  </si>
  <si>
    <t>PYMNT_INTRST_ONLY</t>
  </si>
  <si>
    <t>RCRS</t>
  </si>
  <si>
    <t>RFNNC_PRPS</t>
  </si>
  <si>
    <t>SPCLTV_LNDNG</t>
  </si>
  <si>
    <t>STTS_UNDRWRTTN_TRNSCTN</t>
  </si>
  <si>
    <t>TRNCH</t>
  </si>
  <si>
    <t>TYP_AMRTSTN</t>
  </si>
  <si>
    <t>TYP_INTRST_RT</t>
  </si>
  <si>
    <t>TYP_MRTGG</t>
  </si>
  <si>
    <t>TYP_CRE_OPRTN</t>
  </si>
  <si>
    <t>DT_STRT_GP_PPAL</t>
  </si>
  <si>
    <t>ACCRD_INTRST_INSTRMNT</t>
  </si>
  <si>
    <t>AMNT_D_AT_MTRTY</t>
  </si>
  <si>
    <t>CCF</t>
  </si>
  <si>
    <t>CMMTMNT_INCPTN_INSTRMNT</t>
  </si>
  <si>
    <t>CMMTMNT_INSTRMNT</t>
  </si>
  <si>
    <t>CRRYNG_AMNT_INSTRMNT</t>
  </si>
  <si>
    <t>DBT_YLD</t>
  </si>
  <si>
    <t>DT_NXT_INTRST_RT_RST</t>
  </si>
  <si>
    <t>DT_ORGNL_MTRTY</t>
  </si>
  <si>
    <t>IFRS9_BHVRL_MTRTY</t>
  </si>
  <si>
    <t>EAD</t>
  </si>
  <si>
    <t>IFRS9_CCF</t>
  </si>
  <si>
    <t>IFRS9_EAD</t>
  </si>
  <si>
    <t>INSTLMNT_PAY</t>
  </si>
  <si>
    <t>OFF_BLNC_SHT_AMNT_INSTRMNT</t>
  </si>
  <si>
    <t>OFF_BLNC_SHT_AMNT_INSTRMNT_PRVS</t>
  </si>
  <si>
    <t>OTSTNDNG_NMNL_AMNT_INSTRMNT</t>
  </si>
  <si>
    <t>OTSTNDNG_NMNL_AMNT_INSTRMNT_PRVS</t>
  </si>
  <si>
    <t>PRVSNS_OFF_BLNC_SHT</t>
  </si>
  <si>
    <t>PYMNT_FRQNCY</t>
  </si>
  <si>
    <t>RTNTN_SHR</t>
  </si>
  <si>
    <t>RWA</t>
  </si>
  <si>
    <t>RWA_MTHD</t>
  </si>
  <si>
    <t>SPNSR_NM</t>
  </si>
  <si>
    <t>ACCMLTD_IMPRMNT_INSTRMNT_PRVS</t>
  </si>
  <si>
    <t>ACCMLTD_WRTFFS_INSTRMNT</t>
  </si>
  <si>
    <t>ARRRS_INSTRMNT</t>
  </si>
  <si>
    <t>ARRRS_INSTRMNT_12M</t>
  </si>
  <si>
    <t>CMLTV_RCVRS_SNC_DFLT_INSTRMNT</t>
  </si>
  <si>
    <t>DPD</t>
  </si>
  <si>
    <t>DPD_12M</t>
  </si>
  <si>
    <t>DPD_12M_FRBRNC_STTS</t>
  </si>
  <si>
    <t>DPD_12M_PRFRMNG_STTS</t>
  </si>
  <si>
    <t>DPD_24M_FRBRNC_STTS</t>
  </si>
  <si>
    <t>DPD_24M_PRFRMNG_STTS</t>
  </si>
  <si>
    <t>DPD_FRBRNC_STTS</t>
  </si>
  <si>
    <t>DPD_PRFRMNG_STTS</t>
  </si>
  <si>
    <t>DT_IMPRMNT_STTS</t>
  </si>
  <si>
    <t>DT_IMPRMNT_STTS_PRVS</t>
  </si>
  <si>
    <t>DT_PST_D</t>
  </si>
  <si>
    <t>IMPRMNT_ASSSSMNT_MTHD</t>
  </si>
  <si>
    <t>IMPRMNT_CLCLTN_MTHD</t>
  </si>
  <si>
    <t>NMBR_FRBRNC_MSRS</t>
  </si>
  <si>
    <t>IFRS9_LGD</t>
  </si>
  <si>
    <t>LGD</t>
  </si>
  <si>
    <t>LTV</t>
  </si>
  <si>
    <t>LTV_INCPTN</t>
  </si>
  <si>
    <t>LTV_NPE</t>
  </si>
  <si>
    <t>PD_CRR_INCPTN</t>
  </si>
  <si>
    <t>PD_IFRS9_12M_INCPTN</t>
  </si>
  <si>
    <t>PD_IFRS9_LFTM_INCPTN</t>
  </si>
  <si>
    <t>PD_IFRS9_RMNNG_LFTM_INCPTN</t>
  </si>
  <si>
    <t>PD_IFRS9_RMNNG_LFTM_RD</t>
  </si>
  <si>
    <t>SICR_ASSSSMNT_MTHD</t>
  </si>
  <si>
    <t>ANNLSD_AGRD_RT</t>
  </si>
  <si>
    <t>EIR</t>
  </si>
  <si>
    <t>EIR_INCPTN</t>
  </si>
  <si>
    <t>INTRST_RT_RST_FRQNCY</t>
  </si>
  <si>
    <t>RCVD_AMRTSTN_12M</t>
  </si>
  <si>
    <t>RCVD_AMRTSTN_24M</t>
  </si>
  <si>
    <t>RCVD_INTRST_12M</t>
  </si>
  <si>
    <t>RCVD_INTRST_24M</t>
  </si>
  <si>
    <t>SYNDCT_RL</t>
  </si>
  <si>
    <t>SYNDCTD_AGNT</t>
  </si>
  <si>
    <t>SYNDCTD_CNTRCT_ID</t>
  </si>
  <si>
    <t>SYNDCTD_LNDRS</t>
  </si>
  <si>
    <t>SYNDCTD_SHR</t>
  </si>
  <si>
    <t>SYNDCTN_TYP</t>
  </si>
  <si>
    <t>EBA_CMPLNT_MRTR_ST_C19</t>
  </si>
  <si>
    <t>DT_CMPLNT_MRTR_STTS_C19</t>
  </si>
  <si>
    <t>DT_CMPLNT_MRTR_STTS_PRVS_C19</t>
  </si>
  <si>
    <t>MTRTY_LTST_MRTR_C19</t>
  </si>
  <si>
    <t>TYP_CMPLNT_MRTR_C19</t>
  </si>
  <si>
    <t>GRC_PRD_CPTL_INTRST_C19</t>
  </si>
  <si>
    <t>CMPLNT_MRTR_C19_NM</t>
  </si>
  <si>
    <t>FRBRNC_STTS_C19</t>
  </si>
  <si>
    <t>DT_FRBRNC_STTS_C19</t>
  </si>
  <si>
    <t>DT_FRBRNC_STTS_PRVS_C19</t>
  </si>
  <si>
    <t>MTRTY_LTST_FRBRNC_MSR_C19</t>
  </si>
  <si>
    <t>DT_END_GP_PPAL_C19</t>
  </si>
  <si>
    <t>DT_END_INTRST_ONLY_C19</t>
  </si>
  <si>
    <t>SBJCT_PBLC_GRNT_SCHM_C19</t>
  </si>
  <si>
    <t>PBLC_GRNT_SCHM_C19_NM</t>
  </si>
  <si>
    <t>PMNT_PBLC_GRNT_SCHM_C19</t>
  </si>
  <si>
    <t>ASST_SCRT_CLSS</t>
  </si>
  <si>
    <t>CPN_CRRNCY</t>
  </si>
  <si>
    <t>CPN_RT_FXD</t>
  </si>
  <si>
    <t>DT_VLTN</t>
  </si>
  <si>
    <t>ELGBLTY_ECB</t>
  </si>
  <si>
    <t>GRNTR_ID</t>
  </si>
  <si>
    <t>GRNTR_ID_TYP</t>
  </si>
  <si>
    <t>HEDGE_ID</t>
  </si>
  <si>
    <t>INSTR_SNRTY_CLSS</t>
  </si>
  <si>
    <t>INSTRMNT_CLSS</t>
  </si>
  <si>
    <t>ISSR_ESA_2010</t>
  </si>
  <si>
    <t>ISSR_ID</t>
  </si>
  <si>
    <t>ISSR_ID_TYP</t>
  </si>
  <si>
    <t>ISSR_RTNG</t>
  </si>
  <si>
    <t>ISSR_RTNG_SRC</t>
  </si>
  <si>
    <t>ISSR_TYP</t>
  </si>
  <si>
    <t>LCR_BFFR_CTGRY</t>
  </si>
  <si>
    <t>PRCH_UNDR_RSL_AGR</t>
  </si>
  <si>
    <t>PRDNTL_PRTFL</t>
  </si>
  <si>
    <t>PRT_LCR_BFFR</t>
  </si>
  <si>
    <t>CPN_RT_FLTNG</t>
  </si>
  <si>
    <t>SPRD</t>
  </si>
  <si>
    <t>SRCS_ENCMBRNC</t>
  </si>
  <si>
    <t>TYPE_OF_PLCMNT</t>
  </si>
  <si>
    <t>VLTN_CRRNCY</t>
  </si>
  <si>
    <t>VLTN_TYP</t>
  </si>
  <si>
    <t>LVRG_FNNC_FLG</t>
  </si>
  <si>
    <t>INTRNL_SGMNT_IFRS9</t>
  </si>
  <si>
    <t>INTRNL_SGMNT_CAT_MSTA</t>
  </si>
  <si>
    <t>INTRNL_SGMNT_CATGSUB</t>
  </si>
  <si>
    <t>CRRLTN_CFFCNT</t>
  </si>
  <si>
    <t>ISIN_SCRTSTN</t>
  </si>
  <si>
    <t>CNTRCT_ID_BDR</t>
  </si>
  <si>
    <t>COD_SOC_INTRGRP</t>
  </si>
  <si>
    <t>EXPCTD_LSS_CRR</t>
  </si>
  <si>
    <t>LSTI</t>
  </si>
  <si>
    <t>DSTI</t>
  </si>
  <si>
    <t>LTI_INSTRMNT</t>
  </si>
  <si>
    <t>INTRST_RT_CP</t>
  </si>
  <si>
    <t>INTRST_RT_FLR</t>
  </si>
  <si>
    <t>NMNL_INTRST_RT_FEE</t>
  </si>
  <si>
    <t>RFRNC_RT</t>
  </si>
  <si>
    <t>DT_STTLMNT</t>
  </si>
  <si>
    <t>TRNSFRRD_AMNT</t>
  </si>
  <si>
    <t>TYP_SCRTZTN</t>
  </si>
  <si>
    <t>TYP_OFF_BLNC_PRDCT</t>
  </si>
  <si>
    <t>BLNC_SHT_RCGNTN</t>
  </si>
  <si>
    <t>FLG_DFLT</t>
  </si>
  <si>
    <t>FLG_HGH_RSK</t>
  </si>
  <si>
    <t>PRTNR</t>
  </si>
  <si>
    <t>INCNTVS</t>
  </si>
  <si>
    <t>OTHR_OPRTNG_INCM</t>
  </si>
  <si>
    <t>RFRRL_FS</t>
  </si>
  <si>
    <t>INSRNC_CMSSNS</t>
  </si>
  <si>
    <t>OTHR_INCM_AND_CHRGS</t>
  </si>
  <si>
    <t>TX_ON_PRFT</t>
  </si>
  <si>
    <t>PRTCTN_ALLCTD_VL</t>
  </si>
  <si>
    <t>THRD_PRTY_PRRTY_CLMS</t>
  </si>
  <si>
    <t>DT_MTRTY_PRTCTN</t>
  </si>
  <si>
    <t>NTNL_ID</t>
  </si>
  <si>
    <t>PRTCTN_PRVDR_ID</t>
  </si>
  <si>
    <t>RL_ESTT_ADDRSS</t>
  </si>
  <si>
    <t>RL_ESTT_CLLTRL_LCTN_INT</t>
  </si>
  <si>
    <t>RL_ESTT_CTY</t>
  </si>
  <si>
    <t>HRCT_MV</t>
  </si>
  <si>
    <t>PRTCTN_CLLD</t>
  </si>
  <si>
    <t>TYP_PRTCTN_INTRNL</t>
  </si>
  <si>
    <t>TYP_PRTCTN_VL</t>
  </si>
  <si>
    <t>APPRSL_CRRNCY</t>
  </si>
  <si>
    <t>APPRSR</t>
  </si>
  <si>
    <t>DT_LST_FLL_APPRSL</t>
  </si>
  <si>
    <t>DT_ORGNL_PRTCTN_VL</t>
  </si>
  <si>
    <t>DT_PRTCTN_VL</t>
  </si>
  <si>
    <t>PRTCTN_FRCD_SL_VL</t>
  </si>
  <si>
    <t>PRTCTN_VL_NPE</t>
  </si>
  <si>
    <t>PRTCTN_VLTN_APPRCH</t>
  </si>
  <si>
    <t>DT_APPRSL_PRVS</t>
  </si>
  <si>
    <t>PRTCTN_VL_PRVS</t>
  </si>
  <si>
    <t>CNSTRCTN_STTS</t>
  </si>
  <si>
    <t>DT_CNSTRCTN_STTS</t>
  </si>
  <si>
    <t>DT_FRST_USG</t>
  </si>
  <si>
    <t>DVLPMNT_STTS</t>
  </si>
  <si>
    <t>MN_PRPS</t>
  </si>
  <si>
    <t>PRM_LCTN</t>
  </si>
  <si>
    <t>CRE_INCM_CRRNCY</t>
  </si>
  <si>
    <t>CRE_YRLY_EXPNSS</t>
  </si>
  <si>
    <t>CRE_YRLY_INCM</t>
  </si>
  <si>
    <t>PRTCTN_TYP_PBLC_GRNT_SCHM_C19</t>
  </si>
  <si>
    <t>YR_CNSTRCTN</t>
  </si>
  <si>
    <t>LND_AR</t>
  </si>
  <si>
    <t>LN_PSTN</t>
  </si>
  <si>
    <t>RL_ESTT_LNGTD</t>
  </si>
  <si>
    <t>RL_ESTT_LTTD</t>
  </si>
  <si>
    <t>PRCNTG_ACTVTY</t>
  </si>
  <si>
    <t>VARCHAR2(5)</t>
  </si>
  <si>
    <t>DATE</t>
  </si>
  <si>
    <t>VARCHAR2(255)</t>
  </si>
  <si>
    <t>VARCHAR2(20)</t>
  </si>
  <si>
    <t>Y, N</t>
  </si>
  <si>
    <t>INTEGER</t>
  </si>
  <si>
    <t>VARCHAR2(60)</t>
  </si>
  <si>
    <t>VARCHAR2(50)</t>
  </si>
  <si>
    <t>VARCHAR(5)</t>
  </si>
  <si>
    <t>VARCHAR(255)</t>
  </si>
  <si>
    <t>VARCHAR(12)</t>
  </si>
  <si>
    <t>FLOAT 4 decimal places</t>
  </si>
  <si>
    <t>CPN_RT</t>
  </si>
  <si>
    <t>17/02: Este campo não estava no ficheiro da Corporação. No entanto, estava no ficheiro do GF</t>
  </si>
  <si>
    <t>ON X.INSTRMNT_ID=Y.INSTRMNT_ID_SIMUL AND X.prtctn_id=Y.prtctn_id_SIMUL</t>
  </si>
  <si>
    <t>ON X.INSTRMNT_ID=Y.INSTRMNT_ID_SIMUL AND X.entty_id=Y.entty_id_SIMUL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</si>
</sst>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Neo sans"/>
    </font>
    <font>
      <b/>
      <sz val="11"/>
      <color theme="1"/>
      <name val="Neo sans"/>
    </font>
    <font>
      <i/>
      <sz val="11"/>
      <color theme="1"/>
      <name val="Neo sans"/>
    </font>
    <font>
      <b/>
      <sz val="11"/>
      <color theme="0"/>
      <name val="Neo sans"/>
    </font>
    <font>
      <sz val="11"/>
      <color rgb="FF006100"/>
      <name val="Aptos Narrow"/>
      <family val="2"/>
      <scheme val="minor"/>
    </font>
    <font>
      <b/>
      <sz val="10"/>
      <color theme="0"/>
      <name val="Arial"/>
      <family val="2"/>
    </font>
    <font>
      <sz val="11"/>
      <color theme="0"/>
      <name val="Arial"/>
      <family val="2"/>
    </font>
    <font>
      <b/>
      <i/>
      <sz val="10"/>
      <color theme="0"/>
      <name val="Arial"/>
      <family val="2"/>
    </font>
    <font>
      <b/>
      <sz val="10"/>
      <color rgb="FF006100"/>
      <name val="Aptos Narrow"/>
      <family val="2"/>
      <scheme val="minor"/>
    </font>
    <font>
      <b/>
      <i/>
      <sz val="11"/>
      <color rgb="FFFF0000"/>
      <name val="Arial"/>
      <family val="2"/>
    </font>
    <font>
      <b/>
      <sz val="11"/>
      <color theme="0"/>
      <name val="Arial"/>
      <family val="2"/>
    </font>
    <font>
      <b/>
      <i/>
      <sz val="11"/>
      <color theme="1"/>
      <name val="Neo sans"/>
    </font>
    <font>
      <sz val="11"/>
      <color theme="0" tint="-0.249977111117893"/>
      <name val="Arial"/>
      <family val="2"/>
    </font>
    <font>
      <sz val="11"/>
      <color rgb="FFFF0000"/>
      <name val="Arial"/>
      <family val="2"/>
    </font>
    <font>
      <b/>
      <sz val="8"/>
      <color rgb="FFFF0000"/>
      <name val="Arial"/>
      <family val="2"/>
    </font>
    <font>
      <b/>
      <sz val="10"/>
      <color rgb="FF6F6C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FFDD"/>
        <bgColor indexed="64"/>
      </patternFill>
    </fill>
    <fill>
      <patternFill patternType="solid">
        <fgColor theme="5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FF0000"/>
      </left>
      <right/>
      <top/>
      <bottom/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thin">
        <color theme="0" tint="-0.499984740745262"/>
      </bottom>
      <diagonal/>
    </border>
    <border>
      <left/>
      <right/>
      <top style="hair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medium">
        <color rgb="FFFF0000"/>
      </bottom>
      <diagonal/>
    </border>
    <border>
      <left style="dotted">
        <color theme="0" tint="-0.499984740745262"/>
      </left>
      <right/>
      <top style="dotted">
        <color theme="0" tint="-0.499984740745262"/>
      </top>
      <bottom/>
      <diagonal/>
    </border>
    <border>
      <left/>
      <right/>
      <top style="dotted">
        <color theme="0" tint="-0.499984740745262"/>
      </top>
      <bottom/>
      <diagonal/>
    </border>
    <border>
      <left/>
      <right style="dotted">
        <color theme="0" tint="-0.499984740745262"/>
      </right>
      <top style="dotted">
        <color theme="0" tint="-0.499984740745262"/>
      </top>
      <bottom/>
      <diagonal/>
    </border>
    <border>
      <left style="dotted">
        <color theme="0" tint="-0.499984740745262"/>
      </left>
      <right/>
      <top/>
      <bottom/>
      <diagonal/>
    </border>
    <border>
      <left/>
      <right style="dotted">
        <color theme="0" tint="-0.499984740745262"/>
      </right>
      <top/>
      <bottom/>
      <diagonal/>
    </border>
    <border>
      <left style="dotted">
        <color theme="0" tint="-0.499984740745262"/>
      </left>
      <right/>
      <top/>
      <bottom style="dotted">
        <color theme="0" tint="-0.499984740745262"/>
      </bottom>
      <diagonal/>
    </border>
    <border>
      <left/>
      <right/>
      <top/>
      <bottom style="dotted">
        <color theme="0" tint="-0.499984740745262"/>
      </bottom>
      <diagonal/>
    </border>
    <border>
      <left/>
      <right style="dotted">
        <color theme="0" tint="-0.499984740745262"/>
      </right>
      <top/>
      <bottom style="dotted">
        <color theme="0" tint="-0.499984740745262"/>
      </bottom>
      <diagonal/>
    </border>
    <border>
      <left style="thin">
        <color theme="0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/>
      </right>
      <top style="thin">
        <color theme="0" tint="-0.49998474074526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 tint="-0.499984740745262"/>
      </top>
      <bottom style="thin">
        <color theme="0"/>
      </bottom>
      <diagonal/>
    </border>
    <border>
      <left style="thin">
        <color theme="0"/>
      </left>
      <right style="thin">
        <color theme="0" tint="-0.499984740745262"/>
      </right>
      <top style="thin">
        <color theme="0" tint="-0.499984740745262"/>
      </top>
      <bottom style="thin">
        <color theme="0"/>
      </bottom>
      <diagonal/>
    </border>
    <border>
      <left style="thin">
        <color theme="0" tint="-0.499984740745262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 tint="-0.499984740745262"/>
      </right>
      <top style="thin">
        <color theme="0"/>
      </top>
      <bottom/>
      <diagonal/>
    </border>
  </borders>
  <cellStyleXfs count="2">
    <xf numFmtId="0" fontId="0" fillId="0" borderId="0"/>
    <xf numFmtId="0" fontId="9" fillId="5" borderId="0" applyNumberFormat="0" applyBorder="0" applyAlignment="0" applyProtection="0"/>
  </cellStyleXfs>
  <cellXfs count="99">
    <xf numFmtId="0" fontId="0" fillId="0" borderId="0" xfId="0"/>
    <xf numFmtId="0" fontId="1" fillId="3" borderId="0" xfId="0" applyFont="1" applyFill="1"/>
    <xf numFmtId="0" fontId="1" fillId="0" borderId="0" xfId="0" applyFont="1"/>
    <xf numFmtId="0" fontId="1" fillId="2" borderId="0" xfId="0" applyFont="1" applyFill="1"/>
    <xf numFmtId="0" fontId="3" fillId="0" borderId="0" xfId="0" applyFont="1"/>
    <xf numFmtId="0" fontId="4" fillId="0" borderId="0" xfId="0" applyFont="1"/>
    <xf numFmtId="0" fontId="5" fillId="3" borderId="0" xfId="0" applyFont="1" applyFill="1"/>
    <xf numFmtId="0" fontId="5" fillId="0" borderId="0" xfId="0" applyFont="1"/>
    <xf numFmtId="0" fontId="5" fillId="2" borderId="0" xfId="0" applyFont="1" applyFill="1"/>
    <xf numFmtId="0" fontId="5" fillId="4" borderId="0" xfId="0" applyFont="1" applyFill="1"/>
    <xf numFmtId="0" fontId="5" fillId="4" borderId="6" xfId="0" applyFont="1" applyFill="1" applyBorder="1"/>
    <xf numFmtId="0" fontId="5" fillId="4" borderId="7" xfId="0" applyFont="1" applyFill="1" applyBorder="1"/>
    <xf numFmtId="0" fontId="5" fillId="4" borderId="9" xfId="0" applyFont="1" applyFill="1" applyBorder="1"/>
    <xf numFmtId="0" fontId="5" fillId="4" borderId="10" xfId="0" applyFont="1" applyFill="1" applyBorder="1"/>
    <xf numFmtId="0" fontId="5" fillId="4" borderId="13" xfId="0" applyFont="1" applyFill="1" applyBorder="1"/>
    <xf numFmtId="0" fontId="5" fillId="4" borderId="14" xfId="0" applyFont="1" applyFill="1" applyBorder="1"/>
    <xf numFmtId="0" fontId="4" fillId="0" borderId="0" xfId="0" quotePrefix="1" applyFont="1"/>
    <xf numFmtId="0" fontId="4" fillId="3" borderId="15" xfId="0" applyFont="1" applyFill="1" applyBorder="1"/>
    <xf numFmtId="0" fontId="10" fillId="6" borderId="15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 vertical="center" wrapText="1"/>
    </xf>
    <xf numFmtId="0" fontId="11" fillId="0" borderId="0" xfId="0" applyFont="1"/>
    <xf numFmtId="0" fontId="3" fillId="3" borderId="15" xfId="0" applyFont="1" applyFill="1" applyBorder="1"/>
    <xf numFmtId="0" fontId="12" fillId="2" borderId="15" xfId="0" applyFont="1" applyFill="1" applyBorder="1" applyAlignment="1">
      <alignment horizontal="center" vertical="center" wrapText="1"/>
    </xf>
    <xf numFmtId="14" fontId="4" fillId="3" borderId="15" xfId="0" applyNumberFormat="1" applyFont="1" applyFill="1" applyBorder="1"/>
    <xf numFmtId="14" fontId="1" fillId="0" borderId="11" xfId="0" applyNumberFormat="1" applyFont="1" applyBorder="1"/>
    <xf numFmtId="0" fontId="10" fillId="7" borderId="18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 vertical="center"/>
    </xf>
    <xf numFmtId="0" fontId="13" fillId="5" borderId="15" xfId="1" applyFont="1" applyBorder="1" applyAlignment="1">
      <alignment horizontal="center" vertical="center"/>
    </xf>
    <xf numFmtId="0" fontId="2" fillId="0" borderId="19" xfId="0" applyFont="1" applyBorder="1"/>
    <xf numFmtId="0" fontId="1" fillId="0" borderId="19" xfId="0" applyFont="1" applyBorder="1"/>
    <xf numFmtId="0" fontId="1" fillId="4" borderId="0" xfId="0" applyFont="1" applyFill="1"/>
    <xf numFmtId="0" fontId="2" fillId="4" borderId="19" xfId="0" applyFont="1" applyFill="1" applyBorder="1"/>
    <xf numFmtId="0" fontId="1" fillId="4" borderId="19" xfId="0" applyFont="1" applyFill="1" applyBorder="1"/>
    <xf numFmtId="0" fontId="10" fillId="2" borderId="17" xfId="0" applyFont="1" applyFill="1" applyBorder="1"/>
    <xf numFmtId="0" fontId="4" fillId="0" borderId="17" xfId="0" applyFont="1" applyBorder="1"/>
    <xf numFmtId="0" fontId="4" fillId="0" borderId="17" xfId="0" quotePrefix="1" applyFont="1" applyBorder="1"/>
    <xf numFmtId="0" fontId="1" fillId="0" borderId="17" xfId="0" applyFont="1" applyBorder="1"/>
    <xf numFmtId="0" fontId="10" fillId="7" borderId="17" xfId="0" applyFont="1" applyFill="1" applyBorder="1"/>
    <xf numFmtId="0" fontId="1" fillId="0" borderId="0" xfId="0" quotePrefix="1" applyFont="1"/>
    <xf numFmtId="0" fontId="5" fillId="3" borderId="20" xfId="0" applyFont="1" applyFill="1" applyBorder="1" applyAlignment="1">
      <alignment horizontal="left" indent="1"/>
    </xf>
    <xf numFmtId="0" fontId="5" fillId="3" borderId="21" xfId="0" applyFont="1" applyFill="1" applyBorder="1"/>
    <xf numFmtId="0" fontId="5" fillId="3" borderId="22" xfId="0" applyFont="1" applyFill="1" applyBorder="1"/>
    <xf numFmtId="0" fontId="5" fillId="3" borderId="23" xfId="0" applyFont="1" applyFill="1" applyBorder="1" applyAlignment="1">
      <alignment horizontal="left" indent="2"/>
    </xf>
    <xf numFmtId="0" fontId="5" fillId="3" borderId="24" xfId="0" applyFont="1" applyFill="1" applyBorder="1"/>
    <xf numFmtId="0" fontId="5" fillId="3" borderId="23" xfId="0" applyFont="1" applyFill="1" applyBorder="1" applyAlignment="1">
      <alignment horizontal="left" indent="6"/>
    </xf>
    <xf numFmtId="0" fontId="5" fillId="3" borderId="23" xfId="0" applyFont="1" applyFill="1" applyBorder="1" applyAlignment="1">
      <alignment horizontal="left" indent="1"/>
    </xf>
    <xf numFmtId="0" fontId="5" fillId="3" borderId="0" xfId="0" quotePrefix="1" applyFont="1" applyFill="1"/>
    <xf numFmtId="0" fontId="5" fillId="3" borderId="25" xfId="0" applyFont="1" applyFill="1" applyBorder="1" applyAlignment="1">
      <alignment horizontal="left" indent="1"/>
    </xf>
    <xf numFmtId="0" fontId="5" fillId="3" borderId="26" xfId="0" applyFont="1" applyFill="1" applyBorder="1"/>
    <xf numFmtId="0" fontId="5" fillId="3" borderId="27" xfId="0" applyFont="1" applyFill="1" applyBorder="1"/>
    <xf numFmtId="0" fontId="5" fillId="4" borderId="4" xfId="0" applyFont="1" applyFill="1" applyBorder="1" applyAlignment="1">
      <alignment horizontal="left" indent="1"/>
    </xf>
    <xf numFmtId="0" fontId="5" fillId="4" borderId="0" xfId="0" applyFont="1" applyFill="1" applyAlignment="1">
      <alignment horizontal="left" indent="1"/>
    </xf>
    <xf numFmtId="0" fontId="6" fillId="8" borderId="1" xfId="0" applyFont="1" applyFill="1" applyBorder="1"/>
    <xf numFmtId="0" fontId="5" fillId="8" borderId="2" xfId="0" applyFont="1" applyFill="1" applyBorder="1"/>
    <xf numFmtId="0" fontId="5" fillId="8" borderId="3" xfId="0" applyFont="1" applyFill="1" applyBorder="1"/>
    <xf numFmtId="0" fontId="5" fillId="8" borderId="1" xfId="0" applyFont="1" applyFill="1" applyBorder="1"/>
    <xf numFmtId="0" fontId="6" fillId="3" borderId="23" xfId="0" applyFont="1" applyFill="1" applyBorder="1" applyAlignment="1">
      <alignment horizontal="left" indent="1"/>
    </xf>
    <xf numFmtId="0" fontId="8" fillId="2" borderId="18" xfId="0" applyFont="1" applyFill="1" applyBorder="1"/>
    <xf numFmtId="0" fontId="8" fillId="2" borderId="16" xfId="0" applyFont="1" applyFill="1" applyBorder="1"/>
    <xf numFmtId="0" fontId="8" fillId="2" borderId="28" xfId="0" applyFont="1" applyFill="1" applyBorder="1"/>
    <xf numFmtId="0" fontId="17" fillId="0" borderId="0" xfId="0" applyFont="1"/>
    <xf numFmtId="0" fontId="18" fillId="0" borderId="0" xfId="0" applyFont="1"/>
    <xf numFmtId="0" fontId="2" fillId="0" borderId="0" xfId="0" applyFont="1"/>
    <xf numFmtId="0" fontId="10" fillId="2" borderId="3" xfId="0" applyFont="1" applyFill="1" applyBorder="1" applyAlignment="1">
      <alignment horizontal="center" vertical="center" wrapText="1"/>
    </xf>
    <xf numFmtId="0" fontId="15" fillId="10" borderId="17" xfId="0" applyFont="1" applyFill="1" applyBorder="1"/>
    <xf numFmtId="0" fontId="3" fillId="3" borderId="3" xfId="0" applyFont="1" applyFill="1" applyBorder="1"/>
    <xf numFmtId="0" fontId="17" fillId="0" borderId="29" xfId="0" applyFont="1" applyBorder="1"/>
    <xf numFmtId="0" fontId="17" fillId="0" borderId="30" xfId="0" applyFont="1" applyBorder="1"/>
    <xf numFmtId="0" fontId="17" fillId="0" borderId="31" xfId="0" applyFont="1" applyBorder="1"/>
    <xf numFmtId="0" fontId="17" fillId="0" borderId="32" xfId="0" applyFont="1" applyBorder="1"/>
    <xf numFmtId="0" fontId="17" fillId="0" borderId="33" xfId="0" applyFont="1" applyBorder="1"/>
    <xf numFmtId="0" fontId="19" fillId="3" borderId="37" xfId="0" applyFont="1" applyFill="1" applyBorder="1" applyAlignment="1">
      <alignment horizontal="left" vertical="center"/>
    </xf>
    <xf numFmtId="0" fontId="19" fillId="3" borderId="38" xfId="0" applyFont="1" applyFill="1" applyBorder="1" applyAlignment="1">
      <alignment horizontal="left" vertical="center"/>
    </xf>
    <xf numFmtId="0" fontId="19" fillId="3" borderId="39" xfId="0" applyFont="1" applyFill="1" applyBorder="1" applyAlignment="1">
      <alignment horizontal="left" vertical="center"/>
    </xf>
    <xf numFmtId="0" fontId="5" fillId="3" borderId="24" xfId="0" quotePrefix="1" applyFont="1" applyFill="1" applyBorder="1"/>
    <xf numFmtId="0" fontId="5" fillId="3" borderId="0" xfId="0" applyFont="1" applyFill="1" applyAlignment="1">
      <alignment horizontal="left" indent="7"/>
    </xf>
    <xf numFmtId="49" fontId="10" fillId="2" borderId="15" xfId="0" applyNumberFormat="1" applyFont="1" applyFill="1" applyBorder="1" applyAlignment="1">
      <alignment horizontal="center"/>
    </xf>
    <xf numFmtId="49" fontId="10" fillId="6" borderId="15" xfId="0" applyNumberFormat="1" applyFont="1" applyFill="1" applyBorder="1" applyAlignment="1">
      <alignment horizontal="center"/>
    </xf>
    <xf numFmtId="49" fontId="4" fillId="3" borderId="15" xfId="0" applyNumberFormat="1" applyFont="1" applyFill="1" applyBorder="1"/>
    <xf numFmtId="0" fontId="20" fillId="11" borderId="15" xfId="1" applyFont="1" applyFill="1" applyBorder="1" applyAlignment="1">
      <alignment horizontal="center" vertical="center"/>
    </xf>
    <xf numFmtId="0" fontId="20" fillId="11" borderId="15" xfId="1" applyFont="1" applyFill="1" applyBorder="1" applyAlignment="1">
      <alignment horizontal="left" vertical="center"/>
    </xf>
    <xf numFmtId="0" fontId="3" fillId="3" borderId="15" xfId="0" applyFont="1" applyFill="1" applyBorder="1" applyAlignment="1">
      <alignment horizontal="left" vertical="center"/>
    </xf>
    <xf numFmtId="14" fontId="3" fillId="3" borderId="15" xfId="0" applyNumberFormat="1" applyFont="1" applyFill="1" applyBorder="1" applyAlignment="1">
      <alignment horizontal="left" vertical="center"/>
    </xf>
    <xf numFmtId="3" fontId="3" fillId="3" borderId="15" xfId="0" applyNumberFormat="1" applyFont="1" applyFill="1" applyBorder="1" applyAlignment="1">
      <alignment horizontal="center" vertical="center"/>
    </xf>
    <xf numFmtId="49" fontId="1" fillId="0" borderId="0" xfId="0" applyNumberFormat="1" applyFont="1"/>
    <xf numFmtId="0" fontId="13" fillId="5" borderId="15" xfId="1" applyFont="1" applyBorder="1" applyAlignment="1">
      <alignment horizontal="left" vertical="center"/>
    </xf>
    <xf numFmtId="0" fontId="6" fillId="4" borderId="12" xfId="0" applyFont="1" applyFill="1" applyBorder="1"/>
    <xf numFmtId="0" fontId="6" fillId="4" borderId="5" xfId="0" applyFont="1" applyFill="1" applyBorder="1"/>
    <xf numFmtId="0" fontId="6" fillId="4" borderId="8" xfId="0" applyFont="1" applyFill="1" applyBorder="1"/>
    <xf numFmtId="0" fontId="16" fillId="4" borderId="12" xfId="0" applyFont="1" applyFill="1" applyBorder="1"/>
    <xf numFmtId="0" fontId="16" fillId="4" borderId="5" xfId="0" applyFont="1" applyFill="1" applyBorder="1"/>
    <xf numFmtId="14" fontId="0" fillId="0" borderId="0" xfId="0" applyNumberFormat="1"/>
    <xf numFmtId="0" fontId="4" fillId="12" borderId="17" xfId="0" applyFont="1" applyFill="1" applyBorder="1"/>
    <xf numFmtId="0" fontId="3" fillId="3" borderId="15" xfId="0" quotePrefix="1" applyFont="1" applyFill="1" applyBorder="1" applyAlignment="1">
      <alignment horizontal="left" vertical="center"/>
    </xf>
    <xf numFmtId="0" fontId="8" fillId="2" borderId="31" xfId="0" applyFont="1" applyFill="1" applyBorder="1" applyAlignment="1">
      <alignment horizontal="left" wrapText="1"/>
    </xf>
    <xf numFmtId="0" fontId="8" fillId="2" borderId="32" xfId="0" applyFont="1" applyFill="1" applyBorder="1" applyAlignment="1">
      <alignment horizontal="left" wrapText="1"/>
    </xf>
    <xf numFmtId="0" fontId="19" fillId="9" borderId="34" xfId="0" applyFont="1" applyFill="1" applyBorder="1" applyAlignment="1">
      <alignment horizontal="center" wrapText="1"/>
    </xf>
    <xf numFmtId="0" fontId="19" fillId="9" borderId="35" xfId="0" applyFont="1" applyFill="1" applyBorder="1" applyAlignment="1">
      <alignment horizontal="center" wrapText="1"/>
    </xf>
    <xf numFmtId="0" fontId="19" fillId="9" borderId="36" xfId="0" applyFont="1" applyFill="1" applyBorder="1" applyAlignment="1">
      <alignment horizontal="center" wrapText="1"/>
    </xf>
  </cellXfs>
  <cellStyles count="2">
    <cellStyle name="Good" xfId="1" builtinId="26"/>
    <cellStyle name="Normal" xfId="0" builtinId="0"/>
  </cellStyles>
  <dxfs count="17"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rgb="FFFFA7A7"/>
        </patternFill>
      </fill>
    </dxf>
    <dxf>
      <font>
        <b/>
        <i val="0"/>
        <color rgb="FFFFC000"/>
      </font>
      <fill>
        <patternFill>
          <bgColor rgb="FFFFF1C5"/>
        </patternFill>
      </fill>
    </dxf>
    <dxf>
      <font>
        <b/>
        <i val="0"/>
        <color theme="0"/>
      </font>
      <fill>
        <patternFill>
          <bgColor theme="0" tint="-0.24994659260841701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rgb="FFFFA7A7"/>
        </patternFill>
      </fill>
    </dxf>
    <dxf>
      <font>
        <b/>
        <i val="0"/>
        <color rgb="FFFFC000"/>
      </font>
      <fill>
        <patternFill>
          <bgColor rgb="FFFFF1C5"/>
        </patternFill>
      </fill>
    </dxf>
    <dxf>
      <font>
        <b/>
        <i val="0"/>
        <color theme="0"/>
      </font>
      <fill>
        <patternFill>
          <bgColor theme="0" tint="-0.24994659260841701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rgb="FFFFA7A7"/>
        </patternFill>
      </fill>
    </dxf>
    <dxf>
      <font>
        <b/>
        <i val="0"/>
        <color rgb="FFFFC000"/>
      </font>
      <fill>
        <patternFill>
          <bgColor rgb="FFFFF1C5"/>
        </patternFill>
      </fill>
    </dxf>
    <dxf>
      <font>
        <b/>
        <i val="0"/>
        <color theme="0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rgb="FFFFA7A7"/>
        </patternFill>
      </fill>
    </dxf>
    <dxf>
      <font>
        <b/>
        <i val="0"/>
        <color rgb="FFFFC000"/>
      </font>
      <fill>
        <patternFill>
          <bgColor rgb="FFFFF1C5"/>
        </patternFill>
      </fill>
    </dxf>
    <dxf>
      <font>
        <b/>
        <i val="0"/>
        <color theme="0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FFDD71"/>
      <color rgb="FFFFFFDD"/>
      <color rgb="FF644C00"/>
      <color rgb="FFFFFFB7"/>
      <color rgb="FFFFFAEB"/>
      <color rgb="FFFDFDFD"/>
      <color rgb="FFFFF1C5"/>
      <color rgb="FFFFE593"/>
      <color rgb="FF777400"/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52917</xdr:colOff>
      <xdr:row>0</xdr:row>
      <xdr:rowOff>95250</xdr:rowOff>
    </xdr:from>
    <xdr:to>
      <xdr:col>2</xdr:col>
      <xdr:colOff>10584</xdr:colOff>
      <xdr:row>2</xdr:row>
      <xdr:rowOff>84667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328084" y="95250"/>
          <a:ext cx="1195917" cy="349250"/>
        </a:xfrm>
        <a:prstGeom prst="rect">
          <a:avLst/>
        </a:prstGeom>
        <a:solidFill>
          <a:srgbClr val="FFFFDD"/>
        </a:solidFill>
        <a:ln w="28575" cmpd="sng">
          <a:solidFill>
            <a:srgbClr val="FFDD7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800">
              <a:latin typeface="Arial" panose="020B0604020202020204" pitchFamily="34" charset="0"/>
              <a:cs typeface="Arial" panose="020B0604020202020204" pitchFamily="34" charset="0"/>
            </a:rPr>
            <a:t>Ilustrativo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0"/>
  <sheetViews>
    <sheetView showGridLines="0" topLeftCell="A24" zoomScale="90" zoomScaleNormal="90" workbookViewId="0">
      <selection activeCell="D39" sqref="D39"/>
    </sheetView>
  </sheetViews>
  <sheetFormatPr defaultColWidth="0" defaultRowHeight="13.8" zeroHeight="1"/>
  <cols>
    <col min="1" max="2" width="3.6640625" style="7" customWidth="1"/>
    <col min="3" max="7" width="27.44140625" style="7" customWidth="1"/>
    <col min="8" max="13" width="9.109375" style="7" customWidth="1"/>
    <col min="14" max="14" width="3.6640625" style="7" customWidth="1"/>
    <col min="15" max="15" width="9.109375" style="7" hidden="1" customWidth="1"/>
    <col min="16" max="32" width="0" style="7" hidden="1" customWidth="1"/>
    <col min="33" max="16384" width="9.109375" style="7" hidden="1"/>
  </cols>
  <sheetData>
    <row r="1" spans="1:30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 ht="3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pans="1:30"/>
    <row r="6" spans="1:30" ht="14.4" thickBot="1">
      <c r="B6" s="28" t="s">
        <v>88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</row>
    <row r="7" spans="1:30"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spans="1:30">
      <c r="B8" s="52" t="s">
        <v>12</v>
      </c>
      <c r="C8" s="53"/>
      <c r="D8" s="55" t="s">
        <v>14</v>
      </c>
      <c r="E8" s="53"/>
      <c r="F8" s="53"/>
      <c r="G8" s="53"/>
      <c r="H8" s="53"/>
      <c r="I8" s="53"/>
      <c r="J8" s="53"/>
      <c r="K8" s="53"/>
      <c r="L8" s="53"/>
      <c r="M8" s="54"/>
    </row>
    <row r="9" spans="1:30">
      <c r="B9" s="52" t="s">
        <v>13</v>
      </c>
      <c r="C9" s="53"/>
      <c r="D9" s="55" t="s">
        <v>15</v>
      </c>
      <c r="E9" s="53"/>
      <c r="F9" s="53"/>
      <c r="G9" s="53"/>
      <c r="H9" s="53"/>
      <c r="I9" s="53"/>
      <c r="J9" s="53"/>
      <c r="K9" s="53"/>
      <c r="L9" s="53"/>
      <c r="M9" s="54"/>
    </row>
    <row r="10" spans="1:30"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</row>
    <row r="11" spans="1:30" ht="14.4">
      <c r="B11" s="50" t="s">
        <v>17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spans="1:30" ht="3" customHeight="1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</row>
    <row r="13" spans="1:30" ht="3" customHeight="1">
      <c r="B13" s="39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1"/>
    </row>
    <row r="14" spans="1:30">
      <c r="B14" s="56" t="s">
        <v>80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43"/>
    </row>
    <row r="15" spans="1:30">
      <c r="B15" s="42" t="s">
        <v>18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43"/>
    </row>
    <row r="16" spans="1:30">
      <c r="B16" s="42" t="s">
        <v>19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43"/>
    </row>
    <row r="17" spans="2:13">
      <c r="B17" s="44" t="s">
        <v>20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43"/>
    </row>
    <row r="18" spans="2:13">
      <c r="B18" s="44" t="s">
        <v>21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43"/>
    </row>
    <row r="19" spans="2:13">
      <c r="B19" s="44" t="s">
        <v>22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43"/>
    </row>
    <row r="20" spans="2:13">
      <c r="B20" s="44" t="s">
        <v>23</v>
      </c>
      <c r="C20" s="6"/>
      <c r="D20" s="6"/>
      <c r="E20" s="6"/>
      <c r="F20" s="6"/>
      <c r="G20" s="6"/>
      <c r="H20" s="6"/>
      <c r="I20" s="6"/>
      <c r="J20" s="46" t="s">
        <v>46</v>
      </c>
      <c r="K20" s="6"/>
      <c r="L20" s="6"/>
      <c r="M20" s="43"/>
    </row>
    <row r="21" spans="2:13">
      <c r="B21" s="56" t="s">
        <v>81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43"/>
    </row>
    <row r="22" spans="2:13">
      <c r="B22" s="56" t="s">
        <v>82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43"/>
    </row>
    <row r="23" spans="2:13">
      <c r="B23" s="44" t="s">
        <v>133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74" t="s">
        <v>46</v>
      </c>
    </row>
    <row r="24" spans="2:13">
      <c r="B24" s="56" t="s">
        <v>83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43"/>
    </row>
    <row r="25" spans="2:13" ht="3" customHeight="1">
      <c r="B25" s="45"/>
      <c r="C25" s="6"/>
      <c r="D25" s="6"/>
      <c r="E25" s="6"/>
      <c r="F25" s="6"/>
      <c r="G25" s="6"/>
      <c r="H25" s="6"/>
      <c r="I25" s="6"/>
      <c r="J25" s="6"/>
      <c r="K25" s="6"/>
      <c r="L25" s="6"/>
      <c r="M25" s="43"/>
    </row>
    <row r="26" spans="2:13">
      <c r="B26" s="45"/>
      <c r="C26" s="57" t="s">
        <v>35</v>
      </c>
      <c r="D26" s="58" t="s">
        <v>34</v>
      </c>
      <c r="E26" s="58" t="s">
        <v>1</v>
      </c>
      <c r="F26" s="58" t="s">
        <v>36</v>
      </c>
      <c r="G26" s="59" t="s">
        <v>37</v>
      </c>
      <c r="H26" s="6"/>
      <c r="I26" s="6"/>
      <c r="J26" s="6"/>
      <c r="K26" s="6"/>
      <c r="L26" s="6"/>
      <c r="M26" s="43"/>
    </row>
    <row r="27" spans="2:13">
      <c r="B27" s="45"/>
      <c r="C27" s="86" t="s">
        <v>87</v>
      </c>
      <c r="D27" s="14" t="s">
        <v>27</v>
      </c>
      <c r="E27" s="14" t="s">
        <v>27</v>
      </c>
      <c r="F27" s="14" t="s">
        <v>28</v>
      </c>
      <c r="G27" s="15"/>
      <c r="H27" s="6"/>
      <c r="I27" s="6"/>
      <c r="J27" s="6"/>
      <c r="K27" s="6"/>
      <c r="L27" s="6"/>
      <c r="M27" s="43"/>
    </row>
    <row r="28" spans="2:13">
      <c r="B28" s="45"/>
      <c r="C28" s="87" t="s">
        <v>11</v>
      </c>
      <c r="D28" s="10" t="s">
        <v>26</v>
      </c>
      <c r="E28" s="10" t="s">
        <v>26</v>
      </c>
      <c r="F28" s="10" t="s">
        <v>30</v>
      </c>
      <c r="G28" s="11"/>
      <c r="H28" s="6"/>
      <c r="I28" s="6"/>
      <c r="J28" s="6"/>
      <c r="K28" s="6"/>
      <c r="L28" s="6"/>
      <c r="M28" s="43"/>
    </row>
    <row r="29" spans="2:13">
      <c r="B29" s="45"/>
      <c r="C29" s="87" t="s">
        <v>86</v>
      </c>
      <c r="D29" s="10" t="s">
        <v>33</v>
      </c>
      <c r="E29" s="10" t="s">
        <v>33</v>
      </c>
      <c r="F29" s="10" t="s">
        <v>32</v>
      </c>
      <c r="G29" s="11"/>
      <c r="H29" s="6"/>
      <c r="I29" s="6"/>
      <c r="J29" s="6"/>
      <c r="K29" s="6"/>
      <c r="L29" s="6"/>
      <c r="M29" s="43"/>
    </row>
    <row r="30" spans="2:13">
      <c r="B30" s="45"/>
      <c r="C30" s="87" t="s">
        <v>321</v>
      </c>
      <c r="D30" s="10" t="s">
        <v>29</v>
      </c>
      <c r="E30" s="10" t="s">
        <v>29</v>
      </c>
      <c r="F30" s="10" t="s">
        <v>30</v>
      </c>
      <c r="G30" s="11" t="s">
        <v>28</v>
      </c>
      <c r="H30" s="6"/>
      <c r="I30" s="6"/>
      <c r="J30" s="6"/>
      <c r="K30" s="6"/>
      <c r="L30" s="6"/>
      <c r="M30" s="43"/>
    </row>
    <row r="31" spans="2:13">
      <c r="B31" s="45"/>
      <c r="C31" s="87" t="s">
        <v>322</v>
      </c>
      <c r="D31" s="10" t="s">
        <v>31</v>
      </c>
      <c r="E31" s="10" t="s">
        <v>31</v>
      </c>
      <c r="F31" s="10" t="s">
        <v>30</v>
      </c>
      <c r="G31" s="11" t="s">
        <v>32</v>
      </c>
      <c r="H31" s="6"/>
      <c r="I31" s="6"/>
      <c r="J31" s="6"/>
      <c r="K31" s="6"/>
      <c r="L31" s="6"/>
      <c r="M31" s="43"/>
    </row>
    <row r="32" spans="2:13">
      <c r="B32" s="45"/>
      <c r="C32" s="88" t="s">
        <v>155</v>
      </c>
      <c r="D32" s="12" t="s">
        <v>156</v>
      </c>
      <c r="E32" s="12" t="s">
        <v>156</v>
      </c>
      <c r="F32" s="12" t="s">
        <v>30</v>
      </c>
      <c r="G32" s="13"/>
      <c r="H32" s="46" t="s">
        <v>46</v>
      </c>
      <c r="I32" s="6"/>
      <c r="J32" s="6"/>
      <c r="K32" s="6"/>
      <c r="L32" s="6"/>
      <c r="M32" s="43"/>
    </row>
    <row r="33" spans="2:13" ht="3" customHeight="1">
      <c r="B33" s="45"/>
      <c r="C33" s="6"/>
      <c r="D33" s="6"/>
      <c r="E33" s="6"/>
      <c r="F33" s="6"/>
      <c r="G33" s="6"/>
      <c r="H33" s="6"/>
      <c r="I33" s="6"/>
      <c r="J33" s="6"/>
      <c r="K33" s="6"/>
      <c r="L33" s="6"/>
      <c r="M33" s="43"/>
    </row>
    <row r="34" spans="2:13" ht="15" customHeight="1">
      <c r="B34" s="45"/>
      <c r="C34" s="94" t="s">
        <v>288</v>
      </c>
      <c r="D34" s="95"/>
      <c r="E34" s="95"/>
      <c r="F34" s="95"/>
      <c r="G34" s="95"/>
      <c r="H34" s="6"/>
      <c r="I34" s="6"/>
      <c r="J34" s="6"/>
      <c r="K34" s="6"/>
      <c r="L34" s="6"/>
      <c r="M34" s="43"/>
    </row>
    <row r="35" spans="2:13">
      <c r="B35" s="45"/>
      <c r="C35" s="89" t="s">
        <v>286</v>
      </c>
      <c r="D35" s="14" t="s">
        <v>289</v>
      </c>
      <c r="E35" s="14"/>
      <c r="F35" s="14"/>
      <c r="G35" s="15"/>
      <c r="H35" s="6"/>
      <c r="I35" s="6"/>
      <c r="J35" s="6"/>
      <c r="K35" s="6"/>
      <c r="L35" s="6"/>
      <c r="M35" s="43"/>
    </row>
    <row r="36" spans="2:13">
      <c r="B36" s="45"/>
      <c r="C36" s="90" t="s">
        <v>287</v>
      </c>
      <c r="D36" s="10" t="s">
        <v>41</v>
      </c>
      <c r="E36" s="10"/>
      <c r="F36" s="10"/>
      <c r="G36" s="11"/>
      <c r="H36" s="6"/>
      <c r="I36" s="6"/>
      <c r="J36" s="6"/>
      <c r="K36" s="6"/>
      <c r="L36" s="6"/>
      <c r="M36" s="43"/>
    </row>
    <row r="37" spans="2:13">
      <c r="B37" s="45"/>
      <c r="C37" s="87" t="s">
        <v>16</v>
      </c>
      <c r="D37" s="10" t="s">
        <v>42</v>
      </c>
      <c r="E37" s="10"/>
      <c r="F37" s="10"/>
      <c r="G37" s="11"/>
      <c r="H37" s="6"/>
      <c r="I37" s="6"/>
      <c r="J37" s="6"/>
      <c r="K37" s="6"/>
      <c r="L37" s="6"/>
      <c r="M37" s="43"/>
    </row>
    <row r="38" spans="2:13">
      <c r="B38" s="45"/>
      <c r="C38" s="87" t="s">
        <v>24</v>
      </c>
      <c r="D38" s="10" t="s">
        <v>43</v>
      </c>
      <c r="E38" s="10"/>
      <c r="F38" s="10"/>
      <c r="G38" s="11"/>
      <c r="H38" s="6"/>
      <c r="I38" s="6"/>
      <c r="J38" s="6"/>
      <c r="K38" s="6"/>
      <c r="L38" s="6"/>
      <c r="M38" s="43"/>
    </row>
    <row r="39" spans="2:13">
      <c r="B39" s="45"/>
      <c r="C39" s="87" t="s">
        <v>38</v>
      </c>
      <c r="D39" s="10" t="s">
        <v>44</v>
      </c>
      <c r="E39" s="10"/>
      <c r="F39" s="10"/>
      <c r="G39" s="11"/>
      <c r="H39" s="6"/>
      <c r="I39" s="6"/>
      <c r="J39" s="6"/>
      <c r="K39" s="6"/>
      <c r="L39" s="6"/>
      <c r="M39" s="43"/>
    </row>
    <row r="40" spans="2:13">
      <c r="B40" s="45"/>
      <c r="C40" s="87" t="s">
        <v>39</v>
      </c>
      <c r="D40" s="10" t="s">
        <v>44</v>
      </c>
      <c r="E40" s="10"/>
      <c r="F40" s="10"/>
      <c r="G40" s="11"/>
      <c r="H40" s="6"/>
      <c r="I40" s="6"/>
      <c r="J40" s="6"/>
      <c r="K40" s="6"/>
      <c r="L40" s="6"/>
      <c r="M40" s="43"/>
    </row>
    <row r="41" spans="2:13">
      <c r="B41" s="45"/>
      <c r="C41" s="87" t="s">
        <v>25</v>
      </c>
      <c r="D41" s="10" t="s">
        <v>45</v>
      </c>
      <c r="E41" s="10"/>
      <c r="F41" s="10"/>
      <c r="G41" s="11"/>
      <c r="H41" s="6"/>
      <c r="I41" s="6"/>
      <c r="J41" s="6"/>
      <c r="K41" s="6"/>
      <c r="L41" s="6"/>
      <c r="M41" s="43"/>
    </row>
    <row r="42" spans="2:13">
      <c r="B42" s="45"/>
      <c r="C42" s="87" t="s">
        <v>40</v>
      </c>
      <c r="D42" s="10" t="str">
        <f>+"ref_date='${ref_date}'"&amp;" AND "&amp;C37&amp;"='"&amp;D37&amp;"' AND "&amp;C38&amp;"='"&amp;D38&amp;"' AND ambito='"&amp;D39&amp;"'"&amp;" AND "&amp;C41&amp;"='"&amp;D41&amp;"'"</f>
        <v>ref_date='${ref_date}' AND nome_perimetro='Individual Corporativo' AND segmento='ESTR' AND ambito='PM' AND entidade='00100'</v>
      </c>
      <c r="E42" s="10"/>
      <c r="F42" s="10"/>
      <c r="G42" s="11"/>
      <c r="H42" s="46" t="s">
        <v>46</v>
      </c>
      <c r="I42" s="6"/>
      <c r="J42" s="6"/>
      <c r="K42" s="6"/>
      <c r="L42" s="6"/>
      <c r="M42" s="43"/>
    </row>
    <row r="43" spans="2:13">
      <c r="B43" s="45"/>
      <c r="C43" s="88" t="s">
        <v>320</v>
      </c>
      <c r="D43" s="12" t="str">
        <f>+"ref_date='${ref_date}'"&amp;" AND "&amp;C37&amp;"='"&amp;D37&amp;"' AND "&amp;C38&amp;"='"&amp;D38&amp;"' AND ambito='"&amp;D39&amp;"'"&amp;" AND "&amp;C41&amp;"='"&amp;D41&amp;"'"</f>
        <v>ref_date='${ref_date}' AND nome_perimetro='Individual Corporativo' AND segmento='ESTR' AND ambito='PM' AND entidade='00100'</v>
      </c>
      <c r="E43" s="12"/>
      <c r="F43" s="12"/>
      <c r="G43" s="13"/>
      <c r="H43" s="46"/>
      <c r="I43" s="6"/>
      <c r="J43" s="6"/>
      <c r="K43" s="6"/>
      <c r="L43" s="6"/>
      <c r="M43" s="43"/>
    </row>
    <row r="44" spans="2:13" ht="3" customHeight="1">
      <c r="B44" s="45"/>
      <c r="C44" s="6"/>
      <c r="D44" s="6"/>
      <c r="E44" s="6"/>
      <c r="F44" s="6"/>
      <c r="G44" s="6"/>
      <c r="H44" s="6"/>
      <c r="I44" s="6"/>
      <c r="J44" s="6"/>
      <c r="K44" s="6"/>
      <c r="L44" s="6"/>
      <c r="M44" s="43"/>
    </row>
    <row r="45" spans="2:13" ht="14.25" customHeight="1">
      <c r="B45" s="56" t="s">
        <v>134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43"/>
    </row>
    <row r="46" spans="2:13" ht="14.25" customHeight="1">
      <c r="B46" s="44" t="s">
        <v>135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43"/>
    </row>
    <row r="47" spans="2:13" ht="3" customHeight="1">
      <c r="B47" s="44"/>
      <c r="C47" s="6"/>
      <c r="D47" s="6"/>
      <c r="E47" s="6"/>
      <c r="F47" s="6"/>
      <c r="G47" s="6"/>
      <c r="H47" s="6"/>
      <c r="I47" s="6"/>
      <c r="J47" s="6"/>
      <c r="K47" s="6"/>
      <c r="L47" s="6"/>
      <c r="M47" s="43"/>
    </row>
    <row r="48" spans="2:13" ht="14.25" customHeight="1">
      <c r="B48" s="44"/>
      <c r="C48" s="75" t="s">
        <v>136</v>
      </c>
      <c r="D48" s="6"/>
      <c r="E48" s="6"/>
      <c r="F48" s="6"/>
      <c r="G48" s="6"/>
      <c r="H48" s="6"/>
      <c r="I48" s="6"/>
      <c r="J48" s="6"/>
      <c r="K48" s="6"/>
      <c r="L48" s="6"/>
      <c r="M48" s="43"/>
    </row>
    <row r="49" spans="2:13" ht="14.25" customHeight="1">
      <c r="B49" s="44"/>
      <c r="C49" s="75" t="s">
        <v>137</v>
      </c>
      <c r="D49" s="6"/>
      <c r="E49" s="6"/>
      <c r="F49" s="6"/>
      <c r="G49" s="6"/>
      <c r="H49" s="6"/>
      <c r="I49" s="6"/>
      <c r="J49" s="6"/>
      <c r="K49" s="6"/>
      <c r="L49" s="6"/>
      <c r="M49" s="43"/>
    </row>
    <row r="50" spans="2:13" ht="14.25" customHeight="1">
      <c r="B50" s="44"/>
      <c r="C50" s="75" t="s">
        <v>138</v>
      </c>
      <c r="D50" s="6"/>
      <c r="E50" s="6"/>
      <c r="F50" s="6"/>
      <c r="G50" s="6"/>
      <c r="H50" s="6"/>
      <c r="I50" s="6"/>
      <c r="J50" s="6"/>
      <c r="K50" s="6"/>
      <c r="L50" s="6"/>
      <c r="M50" s="43"/>
    </row>
    <row r="51" spans="2:13" ht="14.25" customHeight="1">
      <c r="B51" s="44"/>
      <c r="C51" s="75" t="s">
        <v>139</v>
      </c>
      <c r="D51" s="6"/>
      <c r="E51" s="6"/>
      <c r="F51" s="6"/>
      <c r="G51" s="6"/>
      <c r="H51" s="6"/>
      <c r="I51" s="6"/>
      <c r="J51" s="6"/>
      <c r="K51" s="6"/>
      <c r="L51" s="6"/>
      <c r="M51" s="43"/>
    </row>
    <row r="52" spans="2:13" ht="14.25" customHeight="1">
      <c r="B52" s="44"/>
      <c r="C52" s="75" t="s">
        <v>140</v>
      </c>
      <c r="D52" s="6"/>
      <c r="E52" s="6"/>
      <c r="F52" s="6"/>
      <c r="G52" s="6"/>
      <c r="H52" s="6"/>
      <c r="I52" s="6"/>
      <c r="J52" s="6"/>
      <c r="K52" s="6"/>
      <c r="L52" s="6"/>
      <c r="M52" s="43"/>
    </row>
    <row r="53" spans="2:13" ht="14.25" customHeight="1">
      <c r="B53" s="44"/>
      <c r="C53" s="75" t="s">
        <v>141</v>
      </c>
      <c r="D53" s="6"/>
      <c r="E53" s="6"/>
      <c r="F53" s="6"/>
      <c r="G53" s="6"/>
      <c r="H53" s="6"/>
      <c r="I53" s="6"/>
      <c r="J53" s="6"/>
      <c r="K53" s="6"/>
      <c r="L53" s="6"/>
      <c r="M53" s="43"/>
    </row>
    <row r="54" spans="2:13" ht="14.25" customHeight="1">
      <c r="B54" s="44"/>
      <c r="C54" s="75" t="s">
        <v>142</v>
      </c>
      <c r="D54" s="6"/>
      <c r="E54" s="6"/>
      <c r="F54" s="6"/>
      <c r="G54" s="6"/>
      <c r="H54" s="6"/>
      <c r="I54" s="6"/>
      <c r="J54" s="6"/>
      <c r="K54" s="6"/>
      <c r="L54" s="6"/>
      <c r="M54" s="43"/>
    </row>
    <row r="55" spans="2:13" ht="14.25" customHeight="1">
      <c r="B55" s="44"/>
      <c r="C55" s="75" t="s">
        <v>143</v>
      </c>
      <c r="D55" s="6"/>
      <c r="E55" s="6"/>
      <c r="F55" s="6"/>
      <c r="G55" s="6"/>
      <c r="H55" s="6"/>
      <c r="I55" s="6"/>
      <c r="J55" s="6"/>
      <c r="K55" s="6"/>
      <c r="L55" s="6"/>
      <c r="M55" s="43"/>
    </row>
    <row r="56" spans="2:13" ht="14.25" customHeight="1">
      <c r="B56" s="44"/>
      <c r="C56" s="75" t="s">
        <v>144</v>
      </c>
      <c r="D56" s="6"/>
      <c r="E56" s="6"/>
      <c r="F56" s="6"/>
      <c r="G56" s="6"/>
      <c r="H56" s="6"/>
      <c r="I56" s="6"/>
      <c r="J56" s="6"/>
      <c r="K56" s="6"/>
      <c r="L56" s="6"/>
      <c r="M56" s="43"/>
    </row>
    <row r="57" spans="2:13" ht="14.25" customHeight="1">
      <c r="B57" s="44"/>
      <c r="C57" s="75" t="s">
        <v>145</v>
      </c>
      <c r="D57" s="6"/>
      <c r="E57" s="6"/>
      <c r="F57" s="6"/>
      <c r="G57" s="6"/>
      <c r="H57" s="6"/>
      <c r="I57" s="6"/>
      <c r="J57" s="6"/>
      <c r="K57" s="6"/>
      <c r="L57" s="6"/>
      <c r="M57" s="43"/>
    </row>
    <row r="58" spans="2:13" ht="14.25" customHeight="1">
      <c r="B58" s="44"/>
      <c r="C58" s="75" t="s">
        <v>146</v>
      </c>
      <c r="D58" s="6"/>
      <c r="E58" s="6"/>
      <c r="F58" s="6"/>
      <c r="G58" s="6"/>
      <c r="H58" s="6"/>
      <c r="I58" s="6"/>
      <c r="J58" s="6"/>
      <c r="K58" s="6"/>
      <c r="L58" s="6"/>
      <c r="M58" s="43"/>
    </row>
    <row r="59" spans="2:13" ht="14.25" customHeight="1">
      <c r="B59" s="44"/>
      <c r="C59" s="75" t="s">
        <v>147</v>
      </c>
      <c r="D59" s="6"/>
      <c r="E59" s="6"/>
      <c r="F59" s="6"/>
      <c r="G59" s="6"/>
      <c r="H59" s="6"/>
      <c r="I59" s="6"/>
      <c r="J59" s="6"/>
      <c r="K59" s="6"/>
      <c r="L59" s="6"/>
      <c r="M59" s="43"/>
    </row>
    <row r="60" spans="2:13" ht="14.25" customHeight="1">
      <c r="B60" s="44"/>
      <c r="C60" s="75" t="s">
        <v>148</v>
      </c>
      <c r="D60" s="6"/>
      <c r="E60" s="6"/>
      <c r="F60" s="6"/>
      <c r="G60" s="6"/>
      <c r="H60" s="6"/>
      <c r="I60" s="6"/>
      <c r="J60" s="6"/>
      <c r="K60" s="6"/>
      <c r="L60" s="6"/>
      <c r="M60" s="43"/>
    </row>
    <row r="61" spans="2:13" ht="14.25" customHeight="1">
      <c r="B61" s="44"/>
      <c r="C61" s="75" t="s">
        <v>149</v>
      </c>
      <c r="D61" s="6"/>
      <c r="E61" s="6"/>
      <c r="F61" s="6"/>
      <c r="G61" s="6"/>
      <c r="H61" s="6"/>
      <c r="I61" s="6"/>
      <c r="J61" s="6"/>
      <c r="K61" s="6"/>
      <c r="L61" s="6"/>
      <c r="M61" s="43"/>
    </row>
    <row r="62" spans="2:13" ht="14.25" customHeight="1">
      <c r="B62" s="44"/>
      <c r="C62" s="6"/>
      <c r="D62" s="6"/>
      <c r="E62" s="6"/>
      <c r="F62" s="6"/>
      <c r="G62" s="6"/>
      <c r="H62" s="6"/>
      <c r="I62" s="6"/>
      <c r="J62" s="6"/>
      <c r="K62" s="6"/>
      <c r="L62" s="6"/>
      <c r="M62" s="43"/>
    </row>
    <row r="63" spans="2:13" ht="14.25" customHeight="1">
      <c r="B63" s="44"/>
      <c r="C63" s="6"/>
      <c r="D63" s="6"/>
      <c r="E63" s="6"/>
      <c r="F63" s="6"/>
      <c r="G63" s="6"/>
      <c r="H63" s="6"/>
      <c r="I63" s="6"/>
      <c r="J63" s="6"/>
      <c r="K63" s="6"/>
      <c r="L63" s="6"/>
      <c r="M63" s="43"/>
    </row>
    <row r="64" spans="2:13" ht="14.25" customHeight="1">
      <c r="B64" s="44"/>
      <c r="C64" s="6"/>
      <c r="D64" s="6"/>
      <c r="E64" s="6"/>
      <c r="F64" s="6"/>
      <c r="G64" s="6"/>
      <c r="H64" s="6"/>
      <c r="I64" s="6"/>
      <c r="J64" s="6"/>
      <c r="K64" s="6"/>
      <c r="L64" s="6"/>
      <c r="M64" s="43"/>
    </row>
    <row r="65" spans="2:13" ht="14.25" customHeight="1">
      <c r="B65" s="44"/>
      <c r="C65" s="6"/>
      <c r="D65" s="6"/>
      <c r="E65" s="6"/>
      <c r="F65" s="6"/>
      <c r="G65" s="6"/>
      <c r="H65" s="6"/>
      <c r="I65" s="6"/>
      <c r="J65" s="6"/>
      <c r="K65" s="6"/>
      <c r="L65" s="6"/>
      <c r="M65" s="43"/>
    </row>
    <row r="66" spans="2:13" ht="14.25" customHeight="1">
      <c r="B66" s="44"/>
      <c r="C66" s="6"/>
      <c r="D66" s="6"/>
      <c r="E66" s="6"/>
      <c r="F66" s="6"/>
      <c r="G66" s="6"/>
      <c r="H66" s="6"/>
      <c r="I66" s="6"/>
      <c r="J66" s="6"/>
      <c r="K66" s="6"/>
      <c r="L66" s="6"/>
      <c r="M66" s="43"/>
    </row>
    <row r="67" spans="2:13" ht="14.25" customHeight="1">
      <c r="B67" s="44"/>
      <c r="C67" s="6"/>
      <c r="D67" s="6"/>
      <c r="E67" s="6"/>
      <c r="F67" s="6"/>
      <c r="G67" s="6"/>
      <c r="H67" s="6"/>
      <c r="I67" s="6"/>
      <c r="J67" s="6"/>
      <c r="K67" s="6"/>
      <c r="L67" s="6"/>
      <c r="M67" s="43"/>
    </row>
    <row r="68" spans="2:13" ht="14.25" customHeight="1">
      <c r="B68" s="44"/>
      <c r="C68" s="6"/>
      <c r="D68" s="6"/>
      <c r="E68" s="6"/>
      <c r="F68" s="6"/>
      <c r="G68" s="6"/>
      <c r="H68" s="6"/>
      <c r="I68" s="6"/>
      <c r="J68" s="6"/>
      <c r="K68" s="6"/>
      <c r="L68" s="6"/>
      <c r="M68" s="43"/>
    </row>
    <row r="69" spans="2:13" ht="14.25" customHeight="1">
      <c r="B69" s="56" t="s">
        <v>84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43"/>
    </row>
    <row r="70" spans="2:13" ht="14.25" customHeight="1">
      <c r="B70" s="56" t="s">
        <v>85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43"/>
    </row>
    <row r="71" spans="2:13" ht="3" customHeight="1">
      <c r="B71" s="47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9"/>
    </row>
    <row r="72" spans="2:13">
      <c r="B72" s="51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</row>
    <row r="73" spans="2:13" hidden="1"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</row>
    <row r="74" spans="2:13" hidden="1"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</row>
    <row r="75" spans="2:13" hidden="1"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</row>
    <row r="76" spans="2:13" hidden="1"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</row>
    <row r="77" spans="2:13" hidden="1"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</row>
    <row r="78" spans="2:13" hidden="1"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</row>
    <row r="79" spans="2:13" hidden="1"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</row>
    <row r="80" spans="2:13" hidden="1"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</row>
  </sheetData>
  <mergeCells count="1">
    <mergeCell ref="C34:G3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379"/>
  <sheetViews>
    <sheetView showGridLines="0" topLeftCell="A46" zoomScale="80" zoomScaleNormal="80" workbookViewId="0">
      <selection activeCell="A2" sqref="A2"/>
    </sheetView>
  </sheetViews>
  <sheetFormatPr defaultColWidth="0" defaultRowHeight="13.8" zeroHeight="1"/>
  <cols>
    <col min="1" max="1" width="3.6640625" style="2" customWidth="1"/>
    <col min="2" max="6" width="8.6640625" style="2" hidden="1" customWidth="1"/>
    <col min="7" max="7" width="3.6640625" style="2" hidden="1" customWidth="1"/>
    <col min="8" max="8" width="17.6640625" style="2" customWidth="1"/>
    <col min="9" max="9" width="34.6640625" style="2" bestFit="1" customWidth="1"/>
    <col min="10" max="11" width="16.109375" style="2" customWidth="1"/>
    <col min="12" max="12" width="13.6640625" style="2" customWidth="1"/>
    <col min="13" max="14" width="16.109375" style="2" customWidth="1"/>
    <col min="15" max="15" width="13.6640625" style="2" customWidth="1"/>
    <col min="16" max="16" width="16.109375" style="2" customWidth="1"/>
    <col min="17" max="17" width="13.6640625" style="2" customWidth="1"/>
    <col min="18" max="18" width="16.109375" style="2" customWidth="1"/>
    <col min="19" max="19" width="13.6640625" style="2" customWidth="1"/>
    <col min="20" max="20" width="16.109375" style="2" customWidth="1"/>
    <col min="21" max="21" width="13.6640625" style="2" customWidth="1"/>
    <col min="22" max="26" width="16.109375" style="2" customWidth="1"/>
    <col min="27" max="27" width="3.6640625" style="2" customWidth="1"/>
    <col min="28" max="32" width="9.109375" style="2" hidden="1" customWidth="1"/>
    <col min="33" max="45" width="0" style="2" hidden="1" customWidth="1"/>
    <col min="46" max="16384" width="9.109375" style="2" hidden="1"/>
  </cols>
  <sheetData>
    <row r="1" spans="1:3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34" t="s">
        <v>155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ht="3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spans="1:37"/>
    <row r="6" spans="1:37" ht="14.4" thickBot="1">
      <c r="H6" s="28" t="s">
        <v>74</v>
      </c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37"/>
    <row r="8" spans="1:37">
      <c r="H8" s="25" t="s">
        <v>48</v>
      </c>
      <c r="I8" s="24">
        <v>45596</v>
      </c>
    </row>
    <row r="9" spans="1:37" s="20" customFormat="1">
      <c r="B9" s="96" t="s">
        <v>132</v>
      </c>
      <c r="C9" s="97"/>
      <c r="D9" s="97"/>
      <c r="E9" s="97"/>
      <c r="F9" s="98"/>
      <c r="G9" s="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spans="1:37" ht="39" customHeight="1">
      <c r="B10" s="71" t="s">
        <v>5</v>
      </c>
      <c r="C10" s="72" t="s">
        <v>69</v>
      </c>
      <c r="D10" s="72" t="s">
        <v>4</v>
      </c>
      <c r="E10" s="72" t="s">
        <v>90</v>
      </c>
      <c r="F10" s="73" t="s">
        <v>93</v>
      </c>
      <c r="G10" s="38" t="s">
        <v>46</v>
      </c>
      <c r="H10" s="63" t="s">
        <v>54</v>
      </c>
      <c r="I10" s="19" t="s">
        <v>55</v>
      </c>
      <c r="J10" s="19" t="s">
        <v>61</v>
      </c>
      <c r="K10" s="19" t="s">
        <v>130</v>
      </c>
      <c r="L10" s="19" t="s">
        <v>62</v>
      </c>
      <c r="M10" s="19" t="s">
        <v>58</v>
      </c>
      <c r="N10" s="19" t="s">
        <v>131</v>
      </c>
      <c r="O10" s="19" t="s">
        <v>63</v>
      </c>
      <c r="P10" s="19" t="s">
        <v>59</v>
      </c>
      <c r="Q10" s="19" t="s">
        <v>64</v>
      </c>
      <c r="R10" s="19" t="s">
        <v>60</v>
      </c>
      <c r="S10" s="19" t="s">
        <v>65</v>
      </c>
      <c r="T10" s="19" t="s">
        <v>70</v>
      </c>
      <c r="U10" s="19" t="s">
        <v>66</v>
      </c>
      <c r="V10" s="19" t="s">
        <v>71</v>
      </c>
      <c r="W10" s="19" t="s">
        <v>72</v>
      </c>
      <c r="X10" s="19" t="s">
        <v>73</v>
      </c>
      <c r="Y10" s="19" t="s">
        <v>67</v>
      </c>
      <c r="Z10" s="22" t="s">
        <v>68</v>
      </c>
    </row>
    <row r="11" spans="1:37">
      <c r="A11" s="20" t="str">
        <f t="shared" ref="A11:A74" si="0">+H11&amp;I11&amp;$I$8</f>
        <v>ENTITYCOD_SOC45596</v>
      </c>
      <c r="B11" s="66"/>
      <c r="C11" s="60"/>
      <c r="D11" s="60"/>
      <c r="E11" s="60"/>
      <c r="F11" s="67"/>
      <c r="G11" s="60"/>
      <c r="H11" s="65" t="s">
        <v>127</v>
      </c>
      <c r="I11" s="21" t="s">
        <v>109</v>
      </c>
      <c r="J11" s="26">
        <f>+COUNTIF('ID1&amp;5'!G:G,'1. Status'!I11)</f>
        <v>0</v>
      </c>
      <c r="K11" s="83" t="str">
        <f>+IFERROR(VLOOKUP(CONCATENATE(A11,$B$10,B11),'ID1&amp;5'!B:J,8,FALSE),"-")</f>
        <v>-</v>
      </c>
      <c r="L11" s="82" t="str">
        <f>+IFERROR(VLOOKUP(B11,'ID1&amp;5'!K:L,2,FALSE),"-")</f>
        <v>-</v>
      </c>
      <c r="M11" s="83" t="str">
        <f>+IFERROR(VLOOKUP(CONCATENATE(A11,$B$10,B11),'ID1&amp;5'!B:J,9,FALSE),"-")</f>
        <v>-</v>
      </c>
      <c r="N11" s="83" t="str">
        <f>+IFERROR(VLOOKUP(CONCATENATE(A11,$C$10,C11),'ID1&amp;5'!B:J,8,FALSE),"-")</f>
        <v>-</v>
      </c>
      <c r="O11" s="82" t="str">
        <f>+IFERROR(VLOOKUP(C11,'ID1&amp;5'!K:L,2,FALSE),"-")</f>
        <v>-</v>
      </c>
      <c r="P11" s="83" t="str">
        <f>+IFERROR(VLOOKUP(CONCATENATE(A11,$C$10,C11),'ID1&amp;5'!B:J,9,FALSE),"-")</f>
        <v>-</v>
      </c>
      <c r="Q11" s="82" t="str">
        <f>+IFERROR(VLOOKUP(D11,'ID1&amp;5'!K:L,2,FALSE),"-")</f>
        <v>-</v>
      </c>
      <c r="R11" s="26" t="str">
        <f>+IFERROR(VLOOKUP(CONCATENATE(A11,$D$10,D11),'ID1&amp;5'!B:J,9,FALSE),"-")</f>
        <v>-</v>
      </c>
      <c r="S11" s="82" t="str">
        <f>+IFERROR(VLOOKUP(E11,'ID1&amp;5'!K:L,2,FALSE),"-")</f>
        <v>-</v>
      </c>
      <c r="T11" s="83" t="str">
        <f>+IFERROR(VLOOKUP(CONCATENATE(A11,$E$10,E11),'ID1&amp;5'!B:J,9,FALSE),"-")</f>
        <v>-</v>
      </c>
      <c r="U11" s="82" t="str">
        <f>+IFERROR(VLOOKUP(F11,'ID1&amp;5'!K:L,2,FALSE),"-")</f>
        <v>-</v>
      </c>
      <c r="V11" s="83" t="str">
        <f>+IFERROR(VLOOKUP(CONCATENATE(A11,$F$10,F11),'ID1&amp;5'!B:J,9,FALSE),"-")</f>
        <v>-</v>
      </c>
      <c r="W11" s="26" t="str">
        <f>+IFERROR(VLOOKUP(A11,'ID6&amp;7'!A:I,9,FALSE),"-")</f>
        <v>-</v>
      </c>
      <c r="X11" s="26" t="str">
        <f>+IFERROR(VLOOKUP(A11,'ID6&amp;7'!A:J,10,FALSE),"-")</f>
        <v>-</v>
      </c>
      <c r="Y11" s="26"/>
      <c r="Z11" s="27" t="str">
        <f t="shared" ref="Z11:Z74" si="1">+IF(J11=0,"Por iniciar",IF(OR(K11="-",M11="-",P11="-",R11="-",T11="-",V11="-"),"Em testes",IF(AND(M11=0,P11=0,R11=0,T11&lt;&gt;K11,V11&lt;&gt;K11),"OK","NOK")))</f>
        <v>Por iniciar</v>
      </c>
    </row>
    <row r="12" spans="1:37">
      <c r="A12" s="20" t="str">
        <f t="shared" si="0"/>
        <v>ENTITYCNTRY45596</v>
      </c>
      <c r="B12" s="66"/>
      <c r="C12" s="60"/>
      <c r="D12" s="60"/>
      <c r="E12" s="60"/>
      <c r="F12" s="67"/>
      <c r="G12" s="60"/>
      <c r="H12" s="65" t="s">
        <v>127</v>
      </c>
      <c r="I12" s="21" t="s">
        <v>113</v>
      </c>
      <c r="J12" s="26">
        <f>+COUNTIF('ID1&amp;5'!G:G,'1. Status'!I12)</f>
        <v>0</v>
      </c>
      <c r="K12" s="83" t="str">
        <f>+IFERROR(VLOOKUP(CONCATENATE(A12,$B$10,B12),'ID1&amp;5'!B:J,8,FALSE),"-")</f>
        <v>-</v>
      </c>
      <c r="L12" s="82" t="str">
        <f>+IFERROR(VLOOKUP(B12,'ID1&amp;5'!K:L,2,FALSE),"-")</f>
        <v>-</v>
      </c>
      <c r="M12" s="83" t="str">
        <f>+IFERROR(VLOOKUP(CONCATENATE(A12,$B$10,B12),'ID1&amp;5'!B:J,9,FALSE),"-")</f>
        <v>-</v>
      </c>
      <c r="N12" s="83" t="str">
        <f>+IFERROR(VLOOKUP(CONCATENATE(A12,$C$10,C12),'ID1&amp;5'!B:J,8,FALSE),"-")</f>
        <v>-</v>
      </c>
      <c r="O12" s="82" t="str">
        <f>+IFERROR(VLOOKUP(C12,'ID1&amp;5'!K:L,2,FALSE),"-")</f>
        <v>-</v>
      </c>
      <c r="P12" s="83" t="str">
        <f>+IFERROR(VLOOKUP(CONCATENATE(A12,$C$10,C12),'ID1&amp;5'!B:J,9,FALSE),"-")</f>
        <v>-</v>
      </c>
      <c r="Q12" s="82" t="str">
        <f>+IFERROR(VLOOKUP(D12,'ID1&amp;5'!K:L,2,FALSE),"-")</f>
        <v>-</v>
      </c>
      <c r="R12" s="26" t="str">
        <f>+IFERROR(VLOOKUP(CONCATENATE(A12,$D$10,D12),'ID1&amp;5'!B:J,9,FALSE),"-")</f>
        <v>-</v>
      </c>
      <c r="S12" s="82" t="str">
        <f>+IFERROR(VLOOKUP(E12,'ID1&amp;5'!K:L,2,FALSE),"-")</f>
        <v>-</v>
      </c>
      <c r="T12" s="83" t="str">
        <f>+IFERROR(VLOOKUP(CONCATENATE(A12,$E$10,E12),'ID1&amp;5'!B:J,9,FALSE),"-")</f>
        <v>-</v>
      </c>
      <c r="U12" s="82" t="str">
        <f>+IFERROR(VLOOKUP(F12,'ID1&amp;5'!K:L,2,FALSE),"-")</f>
        <v>-</v>
      </c>
      <c r="V12" s="83" t="str">
        <f>+IFERROR(VLOOKUP(CONCATENATE(A12,$F$10,F12),'ID1&amp;5'!B:J,9,FALSE),"-")</f>
        <v>-</v>
      </c>
      <c r="W12" s="26" t="str">
        <f>+IFERROR(VLOOKUP(A12,'ID6&amp;7'!A:I,9,FALSE),"-")</f>
        <v>-</v>
      </c>
      <c r="X12" s="26" t="str">
        <f>+IFERROR(VLOOKUP(A12,'ID6&amp;7'!A:J,10,FALSE),"-")</f>
        <v>-</v>
      </c>
      <c r="Y12" s="26"/>
      <c r="Z12" s="27" t="str">
        <f t="shared" si="1"/>
        <v>Por iniciar</v>
      </c>
    </row>
    <row r="13" spans="1:37">
      <c r="A13" s="20" t="str">
        <f t="shared" si="0"/>
        <v>ENTITYDT_BRTH45596</v>
      </c>
      <c r="B13" s="66"/>
      <c r="C13" s="60"/>
      <c r="D13" s="60"/>
      <c r="E13" s="60"/>
      <c r="F13" s="67"/>
      <c r="G13" s="60"/>
      <c r="H13" s="65" t="s">
        <v>127</v>
      </c>
      <c r="I13" s="21" t="s">
        <v>324</v>
      </c>
      <c r="J13" s="26">
        <f>+COUNTIF('ID1&amp;5'!G:G,'1. Status'!I13)</f>
        <v>0</v>
      </c>
      <c r="K13" s="83" t="str">
        <f>+IFERROR(VLOOKUP(CONCATENATE(A13,$B$10,B13),'ID1&amp;5'!B:J,8,FALSE),"-")</f>
        <v>-</v>
      </c>
      <c r="L13" s="82" t="str">
        <f>+IFERROR(VLOOKUP(B13,'ID1&amp;5'!K:L,2,FALSE),"-")</f>
        <v>-</v>
      </c>
      <c r="M13" s="83" t="str">
        <f>+IFERROR(VLOOKUP(CONCATENATE(A13,$B$10,B13),'ID1&amp;5'!B:J,9,FALSE),"-")</f>
        <v>-</v>
      </c>
      <c r="N13" s="83" t="str">
        <f>+IFERROR(VLOOKUP(CONCATENATE(A13,$C$10,C13),'ID1&amp;5'!B:J,8,FALSE),"-")</f>
        <v>-</v>
      </c>
      <c r="O13" s="82" t="str">
        <f>+IFERROR(VLOOKUP(C13,'ID1&amp;5'!K:L,2,FALSE),"-")</f>
        <v>-</v>
      </c>
      <c r="P13" s="83" t="str">
        <f>+IFERROR(VLOOKUP(CONCATENATE(A13,$C$10,C13),'ID1&amp;5'!B:J,9,FALSE),"-")</f>
        <v>-</v>
      </c>
      <c r="Q13" s="82" t="str">
        <f>+IFERROR(VLOOKUP(D13,'ID1&amp;5'!K:L,2,FALSE),"-")</f>
        <v>-</v>
      </c>
      <c r="R13" s="26" t="str">
        <f>+IFERROR(VLOOKUP(CONCATENATE(A13,$D$10,D13),'ID1&amp;5'!B:J,9,FALSE),"-")</f>
        <v>-</v>
      </c>
      <c r="S13" s="82" t="str">
        <f>+IFERROR(VLOOKUP(E13,'ID1&amp;5'!K:L,2,FALSE),"-")</f>
        <v>-</v>
      </c>
      <c r="T13" s="83" t="str">
        <f>+IFERROR(VLOOKUP(CONCATENATE(A13,$E$10,E13),'ID1&amp;5'!B:J,9,FALSE),"-")</f>
        <v>-</v>
      </c>
      <c r="U13" s="82" t="str">
        <f>+IFERROR(VLOOKUP(F13,'ID1&amp;5'!K:L,2,FALSE),"-")</f>
        <v>-</v>
      </c>
      <c r="V13" s="83" t="str">
        <f>+IFERROR(VLOOKUP(CONCATENATE(A13,$F$10,F13),'ID1&amp;5'!B:J,9,FALSE),"-")</f>
        <v>-</v>
      </c>
      <c r="W13" s="26" t="str">
        <f>+IFERROR(VLOOKUP(A13,'ID6&amp;7'!A:I,9,FALSE),"-")</f>
        <v>-</v>
      </c>
      <c r="X13" s="26" t="str">
        <f>+IFERROR(VLOOKUP(A13,'ID6&amp;7'!A:J,10,FALSE),"-")</f>
        <v>-</v>
      </c>
      <c r="Y13" s="26"/>
      <c r="Z13" s="27" t="str">
        <f t="shared" si="1"/>
        <v>Por iniciar</v>
      </c>
    </row>
    <row r="14" spans="1:37">
      <c r="A14" s="20" t="str">
        <f t="shared" si="0"/>
        <v>ENTITYDT_DFLT_STTS45596</v>
      </c>
      <c r="B14" s="66"/>
      <c r="C14" s="60"/>
      <c r="D14" s="60"/>
      <c r="E14" s="60"/>
      <c r="F14" s="67"/>
      <c r="G14" s="60"/>
      <c r="H14" s="65" t="s">
        <v>127</v>
      </c>
      <c r="I14" s="21" t="s">
        <v>325</v>
      </c>
      <c r="J14" s="26">
        <f>+COUNTIF('ID1&amp;5'!G:G,'1. Status'!I14)</f>
        <v>0</v>
      </c>
      <c r="K14" s="83" t="str">
        <f>+IFERROR(VLOOKUP(CONCATENATE(A14,$B$10,B14),'ID1&amp;5'!B:J,8,FALSE),"-")</f>
        <v>-</v>
      </c>
      <c r="L14" s="82" t="str">
        <f>+IFERROR(VLOOKUP(B14,'ID1&amp;5'!K:L,2,FALSE),"-")</f>
        <v>-</v>
      </c>
      <c r="M14" s="83" t="str">
        <f>+IFERROR(VLOOKUP(CONCATENATE(A14,$B$10,B14),'ID1&amp;5'!B:J,9,FALSE),"-")</f>
        <v>-</v>
      </c>
      <c r="N14" s="83" t="str">
        <f>+IFERROR(VLOOKUP(CONCATENATE(A14,$C$10,C14),'ID1&amp;5'!B:J,8,FALSE),"-")</f>
        <v>-</v>
      </c>
      <c r="O14" s="82" t="str">
        <f>+IFERROR(VLOOKUP(C14,'ID1&amp;5'!K:L,2,FALSE),"-")</f>
        <v>-</v>
      </c>
      <c r="P14" s="83" t="str">
        <f>+IFERROR(VLOOKUP(CONCATENATE(A14,$C$10,C14),'ID1&amp;5'!B:J,9,FALSE),"-")</f>
        <v>-</v>
      </c>
      <c r="Q14" s="82" t="str">
        <f>+IFERROR(VLOOKUP(D14,'ID1&amp;5'!K:L,2,FALSE),"-")</f>
        <v>-</v>
      </c>
      <c r="R14" s="26" t="str">
        <f>+IFERROR(VLOOKUP(CONCATENATE(A14,$D$10,D14),'ID1&amp;5'!B:J,9,FALSE),"-")</f>
        <v>-</v>
      </c>
      <c r="S14" s="82" t="str">
        <f>+IFERROR(VLOOKUP(E14,'ID1&amp;5'!K:L,2,FALSE),"-")</f>
        <v>-</v>
      </c>
      <c r="T14" s="83" t="str">
        <f>+IFERROR(VLOOKUP(CONCATENATE(A14,$E$10,E14),'ID1&amp;5'!B:J,9,FALSE),"-")</f>
        <v>-</v>
      </c>
      <c r="U14" s="82" t="str">
        <f>+IFERROR(VLOOKUP(F14,'ID1&amp;5'!K:L,2,FALSE),"-")</f>
        <v>-</v>
      </c>
      <c r="V14" s="83" t="str">
        <f>+IFERROR(VLOOKUP(CONCATENATE(A14,$F$10,F14),'ID1&amp;5'!B:J,9,FALSE),"-")</f>
        <v>-</v>
      </c>
      <c r="W14" s="26" t="str">
        <f>+IFERROR(VLOOKUP(A14,'ID6&amp;7'!A:I,9,FALSE),"-")</f>
        <v>-</v>
      </c>
      <c r="X14" s="26" t="str">
        <f>+IFERROR(VLOOKUP(A14,'ID6&amp;7'!A:J,10,FALSE),"-")</f>
        <v>-</v>
      </c>
      <c r="Y14" s="26"/>
      <c r="Z14" s="27" t="str">
        <f t="shared" si="1"/>
        <v>Por iniciar</v>
      </c>
    </row>
    <row r="15" spans="1:37">
      <c r="A15" s="20" t="str">
        <f t="shared" si="0"/>
        <v>ENTITYDT_FNNCL_STTMTS45596</v>
      </c>
      <c r="B15" s="66"/>
      <c r="C15" s="60"/>
      <c r="D15" s="60"/>
      <c r="E15" s="60"/>
      <c r="F15" s="67"/>
      <c r="G15" s="60"/>
      <c r="H15" s="65" t="s">
        <v>127</v>
      </c>
      <c r="I15" s="21" t="s">
        <v>326</v>
      </c>
      <c r="J15" s="26">
        <f>+COUNTIF('ID1&amp;5'!G:G,'1. Status'!I15)</f>
        <v>0</v>
      </c>
      <c r="K15" s="83" t="str">
        <f>+IFERROR(VLOOKUP(CONCATENATE(A15,$B$10,B15),'ID1&amp;5'!B:J,8,FALSE),"-")</f>
        <v>-</v>
      </c>
      <c r="L15" s="82" t="str">
        <f>+IFERROR(VLOOKUP(B15,'ID1&amp;5'!K:L,2,FALSE),"-")</f>
        <v>-</v>
      </c>
      <c r="M15" s="83" t="str">
        <f>+IFERROR(VLOOKUP(CONCATENATE(A15,$B$10,B15),'ID1&amp;5'!B:J,9,FALSE),"-")</f>
        <v>-</v>
      </c>
      <c r="N15" s="83" t="str">
        <f>+IFERROR(VLOOKUP(CONCATENATE(A15,$C$10,C15),'ID1&amp;5'!B:J,8,FALSE),"-")</f>
        <v>-</v>
      </c>
      <c r="O15" s="82" t="str">
        <f>+IFERROR(VLOOKUP(C15,'ID1&amp;5'!K:L,2,FALSE),"-")</f>
        <v>-</v>
      </c>
      <c r="P15" s="83" t="str">
        <f>+IFERROR(VLOOKUP(CONCATENATE(A15,$C$10,C15),'ID1&amp;5'!B:J,9,FALSE),"-")</f>
        <v>-</v>
      </c>
      <c r="Q15" s="82" t="str">
        <f>+IFERROR(VLOOKUP(D15,'ID1&amp;5'!K:L,2,FALSE),"-")</f>
        <v>-</v>
      </c>
      <c r="R15" s="26" t="str">
        <f>+IFERROR(VLOOKUP(CONCATENATE(A15,$D$10,D15),'ID1&amp;5'!B:J,9,FALSE),"-")</f>
        <v>-</v>
      </c>
      <c r="S15" s="82" t="str">
        <f>+IFERROR(VLOOKUP(E15,'ID1&amp;5'!K:L,2,FALSE),"-")</f>
        <v>-</v>
      </c>
      <c r="T15" s="83" t="str">
        <f>+IFERROR(VLOOKUP(CONCATENATE(A15,$E$10,E15),'ID1&amp;5'!B:J,9,FALSE),"-")</f>
        <v>-</v>
      </c>
      <c r="U15" s="82" t="str">
        <f>+IFERROR(VLOOKUP(F15,'ID1&amp;5'!K:L,2,FALSE),"-")</f>
        <v>-</v>
      </c>
      <c r="V15" s="83" t="str">
        <f>+IFERROR(VLOOKUP(CONCATENATE(A15,$F$10,F15),'ID1&amp;5'!B:J,9,FALSE),"-")</f>
        <v>-</v>
      </c>
      <c r="W15" s="26" t="str">
        <f>+IFERROR(VLOOKUP(A15,'ID6&amp;7'!A:I,9,FALSE),"-")</f>
        <v>-</v>
      </c>
      <c r="X15" s="26" t="str">
        <f>+IFERROR(VLOOKUP(A15,'ID6&amp;7'!A:J,10,FALSE),"-")</f>
        <v>-</v>
      </c>
      <c r="Y15" s="26"/>
      <c r="Z15" s="27" t="str">
        <f t="shared" si="1"/>
        <v>Por iniciar</v>
      </c>
    </row>
    <row r="16" spans="1:37">
      <c r="A16" s="20" t="str">
        <f t="shared" si="0"/>
        <v>ENTITYDT_FNNCL_STTMTS_PRVS45596</v>
      </c>
      <c r="B16" s="66"/>
      <c r="C16" s="60"/>
      <c r="D16" s="60"/>
      <c r="E16" s="60"/>
      <c r="F16" s="67"/>
      <c r="G16" s="60"/>
      <c r="H16" s="65" t="s">
        <v>127</v>
      </c>
      <c r="I16" s="21" t="s">
        <v>327</v>
      </c>
      <c r="J16" s="26">
        <f>+COUNTIF('ID1&amp;5'!G:G,'1. Status'!I16)</f>
        <v>0</v>
      </c>
      <c r="K16" s="83" t="str">
        <f>+IFERROR(VLOOKUP(CONCATENATE(A16,$B$10,B16),'ID1&amp;5'!B:J,8,FALSE),"-")</f>
        <v>-</v>
      </c>
      <c r="L16" s="82" t="str">
        <f>+IFERROR(VLOOKUP(B16,'ID1&amp;5'!K:L,2,FALSE),"-")</f>
        <v>-</v>
      </c>
      <c r="M16" s="83" t="str">
        <f>+IFERROR(VLOOKUP(CONCATENATE(A16,$B$10,B16),'ID1&amp;5'!B:J,9,FALSE),"-")</f>
        <v>-</v>
      </c>
      <c r="N16" s="83" t="str">
        <f>+IFERROR(VLOOKUP(CONCATENATE(A16,$C$10,C16),'ID1&amp;5'!B:J,8,FALSE),"-")</f>
        <v>-</v>
      </c>
      <c r="O16" s="82" t="str">
        <f>+IFERROR(VLOOKUP(C16,'ID1&amp;5'!K:L,2,FALSE),"-")</f>
        <v>-</v>
      </c>
      <c r="P16" s="83" t="str">
        <f>+IFERROR(VLOOKUP(CONCATENATE(A16,$C$10,C16),'ID1&amp;5'!B:J,9,FALSE),"-")</f>
        <v>-</v>
      </c>
      <c r="Q16" s="82" t="str">
        <f>+IFERROR(VLOOKUP(D16,'ID1&amp;5'!K:L,2,FALSE),"-")</f>
        <v>-</v>
      </c>
      <c r="R16" s="26" t="str">
        <f>+IFERROR(VLOOKUP(CONCATENATE(A16,$D$10,D16),'ID1&amp;5'!B:J,9,FALSE),"-")</f>
        <v>-</v>
      </c>
      <c r="S16" s="82" t="str">
        <f>+IFERROR(VLOOKUP(E16,'ID1&amp;5'!K:L,2,FALSE),"-")</f>
        <v>-</v>
      </c>
      <c r="T16" s="83" t="str">
        <f>+IFERROR(VLOOKUP(CONCATENATE(A16,$E$10,E16),'ID1&amp;5'!B:J,9,FALSE),"-")</f>
        <v>-</v>
      </c>
      <c r="U16" s="82" t="str">
        <f>+IFERROR(VLOOKUP(F16,'ID1&amp;5'!K:L,2,FALSE),"-")</f>
        <v>-</v>
      </c>
      <c r="V16" s="83" t="str">
        <f>+IFERROR(VLOOKUP(CONCATENATE(A16,$F$10,F16),'ID1&amp;5'!B:J,9,FALSE),"-")</f>
        <v>-</v>
      </c>
      <c r="W16" s="26" t="str">
        <f>+IFERROR(VLOOKUP(A16,'ID6&amp;7'!A:I,9,FALSE),"-")</f>
        <v>-</v>
      </c>
      <c r="X16" s="26" t="str">
        <f>+IFERROR(VLOOKUP(A16,'ID6&amp;7'!A:J,10,FALSE),"-")</f>
        <v>-</v>
      </c>
      <c r="Y16" s="26"/>
      <c r="Z16" s="27" t="str">
        <f t="shared" si="1"/>
        <v>Por iniciar</v>
      </c>
    </row>
    <row r="17" spans="1:26">
      <c r="A17" s="20" t="str">
        <f t="shared" si="0"/>
        <v>ENTITYDT_INTTN_LGL_PRCDNGS_LE45596</v>
      </c>
      <c r="B17" s="66"/>
      <c r="C17" s="60"/>
      <c r="D17" s="60"/>
      <c r="E17" s="60"/>
      <c r="F17" s="67"/>
      <c r="G17" s="60"/>
      <c r="H17" s="65" t="s">
        <v>127</v>
      </c>
      <c r="I17" s="21" t="s">
        <v>328</v>
      </c>
      <c r="J17" s="26">
        <f>+COUNTIF('ID1&amp;5'!G:G,'1. Status'!I17)</f>
        <v>0</v>
      </c>
      <c r="K17" s="83" t="str">
        <f>+IFERROR(VLOOKUP(CONCATENATE(A17,$B$10,B17),'ID1&amp;5'!B:J,8,FALSE),"-")</f>
        <v>-</v>
      </c>
      <c r="L17" s="82" t="str">
        <f>+IFERROR(VLOOKUP(B17,'ID1&amp;5'!K:L,2,FALSE),"-")</f>
        <v>-</v>
      </c>
      <c r="M17" s="83" t="str">
        <f>+IFERROR(VLOOKUP(CONCATENATE(A17,$B$10,B17),'ID1&amp;5'!B:J,9,FALSE),"-")</f>
        <v>-</v>
      </c>
      <c r="N17" s="83" t="str">
        <f>+IFERROR(VLOOKUP(CONCATENATE(A17,$C$10,C17),'ID1&amp;5'!B:J,8,FALSE),"-")</f>
        <v>-</v>
      </c>
      <c r="O17" s="82" t="str">
        <f>+IFERROR(VLOOKUP(C17,'ID1&amp;5'!K:L,2,FALSE),"-")</f>
        <v>-</v>
      </c>
      <c r="P17" s="83" t="str">
        <f>+IFERROR(VLOOKUP(CONCATENATE(A17,$C$10,C17),'ID1&amp;5'!B:J,9,FALSE),"-")</f>
        <v>-</v>
      </c>
      <c r="Q17" s="82" t="str">
        <f>+IFERROR(VLOOKUP(D17,'ID1&amp;5'!K:L,2,FALSE),"-")</f>
        <v>-</v>
      </c>
      <c r="R17" s="26" t="str">
        <f>+IFERROR(VLOOKUP(CONCATENATE(A17,$D$10,D17),'ID1&amp;5'!B:J,9,FALSE),"-")</f>
        <v>-</v>
      </c>
      <c r="S17" s="82" t="str">
        <f>+IFERROR(VLOOKUP(E17,'ID1&amp;5'!K:L,2,FALSE),"-")</f>
        <v>-</v>
      </c>
      <c r="T17" s="83" t="str">
        <f>+IFERROR(VLOOKUP(CONCATENATE(A17,$E$10,E17),'ID1&amp;5'!B:J,9,FALSE),"-")</f>
        <v>-</v>
      </c>
      <c r="U17" s="82" t="str">
        <f>+IFERROR(VLOOKUP(F17,'ID1&amp;5'!K:L,2,FALSE),"-")</f>
        <v>-</v>
      </c>
      <c r="V17" s="83" t="str">
        <f>+IFERROR(VLOOKUP(CONCATENATE(A17,$F$10,F17),'ID1&amp;5'!B:J,9,FALSE),"-")</f>
        <v>-</v>
      </c>
      <c r="W17" s="26" t="str">
        <f>+IFERROR(VLOOKUP(A17,'ID6&amp;7'!A:I,9,FALSE),"-")</f>
        <v>-</v>
      </c>
      <c r="X17" s="26" t="str">
        <f>+IFERROR(VLOOKUP(A17,'ID6&amp;7'!A:J,10,FALSE),"-")</f>
        <v>-</v>
      </c>
      <c r="Y17" s="26"/>
      <c r="Z17" s="27" t="str">
        <f t="shared" si="1"/>
        <v>Por iniciar</v>
      </c>
    </row>
    <row r="18" spans="1:26">
      <c r="A18" s="20" t="str">
        <f t="shared" si="0"/>
        <v>ENTITYDT_PRFRMNG_STTS_LE45596</v>
      </c>
      <c r="B18" s="66"/>
      <c r="C18" s="60"/>
      <c r="D18" s="60"/>
      <c r="E18" s="60"/>
      <c r="F18" s="67"/>
      <c r="G18" s="60"/>
      <c r="H18" s="65" t="s">
        <v>127</v>
      </c>
      <c r="I18" s="21" t="s">
        <v>329</v>
      </c>
      <c r="J18" s="26">
        <f>+COUNTIF('ID1&amp;5'!G:G,'1. Status'!I18)</f>
        <v>0</v>
      </c>
      <c r="K18" s="83" t="str">
        <f>+IFERROR(VLOOKUP(CONCATENATE(A18,$B$10,B18),'ID1&amp;5'!B:J,8,FALSE),"-")</f>
        <v>-</v>
      </c>
      <c r="L18" s="82" t="str">
        <f>+IFERROR(VLOOKUP(B18,'ID1&amp;5'!K:L,2,FALSE),"-")</f>
        <v>-</v>
      </c>
      <c r="M18" s="83" t="str">
        <f>+IFERROR(VLOOKUP(CONCATENATE(A18,$B$10,B18),'ID1&amp;5'!B:J,9,FALSE),"-")</f>
        <v>-</v>
      </c>
      <c r="N18" s="83" t="str">
        <f>+IFERROR(VLOOKUP(CONCATENATE(A18,$C$10,C18),'ID1&amp;5'!B:J,8,FALSE),"-")</f>
        <v>-</v>
      </c>
      <c r="O18" s="82" t="str">
        <f>+IFERROR(VLOOKUP(C18,'ID1&amp;5'!K:L,2,FALSE),"-")</f>
        <v>-</v>
      </c>
      <c r="P18" s="83" t="str">
        <f>+IFERROR(VLOOKUP(CONCATENATE(A18,$C$10,C18),'ID1&amp;5'!B:J,9,FALSE),"-")</f>
        <v>-</v>
      </c>
      <c r="Q18" s="82" t="str">
        <f>+IFERROR(VLOOKUP(D18,'ID1&amp;5'!K:L,2,FALSE),"-")</f>
        <v>-</v>
      </c>
      <c r="R18" s="26" t="str">
        <f>+IFERROR(VLOOKUP(CONCATENATE(A18,$D$10,D18),'ID1&amp;5'!B:J,9,FALSE),"-")</f>
        <v>-</v>
      </c>
      <c r="S18" s="82" t="str">
        <f>+IFERROR(VLOOKUP(E18,'ID1&amp;5'!K:L,2,FALSE),"-")</f>
        <v>-</v>
      </c>
      <c r="T18" s="83" t="str">
        <f>+IFERROR(VLOOKUP(CONCATENATE(A18,$E$10,E18),'ID1&amp;5'!B:J,9,FALSE),"-")</f>
        <v>-</v>
      </c>
      <c r="U18" s="82" t="str">
        <f>+IFERROR(VLOOKUP(F18,'ID1&amp;5'!K:L,2,FALSE),"-")</f>
        <v>-</v>
      </c>
      <c r="V18" s="83" t="str">
        <f>+IFERROR(VLOOKUP(CONCATENATE(A18,$F$10,F18),'ID1&amp;5'!B:J,9,FALSE),"-")</f>
        <v>-</v>
      </c>
      <c r="W18" s="26" t="str">
        <f>+IFERROR(VLOOKUP(A18,'ID6&amp;7'!A:I,9,FALSE),"-")</f>
        <v>-</v>
      </c>
      <c r="X18" s="26" t="str">
        <f>+IFERROR(VLOOKUP(A18,'ID6&amp;7'!A:J,10,FALSE),"-")</f>
        <v>-</v>
      </c>
      <c r="Y18" s="26"/>
      <c r="Z18" s="27" t="str">
        <f t="shared" si="1"/>
        <v>Por iniciar</v>
      </c>
    </row>
    <row r="19" spans="1:26">
      <c r="A19" s="20" t="str">
        <f t="shared" si="0"/>
        <v>ENTITYGCC_PRNT_ID45596</v>
      </c>
      <c r="B19" s="66"/>
      <c r="C19" s="60"/>
      <c r="D19" s="60"/>
      <c r="E19" s="60"/>
      <c r="F19" s="67"/>
      <c r="G19" s="60"/>
      <c r="H19" s="65" t="s">
        <v>127</v>
      </c>
      <c r="I19" s="21" t="s">
        <v>330</v>
      </c>
      <c r="J19" s="26">
        <f>+COUNTIF('ID1&amp;5'!G:G,'1. Status'!I19)</f>
        <v>0</v>
      </c>
      <c r="K19" s="83" t="str">
        <f>+IFERROR(VLOOKUP(CONCATENATE(A19,$B$10,B19),'ID1&amp;5'!B:J,8,FALSE),"-")</f>
        <v>-</v>
      </c>
      <c r="L19" s="82" t="str">
        <f>+IFERROR(VLOOKUP(B19,'ID1&amp;5'!K:L,2,FALSE),"-")</f>
        <v>-</v>
      </c>
      <c r="M19" s="83" t="str">
        <f>+IFERROR(VLOOKUP(CONCATENATE(A19,$B$10,B19),'ID1&amp;5'!B:J,9,FALSE),"-")</f>
        <v>-</v>
      </c>
      <c r="N19" s="83" t="str">
        <f>+IFERROR(VLOOKUP(CONCATENATE(A19,$C$10,C19),'ID1&amp;5'!B:J,8,FALSE),"-")</f>
        <v>-</v>
      </c>
      <c r="O19" s="82" t="str">
        <f>+IFERROR(VLOOKUP(C19,'ID1&amp;5'!K:L,2,FALSE),"-")</f>
        <v>-</v>
      </c>
      <c r="P19" s="83" t="str">
        <f>+IFERROR(VLOOKUP(CONCATENATE(A19,$C$10,C19),'ID1&amp;5'!B:J,9,FALSE),"-")</f>
        <v>-</v>
      </c>
      <c r="Q19" s="82" t="str">
        <f>+IFERROR(VLOOKUP(D19,'ID1&amp;5'!K:L,2,FALSE),"-")</f>
        <v>-</v>
      </c>
      <c r="R19" s="26" t="str">
        <f>+IFERROR(VLOOKUP(CONCATENATE(A19,$D$10,D19),'ID1&amp;5'!B:J,9,FALSE),"-")</f>
        <v>-</v>
      </c>
      <c r="S19" s="82" t="str">
        <f>+IFERROR(VLOOKUP(E19,'ID1&amp;5'!K:L,2,FALSE),"-")</f>
        <v>-</v>
      </c>
      <c r="T19" s="83" t="str">
        <f>+IFERROR(VLOOKUP(CONCATENATE(A19,$E$10,E19),'ID1&amp;5'!B:J,9,FALSE),"-")</f>
        <v>-</v>
      </c>
      <c r="U19" s="82" t="str">
        <f>+IFERROR(VLOOKUP(F19,'ID1&amp;5'!K:L,2,FALSE),"-")</f>
        <v>-</v>
      </c>
      <c r="V19" s="83" t="str">
        <f>+IFERROR(VLOOKUP(CONCATENATE(A19,$F$10,F19),'ID1&amp;5'!B:J,9,FALSE),"-")</f>
        <v>-</v>
      </c>
      <c r="W19" s="26" t="str">
        <f>+IFERROR(VLOOKUP(A19,'ID6&amp;7'!A:I,9,FALSE),"-")</f>
        <v>-</v>
      </c>
      <c r="X19" s="26" t="str">
        <f>+IFERROR(VLOOKUP(A19,'ID6&amp;7'!A:J,10,FALSE),"-")</f>
        <v>-</v>
      </c>
      <c r="Y19" s="26"/>
      <c r="Z19" s="27" t="str">
        <f t="shared" si="1"/>
        <v>Por iniciar</v>
      </c>
    </row>
    <row r="20" spans="1:26">
      <c r="A20" s="20" t="str">
        <f t="shared" si="0"/>
        <v>ENTITYGCC_PRNT_NM45596</v>
      </c>
      <c r="B20" s="66"/>
      <c r="C20" s="60"/>
      <c r="D20" s="60"/>
      <c r="E20" s="60"/>
      <c r="F20" s="67"/>
      <c r="G20" s="60"/>
      <c r="H20" s="65" t="s">
        <v>127</v>
      </c>
      <c r="I20" s="21" t="s">
        <v>331</v>
      </c>
      <c r="J20" s="26">
        <f>+COUNTIF('ID1&amp;5'!G:G,'1. Status'!I20)</f>
        <v>0</v>
      </c>
      <c r="K20" s="83" t="str">
        <f>+IFERROR(VLOOKUP(CONCATENATE(A20,$B$10,B20),'ID1&amp;5'!B:J,8,FALSE),"-")</f>
        <v>-</v>
      </c>
      <c r="L20" s="82" t="str">
        <f>+IFERROR(VLOOKUP(B20,'ID1&amp;5'!K:L,2,FALSE),"-")</f>
        <v>-</v>
      </c>
      <c r="M20" s="83" t="str">
        <f>+IFERROR(VLOOKUP(CONCATENATE(A20,$B$10,B20),'ID1&amp;5'!B:J,9,FALSE),"-")</f>
        <v>-</v>
      </c>
      <c r="N20" s="83" t="str">
        <f>+IFERROR(VLOOKUP(CONCATENATE(A20,$C$10,C20),'ID1&amp;5'!B:J,8,FALSE),"-")</f>
        <v>-</v>
      </c>
      <c r="O20" s="82" t="str">
        <f>+IFERROR(VLOOKUP(C20,'ID1&amp;5'!K:L,2,FALSE),"-")</f>
        <v>-</v>
      </c>
      <c r="P20" s="83" t="str">
        <f>+IFERROR(VLOOKUP(CONCATENATE(A20,$C$10,C20),'ID1&amp;5'!B:J,9,FALSE),"-")</f>
        <v>-</v>
      </c>
      <c r="Q20" s="82" t="str">
        <f>+IFERROR(VLOOKUP(D20,'ID1&amp;5'!K:L,2,FALSE),"-")</f>
        <v>-</v>
      </c>
      <c r="R20" s="26" t="str">
        <f>+IFERROR(VLOOKUP(CONCATENATE(A20,$D$10,D20),'ID1&amp;5'!B:J,9,FALSE),"-")</f>
        <v>-</v>
      </c>
      <c r="S20" s="82" t="str">
        <f>+IFERROR(VLOOKUP(E20,'ID1&amp;5'!K:L,2,FALSE),"-")</f>
        <v>-</v>
      </c>
      <c r="T20" s="83" t="str">
        <f>+IFERROR(VLOOKUP(CONCATENATE(A20,$E$10,E20),'ID1&amp;5'!B:J,9,FALSE),"-")</f>
        <v>-</v>
      </c>
      <c r="U20" s="82" t="str">
        <f>+IFERROR(VLOOKUP(F20,'ID1&amp;5'!K:L,2,FALSE),"-")</f>
        <v>-</v>
      </c>
      <c r="V20" s="83" t="str">
        <f>+IFERROR(VLOOKUP(CONCATENATE(A20,$F$10,F20),'ID1&amp;5'!B:J,9,FALSE),"-")</f>
        <v>-</v>
      </c>
      <c r="W20" s="26" t="str">
        <f>+IFERROR(VLOOKUP(A20,'ID6&amp;7'!A:I,9,FALSE),"-")</f>
        <v>-</v>
      </c>
      <c r="X20" s="26" t="str">
        <f>+IFERROR(VLOOKUP(A20,'ID6&amp;7'!A:J,10,FALSE),"-")</f>
        <v>-</v>
      </c>
      <c r="Y20" s="26"/>
      <c r="Z20" s="27" t="str">
        <f t="shared" si="1"/>
        <v>Por iniciar</v>
      </c>
    </row>
    <row r="21" spans="1:26">
      <c r="A21" s="20" t="str">
        <f t="shared" si="0"/>
        <v>ENTITYINTRNL_SGMNT45596</v>
      </c>
      <c r="B21" s="66"/>
      <c r="C21" s="60"/>
      <c r="D21" s="60"/>
      <c r="E21" s="60"/>
      <c r="F21" s="67"/>
      <c r="G21" s="60"/>
      <c r="H21" s="65" t="s">
        <v>127</v>
      </c>
      <c r="I21" s="21" t="s">
        <v>332</v>
      </c>
      <c r="J21" s="26">
        <f>+COUNTIF('ID1&amp;5'!G:G,'1. Status'!I21)</f>
        <v>0</v>
      </c>
      <c r="K21" s="83" t="str">
        <f>+IFERROR(VLOOKUP(CONCATENATE(A21,$B$10,B21),'ID1&amp;5'!B:J,8,FALSE),"-")</f>
        <v>-</v>
      </c>
      <c r="L21" s="82" t="str">
        <f>+IFERROR(VLOOKUP(B21,'ID1&amp;5'!K:L,2,FALSE),"-")</f>
        <v>-</v>
      </c>
      <c r="M21" s="83" t="str">
        <f>+IFERROR(VLOOKUP(CONCATENATE(A21,$B$10,B21),'ID1&amp;5'!B:J,9,FALSE),"-")</f>
        <v>-</v>
      </c>
      <c r="N21" s="83" t="str">
        <f>+IFERROR(VLOOKUP(CONCATENATE(A21,$C$10,C21),'ID1&amp;5'!B:J,8,FALSE),"-")</f>
        <v>-</v>
      </c>
      <c r="O21" s="82" t="str">
        <f>+IFERROR(VLOOKUP(C21,'ID1&amp;5'!K:L,2,FALSE),"-")</f>
        <v>-</v>
      </c>
      <c r="P21" s="83" t="str">
        <f>+IFERROR(VLOOKUP(CONCATENATE(A21,$C$10,C21),'ID1&amp;5'!B:J,9,FALSE),"-")</f>
        <v>-</v>
      </c>
      <c r="Q21" s="82" t="str">
        <f>+IFERROR(VLOOKUP(D21,'ID1&amp;5'!K:L,2,FALSE),"-")</f>
        <v>-</v>
      </c>
      <c r="R21" s="26" t="str">
        <f>+IFERROR(VLOOKUP(CONCATENATE(A21,$D$10,D21),'ID1&amp;5'!B:J,9,FALSE),"-")</f>
        <v>-</v>
      </c>
      <c r="S21" s="82" t="str">
        <f>+IFERROR(VLOOKUP(E21,'ID1&amp;5'!K:L,2,FALSE),"-")</f>
        <v>-</v>
      </c>
      <c r="T21" s="83" t="str">
        <f>+IFERROR(VLOOKUP(CONCATENATE(A21,$E$10,E21),'ID1&amp;5'!B:J,9,FALSE),"-")</f>
        <v>-</v>
      </c>
      <c r="U21" s="82" t="str">
        <f>+IFERROR(VLOOKUP(F21,'ID1&amp;5'!K:L,2,FALSE),"-")</f>
        <v>-</v>
      </c>
      <c r="V21" s="83" t="str">
        <f>+IFERROR(VLOOKUP(CONCATENATE(A21,$F$10,F21),'ID1&amp;5'!B:J,9,FALSE),"-")</f>
        <v>-</v>
      </c>
      <c r="W21" s="26" t="str">
        <f>+IFERROR(VLOOKUP(A21,'ID6&amp;7'!A:I,9,FALSE),"-")</f>
        <v>-</v>
      </c>
      <c r="X21" s="26" t="str">
        <f>+IFERROR(VLOOKUP(A21,'ID6&amp;7'!A:J,10,FALSE),"-")</f>
        <v>-</v>
      </c>
      <c r="Y21" s="26"/>
      <c r="Z21" s="27" t="str">
        <f t="shared" si="1"/>
        <v>Por iniciar</v>
      </c>
    </row>
    <row r="22" spans="1:26">
      <c r="A22" s="20" t="str">
        <f t="shared" si="0"/>
        <v>ENTITYINTRNL_UNT45596</v>
      </c>
      <c r="B22" s="66"/>
      <c r="C22" s="60"/>
      <c r="D22" s="60"/>
      <c r="E22" s="60"/>
      <c r="F22" s="67"/>
      <c r="G22" s="60"/>
      <c r="H22" s="65" t="s">
        <v>127</v>
      </c>
      <c r="I22" s="21" t="s">
        <v>333</v>
      </c>
      <c r="J22" s="26">
        <f>+COUNTIF('ID1&amp;5'!G:G,'1. Status'!I22)</f>
        <v>0</v>
      </c>
      <c r="K22" s="83" t="str">
        <f>+IFERROR(VLOOKUP(CONCATENATE(A22,$B$10,B22),'ID1&amp;5'!B:J,8,FALSE),"-")</f>
        <v>-</v>
      </c>
      <c r="L22" s="82" t="str">
        <f>+IFERROR(VLOOKUP(B22,'ID1&amp;5'!K:L,2,FALSE),"-")</f>
        <v>-</v>
      </c>
      <c r="M22" s="83" t="str">
        <f>+IFERROR(VLOOKUP(CONCATENATE(A22,$B$10,B22),'ID1&amp;5'!B:J,9,FALSE),"-")</f>
        <v>-</v>
      </c>
      <c r="N22" s="83" t="str">
        <f>+IFERROR(VLOOKUP(CONCATENATE(A22,$C$10,C22),'ID1&amp;5'!B:J,8,FALSE),"-")</f>
        <v>-</v>
      </c>
      <c r="O22" s="82" t="str">
        <f>+IFERROR(VLOOKUP(C22,'ID1&amp;5'!K:L,2,FALSE),"-")</f>
        <v>-</v>
      </c>
      <c r="P22" s="83" t="str">
        <f>+IFERROR(VLOOKUP(CONCATENATE(A22,$C$10,C22),'ID1&amp;5'!B:J,9,FALSE),"-")</f>
        <v>-</v>
      </c>
      <c r="Q22" s="82" t="str">
        <f>+IFERROR(VLOOKUP(D22,'ID1&amp;5'!K:L,2,FALSE),"-")</f>
        <v>-</v>
      </c>
      <c r="R22" s="26" t="str">
        <f>+IFERROR(VLOOKUP(CONCATENATE(A22,$D$10,D22),'ID1&amp;5'!B:J,9,FALSE),"-")</f>
        <v>-</v>
      </c>
      <c r="S22" s="82" t="str">
        <f>+IFERROR(VLOOKUP(E22,'ID1&amp;5'!K:L,2,FALSE),"-")</f>
        <v>-</v>
      </c>
      <c r="T22" s="83" t="str">
        <f>+IFERROR(VLOOKUP(CONCATENATE(A22,$E$10,E22),'ID1&amp;5'!B:J,9,FALSE),"-")</f>
        <v>-</v>
      </c>
      <c r="U22" s="82" t="str">
        <f>+IFERROR(VLOOKUP(F22,'ID1&amp;5'!K:L,2,FALSE),"-")</f>
        <v>-</v>
      </c>
      <c r="V22" s="83" t="str">
        <f>+IFERROR(VLOOKUP(CONCATENATE(A22,$F$10,F22),'ID1&amp;5'!B:J,9,FALSE),"-")</f>
        <v>-</v>
      </c>
      <c r="W22" s="26" t="str">
        <f>+IFERROR(VLOOKUP(A22,'ID6&amp;7'!A:I,9,FALSE),"-")</f>
        <v>-</v>
      </c>
      <c r="X22" s="26" t="str">
        <f>+IFERROR(VLOOKUP(A22,'ID6&amp;7'!A:J,10,FALSE),"-")</f>
        <v>-</v>
      </c>
      <c r="Y22" s="26"/>
      <c r="Z22" s="27" t="str">
        <f t="shared" si="1"/>
        <v>Por iniciar</v>
      </c>
    </row>
    <row r="23" spans="1:26">
      <c r="A23" s="20" t="str">
        <f t="shared" si="0"/>
        <v>ENTITYLEI45596</v>
      </c>
      <c r="B23" s="66"/>
      <c r="C23" s="60"/>
      <c r="D23" s="60"/>
      <c r="E23" s="60"/>
      <c r="F23" s="67"/>
      <c r="G23" s="60"/>
      <c r="H23" s="65" t="s">
        <v>127</v>
      </c>
      <c r="I23" s="21" t="s">
        <v>114</v>
      </c>
      <c r="J23" s="26">
        <f>+COUNTIF('ID1&amp;5'!G:G,'1. Status'!I23)</f>
        <v>0</v>
      </c>
      <c r="K23" s="83" t="str">
        <f>+IFERROR(VLOOKUP(CONCATENATE(A23,$B$10,B23),'ID1&amp;5'!B:J,8,FALSE),"-")</f>
        <v>-</v>
      </c>
      <c r="L23" s="82" t="str">
        <f>+IFERROR(VLOOKUP(B23,'ID1&amp;5'!K:L,2,FALSE),"-")</f>
        <v>-</v>
      </c>
      <c r="M23" s="83" t="str">
        <f>+IFERROR(VLOOKUP(CONCATENATE(A23,$B$10,B23),'ID1&amp;5'!B:J,9,FALSE),"-")</f>
        <v>-</v>
      </c>
      <c r="N23" s="83" t="str">
        <f>+IFERROR(VLOOKUP(CONCATENATE(A23,$C$10,C23),'ID1&amp;5'!B:J,8,FALSE),"-")</f>
        <v>-</v>
      </c>
      <c r="O23" s="82" t="str">
        <f>+IFERROR(VLOOKUP(C23,'ID1&amp;5'!K:L,2,FALSE),"-")</f>
        <v>-</v>
      </c>
      <c r="P23" s="83" t="str">
        <f>+IFERROR(VLOOKUP(CONCATENATE(A23,$C$10,C23),'ID1&amp;5'!B:J,9,FALSE),"-")</f>
        <v>-</v>
      </c>
      <c r="Q23" s="82" t="str">
        <f>+IFERROR(VLOOKUP(D23,'ID1&amp;5'!K:L,2,FALSE),"-")</f>
        <v>-</v>
      </c>
      <c r="R23" s="26" t="str">
        <f>+IFERROR(VLOOKUP(CONCATENATE(A23,$D$10,D23),'ID1&amp;5'!B:J,9,FALSE),"-")</f>
        <v>-</v>
      </c>
      <c r="S23" s="82" t="str">
        <f>+IFERROR(VLOOKUP(E23,'ID1&amp;5'!K:L,2,FALSE),"-")</f>
        <v>-</v>
      </c>
      <c r="T23" s="83" t="str">
        <f>+IFERROR(VLOOKUP(CONCATENATE(A23,$E$10,E23),'ID1&amp;5'!B:J,9,FALSE),"-")</f>
        <v>-</v>
      </c>
      <c r="U23" s="82" t="str">
        <f>+IFERROR(VLOOKUP(F23,'ID1&amp;5'!K:L,2,FALSE),"-")</f>
        <v>-</v>
      </c>
      <c r="V23" s="83" t="str">
        <f>+IFERROR(VLOOKUP(CONCATENATE(A23,$F$10,F23),'ID1&amp;5'!B:J,9,FALSE),"-")</f>
        <v>-</v>
      </c>
      <c r="W23" s="26" t="str">
        <f>+IFERROR(VLOOKUP(A23,'ID6&amp;7'!A:I,9,FALSE),"-")</f>
        <v>-</v>
      </c>
      <c r="X23" s="26" t="str">
        <f>+IFERROR(VLOOKUP(A23,'ID6&amp;7'!A:J,10,FALSE),"-")</f>
        <v>-</v>
      </c>
      <c r="Y23" s="26"/>
      <c r="Z23" s="27" t="str">
        <f t="shared" si="1"/>
        <v>Por iniciar</v>
      </c>
    </row>
    <row r="24" spans="1:26">
      <c r="A24" s="20" t="str">
        <f t="shared" si="0"/>
        <v>ENTITYENTTY_NM45596</v>
      </c>
      <c r="B24" s="66"/>
      <c r="C24" s="60"/>
      <c r="D24" s="60"/>
      <c r="E24" s="60"/>
      <c r="F24" s="67"/>
      <c r="G24" s="60"/>
      <c r="H24" s="65" t="s">
        <v>127</v>
      </c>
      <c r="I24" s="21" t="s">
        <v>334</v>
      </c>
      <c r="J24" s="26">
        <f>+COUNTIF('ID1&amp;5'!G:G,'1. Status'!I24)</f>
        <v>0</v>
      </c>
      <c r="K24" s="83" t="str">
        <f>+IFERROR(VLOOKUP(CONCATENATE(A24,$B$10,B24),'ID1&amp;5'!B:J,8,FALSE),"-")</f>
        <v>-</v>
      </c>
      <c r="L24" s="82" t="str">
        <f>+IFERROR(VLOOKUP(B24,'ID1&amp;5'!K:L,2,FALSE),"-")</f>
        <v>-</v>
      </c>
      <c r="M24" s="83" t="str">
        <f>+IFERROR(VLOOKUP(CONCATENATE(A24,$B$10,B24),'ID1&amp;5'!B:J,9,FALSE),"-")</f>
        <v>-</v>
      </c>
      <c r="N24" s="83" t="str">
        <f>+IFERROR(VLOOKUP(CONCATENATE(A24,$C$10,C24),'ID1&amp;5'!B:J,8,FALSE),"-")</f>
        <v>-</v>
      </c>
      <c r="O24" s="82" t="str">
        <f>+IFERROR(VLOOKUP(C24,'ID1&amp;5'!K:L,2,FALSE),"-")</f>
        <v>-</v>
      </c>
      <c r="P24" s="83" t="str">
        <f>+IFERROR(VLOOKUP(CONCATENATE(A24,$C$10,C24),'ID1&amp;5'!B:J,9,FALSE),"-")</f>
        <v>-</v>
      </c>
      <c r="Q24" s="82" t="str">
        <f>+IFERROR(VLOOKUP(D24,'ID1&amp;5'!K:L,2,FALSE),"-")</f>
        <v>-</v>
      </c>
      <c r="R24" s="26" t="str">
        <f>+IFERROR(VLOOKUP(CONCATENATE(A24,$D$10,D24),'ID1&amp;5'!B:J,9,FALSE),"-")</f>
        <v>-</v>
      </c>
      <c r="S24" s="82" t="str">
        <f>+IFERROR(VLOOKUP(E24,'ID1&amp;5'!K:L,2,FALSE),"-")</f>
        <v>-</v>
      </c>
      <c r="T24" s="83" t="str">
        <f>+IFERROR(VLOOKUP(CONCATENATE(A24,$E$10,E24),'ID1&amp;5'!B:J,9,FALSE),"-")</f>
        <v>-</v>
      </c>
      <c r="U24" s="82" t="str">
        <f>+IFERROR(VLOOKUP(F24,'ID1&amp;5'!K:L,2,FALSE),"-")</f>
        <v>-</v>
      </c>
      <c r="V24" s="83" t="str">
        <f>+IFERROR(VLOOKUP(CONCATENATE(A24,$F$10,F24),'ID1&amp;5'!B:J,9,FALSE),"-")</f>
        <v>-</v>
      </c>
      <c r="W24" s="26" t="str">
        <f>+IFERROR(VLOOKUP(A24,'ID6&amp;7'!A:I,9,FALSE),"-")</f>
        <v>-</v>
      </c>
      <c r="X24" s="26" t="str">
        <f>+IFERROR(VLOOKUP(A24,'ID6&amp;7'!A:J,10,FALSE),"-")</f>
        <v>-</v>
      </c>
      <c r="Y24" s="26"/>
      <c r="Z24" s="27" t="str">
        <f t="shared" si="1"/>
        <v>Por iniciar</v>
      </c>
    </row>
    <row r="25" spans="1:26">
      <c r="A25" s="20" t="str">
        <f t="shared" si="0"/>
        <v>ENTITYEXTRNL_RTNG_NM45596</v>
      </c>
      <c r="B25" s="66"/>
      <c r="C25" s="60"/>
      <c r="D25" s="60"/>
      <c r="E25" s="60"/>
      <c r="F25" s="67"/>
      <c r="G25" s="60"/>
      <c r="H25" s="65" t="s">
        <v>127</v>
      </c>
      <c r="I25" s="21" t="s">
        <v>335</v>
      </c>
      <c r="J25" s="26">
        <f>+COUNTIF('ID1&amp;5'!G:G,'1. Status'!I25)</f>
        <v>0</v>
      </c>
      <c r="K25" s="83" t="str">
        <f>+IFERROR(VLOOKUP(CONCATENATE(A25,$B$10,B25),'ID1&amp;5'!B:J,8,FALSE),"-")</f>
        <v>-</v>
      </c>
      <c r="L25" s="82" t="str">
        <f>+IFERROR(VLOOKUP(B25,'ID1&amp;5'!K:L,2,FALSE),"-")</f>
        <v>-</v>
      </c>
      <c r="M25" s="83" t="str">
        <f>+IFERROR(VLOOKUP(CONCATENATE(A25,$B$10,B25),'ID1&amp;5'!B:J,9,FALSE),"-")</f>
        <v>-</v>
      </c>
      <c r="N25" s="83" t="str">
        <f>+IFERROR(VLOOKUP(CONCATENATE(A25,$C$10,C25),'ID1&amp;5'!B:J,8,FALSE),"-")</f>
        <v>-</v>
      </c>
      <c r="O25" s="82" t="str">
        <f>+IFERROR(VLOOKUP(C25,'ID1&amp;5'!K:L,2,FALSE),"-")</f>
        <v>-</v>
      </c>
      <c r="P25" s="83" t="str">
        <f>+IFERROR(VLOOKUP(CONCATENATE(A25,$C$10,C25),'ID1&amp;5'!B:J,9,FALSE),"-")</f>
        <v>-</v>
      </c>
      <c r="Q25" s="82" t="str">
        <f>+IFERROR(VLOOKUP(D25,'ID1&amp;5'!K:L,2,FALSE),"-")</f>
        <v>-</v>
      </c>
      <c r="R25" s="26" t="str">
        <f>+IFERROR(VLOOKUP(CONCATENATE(A25,$D$10,D25),'ID1&amp;5'!B:J,9,FALSE),"-")</f>
        <v>-</v>
      </c>
      <c r="S25" s="82" t="str">
        <f>+IFERROR(VLOOKUP(E25,'ID1&amp;5'!K:L,2,FALSE),"-")</f>
        <v>-</v>
      </c>
      <c r="T25" s="83" t="str">
        <f>+IFERROR(VLOOKUP(CONCATENATE(A25,$E$10,E25),'ID1&amp;5'!B:J,9,FALSE),"-")</f>
        <v>-</v>
      </c>
      <c r="U25" s="82" t="str">
        <f>+IFERROR(VLOOKUP(F25,'ID1&amp;5'!K:L,2,FALSE),"-")</f>
        <v>-</v>
      </c>
      <c r="V25" s="83" t="str">
        <f>+IFERROR(VLOOKUP(CONCATENATE(A25,$F$10,F25),'ID1&amp;5'!B:J,9,FALSE),"-")</f>
        <v>-</v>
      </c>
      <c r="W25" s="26" t="str">
        <f>+IFERROR(VLOOKUP(A25,'ID6&amp;7'!A:I,9,FALSE),"-")</f>
        <v>-</v>
      </c>
      <c r="X25" s="26" t="str">
        <f>+IFERROR(VLOOKUP(A25,'ID6&amp;7'!A:J,10,FALSE),"-")</f>
        <v>-</v>
      </c>
      <c r="Y25" s="26"/>
      <c r="Z25" s="27" t="str">
        <f t="shared" si="1"/>
        <v>Por iniciar</v>
      </c>
    </row>
    <row r="26" spans="1:26">
      <c r="A26" s="20" t="str">
        <f t="shared" si="0"/>
        <v>ENTITYACCNTNG_FRMWRK_SL45596</v>
      </c>
      <c r="B26" s="66"/>
      <c r="C26" s="60"/>
      <c r="D26" s="60"/>
      <c r="E26" s="60"/>
      <c r="F26" s="67"/>
      <c r="G26" s="60"/>
      <c r="H26" s="65" t="s">
        <v>127</v>
      </c>
      <c r="I26" s="21" t="s">
        <v>336</v>
      </c>
      <c r="J26" s="26">
        <f>+COUNTIF('ID1&amp;5'!G:G,'1. Status'!I26)</f>
        <v>0</v>
      </c>
      <c r="K26" s="83" t="str">
        <f>+IFERROR(VLOOKUP(CONCATENATE(A26,$B$10,B26),'ID1&amp;5'!B:J,8,FALSE),"-")</f>
        <v>-</v>
      </c>
      <c r="L26" s="82" t="str">
        <f>+IFERROR(VLOOKUP(B26,'ID1&amp;5'!K:L,2,FALSE),"-")</f>
        <v>-</v>
      </c>
      <c r="M26" s="83" t="str">
        <f>+IFERROR(VLOOKUP(CONCATENATE(A26,$B$10,B26),'ID1&amp;5'!B:J,9,FALSE),"-")</f>
        <v>-</v>
      </c>
      <c r="N26" s="83" t="str">
        <f>+IFERROR(VLOOKUP(CONCATENATE(A26,$C$10,C26),'ID1&amp;5'!B:J,8,FALSE),"-")</f>
        <v>-</v>
      </c>
      <c r="O26" s="82" t="str">
        <f>+IFERROR(VLOOKUP(C26,'ID1&amp;5'!K:L,2,FALSE),"-")</f>
        <v>-</v>
      </c>
      <c r="P26" s="83" t="str">
        <f>+IFERROR(VLOOKUP(CONCATENATE(A26,$C$10,C26),'ID1&amp;5'!B:J,9,FALSE),"-")</f>
        <v>-</v>
      </c>
      <c r="Q26" s="82" t="str">
        <f>+IFERROR(VLOOKUP(D26,'ID1&amp;5'!K:L,2,FALSE),"-")</f>
        <v>-</v>
      </c>
      <c r="R26" s="26" t="str">
        <f>+IFERROR(VLOOKUP(CONCATENATE(A26,$D$10,D26),'ID1&amp;5'!B:J,9,FALSE),"-")</f>
        <v>-</v>
      </c>
      <c r="S26" s="82" t="str">
        <f>+IFERROR(VLOOKUP(E26,'ID1&amp;5'!K:L,2,FALSE),"-")</f>
        <v>-</v>
      </c>
      <c r="T26" s="83" t="str">
        <f>+IFERROR(VLOOKUP(CONCATENATE(A26,$E$10,E26),'ID1&amp;5'!B:J,9,FALSE),"-")</f>
        <v>-</v>
      </c>
      <c r="U26" s="82" t="str">
        <f>+IFERROR(VLOOKUP(F26,'ID1&amp;5'!K:L,2,FALSE),"-")</f>
        <v>-</v>
      </c>
      <c r="V26" s="83" t="str">
        <f>+IFERROR(VLOOKUP(CONCATENATE(A26,$F$10,F26),'ID1&amp;5'!B:J,9,FALSE),"-")</f>
        <v>-</v>
      </c>
      <c r="W26" s="26" t="str">
        <f>+IFERROR(VLOOKUP(A26,'ID6&amp;7'!A:I,9,FALSE),"-")</f>
        <v>-</v>
      </c>
      <c r="X26" s="26" t="str">
        <f>+IFERROR(VLOOKUP(A26,'ID6&amp;7'!A:J,10,FALSE),"-")</f>
        <v>-</v>
      </c>
      <c r="Y26" s="26"/>
      <c r="Z26" s="27" t="str">
        <f t="shared" si="1"/>
        <v>Por iniciar</v>
      </c>
    </row>
    <row r="27" spans="1:26">
      <c r="A27" s="20" t="str">
        <f t="shared" si="0"/>
        <v>ENTITYCR_FLG45596</v>
      </c>
      <c r="B27" s="66"/>
      <c r="C27" s="60"/>
      <c r="D27" s="60"/>
      <c r="E27" s="60"/>
      <c r="F27" s="67"/>
      <c r="G27" s="60"/>
      <c r="H27" s="65" t="s">
        <v>127</v>
      </c>
      <c r="I27" s="21" t="s">
        <v>337</v>
      </c>
      <c r="J27" s="26">
        <f>+COUNTIF('ID1&amp;5'!G:G,'1. Status'!I27)</f>
        <v>0</v>
      </c>
      <c r="K27" s="83" t="str">
        <f>+IFERROR(VLOOKUP(CONCATENATE(A27,$B$10,B27),'ID1&amp;5'!B:J,8,FALSE),"-")</f>
        <v>-</v>
      </c>
      <c r="L27" s="82" t="str">
        <f>+IFERROR(VLOOKUP(B27,'ID1&amp;5'!K:L,2,FALSE),"-")</f>
        <v>-</v>
      </c>
      <c r="M27" s="83" t="str">
        <f>+IFERROR(VLOOKUP(CONCATENATE(A27,$B$10,B27),'ID1&amp;5'!B:J,9,FALSE),"-")</f>
        <v>-</v>
      </c>
      <c r="N27" s="83" t="str">
        <f>+IFERROR(VLOOKUP(CONCATENATE(A27,$C$10,C27),'ID1&amp;5'!B:J,8,FALSE),"-")</f>
        <v>-</v>
      </c>
      <c r="O27" s="82" t="str">
        <f>+IFERROR(VLOOKUP(C27,'ID1&amp;5'!K:L,2,FALSE),"-")</f>
        <v>-</v>
      </c>
      <c r="P27" s="83" t="str">
        <f>+IFERROR(VLOOKUP(CONCATENATE(A27,$C$10,C27),'ID1&amp;5'!B:J,9,FALSE),"-")</f>
        <v>-</v>
      </c>
      <c r="Q27" s="82" t="str">
        <f>+IFERROR(VLOOKUP(D27,'ID1&amp;5'!K:L,2,FALSE),"-")</f>
        <v>-</v>
      </c>
      <c r="R27" s="26" t="str">
        <f>+IFERROR(VLOOKUP(CONCATENATE(A27,$D$10,D27),'ID1&amp;5'!B:J,9,FALSE),"-")</f>
        <v>-</v>
      </c>
      <c r="S27" s="82" t="str">
        <f>+IFERROR(VLOOKUP(E27,'ID1&amp;5'!K:L,2,FALSE),"-")</f>
        <v>-</v>
      </c>
      <c r="T27" s="83" t="str">
        <f>+IFERROR(VLOOKUP(CONCATENATE(A27,$E$10,E27),'ID1&amp;5'!B:J,9,FALSE),"-")</f>
        <v>-</v>
      </c>
      <c r="U27" s="82" t="str">
        <f>+IFERROR(VLOOKUP(F27,'ID1&amp;5'!K:L,2,FALSE),"-")</f>
        <v>-</v>
      </c>
      <c r="V27" s="83" t="str">
        <f>+IFERROR(VLOOKUP(CONCATENATE(A27,$F$10,F27),'ID1&amp;5'!B:J,9,FALSE),"-")</f>
        <v>-</v>
      </c>
      <c r="W27" s="26" t="str">
        <f>+IFERROR(VLOOKUP(A27,'ID6&amp;7'!A:I,9,FALSE),"-")</f>
        <v>-</v>
      </c>
      <c r="X27" s="26" t="str">
        <f>+IFERROR(VLOOKUP(A27,'ID6&amp;7'!A:J,10,FALSE),"-")</f>
        <v>-</v>
      </c>
      <c r="Y27" s="26"/>
      <c r="Z27" s="27" t="str">
        <f t="shared" si="1"/>
        <v>Por iniciar</v>
      </c>
    </row>
    <row r="28" spans="1:26">
      <c r="A28" s="20" t="str">
        <f t="shared" si="0"/>
        <v>ENTITYDCSD45596</v>
      </c>
      <c r="B28" s="66"/>
      <c r="C28" s="60"/>
      <c r="D28" s="60"/>
      <c r="E28" s="60"/>
      <c r="F28" s="67"/>
      <c r="G28" s="60"/>
      <c r="H28" s="65" t="s">
        <v>127</v>
      </c>
      <c r="I28" s="21" t="s">
        <v>338</v>
      </c>
      <c r="J28" s="26">
        <f>+COUNTIF('ID1&amp;5'!G:G,'1. Status'!I28)</f>
        <v>0</v>
      </c>
      <c r="K28" s="83" t="str">
        <f>+IFERROR(VLOOKUP(CONCATENATE(A28,$B$10,B28),'ID1&amp;5'!B:J,8,FALSE),"-")</f>
        <v>-</v>
      </c>
      <c r="L28" s="82" t="str">
        <f>+IFERROR(VLOOKUP(B28,'ID1&amp;5'!K:L,2,FALSE),"-")</f>
        <v>-</v>
      </c>
      <c r="M28" s="83" t="str">
        <f>+IFERROR(VLOOKUP(CONCATENATE(A28,$B$10,B28),'ID1&amp;5'!B:J,9,FALSE),"-")</f>
        <v>-</v>
      </c>
      <c r="N28" s="83" t="str">
        <f>+IFERROR(VLOOKUP(CONCATENATE(A28,$C$10,C28),'ID1&amp;5'!B:J,8,FALSE),"-")</f>
        <v>-</v>
      </c>
      <c r="O28" s="82" t="str">
        <f>+IFERROR(VLOOKUP(C28,'ID1&amp;5'!K:L,2,FALSE),"-")</f>
        <v>-</v>
      </c>
      <c r="P28" s="83" t="str">
        <f>+IFERROR(VLOOKUP(CONCATENATE(A28,$C$10,C28),'ID1&amp;5'!B:J,9,FALSE),"-")</f>
        <v>-</v>
      </c>
      <c r="Q28" s="82" t="str">
        <f>+IFERROR(VLOOKUP(D28,'ID1&amp;5'!K:L,2,FALSE),"-")</f>
        <v>-</v>
      </c>
      <c r="R28" s="26" t="str">
        <f>+IFERROR(VLOOKUP(CONCATENATE(A28,$D$10,D28),'ID1&amp;5'!B:J,9,FALSE),"-")</f>
        <v>-</v>
      </c>
      <c r="S28" s="82" t="str">
        <f>+IFERROR(VLOOKUP(E28,'ID1&amp;5'!K:L,2,FALSE),"-")</f>
        <v>-</v>
      </c>
      <c r="T28" s="83" t="str">
        <f>+IFERROR(VLOOKUP(CONCATENATE(A28,$E$10,E28),'ID1&amp;5'!B:J,9,FALSE),"-")</f>
        <v>-</v>
      </c>
      <c r="U28" s="82" t="str">
        <f>+IFERROR(VLOOKUP(F28,'ID1&amp;5'!K:L,2,FALSE),"-")</f>
        <v>-</v>
      </c>
      <c r="V28" s="83" t="str">
        <f>+IFERROR(VLOOKUP(CONCATENATE(A28,$F$10,F28),'ID1&amp;5'!B:J,9,FALSE),"-")</f>
        <v>-</v>
      </c>
      <c r="W28" s="26" t="str">
        <f>+IFERROR(VLOOKUP(A28,'ID6&amp;7'!A:I,9,FALSE),"-")</f>
        <v>-</v>
      </c>
      <c r="X28" s="26" t="str">
        <f>+IFERROR(VLOOKUP(A28,'ID6&amp;7'!A:J,10,FALSE),"-")</f>
        <v>-</v>
      </c>
      <c r="Y28" s="26"/>
      <c r="Z28" s="27" t="str">
        <f t="shared" si="1"/>
        <v>Por iniciar</v>
      </c>
    </row>
    <row r="29" spans="1:26">
      <c r="A29" s="20" t="str">
        <f t="shared" si="0"/>
        <v>ENTITYDFLT_STTS45596</v>
      </c>
      <c r="B29" s="66"/>
      <c r="C29" s="60"/>
      <c r="D29" s="60"/>
      <c r="E29" s="60"/>
      <c r="F29" s="67"/>
      <c r="G29" s="60"/>
      <c r="H29" s="65" t="s">
        <v>127</v>
      </c>
      <c r="I29" s="21" t="s">
        <v>339</v>
      </c>
      <c r="J29" s="26">
        <f>+COUNTIF('ID1&amp;5'!G:G,'1. Status'!I29)</f>
        <v>0</v>
      </c>
      <c r="K29" s="83" t="str">
        <f>+IFERROR(VLOOKUP(CONCATENATE(A29,$B$10,B29),'ID1&amp;5'!B:J,8,FALSE),"-")</f>
        <v>-</v>
      </c>
      <c r="L29" s="82" t="str">
        <f>+IFERROR(VLOOKUP(B29,'ID1&amp;5'!K:L,2,FALSE),"-")</f>
        <v>-</v>
      </c>
      <c r="M29" s="83" t="str">
        <f>+IFERROR(VLOOKUP(CONCATENATE(A29,$B$10,B29),'ID1&amp;5'!B:J,9,FALSE),"-")</f>
        <v>-</v>
      </c>
      <c r="N29" s="83" t="str">
        <f>+IFERROR(VLOOKUP(CONCATENATE(A29,$C$10,C29),'ID1&amp;5'!B:J,8,FALSE),"-")</f>
        <v>-</v>
      </c>
      <c r="O29" s="82" t="str">
        <f>+IFERROR(VLOOKUP(C29,'ID1&amp;5'!K:L,2,FALSE),"-")</f>
        <v>-</v>
      </c>
      <c r="P29" s="83" t="str">
        <f>+IFERROR(VLOOKUP(CONCATENATE(A29,$C$10,C29),'ID1&amp;5'!B:J,9,FALSE),"-")</f>
        <v>-</v>
      </c>
      <c r="Q29" s="82" t="str">
        <f>+IFERROR(VLOOKUP(D29,'ID1&amp;5'!K:L,2,FALSE),"-")</f>
        <v>-</v>
      </c>
      <c r="R29" s="26" t="str">
        <f>+IFERROR(VLOOKUP(CONCATENATE(A29,$D$10,D29),'ID1&amp;5'!B:J,9,FALSE),"-")</f>
        <v>-</v>
      </c>
      <c r="S29" s="82" t="str">
        <f>+IFERROR(VLOOKUP(E29,'ID1&amp;5'!K:L,2,FALSE),"-")</f>
        <v>-</v>
      </c>
      <c r="T29" s="83" t="str">
        <f>+IFERROR(VLOOKUP(CONCATENATE(A29,$E$10,E29),'ID1&amp;5'!B:J,9,FALSE),"-")</f>
        <v>-</v>
      </c>
      <c r="U29" s="82" t="str">
        <f>+IFERROR(VLOOKUP(F29,'ID1&amp;5'!K:L,2,FALSE),"-")</f>
        <v>-</v>
      </c>
      <c r="V29" s="83" t="str">
        <f>+IFERROR(VLOOKUP(CONCATENATE(A29,$F$10,F29),'ID1&amp;5'!B:J,9,FALSE),"-")</f>
        <v>-</v>
      </c>
      <c r="W29" s="26" t="str">
        <f>+IFERROR(VLOOKUP(A29,'ID6&amp;7'!A:I,9,FALSE),"-")</f>
        <v>-</v>
      </c>
      <c r="X29" s="26" t="str">
        <f>+IFERROR(VLOOKUP(A29,'ID6&amp;7'!A:J,10,FALSE),"-")</f>
        <v>-</v>
      </c>
      <c r="Y29" s="26"/>
      <c r="Z29" s="27" t="str">
        <f t="shared" si="1"/>
        <v>Por iniciar</v>
      </c>
    </row>
    <row r="30" spans="1:26">
      <c r="A30" s="20" t="str">
        <f t="shared" si="0"/>
        <v>ENTITYDT_EXTRNL_RTNG45596</v>
      </c>
      <c r="B30" s="66"/>
      <c r="C30" s="60"/>
      <c r="D30" s="60"/>
      <c r="E30" s="60"/>
      <c r="F30" s="67"/>
      <c r="G30" s="60"/>
      <c r="H30" s="65" t="s">
        <v>127</v>
      </c>
      <c r="I30" s="21" t="s">
        <v>340</v>
      </c>
      <c r="J30" s="26">
        <f>+COUNTIF('ID1&amp;5'!G:G,'1. Status'!I30)</f>
        <v>0</v>
      </c>
      <c r="K30" s="83" t="str">
        <f>+IFERROR(VLOOKUP(CONCATENATE(A30,$B$10,B30),'ID1&amp;5'!B:J,8,FALSE),"-")</f>
        <v>-</v>
      </c>
      <c r="L30" s="82" t="str">
        <f>+IFERROR(VLOOKUP(B30,'ID1&amp;5'!K:L,2,FALSE),"-")</f>
        <v>-</v>
      </c>
      <c r="M30" s="83" t="str">
        <f>+IFERROR(VLOOKUP(CONCATENATE(A30,$B$10,B30),'ID1&amp;5'!B:J,9,FALSE),"-")</f>
        <v>-</v>
      </c>
      <c r="N30" s="83" t="str">
        <f>+IFERROR(VLOOKUP(CONCATENATE(A30,$C$10,C30),'ID1&amp;5'!B:J,8,FALSE),"-")</f>
        <v>-</v>
      </c>
      <c r="O30" s="82" t="str">
        <f>+IFERROR(VLOOKUP(C30,'ID1&amp;5'!K:L,2,FALSE),"-")</f>
        <v>-</v>
      </c>
      <c r="P30" s="83" t="str">
        <f>+IFERROR(VLOOKUP(CONCATENATE(A30,$C$10,C30),'ID1&amp;5'!B:J,9,FALSE),"-")</f>
        <v>-</v>
      </c>
      <c r="Q30" s="82" t="str">
        <f>+IFERROR(VLOOKUP(D30,'ID1&amp;5'!K:L,2,FALSE),"-")</f>
        <v>-</v>
      </c>
      <c r="R30" s="26" t="str">
        <f>+IFERROR(VLOOKUP(CONCATENATE(A30,$D$10,D30),'ID1&amp;5'!B:J,9,FALSE),"-")</f>
        <v>-</v>
      </c>
      <c r="S30" s="82" t="str">
        <f>+IFERROR(VLOOKUP(E30,'ID1&amp;5'!K:L,2,FALSE),"-")</f>
        <v>-</v>
      </c>
      <c r="T30" s="83" t="str">
        <f>+IFERROR(VLOOKUP(CONCATENATE(A30,$E$10,E30),'ID1&amp;5'!B:J,9,FALSE),"-")</f>
        <v>-</v>
      </c>
      <c r="U30" s="82" t="str">
        <f>+IFERROR(VLOOKUP(F30,'ID1&amp;5'!K:L,2,FALSE),"-")</f>
        <v>-</v>
      </c>
      <c r="V30" s="83" t="str">
        <f>+IFERROR(VLOOKUP(CONCATENATE(A30,$F$10,F30),'ID1&amp;5'!B:J,9,FALSE),"-")</f>
        <v>-</v>
      </c>
      <c r="W30" s="26" t="str">
        <f>+IFERROR(VLOOKUP(A30,'ID6&amp;7'!A:I,9,FALSE),"-")</f>
        <v>-</v>
      </c>
      <c r="X30" s="26" t="str">
        <f>+IFERROR(VLOOKUP(A30,'ID6&amp;7'!A:J,10,FALSE),"-")</f>
        <v>-</v>
      </c>
      <c r="Y30" s="26"/>
      <c r="Z30" s="27" t="str">
        <f t="shared" si="1"/>
        <v>Por iniciar</v>
      </c>
    </row>
    <row r="31" spans="1:26">
      <c r="A31" s="20" t="str">
        <f t="shared" si="0"/>
        <v>ENTITYDT_INTRNL_RTNG45596</v>
      </c>
      <c r="B31" s="66"/>
      <c r="C31" s="60"/>
      <c r="D31" s="60"/>
      <c r="E31" s="60"/>
      <c r="F31" s="67"/>
      <c r="G31" s="60"/>
      <c r="H31" s="65" t="s">
        <v>127</v>
      </c>
      <c r="I31" s="21" t="s">
        <v>341</v>
      </c>
      <c r="J31" s="26">
        <f>+COUNTIF('ID1&amp;5'!G:G,'1. Status'!I31)</f>
        <v>0</v>
      </c>
      <c r="K31" s="83" t="str">
        <f>+IFERROR(VLOOKUP(CONCATENATE(A31,$B$10,B31),'ID1&amp;5'!B:J,8,FALSE),"-")</f>
        <v>-</v>
      </c>
      <c r="L31" s="82" t="str">
        <f>+IFERROR(VLOOKUP(B31,'ID1&amp;5'!K:L,2,FALSE),"-")</f>
        <v>-</v>
      </c>
      <c r="M31" s="83" t="str">
        <f>+IFERROR(VLOOKUP(CONCATENATE(A31,$B$10,B31),'ID1&amp;5'!B:J,9,FALSE),"-")</f>
        <v>-</v>
      </c>
      <c r="N31" s="83" t="str">
        <f>+IFERROR(VLOOKUP(CONCATENATE(A31,$C$10,C31),'ID1&amp;5'!B:J,8,FALSE),"-")</f>
        <v>-</v>
      </c>
      <c r="O31" s="82" t="str">
        <f>+IFERROR(VLOOKUP(C31,'ID1&amp;5'!K:L,2,FALSE),"-")</f>
        <v>-</v>
      </c>
      <c r="P31" s="83" t="str">
        <f>+IFERROR(VLOOKUP(CONCATENATE(A31,$C$10,C31),'ID1&amp;5'!B:J,9,FALSE),"-")</f>
        <v>-</v>
      </c>
      <c r="Q31" s="82" t="str">
        <f>+IFERROR(VLOOKUP(D31,'ID1&amp;5'!K:L,2,FALSE),"-")</f>
        <v>-</v>
      </c>
      <c r="R31" s="26" t="str">
        <f>+IFERROR(VLOOKUP(CONCATENATE(A31,$D$10,D31),'ID1&amp;5'!B:J,9,FALSE),"-")</f>
        <v>-</v>
      </c>
      <c r="S31" s="82" t="str">
        <f>+IFERROR(VLOOKUP(E31,'ID1&amp;5'!K:L,2,FALSE),"-")</f>
        <v>-</v>
      </c>
      <c r="T31" s="83" t="str">
        <f>+IFERROR(VLOOKUP(CONCATENATE(A31,$E$10,E31),'ID1&amp;5'!B:J,9,FALSE),"-")</f>
        <v>-</v>
      </c>
      <c r="U31" s="82" t="str">
        <f>+IFERROR(VLOOKUP(F31,'ID1&amp;5'!K:L,2,FALSE),"-")</f>
        <v>-</v>
      </c>
      <c r="V31" s="83" t="str">
        <f>+IFERROR(VLOOKUP(CONCATENATE(A31,$F$10,F31),'ID1&amp;5'!B:J,9,FALSE),"-")</f>
        <v>-</v>
      </c>
      <c r="W31" s="26" t="str">
        <f>+IFERROR(VLOOKUP(A31,'ID6&amp;7'!A:I,9,FALSE),"-")</f>
        <v>-</v>
      </c>
      <c r="X31" s="26" t="str">
        <f>+IFERROR(VLOOKUP(A31,'ID6&amp;7'!A:J,10,FALSE),"-")</f>
        <v>-</v>
      </c>
      <c r="Y31" s="26"/>
      <c r="Z31" s="27" t="str">
        <f t="shared" si="1"/>
        <v>Por iniciar</v>
      </c>
    </row>
    <row r="32" spans="1:26">
      <c r="A32" s="20" t="str">
        <f t="shared" si="0"/>
        <v>ENTITYECNMC_ACTVTY45596</v>
      </c>
      <c r="B32" s="66"/>
      <c r="C32" s="60"/>
      <c r="D32" s="60"/>
      <c r="E32" s="60"/>
      <c r="F32" s="67"/>
      <c r="G32" s="60"/>
      <c r="H32" s="65" t="s">
        <v>127</v>
      </c>
      <c r="I32" s="21" t="s">
        <v>115</v>
      </c>
      <c r="J32" s="26">
        <f>+COUNTIF('ID1&amp;5'!G:G,'1. Status'!I32)</f>
        <v>0</v>
      </c>
      <c r="K32" s="83" t="str">
        <f>+IFERROR(VLOOKUP(CONCATENATE(A32,$B$10,B32),'ID1&amp;5'!B:J,8,FALSE),"-")</f>
        <v>-</v>
      </c>
      <c r="L32" s="82" t="str">
        <f>+IFERROR(VLOOKUP(B32,'ID1&amp;5'!K:L,2,FALSE),"-")</f>
        <v>-</v>
      </c>
      <c r="M32" s="83" t="str">
        <f>+IFERROR(VLOOKUP(CONCATENATE(A32,$B$10,B32),'ID1&amp;5'!B:J,9,FALSE),"-")</f>
        <v>-</v>
      </c>
      <c r="N32" s="83" t="str">
        <f>+IFERROR(VLOOKUP(CONCATENATE(A32,$C$10,C32),'ID1&amp;5'!B:J,8,FALSE),"-")</f>
        <v>-</v>
      </c>
      <c r="O32" s="82" t="str">
        <f>+IFERROR(VLOOKUP(C32,'ID1&amp;5'!K:L,2,FALSE),"-")</f>
        <v>-</v>
      </c>
      <c r="P32" s="83" t="str">
        <f>+IFERROR(VLOOKUP(CONCATENATE(A32,$C$10,C32),'ID1&amp;5'!B:J,9,FALSE),"-")</f>
        <v>-</v>
      </c>
      <c r="Q32" s="82" t="str">
        <f>+IFERROR(VLOOKUP(D32,'ID1&amp;5'!K:L,2,FALSE),"-")</f>
        <v>-</v>
      </c>
      <c r="R32" s="26" t="str">
        <f>+IFERROR(VLOOKUP(CONCATENATE(A32,$D$10,D32),'ID1&amp;5'!B:J,9,FALSE),"-")</f>
        <v>-</v>
      </c>
      <c r="S32" s="82" t="str">
        <f>+IFERROR(VLOOKUP(E32,'ID1&amp;5'!K:L,2,FALSE),"-")</f>
        <v>-</v>
      </c>
      <c r="T32" s="83" t="str">
        <f>+IFERROR(VLOOKUP(CONCATENATE(A32,$E$10,E32),'ID1&amp;5'!B:J,9,FALSE),"-")</f>
        <v>-</v>
      </c>
      <c r="U32" s="82" t="str">
        <f>+IFERROR(VLOOKUP(F32,'ID1&amp;5'!K:L,2,FALSE),"-")</f>
        <v>-</v>
      </c>
      <c r="V32" s="83" t="str">
        <f>+IFERROR(VLOOKUP(CONCATENATE(A32,$F$10,F32),'ID1&amp;5'!B:J,9,FALSE),"-")</f>
        <v>-</v>
      </c>
      <c r="W32" s="26" t="str">
        <f>+IFERROR(VLOOKUP(A32,'ID6&amp;7'!A:I,9,FALSE),"-")</f>
        <v>-</v>
      </c>
      <c r="X32" s="26" t="str">
        <f>+IFERROR(VLOOKUP(A32,'ID6&amp;7'!A:J,10,FALSE),"-")</f>
        <v>-</v>
      </c>
      <c r="Y32" s="26"/>
      <c r="Z32" s="27" t="str">
        <f t="shared" si="1"/>
        <v>Por iniciar</v>
      </c>
    </row>
    <row r="33" spans="1:26">
      <c r="A33" s="20" t="str">
        <f t="shared" si="0"/>
        <v>ENTITYEMPLYMNT_STTS_INTRNL45596</v>
      </c>
      <c r="B33" s="66"/>
      <c r="C33" s="60"/>
      <c r="D33" s="60"/>
      <c r="E33" s="60"/>
      <c r="F33" s="67"/>
      <c r="G33" s="60"/>
      <c r="H33" s="65" t="s">
        <v>127</v>
      </c>
      <c r="I33" s="21" t="s">
        <v>342</v>
      </c>
      <c r="J33" s="26">
        <f>+COUNTIF('ID1&amp;5'!G:G,'1. Status'!I33)</f>
        <v>0</v>
      </c>
      <c r="K33" s="83" t="str">
        <f>+IFERROR(VLOOKUP(CONCATENATE(A33,$B$10,B33),'ID1&amp;5'!B:J,8,FALSE),"-")</f>
        <v>-</v>
      </c>
      <c r="L33" s="82" t="str">
        <f>+IFERROR(VLOOKUP(B33,'ID1&amp;5'!K:L,2,FALSE),"-")</f>
        <v>-</v>
      </c>
      <c r="M33" s="83" t="str">
        <f>+IFERROR(VLOOKUP(CONCATENATE(A33,$B$10,B33),'ID1&amp;5'!B:J,9,FALSE),"-")</f>
        <v>-</v>
      </c>
      <c r="N33" s="83" t="str">
        <f>+IFERROR(VLOOKUP(CONCATENATE(A33,$C$10,C33),'ID1&amp;5'!B:J,8,FALSE),"-")</f>
        <v>-</v>
      </c>
      <c r="O33" s="82" t="str">
        <f>+IFERROR(VLOOKUP(C33,'ID1&amp;5'!K:L,2,FALSE),"-")</f>
        <v>-</v>
      </c>
      <c r="P33" s="83" t="str">
        <f>+IFERROR(VLOOKUP(CONCATENATE(A33,$C$10,C33),'ID1&amp;5'!B:J,9,FALSE),"-")</f>
        <v>-</v>
      </c>
      <c r="Q33" s="82" t="str">
        <f>+IFERROR(VLOOKUP(D33,'ID1&amp;5'!K:L,2,FALSE),"-")</f>
        <v>-</v>
      </c>
      <c r="R33" s="26" t="str">
        <f>+IFERROR(VLOOKUP(CONCATENATE(A33,$D$10,D33),'ID1&amp;5'!B:J,9,FALSE),"-")</f>
        <v>-</v>
      </c>
      <c r="S33" s="82" t="str">
        <f>+IFERROR(VLOOKUP(E33,'ID1&amp;5'!K:L,2,FALSE),"-")</f>
        <v>-</v>
      </c>
      <c r="T33" s="83" t="str">
        <f>+IFERROR(VLOOKUP(CONCATENATE(A33,$E$10,E33),'ID1&amp;5'!B:J,9,FALSE),"-")</f>
        <v>-</v>
      </c>
      <c r="U33" s="82" t="str">
        <f>+IFERROR(VLOOKUP(F33,'ID1&amp;5'!K:L,2,FALSE),"-")</f>
        <v>-</v>
      </c>
      <c r="V33" s="83" t="str">
        <f>+IFERROR(VLOOKUP(CONCATENATE(A33,$F$10,F33),'ID1&amp;5'!B:J,9,FALSE),"-")</f>
        <v>-</v>
      </c>
      <c r="W33" s="26" t="str">
        <f>+IFERROR(VLOOKUP(A33,'ID6&amp;7'!A:I,9,FALSE),"-")</f>
        <v>-</v>
      </c>
      <c r="X33" s="26" t="str">
        <f>+IFERROR(VLOOKUP(A33,'ID6&amp;7'!A:J,10,FALSE),"-")</f>
        <v>-</v>
      </c>
      <c r="Y33" s="26"/>
      <c r="Z33" s="27" t="str">
        <f t="shared" si="1"/>
        <v>Por iniciar</v>
      </c>
    </row>
    <row r="34" spans="1:26">
      <c r="A34" s="20" t="str">
        <f t="shared" si="0"/>
        <v>ENTITYEMPLYMNT_STTS45596</v>
      </c>
      <c r="B34" s="66"/>
      <c r="C34" s="60"/>
      <c r="D34" s="60"/>
      <c r="E34" s="60"/>
      <c r="F34" s="67"/>
      <c r="G34" s="60"/>
      <c r="H34" s="65" t="s">
        <v>127</v>
      </c>
      <c r="I34" s="21" t="s">
        <v>343</v>
      </c>
      <c r="J34" s="26">
        <f>+COUNTIF('ID1&amp;5'!G:G,'1. Status'!I34)</f>
        <v>0</v>
      </c>
      <c r="K34" s="83" t="str">
        <f>+IFERROR(VLOOKUP(CONCATENATE(A34,$B$10,B34),'ID1&amp;5'!B:J,8,FALSE),"-")</f>
        <v>-</v>
      </c>
      <c r="L34" s="82" t="str">
        <f>+IFERROR(VLOOKUP(B34,'ID1&amp;5'!K:L,2,FALSE),"-")</f>
        <v>-</v>
      </c>
      <c r="M34" s="83" t="str">
        <f>+IFERROR(VLOOKUP(CONCATENATE(A34,$B$10,B34),'ID1&amp;5'!B:J,9,FALSE),"-")</f>
        <v>-</v>
      </c>
      <c r="N34" s="83" t="str">
        <f>+IFERROR(VLOOKUP(CONCATENATE(A34,$C$10,C34),'ID1&amp;5'!B:J,8,FALSE),"-")</f>
        <v>-</v>
      </c>
      <c r="O34" s="82" t="str">
        <f>+IFERROR(VLOOKUP(C34,'ID1&amp;5'!K:L,2,FALSE),"-")</f>
        <v>-</v>
      </c>
      <c r="P34" s="83" t="str">
        <f>+IFERROR(VLOOKUP(CONCATENATE(A34,$C$10,C34),'ID1&amp;5'!B:J,9,FALSE),"-")</f>
        <v>-</v>
      </c>
      <c r="Q34" s="82" t="str">
        <f>+IFERROR(VLOOKUP(D34,'ID1&amp;5'!K:L,2,FALSE),"-")</f>
        <v>-</v>
      </c>
      <c r="R34" s="26" t="str">
        <f>+IFERROR(VLOOKUP(CONCATENATE(A34,$D$10,D34),'ID1&amp;5'!B:J,9,FALSE),"-")</f>
        <v>-</v>
      </c>
      <c r="S34" s="82" t="str">
        <f>+IFERROR(VLOOKUP(E34,'ID1&amp;5'!K:L,2,FALSE),"-")</f>
        <v>-</v>
      </c>
      <c r="T34" s="83" t="str">
        <f>+IFERROR(VLOOKUP(CONCATENATE(A34,$E$10,E34),'ID1&amp;5'!B:J,9,FALSE),"-")</f>
        <v>-</v>
      </c>
      <c r="U34" s="82" t="str">
        <f>+IFERROR(VLOOKUP(F34,'ID1&amp;5'!K:L,2,FALSE),"-")</f>
        <v>-</v>
      </c>
      <c r="V34" s="83" t="str">
        <f>+IFERROR(VLOOKUP(CONCATENATE(A34,$F$10,F34),'ID1&amp;5'!B:J,9,FALSE),"-")</f>
        <v>-</v>
      </c>
      <c r="W34" s="26" t="str">
        <f>+IFERROR(VLOOKUP(A34,'ID6&amp;7'!A:I,9,FALSE),"-")</f>
        <v>-</v>
      </c>
      <c r="X34" s="26" t="str">
        <f>+IFERROR(VLOOKUP(A34,'ID6&amp;7'!A:J,10,FALSE),"-")</f>
        <v>-</v>
      </c>
      <c r="Y34" s="26"/>
      <c r="Z34" s="27" t="str">
        <f t="shared" si="1"/>
        <v>Por iniciar</v>
      </c>
    </row>
    <row r="35" spans="1:26">
      <c r="A35" s="20" t="str">
        <f t="shared" si="0"/>
        <v>ENTITYENTRPRS_SZ_LE45596</v>
      </c>
      <c r="B35" s="66"/>
      <c r="C35" s="60"/>
      <c r="D35" s="60"/>
      <c r="E35" s="60"/>
      <c r="F35" s="67"/>
      <c r="G35" s="60"/>
      <c r="H35" s="65" t="s">
        <v>127</v>
      </c>
      <c r="I35" s="21" t="s">
        <v>344</v>
      </c>
      <c r="J35" s="26">
        <f>+COUNTIF('ID1&amp;5'!G:G,'1. Status'!I35)</f>
        <v>0</v>
      </c>
      <c r="K35" s="83" t="str">
        <f>+IFERROR(VLOOKUP(CONCATENATE(A35,$B$10,B35),'ID1&amp;5'!B:J,8,FALSE),"-")</f>
        <v>-</v>
      </c>
      <c r="L35" s="82" t="str">
        <f>+IFERROR(VLOOKUP(B35,'ID1&amp;5'!K:L,2,FALSE),"-")</f>
        <v>-</v>
      </c>
      <c r="M35" s="83" t="str">
        <f>+IFERROR(VLOOKUP(CONCATENATE(A35,$B$10,B35),'ID1&amp;5'!B:J,9,FALSE),"-")</f>
        <v>-</v>
      </c>
      <c r="N35" s="83" t="str">
        <f>+IFERROR(VLOOKUP(CONCATENATE(A35,$C$10,C35),'ID1&amp;5'!B:J,8,FALSE),"-")</f>
        <v>-</v>
      </c>
      <c r="O35" s="82" t="str">
        <f>+IFERROR(VLOOKUP(C35,'ID1&amp;5'!K:L,2,FALSE),"-")</f>
        <v>-</v>
      </c>
      <c r="P35" s="83" t="str">
        <f>+IFERROR(VLOOKUP(CONCATENATE(A35,$C$10,C35),'ID1&amp;5'!B:J,9,FALSE),"-")</f>
        <v>-</v>
      </c>
      <c r="Q35" s="82" t="str">
        <f>+IFERROR(VLOOKUP(D35,'ID1&amp;5'!K:L,2,FALSE),"-")</f>
        <v>-</v>
      </c>
      <c r="R35" s="26" t="str">
        <f>+IFERROR(VLOOKUP(CONCATENATE(A35,$D$10,D35),'ID1&amp;5'!B:J,9,FALSE),"-")</f>
        <v>-</v>
      </c>
      <c r="S35" s="82" t="str">
        <f>+IFERROR(VLOOKUP(E35,'ID1&amp;5'!K:L,2,FALSE),"-")</f>
        <v>-</v>
      </c>
      <c r="T35" s="83" t="str">
        <f>+IFERROR(VLOOKUP(CONCATENATE(A35,$E$10,E35),'ID1&amp;5'!B:J,9,FALSE),"-")</f>
        <v>-</v>
      </c>
      <c r="U35" s="82" t="str">
        <f>+IFERROR(VLOOKUP(F35,'ID1&amp;5'!K:L,2,FALSE),"-")</f>
        <v>-</v>
      </c>
      <c r="V35" s="83" t="str">
        <f>+IFERROR(VLOOKUP(CONCATENATE(A35,$F$10,F35),'ID1&amp;5'!B:J,9,FALSE),"-")</f>
        <v>-</v>
      </c>
      <c r="W35" s="26" t="str">
        <f>+IFERROR(VLOOKUP(A35,'ID6&amp;7'!A:I,9,FALSE),"-")</f>
        <v>-</v>
      </c>
      <c r="X35" s="26" t="str">
        <f>+IFERROR(VLOOKUP(A35,'ID6&amp;7'!A:J,10,FALSE),"-")</f>
        <v>-</v>
      </c>
      <c r="Y35" s="26"/>
      <c r="Z35" s="27" t="str">
        <f t="shared" si="1"/>
        <v>Por iniciar</v>
      </c>
    </row>
    <row r="36" spans="1:26">
      <c r="A36" s="20" t="str">
        <f t="shared" si="0"/>
        <v>ENTITYEXTRNL_RTNG45596</v>
      </c>
      <c r="B36" s="66"/>
      <c r="C36" s="60"/>
      <c r="D36" s="60"/>
      <c r="E36" s="60"/>
      <c r="F36" s="67"/>
      <c r="G36" s="60"/>
      <c r="H36" s="65" t="s">
        <v>127</v>
      </c>
      <c r="I36" s="21" t="s">
        <v>345</v>
      </c>
      <c r="J36" s="26">
        <f>+COUNTIF('ID1&amp;5'!G:G,'1. Status'!I36)</f>
        <v>0</v>
      </c>
      <c r="K36" s="83" t="str">
        <f>+IFERROR(VLOOKUP(CONCATENATE(A36,$B$10,B36),'ID1&amp;5'!B:J,8,FALSE),"-")</f>
        <v>-</v>
      </c>
      <c r="L36" s="82" t="str">
        <f>+IFERROR(VLOOKUP(B36,'ID1&amp;5'!K:L,2,FALSE),"-")</f>
        <v>-</v>
      </c>
      <c r="M36" s="83" t="str">
        <f>+IFERROR(VLOOKUP(CONCATENATE(A36,$B$10,B36),'ID1&amp;5'!B:J,9,FALSE),"-")</f>
        <v>-</v>
      </c>
      <c r="N36" s="83" t="str">
        <f>+IFERROR(VLOOKUP(CONCATENATE(A36,$C$10,C36),'ID1&amp;5'!B:J,8,FALSE),"-")</f>
        <v>-</v>
      </c>
      <c r="O36" s="82" t="str">
        <f>+IFERROR(VLOOKUP(C36,'ID1&amp;5'!K:L,2,FALSE),"-")</f>
        <v>-</v>
      </c>
      <c r="P36" s="83" t="str">
        <f>+IFERROR(VLOOKUP(CONCATENATE(A36,$C$10,C36),'ID1&amp;5'!B:J,9,FALSE),"-")</f>
        <v>-</v>
      </c>
      <c r="Q36" s="82" t="str">
        <f>+IFERROR(VLOOKUP(D36,'ID1&amp;5'!K:L,2,FALSE),"-")</f>
        <v>-</v>
      </c>
      <c r="R36" s="26" t="str">
        <f>+IFERROR(VLOOKUP(CONCATENATE(A36,$D$10,D36),'ID1&amp;5'!B:J,9,FALSE),"-")</f>
        <v>-</v>
      </c>
      <c r="S36" s="82" t="str">
        <f>+IFERROR(VLOOKUP(E36,'ID1&amp;5'!K:L,2,FALSE),"-")</f>
        <v>-</v>
      </c>
      <c r="T36" s="83" t="str">
        <f>+IFERROR(VLOOKUP(CONCATENATE(A36,$E$10,E36),'ID1&amp;5'!B:J,9,FALSE),"-")</f>
        <v>-</v>
      </c>
      <c r="U36" s="82" t="str">
        <f>+IFERROR(VLOOKUP(F36,'ID1&amp;5'!K:L,2,FALSE),"-")</f>
        <v>-</v>
      </c>
      <c r="V36" s="83" t="str">
        <f>+IFERROR(VLOOKUP(CONCATENATE(A36,$F$10,F36),'ID1&amp;5'!B:J,9,FALSE),"-")</f>
        <v>-</v>
      </c>
      <c r="W36" s="26" t="str">
        <f>+IFERROR(VLOOKUP(A36,'ID6&amp;7'!A:I,9,FALSE),"-")</f>
        <v>-</v>
      </c>
      <c r="X36" s="26" t="str">
        <f>+IFERROR(VLOOKUP(A36,'ID6&amp;7'!A:J,10,FALSE),"-")</f>
        <v>-</v>
      </c>
      <c r="Y36" s="26"/>
      <c r="Z36" s="27" t="str">
        <f t="shared" si="1"/>
        <v>Por iniciar</v>
      </c>
    </row>
    <row r="37" spans="1:26">
      <c r="A37" s="20" t="str">
        <f t="shared" si="0"/>
        <v>ENTITYEXTRNL_RTNG_PRVS45596</v>
      </c>
      <c r="B37" s="66"/>
      <c r="C37" s="60"/>
      <c r="D37" s="60"/>
      <c r="E37" s="60"/>
      <c r="F37" s="67"/>
      <c r="G37" s="60"/>
      <c r="H37" s="65" t="s">
        <v>127</v>
      </c>
      <c r="I37" s="21" t="s">
        <v>346</v>
      </c>
      <c r="J37" s="26">
        <f>+COUNTIF('ID1&amp;5'!G:G,'1. Status'!I37)</f>
        <v>0</v>
      </c>
      <c r="K37" s="83" t="str">
        <f>+IFERROR(VLOOKUP(CONCATENATE(A37,$B$10,B37),'ID1&amp;5'!B:J,8,FALSE),"-")</f>
        <v>-</v>
      </c>
      <c r="L37" s="82" t="str">
        <f>+IFERROR(VLOOKUP(B37,'ID1&amp;5'!K:L,2,FALSE),"-")</f>
        <v>-</v>
      </c>
      <c r="M37" s="83" t="str">
        <f>+IFERROR(VLOOKUP(CONCATENATE(A37,$B$10,B37),'ID1&amp;5'!B:J,9,FALSE),"-")</f>
        <v>-</v>
      </c>
      <c r="N37" s="83" t="str">
        <f>+IFERROR(VLOOKUP(CONCATENATE(A37,$C$10,C37),'ID1&amp;5'!B:J,8,FALSE),"-")</f>
        <v>-</v>
      </c>
      <c r="O37" s="82" t="str">
        <f>+IFERROR(VLOOKUP(C37,'ID1&amp;5'!K:L,2,FALSE),"-")</f>
        <v>-</v>
      </c>
      <c r="P37" s="83" t="str">
        <f>+IFERROR(VLOOKUP(CONCATENATE(A37,$C$10,C37),'ID1&amp;5'!B:J,9,FALSE),"-")</f>
        <v>-</v>
      </c>
      <c r="Q37" s="82" t="str">
        <f>+IFERROR(VLOOKUP(D37,'ID1&amp;5'!K:L,2,FALSE),"-")</f>
        <v>-</v>
      </c>
      <c r="R37" s="26" t="str">
        <f>+IFERROR(VLOOKUP(CONCATENATE(A37,$D$10,D37),'ID1&amp;5'!B:J,9,FALSE),"-")</f>
        <v>-</v>
      </c>
      <c r="S37" s="82" t="str">
        <f>+IFERROR(VLOOKUP(E37,'ID1&amp;5'!K:L,2,FALSE),"-")</f>
        <v>-</v>
      </c>
      <c r="T37" s="83" t="str">
        <f>+IFERROR(VLOOKUP(CONCATENATE(A37,$E$10,E37),'ID1&amp;5'!B:J,9,FALSE),"-")</f>
        <v>-</v>
      </c>
      <c r="U37" s="82" t="str">
        <f>+IFERROR(VLOOKUP(F37,'ID1&amp;5'!K:L,2,FALSE),"-")</f>
        <v>-</v>
      </c>
      <c r="V37" s="83" t="str">
        <f>+IFERROR(VLOOKUP(CONCATENATE(A37,$F$10,F37),'ID1&amp;5'!B:J,9,FALSE),"-")</f>
        <v>-</v>
      </c>
      <c r="W37" s="26" t="str">
        <f>+IFERROR(VLOOKUP(A37,'ID6&amp;7'!A:I,9,FALSE),"-")</f>
        <v>-</v>
      </c>
      <c r="X37" s="26" t="str">
        <f>+IFERROR(VLOOKUP(A37,'ID6&amp;7'!A:J,10,FALSE),"-")</f>
        <v>-</v>
      </c>
      <c r="Y37" s="26"/>
      <c r="Z37" s="27" t="str">
        <f t="shared" si="1"/>
        <v>Por iniciar</v>
      </c>
    </row>
    <row r="38" spans="1:26">
      <c r="A38" s="20" t="str">
        <f t="shared" si="0"/>
        <v>ENTITYFLG_BNKRPTCY_IN_GRP45596</v>
      </c>
      <c r="B38" s="66"/>
      <c r="C38" s="60"/>
      <c r="D38" s="60"/>
      <c r="E38" s="60"/>
      <c r="F38" s="67"/>
      <c r="G38" s="60"/>
      <c r="H38" s="65" t="s">
        <v>127</v>
      </c>
      <c r="I38" s="21" t="s">
        <v>347</v>
      </c>
      <c r="J38" s="26">
        <f>+COUNTIF('ID1&amp;5'!G:G,'1. Status'!I38)</f>
        <v>0</v>
      </c>
      <c r="K38" s="83" t="str">
        <f>+IFERROR(VLOOKUP(CONCATENATE(A38,$B$10,B38),'ID1&amp;5'!B:J,8,FALSE),"-")</f>
        <v>-</v>
      </c>
      <c r="L38" s="82" t="str">
        <f>+IFERROR(VLOOKUP(B38,'ID1&amp;5'!K:L,2,FALSE),"-")</f>
        <v>-</v>
      </c>
      <c r="M38" s="83" t="str">
        <f>+IFERROR(VLOOKUP(CONCATENATE(A38,$B$10,B38),'ID1&amp;5'!B:J,9,FALSE),"-")</f>
        <v>-</v>
      </c>
      <c r="N38" s="83" t="str">
        <f>+IFERROR(VLOOKUP(CONCATENATE(A38,$C$10,C38),'ID1&amp;5'!B:J,8,FALSE),"-")</f>
        <v>-</v>
      </c>
      <c r="O38" s="82" t="str">
        <f>+IFERROR(VLOOKUP(C38,'ID1&amp;5'!K:L,2,FALSE),"-")</f>
        <v>-</v>
      </c>
      <c r="P38" s="83" t="str">
        <f>+IFERROR(VLOOKUP(CONCATENATE(A38,$C$10,C38),'ID1&amp;5'!B:J,9,FALSE),"-")</f>
        <v>-</v>
      </c>
      <c r="Q38" s="82" t="str">
        <f>+IFERROR(VLOOKUP(D38,'ID1&amp;5'!K:L,2,FALSE),"-")</f>
        <v>-</v>
      </c>
      <c r="R38" s="26" t="str">
        <f>+IFERROR(VLOOKUP(CONCATENATE(A38,$D$10,D38),'ID1&amp;5'!B:J,9,FALSE),"-")</f>
        <v>-</v>
      </c>
      <c r="S38" s="82" t="str">
        <f>+IFERROR(VLOOKUP(E38,'ID1&amp;5'!K:L,2,FALSE),"-")</f>
        <v>-</v>
      </c>
      <c r="T38" s="83" t="str">
        <f>+IFERROR(VLOOKUP(CONCATENATE(A38,$E$10,E38),'ID1&amp;5'!B:J,9,FALSE),"-")</f>
        <v>-</v>
      </c>
      <c r="U38" s="82" t="str">
        <f>+IFERROR(VLOOKUP(F38,'ID1&amp;5'!K:L,2,FALSE),"-")</f>
        <v>-</v>
      </c>
      <c r="V38" s="83" t="str">
        <f>+IFERROR(VLOOKUP(CONCATENATE(A38,$F$10,F38),'ID1&amp;5'!B:J,9,FALSE),"-")</f>
        <v>-</v>
      </c>
      <c r="W38" s="26" t="str">
        <f>+IFERROR(VLOOKUP(A38,'ID6&amp;7'!A:I,9,FALSE),"-")</f>
        <v>-</v>
      </c>
      <c r="X38" s="26" t="str">
        <f>+IFERROR(VLOOKUP(A38,'ID6&amp;7'!A:J,10,FALSE),"-")</f>
        <v>-</v>
      </c>
      <c r="Y38" s="26"/>
      <c r="Z38" s="27" t="str">
        <f t="shared" si="1"/>
        <v>Por iniciar</v>
      </c>
    </row>
    <row r="39" spans="1:26">
      <c r="A39" s="20" t="str">
        <f t="shared" si="0"/>
        <v>ENTITYFLG_HGH_CDS45596</v>
      </c>
      <c r="B39" s="66"/>
      <c r="C39" s="60"/>
      <c r="D39" s="60"/>
      <c r="E39" s="60"/>
      <c r="F39" s="67"/>
      <c r="G39" s="60"/>
      <c r="H39" s="65" t="s">
        <v>127</v>
      </c>
      <c r="I39" s="21" t="s">
        <v>348</v>
      </c>
      <c r="J39" s="26">
        <f>+COUNTIF('ID1&amp;5'!G:G,'1. Status'!I39)</f>
        <v>0</v>
      </c>
      <c r="K39" s="83" t="str">
        <f>+IFERROR(VLOOKUP(CONCATENATE(A39,$B$10,B39),'ID1&amp;5'!B:J,8,FALSE),"-")</f>
        <v>-</v>
      </c>
      <c r="L39" s="82" t="str">
        <f>+IFERROR(VLOOKUP(B39,'ID1&amp;5'!K:L,2,FALSE),"-")</f>
        <v>-</v>
      </c>
      <c r="M39" s="83" t="str">
        <f>+IFERROR(VLOOKUP(CONCATENATE(A39,$B$10,B39),'ID1&amp;5'!B:J,9,FALSE),"-")</f>
        <v>-</v>
      </c>
      <c r="N39" s="83" t="str">
        <f>+IFERROR(VLOOKUP(CONCATENATE(A39,$C$10,C39),'ID1&amp;5'!B:J,8,FALSE),"-")</f>
        <v>-</v>
      </c>
      <c r="O39" s="82" t="str">
        <f>+IFERROR(VLOOKUP(C39,'ID1&amp;5'!K:L,2,FALSE),"-")</f>
        <v>-</v>
      </c>
      <c r="P39" s="83" t="str">
        <f>+IFERROR(VLOOKUP(CONCATENATE(A39,$C$10,C39),'ID1&amp;5'!B:J,9,FALSE),"-")</f>
        <v>-</v>
      </c>
      <c r="Q39" s="82" t="str">
        <f>+IFERROR(VLOOKUP(D39,'ID1&amp;5'!K:L,2,FALSE),"-")</f>
        <v>-</v>
      </c>
      <c r="R39" s="26" t="str">
        <f>+IFERROR(VLOOKUP(CONCATENATE(A39,$D$10,D39),'ID1&amp;5'!B:J,9,FALSE),"-")</f>
        <v>-</v>
      </c>
      <c r="S39" s="82" t="str">
        <f>+IFERROR(VLOOKUP(E39,'ID1&amp;5'!K:L,2,FALSE),"-")</f>
        <v>-</v>
      </c>
      <c r="T39" s="83" t="str">
        <f>+IFERROR(VLOOKUP(CONCATENATE(A39,$E$10,E39),'ID1&amp;5'!B:J,9,FALSE),"-")</f>
        <v>-</v>
      </c>
      <c r="U39" s="82" t="str">
        <f>+IFERROR(VLOOKUP(F39,'ID1&amp;5'!K:L,2,FALSE),"-")</f>
        <v>-</v>
      </c>
      <c r="V39" s="83" t="str">
        <f>+IFERROR(VLOOKUP(CONCATENATE(A39,$F$10,F39),'ID1&amp;5'!B:J,9,FALSE),"-")</f>
        <v>-</v>
      </c>
      <c r="W39" s="26" t="str">
        <f>+IFERROR(VLOOKUP(A39,'ID6&amp;7'!A:I,9,FALSE),"-")</f>
        <v>-</v>
      </c>
      <c r="X39" s="26" t="str">
        <f>+IFERROR(VLOOKUP(A39,'ID6&amp;7'!A:J,10,FALSE),"-")</f>
        <v>-</v>
      </c>
      <c r="Y39" s="26"/>
      <c r="Z39" s="27" t="str">
        <f t="shared" si="1"/>
        <v>Por iniciar</v>
      </c>
    </row>
    <row r="40" spans="1:26">
      <c r="A40" s="20" t="str">
        <f t="shared" si="0"/>
        <v>ENTITYFLG_ISDA_CRDT_EVNT45596</v>
      </c>
      <c r="B40" s="66"/>
      <c r="C40" s="60"/>
      <c r="D40" s="60"/>
      <c r="E40" s="60"/>
      <c r="F40" s="67"/>
      <c r="G40" s="60"/>
      <c r="H40" s="65" t="s">
        <v>127</v>
      </c>
      <c r="I40" s="21" t="s">
        <v>349</v>
      </c>
      <c r="J40" s="26">
        <f>+COUNTIF('ID1&amp;5'!G:G,'1. Status'!I40)</f>
        <v>0</v>
      </c>
      <c r="K40" s="83" t="str">
        <f>+IFERROR(VLOOKUP(CONCATENATE(A40,$B$10,B40),'ID1&amp;5'!B:J,8,FALSE),"-")</f>
        <v>-</v>
      </c>
      <c r="L40" s="82" t="str">
        <f>+IFERROR(VLOOKUP(B40,'ID1&amp;5'!K:L,2,FALSE),"-")</f>
        <v>-</v>
      </c>
      <c r="M40" s="83" t="str">
        <f>+IFERROR(VLOOKUP(CONCATENATE(A40,$B$10,B40),'ID1&amp;5'!B:J,9,FALSE),"-")</f>
        <v>-</v>
      </c>
      <c r="N40" s="83" t="str">
        <f>+IFERROR(VLOOKUP(CONCATENATE(A40,$C$10,C40),'ID1&amp;5'!B:J,8,FALSE),"-")</f>
        <v>-</v>
      </c>
      <c r="O40" s="82" t="str">
        <f>+IFERROR(VLOOKUP(C40,'ID1&amp;5'!K:L,2,FALSE),"-")</f>
        <v>-</v>
      </c>
      <c r="P40" s="83" t="str">
        <f>+IFERROR(VLOOKUP(CONCATENATE(A40,$C$10,C40),'ID1&amp;5'!B:J,9,FALSE),"-")</f>
        <v>-</v>
      </c>
      <c r="Q40" s="82" t="str">
        <f>+IFERROR(VLOOKUP(D40,'ID1&amp;5'!K:L,2,FALSE),"-")</f>
        <v>-</v>
      </c>
      <c r="R40" s="26" t="str">
        <f>+IFERROR(VLOOKUP(CONCATENATE(A40,$D$10,D40),'ID1&amp;5'!B:J,9,FALSE),"-")</f>
        <v>-</v>
      </c>
      <c r="S40" s="82" t="str">
        <f>+IFERROR(VLOOKUP(E40,'ID1&amp;5'!K:L,2,FALSE),"-")</f>
        <v>-</v>
      </c>
      <c r="T40" s="83" t="str">
        <f>+IFERROR(VLOOKUP(CONCATENATE(A40,$E$10,E40),'ID1&amp;5'!B:J,9,FALSE),"-")</f>
        <v>-</v>
      </c>
      <c r="U40" s="82" t="str">
        <f>+IFERROR(VLOOKUP(F40,'ID1&amp;5'!K:L,2,FALSE),"-")</f>
        <v>-</v>
      </c>
      <c r="V40" s="83" t="str">
        <f>+IFERROR(VLOOKUP(CONCATENATE(A40,$F$10,F40),'ID1&amp;5'!B:J,9,FALSE),"-")</f>
        <v>-</v>
      </c>
      <c r="W40" s="26" t="str">
        <f>+IFERROR(VLOOKUP(A40,'ID6&amp;7'!A:I,9,FALSE),"-")</f>
        <v>-</v>
      </c>
      <c r="X40" s="26" t="str">
        <f>+IFERROR(VLOOKUP(A40,'ID6&amp;7'!A:J,10,FALSE),"-")</f>
        <v>-</v>
      </c>
      <c r="Y40" s="26"/>
      <c r="Z40" s="27" t="str">
        <f t="shared" si="1"/>
        <v>Por iniciar</v>
      </c>
    </row>
    <row r="41" spans="1:26">
      <c r="A41" s="20" t="str">
        <f t="shared" si="0"/>
        <v>ENTITYFLG_NN_ACCRL45596</v>
      </c>
      <c r="B41" s="66"/>
      <c r="C41" s="60"/>
      <c r="D41" s="60"/>
      <c r="E41" s="60"/>
      <c r="F41" s="67"/>
      <c r="G41" s="60"/>
      <c r="H41" s="65" t="s">
        <v>127</v>
      </c>
      <c r="I41" s="21" t="s">
        <v>350</v>
      </c>
      <c r="J41" s="26">
        <f>+COUNTIF('ID1&amp;5'!G:G,'1. Status'!I41)</f>
        <v>0</v>
      </c>
      <c r="K41" s="83" t="str">
        <f>+IFERROR(VLOOKUP(CONCATENATE(A41,$B$10,B41),'ID1&amp;5'!B:J,8,FALSE),"-")</f>
        <v>-</v>
      </c>
      <c r="L41" s="82" t="str">
        <f>+IFERROR(VLOOKUP(B41,'ID1&amp;5'!K:L,2,FALSE),"-")</f>
        <v>-</v>
      </c>
      <c r="M41" s="83" t="str">
        <f>+IFERROR(VLOOKUP(CONCATENATE(A41,$B$10,B41),'ID1&amp;5'!B:J,9,FALSE),"-")</f>
        <v>-</v>
      </c>
      <c r="N41" s="83" t="str">
        <f>+IFERROR(VLOOKUP(CONCATENATE(A41,$C$10,C41),'ID1&amp;5'!B:J,8,FALSE),"-")</f>
        <v>-</v>
      </c>
      <c r="O41" s="82" t="str">
        <f>+IFERROR(VLOOKUP(C41,'ID1&amp;5'!K:L,2,FALSE),"-")</f>
        <v>-</v>
      </c>
      <c r="P41" s="83" t="str">
        <f>+IFERROR(VLOOKUP(CONCATENATE(A41,$C$10,C41),'ID1&amp;5'!B:J,9,FALSE),"-")</f>
        <v>-</v>
      </c>
      <c r="Q41" s="82" t="str">
        <f>+IFERROR(VLOOKUP(D41,'ID1&amp;5'!K:L,2,FALSE),"-")</f>
        <v>-</v>
      </c>
      <c r="R41" s="26" t="str">
        <f>+IFERROR(VLOOKUP(CONCATENATE(A41,$D$10,D41),'ID1&amp;5'!B:J,9,FALSE),"-")</f>
        <v>-</v>
      </c>
      <c r="S41" s="82" t="str">
        <f>+IFERROR(VLOOKUP(E41,'ID1&amp;5'!K:L,2,FALSE),"-")</f>
        <v>-</v>
      </c>
      <c r="T41" s="83" t="str">
        <f>+IFERROR(VLOOKUP(CONCATENATE(A41,$E$10,E41),'ID1&amp;5'!B:J,9,FALSE),"-")</f>
        <v>-</v>
      </c>
      <c r="U41" s="82" t="str">
        <f>+IFERROR(VLOOKUP(F41,'ID1&amp;5'!K:L,2,FALSE),"-")</f>
        <v>-</v>
      </c>
      <c r="V41" s="83" t="str">
        <f>+IFERROR(VLOOKUP(CONCATENATE(A41,$F$10,F41),'ID1&amp;5'!B:J,9,FALSE),"-")</f>
        <v>-</v>
      </c>
      <c r="W41" s="26" t="str">
        <f>+IFERROR(VLOOKUP(A41,'ID6&amp;7'!A:I,9,FALSE),"-")</f>
        <v>-</v>
      </c>
      <c r="X41" s="26" t="str">
        <f>+IFERROR(VLOOKUP(A41,'ID6&amp;7'!A:J,10,FALSE),"-")</f>
        <v>-</v>
      </c>
      <c r="Y41" s="26"/>
      <c r="Z41" s="27" t="str">
        <f t="shared" si="1"/>
        <v>Por iniciar</v>
      </c>
    </row>
    <row r="42" spans="1:26">
      <c r="A42" s="20" t="str">
        <f t="shared" si="0"/>
        <v>ENTITYFLG_RQST_BNKRPTCY45596</v>
      </c>
      <c r="B42" s="66"/>
      <c r="C42" s="60"/>
      <c r="D42" s="60"/>
      <c r="E42" s="60"/>
      <c r="F42" s="67"/>
      <c r="G42" s="60"/>
      <c r="H42" s="65" t="s">
        <v>127</v>
      </c>
      <c r="I42" s="21" t="s">
        <v>351</v>
      </c>
      <c r="J42" s="26">
        <f>+COUNTIF('ID1&amp;5'!G:G,'1. Status'!I42)</f>
        <v>0</v>
      </c>
      <c r="K42" s="83" t="str">
        <f>+IFERROR(VLOOKUP(CONCATENATE(A42,$B$10,B42),'ID1&amp;5'!B:J,8,FALSE),"-")</f>
        <v>-</v>
      </c>
      <c r="L42" s="82" t="str">
        <f>+IFERROR(VLOOKUP(B42,'ID1&amp;5'!K:L,2,FALSE),"-")</f>
        <v>-</v>
      </c>
      <c r="M42" s="83" t="str">
        <f>+IFERROR(VLOOKUP(CONCATENATE(A42,$B$10,B42),'ID1&amp;5'!B:J,9,FALSE),"-")</f>
        <v>-</v>
      </c>
      <c r="N42" s="83" t="str">
        <f>+IFERROR(VLOOKUP(CONCATENATE(A42,$C$10,C42),'ID1&amp;5'!B:J,8,FALSE),"-")</f>
        <v>-</v>
      </c>
      <c r="O42" s="82" t="str">
        <f>+IFERROR(VLOOKUP(C42,'ID1&amp;5'!K:L,2,FALSE),"-")</f>
        <v>-</v>
      </c>
      <c r="P42" s="83" t="str">
        <f>+IFERROR(VLOOKUP(CONCATENATE(A42,$C$10,C42),'ID1&amp;5'!B:J,9,FALSE),"-")</f>
        <v>-</v>
      </c>
      <c r="Q42" s="82" t="str">
        <f>+IFERROR(VLOOKUP(D42,'ID1&amp;5'!K:L,2,FALSE),"-")</f>
        <v>-</v>
      </c>
      <c r="R42" s="26" t="str">
        <f>+IFERROR(VLOOKUP(CONCATENATE(A42,$D$10,D42),'ID1&amp;5'!B:J,9,FALSE),"-")</f>
        <v>-</v>
      </c>
      <c r="S42" s="82" t="str">
        <f>+IFERROR(VLOOKUP(E42,'ID1&amp;5'!K:L,2,FALSE),"-")</f>
        <v>-</v>
      </c>
      <c r="T42" s="83" t="str">
        <f>+IFERROR(VLOOKUP(CONCATENATE(A42,$E$10,E42),'ID1&amp;5'!B:J,9,FALSE),"-")</f>
        <v>-</v>
      </c>
      <c r="U42" s="82" t="str">
        <f>+IFERROR(VLOOKUP(F42,'ID1&amp;5'!K:L,2,FALSE),"-")</f>
        <v>-</v>
      </c>
      <c r="V42" s="83" t="str">
        <f>+IFERROR(VLOOKUP(CONCATENATE(A42,$F$10,F42),'ID1&amp;5'!B:J,9,FALSE),"-")</f>
        <v>-</v>
      </c>
      <c r="W42" s="26" t="str">
        <f>+IFERROR(VLOOKUP(A42,'ID6&amp;7'!A:I,9,FALSE),"-")</f>
        <v>-</v>
      </c>
      <c r="X42" s="26" t="str">
        <f>+IFERROR(VLOOKUP(A42,'ID6&amp;7'!A:J,10,FALSE),"-")</f>
        <v>-</v>
      </c>
      <c r="Y42" s="26"/>
      <c r="Z42" s="27" t="str">
        <f t="shared" si="1"/>
        <v>Por iniciar</v>
      </c>
    </row>
    <row r="43" spans="1:26">
      <c r="A43" s="20" t="str">
        <f t="shared" si="0"/>
        <v>ENTITYFLG_RQST_DSTRSSD_RSTRCTRNG45596</v>
      </c>
      <c r="B43" s="66"/>
      <c r="C43" s="60"/>
      <c r="D43" s="60"/>
      <c r="E43" s="60"/>
      <c r="F43" s="67"/>
      <c r="G43" s="60"/>
      <c r="H43" s="65" t="s">
        <v>127</v>
      </c>
      <c r="I43" s="21" t="s">
        <v>352</v>
      </c>
      <c r="J43" s="26">
        <f>+COUNTIF('ID1&amp;5'!G:G,'1. Status'!I43)</f>
        <v>0</v>
      </c>
      <c r="K43" s="83" t="str">
        <f>+IFERROR(VLOOKUP(CONCATENATE(A43,$B$10,B43),'ID1&amp;5'!B:J,8,FALSE),"-")</f>
        <v>-</v>
      </c>
      <c r="L43" s="82" t="str">
        <f>+IFERROR(VLOOKUP(B43,'ID1&amp;5'!K:L,2,FALSE),"-")</f>
        <v>-</v>
      </c>
      <c r="M43" s="83" t="str">
        <f>+IFERROR(VLOOKUP(CONCATENATE(A43,$B$10,B43),'ID1&amp;5'!B:J,9,FALSE),"-")</f>
        <v>-</v>
      </c>
      <c r="N43" s="83" t="str">
        <f>+IFERROR(VLOOKUP(CONCATENATE(A43,$C$10,C43),'ID1&amp;5'!B:J,8,FALSE),"-")</f>
        <v>-</v>
      </c>
      <c r="O43" s="82" t="str">
        <f>+IFERROR(VLOOKUP(C43,'ID1&amp;5'!K:L,2,FALSE),"-")</f>
        <v>-</v>
      </c>
      <c r="P43" s="83" t="str">
        <f>+IFERROR(VLOOKUP(CONCATENATE(A43,$C$10,C43),'ID1&amp;5'!B:J,9,FALSE),"-")</f>
        <v>-</v>
      </c>
      <c r="Q43" s="82" t="str">
        <f>+IFERROR(VLOOKUP(D43,'ID1&amp;5'!K:L,2,FALSE),"-")</f>
        <v>-</v>
      </c>
      <c r="R43" s="26" t="str">
        <f>+IFERROR(VLOOKUP(CONCATENATE(A43,$D$10,D43),'ID1&amp;5'!B:J,9,FALSE),"-")</f>
        <v>-</v>
      </c>
      <c r="S43" s="82" t="str">
        <f>+IFERROR(VLOOKUP(E43,'ID1&amp;5'!K:L,2,FALSE),"-")</f>
        <v>-</v>
      </c>
      <c r="T43" s="83" t="str">
        <f>+IFERROR(VLOOKUP(CONCATENATE(A43,$E$10,E43),'ID1&amp;5'!B:J,9,FALSE),"-")</f>
        <v>-</v>
      </c>
      <c r="U43" s="82" t="str">
        <f>+IFERROR(VLOOKUP(F43,'ID1&amp;5'!K:L,2,FALSE),"-")</f>
        <v>-</v>
      </c>
      <c r="V43" s="83" t="str">
        <f>+IFERROR(VLOOKUP(CONCATENATE(A43,$F$10,F43),'ID1&amp;5'!B:J,9,FALSE),"-")</f>
        <v>-</v>
      </c>
      <c r="W43" s="26" t="str">
        <f>+IFERROR(VLOOKUP(A43,'ID6&amp;7'!A:I,9,FALSE),"-")</f>
        <v>-</v>
      </c>
      <c r="X43" s="26" t="str">
        <f>+IFERROR(VLOOKUP(A43,'ID6&amp;7'!A:J,10,FALSE),"-")</f>
        <v>-</v>
      </c>
      <c r="Y43" s="26"/>
      <c r="Z43" s="27" t="str">
        <f t="shared" si="1"/>
        <v>Por iniciar</v>
      </c>
    </row>
    <row r="44" spans="1:26">
      <c r="A44" s="20" t="str">
        <f t="shared" si="0"/>
        <v>ENTITYFLG_RQST_EMRGNCY_FNDNG45596</v>
      </c>
      <c r="B44" s="66"/>
      <c r="C44" s="60"/>
      <c r="D44" s="60"/>
      <c r="E44" s="60"/>
      <c r="F44" s="67"/>
      <c r="G44" s="60"/>
      <c r="H44" s="65" t="s">
        <v>127</v>
      </c>
      <c r="I44" s="21" t="s">
        <v>353</v>
      </c>
      <c r="J44" s="26">
        <f>+COUNTIF('ID1&amp;5'!G:G,'1. Status'!I44)</f>
        <v>0</v>
      </c>
      <c r="K44" s="83" t="str">
        <f>+IFERROR(VLOOKUP(CONCATENATE(A44,$B$10,B44),'ID1&amp;5'!B:J,8,FALSE),"-")</f>
        <v>-</v>
      </c>
      <c r="L44" s="82" t="str">
        <f>+IFERROR(VLOOKUP(B44,'ID1&amp;5'!K:L,2,FALSE),"-")</f>
        <v>-</v>
      </c>
      <c r="M44" s="83" t="str">
        <f>+IFERROR(VLOOKUP(CONCATENATE(A44,$B$10,B44),'ID1&amp;5'!B:J,9,FALSE),"-")</f>
        <v>-</v>
      </c>
      <c r="N44" s="83" t="str">
        <f>+IFERROR(VLOOKUP(CONCATENATE(A44,$C$10,C44),'ID1&amp;5'!B:J,8,FALSE),"-")</f>
        <v>-</v>
      </c>
      <c r="O44" s="82" t="str">
        <f>+IFERROR(VLOOKUP(C44,'ID1&amp;5'!K:L,2,FALSE),"-")</f>
        <v>-</v>
      </c>
      <c r="P44" s="83" t="str">
        <f>+IFERROR(VLOOKUP(CONCATENATE(A44,$C$10,C44),'ID1&amp;5'!B:J,9,FALSE),"-")</f>
        <v>-</v>
      </c>
      <c r="Q44" s="82" t="str">
        <f>+IFERROR(VLOOKUP(D44,'ID1&amp;5'!K:L,2,FALSE),"-")</f>
        <v>-</v>
      </c>
      <c r="R44" s="26" t="str">
        <f>+IFERROR(VLOOKUP(CONCATENATE(A44,$D$10,D44),'ID1&amp;5'!B:J,9,FALSE),"-")</f>
        <v>-</v>
      </c>
      <c r="S44" s="82" t="str">
        <f>+IFERROR(VLOOKUP(E44,'ID1&amp;5'!K:L,2,FALSE),"-")</f>
        <v>-</v>
      </c>
      <c r="T44" s="83" t="str">
        <f>+IFERROR(VLOOKUP(CONCATENATE(A44,$E$10,E44),'ID1&amp;5'!B:J,9,FALSE),"-")</f>
        <v>-</v>
      </c>
      <c r="U44" s="82" t="str">
        <f>+IFERROR(VLOOKUP(F44,'ID1&amp;5'!K:L,2,FALSE),"-")</f>
        <v>-</v>
      </c>
      <c r="V44" s="83" t="str">
        <f>+IFERROR(VLOOKUP(CONCATENATE(A44,$F$10,F44),'ID1&amp;5'!B:J,9,FALSE),"-")</f>
        <v>-</v>
      </c>
      <c r="W44" s="26" t="str">
        <f>+IFERROR(VLOOKUP(A44,'ID6&amp;7'!A:I,9,FALSE),"-")</f>
        <v>-</v>
      </c>
      <c r="X44" s="26" t="str">
        <f>+IFERROR(VLOOKUP(A44,'ID6&amp;7'!A:J,10,FALSE),"-")</f>
        <v>-</v>
      </c>
      <c r="Y44" s="26"/>
      <c r="Z44" s="27" t="str">
        <f t="shared" si="1"/>
        <v>Por iniciar</v>
      </c>
    </row>
    <row r="45" spans="1:26">
      <c r="A45" s="20" t="str">
        <f t="shared" si="0"/>
        <v>ENTITYFLG_SLL_WTH_LSS45596</v>
      </c>
      <c r="B45" s="66"/>
      <c r="C45" s="60"/>
      <c r="D45" s="60"/>
      <c r="E45" s="60"/>
      <c r="F45" s="67"/>
      <c r="G45" s="60"/>
      <c r="H45" s="65" t="s">
        <v>127</v>
      </c>
      <c r="I45" s="21" t="s">
        <v>354</v>
      </c>
      <c r="J45" s="26">
        <f>+COUNTIF('ID1&amp;5'!G:G,'1. Status'!I45)</f>
        <v>0</v>
      </c>
      <c r="K45" s="83" t="str">
        <f>+IFERROR(VLOOKUP(CONCATENATE(A45,$B$10,B45),'ID1&amp;5'!B:J,8,FALSE),"-")</f>
        <v>-</v>
      </c>
      <c r="L45" s="82" t="str">
        <f>+IFERROR(VLOOKUP(B45,'ID1&amp;5'!K:L,2,FALSE),"-")</f>
        <v>-</v>
      </c>
      <c r="M45" s="83" t="str">
        <f>+IFERROR(VLOOKUP(CONCATENATE(A45,$B$10,B45),'ID1&amp;5'!B:J,9,FALSE),"-")</f>
        <v>-</v>
      </c>
      <c r="N45" s="83" t="str">
        <f>+IFERROR(VLOOKUP(CONCATENATE(A45,$C$10,C45),'ID1&amp;5'!B:J,8,FALSE),"-")</f>
        <v>-</v>
      </c>
      <c r="O45" s="82" t="str">
        <f>+IFERROR(VLOOKUP(C45,'ID1&amp;5'!K:L,2,FALSE),"-")</f>
        <v>-</v>
      </c>
      <c r="P45" s="83" t="str">
        <f>+IFERROR(VLOOKUP(CONCATENATE(A45,$C$10,C45),'ID1&amp;5'!B:J,9,FALSE),"-")</f>
        <v>-</v>
      </c>
      <c r="Q45" s="82" t="str">
        <f>+IFERROR(VLOOKUP(D45,'ID1&amp;5'!K:L,2,FALSE),"-")</f>
        <v>-</v>
      </c>
      <c r="R45" s="26" t="str">
        <f>+IFERROR(VLOOKUP(CONCATENATE(A45,$D$10,D45),'ID1&amp;5'!B:J,9,FALSE),"-")</f>
        <v>-</v>
      </c>
      <c r="S45" s="82" t="str">
        <f>+IFERROR(VLOOKUP(E45,'ID1&amp;5'!K:L,2,FALSE),"-")</f>
        <v>-</v>
      </c>
      <c r="T45" s="83" t="str">
        <f>+IFERROR(VLOOKUP(CONCATENATE(A45,$E$10,E45),'ID1&amp;5'!B:J,9,FALSE),"-")</f>
        <v>-</v>
      </c>
      <c r="U45" s="82" t="str">
        <f>+IFERROR(VLOOKUP(F45,'ID1&amp;5'!K:L,2,FALSE),"-")</f>
        <v>-</v>
      </c>
      <c r="V45" s="83" t="str">
        <f>+IFERROR(VLOOKUP(CONCATENATE(A45,$F$10,F45),'ID1&amp;5'!B:J,9,FALSE),"-")</f>
        <v>-</v>
      </c>
      <c r="W45" s="26" t="str">
        <f>+IFERROR(VLOOKUP(A45,'ID6&amp;7'!A:I,9,FALSE),"-")</f>
        <v>-</v>
      </c>
      <c r="X45" s="26" t="str">
        <f>+IFERROR(VLOOKUP(A45,'ID6&amp;7'!A:J,10,FALSE),"-")</f>
        <v>-</v>
      </c>
      <c r="Y45" s="26"/>
      <c r="Z45" s="27" t="str">
        <f t="shared" si="1"/>
        <v>Por iniciar</v>
      </c>
    </row>
    <row r="46" spans="1:26">
      <c r="A46" s="20" t="str">
        <f t="shared" si="0"/>
        <v>ENTITYINCM_SC45596</v>
      </c>
      <c r="B46" s="66"/>
      <c r="C46" s="60"/>
      <c r="D46" s="60"/>
      <c r="E46" s="60"/>
      <c r="F46" s="67"/>
      <c r="G46" s="60"/>
      <c r="H46" s="65" t="s">
        <v>127</v>
      </c>
      <c r="I46" s="21" t="s">
        <v>355</v>
      </c>
      <c r="J46" s="26">
        <f>+COUNTIF('ID1&amp;5'!G:G,'1. Status'!I46)</f>
        <v>0</v>
      </c>
      <c r="K46" s="83" t="str">
        <f>+IFERROR(VLOOKUP(CONCATENATE(A46,$B$10,B46),'ID1&amp;5'!B:J,8,FALSE),"-")</f>
        <v>-</v>
      </c>
      <c r="L46" s="82" t="str">
        <f>+IFERROR(VLOOKUP(B46,'ID1&amp;5'!K:L,2,FALSE),"-")</f>
        <v>-</v>
      </c>
      <c r="M46" s="83" t="str">
        <f>+IFERROR(VLOOKUP(CONCATENATE(A46,$B$10,B46),'ID1&amp;5'!B:J,9,FALSE),"-")</f>
        <v>-</v>
      </c>
      <c r="N46" s="83" t="str">
        <f>+IFERROR(VLOOKUP(CONCATENATE(A46,$C$10,C46),'ID1&amp;5'!B:J,8,FALSE),"-")</f>
        <v>-</v>
      </c>
      <c r="O46" s="82" t="str">
        <f>+IFERROR(VLOOKUP(C46,'ID1&amp;5'!K:L,2,FALSE),"-")</f>
        <v>-</v>
      </c>
      <c r="P46" s="83" t="str">
        <f>+IFERROR(VLOOKUP(CONCATENATE(A46,$C$10,C46),'ID1&amp;5'!B:J,9,FALSE),"-")</f>
        <v>-</v>
      </c>
      <c r="Q46" s="82" t="str">
        <f>+IFERROR(VLOOKUP(D46,'ID1&amp;5'!K:L,2,FALSE),"-")</f>
        <v>-</v>
      </c>
      <c r="R46" s="26" t="str">
        <f>+IFERROR(VLOOKUP(CONCATENATE(A46,$D$10,D46),'ID1&amp;5'!B:J,9,FALSE),"-")</f>
        <v>-</v>
      </c>
      <c r="S46" s="82" t="str">
        <f>+IFERROR(VLOOKUP(E46,'ID1&amp;5'!K:L,2,FALSE),"-")</f>
        <v>-</v>
      </c>
      <c r="T46" s="83" t="str">
        <f>+IFERROR(VLOOKUP(CONCATENATE(A46,$E$10,E46),'ID1&amp;5'!B:J,9,FALSE),"-")</f>
        <v>-</v>
      </c>
      <c r="U46" s="82" t="str">
        <f>+IFERROR(VLOOKUP(F46,'ID1&amp;5'!K:L,2,FALSE),"-")</f>
        <v>-</v>
      </c>
      <c r="V46" s="83" t="str">
        <f>+IFERROR(VLOOKUP(CONCATENATE(A46,$F$10,F46),'ID1&amp;5'!B:J,9,FALSE),"-")</f>
        <v>-</v>
      </c>
      <c r="W46" s="26" t="str">
        <f>+IFERROR(VLOOKUP(A46,'ID6&amp;7'!A:I,9,FALSE),"-")</f>
        <v>-</v>
      </c>
      <c r="X46" s="26" t="str">
        <f>+IFERROR(VLOOKUP(A46,'ID6&amp;7'!A:J,10,FALSE),"-")</f>
        <v>-</v>
      </c>
      <c r="Y46" s="26"/>
      <c r="Z46" s="27" t="str">
        <f t="shared" si="1"/>
        <v>Por iniciar</v>
      </c>
    </row>
    <row r="47" spans="1:26">
      <c r="A47" s="20" t="str">
        <f t="shared" si="0"/>
        <v>ENTITYINTRNL_RTNG45596</v>
      </c>
      <c r="B47" s="66"/>
      <c r="C47" s="60"/>
      <c r="D47" s="60"/>
      <c r="E47" s="60"/>
      <c r="F47" s="67"/>
      <c r="G47" s="60"/>
      <c r="H47" s="65" t="s">
        <v>127</v>
      </c>
      <c r="I47" s="21" t="s">
        <v>356</v>
      </c>
      <c r="J47" s="26">
        <f>+COUNTIF('ID1&amp;5'!G:G,'1. Status'!I47)</f>
        <v>0</v>
      </c>
      <c r="K47" s="83" t="str">
        <f>+IFERROR(VLOOKUP(CONCATENATE(A47,$B$10,B47),'ID1&amp;5'!B:J,8,FALSE),"-")</f>
        <v>-</v>
      </c>
      <c r="L47" s="82" t="str">
        <f>+IFERROR(VLOOKUP(B47,'ID1&amp;5'!K:L,2,FALSE),"-")</f>
        <v>-</v>
      </c>
      <c r="M47" s="83" t="str">
        <f>+IFERROR(VLOOKUP(CONCATENATE(A47,$B$10,B47),'ID1&amp;5'!B:J,9,FALSE),"-")</f>
        <v>-</v>
      </c>
      <c r="N47" s="83" t="str">
        <f>+IFERROR(VLOOKUP(CONCATENATE(A47,$C$10,C47),'ID1&amp;5'!B:J,8,FALSE),"-")</f>
        <v>-</v>
      </c>
      <c r="O47" s="82" t="str">
        <f>+IFERROR(VLOOKUP(C47,'ID1&amp;5'!K:L,2,FALSE),"-")</f>
        <v>-</v>
      </c>
      <c r="P47" s="83" t="str">
        <f>+IFERROR(VLOOKUP(CONCATENATE(A47,$C$10,C47),'ID1&amp;5'!B:J,9,FALSE),"-")</f>
        <v>-</v>
      </c>
      <c r="Q47" s="82" t="str">
        <f>+IFERROR(VLOOKUP(D47,'ID1&amp;5'!K:L,2,FALSE),"-")</f>
        <v>-</v>
      </c>
      <c r="R47" s="26" t="str">
        <f>+IFERROR(VLOOKUP(CONCATENATE(A47,$D$10,D47),'ID1&amp;5'!B:J,9,FALSE),"-")</f>
        <v>-</v>
      </c>
      <c r="S47" s="82" t="str">
        <f>+IFERROR(VLOOKUP(E47,'ID1&amp;5'!K:L,2,FALSE),"-")</f>
        <v>-</v>
      </c>
      <c r="T47" s="83" t="str">
        <f>+IFERROR(VLOOKUP(CONCATENATE(A47,$E$10,E47),'ID1&amp;5'!B:J,9,FALSE),"-")</f>
        <v>-</v>
      </c>
      <c r="U47" s="82" t="str">
        <f>+IFERROR(VLOOKUP(F47,'ID1&amp;5'!K:L,2,FALSE),"-")</f>
        <v>-</v>
      </c>
      <c r="V47" s="83" t="str">
        <f>+IFERROR(VLOOKUP(CONCATENATE(A47,$F$10,F47),'ID1&amp;5'!B:J,9,FALSE),"-")</f>
        <v>-</v>
      </c>
      <c r="W47" s="26" t="str">
        <f>+IFERROR(VLOOKUP(A47,'ID6&amp;7'!A:I,9,FALSE),"-")</f>
        <v>-</v>
      </c>
      <c r="X47" s="26" t="str">
        <f>+IFERROR(VLOOKUP(A47,'ID6&amp;7'!A:J,10,FALSE),"-")</f>
        <v>-</v>
      </c>
      <c r="Y47" s="26"/>
      <c r="Z47" s="27" t="str">
        <f t="shared" si="1"/>
        <v>Por iniciar</v>
      </c>
    </row>
    <row r="48" spans="1:26">
      <c r="A48" s="20" t="str">
        <f t="shared" si="0"/>
        <v>ENTITYINTRNL_RTNG_PRVS45596</v>
      </c>
      <c r="B48" s="66"/>
      <c r="C48" s="60"/>
      <c r="D48" s="60"/>
      <c r="E48" s="60"/>
      <c r="F48" s="67"/>
      <c r="G48" s="60"/>
      <c r="H48" s="65" t="s">
        <v>127</v>
      </c>
      <c r="I48" s="21" t="s">
        <v>357</v>
      </c>
      <c r="J48" s="26">
        <f>+COUNTIF('ID1&amp;5'!G:G,'1. Status'!I48)</f>
        <v>0</v>
      </c>
      <c r="K48" s="83" t="str">
        <f>+IFERROR(VLOOKUP(CONCATENATE(A48,$B$10,B48),'ID1&amp;5'!B:J,8,FALSE),"-")</f>
        <v>-</v>
      </c>
      <c r="L48" s="82" t="str">
        <f>+IFERROR(VLOOKUP(B48,'ID1&amp;5'!K:L,2,FALSE),"-")</f>
        <v>-</v>
      </c>
      <c r="M48" s="83" t="str">
        <f>+IFERROR(VLOOKUP(CONCATENATE(A48,$B$10,B48),'ID1&amp;5'!B:J,9,FALSE),"-")</f>
        <v>-</v>
      </c>
      <c r="N48" s="83" t="str">
        <f>+IFERROR(VLOOKUP(CONCATENATE(A48,$C$10,C48),'ID1&amp;5'!B:J,8,FALSE),"-")</f>
        <v>-</v>
      </c>
      <c r="O48" s="82" t="str">
        <f>+IFERROR(VLOOKUP(C48,'ID1&amp;5'!K:L,2,FALSE),"-")</f>
        <v>-</v>
      </c>
      <c r="P48" s="83" t="str">
        <f>+IFERROR(VLOOKUP(CONCATENATE(A48,$C$10,C48),'ID1&amp;5'!B:J,9,FALSE),"-")</f>
        <v>-</v>
      </c>
      <c r="Q48" s="82" t="str">
        <f>+IFERROR(VLOOKUP(D48,'ID1&amp;5'!K:L,2,FALSE),"-")</f>
        <v>-</v>
      </c>
      <c r="R48" s="26" t="str">
        <f>+IFERROR(VLOOKUP(CONCATENATE(A48,$D$10,D48),'ID1&amp;5'!B:J,9,FALSE),"-")</f>
        <v>-</v>
      </c>
      <c r="S48" s="82" t="str">
        <f>+IFERROR(VLOOKUP(E48,'ID1&amp;5'!K:L,2,FALSE),"-")</f>
        <v>-</v>
      </c>
      <c r="T48" s="83" t="str">
        <f>+IFERROR(VLOOKUP(CONCATENATE(A48,$E$10,E48),'ID1&amp;5'!B:J,9,FALSE),"-")</f>
        <v>-</v>
      </c>
      <c r="U48" s="82" t="str">
        <f>+IFERROR(VLOOKUP(F48,'ID1&amp;5'!K:L,2,FALSE),"-")</f>
        <v>-</v>
      </c>
      <c r="V48" s="83" t="str">
        <f>+IFERROR(VLOOKUP(CONCATENATE(A48,$F$10,F48),'ID1&amp;5'!B:J,9,FALSE),"-")</f>
        <v>-</v>
      </c>
      <c r="W48" s="26" t="str">
        <f>+IFERROR(VLOOKUP(A48,'ID6&amp;7'!A:I,9,FALSE),"-")</f>
        <v>-</v>
      </c>
      <c r="X48" s="26" t="str">
        <f>+IFERROR(VLOOKUP(A48,'ID6&amp;7'!A:J,10,FALSE),"-")</f>
        <v>-</v>
      </c>
      <c r="Y48" s="26"/>
      <c r="Z48" s="27" t="str">
        <f t="shared" si="1"/>
        <v>Por iniciar</v>
      </c>
    </row>
    <row r="49" spans="1:26">
      <c r="A49" s="20" t="str">
        <f t="shared" si="0"/>
        <v>ENTITYLGL_PRCDNG_STTS_LE45596</v>
      </c>
      <c r="B49" s="66"/>
      <c r="C49" s="60"/>
      <c r="D49" s="60"/>
      <c r="E49" s="60"/>
      <c r="F49" s="67"/>
      <c r="G49" s="60"/>
      <c r="H49" s="65" t="s">
        <v>127</v>
      </c>
      <c r="I49" s="21" t="s">
        <v>358</v>
      </c>
      <c r="J49" s="26">
        <f>+COUNTIF('ID1&amp;5'!G:G,'1. Status'!I49)</f>
        <v>0</v>
      </c>
      <c r="K49" s="83" t="str">
        <f>+IFERROR(VLOOKUP(CONCATENATE(A49,$B$10,B49),'ID1&amp;5'!B:J,8,FALSE),"-")</f>
        <v>-</v>
      </c>
      <c r="L49" s="82" t="str">
        <f>+IFERROR(VLOOKUP(B49,'ID1&amp;5'!K:L,2,FALSE),"-")</f>
        <v>-</v>
      </c>
      <c r="M49" s="83" t="str">
        <f>+IFERROR(VLOOKUP(CONCATENATE(A49,$B$10,B49),'ID1&amp;5'!B:J,9,FALSE),"-")</f>
        <v>-</v>
      </c>
      <c r="N49" s="83" t="str">
        <f>+IFERROR(VLOOKUP(CONCATENATE(A49,$C$10,C49),'ID1&amp;5'!B:J,8,FALSE),"-")</f>
        <v>-</v>
      </c>
      <c r="O49" s="82" t="str">
        <f>+IFERROR(VLOOKUP(C49,'ID1&amp;5'!K:L,2,FALSE),"-")</f>
        <v>-</v>
      </c>
      <c r="P49" s="83" t="str">
        <f>+IFERROR(VLOOKUP(CONCATENATE(A49,$C$10,C49),'ID1&amp;5'!B:J,9,FALSE),"-")</f>
        <v>-</v>
      </c>
      <c r="Q49" s="82" t="str">
        <f>+IFERROR(VLOOKUP(D49,'ID1&amp;5'!K:L,2,FALSE),"-")</f>
        <v>-</v>
      </c>
      <c r="R49" s="26" t="str">
        <f>+IFERROR(VLOOKUP(CONCATENATE(A49,$D$10,D49),'ID1&amp;5'!B:J,9,FALSE),"-")</f>
        <v>-</v>
      </c>
      <c r="S49" s="82" t="str">
        <f>+IFERROR(VLOOKUP(E49,'ID1&amp;5'!K:L,2,FALSE),"-")</f>
        <v>-</v>
      </c>
      <c r="T49" s="83" t="str">
        <f>+IFERROR(VLOOKUP(CONCATENATE(A49,$E$10,E49),'ID1&amp;5'!B:J,9,FALSE),"-")</f>
        <v>-</v>
      </c>
      <c r="U49" s="82" t="str">
        <f>+IFERROR(VLOOKUP(F49,'ID1&amp;5'!K:L,2,FALSE),"-")</f>
        <v>-</v>
      </c>
      <c r="V49" s="83" t="str">
        <f>+IFERROR(VLOOKUP(CONCATENATE(A49,$F$10,F49),'ID1&amp;5'!B:J,9,FALSE),"-")</f>
        <v>-</v>
      </c>
      <c r="W49" s="26" t="str">
        <f>+IFERROR(VLOOKUP(A49,'ID6&amp;7'!A:I,9,FALSE),"-")</f>
        <v>-</v>
      </c>
      <c r="X49" s="26" t="str">
        <f>+IFERROR(VLOOKUP(A49,'ID6&amp;7'!A:J,10,FALSE),"-")</f>
        <v>-</v>
      </c>
      <c r="Y49" s="26"/>
      <c r="Z49" s="27" t="str">
        <f t="shared" si="1"/>
        <v>Por iniciar</v>
      </c>
    </row>
    <row r="50" spans="1:26">
      <c r="A50" s="20" t="str">
        <f t="shared" si="0"/>
        <v>ENTITYOWND_BY_SPNSR45596</v>
      </c>
      <c r="B50" s="66"/>
      <c r="C50" s="60"/>
      <c r="D50" s="60"/>
      <c r="E50" s="60"/>
      <c r="F50" s="67"/>
      <c r="G50" s="60"/>
      <c r="H50" s="65" t="s">
        <v>127</v>
      </c>
      <c r="I50" s="21" t="s">
        <v>359</v>
      </c>
      <c r="J50" s="26">
        <f>+COUNTIF('ID1&amp;5'!G:G,'1. Status'!I50)</f>
        <v>0</v>
      </c>
      <c r="K50" s="83" t="str">
        <f>+IFERROR(VLOOKUP(CONCATENATE(A50,$B$10,B50),'ID1&amp;5'!B:J,8,FALSE),"-")</f>
        <v>-</v>
      </c>
      <c r="L50" s="82" t="str">
        <f>+IFERROR(VLOOKUP(B50,'ID1&amp;5'!K:L,2,FALSE),"-")</f>
        <v>-</v>
      </c>
      <c r="M50" s="83" t="str">
        <f>+IFERROR(VLOOKUP(CONCATENATE(A50,$B$10,B50),'ID1&amp;5'!B:J,9,FALSE),"-")</f>
        <v>-</v>
      </c>
      <c r="N50" s="83" t="str">
        <f>+IFERROR(VLOOKUP(CONCATENATE(A50,$C$10,C50),'ID1&amp;5'!B:J,8,FALSE),"-")</f>
        <v>-</v>
      </c>
      <c r="O50" s="82" t="str">
        <f>+IFERROR(VLOOKUP(C50,'ID1&amp;5'!K:L,2,FALSE),"-")</f>
        <v>-</v>
      </c>
      <c r="P50" s="83" t="str">
        <f>+IFERROR(VLOOKUP(CONCATENATE(A50,$C$10,C50),'ID1&amp;5'!B:J,9,FALSE),"-")</f>
        <v>-</v>
      </c>
      <c r="Q50" s="82" t="str">
        <f>+IFERROR(VLOOKUP(D50,'ID1&amp;5'!K:L,2,FALSE),"-")</f>
        <v>-</v>
      </c>
      <c r="R50" s="26" t="str">
        <f>+IFERROR(VLOOKUP(CONCATENATE(A50,$D$10,D50),'ID1&amp;5'!B:J,9,FALSE),"-")</f>
        <v>-</v>
      </c>
      <c r="S50" s="82" t="str">
        <f>+IFERROR(VLOOKUP(E50,'ID1&amp;5'!K:L,2,FALSE),"-")</f>
        <v>-</v>
      </c>
      <c r="T50" s="83" t="str">
        <f>+IFERROR(VLOOKUP(CONCATENATE(A50,$E$10,E50),'ID1&amp;5'!B:J,9,FALSE),"-")</f>
        <v>-</v>
      </c>
      <c r="U50" s="82" t="str">
        <f>+IFERROR(VLOOKUP(F50,'ID1&amp;5'!K:L,2,FALSE),"-")</f>
        <v>-</v>
      </c>
      <c r="V50" s="83" t="str">
        <f>+IFERROR(VLOOKUP(CONCATENATE(A50,$F$10,F50),'ID1&amp;5'!B:J,9,FALSE),"-")</f>
        <v>-</v>
      </c>
      <c r="W50" s="26" t="str">
        <f>+IFERROR(VLOOKUP(A50,'ID6&amp;7'!A:I,9,FALSE),"-")</f>
        <v>-</v>
      </c>
      <c r="X50" s="26" t="str">
        <f>+IFERROR(VLOOKUP(A50,'ID6&amp;7'!A:J,10,FALSE),"-")</f>
        <v>-</v>
      </c>
      <c r="Y50" s="26"/>
      <c r="Z50" s="27" t="str">
        <f t="shared" si="1"/>
        <v>Por iniciar</v>
      </c>
    </row>
    <row r="51" spans="1:26">
      <c r="A51" s="20" t="str">
        <f t="shared" si="0"/>
        <v>ENTITYPRFRMNG_STTS_LE45596</v>
      </c>
      <c r="B51" s="66"/>
      <c r="C51" s="60"/>
      <c r="D51" s="60"/>
      <c r="E51" s="60"/>
      <c r="F51" s="67"/>
      <c r="G51" s="60"/>
      <c r="H51" s="65" t="s">
        <v>127</v>
      </c>
      <c r="I51" s="21" t="s">
        <v>360</v>
      </c>
      <c r="J51" s="26">
        <f>+COUNTIF('ID1&amp;5'!G:G,'1. Status'!I51)</f>
        <v>0</v>
      </c>
      <c r="K51" s="83" t="str">
        <f>+IFERROR(VLOOKUP(CONCATENATE(A51,$B$10,B51),'ID1&amp;5'!B:J,8,FALSE),"-")</f>
        <v>-</v>
      </c>
      <c r="L51" s="82" t="str">
        <f>+IFERROR(VLOOKUP(B51,'ID1&amp;5'!K:L,2,FALSE),"-")</f>
        <v>-</v>
      </c>
      <c r="M51" s="83" t="str">
        <f>+IFERROR(VLOOKUP(CONCATENATE(A51,$B$10,B51),'ID1&amp;5'!B:J,9,FALSE),"-")</f>
        <v>-</v>
      </c>
      <c r="N51" s="83" t="str">
        <f>+IFERROR(VLOOKUP(CONCATENATE(A51,$C$10,C51),'ID1&amp;5'!B:J,8,FALSE),"-")</f>
        <v>-</v>
      </c>
      <c r="O51" s="82" t="str">
        <f>+IFERROR(VLOOKUP(C51,'ID1&amp;5'!K:L,2,FALSE),"-")</f>
        <v>-</v>
      </c>
      <c r="P51" s="83" t="str">
        <f>+IFERROR(VLOOKUP(CONCATENATE(A51,$C$10,C51),'ID1&amp;5'!B:J,9,FALSE),"-")</f>
        <v>-</v>
      </c>
      <c r="Q51" s="82" t="str">
        <f>+IFERROR(VLOOKUP(D51,'ID1&amp;5'!K:L,2,FALSE),"-")</f>
        <v>-</v>
      </c>
      <c r="R51" s="26" t="str">
        <f>+IFERROR(VLOOKUP(CONCATENATE(A51,$D$10,D51),'ID1&amp;5'!B:J,9,FALSE),"-")</f>
        <v>-</v>
      </c>
      <c r="S51" s="82" t="str">
        <f>+IFERROR(VLOOKUP(E51,'ID1&amp;5'!K:L,2,FALSE),"-")</f>
        <v>-</v>
      </c>
      <c r="T51" s="83" t="str">
        <f>+IFERROR(VLOOKUP(CONCATENATE(A51,$E$10,E51),'ID1&amp;5'!B:J,9,FALSE),"-")</f>
        <v>-</v>
      </c>
      <c r="U51" s="82" t="str">
        <f>+IFERROR(VLOOKUP(F51,'ID1&amp;5'!K:L,2,FALSE),"-")</f>
        <v>-</v>
      </c>
      <c r="V51" s="83" t="str">
        <f>+IFERROR(VLOOKUP(CONCATENATE(A51,$F$10,F51),'ID1&amp;5'!B:J,9,FALSE),"-")</f>
        <v>-</v>
      </c>
      <c r="W51" s="26" t="str">
        <f>+IFERROR(VLOOKUP(A51,'ID6&amp;7'!A:I,9,FALSE),"-")</f>
        <v>-</v>
      </c>
      <c r="X51" s="26" t="str">
        <f>+IFERROR(VLOOKUP(A51,'ID6&amp;7'!A:J,10,FALSE),"-")</f>
        <v>-</v>
      </c>
      <c r="Y51" s="26"/>
      <c r="Z51" s="27" t="str">
        <f t="shared" si="1"/>
        <v>Por iniciar</v>
      </c>
    </row>
    <row r="52" spans="1:26">
      <c r="A52" s="20" t="str">
        <f t="shared" si="0"/>
        <v>ENTITYRTNG_MTHD45596</v>
      </c>
      <c r="B52" s="66"/>
      <c r="C52" s="60"/>
      <c r="D52" s="60"/>
      <c r="E52" s="60"/>
      <c r="F52" s="67"/>
      <c r="G52" s="60"/>
      <c r="H52" s="65" t="s">
        <v>127</v>
      </c>
      <c r="I52" s="21" t="s">
        <v>361</v>
      </c>
      <c r="J52" s="26">
        <f>+COUNTIF('ID1&amp;5'!G:G,'1. Status'!I52)</f>
        <v>0</v>
      </c>
      <c r="K52" s="83" t="str">
        <f>+IFERROR(VLOOKUP(CONCATENATE(A52,$B$10,B52),'ID1&amp;5'!B:J,8,FALSE),"-")</f>
        <v>-</v>
      </c>
      <c r="L52" s="82" t="str">
        <f>+IFERROR(VLOOKUP(B52,'ID1&amp;5'!K:L,2,FALSE),"-")</f>
        <v>-</v>
      </c>
      <c r="M52" s="83" t="str">
        <f>+IFERROR(VLOOKUP(CONCATENATE(A52,$B$10,B52),'ID1&amp;5'!B:J,9,FALSE),"-")</f>
        <v>-</v>
      </c>
      <c r="N52" s="83" t="str">
        <f>+IFERROR(VLOOKUP(CONCATENATE(A52,$C$10,C52),'ID1&amp;5'!B:J,8,FALSE),"-")</f>
        <v>-</v>
      </c>
      <c r="O52" s="82" t="str">
        <f>+IFERROR(VLOOKUP(C52,'ID1&amp;5'!K:L,2,FALSE),"-")</f>
        <v>-</v>
      </c>
      <c r="P52" s="83" t="str">
        <f>+IFERROR(VLOOKUP(CONCATENATE(A52,$C$10,C52),'ID1&amp;5'!B:J,9,FALSE),"-")</f>
        <v>-</v>
      </c>
      <c r="Q52" s="82" t="str">
        <f>+IFERROR(VLOOKUP(D52,'ID1&amp;5'!K:L,2,FALSE),"-")</f>
        <v>-</v>
      </c>
      <c r="R52" s="26" t="str">
        <f>+IFERROR(VLOOKUP(CONCATENATE(A52,$D$10,D52),'ID1&amp;5'!B:J,9,FALSE),"-")</f>
        <v>-</v>
      </c>
      <c r="S52" s="82" t="str">
        <f>+IFERROR(VLOOKUP(E52,'ID1&amp;5'!K:L,2,FALSE),"-")</f>
        <v>-</v>
      </c>
      <c r="T52" s="83" t="str">
        <f>+IFERROR(VLOOKUP(CONCATENATE(A52,$E$10,E52),'ID1&amp;5'!B:J,9,FALSE),"-")</f>
        <v>-</v>
      </c>
      <c r="U52" s="82" t="str">
        <f>+IFERROR(VLOOKUP(F52,'ID1&amp;5'!K:L,2,FALSE),"-")</f>
        <v>-</v>
      </c>
      <c r="V52" s="83" t="str">
        <f>+IFERROR(VLOOKUP(CONCATENATE(A52,$F$10,F52),'ID1&amp;5'!B:J,9,FALSE),"-")</f>
        <v>-</v>
      </c>
      <c r="W52" s="26" t="str">
        <f>+IFERROR(VLOOKUP(A52,'ID6&amp;7'!A:I,9,FALSE),"-")</f>
        <v>-</v>
      </c>
      <c r="X52" s="26" t="str">
        <f>+IFERROR(VLOOKUP(A52,'ID6&amp;7'!A:J,10,FALSE),"-")</f>
        <v>-</v>
      </c>
      <c r="Y52" s="26"/>
      <c r="Z52" s="27" t="str">
        <f t="shared" si="1"/>
        <v>Por iniciar</v>
      </c>
    </row>
    <row r="53" spans="1:26">
      <c r="A53" s="20" t="str">
        <f t="shared" si="0"/>
        <v>ENTITYRTNG_SCL45596</v>
      </c>
      <c r="B53" s="66"/>
      <c r="C53" s="60"/>
      <c r="D53" s="60"/>
      <c r="E53" s="60"/>
      <c r="F53" s="67"/>
      <c r="G53" s="60"/>
      <c r="H53" s="65" t="s">
        <v>127</v>
      </c>
      <c r="I53" s="21" t="s">
        <v>362</v>
      </c>
      <c r="J53" s="26">
        <f>+COUNTIF('ID1&amp;5'!G:G,'1. Status'!I53)</f>
        <v>0</v>
      </c>
      <c r="K53" s="83" t="str">
        <f>+IFERROR(VLOOKUP(CONCATENATE(A53,$B$10,B53),'ID1&amp;5'!B:J,8,FALSE),"-")</f>
        <v>-</v>
      </c>
      <c r="L53" s="82" t="str">
        <f>+IFERROR(VLOOKUP(B53,'ID1&amp;5'!K:L,2,FALSE),"-")</f>
        <v>-</v>
      </c>
      <c r="M53" s="83" t="str">
        <f>+IFERROR(VLOOKUP(CONCATENATE(A53,$B$10,B53),'ID1&amp;5'!B:J,9,FALSE),"-")</f>
        <v>-</v>
      </c>
      <c r="N53" s="83" t="str">
        <f>+IFERROR(VLOOKUP(CONCATENATE(A53,$C$10,C53),'ID1&amp;5'!B:J,8,FALSE),"-")</f>
        <v>-</v>
      </c>
      <c r="O53" s="82" t="str">
        <f>+IFERROR(VLOOKUP(C53,'ID1&amp;5'!K:L,2,FALSE),"-")</f>
        <v>-</v>
      </c>
      <c r="P53" s="83" t="str">
        <f>+IFERROR(VLOOKUP(CONCATENATE(A53,$C$10,C53),'ID1&amp;5'!B:J,9,FALSE),"-")</f>
        <v>-</v>
      </c>
      <c r="Q53" s="82" t="str">
        <f>+IFERROR(VLOOKUP(D53,'ID1&amp;5'!K:L,2,FALSE),"-")</f>
        <v>-</v>
      </c>
      <c r="R53" s="26" t="str">
        <f>+IFERROR(VLOOKUP(CONCATENATE(A53,$D$10,D53),'ID1&amp;5'!B:J,9,FALSE),"-")</f>
        <v>-</v>
      </c>
      <c r="S53" s="82" t="str">
        <f>+IFERROR(VLOOKUP(E53,'ID1&amp;5'!K:L,2,FALSE),"-")</f>
        <v>-</v>
      </c>
      <c r="T53" s="83" t="str">
        <f>+IFERROR(VLOOKUP(CONCATENATE(A53,$E$10,E53),'ID1&amp;5'!B:J,9,FALSE),"-")</f>
        <v>-</v>
      </c>
      <c r="U53" s="82" t="str">
        <f>+IFERROR(VLOOKUP(F53,'ID1&amp;5'!K:L,2,FALSE),"-")</f>
        <v>-</v>
      </c>
      <c r="V53" s="83" t="str">
        <f>+IFERROR(VLOOKUP(CONCATENATE(A53,$F$10,F53),'ID1&amp;5'!B:J,9,FALSE),"-")</f>
        <v>-</v>
      </c>
      <c r="W53" s="26" t="str">
        <f>+IFERROR(VLOOKUP(A53,'ID6&amp;7'!A:I,9,FALSE),"-")</f>
        <v>-</v>
      </c>
      <c r="X53" s="26" t="str">
        <f>+IFERROR(VLOOKUP(A53,'ID6&amp;7'!A:J,10,FALSE),"-")</f>
        <v>-</v>
      </c>
      <c r="Y53" s="26"/>
      <c r="Z53" s="27" t="str">
        <f t="shared" si="1"/>
        <v>Por iniciar</v>
      </c>
    </row>
    <row r="54" spans="1:26">
      <c r="A54" s="20" t="str">
        <f t="shared" si="0"/>
        <v>ENTITYWTCH_LST45596</v>
      </c>
      <c r="B54" s="66"/>
      <c r="C54" s="60"/>
      <c r="D54" s="60"/>
      <c r="E54" s="60"/>
      <c r="F54" s="67"/>
      <c r="G54" s="60"/>
      <c r="H54" s="65" t="s">
        <v>127</v>
      </c>
      <c r="I54" s="21" t="s">
        <v>363</v>
      </c>
      <c r="J54" s="26">
        <f>+COUNTIF('ID1&amp;5'!G:G,'1. Status'!I54)</f>
        <v>0</v>
      </c>
      <c r="K54" s="83" t="str">
        <f>+IFERROR(VLOOKUP(CONCATENATE(A54,$B$10,B54),'ID1&amp;5'!B:J,8,FALSE),"-")</f>
        <v>-</v>
      </c>
      <c r="L54" s="82" t="str">
        <f>+IFERROR(VLOOKUP(B54,'ID1&amp;5'!K:L,2,FALSE),"-")</f>
        <v>-</v>
      </c>
      <c r="M54" s="83" t="str">
        <f>+IFERROR(VLOOKUP(CONCATENATE(A54,$B$10,B54),'ID1&amp;5'!B:J,9,FALSE),"-")</f>
        <v>-</v>
      </c>
      <c r="N54" s="83" t="str">
        <f>+IFERROR(VLOOKUP(CONCATENATE(A54,$C$10,C54),'ID1&amp;5'!B:J,8,FALSE),"-")</f>
        <v>-</v>
      </c>
      <c r="O54" s="82" t="str">
        <f>+IFERROR(VLOOKUP(C54,'ID1&amp;5'!K:L,2,FALSE),"-")</f>
        <v>-</v>
      </c>
      <c r="P54" s="83" t="str">
        <f>+IFERROR(VLOOKUP(CONCATENATE(A54,$C$10,C54),'ID1&amp;5'!B:J,9,FALSE),"-")</f>
        <v>-</v>
      </c>
      <c r="Q54" s="82" t="str">
        <f>+IFERROR(VLOOKUP(D54,'ID1&amp;5'!K:L,2,FALSE),"-")</f>
        <v>-</v>
      </c>
      <c r="R54" s="26" t="str">
        <f>+IFERROR(VLOOKUP(CONCATENATE(A54,$D$10,D54),'ID1&amp;5'!B:J,9,FALSE),"-")</f>
        <v>-</v>
      </c>
      <c r="S54" s="82" t="str">
        <f>+IFERROR(VLOOKUP(E54,'ID1&amp;5'!K:L,2,FALSE),"-")</f>
        <v>-</v>
      </c>
      <c r="T54" s="83" t="str">
        <f>+IFERROR(VLOOKUP(CONCATENATE(A54,$E$10,E54),'ID1&amp;5'!B:J,9,FALSE),"-")</f>
        <v>-</v>
      </c>
      <c r="U54" s="82" t="str">
        <f>+IFERROR(VLOOKUP(F54,'ID1&amp;5'!K:L,2,FALSE),"-")</f>
        <v>-</v>
      </c>
      <c r="V54" s="83" t="str">
        <f>+IFERROR(VLOOKUP(CONCATENATE(A54,$F$10,F54),'ID1&amp;5'!B:J,9,FALSE),"-")</f>
        <v>-</v>
      </c>
      <c r="W54" s="26" t="str">
        <f>+IFERROR(VLOOKUP(A54,'ID6&amp;7'!A:I,9,FALSE),"-")</f>
        <v>-</v>
      </c>
      <c r="X54" s="26" t="str">
        <f>+IFERROR(VLOOKUP(A54,'ID6&amp;7'!A:J,10,FALSE),"-")</f>
        <v>-</v>
      </c>
      <c r="Y54" s="26"/>
      <c r="Z54" s="27" t="str">
        <f t="shared" si="1"/>
        <v>Por iniciar</v>
      </c>
    </row>
    <row r="55" spans="1:26">
      <c r="A55" s="20" t="str">
        <f t="shared" si="0"/>
        <v>ENTITYSNGL_PRPS_VHCL45596</v>
      </c>
      <c r="B55" s="66"/>
      <c r="C55" s="60"/>
      <c r="D55" s="60"/>
      <c r="E55" s="60"/>
      <c r="F55" s="67"/>
      <c r="G55" s="60"/>
      <c r="H55" s="65" t="s">
        <v>127</v>
      </c>
      <c r="I55" s="21" t="s">
        <v>364</v>
      </c>
      <c r="J55" s="26">
        <f>+COUNTIF('ID1&amp;5'!G:G,'1. Status'!I55)</f>
        <v>0</v>
      </c>
      <c r="K55" s="83" t="str">
        <f>+IFERROR(VLOOKUP(CONCATENATE(A55,$B$10,B55),'ID1&amp;5'!B:J,8,FALSE),"-")</f>
        <v>-</v>
      </c>
      <c r="L55" s="82" t="str">
        <f>+IFERROR(VLOOKUP(B55,'ID1&amp;5'!K:L,2,FALSE),"-")</f>
        <v>-</v>
      </c>
      <c r="M55" s="83" t="str">
        <f>+IFERROR(VLOOKUP(CONCATENATE(A55,$B$10,B55),'ID1&amp;5'!B:J,9,FALSE),"-")</f>
        <v>-</v>
      </c>
      <c r="N55" s="83" t="str">
        <f>+IFERROR(VLOOKUP(CONCATENATE(A55,$C$10,C55),'ID1&amp;5'!B:J,8,FALSE),"-")</f>
        <v>-</v>
      </c>
      <c r="O55" s="82" t="str">
        <f>+IFERROR(VLOOKUP(C55,'ID1&amp;5'!K:L,2,FALSE),"-")</f>
        <v>-</v>
      </c>
      <c r="P55" s="83" t="str">
        <f>+IFERROR(VLOOKUP(CONCATENATE(A55,$C$10,C55),'ID1&amp;5'!B:J,9,FALSE),"-")</f>
        <v>-</v>
      </c>
      <c r="Q55" s="82" t="str">
        <f>+IFERROR(VLOOKUP(D55,'ID1&amp;5'!K:L,2,FALSE),"-")</f>
        <v>-</v>
      </c>
      <c r="R55" s="26" t="str">
        <f>+IFERROR(VLOOKUP(CONCATENATE(A55,$D$10,D55),'ID1&amp;5'!B:J,9,FALSE),"-")</f>
        <v>-</v>
      </c>
      <c r="S55" s="82" t="str">
        <f>+IFERROR(VLOOKUP(E55,'ID1&amp;5'!K:L,2,FALSE),"-")</f>
        <v>-</v>
      </c>
      <c r="T55" s="83" t="str">
        <f>+IFERROR(VLOOKUP(CONCATENATE(A55,$E$10,E55),'ID1&amp;5'!B:J,9,FALSE),"-")</f>
        <v>-</v>
      </c>
      <c r="U55" s="82" t="str">
        <f>+IFERROR(VLOOKUP(F55,'ID1&amp;5'!K:L,2,FALSE),"-")</f>
        <v>-</v>
      </c>
      <c r="V55" s="83" t="str">
        <f>+IFERROR(VLOOKUP(CONCATENATE(A55,$F$10,F55),'ID1&amp;5'!B:J,9,FALSE),"-")</f>
        <v>-</v>
      </c>
      <c r="W55" s="26" t="str">
        <f>+IFERROR(VLOOKUP(A55,'ID6&amp;7'!A:I,9,FALSE),"-")</f>
        <v>-</v>
      </c>
      <c r="X55" s="26" t="str">
        <f>+IFERROR(VLOOKUP(A55,'ID6&amp;7'!A:J,10,FALSE),"-")</f>
        <v>-</v>
      </c>
      <c r="Y55" s="26"/>
      <c r="Z55" s="27" t="str">
        <f t="shared" si="1"/>
        <v>Por iniciar</v>
      </c>
    </row>
    <row r="56" spans="1:26">
      <c r="A56" s="20" t="str">
        <f t="shared" si="0"/>
        <v>ENTITYGRP_EBITDA45596</v>
      </c>
      <c r="B56" s="66"/>
      <c r="C56" s="60"/>
      <c r="D56" s="60"/>
      <c r="E56" s="60"/>
      <c r="F56" s="67"/>
      <c r="G56" s="60"/>
      <c r="H56" s="65" t="s">
        <v>127</v>
      </c>
      <c r="I56" s="21" t="s">
        <v>365</v>
      </c>
      <c r="J56" s="26">
        <f>+COUNTIF('ID1&amp;5'!G:G,'1. Status'!I56)</f>
        <v>0</v>
      </c>
      <c r="K56" s="83" t="str">
        <f>+IFERROR(VLOOKUP(CONCATENATE(A56,$B$10,B56),'ID1&amp;5'!B:J,8,FALSE),"-")</f>
        <v>-</v>
      </c>
      <c r="L56" s="82" t="str">
        <f>+IFERROR(VLOOKUP(B56,'ID1&amp;5'!K:L,2,FALSE),"-")</f>
        <v>-</v>
      </c>
      <c r="M56" s="83" t="str">
        <f>+IFERROR(VLOOKUP(CONCATENATE(A56,$B$10,B56),'ID1&amp;5'!B:J,9,FALSE),"-")</f>
        <v>-</v>
      </c>
      <c r="N56" s="83" t="str">
        <f>+IFERROR(VLOOKUP(CONCATENATE(A56,$C$10,C56),'ID1&amp;5'!B:J,8,FALSE),"-")</f>
        <v>-</v>
      </c>
      <c r="O56" s="82" t="str">
        <f>+IFERROR(VLOOKUP(C56,'ID1&amp;5'!K:L,2,FALSE),"-")</f>
        <v>-</v>
      </c>
      <c r="P56" s="83" t="str">
        <f>+IFERROR(VLOOKUP(CONCATENATE(A56,$C$10,C56),'ID1&amp;5'!B:J,9,FALSE),"-")</f>
        <v>-</v>
      </c>
      <c r="Q56" s="82" t="str">
        <f>+IFERROR(VLOOKUP(D56,'ID1&amp;5'!K:L,2,FALSE),"-")</f>
        <v>-</v>
      </c>
      <c r="R56" s="26" t="str">
        <f>+IFERROR(VLOOKUP(CONCATENATE(A56,$D$10,D56),'ID1&amp;5'!B:J,9,FALSE),"-")</f>
        <v>-</v>
      </c>
      <c r="S56" s="82" t="str">
        <f>+IFERROR(VLOOKUP(E56,'ID1&amp;5'!K:L,2,FALSE),"-")</f>
        <v>-</v>
      </c>
      <c r="T56" s="83" t="str">
        <f>+IFERROR(VLOOKUP(CONCATENATE(A56,$E$10,E56),'ID1&amp;5'!B:J,9,FALSE),"-")</f>
        <v>-</v>
      </c>
      <c r="U56" s="82" t="str">
        <f>+IFERROR(VLOOKUP(F56,'ID1&amp;5'!K:L,2,FALSE),"-")</f>
        <v>-</v>
      </c>
      <c r="V56" s="83" t="str">
        <f>+IFERROR(VLOOKUP(CONCATENATE(A56,$F$10,F56),'ID1&amp;5'!B:J,9,FALSE),"-")</f>
        <v>-</v>
      </c>
      <c r="W56" s="26" t="str">
        <f>+IFERROR(VLOOKUP(A56,'ID6&amp;7'!A:I,9,FALSE),"-")</f>
        <v>-</v>
      </c>
      <c r="X56" s="26" t="str">
        <f>+IFERROR(VLOOKUP(A56,'ID6&amp;7'!A:J,10,FALSE),"-")</f>
        <v>-</v>
      </c>
      <c r="Y56" s="26"/>
      <c r="Z56" s="27" t="str">
        <f t="shared" si="1"/>
        <v>Por iniciar</v>
      </c>
    </row>
    <row r="57" spans="1:26">
      <c r="A57" s="20" t="str">
        <f t="shared" si="0"/>
        <v>ENTITYGRP_EQTY45596</v>
      </c>
      <c r="B57" s="66"/>
      <c r="C57" s="60"/>
      <c r="D57" s="60"/>
      <c r="E57" s="60"/>
      <c r="F57" s="67"/>
      <c r="G57" s="60"/>
      <c r="H57" s="65" t="s">
        <v>127</v>
      </c>
      <c r="I57" s="21" t="s">
        <v>116</v>
      </c>
      <c r="J57" s="26">
        <f>+COUNTIF('ID1&amp;5'!G:G,'1. Status'!I57)</f>
        <v>0</v>
      </c>
      <c r="K57" s="83" t="str">
        <f>+IFERROR(VLOOKUP(CONCATENATE(A57,$B$10,B57),'ID1&amp;5'!B:J,8,FALSE),"-")</f>
        <v>-</v>
      </c>
      <c r="L57" s="82" t="str">
        <f>+IFERROR(VLOOKUP(B57,'ID1&amp;5'!K:L,2,FALSE),"-")</f>
        <v>-</v>
      </c>
      <c r="M57" s="83" t="str">
        <f>+IFERROR(VLOOKUP(CONCATENATE(A57,$B$10,B57),'ID1&amp;5'!B:J,9,FALSE),"-")</f>
        <v>-</v>
      </c>
      <c r="N57" s="83" t="str">
        <f>+IFERROR(VLOOKUP(CONCATENATE(A57,$C$10,C57),'ID1&amp;5'!B:J,8,FALSE),"-")</f>
        <v>-</v>
      </c>
      <c r="O57" s="82" t="str">
        <f>+IFERROR(VLOOKUP(C57,'ID1&amp;5'!K:L,2,FALSE),"-")</f>
        <v>-</v>
      </c>
      <c r="P57" s="83" t="str">
        <f>+IFERROR(VLOOKUP(CONCATENATE(A57,$C$10,C57),'ID1&amp;5'!B:J,9,FALSE),"-")</f>
        <v>-</v>
      </c>
      <c r="Q57" s="82" t="str">
        <f>+IFERROR(VLOOKUP(D57,'ID1&amp;5'!K:L,2,FALSE),"-")</f>
        <v>-</v>
      </c>
      <c r="R57" s="26" t="str">
        <f>+IFERROR(VLOOKUP(CONCATENATE(A57,$D$10,D57),'ID1&amp;5'!B:J,9,FALSE),"-")</f>
        <v>-</v>
      </c>
      <c r="S57" s="82" t="str">
        <f>+IFERROR(VLOOKUP(E57,'ID1&amp;5'!K:L,2,FALSE),"-")</f>
        <v>-</v>
      </c>
      <c r="T57" s="83" t="str">
        <f>+IFERROR(VLOOKUP(CONCATENATE(A57,$E$10,E57),'ID1&amp;5'!B:J,9,FALSE),"-")</f>
        <v>-</v>
      </c>
      <c r="U57" s="82" t="str">
        <f>+IFERROR(VLOOKUP(F57,'ID1&amp;5'!K:L,2,FALSE),"-")</f>
        <v>-</v>
      </c>
      <c r="V57" s="83" t="str">
        <f>+IFERROR(VLOOKUP(CONCATENATE(A57,$F$10,F57),'ID1&amp;5'!B:J,9,FALSE),"-")</f>
        <v>-</v>
      </c>
      <c r="W57" s="26" t="str">
        <f>+IFERROR(VLOOKUP(A57,'ID6&amp;7'!A:I,9,FALSE),"-")</f>
        <v>-</v>
      </c>
      <c r="X57" s="26" t="str">
        <f>+IFERROR(VLOOKUP(A57,'ID6&amp;7'!A:J,10,FALSE),"-")</f>
        <v>-</v>
      </c>
      <c r="Y57" s="26"/>
      <c r="Z57" s="27" t="str">
        <f t="shared" si="1"/>
        <v>Por iniciar</v>
      </c>
    </row>
    <row r="58" spans="1:26">
      <c r="A58" s="20" t="str">
        <f t="shared" si="0"/>
        <v>ENTITYGRP_NT_DBT45596</v>
      </c>
      <c r="B58" s="66"/>
      <c r="C58" s="60"/>
      <c r="D58" s="60"/>
      <c r="E58" s="60"/>
      <c r="F58" s="67"/>
      <c r="G58" s="60"/>
      <c r="H58" s="65" t="s">
        <v>127</v>
      </c>
      <c r="I58" s="21" t="s">
        <v>366</v>
      </c>
      <c r="J58" s="26">
        <f>+COUNTIF('ID1&amp;5'!G:G,'1. Status'!I58)</f>
        <v>0</v>
      </c>
      <c r="K58" s="83" t="str">
        <f>+IFERROR(VLOOKUP(CONCATENATE(A58,$B$10,B58),'ID1&amp;5'!B:J,8,FALSE),"-")</f>
        <v>-</v>
      </c>
      <c r="L58" s="82" t="str">
        <f>+IFERROR(VLOOKUP(B58,'ID1&amp;5'!K:L,2,FALSE),"-")</f>
        <v>-</v>
      </c>
      <c r="M58" s="83" t="str">
        <f>+IFERROR(VLOOKUP(CONCATENATE(A58,$B$10,B58),'ID1&amp;5'!B:J,9,FALSE),"-")</f>
        <v>-</v>
      </c>
      <c r="N58" s="83" t="str">
        <f>+IFERROR(VLOOKUP(CONCATENATE(A58,$C$10,C58),'ID1&amp;5'!B:J,8,FALSE),"-")</f>
        <v>-</v>
      </c>
      <c r="O58" s="82" t="str">
        <f>+IFERROR(VLOOKUP(C58,'ID1&amp;5'!K:L,2,FALSE),"-")</f>
        <v>-</v>
      </c>
      <c r="P58" s="83" t="str">
        <f>+IFERROR(VLOOKUP(CONCATENATE(A58,$C$10,C58),'ID1&amp;5'!B:J,9,FALSE),"-")</f>
        <v>-</v>
      </c>
      <c r="Q58" s="82" t="str">
        <f>+IFERROR(VLOOKUP(D58,'ID1&amp;5'!K:L,2,FALSE),"-")</f>
        <v>-</v>
      </c>
      <c r="R58" s="26" t="str">
        <f>+IFERROR(VLOOKUP(CONCATENATE(A58,$D$10,D58),'ID1&amp;5'!B:J,9,FALSE),"-")</f>
        <v>-</v>
      </c>
      <c r="S58" s="82" t="str">
        <f>+IFERROR(VLOOKUP(E58,'ID1&amp;5'!K:L,2,FALSE),"-")</f>
        <v>-</v>
      </c>
      <c r="T58" s="83" t="str">
        <f>+IFERROR(VLOOKUP(CONCATENATE(A58,$E$10,E58),'ID1&amp;5'!B:J,9,FALSE),"-")</f>
        <v>-</v>
      </c>
      <c r="U58" s="82" t="str">
        <f>+IFERROR(VLOOKUP(F58,'ID1&amp;5'!K:L,2,FALSE),"-")</f>
        <v>-</v>
      </c>
      <c r="V58" s="83" t="str">
        <f>+IFERROR(VLOOKUP(CONCATENATE(A58,$F$10,F58),'ID1&amp;5'!B:J,9,FALSE),"-")</f>
        <v>-</v>
      </c>
      <c r="W58" s="26" t="str">
        <f>+IFERROR(VLOOKUP(A58,'ID6&amp;7'!A:I,9,FALSE),"-")</f>
        <v>-</v>
      </c>
      <c r="X58" s="26" t="str">
        <f>+IFERROR(VLOOKUP(A58,'ID6&amp;7'!A:J,10,FALSE),"-")</f>
        <v>-</v>
      </c>
      <c r="Y58" s="26"/>
      <c r="Z58" s="27" t="str">
        <f t="shared" si="1"/>
        <v>Por iniciar</v>
      </c>
    </row>
    <row r="59" spans="1:26">
      <c r="A59" s="20" t="str">
        <f t="shared" si="0"/>
        <v>ENTITYANNL_TRNVR_LE45596</v>
      </c>
      <c r="B59" s="66"/>
      <c r="C59" s="60"/>
      <c r="D59" s="60"/>
      <c r="E59" s="60"/>
      <c r="F59" s="67"/>
      <c r="G59" s="60"/>
      <c r="H59" s="65" t="s">
        <v>127</v>
      </c>
      <c r="I59" s="21" t="s">
        <v>117</v>
      </c>
      <c r="J59" s="26">
        <f>+COUNTIF('ID1&amp;5'!G:G,'1. Status'!I59)</f>
        <v>0</v>
      </c>
      <c r="K59" s="83" t="str">
        <f>+IFERROR(VLOOKUP(CONCATENATE(A59,$B$10,B59),'ID1&amp;5'!B:J,8,FALSE),"-")</f>
        <v>-</v>
      </c>
      <c r="L59" s="82" t="str">
        <f>+IFERROR(VLOOKUP(B59,'ID1&amp;5'!K:L,2,FALSE),"-")</f>
        <v>-</v>
      </c>
      <c r="M59" s="83" t="str">
        <f>+IFERROR(VLOOKUP(CONCATENATE(A59,$B$10,B59),'ID1&amp;5'!B:J,9,FALSE),"-")</f>
        <v>-</v>
      </c>
      <c r="N59" s="83" t="str">
        <f>+IFERROR(VLOOKUP(CONCATENATE(A59,$C$10,C59),'ID1&amp;5'!B:J,8,FALSE),"-")</f>
        <v>-</v>
      </c>
      <c r="O59" s="82" t="str">
        <f>+IFERROR(VLOOKUP(C59,'ID1&amp;5'!K:L,2,FALSE),"-")</f>
        <v>-</v>
      </c>
      <c r="P59" s="83" t="str">
        <f>+IFERROR(VLOOKUP(CONCATENATE(A59,$C$10,C59),'ID1&amp;5'!B:J,9,FALSE),"-")</f>
        <v>-</v>
      </c>
      <c r="Q59" s="82" t="str">
        <f>+IFERROR(VLOOKUP(D59,'ID1&amp;5'!K:L,2,FALSE),"-")</f>
        <v>-</v>
      </c>
      <c r="R59" s="26" t="str">
        <f>+IFERROR(VLOOKUP(CONCATENATE(A59,$D$10,D59),'ID1&amp;5'!B:J,9,FALSE),"-")</f>
        <v>-</v>
      </c>
      <c r="S59" s="82" t="str">
        <f>+IFERROR(VLOOKUP(E59,'ID1&amp;5'!K:L,2,FALSE),"-")</f>
        <v>-</v>
      </c>
      <c r="T59" s="83" t="str">
        <f>+IFERROR(VLOOKUP(CONCATENATE(A59,$E$10,E59),'ID1&amp;5'!B:J,9,FALSE),"-")</f>
        <v>-</v>
      </c>
      <c r="U59" s="82" t="str">
        <f>+IFERROR(VLOOKUP(F59,'ID1&amp;5'!K:L,2,FALSE),"-")</f>
        <v>-</v>
      </c>
      <c r="V59" s="83" t="str">
        <f>+IFERROR(VLOOKUP(CONCATENATE(A59,$F$10,F59),'ID1&amp;5'!B:J,9,FALSE),"-")</f>
        <v>-</v>
      </c>
      <c r="W59" s="26" t="str">
        <f>+IFERROR(VLOOKUP(A59,'ID6&amp;7'!A:I,9,FALSE),"-")</f>
        <v>-</v>
      </c>
      <c r="X59" s="26" t="str">
        <f>+IFERROR(VLOOKUP(A59,'ID6&amp;7'!A:J,10,FALSE),"-")</f>
        <v>-</v>
      </c>
      <c r="Y59" s="26"/>
      <c r="Z59" s="27" t="str">
        <f t="shared" si="1"/>
        <v>Por iniciar</v>
      </c>
    </row>
    <row r="60" spans="1:26">
      <c r="A60" s="20" t="str">
        <f t="shared" si="0"/>
        <v>ENTITYANNL_TRNVR_PRVS45596</v>
      </c>
      <c r="B60" s="66"/>
      <c r="C60" s="60"/>
      <c r="D60" s="60"/>
      <c r="E60" s="60"/>
      <c r="F60" s="67"/>
      <c r="G60" s="60"/>
      <c r="H60" s="65" t="s">
        <v>127</v>
      </c>
      <c r="I60" s="21" t="s">
        <v>367</v>
      </c>
      <c r="J60" s="26">
        <f>+COUNTIF('ID1&amp;5'!G:G,'1. Status'!I60)</f>
        <v>0</v>
      </c>
      <c r="K60" s="83" t="str">
        <f>+IFERROR(VLOOKUP(CONCATENATE(A60,$B$10,B60),'ID1&amp;5'!B:J,8,FALSE),"-")</f>
        <v>-</v>
      </c>
      <c r="L60" s="82" t="str">
        <f>+IFERROR(VLOOKUP(B60,'ID1&amp;5'!K:L,2,FALSE),"-")</f>
        <v>-</v>
      </c>
      <c r="M60" s="83" t="str">
        <f>+IFERROR(VLOOKUP(CONCATENATE(A60,$B$10,B60),'ID1&amp;5'!B:J,9,FALSE),"-")</f>
        <v>-</v>
      </c>
      <c r="N60" s="83" t="str">
        <f>+IFERROR(VLOOKUP(CONCATENATE(A60,$C$10,C60),'ID1&amp;5'!B:J,8,FALSE),"-")</f>
        <v>-</v>
      </c>
      <c r="O60" s="82" t="str">
        <f>+IFERROR(VLOOKUP(C60,'ID1&amp;5'!K:L,2,FALSE),"-")</f>
        <v>-</v>
      </c>
      <c r="P60" s="83" t="str">
        <f>+IFERROR(VLOOKUP(CONCATENATE(A60,$C$10,C60),'ID1&amp;5'!B:J,9,FALSE),"-")</f>
        <v>-</v>
      </c>
      <c r="Q60" s="82" t="str">
        <f>+IFERROR(VLOOKUP(D60,'ID1&amp;5'!K:L,2,FALSE),"-")</f>
        <v>-</v>
      </c>
      <c r="R60" s="26" t="str">
        <f>+IFERROR(VLOOKUP(CONCATENATE(A60,$D$10,D60),'ID1&amp;5'!B:J,9,FALSE),"-")</f>
        <v>-</v>
      </c>
      <c r="S60" s="82" t="str">
        <f>+IFERROR(VLOOKUP(E60,'ID1&amp;5'!K:L,2,FALSE),"-")</f>
        <v>-</v>
      </c>
      <c r="T60" s="83" t="str">
        <f>+IFERROR(VLOOKUP(CONCATENATE(A60,$E$10,E60),'ID1&amp;5'!B:J,9,FALSE),"-")</f>
        <v>-</v>
      </c>
      <c r="U60" s="82" t="str">
        <f>+IFERROR(VLOOKUP(F60,'ID1&amp;5'!K:L,2,FALSE),"-")</f>
        <v>-</v>
      </c>
      <c r="V60" s="83" t="str">
        <f>+IFERROR(VLOOKUP(CONCATENATE(A60,$F$10,F60),'ID1&amp;5'!B:J,9,FALSE),"-")</f>
        <v>-</v>
      </c>
      <c r="W60" s="26" t="str">
        <f>+IFERROR(VLOOKUP(A60,'ID6&amp;7'!A:I,9,FALSE),"-")</f>
        <v>-</v>
      </c>
      <c r="X60" s="26" t="str">
        <f>+IFERROR(VLOOKUP(A60,'ID6&amp;7'!A:J,10,FALSE),"-")</f>
        <v>-</v>
      </c>
      <c r="Y60" s="26"/>
      <c r="Z60" s="27" t="str">
        <f t="shared" si="1"/>
        <v>Por iniciar</v>
      </c>
    </row>
    <row r="61" spans="1:26">
      <c r="A61" s="20" t="str">
        <f t="shared" si="0"/>
        <v>ENTITYCAPEX45596</v>
      </c>
      <c r="B61" s="66"/>
      <c r="C61" s="60"/>
      <c r="D61" s="60"/>
      <c r="E61" s="60"/>
      <c r="F61" s="67"/>
      <c r="G61" s="60"/>
      <c r="H61" s="65" t="s">
        <v>127</v>
      </c>
      <c r="I61" s="21" t="s">
        <v>368</v>
      </c>
      <c r="J61" s="26">
        <f>+COUNTIF('ID1&amp;5'!G:G,'1. Status'!I61)</f>
        <v>0</v>
      </c>
      <c r="K61" s="83" t="str">
        <f>+IFERROR(VLOOKUP(CONCATENATE(A61,$B$10,B61),'ID1&amp;5'!B:J,8,FALSE),"-")</f>
        <v>-</v>
      </c>
      <c r="L61" s="82" t="str">
        <f>+IFERROR(VLOOKUP(B61,'ID1&amp;5'!K:L,2,FALSE),"-")</f>
        <v>-</v>
      </c>
      <c r="M61" s="83" t="str">
        <f>+IFERROR(VLOOKUP(CONCATENATE(A61,$B$10,B61),'ID1&amp;5'!B:J,9,FALSE),"-")</f>
        <v>-</v>
      </c>
      <c r="N61" s="83" t="str">
        <f>+IFERROR(VLOOKUP(CONCATENATE(A61,$C$10,C61),'ID1&amp;5'!B:J,8,FALSE),"-")</f>
        <v>-</v>
      </c>
      <c r="O61" s="82" t="str">
        <f>+IFERROR(VLOOKUP(C61,'ID1&amp;5'!K:L,2,FALSE),"-")</f>
        <v>-</v>
      </c>
      <c r="P61" s="83" t="str">
        <f>+IFERROR(VLOOKUP(CONCATENATE(A61,$C$10,C61),'ID1&amp;5'!B:J,9,FALSE),"-")</f>
        <v>-</v>
      </c>
      <c r="Q61" s="82" t="str">
        <f>+IFERROR(VLOOKUP(D61,'ID1&amp;5'!K:L,2,FALSE),"-")</f>
        <v>-</v>
      </c>
      <c r="R61" s="26" t="str">
        <f>+IFERROR(VLOOKUP(CONCATENATE(A61,$D$10,D61),'ID1&amp;5'!B:J,9,FALSE),"-")</f>
        <v>-</v>
      </c>
      <c r="S61" s="82" t="str">
        <f>+IFERROR(VLOOKUP(E61,'ID1&amp;5'!K:L,2,FALSE),"-")</f>
        <v>-</v>
      </c>
      <c r="T61" s="83" t="str">
        <f>+IFERROR(VLOOKUP(CONCATENATE(A61,$E$10,E61),'ID1&amp;5'!B:J,9,FALSE),"-")</f>
        <v>-</v>
      </c>
      <c r="U61" s="82" t="str">
        <f>+IFERROR(VLOOKUP(F61,'ID1&amp;5'!K:L,2,FALSE),"-")</f>
        <v>-</v>
      </c>
      <c r="V61" s="83" t="str">
        <f>+IFERROR(VLOOKUP(CONCATENATE(A61,$F$10,F61),'ID1&amp;5'!B:J,9,FALSE),"-")</f>
        <v>-</v>
      </c>
      <c r="W61" s="26" t="str">
        <f>+IFERROR(VLOOKUP(A61,'ID6&amp;7'!A:I,9,FALSE),"-")</f>
        <v>-</v>
      </c>
      <c r="X61" s="26" t="str">
        <f>+IFERROR(VLOOKUP(A61,'ID6&amp;7'!A:J,10,FALSE),"-")</f>
        <v>-</v>
      </c>
      <c r="Y61" s="26"/>
      <c r="Z61" s="27" t="str">
        <f t="shared" si="1"/>
        <v>Por iniciar</v>
      </c>
    </row>
    <row r="62" spans="1:26">
      <c r="A62" s="20" t="str">
        <f t="shared" si="0"/>
        <v>ENTITYCAPEX_PRVS45596</v>
      </c>
      <c r="B62" s="66"/>
      <c r="C62" s="60"/>
      <c r="D62" s="60"/>
      <c r="E62" s="60"/>
      <c r="F62" s="67"/>
      <c r="G62" s="60"/>
      <c r="H62" s="65" t="s">
        <v>127</v>
      </c>
      <c r="I62" s="21" t="s">
        <v>369</v>
      </c>
      <c r="J62" s="26">
        <f>+COUNTIF('ID1&amp;5'!G:G,'1. Status'!I62)</f>
        <v>0</v>
      </c>
      <c r="K62" s="83" t="str">
        <f>+IFERROR(VLOOKUP(CONCATENATE(A62,$B$10,B62),'ID1&amp;5'!B:J,8,FALSE),"-")</f>
        <v>-</v>
      </c>
      <c r="L62" s="82" t="str">
        <f>+IFERROR(VLOOKUP(B62,'ID1&amp;5'!K:L,2,FALSE),"-")</f>
        <v>-</v>
      </c>
      <c r="M62" s="83" t="str">
        <f>+IFERROR(VLOOKUP(CONCATENATE(A62,$B$10,B62),'ID1&amp;5'!B:J,9,FALSE),"-")</f>
        <v>-</v>
      </c>
      <c r="N62" s="83" t="str">
        <f>+IFERROR(VLOOKUP(CONCATENATE(A62,$C$10,C62),'ID1&amp;5'!B:J,8,FALSE),"-")</f>
        <v>-</v>
      </c>
      <c r="O62" s="82" t="str">
        <f>+IFERROR(VLOOKUP(C62,'ID1&amp;5'!K:L,2,FALSE),"-")</f>
        <v>-</v>
      </c>
      <c r="P62" s="83" t="str">
        <f>+IFERROR(VLOOKUP(CONCATENATE(A62,$C$10,C62),'ID1&amp;5'!B:J,9,FALSE),"-")</f>
        <v>-</v>
      </c>
      <c r="Q62" s="82" t="str">
        <f>+IFERROR(VLOOKUP(D62,'ID1&amp;5'!K:L,2,FALSE),"-")</f>
        <v>-</v>
      </c>
      <c r="R62" s="26" t="str">
        <f>+IFERROR(VLOOKUP(CONCATENATE(A62,$D$10,D62),'ID1&amp;5'!B:J,9,FALSE),"-")</f>
        <v>-</v>
      </c>
      <c r="S62" s="82" t="str">
        <f>+IFERROR(VLOOKUP(E62,'ID1&amp;5'!K:L,2,FALSE),"-")</f>
        <v>-</v>
      </c>
      <c r="T62" s="83" t="str">
        <f>+IFERROR(VLOOKUP(CONCATENATE(A62,$E$10,E62),'ID1&amp;5'!B:J,9,FALSE),"-")</f>
        <v>-</v>
      </c>
      <c r="U62" s="82" t="str">
        <f>+IFERROR(VLOOKUP(F62,'ID1&amp;5'!K:L,2,FALSE),"-")</f>
        <v>-</v>
      </c>
      <c r="V62" s="83" t="str">
        <f>+IFERROR(VLOOKUP(CONCATENATE(A62,$F$10,F62),'ID1&amp;5'!B:J,9,FALSE),"-")</f>
        <v>-</v>
      </c>
      <c r="W62" s="26" t="str">
        <f>+IFERROR(VLOOKUP(A62,'ID6&amp;7'!A:I,9,FALSE),"-")</f>
        <v>-</v>
      </c>
      <c r="X62" s="26" t="str">
        <f>+IFERROR(VLOOKUP(A62,'ID6&amp;7'!A:J,10,FALSE),"-")</f>
        <v>-</v>
      </c>
      <c r="Y62" s="26"/>
      <c r="Z62" s="27" t="str">
        <f t="shared" si="1"/>
        <v>Por iniciar</v>
      </c>
    </row>
    <row r="63" spans="1:26">
      <c r="A63" s="20" t="str">
        <f t="shared" si="0"/>
        <v>ENTITYCLLCTN_MD45596</v>
      </c>
      <c r="B63" s="66"/>
      <c r="C63" s="60"/>
      <c r="D63" s="60"/>
      <c r="E63" s="60"/>
      <c r="F63" s="67"/>
      <c r="G63" s="60"/>
      <c r="H63" s="65" t="s">
        <v>127</v>
      </c>
      <c r="I63" s="21" t="s">
        <v>370</v>
      </c>
      <c r="J63" s="26">
        <f>+COUNTIF('ID1&amp;5'!G:G,'1. Status'!I63)</f>
        <v>0</v>
      </c>
      <c r="K63" s="83" t="str">
        <f>+IFERROR(VLOOKUP(CONCATENATE(A63,$B$10,B63),'ID1&amp;5'!B:J,8,FALSE),"-")</f>
        <v>-</v>
      </c>
      <c r="L63" s="82" t="str">
        <f>+IFERROR(VLOOKUP(B63,'ID1&amp;5'!K:L,2,FALSE),"-")</f>
        <v>-</v>
      </c>
      <c r="M63" s="83" t="str">
        <f>+IFERROR(VLOOKUP(CONCATENATE(A63,$B$10,B63),'ID1&amp;5'!B:J,9,FALSE),"-")</f>
        <v>-</v>
      </c>
      <c r="N63" s="83" t="str">
        <f>+IFERROR(VLOOKUP(CONCATENATE(A63,$C$10,C63),'ID1&amp;5'!B:J,8,FALSE),"-")</f>
        <v>-</v>
      </c>
      <c r="O63" s="82" t="str">
        <f>+IFERROR(VLOOKUP(C63,'ID1&amp;5'!K:L,2,FALSE),"-")</f>
        <v>-</v>
      </c>
      <c r="P63" s="83" t="str">
        <f>+IFERROR(VLOOKUP(CONCATENATE(A63,$C$10,C63),'ID1&amp;5'!B:J,9,FALSE),"-")</f>
        <v>-</v>
      </c>
      <c r="Q63" s="82" t="str">
        <f>+IFERROR(VLOOKUP(D63,'ID1&amp;5'!K:L,2,FALSE),"-")</f>
        <v>-</v>
      </c>
      <c r="R63" s="26" t="str">
        <f>+IFERROR(VLOOKUP(CONCATENATE(A63,$D$10,D63),'ID1&amp;5'!B:J,9,FALSE),"-")</f>
        <v>-</v>
      </c>
      <c r="S63" s="82" t="str">
        <f>+IFERROR(VLOOKUP(E63,'ID1&amp;5'!K:L,2,FALSE),"-")</f>
        <v>-</v>
      </c>
      <c r="T63" s="83" t="str">
        <f>+IFERROR(VLOOKUP(CONCATENATE(A63,$E$10,E63),'ID1&amp;5'!B:J,9,FALSE),"-")</f>
        <v>-</v>
      </c>
      <c r="U63" s="82" t="str">
        <f>+IFERROR(VLOOKUP(F63,'ID1&amp;5'!K:L,2,FALSE),"-")</f>
        <v>-</v>
      </c>
      <c r="V63" s="83" t="str">
        <f>+IFERROR(VLOOKUP(CONCATENATE(A63,$F$10,F63),'ID1&amp;5'!B:J,9,FALSE),"-")</f>
        <v>-</v>
      </c>
      <c r="W63" s="26" t="str">
        <f>+IFERROR(VLOOKUP(A63,'ID6&amp;7'!A:I,9,FALSE),"-")</f>
        <v>-</v>
      </c>
      <c r="X63" s="26" t="str">
        <f>+IFERROR(VLOOKUP(A63,'ID6&amp;7'!A:J,10,FALSE),"-")</f>
        <v>-</v>
      </c>
      <c r="Y63" s="26"/>
      <c r="Z63" s="27" t="str">
        <f t="shared" si="1"/>
        <v>Por iniciar</v>
      </c>
    </row>
    <row r="64" spans="1:26">
      <c r="A64" s="20" t="str">
        <f t="shared" si="0"/>
        <v>ENTITYCSH45596</v>
      </c>
      <c r="B64" s="66"/>
      <c r="C64" s="60"/>
      <c r="D64" s="60"/>
      <c r="E64" s="60"/>
      <c r="F64" s="67"/>
      <c r="G64" s="60"/>
      <c r="H64" s="65" t="s">
        <v>127</v>
      </c>
      <c r="I64" s="21" t="s">
        <v>371</v>
      </c>
      <c r="J64" s="26">
        <f>+COUNTIF('ID1&amp;5'!G:G,'1. Status'!I64)</f>
        <v>0</v>
      </c>
      <c r="K64" s="83" t="str">
        <f>+IFERROR(VLOOKUP(CONCATENATE(A64,$B$10,B64),'ID1&amp;5'!B:J,8,FALSE),"-")</f>
        <v>-</v>
      </c>
      <c r="L64" s="82" t="str">
        <f>+IFERROR(VLOOKUP(B64,'ID1&amp;5'!K:L,2,FALSE),"-")</f>
        <v>-</v>
      </c>
      <c r="M64" s="83" t="str">
        <f>+IFERROR(VLOOKUP(CONCATENATE(A64,$B$10,B64),'ID1&amp;5'!B:J,9,FALSE),"-")</f>
        <v>-</v>
      </c>
      <c r="N64" s="83" t="str">
        <f>+IFERROR(VLOOKUP(CONCATENATE(A64,$C$10,C64),'ID1&amp;5'!B:J,8,FALSE),"-")</f>
        <v>-</v>
      </c>
      <c r="O64" s="82" t="str">
        <f>+IFERROR(VLOOKUP(C64,'ID1&amp;5'!K:L,2,FALSE),"-")</f>
        <v>-</v>
      </c>
      <c r="P64" s="83" t="str">
        <f>+IFERROR(VLOOKUP(CONCATENATE(A64,$C$10,C64),'ID1&amp;5'!B:J,9,FALSE),"-")</f>
        <v>-</v>
      </c>
      <c r="Q64" s="82" t="str">
        <f>+IFERROR(VLOOKUP(D64,'ID1&amp;5'!K:L,2,FALSE),"-")</f>
        <v>-</v>
      </c>
      <c r="R64" s="26" t="str">
        <f>+IFERROR(VLOOKUP(CONCATENATE(A64,$D$10,D64),'ID1&amp;5'!B:J,9,FALSE),"-")</f>
        <v>-</v>
      </c>
      <c r="S64" s="82" t="str">
        <f>+IFERROR(VLOOKUP(E64,'ID1&amp;5'!K:L,2,FALSE),"-")</f>
        <v>-</v>
      </c>
      <c r="T64" s="83" t="str">
        <f>+IFERROR(VLOOKUP(CONCATENATE(A64,$E$10,E64),'ID1&amp;5'!B:J,9,FALSE),"-")</f>
        <v>-</v>
      </c>
      <c r="U64" s="82" t="str">
        <f>+IFERROR(VLOOKUP(F64,'ID1&amp;5'!K:L,2,FALSE),"-")</f>
        <v>-</v>
      </c>
      <c r="V64" s="83" t="str">
        <f>+IFERROR(VLOOKUP(CONCATENATE(A64,$F$10,F64),'ID1&amp;5'!B:J,9,FALSE),"-")</f>
        <v>-</v>
      </c>
      <c r="W64" s="26" t="str">
        <f>+IFERROR(VLOOKUP(A64,'ID6&amp;7'!A:I,9,FALSE),"-")</f>
        <v>-</v>
      </c>
      <c r="X64" s="26" t="str">
        <f>+IFERROR(VLOOKUP(A64,'ID6&amp;7'!A:J,10,FALSE),"-")</f>
        <v>-</v>
      </c>
      <c r="Y64" s="26"/>
      <c r="Z64" s="27" t="str">
        <f t="shared" si="1"/>
        <v>Por iniciar</v>
      </c>
    </row>
    <row r="65" spans="1:26">
      <c r="A65" s="20" t="str">
        <f t="shared" si="0"/>
        <v>ENTITYCSH_PRVS45596</v>
      </c>
      <c r="B65" s="66"/>
      <c r="C65" s="60"/>
      <c r="D65" s="60"/>
      <c r="E65" s="60"/>
      <c r="F65" s="67"/>
      <c r="G65" s="60"/>
      <c r="H65" s="65" t="s">
        <v>127</v>
      </c>
      <c r="I65" s="21" t="s">
        <v>372</v>
      </c>
      <c r="J65" s="26">
        <f>+COUNTIF('ID1&amp;5'!G:G,'1. Status'!I65)</f>
        <v>0</v>
      </c>
      <c r="K65" s="83" t="str">
        <f>+IFERROR(VLOOKUP(CONCATENATE(A65,$B$10,B65),'ID1&amp;5'!B:J,8,FALSE),"-")</f>
        <v>-</v>
      </c>
      <c r="L65" s="82" t="str">
        <f>+IFERROR(VLOOKUP(B65,'ID1&amp;5'!K:L,2,FALSE),"-")</f>
        <v>-</v>
      </c>
      <c r="M65" s="83" t="str">
        <f>+IFERROR(VLOOKUP(CONCATENATE(A65,$B$10,B65),'ID1&amp;5'!B:J,9,FALSE),"-")</f>
        <v>-</v>
      </c>
      <c r="N65" s="83" t="str">
        <f>+IFERROR(VLOOKUP(CONCATENATE(A65,$C$10,C65),'ID1&amp;5'!B:J,8,FALSE),"-")</f>
        <v>-</v>
      </c>
      <c r="O65" s="82" t="str">
        <f>+IFERROR(VLOOKUP(C65,'ID1&amp;5'!K:L,2,FALSE),"-")</f>
        <v>-</v>
      </c>
      <c r="P65" s="83" t="str">
        <f>+IFERROR(VLOOKUP(CONCATENATE(A65,$C$10,C65),'ID1&amp;5'!B:J,9,FALSE),"-")</f>
        <v>-</v>
      </c>
      <c r="Q65" s="82" t="str">
        <f>+IFERROR(VLOOKUP(D65,'ID1&amp;5'!K:L,2,FALSE),"-")</f>
        <v>-</v>
      </c>
      <c r="R65" s="26" t="str">
        <f>+IFERROR(VLOOKUP(CONCATENATE(A65,$D$10,D65),'ID1&amp;5'!B:J,9,FALSE),"-")</f>
        <v>-</v>
      </c>
      <c r="S65" s="82" t="str">
        <f>+IFERROR(VLOOKUP(E65,'ID1&amp;5'!K:L,2,FALSE),"-")</f>
        <v>-</v>
      </c>
      <c r="T65" s="83" t="str">
        <f>+IFERROR(VLOOKUP(CONCATENATE(A65,$E$10,E65),'ID1&amp;5'!B:J,9,FALSE),"-")</f>
        <v>-</v>
      </c>
      <c r="U65" s="82" t="str">
        <f>+IFERROR(VLOOKUP(F65,'ID1&amp;5'!K:L,2,FALSE),"-")</f>
        <v>-</v>
      </c>
      <c r="V65" s="83" t="str">
        <f>+IFERROR(VLOOKUP(CONCATENATE(A65,$F$10,F65),'ID1&amp;5'!B:J,9,FALSE),"-")</f>
        <v>-</v>
      </c>
      <c r="W65" s="26" t="str">
        <f>+IFERROR(VLOOKUP(A65,'ID6&amp;7'!A:I,9,FALSE),"-")</f>
        <v>-</v>
      </c>
      <c r="X65" s="26" t="str">
        <f>+IFERROR(VLOOKUP(A65,'ID6&amp;7'!A:J,10,FALSE),"-")</f>
        <v>-</v>
      </c>
      <c r="Y65" s="26"/>
      <c r="Z65" s="27" t="str">
        <f t="shared" si="1"/>
        <v>Por iniciar</v>
      </c>
    </row>
    <row r="66" spans="1:26">
      <c r="A66" s="20" t="str">
        <f t="shared" si="0"/>
        <v>ENTITYEBITDA45596</v>
      </c>
      <c r="B66" s="66"/>
      <c r="C66" s="60"/>
      <c r="D66" s="60"/>
      <c r="E66" s="60"/>
      <c r="F66" s="67"/>
      <c r="G66" s="60"/>
      <c r="H66" s="65" t="s">
        <v>127</v>
      </c>
      <c r="I66" s="21" t="s">
        <v>373</v>
      </c>
      <c r="J66" s="26">
        <f>+COUNTIF('ID1&amp;5'!G:G,'1. Status'!I66)</f>
        <v>0</v>
      </c>
      <c r="K66" s="83" t="str">
        <f>+IFERROR(VLOOKUP(CONCATENATE(A66,$B$10,B66),'ID1&amp;5'!B:J,8,FALSE),"-")</f>
        <v>-</v>
      </c>
      <c r="L66" s="82" t="str">
        <f>+IFERROR(VLOOKUP(B66,'ID1&amp;5'!K:L,2,FALSE),"-")</f>
        <v>-</v>
      </c>
      <c r="M66" s="83" t="str">
        <f>+IFERROR(VLOOKUP(CONCATENATE(A66,$B$10,B66),'ID1&amp;5'!B:J,9,FALSE),"-")</f>
        <v>-</v>
      </c>
      <c r="N66" s="83" t="str">
        <f>+IFERROR(VLOOKUP(CONCATENATE(A66,$C$10,C66),'ID1&amp;5'!B:J,8,FALSE),"-")</f>
        <v>-</v>
      </c>
      <c r="O66" s="82" t="str">
        <f>+IFERROR(VLOOKUP(C66,'ID1&amp;5'!K:L,2,FALSE),"-")</f>
        <v>-</v>
      </c>
      <c r="P66" s="83" t="str">
        <f>+IFERROR(VLOOKUP(CONCATENATE(A66,$C$10,C66),'ID1&amp;5'!B:J,9,FALSE),"-")</f>
        <v>-</v>
      </c>
      <c r="Q66" s="82" t="str">
        <f>+IFERROR(VLOOKUP(D66,'ID1&amp;5'!K:L,2,FALSE),"-")</f>
        <v>-</v>
      </c>
      <c r="R66" s="26" t="str">
        <f>+IFERROR(VLOOKUP(CONCATENATE(A66,$D$10,D66),'ID1&amp;5'!B:J,9,FALSE),"-")</f>
        <v>-</v>
      </c>
      <c r="S66" s="82" t="str">
        <f>+IFERROR(VLOOKUP(E66,'ID1&amp;5'!K:L,2,FALSE),"-")</f>
        <v>-</v>
      </c>
      <c r="T66" s="83" t="str">
        <f>+IFERROR(VLOOKUP(CONCATENATE(A66,$E$10,E66),'ID1&amp;5'!B:J,9,FALSE),"-")</f>
        <v>-</v>
      </c>
      <c r="U66" s="82" t="str">
        <f>+IFERROR(VLOOKUP(F66,'ID1&amp;5'!K:L,2,FALSE),"-")</f>
        <v>-</v>
      </c>
      <c r="V66" s="83" t="str">
        <f>+IFERROR(VLOOKUP(CONCATENATE(A66,$F$10,F66),'ID1&amp;5'!B:J,9,FALSE),"-")</f>
        <v>-</v>
      </c>
      <c r="W66" s="26" t="str">
        <f>+IFERROR(VLOOKUP(A66,'ID6&amp;7'!A:I,9,FALSE),"-")</f>
        <v>-</v>
      </c>
      <c r="X66" s="26" t="str">
        <f>+IFERROR(VLOOKUP(A66,'ID6&amp;7'!A:J,10,FALSE),"-")</f>
        <v>-</v>
      </c>
      <c r="Y66" s="26"/>
      <c r="Z66" s="27" t="str">
        <f t="shared" si="1"/>
        <v>Por iniciar</v>
      </c>
    </row>
    <row r="67" spans="1:26">
      <c r="A67" s="20" t="str">
        <f t="shared" si="0"/>
        <v>ENTITYEBITDA_PRVS45596</v>
      </c>
      <c r="B67" s="66"/>
      <c r="C67" s="60"/>
      <c r="D67" s="60"/>
      <c r="E67" s="60"/>
      <c r="F67" s="67"/>
      <c r="G67" s="60"/>
      <c r="H67" s="65" t="s">
        <v>127</v>
      </c>
      <c r="I67" s="21" t="s">
        <v>374</v>
      </c>
      <c r="J67" s="26">
        <f>+COUNTIF('ID1&amp;5'!G:G,'1. Status'!I67)</f>
        <v>0</v>
      </c>
      <c r="K67" s="83" t="str">
        <f>+IFERROR(VLOOKUP(CONCATENATE(A67,$B$10,B67),'ID1&amp;5'!B:J,8,FALSE),"-")</f>
        <v>-</v>
      </c>
      <c r="L67" s="82" t="str">
        <f>+IFERROR(VLOOKUP(B67,'ID1&amp;5'!K:L,2,FALSE),"-")</f>
        <v>-</v>
      </c>
      <c r="M67" s="83" t="str">
        <f>+IFERROR(VLOOKUP(CONCATENATE(A67,$B$10,B67),'ID1&amp;5'!B:J,9,FALSE),"-")</f>
        <v>-</v>
      </c>
      <c r="N67" s="83" t="str">
        <f>+IFERROR(VLOOKUP(CONCATENATE(A67,$C$10,C67),'ID1&amp;5'!B:J,8,FALSE),"-")</f>
        <v>-</v>
      </c>
      <c r="O67" s="82" t="str">
        <f>+IFERROR(VLOOKUP(C67,'ID1&amp;5'!K:L,2,FALSE),"-")</f>
        <v>-</v>
      </c>
      <c r="P67" s="83" t="str">
        <f>+IFERROR(VLOOKUP(CONCATENATE(A67,$C$10,C67),'ID1&amp;5'!B:J,9,FALSE),"-")</f>
        <v>-</v>
      </c>
      <c r="Q67" s="82" t="str">
        <f>+IFERROR(VLOOKUP(D67,'ID1&amp;5'!K:L,2,FALSE),"-")</f>
        <v>-</v>
      </c>
      <c r="R67" s="26" t="str">
        <f>+IFERROR(VLOOKUP(CONCATENATE(A67,$D$10,D67),'ID1&amp;5'!B:J,9,FALSE),"-")</f>
        <v>-</v>
      </c>
      <c r="S67" s="82" t="str">
        <f>+IFERROR(VLOOKUP(E67,'ID1&amp;5'!K:L,2,FALSE),"-")</f>
        <v>-</v>
      </c>
      <c r="T67" s="83" t="str">
        <f>+IFERROR(VLOOKUP(CONCATENATE(A67,$E$10,E67),'ID1&amp;5'!B:J,9,FALSE),"-")</f>
        <v>-</v>
      </c>
      <c r="U67" s="82" t="str">
        <f>+IFERROR(VLOOKUP(F67,'ID1&amp;5'!K:L,2,FALSE),"-")</f>
        <v>-</v>
      </c>
      <c r="V67" s="83" t="str">
        <f>+IFERROR(VLOOKUP(CONCATENATE(A67,$F$10,F67),'ID1&amp;5'!B:J,9,FALSE),"-")</f>
        <v>-</v>
      </c>
      <c r="W67" s="26" t="str">
        <f>+IFERROR(VLOOKUP(A67,'ID6&amp;7'!A:I,9,FALSE),"-")</f>
        <v>-</v>
      </c>
      <c r="X67" s="26" t="str">
        <f>+IFERROR(VLOOKUP(A67,'ID6&amp;7'!A:J,10,FALSE),"-")</f>
        <v>-</v>
      </c>
      <c r="Y67" s="26"/>
      <c r="Z67" s="27" t="str">
        <f t="shared" si="1"/>
        <v>Por iniciar</v>
      </c>
    </row>
    <row r="68" spans="1:26">
      <c r="A68" s="20" t="str">
        <f t="shared" si="0"/>
        <v>ENTITYEQTY45596</v>
      </c>
      <c r="B68" s="66"/>
      <c r="C68" s="60"/>
      <c r="D68" s="60"/>
      <c r="E68" s="60"/>
      <c r="F68" s="67"/>
      <c r="G68" s="60"/>
      <c r="H68" s="65" t="s">
        <v>127</v>
      </c>
      <c r="I68" s="21" t="s">
        <v>118</v>
      </c>
      <c r="J68" s="26">
        <f>+COUNTIF('ID1&amp;5'!G:G,'1. Status'!I68)</f>
        <v>0</v>
      </c>
      <c r="K68" s="83" t="str">
        <f>+IFERROR(VLOOKUP(CONCATENATE(A68,$B$10,B68),'ID1&amp;5'!B:J,8,FALSE),"-")</f>
        <v>-</v>
      </c>
      <c r="L68" s="82" t="str">
        <f>+IFERROR(VLOOKUP(B68,'ID1&amp;5'!K:L,2,FALSE),"-")</f>
        <v>-</v>
      </c>
      <c r="M68" s="83" t="str">
        <f>+IFERROR(VLOOKUP(CONCATENATE(A68,$B$10,B68),'ID1&amp;5'!B:J,9,FALSE),"-")</f>
        <v>-</v>
      </c>
      <c r="N68" s="83" t="str">
        <f>+IFERROR(VLOOKUP(CONCATENATE(A68,$C$10,C68),'ID1&amp;5'!B:J,8,FALSE),"-")</f>
        <v>-</v>
      </c>
      <c r="O68" s="82" t="str">
        <f>+IFERROR(VLOOKUP(C68,'ID1&amp;5'!K:L,2,FALSE),"-")</f>
        <v>-</v>
      </c>
      <c r="P68" s="83" t="str">
        <f>+IFERROR(VLOOKUP(CONCATENATE(A68,$C$10,C68),'ID1&amp;5'!B:J,9,FALSE),"-")</f>
        <v>-</v>
      </c>
      <c r="Q68" s="82" t="str">
        <f>+IFERROR(VLOOKUP(D68,'ID1&amp;5'!K:L,2,FALSE),"-")</f>
        <v>-</v>
      </c>
      <c r="R68" s="26" t="str">
        <f>+IFERROR(VLOOKUP(CONCATENATE(A68,$D$10,D68),'ID1&amp;5'!B:J,9,FALSE),"-")</f>
        <v>-</v>
      </c>
      <c r="S68" s="82" t="str">
        <f>+IFERROR(VLOOKUP(E68,'ID1&amp;5'!K:L,2,FALSE),"-")</f>
        <v>-</v>
      </c>
      <c r="T68" s="83" t="str">
        <f>+IFERROR(VLOOKUP(CONCATENATE(A68,$E$10,E68),'ID1&amp;5'!B:J,9,FALSE),"-")</f>
        <v>-</v>
      </c>
      <c r="U68" s="82" t="str">
        <f>+IFERROR(VLOOKUP(F68,'ID1&amp;5'!K:L,2,FALSE),"-")</f>
        <v>-</v>
      </c>
      <c r="V68" s="83" t="str">
        <f>+IFERROR(VLOOKUP(CONCATENATE(A68,$F$10,F68),'ID1&amp;5'!B:J,9,FALSE),"-")</f>
        <v>-</v>
      </c>
      <c r="W68" s="26" t="str">
        <f>+IFERROR(VLOOKUP(A68,'ID6&amp;7'!A:I,9,FALSE),"-")</f>
        <v>-</v>
      </c>
      <c r="X68" s="26" t="str">
        <f>+IFERROR(VLOOKUP(A68,'ID6&amp;7'!A:J,10,FALSE),"-")</f>
        <v>-</v>
      </c>
      <c r="Y68" s="26"/>
      <c r="Z68" s="27" t="str">
        <f t="shared" si="1"/>
        <v>Por iniciar</v>
      </c>
    </row>
    <row r="69" spans="1:26">
      <c r="A69" s="20" t="str">
        <f t="shared" si="0"/>
        <v>ENTITYEQTY_PRVS45596</v>
      </c>
      <c r="B69" s="66"/>
      <c r="C69" s="60"/>
      <c r="D69" s="60"/>
      <c r="E69" s="60"/>
      <c r="F69" s="67"/>
      <c r="G69" s="60"/>
      <c r="H69" s="65" t="s">
        <v>127</v>
      </c>
      <c r="I69" s="21" t="s">
        <v>375</v>
      </c>
      <c r="J69" s="26">
        <f>+COUNTIF('ID1&amp;5'!G:G,'1. Status'!I69)</f>
        <v>0</v>
      </c>
      <c r="K69" s="83" t="str">
        <f>+IFERROR(VLOOKUP(CONCATENATE(A69,$B$10,B69),'ID1&amp;5'!B:J,8,FALSE),"-")</f>
        <v>-</v>
      </c>
      <c r="L69" s="82" t="str">
        <f>+IFERROR(VLOOKUP(B69,'ID1&amp;5'!K:L,2,FALSE),"-")</f>
        <v>-</v>
      </c>
      <c r="M69" s="83" t="str">
        <f>+IFERROR(VLOOKUP(CONCATENATE(A69,$B$10,B69),'ID1&amp;5'!B:J,9,FALSE),"-")</f>
        <v>-</v>
      </c>
      <c r="N69" s="83" t="str">
        <f>+IFERROR(VLOOKUP(CONCATENATE(A69,$C$10,C69),'ID1&amp;5'!B:J,8,FALSE),"-")</f>
        <v>-</v>
      </c>
      <c r="O69" s="82" t="str">
        <f>+IFERROR(VLOOKUP(C69,'ID1&amp;5'!K:L,2,FALSE),"-")</f>
        <v>-</v>
      </c>
      <c r="P69" s="83" t="str">
        <f>+IFERROR(VLOOKUP(CONCATENATE(A69,$C$10,C69),'ID1&amp;5'!B:J,9,FALSE),"-")</f>
        <v>-</v>
      </c>
      <c r="Q69" s="82" t="str">
        <f>+IFERROR(VLOOKUP(D69,'ID1&amp;5'!K:L,2,FALSE),"-")</f>
        <v>-</v>
      </c>
      <c r="R69" s="26" t="str">
        <f>+IFERROR(VLOOKUP(CONCATENATE(A69,$D$10,D69),'ID1&amp;5'!B:J,9,FALSE),"-")</f>
        <v>-</v>
      </c>
      <c r="S69" s="82" t="str">
        <f>+IFERROR(VLOOKUP(E69,'ID1&amp;5'!K:L,2,FALSE),"-")</f>
        <v>-</v>
      </c>
      <c r="T69" s="83" t="str">
        <f>+IFERROR(VLOOKUP(CONCATENATE(A69,$E$10,E69),'ID1&amp;5'!B:J,9,FALSE),"-")</f>
        <v>-</v>
      </c>
      <c r="U69" s="82" t="str">
        <f>+IFERROR(VLOOKUP(F69,'ID1&amp;5'!K:L,2,FALSE),"-")</f>
        <v>-</v>
      </c>
      <c r="V69" s="83" t="str">
        <f>+IFERROR(VLOOKUP(CONCATENATE(A69,$F$10,F69),'ID1&amp;5'!B:J,9,FALSE),"-")</f>
        <v>-</v>
      </c>
      <c r="W69" s="26" t="str">
        <f>+IFERROR(VLOOKUP(A69,'ID6&amp;7'!A:I,9,FALSE),"-")</f>
        <v>-</v>
      </c>
      <c r="X69" s="26" t="str">
        <f>+IFERROR(VLOOKUP(A69,'ID6&amp;7'!A:J,10,FALSE),"-")</f>
        <v>-</v>
      </c>
      <c r="Y69" s="26"/>
      <c r="Z69" s="27" t="str">
        <f t="shared" si="1"/>
        <v>Por iniciar</v>
      </c>
    </row>
    <row r="70" spans="1:26">
      <c r="A70" s="20" t="str">
        <f t="shared" si="0"/>
        <v>ENTITYGRP_TTL_DBT45596</v>
      </c>
      <c r="B70" s="66"/>
      <c r="C70" s="60"/>
      <c r="D70" s="60"/>
      <c r="E70" s="60"/>
      <c r="F70" s="67"/>
      <c r="G70" s="60"/>
      <c r="H70" s="65" t="s">
        <v>127</v>
      </c>
      <c r="I70" s="21" t="s">
        <v>119</v>
      </c>
      <c r="J70" s="26">
        <f>+COUNTIF('ID1&amp;5'!G:G,'1. Status'!I70)</f>
        <v>0</v>
      </c>
      <c r="K70" s="83" t="str">
        <f>+IFERROR(VLOOKUP(CONCATENATE(A70,$B$10,B70),'ID1&amp;5'!B:J,8,FALSE),"-")</f>
        <v>-</v>
      </c>
      <c r="L70" s="82" t="str">
        <f>+IFERROR(VLOOKUP(B70,'ID1&amp;5'!K:L,2,FALSE),"-")</f>
        <v>-</v>
      </c>
      <c r="M70" s="83" t="str">
        <f>+IFERROR(VLOOKUP(CONCATENATE(A70,$B$10,B70),'ID1&amp;5'!B:J,9,FALSE),"-")</f>
        <v>-</v>
      </c>
      <c r="N70" s="83" t="str">
        <f>+IFERROR(VLOOKUP(CONCATENATE(A70,$C$10,C70),'ID1&amp;5'!B:J,8,FALSE),"-")</f>
        <v>-</v>
      </c>
      <c r="O70" s="82" t="str">
        <f>+IFERROR(VLOOKUP(C70,'ID1&amp;5'!K:L,2,FALSE),"-")</f>
        <v>-</v>
      </c>
      <c r="P70" s="83" t="str">
        <f>+IFERROR(VLOOKUP(CONCATENATE(A70,$C$10,C70),'ID1&amp;5'!B:J,9,FALSE),"-")</f>
        <v>-</v>
      </c>
      <c r="Q70" s="82" t="str">
        <f>+IFERROR(VLOOKUP(D70,'ID1&amp;5'!K:L,2,FALSE),"-")</f>
        <v>-</v>
      </c>
      <c r="R70" s="26" t="str">
        <f>+IFERROR(VLOOKUP(CONCATENATE(A70,$D$10,D70),'ID1&amp;5'!B:J,9,FALSE),"-")</f>
        <v>-</v>
      </c>
      <c r="S70" s="82" t="str">
        <f>+IFERROR(VLOOKUP(E70,'ID1&amp;5'!K:L,2,FALSE),"-")</f>
        <v>-</v>
      </c>
      <c r="T70" s="83" t="str">
        <f>+IFERROR(VLOOKUP(CONCATENATE(A70,$E$10,E70),'ID1&amp;5'!B:J,9,FALSE),"-")</f>
        <v>-</v>
      </c>
      <c r="U70" s="82" t="str">
        <f>+IFERROR(VLOOKUP(F70,'ID1&amp;5'!K:L,2,FALSE),"-")</f>
        <v>-</v>
      </c>
      <c r="V70" s="83" t="str">
        <f>+IFERROR(VLOOKUP(CONCATENATE(A70,$F$10,F70),'ID1&amp;5'!B:J,9,FALSE),"-")</f>
        <v>-</v>
      </c>
      <c r="W70" s="26" t="str">
        <f>+IFERROR(VLOOKUP(A70,'ID6&amp;7'!A:I,9,FALSE),"-")</f>
        <v>-</v>
      </c>
      <c r="X70" s="26" t="str">
        <f>+IFERROR(VLOOKUP(A70,'ID6&amp;7'!A:J,10,FALSE),"-")</f>
        <v>-</v>
      </c>
      <c r="Y70" s="26"/>
      <c r="Z70" s="27" t="str">
        <f t="shared" si="1"/>
        <v>Por iniciar</v>
      </c>
    </row>
    <row r="71" spans="1:26">
      <c r="A71" s="20" t="str">
        <f t="shared" si="0"/>
        <v>ENTITYGDWILL45596</v>
      </c>
      <c r="B71" s="66"/>
      <c r="C71" s="60"/>
      <c r="D71" s="60"/>
      <c r="E71" s="60"/>
      <c r="F71" s="67"/>
      <c r="G71" s="60"/>
      <c r="H71" s="65" t="s">
        <v>127</v>
      </c>
      <c r="I71" s="21" t="s">
        <v>376</v>
      </c>
      <c r="J71" s="26">
        <f>+COUNTIF('ID1&amp;5'!G:G,'1. Status'!I71)</f>
        <v>0</v>
      </c>
      <c r="K71" s="83" t="str">
        <f>+IFERROR(VLOOKUP(CONCATENATE(A71,$B$10,B71),'ID1&amp;5'!B:J,8,FALSE),"-")</f>
        <v>-</v>
      </c>
      <c r="L71" s="82" t="str">
        <f>+IFERROR(VLOOKUP(B71,'ID1&amp;5'!K:L,2,FALSE),"-")</f>
        <v>-</v>
      </c>
      <c r="M71" s="83" t="str">
        <f>+IFERROR(VLOOKUP(CONCATENATE(A71,$B$10,B71),'ID1&amp;5'!B:J,9,FALSE),"-")</f>
        <v>-</v>
      </c>
      <c r="N71" s="83" t="str">
        <f>+IFERROR(VLOOKUP(CONCATENATE(A71,$C$10,C71),'ID1&amp;5'!B:J,8,FALSE),"-")</f>
        <v>-</v>
      </c>
      <c r="O71" s="82" t="str">
        <f>+IFERROR(VLOOKUP(C71,'ID1&amp;5'!K:L,2,FALSE),"-")</f>
        <v>-</v>
      </c>
      <c r="P71" s="83" t="str">
        <f>+IFERROR(VLOOKUP(CONCATENATE(A71,$C$10,C71),'ID1&amp;5'!B:J,9,FALSE),"-")</f>
        <v>-</v>
      </c>
      <c r="Q71" s="82" t="str">
        <f>+IFERROR(VLOOKUP(D71,'ID1&amp;5'!K:L,2,FALSE),"-")</f>
        <v>-</v>
      </c>
      <c r="R71" s="26" t="str">
        <f>+IFERROR(VLOOKUP(CONCATENATE(A71,$D$10,D71),'ID1&amp;5'!B:J,9,FALSE),"-")</f>
        <v>-</v>
      </c>
      <c r="S71" s="82" t="str">
        <f>+IFERROR(VLOOKUP(E71,'ID1&amp;5'!K:L,2,FALSE),"-")</f>
        <v>-</v>
      </c>
      <c r="T71" s="83" t="str">
        <f>+IFERROR(VLOOKUP(CONCATENATE(A71,$E$10,E71),'ID1&amp;5'!B:J,9,FALSE),"-")</f>
        <v>-</v>
      </c>
      <c r="U71" s="82" t="str">
        <f>+IFERROR(VLOOKUP(F71,'ID1&amp;5'!K:L,2,FALSE),"-")</f>
        <v>-</v>
      </c>
      <c r="V71" s="83" t="str">
        <f>+IFERROR(VLOOKUP(CONCATENATE(A71,$F$10,F71),'ID1&amp;5'!B:J,9,FALSE),"-")</f>
        <v>-</v>
      </c>
      <c r="W71" s="26" t="str">
        <f>+IFERROR(VLOOKUP(A71,'ID6&amp;7'!A:I,9,FALSE),"-")</f>
        <v>-</v>
      </c>
      <c r="X71" s="26" t="str">
        <f>+IFERROR(VLOOKUP(A71,'ID6&amp;7'!A:J,10,FALSE),"-")</f>
        <v>-</v>
      </c>
      <c r="Y71" s="26"/>
      <c r="Z71" s="27" t="str">
        <f t="shared" si="1"/>
        <v>Por iniciar</v>
      </c>
    </row>
    <row r="72" spans="1:26">
      <c r="A72" s="20" t="str">
        <f t="shared" si="0"/>
        <v>ENTITYGDWILL_PRVS45596</v>
      </c>
      <c r="B72" s="66"/>
      <c r="C72" s="60"/>
      <c r="D72" s="60"/>
      <c r="E72" s="60"/>
      <c r="F72" s="67"/>
      <c r="G72" s="60"/>
      <c r="H72" s="65" t="s">
        <v>127</v>
      </c>
      <c r="I72" s="21" t="s">
        <v>377</v>
      </c>
      <c r="J72" s="26">
        <f>+COUNTIF('ID1&amp;5'!G:G,'1. Status'!I72)</f>
        <v>0</v>
      </c>
      <c r="K72" s="83" t="str">
        <f>+IFERROR(VLOOKUP(CONCATENATE(A72,$B$10,B72),'ID1&amp;5'!B:J,8,FALSE),"-")</f>
        <v>-</v>
      </c>
      <c r="L72" s="82" t="str">
        <f>+IFERROR(VLOOKUP(B72,'ID1&amp;5'!K:L,2,FALSE),"-")</f>
        <v>-</v>
      </c>
      <c r="M72" s="83" t="str">
        <f>+IFERROR(VLOOKUP(CONCATENATE(A72,$B$10,B72),'ID1&amp;5'!B:J,9,FALSE),"-")</f>
        <v>-</v>
      </c>
      <c r="N72" s="83" t="str">
        <f>+IFERROR(VLOOKUP(CONCATENATE(A72,$C$10,C72),'ID1&amp;5'!B:J,8,FALSE),"-")</f>
        <v>-</v>
      </c>
      <c r="O72" s="82" t="str">
        <f>+IFERROR(VLOOKUP(C72,'ID1&amp;5'!K:L,2,FALSE),"-")</f>
        <v>-</v>
      </c>
      <c r="P72" s="83" t="str">
        <f>+IFERROR(VLOOKUP(CONCATENATE(A72,$C$10,C72),'ID1&amp;5'!B:J,9,FALSE),"-")</f>
        <v>-</v>
      </c>
      <c r="Q72" s="82" t="str">
        <f>+IFERROR(VLOOKUP(D72,'ID1&amp;5'!K:L,2,FALSE),"-")</f>
        <v>-</v>
      </c>
      <c r="R72" s="26" t="str">
        <f>+IFERROR(VLOOKUP(CONCATENATE(A72,$D$10,D72),'ID1&amp;5'!B:J,9,FALSE),"-")</f>
        <v>-</v>
      </c>
      <c r="S72" s="82" t="str">
        <f>+IFERROR(VLOOKUP(E72,'ID1&amp;5'!K:L,2,FALSE),"-")</f>
        <v>-</v>
      </c>
      <c r="T72" s="83" t="str">
        <f>+IFERROR(VLOOKUP(CONCATENATE(A72,$E$10,E72),'ID1&amp;5'!B:J,9,FALSE),"-")</f>
        <v>-</v>
      </c>
      <c r="U72" s="82" t="str">
        <f>+IFERROR(VLOOKUP(F72,'ID1&amp;5'!K:L,2,FALSE),"-")</f>
        <v>-</v>
      </c>
      <c r="V72" s="83" t="str">
        <f>+IFERROR(VLOOKUP(CONCATENATE(A72,$F$10,F72),'ID1&amp;5'!B:J,9,FALSE),"-")</f>
        <v>-</v>
      </c>
      <c r="W72" s="26" t="str">
        <f>+IFERROR(VLOOKUP(A72,'ID6&amp;7'!A:I,9,FALSE),"-")</f>
        <v>-</v>
      </c>
      <c r="X72" s="26" t="str">
        <f>+IFERROR(VLOOKUP(A72,'ID6&amp;7'!A:J,10,FALSE),"-")</f>
        <v>-</v>
      </c>
      <c r="Y72" s="26"/>
      <c r="Z72" s="27" t="str">
        <f t="shared" si="1"/>
        <v>Por iniciar</v>
      </c>
    </row>
    <row r="73" spans="1:26">
      <c r="A73" s="20" t="str">
        <f t="shared" si="0"/>
        <v>ENTITYLTI45596</v>
      </c>
      <c r="B73" s="66"/>
      <c r="C73" s="60"/>
      <c r="D73" s="60"/>
      <c r="E73" s="60"/>
      <c r="F73" s="67"/>
      <c r="G73" s="60"/>
      <c r="H73" s="65" t="s">
        <v>127</v>
      </c>
      <c r="I73" s="21" t="s">
        <v>378</v>
      </c>
      <c r="J73" s="26">
        <f>+COUNTIF('ID1&amp;5'!G:G,'1. Status'!I73)</f>
        <v>0</v>
      </c>
      <c r="K73" s="83" t="str">
        <f>+IFERROR(VLOOKUP(CONCATENATE(A73,$B$10,B73),'ID1&amp;5'!B:J,8,FALSE),"-")</f>
        <v>-</v>
      </c>
      <c r="L73" s="82" t="str">
        <f>+IFERROR(VLOOKUP(B73,'ID1&amp;5'!K:L,2,FALSE),"-")</f>
        <v>-</v>
      </c>
      <c r="M73" s="83" t="str">
        <f>+IFERROR(VLOOKUP(CONCATENATE(A73,$B$10,B73),'ID1&amp;5'!B:J,9,FALSE),"-")</f>
        <v>-</v>
      </c>
      <c r="N73" s="83" t="str">
        <f>+IFERROR(VLOOKUP(CONCATENATE(A73,$C$10,C73),'ID1&amp;5'!B:J,8,FALSE),"-")</f>
        <v>-</v>
      </c>
      <c r="O73" s="82" t="str">
        <f>+IFERROR(VLOOKUP(C73,'ID1&amp;5'!K:L,2,FALSE),"-")</f>
        <v>-</v>
      </c>
      <c r="P73" s="83" t="str">
        <f>+IFERROR(VLOOKUP(CONCATENATE(A73,$C$10,C73),'ID1&amp;5'!B:J,9,FALSE),"-")</f>
        <v>-</v>
      </c>
      <c r="Q73" s="82" t="str">
        <f>+IFERROR(VLOOKUP(D73,'ID1&amp;5'!K:L,2,FALSE),"-")</f>
        <v>-</v>
      </c>
      <c r="R73" s="26" t="str">
        <f>+IFERROR(VLOOKUP(CONCATENATE(A73,$D$10,D73),'ID1&amp;5'!B:J,9,FALSE),"-")</f>
        <v>-</v>
      </c>
      <c r="S73" s="82" t="str">
        <f>+IFERROR(VLOOKUP(E73,'ID1&amp;5'!K:L,2,FALSE),"-")</f>
        <v>-</v>
      </c>
      <c r="T73" s="83" t="str">
        <f>+IFERROR(VLOOKUP(CONCATENATE(A73,$E$10,E73),'ID1&amp;5'!B:J,9,FALSE),"-")</f>
        <v>-</v>
      </c>
      <c r="U73" s="82" t="str">
        <f>+IFERROR(VLOOKUP(F73,'ID1&amp;5'!K:L,2,FALSE),"-")</f>
        <v>-</v>
      </c>
      <c r="V73" s="83" t="str">
        <f>+IFERROR(VLOOKUP(CONCATENATE(A73,$F$10,F73),'ID1&amp;5'!B:J,9,FALSE),"-")</f>
        <v>-</v>
      </c>
      <c r="W73" s="26" t="str">
        <f>+IFERROR(VLOOKUP(A73,'ID6&amp;7'!A:I,9,FALSE),"-")</f>
        <v>-</v>
      </c>
      <c r="X73" s="26" t="str">
        <f>+IFERROR(VLOOKUP(A73,'ID6&amp;7'!A:J,10,FALSE),"-")</f>
        <v>-</v>
      </c>
      <c r="Y73" s="26"/>
      <c r="Z73" s="27" t="str">
        <f t="shared" si="1"/>
        <v>Por iniciar</v>
      </c>
    </row>
    <row r="74" spans="1:26">
      <c r="A74" s="20" t="str">
        <f t="shared" si="0"/>
        <v>ENTITYLVRG45596</v>
      </c>
      <c r="B74" s="66"/>
      <c r="C74" s="60"/>
      <c r="D74" s="60"/>
      <c r="E74" s="60"/>
      <c r="F74" s="67"/>
      <c r="G74" s="60"/>
      <c r="H74" s="65" t="s">
        <v>127</v>
      </c>
      <c r="I74" s="21" t="s">
        <v>379</v>
      </c>
      <c r="J74" s="26">
        <f>+COUNTIF('ID1&amp;5'!G:G,'1. Status'!I74)</f>
        <v>0</v>
      </c>
      <c r="K74" s="83" t="str">
        <f>+IFERROR(VLOOKUP(CONCATENATE(A74,$B$10,B74),'ID1&amp;5'!B:J,8,FALSE),"-")</f>
        <v>-</v>
      </c>
      <c r="L74" s="82" t="str">
        <f>+IFERROR(VLOOKUP(B74,'ID1&amp;5'!K:L,2,FALSE),"-")</f>
        <v>-</v>
      </c>
      <c r="M74" s="83" t="str">
        <f>+IFERROR(VLOOKUP(CONCATENATE(A74,$B$10,B74),'ID1&amp;5'!B:J,9,FALSE),"-")</f>
        <v>-</v>
      </c>
      <c r="N74" s="83" t="str">
        <f>+IFERROR(VLOOKUP(CONCATENATE(A74,$C$10,C74),'ID1&amp;5'!B:J,8,FALSE),"-")</f>
        <v>-</v>
      </c>
      <c r="O74" s="82" t="str">
        <f>+IFERROR(VLOOKUP(C74,'ID1&amp;5'!K:L,2,FALSE),"-")</f>
        <v>-</v>
      </c>
      <c r="P74" s="83" t="str">
        <f>+IFERROR(VLOOKUP(CONCATENATE(A74,$C$10,C74),'ID1&amp;5'!B:J,9,FALSE),"-")</f>
        <v>-</v>
      </c>
      <c r="Q74" s="82" t="str">
        <f>+IFERROR(VLOOKUP(D74,'ID1&amp;5'!K:L,2,FALSE),"-")</f>
        <v>-</v>
      </c>
      <c r="R74" s="26" t="str">
        <f>+IFERROR(VLOOKUP(CONCATENATE(A74,$D$10,D74),'ID1&amp;5'!B:J,9,FALSE),"-")</f>
        <v>-</v>
      </c>
      <c r="S74" s="82" t="str">
        <f>+IFERROR(VLOOKUP(E74,'ID1&amp;5'!K:L,2,FALSE),"-")</f>
        <v>-</v>
      </c>
      <c r="T74" s="83" t="str">
        <f>+IFERROR(VLOOKUP(CONCATENATE(A74,$E$10,E74),'ID1&amp;5'!B:J,9,FALSE),"-")</f>
        <v>-</v>
      </c>
      <c r="U74" s="82" t="str">
        <f>+IFERROR(VLOOKUP(F74,'ID1&amp;5'!K:L,2,FALSE),"-")</f>
        <v>-</v>
      </c>
      <c r="V74" s="83" t="str">
        <f>+IFERROR(VLOOKUP(CONCATENATE(A74,$F$10,F74),'ID1&amp;5'!B:J,9,FALSE),"-")</f>
        <v>-</v>
      </c>
      <c r="W74" s="26" t="str">
        <f>+IFERROR(VLOOKUP(A74,'ID6&amp;7'!A:I,9,FALSE),"-")</f>
        <v>-</v>
      </c>
      <c r="X74" s="26" t="str">
        <f>+IFERROR(VLOOKUP(A74,'ID6&amp;7'!A:J,10,FALSE),"-")</f>
        <v>-</v>
      </c>
      <c r="Y74" s="26"/>
      <c r="Z74" s="27" t="str">
        <f t="shared" si="1"/>
        <v>Por iniciar</v>
      </c>
    </row>
    <row r="75" spans="1:26">
      <c r="A75" s="20" t="str">
        <f t="shared" ref="A75:A138" si="2">+H75&amp;I75&amp;$I$8</f>
        <v>ENTITYLVRG_PRVS45596</v>
      </c>
      <c r="B75" s="66"/>
      <c r="C75" s="60"/>
      <c r="D75" s="60"/>
      <c r="E75" s="60"/>
      <c r="F75" s="67"/>
      <c r="G75" s="60"/>
      <c r="H75" s="65" t="s">
        <v>127</v>
      </c>
      <c r="I75" s="21" t="s">
        <v>380</v>
      </c>
      <c r="J75" s="26">
        <f>+COUNTIF('ID1&amp;5'!G:G,'1. Status'!I75)</f>
        <v>0</v>
      </c>
      <c r="K75" s="83" t="str">
        <f>+IFERROR(VLOOKUP(CONCATENATE(A75,$B$10,B75),'ID1&amp;5'!B:J,8,FALSE),"-")</f>
        <v>-</v>
      </c>
      <c r="L75" s="82" t="str">
        <f>+IFERROR(VLOOKUP(B75,'ID1&amp;5'!K:L,2,FALSE),"-")</f>
        <v>-</v>
      </c>
      <c r="M75" s="83" t="str">
        <f>+IFERROR(VLOOKUP(CONCATENATE(A75,$B$10,B75),'ID1&amp;5'!B:J,9,FALSE),"-")</f>
        <v>-</v>
      </c>
      <c r="N75" s="83" t="str">
        <f>+IFERROR(VLOOKUP(CONCATENATE(A75,$C$10,C75),'ID1&amp;5'!B:J,8,FALSE),"-")</f>
        <v>-</v>
      </c>
      <c r="O75" s="82" t="str">
        <f>+IFERROR(VLOOKUP(C75,'ID1&amp;5'!K:L,2,FALSE),"-")</f>
        <v>-</v>
      </c>
      <c r="P75" s="83" t="str">
        <f>+IFERROR(VLOOKUP(CONCATENATE(A75,$C$10,C75),'ID1&amp;5'!B:J,9,FALSE),"-")</f>
        <v>-</v>
      </c>
      <c r="Q75" s="82" t="str">
        <f>+IFERROR(VLOOKUP(D75,'ID1&amp;5'!K:L,2,FALSE),"-")</f>
        <v>-</v>
      </c>
      <c r="R75" s="26" t="str">
        <f>+IFERROR(VLOOKUP(CONCATENATE(A75,$D$10,D75),'ID1&amp;5'!B:J,9,FALSE),"-")</f>
        <v>-</v>
      </c>
      <c r="S75" s="82" t="str">
        <f>+IFERROR(VLOOKUP(E75,'ID1&amp;5'!K:L,2,FALSE),"-")</f>
        <v>-</v>
      </c>
      <c r="T75" s="83" t="str">
        <f>+IFERROR(VLOOKUP(CONCATENATE(A75,$E$10,E75),'ID1&amp;5'!B:J,9,FALSE),"-")</f>
        <v>-</v>
      </c>
      <c r="U75" s="82" t="str">
        <f>+IFERROR(VLOOKUP(F75,'ID1&amp;5'!K:L,2,FALSE),"-")</f>
        <v>-</v>
      </c>
      <c r="V75" s="83" t="str">
        <f>+IFERROR(VLOOKUP(CONCATENATE(A75,$F$10,F75),'ID1&amp;5'!B:J,9,FALSE),"-")</f>
        <v>-</v>
      </c>
      <c r="W75" s="26" t="str">
        <f>+IFERROR(VLOOKUP(A75,'ID6&amp;7'!A:I,9,FALSE),"-")</f>
        <v>-</v>
      </c>
      <c r="X75" s="26" t="str">
        <f>+IFERROR(VLOOKUP(A75,'ID6&amp;7'!A:J,10,FALSE),"-")</f>
        <v>-</v>
      </c>
      <c r="Y75" s="26"/>
      <c r="Z75" s="27" t="str">
        <f t="shared" ref="Z75:Z138" si="3">+IF(J75=0,"Por iniciar",IF(OR(K75="-",M75="-",P75="-",R75="-",T75="-",V75="-"),"Em testes",IF(AND(M75=0,P75=0,R75=0,T75&lt;&gt;K75,V75&lt;&gt;K75),"OK","NOK")))</f>
        <v>Por iniciar</v>
      </c>
    </row>
    <row r="76" spans="1:26">
      <c r="A76" s="20" t="str">
        <f t="shared" si="2"/>
        <v>ENTITYMNTHL_INCM45596</v>
      </c>
      <c r="B76" s="66"/>
      <c r="C76" s="60"/>
      <c r="D76" s="60"/>
      <c r="E76" s="60"/>
      <c r="F76" s="67"/>
      <c r="G76" s="60"/>
      <c r="H76" s="65" t="s">
        <v>127</v>
      </c>
      <c r="I76" s="21" t="s">
        <v>381</v>
      </c>
      <c r="J76" s="26">
        <f>+COUNTIF('ID1&amp;5'!G:G,'1. Status'!I76)</f>
        <v>0</v>
      </c>
      <c r="K76" s="83" t="str">
        <f>+IFERROR(VLOOKUP(CONCATENATE(A76,$B$10,B76),'ID1&amp;5'!B:J,8,FALSE),"-")</f>
        <v>-</v>
      </c>
      <c r="L76" s="82" t="str">
        <f>+IFERROR(VLOOKUP(B76,'ID1&amp;5'!K:L,2,FALSE),"-")</f>
        <v>-</v>
      </c>
      <c r="M76" s="83" t="str">
        <f>+IFERROR(VLOOKUP(CONCATENATE(A76,$B$10,B76),'ID1&amp;5'!B:J,9,FALSE),"-")</f>
        <v>-</v>
      </c>
      <c r="N76" s="83" t="str">
        <f>+IFERROR(VLOOKUP(CONCATENATE(A76,$C$10,C76),'ID1&amp;5'!B:J,8,FALSE),"-")</f>
        <v>-</v>
      </c>
      <c r="O76" s="82" t="str">
        <f>+IFERROR(VLOOKUP(C76,'ID1&amp;5'!K:L,2,FALSE),"-")</f>
        <v>-</v>
      </c>
      <c r="P76" s="83" t="str">
        <f>+IFERROR(VLOOKUP(CONCATENATE(A76,$C$10,C76),'ID1&amp;5'!B:J,9,FALSE),"-")</f>
        <v>-</v>
      </c>
      <c r="Q76" s="82" t="str">
        <f>+IFERROR(VLOOKUP(D76,'ID1&amp;5'!K:L,2,FALSE),"-")</f>
        <v>-</v>
      </c>
      <c r="R76" s="26" t="str">
        <f>+IFERROR(VLOOKUP(CONCATENATE(A76,$D$10,D76),'ID1&amp;5'!B:J,9,FALSE),"-")</f>
        <v>-</v>
      </c>
      <c r="S76" s="82" t="str">
        <f>+IFERROR(VLOOKUP(E76,'ID1&amp;5'!K:L,2,FALSE),"-")</f>
        <v>-</v>
      </c>
      <c r="T76" s="83" t="str">
        <f>+IFERROR(VLOOKUP(CONCATENATE(A76,$E$10,E76),'ID1&amp;5'!B:J,9,FALSE),"-")</f>
        <v>-</v>
      </c>
      <c r="U76" s="82" t="str">
        <f>+IFERROR(VLOOKUP(F76,'ID1&amp;5'!K:L,2,FALSE),"-")</f>
        <v>-</v>
      </c>
      <c r="V76" s="83" t="str">
        <f>+IFERROR(VLOOKUP(CONCATENATE(A76,$F$10,F76),'ID1&amp;5'!B:J,9,FALSE),"-")</f>
        <v>-</v>
      </c>
      <c r="W76" s="26" t="str">
        <f>+IFERROR(VLOOKUP(A76,'ID6&amp;7'!A:I,9,FALSE),"-")</f>
        <v>-</v>
      </c>
      <c r="X76" s="26" t="str">
        <f>+IFERROR(VLOOKUP(A76,'ID6&amp;7'!A:J,10,FALSE),"-")</f>
        <v>-</v>
      </c>
      <c r="Y76" s="26"/>
      <c r="Z76" s="27" t="str">
        <f t="shared" si="3"/>
        <v>Por iniciar</v>
      </c>
    </row>
    <row r="77" spans="1:26">
      <c r="A77" s="20" t="str">
        <f t="shared" si="2"/>
        <v>ENTITYMNTHL_INCM_SLR45596</v>
      </c>
      <c r="B77" s="66"/>
      <c r="C77" s="60"/>
      <c r="D77" s="60"/>
      <c r="E77" s="60"/>
      <c r="F77" s="67"/>
      <c r="G77" s="60"/>
      <c r="H77" s="65" t="s">
        <v>127</v>
      </c>
      <c r="I77" s="21" t="s">
        <v>382</v>
      </c>
      <c r="J77" s="26">
        <f>+COUNTIF('ID1&amp;5'!G:G,'1. Status'!I77)</f>
        <v>0</v>
      </c>
      <c r="K77" s="83" t="str">
        <f>+IFERROR(VLOOKUP(CONCATENATE(A77,$B$10,B77),'ID1&amp;5'!B:J,8,FALSE),"-")</f>
        <v>-</v>
      </c>
      <c r="L77" s="82" t="str">
        <f>+IFERROR(VLOOKUP(B77,'ID1&amp;5'!K:L,2,FALSE),"-")</f>
        <v>-</v>
      </c>
      <c r="M77" s="83" t="str">
        <f>+IFERROR(VLOOKUP(CONCATENATE(A77,$B$10,B77),'ID1&amp;5'!B:J,9,FALSE),"-")</f>
        <v>-</v>
      </c>
      <c r="N77" s="83" t="str">
        <f>+IFERROR(VLOOKUP(CONCATENATE(A77,$C$10,C77),'ID1&amp;5'!B:J,8,FALSE),"-")</f>
        <v>-</v>
      </c>
      <c r="O77" s="82" t="str">
        <f>+IFERROR(VLOOKUP(C77,'ID1&amp;5'!K:L,2,FALSE),"-")</f>
        <v>-</v>
      </c>
      <c r="P77" s="83" t="str">
        <f>+IFERROR(VLOOKUP(CONCATENATE(A77,$C$10,C77),'ID1&amp;5'!B:J,9,FALSE),"-")</f>
        <v>-</v>
      </c>
      <c r="Q77" s="82" t="str">
        <f>+IFERROR(VLOOKUP(D77,'ID1&amp;5'!K:L,2,FALSE),"-")</f>
        <v>-</v>
      </c>
      <c r="R77" s="26" t="str">
        <f>+IFERROR(VLOOKUP(CONCATENATE(A77,$D$10,D77),'ID1&amp;5'!B:J,9,FALSE),"-")</f>
        <v>-</v>
      </c>
      <c r="S77" s="82" t="str">
        <f>+IFERROR(VLOOKUP(E77,'ID1&amp;5'!K:L,2,FALSE),"-")</f>
        <v>-</v>
      </c>
      <c r="T77" s="83" t="str">
        <f>+IFERROR(VLOOKUP(CONCATENATE(A77,$E$10,E77),'ID1&amp;5'!B:J,9,FALSE),"-")</f>
        <v>-</v>
      </c>
      <c r="U77" s="82" t="str">
        <f>+IFERROR(VLOOKUP(F77,'ID1&amp;5'!K:L,2,FALSE),"-")</f>
        <v>-</v>
      </c>
      <c r="V77" s="83" t="str">
        <f>+IFERROR(VLOOKUP(CONCATENATE(A77,$F$10,F77),'ID1&amp;5'!B:J,9,FALSE),"-")</f>
        <v>-</v>
      </c>
      <c r="W77" s="26" t="str">
        <f>+IFERROR(VLOOKUP(A77,'ID6&amp;7'!A:I,9,FALSE),"-")</f>
        <v>-</v>
      </c>
      <c r="X77" s="26" t="str">
        <f>+IFERROR(VLOOKUP(A77,'ID6&amp;7'!A:J,10,FALSE),"-")</f>
        <v>-</v>
      </c>
      <c r="Y77" s="26"/>
      <c r="Z77" s="27" t="str">
        <f t="shared" si="3"/>
        <v>Por iniciar</v>
      </c>
    </row>
    <row r="78" spans="1:26">
      <c r="A78" s="20" t="str">
        <f t="shared" si="2"/>
        <v>ENTITYMNTHL_TRNVR45596</v>
      </c>
      <c r="B78" s="66"/>
      <c r="C78" s="60"/>
      <c r="D78" s="60"/>
      <c r="E78" s="60"/>
      <c r="F78" s="67"/>
      <c r="G78" s="60"/>
      <c r="H78" s="65" t="s">
        <v>127</v>
      </c>
      <c r="I78" s="21" t="s">
        <v>383</v>
      </c>
      <c r="J78" s="26">
        <f>+COUNTIF('ID1&amp;5'!G:G,'1. Status'!I78)</f>
        <v>0</v>
      </c>
      <c r="K78" s="83" t="str">
        <f>+IFERROR(VLOOKUP(CONCATENATE(A78,$B$10,B78),'ID1&amp;5'!B:J,8,FALSE),"-")</f>
        <v>-</v>
      </c>
      <c r="L78" s="82" t="str">
        <f>+IFERROR(VLOOKUP(B78,'ID1&amp;5'!K:L,2,FALSE),"-")</f>
        <v>-</v>
      </c>
      <c r="M78" s="83" t="str">
        <f>+IFERROR(VLOOKUP(CONCATENATE(A78,$B$10,B78),'ID1&amp;5'!B:J,9,FALSE),"-")</f>
        <v>-</v>
      </c>
      <c r="N78" s="83" t="str">
        <f>+IFERROR(VLOOKUP(CONCATENATE(A78,$C$10,C78),'ID1&amp;5'!B:J,8,FALSE),"-")</f>
        <v>-</v>
      </c>
      <c r="O78" s="82" t="str">
        <f>+IFERROR(VLOOKUP(C78,'ID1&amp;5'!K:L,2,FALSE),"-")</f>
        <v>-</v>
      </c>
      <c r="P78" s="83" t="str">
        <f>+IFERROR(VLOOKUP(CONCATENATE(A78,$C$10,C78),'ID1&amp;5'!B:J,9,FALSE),"-")</f>
        <v>-</v>
      </c>
      <c r="Q78" s="82" t="str">
        <f>+IFERROR(VLOOKUP(D78,'ID1&amp;5'!K:L,2,FALSE),"-")</f>
        <v>-</v>
      </c>
      <c r="R78" s="26" t="str">
        <f>+IFERROR(VLOOKUP(CONCATENATE(A78,$D$10,D78),'ID1&amp;5'!B:J,9,FALSE),"-")</f>
        <v>-</v>
      </c>
      <c r="S78" s="82" t="str">
        <f>+IFERROR(VLOOKUP(E78,'ID1&amp;5'!K:L,2,FALSE),"-")</f>
        <v>-</v>
      </c>
      <c r="T78" s="83" t="str">
        <f>+IFERROR(VLOOKUP(CONCATENATE(A78,$E$10,E78),'ID1&amp;5'!B:J,9,FALSE),"-")</f>
        <v>-</v>
      </c>
      <c r="U78" s="82" t="str">
        <f>+IFERROR(VLOOKUP(F78,'ID1&amp;5'!K:L,2,FALSE),"-")</f>
        <v>-</v>
      </c>
      <c r="V78" s="83" t="str">
        <f>+IFERROR(VLOOKUP(CONCATENATE(A78,$F$10,F78),'ID1&amp;5'!B:J,9,FALSE),"-")</f>
        <v>-</v>
      </c>
      <c r="W78" s="26" t="str">
        <f>+IFERROR(VLOOKUP(A78,'ID6&amp;7'!A:I,9,FALSE),"-")</f>
        <v>-</v>
      </c>
      <c r="X78" s="26" t="str">
        <f>+IFERROR(VLOOKUP(A78,'ID6&amp;7'!A:J,10,FALSE),"-")</f>
        <v>-</v>
      </c>
      <c r="Y78" s="26"/>
      <c r="Z78" s="27" t="str">
        <f t="shared" si="3"/>
        <v>Por iniciar</v>
      </c>
    </row>
    <row r="79" spans="1:26">
      <c r="A79" s="20" t="str">
        <f t="shared" si="2"/>
        <v>ENTITYNT_INCM45596</v>
      </c>
      <c r="B79" s="66"/>
      <c r="C79" s="60"/>
      <c r="D79" s="60"/>
      <c r="E79" s="60"/>
      <c r="F79" s="67"/>
      <c r="G79" s="60"/>
      <c r="H79" s="65" t="s">
        <v>127</v>
      </c>
      <c r="I79" s="21" t="s">
        <v>384</v>
      </c>
      <c r="J79" s="26">
        <f>+COUNTIF('ID1&amp;5'!G:G,'1. Status'!I79)</f>
        <v>0</v>
      </c>
      <c r="K79" s="83" t="str">
        <f>+IFERROR(VLOOKUP(CONCATENATE(A79,$B$10,B79),'ID1&amp;5'!B:J,8,FALSE),"-")</f>
        <v>-</v>
      </c>
      <c r="L79" s="82" t="str">
        <f>+IFERROR(VLOOKUP(B79,'ID1&amp;5'!K:L,2,FALSE),"-")</f>
        <v>-</v>
      </c>
      <c r="M79" s="83" t="str">
        <f>+IFERROR(VLOOKUP(CONCATENATE(A79,$B$10,B79),'ID1&amp;5'!B:J,9,FALSE),"-")</f>
        <v>-</v>
      </c>
      <c r="N79" s="83" t="str">
        <f>+IFERROR(VLOOKUP(CONCATENATE(A79,$C$10,C79),'ID1&amp;5'!B:J,8,FALSE),"-")</f>
        <v>-</v>
      </c>
      <c r="O79" s="82" t="str">
        <f>+IFERROR(VLOOKUP(C79,'ID1&amp;5'!K:L,2,FALSE),"-")</f>
        <v>-</v>
      </c>
      <c r="P79" s="83" t="str">
        <f>+IFERROR(VLOOKUP(CONCATENATE(A79,$C$10,C79),'ID1&amp;5'!B:J,9,FALSE),"-")</f>
        <v>-</v>
      </c>
      <c r="Q79" s="82" t="str">
        <f>+IFERROR(VLOOKUP(D79,'ID1&amp;5'!K:L,2,FALSE),"-")</f>
        <v>-</v>
      </c>
      <c r="R79" s="26" t="str">
        <f>+IFERROR(VLOOKUP(CONCATENATE(A79,$D$10,D79),'ID1&amp;5'!B:J,9,FALSE),"-")</f>
        <v>-</v>
      </c>
      <c r="S79" s="82" t="str">
        <f>+IFERROR(VLOOKUP(E79,'ID1&amp;5'!K:L,2,FALSE),"-")</f>
        <v>-</v>
      </c>
      <c r="T79" s="83" t="str">
        <f>+IFERROR(VLOOKUP(CONCATENATE(A79,$E$10,E79),'ID1&amp;5'!B:J,9,FALSE),"-")</f>
        <v>-</v>
      </c>
      <c r="U79" s="82" t="str">
        <f>+IFERROR(VLOOKUP(F79,'ID1&amp;5'!K:L,2,FALSE),"-")</f>
        <v>-</v>
      </c>
      <c r="V79" s="83" t="str">
        <f>+IFERROR(VLOOKUP(CONCATENATE(A79,$F$10,F79),'ID1&amp;5'!B:J,9,FALSE),"-")</f>
        <v>-</v>
      </c>
      <c r="W79" s="26" t="str">
        <f>+IFERROR(VLOOKUP(A79,'ID6&amp;7'!A:I,9,FALSE),"-")</f>
        <v>-</v>
      </c>
      <c r="X79" s="26" t="str">
        <f>+IFERROR(VLOOKUP(A79,'ID6&amp;7'!A:J,10,FALSE),"-")</f>
        <v>-</v>
      </c>
      <c r="Y79" s="26"/>
      <c r="Z79" s="27" t="str">
        <f t="shared" si="3"/>
        <v>Por iniciar</v>
      </c>
    </row>
    <row r="80" spans="1:26">
      <c r="A80" s="20" t="str">
        <f t="shared" si="2"/>
        <v>ENTITYNT_INCM_PRVS45596</v>
      </c>
      <c r="B80" s="66"/>
      <c r="C80" s="60"/>
      <c r="D80" s="60"/>
      <c r="E80" s="60"/>
      <c r="F80" s="67"/>
      <c r="G80" s="60"/>
      <c r="H80" s="65" t="s">
        <v>127</v>
      </c>
      <c r="I80" s="21" t="s">
        <v>385</v>
      </c>
      <c r="J80" s="26">
        <f>+COUNTIF('ID1&amp;5'!G:G,'1. Status'!I80)</f>
        <v>0</v>
      </c>
      <c r="K80" s="83" t="str">
        <f>+IFERROR(VLOOKUP(CONCATENATE(A80,$B$10,B80),'ID1&amp;5'!B:J,8,FALSE),"-")</f>
        <v>-</v>
      </c>
      <c r="L80" s="82" t="str">
        <f>+IFERROR(VLOOKUP(B80,'ID1&amp;5'!K:L,2,FALSE),"-")</f>
        <v>-</v>
      </c>
      <c r="M80" s="83" t="str">
        <f>+IFERROR(VLOOKUP(CONCATENATE(A80,$B$10,B80),'ID1&amp;5'!B:J,9,FALSE),"-")</f>
        <v>-</v>
      </c>
      <c r="N80" s="83" t="str">
        <f>+IFERROR(VLOOKUP(CONCATENATE(A80,$C$10,C80),'ID1&amp;5'!B:J,8,FALSE),"-")</f>
        <v>-</v>
      </c>
      <c r="O80" s="82" t="str">
        <f>+IFERROR(VLOOKUP(C80,'ID1&amp;5'!K:L,2,FALSE),"-")</f>
        <v>-</v>
      </c>
      <c r="P80" s="83" t="str">
        <f>+IFERROR(VLOOKUP(CONCATENATE(A80,$C$10,C80),'ID1&amp;5'!B:J,9,FALSE),"-")</f>
        <v>-</v>
      </c>
      <c r="Q80" s="82" t="str">
        <f>+IFERROR(VLOOKUP(D80,'ID1&amp;5'!K:L,2,FALSE),"-")</f>
        <v>-</v>
      </c>
      <c r="R80" s="26" t="str">
        <f>+IFERROR(VLOOKUP(CONCATENATE(A80,$D$10,D80),'ID1&amp;5'!B:J,9,FALSE),"-")</f>
        <v>-</v>
      </c>
      <c r="S80" s="82" t="str">
        <f>+IFERROR(VLOOKUP(E80,'ID1&amp;5'!K:L,2,FALSE),"-")</f>
        <v>-</v>
      </c>
      <c r="T80" s="83" t="str">
        <f>+IFERROR(VLOOKUP(CONCATENATE(A80,$E$10,E80),'ID1&amp;5'!B:J,9,FALSE),"-")</f>
        <v>-</v>
      </c>
      <c r="U80" s="82" t="str">
        <f>+IFERROR(VLOOKUP(F80,'ID1&amp;5'!K:L,2,FALSE),"-")</f>
        <v>-</v>
      </c>
      <c r="V80" s="83" t="str">
        <f>+IFERROR(VLOOKUP(CONCATENATE(A80,$F$10,F80),'ID1&amp;5'!B:J,9,FALSE),"-")</f>
        <v>-</v>
      </c>
      <c r="W80" s="26" t="str">
        <f>+IFERROR(VLOOKUP(A80,'ID6&amp;7'!A:I,9,FALSE),"-")</f>
        <v>-</v>
      </c>
      <c r="X80" s="26" t="str">
        <f>+IFERROR(VLOOKUP(A80,'ID6&amp;7'!A:J,10,FALSE),"-")</f>
        <v>-</v>
      </c>
      <c r="Y80" s="26"/>
      <c r="Z80" s="27" t="str">
        <f t="shared" si="3"/>
        <v>Por iniciar</v>
      </c>
    </row>
    <row r="81" spans="1:26">
      <c r="A81" s="20" t="str">
        <f t="shared" si="2"/>
        <v>ENTITYTTL_DBT45596</v>
      </c>
      <c r="B81" s="66"/>
      <c r="C81" s="60"/>
      <c r="D81" s="60"/>
      <c r="E81" s="60"/>
      <c r="F81" s="67"/>
      <c r="G81" s="60"/>
      <c r="H81" s="65" t="s">
        <v>127</v>
      </c>
      <c r="I81" s="21" t="s">
        <v>120</v>
      </c>
      <c r="J81" s="26">
        <f>+COUNTIF('ID1&amp;5'!G:G,'1. Status'!I81)</f>
        <v>0</v>
      </c>
      <c r="K81" s="83" t="str">
        <f>+IFERROR(VLOOKUP(CONCATENATE(A81,$B$10,B81),'ID1&amp;5'!B:J,8,FALSE),"-")</f>
        <v>-</v>
      </c>
      <c r="L81" s="82" t="str">
        <f>+IFERROR(VLOOKUP(B81,'ID1&amp;5'!K:L,2,FALSE),"-")</f>
        <v>-</v>
      </c>
      <c r="M81" s="83" t="str">
        <f>+IFERROR(VLOOKUP(CONCATENATE(A81,$B$10,B81),'ID1&amp;5'!B:J,9,FALSE),"-")</f>
        <v>-</v>
      </c>
      <c r="N81" s="83" t="str">
        <f>+IFERROR(VLOOKUP(CONCATENATE(A81,$C$10,C81),'ID1&amp;5'!B:J,8,FALSE),"-")</f>
        <v>-</v>
      </c>
      <c r="O81" s="82" t="str">
        <f>+IFERROR(VLOOKUP(C81,'ID1&amp;5'!K:L,2,FALSE),"-")</f>
        <v>-</v>
      </c>
      <c r="P81" s="83" t="str">
        <f>+IFERROR(VLOOKUP(CONCATENATE(A81,$C$10,C81),'ID1&amp;5'!B:J,9,FALSE),"-")</f>
        <v>-</v>
      </c>
      <c r="Q81" s="82" t="str">
        <f>+IFERROR(VLOOKUP(D81,'ID1&amp;5'!K:L,2,FALSE),"-")</f>
        <v>-</v>
      </c>
      <c r="R81" s="26" t="str">
        <f>+IFERROR(VLOOKUP(CONCATENATE(A81,$D$10,D81),'ID1&amp;5'!B:J,9,FALSE),"-")</f>
        <v>-</v>
      </c>
      <c r="S81" s="82" t="str">
        <f>+IFERROR(VLOOKUP(E81,'ID1&amp;5'!K:L,2,FALSE),"-")</f>
        <v>-</v>
      </c>
      <c r="T81" s="83" t="str">
        <f>+IFERROR(VLOOKUP(CONCATENATE(A81,$E$10,E81),'ID1&amp;5'!B:J,9,FALSE),"-")</f>
        <v>-</v>
      </c>
      <c r="U81" s="82" t="str">
        <f>+IFERROR(VLOOKUP(F81,'ID1&amp;5'!K:L,2,FALSE),"-")</f>
        <v>-</v>
      </c>
      <c r="V81" s="83" t="str">
        <f>+IFERROR(VLOOKUP(CONCATENATE(A81,$F$10,F81),'ID1&amp;5'!B:J,9,FALSE),"-")</f>
        <v>-</v>
      </c>
      <c r="W81" s="26" t="str">
        <f>+IFERROR(VLOOKUP(A81,'ID6&amp;7'!A:I,9,FALSE),"-")</f>
        <v>-</v>
      </c>
      <c r="X81" s="26" t="str">
        <f>+IFERROR(VLOOKUP(A81,'ID6&amp;7'!A:J,10,FALSE),"-")</f>
        <v>-</v>
      </c>
      <c r="Y81" s="26"/>
      <c r="Z81" s="27" t="str">
        <f t="shared" si="3"/>
        <v>Por iniciar</v>
      </c>
    </row>
    <row r="82" spans="1:26">
      <c r="A82" s="20" t="str">
        <f t="shared" si="2"/>
        <v>ENTITYTTL_DBT_PRVS45596</v>
      </c>
      <c r="B82" s="66"/>
      <c r="C82" s="60"/>
      <c r="D82" s="60"/>
      <c r="E82" s="60"/>
      <c r="F82" s="67"/>
      <c r="G82" s="60"/>
      <c r="H82" s="65" t="s">
        <v>127</v>
      </c>
      <c r="I82" s="21" t="s">
        <v>386</v>
      </c>
      <c r="J82" s="26">
        <f>+COUNTIF('ID1&amp;5'!G:G,'1. Status'!I82)</f>
        <v>0</v>
      </c>
      <c r="K82" s="83" t="str">
        <f>+IFERROR(VLOOKUP(CONCATENATE(A82,$B$10,B82),'ID1&amp;5'!B:J,8,FALSE),"-")</f>
        <v>-</v>
      </c>
      <c r="L82" s="82" t="str">
        <f>+IFERROR(VLOOKUP(B82,'ID1&amp;5'!K:L,2,FALSE),"-")</f>
        <v>-</v>
      </c>
      <c r="M82" s="83" t="str">
        <f>+IFERROR(VLOOKUP(CONCATENATE(A82,$B$10,B82),'ID1&amp;5'!B:J,9,FALSE),"-")</f>
        <v>-</v>
      </c>
      <c r="N82" s="83" t="str">
        <f>+IFERROR(VLOOKUP(CONCATENATE(A82,$C$10,C82),'ID1&amp;5'!B:J,8,FALSE),"-")</f>
        <v>-</v>
      </c>
      <c r="O82" s="82" t="str">
        <f>+IFERROR(VLOOKUP(C82,'ID1&amp;5'!K:L,2,FALSE),"-")</f>
        <v>-</v>
      </c>
      <c r="P82" s="83" t="str">
        <f>+IFERROR(VLOOKUP(CONCATENATE(A82,$C$10,C82),'ID1&amp;5'!B:J,9,FALSE),"-")</f>
        <v>-</v>
      </c>
      <c r="Q82" s="82" t="str">
        <f>+IFERROR(VLOOKUP(D82,'ID1&amp;5'!K:L,2,FALSE),"-")</f>
        <v>-</v>
      </c>
      <c r="R82" s="26" t="str">
        <f>+IFERROR(VLOOKUP(CONCATENATE(A82,$D$10,D82),'ID1&amp;5'!B:J,9,FALSE),"-")</f>
        <v>-</v>
      </c>
      <c r="S82" s="82" t="str">
        <f>+IFERROR(VLOOKUP(E82,'ID1&amp;5'!K:L,2,FALSE),"-")</f>
        <v>-</v>
      </c>
      <c r="T82" s="83" t="str">
        <f>+IFERROR(VLOOKUP(CONCATENATE(A82,$E$10,E82),'ID1&amp;5'!B:J,9,FALSE),"-")</f>
        <v>-</v>
      </c>
      <c r="U82" s="82" t="str">
        <f>+IFERROR(VLOOKUP(F82,'ID1&amp;5'!K:L,2,FALSE),"-")</f>
        <v>-</v>
      </c>
      <c r="V82" s="83" t="str">
        <f>+IFERROR(VLOOKUP(CONCATENATE(A82,$F$10,F82),'ID1&amp;5'!B:J,9,FALSE),"-")</f>
        <v>-</v>
      </c>
      <c r="W82" s="26" t="str">
        <f>+IFERROR(VLOOKUP(A82,'ID6&amp;7'!A:I,9,FALSE),"-")</f>
        <v>-</v>
      </c>
      <c r="X82" s="26" t="str">
        <f>+IFERROR(VLOOKUP(A82,'ID6&amp;7'!A:J,10,FALSE),"-")</f>
        <v>-</v>
      </c>
      <c r="Y82" s="26"/>
      <c r="Z82" s="27" t="str">
        <f t="shared" si="3"/>
        <v>Por iniciar</v>
      </c>
    </row>
    <row r="83" spans="1:26">
      <c r="A83" s="20" t="str">
        <f t="shared" si="2"/>
        <v>ENTITYTTL_INTRST_PD45596</v>
      </c>
      <c r="B83" s="66"/>
      <c r="C83" s="60"/>
      <c r="D83" s="60"/>
      <c r="E83" s="60"/>
      <c r="F83" s="67"/>
      <c r="G83" s="60"/>
      <c r="H83" s="65" t="s">
        <v>127</v>
      </c>
      <c r="I83" s="21" t="s">
        <v>387</v>
      </c>
      <c r="J83" s="26">
        <f>+COUNTIF('ID1&amp;5'!G:G,'1. Status'!I83)</f>
        <v>0</v>
      </c>
      <c r="K83" s="83" t="str">
        <f>+IFERROR(VLOOKUP(CONCATENATE(A83,$B$10,B83),'ID1&amp;5'!B:J,8,FALSE),"-")</f>
        <v>-</v>
      </c>
      <c r="L83" s="82" t="str">
        <f>+IFERROR(VLOOKUP(B83,'ID1&amp;5'!K:L,2,FALSE),"-")</f>
        <v>-</v>
      </c>
      <c r="M83" s="83" t="str">
        <f>+IFERROR(VLOOKUP(CONCATENATE(A83,$B$10,B83),'ID1&amp;5'!B:J,9,FALSE),"-")</f>
        <v>-</v>
      </c>
      <c r="N83" s="83" t="str">
        <f>+IFERROR(VLOOKUP(CONCATENATE(A83,$C$10,C83),'ID1&amp;5'!B:J,8,FALSE),"-")</f>
        <v>-</v>
      </c>
      <c r="O83" s="82" t="str">
        <f>+IFERROR(VLOOKUP(C83,'ID1&amp;5'!K:L,2,FALSE),"-")</f>
        <v>-</v>
      </c>
      <c r="P83" s="83" t="str">
        <f>+IFERROR(VLOOKUP(CONCATENATE(A83,$C$10,C83),'ID1&amp;5'!B:J,9,FALSE),"-")</f>
        <v>-</v>
      </c>
      <c r="Q83" s="82" t="str">
        <f>+IFERROR(VLOOKUP(D83,'ID1&amp;5'!K:L,2,FALSE),"-")</f>
        <v>-</v>
      </c>
      <c r="R83" s="26" t="str">
        <f>+IFERROR(VLOOKUP(CONCATENATE(A83,$D$10,D83),'ID1&amp;5'!B:J,9,FALSE),"-")</f>
        <v>-</v>
      </c>
      <c r="S83" s="82" t="str">
        <f>+IFERROR(VLOOKUP(E83,'ID1&amp;5'!K:L,2,FALSE),"-")</f>
        <v>-</v>
      </c>
      <c r="T83" s="83" t="str">
        <f>+IFERROR(VLOOKUP(CONCATENATE(A83,$E$10,E83),'ID1&amp;5'!B:J,9,FALSE),"-")</f>
        <v>-</v>
      </c>
      <c r="U83" s="82" t="str">
        <f>+IFERROR(VLOOKUP(F83,'ID1&amp;5'!K:L,2,FALSE),"-")</f>
        <v>-</v>
      </c>
      <c r="V83" s="83" t="str">
        <f>+IFERROR(VLOOKUP(CONCATENATE(A83,$F$10,F83),'ID1&amp;5'!B:J,9,FALSE),"-")</f>
        <v>-</v>
      </c>
      <c r="W83" s="26" t="str">
        <f>+IFERROR(VLOOKUP(A83,'ID6&amp;7'!A:I,9,FALSE),"-")</f>
        <v>-</v>
      </c>
      <c r="X83" s="26" t="str">
        <f>+IFERROR(VLOOKUP(A83,'ID6&amp;7'!A:J,10,FALSE),"-")</f>
        <v>-</v>
      </c>
      <c r="Y83" s="26"/>
      <c r="Z83" s="27" t="str">
        <f t="shared" si="3"/>
        <v>Por iniciar</v>
      </c>
    </row>
    <row r="84" spans="1:26">
      <c r="A84" s="20" t="str">
        <f t="shared" si="2"/>
        <v>ENTITYTTL_LVRG_RT45596</v>
      </c>
      <c r="B84" s="66"/>
      <c r="C84" s="60"/>
      <c r="D84" s="60"/>
      <c r="E84" s="60"/>
      <c r="F84" s="67"/>
      <c r="G84" s="60"/>
      <c r="H84" s="65" t="s">
        <v>127</v>
      </c>
      <c r="I84" s="21" t="s">
        <v>388</v>
      </c>
      <c r="J84" s="26">
        <f>+COUNTIF('ID1&amp;5'!G:G,'1. Status'!I84)</f>
        <v>0</v>
      </c>
      <c r="K84" s="83" t="str">
        <f>+IFERROR(VLOOKUP(CONCATENATE(A84,$B$10,B84),'ID1&amp;5'!B:J,8,FALSE),"-")</f>
        <v>-</v>
      </c>
      <c r="L84" s="82" t="str">
        <f>+IFERROR(VLOOKUP(B84,'ID1&amp;5'!K:L,2,FALSE),"-")</f>
        <v>-</v>
      </c>
      <c r="M84" s="83" t="str">
        <f>+IFERROR(VLOOKUP(CONCATENATE(A84,$B$10,B84),'ID1&amp;5'!B:J,9,FALSE),"-")</f>
        <v>-</v>
      </c>
      <c r="N84" s="83" t="str">
        <f>+IFERROR(VLOOKUP(CONCATENATE(A84,$C$10,C84),'ID1&amp;5'!B:J,8,FALSE),"-")</f>
        <v>-</v>
      </c>
      <c r="O84" s="82" t="str">
        <f>+IFERROR(VLOOKUP(C84,'ID1&amp;5'!K:L,2,FALSE),"-")</f>
        <v>-</v>
      </c>
      <c r="P84" s="83" t="str">
        <f>+IFERROR(VLOOKUP(CONCATENATE(A84,$C$10,C84),'ID1&amp;5'!B:J,9,FALSE),"-")</f>
        <v>-</v>
      </c>
      <c r="Q84" s="82" t="str">
        <f>+IFERROR(VLOOKUP(D84,'ID1&amp;5'!K:L,2,FALSE),"-")</f>
        <v>-</v>
      </c>
      <c r="R84" s="26" t="str">
        <f>+IFERROR(VLOOKUP(CONCATENATE(A84,$D$10,D84),'ID1&amp;5'!B:J,9,FALSE),"-")</f>
        <v>-</v>
      </c>
      <c r="S84" s="82" t="str">
        <f>+IFERROR(VLOOKUP(E84,'ID1&amp;5'!K:L,2,FALSE),"-")</f>
        <v>-</v>
      </c>
      <c r="T84" s="83" t="str">
        <f>+IFERROR(VLOOKUP(CONCATENATE(A84,$E$10,E84),'ID1&amp;5'!B:J,9,FALSE),"-")</f>
        <v>-</v>
      </c>
      <c r="U84" s="82" t="str">
        <f>+IFERROR(VLOOKUP(F84,'ID1&amp;5'!K:L,2,FALSE),"-")</f>
        <v>-</v>
      </c>
      <c r="V84" s="83" t="str">
        <f>+IFERROR(VLOOKUP(CONCATENATE(A84,$F$10,F84),'ID1&amp;5'!B:J,9,FALSE),"-")</f>
        <v>-</v>
      </c>
      <c r="W84" s="26" t="str">
        <f>+IFERROR(VLOOKUP(A84,'ID6&amp;7'!A:I,9,FALSE),"-")</f>
        <v>-</v>
      </c>
      <c r="X84" s="26" t="str">
        <f>+IFERROR(VLOOKUP(A84,'ID6&amp;7'!A:J,10,FALSE),"-")</f>
        <v>-</v>
      </c>
      <c r="Y84" s="26"/>
      <c r="Z84" s="27" t="str">
        <f t="shared" si="3"/>
        <v>Por iniciar</v>
      </c>
    </row>
    <row r="85" spans="1:26">
      <c r="A85" s="20" t="str">
        <f t="shared" si="2"/>
        <v>ENTITYTTL_LVRG_RT_PRVS45596</v>
      </c>
      <c r="B85" s="66"/>
      <c r="C85" s="60"/>
      <c r="D85" s="60"/>
      <c r="E85" s="60"/>
      <c r="F85" s="67"/>
      <c r="G85" s="60"/>
      <c r="H85" s="65" t="s">
        <v>127</v>
      </c>
      <c r="I85" s="21" t="s">
        <v>389</v>
      </c>
      <c r="J85" s="26">
        <f>+COUNTIF('ID1&amp;5'!G:G,'1. Status'!I85)</f>
        <v>0</v>
      </c>
      <c r="K85" s="83" t="str">
        <f>+IFERROR(VLOOKUP(CONCATENATE(A85,$B$10,B85),'ID1&amp;5'!B:J,8,FALSE),"-")</f>
        <v>-</v>
      </c>
      <c r="L85" s="82" t="str">
        <f>+IFERROR(VLOOKUP(B85,'ID1&amp;5'!K:L,2,FALSE),"-")</f>
        <v>-</v>
      </c>
      <c r="M85" s="83" t="str">
        <f>+IFERROR(VLOOKUP(CONCATENATE(A85,$B$10,B85),'ID1&amp;5'!B:J,9,FALSE),"-")</f>
        <v>-</v>
      </c>
      <c r="N85" s="83" t="str">
        <f>+IFERROR(VLOOKUP(CONCATENATE(A85,$C$10,C85),'ID1&amp;5'!B:J,8,FALSE),"-")</f>
        <v>-</v>
      </c>
      <c r="O85" s="82" t="str">
        <f>+IFERROR(VLOOKUP(C85,'ID1&amp;5'!K:L,2,FALSE),"-")</f>
        <v>-</v>
      </c>
      <c r="P85" s="83" t="str">
        <f>+IFERROR(VLOOKUP(CONCATENATE(A85,$C$10,C85),'ID1&amp;5'!B:J,9,FALSE),"-")</f>
        <v>-</v>
      </c>
      <c r="Q85" s="82" t="str">
        <f>+IFERROR(VLOOKUP(D85,'ID1&amp;5'!K:L,2,FALSE),"-")</f>
        <v>-</v>
      </c>
      <c r="R85" s="26" t="str">
        <f>+IFERROR(VLOOKUP(CONCATENATE(A85,$D$10,D85),'ID1&amp;5'!B:J,9,FALSE),"-")</f>
        <v>-</v>
      </c>
      <c r="S85" s="82" t="str">
        <f>+IFERROR(VLOOKUP(E85,'ID1&amp;5'!K:L,2,FALSE),"-")</f>
        <v>-</v>
      </c>
      <c r="T85" s="83" t="str">
        <f>+IFERROR(VLOOKUP(CONCATENATE(A85,$E$10,E85),'ID1&amp;5'!B:J,9,FALSE),"-")</f>
        <v>-</v>
      </c>
      <c r="U85" s="82" t="str">
        <f>+IFERROR(VLOOKUP(F85,'ID1&amp;5'!K:L,2,FALSE),"-")</f>
        <v>-</v>
      </c>
      <c r="V85" s="83" t="str">
        <f>+IFERROR(VLOOKUP(CONCATENATE(A85,$F$10,F85),'ID1&amp;5'!B:J,9,FALSE),"-")</f>
        <v>-</v>
      </c>
      <c r="W85" s="26" t="str">
        <f>+IFERROR(VLOOKUP(A85,'ID6&amp;7'!A:I,9,FALSE),"-")</f>
        <v>-</v>
      </c>
      <c r="X85" s="26" t="str">
        <f>+IFERROR(VLOOKUP(A85,'ID6&amp;7'!A:J,10,FALSE),"-")</f>
        <v>-</v>
      </c>
      <c r="Y85" s="26"/>
      <c r="Z85" s="27" t="str">
        <f t="shared" si="3"/>
        <v>Por iniciar</v>
      </c>
    </row>
    <row r="86" spans="1:26">
      <c r="A86" s="20" t="str">
        <f t="shared" si="2"/>
        <v>ENTITYDBT_RPYMNT_CPCTY_SNR_DBT45596</v>
      </c>
      <c r="B86" s="66"/>
      <c r="C86" s="60"/>
      <c r="D86" s="60"/>
      <c r="E86" s="60"/>
      <c r="F86" s="67"/>
      <c r="G86" s="60"/>
      <c r="H86" s="65" t="s">
        <v>127</v>
      </c>
      <c r="I86" s="21" t="s">
        <v>390</v>
      </c>
      <c r="J86" s="26">
        <f>+COUNTIF('ID1&amp;5'!G:G,'1. Status'!I86)</f>
        <v>0</v>
      </c>
      <c r="K86" s="83" t="str">
        <f>+IFERROR(VLOOKUP(CONCATENATE(A86,$B$10,B86),'ID1&amp;5'!B:J,8,FALSE),"-")</f>
        <v>-</v>
      </c>
      <c r="L86" s="82" t="str">
        <f>+IFERROR(VLOOKUP(B86,'ID1&amp;5'!K:L,2,FALSE),"-")</f>
        <v>-</v>
      </c>
      <c r="M86" s="83" t="str">
        <f>+IFERROR(VLOOKUP(CONCATENATE(A86,$B$10,B86),'ID1&amp;5'!B:J,9,FALSE),"-")</f>
        <v>-</v>
      </c>
      <c r="N86" s="83" t="str">
        <f>+IFERROR(VLOOKUP(CONCATENATE(A86,$C$10,C86),'ID1&amp;5'!B:J,8,FALSE),"-")</f>
        <v>-</v>
      </c>
      <c r="O86" s="82" t="str">
        <f>+IFERROR(VLOOKUP(C86,'ID1&amp;5'!K:L,2,FALSE),"-")</f>
        <v>-</v>
      </c>
      <c r="P86" s="83" t="str">
        <f>+IFERROR(VLOOKUP(CONCATENATE(A86,$C$10,C86),'ID1&amp;5'!B:J,9,FALSE),"-")</f>
        <v>-</v>
      </c>
      <c r="Q86" s="82" t="str">
        <f>+IFERROR(VLOOKUP(D86,'ID1&amp;5'!K:L,2,FALSE),"-")</f>
        <v>-</v>
      </c>
      <c r="R86" s="26" t="str">
        <f>+IFERROR(VLOOKUP(CONCATENATE(A86,$D$10,D86),'ID1&amp;5'!B:J,9,FALSE),"-")</f>
        <v>-</v>
      </c>
      <c r="S86" s="82" t="str">
        <f>+IFERROR(VLOOKUP(E86,'ID1&amp;5'!K:L,2,FALSE),"-")</f>
        <v>-</v>
      </c>
      <c r="T86" s="83" t="str">
        <f>+IFERROR(VLOOKUP(CONCATENATE(A86,$E$10,E86),'ID1&amp;5'!B:J,9,FALSE),"-")</f>
        <v>-</v>
      </c>
      <c r="U86" s="82" t="str">
        <f>+IFERROR(VLOOKUP(F86,'ID1&amp;5'!K:L,2,FALSE),"-")</f>
        <v>-</v>
      </c>
      <c r="V86" s="83" t="str">
        <f>+IFERROR(VLOOKUP(CONCATENATE(A86,$F$10,F86),'ID1&amp;5'!B:J,9,FALSE),"-")</f>
        <v>-</v>
      </c>
      <c r="W86" s="26" t="str">
        <f>+IFERROR(VLOOKUP(A86,'ID6&amp;7'!A:I,9,FALSE),"-")</f>
        <v>-</v>
      </c>
      <c r="X86" s="26" t="str">
        <f>+IFERROR(VLOOKUP(A86,'ID6&amp;7'!A:J,10,FALSE),"-")</f>
        <v>-</v>
      </c>
      <c r="Y86" s="26"/>
      <c r="Z86" s="27" t="str">
        <f t="shared" si="3"/>
        <v>Por iniciar</v>
      </c>
    </row>
    <row r="87" spans="1:26">
      <c r="A87" s="20" t="str">
        <f t="shared" si="2"/>
        <v>ENTITYDBT_RPYMNT_CPCTY_TTL45596</v>
      </c>
      <c r="B87" s="66"/>
      <c r="C87" s="60"/>
      <c r="D87" s="60"/>
      <c r="E87" s="60"/>
      <c r="F87" s="67"/>
      <c r="G87" s="60"/>
      <c r="H87" s="65" t="s">
        <v>127</v>
      </c>
      <c r="I87" s="21" t="s">
        <v>391</v>
      </c>
      <c r="J87" s="26">
        <f>+COUNTIF('ID1&amp;5'!G:G,'1. Status'!I87)</f>
        <v>0</v>
      </c>
      <c r="K87" s="83" t="str">
        <f>+IFERROR(VLOOKUP(CONCATENATE(A87,$B$10,B87),'ID1&amp;5'!B:J,8,FALSE),"-")</f>
        <v>-</v>
      </c>
      <c r="L87" s="82" t="str">
        <f>+IFERROR(VLOOKUP(B87,'ID1&amp;5'!K:L,2,FALSE),"-")</f>
        <v>-</v>
      </c>
      <c r="M87" s="83" t="str">
        <f>+IFERROR(VLOOKUP(CONCATENATE(A87,$B$10,B87),'ID1&amp;5'!B:J,9,FALSE),"-")</f>
        <v>-</v>
      </c>
      <c r="N87" s="83" t="str">
        <f>+IFERROR(VLOOKUP(CONCATENATE(A87,$C$10,C87),'ID1&amp;5'!B:J,8,FALSE),"-")</f>
        <v>-</v>
      </c>
      <c r="O87" s="82" t="str">
        <f>+IFERROR(VLOOKUP(C87,'ID1&amp;5'!K:L,2,FALSE),"-")</f>
        <v>-</v>
      </c>
      <c r="P87" s="83" t="str">
        <f>+IFERROR(VLOOKUP(CONCATENATE(A87,$C$10,C87),'ID1&amp;5'!B:J,9,FALSE),"-")</f>
        <v>-</v>
      </c>
      <c r="Q87" s="82" t="str">
        <f>+IFERROR(VLOOKUP(D87,'ID1&amp;5'!K:L,2,FALSE),"-")</f>
        <v>-</v>
      </c>
      <c r="R87" s="26" t="str">
        <f>+IFERROR(VLOOKUP(CONCATENATE(A87,$D$10,D87),'ID1&amp;5'!B:J,9,FALSE),"-")</f>
        <v>-</v>
      </c>
      <c r="S87" s="82" t="str">
        <f>+IFERROR(VLOOKUP(E87,'ID1&amp;5'!K:L,2,FALSE),"-")</f>
        <v>-</v>
      </c>
      <c r="T87" s="83" t="str">
        <f>+IFERROR(VLOOKUP(CONCATENATE(A87,$E$10,E87),'ID1&amp;5'!B:J,9,FALSE),"-")</f>
        <v>-</v>
      </c>
      <c r="U87" s="82" t="str">
        <f>+IFERROR(VLOOKUP(F87,'ID1&amp;5'!K:L,2,FALSE),"-")</f>
        <v>-</v>
      </c>
      <c r="V87" s="83" t="str">
        <f>+IFERROR(VLOOKUP(CONCATENATE(A87,$F$10,F87),'ID1&amp;5'!B:J,9,FALSE),"-")</f>
        <v>-</v>
      </c>
      <c r="W87" s="26" t="str">
        <f>+IFERROR(VLOOKUP(A87,'ID6&amp;7'!A:I,9,FALSE),"-")</f>
        <v>-</v>
      </c>
      <c r="X87" s="26" t="str">
        <f>+IFERROR(VLOOKUP(A87,'ID6&amp;7'!A:J,10,FALSE),"-")</f>
        <v>-</v>
      </c>
      <c r="Y87" s="26"/>
      <c r="Z87" s="27" t="str">
        <f t="shared" si="3"/>
        <v>Por iniciar</v>
      </c>
    </row>
    <row r="88" spans="1:26">
      <c r="A88" s="20" t="str">
        <f t="shared" si="2"/>
        <v>ENTITYDBT_SRVC_RT45596</v>
      </c>
      <c r="B88" s="66"/>
      <c r="C88" s="60"/>
      <c r="D88" s="60"/>
      <c r="E88" s="60"/>
      <c r="F88" s="67"/>
      <c r="G88" s="60"/>
      <c r="H88" s="65" t="s">
        <v>127</v>
      </c>
      <c r="I88" s="21" t="s">
        <v>392</v>
      </c>
      <c r="J88" s="26">
        <f>+COUNTIF('ID1&amp;5'!G:G,'1. Status'!I88)</f>
        <v>0</v>
      </c>
      <c r="K88" s="83" t="str">
        <f>+IFERROR(VLOOKUP(CONCATENATE(A88,$B$10,B88),'ID1&amp;5'!B:J,8,FALSE),"-")</f>
        <v>-</v>
      </c>
      <c r="L88" s="82" t="str">
        <f>+IFERROR(VLOOKUP(B88,'ID1&amp;5'!K:L,2,FALSE),"-")</f>
        <v>-</v>
      </c>
      <c r="M88" s="83" t="str">
        <f>+IFERROR(VLOOKUP(CONCATENATE(A88,$B$10,B88),'ID1&amp;5'!B:J,9,FALSE),"-")</f>
        <v>-</v>
      </c>
      <c r="N88" s="83" t="str">
        <f>+IFERROR(VLOOKUP(CONCATENATE(A88,$C$10,C88),'ID1&amp;5'!B:J,8,FALSE),"-")</f>
        <v>-</v>
      </c>
      <c r="O88" s="82" t="str">
        <f>+IFERROR(VLOOKUP(C88,'ID1&amp;5'!K:L,2,FALSE),"-")</f>
        <v>-</v>
      </c>
      <c r="P88" s="83" t="str">
        <f>+IFERROR(VLOOKUP(CONCATENATE(A88,$C$10,C88),'ID1&amp;5'!B:J,9,FALSE),"-")</f>
        <v>-</v>
      </c>
      <c r="Q88" s="82" t="str">
        <f>+IFERROR(VLOOKUP(D88,'ID1&amp;5'!K:L,2,FALSE),"-")</f>
        <v>-</v>
      </c>
      <c r="R88" s="26" t="str">
        <f>+IFERROR(VLOOKUP(CONCATENATE(A88,$D$10,D88),'ID1&amp;5'!B:J,9,FALSE),"-")</f>
        <v>-</v>
      </c>
      <c r="S88" s="82" t="str">
        <f>+IFERROR(VLOOKUP(E88,'ID1&amp;5'!K:L,2,FALSE),"-")</f>
        <v>-</v>
      </c>
      <c r="T88" s="83" t="str">
        <f>+IFERROR(VLOOKUP(CONCATENATE(A88,$E$10,E88),'ID1&amp;5'!B:J,9,FALSE),"-")</f>
        <v>-</v>
      </c>
      <c r="U88" s="82" t="str">
        <f>+IFERROR(VLOOKUP(F88,'ID1&amp;5'!K:L,2,FALSE),"-")</f>
        <v>-</v>
      </c>
      <c r="V88" s="83" t="str">
        <f>+IFERROR(VLOOKUP(CONCATENATE(A88,$F$10,F88),'ID1&amp;5'!B:J,9,FALSE),"-")</f>
        <v>-</v>
      </c>
      <c r="W88" s="26" t="str">
        <f>+IFERROR(VLOOKUP(A88,'ID6&amp;7'!A:I,9,FALSE),"-")</f>
        <v>-</v>
      </c>
      <c r="X88" s="26" t="str">
        <f>+IFERROR(VLOOKUP(A88,'ID6&amp;7'!A:J,10,FALSE),"-")</f>
        <v>-</v>
      </c>
      <c r="Y88" s="26"/>
      <c r="Z88" s="27" t="str">
        <f t="shared" si="3"/>
        <v>Por iniciar</v>
      </c>
    </row>
    <row r="89" spans="1:26">
      <c r="A89" s="20" t="str">
        <f t="shared" si="2"/>
        <v>ENTITYDBT_SRVC_RT_12M45596</v>
      </c>
      <c r="B89" s="66">
        <f t="array" ref="B89">+MAX(IF('ID1&amp;5'!A:A='1. Status'!A89&amp;'1. Status'!$B$10,'ID1&amp;5'!K:K))</f>
        <v>0</v>
      </c>
      <c r="C89" s="60">
        <f t="array" ref="C89">+MAX(IF('ID1&amp;5'!A:A='1. Status'!A89&amp;'1. Status'!$C$10,'ID1&amp;5'!K:K))</f>
        <v>0</v>
      </c>
      <c r="D89" s="60">
        <f t="array" ref="D89">+MAX(IF('ID1&amp;5'!A:A='1. Status'!A89&amp;'1. Status'!$D$10,'ID1&amp;5'!K:K))</f>
        <v>0</v>
      </c>
      <c r="E89" s="60">
        <f t="array" ref="E89">+MAX(IF('ID1&amp;5'!A:A='1. Status'!A89&amp;'1. Status'!$E$10,'ID1&amp;5'!K:K))</f>
        <v>0</v>
      </c>
      <c r="F89" s="67">
        <f t="array" ref="F89">+MAX(IF('ID1&amp;5'!A:A='1. Status'!A89&amp;'1. Status'!$F$10,'ID1&amp;5'!K:K))</f>
        <v>0</v>
      </c>
      <c r="G89" s="60"/>
      <c r="H89" s="65" t="s">
        <v>127</v>
      </c>
      <c r="I89" s="21" t="s">
        <v>393</v>
      </c>
      <c r="J89" s="26">
        <f>+COUNTIF('ID1&amp;5'!G:G,'1. Status'!I89)</f>
        <v>0</v>
      </c>
      <c r="K89" s="83" t="str">
        <f>+IFERROR(VLOOKUP(CONCATENATE(A89,$B$10,B89),'ID1&amp;5'!B:J,8,FALSE),"-")</f>
        <v>-</v>
      </c>
      <c r="L89" s="82" t="str">
        <f>+IFERROR(VLOOKUP(B89,'ID1&amp;5'!K:L,2,FALSE),"-")</f>
        <v>-</v>
      </c>
      <c r="M89" s="83" t="str">
        <f>+IFERROR(VLOOKUP(CONCATENATE(A89,$B$10,B89),'ID1&amp;5'!B:J,9,FALSE),"-")</f>
        <v>-</v>
      </c>
      <c r="N89" s="83" t="str">
        <f>+IFERROR(VLOOKUP(CONCATENATE(A89,$C$10,C89),'ID1&amp;5'!B:J,8,FALSE),"-")</f>
        <v>-</v>
      </c>
      <c r="O89" s="82" t="str">
        <f>+IFERROR(VLOOKUP(C89,'ID1&amp;5'!K:L,2,FALSE),"-")</f>
        <v>-</v>
      </c>
      <c r="P89" s="83" t="str">
        <f>+IFERROR(VLOOKUP(CONCATENATE(A89,$C$10,C89),'ID1&amp;5'!B:J,9,FALSE),"-")</f>
        <v>-</v>
      </c>
      <c r="Q89" s="82" t="str">
        <f>+IFERROR(VLOOKUP(D89,'ID1&amp;5'!K:L,2,FALSE),"-")</f>
        <v>-</v>
      </c>
      <c r="R89" s="26" t="str">
        <f>+IFERROR(VLOOKUP(CONCATENATE(A89,$D$10,D89),'ID1&amp;5'!B:J,9,FALSE),"-")</f>
        <v>-</v>
      </c>
      <c r="S89" s="82" t="str">
        <f>+IFERROR(VLOOKUP(E89,'ID1&amp;5'!K:L,2,FALSE),"-")</f>
        <v>-</v>
      </c>
      <c r="T89" s="83" t="str">
        <f>+IFERROR(VLOOKUP(CONCATENATE(A89,$E$10,E89),'ID1&amp;5'!B:J,9,FALSE),"-")</f>
        <v>-</v>
      </c>
      <c r="U89" s="82" t="str">
        <f>+IFERROR(VLOOKUP(F89,'ID1&amp;5'!K:L,2,FALSE),"-")</f>
        <v>-</v>
      </c>
      <c r="V89" s="83" t="str">
        <f>+IFERROR(VLOOKUP(CONCATENATE(A89,$F$10,F89),'ID1&amp;5'!B:J,9,FALSE),"-")</f>
        <v>-</v>
      </c>
      <c r="W89" s="26" t="str">
        <f>+IFERROR(VLOOKUP(A89,'ID6&amp;7'!A:I,9,FALSE),"-")</f>
        <v>-</v>
      </c>
      <c r="X89" s="26" t="str">
        <f>+IFERROR(VLOOKUP(A89,'ID6&amp;7'!A:J,10,FALSE),"-")</f>
        <v>-</v>
      </c>
      <c r="Y89" s="81"/>
      <c r="Z89" s="27" t="str">
        <f t="shared" ref="Z89" si="4">+IF(J89=0,"Por iniciar",IF(OR(K89="-",M89="-",P89="-",R89="-",T89="-",V89="-"),"Em testes",IF(AND(M89=0,P89=0,R89=0,T89&lt;&gt;K89,V89&lt;&gt;K89),"OK","NOK")))</f>
        <v>Por iniciar</v>
      </c>
    </row>
    <row r="90" spans="1:26">
      <c r="A90" s="20" t="str">
        <f t="shared" si="2"/>
        <v>ENTITYPD_CRR_RD45596</v>
      </c>
      <c r="B90" s="66">
        <f t="array" ref="B90">+MAX(IF('ID1&amp;5'!A:A='1. Status'!A90&amp;'1. Status'!$B$10,'ID1&amp;5'!K:K))</f>
        <v>0</v>
      </c>
      <c r="C90" s="60">
        <f t="array" ref="C90">+MAX(IF('ID1&amp;5'!A:A='1. Status'!A90&amp;'1. Status'!$C$10,'ID1&amp;5'!K:K))</f>
        <v>0</v>
      </c>
      <c r="D90" s="60">
        <f t="array" ref="D90">+MAX(IF('ID1&amp;5'!A:A='1. Status'!A90&amp;'1. Status'!$D$10,'ID1&amp;5'!K:K))</f>
        <v>0</v>
      </c>
      <c r="E90" s="60">
        <f t="array" ref="E90">+MAX(IF('ID1&amp;5'!A:A='1. Status'!A90&amp;'1. Status'!$E$10,'ID1&amp;5'!K:K))</f>
        <v>0</v>
      </c>
      <c r="F90" s="67">
        <f t="array" ref="F90">+MAX(IF('ID1&amp;5'!A:A='1. Status'!A90&amp;'1. Status'!$F$10,'ID1&amp;5'!K:K))</f>
        <v>0</v>
      </c>
      <c r="G90" s="60"/>
      <c r="H90" s="65" t="s">
        <v>127</v>
      </c>
      <c r="I90" s="21" t="s">
        <v>394</v>
      </c>
      <c r="J90" s="26">
        <f>+COUNTIF('ID1&amp;5'!G:G,'1. Status'!I90)</f>
        <v>0</v>
      </c>
      <c r="K90" s="83" t="str">
        <f>+IFERROR(VLOOKUP(CONCATENATE(A90,$B$10,B90),'ID1&amp;5'!B:J,8,FALSE),"-")</f>
        <v>-</v>
      </c>
      <c r="L90" s="82" t="str">
        <f>+IFERROR(VLOOKUP(B90,'ID1&amp;5'!K:L,2,FALSE),"-")</f>
        <v>-</v>
      </c>
      <c r="M90" s="83" t="str">
        <f>+IFERROR(VLOOKUP(CONCATENATE(A90,$B$10,B90),'ID1&amp;5'!B:J,9,FALSE),"-")</f>
        <v>-</v>
      </c>
      <c r="N90" s="83" t="str">
        <f>+IFERROR(VLOOKUP(CONCATENATE(A90,$C$10,C90),'ID1&amp;5'!B:J,8,FALSE),"-")</f>
        <v>-</v>
      </c>
      <c r="O90" s="82" t="str">
        <f>+IFERROR(VLOOKUP(C90,'ID1&amp;5'!K:L,2,FALSE),"-")</f>
        <v>-</v>
      </c>
      <c r="P90" s="83" t="str">
        <f>+IFERROR(VLOOKUP(CONCATENATE(A90,$C$10,C90),'ID1&amp;5'!B:J,9,FALSE),"-")</f>
        <v>-</v>
      </c>
      <c r="Q90" s="82" t="str">
        <f>+IFERROR(VLOOKUP(D90,'ID1&amp;5'!K:L,2,FALSE),"-")</f>
        <v>-</v>
      </c>
      <c r="R90" s="26" t="str">
        <f>+IFERROR(VLOOKUP(CONCATENATE(A90,$D$10,D90),'ID1&amp;5'!B:J,9,FALSE),"-")</f>
        <v>-</v>
      </c>
      <c r="S90" s="82" t="str">
        <f>+IFERROR(VLOOKUP(E90,'ID1&amp;5'!K:L,2,FALSE),"-")</f>
        <v>-</v>
      </c>
      <c r="T90" s="83" t="str">
        <f>+IFERROR(VLOOKUP(CONCATENATE(A90,$E$10,E90),'ID1&amp;5'!B:J,9,FALSE),"-")</f>
        <v>-</v>
      </c>
      <c r="U90" s="82" t="str">
        <f>+IFERROR(VLOOKUP(F90,'ID1&amp;5'!K:L,2,FALSE),"-")</f>
        <v>-</v>
      </c>
      <c r="V90" s="83" t="str">
        <f>+IFERROR(VLOOKUP(CONCATENATE(A90,$F$10,F90),'ID1&amp;5'!B:J,9,FALSE),"-")</f>
        <v>-</v>
      </c>
      <c r="W90" s="26" t="str">
        <f>+IFERROR(VLOOKUP(A90,'ID6&amp;7'!A:I,9,FALSE),"-")</f>
        <v>-</v>
      </c>
      <c r="X90" s="26" t="str">
        <f>+IFERROR(VLOOKUP(A90,'ID6&amp;7'!A:J,10,FALSE),"-")</f>
        <v>-</v>
      </c>
      <c r="Y90" s="26"/>
      <c r="Z90" s="27" t="str">
        <f t="shared" si="3"/>
        <v>Por iniciar</v>
      </c>
    </row>
    <row r="91" spans="1:26">
      <c r="A91" s="20" t="str">
        <f t="shared" si="2"/>
        <v>ENTITYPD_IFRS9_12M_RD45596</v>
      </c>
      <c r="B91" s="66">
        <f t="array" ref="B91">+MAX(IF('ID1&amp;5'!A:A='1. Status'!A91&amp;'1. Status'!$B$10,'ID1&amp;5'!K:K))</f>
        <v>0</v>
      </c>
      <c r="C91" s="60">
        <f t="array" ref="C91">+MAX(IF('ID1&amp;5'!A:A='1. Status'!A91&amp;'1. Status'!$C$10,'ID1&amp;5'!K:K))</f>
        <v>0</v>
      </c>
      <c r="D91" s="60">
        <f t="array" ref="D91">+MAX(IF('ID1&amp;5'!A:A='1. Status'!A91&amp;'1. Status'!$D$10,'ID1&amp;5'!K:K))</f>
        <v>0</v>
      </c>
      <c r="E91" s="60">
        <f t="array" ref="E91">+MAX(IF('ID1&amp;5'!A:A='1. Status'!A91&amp;'1. Status'!$E$10,'ID1&amp;5'!K:K))</f>
        <v>0</v>
      </c>
      <c r="F91" s="67">
        <f t="array" ref="F91">+MAX(IF('ID1&amp;5'!A:A='1. Status'!A91&amp;'1. Status'!$F$10,'ID1&amp;5'!K:K))</f>
        <v>0</v>
      </c>
      <c r="G91" s="60"/>
      <c r="H91" s="65" t="s">
        <v>127</v>
      </c>
      <c r="I91" s="21" t="s">
        <v>395</v>
      </c>
      <c r="J91" s="26">
        <f>+COUNTIF('ID1&amp;5'!G:G,'1. Status'!I91)</f>
        <v>0</v>
      </c>
      <c r="K91" s="83" t="str">
        <f>+IFERROR(VLOOKUP(CONCATENATE(A91,$B$10,B91),'ID1&amp;5'!B:J,8,FALSE),"-")</f>
        <v>-</v>
      </c>
      <c r="L91" s="82" t="str">
        <f>+IFERROR(VLOOKUP(B91,'ID1&amp;5'!K:L,2,FALSE),"-")</f>
        <v>-</v>
      </c>
      <c r="M91" s="83" t="str">
        <f>+IFERROR(VLOOKUP(CONCATENATE(A91,$B$10,B91),'ID1&amp;5'!B:J,9,FALSE),"-")</f>
        <v>-</v>
      </c>
      <c r="N91" s="83" t="str">
        <f>+IFERROR(VLOOKUP(CONCATENATE(A91,$C$10,C91),'ID1&amp;5'!B:J,8,FALSE),"-")</f>
        <v>-</v>
      </c>
      <c r="O91" s="82" t="str">
        <f>+IFERROR(VLOOKUP(C91,'ID1&amp;5'!K:L,2,FALSE),"-")</f>
        <v>-</v>
      </c>
      <c r="P91" s="83" t="str">
        <f>+IFERROR(VLOOKUP(CONCATENATE(A91,$C$10,C91),'ID1&amp;5'!B:J,9,FALSE),"-")</f>
        <v>-</v>
      </c>
      <c r="Q91" s="82" t="str">
        <f>+IFERROR(VLOOKUP(D91,'ID1&amp;5'!K:L,2,FALSE),"-")</f>
        <v>-</v>
      </c>
      <c r="R91" s="26" t="str">
        <f>+IFERROR(VLOOKUP(CONCATENATE(A91,$D$10,D91),'ID1&amp;5'!B:J,9,FALSE),"-")</f>
        <v>-</v>
      </c>
      <c r="S91" s="82" t="str">
        <f>+IFERROR(VLOOKUP(E91,'ID1&amp;5'!K:L,2,FALSE),"-")</f>
        <v>-</v>
      </c>
      <c r="T91" s="83" t="str">
        <f>+IFERROR(VLOOKUP(CONCATENATE(A91,$E$10,E91),'ID1&amp;5'!B:J,9,FALSE),"-")</f>
        <v>-</v>
      </c>
      <c r="U91" s="82" t="str">
        <f>+IFERROR(VLOOKUP(F91,'ID1&amp;5'!K:L,2,FALSE),"-")</f>
        <v>-</v>
      </c>
      <c r="V91" s="83" t="str">
        <f>+IFERROR(VLOOKUP(CONCATENATE(A91,$F$10,F91),'ID1&amp;5'!B:J,9,FALSE),"-")</f>
        <v>-</v>
      </c>
      <c r="W91" s="26" t="str">
        <f>+IFERROR(VLOOKUP(A91,'ID6&amp;7'!A:I,9,FALSE),"-")</f>
        <v>-</v>
      </c>
      <c r="X91" s="26" t="str">
        <f>+IFERROR(VLOOKUP(A91,'ID6&amp;7'!A:J,10,FALSE),"-")</f>
        <v>-</v>
      </c>
      <c r="Y91" s="26"/>
      <c r="Z91" s="27" t="str">
        <f t="shared" si="3"/>
        <v>Por iniciar</v>
      </c>
    </row>
    <row r="92" spans="1:26">
      <c r="A92" s="20" t="str">
        <f t="shared" si="2"/>
        <v>ENTITYPD_IFRS9_12M_RD_T145596</v>
      </c>
      <c r="B92" s="66">
        <f t="array" ref="B92">+MAX(IF('ID1&amp;5'!A:A='1. Status'!A92&amp;'1. Status'!$B$10,'ID1&amp;5'!K:K))</f>
        <v>0</v>
      </c>
      <c r="C92" s="60">
        <f t="array" ref="C92">+MAX(IF('ID1&amp;5'!A:A='1. Status'!A92&amp;'1. Status'!$C$10,'ID1&amp;5'!K:K))</f>
        <v>0</v>
      </c>
      <c r="D92" s="60">
        <f t="array" ref="D92">+MAX(IF('ID1&amp;5'!A:A='1. Status'!A92&amp;'1. Status'!$D$10,'ID1&amp;5'!K:K))</f>
        <v>0</v>
      </c>
      <c r="E92" s="60">
        <f t="array" ref="E92">+MAX(IF('ID1&amp;5'!A:A='1. Status'!A92&amp;'1. Status'!$E$10,'ID1&amp;5'!K:K))</f>
        <v>0</v>
      </c>
      <c r="F92" s="67">
        <f t="array" ref="F92">+MAX(IF('ID1&amp;5'!A:A='1. Status'!A92&amp;'1. Status'!$F$10,'ID1&amp;5'!K:K))</f>
        <v>0</v>
      </c>
      <c r="G92" s="60"/>
      <c r="H92" s="65" t="s">
        <v>127</v>
      </c>
      <c r="I92" s="21" t="s">
        <v>396</v>
      </c>
      <c r="J92" s="26">
        <f>+COUNTIF('ID1&amp;5'!G:G,'1. Status'!I92)</f>
        <v>0</v>
      </c>
      <c r="K92" s="83" t="str">
        <f>+IFERROR(VLOOKUP(CONCATENATE(A92,$B$10,B92),'ID1&amp;5'!B:J,8,FALSE),"-")</f>
        <v>-</v>
      </c>
      <c r="L92" s="82" t="str">
        <f>+IFERROR(VLOOKUP(B92,'ID1&amp;5'!K:L,2,FALSE),"-")</f>
        <v>-</v>
      </c>
      <c r="M92" s="83" t="str">
        <f>+IFERROR(VLOOKUP(CONCATENATE(A92,$B$10,B92),'ID1&amp;5'!B:J,9,FALSE),"-")</f>
        <v>-</v>
      </c>
      <c r="N92" s="83" t="str">
        <f>+IFERROR(VLOOKUP(CONCATENATE(A92,$C$10,C92),'ID1&amp;5'!B:J,8,FALSE),"-")</f>
        <v>-</v>
      </c>
      <c r="O92" s="82" t="str">
        <f>+IFERROR(VLOOKUP(C92,'ID1&amp;5'!K:L,2,FALSE),"-")</f>
        <v>-</v>
      </c>
      <c r="P92" s="83" t="str">
        <f>+IFERROR(VLOOKUP(CONCATENATE(A92,$C$10,C92),'ID1&amp;5'!B:J,9,FALSE),"-")</f>
        <v>-</v>
      </c>
      <c r="Q92" s="82" t="str">
        <f>+IFERROR(VLOOKUP(D92,'ID1&amp;5'!K:L,2,FALSE),"-")</f>
        <v>-</v>
      </c>
      <c r="R92" s="26" t="str">
        <f>+IFERROR(VLOOKUP(CONCATENATE(A92,$D$10,D92),'ID1&amp;5'!B:J,9,FALSE),"-")</f>
        <v>-</v>
      </c>
      <c r="S92" s="82" t="str">
        <f>+IFERROR(VLOOKUP(E92,'ID1&amp;5'!K:L,2,FALSE),"-")</f>
        <v>-</v>
      </c>
      <c r="T92" s="83" t="str">
        <f>+IFERROR(VLOOKUP(CONCATENATE(A92,$E$10,E92),'ID1&amp;5'!B:J,9,FALSE),"-")</f>
        <v>-</v>
      </c>
      <c r="U92" s="82" t="str">
        <f>+IFERROR(VLOOKUP(F92,'ID1&amp;5'!K:L,2,FALSE),"-")</f>
        <v>-</v>
      </c>
      <c r="V92" s="83" t="str">
        <f>+IFERROR(VLOOKUP(CONCATENATE(A92,$F$10,F92),'ID1&amp;5'!B:J,9,FALSE),"-")</f>
        <v>-</v>
      </c>
      <c r="W92" s="26" t="str">
        <f>+IFERROR(VLOOKUP(A92,'ID6&amp;7'!A:I,9,FALSE),"-")</f>
        <v>-</v>
      </c>
      <c r="X92" s="26" t="str">
        <f>+IFERROR(VLOOKUP(A92,'ID6&amp;7'!A:J,10,FALSE),"-")</f>
        <v>-</v>
      </c>
      <c r="Y92" s="26"/>
      <c r="Z92" s="27" t="str">
        <f t="shared" si="3"/>
        <v>Por iniciar</v>
      </c>
    </row>
    <row r="93" spans="1:26">
      <c r="A93" s="20" t="str">
        <f t="shared" si="2"/>
        <v>ENTITYTAX_ID45596</v>
      </c>
      <c r="B93" s="66">
        <f t="array" ref="B93">+MAX(IF('ID1&amp;5'!A:A='1. Status'!A93&amp;'1. Status'!$B$10,'ID1&amp;5'!K:K))</f>
        <v>0</v>
      </c>
      <c r="C93" s="60">
        <f t="array" ref="C93">+MAX(IF('ID1&amp;5'!A:A='1. Status'!A93&amp;'1. Status'!$C$10,'ID1&amp;5'!K:K))</f>
        <v>0</v>
      </c>
      <c r="D93" s="60">
        <f t="array" ref="D93">+MAX(IF('ID1&amp;5'!A:A='1. Status'!A93&amp;'1. Status'!$D$10,'ID1&amp;5'!K:K))</f>
        <v>0</v>
      </c>
      <c r="E93" s="60">
        <f t="array" ref="E93">+MAX(IF('ID1&amp;5'!A:A='1. Status'!A93&amp;'1. Status'!$E$10,'ID1&amp;5'!K:K))</f>
        <v>0</v>
      </c>
      <c r="F93" s="67">
        <f t="array" ref="F93">+MAX(IF('ID1&amp;5'!A:A='1. Status'!A93&amp;'1. Status'!$F$10,'ID1&amp;5'!K:K))</f>
        <v>0</v>
      </c>
      <c r="G93" s="60"/>
      <c r="H93" s="65" t="s">
        <v>127</v>
      </c>
      <c r="I93" s="21" t="s">
        <v>397</v>
      </c>
      <c r="J93" s="26">
        <f>+COUNTIF('ID1&amp;5'!G:G,'1. Status'!I93)</f>
        <v>0</v>
      </c>
      <c r="K93" s="83" t="str">
        <f>+IFERROR(VLOOKUP(CONCATENATE(A93,$B$10,B93),'ID1&amp;5'!B:J,8,FALSE),"-")</f>
        <v>-</v>
      </c>
      <c r="L93" s="82" t="str">
        <f>+IFERROR(VLOOKUP(B93,'ID1&amp;5'!K:L,2,FALSE),"-")</f>
        <v>-</v>
      </c>
      <c r="M93" s="83" t="str">
        <f>+IFERROR(VLOOKUP(CONCATENATE(A93,$B$10,B93),'ID1&amp;5'!B:J,9,FALSE),"-")</f>
        <v>-</v>
      </c>
      <c r="N93" s="83" t="str">
        <f>+IFERROR(VLOOKUP(CONCATENATE(A93,$C$10,C93),'ID1&amp;5'!B:J,8,FALSE),"-")</f>
        <v>-</v>
      </c>
      <c r="O93" s="82" t="str">
        <f>+IFERROR(VLOOKUP(C93,'ID1&amp;5'!K:L,2,FALSE),"-")</f>
        <v>-</v>
      </c>
      <c r="P93" s="83" t="str">
        <f>+IFERROR(VLOOKUP(CONCATENATE(A93,$C$10,C93),'ID1&amp;5'!B:J,9,FALSE),"-")</f>
        <v>-</v>
      </c>
      <c r="Q93" s="82" t="str">
        <f>+IFERROR(VLOOKUP(D93,'ID1&amp;5'!K:L,2,FALSE),"-")</f>
        <v>-</v>
      </c>
      <c r="R93" s="26" t="str">
        <f>+IFERROR(VLOOKUP(CONCATENATE(A93,$D$10,D93),'ID1&amp;5'!B:J,9,FALSE),"-")</f>
        <v>-</v>
      </c>
      <c r="S93" s="82" t="str">
        <f>+IFERROR(VLOOKUP(E93,'ID1&amp;5'!K:L,2,FALSE),"-")</f>
        <v>-</v>
      </c>
      <c r="T93" s="83" t="str">
        <f>+IFERROR(VLOOKUP(CONCATENATE(A93,$E$10,E93),'ID1&amp;5'!B:J,9,FALSE),"-")</f>
        <v>-</v>
      </c>
      <c r="U93" s="82" t="str">
        <f>+IFERROR(VLOOKUP(F93,'ID1&amp;5'!K:L,2,FALSE),"-")</f>
        <v>-</v>
      </c>
      <c r="V93" s="83" t="str">
        <f>+IFERROR(VLOOKUP(CONCATENATE(A93,$F$10,F93),'ID1&amp;5'!B:J,9,FALSE),"-")</f>
        <v>-</v>
      </c>
      <c r="W93" s="26" t="str">
        <f>+IFERROR(VLOOKUP(A93,'ID6&amp;7'!A:I,9,FALSE),"-")</f>
        <v>-</v>
      </c>
      <c r="X93" s="26" t="str">
        <f>+IFERROR(VLOOKUP(A93,'ID6&amp;7'!A:J,10,FALSE),"-")</f>
        <v>-</v>
      </c>
      <c r="Y93" s="26"/>
      <c r="Z93" s="27" t="str">
        <f t="shared" si="3"/>
        <v>Por iniciar</v>
      </c>
    </row>
    <row r="94" spans="1:26">
      <c r="A94" s="20" t="str">
        <f t="shared" si="2"/>
        <v>ENTITYANNL_TRNVR_LE_BDR45596</v>
      </c>
      <c r="B94" s="66">
        <f t="array" ref="B94">+MAX(IF('ID1&amp;5'!A:A='1. Status'!A94&amp;'1. Status'!$B$10,'ID1&amp;5'!K:K))</f>
        <v>0</v>
      </c>
      <c r="C94" s="60">
        <f t="array" ref="C94">+MAX(IF('ID1&amp;5'!A:A='1. Status'!A94&amp;'1. Status'!$C$10,'ID1&amp;5'!K:K))</f>
        <v>0</v>
      </c>
      <c r="D94" s="60">
        <f t="array" ref="D94">+MAX(IF('ID1&amp;5'!A:A='1. Status'!A94&amp;'1. Status'!$D$10,'ID1&amp;5'!K:K))</f>
        <v>0</v>
      </c>
      <c r="E94" s="60">
        <f t="array" ref="E94">+MAX(IF('ID1&amp;5'!A:A='1. Status'!A94&amp;'1. Status'!$E$10,'ID1&amp;5'!K:K))</f>
        <v>0</v>
      </c>
      <c r="F94" s="67">
        <f t="array" ref="F94">+MAX(IF('ID1&amp;5'!A:A='1. Status'!A94&amp;'1. Status'!$F$10,'ID1&amp;5'!K:K))</f>
        <v>0</v>
      </c>
      <c r="G94" s="60"/>
      <c r="H94" s="65" t="s">
        <v>127</v>
      </c>
      <c r="I94" s="21" t="s">
        <v>398</v>
      </c>
      <c r="J94" s="26">
        <f>+COUNTIF('ID1&amp;5'!G:G,'1. Status'!I94)</f>
        <v>0</v>
      </c>
      <c r="K94" s="83" t="str">
        <f>+IFERROR(VLOOKUP(CONCATENATE(A94,$B$10,B94),'ID1&amp;5'!B:J,8,FALSE),"-")</f>
        <v>-</v>
      </c>
      <c r="L94" s="82" t="str">
        <f>+IFERROR(VLOOKUP(B94,'ID1&amp;5'!K:L,2,FALSE),"-")</f>
        <v>-</v>
      </c>
      <c r="M94" s="83" t="str">
        <f>+IFERROR(VLOOKUP(CONCATENATE(A94,$B$10,B94),'ID1&amp;5'!B:J,9,FALSE),"-")</f>
        <v>-</v>
      </c>
      <c r="N94" s="83" t="str">
        <f>+IFERROR(VLOOKUP(CONCATENATE(A94,$C$10,C94),'ID1&amp;5'!B:J,8,FALSE),"-")</f>
        <v>-</v>
      </c>
      <c r="O94" s="82" t="str">
        <f>+IFERROR(VLOOKUP(C94,'ID1&amp;5'!K:L,2,FALSE),"-")</f>
        <v>-</v>
      </c>
      <c r="P94" s="83" t="str">
        <f>+IFERROR(VLOOKUP(CONCATENATE(A94,$C$10,C94),'ID1&amp;5'!B:J,9,FALSE),"-")</f>
        <v>-</v>
      </c>
      <c r="Q94" s="82" t="str">
        <f>+IFERROR(VLOOKUP(D94,'ID1&amp;5'!K:L,2,FALSE),"-")</f>
        <v>-</v>
      </c>
      <c r="R94" s="26" t="str">
        <f>+IFERROR(VLOOKUP(CONCATENATE(A94,$D$10,D94),'ID1&amp;5'!B:J,9,FALSE),"-")</f>
        <v>-</v>
      </c>
      <c r="S94" s="82" t="str">
        <f>+IFERROR(VLOOKUP(E94,'ID1&amp;5'!K:L,2,FALSE),"-")</f>
        <v>-</v>
      </c>
      <c r="T94" s="83" t="str">
        <f>+IFERROR(VLOOKUP(CONCATENATE(A94,$E$10,E94),'ID1&amp;5'!B:J,9,FALSE),"-")</f>
        <v>-</v>
      </c>
      <c r="U94" s="82" t="str">
        <f>+IFERROR(VLOOKUP(F94,'ID1&amp;5'!K:L,2,FALSE),"-")</f>
        <v>-</v>
      </c>
      <c r="V94" s="83" t="str">
        <f>+IFERROR(VLOOKUP(CONCATENATE(A94,$F$10,F94),'ID1&amp;5'!B:J,9,FALSE),"-")</f>
        <v>-</v>
      </c>
      <c r="W94" s="26" t="str">
        <f>+IFERROR(VLOOKUP(A94,'ID6&amp;7'!A:I,9,FALSE),"-")</f>
        <v>-</v>
      </c>
      <c r="X94" s="26" t="str">
        <f>+IFERROR(VLOOKUP(A94,'ID6&amp;7'!A:J,10,FALSE),"-")</f>
        <v>-</v>
      </c>
      <c r="Y94" s="26"/>
      <c r="Z94" s="27" t="str">
        <f t="shared" si="3"/>
        <v>Por iniciar</v>
      </c>
    </row>
    <row r="95" spans="1:26">
      <c r="A95" s="20" t="str">
        <f t="shared" si="2"/>
        <v>ENTITYANNL_TRNVR_PRVS_BDR45596</v>
      </c>
      <c r="B95" s="66">
        <f t="array" ref="B95">+MAX(IF('ID1&amp;5'!A:A='1. Status'!A95&amp;'1. Status'!$B$10,'ID1&amp;5'!K:K))</f>
        <v>0</v>
      </c>
      <c r="C95" s="60">
        <f t="array" ref="C95">+MAX(IF('ID1&amp;5'!A:A='1. Status'!A95&amp;'1. Status'!$C$10,'ID1&amp;5'!K:K))</f>
        <v>0</v>
      </c>
      <c r="D95" s="60">
        <f t="array" ref="D95">+MAX(IF('ID1&amp;5'!A:A='1. Status'!A95&amp;'1. Status'!$D$10,'ID1&amp;5'!K:K))</f>
        <v>0</v>
      </c>
      <c r="E95" s="60">
        <f t="array" ref="E95">+MAX(IF('ID1&amp;5'!A:A='1. Status'!A95&amp;'1. Status'!$E$10,'ID1&amp;5'!K:K))</f>
        <v>0</v>
      </c>
      <c r="F95" s="67">
        <f t="array" ref="F95">+MAX(IF('ID1&amp;5'!A:A='1. Status'!A95&amp;'1. Status'!$F$10,'ID1&amp;5'!K:K))</f>
        <v>0</v>
      </c>
      <c r="G95" s="60"/>
      <c r="H95" s="65" t="s">
        <v>127</v>
      </c>
      <c r="I95" s="21" t="s">
        <v>399</v>
      </c>
      <c r="J95" s="26">
        <f>+COUNTIF('ID1&amp;5'!G:G,'1. Status'!I95)</f>
        <v>0</v>
      </c>
      <c r="K95" s="83" t="str">
        <f>+IFERROR(VLOOKUP(CONCATENATE(A95,$B$10,B95),'ID1&amp;5'!B:J,8,FALSE),"-")</f>
        <v>-</v>
      </c>
      <c r="L95" s="82" t="str">
        <f>+IFERROR(VLOOKUP(B95,'ID1&amp;5'!K:L,2,FALSE),"-")</f>
        <v>-</v>
      </c>
      <c r="M95" s="83" t="str">
        <f>+IFERROR(VLOOKUP(CONCATENATE(A95,$B$10,B95),'ID1&amp;5'!B:J,9,FALSE),"-")</f>
        <v>-</v>
      </c>
      <c r="N95" s="83" t="str">
        <f>+IFERROR(VLOOKUP(CONCATENATE(A95,$C$10,C95),'ID1&amp;5'!B:J,8,FALSE),"-")</f>
        <v>-</v>
      </c>
      <c r="O95" s="82" t="str">
        <f>+IFERROR(VLOOKUP(C95,'ID1&amp;5'!K:L,2,FALSE),"-")</f>
        <v>-</v>
      </c>
      <c r="P95" s="83" t="str">
        <f>+IFERROR(VLOOKUP(CONCATENATE(A95,$C$10,C95),'ID1&amp;5'!B:J,9,FALSE),"-")</f>
        <v>-</v>
      </c>
      <c r="Q95" s="82" t="str">
        <f>+IFERROR(VLOOKUP(D95,'ID1&amp;5'!K:L,2,FALSE),"-")</f>
        <v>-</v>
      </c>
      <c r="R95" s="26" t="str">
        <f>+IFERROR(VLOOKUP(CONCATENATE(A95,$D$10,D95),'ID1&amp;5'!B:J,9,FALSE),"-")</f>
        <v>-</v>
      </c>
      <c r="S95" s="82" t="str">
        <f>+IFERROR(VLOOKUP(E95,'ID1&amp;5'!K:L,2,FALSE),"-")</f>
        <v>-</v>
      </c>
      <c r="T95" s="83" t="str">
        <f>+IFERROR(VLOOKUP(CONCATENATE(A95,$E$10,E95),'ID1&amp;5'!B:J,9,FALSE),"-")</f>
        <v>-</v>
      </c>
      <c r="U95" s="82" t="str">
        <f>+IFERROR(VLOOKUP(F95,'ID1&amp;5'!K:L,2,FALSE),"-")</f>
        <v>-</v>
      </c>
      <c r="V95" s="83" t="str">
        <f>+IFERROR(VLOOKUP(CONCATENATE(A95,$F$10,F95),'ID1&amp;5'!B:J,9,FALSE),"-")</f>
        <v>-</v>
      </c>
      <c r="W95" s="26" t="str">
        <f>+IFERROR(VLOOKUP(A95,'ID6&amp;7'!A:I,9,FALSE),"-")</f>
        <v>-</v>
      </c>
      <c r="X95" s="26" t="str">
        <f>+IFERROR(VLOOKUP(A95,'ID6&amp;7'!A:J,10,FALSE),"-")</f>
        <v>-</v>
      </c>
      <c r="Y95" s="26"/>
      <c r="Z95" s="27" t="str">
        <f t="shared" si="3"/>
        <v>Por iniciar</v>
      </c>
    </row>
    <row r="96" spans="1:26">
      <c r="A96" s="20" t="str">
        <f t="shared" si="2"/>
        <v>ENTITYOSI_ID45596</v>
      </c>
      <c r="B96" s="66">
        <f t="array" ref="B96">+MAX(IF('ID1&amp;5'!A:A='1. Status'!A96&amp;'1. Status'!$B$10,'ID1&amp;5'!K:K))</f>
        <v>0</v>
      </c>
      <c r="C96" s="60">
        <f t="array" ref="C96">+MAX(IF('ID1&amp;5'!A:A='1. Status'!A96&amp;'1. Status'!$C$10,'ID1&amp;5'!K:K))</f>
        <v>0</v>
      </c>
      <c r="D96" s="60">
        <f t="array" ref="D96">+MAX(IF('ID1&amp;5'!A:A='1. Status'!A96&amp;'1. Status'!$D$10,'ID1&amp;5'!K:K))</f>
        <v>0</v>
      </c>
      <c r="E96" s="60">
        <f t="array" ref="E96">+MAX(IF('ID1&amp;5'!A:A='1. Status'!A96&amp;'1. Status'!$E$10,'ID1&amp;5'!K:K))</f>
        <v>0</v>
      </c>
      <c r="F96" s="67">
        <f t="array" ref="F96">+MAX(IF('ID1&amp;5'!A:A='1. Status'!A96&amp;'1. Status'!$F$10,'ID1&amp;5'!K:K))</f>
        <v>0</v>
      </c>
      <c r="G96" s="60"/>
      <c r="H96" s="65" t="s">
        <v>127</v>
      </c>
      <c r="I96" s="21" t="s">
        <v>400</v>
      </c>
      <c r="J96" s="26">
        <f>+COUNTIF('ID1&amp;5'!G:G,'1. Status'!I96)</f>
        <v>0</v>
      </c>
      <c r="K96" s="83" t="str">
        <f>+IFERROR(VLOOKUP(CONCATENATE(A96,$B$10,B96),'ID1&amp;5'!B:J,8,FALSE),"-")</f>
        <v>-</v>
      </c>
      <c r="L96" s="82" t="str">
        <f>+IFERROR(VLOOKUP(B96,'ID1&amp;5'!K:L,2,FALSE),"-")</f>
        <v>-</v>
      </c>
      <c r="M96" s="83" t="str">
        <f>+IFERROR(VLOOKUP(CONCATENATE(A96,$B$10,B96),'ID1&amp;5'!B:J,9,FALSE),"-")</f>
        <v>-</v>
      </c>
      <c r="N96" s="83" t="str">
        <f>+IFERROR(VLOOKUP(CONCATENATE(A96,$C$10,C96),'ID1&amp;5'!B:J,8,FALSE),"-")</f>
        <v>-</v>
      </c>
      <c r="O96" s="82" t="str">
        <f>+IFERROR(VLOOKUP(C96,'ID1&amp;5'!K:L,2,FALSE),"-")</f>
        <v>-</v>
      </c>
      <c r="P96" s="83" t="str">
        <f>+IFERROR(VLOOKUP(CONCATENATE(A96,$C$10,C96),'ID1&amp;5'!B:J,9,FALSE),"-")</f>
        <v>-</v>
      </c>
      <c r="Q96" s="82" t="str">
        <f>+IFERROR(VLOOKUP(D96,'ID1&amp;5'!K:L,2,FALSE),"-")</f>
        <v>-</v>
      </c>
      <c r="R96" s="26" t="str">
        <f>+IFERROR(VLOOKUP(CONCATENATE(A96,$D$10,D96),'ID1&amp;5'!B:J,9,FALSE),"-")</f>
        <v>-</v>
      </c>
      <c r="S96" s="82" t="str">
        <f>+IFERROR(VLOOKUP(E96,'ID1&amp;5'!K:L,2,FALSE),"-")</f>
        <v>-</v>
      </c>
      <c r="T96" s="83" t="str">
        <f>+IFERROR(VLOOKUP(CONCATENATE(A96,$E$10,E96),'ID1&amp;5'!B:J,9,FALSE),"-")</f>
        <v>-</v>
      </c>
      <c r="U96" s="82" t="str">
        <f>+IFERROR(VLOOKUP(F96,'ID1&amp;5'!K:L,2,FALSE),"-")</f>
        <v>-</v>
      </c>
      <c r="V96" s="83" t="str">
        <f>+IFERROR(VLOOKUP(CONCATENATE(A96,$F$10,F96),'ID1&amp;5'!B:J,9,FALSE),"-")</f>
        <v>-</v>
      </c>
      <c r="W96" s="26" t="str">
        <f>+IFERROR(VLOOKUP(A96,'ID6&amp;7'!A:I,9,FALSE),"-")</f>
        <v>-</v>
      </c>
      <c r="X96" s="26" t="str">
        <f>+IFERROR(VLOOKUP(A96,'ID6&amp;7'!A:J,10,FALSE),"-")</f>
        <v>-</v>
      </c>
      <c r="Y96" s="26"/>
      <c r="Z96" s="27" t="str">
        <f t="shared" si="3"/>
        <v>Por iniciar</v>
      </c>
    </row>
    <row r="97" spans="1:26">
      <c r="A97" s="20" t="str">
        <f t="shared" si="2"/>
        <v>ENTITYPD_CRR_RD_T145596</v>
      </c>
      <c r="B97" s="66">
        <f t="array" ref="B97">+MAX(IF('ID1&amp;5'!A:A='1. Status'!A97&amp;'1. Status'!$B$10,'ID1&amp;5'!K:K))</f>
        <v>0</v>
      </c>
      <c r="C97" s="60">
        <f t="array" ref="C97">+MAX(IF('ID1&amp;5'!A:A='1. Status'!A97&amp;'1. Status'!$C$10,'ID1&amp;5'!K:K))</f>
        <v>0</v>
      </c>
      <c r="D97" s="60">
        <f t="array" ref="D97">+MAX(IF('ID1&amp;5'!A:A='1. Status'!A97&amp;'1. Status'!$D$10,'ID1&amp;5'!K:K))</f>
        <v>0</v>
      </c>
      <c r="E97" s="60">
        <f t="array" ref="E97">+MAX(IF('ID1&amp;5'!A:A='1. Status'!A97&amp;'1. Status'!$E$10,'ID1&amp;5'!K:K))</f>
        <v>0</v>
      </c>
      <c r="F97" s="67">
        <f t="array" ref="F97">+MAX(IF('ID1&amp;5'!A:A='1. Status'!A97&amp;'1. Status'!$F$10,'ID1&amp;5'!K:K))</f>
        <v>0</v>
      </c>
      <c r="G97" s="60"/>
      <c r="H97" s="65" t="s">
        <v>127</v>
      </c>
      <c r="I97" s="21" t="s">
        <v>401</v>
      </c>
      <c r="J97" s="26">
        <f>+COUNTIF('ID1&amp;5'!G:G,'1. Status'!I97)</f>
        <v>0</v>
      </c>
      <c r="K97" s="83" t="str">
        <f>+IFERROR(VLOOKUP(CONCATENATE(A97,$B$10,B97),'ID1&amp;5'!B:J,8,FALSE),"-")</f>
        <v>-</v>
      </c>
      <c r="L97" s="82" t="str">
        <f>+IFERROR(VLOOKUP(B97,'ID1&amp;5'!K:L,2,FALSE),"-")</f>
        <v>-</v>
      </c>
      <c r="M97" s="83" t="str">
        <f>+IFERROR(VLOOKUP(CONCATENATE(A97,$B$10,B97),'ID1&amp;5'!B:J,9,FALSE),"-")</f>
        <v>-</v>
      </c>
      <c r="N97" s="83" t="str">
        <f>+IFERROR(VLOOKUP(CONCATENATE(A97,$C$10,C97),'ID1&amp;5'!B:J,8,FALSE),"-")</f>
        <v>-</v>
      </c>
      <c r="O97" s="82" t="str">
        <f>+IFERROR(VLOOKUP(C97,'ID1&amp;5'!K:L,2,FALSE),"-")</f>
        <v>-</v>
      </c>
      <c r="P97" s="83" t="str">
        <f>+IFERROR(VLOOKUP(CONCATENATE(A97,$C$10,C97),'ID1&amp;5'!B:J,9,FALSE),"-")</f>
        <v>-</v>
      </c>
      <c r="Q97" s="82" t="str">
        <f>+IFERROR(VLOOKUP(D97,'ID1&amp;5'!K:L,2,FALSE),"-")</f>
        <v>-</v>
      </c>
      <c r="R97" s="26" t="str">
        <f>+IFERROR(VLOOKUP(CONCATENATE(A97,$D$10,D97),'ID1&amp;5'!B:J,9,FALSE),"-")</f>
        <v>-</v>
      </c>
      <c r="S97" s="82" t="str">
        <f>+IFERROR(VLOOKUP(E97,'ID1&amp;5'!K:L,2,FALSE),"-")</f>
        <v>-</v>
      </c>
      <c r="T97" s="83" t="str">
        <f>+IFERROR(VLOOKUP(CONCATENATE(A97,$E$10,E97),'ID1&amp;5'!B:J,9,FALSE),"-")</f>
        <v>-</v>
      </c>
      <c r="U97" s="82" t="str">
        <f>+IFERROR(VLOOKUP(F97,'ID1&amp;5'!K:L,2,FALSE),"-")</f>
        <v>-</v>
      </c>
      <c r="V97" s="83" t="str">
        <f>+IFERROR(VLOOKUP(CONCATENATE(A97,$F$10,F97),'ID1&amp;5'!B:J,9,FALSE),"-")</f>
        <v>-</v>
      </c>
      <c r="W97" s="26" t="str">
        <f>+IFERROR(VLOOKUP(A97,'ID6&amp;7'!A:I,9,FALSE),"-")</f>
        <v>-</v>
      </c>
      <c r="X97" s="26" t="str">
        <f>+IFERROR(VLOOKUP(A97,'ID6&amp;7'!A:J,10,FALSE),"-")</f>
        <v>-</v>
      </c>
      <c r="Y97" s="26"/>
      <c r="Z97" s="27" t="str">
        <f t="shared" si="3"/>
        <v>Por iniciar</v>
      </c>
    </row>
    <row r="98" spans="1:26">
      <c r="A98" s="20" t="str">
        <f t="shared" si="2"/>
        <v>ENTITYEC_GRP_ID45596</v>
      </c>
      <c r="B98" s="66">
        <f t="array" ref="B98">+MAX(IF('ID1&amp;5'!A:A='1. Status'!A98&amp;'1. Status'!$B$10,'ID1&amp;5'!K:K))</f>
        <v>0</v>
      </c>
      <c r="C98" s="60">
        <f t="array" ref="C98">+MAX(IF('ID1&amp;5'!A:A='1. Status'!A98&amp;'1. Status'!$C$10,'ID1&amp;5'!K:K))</f>
        <v>0</v>
      </c>
      <c r="D98" s="60">
        <f t="array" ref="D98">+MAX(IF('ID1&amp;5'!A:A='1. Status'!A98&amp;'1. Status'!$D$10,'ID1&amp;5'!K:K))</f>
        <v>0</v>
      </c>
      <c r="E98" s="60">
        <f t="array" ref="E98">+MAX(IF('ID1&amp;5'!A:A='1. Status'!A98&amp;'1. Status'!$E$10,'ID1&amp;5'!K:K))</f>
        <v>0</v>
      </c>
      <c r="F98" s="67">
        <f t="array" ref="F98">+MAX(IF('ID1&amp;5'!A:A='1. Status'!A98&amp;'1. Status'!$F$10,'ID1&amp;5'!K:K))</f>
        <v>0</v>
      </c>
      <c r="G98" s="60"/>
      <c r="H98" s="65" t="s">
        <v>127</v>
      </c>
      <c r="I98" s="21" t="s">
        <v>402</v>
      </c>
      <c r="J98" s="26">
        <f>+COUNTIF('ID1&amp;5'!G:G,'1. Status'!I98)</f>
        <v>0</v>
      </c>
      <c r="K98" s="83" t="str">
        <f>+IFERROR(VLOOKUP(CONCATENATE(A98,$B$10,B98),'ID1&amp;5'!B:J,8,FALSE),"-")</f>
        <v>-</v>
      </c>
      <c r="L98" s="82" t="str">
        <f>+IFERROR(VLOOKUP(B98,'ID1&amp;5'!K:L,2,FALSE),"-")</f>
        <v>-</v>
      </c>
      <c r="M98" s="83" t="str">
        <f>+IFERROR(VLOOKUP(CONCATENATE(A98,$B$10,B98),'ID1&amp;5'!B:J,9,FALSE),"-")</f>
        <v>-</v>
      </c>
      <c r="N98" s="83" t="str">
        <f>+IFERROR(VLOOKUP(CONCATENATE(A98,$C$10,C98),'ID1&amp;5'!B:J,8,FALSE),"-")</f>
        <v>-</v>
      </c>
      <c r="O98" s="82" t="str">
        <f>+IFERROR(VLOOKUP(C98,'ID1&amp;5'!K:L,2,FALSE),"-")</f>
        <v>-</v>
      </c>
      <c r="P98" s="83" t="str">
        <f>+IFERROR(VLOOKUP(CONCATENATE(A98,$C$10,C98),'ID1&amp;5'!B:J,9,FALSE),"-")</f>
        <v>-</v>
      </c>
      <c r="Q98" s="82" t="str">
        <f>+IFERROR(VLOOKUP(D98,'ID1&amp;5'!K:L,2,FALSE),"-")</f>
        <v>-</v>
      </c>
      <c r="R98" s="26" t="str">
        <f>+IFERROR(VLOOKUP(CONCATENATE(A98,$D$10,D98),'ID1&amp;5'!B:J,9,FALSE),"-")</f>
        <v>-</v>
      </c>
      <c r="S98" s="82" t="str">
        <f>+IFERROR(VLOOKUP(E98,'ID1&amp;5'!K:L,2,FALSE),"-")</f>
        <v>-</v>
      </c>
      <c r="T98" s="83" t="str">
        <f>+IFERROR(VLOOKUP(CONCATENATE(A98,$E$10,E98),'ID1&amp;5'!B:J,9,FALSE),"-")</f>
        <v>-</v>
      </c>
      <c r="U98" s="82" t="str">
        <f>+IFERROR(VLOOKUP(F98,'ID1&amp;5'!K:L,2,FALSE),"-")</f>
        <v>-</v>
      </c>
      <c r="V98" s="83" t="str">
        <f>+IFERROR(VLOOKUP(CONCATENATE(A98,$F$10,F98),'ID1&amp;5'!B:J,9,FALSE),"-")</f>
        <v>-</v>
      </c>
      <c r="W98" s="26" t="str">
        <f>+IFERROR(VLOOKUP(A98,'ID6&amp;7'!A:I,9,FALSE),"-")</f>
        <v>-</v>
      </c>
      <c r="X98" s="26" t="str">
        <f>+IFERROR(VLOOKUP(A98,'ID6&amp;7'!A:J,10,FALSE),"-")</f>
        <v>-</v>
      </c>
      <c r="Y98" s="26"/>
      <c r="Z98" s="27" t="str">
        <f t="shared" si="3"/>
        <v>Por iniciar</v>
      </c>
    </row>
    <row r="99" spans="1:26">
      <c r="A99" s="20" t="str">
        <f t="shared" si="2"/>
        <v>ENTITYEC_GRP_NM45596</v>
      </c>
      <c r="B99" s="66">
        <f t="array" ref="B99">+MAX(IF('ID1&amp;5'!A:A='1. Status'!A99&amp;'1. Status'!$B$10,'ID1&amp;5'!K:K))</f>
        <v>0</v>
      </c>
      <c r="C99" s="60">
        <f t="array" ref="C99">+MAX(IF('ID1&amp;5'!A:A='1. Status'!A99&amp;'1. Status'!$C$10,'ID1&amp;5'!K:K))</f>
        <v>0</v>
      </c>
      <c r="D99" s="60">
        <f t="array" ref="D99">+MAX(IF('ID1&amp;5'!A:A='1. Status'!A99&amp;'1. Status'!$D$10,'ID1&amp;5'!K:K))</f>
        <v>0</v>
      </c>
      <c r="E99" s="60">
        <f t="array" ref="E99">+MAX(IF('ID1&amp;5'!A:A='1. Status'!A99&amp;'1. Status'!$E$10,'ID1&amp;5'!K:K))</f>
        <v>0</v>
      </c>
      <c r="F99" s="67">
        <f t="array" ref="F99">+MAX(IF('ID1&amp;5'!A:A='1. Status'!A99&amp;'1. Status'!$F$10,'ID1&amp;5'!K:K))</f>
        <v>0</v>
      </c>
      <c r="G99" s="60"/>
      <c r="H99" s="65" t="s">
        <v>127</v>
      </c>
      <c r="I99" s="21" t="s">
        <v>403</v>
      </c>
      <c r="J99" s="26">
        <f>+COUNTIF('ID1&amp;5'!G:G,'1. Status'!I99)</f>
        <v>0</v>
      </c>
      <c r="K99" s="83" t="str">
        <f>+IFERROR(VLOOKUP(CONCATENATE(A99,$B$10,B99),'ID1&amp;5'!B:J,8,FALSE),"-")</f>
        <v>-</v>
      </c>
      <c r="L99" s="82" t="str">
        <f>+IFERROR(VLOOKUP(B99,'ID1&amp;5'!K:L,2,FALSE),"-")</f>
        <v>-</v>
      </c>
      <c r="M99" s="83" t="str">
        <f>+IFERROR(VLOOKUP(CONCATENATE(A99,$B$10,B99),'ID1&amp;5'!B:J,9,FALSE),"-")</f>
        <v>-</v>
      </c>
      <c r="N99" s="83" t="str">
        <f>+IFERROR(VLOOKUP(CONCATENATE(A99,$C$10,C99),'ID1&amp;5'!B:J,8,FALSE),"-")</f>
        <v>-</v>
      </c>
      <c r="O99" s="82" t="str">
        <f>+IFERROR(VLOOKUP(C99,'ID1&amp;5'!K:L,2,FALSE),"-")</f>
        <v>-</v>
      </c>
      <c r="P99" s="83" t="str">
        <f>+IFERROR(VLOOKUP(CONCATENATE(A99,$C$10,C99),'ID1&amp;5'!B:J,9,FALSE),"-")</f>
        <v>-</v>
      </c>
      <c r="Q99" s="82" t="str">
        <f>+IFERROR(VLOOKUP(D99,'ID1&amp;5'!K:L,2,FALSE),"-")</f>
        <v>-</v>
      </c>
      <c r="R99" s="26" t="str">
        <f>+IFERROR(VLOOKUP(CONCATENATE(A99,$D$10,D99),'ID1&amp;5'!B:J,9,FALSE),"-")</f>
        <v>-</v>
      </c>
      <c r="S99" s="82" t="str">
        <f>+IFERROR(VLOOKUP(E99,'ID1&amp;5'!K:L,2,FALSE),"-")</f>
        <v>-</v>
      </c>
      <c r="T99" s="83" t="str">
        <f>+IFERROR(VLOOKUP(CONCATENATE(A99,$E$10,E99),'ID1&amp;5'!B:J,9,FALSE),"-")</f>
        <v>-</v>
      </c>
      <c r="U99" s="82" t="str">
        <f>+IFERROR(VLOOKUP(F99,'ID1&amp;5'!K:L,2,FALSE),"-")</f>
        <v>-</v>
      </c>
      <c r="V99" s="83" t="str">
        <f>+IFERROR(VLOOKUP(CONCATENATE(A99,$F$10,F99),'ID1&amp;5'!B:J,9,FALSE),"-")</f>
        <v>-</v>
      </c>
      <c r="W99" s="26" t="str">
        <f>+IFERROR(VLOOKUP(A99,'ID6&amp;7'!A:I,9,FALSE),"-")</f>
        <v>-</v>
      </c>
      <c r="X99" s="26" t="str">
        <f>+IFERROR(VLOOKUP(A99,'ID6&amp;7'!A:J,10,FALSE),"-")</f>
        <v>-</v>
      </c>
      <c r="Y99" s="26"/>
      <c r="Z99" s="27" t="str">
        <f t="shared" si="3"/>
        <v>Por iniciar</v>
      </c>
    </row>
    <row r="100" spans="1:26">
      <c r="A100" s="20" t="str">
        <f t="shared" si="2"/>
        <v>ENTITYPRSN_TYP45596</v>
      </c>
      <c r="B100" s="66">
        <f t="array" ref="B100">+MAX(IF('ID1&amp;5'!A:A='1. Status'!A100&amp;'1. Status'!$B$10,'ID1&amp;5'!K:K))</f>
        <v>0</v>
      </c>
      <c r="C100" s="60">
        <f t="array" ref="C100">+MAX(IF('ID1&amp;5'!A:A='1. Status'!A100&amp;'1. Status'!$C$10,'ID1&amp;5'!K:K))</f>
        <v>0</v>
      </c>
      <c r="D100" s="60">
        <f t="array" ref="D100">+MAX(IF('ID1&amp;5'!A:A='1. Status'!A100&amp;'1. Status'!$D$10,'ID1&amp;5'!K:K))</f>
        <v>0</v>
      </c>
      <c r="E100" s="60">
        <f t="array" ref="E100">+MAX(IF('ID1&amp;5'!A:A='1. Status'!A100&amp;'1. Status'!$E$10,'ID1&amp;5'!K:K))</f>
        <v>0</v>
      </c>
      <c r="F100" s="67">
        <f t="array" ref="F100">+MAX(IF('ID1&amp;5'!A:A='1. Status'!A100&amp;'1. Status'!$F$10,'ID1&amp;5'!K:K))</f>
        <v>0</v>
      </c>
      <c r="G100" s="60"/>
      <c r="H100" s="65" t="s">
        <v>127</v>
      </c>
      <c r="I100" s="21" t="s">
        <v>404</v>
      </c>
      <c r="J100" s="26">
        <f>+COUNTIF('ID1&amp;5'!G:G,'1. Status'!I100)</f>
        <v>0</v>
      </c>
      <c r="K100" s="83" t="str">
        <f>+IFERROR(VLOOKUP(CONCATENATE(A100,$B$10,B100),'ID1&amp;5'!B:J,8,FALSE),"-")</f>
        <v>-</v>
      </c>
      <c r="L100" s="82" t="str">
        <f>+IFERROR(VLOOKUP(B100,'ID1&amp;5'!K:L,2,FALSE),"-")</f>
        <v>-</v>
      </c>
      <c r="M100" s="83" t="str">
        <f>+IFERROR(VLOOKUP(CONCATENATE(A100,$B$10,B100),'ID1&amp;5'!B:J,9,FALSE),"-")</f>
        <v>-</v>
      </c>
      <c r="N100" s="83" t="str">
        <f>+IFERROR(VLOOKUP(CONCATENATE(A100,$C$10,C100),'ID1&amp;5'!B:J,8,FALSE),"-")</f>
        <v>-</v>
      </c>
      <c r="O100" s="82" t="str">
        <f>+IFERROR(VLOOKUP(C100,'ID1&amp;5'!K:L,2,FALSE),"-")</f>
        <v>-</v>
      </c>
      <c r="P100" s="83" t="str">
        <f>+IFERROR(VLOOKUP(CONCATENATE(A100,$C$10,C100),'ID1&amp;5'!B:J,9,FALSE),"-")</f>
        <v>-</v>
      </c>
      <c r="Q100" s="82" t="str">
        <f>+IFERROR(VLOOKUP(D100,'ID1&amp;5'!K:L,2,FALSE),"-")</f>
        <v>-</v>
      </c>
      <c r="R100" s="26" t="str">
        <f>+IFERROR(VLOOKUP(CONCATENATE(A100,$D$10,D100),'ID1&amp;5'!B:J,9,FALSE),"-")</f>
        <v>-</v>
      </c>
      <c r="S100" s="82" t="str">
        <f>+IFERROR(VLOOKUP(E100,'ID1&amp;5'!K:L,2,FALSE),"-")</f>
        <v>-</v>
      </c>
      <c r="T100" s="83" t="str">
        <f>+IFERROR(VLOOKUP(CONCATENATE(A100,$E$10,E100),'ID1&amp;5'!B:J,9,FALSE),"-")</f>
        <v>-</v>
      </c>
      <c r="U100" s="82" t="str">
        <f>+IFERROR(VLOOKUP(F100,'ID1&amp;5'!K:L,2,FALSE),"-")</f>
        <v>-</v>
      </c>
      <c r="V100" s="83" t="str">
        <f>+IFERROR(VLOOKUP(CONCATENATE(A100,$F$10,F100),'ID1&amp;5'!B:J,9,FALSE),"-")</f>
        <v>-</v>
      </c>
      <c r="W100" s="26" t="str">
        <f>+IFERROR(VLOOKUP(A100,'ID6&amp;7'!A:I,9,FALSE),"-")</f>
        <v>-</v>
      </c>
      <c r="X100" s="26" t="str">
        <f>+IFERROR(VLOOKUP(A100,'ID6&amp;7'!A:J,10,FALSE),"-")</f>
        <v>-</v>
      </c>
      <c r="Y100" s="26"/>
      <c r="Z100" s="27" t="str">
        <f t="shared" si="3"/>
        <v>Por iniciar</v>
      </c>
    </row>
    <row r="101" spans="1:26">
      <c r="A101" s="20" t="str">
        <f t="shared" si="2"/>
        <v>ENTITYFR_CSH_FLW45596</v>
      </c>
      <c r="B101" s="66">
        <f t="array" ref="B101">+MAX(IF('ID1&amp;5'!A:A='1. Status'!A101&amp;'1. Status'!$B$10,'ID1&amp;5'!K:K))</f>
        <v>0</v>
      </c>
      <c r="C101" s="60">
        <f t="array" ref="C101">+MAX(IF('ID1&amp;5'!A:A='1. Status'!A101&amp;'1. Status'!$C$10,'ID1&amp;5'!K:K))</f>
        <v>0</v>
      </c>
      <c r="D101" s="60">
        <f t="array" ref="D101">+MAX(IF('ID1&amp;5'!A:A='1. Status'!A101&amp;'1. Status'!$D$10,'ID1&amp;5'!K:K))</f>
        <v>0</v>
      </c>
      <c r="E101" s="60">
        <f t="array" ref="E101">+MAX(IF('ID1&amp;5'!A:A='1. Status'!A101&amp;'1. Status'!$E$10,'ID1&amp;5'!K:K))</f>
        <v>0</v>
      </c>
      <c r="F101" s="67">
        <f t="array" ref="F101">+MAX(IF('ID1&amp;5'!A:A='1. Status'!A101&amp;'1. Status'!$F$10,'ID1&amp;5'!K:K))</f>
        <v>0</v>
      </c>
      <c r="G101" s="60"/>
      <c r="H101" s="65" t="s">
        <v>127</v>
      </c>
      <c r="I101" s="21" t="s">
        <v>405</v>
      </c>
      <c r="J101" s="26">
        <f>+COUNTIF('ID1&amp;5'!G:G,'1. Status'!I101)</f>
        <v>0</v>
      </c>
      <c r="K101" s="83" t="str">
        <f>+IFERROR(VLOOKUP(CONCATENATE(A101,$B$10,B101),'ID1&amp;5'!B:J,8,FALSE),"-")</f>
        <v>-</v>
      </c>
      <c r="L101" s="82" t="str">
        <f>+IFERROR(VLOOKUP(B101,'ID1&amp;5'!K:L,2,FALSE),"-")</f>
        <v>-</v>
      </c>
      <c r="M101" s="83" t="str">
        <f>+IFERROR(VLOOKUP(CONCATENATE(A101,$B$10,B101),'ID1&amp;5'!B:J,9,FALSE),"-")</f>
        <v>-</v>
      </c>
      <c r="N101" s="83" t="str">
        <f>+IFERROR(VLOOKUP(CONCATENATE(A101,$C$10,C101),'ID1&amp;5'!B:J,8,FALSE),"-")</f>
        <v>-</v>
      </c>
      <c r="O101" s="82" t="str">
        <f>+IFERROR(VLOOKUP(C101,'ID1&amp;5'!K:L,2,FALSE),"-")</f>
        <v>-</v>
      </c>
      <c r="P101" s="83" t="str">
        <f>+IFERROR(VLOOKUP(CONCATENATE(A101,$C$10,C101),'ID1&amp;5'!B:J,9,FALSE),"-")</f>
        <v>-</v>
      </c>
      <c r="Q101" s="82" t="str">
        <f>+IFERROR(VLOOKUP(D101,'ID1&amp;5'!K:L,2,FALSE),"-")</f>
        <v>-</v>
      </c>
      <c r="R101" s="26" t="str">
        <f>+IFERROR(VLOOKUP(CONCATENATE(A101,$D$10,D101),'ID1&amp;5'!B:J,9,FALSE),"-")</f>
        <v>-</v>
      </c>
      <c r="S101" s="82" t="str">
        <f>+IFERROR(VLOOKUP(E101,'ID1&amp;5'!K:L,2,FALSE),"-")</f>
        <v>-</v>
      </c>
      <c r="T101" s="83" t="str">
        <f>+IFERROR(VLOOKUP(CONCATENATE(A101,$E$10,E101),'ID1&amp;5'!B:J,9,FALSE),"-")</f>
        <v>-</v>
      </c>
      <c r="U101" s="82" t="str">
        <f>+IFERROR(VLOOKUP(F101,'ID1&amp;5'!K:L,2,FALSE),"-")</f>
        <v>-</v>
      </c>
      <c r="V101" s="83" t="str">
        <f>+IFERROR(VLOOKUP(CONCATENATE(A101,$F$10,F101),'ID1&amp;5'!B:J,9,FALSE),"-")</f>
        <v>-</v>
      </c>
      <c r="W101" s="26" t="str">
        <f>+IFERROR(VLOOKUP(A101,'ID6&amp;7'!A:I,9,FALSE),"-")</f>
        <v>-</v>
      </c>
      <c r="X101" s="26" t="str">
        <f>+IFERROR(VLOOKUP(A101,'ID6&amp;7'!A:J,10,FALSE),"-")</f>
        <v>-</v>
      </c>
      <c r="Y101" s="26"/>
      <c r="Z101" s="27" t="str">
        <f t="shared" si="3"/>
        <v>Por iniciar</v>
      </c>
    </row>
    <row r="102" spans="1:26">
      <c r="A102" s="20" t="str">
        <f t="shared" si="2"/>
        <v>ENTITYFR_CSH_FLW_T145596</v>
      </c>
      <c r="B102" s="66">
        <f t="array" ref="B102">+MAX(IF('ID1&amp;5'!A:A='1. Status'!A102&amp;'1. Status'!$B$10,'ID1&amp;5'!K:K))</f>
        <v>0</v>
      </c>
      <c r="C102" s="60">
        <f t="array" ref="C102">+MAX(IF('ID1&amp;5'!A:A='1. Status'!A102&amp;'1. Status'!$C$10,'ID1&amp;5'!K:K))</f>
        <v>0</v>
      </c>
      <c r="D102" s="60">
        <f t="array" ref="D102">+MAX(IF('ID1&amp;5'!A:A='1. Status'!A102&amp;'1. Status'!$D$10,'ID1&amp;5'!K:K))</f>
        <v>0</v>
      </c>
      <c r="E102" s="60">
        <f t="array" ref="E102">+MAX(IF('ID1&amp;5'!A:A='1. Status'!A102&amp;'1. Status'!$E$10,'ID1&amp;5'!K:K))</f>
        <v>0</v>
      </c>
      <c r="F102" s="67">
        <f t="array" ref="F102">+MAX(IF('ID1&amp;5'!A:A='1. Status'!A102&amp;'1. Status'!$F$10,'ID1&amp;5'!K:K))</f>
        <v>0</v>
      </c>
      <c r="G102" s="60"/>
      <c r="H102" s="65" t="s">
        <v>127</v>
      </c>
      <c r="I102" s="21" t="s">
        <v>406</v>
      </c>
      <c r="J102" s="26">
        <f>+COUNTIF('ID1&amp;5'!G:G,'1. Status'!I102)</f>
        <v>0</v>
      </c>
      <c r="K102" s="83" t="str">
        <f>+IFERROR(VLOOKUP(CONCATENATE(A102,$B$10,B102),'ID1&amp;5'!B:J,8,FALSE),"-")</f>
        <v>-</v>
      </c>
      <c r="L102" s="82" t="str">
        <f>+IFERROR(VLOOKUP(B102,'ID1&amp;5'!K:L,2,FALSE),"-")</f>
        <v>-</v>
      </c>
      <c r="M102" s="83" t="str">
        <f>+IFERROR(VLOOKUP(CONCATENATE(A102,$B$10,B102),'ID1&amp;5'!B:J,9,FALSE),"-")</f>
        <v>-</v>
      </c>
      <c r="N102" s="83" t="str">
        <f>+IFERROR(VLOOKUP(CONCATENATE(A102,$C$10,C102),'ID1&amp;5'!B:J,8,FALSE),"-")</f>
        <v>-</v>
      </c>
      <c r="O102" s="82" t="str">
        <f>+IFERROR(VLOOKUP(C102,'ID1&amp;5'!K:L,2,FALSE),"-")</f>
        <v>-</v>
      </c>
      <c r="P102" s="83" t="str">
        <f>+IFERROR(VLOOKUP(CONCATENATE(A102,$C$10,C102),'ID1&amp;5'!B:J,9,FALSE),"-")</f>
        <v>-</v>
      </c>
      <c r="Q102" s="82" t="str">
        <f>+IFERROR(VLOOKUP(D102,'ID1&amp;5'!K:L,2,FALSE),"-")</f>
        <v>-</v>
      </c>
      <c r="R102" s="26" t="str">
        <f>+IFERROR(VLOOKUP(CONCATENATE(A102,$D$10,D102),'ID1&amp;5'!B:J,9,FALSE),"-")</f>
        <v>-</v>
      </c>
      <c r="S102" s="82" t="str">
        <f>+IFERROR(VLOOKUP(E102,'ID1&amp;5'!K:L,2,FALSE),"-")</f>
        <v>-</v>
      </c>
      <c r="T102" s="83" t="str">
        <f>+IFERROR(VLOOKUP(CONCATENATE(A102,$E$10,E102),'ID1&amp;5'!B:J,9,FALSE),"-")</f>
        <v>-</v>
      </c>
      <c r="U102" s="82" t="str">
        <f>+IFERROR(VLOOKUP(F102,'ID1&amp;5'!K:L,2,FALSE),"-")</f>
        <v>-</v>
      </c>
      <c r="V102" s="83" t="str">
        <f>+IFERROR(VLOOKUP(CONCATENATE(A102,$F$10,F102),'ID1&amp;5'!B:J,9,FALSE),"-")</f>
        <v>-</v>
      </c>
      <c r="W102" s="26" t="str">
        <f>+IFERROR(VLOOKUP(A102,'ID6&amp;7'!A:I,9,FALSE),"-")</f>
        <v>-</v>
      </c>
      <c r="X102" s="26" t="str">
        <f>+IFERROR(VLOOKUP(A102,'ID6&amp;7'!A:J,10,FALSE),"-")</f>
        <v>-</v>
      </c>
      <c r="Y102" s="26"/>
      <c r="Z102" s="27" t="str">
        <f t="shared" si="3"/>
        <v>Por iniciar</v>
      </c>
    </row>
    <row r="103" spans="1:26">
      <c r="A103" s="20" t="str">
        <f t="shared" si="2"/>
        <v>ENTITYFR_CSH_FLW_T245596</v>
      </c>
      <c r="B103" s="66">
        <f t="array" ref="B103">+MAX(IF('ID1&amp;5'!A:A='1. Status'!A103&amp;'1. Status'!$B$10,'ID1&amp;5'!K:K))</f>
        <v>0</v>
      </c>
      <c r="C103" s="60">
        <f t="array" ref="C103">+MAX(IF('ID1&amp;5'!A:A='1. Status'!A103&amp;'1. Status'!$C$10,'ID1&amp;5'!K:K))</f>
        <v>0</v>
      </c>
      <c r="D103" s="60">
        <f t="array" ref="D103">+MAX(IF('ID1&amp;5'!A:A='1. Status'!A103&amp;'1. Status'!$D$10,'ID1&amp;5'!K:K))</f>
        <v>0</v>
      </c>
      <c r="E103" s="60">
        <f t="array" ref="E103">+MAX(IF('ID1&amp;5'!A:A='1. Status'!A103&amp;'1. Status'!$E$10,'ID1&amp;5'!K:K))</f>
        <v>0</v>
      </c>
      <c r="F103" s="67">
        <f t="array" ref="F103">+MAX(IF('ID1&amp;5'!A:A='1. Status'!A103&amp;'1. Status'!$F$10,'ID1&amp;5'!K:K))</f>
        <v>0</v>
      </c>
      <c r="G103" s="60"/>
      <c r="H103" s="65" t="s">
        <v>127</v>
      </c>
      <c r="I103" s="21" t="s">
        <v>407</v>
      </c>
      <c r="J103" s="26">
        <f>+COUNTIF('ID1&amp;5'!G:G,'1. Status'!I103)</f>
        <v>0</v>
      </c>
      <c r="K103" s="83" t="str">
        <f>+IFERROR(VLOOKUP(CONCATENATE(A103,$B$10,B103),'ID1&amp;5'!B:J,8,FALSE),"-")</f>
        <v>-</v>
      </c>
      <c r="L103" s="82" t="str">
        <f>+IFERROR(VLOOKUP(B103,'ID1&amp;5'!K:L,2,FALSE),"-")</f>
        <v>-</v>
      </c>
      <c r="M103" s="83" t="str">
        <f>+IFERROR(VLOOKUP(CONCATENATE(A103,$B$10,B103),'ID1&amp;5'!B:J,9,FALSE),"-")</f>
        <v>-</v>
      </c>
      <c r="N103" s="83" t="str">
        <f>+IFERROR(VLOOKUP(CONCATENATE(A103,$C$10,C103),'ID1&amp;5'!B:J,8,FALSE),"-")</f>
        <v>-</v>
      </c>
      <c r="O103" s="82" t="str">
        <f>+IFERROR(VLOOKUP(C103,'ID1&amp;5'!K:L,2,FALSE),"-")</f>
        <v>-</v>
      </c>
      <c r="P103" s="83" t="str">
        <f>+IFERROR(VLOOKUP(CONCATENATE(A103,$C$10,C103),'ID1&amp;5'!B:J,9,FALSE),"-")</f>
        <v>-</v>
      </c>
      <c r="Q103" s="82" t="str">
        <f>+IFERROR(VLOOKUP(D103,'ID1&amp;5'!K:L,2,FALSE),"-")</f>
        <v>-</v>
      </c>
      <c r="R103" s="26" t="str">
        <f>+IFERROR(VLOOKUP(CONCATENATE(A103,$D$10,D103),'ID1&amp;5'!B:J,9,FALSE),"-")</f>
        <v>-</v>
      </c>
      <c r="S103" s="82" t="str">
        <f>+IFERROR(VLOOKUP(E103,'ID1&amp;5'!K:L,2,FALSE),"-")</f>
        <v>-</v>
      </c>
      <c r="T103" s="83" t="str">
        <f>+IFERROR(VLOOKUP(CONCATENATE(A103,$E$10,E103),'ID1&amp;5'!B:J,9,FALSE),"-")</f>
        <v>-</v>
      </c>
      <c r="U103" s="82" t="str">
        <f>+IFERROR(VLOOKUP(F103,'ID1&amp;5'!K:L,2,FALSE),"-")</f>
        <v>-</v>
      </c>
      <c r="V103" s="83" t="str">
        <f>+IFERROR(VLOOKUP(CONCATENATE(A103,$F$10,F103),'ID1&amp;5'!B:J,9,FALSE),"-")</f>
        <v>-</v>
      </c>
      <c r="W103" s="26" t="str">
        <f>+IFERROR(VLOOKUP(A103,'ID6&amp;7'!A:I,9,FALSE),"-")</f>
        <v>-</v>
      </c>
      <c r="X103" s="26" t="str">
        <f>+IFERROR(VLOOKUP(A103,'ID6&amp;7'!A:J,10,FALSE),"-")</f>
        <v>-</v>
      </c>
      <c r="Y103" s="26"/>
      <c r="Z103" s="27" t="str">
        <f t="shared" si="3"/>
        <v>Por iniciar</v>
      </c>
    </row>
    <row r="104" spans="1:26">
      <c r="A104" s="20" t="str">
        <f t="shared" si="2"/>
        <v>ENTITYFR_CSH_FLW_T345596</v>
      </c>
      <c r="B104" s="66">
        <f t="array" ref="B104">+MAX(IF('ID1&amp;5'!A:A='1. Status'!A104&amp;'1. Status'!$B$10,'ID1&amp;5'!K:K))</f>
        <v>0</v>
      </c>
      <c r="C104" s="60">
        <f t="array" ref="C104">+MAX(IF('ID1&amp;5'!A:A='1. Status'!A104&amp;'1. Status'!$C$10,'ID1&amp;5'!K:K))</f>
        <v>0</v>
      </c>
      <c r="D104" s="60">
        <f t="array" ref="D104">+MAX(IF('ID1&amp;5'!A:A='1. Status'!A104&amp;'1. Status'!$D$10,'ID1&amp;5'!K:K))</f>
        <v>0</v>
      </c>
      <c r="E104" s="60">
        <f t="array" ref="E104">+MAX(IF('ID1&amp;5'!A:A='1. Status'!A104&amp;'1. Status'!$E$10,'ID1&amp;5'!K:K))</f>
        <v>0</v>
      </c>
      <c r="F104" s="67">
        <f t="array" ref="F104">+MAX(IF('ID1&amp;5'!A:A='1. Status'!A104&amp;'1. Status'!$F$10,'ID1&amp;5'!K:K))</f>
        <v>0</v>
      </c>
      <c r="G104" s="60"/>
      <c r="H104" s="65" t="s">
        <v>127</v>
      </c>
      <c r="I104" s="21" t="s">
        <v>408</v>
      </c>
      <c r="J104" s="26">
        <f>+COUNTIF('ID1&amp;5'!G:G,'1. Status'!I104)</f>
        <v>0</v>
      </c>
      <c r="K104" s="83" t="str">
        <f>+IFERROR(VLOOKUP(CONCATENATE(A104,$B$10,B104),'ID1&amp;5'!B:J,8,FALSE),"-")</f>
        <v>-</v>
      </c>
      <c r="L104" s="82" t="str">
        <f>+IFERROR(VLOOKUP(B104,'ID1&amp;5'!K:L,2,FALSE),"-")</f>
        <v>-</v>
      </c>
      <c r="M104" s="83" t="str">
        <f>+IFERROR(VLOOKUP(CONCATENATE(A104,$B$10,B104),'ID1&amp;5'!B:J,9,FALSE),"-")</f>
        <v>-</v>
      </c>
      <c r="N104" s="83" t="str">
        <f>+IFERROR(VLOOKUP(CONCATENATE(A104,$C$10,C104),'ID1&amp;5'!B:J,8,FALSE),"-")</f>
        <v>-</v>
      </c>
      <c r="O104" s="82" t="str">
        <f>+IFERROR(VLOOKUP(C104,'ID1&amp;5'!K:L,2,FALSE),"-")</f>
        <v>-</v>
      </c>
      <c r="P104" s="83" t="str">
        <f>+IFERROR(VLOOKUP(CONCATENATE(A104,$C$10,C104),'ID1&amp;5'!B:J,9,FALSE),"-")</f>
        <v>-</v>
      </c>
      <c r="Q104" s="82" t="str">
        <f>+IFERROR(VLOOKUP(D104,'ID1&amp;5'!K:L,2,FALSE),"-")</f>
        <v>-</v>
      </c>
      <c r="R104" s="26" t="str">
        <f>+IFERROR(VLOOKUP(CONCATENATE(A104,$D$10,D104),'ID1&amp;5'!B:J,9,FALSE),"-")</f>
        <v>-</v>
      </c>
      <c r="S104" s="82" t="str">
        <f>+IFERROR(VLOOKUP(E104,'ID1&amp;5'!K:L,2,FALSE),"-")</f>
        <v>-</v>
      </c>
      <c r="T104" s="83" t="str">
        <f>+IFERROR(VLOOKUP(CONCATENATE(A104,$E$10,E104),'ID1&amp;5'!B:J,9,FALSE),"-")</f>
        <v>-</v>
      </c>
      <c r="U104" s="82" t="str">
        <f>+IFERROR(VLOOKUP(F104,'ID1&amp;5'!K:L,2,FALSE),"-")</f>
        <v>-</v>
      </c>
      <c r="V104" s="83" t="str">
        <f>+IFERROR(VLOOKUP(CONCATENATE(A104,$F$10,F104),'ID1&amp;5'!B:J,9,FALSE),"-")</f>
        <v>-</v>
      </c>
      <c r="W104" s="26" t="str">
        <f>+IFERROR(VLOOKUP(A104,'ID6&amp;7'!A:I,9,FALSE),"-")</f>
        <v>-</v>
      </c>
      <c r="X104" s="26" t="str">
        <f>+IFERROR(VLOOKUP(A104,'ID6&amp;7'!A:J,10,FALSE),"-")</f>
        <v>-</v>
      </c>
      <c r="Y104" s="26"/>
      <c r="Z104" s="27" t="str">
        <f t="shared" si="3"/>
        <v>Por iniciar</v>
      </c>
    </row>
    <row r="105" spans="1:26">
      <c r="A105" s="20" t="str">
        <f t="shared" si="2"/>
        <v>ENTITYADDRSS_CTY45596</v>
      </c>
      <c r="B105" s="66">
        <f t="array" ref="B105">+MAX(IF('ID1&amp;5'!A:A='1. Status'!A105&amp;'1. Status'!$B$10,'ID1&amp;5'!K:K))</f>
        <v>0</v>
      </c>
      <c r="C105" s="60">
        <f t="array" ref="C105">+MAX(IF('ID1&amp;5'!A:A='1. Status'!A105&amp;'1. Status'!$C$10,'ID1&amp;5'!K:K))</f>
        <v>0</v>
      </c>
      <c r="D105" s="60">
        <f t="array" ref="D105">+MAX(IF('ID1&amp;5'!A:A='1. Status'!A105&amp;'1. Status'!$D$10,'ID1&amp;5'!K:K))</f>
        <v>0</v>
      </c>
      <c r="E105" s="60">
        <f t="array" ref="E105">+MAX(IF('ID1&amp;5'!A:A='1. Status'!A105&amp;'1. Status'!$E$10,'ID1&amp;5'!K:K))</f>
        <v>0</v>
      </c>
      <c r="F105" s="67">
        <f t="array" ref="F105">+MAX(IF('ID1&amp;5'!A:A='1. Status'!A105&amp;'1. Status'!$F$10,'ID1&amp;5'!K:K))</f>
        <v>0</v>
      </c>
      <c r="G105" s="60"/>
      <c r="H105" s="65" t="s">
        <v>127</v>
      </c>
      <c r="I105" s="21" t="s">
        <v>409</v>
      </c>
      <c r="J105" s="26">
        <f>+COUNTIF('ID1&amp;5'!G:G,'1. Status'!I105)</f>
        <v>0</v>
      </c>
      <c r="K105" s="83" t="str">
        <f>+IFERROR(VLOOKUP(CONCATENATE(A105,$B$10,B105),'ID1&amp;5'!B:J,8,FALSE),"-")</f>
        <v>-</v>
      </c>
      <c r="L105" s="82" t="str">
        <f>+IFERROR(VLOOKUP(B105,'ID1&amp;5'!K:L,2,FALSE),"-")</f>
        <v>-</v>
      </c>
      <c r="M105" s="83" t="str">
        <f>+IFERROR(VLOOKUP(CONCATENATE(A105,$B$10,B105),'ID1&amp;5'!B:J,9,FALSE),"-")</f>
        <v>-</v>
      </c>
      <c r="N105" s="83" t="str">
        <f>+IFERROR(VLOOKUP(CONCATENATE(A105,$C$10,C105),'ID1&amp;5'!B:J,8,FALSE),"-")</f>
        <v>-</v>
      </c>
      <c r="O105" s="82" t="str">
        <f>+IFERROR(VLOOKUP(C105,'ID1&amp;5'!K:L,2,FALSE),"-")</f>
        <v>-</v>
      </c>
      <c r="P105" s="83" t="str">
        <f>+IFERROR(VLOOKUP(CONCATENATE(A105,$C$10,C105),'ID1&amp;5'!B:J,9,FALSE),"-")</f>
        <v>-</v>
      </c>
      <c r="Q105" s="82" t="str">
        <f>+IFERROR(VLOOKUP(D105,'ID1&amp;5'!K:L,2,FALSE),"-")</f>
        <v>-</v>
      </c>
      <c r="R105" s="26" t="str">
        <f>+IFERROR(VLOOKUP(CONCATENATE(A105,$D$10,D105),'ID1&amp;5'!B:J,9,FALSE),"-")</f>
        <v>-</v>
      </c>
      <c r="S105" s="82" t="str">
        <f>+IFERROR(VLOOKUP(E105,'ID1&amp;5'!K:L,2,FALSE),"-")</f>
        <v>-</v>
      </c>
      <c r="T105" s="83" t="str">
        <f>+IFERROR(VLOOKUP(CONCATENATE(A105,$E$10,E105),'ID1&amp;5'!B:J,9,FALSE),"-")</f>
        <v>-</v>
      </c>
      <c r="U105" s="82" t="str">
        <f>+IFERROR(VLOOKUP(F105,'ID1&amp;5'!K:L,2,FALSE),"-")</f>
        <v>-</v>
      </c>
      <c r="V105" s="83" t="str">
        <f>+IFERROR(VLOOKUP(CONCATENATE(A105,$F$10,F105),'ID1&amp;5'!B:J,9,FALSE),"-")</f>
        <v>-</v>
      </c>
      <c r="W105" s="26" t="str">
        <f>+IFERROR(VLOOKUP(A105,'ID6&amp;7'!A:I,9,FALSE),"-")</f>
        <v>-</v>
      </c>
      <c r="X105" s="26" t="str">
        <f>+IFERROR(VLOOKUP(A105,'ID6&amp;7'!A:J,10,FALSE),"-")</f>
        <v>-</v>
      </c>
      <c r="Y105" s="26"/>
      <c r="Z105" s="27" t="str">
        <f t="shared" si="3"/>
        <v>Por iniciar</v>
      </c>
    </row>
    <row r="106" spans="1:26">
      <c r="A106" s="20" t="str">
        <f t="shared" si="2"/>
        <v>ENTITYADDRSS_STRT45596</v>
      </c>
      <c r="B106" s="66">
        <f t="array" ref="B106">+MAX(IF('ID1&amp;5'!A:A='1. Status'!A106&amp;'1. Status'!$B$10,'ID1&amp;5'!K:K))</f>
        <v>0</v>
      </c>
      <c r="C106" s="60">
        <f t="array" ref="C106">+MAX(IF('ID1&amp;5'!A:A='1. Status'!A106&amp;'1. Status'!$C$10,'ID1&amp;5'!K:K))</f>
        <v>0</v>
      </c>
      <c r="D106" s="60">
        <f t="array" ref="D106">+MAX(IF('ID1&amp;5'!A:A='1. Status'!A106&amp;'1. Status'!$D$10,'ID1&amp;5'!K:K))</f>
        <v>0</v>
      </c>
      <c r="E106" s="60">
        <f t="array" ref="E106">+MAX(IF('ID1&amp;5'!A:A='1. Status'!A106&amp;'1. Status'!$E$10,'ID1&amp;5'!K:K))</f>
        <v>0</v>
      </c>
      <c r="F106" s="67">
        <f t="array" ref="F106">+MAX(IF('ID1&amp;5'!A:A='1. Status'!A106&amp;'1. Status'!$F$10,'ID1&amp;5'!K:K))</f>
        <v>0</v>
      </c>
      <c r="G106" s="60"/>
      <c r="H106" s="65" t="s">
        <v>127</v>
      </c>
      <c r="I106" s="21" t="s">
        <v>410</v>
      </c>
      <c r="J106" s="26">
        <f>+COUNTIF('ID1&amp;5'!G:G,'1. Status'!I106)</f>
        <v>0</v>
      </c>
      <c r="K106" s="83" t="str">
        <f>+IFERROR(VLOOKUP(CONCATENATE(A106,$B$10,B106),'ID1&amp;5'!B:J,8,FALSE),"-")</f>
        <v>-</v>
      </c>
      <c r="L106" s="82" t="str">
        <f>+IFERROR(VLOOKUP(B106,'ID1&amp;5'!K:L,2,FALSE),"-")</f>
        <v>-</v>
      </c>
      <c r="M106" s="83" t="str">
        <f>+IFERROR(VLOOKUP(CONCATENATE(A106,$B$10,B106),'ID1&amp;5'!B:J,9,FALSE),"-")</f>
        <v>-</v>
      </c>
      <c r="N106" s="83" t="str">
        <f>+IFERROR(VLOOKUP(CONCATENATE(A106,$C$10,C106),'ID1&amp;5'!B:J,8,FALSE),"-")</f>
        <v>-</v>
      </c>
      <c r="O106" s="82" t="str">
        <f>+IFERROR(VLOOKUP(C106,'ID1&amp;5'!K:L,2,FALSE),"-")</f>
        <v>-</v>
      </c>
      <c r="P106" s="83" t="str">
        <f>+IFERROR(VLOOKUP(CONCATENATE(A106,$C$10,C106),'ID1&amp;5'!B:J,9,FALSE),"-")</f>
        <v>-</v>
      </c>
      <c r="Q106" s="82" t="str">
        <f>+IFERROR(VLOOKUP(D106,'ID1&amp;5'!K:L,2,FALSE),"-")</f>
        <v>-</v>
      </c>
      <c r="R106" s="26" t="str">
        <f>+IFERROR(VLOOKUP(CONCATENATE(A106,$D$10,D106),'ID1&amp;5'!B:J,9,FALSE),"-")</f>
        <v>-</v>
      </c>
      <c r="S106" s="82" t="str">
        <f>+IFERROR(VLOOKUP(E106,'ID1&amp;5'!K:L,2,FALSE),"-")</f>
        <v>-</v>
      </c>
      <c r="T106" s="83" t="str">
        <f>+IFERROR(VLOOKUP(CONCATENATE(A106,$E$10,E106),'ID1&amp;5'!B:J,9,FALSE),"-")</f>
        <v>-</v>
      </c>
      <c r="U106" s="82" t="str">
        <f>+IFERROR(VLOOKUP(F106,'ID1&amp;5'!K:L,2,FALSE),"-")</f>
        <v>-</v>
      </c>
      <c r="V106" s="83" t="str">
        <f>+IFERROR(VLOOKUP(CONCATENATE(A106,$F$10,F106),'ID1&amp;5'!B:J,9,FALSE),"-")</f>
        <v>-</v>
      </c>
      <c r="W106" s="26" t="str">
        <f>+IFERROR(VLOOKUP(A106,'ID6&amp;7'!A:I,9,FALSE),"-")</f>
        <v>-</v>
      </c>
      <c r="X106" s="26" t="str">
        <f>+IFERROR(VLOOKUP(A106,'ID6&amp;7'!A:J,10,FALSE),"-")</f>
        <v>-</v>
      </c>
      <c r="Y106" s="26"/>
      <c r="Z106" s="27" t="str">
        <f t="shared" si="3"/>
        <v>Por iniciar</v>
      </c>
    </row>
    <row r="107" spans="1:26">
      <c r="A107" s="20" t="str">
        <f t="shared" si="2"/>
        <v>ENTITYDT_ENTRPRS_SZ45596</v>
      </c>
      <c r="B107" s="66">
        <f t="array" ref="B107">+MAX(IF('ID1&amp;5'!A:A='1. Status'!A107&amp;'1. Status'!$B$10,'ID1&amp;5'!K:K))</f>
        <v>0</v>
      </c>
      <c r="C107" s="60">
        <f t="array" ref="C107">+MAX(IF('ID1&amp;5'!A:A='1. Status'!A107&amp;'1. Status'!$C$10,'ID1&amp;5'!K:K))</f>
        <v>0</v>
      </c>
      <c r="D107" s="60">
        <f t="array" ref="D107">+MAX(IF('ID1&amp;5'!A:A='1. Status'!A107&amp;'1. Status'!$D$10,'ID1&amp;5'!K:K))</f>
        <v>0</v>
      </c>
      <c r="E107" s="60">
        <f t="array" ref="E107">+MAX(IF('ID1&amp;5'!A:A='1. Status'!A107&amp;'1. Status'!$E$10,'ID1&amp;5'!K:K))</f>
        <v>0</v>
      </c>
      <c r="F107" s="67">
        <f t="array" ref="F107">+MAX(IF('ID1&amp;5'!A:A='1. Status'!A107&amp;'1. Status'!$F$10,'ID1&amp;5'!K:K))</f>
        <v>0</v>
      </c>
      <c r="G107" s="60"/>
      <c r="H107" s="65" t="s">
        <v>127</v>
      </c>
      <c r="I107" s="21" t="s">
        <v>411</v>
      </c>
      <c r="J107" s="26">
        <f>+COUNTIF('ID1&amp;5'!G:G,'1. Status'!I107)</f>
        <v>0</v>
      </c>
      <c r="K107" s="83" t="str">
        <f>+IFERROR(VLOOKUP(CONCATENATE(A107,$B$10,B107),'ID1&amp;5'!B:J,8,FALSE),"-")</f>
        <v>-</v>
      </c>
      <c r="L107" s="82" t="str">
        <f>+IFERROR(VLOOKUP(B107,'ID1&amp;5'!K:L,2,FALSE),"-")</f>
        <v>-</v>
      </c>
      <c r="M107" s="83" t="str">
        <f>+IFERROR(VLOOKUP(CONCATENATE(A107,$B$10,B107),'ID1&amp;5'!B:J,9,FALSE),"-")</f>
        <v>-</v>
      </c>
      <c r="N107" s="83" t="str">
        <f>+IFERROR(VLOOKUP(CONCATENATE(A107,$C$10,C107),'ID1&amp;5'!B:J,8,FALSE),"-")</f>
        <v>-</v>
      </c>
      <c r="O107" s="82" t="str">
        <f>+IFERROR(VLOOKUP(C107,'ID1&amp;5'!K:L,2,FALSE),"-")</f>
        <v>-</v>
      </c>
      <c r="P107" s="83" t="str">
        <f>+IFERROR(VLOOKUP(CONCATENATE(A107,$C$10,C107),'ID1&amp;5'!B:J,9,FALSE),"-")</f>
        <v>-</v>
      </c>
      <c r="Q107" s="82" t="str">
        <f>+IFERROR(VLOOKUP(D107,'ID1&amp;5'!K:L,2,FALSE),"-")</f>
        <v>-</v>
      </c>
      <c r="R107" s="26" t="str">
        <f>+IFERROR(VLOOKUP(CONCATENATE(A107,$D$10,D107),'ID1&amp;5'!B:J,9,FALSE),"-")</f>
        <v>-</v>
      </c>
      <c r="S107" s="82" t="str">
        <f>+IFERROR(VLOOKUP(E107,'ID1&amp;5'!K:L,2,FALSE),"-")</f>
        <v>-</v>
      </c>
      <c r="T107" s="83" t="str">
        <f>+IFERROR(VLOOKUP(CONCATENATE(A107,$E$10,E107),'ID1&amp;5'!B:J,9,FALSE),"-")</f>
        <v>-</v>
      </c>
      <c r="U107" s="82" t="str">
        <f>+IFERROR(VLOOKUP(F107,'ID1&amp;5'!K:L,2,FALSE),"-")</f>
        <v>-</v>
      </c>
      <c r="V107" s="83" t="str">
        <f>+IFERROR(VLOOKUP(CONCATENATE(A107,$F$10,F107),'ID1&amp;5'!B:J,9,FALSE),"-")</f>
        <v>-</v>
      </c>
      <c r="W107" s="26" t="str">
        <f>+IFERROR(VLOOKUP(A107,'ID6&amp;7'!A:I,9,FALSE),"-")</f>
        <v>-</v>
      </c>
      <c r="X107" s="26" t="str">
        <f>+IFERROR(VLOOKUP(A107,'ID6&amp;7'!A:J,10,FALSE),"-")</f>
        <v>-</v>
      </c>
      <c r="Y107" s="26"/>
      <c r="Z107" s="27" t="str">
        <f t="shared" si="3"/>
        <v>Por iniciar</v>
      </c>
    </row>
    <row r="108" spans="1:26">
      <c r="A108" s="20" t="str">
        <f t="shared" si="2"/>
        <v>ENTITYNMBR_EMPLYS45596</v>
      </c>
      <c r="B108" s="66">
        <f t="array" ref="B108">+MAX(IF('ID1&amp;5'!A:A='1. Status'!A108&amp;'1. Status'!$B$10,'ID1&amp;5'!K:K))</f>
        <v>0</v>
      </c>
      <c r="C108" s="60">
        <f t="array" ref="C108">+MAX(IF('ID1&amp;5'!A:A='1. Status'!A108&amp;'1. Status'!$C$10,'ID1&amp;5'!K:K))</f>
        <v>0</v>
      </c>
      <c r="D108" s="60">
        <f t="array" ref="D108">+MAX(IF('ID1&amp;5'!A:A='1. Status'!A108&amp;'1. Status'!$D$10,'ID1&amp;5'!K:K))</f>
        <v>0</v>
      </c>
      <c r="E108" s="60">
        <f t="array" ref="E108">+MAX(IF('ID1&amp;5'!A:A='1. Status'!A108&amp;'1. Status'!$E$10,'ID1&amp;5'!K:K))</f>
        <v>0</v>
      </c>
      <c r="F108" s="67">
        <f t="array" ref="F108">+MAX(IF('ID1&amp;5'!A:A='1. Status'!A108&amp;'1. Status'!$F$10,'ID1&amp;5'!K:K))</f>
        <v>0</v>
      </c>
      <c r="G108" s="60"/>
      <c r="H108" s="65" t="s">
        <v>127</v>
      </c>
      <c r="I108" s="21" t="s">
        <v>412</v>
      </c>
      <c r="J108" s="26">
        <f>+COUNTIF('ID1&amp;5'!G:G,'1. Status'!I108)</f>
        <v>0</v>
      </c>
      <c r="K108" s="83" t="str">
        <f>+IFERROR(VLOOKUP(CONCATENATE(A108,$B$10,B108),'ID1&amp;5'!B:J,8,FALSE),"-")</f>
        <v>-</v>
      </c>
      <c r="L108" s="82" t="str">
        <f>+IFERROR(VLOOKUP(B108,'ID1&amp;5'!K:L,2,FALSE),"-")</f>
        <v>-</v>
      </c>
      <c r="M108" s="83" t="str">
        <f>+IFERROR(VLOOKUP(CONCATENATE(A108,$B$10,B108),'ID1&amp;5'!B:J,9,FALSE),"-")</f>
        <v>-</v>
      </c>
      <c r="N108" s="83" t="str">
        <f>+IFERROR(VLOOKUP(CONCATENATE(A108,$C$10,C108),'ID1&amp;5'!B:J,8,FALSE),"-")</f>
        <v>-</v>
      </c>
      <c r="O108" s="82" t="str">
        <f>+IFERROR(VLOOKUP(C108,'ID1&amp;5'!K:L,2,FALSE),"-")</f>
        <v>-</v>
      </c>
      <c r="P108" s="83" t="str">
        <f>+IFERROR(VLOOKUP(CONCATENATE(A108,$C$10,C108),'ID1&amp;5'!B:J,9,FALSE),"-")</f>
        <v>-</v>
      </c>
      <c r="Q108" s="82" t="str">
        <f>+IFERROR(VLOOKUP(D108,'ID1&amp;5'!K:L,2,FALSE),"-")</f>
        <v>-</v>
      </c>
      <c r="R108" s="26" t="str">
        <f>+IFERROR(VLOOKUP(CONCATENATE(A108,$D$10,D108),'ID1&amp;5'!B:J,9,FALSE),"-")</f>
        <v>-</v>
      </c>
      <c r="S108" s="82" t="str">
        <f>+IFERROR(VLOOKUP(E108,'ID1&amp;5'!K:L,2,FALSE),"-")</f>
        <v>-</v>
      </c>
      <c r="T108" s="83" t="str">
        <f>+IFERROR(VLOOKUP(CONCATENATE(A108,$E$10,E108),'ID1&amp;5'!B:J,9,FALSE),"-")</f>
        <v>-</v>
      </c>
      <c r="U108" s="82" t="str">
        <f>+IFERROR(VLOOKUP(F108,'ID1&amp;5'!K:L,2,FALSE),"-")</f>
        <v>-</v>
      </c>
      <c r="V108" s="83" t="str">
        <f>+IFERROR(VLOOKUP(CONCATENATE(A108,$F$10,F108),'ID1&amp;5'!B:J,9,FALSE),"-")</f>
        <v>-</v>
      </c>
      <c r="W108" s="26" t="str">
        <f>+IFERROR(VLOOKUP(A108,'ID6&amp;7'!A:I,9,FALSE),"-")</f>
        <v>-</v>
      </c>
      <c r="X108" s="26" t="str">
        <f>+IFERROR(VLOOKUP(A108,'ID6&amp;7'!A:J,10,FALSE),"-")</f>
        <v>-</v>
      </c>
      <c r="Y108" s="26"/>
      <c r="Z108" s="27" t="str">
        <f t="shared" si="3"/>
        <v>Por iniciar</v>
      </c>
    </row>
    <row r="109" spans="1:26">
      <c r="A109" s="20" t="str">
        <f t="shared" si="2"/>
        <v>ENTITYLGL_FRM45596</v>
      </c>
      <c r="B109" s="66">
        <f t="array" ref="B109">+MAX(IF('ID1&amp;5'!A:A='1. Status'!A109&amp;'1. Status'!$B$10,'ID1&amp;5'!K:K))</f>
        <v>0</v>
      </c>
      <c r="C109" s="60">
        <f t="array" ref="C109">+MAX(IF('ID1&amp;5'!A:A='1. Status'!A109&amp;'1. Status'!$C$10,'ID1&amp;5'!K:K))</f>
        <v>0</v>
      </c>
      <c r="D109" s="60">
        <f t="array" ref="D109">+MAX(IF('ID1&amp;5'!A:A='1. Status'!A109&amp;'1. Status'!$D$10,'ID1&amp;5'!K:K))</f>
        <v>0</v>
      </c>
      <c r="E109" s="60">
        <f t="array" ref="E109">+MAX(IF('ID1&amp;5'!A:A='1. Status'!A109&amp;'1. Status'!$E$10,'ID1&amp;5'!K:K))</f>
        <v>0</v>
      </c>
      <c r="F109" s="67">
        <f t="array" ref="F109">+MAX(IF('ID1&amp;5'!A:A='1. Status'!A109&amp;'1. Status'!$F$10,'ID1&amp;5'!K:K))</f>
        <v>0</v>
      </c>
      <c r="G109" s="60"/>
      <c r="H109" s="65" t="s">
        <v>127</v>
      </c>
      <c r="I109" s="21" t="s">
        <v>413</v>
      </c>
      <c r="J109" s="26">
        <f>+COUNTIF('ID1&amp;5'!G:G,'1. Status'!I109)</f>
        <v>0</v>
      </c>
      <c r="K109" s="83" t="str">
        <f>+IFERROR(VLOOKUP(CONCATENATE(A109,$B$10,B109),'ID1&amp;5'!B:J,8,FALSE),"-")</f>
        <v>-</v>
      </c>
      <c r="L109" s="82" t="str">
        <f>+IFERROR(VLOOKUP(B109,'ID1&amp;5'!K:L,2,FALSE),"-")</f>
        <v>-</v>
      </c>
      <c r="M109" s="83" t="str">
        <f>+IFERROR(VLOOKUP(CONCATENATE(A109,$B$10,B109),'ID1&amp;5'!B:J,9,FALSE),"-")</f>
        <v>-</v>
      </c>
      <c r="N109" s="83" t="str">
        <f>+IFERROR(VLOOKUP(CONCATENATE(A109,$C$10,C109),'ID1&amp;5'!B:J,8,FALSE),"-")</f>
        <v>-</v>
      </c>
      <c r="O109" s="82" t="str">
        <f>+IFERROR(VLOOKUP(C109,'ID1&amp;5'!K:L,2,FALSE),"-")</f>
        <v>-</v>
      </c>
      <c r="P109" s="83" t="str">
        <f>+IFERROR(VLOOKUP(CONCATENATE(A109,$C$10,C109),'ID1&amp;5'!B:J,9,FALSE),"-")</f>
        <v>-</v>
      </c>
      <c r="Q109" s="82" t="str">
        <f>+IFERROR(VLOOKUP(D109,'ID1&amp;5'!K:L,2,FALSE),"-")</f>
        <v>-</v>
      </c>
      <c r="R109" s="26" t="str">
        <f>+IFERROR(VLOOKUP(CONCATENATE(A109,$D$10,D109),'ID1&amp;5'!B:J,9,FALSE),"-")</f>
        <v>-</v>
      </c>
      <c r="S109" s="82" t="str">
        <f>+IFERROR(VLOOKUP(E109,'ID1&amp;5'!K:L,2,FALSE),"-")</f>
        <v>-</v>
      </c>
      <c r="T109" s="83" t="str">
        <f>+IFERROR(VLOOKUP(CONCATENATE(A109,$E$10,E109),'ID1&amp;5'!B:J,9,FALSE),"-")</f>
        <v>-</v>
      </c>
      <c r="U109" s="82" t="str">
        <f>+IFERROR(VLOOKUP(F109,'ID1&amp;5'!K:L,2,FALSE),"-")</f>
        <v>-</v>
      </c>
      <c r="V109" s="83" t="str">
        <f>+IFERROR(VLOOKUP(CONCATENATE(A109,$F$10,F109),'ID1&amp;5'!B:J,9,FALSE),"-")</f>
        <v>-</v>
      </c>
      <c r="W109" s="26" t="str">
        <f>+IFERROR(VLOOKUP(A109,'ID6&amp;7'!A:I,9,FALSE),"-")</f>
        <v>-</v>
      </c>
      <c r="X109" s="26" t="str">
        <f>+IFERROR(VLOOKUP(A109,'ID6&amp;7'!A:J,10,FALSE),"-")</f>
        <v>-</v>
      </c>
      <c r="Y109" s="81"/>
      <c r="Z109" s="27" t="str">
        <f t="shared" si="3"/>
        <v>Por iniciar</v>
      </c>
    </row>
    <row r="110" spans="1:26">
      <c r="A110" s="20" t="str">
        <f t="shared" si="2"/>
        <v>ENTITYHD_OFFC_UNDRTKNG_ID45596</v>
      </c>
      <c r="B110" s="66">
        <f t="array" ref="B110">+MAX(IF('ID1&amp;5'!A:A='1. Status'!A110&amp;'1. Status'!$B$10,'ID1&amp;5'!K:K))</f>
        <v>0</v>
      </c>
      <c r="C110" s="60">
        <f t="array" ref="C110">+MAX(IF('ID1&amp;5'!A:A='1. Status'!A110&amp;'1. Status'!$C$10,'ID1&amp;5'!K:K))</f>
        <v>0</v>
      </c>
      <c r="D110" s="60">
        <f t="array" ref="D110">+MAX(IF('ID1&amp;5'!A:A='1. Status'!A110&amp;'1. Status'!$D$10,'ID1&amp;5'!K:K))</f>
        <v>0</v>
      </c>
      <c r="E110" s="60">
        <f t="array" ref="E110">+MAX(IF('ID1&amp;5'!A:A='1. Status'!A110&amp;'1. Status'!$E$10,'ID1&amp;5'!K:K))</f>
        <v>0</v>
      </c>
      <c r="F110" s="67">
        <f t="array" ref="F110">+MAX(IF('ID1&amp;5'!A:A='1. Status'!A110&amp;'1. Status'!$F$10,'ID1&amp;5'!K:K))</f>
        <v>0</v>
      </c>
      <c r="G110" s="60"/>
      <c r="H110" s="65" t="s">
        <v>127</v>
      </c>
      <c r="I110" s="21" t="s">
        <v>414</v>
      </c>
      <c r="J110" s="26">
        <f>+COUNTIF('ID1&amp;5'!G:G,'1. Status'!I110)</f>
        <v>0</v>
      </c>
      <c r="K110" s="83" t="str">
        <f>+IFERROR(VLOOKUP(CONCATENATE(A110,$B$10,B110),'ID1&amp;5'!B:J,8,FALSE),"-")</f>
        <v>-</v>
      </c>
      <c r="L110" s="82" t="str">
        <f>+IFERROR(VLOOKUP(B110,'ID1&amp;5'!K:L,2,FALSE),"-")</f>
        <v>-</v>
      </c>
      <c r="M110" s="83" t="str">
        <f>+IFERROR(VLOOKUP(CONCATENATE(A110,$B$10,B110),'ID1&amp;5'!B:J,9,FALSE),"-")</f>
        <v>-</v>
      </c>
      <c r="N110" s="83" t="str">
        <f>+IFERROR(VLOOKUP(CONCATENATE(A110,$C$10,C110),'ID1&amp;5'!B:J,8,FALSE),"-")</f>
        <v>-</v>
      </c>
      <c r="O110" s="82" t="str">
        <f>+IFERROR(VLOOKUP(C110,'ID1&amp;5'!K:L,2,FALSE),"-")</f>
        <v>-</v>
      </c>
      <c r="P110" s="83" t="str">
        <f>+IFERROR(VLOOKUP(CONCATENATE(A110,$C$10,C110),'ID1&amp;5'!B:J,9,FALSE),"-")</f>
        <v>-</v>
      </c>
      <c r="Q110" s="82" t="str">
        <f>+IFERROR(VLOOKUP(D110,'ID1&amp;5'!K:L,2,FALSE),"-")</f>
        <v>-</v>
      </c>
      <c r="R110" s="26" t="str">
        <f>+IFERROR(VLOOKUP(CONCATENATE(A110,$D$10,D110),'ID1&amp;5'!B:J,9,FALSE),"-")</f>
        <v>-</v>
      </c>
      <c r="S110" s="82" t="str">
        <f>+IFERROR(VLOOKUP(E110,'ID1&amp;5'!K:L,2,FALSE),"-")</f>
        <v>-</v>
      </c>
      <c r="T110" s="83" t="str">
        <f>+IFERROR(VLOOKUP(CONCATENATE(A110,$E$10,E110),'ID1&amp;5'!B:J,9,FALSE),"-")</f>
        <v>-</v>
      </c>
      <c r="U110" s="82" t="str">
        <f>+IFERROR(VLOOKUP(F110,'ID1&amp;5'!K:L,2,FALSE),"-")</f>
        <v>-</v>
      </c>
      <c r="V110" s="83" t="str">
        <f>+IFERROR(VLOOKUP(CONCATENATE(A110,$F$10,F110),'ID1&amp;5'!B:J,9,FALSE),"-")</f>
        <v>-</v>
      </c>
      <c r="W110" s="26" t="str">
        <f>+IFERROR(VLOOKUP(A110,'ID6&amp;7'!A:I,9,FALSE),"-")</f>
        <v>-</v>
      </c>
      <c r="X110" s="26" t="str">
        <f>+IFERROR(VLOOKUP(A110,'ID6&amp;7'!A:J,10,FALSE),"-")</f>
        <v>-</v>
      </c>
      <c r="Y110" s="26"/>
      <c r="Z110" s="27" t="str">
        <f t="shared" si="3"/>
        <v>Por iniciar</v>
      </c>
    </row>
    <row r="111" spans="1:26">
      <c r="A111" s="20" t="str">
        <f t="shared" si="2"/>
        <v>ENTITYIMMDT_PRNT_UNDRTKNG_ID45596</v>
      </c>
      <c r="B111" s="66"/>
      <c r="C111" s="60"/>
      <c r="D111" s="60"/>
      <c r="E111" s="60"/>
      <c r="F111" s="67"/>
      <c r="G111" s="60"/>
      <c r="H111" s="65" t="s">
        <v>127</v>
      </c>
      <c r="I111" s="21" t="s">
        <v>415</v>
      </c>
      <c r="J111" s="26">
        <f>+COUNTIF('ID1&amp;5'!G:G,'1. Status'!I111)</f>
        <v>0</v>
      </c>
      <c r="K111" s="83" t="str">
        <f>+IFERROR(VLOOKUP(CONCATENATE(A111,$B$10,B111),'ID1&amp;5'!B:J,8,FALSE),"-")</f>
        <v>-</v>
      </c>
      <c r="L111" s="82" t="str">
        <f>+IFERROR(VLOOKUP(B111,'ID1&amp;5'!K:L,2,FALSE),"-")</f>
        <v>-</v>
      </c>
      <c r="M111" s="83" t="str">
        <f>+IFERROR(VLOOKUP(CONCATENATE(A111,$B$10,B111),'ID1&amp;5'!B:J,9,FALSE),"-")</f>
        <v>-</v>
      </c>
      <c r="N111" s="83" t="str">
        <f>+IFERROR(VLOOKUP(CONCATENATE(A111,$C$10,C111),'ID1&amp;5'!B:J,8,FALSE),"-")</f>
        <v>-</v>
      </c>
      <c r="O111" s="82" t="str">
        <f>+IFERROR(VLOOKUP(C111,'ID1&amp;5'!K:L,2,FALSE),"-")</f>
        <v>-</v>
      </c>
      <c r="P111" s="83" t="str">
        <f>+IFERROR(VLOOKUP(CONCATENATE(A111,$C$10,C111),'ID1&amp;5'!B:J,9,FALSE),"-")</f>
        <v>-</v>
      </c>
      <c r="Q111" s="82" t="str">
        <f>+IFERROR(VLOOKUP(D111,'ID1&amp;5'!K:L,2,FALSE),"-")</f>
        <v>-</v>
      </c>
      <c r="R111" s="26" t="str">
        <f>+IFERROR(VLOOKUP(CONCATENATE(A111,$D$10,D111),'ID1&amp;5'!B:J,9,FALSE),"-")</f>
        <v>-</v>
      </c>
      <c r="S111" s="82" t="str">
        <f>+IFERROR(VLOOKUP(E111,'ID1&amp;5'!K:L,2,FALSE),"-")</f>
        <v>-</v>
      </c>
      <c r="T111" s="83" t="str">
        <f>+IFERROR(VLOOKUP(CONCATENATE(A111,$E$10,E111),'ID1&amp;5'!B:J,9,FALSE),"-")</f>
        <v>-</v>
      </c>
      <c r="U111" s="82" t="str">
        <f>+IFERROR(VLOOKUP(F111,'ID1&amp;5'!K:L,2,FALSE),"-")</f>
        <v>-</v>
      </c>
      <c r="V111" s="83" t="str">
        <f>+IFERROR(VLOOKUP(CONCATENATE(A111,$F$10,F111),'ID1&amp;5'!B:J,9,FALSE),"-")</f>
        <v>-</v>
      </c>
      <c r="W111" s="26" t="str">
        <f>+IFERROR(VLOOKUP(A111,'ID6&amp;7'!A:I,9,FALSE),"-")</f>
        <v>-</v>
      </c>
      <c r="X111" s="26" t="str">
        <f>+IFERROR(VLOOKUP(A111,'ID6&amp;7'!A:J,10,FALSE),"-")</f>
        <v>-</v>
      </c>
      <c r="Y111" s="26"/>
      <c r="Z111" s="27" t="str">
        <f t="shared" ref="Z111" si="5">+IF(J111=0,"Por iniciar",IF(OR(K111="-",M111="-",P111="-",R111="-",T111="-",V111="-"),"Em testes",IF(AND(M111=0,P111=0,R111=0,T111&lt;&gt;K111,V111&lt;&gt;K111),"OK","NOK")))</f>
        <v>Por iniciar</v>
      </c>
    </row>
    <row r="112" spans="1:26">
      <c r="A112" s="20" t="str">
        <f t="shared" si="2"/>
        <v>ENTITYULTMT_PRNT_UNDRTKNG_ID45596</v>
      </c>
      <c r="B112" s="66">
        <f t="array" ref="B112">+MAX(IF('ID1&amp;5'!A:A='1. Status'!A112&amp;'1. Status'!$B$10,'ID1&amp;5'!K:K))</f>
        <v>0</v>
      </c>
      <c r="C112" s="60">
        <f t="array" ref="C112">+MAX(IF('ID1&amp;5'!A:A='1. Status'!A112&amp;'1. Status'!$C$10,'ID1&amp;5'!K:K))</f>
        <v>0</v>
      </c>
      <c r="D112" s="60">
        <f t="array" ref="D112">+MAX(IF('ID1&amp;5'!A:A='1. Status'!A112&amp;'1. Status'!$D$10,'ID1&amp;5'!K:K))</f>
        <v>0</v>
      </c>
      <c r="E112" s="60">
        <f t="array" ref="E112">+MAX(IF('ID1&amp;5'!A:A='1. Status'!A112&amp;'1. Status'!$E$10,'ID1&amp;5'!K:K))</f>
        <v>0</v>
      </c>
      <c r="F112" s="67">
        <f t="array" ref="F112">+MAX(IF('ID1&amp;5'!A:A='1. Status'!A112&amp;'1. Status'!$F$10,'ID1&amp;5'!K:K))</f>
        <v>0</v>
      </c>
      <c r="G112" s="60"/>
      <c r="H112" s="65" t="s">
        <v>127</v>
      </c>
      <c r="I112" s="21" t="s">
        <v>416</v>
      </c>
      <c r="J112" s="26">
        <f>+COUNTIF('ID1&amp;5'!G:G,'1. Status'!I112)</f>
        <v>0</v>
      </c>
      <c r="K112" s="83" t="str">
        <f>+IFERROR(VLOOKUP(CONCATENATE(A112,$B$10,B112),'ID1&amp;5'!B:J,8,FALSE),"-")</f>
        <v>-</v>
      </c>
      <c r="L112" s="82" t="str">
        <f>+IFERROR(VLOOKUP(B112,'ID1&amp;5'!K:L,2,FALSE),"-")</f>
        <v>-</v>
      </c>
      <c r="M112" s="83" t="str">
        <f>+IFERROR(VLOOKUP(CONCATENATE(A112,$B$10,B112),'ID1&amp;5'!B:J,9,FALSE),"-")</f>
        <v>-</v>
      </c>
      <c r="N112" s="83" t="str">
        <f>+IFERROR(VLOOKUP(CONCATENATE(A112,$C$10,C112),'ID1&amp;5'!B:J,8,FALSE),"-")</f>
        <v>-</v>
      </c>
      <c r="O112" s="82" t="str">
        <f>+IFERROR(VLOOKUP(C112,'ID1&amp;5'!K:L,2,FALSE),"-")</f>
        <v>-</v>
      </c>
      <c r="P112" s="83" t="str">
        <f>+IFERROR(VLOOKUP(CONCATENATE(A112,$C$10,C112),'ID1&amp;5'!B:J,9,FALSE),"-")</f>
        <v>-</v>
      </c>
      <c r="Q112" s="82" t="str">
        <f>+IFERROR(VLOOKUP(D112,'ID1&amp;5'!K:L,2,FALSE),"-")</f>
        <v>-</v>
      </c>
      <c r="R112" s="26" t="str">
        <f>+IFERROR(VLOOKUP(CONCATENATE(A112,$D$10,D112),'ID1&amp;5'!B:J,9,FALSE),"-")</f>
        <v>-</v>
      </c>
      <c r="S112" s="82" t="str">
        <f>+IFERROR(VLOOKUP(E112,'ID1&amp;5'!K:L,2,FALSE),"-")</f>
        <v>-</v>
      </c>
      <c r="T112" s="83" t="str">
        <f>+IFERROR(VLOOKUP(CONCATENATE(A112,$E$10,E112),'ID1&amp;5'!B:J,9,FALSE),"-")</f>
        <v>-</v>
      </c>
      <c r="U112" s="82" t="str">
        <f>+IFERROR(VLOOKUP(F112,'ID1&amp;5'!K:L,2,FALSE),"-")</f>
        <v>-</v>
      </c>
      <c r="V112" s="83" t="str">
        <f>+IFERROR(VLOOKUP(CONCATENATE(A112,$F$10,F112),'ID1&amp;5'!B:J,9,FALSE),"-")</f>
        <v>-</v>
      </c>
      <c r="W112" s="26" t="str">
        <f>+IFERROR(VLOOKUP(A112,'ID6&amp;7'!A:I,9,FALSE),"-")</f>
        <v>-</v>
      </c>
      <c r="X112" s="26" t="str">
        <f>+IFERROR(VLOOKUP(A112,'ID6&amp;7'!A:J,10,FALSE),"-")</f>
        <v>-</v>
      </c>
      <c r="Y112" s="26"/>
      <c r="Z112" s="27" t="str">
        <f t="shared" si="3"/>
        <v>Por iniciar</v>
      </c>
    </row>
    <row r="113" spans="1:26">
      <c r="A113" s="20" t="str">
        <f t="shared" si="2"/>
        <v>ENTITYTTL_ASSTS45596</v>
      </c>
      <c r="B113" s="66">
        <f t="array" ref="B113">+MAX(IF('ID1&amp;5'!A:A='1. Status'!A113&amp;'1. Status'!$B$10,'ID1&amp;5'!K:K))</f>
        <v>0</v>
      </c>
      <c r="C113" s="60">
        <f t="array" ref="C113">+MAX(IF('ID1&amp;5'!A:A='1. Status'!A113&amp;'1. Status'!$C$10,'ID1&amp;5'!K:K))</f>
        <v>0</v>
      </c>
      <c r="D113" s="60">
        <f t="array" ref="D113">+MAX(IF('ID1&amp;5'!A:A='1. Status'!A113&amp;'1. Status'!$D$10,'ID1&amp;5'!K:K))</f>
        <v>0</v>
      </c>
      <c r="E113" s="60">
        <f t="array" ref="E113">+MAX(IF('ID1&amp;5'!A:A='1. Status'!A113&amp;'1. Status'!$E$10,'ID1&amp;5'!K:K))</f>
        <v>0</v>
      </c>
      <c r="F113" s="67">
        <f t="array" ref="F113">+MAX(IF('ID1&amp;5'!A:A='1. Status'!A113&amp;'1. Status'!$F$10,'ID1&amp;5'!K:K))</f>
        <v>0</v>
      </c>
      <c r="G113" s="60"/>
      <c r="H113" s="65" t="s">
        <v>127</v>
      </c>
      <c r="I113" s="21" t="s">
        <v>417</v>
      </c>
      <c r="J113" s="26">
        <f>+COUNTIF('ID1&amp;5'!G:G,'1. Status'!I113)</f>
        <v>0</v>
      </c>
      <c r="K113" s="83" t="str">
        <f>+IFERROR(VLOOKUP(CONCATENATE(A113,$B$10,B113),'ID1&amp;5'!B:J,8,FALSE),"-")</f>
        <v>-</v>
      </c>
      <c r="L113" s="82" t="str">
        <f>+IFERROR(VLOOKUP(B113,'ID1&amp;5'!K:L,2,FALSE),"-")</f>
        <v>-</v>
      </c>
      <c r="M113" s="83" t="str">
        <f>+IFERROR(VLOOKUP(CONCATENATE(A113,$B$10,B113),'ID1&amp;5'!B:J,9,FALSE),"-")</f>
        <v>-</v>
      </c>
      <c r="N113" s="83" t="str">
        <f>+IFERROR(VLOOKUP(CONCATENATE(A113,$C$10,C113),'ID1&amp;5'!B:J,8,FALSE),"-")</f>
        <v>-</v>
      </c>
      <c r="O113" s="82" t="str">
        <f>+IFERROR(VLOOKUP(C113,'ID1&amp;5'!K:L,2,FALSE),"-")</f>
        <v>-</v>
      </c>
      <c r="P113" s="83" t="str">
        <f>+IFERROR(VLOOKUP(CONCATENATE(A113,$C$10,C113),'ID1&amp;5'!B:J,9,FALSE),"-")</f>
        <v>-</v>
      </c>
      <c r="Q113" s="82" t="str">
        <f>+IFERROR(VLOOKUP(D113,'ID1&amp;5'!K:L,2,FALSE),"-")</f>
        <v>-</v>
      </c>
      <c r="R113" s="26" t="str">
        <f>+IFERROR(VLOOKUP(CONCATENATE(A113,$D$10,D113),'ID1&amp;5'!B:J,9,FALSE),"-")</f>
        <v>-</v>
      </c>
      <c r="S113" s="82" t="str">
        <f>+IFERROR(VLOOKUP(E113,'ID1&amp;5'!K:L,2,FALSE),"-")</f>
        <v>-</v>
      </c>
      <c r="T113" s="83" t="str">
        <f>+IFERROR(VLOOKUP(CONCATENATE(A113,$E$10,E113),'ID1&amp;5'!B:J,9,FALSE),"-")</f>
        <v>-</v>
      </c>
      <c r="U113" s="82" t="str">
        <f>+IFERROR(VLOOKUP(F113,'ID1&amp;5'!K:L,2,FALSE),"-")</f>
        <v>-</v>
      </c>
      <c r="V113" s="83" t="str">
        <f>+IFERROR(VLOOKUP(CONCATENATE(A113,$F$10,F113),'ID1&amp;5'!B:J,9,FALSE),"-")</f>
        <v>-</v>
      </c>
      <c r="W113" s="26" t="str">
        <f>+IFERROR(VLOOKUP(A113,'ID6&amp;7'!A:I,9,FALSE),"-")</f>
        <v>-</v>
      </c>
      <c r="X113" s="26" t="str">
        <f>+IFERROR(VLOOKUP(A113,'ID6&amp;7'!A:J,10,FALSE),"-")</f>
        <v>-</v>
      </c>
      <c r="Y113" s="26"/>
      <c r="Z113" s="27" t="str">
        <f t="shared" si="3"/>
        <v>Por iniciar</v>
      </c>
    </row>
    <row r="114" spans="1:26">
      <c r="A114" s="20" t="str">
        <f t="shared" si="2"/>
        <v>ENTITYENTTY_ID_BDR45596</v>
      </c>
      <c r="B114" s="66">
        <f t="array" ref="B114">+MAX(IF('ID1&amp;5'!A:A='1. Status'!A114&amp;'1. Status'!$B$10,'ID1&amp;5'!K:K))</f>
        <v>0</v>
      </c>
      <c r="C114" s="60">
        <f t="array" ref="C114">+MAX(IF('ID1&amp;5'!A:A='1. Status'!A114&amp;'1. Status'!$C$10,'ID1&amp;5'!K:K))</f>
        <v>0</v>
      </c>
      <c r="D114" s="60">
        <f t="array" ref="D114">+MAX(IF('ID1&amp;5'!A:A='1. Status'!A114&amp;'1. Status'!$D$10,'ID1&amp;5'!K:K))</f>
        <v>0</v>
      </c>
      <c r="E114" s="60">
        <f t="array" ref="E114">+MAX(IF('ID1&amp;5'!A:A='1. Status'!A114&amp;'1. Status'!$E$10,'ID1&amp;5'!K:K))</f>
        <v>0</v>
      </c>
      <c r="F114" s="67">
        <f t="array" ref="F114">+MAX(IF('ID1&amp;5'!A:A='1. Status'!A114&amp;'1. Status'!$F$10,'ID1&amp;5'!K:K))</f>
        <v>0</v>
      </c>
      <c r="G114" s="60"/>
      <c r="H114" s="65" t="s">
        <v>127</v>
      </c>
      <c r="I114" s="21" t="s">
        <v>418</v>
      </c>
      <c r="J114" s="26">
        <f>+COUNTIF('ID1&amp;5'!G:G,'1. Status'!I114)</f>
        <v>0</v>
      </c>
      <c r="K114" s="83" t="str">
        <f>+IFERROR(VLOOKUP(CONCATENATE(A114,$B$10,B114),'ID1&amp;5'!B:J,8,FALSE),"-")</f>
        <v>-</v>
      </c>
      <c r="L114" s="82" t="str">
        <f>+IFERROR(VLOOKUP(B114,'ID1&amp;5'!K:L,2,FALSE),"-")</f>
        <v>-</v>
      </c>
      <c r="M114" s="83" t="str">
        <f>+IFERROR(VLOOKUP(CONCATENATE(A114,$B$10,B114),'ID1&amp;5'!B:J,9,FALSE),"-")</f>
        <v>-</v>
      </c>
      <c r="N114" s="83" t="str">
        <f>+IFERROR(VLOOKUP(CONCATENATE(A114,$C$10,C114),'ID1&amp;5'!B:J,8,FALSE),"-")</f>
        <v>-</v>
      </c>
      <c r="O114" s="82" t="str">
        <f>+IFERROR(VLOOKUP(C114,'ID1&amp;5'!K:L,2,FALSE),"-")</f>
        <v>-</v>
      </c>
      <c r="P114" s="83" t="str">
        <f>+IFERROR(VLOOKUP(CONCATENATE(A114,$C$10,C114),'ID1&amp;5'!B:J,9,FALSE),"-")</f>
        <v>-</v>
      </c>
      <c r="Q114" s="82" t="str">
        <f>+IFERROR(VLOOKUP(D114,'ID1&amp;5'!K:L,2,FALSE),"-")</f>
        <v>-</v>
      </c>
      <c r="R114" s="26" t="str">
        <f>+IFERROR(VLOOKUP(CONCATENATE(A114,$D$10,D114),'ID1&amp;5'!B:J,9,FALSE),"-")</f>
        <v>-</v>
      </c>
      <c r="S114" s="82" t="str">
        <f>+IFERROR(VLOOKUP(E114,'ID1&amp;5'!K:L,2,FALSE),"-")</f>
        <v>-</v>
      </c>
      <c r="T114" s="83" t="str">
        <f>+IFERROR(VLOOKUP(CONCATENATE(A114,$E$10,E114),'ID1&amp;5'!B:J,9,FALSE),"-")</f>
        <v>-</v>
      </c>
      <c r="U114" s="82" t="str">
        <f>+IFERROR(VLOOKUP(F114,'ID1&amp;5'!K:L,2,FALSE),"-")</f>
        <v>-</v>
      </c>
      <c r="V114" s="83" t="str">
        <f>+IFERROR(VLOOKUP(CONCATENATE(A114,$F$10,F114),'ID1&amp;5'!B:J,9,FALSE),"-")</f>
        <v>-</v>
      </c>
      <c r="W114" s="26" t="str">
        <f>+IFERROR(VLOOKUP(A114,'ID6&amp;7'!A:I,9,FALSE),"-")</f>
        <v>-</v>
      </c>
      <c r="X114" s="26" t="str">
        <f>+IFERROR(VLOOKUP(A114,'ID6&amp;7'!A:J,10,FALSE),"-")</f>
        <v>-</v>
      </c>
      <c r="Y114" s="26"/>
      <c r="Z114" s="27" t="str">
        <f t="shared" si="3"/>
        <v>Por iniciar</v>
      </c>
    </row>
    <row r="115" spans="1:26">
      <c r="A115" s="20" t="str">
        <f t="shared" si="2"/>
        <v>INSTR_ENTITYCOD_SOC45596</v>
      </c>
      <c r="B115" s="66">
        <f t="array" ref="B115">+MAX(IF('ID1&amp;5'!A:A='1. Status'!A115&amp;'1. Status'!$B$10,'ID1&amp;5'!K:K))</f>
        <v>0</v>
      </c>
      <c r="C115" s="60">
        <f t="array" ref="C115">+MAX(IF('ID1&amp;5'!A:A='1. Status'!A115&amp;'1. Status'!$C$10,'ID1&amp;5'!K:K))</f>
        <v>0</v>
      </c>
      <c r="D115" s="60">
        <f t="array" ref="D115">+MAX(IF('ID1&amp;5'!A:A='1. Status'!A115&amp;'1. Status'!$D$10,'ID1&amp;5'!K:K))</f>
        <v>0</v>
      </c>
      <c r="E115" s="60">
        <f t="array" ref="E115">+MAX(IF('ID1&amp;5'!A:A='1. Status'!A115&amp;'1. Status'!$E$10,'ID1&amp;5'!K:K))</f>
        <v>0</v>
      </c>
      <c r="F115" s="67">
        <f t="array" ref="F115">+MAX(IF('ID1&amp;5'!A:A='1. Status'!A115&amp;'1. Status'!$F$10,'ID1&amp;5'!K:K))</f>
        <v>0</v>
      </c>
      <c r="G115" s="60"/>
      <c r="H115" s="65" t="s">
        <v>321</v>
      </c>
      <c r="I115" s="21" t="s">
        <v>109</v>
      </c>
      <c r="J115" s="26">
        <f>+COUNTIF('ID1&amp;5'!G:G,'1. Status'!I115)</f>
        <v>0</v>
      </c>
      <c r="K115" s="83" t="str">
        <f>+IFERROR(VLOOKUP(CONCATENATE(A115,$B$10,B115),'ID1&amp;5'!B:J,8,FALSE),"-")</f>
        <v>-</v>
      </c>
      <c r="L115" s="82" t="str">
        <f>+IFERROR(VLOOKUP(B115,'ID1&amp;5'!K:L,2,FALSE),"-")</f>
        <v>-</v>
      </c>
      <c r="M115" s="83" t="str">
        <f>+IFERROR(VLOOKUP(CONCATENATE(A115,$B$10,B115),'ID1&amp;5'!B:J,9,FALSE),"-")</f>
        <v>-</v>
      </c>
      <c r="N115" s="83" t="str">
        <f>+IFERROR(VLOOKUP(CONCATENATE(A115,$C$10,C115),'ID1&amp;5'!B:J,8,FALSE),"-")</f>
        <v>-</v>
      </c>
      <c r="O115" s="82" t="str">
        <f>+IFERROR(VLOOKUP(C115,'ID1&amp;5'!K:L,2,FALSE),"-")</f>
        <v>-</v>
      </c>
      <c r="P115" s="83" t="str">
        <f>+IFERROR(VLOOKUP(CONCATENATE(A115,$C$10,C115),'ID1&amp;5'!B:J,9,FALSE),"-")</f>
        <v>-</v>
      </c>
      <c r="Q115" s="82" t="str">
        <f>+IFERROR(VLOOKUP(D115,'ID1&amp;5'!K:L,2,FALSE),"-")</f>
        <v>-</v>
      </c>
      <c r="R115" s="26" t="str">
        <f>+IFERROR(VLOOKUP(CONCATENATE(A115,$D$10,D115),'ID1&amp;5'!B:J,9,FALSE),"-")</f>
        <v>-</v>
      </c>
      <c r="S115" s="82" t="str">
        <f>+IFERROR(VLOOKUP(E115,'ID1&amp;5'!K:L,2,FALSE),"-")</f>
        <v>-</v>
      </c>
      <c r="T115" s="83" t="str">
        <f>+IFERROR(VLOOKUP(CONCATENATE(A115,$E$10,E115),'ID1&amp;5'!B:J,9,FALSE),"-")</f>
        <v>-</v>
      </c>
      <c r="U115" s="82" t="str">
        <f>+IFERROR(VLOOKUP(F115,'ID1&amp;5'!K:L,2,FALSE),"-")</f>
        <v>-</v>
      </c>
      <c r="V115" s="83" t="str">
        <f>+IFERROR(VLOOKUP(CONCATENATE(A115,$F$10,F115),'ID1&amp;5'!B:J,9,FALSE),"-")</f>
        <v>-</v>
      </c>
      <c r="W115" s="26" t="str">
        <f>+IFERROR(VLOOKUP(A115,'ID6&amp;7'!A:I,9,FALSE),"-")</f>
        <v>-</v>
      </c>
      <c r="X115" s="26" t="str">
        <f>+IFERROR(VLOOKUP(A115,'ID6&amp;7'!A:J,10,FALSE),"-")</f>
        <v>-</v>
      </c>
      <c r="Y115" s="26"/>
      <c r="Z115" s="27" t="str">
        <f t="shared" si="3"/>
        <v>Por iniciar</v>
      </c>
    </row>
    <row r="116" spans="1:26">
      <c r="A116" s="20" t="str">
        <f t="shared" si="2"/>
        <v>INSTR_ENTITYJNT_LBLTY_AMNT45596</v>
      </c>
      <c r="B116" s="66">
        <f t="array" ref="B116">+MAX(IF('ID1&amp;5'!A:A='1. Status'!A116&amp;'1. Status'!$B$10,'ID1&amp;5'!K:K))</f>
        <v>0</v>
      </c>
      <c r="C116" s="60">
        <f t="array" ref="C116">+MAX(IF('ID1&amp;5'!A:A='1. Status'!A116&amp;'1. Status'!$C$10,'ID1&amp;5'!K:K))</f>
        <v>0</v>
      </c>
      <c r="D116" s="60">
        <f t="array" ref="D116">+MAX(IF('ID1&amp;5'!A:A='1. Status'!A116&amp;'1. Status'!$D$10,'ID1&amp;5'!K:K))</f>
        <v>0</v>
      </c>
      <c r="E116" s="60">
        <f t="array" ref="E116">+MAX(IF('ID1&amp;5'!A:A='1. Status'!A116&amp;'1. Status'!$E$10,'ID1&amp;5'!K:K))</f>
        <v>0</v>
      </c>
      <c r="F116" s="67">
        <f t="array" ref="F116">+MAX(IF('ID1&amp;5'!A:A='1. Status'!A116&amp;'1. Status'!$F$10,'ID1&amp;5'!K:K))</f>
        <v>0</v>
      </c>
      <c r="G116" s="60"/>
      <c r="H116" s="65" t="s">
        <v>321</v>
      </c>
      <c r="I116" s="21" t="s">
        <v>419</v>
      </c>
      <c r="J116" s="26">
        <f>+COUNTIF('ID1&amp;5'!G:G,'1. Status'!I116)</f>
        <v>0</v>
      </c>
      <c r="K116" s="83" t="str">
        <f>+IFERROR(VLOOKUP(CONCATENATE(A116,$B$10,B116),'ID1&amp;5'!B:J,8,FALSE),"-")</f>
        <v>-</v>
      </c>
      <c r="L116" s="82" t="str">
        <f>+IFERROR(VLOOKUP(B116,'ID1&amp;5'!K:L,2,FALSE),"-")</f>
        <v>-</v>
      </c>
      <c r="M116" s="83" t="str">
        <f>+IFERROR(VLOOKUP(CONCATENATE(A116,$B$10,B116),'ID1&amp;5'!B:J,9,FALSE),"-")</f>
        <v>-</v>
      </c>
      <c r="N116" s="83" t="str">
        <f>+IFERROR(VLOOKUP(CONCATENATE(A116,$C$10,C116),'ID1&amp;5'!B:J,8,FALSE),"-")</f>
        <v>-</v>
      </c>
      <c r="O116" s="82" t="str">
        <f>+IFERROR(VLOOKUP(C116,'ID1&amp;5'!K:L,2,FALSE),"-")</f>
        <v>-</v>
      </c>
      <c r="P116" s="83" t="str">
        <f>+IFERROR(VLOOKUP(CONCATENATE(A116,$C$10,C116),'ID1&amp;5'!B:J,9,FALSE),"-")</f>
        <v>-</v>
      </c>
      <c r="Q116" s="82" t="str">
        <f>+IFERROR(VLOOKUP(D116,'ID1&amp;5'!K:L,2,FALSE),"-")</f>
        <v>-</v>
      </c>
      <c r="R116" s="26" t="str">
        <f>+IFERROR(VLOOKUP(CONCATENATE(A116,$D$10,D116),'ID1&amp;5'!B:J,9,FALSE),"-")</f>
        <v>-</v>
      </c>
      <c r="S116" s="82" t="str">
        <f>+IFERROR(VLOOKUP(E116,'ID1&amp;5'!K:L,2,FALSE),"-")</f>
        <v>-</v>
      </c>
      <c r="T116" s="83" t="str">
        <f>+IFERROR(VLOOKUP(CONCATENATE(A116,$E$10,E116),'ID1&amp;5'!B:J,9,FALSE),"-")</f>
        <v>-</v>
      </c>
      <c r="U116" s="82" t="str">
        <f>+IFERROR(VLOOKUP(F116,'ID1&amp;5'!K:L,2,FALSE),"-")</f>
        <v>-</v>
      </c>
      <c r="V116" s="83" t="str">
        <f>+IFERROR(VLOOKUP(CONCATENATE(A116,$F$10,F116),'ID1&amp;5'!B:J,9,FALSE),"-")</f>
        <v>-</v>
      </c>
      <c r="W116" s="26" t="str">
        <f>+IFERROR(VLOOKUP(A116,'ID6&amp;7'!A:I,9,FALSE),"-")</f>
        <v>-</v>
      </c>
      <c r="X116" s="26" t="str">
        <f>+IFERROR(VLOOKUP(A116,'ID6&amp;7'!A:J,10,FALSE),"-")</f>
        <v>-</v>
      </c>
      <c r="Y116" s="26"/>
      <c r="Z116" s="27" t="str">
        <f t="shared" si="3"/>
        <v>Por iniciar</v>
      </c>
    </row>
    <row r="117" spans="1:26">
      <c r="A117" s="20" t="str">
        <f t="shared" si="2"/>
        <v>INSTR_ENTITYMN_ENTTY_ID45596</v>
      </c>
      <c r="B117" s="66">
        <f t="array" ref="B117">+MAX(IF('ID1&amp;5'!A:A='1. Status'!A117&amp;'1. Status'!$B$10,'ID1&amp;5'!K:K))</f>
        <v>0</v>
      </c>
      <c r="C117" s="60">
        <f t="array" ref="C117">+MAX(IF('ID1&amp;5'!A:A='1. Status'!A117&amp;'1. Status'!$C$10,'ID1&amp;5'!K:K))</f>
        <v>0</v>
      </c>
      <c r="D117" s="60">
        <f t="array" ref="D117">+MAX(IF('ID1&amp;5'!A:A='1. Status'!A117&amp;'1. Status'!$D$10,'ID1&amp;5'!K:K))</f>
        <v>0</v>
      </c>
      <c r="E117" s="60">
        <f t="array" ref="E117">+MAX(IF('ID1&amp;5'!A:A='1. Status'!A117&amp;'1. Status'!$E$10,'ID1&amp;5'!K:K))</f>
        <v>0</v>
      </c>
      <c r="F117" s="67">
        <f t="array" ref="F117">+MAX(IF('ID1&amp;5'!A:A='1. Status'!A117&amp;'1. Status'!$F$10,'ID1&amp;5'!K:K))</f>
        <v>0</v>
      </c>
      <c r="G117" s="60"/>
      <c r="H117" s="65" t="s">
        <v>321</v>
      </c>
      <c r="I117" s="21" t="s">
        <v>420</v>
      </c>
      <c r="J117" s="26">
        <f>+COUNTIF('ID1&amp;5'!G:G,'1. Status'!I117)</f>
        <v>0</v>
      </c>
      <c r="K117" s="83" t="str">
        <f>+IFERROR(VLOOKUP(CONCATENATE(A117,$B$10,B117),'ID1&amp;5'!B:J,8,FALSE),"-")</f>
        <v>-</v>
      </c>
      <c r="L117" s="82" t="str">
        <f>+IFERROR(VLOOKUP(B117,'ID1&amp;5'!K:L,2,FALSE),"-")</f>
        <v>-</v>
      </c>
      <c r="M117" s="83" t="str">
        <f>+IFERROR(VLOOKUP(CONCATENATE(A117,$B$10,B117),'ID1&amp;5'!B:J,9,FALSE),"-")</f>
        <v>-</v>
      </c>
      <c r="N117" s="83" t="str">
        <f>+IFERROR(VLOOKUP(CONCATENATE(A117,$C$10,C117),'ID1&amp;5'!B:J,8,FALSE),"-")</f>
        <v>-</v>
      </c>
      <c r="O117" s="82" t="str">
        <f>+IFERROR(VLOOKUP(C117,'ID1&amp;5'!K:L,2,FALSE),"-")</f>
        <v>-</v>
      </c>
      <c r="P117" s="83" t="str">
        <f>+IFERROR(VLOOKUP(CONCATENATE(A117,$C$10,C117),'ID1&amp;5'!B:J,9,FALSE),"-")</f>
        <v>-</v>
      </c>
      <c r="Q117" s="82" t="str">
        <f>+IFERROR(VLOOKUP(D117,'ID1&amp;5'!K:L,2,FALSE),"-")</f>
        <v>-</v>
      </c>
      <c r="R117" s="26" t="str">
        <f>+IFERROR(VLOOKUP(CONCATENATE(A117,$D$10,D117),'ID1&amp;5'!B:J,9,FALSE),"-")</f>
        <v>-</v>
      </c>
      <c r="S117" s="82" t="str">
        <f>+IFERROR(VLOOKUP(E117,'ID1&amp;5'!K:L,2,FALSE),"-")</f>
        <v>-</v>
      </c>
      <c r="T117" s="83" t="str">
        <f>+IFERROR(VLOOKUP(CONCATENATE(A117,$E$10,E117),'ID1&amp;5'!B:J,9,FALSE),"-")</f>
        <v>-</v>
      </c>
      <c r="U117" s="82" t="str">
        <f>+IFERROR(VLOOKUP(F117,'ID1&amp;5'!K:L,2,FALSE),"-")</f>
        <v>-</v>
      </c>
      <c r="V117" s="83" t="str">
        <f>+IFERROR(VLOOKUP(CONCATENATE(A117,$F$10,F117),'ID1&amp;5'!B:J,9,FALSE),"-")</f>
        <v>-</v>
      </c>
      <c r="W117" s="26" t="str">
        <f>+IFERROR(VLOOKUP(A117,'ID6&amp;7'!A:I,9,FALSE),"-")</f>
        <v>-</v>
      </c>
      <c r="X117" s="26" t="str">
        <f>+IFERROR(VLOOKUP(A117,'ID6&amp;7'!A:J,10,FALSE),"-")</f>
        <v>-</v>
      </c>
      <c r="Y117" s="26"/>
      <c r="Z117" s="27" t="str">
        <f t="shared" si="3"/>
        <v>Por iniciar</v>
      </c>
    </row>
    <row r="118" spans="1:26">
      <c r="A118" s="20" t="str">
        <f t="shared" si="2"/>
        <v>INSTRUMENTCOD_SOC45596</v>
      </c>
      <c r="B118" s="66">
        <f t="array" ref="B118">+MAX(IF('ID1&amp;5'!A:A='1. Status'!A118&amp;'1. Status'!$B$10,'ID1&amp;5'!K:K))</f>
        <v>0</v>
      </c>
      <c r="C118" s="60">
        <f t="array" ref="C118">+MAX(IF('ID1&amp;5'!A:A='1. Status'!A118&amp;'1. Status'!$C$10,'ID1&amp;5'!K:K))</f>
        <v>0</v>
      </c>
      <c r="D118" s="60">
        <f t="array" ref="D118">+MAX(IF('ID1&amp;5'!A:A='1. Status'!A118&amp;'1. Status'!$D$10,'ID1&amp;5'!K:K))</f>
        <v>0</v>
      </c>
      <c r="E118" s="60">
        <f t="array" ref="E118">+MAX(IF('ID1&amp;5'!A:A='1. Status'!A118&amp;'1. Status'!$E$10,'ID1&amp;5'!K:K))</f>
        <v>0</v>
      </c>
      <c r="F118" s="67">
        <f t="array" ref="F118">+MAX(IF('ID1&amp;5'!A:A='1. Status'!A118&amp;'1. Status'!$F$10,'ID1&amp;5'!K:K))</f>
        <v>0</v>
      </c>
      <c r="G118" s="60"/>
      <c r="H118" s="65" t="s">
        <v>126</v>
      </c>
      <c r="I118" s="21" t="s">
        <v>109</v>
      </c>
      <c r="J118" s="26">
        <f>+COUNTIF('ID1&amp;5'!G:G,'1. Status'!I118)</f>
        <v>0</v>
      </c>
      <c r="K118" s="83" t="str">
        <f>+IFERROR(VLOOKUP(CONCATENATE(A118,$B$10,B118),'ID1&amp;5'!B:J,8,FALSE),"-")</f>
        <v>-</v>
      </c>
      <c r="L118" s="82" t="str">
        <f>+IFERROR(VLOOKUP(B118,'ID1&amp;5'!K:L,2,FALSE),"-")</f>
        <v>-</v>
      </c>
      <c r="M118" s="83" t="str">
        <f>+IFERROR(VLOOKUP(CONCATENATE(A118,$B$10,B118),'ID1&amp;5'!B:J,9,FALSE),"-")</f>
        <v>-</v>
      </c>
      <c r="N118" s="83" t="str">
        <f>+IFERROR(VLOOKUP(CONCATENATE(A118,$C$10,C118),'ID1&amp;5'!B:J,8,FALSE),"-")</f>
        <v>-</v>
      </c>
      <c r="O118" s="82" t="str">
        <f>+IFERROR(VLOOKUP(C118,'ID1&amp;5'!K:L,2,FALSE),"-")</f>
        <v>-</v>
      </c>
      <c r="P118" s="83" t="str">
        <f>+IFERROR(VLOOKUP(CONCATENATE(A118,$C$10,C118),'ID1&amp;5'!B:J,9,FALSE),"-")</f>
        <v>-</v>
      </c>
      <c r="Q118" s="82" t="str">
        <f>+IFERROR(VLOOKUP(D118,'ID1&amp;5'!K:L,2,FALSE),"-")</f>
        <v>-</v>
      </c>
      <c r="R118" s="26" t="str">
        <f>+IFERROR(VLOOKUP(CONCATENATE(A118,$D$10,D118),'ID1&amp;5'!B:J,9,FALSE),"-")</f>
        <v>-</v>
      </c>
      <c r="S118" s="82" t="str">
        <f>+IFERROR(VLOOKUP(E118,'ID1&amp;5'!K:L,2,FALSE),"-")</f>
        <v>-</v>
      </c>
      <c r="T118" s="83" t="str">
        <f>+IFERROR(VLOOKUP(CONCATENATE(A118,$E$10,E118),'ID1&amp;5'!B:J,9,FALSE),"-")</f>
        <v>-</v>
      </c>
      <c r="U118" s="82" t="str">
        <f>+IFERROR(VLOOKUP(F118,'ID1&amp;5'!K:L,2,FALSE),"-")</f>
        <v>-</v>
      </c>
      <c r="V118" s="83" t="str">
        <f>+IFERROR(VLOOKUP(CONCATENATE(A118,$F$10,F118),'ID1&amp;5'!B:J,9,FALSE),"-")</f>
        <v>-</v>
      </c>
      <c r="W118" s="26" t="str">
        <f>+IFERROR(VLOOKUP(A118,'ID6&amp;7'!A:I,9,FALSE),"-")</f>
        <v>-</v>
      </c>
      <c r="X118" s="26" t="str">
        <f>+IFERROR(VLOOKUP(A118,'ID6&amp;7'!A:J,10,FALSE),"-")</f>
        <v>-</v>
      </c>
      <c r="Y118" s="26"/>
      <c r="Z118" s="27" t="str">
        <f t="shared" si="3"/>
        <v>Por iniciar</v>
      </c>
    </row>
    <row r="119" spans="1:26">
      <c r="A119" s="20" t="str">
        <f t="shared" si="2"/>
        <v>INSTRUMENTSUBPORTFOLIO_ID45596</v>
      </c>
      <c r="B119" s="66">
        <f t="array" ref="B119">+MAX(IF('ID1&amp;5'!A:A='1. Status'!A119&amp;'1. Status'!$B$10,'ID1&amp;5'!K:K))</f>
        <v>0</v>
      </c>
      <c r="C119" s="60">
        <f t="array" ref="C119">+MAX(IF('ID1&amp;5'!A:A='1. Status'!A119&amp;'1. Status'!$C$10,'ID1&amp;5'!K:K))</f>
        <v>0</v>
      </c>
      <c r="D119" s="60">
        <f t="array" ref="D119">+MAX(IF('ID1&amp;5'!A:A='1. Status'!A119&amp;'1. Status'!$D$10,'ID1&amp;5'!K:K))</f>
        <v>0</v>
      </c>
      <c r="E119" s="60">
        <f t="array" ref="E119">+MAX(IF('ID1&amp;5'!A:A='1. Status'!A119&amp;'1. Status'!$E$10,'ID1&amp;5'!K:K))</f>
        <v>0</v>
      </c>
      <c r="F119" s="67">
        <f t="array" ref="F119">+MAX(IF('ID1&amp;5'!A:A='1. Status'!A119&amp;'1. Status'!$F$10,'ID1&amp;5'!K:K))</f>
        <v>0</v>
      </c>
      <c r="G119" s="60"/>
      <c r="H119" s="65" t="s">
        <v>126</v>
      </c>
      <c r="I119" s="21" t="s">
        <v>108</v>
      </c>
      <c r="J119" s="26">
        <f>+COUNTIF('ID1&amp;5'!G:G,'1. Status'!I119)</f>
        <v>0</v>
      </c>
      <c r="K119" s="83" t="str">
        <f>+IFERROR(VLOOKUP(CONCATENATE(A119,$B$10,B119),'ID1&amp;5'!B:J,8,FALSE),"-")</f>
        <v>-</v>
      </c>
      <c r="L119" s="82" t="str">
        <f>+IFERROR(VLOOKUP(B119,'ID1&amp;5'!K:L,2,FALSE),"-")</f>
        <v>-</v>
      </c>
      <c r="M119" s="83" t="str">
        <f>+IFERROR(VLOOKUP(CONCATENATE(A119,$B$10,B119),'ID1&amp;5'!B:J,9,FALSE),"-")</f>
        <v>-</v>
      </c>
      <c r="N119" s="83" t="str">
        <f>+IFERROR(VLOOKUP(CONCATENATE(A119,$C$10,C119),'ID1&amp;5'!B:J,8,FALSE),"-")</f>
        <v>-</v>
      </c>
      <c r="O119" s="82" t="str">
        <f>+IFERROR(VLOOKUP(C119,'ID1&amp;5'!K:L,2,FALSE),"-")</f>
        <v>-</v>
      </c>
      <c r="P119" s="83" t="str">
        <f>+IFERROR(VLOOKUP(CONCATENATE(A119,$C$10,C119),'ID1&amp;5'!B:J,9,FALSE),"-")</f>
        <v>-</v>
      </c>
      <c r="Q119" s="82" t="str">
        <f>+IFERROR(VLOOKUP(D119,'ID1&amp;5'!K:L,2,FALSE),"-")</f>
        <v>-</v>
      </c>
      <c r="R119" s="26" t="str">
        <f>+IFERROR(VLOOKUP(CONCATENATE(A119,$D$10,D119),'ID1&amp;5'!B:J,9,FALSE),"-")</f>
        <v>-</v>
      </c>
      <c r="S119" s="82" t="str">
        <f>+IFERROR(VLOOKUP(E119,'ID1&amp;5'!K:L,2,FALSE),"-")</f>
        <v>-</v>
      </c>
      <c r="T119" s="83" t="str">
        <f>+IFERROR(VLOOKUP(CONCATENATE(A119,$E$10,E119),'ID1&amp;5'!B:J,9,FALSE),"-")</f>
        <v>-</v>
      </c>
      <c r="U119" s="82" t="str">
        <f>+IFERROR(VLOOKUP(F119,'ID1&amp;5'!K:L,2,FALSE),"-")</f>
        <v>-</v>
      </c>
      <c r="V119" s="83" t="str">
        <f>+IFERROR(VLOOKUP(CONCATENATE(A119,$F$10,F119),'ID1&amp;5'!B:J,9,FALSE),"-")</f>
        <v>-</v>
      </c>
      <c r="W119" s="26" t="str">
        <f>+IFERROR(VLOOKUP(A119,'ID6&amp;7'!A:I,9,FALSE),"-")</f>
        <v>-</v>
      </c>
      <c r="X119" s="26" t="str">
        <f>+IFERROR(VLOOKUP(A119,'ID6&amp;7'!A:J,10,FALSE),"-")</f>
        <v>-</v>
      </c>
      <c r="Y119" s="26"/>
      <c r="Z119" s="27" t="str">
        <f t="shared" si="3"/>
        <v>Por iniciar</v>
      </c>
    </row>
    <row r="120" spans="1:26">
      <c r="A120" s="20" t="str">
        <f t="shared" si="2"/>
        <v>INSTRUMENTCRE_FNRP1845596</v>
      </c>
      <c r="B120" s="66"/>
      <c r="C120" s="60"/>
      <c r="D120" s="60"/>
      <c r="E120" s="60"/>
      <c r="F120" s="67"/>
      <c r="G120" s="60"/>
      <c r="H120" s="65" t="s">
        <v>126</v>
      </c>
      <c r="I120" s="21" t="s">
        <v>421</v>
      </c>
      <c r="J120" s="26">
        <f>+COUNTIF('ID1&amp;5'!G:G,'1. Status'!I120)</f>
        <v>0</v>
      </c>
      <c r="K120" s="83" t="str">
        <f>+IFERROR(VLOOKUP(CONCATENATE(A120,$B$10,B120),'ID1&amp;5'!B:J,8,FALSE),"-")</f>
        <v>-</v>
      </c>
      <c r="L120" s="82" t="str">
        <f>+IFERROR(VLOOKUP(B120,'ID1&amp;5'!K:L,2,FALSE),"-")</f>
        <v>-</v>
      </c>
      <c r="M120" s="83" t="str">
        <f>+IFERROR(VLOOKUP(CONCATENATE(A120,$B$10,B120),'ID1&amp;5'!B:J,9,FALSE),"-")</f>
        <v>-</v>
      </c>
      <c r="N120" s="83" t="str">
        <f>+IFERROR(VLOOKUP(CONCATENATE(A120,$C$10,C120),'ID1&amp;5'!B:J,8,FALSE),"-")</f>
        <v>-</v>
      </c>
      <c r="O120" s="82" t="str">
        <f>+IFERROR(VLOOKUP(C120,'ID1&amp;5'!K:L,2,FALSE),"-")</f>
        <v>-</v>
      </c>
      <c r="P120" s="83" t="str">
        <f>+IFERROR(VLOOKUP(CONCATENATE(A120,$C$10,C120),'ID1&amp;5'!B:J,9,FALSE),"-")</f>
        <v>-</v>
      </c>
      <c r="Q120" s="82" t="str">
        <f>+IFERROR(VLOOKUP(D120,'ID1&amp;5'!K:L,2,FALSE),"-")</f>
        <v>-</v>
      </c>
      <c r="R120" s="26" t="str">
        <f>+IFERROR(VLOOKUP(CONCATENATE(A120,$D$10,D120),'ID1&amp;5'!B:J,9,FALSE),"-")</f>
        <v>-</v>
      </c>
      <c r="S120" s="82" t="str">
        <f>+IFERROR(VLOOKUP(E120,'ID1&amp;5'!K:L,2,FALSE),"-")</f>
        <v>-</v>
      </c>
      <c r="T120" s="83" t="str">
        <f>+IFERROR(VLOOKUP(CONCATENATE(A120,$E$10,E120),'ID1&amp;5'!B:J,9,FALSE),"-")</f>
        <v>-</v>
      </c>
      <c r="U120" s="82" t="str">
        <f>+IFERROR(VLOOKUP(F120,'ID1&amp;5'!K:L,2,FALSE),"-")</f>
        <v>-</v>
      </c>
      <c r="V120" s="83" t="str">
        <f>+IFERROR(VLOOKUP(CONCATENATE(A120,$F$10,F120),'ID1&amp;5'!B:J,9,FALSE),"-")</f>
        <v>-</v>
      </c>
      <c r="W120" s="26" t="str">
        <f>+IFERROR(VLOOKUP(A120,'ID6&amp;7'!A:I,9,FALSE),"-")</f>
        <v>-</v>
      </c>
      <c r="X120" s="26" t="str">
        <f>+IFERROR(VLOOKUP(A120,'ID6&amp;7'!A:J,10,FALSE),"-")</f>
        <v>-</v>
      </c>
      <c r="Y120" s="26"/>
      <c r="Z120" s="27" t="str">
        <f t="shared" si="3"/>
        <v>Por iniciar</v>
      </c>
    </row>
    <row r="121" spans="1:26">
      <c r="A121" s="20" t="str">
        <f t="shared" si="2"/>
        <v>INSTRUMENTSME_FNRP1845596</v>
      </c>
      <c r="B121" s="66"/>
      <c r="C121" s="60"/>
      <c r="D121" s="60"/>
      <c r="E121" s="60"/>
      <c r="F121" s="67"/>
      <c r="G121" s="60"/>
      <c r="H121" s="65" t="s">
        <v>126</v>
      </c>
      <c r="I121" s="21" t="s">
        <v>422</v>
      </c>
      <c r="J121" s="26">
        <f>+COUNTIF('ID1&amp;5'!G:G,'1. Status'!I121)</f>
        <v>0</v>
      </c>
      <c r="K121" s="83" t="str">
        <f>+IFERROR(VLOOKUP(CONCATENATE(A121,$B$10,B121),'ID1&amp;5'!B:J,8,FALSE),"-")</f>
        <v>-</v>
      </c>
      <c r="L121" s="82" t="str">
        <f>+IFERROR(VLOOKUP(B121,'ID1&amp;5'!K:L,2,FALSE),"-")</f>
        <v>-</v>
      </c>
      <c r="M121" s="83" t="str">
        <f>+IFERROR(VLOOKUP(CONCATENATE(A121,$B$10,B121),'ID1&amp;5'!B:J,9,FALSE),"-")</f>
        <v>-</v>
      </c>
      <c r="N121" s="83" t="str">
        <f>+IFERROR(VLOOKUP(CONCATENATE(A121,$C$10,C121),'ID1&amp;5'!B:J,8,FALSE),"-")</f>
        <v>-</v>
      </c>
      <c r="O121" s="82" t="str">
        <f>+IFERROR(VLOOKUP(C121,'ID1&amp;5'!K:L,2,FALSE),"-")</f>
        <v>-</v>
      </c>
      <c r="P121" s="83" t="str">
        <f>+IFERROR(VLOOKUP(CONCATENATE(A121,$C$10,C121),'ID1&amp;5'!B:J,9,FALSE),"-")</f>
        <v>-</v>
      </c>
      <c r="Q121" s="82" t="str">
        <f>+IFERROR(VLOOKUP(D121,'ID1&amp;5'!K:L,2,FALSE),"-")</f>
        <v>-</v>
      </c>
      <c r="R121" s="26" t="str">
        <f>+IFERROR(VLOOKUP(CONCATENATE(A121,$D$10,D121),'ID1&amp;5'!B:J,9,FALSE),"-")</f>
        <v>-</v>
      </c>
      <c r="S121" s="82" t="str">
        <f>+IFERROR(VLOOKUP(E121,'ID1&amp;5'!K:L,2,FALSE),"-")</f>
        <v>-</v>
      </c>
      <c r="T121" s="83" t="str">
        <f>+IFERROR(VLOOKUP(CONCATENATE(A121,$E$10,E121),'ID1&amp;5'!B:J,9,FALSE),"-")</f>
        <v>-</v>
      </c>
      <c r="U121" s="82" t="str">
        <f>+IFERROR(VLOOKUP(F121,'ID1&amp;5'!K:L,2,FALSE),"-")</f>
        <v>-</v>
      </c>
      <c r="V121" s="83" t="str">
        <f>+IFERROR(VLOOKUP(CONCATENATE(A121,$F$10,F121),'ID1&amp;5'!B:J,9,FALSE),"-")</f>
        <v>-</v>
      </c>
      <c r="W121" s="26" t="str">
        <f>+IFERROR(VLOOKUP(A121,'ID6&amp;7'!A:I,9,FALSE),"-")</f>
        <v>-</v>
      </c>
      <c r="X121" s="26" t="str">
        <f>+IFERROR(VLOOKUP(A121,'ID6&amp;7'!A:J,10,FALSE),"-")</f>
        <v>-</v>
      </c>
      <c r="Y121" s="26"/>
      <c r="Z121" s="27" t="str">
        <f t="shared" si="3"/>
        <v>Por iniciar</v>
      </c>
    </row>
    <row r="122" spans="1:26">
      <c r="A122" s="20" t="str">
        <f t="shared" si="2"/>
        <v>INSTRUMENTRRE_FNRP1845596</v>
      </c>
      <c r="B122" s="66"/>
      <c r="C122" s="60"/>
      <c r="D122" s="60"/>
      <c r="E122" s="60"/>
      <c r="F122" s="67"/>
      <c r="G122" s="60"/>
      <c r="H122" s="65" t="s">
        <v>126</v>
      </c>
      <c r="I122" s="21" t="s">
        <v>423</v>
      </c>
      <c r="J122" s="26">
        <f>+COUNTIF('ID1&amp;5'!G:G,'1. Status'!I122)</f>
        <v>0</v>
      </c>
      <c r="K122" s="83" t="str">
        <f>+IFERROR(VLOOKUP(CONCATENATE(A122,$B$10,B122),'ID1&amp;5'!B:J,8,FALSE),"-")</f>
        <v>-</v>
      </c>
      <c r="L122" s="82" t="str">
        <f>+IFERROR(VLOOKUP(B122,'ID1&amp;5'!K:L,2,FALSE),"-")</f>
        <v>-</v>
      </c>
      <c r="M122" s="83" t="str">
        <f>+IFERROR(VLOOKUP(CONCATENATE(A122,$B$10,B122),'ID1&amp;5'!B:J,9,FALSE),"-")</f>
        <v>-</v>
      </c>
      <c r="N122" s="83" t="str">
        <f>+IFERROR(VLOOKUP(CONCATENATE(A122,$C$10,C122),'ID1&amp;5'!B:J,8,FALSE),"-")</f>
        <v>-</v>
      </c>
      <c r="O122" s="82" t="str">
        <f>+IFERROR(VLOOKUP(C122,'ID1&amp;5'!K:L,2,FALSE),"-")</f>
        <v>-</v>
      </c>
      <c r="P122" s="83" t="str">
        <f>+IFERROR(VLOOKUP(CONCATENATE(A122,$C$10,C122),'ID1&amp;5'!B:J,9,FALSE),"-")</f>
        <v>-</v>
      </c>
      <c r="Q122" s="82" t="str">
        <f>+IFERROR(VLOOKUP(D122,'ID1&amp;5'!K:L,2,FALSE),"-")</f>
        <v>-</v>
      </c>
      <c r="R122" s="26" t="str">
        <f>+IFERROR(VLOOKUP(CONCATENATE(A122,$D$10,D122),'ID1&amp;5'!B:J,9,FALSE),"-")</f>
        <v>-</v>
      </c>
      <c r="S122" s="82" t="str">
        <f>+IFERROR(VLOOKUP(E122,'ID1&amp;5'!K:L,2,FALSE),"-")</f>
        <v>-</v>
      </c>
      <c r="T122" s="83" t="str">
        <f>+IFERROR(VLOOKUP(CONCATENATE(A122,$E$10,E122),'ID1&amp;5'!B:J,9,FALSE),"-")</f>
        <v>-</v>
      </c>
      <c r="U122" s="82" t="str">
        <f>+IFERROR(VLOOKUP(F122,'ID1&amp;5'!K:L,2,FALSE),"-")</f>
        <v>-</v>
      </c>
      <c r="V122" s="83" t="str">
        <f>+IFERROR(VLOOKUP(CONCATENATE(A122,$F$10,F122),'ID1&amp;5'!B:J,9,FALSE),"-")</f>
        <v>-</v>
      </c>
      <c r="W122" s="26" t="str">
        <f>+IFERROR(VLOOKUP(A122,'ID6&amp;7'!A:I,9,FALSE),"-")</f>
        <v>-</v>
      </c>
      <c r="X122" s="26" t="str">
        <f>+IFERROR(VLOOKUP(A122,'ID6&amp;7'!A:J,10,FALSE),"-")</f>
        <v>-</v>
      </c>
      <c r="Y122" s="26"/>
      <c r="Z122" s="27" t="str">
        <f t="shared" si="3"/>
        <v>Por iniciar</v>
      </c>
    </row>
    <row r="123" spans="1:26">
      <c r="A123" s="20" t="str">
        <f t="shared" si="2"/>
        <v>INSTRUMENTCNSMPTN_FNRP1845596</v>
      </c>
      <c r="B123" s="66"/>
      <c r="C123" s="60"/>
      <c r="D123" s="60"/>
      <c r="E123" s="60"/>
      <c r="F123" s="67"/>
      <c r="G123" s="60"/>
      <c r="H123" s="65" t="s">
        <v>126</v>
      </c>
      <c r="I123" s="21" t="s">
        <v>424</v>
      </c>
      <c r="J123" s="26">
        <f>+COUNTIF('ID1&amp;5'!G:G,'1. Status'!I123)</f>
        <v>0</v>
      </c>
      <c r="K123" s="83" t="str">
        <f>+IFERROR(VLOOKUP(CONCATENATE(A123,$B$10,B123),'ID1&amp;5'!B:J,8,FALSE),"-")</f>
        <v>-</v>
      </c>
      <c r="L123" s="82" t="str">
        <f>+IFERROR(VLOOKUP(B123,'ID1&amp;5'!K:L,2,FALSE),"-")</f>
        <v>-</v>
      </c>
      <c r="M123" s="83" t="str">
        <f>+IFERROR(VLOOKUP(CONCATENATE(A123,$B$10,B123),'ID1&amp;5'!B:J,9,FALSE),"-")</f>
        <v>-</v>
      </c>
      <c r="N123" s="83" t="str">
        <f>+IFERROR(VLOOKUP(CONCATENATE(A123,$C$10,C123),'ID1&amp;5'!B:J,8,FALSE),"-")</f>
        <v>-</v>
      </c>
      <c r="O123" s="82" t="str">
        <f>+IFERROR(VLOOKUP(C123,'ID1&amp;5'!K:L,2,FALSE),"-")</f>
        <v>-</v>
      </c>
      <c r="P123" s="83" t="str">
        <f>+IFERROR(VLOOKUP(CONCATENATE(A123,$C$10,C123),'ID1&amp;5'!B:J,9,FALSE),"-")</f>
        <v>-</v>
      </c>
      <c r="Q123" s="82" t="str">
        <f>+IFERROR(VLOOKUP(D123,'ID1&amp;5'!K:L,2,FALSE),"-")</f>
        <v>-</v>
      </c>
      <c r="R123" s="26" t="str">
        <f>+IFERROR(VLOOKUP(CONCATENATE(A123,$D$10,D123),'ID1&amp;5'!B:J,9,FALSE),"-")</f>
        <v>-</v>
      </c>
      <c r="S123" s="82" t="str">
        <f>+IFERROR(VLOOKUP(E123,'ID1&amp;5'!K:L,2,FALSE),"-")</f>
        <v>-</v>
      </c>
      <c r="T123" s="83" t="str">
        <f>+IFERROR(VLOOKUP(CONCATENATE(A123,$E$10,E123),'ID1&amp;5'!B:J,9,FALSE),"-")</f>
        <v>-</v>
      </c>
      <c r="U123" s="82" t="str">
        <f>+IFERROR(VLOOKUP(F123,'ID1&amp;5'!K:L,2,FALSE),"-")</f>
        <v>-</v>
      </c>
      <c r="V123" s="83" t="str">
        <f>+IFERROR(VLOOKUP(CONCATENATE(A123,$F$10,F123),'ID1&amp;5'!B:J,9,FALSE),"-")</f>
        <v>-</v>
      </c>
      <c r="W123" s="26" t="str">
        <f>+IFERROR(VLOOKUP(A123,'ID6&amp;7'!A:I,9,FALSE),"-")</f>
        <v>-</v>
      </c>
      <c r="X123" s="26" t="str">
        <f>+IFERROR(VLOOKUP(A123,'ID6&amp;7'!A:J,10,FALSE),"-")</f>
        <v>-</v>
      </c>
      <c r="Y123" s="26"/>
      <c r="Z123" s="27" t="str">
        <f t="shared" si="3"/>
        <v>Por iniciar</v>
      </c>
    </row>
    <row r="124" spans="1:26">
      <c r="A124" s="20" t="str">
        <f t="shared" si="2"/>
        <v>INSTRUMENTCNTRCT_ID45596</v>
      </c>
      <c r="B124" s="66"/>
      <c r="C124" s="60"/>
      <c r="D124" s="60"/>
      <c r="E124" s="60"/>
      <c r="F124" s="67"/>
      <c r="G124" s="60"/>
      <c r="H124" s="65" t="s">
        <v>126</v>
      </c>
      <c r="I124" s="21" t="s">
        <v>425</v>
      </c>
      <c r="J124" s="26">
        <f>+COUNTIF('ID1&amp;5'!G:G,'1. Status'!I124)</f>
        <v>0</v>
      </c>
      <c r="K124" s="83" t="str">
        <f>+IFERROR(VLOOKUP(CONCATENATE(A124,$B$10,B124),'ID1&amp;5'!B:J,8,FALSE),"-")</f>
        <v>-</v>
      </c>
      <c r="L124" s="82" t="str">
        <f>+IFERROR(VLOOKUP(B124,'ID1&amp;5'!K:L,2,FALSE),"-")</f>
        <v>-</v>
      </c>
      <c r="M124" s="83" t="str">
        <f>+IFERROR(VLOOKUP(CONCATENATE(A124,$B$10,B124),'ID1&amp;5'!B:J,9,FALSE),"-")</f>
        <v>-</v>
      </c>
      <c r="N124" s="83" t="str">
        <f>+IFERROR(VLOOKUP(CONCATENATE(A124,$C$10,C124),'ID1&amp;5'!B:J,8,FALSE),"-")</f>
        <v>-</v>
      </c>
      <c r="O124" s="82" t="str">
        <f>+IFERROR(VLOOKUP(C124,'ID1&amp;5'!K:L,2,FALSE),"-")</f>
        <v>-</v>
      </c>
      <c r="P124" s="83" t="str">
        <f>+IFERROR(VLOOKUP(CONCATENATE(A124,$C$10,C124),'ID1&amp;5'!B:J,9,FALSE),"-")</f>
        <v>-</v>
      </c>
      <c r="Q124" s="82" t="str">
        <f>+IFERROR(VLOOKUP(D124,'ID1&amp;5'!K:L,2,FALSE),"-")</f>
        <v>-</v>
      </c>
      <c r="R124" s="26" t="str">
        <f>+IFERROR(VLOOKUP(CONCATENATE(A124,$D$10,D124),'ID1&amp;5'!B:J,9,FALSE),"-")</f>
        <v>-</v>
      </c>
      <c r="S124" s="82" t="str">
        <f>+IFERROR(VLOOKUP(E124,'ID1&amp;5'!K:L,2,FALSE),"-")</f>
        <v>-</v>
      </c>
      <c r="T124" s="83" t="str">
        <f>+IFERROR(VLOOKUP(CONCATENATE(A124,$E$10,E124),'ID1&amp;5'!B:J,9,FALSE),"-")</f>
        <v>-</v>
      </c>
      <c r="U124" s="82" t="str">
        <f>+IFERROR(VLOOKUP(F124,'ID1&amp;5'!K:L,2,FALSE),"-")</f>
        <v>-</v>
      </c>
      <c r="V124" s="83" t="str">
        <f>+IFERROR(VLOOKUP(CONCATENATE(A124,$F$10,F124),'ID1&amp;5'!B:J,9,FALSE),"-")</f>
        <v>-</v>
      </c>
      <c r="W124" s="26" t="str">
        <f>+IFERROR(VLOOKUP(A124,'ID6&amp;7'!A:I,9,FALSE),"-")</f>
        <v>-</v>
      </c>
      <c r="X124" s="26" t="str">
        <f>+IFERROR(VLOOKUP(A124,'ID6&amp;7'!A:J,10,FALSE),"-")</f>
        <v>-</v>
      </c>
      <c r="Y124" s="26"/>
      <c r="Z124" s="27" t="str">
        <f t="shared" si="3"/>
        <v>Por iniciar</v>
      </c>
    </row>
    <row r="125" spans="1:26">
      <c r="A125" s="20" t="str">
        <f t="shared" si="2"/>
        <v>INSTRUMENTCRRNCY_DNMNTN45596</v>
      </c>
      <c r="B125" s="66"/>
      <c r="C125" s="60"/>
      <c r="D125" s="60"/>
      <c r="E125" s="60"/>
      <c r="F125" s="67"/>
      <c r="G125" s="60"/>
      <c r="H125" s="65" t="s">
        <v>126</v>
      </c>
      <c r="I125" s="21" t="s">
        <v>426</v>
      </c>
      <c r="J125" s="26">
        <f>+COUNTIF('ID1&amp;5'!G:G,'1. Status'!I125)</f>
        <v>0</v>
      </c>
      <c r="K125" s="83" t="str">
        <f>+IFERROR(VLOOKUP(CONCATENATE(A125,$B$10,B125),'ID1&amp;5'!B:J,8,FALSE),"-")</f>
        <v>-</v>
      </c>
      <c r="L125" s="82" t="str">
        <f>+IFERROR(VLOOKUP(B125,'ID1&amp;5'!K:L,2,FALSE),"-")</f>
        <v>-</v>
      </c>
      <c r="M125" s="83" t="str">
        <f>+IFERROR(VLOOKUP(CONCATENATE(A125,$B$10,B125),'ID1&amp;5'!B:J,9,FALSE),"-")</f>
        <v>-</v>
      </c>
      <c r="N125" s="83" t="str">
        <f>+IFERROR(VLOOKUP(CONCATENATE(A125,$C$10,C125),'ID1&amp;5'!B:J,8,FALSE),"-")</f>
        <v>-</v>
      </c>
      <c r="O125" s="82" t="str">
        <f>+IFERROR(VLOOKUP(C125,'ID1&amp;5'!K:L,2,FALSE),"-")</f>
        <v>-</v>
      </c>
      <c r="P125" s="83" t="str">
        <f>+IFERROR(VLOOKUP(CONCATENATE(A125,$C$10,C125),'ID1&amp;5'!B:J,9,FALSE),"-")</f>
        <v>-</v>
      </c>
      <c r="Q125" s="82" t="str">
        <f>+IFERROR(VLOOKUP(D125,'ID1&amp;5'!K:L,2,FALSE),"-")</f>
        <v>-</v>
      </c>
      <c r="R125" s="26" t="str">
        <f>+IFERROR(VLOOKUP(CONCATENATE(A125,$D$10,D125),'ID1&amp;5'!B:J,9,FALSE),"-")</f>
        <v>-</v>
      </c>
      <c r="S125" s="82" t="str">
        <f>+IFERROR(VLOOKUP(E125,'ID1&amp;5'!K:L,2,FALSE),"-")</f>
        <v>-</v>
      </c>
      <c r="T125" s="83" t="str">
        <f>+IFERROR(VLOOKUP(CONCATENATE(A125,$E$10,E125),'ID1&amp;5'!B:J,9,FALSE),"-")</f>
        <v>-</v>
      </c>
      <c r="U125" s="82" t="str">
        <f>+IFERROR(VLOOKUP(F125,'ID1&amp;5'!K:L,2,FALSE),"-")</f>
        <v>-</v>
      </c>
      <c r="V125" s="83" t="str">
        <f>+IFERROR(VLOOKUP(CONCATENATE(A125,$F$10,F125),'ID1&amp;5'!B:J,9,FALSE),"-")</f>
        <v>-</v>
      </c>
      <c r="W125" s="26" t="str">
        <f>+IFERROR(VLOOKUP(A125,'ID6&amp;7'!A:I,9,FALSE),"-")</f>
        <v>-</v>
      </c>
      <c r="X125" s="26" t="str">
        <f>+IFERROR(VLOOKUP(A125,'ID6&amp;7'!A:J,10,FALSE),"-")</f>
        <v>-</v>
      </c>
      <c r="Y125" s="26"/>
      <c r="Z125" s="27" t="str">
        <f t="shared" si="3"/>
        <v>Por iniciar</v>
      </c>
    </row>
    <row r="126" spans="1:26">
      <c r="A126" s="20" t="str">
        <f t="shared" si="2"/>
        <v>INSTRUMENTDT_INCPTN45596</v>
      </c>
      <c r="B126" s="66"/>
      <c r="C126" s="60"/>
      <c r="D126" s="60"/>
      <c r="E126" s="60"/>
      <c r="F126" s="67"/>
      <c r="G126" s="60"/>
      <c r="H126" s="65" t="s">
        <v>126</v>
      </c>
      <c r="I126" s="21" t="s">
        <v>94</v>
      </c>
      <c r="J126" s="26">
        <f>+COUNTIF('ID1&amp;5'!G:G,'1. Status'!I126)</f>
        <v>0</v>
      </c>
      <c r="K126" s="83" t="str">
        <f>+IFERROR(VLOOKUP(CONCATENATE(A126,$B$10,B126),'ID1&amp;5'!B:J,8,FALSE),"-")</f>
        <v>-</v>
      </c>
      <c r="L126" s="82" t="str">
        <f>+IFERROR(VLOOKUP(B126,'ID1&amp;5'!K:L,2,FALSE),"-")</f>
        <v>-</v>
      </c>
      <c r="M126" s="83" t="str">
        <f>+IFERROR(VLOOKUP(CONCATENATE(A126,$B$10,B126),'ID1&amp;5'!B:J,9,FALSE),"-")</f>
        <v>-</v>
      </c>
      <c r="N126" s="83" t="str">
        <f>+IFERROR(VLOOKUP(CONCATENATE(A126,$C$10,C126),'ID1&amp;5'!B:J,8,FALSE),"-")</f>
        <v>-</v>
      </c>
      <c r="O126" s="82" t="str">
        <f>+IFERROR(VLOOKUP(C126,'ID1&amp;5'!K:L,2,FALSE),"-")</f>
        <v>-</v>
      </c>
      <c r="P126" s="83" t="str">
        <f>+IFERROR(VLOOKUP(CONCATENATE(A126,$C$10,C126),'ID1&amp;5'!B:J,9,FALSE),"-")</f>
        <v>-</v>
      </c>
      <c r="Q126" s="82" t="str">
        <f>+IFERROR(VLOOKUP(D126,'ID1&amp;5'!K:L,2,FALSE),"-")</f>
        <v>-</v>
      </c>
      <c r="R126" s="26" t="str">
        <f>+IFERROR(VLOOKUP(CONCATENATE(A126,$D$10,D126),'ID1&amp;5'!B:J,9,FALSE),"-")</f>
        <v>-</v>
      </c>
      <c r="S126" s="82" t="str">
        <f>+IFERROR(VLOOKUP(E126,'ID1&amp;5'!K:L,2,FALSE),"-")</f>
        <v>-</v>
      </c>
      <c r="T126" s="83" t="str">
        <f>+IFERROR(VLOOKUP(CONCATENATE(A126,$E$10,E126),'ID1&amp;5'!B:J,9,FALSE),"-")</f>
        <v>-</v>
      </c>
      <c r="U126" s="82" t="str">
        <f>+IFERROR(VLOOKUP(F126,'ID1&amp;5'!K:L,2,FALSE),"-")</f>
        <v>-</v>
      </c>
      <c r="V126" s="83" t="str">
        <f>+IFERROR(VLOOKUP(CONCATENATE(A126,$F$10,F126),'ID1&amp;5'!B:J,9,FALSE),"-")</f>
        <v>-</v>
      </c>
      <c r="W126" s="26" t="str">
        <f>+IFERROR(VLOOKUP(A126,'ID6&amp;7'!A:I,9,FALSE),"-")</f>
        <v>-</v>
      </c>
      <c r="X126" s="26" t="str">
        <f>+IFERROR(VLOOKUP(A126,'ID6&amp;7'!A:J,10,FALSE),"-")</f>
        <v>-</v>
      </c>
      <c r="Y126" s="26"/>
      <c r="Z126" s="27" t="str">
        <f t="shared" si="3"/>
        <v>Por iniciar</v>
      </c>
    </row>
    <row r="127" spans="1:26">
      <c r="A127" s="20" t="str">
        <f t="shared" si="2"/>
        <v>INSTRUMENTOBSRVD_AGNT_ID45596</v>
      </c>
      <c r="B127" s="66"/>
      <c r="C127" s="60"/>
      <c r="D127" s="60"/>
      <c r="E127" s="60"/>
      <c r="F127" s="67"/>
      <c r="G127" s="60"/>
      <c r="H127" s="65" t="s">
        <v>126</v>
      </c>
      <c r="I127" s="21" t="s">
        <v>427</v>
      </c>
      <c r="J127" s="26">
        <f>+COUNTIF('ID1&amp;5'!G:G,'1. Status'!I127)</f>
        <v>0</v>
      </c>
      <c r="K127" s="83" t="str">
        <f>+IFERROR(VLOOKUP(CONCATENATE(A127,$B$10,B127),'ID1&amp;5'!B:J,8,FALSE),"-")</f>
        <v>-</v>
      </c>
      <c r="L127" s="82" t="str">
        <f>+IFERROR(VLOOKUP(B127,'ID1&amp;5'!K:L,2,FALSE),"-")</f>
        <v>-</v>
      </c>
      <c r="M127" s="83" t="str">
        <f>+IFERROR(VLOOKUP(CONCATENATE(A127,$B$10,B127),'ID1&amp;5'!B:J,9,FALSE),"-")</f>
        <v>-</v>
      </c>
      <c r="N127" s="83" t="str">
        <f>+IFERROR(VLOOKUP(CONCATENATE(A127,$C$10,C127),'ID1&amp;5'!B:J,8,FALSE),"-")</f>
        <v>-</v>
      </c>
      <c r="O127" s="82" t="str">
        <f>+IFERROR(VLOOKUP(C127,'ID1&amp;5'!K:L,2,FALSE),"-")</f>
        <v>-</v>
      </c>
      <c r="P127" s="83" t="str">
        <f>+IFERROR(VLOOKUP(CONCATENATE(A127,$C$10,C127),'ID1&amp;5'!B:J,9,FALSE),"-")</f>
        <v>-</v>
      </c>
      <c r="Q127" s="82" t="str">
        <f>+IFERROR(VLOOKUP(D127,'ID1&amp;5'!K:L,2,FALSE),"-")</f>
        <v>-</v>
      </c>
      <c r="R127" s="26" t="str">
        <f>+IFERROR(VLOOKUP(CONCATENATE(A127,$D$10,D127),'ID1&amp;5'!B:J,9,FALSE),"-")</f>
        <v>-</v>
      </c>
      <c r="S127" s="82" t="str">
        <f>+IFERROR(VLOOKUP(E127,'ID1&amp;5'!K:L,2,FALSE),"-")</f>
        <v>-</v>
      </c>
      <c r="T127" s="83" t="str">
        <f>+IFERROR(VLOOKUP(CONCATENATE(A127,$E$10,E127),'ID1&amp;5'!B:J,9,FALSE),"-")</f>
        <v>-</v>
      </c>
      <c r="U127" s="82" t="str">
        <f>+IFERROR(VLOOKUP(F127,'ID1&amp;5'!K:L,2,FALSE),"-")</f>
        <v>-</v>
      </c>
      <c r="V127" s="83" t="str">
        <f>+IFERROR(VLOOKUP(CONCATENATE(A127,$F$10,F127),'ID1&amp;5'!B:J,9,FALSE),"-")</f>
        <v>-</v>
      </c>
      <c r="W127" s="26" t="str">
        <f>+IFERROR(VLOOKUP(A127,'ID6&amp;7'!A:I,9,FALSE),"-")</f>
        <v>-</v>
      </c>
      <c r="X127" s="26" t="str">
        <f>+IFERROR(VLOOKUP(A127,'ID6&amp;7'!A:J,10,FALSE),"-")</f>
        <v>-</v>
      </c>
      <c r="Y127" s="26"/>
      <c r="Z127" s="27" t="str">
        <f t="shared" si="3"/>
        <v>Por iniciar</v>
      </c>
    </row>
    <row r="128" spans="1:26">
      <c r="A128" s="20" t="str">
        <f t="shared" si="2"/>
        <v>INSTRUMENTOBSRVD_AGNT_NM45596</v>
      </c>
      <c r="B128" s="66"/>
      <c r="C128" s="60"/>
      <c r="D128" s="60"/>
      <c r="E128" s="60"/>
      <c r="F128" s="67"/>
      <c r="G128" s="60"/>
      <c r="H128" s="65" t="s">
        <v>126</v>
      </c>
      <c r="I128" s="21" t="s">
        <v>428</v>
      </c>
      <c r="J128" s="26">
        <f>+COUNTIF('ID1&amp;5'!G:G,'1. Status'!I128)</f>
        <v>0</v>
      </c>
      <c r="K128" s="83" t="str">
        <f>+IFERROR(VLOOKUP(CONCATENATE(A128,$B$10,B128),'ID1&amp;5'!B:J,8,FALSE),"-")</f>
        <v>-</v>
      </c>
      <c r="L128" s="82" t="str">
        <f>+IFERROR(VLOOKUP(B128,'ID1&amp;5'!K:L,2,FALSE),"-")</f>
        <v>-</v>
      </c>
      <c r="M128" s="83" t="str">
        <f>+IFERROR(VLOOKUP(CONCATENATE(A128,$B$10,B128),'ID1&amp;5'!B:J,9,FALSE),"-")</f>
        <v>-</v>
      </c>
      <c r="N128" s="83" t="str">
        <f>+IFERROR(VLOOKUP(CONCATENATE(A128,$C$10,C128),'ID1&amp;5'!B:J,8,FALSE),"-")</f>
        <v>-</v>
      </c>
      <c r="O128" s="82" t="str">
        <f>+IFERROR(VLOOKUP(C128,'ID1&amp;5'!K:L,2,FALSE),"-")</f>
        <v>-</v>
      </c>
      <c r="P128" s="83" t="str">
        <f>+IFERROR(VLOOKUP(CONCATENATE(A128,$C$10,C128),'ID1&amp;5'!B:J,9,FALSE),"-")</f>
        <v>-</v>
      </c>
      <c r="Q128" s="82" t="str">
        <f>+IFERROR(VLOOKUP(D128,'ID1&amp;5'!K:L,2,FALSE),"-")</f>
        <v>-</v>
      </c>
      <c r="R128" s="26" t="str">
        <f>+IFERROR(VLOOKUP(CONCATENATE(A128,$D$10,D128),'ID1&amp;5'!B:J,9,FALSE),"-")</f>
        <v>-</v>
      </c>
      <c r="S128" s="82" t="str">
        <f>+IFERROR(VLOOKUP(E128,'ID1&amp;5'!K:L,2,FALSE),"-")</f>
        <v>-</v>
      </c>
      <c r="T128" s="83" t="str">
        <f>+IFERROR(VLOOKUP(CONCATENATE(A128,$E$10,E128),'ID1&amp;5'!B:J,9,FALSE),"-")</f>
        <v>-</v>
      </c>
      <c r="U128" s="82" t="str">
        <f>+IFERROR(VLOOKUP(F128,'ID1&amp;5'!K:L,2,FALSE),"-")</f>
        <v>-</v>
      </c>
      <c r="V128" s="83" t="str">
        <f>+IFERROR(VLOOKUP(CONCATENATE(A128,$F$10,F128),'ID1&amp;5'!B:J,9,FALSE),"-")</f>
        <v>-</v>
      </c>
      <c r="W128" s="26" t="str">
        <f>+IFERROR(VLOOKUP(A128,'ID6&amp;7'!A:I,9,FALSE),"-")</f>
        <v>-</v>
      </c>
      <c r="X128" s="26" t="str">
        <f>+IFERROR(VLOOKUP(A128,'ID6&amp;7'!A:J,10,FALSE),"-")</f>
        <v>-</v>
      </c>
      <c r="Y128" s="26"/>
      <c r="Z128" s="27" t="str">
        <f t="shared" si="3"/>
        <v>Por iniciar</v>
      </c>
    </row>
    <row r="129" spans="1:26">
      <c r="A129" s="20" t="str">
        <f t="shared" si="2"/>
        <v>INSTRUMENTPRDCT45596</v>
      </c>
      <c r="B129" s="66"/>
      <c r="C129" s="60"/>
      <c r="D129" s="60"/>
      <c r="E129" s="60"/>
      <c r="F129" s="67"/>
      <c r="G129" s="60"/>
      <c r="H129" s="65" t="s">
        <v>126</v>
      </c>
      <c r="I129" s="21" t="s">
        <v>429</v>
      </c>
      <c r="J129" s="26">
        <f>+COUNTIF('ID1&amp;5'!G:G,'1. Status'!I129)</f>
        <v>0</v>
      </c>
      <c r="K129" s="83" t="str">
        <f>+IFERROR(VLOOKUP(CONCATENATE(A129,$B$10,B129),'ID1&amp;5'!B:J,8,FALSE),"-")</f>
        <v>-</v>
      </c>
      <c r="L129" s="82" t="str">
        <f>+IFERROR(VLOOKUP(B129,'ID1&amp;5'!K:L,2,FALSE),"-")</f>
        <v>-</v>
      </c>
      <c r="M129" s="83" t="str">
        <f>+IFERROR(VLOOKUP(CONCATENATE(A129,$B$10,B129),'ID1&amp;5'!B:J,9,FALSE),"-")</f>
        <v>-</v>
      </c>
      <c r="N129" s="83" t="str">
        <f>+IFERROR(VLOOKUP(CONCATENATE(A129,$C$10,C129),'ID1&amp;5'!B:J,8,FALSE),"-")</f>
        <v>-</v>
      </c>
      <c r="O129" s="82" t="str">
        <f>+IFERROR(VLOOKUP(C129,'ID1&amp;5'!K:L,2,FALSE),"-")</f>
        <v>-</v>
      </c>
      <c r="P129" s="83" t="str">
        <f>+IFERROR(VLOOKUP(CONCATENATE(A129,$C$10,C129),'ID1&amp;5'!B:J,9,FALSE),"-")</f>
        <v>-</v>
      </c>
      <c r="Q129" s="82" t="str">
        <f>+IFERROR(VLOOKUP(D129,'ID1&amp;5'!K:L,2,FALSE),"-")</f>
        <v>-</v>
      </c>
      <c r="R129" s="26" t="str">
        <f>+IFERROR(VLOOKUP(CONCATENATE(A129,$D$10,D129),'ID1&amp;5'!B:J,9,FALSE),"-")</f>
        <v>-</v>
      </c>
      <c r="S129" s="82" t="str">
        <f>+IFERROR(VLOOKUP(E129,'ID1&amp;5'!K:L,2,FALSE),"-")</f>
        <v>-</v>
      </c>
      <c r="T129" s="83" t="str">
        <f>+IFERROR(VLOOKUP(CONCATENATE(A129,$E$10,E129),'ID1&amp;5'!B:J,9,FALSE),"-")</f>
        <v>-</v>
      </c>
      <c r="U129" s="82" t="str">
        <f>+IFERROR(VLOOKUP(F129,'ID1&amp;5'!K:L,2,FALSE),"-")</f>
        <v>-</v>
      </c>
      <c r="V129" s="83" t="str">
        <f>+IFERROR(VLOOKUP(CONCATENATE(A129,$F$10,F129),'ID1&amp;5'!B:J,9,FALSE),"-")</f>
        <v>-</v>
      </c>
      <c r="W129" s="26" t="str">
        <f>+IFERROR(VLOOKUP(A129,'ID6&amp;7'!A:I,9,FALSE),"-")</f>
        <v>-</v>
      </c>
      <c r="X129" s="26" t="str">
        <f>+IFERROR(VLOOKUP(A129,'ID6&amp;7'!A:J,10,FALSE),"-")</f>
        <v>-</v>
      </c>
      <c r="Y129" s="26"/>
      <c r="Z129" s="27" t="str">
        <f t="shared" si="3"/>
        <v>Por iniciar</v>
      </c>
    </row>
    <row r="130" spans="1:26">
      <c r="A130" s="20" t="str">
        <f t="shared" si="2"/>
        <v>INSTRUMENTBRCHD_CVNNTS45596</v>
      </c>
      <c r="B130" s="66"/>
      <c r="C130" s="60"/>
      <c r="D130" s="60"/>
      <c r="E130" s="60"/>
      <c r="F130" s="67"/>
      <c r="G130" s="60"/>
      <c r="H130" s="65" t="s">
        <v>126</v>
      </c>
      <c r="I130" s="21" t="s">
        <v>430</v>
      </c>
      <c r="J130" s="26">
        <f>+COUNTIF('ID1&amp;5'!G:G,'1. Status'!I130)</f>
        <v>0</v>
      </c>
      <c r="K130" s="83" t="str">
        <f>+IFERROR(VLOOKUP(CONCATENATE(A130,$B$10,B130),'ID1&amp;5'!B:J,8,FALSE),"-")</f>
        <v>-</v>
      </c>
      <c r="L130" s="82" t="str">
        <f>+IFERROR(VLOOKUP(B130,'ID1&amp;5'!K:L,2,FALSE),"-")</f>
        <v>-</v>
      </c>
      <c r="M130" s="83" t="str">
        <f>+IFERROR(VLOOKUP(CONCATENATE(A130,$B$10,B130),'ID1&amp;5'!B:J,9,FALSE),"-")</f>
        <v>-</v>
      </c>
      <c r="N130" s="83" t="str">
        <f>+IFERROR(VLOOKUP(CONCATENATE(A130,$C$10,C130),'ID1&amp;5'!B:J,8,FALSE),"-")</f>
        <v>-</v>
      </c>
      <c r="O130" s="82" t="str">
        <f>+IFERROR(VLOOKUP(C130,'ID1&amp;5'!K:L,2,FALSE),"-")</f>
        <v>-</v>
      </c>
      <c r="P130" s="83" t="str">
        <f>+IFERROR(VLOOKUP(CONCATENATE(A130,$C$10,C130),'ID1&amp;5'!B:J,9,FALSE),"-")</f>
        <v>-</v>
      </c>
      <c r="Q130" s="82" t="str">
        <f>+IFERROR(VLOOKUP(D130,'ID1&amp;5'!K:L,2,FALSE),"-")</f>
        <v>-</v>
      </c>
      <c r="R130" s="26" t="str">
        <f>+IFERROR(VLOOKUP(CONCATENATE(A130,$D$10,D130),'ID1&amp;5'!B:J,9,FALSE),"-")</f>
        <v>-</v>
      </c>
      <c r="S130" s="82" t="str">
        <f>+IFERROR(VLOOKUP(E130,'ID1&amp;5'!K:L,2,FALSE),"-")</f>
        <v>-</v>
      </c>
      <c r="T130" s="83" t="str">
        <f>+IFERROR(VLOOKUP(CONCATENATE(A130,$E$10,E130),'ID1&amp;5'!B:J,9,FALSE),"-")</f>
        <v>-</v>
      </c>
      <c r="U130" s="82" t="str">
        <f>+IFERROR(VLOOKUP(F130,'ID1&amp;5'!K:L,2,FALSE),"-")</f>
        <v>-</v>
      </c>
      <c r="V130" s="83" t="str">
        <f>+IFERROR(VLOOKUP(CONCATENATE(A130,$F$10,F130),'ID1&amp;5'!B:J,9,FALSE),"-")</f>
        <v>-</v>
      </c>
      <c r="W130" s="26" t="str">
        <f>+IFERROR(VLOOKUP(A130,'ID6&amp;7'!A:I,9,FALSE),"-")</f>
        <v>-</v>
      </c>
      <c r="X130" s="26" t="str">
        <f>+IFERROR(VLOOKUP(A130,'ID6&amp;7'!A:J,10,FALSE),"-")</f>
        <v>-</v>
      </c>
      <c r="Y130" s="26"/>
      <c r="Z130" s="27" t="str">
        <f t="shared" si="3"/>
        <v>Por iniciar</v>
      </c>
    </row>
    <row r="131" spans="1:26">
      <c r="A131" s="20" t="str">
        <f t="shared" si="2"/>
        <v>INSTRUMENTCHNNL_ORGNTN45596</v>
      </c>
      <c r="B131" s="66"/>
      <c r="C131" s="60"/>
      <c r="D131" s="60"/>
      <c r="E131" s="60"/>
      <c r="F131" s="67"/>
      <c r="G131" s="60"/>
      <c r="H131" s="65" t="s">
        <v>126</v>
      </c>
      <c r="I131" s="21" t="s">
        <v>431</v>
      </c>
      <c r="J131" s="26">
        <f>+COUNTIF('ID1&amp;5'!G:G,'1. Status'!I131)</f>
        <v>0</v>
      </c>
      <c r="K131" s="83" t="str">
        <f>+IFERROR(VLOOKUP(CONCATENATE(A131,$B$10,B131),'ID1&amp;5'!B:J,8,FALSE),"-")</f>
        <v>-</v>
      </c>
      <c r="L131" s="82" t="str">
        <f>+IFERROR(VLOOKUP(B131,'ID1&amp;5'!K:L,2,FALSE),"-")</f>
        <v>-</v>
      </c>
      <c r="M131" s="83" t="str">
        <f>+IFERROR(VLOOKUP(CONCATENATE(A131,$B$10,B131),'ID1&amp;5'!B:J,9,FALSE),"-")</f>
        <v>-</v>
      </c>
      <c r="N131" s="83" t="str">
        <f>+IFERROR(VLOOKUP(CONCATENATE(A131,$C$10,C131),'ID1&amp;5'!B:J,8,FALSE),"-")</f>
        <v>-</v>
      </c>
      <c r="O131" s="82" t="str">
        <f>+IFERROR(VLOOKUP(C131,'ID1&amp;5'!K:L,2,FALSE),"-")</f>
        <v>-</v>
      </c>
      <c r="P131" s="83" t="str">
        <f>+IFERROR(VLOOKUP(CONCATENATE(A131,$C$10,C131),'ID1&amp;5'!B:J,9,FALSE),"-")</f>
        <v>-</v>
      </c>
      <c r="Q131" s="82" t="str">
        <f>+IFERROR(VLOOKUP(D131,'ID1&amp;5'!K:L,2,FALSE),"-")</f>
        <v>-</v>
      </c>
      <c r="R131" s="26" t="str">
        <f>+IFERROR(VLOOKUP(CONCATENATE(A131,$D$10,D131),'ID1&amp;5'!B:J,9,FALSE),"-")</f>
        <v>-</v>
      </c>
      <c r="S131" s="82" t="str">
        <f>+IFERROR(VLOOKUP(E131,'ID1&amp;5'!K:L,2,FALSE),"-")</f>
        <v>-</v>
      </c>
      <c r="T131" s="83" t="str">
        <f>+IFERROR(VLOOKUP(CONCATENATE(A131,$E$10,E131),'ID1&amp;5'!B:J,9,FALSE),"-")</f>
        <v>-</v>
      </c>
      <c r="U131" s="82" t="str">
        <f>+IFERROR(VLOOKUP(F131,'ID1&amp;5'!K:L,2,FALSE),"-")</f>
        <v>-</v>
      </c>
      <c r="V131" s="83" t="str">
        <f>+IFERROR(VLOOKUP(CONCATENATE(A131,$F$10,F131),'ID1&amp;5'!B:J,9,FALSE),"-")</f>
        <v>-</v>
      </c>
      <c r="W131" s="26" t="str">
        <f>+IFERROR(VLOOKUP(A131,'ID6&amp;7'!A:I,9,FALSE),"-")</f>
        <v>-</v>
      </c>
      <c r="X131" s="26" t="str">
        <f>+IFERROR(VLOOKUP(A131,'ID6&amp;7'!A:J,10,FALSE),"-")</f>
        <v>-</v>
      </c>
      <c r="Y131" s="26"/>
      <c r="Z131" s="27" t="str">
        <f t="shared" si="3"/>
        <v>Por iniciar</v>
      </c>
    </row>
    <row r="132" spans="1:26">
      <c r="A132" s="20" t="str">
        <f t="shared" si="2"/>
        <v>INSTRUMENTCSH_SWP_TRP45596</v>
      </c>
      <c r="B132" s="66"/>
      <c r="C132" s="60"/>
      <c r="D132" s="60"/>
      <c r="E132" s="60"/>
      <c r="F132" s="67"/>
      <c r="G132" s="60"/>
      <c r="H132" s="65" t="s">
        <v>126</v>
      </c>
      <c r="I132" s="21" t="s">
        <v>432</v>
      </c>
      <c r="J132" s="26">
        <f>+COUNTIF('ID1&amp;5'!G:G,'1. Status'!I132)</f>
        <v>0</v>
      </c>
      <c r="K132" s="83" t="str">
        <f>+IFERROR(VLOOKUP(CONCATENATE(A132,$B$10,B132),'ID1&amp;5'!B:J,8,FALSE),"-")</f>
        <v>-</v>
      </c>
      <c r="L132" s="82" t="str">
        <f>+IFERROR(VLOOKUP(B132,'ID1&amp;5'!K:L,2,FALSE),"-")</f>
        <v>-</v>
      </c>
      <c r="M132" s="83" t="str">
        <f>+IFERROR(VLOOKUP(CONCATENATE(A132,$B$10,B132),'ID1&amp;5'!B:J,9,FALSE),"-")</f>
        <v>-</v>
      </c>
      <c r="N132" s="83" t="str">
        <f>+IFERROR(VLOOKUP(CONCATENATE(A132,$C$10,C132),'ID1&amp;5'!B:J,8,FALSE),"-")</f>
        <v>-</v>
      </c>
      <c r="O132" s="82" t="str">
        <f>+IFERROR(VLOOKUP(C132,'ID1&amp;5'!K:L,2,FALSE),"-")</f>
        <v>-</v>
      </c>
      <c r="P132" s="83" t="str">
        <f>+IFERROR(VLOOKUP(CONCATENATE(A132,$C$10,C132),'ID1&amp;5'!B:J,9,FALSE),"-")</f>
        <v>-</v>
      </c>
      <c r="Q132" s="82" t="str">
        <f>+IFERROR(VLOOKUP(D132,'ID1&amp;5'!K:L,2,FALSE),"-")</f>
        <v>-</v>
      </c>
      <c r="R132" s="26" t="str">
        <f>+IFERROR(VLOOKUP(CONCATENATE(A132,$D$10,D132),'ID1&amp;5'!B:J,9,FALSE),"-")</f>
        <v>-</v>
      </c>
      <c r="S132" s="82" t="str">
        <f>+IFERROR(VLOOKUP(E132,'ID1&amp;5'!K:L,2,FALSE),"-")</f>
        <v>-</v>
      </c>
      <c r="T132" s="83" t="str">
        <f>+IFERROR(VLOOKUP(CONCATENATE(A132,$E$10,E132),'ID1&amp;5'!B:J,9,FALSE),"-")</f>
        <v>-</v>
      </c>
      <c r="U132" s="82" t="str">
        <f>+IFERROR(VLOOKUP(F132,'ID1&amp;5'!K:L,2,FALSE),"-")</f>
        <v>-</v>
      </c>
      <c r="V132" s="83" t="str">
        <f>+IFERROR(VLOOKUP(CONCATENATE(A132,$F$10,F132),'ID1&amp;5'!B:J,9,FALSE),"-")</f>
        <v>-</v>
      </c>
      <c r="W132" s="26" t="str">
        <f>+IFERROR(VLOOKUP(A132,'ID6&amp;7'!A:I,9,FALSE),"-")</f>
        <v>-</v>
      </c>
      <c r="X132" s="26" t="str">
        <f>+IFERROR(VLOOKUP(A132,'ID6&amp;7'!A:J,10,FALSE),"-")</f>
        <v>-</v>
      </c>
      <c r="Y132" s="26"/>
      <c r="Z132" s="27" t="str">
        <f t="shared" si="3"/>
        <v>Por iniciar</v>
      </c>
    </row>
    <row r="133" spans="1:26">
      <c r="A133" s="20" t="str">
        <f t="shared" si="2"/>
        <v>INSTRUMENTCVNNT_STTS45596</v>
      </c>
      <c r="B133" s="66"/>
      <c r="C133" s="60"/>
      <c r="D133" s="60"/>
      <c r="E133" s="60"/>
      <c r="F133" s="67"/>
      <c r="G133" s="60"/>
      <c r="H133" s="65" t="s">
        <v>126</v>
      </c>
      <c r="I133" s="21" t="s">
        <v>433</v>
      </c>
      <c r="J133" s="26">
        <f>+COUNTIF('ID1&amp;5'!G:G,'1. Status'!I133)</f>
        <v>0</v>
      </c>
      <c r="K133" s="83" t="str">
        <f>+IFERROR(VLOOKUP(CONCATENATE(A133,$B$10,B133),'ID1&amp;5'!B:J,8,FALSE),"-")</f>
        <v>-</v>
      </c>
      <c r="L133" s="82" t="str">
        <f>+IFERROR(VLOOKUP(B133,'ID1&amp;5'!K:L,2,FALSE),"-")</f>
        <v>-</v>
      </c>
      <c r="M133" s="83" t="str">
        <f>+IFERROR(VLOOKUP(CONCATENATE(A133,$B$10,B133),'ID1&amp;5'!B:J,9,FALSE),"-")</f>
        <v>-</v>
      </c>
      <c r="N133" s="83" t="str">
        <f>+IFERROR(VLOOKUP(CONCATENATE(A133,$C$10,C133),'ID1&amp;5'!B:J,8,FALSE),"-")</f>
        <v>-</v>
      </c>
      <c r="O133" s="82" t="str">
        <f>+IFERROR(VLOOKUP(C133,'ID1&amp;5'!K:L,2,FALSE),"-")</f>
        <v>-</v>
      </c>
      <c r="P133" s="83" t="str">
        <f>+IFERROR(VLOOKUP(CONCATENATE(A133,$C$10,C133),'ID1&amp;5'!B:J,9,FALSE),"-")</f>
        <v>-</v>
      </c>
      <c r="Q133" s="82" t="str">
        <f>+IFERROR(VLOOKUP(D133,'ID1&amp;5'!K:L,2,FALSE),"-")</f>
        <v>-</v>
      </c>
      <c r="R133" s="26" t="str">
        <f>+IFERROR(VLOOKUP(CONCATENATE(A133,$D$10,D133),'ID1&amp;5'!B:J,9,FALSE),"-")</f>
        <v>-</v>
      </c>
      <c r="S133" s="82" t="str">
        <f>+IFERROR(VLOOKUP(E133,'ID1&amp;5'!K:L,2,FALSE),"-")</f>
        <v>-</v>
      </c>
      <c r="T133" s="83" t="str">
        <f>+IFERROR(VLOOKUP(CONCATENATE(A133,$E$10,E133),'ID1&amp;5'!B:J,9,FALSE),"-")</f>
        <v>-</v>
      </c>
      <c r="U133" s="82" t="str">
        <f>+IFERROR(VLOOKUP(F133,'ID1&amp;5'!K:L,2,FALSE),"-")</f>
        <v>-</v>
      </c>
      <c r="V133" s="83" t="str">
        <f>+IFERROR(VLOOKUP(CONCATENATE(A133,$F$10,F133),'ID1&amp;5'!B:J,9,FALSE),"-")</f>
        <v>-</v>
      </c>
      <c r="W133" s="26" t="str">
        <f>+IFERROR(VLOOKUP(A133,'ID6&amp;7'!A:I,9,FALSE),"-")</f>
        <v>-</v>
      </c>
      <c r="X133" s="26" t="str">
        <f>+IFERROR(VLOOKUP(A133,'ID6&amp;7'!A:J,10,FALSE),"-")</f>
        <v>-</v>
      </c>
      <c r="Y133" s="26"/>
      <c r="Z133" s="27" t="str">
        <f t="shared" si="3"/>
        <v>Por iniciar</v>
      </c>
    </row>
    <row r="134" spans="1:26">
      <c r="A134" s="20" t="str">
        <f t="shared" si="2"/>
        <v>INSTRUMENTCVNNT_TYP45596</v>
      </c>
      <c r="B134" s="66"/>
      <c r="C134" s="60"/>
      <c r="D134" s="60"/>
      <c r="E134" s="60"/>
      <c r="F134" s="67"/>
      <c r="G134" s="60"/>
      <c r="H134" s="65" t="s">
        <v>126</v>
      </c>
      <c r="I134" s="21" t="s">
        <v>434</v>
      </c>
      <c r="J134" s="26">
        <f>+COUNTIF('ID1&amp;5'!G:G,'1. Status'!I134)</f>
        <v>0</v>
      </c>
      <c r="K134" s="83" t="str">
        <f>+IFERROR(VLOOKUP(CONCATENATE(A134,$B$10,B134),'ID1&amp;5'!B:J,8,FALSE),"-")</f>
        <v>-</v>
      </c>
      <c r="L134" s="82" t="str">
        <f>+IFERROR(VLOOKUP(B134,'ID1&amp;5'!K:L,2,FALSE),"-")</f>
        <v>-</v>
      </c>
      <c r="M134" s="83" t="str">
        <f>+IFERROR(VLOOKUP(CONCATENATE(A134,$B$10,B134),'ID1&amp;5'!B:J,9,FALSE),"-")</f>
        <v>-</v>
      </c>
      <c r="N134" s="83" t="str">
        <f>+IFERROR(VLOOKUP(CONCATENATE(A134,$C$10,C134),'ID1&amp;5'!B:J,8,FALSE),"-")</f>
        <v>-</v>
      </c>
      <c r="O134" s="82" t="str">
        <f>+IFERROR(VLOOKUP(C134,'ID1&amp;5'!K:L,2,FALSE),"-")</f>
        <v>-</v>
      </c>
      <c r="P134" s="83" t="str">
        <f>+IFERROR(VLOOKUP(CONCATENATE(A134,$C$10,C134),'ID1&amp;5'!B:J,9,FALSE),"-")</f>
        <v>-</v>
      </c>
      <c r="Q134" s="82" t="str">
        <f>+IFERROR(VLOOKUP(D134,'ID1&amp;5'!K:L,2,FALSE),"-")</f>
        <v>-</v>
      </c>
      <c r="R134" s="26" t="str">
        <f>+IFERROR(VLOOKUP(CONCATENATE(A134,$D$10,D134),'ID1&amp;5'!B:J,9,FALSE),"-")</f>
        <v>-</v>
      </c>
      <c r="S134" s="82" t="str">
        <f>+IFERROR(VLOOKUP(E134,'ID1&amp;5'!K:L,2,FALSE),"-")</f>
        <v>-</v>
      </c>
      <c r="T134" s="83" t="str">
        <f>+IFERROR(VLOOKUP(CONCATENATE(A134,$E$10,E134),'ID1&amp;5'!B:J,9,FALSE),"-")</f>
        <v>-</v>
      </c>
      <c r="U134" s="82" t="str">
        <f>+IFERROR(VLOOKUP(F134,'ID1&amp;5'!K:L,2,FALSE),"-")</f>
        <v>-</v>
      </c>
      <c r="V134" s="83" t="str">
        <f>+IFERROR(VLOOKUP(CONCATENATE(A134,$F$10,F134),'ID1&amp;5'!B:J,9,FALSE),"-")</f>
        <v>-</v>
      </c>
      <c r="W134" s="26" t="str">
        <f>+IFERROR(VLOOKUP(A134,'ID6&amp;7'!A:I,9,FALSE),"-")</f>
        <v>-</v>
      </c>
      <c r="X134" s="26" t="str">
        <f>+IFERROR(VLOOKUP(A134,'ID6&amp;7'!A:J,10,FALSE),"-")</f>
        <v>-</v>
      </c>
      <c r="Y134" s="26"/>
      <c r="Z134" s="27" t="str">
        <f t="shared" si="3"/>
        <v>Por iniciar</v>
      </c>
    </row>
    <row r="135" spans="1:26">
      <c r="A135" s="20" t="str">
        <f t="shared" si="2"/>
        <v>INSTRUMENTDFLT_STTS_INSTRMNT45596</v>
      </c>
      <c r="B135" s="66"/>
      <c r="C135" s="60"/>
      <c r="D135" s="60"/>
      <c r="E135" s="60"/>
      <c r="F135" s="67"/>
      <c r="G135" s="60"/>
      <c r="H135" s="65" t="s">
        <v>126</v>
      </c>
      <c r="I135" s="21" t="s">
        <v>95</v>
      </c>
      <c r="J135" s="26">
        <f>+COUNTIF('ID1&amp;5'!G:G,'1. Status'!I135)</f>
        <v>0</v>
      </c>
      <c r="K135" s="83" t="str">
        <f>+IFERROR(VLOOKUP(CONCATENATE(A135,$B$10,B135),'ID1&amp;5'!B:J,8,FALSE),"-")</f>
        <v>-</v>
      </c>
      <c r="L135" s="82" t="str">
        <f>+IFERROR(VLOOKUP(B135,'ID1&amp;5'!K:L,2,FALSE),"-")</f>
        <v>-</v>
      </c>
      <c r="M135" s="83" t="str">
        <f>+IFERROR(VLOOKUP(CONCATENATE(A135,$B$10,B135),'ID1&amp;5'!B:J,9,FALSE),"-")</f>
        <v>-</v>
      </c>
      <c r="N135" s="83" t="str">
        <f>+IFERROR(VLOOKUP(CONCATENATE(A135,$C$10,C135),'ID1&amp;5'!B:J,8,FALSE),"-")</f>
        <v>-</v>
      </c>
      <c r="O135" s="82" t="str">
        <f>+IFERROR(VLOOKUP(C135,'ID1&amp;5'!K:L,2,FALSE),"-")</f>
        <v>-</v>
      </c>
      <c r="P135" s="83" t="str">
        <f>+IFERROR(VLOOKUP(CONCATENATE(A135,$C$10,C135),'ID1&amp;5'!B:J,9,FALSE),"-")</f>
        <v>-</v>
      </c>
      <c r="Q135" s="82" t="str">
        <f>+IFERROR(VLOOKUP(D135,'ID1&amp;5'!K:L,2,FALSE),"-")</f>
        <v>-</v>
      </c>
      <c r="R135" s="26" t="str">
        <f>+IFERROR(VLOOKUP(CONCATENATE(A135,$D$10,D135),'ID1&amp;5'!B:J,9,FALSE),"-")</f>
        <v>-</v>
      </c>
      <c r="S135" s="82" t="str">
        <f>+IFERROR(VLOOKUP(E135,'ID1&amp;5'!K:L,2,FALSE),"-")</f>
        <v>-</v>
      </c>
      <c r="T135" s="83" t="str">
        <f>+IFERROR(VLOOKUP(CONCATENATE(A135,$E$10,E135),'ID1&amp;5'!B:J,9,FALSE),"-")</f>
        <v>-</v>
      </c>
      <c r="U135" s="82" t="str">
        <f>+IFERROR(VLOOKUP(F135,'ID1&amp;5'!K:L,2,FALSE),"-")</f>
        <v>-</v>
      </c>
      <c r="V135" s="83" t="str">
        <f>+IFERROR(VLOOKUP(CONCATENATE(A135,$F$10,F135),'ID1&amp;5'!B:J,9,FALSE),"-")</f>
        <v>-</v>
      </c>
      <c r="W135" s="26" t="str">
        <f>+IFERROR(VLOOKUP(A135,'ID6&amp;7'!A:I,9,FALSE),"-")</f>
        <v>-</v>
      </c>
      <c r="X135" s="26" t="str">
        <f>+IFERROR(VLOOKUP(A135,'ID6&amp;7'!A:J,10,FALSE),"-")</f>
        <v>-</v>
      </c>
      <c r="Y135" s="26"/>
      <c r="Z135" s="27" t="str">
        <f t="shared" si="3"/>
        <v>Por iniciar</v>
      </c>
    </row>
    <row r="136" spans="1:26">
      <c r="A136" s="20" t="str">
        <f t="shared" si="2"/>
        <v>INSTRUMENTDT_DFLT_STTS_INSTRMNT45596</v>
      </c>
      <c r="B136" s="66"/>
      <c r="C136" s="60"/>
      <c r="D136" s="60"/>
      <c r="E136" s="60"/>
      <c r="F136" s="67"/>
      <c r="G136" s="60"/>
      <c r="H136" s="65" t="s">
        <v>126</v>
      </c>
      <c r="I136" s="21" t="s">
        <v>435</v>
      </c>
      <c r="J136" s="26">
        <f>+COUNTIF('ID1&amp;5'!G:G,'1. Status'!I136)</f>
        <v>0</v>
      </c>
      <c r="K136" s="83" t="str">
        <f>+IFERROR(VLOOKUP(CONCATENATE(A136,$B$10,B136),'ID1&amp;5'!B:J,8,FALSE),"-")</f>
        <v>-</v>
      </c>
      <c r="L136" s="82" t="str">
        <f>+IFERROR(VLOOKUP(B136,'ID1&amp;5'!K:L,2,FALSE),"-")</f>
        <v>-</v>
      </c>
      <c r="M136" s="83" t="str">
        <f>+IFERROR(VLOOKUP(CONCATENATE(A136,$B$10,B136),'ID1&amp;5'!B:J,9,FALSE),"-")</f>
        <v>-</v>
      </c>
      <c r="N136" s="83" t="str">
        <f>+IFERROR(VLOOKUP(CONCATENATE(A136,$C$10,C136),'ID1&amp;5'!B:J,8,FALSE),"-")</f>
        <v>-</v>
      </c>
      <c r="O136" s="82" t="str">
        <f>+IFERROR(VLOOKUP(C136,'ID1&amp;5'!K:L,2,FALSE),"-")</f>
        <v>-</v>
      </c>
      <c r="P136" s="83" t="str">
        <f>+IFERROR(VLOOKUP(CONCATENATE(A136,$C$10,C136),'ID1&amp;5'!B:J,9,FALSE),"-")</f>
        <v>-</v>
      </c>
      <c r="Q136" s="82" t="str">
        <f>+IFERROR(VLOOKUP(D136,'ID1&amp;5'!K:L,2,FALSE),"-")</f>
        <v>-</v>
      </c>
      <c r="R136" s="26" t="str">
        <f>+IFERROR(VLOOKUP(CONCATENATE(A136,$D$10,D136),'ID1&amp;5'!B:J,9,FALSE),"-")</f>
        <v>-</v>
      </c>
      <c r="S136" s="82" t="str">
        <f>+IFERROR(VLOOKUP(E136,'ID1&amp;5'!K:L,2,FALSE),"-")</f>
        <v>-</v>
      </c>
      <c r="T136" s="83" t="str">
        <f>+IFERROR(VLOOKUP(CONCATENATE(A136,$E$10,E136),'ID1&amp;5'!B:J,9,FALSE),"-")</f>
        <v>-</v>
      </c>
      <c r="U136" s="82" t="str">
        <f>+IFERROR(VLOOKUP(F136,'ID1&amp;5'!K:L,2,FALSE),"-")</f>
        <v>-</v>
      </c>
      <c r="V136" s="83" t="str">
        <f>+IFERROR(VLOOKUP(CONCATENATE(A136,$F$10,F136),'ID1&amp;5'!B:J,9,FALSE),"-")</f>
        <v>-</v>
      </c>
      <c r="W136" s="26" t="str">
        <f>+IFERROR(VLOOKUP(A136,'ID6&amp;7'!A:I,9,FALSE),"-")</f>
        <v>-</v>
      </c>
      <c r="X136" s="26" t="str">
        <f>+IFERROR(VLOOKUP(A136,'ID6&amp;7'!A:J,10,FALSE),"-")</f>
        <v>-</v>
      </c>
      <c r="Y136" s="26"/>
      <c r="Z136" s="27" t="str">
        <f t="shared" si="3"/>
        <v>Por iniciar</v>
      </c>
    </row>
    <row r="137" spans="1:26">
      <c r="A137" s="20" t="str">
        <f t="shared" si="2"/>
        <v>INSTRUMENTDT_END_GP_PPAL45596</v>
      </c>
      <c r="B137" s="66"/>
      <c r="C137" s="60"/>
      <c r="D137" s="60"/>
      <c r="E137" s="60"/>
      <c r="F137" s="67"/>
      <c r="G137" s="60"/>
      <c r="H137" s="65" t="s">
        <v>126</v>
      </c>
      <c r="I137" s="21" t="s">
        <v>436</v>
      </c>
      <c r="J137" s="26">
        <f>+COUNTIF('ID1&amp;5'!G:G,'1. Status'!I137)</f>
        <v>0</v>
      </c>
      <c r="K137" s="83" t="str">
        <f>+IFERROR(VLOOKUP(CONCATENATE(A137,$B$10,B137),'ID1&amp;5'!B:J,8,FALSE),"-")</f>
        <v>-</v>
      </c>
      <c r="L137" s="82" t="str">
        <f>+IFERROR(VLOOKUP(B137,'ID1&amp;5'!K:L,2,FALSE),"-")</f>
        <v>-</v>
      </c>
      <c r="M137" s="83" t="str">
        <f>+IFERROR(VLOOKUP(CONCATENATE(A137,$B$10,B137),'ID1&amp;5'!B:J,9,FALSE),"-")</f>
        <v>-</v>
      </c>
      <c r="N137" s="83" t="str">
        <f>+IFERROR(VLOOKUP(CONCATENATE(A137,$C$10,C137),'ID1&amp;5'!B:J,8,FALSE),"-")</f>
        <v>-</v>
      </c>
      <c r="O137" s="82" t="str">
        <f>+IFERROR(VLOOKUP(C137,'ID1&amp;5'!K:L,2,FALSE),"-")</f>
        <v>-</v>
      </c>
      <c r="P137" s="83" t="str">
        <f>+IFERROR(VLOOKUP(CONCATENATE(A137,$C$10,C137),'ID1&amp;5'!B:J,9,FALSE),"-")</f>
        <v>-</v>
      </c>
      <c r="Q137" s="82" t="str">
        <f>+IFERROR(VLOOKUP(D137,'ID1&amp;5'!K:L,2,FALSE),"-")</f>
        <v>-</v>
      </c>
      <c r="R137" s="26" t="str">
        <f>+IFERROR(VLOOKUP(CONCATENATE(A137,$D$10,D137),'ID1&amp;5'!B:J,9,FALSE),"-")</f>
        <v>-</v>
      </c>
      <c r="S137" s="82" t="str">
        <f>+IFERROR(VLOOKUP(E137,'ID1&amp;5'!K:L,2,FALSE),"-")</f>
        <v>-</v>
      </c>
      <c r="T137" s="83" t="str">
        <f>+IFERROR(VLOOKUP(CONCATENATE(A137,$E$10,E137),'ID1&amp;5'!B:J,9,FALSE),"-")</f>
        <v>-</v>
      </c>
      <c r="U137" s="82" t="str">
        <f>+IFERROR(VLOOKUP(F137,'ID1&amp;5'!K:L,2,FALSE),"-")</f>
        <v>-</v>
      </c>
      <c r="V137" s="83" t="str">
        <f>+IFERROR(VLOOKUP(CONCATENATE(A137,$F$10,F137),'ID1&amp;5'!B:J,9,FALSE),"-")</f>
        <v>-</v>
      </c>
      <c r="W137" s="26" t="str">
        <f>+IFERROR(VLOOKUP(A137,'ID6&amp;7'!A:I,9,FALSE),"-")</f>
        <v>-</v>
      </c>
      <c r="X137" s="26" t="str">
        <f>+IFERROR(VLOOKUP(A137,'ID6&amp;7'!A:J,10,FALSE),"-")</f>
        <v>-</v>
      </c>
      <c r="Y137" s="26"/>
      <c r="Z137" s="27" t="str">
        <f t="shared" si="3"/>
        <v>Por iniciar</v>
      </c>
    </row>
    <row r="138" spans="1:26">
      <c r="A138" s="20" t="str">
        <f t="shared" si="2"/>
        <v>INSTRUMENTDT_END_INTRST_ONLY45596</v>
      </c>
      <c r="B138" s="66"/>
      <c r="C138" s="60"/>
      <c r="D138" s="60"/>
      <c r="E138" s="60"/>
      <c r="F138" s="67"/>
      <c r="G138" s="60"/>
      <c r="H138" s="65" t="s">
        <v>126</v>
      </c>
      <c r="I138" s="21" t="s">
        <v>437</v>
      </c>
      <c r="J138" s="26">
        <f>+COUNTIF('ID1&amp;5'!G:G,'1. Status'!I138)</f>
        <v>0</v>
      </c>
      <c r="K138" s="83" t="str">
        <f>+IFERROR(VLOOKUP(CONCATENATE(A138,$B$10,B138),'ID1&amp;5'!B:J,8,FALSE),"-")</f>
        <v>-</v>
      </c>
      <c r="L138" s="82" t="str">
        <f>+IFERROR(VLOOKUP(B138,'ID1&amp;5'!K:L,2,FALSE),"-")</f>
        <v>-</v>
      </c>
      <c r="M138" s="83" t="str">
        <f>+IFERROR(VLOOKUP(CONCATENATE(A138,$B$10,B138),'ID1&amp;5'!B:J,9,FALSE),"-")</f>
        <v>-</v>
      </c>
      <c r="N138" s="83" t="str">
        <f>+IFERROR(VLOOKUP(CONCATENATE(A138,$C$10,C138),'ID1&amp;5'!B:J,8,FALSE),"-")</f>
        <v>-</v>
      </c>
      <c r="O138" s="82" t="str">
        <f>+IFERROR(VLOOKUP(C138,'ID1&amp;5'!K:L,2,FALSE),"-")</f>
        <v>-</v>
      </c>
      <c r="P138" s="83" t="str">
        <f>+IFERROR(VLOOKUP(CONCATENATE(A138,$C$10,C138),'ID1&amp;5'!B:J,9,FALSE),"-")</f>
        <v>-</v>
      </c>
      <c r="Q138" s="82" t="str">
        <f>+IFERROR(VLOOKUP(D138,'ID1&amp;5'!K:L,2,FALSE),"-")</f>
        <v>-</v>
      </c>
      <c r="R138" s="26" t="str">
        <f>+IFERROR(VLOOKUP(CONCATENATE(A138,$D$10,D138),'ID1&amp;5'!B:J,9,FALSE),"-")</f>
        <v>-</v>
      </c>
      <c r="S138" s="82" t="str">
        <f>+IFERROR(VLOOKUP(E138,'ID1&amp;5'!K:L,2,FALSE),"-")</f>
        <v>-</v>
      </c>
      <c r="T138" s="83" t="str">
        <f>+IFERROR(VLOOKUP(CONCATENATE(A138,$E$10,E138),'ID1&amp;5'!B:J,9,FALSE),"-")</f>
        <v>-</v>
      </c>
      <c r="U138" s="82" t="str">
        <f>+IFERROR(VLOOKUP(F138,'ID1&amp;5'!K:L,2,FALSE),"-")</f>
        <v>-</v>
      </c>
      <c r="V138" s="83" t="str">
        <f>+IFERROR(VLOOKUP(CONCATENATE(A138,$F$10,F138),'ID1&amp;5'!B:J,9,FALSE),"-")</f>
        <v>-</v>
      </c>
      <c r="W138" s="26" t="str">
        <f>+IFERROR(VLOOKUP(A138,'ID6&amp;7'!A:I,9,FALSE),"-")</f>
        <v>-</v>
      </c>
      <c r="X138" s="26" t="str">
        <f>+IFERROR(VLOOKUP(A138,'ID6&amp;7'!A:J,10,FALSE),"-")</f>
        <v>-</v>
      </c>
      <c r="Y138" s="26"/>
      <c r="Z138" s="27" t="str">
        <f t="shared" si="3"/>
        <v>Por iniciar</v>
      </c>
    </row>
    <row r="139" spans="1:26">
      <c r="A139" s="20" t="str">
        <f t="shared" ref="A139:A202" si="6">+H139&amp;I139&amp;$I$8</f>
        <v>INSTRUMENTDT_FRBRNC_STTS45596</v>
      </c>
      <c r="B139" s="66"/>
      <c r="C139" s="60"/>
      <c r="D139" s="60"/>
      <c r="E139" s="60"/>
      <c r="F139" s="67"/>
      <c r="G139" s="60"/>
      <c r="H139" s="65" t="s">
        <v>126</v>
      </c>
      <c r="I139" s="21" t="s">
        <v>438</v>
      </c>
      <c r="J139" s="26">
        <f>+COUNTIF('ID1&amp;5'!G:G,'1. Status'!I139)</f>
        <v>0</v>
      </c>
      <c r="K139" s="83" t="str">
        <f>+IFERROR(VLOOKUP(CONCATENATE(A139,$B$10,B139),'ID1&amp;5'!B:J,8,FALSE),"-")</f>
        <v>-</v>
      </c>
      <c r="L139" s="82" t="str">
        <f>+IFERROR(VLOOKUP(B139,'ID1&amp;5'!K:L,2,FALSE),"-")</f>
        <v>-</v>
      </c>
      <c r="M139" s="83" t="str">
        <f>+IFERROR(VLOOKUP(CONCATENATE(A139,$B$10,B139),'ID1&amp;5'!B:J,9,FALSE),"-")</f>
        <v>-</v>
      </c>
      <c r="N139" s="83" t="str">
        <f>+IFERROR(VLOOKUP(CONCATENATE(A139,$C$10,C139),'ID1&amp;5'!B:J,8,FALSE),"-")</f>
        <v>-</v>
      </c>
      <c r="O139" s="82" t="str">
        <f>+IFERROR(VLOOKUP(C139,'ID1&amp;5'!K:L,2,FALSE),"-")</f>
        <v>-</v>
      </c>
      <c r="P139" s="83" t="str">
        <f>+IFERROR(VLOOKUP(CONCATENATE(A139,$C$10,C139),'ID1&amp;5'!B:J,9,FALSE),"-")</f>
        <v>-</v>
      </c>
      <c r="Q139" s="82" t="str">
        <f>+IFERROR(VLOOKUP(D139,'ID1&amp;5'!K:L,2,FALSE),"-")</f>
        <v>-</v>
      </c>
      <c r="R139" s="26" t="str">
        <f>+IFERROR(VLOOKUP(CONCATENATE(A139,$D$10,D139),'ID1&amp;5'!B:J,9,FALSE),"-")</f>
        <v>-</v>
      </c>
      <c r="S139" s="82" t="str">
        <f>+IFERROR(VLOOKUP(E139,'ID1&amp;5'!K:L,2,FALSE),"-")</f>
        <v>-</v>
      </c>
      <c r="T139" s="83" t="str">
        <f>+IFERROR(VLOOKUP(CONCATENATE(A139,$E$10,E139),'ID1&amp;5'!B:J,9,FALSE),"-")</f>
        <v>-</v>
      </c>
      <c r="U139" s="82" t="str">
        <f>+IFERROR(VLOOKUP(F139,'ID1&amp;5'!K:L,2,FALSE),"-")</f>
        <v>-</v>
      </c>
      <c r="V139" s="83" t="str">
        <f>+IFERROR(VLOOKUP(CONCATENATE(A139,$F$10,F139),'ID1&amp;5'!B:J,9,FALSE),"-")</f>
        <v>-</v>
      </c>
      <c r="W139" s="26" t="str">
        <f>+IFERROR(VLOOKUP(A139,'ID6&amp;7'!A:I,9,FALSE),"-")</f>
        <v>-</v>
      </c>
      <c r="X139" s="26" t="str">
        <f>+IFERROR(VLOOKUP(A139,'ID6&amp;7'!A:J,10,FALSE),"-")</f>
        <v>-</v>
      </c>
      <c r="Y139" s="26"/>
      <c r="Z139" s="27" t="str">
        <f t="shared" ref="Z139:Z202" si="7">+IF(J139=0,"Por iniciar",IF(OR(K139="-",M139="-",P139="-",R139="-",T139="-",V139="-"),"Em testes",IF(AND(M139=0,P139=0,R139=0,T139&lt;&gt;K139,V139&lt;&gt;K139),"OK","NOK")))</f>
        <v>Por iniciar</v>
      </c>
    </row>
    <row r="140" spans="1:26">
      <c r="A140" s="20" t="str">
        <f t="shared" si="6"/>
        <v>INSTRUMENTDT_FRBRNC_STTS_PRVS45596</v>
      </c>
      <c r="B140" s="66"/>
      <c r="C140" s="60"/>
      <c r="D140" s="60"/>
      <c r="E140" s="60"/>
      <c r="F140" s="67"/>
      <c r="G140" s="60"/>
      <c r="H140" s="65" t="s">
        <v>126</v>
      </c>
      <c r="I140" s="21" t="s">
        <v>439</v>
      </c>
      <c r="J140" s="26">
        <f>+COUNTIF('ID1&amp;5'!G:G,'1. Status'!I140)</f>
        <v>0</v>
      </c>
      <c r="K140" s="83" t="str">
        <f>+IFERROR(VLOOKUP(CONCATENATE(A140,$B$10,B140),'ID1&amp;5'!B:J,8,FALSE),"-")</f>
        <v>-</v>
      </c>
      <c r="L140" s="82" t="str">
        <f>+IFERROR(VLOOKUP(B140,'ID1&amp;5'!K:L,2,FALSE),"-")</f>
        <v>-</v>
      </c>
      <c r="M140" s="83" t="str">
        <f>+IFERROR(VLOOKUP(CONCATENATE(A140,$B$10,B140),'ID1&amp;5'!B:J,9,FALSE),"-")</f>
        <v>-</v>
      </c>
      <c r="N140" s="83" t="str">
        <f>+IFERROR(VLOOKUP(CONCATENATE(A140,$C$10,C140),'ID1&amp;5'!B:J,8,FALSE),"-")</f>
        <v>-</v>
      </c>
      <c r="O140" s="82" t="str">
        <f>+IFERROR(VLOOKUP(C140,'ID1&amp;5'!K:L,2,FALSE),"-")</f>
        <v>-</v>
      </c>
      <c r="P140" s="83" t="str">
        <f>+IFERROR(VLOOKUP(CONCATENATE(A140,$C$10,C140),'ID1&amp;5'!B:J,9,FALSE),"-")</f>
        <v>-</v>
      </c>
      <c r="Q140" s="82" t="str">
        <f>+IFERROR(VLOOKUP(D140,'ID1&amp;5'!K:L,2,FALSE),"-")</f>
        <v>-</v>
      </c>
      <c r="R140" s="26" t="str">
        <f>+IFERROR(VLOOKUP(CONCATENATE(A140,$D$10,D140),'ID1&amp;5'!B:J,9,FALSE),"-")</f>
        <v>-</v>
      </c>
      <c r="S140" s="82" t="str">
        <f>+IFERROR(VLOOKUP(E140,'ID1&amp;5'!K:L,2,FALSE),"-")</f>
        <v>-</v>
      </c>
      <c r="T140" s="83" t="str">
        <f>+IFERROR(VLOOKUP(CONCATENATE(A140,$E$10,E140),'ID1&amp;5'!B:J,9,FALSE),"-")</f>
        <v>-</v>
      </c>
      <c r="U140" s="82" t="str">
        <f>+IFERROR(VLOOKUP(F140,'ID1&amp;5'!K:L,2,FALSE),"-")</f>
        <v>-</v>
      </c>
      <c r="V140" s="83" t="str">
        <f>+IFERROR(VLOOKUP(CONCATENATE(A140,$F$10,F140),'ID1&amp;5'!B:J,9,FALSE),"-")</f>
        <v>-</v>
      </c>
      <c r="W140" s="26" t="str">
        <f>+IFERROR(VLOOKUP(A140,'ID6&amp;7'!A:I,9,FALSE),"-")</f>
        <v>-</v>
      </c>
      <c r="X140" s="26" t="str">
        <f>+IFERROR(VLOOKUP(A140,'ID6&amp;7'!A:J,10,FALSE),"-")</f>
        <v>-</v>
      </c>
      <c r="Y140" s="26"/>
      <c r="Z140" s="27" t="str">
        <f t="shared" si="7"/>
        <v>Por iniciar</v>
      </c>
    </row>
    <row r="141" spans="1:26">
      <c r="A141" s="20" t="str">
        <f t="shared" si="6"/>
        <v>INSTRUMENTDT_INTRNL_RTNG45596</v>
      </c>
      <c r="B141" s="66"/>
      <c r="C141" s="60"/>
      <c r="D141" s="60"/>
      <c r="E141" s="60"/>
      <c r="F141" s="67"/>
      <c r="G141" s="60"/>
      <c r="H141" s="65" t="s">
        <v>126</v>
      </c>
      <c r="I141" s="21" t="s">
        <v>341</v>
      </c>
      <c r="J141" s="26">
        <f>+COUNTIF('ID1&amp;5'!G:G,'1. Status'!I141)</f>
        <v>0</v>
      </c>
      <c r="K141" s="83" t="str">
        <f>+IFERROR(VLOOKUP(CONCATENATE(A141,$B$10,B141),'ID1&amp;5'!B:J,8,FALSE),"-")</f>
        <v>-</v>
      </c>
      <c r="L141" s="82" t="str">
        <f>+IFERROR(VLOOKUP(B141,'ID1&amp;5'!K:L,2,FALSE),"-")</f>
        <v>-</v>
      </c>
      <c r="M141" s="83" t="str">
        <f>+IFERROR(VLOOKUP(CONCATENATE(A141,$B$10,B141),'ID1&amp;5'!B:J,9,FALSE),"-")</f>
        <v>-</v>
      </c>
      <c r="N141" s="83" t="str">
        <f>+IFERROR(VLOOKUP(CONCATENATE(A141,$C$10,C141),'ID1&amp;5'!B:J,8,FALSE),"-")</f>
        <v>-</v>
      </c>
      <c r="O141" s="82" t="str">
        <f>+IFERROR(VLOOKUP(C141,'ID1&amp;5'!K:L,2,FALSE),"-")</f>
        <v>-</v>
      </c>
      <c r="P141" s="83" t="str">
        <f>+IFERROR(VLOOKUP(CONCATENATE(A141,$C$10,C141),'ID1&amp;5'!B:J,9,FALSE),"-")</f>
        <v>-</v>
      </c>
      <c r="Q141" s="82" t="str">
        <f>+IFERROR(VLOOKUP(D141,'ID1&amp;5'!K:L,2,FALSE),"-")</f>
        <v>-</v>
      </c>
      <c r="R141" s="26" t="str">
        <f>+IFERROR(VLOOKUP(CONCATENATE(A141,$D$10,D141),'ID1&amp;5'!B:J,9,FALSE),"-")</f>
        <v>-</v>
      </c>
      <c r="S141" s="82" t="str">
        <f>+IFERROR(VLOOKUP(E141,'ID1&amp;5'!K:L,2,FALSE),"-")</f>
        <v>-</v>
      </c>
      <c r="T141" s="83" t="str">
        <f>+IFERROR(VLOOKUP(CONCATENATE(A141,$E$10,E141),'ID1&amp;5'!B:J,9,FALSE),"-")</f>
        <v>-</v>
      </c>
      <c r="U141" s="82" t="str">
        <f>+IFERROR(VLOOKUP(F141,'ID1&amp;5'!K:L,2,FALSE),"-")</f>
        <v>-</v>
      </c>
      <c r="V141" s="83" t="str">
        <f>+IFERROR(VLOOKUP(CONCATENATE(A141,$F$10,F141),'ID1&amp;5'!B:J,9,FALSE),"-")</f>
        <v>-</v>
      </c>
      <c r="W141" s="26" t="str">
        <f>+IFERROR(VLOOKUP(A141,'ID6&amp;7'!A:I,9,FALSE),"-")</f>
        <v>-</v>
      </c>
      <c r="X141" s="26" t="str">
        <f>+IFERROR(VLOOKUP(A141,'ID6&amp;7'!A:J,10,FALSE),"-")</f>
        <v>-</v>
      </c>
      <c r="Y141" s="26"/>
      <c r="Z141" s="27" t="str">
        <f t="shared" si="7"/>
        <v>Por iniciar</v>
      </c>
    </row>
    <row r="142" spans="1:26">
      <c r="A142" s="20" t="str">
        <f t="shared" si="6"/>
        <v>INSTRUMENTDT_PRFRMNG_STTS45596</v>
      </c>
      <c r="B142" s="66"/>
      <c r="C142" s="60"/>
      <c r="D142" s="60"/>
      <c r="E142" s="60"/>
      <c r="F142" s="67"/>
      <c r="G142" s="60"/>
      <c r="H142" s="65" t="s">
        <v>126</v>
      </c>
      <c r="I142" s="21" t="s">
        <v>440</v>
      </c>
      <c r="J142" s="26">
        <f>+COUNTIF('ID1&amp;5'!G:G,'1. Status'!I142)</f>
        <v>0</v>
      </c>
      <c r="K142" s="83" t="str">
        <f>+IFERROR(VLOOKUP(CONCATENATE(A142,$B$10,B142),'ID1&amp;5'!B:J,8,FALSE),"-")</f>
        <v>-</v>
      </c>
      <c r="L142" s="82" t="str">
        <f>+IFERROR(VLOOKUP(B142,'ID1&amp;5'!K:L,2,FALSE),"-")</f>
        <v>-</v>
      </c>
      <c r="M142" s="83" t="str">
        <f>+IFERROR(VLOOKUP(CONCATENATE(A142,$B$10,B142),'ID1&amp;5'!B:J,9,FALSE),"-")</f>
        <v>-</v>
      </c>
      <c r="N142" s="83" t="str">
        <f>+IFERROR(VLOOKUP(CONCATENATE(A142,$C$10,C142),'ID1&amp;5'!B:J,8,FALSE),"-")</f>
        <v>-</v>
      </c>
      <c r="O142" s="82" t="str">
        <f>+IFERROR(VLOOKUP(C142,'ID1&amp;5'!K:L,2,FALSE),"-")</f>
        <v>-</v>
      </c>
      <c r="P142" s="83" t="str">
        <f>+IFERROR(VLOOKUP(CONCATENATE(A142,$C$10,C142),'ID1&amp;5'!B:J,9,FALSE),"-")</f>
        <v>-</v>
      </c>
      <c r="Q142" s="82" t="str">
        <f>+IFERROR(VLOOKUP(D142,'ID1&amp;5'!K:L,2,FALSE),"-")</f>
        <v>-</v>
      </c>
      <c r="R142" s="26" t="str">
        <f>+IFERROR(VLOOKUP(CONCATENATE(A142,$D$10,D142),'ID1&amp;5'!B:J,9,FALSE),"-")</f>
        <v>-</v>
      </c>
      <c r="S142" s="82" t="str">
        <f>+IFERROR(VLOOKUP(E142,'ID1&amp;5'!K:L,2,FALSE),"-")</f>
        <v>-</v>
      </c>
      <c r="T142" s="83" t="str">
        <f>+IFERROR(VLOOKUP(CONCATENATE(A142,$E$10,E142),'ID1&amp;5'!B:J,9,FALSE),"-")</f>
        <v>-</v>
      </c>
      <c r="U142" s="82" t="str">
        <f>+IFERROR(VLOOKUP(F142,'ID1&amp;5'!K:L,2,FALSE),"-")</f>
        <v>-</v>
      </c>
      <c r="V142" s="83" t="str">
        <f>+IFERROR(VLOOKUP(CONCATENATE(A142,$F$10,F142),'ID1&amp;5'!B:J,9,FALSE),"-")</f>
        <v>-</v>
      </c>
      <c r="W142" s="26" t="str">
        <f>+IFERROR(VLOOKUP(A142,'ID6&amp;7'!A:I,9,FALSE),"-")</f>
        <v>-</v>
      </c>
      <c r="X142" s="26" t="str">
        <f>+IFERROR(VLOOKUP(A142,'ID6&amp;7'!A:J,10,FALSE),"-")</f>
        <v>-</v>
      </c>
      <c r="Y142" s="26"/>
      <c r="Z142" s="27" t="str">
        <f t="shared" si="7"/>
        <v>Por iniciar</v>
      </c>
    </row>
    <row r="143" spans="1:26">
      <c r="A143" s="20" t="str">
        <f t="shared" si="6"/>
        <v>INSTRUMENTDT_PRFRMNG_STTS_PRVS45596</v>
      </c>
      <c r="B143" s="66"/>
      <c r="C143" s="60"/>
      <c r="D143" s="60"/>
      <c r="E143" s="60"/>
      <c r="F143" s="67"/>
      <c r="G143" s="60"/>
      <c r="H143" s="65" t="s">
        <v>126</v>
      </c>
      <c r="I143" s="21" t="s">
        <v>441</v>
      </c>
      <c r="J143" s="26">
        <f>+COUNTIF('ID1&amp;5'!G:G,'1. Status'!I143)</f>
        <v>0</v>
      </c>
      <c r="K143" s="83" t="str">
        <f>+IFERROR(VLOOKUP(CONCATENATE(A143,$B$10,B143),'ID1&amp;5'!B:J,8,FALSE),"-")</f>
        <v>-</v>
      </c>
      <c r="L143" s="82" t="str">
        <f>+IFERROR(VLOOKUP(B143,'ID1&amp;5'!K:L,2,FALSE),"-")</f>
        <v>-</v>
      </c>
      <c r="M143" s="83" t="str">
        <f>+IFERROR(VLOOKUP(CONCATENATE(A143,$B$10,B143),'ID1&amp;5'!B:J,9,FALSE),"-")</f>
        <v>-</v>
      </c>
      <c r="N143" s="83" t="str">
        <f>+IFERROR(VLOOKUP(CONCATENATE(A143,$C$10,C143),'ID1&amp;5'!B:J,8,FALSE),"-")</f>
        <v>-</v>
      </c>
      <c r="O143" s="82" t="str">
        <f>+IFERROR(VLOOKUP(C143,'ID1&amp;5'!K:L,2,FALSE),"-")</f>
        <v>-</v>
      </c>
      <c r="P143" s="83" t="str">
        <f>+IFERROR(VLOOKUP(CONCATENATE(A143,$C$10,C143),'ID1&amp;5'!B:J,9,FALSE),"-")</f>
        <v>-</v>
      </c>
      <c r="Q143" s="82" t="str">
        <f>+IFERROR(VLOOKUP(D143,'ID1&amp;5'!K:L,2,FALSE),"-")</f>
        <v>-</v>
      </c>
      <c r="R143" s="26" t="str">
        <f>+IFERROR(VLOOKUP(CONCATENATE(A143,$D$10,D143),'ID1&amp;5'!B:J,9,FALSE),"-")</f>
        <v>-</v>
      </c>
      <c r="S143" s="82" t="str">
        <f>+IFERROR(VLOOKUP(E143,'ID1&amp;5'!K:L,2,FALSE),"-")</f>
        <v>-</v>
      </c>
      <c r="T143" s="83" t="str">
        <f>+IFERROR(VLOOKUP(CONCATENATE(A143,$E$10,E143),'ID1&amp;5'!B:J,9,FALSE),"-")</f>
        <v>-</v>
      </c>
      <c r="U143" s="82" t="str">
        <f>+IFERROR(VLOOKUP(F143,'ID1&amp;5'!K:L,2,FALSE),"-")</f>
        <v>-</v>
      </c>
      <c r="V143" s="83" t="str">
        <f>+IFERROR(VLOOKUP(CONCATENATE(A143,$F$10,F143),'ID1&amp;5'!B:J,9,FALSE),"-")</f>
        <v>-</v>
      </c>
      <c r="W143" s="26" t="str">
        <f>+IFERROR(VLOOKUP(A143,'ID6&amp;7'!A:I,9,FALSE),"-")</f>
        <v>-</v>
      </c>
      <c r="X143" s="26" t="str">
        <f>+IFERROR(VLOOKUP(A143,'ID6&amp;7'!A:J,10,FALSE),"-")</f>
        <v>-</v>
      </c>
      <c r="Y143" s="26"/>
      <c r="Z143" s="27" t="str">
        <f t="shared" si="7"/>
        <v>Por iniciar</v>
      </c>
    </row>
    <row r="144" spans="1:26">
      <c r="A144" s="20" t="str">
        <f t="shared" si="6"/>
        <v>INSTRUMENTDT_STRT_INTRST_ONLY45596</v>
      </c>
      <c r="B144" s="66"/>
      <c r="C144" s="60"/>
      <c r="D144" s="60"/>
      <c r="E144" s="60"/>
      <c r="F144" s="67"/>
      <c r="G144" s="60"/>
      <c r="H144" s="65" t="s">
        <v>126</v>
      </c>
      <c r="I144" s="21" t="s">
        <v>442</v>
      </c>
      <c r="J144" s="26">
        <f>+COUNTIF('ID1&amp;5'!G:G,'1. Status'!I144)</f>
        <v>0</v>
      </c>
      <c r="K144" s="83" t="str">
        <f>+IFERROR(VLOOKUP(CONCATENATE(A144,$B$10,B144),'ID1&amp;5'!B:J,8,FALSE),"-")</f>
        <v>-</v>
      </c>
      <c r="L144" s="82" t="str">
        <f>+IFERROR(VLOOKUP(B144,'ID1&amp;5'!K:L,2,FALSE),"-")</f>
        <v>-</v>
      </c>
      <c r="M144" s="83" t="str">
        <f>+IFERROR(VLOOKUP(CONCATENATE(A144,$B$10,B144),'ID1&amp;5'!B:J,9,FALSE),"-")</f>
        <v>-</v>
      </c>
      <c r="N144" s="83" t="str">
        <f>+IFERROR(VLOOKUP(CONCATENATE(A144,$C$10,C144),'ID1&amp;5'!B:J,8,FALSE),"-")</f>
        <v>-</v>
      </c>
      <c r="O144" s="82" t="str">
        <f>+IFERROR(VLOOKUP(C144,'ID1&amp;5'!K:L,2,FALSE),"-")</f>
        <v>-</v>
      </c>
      <c r="P144" s="83" t="str">
        <f>+IFERROR(VLOOKUP(CONCATENATE(A144,$C$10,C144),'ID1&amp;5'!B:J,9,FALSE),"-")</f>
        <v>-</v>
      </c>
      <c r="Q144" s="82" t="str">
        <f>+IFERROR(VLOOKUP(D144,'ID1&amp;5'!K:L,2,FALSE),"-")</f>
        <v>-</v>
      </c>
      <c r="R144" s="26" t="str">
        <f>+IFERROR(VLOOKUP(CONCATENATE(A144,$D$10,D144),'ID1&amp;5'!B:J,9,FALSE),"-")</f>
        <v>-</v>
      </c>
      <c r="S144" s="82" t="str">
        <f>+IFERROR(VLOOKUP(E144,'ID1&amp;5'!K:L,2,FALSE),"-")</f>
        <v>-</v>
      </c>
      <c r="T144" s="83" t="str">
        <f>+IFERROR(VLOOKUP(CONCATENATE(A144,$E$10,E144),'ID1&amp;5'!B:J,9,FALSE),"-")</f>
        <v>-</v>
      </c>
      <c r="U144" s="82" t="str">
        <f>+IFERROR(VLOOKUP(F144,'ID1&amp;5'!K:L,2,FALSE),"-")</f>
        <v>-</v>
      </c>
      <c r="V144" s="83" t="str">
        <f>+IFERROR(VLOOKUP(CONCATENATE(A144,$F$10,F144),'ID1&amp;5'!B:J,9,FALSE),"-")</f>
        <v>-</v>
      </c>
      <c r="W144" s="26" t="str">
        <f>+IFERROR(VLOOKUP(A144,'ID6&amp;7'!A:I,9,FALSE),"-")</f>
        <v>-</v>
      </c>
      <c r="X144" s="26" t="str">
        <f>+IFERROR(VLOOKUP(A144,'ID6&amp;7'!A:J,10,FALSE),"-")</f>
        <v>-</v>
      </c>
      <c r="Y144" s="26"/>
      <c r="Z144" s="27" t="str">
        <f t="shared" si="7"/>
        <v>Por iniciar</v>
      </c>
    </row>
    <row r="145" spans="1:26">
      <c r="A145" s="20" t="str">
        <f t="shared" si="6"/>
        <v>INSTRUMENTEXPSR_IN_SCP45596</v>
      </c>
      <c r="B145" s="66"/>
      <c r="C145" s="60"/>
      <c r="D145" s="60"/>
      <c r="E145" s="60"/>
      <c r="F145" s="67"/>
      <c r="G145" s="60"/>
      <c r="H145" s="65" t="s">
        <v>126</v>
      </c>
      <c r="I145" s="21" t="s">
        <v>443</v>
      </c>
      <c r="J145" s="26">
        <f>+COUNTIF('ID1&amp;5'!G:G,'1. Status'!I145)</f>
        <v>0</v>
      </c>
      <c r="K145" s="83" t="str">
        <f>+IFERROR(VLOOKUP(CONCATENATE(A145,$B$10,B145),'ID1&amp;5'!B:J,8,FALSE),"-")</f>
        <v>-</v>
      </c>
      <c r="L145" s="82" t="str">
        <f>+IFERROR(VLOOKUP(B145,'ID1&amp;5'!K:L,2,FALSE),"-")</f>
        <v>-</v>
      </c>
      <c r="M145" s="83" t="str">
        <f>+IFERROR(VLOOKUP(CONCATENATE(A145,$B$10,B145),'ID1&amp;5'!B:J,9,FALSE),"-")</f>
        <v>-</v>
      </c>
      <c r="N145" s="83" t="str">
        <f>+IFERROR(VLOOKUP(CONCATENATE(A145,$C$10,C145),'ID1&amp;5'!B:J,8,FALSE),"-")</f>
        <v>-</v>
      </c>
      <c r="O145" s="82" t="str">
        <f>+IFERROR(VLOOKUP(C145,'ID1&amp;5'!K:L,2,FALSE),"-")</f>
        <v>-</v>
      </c>
      <c r="P145" s="83" t="str">
        <f>+IFERROR(VLOOKUP(CONCATENATE(A145,$C$10,C145),'ID1&amp;5'!B:J,9,FALSE),"-")</f>
        <v>-</v>
      </c>
      <c r="Q145" s="82" t="str">
        <f>+IFERROR(VLOOKUP(D145,'ID1&amp;5'!K:L,2,FALSE),"-")</f>
        <v>-</v>
      </c>
      <c r="R145" s="26" t="str">
        <f>+IFERROR(VLOOKUP(CONCATENATE(A145,$D$10,D145),'ID1&amp;5'!B:J,9,FALSE),"-")</f>
        <v>-</v>
      </c>
      <c r="S145" s="82" t="str">
        <f>+IFERROR(VLOOKUP(E145,'ID1&amp;5'!K:L,2,FALSE),"-")</f>
        <v>-</v>
      </c>
      <c r="T145" s="83" t="str">
        <f>+IFERROR(VLOOKUP(CONCATENATE(A145,$E$10,E145),'ID1&amp;5'!B:J,9,FALSE),"-")</f>
        <v>-</v>
      </c>
      <c r="U145" s="82" t="str">
        <f>+IFERROR(VLOOKUP(F145,'ID1&amp;5'!K:L,2,FALSE),"-")</f>
        <v>-</v>
      </c>
      <c r="V145" s="83" t="str">
        <f>+IFERROR(VLOOKUP(CONCATENATE(A145,$F$10,F145),'ID1&amp;5'!B:J,9,FALSE),"-")</f>
        <v>-</v>
      </c>
      <c r="W145" s="26" t="str">
        <f>+IFERROR(VLOOKUP(A145,'ID6&amp;7'!A:I,9,FALSE),"-")</f>
        <v>-</v>
      </c>
      <c r="X145" s="26" t="str">
        <f>+IFERROR(VLOOKUP(A145,'ID6&amp;7'!A:J,10,FALSE),"-")</f>
        <v>-</v>
      </c>
      <c r="Y145" s="26"/>
      <c r="Z145" s="27" t="str">
        <f t="shared" si="7"/>
        <v>Por iniciar</v>
      </c>
    </row>
    <row r="146" spans="1:26">
      <c r="A146" s="20" t="str">
        <f t="shared" si="6"/>
        <v>INSTRUMENTFLD_SYNDCTN45596</v>
      </c>
      <c r="B146" s="66"/>
      <c r="C146" s="60"/>
      <c r="D146" s="60"/>
      <c r="E146" s="60"/>
      <c r="F146" s="67"/>
      <c r="G146" s="60"/>
      <c r="H146" s="65" t="s">
        <v>126</v>
      </c>
      <c r="I146" s="21" t="s">
        <v>444</v>
      </c>
      <c r="J146" s="26">
        <f>+COUNTIF('ID1&amp;5'!G:G,'1. Status'!I146)</f>
        <v>0</v>
      </c>
      <c r="K146" s="83" t="str">
        <f>+IFERROR(VLOOKUP(CONCATENATE(A146,$B$10,B146),'ID1&amp;5'!B:J,8,FALSE),"-")</f>
        <v>-</v>
      </c>
      <c r="L146" s="82" t="str">
        <f>+IFERROR(VLOOKUP(B146,'ID1&amp;5'!K:L,2,FALSE),"-")</f>
        <v>-</v>
      </c>
      <c r="M146" s="83" t="str">
        <f>+IFERROR(VLOOKUP(CONCATENATE(A146,$B$10,B146),'ID1&amp;5'!B:J,9,FALSE),"-")</f>
        <v>-</v>
      </c>
      <c r="N146" s="83" t="str">
        <f>+IFERROR(VLOOKUP(CONCATENATE(A146,$C$10,C146),'ID1&amp;5'!B:J,8,FALSE),"-")</f>
        <v>-</v>
      </c>
      <c r="O146" s="82" t="str">
        <f>+IFERROR(VLOOKUP(C146,'ID1&amp;5'!K:L,2,FALSE),"-")</f>
        <v>-</v>
      </c>
      <c r="P146" s="83" t="str">
        <f>+IFERROR(VLOOKUP(CONCATENATE(A146,$C$10,C146),'ID1&amp;5'!B:J,9,FALSE),"-")</f>
        <v>-</v>
      </c>
      <c r="Q146" s="82" t="str">
        <f>+IFERROR(VLOOKUP(D146,'ID1&amp;5'!K:L,2,FALSE),"-")</f>
        <v>-</v>
      </c>
      <c r="R146" s="26" t="str">
        <f>+IFERROR(VLOOKUP(CONCATENATE(A146,$D$10,D146),'ID1&amp;5'!B:J,9,FALSE),"-")</f>
        <v>-</v>
      </c>
      <c r="S146" s="82" t="str">
        <f>+IFERROR(VLOOKUP(E146,'ID1&amp;5'!K:L,2,FALSE),"-")</f>
        <v>-</v>
      </c>
      <c r="T146" s="83" t="str">
        <f>+IFERROR(VLOOKUP(CONCATENATE(A146,$E$10,E146),'ID1&amp;5'!B:J,9,FALSE),"-")</f>
        <v>-</v>
      </c>
      <c r="U146" s="82" t="str">
        <f>+IFERROR(VLOOKUP(F146,'ID1&amp;5'!K:L,2,FALSE),"-")</f>
        <v>-</v>
      </c>
      <c r="V146" s="83" t="str">
        <f>+IFERROR(VLOOKUP(CONCATENATE(A146,$F$10,F146),'ID1&amp;5'!B:J,9,FALSE),"-")</f>
        <v>-</v>
      </c>
      <c r="W146" s="26" t="str">
        <f>+IFERROR(VLOOKUP(A146,'ID6&amp;7'!A:I,9,FALSE),"-")</f>
        <v>-</v>
      </c>
      <c r="X146" s="26" t="str">
        <f>+IFERROR(VLOOKUP(A146,'ID6&amp;7'!A:J,10,FALSE),"-")</f>
        <v>-</v>
      </c>
      <c r="Y146" s="26"/>
      <c r="Z146" s="27" t="str">
        <f t="shared" si="7"/>
        <v>Por iniciar</v>
      </c>
    </row>
    <row r="147" spans="1:26">
      <c r="A147" s="20" t="str">
        <f t="shared" si="6"/>
        <v>INSTRUMENTFLG_LBO45596</v>
      </c>
      <c r="B147" s="66"/>
      <c r="C147" s="60"/>
      <c r="D147" s="60"/>
      <c r="E147" s="60"/>
      <c r="F147" s="67"/>
      <c r="G147" s="60"/>
      <c r="H147" s="65" t="s">
        <v>126</v>
      </c>
      <c r="I147" s="21" t="s">
        <v>445</v>
      </c>
      <c r="J147" s="26">
        <f>+COUNTIF('ID1&amp;5'!G:G,'1. Status'!I147)</f>
        <v>0</v>
      </c>
      <c r="K147" s="83" t="str">
        <f>+IFERROR(VLOOKUP(CONCATENATE(A147,$B$10,B147),'ID1&amp;5'!B:J,8,FALSE),"-")</f>
        <v>-</v>
      </c>
      <c r="L147" s="82" t="str">
        <f>+IFERROR(VLOOKUP(B147,'ID1&amp;5'!K:L,2,FALSE),"-")</f>
        <v>-</v>
      </c>
      <c r="M147" s="83" t="str">
        <f>+IFERROR(VLOOKUP(CONCATENATE(A147,$B$10,B147),'ID1&amp;5'!B:J,9,FALSE),"-")</f>
        <v>-</v>
      </c>
      <c r="N147" s="83" t="str">
        <f>+IFERROR(VLOOKUP(CONCATENATE(A147,$C$10,C147),'ID1&amp;5'!B:J,8,FALSE),"-")</f>
        <v>-</v>
      </c>
      <c r="O147" s="82" t="str">
        <f>+IFERROR(VLOOKUP(C147,'ID1&amp;5'!K:L,2,FALSE),"-")</f>
        <v>-</v>
      </c>
      <c r="P147" s="83" t="str">
        <f>+IFERROR(VLOOKUP(CONCATENATE(A147,$C$10,C147),'ID1&amp;5'!B:J,9,FALSE),"-")</f>
        <v>-</v>
      </c>
      <c r="Q147" s="82" t="str">
        <f>+IFERROR(VLOOKUP(D147,'ID1&amp;5'!K:L,2,FALSE),"-")</f>
        <v>-</v>
      </c>
      <c r="R147" s="26" t="str">
        <f>+IFERROR(VLOOKUP(CONCATENATE(A147,$D$10,D147),'ID1&amp;5'!B:J,9,FALSE),"-")</f>
        <v>-</v>
      </c>
      <c r="S147" s="82" t="str">
        <f>+IFERROR(VLOOKUP(E147,'ID1&amp;5'!K:L,2,FALSE),"-")</f>
        <v>-</v>
      </c>
      <c r="T147" s="83" t="str">
        <f>+IFERROR(VLOOKUP(CONCATENATE(A147,$E$10,E147),'ID1&amp;5'!B:J,9,FALSE),"-")</f>
        <v>-</v>
      </c>
      <c r="U147" s="82" t="str">
        <f>+IFERROR(VLOOKUP(F147,'ID1&amp;5'!K:L,2,FALSE),"-")</f>
        <v>-</v>
      </c>
      <c r="V147" s="83" t="str">
        <f>+IFERROR(VLOOKUP(CONCATENATE(A147,$F$10,F147),'ID1&amp;5'!B:J,9,FALSE),"-")</f>
        <v>-</v>
      </c>
      <c r="W147" s="26" t="str">
        <f>+IFERROR(VLOOKUP(A147,'ID6&amp;7'!A:I,9,FALSE),"-")</f>
        <v>-</v>
      </c>
      <c r="X147" s="26" t="str">
        <f>+IFERROR(VLOOKUP(A147,'ID6&amp;7'!A:J,10,FALSE),"-")</f>
        <v>-</v>
      </c>
      <c r="Y147" s="26"/>
      <c r="Z147" s="27" t="str">
        <f t="shared" si="7"/>
        <v>Por iniciar</v>
      </c>
    </row>
    <row r="148" spans="1:26">
      <c r="A148" s="20" t="str">
        <f t="shared" si="6"/>
        <v>INSTRUMENTFRBRNC_STTS_INSTRMNT45596</v>
      </c>
      <c r="B148" s="66"/>
      <c r="C148" s="60"/>
      <c r="D148" s="60"/>
      <c r="E148" s="60"/>
      <c r="F148" s="67"/>
      <c r="G148" s="60"/>
      <c r="H148" s="65" t="s">
        <v>126</v>
      </c>
      <c r="I148" s="21" t="s">
        <v>446</v>
      </c>
      <c r="J148" s="26">
        <f>+COUNTIF('ID1&amp;5'!G:G,'1. Status'!I148)</f>
        <v>0</v>
      </c>
      <c r="K148" s="83" t="str">
        <f>+IFERROR(VLOOKUP(CONCATENATE(A148,$B$10,B148),'ID1&amp;5'!B:J,8,FALSE),"-")</f>
        <v>-</v>
      </c>
      <c r="L148" s="82" t="str">
        <f>+IFERROR(VLOOKUP(B148,'ID1&amp;5'!K:L,2,FALSE),"-")</f>
        <v>-</v>
      </c>
      <c r="M148" s="83" t="str">
        <f>+IFERROR(VLOOKUP(CONCATENATE(A148,$B$10,B148),'ID1&amp;5'!B:J,9,FALSE),"-")</f>
        <v>-</v>
      </c>
      <c r="N148" s="83" t="str">
        <f>+IFERROR(VLOOKUP(CONCATENATE(A148,$C$10,C148),'ID1&amp;5'!B:J,8,FALSE),"-")</f>
        <v>-</v>
      </c>
      <c r="O148" s="82" t="str">
        <f>+IFERROR(VLOOKUP(C148,'ID1&amp;5'!K:L,2,FALSE),"-")</f>
        <v>-</v>
      </c>
      <c r="P148" s="83" t="str">
        <f>+IFERROR(VLOOKUP(CONCATENATE(A148,$C$10,C148),'ID1&amp;5'!B:J,9,FALSE),"-")</f>
        <v>-</v>
      </c>
      <c r="Q148" s="82" t="str">
        <f>+IFERROR(VLOOKUP(D148,'ID1&amp;5'!K:L,2,FALSE),"-")</f>
        <v>-</v>
      </c>
      <c r="R148" s="26" t="str">
        <f>+IFERROR(VLOOKUP(CONCATENATE(A148,$D$10,D148),'ID1&amp;5'!B:J,9,FALSE),"-")</f>
        <v>-</v>
      </c>
      <c r="S148" s="82" t="str">
        <f>+IFERROR(VLOOKUP(E148,'ID1&amp;5'!K:L,2,FALSE),"-")</f>
        <v>-</v>
      </c>
      <c r="T148" s="83" t="str">
        <f>+IFERROR(VLOOKUP(CONCATENATE(A148,$E$10,E148),'ID1&amp;5'!B:J,9,FALSE),"-")</f>
        <v>-</v>
      </c>
      <c r="U148" s="82" t="str">
        <f>+IFERROR(VLOOKUP(F148,'ID1&amp;5'!K:L,2,FALSE),"-")</f>
        <v>-</v>
      </c>
      <c r="V148" s="83" t="str">
        <f>+IFERROR(VLOOKUP(CONCATENATE(A148,$F$10,F148),'ID1&amp;5'!B:J,9,FALSE),"-")</f>
        <v>-</v>
      </c>
      <c r="W148" s="26" t="str">
        <f>+IFERROR(VLOOKUP(A148,'ID6&amp;7'!A:I,9,FALSE),"-")</f>
        <v>-</v>
      </c>
      <c r="X148" s="26" t="str">
        <f>+IFERROR(VLOOKUP(A148,'ID6&amp;7'!A:J,10,FALSE),"-")</f>
        <v>-</v>
      </c>
      <c r="Y148" s="26"/>
      <c r="Z148" s="27" t="str">
        <f t="shared" si="7"/>
        <v>Por iniciar</v>
      </c>
    </row>
    <row r="149" spans="1:26">
      <c r="A149" s="20" t="str">
        <f t="shared" si="6"/>
        <v>INSTRUMENTIMPRMNT_STTS45596</v>
      </c>
      <c r="B149" s="66"/>
      <c r="C149" s="60"/>
      <c r="D149" s="60"/>
      <c r="E149" s="60"/>
      <c r="F149" s="67"/>
      <c r="G149" s="60"/>
      <c r="H149" s="65" t="s">
        <v>126</v>
      </c>
      <c r="I149" s="21" t="s">
        <v>96</v>
      </c>
      <c r="J149" s="26">
        <f>+COUNTIF('ID1&amp;5'!G:G,'1. Status'!I149)</f>
        <v>0</v>
      </c>
      <c r="K149" s="83" t="str">
        <f>+IFERROR(VLOOKUP(CONCATENATE(A149,$B$10,B149),'ID1&amp;5'!B:J,8,FALSE),"-")</f>
        <v>-</v>
      </c>
      <c r="L149" s="82" t="str">
        <f>+IFERROR(VLOOKUP(B149,'ID1&amp;5'!K:L,2,FALSE),"-")</f>
        <v>-</v>
      </c>
      <c r="M149" s="83" t="str">
        <f>+IFERROR(VLOOKUP(CONCATENATE(A149,$B$10,B149),'ID1&amp;5'!B:J,9,FALSE),"-")</f>
        <v>-</v>
      </c>
      <c r="N149" s="83" t="str">
        <f>+IFERROR(VLOOKUP(CONCATENATE(A149,$C$10,C149),'ID1&amp;5'!B:J,8,FALSE),"-")</f>
        <v>-</v>
      </c>
      <c r="O149" s="82" t="str">
        <f>+IFERROR(VLOOKUP(C149,'ID1&amp;5'!K:L,2,FALSE),"-")</f>
        <v>-</v>
      </c>
      <c r="P149" s="83" t="str">
        <f>+IFERROR(VLOOKUP(CONCATENATE(A149,$C$10,C149),'ID1&amp;5'!B:J,9,FALSE),"-")</f>
        <v>-</v>
      </c>
      <c r="Q149" s="82" t="str">
        <f>+IFERROR(VLOOKUP(D149,'ID1&amp;5'!K:L,2,FALSE),"-")</f>
        <v>-</v>
      </c>
      <c r="R149" s="26" t="str">
        <f>+IFERROR(VLOOKUP(CONCATENATE(A149,$D$10,D149),'ID1&amp;5'!B:J,9,FALSE),"-")</f>
        <v>-</v>
      </c>
      <c r="S149" s="82" t="str">
        <f>+IFERROR(VLOOKUP(E149,'ID1&amp;5'!K:L,2,FALSE),"-")</f>
        <v>-</v>
      </c>
      <c r="T149" s="83" t="str">
        <f>+IFERROR(VLOOKUP(CONCATENATE(A149,$E$10,E149),'ID1&amp;5'!B:J,9,FALSE),"-")</f>
        <v>-</v>
      </c>
      <c r="U149" s="82" t="str">
        <f>+IFERROR(VLOOKUP(F149,'ID1&amp;5'!K:L,2,FALSE),"-")</f>
        <v>-</v>
      </c>
      <c r="V149" s="83" t="str">
        <f>+IFERROR(VLOOKUP(CONCATENATE(A149,$F$10,F149),'ID1&amp;5'!B:J,9,FALSE),"-")</f>
        <v>-</v>
      </c>
      <c r="W149" s="26" t="str">
        <f>+IFERROR(VLOOKUP(A149,'ID6&amp;7'!A:I,9,FALSE),"-")</f>
        <v>-</v>
      </c>
      <c r="X149" s="26" t="str">
        <f>+IFERROR(VLOOKUP(A149,'ID6&amp;7'!A:J,10,FALSE),"-")</f>
        <v>-</v>
      </c>
      <c r="Y149" s="26"/>
      <c r="Z149" s="27" t="str">
        <f t="shared" si="7"/>
        <v>Por iniciar</v>
      </c>
    </row>
    <row r="150" spans="1:26">
      <c r="A150" s="20" t="str">
        <f t="shared" si="6"/>
        <v>INSTRUMENTIMPRMNT_STTS_PRVS45596</v>
      </c>
      <c r="B150" s="66"/>
      <c r="C150" s="60"/>
      <c r="D150" s="60"/>
      <c r="E150" s="60"/>
      <c r="F150" s="67"/>
      <c r="G150" s="60"/>
      <c r="H150" s="65" t="s">
        <v>126</v>
      </c>
      <c r="I150" s="21" t="s">
        <v>447</v>
      </c>
      <c r="J150" s="26">
        <f>+COUNTIF('ID1&amp;5'!G:G,'1. Status'!I150)</f>
        <v>0</v>
      </c>
      <c r="K150" s="83" t="str">
        <f>+IFERROR(VLOOKUP(CONCATENATE(A150,$B$10,B150),'ID1&amp;5'!B:J,8,FALSE),"-")</f>
        <v>-</v>
      </c>
      <c r="L150" s="82" t="str">
        <f>+IFERROR(VLOOKUP(B150,'ID1&amp;5'!K:L,2,FALSE),"-")</f>
        <v>-</v>
      </c>
      <c r="M150" s="83" t="str">
        <f>+IFERROR(VLOOKUP(CONCATENATE(A150,$B$10,B150),'ID1&amp;5'!B:J,9,FALSE),"-")</f>
        <v>-</v>
      </c>
      <c r="N150" s="83" t="str">
        <f>+IFERROR(VLOOKUP(CONCATENATE(A150,$C$10,C150),'ID1&amp;5'!B:J,8,FALSE),"-")</f>
        <v>-</v>
      </c>
      <c r="O150" s="82" t="str">
        <f>+IFERROR(VLOOKUP(C150,'ID1&amp;5'!K:L,2,FALSE),"-")</f>
        <v>-</v>
      </c>
      <c r="P150" s="83" t="str">
        <f>+IFERROR(VLOOKUP(CONCATENATE(A150,$C$10,C150),'ID1&amp;5'!B:J,9,FALSE),"-")</f>
        <v>-</v>
      </c>
      <c r="Q150" s="82" t="str">
        <f>+IFERROR(VLOOKUP(D150,'ID1&amp;5'!K:L,2,FALSE),"-")</f>
        <v>-</v>
      </c>
      <c r="R150" s="26" t="str">
        <f>+IFERROR(VLOOKUP(CONCATENATE(A150,$D$10,D150),'ID1&amp;5'!B:J,9,FALSE),"-")</f>
        <v>-</v>
      </c>
      <c r="S150" s="82" t="str">
        <f>+IFERROR(VLOOKUP(E150,'ID1&amp;5'!K:L,2,FALSE),"-")</f>
        <v>-</v>
      </c>
      <c r="T150" s="83" t="str">
        <f>+IFERROR(VLOOKUP(CONCATENATE(A150,$E$10,E150),'ID1&amp;5'!B:J,9,FALSE),"-")</f>
        <v>-</v>
      </c>
      <c r="U150" s="82" t="str">
        <f>+IFERROR(VLOOKUP(F150,'ID1&amp;5'!K:L,2,FALSE),"-")</f>
        <v>-</v>
      </c>
      <c r="V150" s="83" t="str">
        <f>+IFERROR(VLOOKUP(CONCATENATE(A150,$F$10,F150),'ID1&amp;5'!B:J,9,FALSE),"-")</f>
        <v>-</v>
      </c>
      <c r="W150" s="26" t="str">
        <f>+IFERROR(VLOOKUP(A150,'ID6&amp;7'!A:I,9,FALSE),"-")</f>
        <v>-</v>
      </c>
      <c r="X150" s="26" t="str">
        <f>+IFERROR(VLOOKUP(A150,'ID6&amp;7'!A:J,10,FALSE),"-")</f>
        <v>-</v>
      </c>
      <c r="Y150" s="26"/>
      <c r="Z150" s="27" t="str">
        <f t="shared" si="7"/>
        <v>Por iniciar</v>
      </c>
    </row>
    <row r="151" spans="1:26">
      <c r="A151" s="20" t="str">
        <f t="shared" si="6"/>
        <v>INSTRUMENTINTRNL_RTNG45596</v>
      </c>
      <c r="B151" s="66"/>
      <c r="C151" s="60"/>
      <c r="D151" s="60"/>
      <c r="E151" s="60"/>
      <c r="F151" s="67"/>
      <c r="G151" s="60"/>
      <c r="H151" s="65" t="s">
        <v>126</v>
      </c>
      <c r="I151" s="21" t="s">
        <v>356</v>
      </c>
      <c r="J151" s="26">
        <f>+COUNTIF('ID1&amp;5'!G:G,'1. Status'!I151)</f>
        <v>0</v>
      </c>
      <c r="K151" s="83" t="str">
        <f>+IFERROR(VLOOKUP(CONCATENATE(A151,$B$10,B151),'ID1&amp;5'!B:J,8,FALSE),"-")</f>
        <v>-</v>
      </c>
      <c r="L151" s="82" t="str">
        <f>+IFERROR(VLOOKUP(B151,'ID1&amp;5'!K:L,2,FALSE),"-")</f>
        <v>-</v>
      </c>
      <c r="M151" s="83" t="str">
        <f>+IFERROR(VLOOKUP(CONCATENATE(A151,$B$10,B151),'ID1&amp;5'!B:J,9,FALSE),"-")</f>
        <v>-</v>
      </c>
      <c r="N151" s="83" t="str">
        <f>+IFERROR(VLOOKUP(CONCATENATE(A151,$C$10,C151),'ID1&amp;5'!B:J,8,FALSE),"-")</f>
        <v>-</v>
      </c>
      <c r="O151" s="82" t="str">
        <f>+IFERROR(VLOOKUP(C151,'ID1&amp;5'!K:L,2,FALSE),"-")</f>
        <v>-</v>
      </c>
      <c r="P151" s="83" t="str">
        <f>+IFERROR(VLOOKUP(CONCATENATE(A151,$C$10,C151),'ID1&amp;5'!B:J,9,FALSE),"-")</f>
        <v>-</v>
      </c>
      <c r="Q151" s="82" t="str">
        <f>+IFERROR(VLOOKUP(D151,'ID1&amp;5'!K:L,2,FALSE),"-")</f>
        <v>-</v>
      </c>
      <c r="R151" s="26" t="str">
        <f>+IFERROR(VLOOKUP(CONCATENATE(A151,$D$10,D151),'ID1&amp;5'!B:J,9,FALSE),"-")</f>
        <v>-</v>
      </c>
      <c r="S151" s="82" t="str">
        <f>+IFERROR(VLOOKUP(E151,'ID1&amp;5'!K:L,2,FALSE),"-")</f>
        <v>-</v>
      </c>
      <c r="T151" s="83" t="str">
        <f>+IFERROR(VLOOKUP(CONCATENATE(A151,$E$10,E151),'ID1&amp;5'!B:J,9,FALSE),"-")</f>
        <v>-</v>
      </c>
      <c r="U151" s="82" t="str">
        <f>+IFERROR(VLOOKUP(F151,'ID1&amp;5'!K:L,2,FALSE),"-")</f>
        <v>-</v>
      </c>
      <c r="V151" s="83" t="str">
        <f>+IFERROR(VLOOKUP(CONCATENATE(A151,$F$10,F151),'ID1&amp;5'!B:J,9,FALSE),"-")</f>
        <v>-</v>
      </c>
      <c r="W151" s="26" t="str">
        <f>+IFERROR(VLOOKUP(A151,'ID6&amp;7'!A:I,9,FALSE),"-")</f>
        <v>-</v>
      </c>
      <c r="X151" s="26" t="str">
        <f>+IFERROR(VLOOKUP(A151,'ID6&amp;7'!A:J,10,FALSE),"-")</f>
        <v>-</v>
      </c>
      <c r="Y151" s="26"/>
      <c r="Z151" s="27" t="str">
        <f t="shared" si="7"/>
        <v>Por iniciar</v>
      </c>
    </row>
    <row r="152" spans="1:26">
      <c r="A152" s="20" t="str">
        <f t="shared" si="6"/>
        <v>INSTRUMENTINTRNL_RTNG_INCPTN45596</v>
      </c>
      <c r="B152" s="66"/>
      <c r="C152" s="60"/>
      <c r="D152" s="60"/>
      <c r="E152" s="60"/>
      <c r="F152" s="67"/>
      <c r="G152" s="60"/>
      <c r="H152" s="65" t="s">
        <v>126</v>
      </c>
      <c r="I152" s="21" t="s">
        <v>448</v>
      </c>
      <c r="J152" s="26">
        <f>+COUNTIF('ID1&amp;5'!G:G,'1. Status'!I152)</f>
        <v>0</v>
      </c>
      <c r="K152" s="83" t="str">
        <f>+IFERROR(VLOOKUP(CONCATENATE(A152,$B$10,B152),'ID1&amp;5'!B:J,8,FALSE),"-")</f>
        <v>-</v>
      </c>
      <c r="L152" s="82" t="str">
        <f>+IFERROR(VLOOKUP(B152,'ID1&amp;5'!K:L,2,FALSE),"-")</f>
        <v>-</v>
      </c>
      <c r="M152" s="83" t="str">
        <f>+IFERROR(VLOOKUP(CONCATENATE(A152,$B$10,B152),'ID1&amp;5'!B:J,9,FALSE),"-")</f>
        <v>-</v>
      </c>
      <c r="N152" s="83" t="str">
        <f>+IFERROR(VLOOKUP(CONCATENATE(A152,$C$10,C152),'ID1&amp;5'!B:J,8,FALSE),"-")</f>
        <v>-</v>
      </c>
      <c r="O152" s="82" t="str">
        <f>+IFERROR(VLOOKUP(C152,'ID1&amp;5'!K:L,2,FALSE),"-")</f>
        <v>-</v>
      </c>
      <c r="P152" s="83" t="str">
        <f>+IFERROR(VLOOKUP(CONCATENATE(A152,$C$10,C152),'ID1&amp;5'!B:J,9,FALSE),"-")</f>
        <v>-</v>
      </c>
      <c r="Q152" s="82" t="str">
        <f>+IFERROR(VLOOKUP(D152,'ID1&amp;5'!K:L,2,FALSE),"-")</f>
        <v>-</v>
      </c>
      <c r="R152" s="26" t="str">
        <f>+IFERROR(VLOOKUP(CONCATENATE(A152,$D$10,D152),'ID1&amp;5'!B:J,9,FALSE),"-")</f>
        <v>-</v>
      </c>
      <c r="S152" s="82" t="str">
        <f>+IFERROR(VLOOKUP(E152,'ID1&amp;5'!K:L,2,FALSE),"-")</f>
        <v>-</v>
      </c>
      <c r="T152" s="83" t="str">
        <f>+IFERROR(VLOOKUP(CONCATENATE(A152,$E$10,E152),'ID1&amp;5'!B:J,9,FALSE),"-")</f>
        <v>-</v>
      </c>
      <c r="U152" s="82" t="str">
        <f>+IFERROR(VLOOKUP(F152,'ID1&amp;5'!K:L,2,FALSE),"-")</f>
        <v>-</v>
      </c>
      <c r="V152" s="83" t="str">
        <f>+IFERROR(VLOOKUP(CONCATENATE(A152,$F$10,F152),'ID1&amp;5'!B:J,9,FALSE),"-")</f>
        <v>-</v>
      </c>
      <c r="W152" s="26" t="str">
        <f>+IFERROR(VLOOKUP(A152,'ID6&amp;7'!A:I,9,FALSE),"-")</f>
        <v>-</v>
      </c>
      <c r="X152" s="26" t="str">
        <f>+IFERROR(VLOOKUP(A152,'ID6&amp;7'!A:J,10,FALSE),"-")</f>
        <v>-</v>
      </c>
      <c r="Y152" s="26"/>
      <c r="Z152" s="27" t="str">
        <f t="shared" si="7"/>
        <v>Por iniciar</v>
      </c>
    </row>
    <row r="153" spans="1:26">
      <c r="A153" s="20" t="str">
        <f t="shared" si="6"/>
        <v>INSTRUMENTINTRNL_SGMNT45596</v>
      </c>
      <c r="B153" s="66"/>
      <c r="C153" s="60"/>
      <c r="D153" s="60"/>
      <c r="E153" s="60"/>
      <c r="F153" s="67"/>
      <c r="G153" s="60"/>
      <c r="H153" s="65" t="s">
        <v>126</v>
      </c>
      <c r="I153" s="21" t="s">
        <v>332</v>
      </c>
      <c r="J153" s="26">
        <f>+COUNTIF('ID1&amp;5'!G:G,'1. Status'!I153)</f>
        <v>0</v>
      </c>
      <c r="K153" s="83" t="str">
        <f>+IFERROR(VLOOKUP(CONCATENATE(A153,$B$10,B153),'ID1&amp;5'!B:J,8,FALSE),"-")</f>
        <v>-</v>
      </c>
      <c r="L153" s="82" t="str">
        <f>+IFERROR(VLOOKUP(B153,'ID1&amp;5'!K:L,2,FALSE),"-")</f>
        <v>-</v>
      </c>
      <c r="M153" s="83" t="str">
        <f>+IFERROR(VLOOKUP(CONCATENATE(A153,$B$10,B153),'ID1&amp;5'!B:J,9,FALSE),"-")</f>
        <v>-</v>
      </c>
      <c r="N153" s="83" t="str">
        <f>+IFERROR(VLOOKUP(CONCATENATE(A153,$C$10,C153),'ID1&amp;5'!B:J,8,FALSE),"-")</f>
        <v>-</v>
      </c>
      <c r="O153" s="82" t="str">
        <f>+IFERROR(VLOOKUP(C153,'ID1&amp;5'!K:L,2,FALSE),"-")</f>
        <v>-</v>
      </c>
      <c r="P153" s="83" t="str">
        <f>+IFERROR(VLOOKUP(CONCATENATE(A153,$C$10,C153),'ID1&amp;5'!B:J,9,FALSE),"-")</f>
        <v>-</v>
      </c>
      <c r="Q153" s="82" t="str">
        <f>+IFERROR(VLOOKUP(D153,'ID1&amp;5'!K:L,2,FALSE),"-")</f>
        <v>-</v>
      </c>
      <c r="R153" s="26" t="str">
        <f>+IFERROR(VLOOKUP(CONCATENATE(A153,$D$10,D153),'ID1&amp;5'!B:J,9,FALSE),"-")</f>
        <v>-</v>
      </c>
      <c r="S153" s="82" t="str">
        <f>+IFERROR(VLOOKUP(E153,'ID1&amp;5'!K:L,2,FALSE),"-")</f>
        <v>-</v>
      </c>
      <c r="T153" s="83" t="str">
        <f>+IFERROR(VLOOKUP(CONCATENATE(A153,$E$10,E153),'ID1&amp;5'!B:J,9,FALSE),"-")</f>
        <v>-</v>
      </c>
      <c r="U153" s="82" t="str">
        <f>+IFERROR(VLOOKUP(F153,'ID1&amp;5'!K:L,2,FALSE),"-")</f>
        <v>-</v>
      </c>
      <c r="V153" s="83" t="str">
        <f>+IFERROR(VLOOKUP(CONCATENATE(A153,$F$10,F153),'ID1&amp;5'!B:J,9,FALSE),"-")</f>
        <v>-</v>
      </c>
      <c r="W153" s="26" t="str">
        <f>+IFERROR(VLOOKUP(A153,'ID6&amp;7'!A:I,9,FALSE),"-")</f>
        <v>-</v>
      </c>
      <c r="X153" s="26" t="str">
        <f>+IFERROR(VLOOKUP(A153,'ID6&amp;7'!A:J,10,FALSE),"-")</f>
        <v>-</v>
      </c>
      <c r="Y153" s="26"/>
      <c r="Z153" s="27" t="str">
        <f t="shared" si="7"/>
        <v>Por iniciar</v>
      </c>
    </row>
    <row r="154" spans="1:26">
      <c r="A154" s="20" t="str">
        <f t="shared" si="6"/>
        <v>INSTRUMENTINTRNL_UNT45596</v>
      </c>
      <c r="B154" s="66"/>
      <c r="C154" s="60"/>
      <c r="D154" s="60"/>
      <c r="E154" s="60"/>
      <c r="F154" s="67"/>
      <c r="G154" s="60"/>
      <c r="H154" s="65" t="s">
        <v>126</v>
      </c>
      <c r="I154" s="21" t="s">
        <v>333</v>
      </c>
      <c r="J154" s="26">
        <f>+COUNTIF('ID1&amp;5'!G:G,'1. Status'!I154)</f>
        <v>0</v>
      </c>
      <c r="K154" s="83" t="str">
        <f>+IFERROR(VLOOKUP(CONCATENATE(A154,$B$10,B154),'ID1&amp;5'!B:J,8,FALSE),"-")</f>
        <v>-</v>
      </c>
      <c r="L154" s="82" t="str">
        <f>+IFERROR(VLOOKUP(B154,'ID1&amp;5'!K:L,2,FALSE),"-")</f>
        <v>-</v>
      </c>
      <c r="M154" s="83" t="str">
        <f>+IFERROR(VLOOKUP(CONCATENATE(A154,$B$10,B154),'ID1&amp;5'!B:J,9,FALSE),"-")</f>
        <v>-</v>
      </c>
      <c r="N154" s="83" t="str">
        <f>+IFERROR(VLOOKUP(CONCATENATE(A154,$C$10,C154),'ID1&amp;5'!B:J,8,FALSE),"-")</f>
        <v>-</v>
      </c>
      <c r="O154" s="82" t="str">
        <f>+IFERROR(VLOOKUP(C154,'ID1&amp;5'!K:L,2,FALSE),"-")</f>
        <v>-</v>
      </c>
      <c r="P154" s="83" t="str">
        <f>+IFERROR(VLOOKUP(CONCATENATE(A154,$C$10,C154),'ID1&amp;5'!B:J,9,FALSE),"-")</f>
        <v>-</v>
      </c>
      <c r="Q154" s="82" t="str">
        <f>+IFERROR(VLOOKUP(D154,'ID1&amp;5'!K:L,2,FALSE),"-")</f>
        <v>-</v>
      </c>
      <c r="R154" s="26" t="str">
        <f>+IFERROR(VLOOKUP(CONCATENATE(A154,$D$10,D154),'ID1&amp;5'!B:J,9,FALSE),"-")</f>
        <v>-</v>
      </c>
      <c r="S154" s="82" t="str">
        <f>+IFERROR(VLOOKUP(E154,'ID1&amp;5'!K:L,2,FALSE),"-")</f>
        <v>-</v>
      </c>
      <c r="T154" s="83" t="str">
        <f>+IFERROR(VLOOKUP(CONCATENATE(A154,$E$10,E154),'ID1&amp;5'!B:J,9,FALSE),"-")</f>
        <v>-</v>
      </c>
      <c r="U154" s="82" t="str">
        <f>+IFERROR(VLOOKUP(F154,'ID1&amp;5'!K:L,2,FALSE),"-")</f>
        <v>-</v>
      </c>
      <c r="V154" s="83" t="str">
        <f>+IFERROR(VLOOKUP(CONCATENATE(A154,$F$10,F154),'ID1&amp;5'!B:J,9,FALSE),"-")</f>
        <v>-</v>
      </c>
      <c r="W154" s="26" t="str">
        <f>+IFERROR(VLOOKUP(A154,'ID6&amp;7'!A:I,9,FALSE),"-")</f>
        <v>-</v>
      </c>
      <c r="X154" s="26" t="str">
        <f>+IFERROR(VLOOKUP(A154,'ID6&amp;7'!A:J,10,FALSE),"-")</f>
        <v>-</v>
      </c>
      <c r="Y154" s="26"/>
      <c r="Z154" s="27" t="str">
        <f t="shared" si="7"/>
        <v>Por iniciar</v>
      </c>
    </row>
    <row r="155" spans="1:26">
      <c r="A155" s="20" t="str">
        <f t="shared" si="6"/>
        <v>INSTRUMENTLCRE45596</v>
      </c>
      <c r="B155" s="66"/>
      <c r="C155" s="60"/>
      <c r="D155" s="60"/>
      <c r="E155" s="60"/>
      <c r="F155" s="67"/>
      <c r="G155" s="60"/>
      <c r="H155" s="65" t="s">
        <v>126</v>
      </c>
      <c r="I155" s="21" t="s">
        <v>449</v>
      </c>
      <c r="J155" s="26">
        <f>+COUNTIF('ID1&amp;5'!G:G,'1. Status'!I155)</f>
        <v>0</v>
      </c>
      <c r="K155" s="83" t="str">
        <f>+IFERROR(VLOOKUP(CONCATENATE(A155,$B$10,B155),'ID1&amp;5'!B:J,8,FALSE),"-")</f>
        <v>-</v>
      </c>
      <c r="L155" s="82" t="str">
        <f>+IFERROR(VLOOKUP(B155,'ID1&amp;5'!K:L,2,FALSE),"-")</f>
        <v>-</v>
      </c>
      <c r="M155" s="83" t="str">
        <f>+IFERROR(VLOOKUP(CONCATENATE(A155,$B$10,B155),'ID1&amp;5'!B:J,9,FALSE),"-")</f>
        <v>-</v>
      </c>
      <c r="N155" s="83" t="str">
        <f>+IFERROR(VLOOKUP(CONCATENATE(A155,$C$10,C155),'ID1&amp;5'!B:J,8,FALSE),"-")</f>
        <v>-</v>
      </c>
      <c r="O155" s="82" t="str">
        <f>+IFERROR(VLOOKUP(C155,'ID1&amp;5'!K:L,2,FALSE),"-")</f>
        <v>-</v>
      </c>
      <c r="P155" s="83" t="str">
        <f>+IFERROR(VLOOKUP(CONCATENATE(A155,$C$10,C155),'ID1&amp;5'!B:J,9,FALSE),"-")</f>
        <v>-</v>
      </c>
      <c r="Q155" s="82" t="str">
        <f>+IFERROR(VLOOKUP(D155,'ID1&amp;5'!K:L,2,FALSE),"-")</f>
        <v>-</v>
      </c>
      <c r="R155" s="26" t="str">
        <f>+IFERROR(VLOOKUP(CONCATENATE(A155,$D$10,D155),'ID1&amp;5'!B:J,9,FALSE),"-")</f>
        <v>-</v>
      </c>
      <c r="S155" s="82" t="str">
        <f>+IFERROR(VLOOKUP(E155,'ID1&amp;5'!K:L,2,FALSE),"-")</f>
        <v>-</v>
      </c>
      <c r="T155" s="83" t="str">
        <f>+IFERROR(VLOOKUP(CONCATENATE(A155,$E$10,E155),'ID1&amp;5'!B:J,9,FALSE),"-")</f>
        <v>-</v>
      </c>
      <c r="U155" s="82" t="str">
        <f>+IFERROR(VLOOKUP(F155,'ID1&amp;5'!K:L,2,FALSE),"-")</f>
        <v>-</v>
      </c>
      <c r="V155" s="83" t="str">
        <f>+IFERROR(VLOOKUP(CONCATENATE(A155,$F$10,F155),'ID1&amp;5'!B:J,9,FALSE),"-")</f>
        <v>-</v>
      </c>
      <c r="W155" s="26" t="str">
        <f>+IFERROR(VLOOKUP(A155,'ID6&amp;7'!A:I,9,FALSE),"-")</f>
        <v>-</v>
      </c>
      <c r="X155" s="26" t="str">
        <f>+IFERROR(VLOOKUP(A155,'ID6&amp;7'!A:J,10,FALSE),"-")</f>
        <v>-</v>
      </c>
      <c r="Y155" s="26"/>
      <c r="Z155" s="27" t="str">
        <f t="shared" si="7"/>
        <v>Por iniciar</v>
      </c>
    </row>
    <row r="156" spans="1:26">
      <c r="A156" s="20" t="str">
        <f t="shared" si="6"/>
        <v>INSTRUMENTLGL_PRCDNG_STTS45596</v>
      </c>
      <c r="B156" s="66"/>
      <c r="C156" s="60"/>
      <c r="D156" s="60"/>
      <c r="E156" s="60"/>
      <c r="F156" s="67"/>
      <c r="G156" s="60"/>
      <c r="H156" s="65" t="s">
        <v>126</v>
      </c>
      <c r="I156" s="21" t="s">
        <v>450</v>
      </c>
      <c r="J156" s="26">
        <f>+COUNTIF('ID1&amp;5'!G:G,'1. Status'!I156)</f>
        <v>0</v>
      </c>
      <c r="K156" s="83" t="str">
        <f>+IFERROR(VLOOKUP(CONCATENATE(A156,$B$10,B156),'ID1&amp;5'!B:J,8,FALSE),"-")</f>
        <v>-</v>
      </c>
      <c r="L156" s="82" t="str">
        <f>+IFERROR(VLOOKUP(B156,'ID1&amp;5'!K:L,2,FALSE),"-")</f>
        <v>-</v>
      </c>
      <c r="M156" s="83" t="str">
        <f>+IFERROR(VLOOKUP(CONCATENATE(A156,$B$10,B156),'ID1&amp;5'!B:J,9,FALSE),"-")</f>
        <v>-</v>
      </c>
      <c r="N156" s="83" t="str">
        <f>+IFERROR(VLOOKUP(CONCATENATE(A156,$C$10,C156),'ID1&amp;5'!B:J,8,FALSE),"-")</f>
        <v>-</v>
      </c>
      <c r="O156" s="82" t="str">
        <f>+IFERROR(VLOOKUP(C156,'ID1&amp;5'!K:L,2,FALSE),"-")</f>
        <v>-</v>
      </c>
      <c r="P156" s="83" t="str">
        <f>+IFERROR(VLOOKUP(CONCATENATE(A156,$C$10,C156),'ID1&amp;5'!B:J,9,FALSE),"-")</f>
        <v>-</v>
      </c>
      <c r="Q156" s="82" t="str">
        <f>+IFERROR(VLOOKUP(D156,'ID1&amp;5'!K:L,2,FALSE),"-")</f>
        <v>-</v>
      </c>
      <c r="R156" s="26" t="str">
        <f>+IFERROR(VLOOKUP(CONCATENATE(A156,$D$10,D156),'ID1&amp;5'!B:J,9,FALSE),"-")</f>
        <v>-</v>
      </c>
      <c r="S156" s="82" t="str">
        <f>+IFERROR(VLOOKUP(E156,'ID1&amp;5'!K:L,2,FALSE),"-")</f>
        <v>-</v>
      </c>
      <c r="T156" s="83" t="str">
        <f>+IFERROR(VLOOKUP(CONCATENATE(A156,$E$10,E156),'ID1&amp;5'!B:J,9,FALSE),"-")</f>
        <v>-</v>
      </c>
      <c r="U156" s="82" t="str">
        <f>+IFERROR(VLOOKUP(F156,'ID1&amp;5'!K:L,2,FALSE),"-")</f>
        <v>-</v>
      </c>
      <c r="V156" s="83" t="str">
        <f>+IFERROR(VLOOKUP(CONCATENATE(A156,$F$10,F156),'ID1&amp;5'!B:J,9,FALSE),"-")</f>
        <v>-</v>
      </c>
      <c r="W156" s="26" t="str">
        <f>+IFERROR(VLOOKUP(A156,'ID6&amp;7'!A:I,9,FALSE),"-")</f>
        <v>-</v>
      </c>
      <c r="X156" s="26" t="str">
        <f>+IFERROR(VLOOKUP(A156,'ID6&amp;7'!A:J,10,FALSE),"-")</f>
        <v>-</v>
      </c>
      <c r="Y156" s="26"/>
      <c r="Z156" s="27" t="str">
        <f t="shared" si="7"/>
        <v>Por iniciar</v>
      </c>
    </row>
    <row r="157" spans="1:26">
      <c r="A157" s="20" t="str">
        <f t="shared" si="6"/>
        <v>INSTRUMENTLND_DRGTN45596</v>
      </c>
      <c r="B157" s="66"/>
      <c r="C157" s="60"/>
      <c r="D157" s="60"/>
      <c r="E157" s="60"/>
      <c r="F157" s="67"/>
      <c r="G157" s="60"/>
      <c r="H157" s="65" t="s">
        <v>126</v>
      </c>
      <c r="I157" s="21" t="s">
        <v>451</v>
      </c>
      <c r="J157" s="26">
        <f>+COUNTIF('ID1&amp;5'!G:G,'1. Status'!I157)</f>
        <v>0</v>
      </c>
      <c r="K157" s="83" t="str">
        <f>+IFERROR(VLOOKUP(CONCATENATE(A157,$B$10,B157),'ID1&amp;5'!B:J,8,FALSE),"-")</f>
        <v>-</v>
      </c>
      <c r="L157" s="82" t="str">
        <f>+IFERROR(VLOOKUP(B157,'ID1&amp;5'!K:L,2,FALSE),"-")</f>
        <v>-</v>
      </c>
      <c r="M157" s="83" t="str">
        <f>+IFERROR(VLOOKUP(CONCATENATE(A157,$B$10,B157),'ID1&amp;5'!B:J,9,FALSE),"-")</f>
        <v>-</v>
      </c>
      <c r="N157" s="83" t="str">
        <f>+IFERROR(VLOOKUP(CONCATENATE(A157,$C$10,C157),'ID1&amp;5'!B:J,8,FALSE),"-")</f>
        <v>-</v>
      </c>
      <c r="O157" s="82" t="str">
        <f>+IFERROR(VLOOKUP(C157,'ID1&amp;5'!K:L,2,FALSE),"-")</f>
        <v>-</v>
      </c>
      <c r="P157" s="83" t="str">
        <f>+IFERROR(VLOOKUP(CONCATENATE(A157,$C$10,C157),'ID1&amp;5'!B:J,9,FALSE),"-")</f>
        <v>-</v>
      </c>
      <c r="Q157" s="82" t="str">
        <f>+IFERROR(VLOOKUP(D157,'ID1&amp;5'!K:L,2,FALSE),"-")</f>
        <v>-</v>
      </c>
      <c r="R157" s="26" t="str">
        <f>+IFERROR(VLOOKUP(CONCATENATE(A157,$D$10,D157),'ID1&amp;5'!B:J,9,FALSE),"-")</f>
        <v>-</v>
      </c>
      <c r="S157" s="82" t="str">
        <f>+IFERROR(VLOOKUP(E157,'ID1&amp;5'!K:L,2,FALSE),"-")</f>
        <v>-</v>
      </c>
      <c r="T157" s="83" t="str">
        <f>+IFERROR(VLOOKUP(CONCATENATE(A157,$E$10,E157),'ID1&amp;5'!B:J,9,FALSE),"-")</f>
        <v>-</v>
      </c>
      <c r="U157" s="82" t="str">
        <f>+IFERROR(VLOOKUP(F157,'ID1&amp;5'!K:L,2,FALSE),"-")</f>
        <v>-</v>
      </c>
      <c r="V157" s="83" t="str">
        <f>+IFERROR(VLOOKUP(CONCATENATE(A157,$F$10,F157),'ID1&amp;5'!B:J,9,FALSE),"-")</f>
        <v>-</v>
      </c>
      <c r="W157" s="26" t="str">
        <f>+IFERROR(VLOOKUP(A157,'ID6&amp;7'!A:I,9,FALSE),"-")</f>
        <v>-</v>
      </c>
      <c r="X157" s="26" t="str">
        <f>+IFERROR(VLOOKUP(A157,'ID6&amp;7'!A:J,10,FALSE),"-")</f>
        <v>-</v>
      </c>
      <c r="Y157" s="26"/>
      <c r="Z157" s="27" t="str">
        <f t="shared" si="7"/>
        <v>Por iniciar</v>
      </c>
    </row>
    <row r="158" spans="1:26">
      <c r="A158" s="20" t="str">
        <f t="shared" si="6"/>
        <v>INSTRUMENTPOCI45596</v>
      </c>
      <c r="B158" s="66"/>
      <c r="C158" s="60"/>
      <c r="D158" s="60"/>
      <c r="E158" s="60"/>
      <c r="F158" s="67"/>
      <c r="G158" s="60"/>
      <c r="H158" s="65" t="s">
        <v>126</v>
      </c>
      <c r="I158" s="21" t="s">
        <v>452</v>
      </c>
      <c r="J158" s="26">
        <f>+COUNTIF('ID1&amp;5'!G:G,'1. Status'!I158)</f>
        <v>0</v>
      </c>
      <c r="K158" s="83" t="str">
        <f>+IFERROR(VLOOKUP(CONCATENATE(A158,$B$10,B158),'ID1&amp;5'!B:J,8,FALSE),"-")</f>
        <v>-</v>
      </c>
      <c r="L158" s="82" t="str">
        <f>+IFERROR(VLOOKUP(B158,'ID1&amp;5'!K:L,2,FALSE),"-")</f>
        <v>-</v>
      </c>
      <c r="M158" s="83" t="str">
        <f>+IFERROR(VLOOKUP(CONCATENATE(A158,$B$10,B158),'ID1&amp;5'!B:J,9,FALSE),"-")</f>
        <v>-</v>
      </c>
      <c r="N158" s="83" t="str">
        <f>+IFERROR(VLOOKUP(CONCATENATE(A158,$C$10,C158),'ID1&amp;5'!B:J,8,FALSE),"-")</f>
        <v>-</v>
      </c>
      <c r="O158" s="82" t="str">
        <f>+IFERROR(VLOOKUP(C158,'ID1&amp;5'!K:L,2,FALSE),"-")</f>
        <v>-</v>
      </c>
      <c r="P158" s="83" t="str">
        <f>+IFERROR(VLOOKUP(CONCATENATE(A158,$C$10,C158),'ID1&amp;5'!B:J,9,FALSE),"-")</f>
        <v>-</v>
      </c>
      <c r="Q158" s="82" t="str">
        <f>+IFERROR(VLOOKUP(D158,'ID1&amp;5'!K:L,2,FALSE),"-")</f>
        <v>-</v>
      </c>
      <c r="R158" s="26" t="str">
        <f>+IFERROR(VLOOKUP(CONCATENATE(A158,$D$10,D158),'ID1&amp;5'!B:J,9,FALSE),"-")</f>
        <v>-</v>
      </c>
      <c r="S158" s="82" t="str">
        <f>+IFERROR(VLOOKUP(E158,'ID1&amp;5'!K:L,2,FALSE),"-")</f>
        <v>-</v>
      </c>
      <c r="T158" s="83" t="str">
        <f>+IFERROR(VLOOKUP(CONCATENATE(A158,$E$10,E158),'ID1&amp;5'!B:J,9,FALSE),"-")</f>
        <v>-</v>
      </c>
      <c r="U158" s="82" t="str">
        <f>+IFERROR(VLOOKUP(F158,'ID1&amp;5'!K:L,2,FALSE),"-")</f>
        <v>-</v>
      </c>
      <c r="V158" s="83" t="str">
        <f>+IFERROR(VLOOKUP(CONCATENATE(A158,$F$10,F158),'ID1&amp;5'!B:J,9,FALSE),"-")</f>
        <v>-</v>
      </c>
      <c r="W158" s="26" t="str">
        <f>+IFERROR(VLOOKUP(A158,'ID6&amp;7'!A:I,9,FALSE),"-")</f>
        <v>-</v>
      </c>
      <c r="X158" s="26" t="str">
        <f>+IFERROR(VLOOKUP(A158,'ID6&amp;7'!A:J,10,FALSE),"-")</f>
        <v>-</v>
      </c>
      <c r="Y158" s="26"/>
      <c r="Z158" s="27" t="str">
        <f t="shared" si="7"/>
        <v>Por iniciar</v>
      </c>
    </row>
    <row r="159" spans="1:26">
      <c r="A159" s="20" t="str">
        <f t="shared" si="6"/>
        <v>INSTRUMENTPRFRMNG_STTS45596</v>
      </c>
      <c r="B159" s="66"/>
      <c r="C159" s="60"/>
      <c r="D159" s="60"/>
      <c r="E159" s="60"/>
      <c r="F159" s="67"/>
      <c r="G159" s="60"/>
      <c r="H159" s="65" t="s">
        <v>126</v>
      </c>
      <c r="I159" s="21" t="s">
        <v>97</v>
      </c>
      <c r="J159" s="26">
        <f>+COUNTIF('ID1&amp;5'!G:G,'1. Status'!I159)</f>
        <v>0</v>
      </c>
      <c r="K159" s="83" t="str">
        <f>+IFERROR(VLOOKUP(CONCATENATE(A159,$B$10,B159),'ID1&amp;5'!B:J,8,FALSE),"-")</f>
        <v>-</v>
      </c>
      <c r="L159" s="82" t="str">
        <f>+IFERROR(VLOOKUP(B159,'ID1&amp;5'!K:L,2,FALSE),"-")</f>
        <v>-</v>
      </c>
      <c r="M159" s="83" t="str">
        <f>+IFERROR(VLOOKUP(CONCATENATE(A159,$B$10,B159),'ID1&amp;5'!B:J,9,FALSE),"-")</f>
        <v>-</v>
      </c>
      <c r="N159" s="83" t="str">
        <f>+IFERROR(VLOOKUP(CONCATENATE(A159,$C$10,C159),'ID1&amp;5'!B:J,8,FALSE),"-")</f>
        <v>-</v>
      </c>
      <c r="O159" s="82" t="str">
        <f>+IFERROR(VLOOKUP(C159,'ID1&amp;5'!K:L,2,FALSE),"-")</f>
        <v>-</v>
      </c>
      <c r="P159" s="83" t="str">
        <f>+IFERROR(VLOOKUP(CONCATENATE(A159,$C$10,C159),'ID1&amp;5'!B:J,9,FALSE),"-")</f>
        <v>-</v>
      </c>
      <c r="Q159" s="82" t="str">
        <f>+IFERROR(VLOOKUP(D159,'ID1&amp;5'!K:L,2,FALSE),"-")</f>
        <v>-</v>
      </c>
      <c r="R159" s="26" t="str">
        <f>+IFERROR(VLOOKUP(CONCATENATE(A159,$D$10,D159),'ID1&amp;5'!B:J,9,FALSE),"-")</f>
        <v>-</v>
      </c>
      <c r="S159" s="82" t="str">
        <f>+IFERROR(VLOOKUP(E159,'ID1&amp;5'!K:L,2,FALSE),"-")</f>
        <v>-</v>
      </c>
      <c r="T159" s="83" t="str">
        <f>+IFERROR(VLOOKUP(CONCATENATE(A159,$E$10,E159),'ID1&amp;5'!B:J,9,FALSE),"-")</f>
        <v>-</v>
      </c>
      <c r="U159" s="82" t="str">
        <f>+IFERROR(VLOOKUP(F159,'ID1&amp;5'!K:L,2,FALSE),"-")</f>
        <v>-</v>
      </c>
      <c r="V159" s="83" t="str">
        <f>+IFERROR(VLOOKUP(CONCATENATE(A159,$F$10,F159),'ID1&amp;5'!B:J,9,FALSE),"-")</f>
        <v>-</v>
      </c>
      <c r="W159" s="26" t="str">
        <f>+IFERROR(VLOOKUP(A159,'ID6&amp;7'!A:I,9,FALSE),"-")</f>
        <v>-</v>
      </c>
      <c r="X159" s="26" t="str">
        <f>+IFERROR(VLOOKUP(A159,'ID6&amp;7'!A:J,10,FALSE),"-")</f>
        <v>-</v>
      </c>
      <c r="Y159" s="26"/>
      <c r="Z159" s="27" t="str">
        <f t="shared" si="7"/>
        <v>Por iniciar</v>
      </c>
    </row>
    <row r="160" spans="1:26">
      <c r="A160" s="20" t="str">
        <f t="shared" si="6"/>
        <v>INSTRUMENTPRFRMNG_STTS_PRVS45596</v>
      </c>
      <c r="B160" s="66"/>
      <c r="C160" s="60"/>
      <c r="D160" s="60"/>
      <c r="E160" s="60"/>
      <c r="F160" s="67"/>
      <c r="G160" s="60"/>
      <c r="H160" s="65" t="s">
        <v>126</v>
      </c>
      <c r="I160" s="21" t="s">
        <v>453</v>
      </c>
      <c r="J160" s="26">
        <f>+COUNTIF('ID1&amp;5'!G:G,'1. Status'!I160)</f>
        <v>0</v>
      </c>
      <c r="K160" s="83" t="str">
        <f>+IFERROR(VLOOKUP(CONCATENATE(A160,$B$10,B160),'ID1&amp;5'!B:J,8,FALSE),"-")</f>
        <v>-</v>
      </c>
      <c r="L160" s="82" t="str">
        <f>+IFERROR(VLOOKUP(B160,'ID1&amp;5'!K:L,2,FALSE),"-")</f>
        <v>-</v>
      </c>
      <c r="M160" s="83" t="str">
        <f>+IFERROR(VLOOKUP(CONCATENATE(A160,$B$10,B160),'ID1&amp;5'!B:J,9,FALSE),"-")</f>
        <v>-</v>
      </c>
      <c r="N160" s="83" t="str">
        <f>+IFERROR(VLOOKUP(CONCATENATE(A160,$C$10,C160),'ID1&amp;5'!B:J,8,FALSE),"-")</f>
        <v>-</v>
      </c>
      <c r="O160" s="82" t="str">
        <f>+IFERROR(VLOOKUP(C160,'ID1&amp;5'!K:L,2,FALSE),"-")</f>
        <v>-</v>
      </c>
      <c r="P160" s="83" t="str">
        <f>+IFERROR(VLOOKUP(CONCATENATE(A160,$C$10,C160),'ID1&amp;5'!B:J,9,FALSE),"-")</f>
        <v>-</v>
      </c>
      <c r="Q160" s="82" t="str">
        <f>+IFERROR(VLOOKUP(D160,'ID1&amp;5'!K:L,2,FALSE),"-")</f>
        <v>-</v>
      </c>
      <c r="R160" s="26" t="str">
        <f>+IFERROR(VLOOKUP(CONCATENATE(A160,$D$10,D160),'ID1&amp;5'!B:J,9,FALSE),"-")</f>
        <v>-</v>
      </c>
      <c r="S160" s="82" t="str">
        <f>+IFERROR(VLOOKUP(E160,'ID1&amp;5'!K:L,2,FALSE),"-")</f>
        <v>-</v>
      </c>
      <c r="T160" s="83" t="str">
        <f>+IFERROR(VLOOKUP(CONCATENATE(A160,$E$10,E160),'ID1&amp;5'!B:J,9,FALSE),"-")</f>
        <v>-</v>
      </c>
      <c r="U160" s="82" t="str">
        <f>+IFERROR(VLOOKUP(F160,'ID1&amp;5'!K:L,2,FALSE),"-")</f>
        <v>-</v>
      </c>
      <c r="V160" s="83" t="str">
        <f>+IFERROR(VLOOKUP(CONCATENATE(A160,$F$10,F160),'ID1&amp;5'!B:J,9,FALSE),"-")</f>
        <v>-</v>
      </c>
      <c r="W160" s="26" t="str">
        <f>+IFERROR(VLOOKUP(A160,'ID6&amp;7'!A:I,9,FALSE),"-")</f>
        <v>-</v>
      </c>
      <c r="X160" s="26" t="str">
        <f>+IFERROR(VLOOKUP(A160,'ID6&amp;7'!A:J,10,FALSE),"-")</f>
        <v>-</v>
      </c>
      <c r="Y160" s="26"/>
      <c r="Z160" s="27" t="str">
        <f t="shared" si="7"/>
        <v>Por iniciar</v>
      </c>
    </row>
    <row r="161" spans="1:26">
      <c r="A161" s="20" t="str">
        <f t="shared" si="6"/>
        <v>INSTRUMENTPRJCT_FNNC_LN45596</v>
      </c>
      <c r="B161" s="66"/>
      <c r="C161" s="60"/>
      <c r="D161" s="60"/>
      <c r="E161" s="60"/>
      <c r="F161" s="67"/>
      <c r="G161" s="60"/>
      <c r="H161" s="65" t="s">
        <v>126</v>
      </c>
      <c r="I161" s="21" t="s">
        <v>98</v>
      </c>
      <c r="J161" s="26">
        <f>+COUNTIF('ID1&amp;5'!G:G,'1. Status'!I161)</f>
        <v>0</v>
      </c>
      <c r="K161" s="83" t="str">
        <f>+IFERROR(VLOOKUP(CONCATENATE(A161,$B$10,B161),'ID1&amp;5'!B:J,8,FALSE),"-")</f>
        <v>-</v>
      </c>
      <c r="L161" s="82" t="str">
        <f>+IFERROR(VLOOKUP(B161,'ID1&amp;5'!K:L,2,FALSE),"-")</f>
        <v>-</v>
      </c>
      <c r="M161" s="83" t="str">
        <f>+IFERROR(VLOOKUP(CONCATENATE(A161,$B$10,B161),'ID1&amp;5'!B:J,9,FALSE),"-")</f>
        <v>-</v>
      </c>
      <c r="N161" s="83" t="str">
        <f>+IFERROR(VLOOKUP(CONCATENATE(A161,$C$10,C161),'ID1&amp;5'!B:J,8,FALSE),"-")</f>
        <v>-</v>
      </c>
      <c r="O161" s="82" t="str">
        <f>+IFERROR(VLOOKUP(C161,'ID1&amp;5'!K:L,2,FALSE),"-")</f>
        <v>-</v>
      </c>
      <c r="P161" s="83" t="str">
        <f>+IFERROR(VLOOKUP(CONCATENATE(A161,$C$10,C161),'ID1&amp;5'!B:J,9,FALSE),"-")</f>
        <v>-</v>
      </c>
      <c r="Q161" s="82" t="str">
        <f>+IFERROR(VLOOKUP(D161,'ID1&amp;5'!K:L,2,FALSE),"-")</f>
        <v>-</v>
      </c>
      <c r="R161" s="26" t="str">
        <f>+IFERROR(VLOOKUP(CONCATENATE(A161,$D$10,D161),'ID1&amp;5'!B:J,9,FALSE),"-")</f>
        <v>-</v>
      </c>
      <c r="S161" s="82" t="str">
        <f>+IFERROR(VLOOKUP(E161,'ID1&amp;5'!K:L,2,FALSE),"-")</f>
        <v>-</v>
      </c>
      <c r="T161" s="83" t="str">
        <f>+IFERROR(VLOOKUP(CONCATENATE(A161,$E$10,E161),'ID1&amp;5'!B:J,9,FALSE),"-")</f>
        <v>-</v>
      </c>
      <c r="U161" s="82" t="str">
        <f>+IFERROR(VLOOKUP(F161,'ID1&amp;5'!K:L,2,FALSE),"-")</f>
        <v>-</v>
      </c>
      <c r="V161" s="83" t="str">
        <f>+IFERROR(VLOOKUP(CONCATENATE(A161,$F$10,F161),'ID1&amp;5'!B:J,9,FALSE),"-")</f>
        <v>-</v>
      </c>
      <c r="W161" s="26" t="str">
        <f>+IFERROR(VLOOKUP(A161,'ID6&amp;7'!A:I,9,FALSE),"-")</f>
        <v>-</v>
      </c>
      <c r="X161" s="26" t="str">
        <f>+IFERROR(VLOOKUP(A161,'ID6&amp;7'!A:J,10,FALSE),"-")</f>
        <v>-</v>
      </c>
      <c r="Y161" s="26"/>
      <c r="Z161" s="27" t="str">
        <f t="shared" si="7"/>
        <v>Por iniciar</v>
      </c>
    </row>
    <row r="162" spans="1:26">
      <c r="A162" s="20" t="str">
        <f t="shared" si="6"/>
        <v>INSTRUMENTPRPS45596</v>
      </c>
      <c r="B162" s="66"/>
      <c r="C162" s="60"/>
      <c r="D162" s="60"/>
      <c r="E162" s="60"/>
      <c r="F162" s="67"/>
      <c r="G162" s="60"/>
      <c r="H162" s="65" t="s">
        <v>126</v>
      </c>
      <c r="I162" s="21" t="s">
        <v>454</v>
      </c>
      <c r="J162" s="26">
        <f>+COUNTIF('ID1&amp;5'!G:G,'1. Status'!I162)</f>
        <v>0</v>
      </c>
      <c r="K162" s="83" t="str">
        <f>+IFERROR(VLOOKUP(CONCATENATE(A162,$B$10,B162),'ID1&amp;5'!B:J,8,FALSE),"-")</f>
        <v>-</v>
      </c>
      <c r="L162" s="82" t="str">
        <f>+IFERROR(VLOOKUP(B162,'ID1&amp;5'!K:L,2,FALSE),"-")</f>
        <v>-</v>
      </c>
      <c r="M162" s="83" t="str">
        <f>+IFERROR(VLOOKUP(CONCATENATE(A162,$B$10,B162),'ID1&amp;5'!B:J,9,FALSE),"-")</f>
        <v>-</v>
      </c>
      <c r="N162" s="83" t="str">
        <f>+IFERROR(VLOOKUP(CONCATENATE(A162,$C$10,C162),'ID1&amp;5'!B:J,8,FALSE),"-")</f>
        <v>-</v>
      </c>
      <c r="O162" s="82" t="str">
        <f>+IFERROR(VLOOKUP(C162,'ID1&amp;5'!K:L,2,FALSE),"-")</f>
        <v>-</v>
      </c>
      <c r="P162" s="83" t="str">
        <f>+IFERROR(VLOOKUP(CONCATENATE(A162,$C$10,C162),'ID1&amp;5'!B:J,9,FALSE),"-")</f>
        <v>-</v>
      </c>
      <c r="Q162" s="82" t="str">
        <f>+IFERROR(VLOOKUP(D162,'ID1&amp;5'!K:L,2,FALSE),"-")</f>
        <v>-</v>
      </c>
      <c r="R162" s="26" t="str">
        <f>+IFERROR(VLOOKUP(CONCATENATE(A162,$D$10,D162),'ID1&amp;5'!B:J,9,FALSE),"-")</f>
        <v>-</v>
      </c>
      <c r="S162" s="82" t="str">
        <f>+IFERROR(VLOOKUP(E162,'ID1&amp;5'!K:L,2,FALSE),"-")</f>
        <v>-</v>
      </c>
      <c r="T162" s="83" t="str">
        <f>+IFERROR(VLOOKUP(CONCATENATE(A162,$E$10,E162),'ID1&amp;5'!B:J,9,FALSE),"-")</f>
        <v>-</v>
      </c>
      <c r="U162" s="82" t="str">
        <f>+IFERROR(VLOOKUP(F162,'ID1&amp;5'!K:L,2,FALSE),"-")</f>
        <v>-</v>
      </c>
      <c r="V162" s="83" t="str">
        <f>+IFERROR(VLOOKUP(CONCATENATE(A162,$F$10,F162),'ID1&amp;5'!B:J,9,FALSE),"-")</f>
        <v>-</v>
      </c>
      <c r="W162" s="26" t="str">
        <f>+IFERROR(VLOOKUP(A162,'ID6&amp;7'!A:I,9,FALSE),"-")</f>
        <v>-</v>
      </c>
      <c r="X162" s="26" t="str">
        <f>+IFERROR(VLOOKUP(A162,'ID6&amp;7'!A:J,10,FALSE),"-")</f>
        <v>-</v>
      </c>
      <c r="Y162" s="26"/>
      <c r="Z162" s="27" t="str">
        <f t="shared" si="7"/>
        <v>Por iniciar</v>
      </c>
    </row>
    <row r="163" spans="1:26">
      <c r="A163" s="20" t="str">
        <f t="shared" si="6"/>
        <v>INSTRUMENTPYMNT_INTRST_ONLY45596</v>
      </c>
      <c r="B163" s="66"/>
      <c r="C163" s="60"/>
      <c r="D163" s="60"/>
      <c r="E163" s="60"/>
      <c r="F163" s="67"/>
      <c r="G163" s="60"/>
      <c r="H163" s="65" t="s">
        <v>126</v>
      </c>
      <c r="I163" s="21" t="s">
        <v>455</v>
      </c>
      <c r="J163" s="26">
        <f>+COUNTIF('ID1&amp;5'!G:G,'1. Status'!I163)</f>
        <v>0</v>
      </c>
      <c r="K163" s="83" t="str">
        <f>+IFERROR(VLOOKUP(CONCATENATE(A163,$B$10,B163),'ID1&amp;5'!B:J,8,FALSE),"-")</f>
        <v>-</v>
      </c>
      <c r="L163" s="82" t="str">
        <f>+IFERROR(VLOOKUP(B163,'ID1&amp;5'!K:L,2,FALSE),"-")</f>
        <v>-</v>
      </c>
      <c r="M163" s="83" t="str">
        <f>+IFERROR(VLOOKUP(CONCATENATE(A163,$B$10,B163),'ID1&amp;5'!B:J,9,FALSE),"-")</f>
        <v>-</v>
      </c>
      <c r="N163" s="83" t="str">
        <f>+IFERROR(VLOOKUP(CONCATENATE(A163,$C$10,C163),'ID1&amp;5'!B:J,8,FALSE),"-")</f>
        <v>-</v>
      </c>
      <c r="O163" s="82" t="str">
        <f>+IFERROR(VLOOKUP(C163,'ID1&amp;5'!K:L,2,FALSE),"-")</f>
        <v>-</v>
      </c>
      <c r="P163" s="83" t="str">
        <f>+IFERROR(VLOOKUP(CONCATENATE(A163,$C$10,C163),'ID1&amp;5'!B:J,9,FALSE),"-")</f>
        <v>-</v>
      </c>
      <c r="Q163" s="82" t="str">
        <f>+IFERROR(VLOOKUP(D163,'ID1&amp;5'!K:L,2,FALSE),"-")</f>
        <v>-</v>
      </c>
      <c r="R163" s="26" t="str">
        <f>+IFERROR(VLOOKUP(CONCATENATE(A163,$D$10,D163),'ID1&amp;5'!B:J,9,FALSE),"-")</f>
        <v>-</v>
      </c>
      <c r="S163" s="82" t="str">
        <f>+IFERROR(VLOOKUP(E163,'ID1&amp;5'!K:L,2,FALSE),"-")</f>
        <v>-</v>
      </c>
      <c r="T163" s="83" t="str">
        <f>+IFERROR(VLOOKUP(CONCATENATE(A163,$E$10,E163),'ID1&amp;5'!B:J,9,FALSE),"-")</f>
        <v>-</v>
      </c>
      <c r="U163" s="82" t="str">
        <f>+IFERROR(VLOOKUP(F163,'ID1&amp;5'!K:L,2,FALSE),"-")</f>
        <v>-</v>
      </c>
      <c r="V163" s="83" t="str">
        <f>+IFERROR(VLOOKUP(CONCATENATE(A163,$F$10,F163),'ID1&amp;5'!B:J,9,FALSE),"-")</f>
        <v>-</v>
      </c>
      <c r="W163" s="26" t="str">
        <f>+IFERROR(VLOOKUP(A163,'ID6&amp;7'!A:I,9,FALSE),"-")</f>
        <v>-</v>
      </c>
      <c r="X163" s="26" t="str">
        <f>+IFERROR(VLOOKUP(A163,'ID6&amp;7'!A:J,10,FALSE),"-")</f>
        <v>-</v>
      </c>
      <c r="Y163" s="26"/>
      <c r="Z163" s="27" t="str">
        <f t="shared" si="7"/>
        <v>Por iniciar</v>
      </c>
    </row>
    <row r="164" spans="1:26">
      <c r="A164" s="20" t="str">
        <f t="shared" si="6"/>
        <v>INSTRUMENTRCRS45596</v>
      </c>
      <c r="B164" s="66"/>
      <c r="C164" s="60"/>
      <c r="D164" s="60"/>
      <c r="E164" s="60"/>
      <c r="F164" s="67"/>
      <c r="G164" s="60"/>
      <c r="H164" s="65" t="s">
        <v>126</v>
      </c>
      <c r="I164" s="21" t="s">
        <v>456</v>
      </c>
      <c r="J164" s="26">
        <f>+COUNTIF('ID1&amp;5'!G:G,'1. Status'!I164)</f>
        <v>0</v>
      </c>
      <c r="K164" s="83" t="str">
        <f>+IFERROR(VLOOKUP(CONCATENATE(A164,$B$10,B164),'ID1&amp;5'!B:J,8,FALSE),"-")</f>
        <v>-</v>
      </c>
      <c r="L164" s="82" t="str">
        <f>+IFERROR(VLOOKUP(B164,'ID1&amp;5'!K:L,2,FALSE),"-")</f>
        <v>-</v>
      </c>
      <c r="M164" s="83" t="str">
        <f>+IFERROR(VLOOKUP(CONCATENATE(A164,$B$10,B164),'ID1&amp;5'!B:J,9,FALSE),"-")</f>
        <v>-</v>
      </c>
      <c r="N164" s="83" t="str">
        <f>+IFERROR(VLOOKUP(CONCATENATE(A164,$C$10,C164),'ID1&amp;5'!B:J,8,FALSE),"-")</f>
        <v>-</v>
      </c>
      <c r="O164" s="82" t="str">
        <f>+IFERROR(VLOOKUP(C164,'ID1&amp;5'!K:L,2,FALSE),"-")</f>
        <v>-</v>
      </c>
      <c r="P164" s="83" t="str">
        <f>+IFERROR(VLOOKUP(CONCATENATE(A164,$C$10,C164),'ID1&amp;5'!B:J,9,FALSE),"-")</f>
        <v>-</v>
      </c>
      <c r="Q164" s="82" t="str">
        <f>+IFERROR(VLOOKUP(D164,'ID1&amp;5'!K:L,2,FALSE),"-")</f>
        <v>-</v>
      </c>
      <c r="R164" s="26" t="str">
        <f>+IFERROR(VLOOKUP(CONCATENATE(A164,$D$10,D164),'ID1&amp;5'!B:J,9,FALSE),"-")</f>
        <v>-</v>
      </c>
      <c r="S164" s="82" t="str">
        <f>+IFERROR(VLOOKUP(E164,'ID1&amp;5'!K:L,2,FALSE),"-")</f>
        <v>-</v>
      </c>
      <c r="T164" s="83" t="str">
        <f>+IFERROR(VLOOKUP(CONCATENATE(A164,$E$10,E164),'ID1&amp;5'!B:J,9,FALSE),"-")</f>
        <v>-</v>
      </c>
      <c r="U164" s="82" t="str">
        <f>+IFERROR(VLOOKUP(F164,'ID1&amp;5'!K:L,2,FALSE),"-")</f>
        <v>-</v>
      </c>
      <c r="V164" s="83" t="str">
        <f>+IFERROR(VLOOKUP(CONCATENATE(A164,$F$10,F164),'ID1&amp;5'!B:J,9,FALSE),"-")</f>
        <v>-</v>
      </c>
      <c r="W164" s="26" t="str">
        <f>+IFERROR(VLOOKUP(A164,'ID6&amp;7'!A:I,9,FALSE),"-")</f>
        <v>-</v>
      </c>
      <c r="X164" s="26" t="str">
        <f>+IFERROR(VLOOKUP(A164,'ID6&amp;7'!A:J,10,FALSE),"-")</f>
        <v>-</v>
      </c>
      <c r="Y164" s="26"/>
      <c r="Z164" s="27" t="str">
        <f t="shared" si="7"/>
        <v>Por iniciar</v>
      </c>
    </row>
    <row r="165" spans="1:26">
      <c r="A165" s="20" t="str">
        <f t="shared" si="6"/>
        <v>INSTRUMENTRFNNC_PRPS45596</v>
      </c>
      <c r="B165" s="66"/>
      <c r="C165" s="60"/>
      <c r="D165" s="60"/>
      <c r="E165" s="60"/>
      <c r="F165" s="67"/>
      <c r="G165" s="60"/>
      <c r="H165" s="65" t="s">
        <v>126</v>
      </c>
      <c r="I165" s="21" t="s">
        <v>457</v>
      </c>
      <c r="J165" s="26">
        <f>+COUNTIF('ID1&amp;5'!G:G,'1. Status'!I165)</f>
        <v>0</v>
      </c>
      <c r="K165" s="83" t="str">
        <f>+IFERROR(VLOOKUP(CONCATENATE(A165,$B$10,B165),'ID1&amp;5'!B:J,8,FALSE),"-")</f>
        <v>-</v>
      </c>
      <c r="L165" s="82" t="str">
        <f>+IFERROR(VLOOKUP(B165,'ID1&amp;5'!K:L,2,FALSE),"-")</f>
        <v>-</v>
      </c>
      <c r="M165" s="83" t="str">
        <f>+IFERROR(VLOOKUP(CONCATENATE(A165,$B$10,B165),'ID1&amp;5'!B:J,9,FALSE),"-")</f>
        <v>-</v>
      </c>
      <c r="N165" s="83" t="str">
        <f>+IFERROR(VLOOKUP(CONCATENATE(A165,$C$10,C165),'ID1&amp;5'!B:J,8,FALSE),"-")</f>
        <v>-</v>
      </c>
      <c r="O165" s="82" t="str">
        <f>+IFERROR(VLOOKUP(C165,'ID1&amp;5'!K:L,2,FALSE),"-")</f>
        <v>-</v>
      </c>
      <c r="P165" s="83" t="str">
        <f>+IFERROR(VLOOKUP(CONCATENATE(A165,$C$10,C165),'ID1&amp;5'!B:J,9,FALSE),"-")</f>
        <v>-</v>
      </c>
      <c r="Q165" s="82" t="str">
        <f>+IFERROR(VLOOKUP(D165,'ID1&amp;5'!K:L,2,FALSE),"-")</f>
        <v>-</v>
      </c>
      <c r="R165" s="26" t="str">
        <f>+IFERROR(VLOOKUP(CONCATENATE(A165,$D$10,D165),'ID1&amp;5'!B:J,9,FALSE),"-")</f>
        <v>-</v>
      </c>
      <c r="S165" s="82" t="str">
        <f>+IFERROR(VLOOKUP(E165,'ID1&amp;5'!K:L,2,FALSE),"-")</f>
        <v>-</v>
      </c>
      <c r="T165" s="83" t="str">
        <f>+IFERROR(VLOOKUP(CONCATENATE(A165,$E$10,E165),'ID1&amp;5'!B:J,9,FALSE),"-")</f>
        <v>-</v>
      </c>
      <c r="U165" s="82" t="str">
        <f>+IFERROR(VLOOKUP(F165,'ID1&amp;5'!K:L,2,FALSE),"-")</f>
        <v>-</v>
      </c>
      <c r="V165" s="83" t="str">
        <f>+IFERROR(VLOOKUP(CONCATENATE(A165,$F$10,F165),'ID1&amp;5'!B:J,9,FALSE),"-")</f>
        <v>-</v>
      </c>
      <c r="W165" s="26" t="str">
        <f>+IFERROR(VLOOKUP(A165,'ID6&amp;7'!A:I,9,FALSE),"-")</f>
        <v>-</v>
      </c>
      <c r="X165" s="26" t="str">
        <f>+IFERROR(VLOOKUP(A165,'ID6&amp;7'!A:J,10,FALSE),"-")</f>
        <v>-</v>
      </c>
      <c r="Y165" s="26"/>
      <c r="Z165" s="27" t="str">
        <f t="shared" si="7"/>
        <v>Por iniciar</v>
      </c>
    </row>
    <row r="166" spans="1:26">
      <c r="A166" s="20" t="str">
        <f t="shared" si="6"/>
        <v>INSTRUMENTSPCLTV_LNDNG45596</v>
      </c>
      <c r="B166" s="66"/>
      <c r="C166" s="60"/>
      <c r="D166" s="60"/>
      <c r="E166" s="60"/>
      <c r="F166" s="67"/>
      <c r="G166" s="60"/>
      <c r="H166" s="65" t="s">
        <v>126</v>
      </c>
      <c r="I166" s="21" t="s">
        <v>458</v>
      </c>
      <c r="J166" s="26">
        <f>+COUNTIF('ID1&amp;5'!G:G,'1. Status'!I166)</f>
        <v>0</v>
      </c>
      <c r="K166" s="83" t="str">
        <f>+IFERROR(VLOOKUP(CONCATENATE(A166,$B$10,B166),'ID1&amp;5'!B:J,8,FALSE),"-")</f>
        <v>-</v>
      </c>
      <c r="L166" s="82" t="str">
        <f>+IFERROR(VLOOKUP(B166,'ID1&amp;5'!K:L,2,FALSE),"-")</f>
        <v>-</v>
      </c>
      <c r="M166" s="83" t="str">
        <f>+IFERROR(VLOOKUP(CONCATENATE(A166,$B$10,B166),'ID1&amp;5'!B:J,9,FALSE),"-")</f>
        <v>-</v>
      </c>
      <c r="N166" s="83" t="str">
        <f>+IFERROR(VLOOKUP(CONCATENATE(A166,$C$10,C166),'ID1&amp;5'!B:J,8,FALSE),"-")</f>
        <v>-</v>
      </c>
      <c r="O166" s="82" t="str">
        <f>+IFERROR(VLOOKUP(C166,'ID1&amp;5'!K:L,2,FALSE),"-")</f>
        <v>-</v>
      </c>
      <c r="P166" s="83" t="str">
        <f>+IFERROR(VLOOKUP(CONCATENATE(A166,$C$10,C166),'ID1&amp;5'!B:J,9,FALSE),"-")</f>
        <v>-</v>
      </c>
      <c r="Q166" s="82" t="str">
        <f>+IFERROR(VLOOKUP(D166,'ID1&amp;5'!K:L,2,FALSE),"-")</f>
        <v>-</v>
      </c>
      <c r="R166" s="26" t="str">
        <f>+IFERROR(VLOOKUP(CONCATENATE(A166,$D$10,D166),'ID1&amp;5'!B:J,9,FALSE),"-")</f>
        <v>-</v>
      </c>
      <c r="S166" s="82" t="str">
        <f>+IFERROR(VLOOKUP(E166,'ID1&amp;5'!K:L,2,FALSE),"-")</f>
        <v>-</v>
      </c>
      <c r="T166" s="83" t="str">
        <f>+IFERROR(VLOOKUP(CONCATENATE(A166,$E$10,E166),'ID1&amp;5'!B:J,9,FALSE),"-")</f>
        <v>-</v>
      </c>
      <c r="U166" s="82" t="str">
        <f>+IFERROR(VLOOKUP(F166,'ID1&amp;5'!K:L,2,FALSE),"-")</f>
        <v>-</v>
      </c>
      <c r="V166" s="83" t="str">
        <f>+IFERROR(VLOOKUP(CONCATENATE(A166,$F$10,F166),'ID1&amp;5'!B:J,9,FALSE),"-")</f>
        <v>-</v>
      </c>
      <c r="W166" s="26" t="str">
        <f>+IFERROR(VLOOKUP(A166,'ID6&amp;7'!A:I,9,FALSE),"-")</f>
        <v>-</v>
      </c>
      <c r="X166" s="26" t="str">
        <f>+IFERROR(VLOOKUP(A166,'ID6&amp;7'!A:J,10,FALSE),"-")</f>
        <v>-</v>
      </c>
      <c r="Y166" s="26"/>
      <c r="Z166" s="27" t="str">
        <f t="shared" si="7"/>
        <v>Por iniciar</v>
      </c>
    </row>
    <row r="167" spans="1:26">
      <c r="A167" s="20" t="str">
        <f t="shared" si="6"/>
        <v>INSTRUMENTSTTS_UNDRWRTTN_TRNSCTN45596</v>
      </c>
      <c r="B167" s="66"/>
      <c r="C167" s="60"/>
      <c r="D167" s="60"/>
      <c r="E167" s="60"/>
      <c r="F167" s="67"/>
      <c r="G167" s="60"/>
      <c r="H167" s="65" t="s">
        <v>126</v>
      </c>
      <c r="I167" s="21" t="s">
        <v>459</v>
      </c>
      <c r="J167" s="26">
        <f>+COUNTIF('ID1&amp;5'!G:G,'1. Status'!I167)</f>
        <v>0</v>
      </c>
      <c r="K167" s="83" t="str">
        <f>+IFERROR(VLOOKUP(CONCATENATE(A167,$B$10,B167),'ID1&amp;5'!B:J,8,FALSE),"-")</f>
        <v>-</v>
      </c>
      <c r="L167" s="82" t="str">
        <f>+IFERROR(VLOOKUP(B167,'ID1&amp;5'!K:L,2,FALSE),"-")</f>
        <v>-</v>
      </c>
      <c r="M167" s="83" t="str">
        <f>+IFERROR(VLOOKUP(CONCATENATE(A167,$B$10,B167),'ID1&amp;5'!B:J,9,FALSE),"-")</f>
        <v>-</v>
      </c>
      <c r="N167" s="83" t="str">
        <f>+IFERROR(VLOOKUP(CONCATENATE(A167,$C$10,C167),'ID1&amp;5'!B:J,8,FALSE),"-")</f>
        <v>-</v>
      </c>
      <c r="O167" s="82" t="str">
        <f>+IFERROR(VLOOKUP(C167,'ID1&amp;5'!K:L,2,FALSE),"-")</f>
        <v>-</v>
      </c>
      <c r="P167" s="83" t="str">
        <f>+IFERROR(VLOOKUP(CONCATENATE(A167,$C$10,C167),'ID1&amp;5'!B:J,9,FALSE),"-")</f>
        <v>-</v>
      </c>
      <c r="Q167" s="82" t="str">
        <f>+IFERROR(VLOOKUP(D167,'ID1&amp;5'!K:L,2,FALSE),"-")</f>
        <v>-</v>
      </c>
      <c r="R167" s="26" t="str">
        <f>+IFERROR(VLOOKUP(CONCATENATE(A167,$D$10,D167),'ID1&amp;5'!B:J,9,FALSE),"-")</f>
        <v>-</v>
      </c>
      <c r="S167" s="82" t="str">
        <f>+IFERROR(VLOOKUP(E167,'ID1&amp;5'!K:L,2,FALSE),"-")</f>
        <v>-</v>
      </c>
      <c r="T167" s="83" t="str">
        <f>+IFERROR(VLOOKUP(CONCATENATE(A167,$E$10,E167),'ID1&amp;5'!B:J,9,FALSE),"-")</f>
        <v>-</v>
      </c>
      <c r="U167" s="82" t="str">
        <f>+IFERROR(VLOOKUP(F167,'ID1&amp;5'!K:L,2,FALSE),"-")</f>
        <v>-</v>
      </c>
      <c r="V167" s="83" t="str">
        <f>+IFERROR(VLOOKUP(CONCATENATE(A167,$F$10,F167),'ID1&amp;5'!B:J,9,FALSE),"-")</f>
        <v>-</v>
      </c>
      <c r="W167" s="26" t="str">
        <f>+IFERROR(VLOOKUP(A167,'ID6&amp;7'!A:I,9,FALSE),"-")</f>
        <v>-</v>
      </c>
      <c r="X167" s="26" t="str">
        <f>+IFERROR(VLOOKUP(A167,'ID6&amp;7'!A:J,10,FALSE),"-")</f>
        <v>-</v>
      </c>
      <c r="Y167" s="26"/>
      <c r="Z167" s="27" t="str">
        <f t="shared" si="7"/>
        <v>Por iniciar</v>
      </c>
    </row>
    <row r="168" spans="1:26">
      <c r="A168" s="20" t="str">
        <f t="shared" si="6"/>
        <v>INSTRUMENTTRNCH45596</v>
      </c>
      <c r="B168" s="66"/>
      <c r="C168" s="60"/>
      <c r="D168" s="60"/>
      <c r="E168" s="60"/>
      <c r="F168" s="67"/>
      <c r="G168" s="60"/>
      <c r="H168" s="65" t="s">
        <v>126</v>
      </c>
      <c r="I168" s="21" t="s">
        <v>460</v>
      </c>
      <c r="J168" s="26">
        <f>+COUNTIF('ID1&amp;5'!G:G,'1. Status'!I168)</f>
        <v>0</v>
      </c>
      <c r="K168" s="83" t="str">
        <f>+IFERROR(VLOOKUP(CONCATENATE(A168,$B$10,B168),'ID1&amp;5'!B:J,8,FALSE),"-")</f>
        <v>-</v>
      </c>
      <c r="L168" s="82" t="str">
        <f>+IFERROR(VLOOKUP(B168,'ID1&amp;5'!K:L,2,FALSE),"-")</f>
        <v>-</v>
      </c>
      <c r="M168" s="83" t="str">
        <f>+IFERROR(VLOOKUP(CONCATENATE(A168,$B$10,B168),'ID1&amp;5'!B:J,9,FALSE),"-")</f>
        <v>-</v>
      </c>
      <c r="N168" s="83" t="str">
        <f>+IFERROR(VLOOKUP(CONCATENATE(A168,$C$10,C168),'ID1&amp;5'!B:J,8,FALSE),"-")</f>
        <v>-</v>
      </c>
      <c r="O168" s="82" t="str">
        <f>+IFERROR(VLOOKUP(C168,'ID1&amp;5'!K:L,2,FALSE),"-")</f>
        <v>-</v>
      </c>
      <c r="P168" s="83" t="str">
        <f>+IFERROR(VLOOKUP(CONCATENATE(A168,$C$10,C168),'ID1&amp;5'!B:J,9,FALSE),"-")</f>
        <v>-</v>
      </c>
      <c r="Q168" s="82" t="str">
        <f>+IFERROR(VLOOKUP(D168,'ID1&amp;5'!K:L,2,FALSE),"-")</f>
        <v>-</v>
      </c>
      <c r="R168" s="26" t="str">
        <f>+IFERROR(VLOOKUP(CONCATENATE(A168,$D$10,D168),'ID1&amp;5'!B:J,9,FALSE),"-")</f>
        <v>-</v>
      </c>
      <c r="S168" s="82" t="str">
        <f>+IFERROR(VLOOKUP(E168,'ID1&amp;5'!K:L,2,FALSE),"-")</f>
        <v>-</v>
      </c>
      <c r="T168" s="83" t="str">
        <f>+IFERROR(VLOOKUP(CONCATENATE(A168,$E$10,E168),'ID1&amp;5'!B:J,9,FALSE),"-")</f>
        <v>-</v>
      </c>
      <c r="U168" s="82" t="str">
        <f>+IFERROR(VLOOKUP(F168,'ID1&amp;5'!K:L,2,FALSE),"-")</f>
        <v>-</v>
      </c>
      <c r="V168" s="83" t="str">
        <f>+IFERROR(VLOOKUP(CONCATENATE(A168,$F$10,F168),'ID1&amp;5'!B:J,9,FALSE),"-")</f>
        <v>-</v>
      </c>
      <c r="W168" s="26" t="str">
        <f>+IFERROR(VLOOKUP(A168,'ID6&amp;7'!A:I,9,FALSE),"-")</f>
        <v>-</v>
      </c>
      <c r="X168" s="26" t="str">
        <f>+IFERROR(VLOOKUP(A168,'ID6&amp;7'!A:J,10,FALSE),"-")</f>
        <v>-</v>
      </c>
      <c r="Y168" s="26"/>
      <c r="Z168" s="27" t="str">
        <f t="shared" si="7"/>
        <v>Por iniciar</v>
      </c>
    </row>
    <row r="169" spans="1:26">
      <c r="A169" s="20" t="str">
        <f t="shared" si="6"/>
        <v>INSTRUMENTTYP_AMRTSTN45596</v>
      </c>
      <c r="B169" s="66"/>
      <c r="C169" s="60"/>
      <c r="D169" s="60"/>
      <c r="E169" s="60"/>
      <c r="F169" s="67"/>
      <c r="G169" s="60"/>
      <c r="H169" s="65" t="s">
        <v>126</v>
      </c>
      <c r="I169" s="21" t="s">
        <v>461</v>
      </c>
      <c r="J169" s="26">
        <f>+COUNTIF('ID1&amp;5'!G:G,'1. Status'!I169)</f>
        <v>0</v>
      </c>
      <c r="K169" s="83" t="str">
        <f>+IFERROR(VLOOKUP(CONCATENATE(A169,$B$10,B169),'ID1&amp;5'!B:J,8,FALSE),"-")</f>
        <v>-</v>
      </c>
      <c r="L169" s="82" t="str">
        <f>+IFERROR(VLOOKUP(B169,'ID1&amp;5'!K:L,2,FALSE),"-")</f>
        <v>-</v>
      </c>
      <c r="M169" s="83" t="str">
        <f>+IFERROR(VLOOKUP(CONCATENATE(A169,$B$10,B169),'ID1&amp;5'!B:J,9,FALSE),"-")</f>
        <v>-</v>
      </c>
      <c r="N169" s="83" t="str">
        <f>+IFERROR(VLOOKUP(CONCATENATE(A169,$C$10,C169),'ID1&amp;5'!B:J,8,FALSE),"-")</f>
        <v>-</v>
      </c>
      <c r="O169" s="82" t="str">
        <f>+IFERROR(VLOOKUP(C169,'ID1&amp;5'!K:L,2,FALSE),"-")</f>
        <v>-</v>
      </c>
      <c r="P169" s="83" t="str">
        <f>+IFERROR(VLOOKUP(CONCATENATE(A169,$C$10,C169),'ID1&amp;5'!B:J,9,FALSE),"-")</f>
        <v>-</v>
      </c>
      <c r="Q169" s="82" t="str">
        <f>+IFERROR(VLOOKUP(D169,'ID1&amp;5'!K:L,2,FALSE),"-")</f>
        <v>-</v>
      </c>
      <c r="R169" s="26" t="str">
        <f>+IFERROR(VLOOKUP(CONCATENATE(A169,$D$10,D169),'ID1&amp;5'!B:J,9,FALSE),"-")</f>
        <v>-</v>
      </c>
      <c r="S169" s="82" t="str">
        <f>+IFERROR(VLOOKUP(E169,'ID1&amp;5'!K:L,2,FALSE),"-")</f>
        <v>-</v>
      </c>
      <c r="T169" s="83" t="str">
        <f>+IFERROR(VLOOKUP(CONCATENATE(A169,$E$10,E169),'ID1&amp;5'!B:J,9,FALSE),"-")</f>
        <v>-</v>
      </c>
      <c r="U169" s="82" t="str">
        <f>+IFERROR(VLOOKUP(F169,'ID1&amp;5'!K:L,2,FALSE),"-")</f>
        <v>-</v>
      </c>
      <c r="V169" s="83" t="str">
        <f>+IFERROR(VLOOKUP(CONCATENATE(A169,$F$10,F169),'ID1&amp;5'!B:J,9,FALSE),"-")</f>
        <v>-</v>
      </c>
      <c r="W169" s="26" t="str">
        <f>+IFERROR(VLOOKUP(A169,'ID6&amp;7'!A:I,9,FALSE),"-")</f>
        <v>-</v>
      </c>
      <c r="X169" s="26" t="str">
        <f>+IFERROR(VLOOKUP(A169,'ID6&amp;7'!A:J,10,FALSE),"-")</f>
        <v>-</v>
      </c>
      <c r="Y169" s="26"/>
      <c r="Z169" s="27" t="str">
        <f t="shared" si="7"/>
        <v>Por iniciar</v>
      </c>
    </row>
    <row r="170" spans="1:26">
      <c r="A170" s="20" t="str">
        <f t="shared" si="6"/>
        <v>INSTRUMENTTYP_INSTRMNT45596</v>
      </c>
      <c r="B170" s="66"/>
      <c r="C170" s="60"/>
      <c r="D170" s="60"/>
      <c r="E170" s="60"/>
      <c r="F170" s="67"/>
      <c r="G170" s="60"/>
      <c r="H170" s="65" t="s">
        <v>126</v>
      </c>
      <c r="I170" s="21" t="s">
        <v>99</v>
      </c>
      <c r="J170" s="26">
        <f>+COUNTIF('ID1&amp;5'!G:G,'1. Status'!I170)</f>
        <v>0</v>
      </c>
      <c r="K170" s="83" t="str">
        <f>+IFERROR(VLOOKUP(CONCATENATE(A170,$B$10,B170),'ID1&amp;5'!B:J,8,FALSE),"-")</f>
        <v>-</v>
      </c>
      <c r="L170" s="82" t="str">
        <f>+IFERROR(VLOOKUP(B170,'ID1&amp;5'!K:L,2,FALSE),"-")</f>
        <v>-</v>
      </c>
      <c r="M170" s="83" t="str">
        <f>+IFERROR(VLOOKUP(CONCATENATE(A170,$B$10,B170),'ID1&amp;5'!B:J,9,FALSE),"-")</f>
        <v>-</v>
      </c>
      <c r="N170" s="83" t="str">
        <f>+IFERROR(VLOOKUP(CONCATENATE(A170,$C$10,C170),'ID1&amp;5'!B:J,8,FALSE),"-")</f>
        <v>-</v>
      </c>
      <c r="O170" s="82" t="str">
        <f>+IFERROR(VLOOKUP(C170,'ID1&amp;5'!K:L,2,FALSE),"-")</f>
        <v>-</v>
      </c>
      <c r="P170" s="83" t="str">
        <f>+IFERROR(VLOOKUP(CONCATENATE(A170,$C$10,C170),'ID1&amp;5'!B:J,9,FALSE),"-")</f>
        <v>-</v>
      </c>
      <c r="Q170" s="82" t="str">
        <f>+IFERROR(VLOOKUP(D170,'ID1&amp;5'!K:L,2,FALSE),"-")</f>
        <v>-</v>
      </c>
      <c r="R170" s="26" t="str">
        <f>+IFERROR(VLOOKUP(CONCATENATE(A170,$D$10,D170),'ID1&amp;5'!B:J,9,FALSE),"-")</f>
        <v>-</v>
      </c>
      <c r="S170" s="82" t="str">
        <f>+IFERROR(VLOOKUP(E170,'ID1&amp;5'!K:L,2,FALSE),"-")</f>
        <v>-</v>
      </c>
      <c r="T170" s="83" t="str">
        <f>+IFERROR(VLOOKUP(CONCATENATE(A170,$E$10,E170),'ID1&amp;5'!B:J,9,FALSE),"-")</f>
        <v>-</v>
      </c>
      <c r="U170" s="82" t="str">
        <f>+IFERROR(VLOOKUP(F170,'ID1&amp;5'!K:L,2,FALSE),"-")</f>
        <v>-</v>
      </c>
      <c r="V170" s="83" t="str">
        <f>+IFERROR(VLOOKUP(CONCATENATE(A170,$F$10,F170),'ID1&amp;5'!B:J,9,FALSE),"-")</f>
        <v>-</v>
      </c>
      <c r="W170" s="26" t="str">
        <f>+IFERROR(VLOOKUP(A170,'ID6&amp;7'!A:I,9,FALSE),"-")</f>
        <v>-</v>
      </c>
      <c r="X170" s="26" t="str">
        <f>+IFERROR(VLOOKUP(A170,'ID6&amp;7'!A:J,10,FALSE),"-")</f>
        <v>-</v>
      </c>
      <c r="Y170" s="26"/>
      <c r="Z170" s="27" t="str">
        <f t="shared" si="7"/>
        <v>Por iniciar</v>
      </c>
    </row>
    <row r="171" spans="1:26">
      <c r="A171" s="20" t="str">
        <f t="shared" si="6"/>
        <v>INSTRUMENTTYP_INTRST_RT45596</v>
      </c>
      <c r="B171" s="66"/>
      <c r="C171" s="60"/>
      <c r="D171" s="60"/>
      <c r="E171" s="60"/>
      <c r="F171" s="67"/>
      <c r="G171" s="60"/>
      <c r="H171" s="65" t="s">
        <v>126</v>
      </c>
      <c r="I171" s="21" t="s">
        <v>462</v>
      </c>
      <c r="J171" s="26">
        <f>+COUNTIF('ID1&amp;5'!G:G,'1. Status'!I171)</f>
        <v>0</v>
      </c>
      <c r="K171" s="83" t="str">
        <f>+IFERROR(VLOOKUP(CONCATENATE(A171,$B$10,B171),'ID1&amp;5'!B:J,8,FALSE),"-")</f>
        <v>-</v>
      </c>
      <c r="L171" s="82" t="str">
        <f>+IFERROR(VLOOKUP(B171,'ID1&amp;5'!K:L,2,FALSE),"-")</f>
        <v>-</v>
      </c>
      <c r="M171" s="83" t="str">
        <f>+IFERROR(VLOOKUP(CONCATENATE(A171,$B$10,B171),'ID1&amp;5'!B:J,9,FALSE),"-")</f>
        <v>-</v>
      </c>
      <c r="N171" s="83" t="str">
        <f>+IFERROR(VLOOKUP(CONCATENATE(A171,$C$10,C171),'ID1&amp;5'!B:J,8,FALSE),"-")</f>
        <v>-</v>
      </c>
      <c r="O171" s="82" t="str">
        <f>+IFERROR(VLOOKUP(C171,'ID1&amp;5'!K:L,2,FALSE),"-")</f>
        <v>-</v>
      </c>
      <c r="P171" s="83" t="str">
        <f>+IFERROR(VLOOKUP(CONCATENATE(A171,$C$10,C171),'ID1&amp;5'!B:J,9,FALSE),"-")</f>
        <v>-</v>
      </c>
      <c r="Q171" s="82" t="str">
        <f>+IFERROR(VLOOKUP(D171,'ID1&amp;5'!K:L,2,FALSE),"-")</f>
        <v>-</v>
      </c>
      <c r="R171" s="26" t="str">
        <f>+IFERROR(VLOOKUP(CONCATENATE(A171,$D$10,D171),'ID1&amp;5'!B:J,9,FALSE),"-")</f>
        <v>-</v>
      </c>
      <c r="S171" s="82" t="str">
        <f>+IFERROR(VLOOKUP(E171,'ID1&amp;5'!K:L,2,FALSE),"-")</f>
        <v>-</v>
      </c>
      <c r="T171" s="83" t="str">
        <f>+IFERROR(VLOOKUP(CONCATENATE(A171,$E$10,E171),'ID1&amp;5'!B:J,9,FALSE),"-")</f>
        <v>-</v>
      </c>
      <c r="U171" s="82" t="str">
        <f>+IFERROR(VLOOKUP(F171,'ID1&amp;5'!K:L,2,FALSE),"-")</f>
        <v>-</v>
      </c>
      <c r="V171" s="83" t="str">
        <f>+IFERROR(VLOOKUP(CONCATENATE(A171,$F$10,F171),'ID1&amp;5'!B:J,9,FALSE),"-")</f>
        <v>-</v>
      </c>
      <c r="W171" s="26" t="str">
        <f>+IFERROR(VLOOKUP(A171,'ID6&amp;7'!A:I,9,FALSE),"-")</f>
        <v>-</v>
      </c>
      <c r="X171" s="26" t="str">
        <f>+IFERROR(VLOOKUP(A171,'ID6&amp;7'!A:J,10,FALSE),"-")</f>
        <v>-</v>
      </c>
      <c r="Y171" s="26"/>
      <c r="Z171" s="27" t="str">
        <f t="shared" si="7"/>
        <v>Por iniciar</v>
      </c>
    </row>
    <row r="172" spans="1:26">
      <c r="A172" s="20" t="str">
        <f t="shared" si="6"/>
        <v>INSTRUMENTTYP_MRTGG45596</v>
      </c>
      <c r="B172" s="66"/>
      <c r="C172" s="60"/>
      <c r="D172" s="60"/>
      <c r="E172" s="60"/>
      <c r="F172" s="67"/>
      <c r="G172" s="60"/>
      <c r="H172" s="65" t="s">
        <v>126</v>
      </c>
      <c r="I172" s="21" t="s">
        <v>463</v>
      </c>
      <c r="J172" s="26">
        <f>+COUNTIF('ID1&amp;5'!G:G,'1. Status'!I172)</f>
        <v>0</v>
      </c>
      <c r="K172" s="83" t="str">
        <f>+IFERROR(VLOOKUP(CONCATENATE(A172,$B$10,B172),'ID1&amp;5'!B:J,8,FALSE),"-")</f>
        <v>-</v>
      </c>
      <c r="L172" s="82" t="str">
        <f>+IFERROR(VLOOKUP(B172,'ID1&amp;5'!K:L,2,FALSE),"-")</f>
        <v>-</v>
      </c>
      <c r="M172" s="83" t="str">
        <f>+IFERROR(VLOOKUP(CONCATENATE(A172,$B$10,B172),'ID1&amp;5'!B:J,9,FALSE),"-")</f>
        <v>-</v>
      </c>
      <c r="N172" s="83" t="str">
        <f>+IFERROR(VLOOKUP(CONCATENATE(A172,$C$10,C172),'ID1&amp;5'!B:J,8,FALSE),"-")</f>
        <v>-</v>
      </c>
      <c r="O172" s="82" t="str">
        <f>+IFERROR(VLOOKUP(C172,'ID1&amp;5'!K:L,2,FALSE),"-")</f>
        <v>-</v>
      </c>
      <c r="P172" s="83" t="str">
        <f>+IFERROR(VLOOKUP(CONCATENATE(A172,$C$10,C172),'ID1&amp;5'!B:J,9,FALSE),"-")</f>
        <v>-</v>
      </c>
      <c r="Q172" s="82" t="str">
        <f>+IFERROR(VLOOKUP(D172,'ID1&amp;5'!K:L,2,FALSE),"-")</f>
        <v>-</v>
      </c>
      <c r="R172" s="26" t="str">
        <f>+IFERROR(VLOOKUP(CONCATENATE(A172,$D$10,D172),'ID1&amp;5'!B:J,9,FALSE),"-")</f>
        <v>-</v>
      </c>
      <c r="S172" s="82" t="str">
        <f>+IFERROR(VLOOKUP(E172,'ID1&amp;5'!K:L,2,FALSE),"-")</f>
        <v>-</v>
      </c>
      <c r="T172" s="83" t="str">
        <f>+IFERROR(VLOOKUP(CONCATENATE(A172,$E$10,E172),'ID1&amp;5'!B:J,9,FALSE),"-")</f>
        <v>-</v>
      </c>
      <c r="U172" s="82" t="str">
        <f>+IFERROR(VLOOKUP(F172,'ID1&amp;5'!K:L,2,FALSE),"-")</f>
        <v>-</v>
      </c>
      <c r="V172" s="83" t="str">
        <f>+IFERROR(VLOOKUP(CONCATENATE(A172,$F$10,F172),'ID1&amp;5'!B:J,9,FALSE),"-")</f>
        <v>-</v>
      </c>
      <c r="W172" s="26" t="str">
        <f>+IFERROR(VLOOKUP(A172,'ID6&amp;7'!A:I,9,FALSE),"-")</f>
        <v>-</v>
      </c>
      <c r="X172" s="26" t="str">
        <f>+IFERROR(VLOOKUP(A172,'ID6&amp;7'!A:J,10,FALSE),"-")</f>
        <v>-</v>
      </c>
      <c r="Y172" s="26"/>
      <c r="Z172" s="27" t="str">
        <f t="shared" si="7"/>
        <v>Por iniciar</v>
      </c>
    </row>
    <row r="173" spans="1:26">
      <c r="A173" s="20" t="str">
        <f t="shared" si="6"/>
        <v>INSTRUMENTTYP_CRE_OPRTN45596</v>
      </c>
      <c r="B173" s="66"/>
      <c r="C173" s="60"/>
      <c r="D173" s="60"/>
      <c r="E173" s="60"/>
      <c r="F173" s="67"/>
      <c r="G173" s="60"/>
      <c r="H173" s="65" t="s">
        <v>126</v>
      </c>
      <c r="I173" s="21" t="s">
        <v>464</v>
      </c>
      <c r="J173" s="26">
        <f>+COUNTIF('ID1&amp;5'!G:G,'1. Status'!I173)</f>
        <v>0</v>
      </c>
      <c r="K173" s="83" t="str">
        <f>+IFERROR(VLOOKUP(CONCATENATE(A173,$B$10,B173),'ID1&amp;5'!B:J,8,FALSE),"-")</f>
        <v>-</v>
      </c>
      <c r="L173" s="82" t="str">
        <f>+IFERROR(VLOOKUP(B173,'ID1&amp;5'!K:L,2,FALSE),"-")</f>
        <v>-</v>
      </c>
      <c r="M173" s="83" t="str">
        <f>+IFERROR(VLOOKUP(CONCATENATE(A173,$B$10,B173),'ID1&amp;5'!B:J,9,FALSE),"-")</f>
        <v>-</v>
      </c>
      <c r="N173" s="83" t="str">
        <f>+IFERROR(VLOOKUP(CONCATENATE(A173,$C$10,C173),'ID1&amp;5'!B:J,8,FALSE),"-")</f>
        <v>-</v>
      </c>
      <c r="O173" s="82" t="str">
        <f>+IFERROR(VLOOKUP(C173,'ID1&amp;5'!K:L,2,FALSE),"-")</f>
        <v>-</v>
      </c>
      <c r="P173" s="83" t="str">
        <f>+IFERROR(VLOOKUP(CONCATENATE(A173,$C$10,C173),'ID1&amp;5'!B:J,9,FALSE),"-")</f>
        <v>-</v>
      </c>
      <c r="Q173" s="82" t="str">
        <f>+IFERROR(VLOOKUP(D173,'ID1&amp;5'!K:L,2,FALSE),"-")</f>
        <v>-</v>
      </c>
      <c r="R173" s="26" t="str">
        <f>+IFERROR(VLOOKUP(CONCATENATE(A173,$D$10,D173),'ID1&amp;5'!B:J,9,FALSE),"-")</f>
        <v>-</v>
      </c>
      <c r="S173" s="82" t="str">
        <f>+IFERROR(VLOOKUP(E173,'ID1&amp;5'!K:L,2,FALSE),"-")</f>
        <v>-</v>
      </c>
      <c r="T173" s="83" t="str">
        <f>+IFERROR(VLOOKUP(CONCATENATE(A173,$E$10,E173),'ID1&amp;5'!B:J,9,FALSE),"-")</f>
        <v>-</v>
      </c>
      <c r="U173" s="82" t="str">
        <f>+IFERROR(VLOOKUP(F173,'ID1&amp;5'!K:L,2,FALSE),"-")</f>
        <v>-</v>
      </c>
      <c r="V173" s="83" t="str">
        <f>+IFERROR(VLOOKUP(CONCATENATE(A173,$F$10,F173),'ID1&amp;5'!B:J,9,FALSE),"-")</f>
        <v>-</v>
      </c>
      <c r="W173" s="26" t="str">
        <f>+IFERROR(VLOOKUP(A173,'ID6&amp;7'!A:I,9,FALSE),"-")</f>
        <v>-</v>
      </c>
      <c r="X173" s="26" t="str">
        <f>+IFERROR(VLOOKUP(A173,'ID6&amp;7'!A:J,10,FALSE),"-")</f>
        <v>-</v>
      </c>
      <c r="Y173" s="26"/>
      <c r="Z173" s="27" t="str">
        <f t="shared" si="7"/>
        <v>Por iniciar</v>
      </c>
    </row>
    <row r="174" spans="1:26">
      <c r="A174" s="20" t="str">
        <f t="shared" si="6"/>
        <v>INSTRUMENTDT_STRT_GP_PPAL45596</v>
      </c>
      <c r="B174" s="66"/>
      <c r="C174" s="60"/>
      <c r="D174" s="60"/>
      <c r="E174" s="60"/>
      <c r="F174" s="67"/>
      <c r="G174" s="60"/>
      <c r="H174" s="65" t="s">
        <v>126</v>
      </c>
      <c r="I174" s="21" t="s">
        <v>465</v>
      </c>
      <c r="J174" s="26">
        <f>+COUNTIF('ID1&amp;5'!G:G,'1. Status'!I174)</f>
        <v>0</v>
      </c>
      <c r="K174" s="83" t="str">
        <f>+IFERROR(VLOOKUP(CONCATENATE(A174,$B$10,B174),'ID1&amp;5'!B:J,8,FALSE),"-")</f>
        <v>-</v>
      </c>
      <c r="L174" s="82" t="str">
        <f>+IFERROR(VLOOKUP(B174,'ID1&amp;5'!K:L,2,FALSE),"-")</f>
        <v>-</v>
      </c>
      <c r="M174" s="83" t="str">
        <f>+IFERROR(VLOOKUP(CONCATENATE(A174,$B$10,B174),'ID1&amp;5'!B:J,9,FALSE),"-")</f>
        <v>-</v>
      </c>
      <c r="N174" s="83" t="str">
        <f>+IFERROR(VLOOKUP(CONCATENATE(A174,$C$10,C174),'ID1&amp;5'!B:J,8,FALSE),"-")</f>
        <v>-</v>
      </c>
      <c r="O174" s="82" t="str">
        <f>+IFERROR(VLOOKUP(C174,'ID1&amp;5'!K:L,2,FALSE),"-")</f>
        <v>-</v>
      </c>
      <c r="P174" s="83" t="str">
        <f>+IFERROR(VLOOKUP(CONCATENATE(A174,$C$10,C174),'ID1&amp;5'!B:J,9,FALSE),"-")</f>
        <v>-</v>
      </c>
      <c r="Q174" s="82" t="str">
        <f>+IFERROR(VLOOKUP(D174,'ID1&amp;5'!K:L,2,FALSE),"-")</f>
        <v>-</v>
      </c>
      <c r="R174" s="26" t="str">
        <f>+IFERROR(VLOOKUP(CONCATENATE(A174,$D$10,D174),'ID1&amp;5'!B:J,9,FALSE),"-")</f>
        <v>-</v>
      </c>
      <c r="S174" s="82" t="str">
        <f>+IFERROR(VLOOKUP(E174,'ID1&amp;5'!K:L,2,FALSE),"-")</f>
        <v>-</v>
      </c>
      <c r="T174" s="83" t="str">
        <f>+IFERROR(VLOOKUP(CONCATENATE(A174,$E$10,E174),'ID1&amp;5'!B:J,9,FALSE),"-")</f>
        <v>-</v>
      </c>
      <c r="U174" s="82" t="str">
        <f>+IFERROR(VLOOKUP(F174,'ID1&amp;5'!K:L,2,FALSE),"-")</f>
        <v>-</v>
      </c>
      <c r="V174" s="83" t="str">
        <f>+IFERROR(VLOOKUP(CONCATENATE(A174,$F$10,F174),'ID1&amp;5'!B:J,9,FALSE),"-")</f>
        <v>-</v>
      </c>
      <c r="W174" s="26" t="str">
        <f>+IFERROR(VLOOKUP(A174,'ID6&amp;7'!A:I,9,FALSE),"-")</f>
        <v>-</v>
      </c>
      <c r="X174" s="26" t="str">
        <f>+IFERROR(VLOOKUP(A174,'ID6&amp;7'!A:J,10,FALSE),"-")</f>
        <v>-</v>
      </c>
      <c r="Y174" s="26"/>
      <c r="Z174" s="27" t="str">
        <f t="shared" si="7"/>
        <v>Por iniciar</v>
      </c>
    </row>
    <row r="175" spans="1:26">
      <c r="A175" s="20" t="str">
        <f t="shared" si="6"/>
        <v>INSTRUMENTGRSS_CRRYNG_AMNT_INSTRMNT45596</v>
      </c>
      <c r="B175" s="66"/>
      <c r="C175" s="60"/>
      <c r="D175" s="60"/>
      <c r="E175" s="60"/>
      <c r="F175" s="67"/>
      <c r="G175" s="60"/>
      <c r="H175" s="65" t="s">
        <v>126</v>
      </c>
      <c r="I175" s="21" t="s">
        <v>100</v>
      </c>
      <c r="J175" s="26">
        <f>+COUNTIF('ID1&amp;5'!G:G,'1. Status'!I175)</f>
        <v>0</v>
      </c>
      <c r="K175" s="83" t="str">
        <f>+IFERROR(VLOOKUP(CONCATENATE(A175,$B$10,B175),'ID1&amp;5'!B:J,8,FALSE),"-")</f>
        <v>-</v>
      </c>
      <c r="L175" s="82" t="str">
        <f>+IFERROR(VLOOKUP(B175,'ID1&amp;5'!K:L,2,FALSE),"-")</f>
        <v>-</v>
      </c>
      <c r="M175" s="83" t="str">
        <f>+IFERROR(VLOOKUP(CONCATENATE(A175,$B$10,B175),'ID1&amp;5'!B:J,9,FALSE),"-")</f>
        <v>-</v>
      </c>
      <c r="N175" s="83" t="str">
        <f>+IFERROR(VLOOKUP(CONCATENATE(A175,$C$10,C175),'ID1&amp;5'!B:J,8,FALSE),"-")</f>
        <v>-</v>
      </c>
      <c r="O175" s="82" t="str">
        <f>+IFERROR(VLOOKUP(C175,'ID1&amp;5'!K:L,2,FALSE),"-")</f>
        <v>-</v>
      </c>
      <c r="P175" s="83" t="str">
        <f>+IFERROR(VLOOKUP(CONCATENATE(A175,$C$10,C175),'ID1&amp;5'!B:J,9,FALSE),"-")</f>
        <v>-</v>
      </c>
      <c r="Q175" s="82" t="str">
        <f>+IFERROR(VLOOKUP(D175,'ID1&amp;5'!K:L,2,FALSE),"-")</f>
        <v>-</v>
      </c>
      <c r="R175" s="26" t="str">
        <f>+IFERROR(VLOOKUP(CONCATENATE(A175,$D$10,D175),'ID1&amp;5'!B:J,9,FALSE),"-")</f>
        <v>-</v>
      </c>
      <c r="S175" s="82" t="str">
        <f>+IFERROR(VLOOKUP(E175,'ID1&amp;5'!K:L,2,FALSE),"-")</f>
        <v>-</v>
      </c>
      <c r="T175" s="83" t="str">
        <f>+IFERROR(VLOOKUP(CONCATENATE(A175,$E$10,E175),'ID1&amp;5'!B:J,9,FALSE),"-")</f>
        <v>-</v>
      </c>
      <c r="U175" s="82" t="str">
        <f>+IFERROR(VLOOKUP(F175,'ID1&amp;5'!K:L,2,FALSE),"-")</f>
        <v>-</v>
      </c>
      <c r="V175" s="83" t="str">
        <f>+IFERROR(VLOOKUP(CONCATENATE(A175,$F$10,F175),'ID1&amp;5'!B:J,9,FALSE),"-")</f>
        <v>-</v>
      </c>
      <c r="W175" s="26" t="str">
        <f>+IFERROR(VLOOKUP(A175,'ID6&amp;7'!A:I,9,FALSE),"-")</f>
        <v>-</v>
      </c>
      <c r="X175" s="26" t="str">
        <f>+IFERROR(VLOOKUP(A175,'ID6&amp;7'!A:J,10,FALSE),"-")</f>
        <v>-</v>
      </c>
      <c r="Y175" s="26"/>
      <c r="Z175" s="27" t="str">
        <f t="shared" si="7"/>
        <v>Por iniciar</v>
      </c>
    </row>
    <row r="176" spans="1:26">
      <c r="A176" s="20" t="str">
        <f t="shared" si="6"/>
        <v>INSTRUMENTACCMLTD_CHNGS_FV_CR_INSTRMNT45596</v>
      </c>
      <c r="B176" s="66"/>
      <c r="C176" s="60"/>
      <c r="D176" s="60"/>
      <c r="E176" s="60"/>
      <c r="F176" s="67"/>
      <c r="G176" s="60"/>
      <c r="H176" s="65" t="s">
        <v>126</v>
      </c>
      <c r="I176" s="21" t="s">
        <v>101</v>
      </c>
      <c r="J176" s="26">
        <f>+COUNTIF('ID1&amp;5'!G:G,'1. Status'!I176)</f>
        <v>0</v>
      </c>
      <c r="K176" s="83" t="str">
        <f>+IFERROR(VLOOKUP(CONCATENATE(A176,$B$10,B176),'ID1&amp;5'!B:J,8,FALSE),"-")</f>
        <v>-</v>
      </c>
      <c r="L176" s="82" t="str">
        <f>+IFERROR(VLOOKUP(B176,'ID1&amp;5'!K:L,2,FALSE),"-")</f>
        <v>-</v>
      </c>
      <c r="M176" s="83" t="str">
        <f>+IFERROR(VLOOKUP(CONCATENATE(A176,$B$10,B176),'ID1&amp;5'!B:J,9,FALSE),"-")</f>
        <v>-</v>
      </c>
      <c r="N176" s="83" t="str">
        <f>+IFERROR(VLOOKUP(CONCATENATE(A176,$C$10,C176),'ID1&amp;5'!B:J,8,FALSE),"-")</f>
        <v>-</v>
      </c>
      <c r="O176" s="82" t="str">
        <f>+IFERROR(VLOOKUP(C176,'ID1&amp;5'!K:L,2,FALSE),"-")</f>
        <v>-</v>
      </c>
      <c r="P176" s="83" t="str">
        <f>+IFERROR(VLOOKUP(CONCATENATE(A176,$C$10,C176),'ID1&amp;5'!B:J,9,FALSE),"-")</f>
        <v>-</v>
      </c>
      <c r="Q176" s="82" t="str">
        <f>+IFERROR(VLOOKUP(D176,'ID1&amp;5'!K:L,2,FALSE),"-")</f>
        <v>-</v>
      </c>
      <c r="R176" s="26" t="str">
        <f>+IFERROR(VLOOKUP(CONCATENATE(A176,$D$10,D176),'ID1&amp;5'!B:J,9,FALSE),"-")</f>
        <v>-</v>
      </c>
      <c r="S176" s="82" t="str">
        <f>+IFERROR(VLOOKUP(E176,'ID1&amp;5'!K:L,2,FALSE),"-")</f>
        <v>-</v>
      </c>
      <c r="T176" s="83" t="str">
        <f>+IFERROR(VLOOKUP(CONCATENATE(A176,$E$10,E176),'ID1&amp;5'!B:J,9,FALSE),"-")</f>
        <v>-</v>
      </c>
      <c r="U176" s="82" t="str">
        <f>+IFERROR(VLOOKUP(F176,'ID1&amp;5'!K:L,2,FALSE),"-")</f>
        <v>-</v>
      </c>
      <c r="V176" s="83" t="str">
        <f>+IFERROR(VLOOKUP(CONCATENATE(A176,$F$10,F176),'ID1&amp;5'!B:J,9,FALSE),"-")</f>
        <v>-</v>
      </c>
      <c r="W176" s="26" t="str">
        <f>+IFERROR(VLOOKUP(A176,'ID6&amp;7'!A:I,9,FALSE),"-")</f>
        <v>-</v>
      </c>
      <c r="X176" s="26" t="str">
        <f>+IFERROR(VLOOKUP(A176,'ID6&amp;7'!A:J,10,FALSE),"-")</f>
        <v>-</v>
      </c>
      <c r="Y176" s="26"/>
      <c r="Z176" s="27" t="str">
        <f t="shared" si="7"/>
        <v>Por iniciar</v>
      </c>
    </row>
    <row r="177" spans="1:26">
      <c r="A177" s="20" t="str">
        <f t="shared" si="6"/>
        <v>INSTRUMENTACCNTNG_CLSSFCTN45596</v>
      </c>
      <c r="B177" s="66"/>
      <c r="C177" s="60"/>
      <c r="D177" s="60"/>
      <c r="E177" s="60"/>
      <c r="F177" s="67"/>
      <c r="G177" s="60"/>
      <c r="H177" s="65" t="s">
        <v>126</v>
      </c>
      <c r="I177" s="21" t="s">
        <v>102</v>
      </c>
      <c r="J177" s="26">
        <f>+COUNTIF('ID1&amp;5'!G:G,'1. Status'!I177)</f>
        <v>0</v>
      </c>
      <c r="K177" s="83" t="str">
        <f>+IFERROR(VLOOKUP(CONCATENATE(A177,$B$10,B177),'ID1&amp;5'!B:J,8,FALSE),"-")</f>
        <v>-</v>
      </c>
      <c r="L177" s="82" t="str">
        <f>+IFERROR(VLOOKUP(B177,'ID1&amp;5'!K:L,2,FALSE),"-")</f>
        <v>-</v>
      </c>
      <c r="M177" s="83" t="str">
        <f>+IFERROR(VLOOKUP(CONCATENATE(A177,$B$10,B177),'ID1&amp;5'!B:J,9,FALSE),"-")</f>
        <v>-</v>
      </c>
      <c r="N177" s="83" t="str">
        <f>+IFERROR(VLOOKUP(CONCATENATE(A177,$C$10,C177),'ID1&amp;5'!B:J,8,FALSE),"-")</f>
        <v>-</v>
      </c>
      <c r="O177" s="82" t="str">
        <f>+IFERROR(VLOOKUP(C177,'ID1&amp;5'!K:L,2,FALSE),"-")</f>
        <v>-</v>
      </c>
      <c r="P177" s="83" t="str">
        <f>+IFERROR(VLOOKUP(CONCATENATE(A177,$C$10,C177),'ID1&amp;5'!B:J,9,FALSE),"-")</f>
        <v>-</v>
      </c>
      <c r="Q177" s="82" t="str">
        <f>+IFERROR(VLOOKUP(D177,'ID1&amp;5'!K:L,2,FALSE),"-")</f>
        <v>-</v>
      </c>
      <c r="R177" s="26" t="str">
        <f>+IFERROR(VLOOKUP(CONCATENATE(A177,$D$10,D177),'ID1&amp;5'!B:J,9,FALSE),"-")</f>
        <v>-</v>
      </c>
      <c r="S177" s="82" t="str">
        <f>+IFERROR(VLOOKUP(E177,'ID1&amp;5'!K:L,2,FALSE),"-")</f>
        <v>-</v>
      </c>
      <c r="T177" s="83" t="str">
        <f>+IFERROR(VLOOKUP(CONCATENATE(A177,$E$10,E177),'ID1&amp;5'!B:J,9,FALSE),"-")</f>
        <v>-</v>
      </c>
      <c r="U177" s="82" t="str">
        <f>+IFERROR(VLOOKUP(F177,'ID1&amp;5'!K:L,2,FALSE),"-")</f>
        <v>-</v>
      </c>
      <c r="V177" s="83" t="str">
        <f>+IFERROR(VLOOKUP(CONCATENATE(A177,$F$10,F177),'ID1&amp;5'!B:J,9,FALSE),"-")</f>
        <v>-</v>
      </c>
      <c r="W177" s="26" t="str">
        <f>+IFERROR(VLOOKUP(A177,'ID6&amp;7'!A:I,9,FALSE),"-")</f>
        <v>-</v>
      </c>
      <c r="X177" s="26" t="str">
        <f>+IFERROR(VLOOKUP(A177,'ID6&amp;7'!A:J,10,FALSE),"-")</f>
        <v>-</v>
      </c>
      <c r="Y177" s="26"/>
      <c r="Z177" s="27" t="str">
        <f t="shared" si="7"/>
        <v>Por iniciar</v>
      </c>
    </row>
    <row r="178" spans="1:26">
      <c r="A178" s="20" t="str">
        <f t="shared" si="6"/>
        <v>INSTRUMENTACCRD_INTRST_INSTRMNT45596</v>
      </c>
      <c r="B178" s="66"/>
      <c r="C178" s="60"/>
      <c r="D178" s="60"/>
      <c r="E178" s="60"/>
      <c r="F178" s="67"/>
      <c r="G178" s="60"/>
      <c r="H178" s="65" t="s">
        <v>126</v>
      </c>
      <c r="I178" s="21" t="s">
        <v>466</v>
      </c>
      <c r="J178" s="26">
        <f>+COUNTIF('ID1&amp;5'!G:G,'1. Status'!I178)</f>
        <v>0</v>
      </c>
      <c r="K178" s="83" t="str">
        <f>+IFERROR(VLOOKUP(CONCATENATE(A178,$B$10,B178),'ID1&amp;5'!B:J,8,FALSE),"-")</f>
        <v>-</v>
      </c>
      <c r="L178" s="82" t="str">
        <f>+IFERROR(VLOOKUP(B178,'ID1&amp;5'!K:L,2,FALSE),"-")</f>
        <v>-</v>
      </c>
      <c r="M178" s="83" t="str">
        <f>+IFERROR(VLOOKUP(CONCATENATE(A178,$B$10,B178),'ID1&amp;5'!B:J,9,FALSE),"-")</f>
        <v>-</v>
      </c>
      <c r="N178" s="83" t="str">
        <f>+IFERROR(VLOOKUP(CONCATENATE(A178,$C$10,C178),'ID1&amp;5'!B:J,8,FALSE),"-")</f>
        <v>-</v>
      </c>
      <c r="O178" s="82" t="str">
        <f>+IFERROR(VLOOKUP(C178,'ID1&amp;5'!K:L,2,FALSE),"-")</f>
        <v>-</v>
      </c>
      <c r="P178" s="83" t="str">
        <f>+IFERROR(VLOOKUP(CONCATENATE(A178,$C$10,C178),'ID1&amp;5'!B:J,9,FALSE),"-")</f>
        <v>-</v>
      </c>
      <c r="Q178" s="82" t="str">
        <f>+IFERROR(VLOOKUP(D178,'ID1&amp;5'!K:L,2,FALSE),"-")</f>
        <v>-</v>
      </c>
      <c r="R178" s="26" t="str">
        <f>+IFERROR(VLOOKUP(CONCATENATE(A178,$D$10,D178),'ID1&amp;5'!B:J,9,FALSE),"-")</f>
        <v>-</v>
      </c>
      <c r="S178" s="82" t="str">
        <f>+IFERROR(VLOOKUP(E178,'ID1&amp;5'!K:L,2,FALSE),"-")</f>
        <v>-</v>
      </c>
      <c r="T178" s="83" t="str">
        <f>+IFERROR(VLOOKUP(CONCATENATE(A178,$E$10,E178),'ID1&amp;5'!B:J,9,FALSE),"-")</f>
        <v>-</v>
      </c>
      <c r="U178" s="82" t="str">
        <f>+IFERROR(VLOOKUP(F178,'ID1&amp;5'!K:L,2,FALSE),"-")</f>
        <v>-</v>
      </c>
      <c r="V178" s="83" t="str">
        <f>+IFERROR(VLOOKUP(CONCATENATE(A178,$F$10,F178),'ID1&amp;5'!B:J,9,FALSE),"-")</f>
        <v>-</v>
      </c>
      <c r="W178" s="26" t="str">
        <f>+IFERROR(VLOOKUP(A178,'ID6&amp;7'!A:I,9,FALSE),"-")</f>
        <v>-</v>
      </c>
      <c r="X178" s="26" t="str">
        <f>+IFERROR(VLOOKUP(A178,'ID6&amp;7'!A:J,10,FALSE),"-")</f>
        <v>-</v>
      </c>
      <c r="Y178" s="26"/>
      <c r="Z178" s="27" t="str">
        <f t="shared" si="7"/>
        <v>Por iniciar</v>
      </c>
    </row>
    <row r="179" spans="1:26">
      <c r="A179" s="20" t="str">
        <f t="shared" si="6"/>
        <v>INSTRUMENTAMNT_D_AT_MTRTY45596</v>
      </c>
      <c r="B179" s="66"/>
      <c r="C179" s="60"/>
      <c r="D179" s="60"/>
      <c r="E179" s="60"/>
      <c r="F179" s="67"/>
      <c r="G179" s="60"/>
      <c r="H179" s="65" t="s">
        <v>126</v>
      </c>
      <c r="I179" s="21" t="s">
        <v>467</v>
      </c>
      <c r="J179" s="26">
        <f>+COUNTIF('ID1&amp;5'!G:G,'1. Status'!I179)</f>
        <v>0</v>
      </c>
      <c r="K179" s="83" t="str">
        <f>+IFERROR(VLOOKUP(CONCATENATE(A179,$B$10,B179),'ID1&amp;5'!B:J,8,FALSE),"-")</f>
        <v>-</v>
      </c>
      <c r="L179" s="82" t="str">
        <f>+IFERROR(VLOOKUP(B179,'ID1&amp;5'!K:L,2,FALSE),"-")</f>
        <v>-</v>
      </c>
      <c r="M179" s="83" t="str">
        <f>+IFERROR(VLOOKUP(CONCATENATE(A179,$B$10,B179),'ID1&amp;5'!B:J,9,FALSE),"-")</f>
        <v>-</v>
      </c>
      <c r="N179" s="83" t="str">
        <f>+IFERROR(VLOOKUP(CONCATENATE(A179,$C$10,C179),'ID1&amp;5'!B:J,8,FALSE),"-")</f>
        <v>-</v>
      </c>
      <c r="O179" s="82" t="str">
        <f>+IFERROR(VLOOKUP(C179,'ID1&amp;5'!K:L,2,FALSE),"-")</f>
        <v>-</v>
      </c>
      <c r="P179" s="83" t="str">
        <f>+IFERROR(VLOOKUP(CONCATENATE(A179,$C$10,C179),'ID1&amp;5'!B:J,9,FALSE),"-")</f>
        <v>-</v>
      </c>
      <c r="Q179" s="82" t="str">
        <f>+IFERROR(VLOOKUP(D179,'ID1&amp;5'!K:L,2,FALSE),"-")</f>
        <v>-</v>
      </c>
      <c r="R179" s="26" t="str">
        <f>+IFERROR(VLOOKUP(CONCATENATE(A179,$D$10,D179),'ID1&amp;5'!B:J,9,FALSE),"-")</f>
        <v>-</v>
      </c>
      <c r="S179" s="82" t="str">
        <f>+IFERROR(VLOOKUP(E179,'ID1&amp;5'!K:L,2,FALSE),"-")</f>
        <v>-</v>
      </c>
      <c r="T179" s="83" t="str">
        <f>+IFERROR(VLOOKUP(CONCATENATE(A179,$E$10,E179),'ID1&amp;5'!B:J,9,FALSE),"-")</f>
        <v>-</v>
      </c>
      <c r="U179" s="82" t="str">
        <f>+IFERROR(VLOOKUP(F179,'ID1&amp;5'!K:L,2,FALSE),"-")</f>
        <v>-</v>
      </c>
      <c r="V179" s="83" t="str">
        <f>+IFERROR(VLOOKUP(CONCATENATE(A179,$F$10,F179),'ID1&amp;5'!B:J,9,FALSE),"-")</f>
        <v>-</v>
      </c>
      <c r="W179" s="26" t="str">
        <f>+IFERROR(VLOOKUP(A179,'ID6&amp;7'!A:I,9,FALSE),"-")</f>
        <v>-</v>
      </c>
      <c r="X179" s="26" t="str">
        <f>+IFERROR(VLOOKUP(A179,'ID6&amp;7'!A:J,10,FALSE),"-")</f>
        <v>-</v>
      </c>
      <c r="Y179" s="26"/>
      <c r="Z179" s="27" t="str">
        <f t="shared" si="7"/>
        <v>Por iniciar</v>
      </c>
    </row>
    <row r="180" spans="1:26">
      <c r="A180" s="20" t="str">
        <f t="shared" si="6"/>
        <v>INSTRUMENTCCF45596</v>
      </c>
      <c r="B180" s="66"/>
      <c r="C180" s="60"/>
      <c r="D180" s="60"/>
      <c r="E180" s="60"/>
      <c r="F180" s="67"/>
      <c r="G180" s="60"/>
      <c r="H180" s="65" t="s">
        <v>126</v>
      </c>
      <c r="I180" s="21" t="s">
        <v>468</v>
      </c>
      <c r="J180" s="26">
        <f>+COUNTIF('ID1&amp;5'!G:G,'1. Status'!I180)</f>
        <v>0</v>
      </c>
      <c r="K180" s="83" t="str">
        <f>+IFERROR(VLOOKUP(CONCATENATE(A180,$B$10,B180),'ID1&amp;5'!B:J,8,FALSE),"-")</f>
        <v>-</v>
      </c>
      <c r="L180" s="82" t="str">
        <f>+IFERROR(VLOOKUP(B180,'ID1&amp;5'!K:L,2,FALSE),"-")</f>
        <v>-</v>
      </c>
      <c r="M180" s="83" t="str">
        <f>+IFERROR(VLOOKUP(CONCATENATE(A180,$B$10,B180),'ID1&amp;5'!B:J,9,FALSE),"-")</f>
        <v>-</v>
      </c>
      <c r="N180" s="83" t="str">
        <f>+IFERROR(VLOOKUP(CONCATENATE(A180,$C$10,C180),'ID1&amp;5'!B:J,8,FALSE),"-")</f>
        <v>-</v>
      </c>
      <c r="O180" s="82" t="str">
        <f>+IFERROR(VLOOKUP(C180,'ID1&amp;5'!K:L,2,FALSE),"-")</f>
        <v>-</v>
      </c>
      <c r="P180" s="83" t="str">
        <f>+IFERROR(VLOOKUP(CONCATENATE(A180,$C$10,C180),'ID1&amp;5'!B:J,9,FALSE),"-")</f>
        <v>-</v>
      </c>
      <c r="Q180" s="82" t="str">
        <f>+IFERROR(VLOOKUP(D180,'ID1&amp;5'!K:L,2,FALSE),"-")</f>
        <v>-</v>
      </c>
      <c r="R180" s="26" t="str">
        <f>+IFERROR(VLOOKUP(CONCATENATE(A180,$D$10,D180),'ID1&amp;5'!B:J,9,FALSE),"-")</f>
        <v>-</v>
      </c>
      <c r="S180" s="82" t="str">
        <f>+IFERROR(VLOOKUP(E180,'ID1&amp;5'!K:L,2,FALSE),"-")</f>
        <v>-</v>
      </c>
      <c r="T180" s="83" t="str">
        <f>+IFERROR(VLOOKUP(CONCATENATE(A180,$E$10,E180),'ID1&amp;5'!B:J,9,FALSE),"-")</f>
        <v>-</v>
      </c>
      <c r="U180" s="82" t="str">
        <f>+IFERROR(VLOOKUP(F180,'ID1&amp;5'!K:L,2,FALSE),"-")</f>
        <v>-</v>
      </c>
      <c r="V180" s="83" t="str">
        <f>+IFERROR(VLOOKUP(CONCATENATE(A180,$F$10,F180),'ID1&amp;5'!B:J,9,FALSE),"-")</f>
        <v>-</v>
      </c>
      <c r="W180" s="26" t="str">
        <f>+IFERROR(VLOOKUP(A180,'ID6&amp;7'!A:I,9,FALSE),"-")</f>
        <v>-</v>
      </c>
      <c r="X180" s="26" t="str">
        <f>+IFERROR(VLOOKUP(A180,'ID6&amp;7'!A:J,10,FALSE),"-")</f>
        <v>-</v>
      </c>
      <c r="Y180" s="26"/>
      <c r="Z180" s="27" t="str">
        <f t="shared" si="7"/>
        <v>Por iniciar</v>
      </c>
    </row>
    <row r="181" spans="1:26">
      <c r="A181" s="20" t="str">
        <f t="shared" si="6"/>
        <v>INSTRUMENTCMMTMNT_INCPTN_INSTRMNT45596</v>
      </c>
      <c r="B181" s="66"/>
      <c r="C181" s="60"/>
      <c r="D181" s="60"/>
      <c r="E181" s="60"/>
      <c r="F181" s="67"/>
      <c r="G181" s="60"/>
      <c r="H181" s="65" t="s">
        <v>126</v>
      </c>
      <c r="I181" s="21" t="s">
        <v>469</v>
      </c>
      <c r="J181" s="26">
        <f>+COUNTIF('ID1&amp;5'!G:G,'1. Status'!I181)</f>
        <v>0</v>
      </c>
      <c r="K181" s="83" t="str">
        <f>+IFERROR(VLOOKUP(CONCATENATE(A181,$B$10,B181),'ID1&amp;5'!B:J,8,FALSE),"-")</f>
        <v>-</v>
      </c>
      <c r="L181" s="82" t="str">
        <f>+IFERROR(VLOOKUP(B181,'ID1&amp;5'!K:L,2,FALSE),"-")</f>
        <v>-</v>
      </c>
      <c r="M181" s="83" t="str">
        <f>+IFERROR(VLOOKUP(CONCATENATE(A181,$B$10,B181),'ID1&amp;5'!B:J,9,FALSE),"-")</f>
        <v>-</v>
      </c>
      <c r="N181" s="83" t="str">
        <f>+IFERROR(VLOOKUP(CONCATENATE(A181,$C$10,C181),'ID1&amp;5'!B:J,8,FALSE),"-")</f>
        <v>-</v>
      </c>
      <c r="O181" s="82" t="str">
        <f>+IFERROR(VLOOKUP(C181,'ID1&amp;5'!K:L,2,FALSE),"-")</f>
        <v>-</v>
      </c>
      <c r="P181" s="83" t="str">
        <f>+IFERROR(VLOOKUP(CONCATENATE(A181,$C$10,C181),'ID1&amp;5'!B:J,9,FALSE),"-")</f>
        <v>-</v>
      </c>
      <c r="Q181" s="82" t="str">
        <f>+IFERROR(VLOOKUP(D181,'ID1&amp;5'!K:L,2,FALSE),"-")</f>
        <v>-</v>
      </c>
      <c r="R181" s="26" t="str">
        <f>+IFERROR(VLOOKUP(CONCATENATE(A181,$D$10,D181),'ID1&amp;5'!B:J,9,FALSE),"-")</f>
        <v>-</v>
      </c>
      <c r="S181" s="82" t="str">
        <f>+IFERROR(VLOOKUP(E181,'ID1&amp;5'!K:L,2,FALSE),"-")</f>
        <v>-</v>
      </c>
      <c r="T181" s="83" t="str">
        <f>+IFERROR(VLOOKUP(CONCATENATE(A181,$E$10,E181),'ID1&amp;5'!B:J,9,FALSE),"-")</f>
        <v>-</v>
      </c>
      <c r="U181" s="82" t="str">
        <f>+IFERROR(VLOOKUP(F181,'ID1&amp;5'!K:L,2,FALSE),"-")</f>
        <v>-</v>
      </c>
      <c r="V181" s="83" t="str">
        <f>+IFERROR(VLOOKUP(CONCATENATE(A181,$F$10,F181),'ID1&amp;5'!B:J,9,FALSE),"-")</f>
        <v>-</v>
      </c>
      <c r="W181" s="26" t="str">
        <f>+IFERROR(VLOOKUP(A181,'ID6&amp;7'!A:I,9,FALSE),"-")</f>
        <v>-</v>
      </c>
      <c r="X181" s="26" t="str">
        <f>+IFERROR(VLOOKUP(A181,'ID6&amp;7'!A:J,10,FALSE),"-")</f>
        <v>-</v>
      </c>
      <c r="Y181" s="26"/>
      <c r="Z181" s="27" t="str">
        <f t="shared" si="7"/>
        <v>Por iniciar</v>
      </c>
    </row>
    <row r="182" spans="1:26">
      <c r="A182" s="20" t="str">
        <f t="shared" si="6"/>
        <v>INSTRUMENTCMMTMNT_INSTRMNT45596</v>
      </c>
      <c r="B182" s="66"/>
      <c r="C182" s="60"/>
      <c r="D182" s="60"/>
      <c r="E182" s="60"/>
      <c r="F182" s="67"/>
      <c r="G182" s="60"/>
      <c r="H182" s="65" t="s">
        <v>126</v>
      </c>
      <c r="I182" s="21" t="s">
        <v>470</v>
      </c>
      <c r="J182" s="26">
        <f>+COUNTIF('ID1&amp;5'!G:G,'1. Status'!I182)</f>
        <v>0</v>
      </c>
      <c r="K182" s="83" t="str">
        <f>+IFERROR(VLOOKUP(CONCATENATE(A182,$B$10,B182),'ID1&amp;5'!B:J,8,FALSE),"-")</f>
        <v>-</v>
      </c>
      <c r="L182" s="82" t="str">
        <f>+IFERROR(VLOOKUP(B182,'ID1&amp;5'!K:L,2,FALSE),"-")</f>
        <v>-</v>
      </c>
      <c r="M182" s="83" t="str">
        <f>+IFERROR(VLOOKUP(CONCATENATE(A182,$B$10,B182),'ID1&amp;5'!B:J,9,FALSE),"-")</f>
        <v>-</v>
      </c>
      <c r="N182" s="83" t="str">
        <f>+IFERROR(VLOOKUP(CONCATENATE(A182,$C$10,C182),'ID1&amp;5'!B:J,8,FALSE),"-")</f>
        <v>-</v>
      </c>
      <c r="O182" s="82" t="str">
        <f>+IFERROR(VLOOKUP(C182,'ID1&amp;5'!K:L,2,FALSE),"-")</f>
        <v>-</v>
      </c>
      <c r="P182" s="83" t="str">
        <f>+IFERROR(VLOOKUP(CONCATENATE(A182,$C$10,C182),'ID1&amp;5'!B:J,9,FALSE),"-")</f>
        <v>-</v>
      </c>
      <c r="Q182" s="82" t="str">
        <f>+IFERROR(VLOOKUP(D182,'ID1&amp;5'!K:L,2,FALSE),"-")</f>
        <v>-</v>
      </c>
      <c r="R182" s="26" t="str">
        <f>+IFERROR(VLOOKUP(CONCATENATE(A182,$D$10,D182),'ID1&amp;5'!B:J,9,FALSE),"-")</f>
        <v>-</v>
      </c>
      <c r="S182" s="82" t="str">
        <f>+IFERROR(VLOOKUP(E182,'ID1&amp;5'!K:L,2,FALSE),"-")</f>
        <v>-</v>
      </c>
      <c r="T182" s="83" t="str">
        <f>+IFERROR(VLOOKUP(CONCATENATE(A182,$E$10,E182),'ID1&amp;5'!B:J,9,FALSE),"-")</f>
        <v>-</v>
      </c>
      <c r="U182" s="82" t="str">
        <f>+IFERROR(VLOOKUP(F182,'ID1&amp;5'!K:L,2,FALSE),"-")</f>
        <v>-</v>
      </c>
      <c r="V182" s="83" t="str">
        <f>+IFERROR(VLOOKUP(CONCATENATE(A182,$F$10,F182),'ID1&amp;5'!B:J,9,FALSE),"-")</f>
        <v>-</v>
      </c>
      <c r="W182" s="26" t="str">
        <f>+IFERROR(VLOOKUP(A182,'ID6&amp;7'!A:I,9,FALSE),"-")</f>
        <v>-</v>
      </c>
      <c r="X182" s="26" t="str">
        <f>+IFERROR(VLOOKUP(A182,'ID6&amp;7'!A:J,10,FALSE),"-")</f>
        <v>-</v>
      </c>
      <c r="Y182" s="26"/>
      <c r="Z182" s="27" t="str">
        <f t="shared" si="7"/>
        <v>Por iniciar</v>
      </c>
    </row>
    <row r="183" spans="1:26">
      <c r="A183" s="20" t="str">
        <f t="shared" si="6"/>
        <v>INSTRUMENTCRRYNG_AMNT_INSTRMNT45596</v>
      </c>
      <c r="B183" s="66"/>
      <c r="C183" s="60"/>
      <c r="D183" s="60"/>
      <c r="E183" s="60"/>
      <c r="F183" s="67"/>
      <c r="G183" s="60"/>
      <c r="H183" s="65" t="s">
        <v>126</v>
      </c>
      <c r="I183" s="21" t="s">
        <v>471</v>
      </c>
      <c r="J183" s="26">
        <f>+COUNTIF('ID1&amp;5'!G:G,'1. Status'!I183)</f>
        <v>0</v>
      </c>
      <c r="K183" s="83" t="str">
        <f>+IFERROR(VLOOKUP(CONCATENATE(A183,$B$10,B183),'ID1&amp;5'!B:J,8,FALSE),"-")</f>
        <v>-</v>
      </c>
      <c r="L183" s="82" t="str">
        <f>+IFERROR(VLOOKUP(B183,'ID1&amp;5'!K:L,2,FALSE),"-")</f>
        <v>-</v>
      </c>
      <c r="M183" s="83" t="str">
        <f>+IFERROR(VLOOKUP(CONCATENATE(A183,$B$10,B183),'ID1&amp;5'!B:J,9,FALSE),"-")</f>
        <v>-</v>
      </c>
      <c r="N183" s="83" t="str">
        <f>+IFERROR(VLOOKUP(CONCATENATE(A183,$C$10,C183),'ID1&amp;5'!B:J,8,FALSE),"-")</f>
        <v>-</v>
      </c>
      <c r="O183" s="82" t="str">
        <f>+IFERROR(VLOOKUP(C183,'ID1&amp;5'!K:L,2,FALSE),"-")</f>
        <v>-</v>
      </c>
      <c r="P183" s="83" t="str">
        <f>+IFERROR(VLOOKUP(CONCATENATE(A183,$C$10,C183),'ID1&amp;5'!B:J,9,FALSE),"-")</f>
        <v>-</v>
      </c>
      <c r="Q183" s="82" t="str">
        <f>+IFERROR(VLOOKUP(D183,'ID1&amp;5'!K:L,2,FALSE),"-")</f>
        <v>-</v>
      </c>
      <c r="R183" s="26" t="str">
        <f>+IFERROR(VLOOKUP(CONCATENATE(A183,$D$10,D183),'ID1&amp;5'!B:J,9,FALSE),"-")</f>
        <v>-</v>
      </c>
      <c r="S183" s="82" t="str">
        <f>+IFERROR(VLOOKUP(E183,'ID1&amp;5'!K:L,2,FALSE),"-")</f>
        <v>-</v>
      </c>
      <c r="T183" s="83" t="str">
        <f>+IFERROR(VLOOKUP(CONCATENATE(A183,$E$10,E183),'ID1&amp;5'!B:J,9,FALSE),"-")</f>
        <v>-</v>
      </c>
      <c r="U183" s="82" t="str">
        <f>+IFERROR(VLOOKUP(F183,'ID1&amp;5'!K:L,2,FALSE),"-")</f>
        <v>-</v>
      </c>
      <c r="V183" s="83" t="str">
        <f>+IFERROR(VLOOKUP(CONCATENATE(A183,$F$10,F183),'ID1&amp;5'!B:J,9,FALSE),"-")</f>
        <v>-</v>
      </c>
      <c r="W183" s="26" t="str">
        <f>+IFERROR(VLOOKUP(A183,'ID6&amp;7'!A:I,9,FALSE),"-")</f>
        <v>-</v>
      </c>
      <c r="X183" s="26" t="str">
        <f>+IFERROR(VLOOKUP(A183,'ID6&amp;7'!A:J,10,FALSE),"-")</f>
        <v>-</v>
      </c>
      <c r="Y183" s="26"/>
      <c r="Z183" s="27" t="str">
        <f t="shared" si="7"/>
        <v>Por iniciar</v>
      </c>
    </row>
    <row r="184" spans="1:26">
      <c r="A184" s="20" t="str">
        <f t="shared" si="6"/>
        <v>INSTRUMENTDBT_YLD45596</v>
      </c>
      <c r="B184" s="66"/>
      <c r="C184" s="60"/>
      <c r="D184" s="60"/>
      <c r="E184" s="60"/>
      <c r="F184" s="67"/>
      <c r="G184" s="60"/>
      <c r="H184" s="65" t="s">
        <v>126</v>
      </c>
      <c r="I184" s="21" t="s">
        <v>472</v>
      </c>
      <c r="J184" s="26">
        <f>+COUNTIF('ID1&amp;5'!G:G,'1. Status'!I184)</f>
        <v>0</v>
      </c>
      <c r="K184" s="83" t="str">
        <f>+IFERROR(VLOOKUP(CONCATENATE(A184,$B$10,B184),'ID1&amp;5'!B:J,8,FALSE),"-")</f>
        <v>-</v>
      </c>
      <c r="L184" s="82" t="str">
        <f>+IFERROR(VLOOKUP(B184,'ID1&amp;5'!K:L,2,FALSE),"-")</f>
        <v>-</v>
      </c>
      <c r="M184" s="83" t="str">
        <f>+IFERROR(VLOOKUP(CONCATENATE(A184,$B$10,B184),'ID1&amp;5'!B:J,9,FALSE),"-")</f>
        <v>-</v>
      </c>
      <c r="N184" s="83" t="str">
        <f>+IFERROR(VLOOKUP(CONCATENATE(A184,$C$10,C184),'ID1&amp;5'!B:J,8,FALSE),"-")</f>
        <v>-</v>
      </c>
      <c r="O184" s="82" t="str">
        <f>+IFERROR(VLOOKUP(C184,'ID1&amp;5'!K:L,2,FALSE),"-")</f>
        <v>-</v>
      </c>
      <c r="P184" s="83" t="str">
        <f>+IFERROR(VLOOKUP(CONCATENATE(A184,$C$10,C184),'ID1&amp;5'!B:J,9,FALSE),"-")</f>
        <v>-</v>
      </c>
      <c r="Q184" s="82" t="str">
        <f>+IFERROR(VLOOKUP(D184,'ID1&amp;5'!K:L,2,FALSE),"-")</f>
        <v>-</v>
      </c>
      <c r="R184" s="26" t="str">
        <f>+IFERROR(VLOOKUP(CONCATENATE(A184,$D$10,D184),'ID1&amp;5'!B:J,9,FALSE),"-")</f>
        <v>-</v>
      </c>
      <c r="S184" s="82" t="str">
        <f>+IFERROR(VLOOKUP(E184,'ID1&amp;5'!K:L,2,FALSE),"-")</f>
        <v>-</v>
      </c>
      <c r="T184" s="83" t="str">
        <f>+IFERROR(VLOOKUP(CONCATENATE(A184,$E$10,E184),'ID1&amp;5'!B:J,9,FALSE),"-")</f>
        <v>-</v>
      </c>
      <c r="U184" s="82" t="str">
        <f>+IFERROR(VLOOKUP(F184,'ID1&amp;5'!K:L,2,FALSE),"-")</f>
        <v>-</v>
      </c>
      <c r="V184" s="83" t="str">
        <f>+IFERROR(VLOOKUP(CONCATENATE(A184,$F$10,F184),'ID1&amp;5'!B:J,9,FALSE),"-")</f>
        <v>-</v>
      </c>
      <c r="W184" s="26" t="str">
        <f>+IFERROR(VLOOKUP(A184,'ID6&amp;7'!A:I,9,FALSE),"-")</f>
        <v>-</v>
      </c>
      <c r="X184" s="26" t="str">
        <f>+IFERROR(VLOOKUP(A184,'ID6&amp;7'!A:J,10,FALSE),"-")</f>
        <v>-</v>
      </c>
      <c r="Y184" s="26"/>
      <c r="Z184" s="27" t="str">
        <f t="shared" si="7"/>
        <v>Por iniciar</v>
      </c>
    </row>
    <row r="185" spans="1:26">
      <c r="A185" s="20" t="str">
        <f t="shared" si="6"/>
        <v>INSTRUMENTDT_LGL_FNL_MTRTY45596</v>
      </c>
      <c r="B185" s="66"/>
      <c r="C185" s="60"/>
      <c r="D185" s="60"/>
      <c r="E185" s="60"/>
      <c r="F185" s="67"/>
      <c r="G185" s="60"/>
      <c r="H185" s="65" t="s">
        <v>126</v>
      </c>
      <c r="I185" s="21" t="s">
        <v>103</v>
      </c>
      <c r="J185" s="26">
        <f>+COUNTIF('ID1&amp;5'!G:G,'1. Status'!I185)</f>
        <v>0</v>
      </c>
      <c r="K185" s="83" t="str">
        <f>+IFERROR(VLOOKUP(CONCATENATE(A185,$B$10,B185),'ID1&amp;5'!B:J,8,FALSE),"-")</f>
        <v>-</v>
      </c>
      <c r="L185" s="82" t="str">
        <f>+IFERROR(VLOOKUP(B185,'ID1&amp;5'!K:L,2,FALSE),"-")</f>
        <v>-</v>
      </c>
      <c r="M185" s="83" t="str">
        <f>+IFERROR(VLOOKUP(CONCATENATE(A185,$B$10,B185),'ID1&amp;5'!B:J,9,FALSE),"-")</f>
        <v>-</v>
      </c>
      <c r="N185" s="83" t="str">
        <f>+IFERROR(VLOOKUP(CONCATENATE(A185,$C$10,C185),'ID1&amp;5'!B:J,8,FALSE),"-")</f>
        <v>-</v>
      </c>
      <c r="O185" s="82" t="str">
        <f>+IFERROR(VLOOKUP(C185,'ID1&amp;5'!K:L,2,FALSE),"-")</f>
        <v>-</v>
      </c>
      <c r="P185" s="83" t="str">
        <f>+IFERROR(VLOOKUP(CONCATENATE(A185,$C$10,C185),'ID1&amp;5'!B:J,9,FALSE),"-")</f>
        <v>-</v>
      </c>
      <c r="Q185" s="82" t="str">
        <f>+IFERROR(VLOOKUP(D185,'ID1&amp;5'!K:L,2,FALSE),"-")</f>
        <v>-</v>
      </c>
      <c r="R185" s="26" t="str">
        <f>+IFERROR(VLOOKUP(CONCATENATE(A185,$D$10,D185),'ID1&amp;5'!B:J,9,FALSE),"-")</f>
        <v>-</v>
      </c>
      <c r="S185" s="82" t="str">
        <f>+IFERROR(VLOOKUP(E185,'ID1&amp;5'!K:L,2,FALSE),"-")</f>
        <v>-</v>
      </c>
      <c r="T185" s="83" t="str">
        <f>+IFERROR(VLOOKUP(CONCATENATE(A185,$E$10,E185),'ID1&amp;5'!B:J,9,FALSE),"-")</f>
        <v>-</v>
      </c>
      <c r="U185" s="82" t="str">
        <f>+IFERROR(VLOOKUP(F185,'ID1&amp;5'!K:L,2,FALSE),"-")</f>
        <v>-</v>
      </c>
      <c r="V185" s="83" t="str">
        <f>+IFERROR(VLOOKUP(CONCATENATE(A185,$F$10,F185),'ID1&amp;5'!B:J,9,FALSE),"-")</f>
        <v>-</v>
      </c>
      <c r="W185" s="26" t="str">
        <f>+IFERROR(VLOOKUP(A185,'ID6&amp;7'!A:I,9,FALSE),"-")</f>
        <v>-</v>
      </c>
      <c r="X185" s="26" t="str">
        <f>+IFERROR(VLOOKUP(A185,'ID6&amp;7'!A:J,10,FALSE),"-")</f>
        <v>-</v>
      </c>
      <c r="Y185" s="26"/>
      <c r="Z185" s="27" t="str">
        <f t="shared" si="7"/>
        <v>Por iniciar</v>
      </c>
    </row>
    <row r="186" spans="1:26">
      <c r="A186" s="20" t="str">
        <f t="shared" si="6"/>
        <v>INSTRUMENTDT_NXT_INTRST_RT_RST45596</v>
      </c>
      <c r="B186" s="66"/>
      <c r="C186" s="60"/>
      <c r="D186" s="60"/>
      <c r="E186" s="60"/>
      <c r="F186" s="67"/>
      <c r="G186" s="60"/>
      <c r="H186" s="65" t="s">
        <v>126</v>
      </c>
      <c r="I186" s="21" t="s">
        <v>473</v>
      </c>
      <c r="J186" s="26">
        <f>+COUNTIF('ID1&amp;5'!G:G,'1. Status'!I186)</f>
        <v>0</v>
      </c>
      <c r="K186" s="83" t="str">
        <f>+IFERROR(VLOOKUP(CONCATENATE(A186,$B$10,B186),'ID1&amp;5'!B:J,8,FALSE),"-")</f>
        <v>-</v>
      </c>
      <c r="L186" s="82" t="str">
        <f>+IFERROR(VLOOKUP(B186,'ID1&amp;5'!K:L,2,FALSE),"-")</f>
        <v>-</v>
      </c>
      <c r="M186" s="83" t="str">
        <f>+IFERROR(VLOOKUP(CONCATENATE(A186,$B$10,B186),'ID1&amp;5'!B:J,9,FALSE),"-")</f>
        <v>-</v>
      </c>
      <c r="N186" s="83" t="str">
        <f>+IFERROR(VLOOKUP(CONCATENATE(A186,$C$10,C186),'ID1&amp;5'!B:J,8,FALSE),"-")</f>
        <v>-</v>
      </c>
      <c r="O186" s="82" t="str">
        <f>+IFERROR(VLOOKUP(C186,'ID1&amp;5'!K:L,2,FALSE),"-")</f>
        <v>-</v>
      </c>
      <c r="P186" s="83" t="str">
        <f>+IFERROR(VLOOKUP(CONCATENATE(A186,$C$10,C186),'ID1&amp;5'!B:J,9,FALSE),"-")</f>
        <v>-</v>
      </c>
      <c r="Q186" s="82" t="str">
        <f>+IFERROR(VLOOKUP(D186,'ID1&amp;5'!K:L,2,FALSE),"-")</f>
        <v>-</v>
      </c>
      <c r="R186" s="26" t="str">
        <f>+IFERROR(VLOOKUP(CONCATENATE(A186,$D$10,D186),'ID1&amp;5'!B:J,9,FALSE),"-")</f>
        <v>-</v>
      </c>
      <c r="S186" s="82" t="str">
        <f>+IFERROR(VLOOKUP(E186,'ID1&amp;5'!K:L,2,FALSE),"-")</f>
        <v>-</v>
      </c>
      <c r="T186" s="83" t="str">
        <f>+IFERROR(VLOOKUP(CONCATENATE(A186,$E$10,E186),'ID1&amp;5'!B:J,9,FALSE),"-")</f>
        <v>-</v>
      </c>
      <c r="U186" s="82" t="str">
        <f>+IFERROR(VLOOKUP(F186,'ID1&amp;5'!K:L,2,FALSE),"-")</f>
        <v>-</v>
      </c>
      <c r="V186" s="83" t="str">
        <f>+IFERROR(VLOOKUP(CONCATENATE(A186,$F$10,F186),'ID1&amp;5'!B:J,9,FALSE),"-")</f>
        <v>-</v>
      </c>
      <c r="W186" s="26" t="str">
        <f>+IFERROR(VLOOKUP(A186,'ID6&amp;7'!A:I,9,FALSE),"-")</f>
        <v>-</v>
      </c>
      <c r="X186" s="26" t="str">
        <f>+IFERROR(VLOOKUP(A186,'ID6&amp;7'!A:J,10,FALSE),"-")</f>
        <v>-</v>
      </c>
      <c r="Y186" s="26"/>
      <c r="Z186" s="27" t="str">
        <f t="shared" si="7"/>
        <v>Por iniciar</v>
      </c>
    </row>
    <row r="187" spans="1:26">
      <c r="A187" s="20" t="str">
        <f t="shared" si="6"/>
        <v>INSTRUMENTDT_ORGNL_MTRTY45596</v>
      </c>
      <c r="B187" s="66"/>
      <c r="C187" s="60"/>
      <c r="D187" s="60"/>
      <c r="E187" s="60"/>
      <c r="F187" s="67"/>
      <c r="G187" s="60"/>
      <c r="H187" s="65" t="s">
        <v>126</v>
      </c>
      <c r="I187" s="21" t="s">
        <v>474</v>
      </c>
      <c r="J187" s="26">
        <f>+COUNTIF('ID1&amp;5'!G:G,'1. Status'!I187)</f>
        <v>0</v>
      </c>
      <c r="K187" s="83" t="str">
        <f>+IFERROR(VLOOKUP(CONCATENATE(A187,$B$10,B187),'ID1&amp;5'!B:J,8,FALSE),"-")</f>
        <v>-</v>
      </c>
      <c r="L187" s="82" t="str">
        <f>+IFERROR(VLOOKUP(B187,'ID1&amp;5'!K:L,2,FALSE),"-")</f>
        <v>-</v>
      </c>
      <c r="M187" s="83" t="str">
        <f>+IFERROR(VLOOKUP(CONCATENATE(A187,$B$10,B187),'ID1&amp;5'!B:J,9,FALSE),"-")</f>
        <v>-</v>
      </c>
      <c r="N187" s="83" t="str">
        <f>+IFERROR(VLOOKUP(CONCATENATE(A187,$C$10,C187),'ID1&amp;5'!B:J,8,FALSE),"-")</f>
        <v>-</v>
      </c>
      <c r="O187" s="82" t="str">
        <f>+IFERROR(VLOOKUP(C187,'ID1&amp;5'!K:L,2,FALSE),"-")</f>
        <v>-</v>
      </c>
      <c r="P187" s="83" t="str">
        <f>+IFERROR(VLOOKUP(CONCATENATE(A187,$C$10,C187),'ID1&amp;5'!B:J,9,FALSE),"-")</f>
        <v>-</v>
      </c>
      <c r="Q187" s="82" t="str">
        <f>+IFERROR(VLOOKUP(D187,'ID1&amp;5'!K:L,2,FALSE),"-")</f>
        <v>-</v>
      </c>
      <c r="R187" s="26" t="str">
        <f>+IFERROR(VLOOKUP(CONCATENATE(A187,$D$10,D187),'ID1&amp;5'!B:J,9,FALSE),"-")</f>
        <v>-</v>
      </c>
      <c r="S187" s="82" t="str">
        <f>+IFERROR(VLOOKUP(E187,'ID1&amp;5'!K:L,2,FALSE),"-")</f>
        <v>-</v>
      </c>
      <c r="T187" s="83" t="str">
        <f>+IFERROR(VLOOKUP(CONCATENATE(A187,$E$10,E187),'ID1&amp;5'!B:J,9,FALSE),"-")</f>
        <v>-</v>
      </c>
      <c r="U187" s="82" t="str">
        <f>+IFERROR(VLOOKUP(F187,'ID1&amp;5'!K:L,2,FALSE),"-")</f>
        <v>-</v>
      </c>
      <c r="V187" s="83" t="str">
        <f>+IFERROR(VLOOKUP(CONCATENATE(A187,$F$10,F187),'ID1&amp;5'!B:J,9,FALSE),"-")</f>
        <v>-</v>
      </c>
      <c r="W187" s="26" t="str">
        <f>+IFERROR(VLOOKUP(A187,'ID6&amp;7'!A:I,9,FALSE),"-")</f>
        <v>-</v>
      </c>
      <c r="X187" s="26" t="str">
        <f>+IFERROR(VLOOKUP(A187,'ID6&amp;7'!A:J,10,FALSE),"-")</f>
        <v>-</v>
      </c>
      <c r="Y187" s="26"/>
      <c r="Z187" s="27" t="str">
        <f t="shared" si="7"/>
        <v>Por iniciar</v>
      </c>
    </row>
    <row r="188" spans="1:26">
      <c r="A188" s="20" t="str">
        <f t="shared" si="6"/>
        <v>INSTRUMENTIFRS9_BHVRL_MTRTY45596</v>
      </c>
      <c r="B188" s="66"/>
      <c r="C188" s="60"/>
      <c r="D188" s="60"/>
      <c r="E188" s="60"/>
      <c r="F188" s="67"/>
      <c r="G188" s="60"/>
      <c r="H188" s="65" t="s">
        <v>126</v>
      </c>
      <c r="I188" s="21" t="s">
        <v>475</v>
      </c>
      <c r="J188" s="26">
        <f>+COUNTIF('ID1&amp;5'!G:G,'1. Status'!I188)</f>
        <v>0</v>
      </c>
      <c r="K188" s="83" t="str">
        <f>+IFERROR(VLOOKUP(CONCATENATE(A188,$B$10,B188),'ID1&amp;5'!B:J,8,FALSE),"-")</f>
        <v>-</v>
      </c>
      <c r="L188" s="82" t="str">
        <f>+IFERROR(VLOOKUP(B188,'ID1&amp;5'!K:L,2,FALSE),"-")</f>
        <v>-</v>
      </c>
      <c r="M188" s="83" t="str">
        <f>+IFERROR(VLOOKUP(CONCATENATE(A188,$B$10,B188),'ID1&amp;5'!B:J,9,FALSE),"-")</f>
        <v>-</v>
      </c>
      <c r="N188" s="83" t="str">
        <f>+IFERROR(VLOOKUP(CONCATENATE(A188,$C$10,C188),'ID1&amp;5'!B:J,8,FALSE),"-")</f>
        <v>-</v>
      </c>
      <c r="O188" s="82" t="str">
        <f>+IFERROR(VLOOKUP(C188,'ID1&amp;5'!K:L,2,FALSE),"-")</f>
        <v>-</v>
      </c>
      <c r="P188" s="83" t="str">
        <f>+IFERROR(VLOOKUP(CONCATENATE(A188,$C$10,C188),'ID1&amp;5'!B:J,9,FALSE),"-")</f>
        <v>-</v>
      </c>
      <c r="Q188" s="82" t="str">
        <f>+IFERROR(VLOOKUP(D188,'ID1&amp;5'!K:L,2,FALSE),"-")</f>
        <v>-</v>
      </c>
      <c r="R188" s="26" t="str">
        <f>+IFERROR(VLOOKUP(CONCATENATE(A188,$D$10,D188),'ID1&amp;5'!B:J,9,FALSE),"-")</f>
        <v>-</v>
      </c>
      <c r="S188" s="82" t="str">
        <f>+IFERROR(VLOOKUP(E188,'ID1&amp;5'!K:L,2,FALSE),"-")</f>
        <v>-</v>
      </c>
      <c r="T188" s="83" t="str">
        <f>+IFERROR(VLOOKUP(CONCATENATE(A188,$E$10,E188),'ID1&amp;5'!B:J,9,FALSE),"-")</f>
        <v>-</v>
      </c>
      <c r="U188" s="82" t="str">
        <f>+IFERROR(VLOOKUP(F188,'ID1&amp;5'!K:L,2,FALSE),"-")</f>
        <v>-</v>
      </c>
      <c r="V188" s="83" t="str">
        <f>+IFERROR(VLOOKUP(CONCATENATE(A188,$F$10,F188),'ID1&amp;5'!B:J,9,FALSE),"-")</f>
        <v>-</v>
      </c>
      <c r="W188" s="26" t="str">
        <f>+IFERROR(VLOOKUP(A188,'ID6&amp;7'!A:I,9,FALSE),"-")</f>
        <v>-</v>
      </c>
      <c r="X188" s="26" t="str">
        <f>+IFERROR(VLOOKUP(A188,'ID6&amp;7'!A:J,10,FALSE),"-")</f>
        <v>-</v>
      </c>
      <c r="Y188" s="26"/>
      <c r="Z188" s="27" t="str">
        <f t="shared" si="7"/>
        <v>Por iniciar</v>
      </c>
    </row>
    <row r="189" spans="1:26">
      <c r="A189" s="20" t="str">
        <f t="shared" si="6"/>
        <v>INSTRUMENTEAD45596</v>
      </c>
      <c r="B189" s="66"/>
      <c r="C189" s="60"/>
      <c r="D189" s="60"/>
      <c r="E189" s="60"/>
      <c r="F189" s="67"/>
      <c r="G189" s="60"/>
      <c r="H189" s="65" t="s">
        <v>126</v>
      </c>
      <c r="I189" s="21" t="s">
        <v>476</v>
      </c>
      <c r="J189" s="26">
        <f>+COUNTIF('ID1&amp;5'!G:G,'1. Status'!I189)</f>
        <v>0</v>
      </c>
      <c r="K189" s="83" t="str">
        <f>+IFERROR(VLOOKUP(CONCATENATE(A189,$B$10,B189),'ID1&amp;5'!B:J,8,FALSE),"-")</f>
        <v>-</v>
      </c>
      <c r="L189" s="82" t="str">
        <f>+IFERROR(VLOOKUP(B189,'ID1&amp;5'!K:L,2,FALSE),"-")</f>
        <v>-</v>
      </c>
      <c r="M189" s="83" t="str">
        <f>+IFERROR(VLOOKUP(CONCATENATE(A189,$B$10,B189),'ID1&amp;5'!B:J,9,FALSE),"-")</f>
        <v>-</v>
      </c>
      <c r="N189" s="83" t="str">
        <f>+IFERROR(VLOOKUP(CONCATENATE(A189,$C$10,C189),'ID1&amp;5'!B:J,8,FALSE),"-")</f>
        <v>-</v>
      </c>
      <c r="O189" s="82" t="str">
        <f>+IFERROR(VLOOKUP(C189,'ID1&amp;5'!K:L,2,FALSE),"-")</f>
        <v>-</v>
      </c>
      <c r="P189" s="83" t="str">
        <f>+IFERROR(VLOOKUP(CONCATENATE(A189,$C$10,C189),'ID1&amp;5'!B:J,9,FALSE),"-")</f>
        <v>-</v>
      </c>
      <c r="Q189" s="82" t="str">
        <f>+IFERROR(VLOOKUP(D189,'ID1&amp;5'!K:L,2,FALSE),"-")</f>
        <v>-</v>
      </c>
      <c r="R189" s="26" t="str">
        <f>+IFERROR(VLOOKUP(CONCATENATE(A189,$D$10,D189),'ID1&amp;5'!B:J,9,FALSE),"-")</f>
        <v>-</v>
      </c>
      <c r="S189" s="82" t="str">
        <f>+IFERROR(VLOOKUP(E189,'ID1&amp;5'!K:L,2,FALSE),"-")</f>
        <v>-</v>
      </c>
      <c r="T189" s="83" t="str">
        <f>+IFERROR(VLOOKUP(CONCATENATE(A189,$E$10,E189),'ID1&amp;5'!B:J,9,FALSE),"-")</f>
        <v>-</v>
      </c>
      <c r="U189" s="82" t="str">
        <f>+IFERROR(VLOOKUP(F189,'ID1&amp;5'!K:L,2,FALSE),"-")</f>
        <v>-</v>
      </c>
      <c r="V189" s="83" t="str">
        <f>+IFERROR(VLOOKUP(CONCATENATE(A189,$F$10,F189),'ID1&amp;5'!B:J,9,FALSE),"-")</f>
        <v>-</v>
      </c>
      <c r="W189" s="26" t="str">
        <f>+IFERROR(VLOOKUP(A189,'ID6&amp;7'!A:I,9,FALSE),"-")</f>
        <v>-</v>
      </c>
      <c r="X189" s="26" t="str">
        <f>+IFERROR(VLOOKUP(A189,'ID6&amp;7'!A:J,10,FALSE),"-")</f>
        <v>-</v>
      </c>
      <c r="Y189" s="26"/>
      <c r="Z189" s="27" t="str">
        <f t="shared" si="7"/>
        <v>Por iniciar</v>
      </c>
    </row>
    <row r="190" spans="1:26">
      <c r="A190" s="20" t="str">
        <f t="shared" si="6"/>
        <v>INSTRUMENTIFRS9_CCF45596</v>
      </c>
      <c r="B190" s="66"/>
      <c r="C190" s="60"/>
      <c r="D190" s="60"/>
      <c r="E190" s="60"/>
      <c r="F190" s="67"/>
      <c r="G190" s="60"/>
      <c r="H190" s="65" t="s">
        <v>126</v>
      </c>
      <c r="I190" s="21" t="s">
        <v>477</v>
      </c>
      <c r="J190" s="26">
        <f>+COUNTIF('ID1&amp;5'!G:G,'1. Status'!I190)</f>
        <v>0</v>
      </c>
      <c r="K190" s="83" t="str">
        <f>+IFERROR(VLOOKUP(CONCATENATE(A190,$B$10,B190),'ID1&amp;5'!B:J,8,FALSE),"-")</f>
        <v>-</v>
      </c>
      <c r="L190" s="82" t="str">
        <f>+IFERROR(VLOOKUP(B190,'ID1&amp;5'!K:L,2,FALSE),"-")</f>
        <v>-</v>
      </c>
      <c r="M190" s="83" t="str">
        <f>+IFERROR(VLOOKUP(CONCATENATE(A190,$B$10,B190),'ID1&amp;5'!B:J,9,FALSE),"-")</f>
        <v>-</v>
      </c>
      <c r="N190" s="83" t="str">
        <f>+IFERROR(VLOOKUP(CONCATENATE(A190,$C$10,C190),'ID1&amp;5'!B:J,8,FALSE),"-")</f>
        <v>-</v>
      </c>
      <c r="O190" s="82" t="str">
        <f>+IFERROR(VLOOKUP(C190,'ID1&amp;5'!K:L,2,FALSE),"-")</f>
        <v>-</v>
      </c>
      <c r="P190" s="83" t="str">
        <f>+IFERROR(VLOOKUP(CONCATENATE(A190,$C$10,C190),'ID1&amp;5'!B:J,9,FALSE),"-")</f>
        <v>-</v>
      </c>
      <c r="Q190" s="82" t="str">
        <f>+IFERROR(VLOOKUP(D190,'ID1&amp;5'!K:L,2,FALSE),"-")</f>
        <v>-</v>
      </c>
      <c r="R190" s="26" t="str">
        <f>+IFERROR(VLOOKUP(CONCATENATE(A190,$D$10,D190),'ID1&amp;5'!B:J,9,FALSE),"-")</f>
        <v>-</v>
      </c>
      <c r="S190" s="82" t="str">
        <f>+IFERROR(VLOOKUP(E190,'ID1&amp;5'!K:L,2,FALSE),"-")</f>
        <v>-</v>
      </c>
      <c r="T190" s="83" t="str">
        <f>+IFERROR(VLOOKUP(CONCATENATE(A190,$E$10,E190),'ID1&amp;5'!B:J,9,FALSE),"-")</f>
        <v>-</v>
      </c>
      <c r="U190" s="82" t="str">
        <f>+IFERROR(VLOOKUP(F190,'ID1&amp;5'!K:L,2,FALSE),"-")</f>
        <v>-</v>
      </c>
      <c r="V190" s="83" t="str">
        <f>+IFERROR(VLOOKUP(CONCATENATE(A190,$F$10,F190),'ID1&amp;5'!B:J,9,FALSE),"-")</f>
        <v>-</v>
      </c>
      <c r="W190" s="26" t="str">
        <f>+IFERROR(VLOOKUP(A190,'ID6&amp;7'!A:I,9,FALSE),"-")</f>
        <v>-</v>
      </c>
      <c r="X190" s="26" t="str">
        <f>+IFERROR(VLOOKUP(A190,'ID6&amp;7'!A:J,10,FALSE),"-")</f>
        <v>-</v>
      </c>
      <c r="Y190" s="26"/>
      <c r="Z190" s="27" t="str">
        <f t="shared" si="7"/>
        <v>Por iniciar</v>
      </c>
    </row>
    <row r="191" spans="1:26">
      <c r="A191" s="20" t="str">
        <f t="shared" si="6"/>
        <v>INSTRUMENTIFRS9_EAD45596</v>
      </c>
      <c r="B191" s="66"/>
      <c r="C191" s="60"/>
      <c r="D191" s="60"/>
      <c r="E191" s="60"/>
      <c r="F191" s="67"/>
      <c r="G191" s="60"/>
      <c r="H191" s="65" t="s">
        <v>126</v>
      </c>
      <c r="I191" s="21" t="s">
        <v>478</v>
      </c>
      <c r="J191" s="26">
        <f>+COUNTIF('ID1&amp;5'!G:G,'1. Status'!I191)</f>
        <v>0</v>
      </c>
      <c r="K191" s="83" t="str">
        <f>+IFERROR(VLOOKUP(CONCATENATE(A191,$B$10,B191),'ID1&amp;5'!B:J,8,FALSE),"-")</f>
        <v>-</v>
      </c>
      <c r="L191" s="82" t="str">
        <f>+IFERROR(VLOOKUP(B191,'ID1&amp;5'!K:L,2,FALSE),"-")</f>
        <v>-</v>
      </c>
      <c r="M191" s="83" t="str">
        <f>+IFERROR(VLOOKUP(CONCATENATE(A191,$B$10,B191),'ID1&amp;5'!B:J,9,FALSE),"-")</f>
        <v>-</v>
      </c>
      <c r="N191" s="83" t="str">
        <f>+IFERROR(VLOOKUP(CONCATENATE(A191,$C$10,C191),'ID1&amp;5'!B:J,8,FALSE),"-")</f>
        <v>-</v>
      </c>
      <c r="O191" s="82" t="str">
        <f>+IFERROR(VLOOKUP(C191,'ID1&amp;5'!K:L,2,FALSE),"-")</f>
        <v>-</v>
      </c>
      <c r="P191" s="83" t="str">
        <f>+IFERROR(VLOOKUP(CONCATENATE(A191,$C$10,C191),'ID1&amp;5'!B:J,9,FALSE),"-")</f>
        <v>-</v>
      </c>
      <c r="Q191" s="82" t="str">
        <f>+IFERROR(VLOOKUP(D191,'ID1&amp;5'!K:L,2,FALSE),"-")</f>
        <v>-</v>
      </c>
      <c r="R191" s="26" t="str">
        <f>+IFERROR(VLOOKUP(CONCATENATE(A191,$D$10,D191),'ID1&amp;5'!B:J,9,FALSE),"-")</f>
        <v>-</v>
      </c>
      <c r="S191" s="82" t="str">
        <f>+IFERROR(VLOOKUP(E191,'ID1&amp;5'!K:L,2,FALSE),"-")</f>
        <v>-</v>
      </c>
      <c r="T191" s="83" t="str">
        <f>+IFERROR(VLOOKUP(CONCATENATE(A191,$E$10,E191),'ID1&amp;5'!B:J,9,FALSE),"-")</f>
        <v>-</v>
      </c>
      <c r="U191" s="82" t="str">
        <f>+IFERROR(VLOOKUP(F191,'ID1&amp;5'!K:L,2,FALSE),"-")</f>
        <v>-</v>
      </c>
      <c r="V191" s="83" t="str">
        <f>+IFERROR(VLOOKUP(CONCATENATE(A191,$F$10,F191),'ID1&amp;5'!B:J,9,FALSE),"-")</f>
        <v>-</v>
      </c>
      <c r="W191" s="26" t="str">
        <f>+IFERROR(VLOOKUP(A191,'ID6&amp;7'!A:I,9,FALSE),"-")</f>
        <v>-</v>
      </c>
      <c r="X191" s="26" t="str">
        <f>+IFERROR(VLOOKUP(A191,'ID6&amp;7'!A:J,10,FALSE),"-")</f>
        <v>-</v>
      </c>
      <c r="Y191" s="26"/>
      <c r="Z191" s="27" t="str">
        <f t="shared" si="7"/>
        <v>Por iniciar</v>
      </c>
    </row>
    <row r="192" spans="1:26">
      <c r="A192" s="20" t="str">
        <f t="shared" si="6"/>
        <v>INSTRUMENTINSTLMNT_PAY45596</v>
      </c>
      <c r="B192" s="66"/>
      <c r="C192" s="60"/>
      <c r="D192" s="60"/>
      <c r="E192" s="60"/>
      <c r="F192" s="67"/>
      <c r="G192" s="60"/>
      <c r="H192" s="65" t="s">
        <v>126</v>
      </c>
      <c r="I192" s="21" t="s">
        <v>479</v>
      </c>
      <c r="J192" s="26">
        <f>+COUNTIF('ID1&amp;5'!G:G,'1. Status'!I192)</f>
        <v>0</v>
      </c>
      <c r="K192" s="83" t="str">
        <f>+IFERROR(VLOOKUP(CONCATENATE(A192,$B$10,B192),'ID1&amp;5'!B:J,8,FALSE),"-")</f>
        <v>-</v>
      </c>
      <c r="L192" s="82" t="str">
        <f>+IFERROR(VLOOKUP(B192,'ID1&amp;5'!K:L,2,FALSE),"-")</f>
        <v>-</v>
      </c>
      <c r="M192" s="83" t="str">
        <f>+IFERROR(VLOOKUP(CONCATENATE(A192,$B$10,B192),'ID1&amp;5'!B:J,9,FALSE),"-")</f>
        <v>-</v>
      </c>
      <c r="N192" s="83" t="str">
        <f>+IFERROR(VLOOKUP(CONCATENATE(A192,$C$10,C192),'ID1&amp;5'!B:J,8,FALSE),"-")</f>
        <v>-</v>
      </c>
      <c r="O192" s="82" t="str">
        <f>+IFERROR(VLOOKUP(C192,'ID1&amp;5'!K:L,2,FALSE),"-")</f>
        <v>-</v>
      </c>
      <c r="P192" s="83" t="str">
        <f>+IFERROR(VLOOKUP(CONCATENATE(A192,$C$10,C192),'ID1&amp;5'!B:J,9,FALSE),"-")</f>
        <v>-</v>
      </c>
      <c r="Q192" s="82" t="str">
        <f>+IFERROR(VLOOKUP(D192,'ID1&amp;5'!K:L,2,FALSE),"-")</f>
        <v>-</v>
      </c>
      <c r="R192" s="26" t="str">
        <f>+IFERROR(VLOOKUP(CONCATENATE(A192,$D$10,D192),'ID1&amp;5'!B:J,9,FALSE),"-")</f>
        <v>-</v>
      </c>
      <c r="S192" s="82" t="str">
        <f>+IFERROR(VLOOKUP(E192,'ID1&amp;5'!K:L,2,FALSE),"-")</f>
        <v>-</v>
      </c>
      <c r="T192" s="83" t="str">
        <f>+IFERROR(VLOOKUP(CONCATENATE(A192,$E$10,E192),'ID1&amp;5'!B:J,9,FALSE),"-")</f>
        <v>-</v>
      </c>
      <c r="U192" s="82" t="str">
        <f>+IFERROR(VLOOKUP(F192,'ID1&amp;5'!K:L,2,FALSE),"-")</f>
        <v>-</v>
      </c>
      <c r="V192" s="83" t="str">
        <f>+IFERROR(VLOOKUP(CONCATENATE(A192,$F$10,F192),'ID1&amp;5'!B:J,9,FALSE),"-")</f>
        <v>-</v>
      </c>
      <c r="W192" s="26" t="str">
        <f>+IFERROR(VLOOKUP(A192,'ID6&amp;7'!A:I,9,FALSE),"-")</f>
        <v>-</v>
      </c>
      <c r="X192" s="26" t="str">
        <f>+IFERROR(VLOOKUP(A192,'ID6&amp;7'!A:J,10,FALSE),"-")</f>
        <v>-</v>
      </c>
      <c r="Y192" s="26"/>
      <c r="Z192" s="27" t="str">
        <f t="shared" si="7"/>
        <v>Por iniciar</v>
      </c>
    </row>
    <row r="193" spans="1:26">
      <c r="A193" s="20" t="str">
        <f t="shared" si="6"/>
        <v>INSTRUMENTOFF_BLNC_SHT_AMNT_INSTRMNT45596</v>
      </c>
      <c r="B193" s="66"/>
      <c r="C193" s="60"/>
      <c r="D193" s="60"/>
      <c r="E193" s="60"/>
      <c r="F193" s="67"/>
      <c r="G193" s="60"/>
      <c r="H193" s="65" t="s">
        <v>126</v>
      </c>
      <c r="I193" s="21" t="s">
        <v>480</v>
      </c>
      <c r="J193" s="26">
        <f>+COUNTIF('ID1&amp;5'!G:G,'1. Status'!I193)</f>
        <v>0</v>
      </c>
      <c r="K193" s="83" t="str">
        <f>+IFERROR(VLOOKUP(CONCATENATE(A193,$B$10,B193),'ID1&amp;5'!B:J,8,FALSE),"-")</f>
        <v>-</v>
      </c>
      <c r="L193" s="82" t="str">
        <f>+IFERROR(VLOOKUP(B193,'ID1&amp;5'!K:L,2,FALSE),"-")</f>
        <v>-</v>
      </c>
      <c r="M193" s="83" t="str">
        <f>+IFERROR(VLOOKUP(CONCATENATE(A193,$B$10,B193),'ID1&amp;5'!B:J,9,FALSE),"-")</f>
        <v>-</v>
      </c>
      <c r="N193" s="83" t="str">
        <f>+IFERROR(VLOOKUP(CONCATENATE(A193,$C$10,C193),'ID1&amp;5'!B:J,8,FALSE),"-")</f>
        <v>-</v>
      </c>
      <c r="O193" s="82" t="str">
        <f>+IFERROR(VLOOKUP(C193,'ID1&amp;5'!K:L,2,FALSE),"-")</f>
        <v>-</v>
      </c>
      <c r="P193" s="83" t="str">
        <f>+IFERROR(VLOOKUP(CONCATENATE(A193,$C$10,C193),'ID1&amp;5'!B:J,9,FALSE),"-")</f>
        <v>-</v>
      </c>
      <c r="Q193" s="82" t="str">
        <f>+IFERROR(VLOOKUP(D193,'ID1&amp;5'!K:L,2,FALSE),"-")</f>
        <v>-</v>
      </c>
      <c r="R193" s="26" t="str">
        <f>+IFERROR(VLOOKUP(CONCATENATE(A193,$D$10,D193),'ID1&amp;5'!B:J,9,FALSE),"-")</f>
        <v>-</v>
      </c>
      <c r="S193" s="82" t="str">
        <f>+IFERROR(VLOOKUP(E193,'ID1&amp;5'!K:L,2,FALSE),"-")</f>
        <v>-</v>
      </c>
      <c r="T193" s="83" t="str">
        <f>+IFERROR(VLOOKUP(CONCATENATE(A193,$E$10,E193),'ID1&amp;5'!B:J,9,FALSE),"-")</f>
        <v>-</v>
      </c>
      <c r="U193" s="82" t="str">
        <f>+IFERROR(VLOOKUP(F193,'ID1&amp;5'!K:L,2,FALSE),"-")</f>
        <v>-</v>
      </c>
      <c r="V193" s="83" t="str">
        <f>+IFERROR(VLOOKUP(CONCATENATE(A193,$F$10,F193),'ID1&amp;5'!B:J,9,FALSE),"-")</f>
        <v>-</v>
      </c>
      <c r="W193" s="26" t="str">
        <f>+IFERROR(VLOOKUP(A193,'ID6&amp;7'!A:I,9,FALSE),"-")</f>
        <v>-</v>
      </c>
      <c r="X193" s="26" t="str">
        <f>+IFERROR(VLOOKUP(A193,'ID6&amp;7'!A:J,10,FALSE),"-")</f>
        <v>-</v>
      </c>
      <c r="Y193" s="26"/>
      <c r="Z193" s="27" t="str">
        <f t="shared" si="7"/>
        <v>Por iniciar</v>
      </c>
    </row>
    <row r="194" spans="1:26">
      <c r="A194" s="20" t="str">
        <f t="shared" si="6"/>
        <v>INSTRUMENTOFF_BLNC_SHT_AMNT_INSTRMNT_PRVS45596</v>
      </c>
      <c r="B194" s="66"/>
      <c r="C194" s="60"/>
      <c r="D194" s="60"/>
      <c r="E194" s="60"/>
      <c r="F194" s="67"/>
      <c r="G194" s="60"/>
      <c r="H194" s="65" t="s">
        <v>126</v>
      </c>
      <c r="I194" s="21" t="s">
        <v>481</v>
      </c>
      <c r="J194" s="26">
        <f>+COUNTIF('ID1&amp;5'!G:G,'1. Status'!I194)</f>
        <v>0</v>
      </c>
      <c r="K194" s="83" t="str">
        <f>+IFERROR(VLOOKUP(CONCATENATE(A194,$B$10,B194),'ID1&amp;5'!B:J,8,FALSE),"-")</f>
        <v>-</v>
      </c>
      <c r="L194" s="82" t="str">
        <f>+IFERROR(VLOOKUP(B194,'ID1&amp;5'!K:L,2,FALSE),"-")</f>
        <v>-</v>
      </c>
      <c r="M194" s="83" t="str">
        <f>+IFERROR(VLOOKUP(CONCATENATE(A194,$B$10,B194),'ID1&amp;5'!B:J,9,FALSE),"-")</f>
        <v>-</v>
      </c>
      <c r="N194" s="83" t="str">
        <f>+IFERROR(VLOOKUP(CONCATENATE(A194,$C$10,C194),'ID1&amp;5'!B:J,8,FALSE),"-")</f>
        <v>-</v>
      </c>
      <c r="O194" s="82" t="str">
        <f>+IFERROR(VLOOKUP(C194,'ID1&amp;5'!K:L,2,FALSE),"-")</f>
        <v>-</v>
      </c>
      <c r="P194" s="83" t="str">
        <f>+IFERROR(VLOOKUP(CONCATENATE(A194,$C$10,C194),'ID1&amp;5'!B:J,9,FALSE),"-")</f>
        <v>-</v>
      </c>
      <c r="Q194" s="82" t="str">
        <f>+IFERROR(VLOOKUP(D194,'ID1&amp;5'!K:L,2,FALSE),"-")</f>
        <v>-</v>
      </c>
      <c r="R194" s="26" t="str">
        <f>+IFERROR(VLOOKUP(CONCATENATE(A194,$D$10,D194),'ID1&amp;5'!B:J,9,FALSE),"-")</f>
        <v>-</v>
      </c>
      <c r="S194" s="82" t="str">
        <f>+IFERROR(VLOOKUP(E194,'ID1&amp;5'!K:L,2,FALSE),"-")</f>
        <v>-</v>
      </c>
      <c r="T194" s="83" t="str">
        <f>+IFERROR(VLOOKUP(CONCATENATE(A194,$E$10,E194),'ID1&amp;5'!B:J,9,FALSE),"-")</f>
        <v>-</v>
      </c>
      <c r="U194" s="82" t="str">
        <f>+IFERROR(VLOOKUP(F194,'ID1&amp;5'!K:L,2,FALSE),"-")</f>
        <v>-</v>
      </c>
      <c r="V194" s="83" t="str">
        <f>+IFERROR(VLOOKUP(CONCATENATE(A194,$F$10,F194),'ID1&amp;5'!B:J,9,FALSE),"-")</f>
        <v>-</v>
      </c>
      <c r="W194" s="26" t="str">
        <f>+IFERROR(VLOOKUP(A194,'ID6&amp;7'!A:I,9,FALSE),"-")</f>
        <v>-</v>
      </c>
      <c r="X194" s="26" t="str">
        <f>+IFERROR(VLOOKUP(A194,'ID6&amp;7'!A:J,10,FALSE),"-")</f>
        <v>-</v>
      </c>
      <c r="Y194" s="26"/>
      <c r="Z194" s="27" t="str">
        <f t="shared" si="7"/>
        <v>Por iniciar</v>
      </c>
    </row>
    <row r="195" spans="1:26">
      <c r="A195" s="20" t="str">
        <f t="shared" si="6"/>
        <v>INSTRUMENTOTSTNDNG_NMNL_AMNT_INSTRMNT45596</v>
      </c>
      <c r="B195" s="66"/>
      <c r="C195" s="60"/>
      <c r="D195" s="60"/>
      <c r="E195" s="60"/>
      <c r="F195" s="67"/>
      <c r="G195" s="60"/>
      <c r="H195" s="65" t="s">
        <v>126</v>
      </c>
      <c r="I195" s="21" t="s">
        <v>482</v>
      </c>
      <c r="J195" s="26">
        <f>+COUNTIF('ID1&amp;5'!G:G,'1. Status'!I195)</f>
        <v>0</v>
      </c>
      <c r="K195" s="83" t="str">
        <f>+IFERROR(VLOOKUP(CONCATENATE(A195,$B$10,B195),'ID1&amp;5'!B:J,8,FALSE),"-")</f>
        <v>-</v>
      </c>
      <c r="L195" s="82" t="str">
        <f>+IFERROR(VLOOKUP(B195,'ID1&amp;5'!K:L,2,FALSE),"-")</f>
        <v>-</v>
      </c>
      <c r="M195" s="83" t="str">
        <f>+IFERROR(VLOOKUP(CONCATENATE(A195,$B$10,B195),'ID1&amp;5'!B:J,9,FALSE),"-")</f>
        <v>-</v>
      </c>
      <c r="N195" s="83" t="str">
        <f>+IFERROR(VLOOKUP(CONCATENATE(A195,$C$10,C195),'ID1&amp;5'!B:J,8,FALSE),"-")</f>
        <v>-</v>
      </c>
      <c r="O195" s="82" t="str">
        <f>+IFERROR(VLOOKUP(C195,'ID1&amp;5'!K:L,2,FALSE),"-")</f>
        <v>-</v>
      </c>
      <c r="P195" s="83" t="str">
        <f>+IFERROR(VLOOKUP(CONCATENATE(A195,$C$10,C195),'ID1&amp;5'!B:J,9,FALSE),"-")</f>
        <v>-</v>
      </c>
      <c r="Q195" s="82" t="str">
        <f>+IFERROR(VLOOKUP(D195,'ID1&amp;5'!K:L,2,FALSE),"-")</f>
        <v>-</v>
      </c>
      <c r="R195" s="26" t="str">
        <f>+IFERROR(VLOOKUP(CONCATENATE(A195,$D$10,D195),'ID1&amp;5'!B:J,9,FALSE),"-")</f>
        <v>-</v>
      </c>
      <c r="S195" s="82" t="str">
        <f>+IFERROR(VLOOKUP(E195,'ID1&amp;5'!K:L,2,FALSE),"-")</f>
        <v>-</v>
      </c>
      <c r="T195" s="83" t="str">
        <f>+IFERROR(VLOOKUP(CONCATENATE(A195,$E$10,E195),'ID1&amp;5'!B:J,9,FALSE),"-")</f>
        <v>-</v>
      </c>
      <c r="U195" s="82" t="str">
        <f>+IFERROR(VLOOKUP(F195,'ID1&amp;5'!K:L,2,FALSE),"-")</f>
        <v>-</v>
      </c>
      <c r="V195" s="83" t="str">
        <f>+IFERROR(VLOOKUP(CONCATENATE(A195,$F$10,F195),'ID1&amp;5'!B:J,9,FALSE),"-")</f>
        <v>-</v>
      </c>
      <c r="W195" s="26" t="str">
        <f>+IFERROR(VLOOKUP(A195,'ID6&amp;7'!A:I,9,FALSE),"-")</f>
        <v>-</v>
      </c>
      <c r="X195" s="26" t="str">
        <f>+IFERROR(VLOOKUP(A195,'ID6&amp;7'!A:J,10,FALSE),"-")</f>
        <v>-</v>
      </c>
      <c r="Y195" s="26"/>
      <c r="Z195" s="27" t="str">
        <f t="shared" si="7"/>
        <v>Por iniciar</v>
      </c>
    </row>
    <row r="196" spans="1:26">
      <c r="A196" s="20" t="str">
        <f t="shared" si="6"/>
        <v>INSTRUMENTOTSTNDNG_NMNL_AMNT_INSTRMNT_PRVS45596</v>
      </c>
      <c r="B196" s="66"/>
      <c r="C196" s="60"/>
      <c r="D196" s="60"/>
      <c r="E196" s="60"/>
      <c r="F196" s="67"/>
      <c r="G196" s="60"/>
      <c r="H196" s="65" t="s">
        <v>126</v>
      </c>
      <c r="I196" s="21" t="s">
        <v>483</v>
      </c>
      <c r="J196" s="26">
        <f>+COUNTIF('ID1&amp;5'!G:G,'1. Status'!I196)</f>
        <v>0</v>
      </c>
      <c r="K196" s="83" t="str">
        <f>+IFERROR(VLOOKUP(CONCATENATE(A196,$B$10,B196),'ID1&amp;5'!B:J,8,FALSE),"-")</f>
        <v>-</v>
      </c>
      <c r="L196" s="82" t="str">
        <f>+IFERROR(VLOOKUP(B196,'ID1&amp;5'!K:L,2,FALSE),"-")</f>
        <v>-</v>
      </c>
      <c r="M196" s="83" t="str">
        <f>+IFERROR(VLOOKUP(CONCATENATE(A196,$B$10,B196),'ID1&amp;5'!B:J,9,FALSE),"-")</f>
        <v>-</v>
      </c>
      <c r="N196" s="83" t="str">
        <f>+IFERROR(VLOOKUP(CONCATENATE(A196,$C$10,C196),'ID1&amp;5'!B:J,8,FALSE),"-")</f>
        <v>-</v>
      </c>
      <c r="O196" s="82" t="str">
        <f>+IFERROR(VLOOKUP(C196,'ID1&amp;5'!K:L,2,FALSE),"-")</f>
        <v>-</v>
      </c>
      <c r="P196" s="83" t="str">
        <f>+IFERROR(VLOOKUP(CONCATENATE(A196,$C$10,C196),'ID1&amp;5'!B:J,9,FALSE),"-")</f>
        <v>-</v>
      </c>
      <c r="Q196" s="82" t="str">
        <f>+IFERROR(VLOOKUP(D196,'ID1&amp;5'!K:L,2,FALSE),"-")</f>
        <v>-</v>
      </c>
      <c r="R196" s="26" t="str">
        <f>+IFERROR(VLOOKUP(CONCATENATE(A196,$D$10,D196),'ID1&amp;5'!B:J,9,FALSE),"-")</f>
        <v>-</v>
      </c>
      <c r="S196" s="82" t="str">
        <f>+IFERROR(VLOOKUP(E196,'ID1&amp;5'!K:L,2,FALSE),"-")</f>
        <v>-</v>
      </c>
      <c r="T196" s="83" t="str">
        <f>+IFERROR(VLOOKUP(CONCATENATE(A196,$E$10,E196),'ID1&amp;5'!B:J,9,FALSE),"-")</f>
        <v>-</v>
      </c>
      <c r="U196" s="82" t="str">
        <f>+IFERROR(VLOOKUP(F196,'ID1&amp;5'!K:L,2,FALSE),"-")</f>
        <v>-</v>
      </c>
      <c r="V196" s="83" t="str">
        <f>+IFERROR(VLOOKUP(CONCATENATE(A196,$F$10,F196),'ID1&amp;5'!B:J,9,FALSE),"-")</f>
        <v>-</v>
      </c>
      <c r="W196" s="26" t="str">
        <f>+IFERROR(VLOOKUP(A196,'ID6&amp;7'!A:I,9,FALSE),"-")</f>
        <v>-</v>
      </c>
      <c r="X196" s="26" t="str">
        <f>+IFERROR(VLOOKUP(A196,'ID6&amp;7'!A:J,10,FALSE),"-")</f>
        <v>-</v>
      </c>
      <c r="Y196" s="26"/>
      <c r="Z196" s="27" t="str">
        <f t="shared" si="7"/>
        <v>Por iniciar</v>
      </c>
    </row>
    <row r="197" spans="1:26">
      <c r="A197" s="20" t="str">
        <f t="shared" si="6"/>
        <v>INSTRUMENTPRVSNS_OFF_BLNC_SHT45596</v>
      </c>
      <c r="B197" s="66"/>
      <c r="C197" s="60"/>
      <c r="D197" s="60"/>
      <c r="E197" s="60"/>
      <c r="F197" s="67"/>
      <c r="G197" s="60"/>
      <c r="H197" s="65" t="s">
        <v>126</v>
      </c>
      <c r="I197" s="21" t="s">
        <v>484</v>
      </c>
      <c r="J197" s="26">
        <f>+COUNTIF('ID1&amp;5'!G:G,'1. Status'!I197)</f>
        <v>0</v>
      </c>
      <c r="K197" s="83" t="str">
        <f>+IFERROR(VLOOKUP(CONCATENATE(A197,$B$10,B197),'ID1&amp;5'!B:J,8,FALSE),"-")</f>
        <v>-</v>
      </c>
      <c r="L197" s="82" t="str">
        <f>+IFERROR(VLOOKUP(B197,'ID1&amp;5'!K:L,2,FALSE),"-")</f>
        <v>-</v>
      </c>
      <c r="M197" s="83" t="str">
        <f>+IFERROR(VLOOKUP(CONCATENATE(A197,$B$10,B197),'ID1&amp;5'!B:J,9,FALSE),"-")</f>
        <v>-</v>
      </c>
      <c r="N197" s="83" t="str">
        <f>+IFERROR(VLOOKUP(CONCATENATE(A197,$C$10,C197),'ID1&amp;5'!B:J,8,FALSE),"-")</f>
        <v>-</v>
      </c>
      <c r="O197" s="82" t="str">
        <f>+IFERROR(VLOOKUP(C197,'ID1&amp;5'!K:L,2,FALSE),"-")</f>
        <v>-</v>
      </c>
      <c r="P197" s="83" t="str">
        <f>+IFERROR(VLOOKUP(CONCATENATE(A197,$C$10,C197),'ID1&amp;5'!B:J,9,FALSE),"-")</f>
        <v>-</v>
      </c>
      <c r="Q197" s="82" t="str">
        <f>+IFERROR(VLOOKUP(D197,'ID1&amp;5'!K:L,2,FALSE),"-")</f>
        <v>-</v>
      </c>
      <c r="R197" s="26" t="str">
        <f>+IFERROR(VLOOKUP(CONCATENATE(A197,$D$10,D197),'ID1&amp;5'!B:J,9,FALSE),"-")</f>
        <v>-</v>
      </c>
      <c r="S197" s="82" t="str">
        <f>+IFERROR(VLOOKUP(E197,'ID1&amp;5'!K:L,2,FALSE),"-")</f>
        <v>-</v>
      </c>
      <c r="T197" s="83" t="str">
        <f>+IFERROR(VLOOKUP(CONCATENATE(A197,$E$10,E197),'ID1&amp;5'!B:J,9,FALSE),"-")</f>
        <v>-</v>
      </c>
      <c r="U197" s="82" t="str">
        <f>+IFERROR(VLOOKUP(F197,'ID1&amp;5'!K:L,2,FALSE),"-")</f>
        <v>-</v>
      </c>
      <c r="V197" s="83" t="str">
        <f>+IFERROR(VLOOKUP(CONCATENATE(A197,$F$10,F197),'ID1&amp;5'!B:J,9,FALSE),"-")</f>
        <v>-</v>
      </c>
      <c r="W197" s="26" t="str">
        <f>+IFERROR(VLOOKUP(A197,'ID6&amp;7'!A:I,9,FALSE),"-")</f>
        <v>-</v>
      </c>
      <c r="X197" s="26" t="str">
        <f>+IFERROR(VLOOKUP(A197,'ID6&amp;7'!A:J,10,FALSE),"-")</f>
        <v>-</v>
      </c>
      <c r="Y197" s="26"/>
      <c r="Z197" s="27" t="str">
        <f t="shared" si="7"/>
        <v>Por iniciar</v>
      </c>
    </row>
    <row r="198" spans="1:26">
      <c r="A198" s="20" t="str">
        <f t="shared" si="6"/>
        <v>INSTRUMENTPYMNT_FRQNCY45596</v>
      </c>
      <c r="B198" s="66"/>
      <c r="C198" s="60"/>
      <c r="D198" s="60"/>
      <c r="E198" s="60"/>
      <c r="F198" s="67"/>
      <c r="G198" s="60"/>
      <c r="H198" s="65" t="s">
        <v>126</v>
      </c>
      <c r="I198" s="21" t="s">
        <v>485</v>
      </c>
      <c r="J198" s="26">
        <f>+COUNTIF('ID1&amp;5'!G:G,'1. Status'!I198)</f>
        <v>0</v>
      </c>
      <c r="K198" s="83" t="str">
        <f>+IFERROR(VLOOKUP(CONCATENATE(A198,$B$10,B198),'ID1&amp;5'!B:J,8,FALSE),"-")</f>
        <v>-</v>
      </c>
      <c r="L198" s="82" t="str">
        <f>+IFERROR(VLOOKUP(B198,'ID1&amp;5'!K:L,2,FALSE),"-")</f>
        <v>-</v>
      </c>
      <c r="M198" s="83" t="str">
        <f>+IFERROR(VLOOKUP(CONCATENATE(A198,$B$10,B198),'ID1&amp;5'!B:J,9,FALSE),"-")</f>
        <v>-</v>
      </c>
      <c r="N198" s="83" t="str">
        <f>+IFERROR(VLOOKUP(CONCATENATE(A198,$C$10,C198),'ID1&amp;5'!B:J,8,FALSE),"-")</f>
        <v>-</v>
      </c>
      <c r="O198" s="82" t="str">
        <f>+IFERROR(VLOOKUP(C198,'ID1&amp;5'!K:L,2,FALSE),"-")</f>
        <v>-</v>
      </c>
      <c r="P198" s="83" t="str">
        <f>+IFERROR(VLOOKUP(CONCATENATE(A198,$C$10,C198),'ID1&amp;5'!B:J,9,FALSE),"-")</f>
        <v>-</v>
      </c>
      <c r="Q198" s="82" t="str">
        <f>+IFERROR(VLOOKUP(D198,'ID1&amp;5'!K:L,2,FALSE),"-")</f>
        <v>-</v>
      </c>
      <c r="R198" s="26" t="str">
        <f>+IFERROR(VLOOKUP(CONCATENATE(A198,$D$10,D198),'ID1&amp;5'!B:J,9,FALSE),"-")</f>
        <v>-</v>
      </c>
      <c r="S198" s="82" t="str">
        <f>+IFERROR(VLOOKUP(E198,'ID1&amp;5'!K:L,2,FALSE),"-")</f>
        <v>-</v>
      </c>
      <c r="T198" s="83" t="str">
        <f>+IFERROR(VLOOKUP(CONCATENATE(A198,$E$10,E198),'ID1&amp;5'!B:J,9,FALSE),"-")</f>
        <v>-</v>
      </c>
      <c r="U198" s="82" t="str">
        <f>+IFERROR(VLOOKUP(F198,'ID1&amp;5'!K:L,2,FALSE),"-")</f>
        <v>-</v>
      </c>
      <c r="V198" s="83" t="str">
        <f>+IFERROR(VLOOKUP(CONCATENATE(A198,$F$10,F198),'ID1&amp;5'!B:J,9,FALSE),"-")</f>
        <v>-</v>
      </c>
      <c r="W198" s="26" t="str">
        <f>+IFERROR(VLOOKUP(A198,'ID6&amp;7'!A:I,9,FALSE),"-")</f>
        <v>-</v>
      </c>
      <c r="X198" s="26" t="str">
        <f>+IFERROR(VLOOKUP(A198,'ID6&amp;7'!A:J,10,FALSE),"-")</f>
        <v>-</v>
      </c>
      <c r="Y198" s="26"/>
      <c r="Z198" s="27" t="str">
        <f t="shared" si="7"/>
        <v>Por iniciar</v>
      </c>
    </row>
    <row r="199" spans="1:26">
      <c r="A199" s="20" t="str">
        <f t="shared" si="6"/>
        <v>INSTRUMENTRTNTN_SHR45596</v>
      </c>
      <c r="B199" s="66"/>
      <c r="C199" s="60"/>
      <c r="D199" s="60"/>
      <c r="E199" s="60"/>
      <c r="F199" s="67"/>
      <c r="G199" s="60"/>
      <c r="H199" s="65" t="s">
        <v>126</v>
      </c>
      <c r="I199" s="21" t="s">
        <v>486</v>
      </c>
      <c r="J199" s="26">
        <f>+COUNTIF('ID1&amp;5'!G:G,'1. Status'!I199)</f>
        <v>0</v>
      </c>
      <c r="K199" s="83" t="str">
        <f>+IFERROR(VLOOKUP(CONCATENATE(A199,$B$10,B199),'ID1&amp;5'!B:J,8,FALSE),"-")</f>
        <v>-</v>
      </c>
      <c r="L199" s="82" t="str">
        <f>+IFERROR(VLOOKUP(B199,'ID1&amp;5'!K:L,2,FALSE),"-")</f>
        <v>-</v>
      </c>
      <c r="M199" s="83" t="str">
        <f>+IFERROR(VLOOKUP(CONCATENATE(A199,$B$10,B199),'ID1&amp;5'!B:J,9,FALSE),"-")</f>
        <v>-</v>
      </c>
      <c r="N199" s="83" t="str">
        <f>+IFERROR(VLOOKUP(CONCATENATE(A199,$C$10,C199),'ID1&amp;5'!B:J,8,FALSE),"-")</f>
        <v>-</v>
      </c>
      <c r="O199" s="82" t="str">
        <f>+IFERROR(VLOOKUP(C199,'ID1&amp;5'!K:L,2,FALSE),"-")</f>
        <v>-</v>
      </c>
      <c r="P199" s="83" t="str">
        <f>+IFERROR(VLOOKUP(CONCATENATE(A199,$C$10,C199),'ID1&amp;5'!B:J,9,FALSE),"-")</f>
        <v>-</v>
      </c>
      <c r="Q199" s="82" t="str">
        <f>+IFERROR(VLOOKUP(D199,'ID1&amp;5'!K:L,2,FALSE),"-")</f>
        <v>-</v>
      </c>
      <c r="R199" s="26" t="str">
        <f>+IFERROR(VLOOKUP(CONCATENATE(A199,$D$10,D199),'ID1&amp;5'!B:J,9,FALSE),"-")</f>
        <v>-</v>
      </c>
      <c r="S199" s="82" t="str">
        <f>+IFERROR(VLOOKUP(E199,'ID1&amp;5'!K:L,2,FALSE),"-")</f>
        <v>-</v>
      </c>
      <c r="T199" s="83" t="str">
        <f>+IFERROR(VLOOKUP(CONCATENATE(A199,$E$10,E199),'ID1&amp;5'!B:J,9,FALSE),"-")</f>
        <v>-</v>
      </c>
      <c r="U199" s="82" t="str">
        <f>+IFERROR(VLOOKUP(F199,'ID1&amp;5'!K:L,2,FALSE),"-")</f>
        <v>-</v>
      </c>
      <c r="V199" s="83" t="str">
        <f>+IFERROR(VLOOKUP(CONCATENATE(A199,$F$10,F199),'ID1&amp;5'!B:J,9,FALSE),"-")</f>
        <v>-</v>
      </c>
      <c r="W199" s="26" t="str">
        <f>+IFERROR(VLOOKUP(A199,'ID6&amp;7'!A:I,9,FALSE),"-")</f>
        <v>-</v>
      </c>
      <c r="X199" s="26" t="str">
        <f>+IFERROR(VLOOKUP(A199,'ID6&amp;7'!A:J,10,FALSE),"-")</f>
        <v>-</v>
      </c>
      <c r="Y199" s="26"/>
      <c r="Z199" s="27" t="str">
        <f t="shared" si="7"/>
        <v>Por iniciar</v>
      </c>
    </row>
    <row r="200" spans="1:26">
      <c r="A200" s="20" t="str">
        <f t="shared" si="6"/>
        <v>INSTRUMENTRWA45596</v>
      </c>
      <c r="B200" s="66"/>
      <c r="C200" s="60"/>
      <c r="D200" s="60"/>
      <c r="E200" s="60"/>
      <c r="F200" s="67"/>
      <c r="G200" s="60"/>
      <c r="H200" s="65" t="s">
        <v>126</v>
      </c>
      <c r="I200" s="21" t="s">
        <v>487</v>
      </c>
      <c r="J200" s="26">
        <f>+COUNTIF('ID1&amp;5'!G:G,'1. Status'!I200)</f>
        <v>0</v>
      </c>
      <c r="K200" s="83" t="str">
        <f>+IFERROR(VLOOKUP(CONCATENATE(A200,$B$10,B200),'ID1&amp;5'!B:J,8,FALSE),"-")</f>
        <v>-</v>
      </c>
      <c r="L200" s="82" t="str">
        <f>+IFERROR(VLOOKUP(B200,'ID1&amp;5'!K:L,2,FALSE),"-")</f>
        <v>-</v>
      </c>
      <c r="M200" s="83" t="str">
        <f>+IFERROR(VLOOKUP(CONCATENATE(A200,$B$10,B200),'ID1&amp;5'!B:J,9,FALSE),"-")</f>
        <v>-</v>
      </c>
      <c r="N200" s="83" t="str">
        <f>+IFERROR(VLOOKUP(CONCATENATE(A200,$C$10,C200),'ID1&amp;5'!B:J,8,FALSE),"-")</f>
        <v>-</v>
      </c>
      <c r="O200" s="82" t="str">
        <f>+IFERROR(VLOOKUP(C200,'ID1&amp;5'!K:L,2,FALSE),"-")</f>
        <v>-</v>
      </c>
      <c r="P200" s="83" t="str">
        <f>+IFERROR(VLOOKUP(CONCATENATE(A200,$C$10,C200),'ID1&amp;5'!B:J,9,FALSE),"-")</f>
        <v>-</v>
      </c>
      <c r="Q200" s="82" t="str">
        <f>+IFERROR(VLOOKUP(D200,'ID1&amp;5'!K:L,2,FALSE),"-")</f>
        <v>-</v>
      </c>
      <c r="R200" s="26" t="str">
        <f>+IFERROR(VLOOKUP(CONCATENATE(A200,$D$10,D200),'ID1&amp;5'!B:J,9,FALSE),"-")</f>
        <v>-</v>
      </c>
      <c r="S200" s="82" t="str">
        <f>+IFERROR(VLOOKUP(E200,'ID1&amp;5'!K:L,2,FALSE),"-")</f>
        <v>-</v>
      </c>
      <c r="T200" s="83" t="str">
        <f>+IFERROR(VLOOKUP(CONCATENATE(A200,$E$10,E200),'ID1&amp;5'!B:J,9,FALSE),"-")</f>
        <v>-</v>
      </c>
      <c r="U200" s="82" t="str">
        <f>+IFERROR(VLOOKUP(F200,'ID1&amp;5'!K:L,2,FALSE),"-")</f>
        <v>-</v>
      </c>
      <c r="V200" s="83" t="str">
        <f>+IFERROR(VLOOKUP(CONCATENATE(A200,$F$10,F200),'ID1&amp;5'!B:J,9,FALSE),"-")</f>
        <v>-</v>
      </c>
      <c r="W200" s="26" t="str">
        <f>+IFERROR(VLOOKUP(A200,'ID6&amp;7'!A:I,9,FALSE),"-")</f>
        <v>-</v>
      </c>
      <c r="X200" s="26" t="str">
        <f>+IFERROR(VLOOKUP(A200,'ID6&amp;7'!A:J,10,FALSE),"-")</f>
        <v>-</v>
      </c>
      <c r="Y200" s="26"/>
      <c r="Z200" s="27" t="str">
        <f t="shared" si="7"/>
        <v>Por iniciar</v>
      </c>
    </row>
    <row r="201" spans="1:26">
      <c r="A201" s="20" t="str">
        <f t="shared" si="6"/>
        <v>INSTRUMENTRWA_MTHD45596</v>
      </c>
      <c r="B201" s="66"/>
      <c r="C201" s="60"/>
      <c r="D201" s="60"/>
      <c r="E201" s="60"/>
      <c r="F201" s="67"/>
      <c r="G201" s="60"/>
      <c r="H201" s="65" t="s">
        <v>126</v>
      </c>
      <c r="I201" s="21" t="s">
        <v>488</v>
      </c>
      <c r="J201" s="26">
        <f>+COUNTIF('ID1&amp;5'!G:G,'1. Status'!I201)</f>
        <v>0</v>
      </c>
      <c r="K201" s="83" t="str">
        <f>+IFERROR(VLOOKUP(CONCATENATE(A201,$B$10,B201),'ID1&amp;5'!B:J,8,FALSE),"-")</f>
        <v>-</v>
      </c>
      <c r="L201" s="82" t="str">
        <f>+IFERROR(VLOOKUP(B201,'ID1&amp;5'!K:L,2,FALSE),"-")</f>
        <v>-</v>
      </c>
      <c r="M201" s="83" t="str">
        <f>+IFERROR(VLOOKUP(CONCATENATE(A201,$B$10,B201),'ID1&amp;5'!B:J,9,FALSE),"-")</f>
        <v>-</v>
      </c>
      <c r="N201" s="83" t="str">
        <f>+IFERROR(VLOOKUP(CONCATENATE(A201,$C$10,C201),'ID1&amp;5'!B:J,8,FALSE),"-")</f>
        <v>-</v>
      </c>
      <c r="O201" s="82" t="str">
        <f>+IFERROR(VLOOKUP(C201,'ID1&amp;5'!K:L,2,FALSE),"-")</f>
        <v>-</v>
      </c>
      <c r="P201" s="83" t="str">
        <f>+IFERROR(VLOOKUP(CONCATENATE(A201,$C$10,C201),'ID1&amp;5'!B:J,9,FALSE),"-")</f>
        <v>-</v>
      </c>
      <c r="Q201" s="82" t="str">
        <f>+IFERROR(VLOOKUP(D201,'ID1&amp;5'!K:L,2,FALSE),"-")</f>
        <v>-</v>
      </c>
      <c r="R201" s="26" t="str">
        <f>+IFERROR(VLOOKUP(CONCATENATE(A201,$D$10,D201),'ID1&amp;5'!B:J,9,FALSE),"-")</f>
        <v>-</v>
      </c>
      <c r="S201" s="82" t="str">
        <f>+IFERROR(VLOOKUP(E201,'ID1&amp;5'!K:L,2,FALSE),"-")</f>
        <v>-</v>
      </c>
      <c r="T201" s="83" t="str">
        <f>+IFERROR(VLOOKUP(CONCATENATE(A201,$E$10,E201),'ID1&amp;5'!B:J,9,FALSE),"-")</f>
        <v>-</v>
      </c>
      <c r="U201" s="82" t="str">
        <f>+IFERROR(VLOOKUP(F201,'ID1&amp;5'!K:L,2,FALSE),"-")</f>
        <v>-</v>
      </c>
      <c r="V201" s="83" t="str">
        <f>+IFERROR(VLOOKUP(CONCATENATE(A201,$F$10,F201),'ID1&amp;5'!B:J,9,FALSE),"-")</f>
        <v>-</v>
      </c>
      <c r="W201" s="26" t="str">
        <f>+IFERROR(VLOOKUP(A201,'ID6&amp;7'!A:I,9,FALSE),"-")</f>
        <v>-</v>
      </c>
      <c r="X201" s="26" t="str">
        <f>+IFERROR(VLOOKUP(A201,'ID6&amp;7'!A:J,10,FALSE),"-")</f>
        <v>-</v>
      </c>
      <c r="Y201" s="26"/>
      <c r="Z201" s="27" t="str">
        <f t="shared" si="7"/>
        <v>Por iniciar</v>
      </c>
    </row>
    <row r="202" spans="1:26">
      <c r="A202" s="20" t="str">
        <f t="shared" si="6"/>
        <v>INSTRUMENTSPNSR_NM45596</v>
      </c>
      <c r="B202" s="66"/>
      <c r="C202" s="60"/>
      <c r="D202" s="60"/>
      <c r="E202" s="60"/>
      <c r="F202" s="67"/>
      <c r="G202" s="60"/>
      <c r="H202" s="65" t="s">
        <v>126</v>
      </c>
      <c r="I202" s="21" t="s">
        <v>489</v>
      </c>
      <c r="J202" s="26">
        <f>+COUNTIF('ID1&amp;5'!G:G,'1. Status'!I202)</f>
        <v>0</v>
      </c>
      <c r="K202" s="83" t="str">
        <f>+IFERROR(VLOOKUP(CONCATENATE(A202,$B$10,B202),'ID1&amp;5'!B:J,8,FALSE),"-")</f>
        <v>-</v>
      </c>
      <c r="L202" s="82" t="str">
        <f>+IFERROR(VLOOKUP(B202,'ID1&amp;5'!K:L,2,FALSE),"-")</f>
        <v>-</v>
      </c>
      <c r="M202" s="83" t="str">
        <f>+IFERROR(VLOOKUP(CONCATENATE(A202,$B$10,B202),'ID1&amp;5'!B:J,9,FALSE),"-")</f>
        <v>-</v>
      </c>
      <c r="N202" s="83" t="str">
        <f>+IFERROR(VLOOKUP(CONCATENATE(A202,$C$10,C202),'ID1&amp;5'!B:J,8,FALSE),"-")</f>
        <v>-</v>
      </c>
      <c r="O202" s="82" t="str">
        <f>+IFERROR(VLOOKUP(C202,'ID1&amp;5'!K:L,2,FALSE),"-")</f>
        <v>-</v>
      </c>
      <c r="P202" s="83" t="str">
        <f>+IFERROR(VLOOKUP(CONCATENATE(A202,$C$10,C202),'ID1&amp;5'!B:J,9,FALSE),"-")</f>
        <v>-</v>
      </c>
      <c r="Q202" s="82" t="str">
        <f>+IFERROR(VLOOKUP(D202,'ID1&amp;5'!K:L,2,FALSE),"-")</f>
        <v>-</v>
      </c>
      <c r="R202" s="26" t="str">
        <f>+IFERROR(VLOOKUP(CONCATENATE(A202,$D$10,D202),'ID1&amp;5'!B:J,9,FALSE),"-")</f>
        <v>-</v>
      </c>
      <c r="S202" s="82" t="str">
        <f>+IFERROR(VLOOKUP(E202,'ID1&amp;5'!K:L,2,FALSE),"-")</f>
        <v>-</v>
      </c>
      <c r="T202" s="83" t="str">
        <f>+IFERROR(VLOOKUP(CONCATENATE(A202,$E$10,E202),'ID1&amp;5'!B:J,9,FALSE),"-")</f>
        <v>-</v>
      </c>
      <c r="U202" s="82" t="str">
        <f>+IFERROR(VLOOKUP(F202,'ID1&amp;5'!K:L,2,FALSE),"-")</f>
        <v>-</v>
      </c>
      <c r="V202" s="83" t="str">
        <f>+IFERROR(VLOOKUP(CONCATENATE(A202,$F$10,F202),'ID1&amp;5'!B:J,9,FALSE),"-")</f>
        <v>-</v>
      </c>
      <c r="W202" s="26" t="str">
        <f>+IFERROR(VLOOKUP(A202,'ID6&amp;7'!A:I,9,FALSE),"-")</f>
        <v>-</v>
      </c>
      <c r="X202" s="26" t="str">
        <f>+IFERROR(VLOOKUP(A202,'ID6&amp;7'!A:J,10,FALSE),"-")</f>
        <v>-</v>
      </c>
      <c r="Y202" s="26"/>
      <c r="Z202" s="27" t="str">
        <f t="shared" si="7"/>
        <v>Por iniciar</v>
      </c>
    </row>
    <row r="203" spans="1:26">
      <c r="A203" s="20" t="str">
        <f t="shared" ref="A203:A266" si="8">+H203&amp;I203&amp;$I$8</f>
        <v>INSTRUMENTACCMLTD_IMPRMNT_INSTRMNT45596</v>
      </c>
      <c r="B203" s="66"/>
      <c r="C203" s="60"/>
      <c r="D203" s="60"/>
      <c r="E203" s="60"/>
      <c r="F203" s="67"/>
      <c r="G203" s="60"/>
      <c r="H203" s="65" t="s">
        <v>126</v>
      </c>
      <c r="I203" s="21" t="s">
        <v>104</v>
      </c>
      <c r="J203" s="26">
        <f>+COUNTIF('ID1&amp;5'!G:G,'1. Status'!I203)</f>
        <v>0</v>
      </c>
      <c r="K203" s="83" t="str">
        <f>+IFERROR(VLOOKUP(CONCATENATE(A203,$B$10,B203),'ID1&amp;5'!B:J,8,FALSE),"-")</f>
        <v>-</v>
      </c>
      <c r="L203" s="82" t="str">
        <f>+IFERROR(VLOOKUP(B203,'ID1&amp;5'!K:L,2,FALSE),"-")</f>
        <v>-</v>
      </c>
      <c r="M203" s="83" t="str">
        <f>+IFERROR(VLOOKUP(CONCATENATE(A203,$B$10,B203),'ID1&amp;5'!B:J,9,FALSE),"-")</f>
        <v>-</v>
      </c>
      <c r="N203" s="83" t="str">
        <f>+IFERROR(VLOOKUP(CONCATENATE(A203,$C$10,C203),'ID1&amp;5'!B:J,8,FALSE),"-")</f>
        <v>-</v>
      </c>
      <c r="O203" s="82" t="str">
        <f>+IFERROR(VLOOKUP(C203,'ID1&amp;5'!K:L,2,FALSE),"-")</f>
        <v>-</v>
      </c>
      <c r="P203" s="83" t="str">
        <f>+IFERROR(VLOOKUP(CONCATENATE(A203,$C$10,C203),'ID1&amp;5'!B:J,9,FALSE),"-")</f>
        <v>-</v>
      </c>
      <c r="Q203" s="82" t="str">
        <f>+IFERROR(VLOOKUP(D203,'ID1&amp;5'!K:L,2,FALSE),"-")</f>
        <v>-</v>
      </c>
      <c r="R203" s="26" t="str">
        <f>+IFERROR(VLOOKUP(CONCATENATE(A203,$D$10,D203),'ID1&amp;5'!B:J,9,FALSE),"-")</f>
        <v>-</v>
      </c>
      <c r="S203" s="82" t="str">
        <f>+IFERROR(VLOOKUP(E203,'ID1&amp;5'!K:L,2,FALSE),"-")</f>
        <v>-</v>
      </c>
      <c r="T203" s="83" t="str">
        <f>+IFERROR(VLOOKUP(CONCATENATE(A203,$E$10,E203),'ID1&amp;5'!B:J,9,FALSE),"-")</f>
        <v>-</v>
      </c>
      <c r="U203" s="82" t="str">
        <f>+IFERROR(VLOOKUP(F203,'ID1&amp;5'!K:L,2,FALSE),"-")</f>
        <v>-</v>
      </c>
      <c r="V203" s="83" t="str">
        <f>+IFERROR(VLOOKUP(CONCATENATE(A203,$F$10,F203),'ID1&amp;5'!B:J,9,FALSE),"-")</f>
        <v>-</v>
      </c>
      <c r="W203" s="26" t="str">
        <f>+IFERROR(VLOOKUP(A203,'ID6&amp;7'!A:I,9,FALSE),"-")</f>
        <v>-</v>
      </c>
      <c r="X203" s="26" t="str">
        <f>+IFERROR(VLOOKUP(A203,'ID6&amp;7'!A:J,10,FALSE),"-")</f>
        <v>-</v>
      </c>
      <c r="Y203" s="26"/>
      <c r="Z203" s="27" t="str">
        <f t="shared" ref="Z203:Z266" si="9">+IF(J203=0,"Por iniciar",IF(OR(K203="-",M203="-",P203="-",R203="-",T203="-",V203="-"),"Em testes",IF(AND(M203=0,P203=0,R203=0,T203&lt;&gt;K203,V203&lt;&gt;K203),"OK","NOK")))</f>
        <v>Por iniciar</v>
      </c>
    </row>
    <row r="204" spans="1:26">
      <c r="A204" s="20" t="str">
        <f t="shared" si="8"/>
        <v>INSTRUMENTACCMLTD_IMPRMNT_INSTRMNT_PRVS45596</v>
      </c>
      <c r="B204" s="66"/>
      <c r="C204" s="60"/>
      <c r="D204" s="60"/>
      <c r="E204" s="60"/>
      <c r="F204" s="67"/>
      <c r="G204" s="60"/>
      <c r="H204" s="65" t="s">
        <v>126</v>
      </c>
      <c r="I204" s="21" t="s">
        <v>490</v>
      </c>
      <c r="J204" s="26">
        <f>+COUNTIF('ID1&amp;5'!G:G,'1. Status'!I204)</f>
        <v>0</v>
      </c>
      <c r="K204" s="83" t="str">
        <f>+IFERROR(VLOOKUP(CONCATENATE(A204,$B$10,B204),'ID1&amp;5'!B:J,8,FALSE),"-")</f>
        <v>-</v>
      </c>
      <c r="L204" s="82" t="str">
        <f>+IFERROR(VLOOKUP(B204,'ID1&amp;5'!K:L,2,FALSE),"-")</f>
        <v>-</v>
      </c>
      <c r="M204" s="83" t="str">
        <f>+IFERROR(VLOOKUP(CONCATENATE(A204,$B$10,B204),'ID1&amp;5'!B:J,9,FALSE),"-")</f>
        <v>-</v>
      </c>
      <c r="N204" s="83" t="str">
        <f>+IFERROR(VLOOKUP(CONCATENATE(A204,$C$10,C204),'ID1&amp;5'!B:J,8,FALSE),"-")</f>
        <v>-</v>
      </c>
      <c r="O204" s="82" t="str">
        <f>+IFERROR(VLOOKUP(C204,'ID1&amp;5'!K:L,2,FALSE),"-")</f>
        <v>-</v>
      </c>
      <c r="P204" s="83" t="str">
        <f>+IFERROR(VLOOKUP(CONCATENATE(A204,$C$10,C204),'ID1&amp;5'!B:J,9,FALSE),"-")</f>
        <v>-</v>
      </c>
      <c r="Q204" s="82" t="str">
        <f>+IFERROR(VLOOKUP(D204,'ID1&amp;5'!K:L,2,FALSE),"-")</f>
        <v>-</v>
      </c>
      <c r="R204" s="26" t="str">
        <f>+IFERROR(VLOOKUP(CONCATENATE(A204,$D$10,D204),'ID1&amp;5'!B:J,9,FALSE),"-")</f>
        <v>-</v>
      </c>
      <c r="S204" s="82" t="str">
        <f>+IFERROR(VLOOKUP(E204,'ID1&amp;5'!K:L,2,FALSE),"-")</f>
        <v>-</v>
      </c>
      <c r="T204" s="83" t="str">
        <f>+IFERROR(VLOOKUP(CONCATENATE(A204,$E$10,E204),'ID1&amp;5'!B:J,9,FALSE),"-")</f>
        <v>-</v>
      </c>
      <c r="U204" s="82" t="str">
        <f>+IFERROR(VLOOKUP(F204,'ID1&amp;5'!K:L,2,FALSE),"-")</f>
        <v>-</v>
      </c>
      <c r="V204" s="83" t="str">
        <f>+IFERROR(VLOOKUP(CONCATENATE(A204,$F$10,F204),'ID1&amp;5'!B:J,9,FALSE),"-")</f>
        <v>-</v>
      </c>
      <c r="W204" s="26" t="str">
        <f>+IFERROR(VLOOKUP(A204,'ID6&amp;7'!A:I,9,FALSE),"-")</f>
        <v>-</v>
      </c>
      <c r="X204" s="26" t="str">
        <f>+IFERROR(VLOOKUP(A204,'ID6&amp;7'!A:J,10,FALSE),"-")</f>
        <v>-</v>
      </c>
      <c r="Y204" s="26"/>
      <c r="Z204" s="27" t="str">
        <f t="shared" si="9"/>
        <v>Por iniciar</v>
      </c>
    </row>
    <row r="205" spans="1:26">
      <c r="A205" s="20" t="str">
        <f t="shared" si="8"/>
        <v>INSTRUMENTACCMLTD_WRTFFS_INSTRMNT45596</v>
      </c>
      <c r="B205" s="66"/>
      <c r="C205" s="60"/>
      <c r="D205" s="60"/>
      <c r="E205" s="60"/>
      <c r="F205" s="67"/>
      <c r="G205" s="60"/>
      <c r="H205" s="65" t="s">
        <v>126</v>
      </c>
      <c r="I205" s="21" t="s">
        <v>491</v>
      </c>
      <c r="J205" s="26">
        <f>+COUNTIF('ID1&amp;5'!G:G,'1. Status'!I205)</f>
        <v>0</v>
      </c>
      <c r="K205" s="83" t="str">
        <f>+IFERROR(VLOOKUP(CONCATENATE(A205,$B$10,B205),'ID1&amp;5'!B:J,8,FALSE),"-")</f>
        <v>-</v>
      </c>
      <c r="L205" s="82" t="str">
        <f>+IFERROR(VLOOKUP(B205,'ID1&amp;5'!K:L,2,FALSE),"-")</f>
        <v>-</v>
      </c>
      <c r="M205" s="83" t="str">
        <f>+IFERROR(VLOOKUP(CONCATENATE(A205,$B$10,B205),'ID1&amp;5'!B:J,9,FALSE),"-")</f>
        <v>-</v>
      </c>
      <c r="N205" s="83" t="str">
        <f>+IFERROR(VLOOKUP(CONCATENATE(A205,$C$10,C205),'ID1&amp;5'!B:J,8,FALSE),"-")</f>
        <v>-</v>
      </c>
      <c r="O205" s="82" t="str">
        <f>+IFERROR(VLOOKUP(C205,'ID1&amp;5'!K:L,2,FALSE),"-")</f>
        <v>-</v>
      </c>
      <c r="P205" s="83" t="str">
        <f>+IFERROR(VLOOKUP(CONCATENATE(A205,$C$10,C205),'ID1&amp;5'!B:J,9,FALSE),"-")</f>
        <v>-</v>
      </c>
      <c r="Q205" s="82" t="str">
        <f>+IFERROR(VLOOKUP(D205,'ID1&amp;5'!K:L,2,FALSE),"-")</f>
        <v>-</v>
      </c>
      <c r="R205" s="26" t="str">
        <f>+IFERROR(VLOOKUP(CONCATENATE(A205,$D$10,D205),'ID1&amp;5'!B:J,9,FALSE),"-")</f>
        <v>-</v>
      </c>
      <c r="S205" s="82" t="str">
        <f>+IFERROR(VLOOKUP(E205,'ID1&amp;5'!K:L,2,FALSE),"-")</f>
        <v>-</v>
      </c>
      <c r="T205" s="83" t="str">
        <f>+IFERROR(VLOOKUP(CONCATENATE(A205,$E$10,E205),'ID1&amp;5'!B:J,9,FALSE),"-")</f>
        <v>-</v>
      </c>
      <c r="U205" s="82" t="str">
        <f>+IFERROR(VLOOKUP(F205,'ID1&amp;5'!K:L,2,FALSE),"-")</f>
        <v>-</v>
      </c>
      <c r="V205" s="83" t="str">
        <f>+IFERROR(VLOOKUP(CONCATENATE(A205,$F$10,F205),'ID1&amp;5'!B:J,9,FALSE),"-")</f>
        <v>-</v>
      </c>
      <c r="W205" s="26" t="str">
        <f>+IFERROR(VLOOKUP(A205,'ID6&amp;7'!A:I,9,FALSE),"-")</f>
        <v>-</v>
      </c>
      <c r="X205" s="26" t="str">
        <f>+IFERROR(VLOOKUP(A205,'ID6&amp;7'!A:J,10,FALSE),"-")</f>
        <v>-</v>
      </c>
      <c r="Y205" s="26"/>
      <c r="Z205" s="27" t="str">
        <f t="shared" si="9"/>
        <v>Por iniciar</v>
      </c>
    </row>
    <row r="206" spans="1:26">
      <c r="A206" s="20" t="str">
        <f t="shared" si="8"/>
        <v>INSTRUMENTARRRS_INSTRMNT45596</v>
      </c>
      <c r="B206" s="66"/>
      <c r="C206" s="60"/>
      <c r="D206" s="60"/>
      <c r="E206" s="60"/>
      <c r="F206" s="67"/>
      <c r="G206" s="60"/>
      <c r="H206" s="65" t="s">
        <v>126</v>
      </c>
      <c r="I206" s="21" t="s">
        <v>492</v>
      </c>
      <c r="J206" s="26">
        <f>+COUNTIF('ID1&amp;5'!G:G,'1. Status'!I206)</f>
        <v>0</v>
      </c>
      <c r="K206" s="83" t="str">
        <f>+IFERROR(VLOOKUP(CONCATENATE(A206,$B$10,B206),'ID1&amp;5'!B:J,8,FALSE),"-")</f>
        <v>-</v>
      </c>
      <c r="L206" s="82" t="str">
        <f>+IFERROR(VLOOKUP(B206,'ID1&amp;5'!K:L,2,FALSE),"-")</f>
        <v>-</v>
      </c>
      <c r="M206" s="83" t="str">
        <f>+IFERROR(VLOOKUP(CONCATENATE(A206,$B$10,B206),'ID1&amp;5'!B:J,9,FALSE),"-")</f>
        <v>-</v>
      </c>
      <c r="N206" s="83" t="str">
        <f>+IFERROR(VLOOKUP(CONCATENATE(A206,$C$10,C206),'ID1&amp;5'!B:J,8,FALSE),"-")</f>
        <v>-</v>
      </c>
      <c r="O206" s="82" t="str">
        <f>+IFERROR(VLOOKUP(C206,'ID1&amp;5'!K:L,2,FALSE),"-")</f>
        <v>-</v>
      </c>
      <c r="P206" s="83" t="str">
        <f>+IFERROR(VLOOKUP(CONCATENATE(A206,$C$10,C206),'ID1&amp;5'!B:J,9,FALSE),"-")</f>
        <v>-</v>
      </c>
      <c r="Q206" s="82" t="str">
        <f>+IFERROR(VLOOKUP(D206,'ID1&amp;5'!K:L,2,FALSE),"-")</f>
        <v>-</v>
      </c>
      <c r="R206" s="26" t="str">
        <f>+IFERROR(VLOOKUP(CONCATENATE(A206,$D$10,D206),'ID1&amp;5'!B:J,9,FALSE),"-")</f>
        <v>-</v>
      </c>
      <c r="S206" s="82" t="str">
        <f>+IFERROR(VLOOKUP(E206,'ID1&amp;5'!K:L,2,FALSE),"-")</f>
        <v>-</v>
      </c>
      <c r="T206" s="83" t="str">
        <f>+IFERROR(VLOOKUP(CONCATENATE(A206,$E$10,E206),'ID1&amp;5'!B:J,9,FALSE),"-")</f>
        <v>-</v>
      </c>
      <c r="U206" s="82" t="str">
        <f>+IFERROR(VLOOKUP(F206,'ID1&amp;5'!K:L,2,FALSE),"-")</f>
        <v>-</v>
      </c>
      <c r="V206" s="83" t="str">
        <f>+IFERROR(VLOOKUP(CONCATENATE(A206,$F$10,F206),'ID1&amp;5'!B:J,9,FALSE),"-")</f>
        <v>-</v>
      </c>
      <c r="W206" s="26" t="str">
        <f>+IFERROR(VLOOKUP(A206,'ID6&amp;7'!A:I,9,FALSE),"-")</f>
        <v>-</v>
      </c>
      <c r="X206" s="26" t="str">
        <f>+IFERROR(VLOOKUP(A206,'ID6&amp;7'!A:J,10,FALSE),"-")</f>
        <v>-</v>
      </c>
      <c r="Y206" s="26"/>
      <c r="Z206" s="27" t="str">
        <f t="shared" si="9"/>
        <v>Por iniciar</v>
      </c>
    </row>
    <row r="207" spans="1:26">
      <c r="A207" s="20" t="str">
        <f t="shared" si="8"/>
        <v>INSTRUMENTARRRS_INSTRMNT_12M45596</v>
      </c>
      <c r="B207" s="66"/>
      <c r="C207" s="60"/>
      <c r="D207" s="60"/>
      <c r="E207" s="60"/>
      <c r="F207" s="67"/>
      <c r="G207" s="60"/>
      <c r="H207" s="65" t="s">
        <v>126</v>
      </c>
      <c r="I207" s="21" t="s">
        <v>493</v>
      </c>
      <c r="J207" s="26">
        <f>+COUNTIF('ID1&amp;5'!G:G,'1. Status'!I207)</f>
        <v>0</v>
      </c>
      <c r="K207" s="83" t="str">
        <f>+IFERROR(VLOOKUP(CONCATENATE(A207,$B$10,B207),'ID1&amp;5'!B:J,8,FALSE),"-")</f>
        <v>-</v>
      </c>
      <c r="L207" s="82" t="str">
        <f>+IFERROR(VLOOKUP(B207,'ID1&amp;5'!K:L,2,FALSE),"-")</f>
        <v>-</v>
      </c>
      <c r="M207" s="83" t="str">
        <f>+IFERROR(VLOOKUP(CONCATENATE(A207,$B$10,B207),'ID1&amp;5'!B:J,9,FALSE),"-")</f>
        <v>-</v>
      </c>
      <c r="N207" s="83" t="str">
        <f>+IFERROR(VLOOKUP(CONCATENATE(A207,$C$10,C207),'ID1&amp;5'!B:J,8,FALSE),"-")</f>
        <v>-</v>
      </c>
      <c r="O207" s="82" t="str">
        <f>+IFERROR(VLOOKUP(C207,'ID1&amp;5'!K:L,2,FALSE),"-")</f>
        <v>-</v>
      </c>
      <c r="P207" s="83" t="str">
        <f>+IFERROR(VLOOKUP(CONCATENATE(A207,$C$10,C207),'ID1&amp;5'!B:J,9,FALSE),"-")</f>
        <v>-</v>
      </c>
      <c r="Q207" s="82" t="str">
        <f>+IFERROR(VLOOKUP(D207,'ID1&amp;5'!K:L,2,FALSE),"-")</f>
        <v>-</v>
      </c>
      <c r="R207" s="26" t="str">
        <f>+IFERROR(VLOOKUP(CONCATENATE(A207,$D$10,D207),'ID1&amp;5'!B:J,9,FALSE),"-")</f>
        <v>-</v>
      </c>
      <c r="S207" s="82" t="str">
        <f>+IFERROR(VLOOKUP(E207,'ID1&amp;5'!K:L,2,FALSE),"-")</f>
        <v>-</v>
      </c>
      <c r="T207" s="83" t="str">
        <f>+IFERROR(VLOOKUP(CONCATENATE(A207,$E$10,E207),'ID1&amp;5'!B:J,9,FALSE),"-")</f>
        <v>-</v>
      </c>
      <c r="U207" s="82" t="str">
        <f>+IFERROR(VLOOKUP(F207,'ID1&amp;5'!K:L,2,FALSE),"-")</f>
        <v>-</v>
      </c>
      <c r="V207" s="83" t="str">
        <f>+IFERROR(VLOOKUP(CONCATENATE(A207,$F$10,F207),'ID1&amp;5'!B:J,9,FALSE),"-")</f>
        <v>-</v>
      </c>
      <c r="W207" s="26" t="str">
        <f>+IFERROR(VLOOKUP(A207,'ID6&amp;7'!A:I,9,FALSE),"-")</f>
        <v>-</v>
      </c>
      <c r="X207" s="26" t="str">
        <f>+IFERROR(VLOOKUP(A207,'ID6&amp;7'!A:J,10,FALSE),"-")</f>
        <v>-</v>
      </c>
      <c r="Y207" s="26"/>
      <c r="Z207" s="27" t="str">
        <f t="shared" si="9"/>
        <v>Por iniciar</v>
      </c>
    </row>
    <row r="208" spans="1:26">
      <c r="A208" s="20" t="str">
        <f t="shared" si="8"/>
        <v>INSTRUMENTCMLTV_RCVRS_SNC_DFLT_INSTRMNT45596</v>
      </c>
      <c r="B208" s="66"/>
      <c r="C208" s="60"/>
      <c r="D208" s="60"/>
      <c r="E208" s="60"/>
      <c r="F208" s="67"/>
      <c r="G208" s="60"/>
      <c r="H208" s="65" t="s">
        <v>126</v>
      </c>
      <c r="I208" s="21" t="s">
        <v>494</v>
      </c>
      <c r="J208" s="26">
        <f>+COUNTIF('ID1&amp;5'!G:G,'1. Status'!I208)</f>
        <v>0</v>
      </c>
      <c r="K208" s="83" t="str">
        <f>+IFERROR(VLOOKUP(CONCATENATE(A208,$B$10,B208),'ID1&amp;5'!B:J,8,FALSE),"-")</f>
        <v>-</v>
      </c>
      <c r="L208" s="82" t="str">
        <f>+IFERROR(VLOOKUP(B208,'ID1&amp;5'!K:L,2,FALSE),"-")</f>
        <v>-</v>
      </c>
      <c r="M208" s="83" t="str">
        <f>+IFERROR(VLOOKUP(CONCATENATE(A208,$B$10,B208),'ID1&amp;5'!B:J,9,FALSE),"-")</f>
        <v>-</v>
      </c>
      <c r="N208" s="83" t="str">
        <f>+IFERROR(VLOOKUP(CONCATENATE(A208,$C$10,C208),'ID1&amp;5'!B:J,8,FALSE),"-")</f>
        <v>-</v>
      </c>
      <c r="O208" s="82" t="str">
        <f>+IFERROR(VLOOKUP(C208,'ID1&amp;5'!K:L,2,FALSE),"-")</f>
        <v>-</v>
      </c>
      <c r="P208" s="83" t="str">
        <f>+IFERROR(VLOOKUP(CONCATENATE(A208,$C$10,C208),'ID1&amp;5'!B:J,9,FALSE),"-")</f>
        <v>-</v>
      </c>
      <c r="Q208" s="82" t="str">
        <f>+IFERROR(VLOOKUP(D208,'ID1&amp;5'!K:L,2,FALSE),"-")</f>
        <v>-</v>
      </c>
      <c r="R208" s="26" t="str">
        <f>+IFERROR(VLOOKUP(CONCATENATE(A208,$D$10,D208),'ID1&amp;5'!B:J,9,FALSE),"-")</f>
        <v>-</v>
      </c>
      <c r="S208" s="82" t="str">
        <f>+IFERROR(VLOOKUP(E208,'ID1&amp;5'!K:L,2,FALSE),"-")</f>
        <v>-</v>
      </c>
      <c r="T208" s="83" t="str">
        <f>+IFERROR(VLOOKUP(CONCATENATE(A208,$E$10,E208),'ID1&amp;5'!B:J,9,FALSE),"-")</f>
        <v>-</v>
      </c>
      <c r="U208" s="82" t="str">
        <f>+IFERROR(VLOOKUP(F208,'ID1&amp;5'!K:L,2,FALSE),"-")</f>
        <v>-</v>
      </c>
      <c r="V208" s="83" t="str">
        <f>+IFERROR(VLOOKUP(CONCATENATE(A208,$F$10,F208),'ID1&amp;5'!B:J,9,FALSE),"-")</f>
        <v>-</v>
      </c>
      <c r="W208" s="26" t="str">
        <f>+IFERROR(VLOOKUP(A208,'ID6&amp;7'!A:I,9,FALSE),"-")</f>
        <v>-</v>
      </c>
      <c r="X208" s="26" t="str">
        <f>+IFERROR(VLOOKUP(A208,'ID6&amp;7'!A:J,10,FALSE),"-")</f>
        <v>-</v>
      </c>
      <c r="Y208" s="26"/>
      <c r="Z208" s="27" t="str">
        <f t="shared" si="9"/>
        <v>Por iniciar</v>
      </c>
    </row>
    <row r="209" spans="1:26">
      <c r="A209" s="20" t="str">
        <f t="shared" si="8"/>
        <v>INSTRUMENTDPD45596</v>
      </c>
      <c r="B209" s="66"/>
      <c r="C209" s="60"/>
      <c r="D209" s="60"/>
      <c r="E209" s="60"/>
      <c r="F209" s="67"/>
      <c r="G209" s="60"/>
      <c r="H209" s="65" t="s">
        <v>126</v>
      </c>
      <c r="I209" s="21" t="s">
        <v>495</v>
      </c>
      <c r="J209" s="26">
        <f>+COUNTIF('ID1&amp;5'!G:G,'1. Status'!I209)</f>
        <v>0</v>
      </c>
      <c r="K209" s="83" t="str">
        <f>+IFERROR(VLOOKUP(CONCATENATE(A209,$B$10,B209),'ID1&amp;5'!B:J,8,FALSE),"-")</f>
        <v>-</v>
      </c>
      <c r="L209" s="82" t="str">
        <f>+IFERROR(VLOOKUP(B209,'ID1&amp;5'!K:L,2,FALSE),"-")</f>
        <v>-</v>
      </c>
      <c r="M209" s="83" t="str">
        <f>+IFERROR(VLOOKUP(CONCATENATE(A209,$B$10,B209),'ID1&amp;5'!B:J,9,FALSE),"-")</f>
        <v>-</v>
      </c>
      <c r="N209" s="83" t="str">
        <f>+IFERROR(VLOOKUP(CONCATENATE(A209,$C$10,C209),'ID1&amp;5'!B:J,8,FALSE),"-")</f>
        <v>-</v>
      </c>
      <c r="O209" s="82" t="str">
        <f>+IFERROR(VLOOKUP(C209,'ID1&amp;5'!K:L,2,FALSE),"-")</f>
        <v>-</v>
      </c>
      <c r="P209" s="83" t="str">
        <f>+IFERROR(VLOOKUP(CONCATENATE(A209,$C$10,C209),'ID1&amp;5'!B:J,9,FALSE),"-")</f>
        <v>-</v>
      </c>
      <c r="Q209" s="82" t="str">
        <f>+IFERROR(VLOOKUP(D209,'ID1&amp;5'!K:L,2,FALSE),"-")</f>
        <v>-</v>
      </c>
      <c r="R209" s="26" t="str">
        <f>+IFERROR(VLOOKUP(CONCATENATE(A209,$D$10,D209),'ID1&amp;5'!B:J,9,FALSE),"-")</f>
        <v>-</v>
      </c>
      <c r="S209" s="82" t="str">
        <f>+IFERROR(VLOOKUP(E209,'ID1&amp;5'!K:L,2,FALSE),"-")</f>
        <v>-</v>
      </c>
      <c r="T209" s="83" t="str">
        <f>+IFERROR(VLOOKUP(CONCATENATE(A209,$E$10,E209),'ID1&amp;5'!B:J,9,FALSE),"-")</f>
        <v>-</v>
      </c>
      <c r="U209" s="82" t="str">
        <f>+IFERROR(VLOOKUP(F209,'ID1&amp;5'!K:L,2,FALSE),"-")</f>
        <v>-</v>
      </c>
      <c r="V209" s="83" t="str">
        <f>+IFERROR(VLOOKUP(CONCATENATE(A209,$F$10,F209),'ID1&amp;5'!B:J,9,FALSE),"-")</f>
        <v>-</v>
      </c>
      <c r="W209" s="26" t="str">
        <f>+IFERROR(VLOOKUP(A209,'ID6&amp;7'!A:I,9,FALSE),"-")</f>
        <v>-</v>
      </c>
      <c r="X209" s="26" t="str">
        <f>+IFERROR(VLOOKUP(A209,'ID6&amp;7'!A:J,10,FALSE),"-")</f>
        <v>-</v>
      </c>
      <c r="Y209" s="26"/>
      <c r="Z209" s="27" t="str">
        <f t="shared" si="9"/>
        <v>Por iniciar</v>
      </c>
    </row>
    <row r="210" spans="1:26">
      <c r="A210" s="20" t="str">
        <f t="shared" si="8"/>
        <v>INSTRUMENTDPD_12M45596</v>
      </c>
      <c r="B210" s="66"/>
      <c r="C210" s="60"/>
      <c r="D210" s="60"/>
      <c r="E210" s="60"/>
      <c r="F210" s="67"/>
      <c r="G210" s="60"/>
      <c r="H210" s="65" t="s">
        <v>126</v>
      </c>
      <c r="I210" s="21" t="s">
        <v>496</v>
      </c>
      <c r="J210" s="26">
        <f>+COUNTIF('ID1&amp;5'!G:G,'1. Status'!I210)</f>
        <v>0</v>
      </c>
      <c r="K210" s="83" t="str">
        <f>+IFERROR(VLOOKUP(CONCATENATE(A210,$B$10,B210),'ID1&amp;5'!B:J,8,FALSE),"-")</f>
        <v>-</v>
      </c>
      <c r="L210" s="82" t="str">
        <f>+IFERROR(VLOOKUP(B210,'ID1&amp;5'!K:L,2,FALSE),"-")</f>
        <v>-</v>
      </c>
      <c r="M210" s="83" t="str">
        <f>+IFERROR(VLOOKUP(CONCATENATE(A210,$B$10,B210),'ID1&amp;5'!B:J,9,FALSE),"-")</f>
        <v>-</v>
      </c>
      <c r="N210" s="83" t="str">
        <f>+IFERROR(VLOOKUP(CONCATENATE(A210,$C$10,C210),'ID1&amp;5'!B:J,8,FALSE),"-")</f>
        <v>-</v>
      </c>
      <c r="O210" s="82" t="str">
        <f>+IFERROR(VLOOKUP(C210,'ID1&amp;5'!K:L,2,FALSE),"-")</f>
        <v>-</v>
      </c>
      <c r="P210" s="83" t="str">
        <f>+IFERROR(VLOOKUP(CONCATENATE(A210,$C$10,C210),'ID1&amp;5'!B:J,9,FALSE),"-")</f>
        <v>-</v>
      </c>
      <c r="Q210" s="82" t="str">
        <f>+IFERROR(VLOOKUP(D210,'ID1&amp;5'!K:L,2,FALSE),"-")</f>
        <v>-</v>
      </c>
      <c r="R210" s="26" t="str">
        <f>+IFERROR(VLOOKUP(CONCATENATE(A210,$D$10,D210),'ID1&amp;5'!B:J,9,FALSE),"-")</f>
        <v>-</v>
      </c>
      <c r="S210" s="82" t="str">
        <f>+IFERROR(VLOOKUP(E210,'ID1&amp;5'!K:L,2,FALSE),"-")</f>
        <v>-</v>
      </c>
      <c r="T210" s="83" t="str">
        <f>+IFERROR(VLOOKUP(CONCATENATE(A210,$E$10,E210),'ID1&amp;5'!B:J,9,FALSE),"-")</f>
        <v>-</v>
      </c>
      <c r="U210" s="82" t="str">
        <f>+IFERROR(VLOOKUP(F210,'ID1&amp;5'!K:L,2,FALSE),"-")</f>
        <v>-</v>
      </c>
      <c r="V210" s="83" t="str">
        <f>+IFERROR(VLOOKUP(CONCATENATE(A210,$F$10,F210),'ID1&amp;5'!B:J,9,FALSE),"-")</f>
        <v>-</v>
      </c>
      <c r="W210" s="26" t="str">
        <f>+IFERROR(VLOOKUP(A210,'ID6&amp;7'!A:I,9,FALSE),"-")</f>
        <v>-</v>
      </c>
      <c r="X210" s="26" t="str">
        <f>+IFERROR(VLOOKUP(A210,'ID6&amp;7'!A:J,10,FALSE),"-")</f>
        <v>-</v>
      </c>
      <c r="Y210" s="26"/>
      <c r="Z210" s="27" t="str">
        <f t="shared" si="9"/>
        <v>Por iniciar</v>
      </c>
    </row>
    <row r="211" spans="1:26">
      <c r="A211" s="20" t="str">
        <f t="shared" si="8"/>
        <v>INSTRUMENTDPD_12M_FRBRNC_STTS45596</v>
      </c>
      <c r="B211" s="66"/>
      <c r="C211" s="60"/>
      <c r="D211" s="60"/>
      <c r="E211" s="60"/>
      <c r="F211" s="67"/>
      <c r="G211" s="60"/>
      <c r="H211" s="65" t="s">
        <v>126</v>
      </c>
      <c r="I211" s="21" t="s">
        <v>497</v>
      </c>
      <c r="J211" s="26">
        <f>+COUNTIF('ID1&amp;5'!G:G,'1. Status'!I211)</f>
        <v>0</v>
      </c>
      <c r="K211" s="83" t="str">
        <f>+IFERROR(VLOOKUP(CONCATENATE(A211,$B$10,B211),'ID1&amp;5'!B:J,8,FALSE),"-")</f>
        <v>-</v>
      </c>
      <c r="L211" s="82" t="str">
        <f>+IFERROR(VLOOKUP(B211,'ID1&amp;5'!K:L,2,FALSE),"-")</f>
        <v>-</v>
      </c>
      <c r="M211" s="83" t="str">
        <f>+IFERROR(VLOOKUP(CONCATENATE(A211,$B$10,B211),'ID1&amp;5'!B:J,9,FALSE),"-")</f>
        <v>-</v>
      </c>
      <c r="N211" s="83" t="str">
        <f>+IFERROR(VLOOKUP(CONCATENATE(A211,$C$10,C211),'ID1&amp;5'!B:J,8,FALSE),"-")</f>
        <v>-</v>
      </c>
      <c r="O211" s="82" t="str">
        <f>+IFERROR(VLOOKUP(C211,'ID1&amp;5'!K:L,2,FALSE),"-")</f>
        <v>-</v>
      </c>
      <c r="P211" s="83" t="str">
        <f>+IFERROR(VLOOKUP(CONCATENATE(A211,$C$10,C211),'ID1&amp;5'!B:J,9,FALSE),"-")</f>
        <v>-</v>
      </c>
      <c r="Q211" s="82" t="str">
        <f>+IFERROR(VLOOKUP(D211,'ID1&amp;5'!K:L,2,FALSE),"-")</f>
        <v>-</v>
      </c>
      <c r="R211" s="26" t="str">
        <f>+IFERROR(VLOOKUP(CONCATENATE(A211,$D$10,D211),'ID1&amp;5'!B:J,9,FALSE),"-")</f>
        <v>-</v>
      </c>
      <c r="S211" s="82" t="str">
        <f>+IFERROR(VLOOKUP(E211,'ID1&amp;5'!K:L,2,FALSE),"-")</f>
        <v>-</v>
      </c>
      <c r="T211" s="83" t="str">
        <f>+IFERROR(VLOOKUP(CONCATENATE(A211,$E$10,E211),'ID1&amp;5'!B:J,9,FALSE),"-")</f>
        <v>-</v>
      </c>
      <c r="U211" s="82" t="str">
        <f>+IFERROR(VLOOKUP(F211,'ID1&amp;5'!K:L,2,FALSE),"-")</f>
        <v>-</v>
      </c>
      <c r="V211" s="83" t="str">
        <f>+IFERROR(VLOOKUP(CONCATENATE(A211,$F$10,F211),'ID1&amp;5'!B:J,9,FALSE),"-")</f>
        <v>-</v>
      </c>
      <c r="W211" s="26" t="str">
        <f>+IFERROR(VLOOKUP(A211,'ID6&amp;7'!A:I,9,FALSE),"-")</f>
        <v>-</v>
      </c>
      <c r="X211" s="26" t="str">
        <f>+IFERROR(VLOOKUP(A211,'ID6&amp;7'!A:J,10,FALSE),"-")</f>
        <v>-</v>
      </c>
      <c r="Y211" s="26"/>
      <c r="Z211" s="27" t="str">
        <f t="shared" si="9"/>
        <v>Por iniciar</v>
      </c>
    </row>
    <row r="212" spans="1:26">
      <c r="A212" s="20" t="str">
        <f t="shared" si="8"/>
        <v>INSTRUMENTDPD_12M_PRFRMNG_STTS45596</v>
      </c>
      <c r="B212" s="66"/>
      <c r="C212" s="60"/>
      <c r="D212" s="60"/>
      <c r="E212" s="60"/>
      <c r="F212" s="67"/>
      <c r="G212" s="60"/>
      <c r="H212" s="65" t="s">
        <v>126</v>
      </c>
      <c r="I212" s="21" t="s">
        <v>498</v>
      </c>
      <c r="J212" s="26">
        <f>+COUNTIF('ID1&amp;5'!G:G,'1. Status'!I212)</f>
        <v>0</v>
      </c>
      <c r="K212" s="83" t="str">
        <f>+IFERROR(VLOOKUP(CONCATENATE(A212,$B$10,B212),'ID1&amp;5'!B:J,8,FALSE),"-")</f>
        <v>-</v>
      </c>
      <c r="L212" s="82" t="str">
        <f>+IFERROR(VLOOKUP(B212,'ID1&amp;5'!K:L,2,FALSE),"-")</f>
        <v>-</v>
      </c>
      <c r="M212" s="83" t="str">
        <f>+IFERROR(VLOOKUP(CONCATENATE(A212,$B$10,B212),'ID1&amp;5'!B:J,9,FALSE),"-")</f>
        <v>-</v>
      </c>
      <c r="N212" s="83" t="str">
        <f>+IFERROR(VLOOKUP(CONCATENATE(A212,$C$10,C212),'ID1&amp;5'!B:J,8,FALSE),"-")</f>
        <v>-</v>
      </c>
      <c r="O212" s="82" t="str">
        <f>+IFERROR(VLOOKUP(C212,'ID1&amp;5'!K:L,2,FALSE),"-")</f>
        <v>-</v>
      </c>
      <c r="P212" s="83" t="str">
        <f>+IFERROR(VLOOKUP(CONCATENATE(A212,$C$10,C212),'ID1&amp;5'!B:J,9,FALSE),"-")</f>
        <v>-</v>
      </c>
      <c r="Q212" s="82" t="str">
        <f>+IFERROR(VLOOKUP(D212,'ID1&amp;5'!K:L,2,FALSE),"-")</f>
        <v>-</v>
      </c>
      <c r="R212" s="26" t="str">
        <f>+IFERROR(VLOOKUP(CONCATENATE(A212,$D$10,D212),'ID1&amp;5'!B:J,9,FALSE),"-")</f>
        <v>-</v>
      </c>
      <c r="S212" s="82" t="str">
        <f>+IFERROR(VLOOKUP(E212,'ID1&amp;5'!K:L,2,FALSE),"-")</f>
        <v>-</v>
      </c>
      <c r="T212" s="83" t="str">
        <f>+IFERROR(VLOOKUP(CONCATENATE(A212,$E$10,E212),'ID1&amp;5'!B:J,9,FALSE),"-")</f>
        <v>-</v>
      </c>
      <c r="U212" s="82" t="str">
        <f>+IFERROR(VLOOKUP(F212,'ID1&amp;5'!K:L,2,FALSE),"-")</f>
        <v>-</v>
      </c>
      <c r="V212" s="83" t="str">
        <f>+IFERROR(VLOOKUP(CONCATENATE(A212,$F$10,F212),'ID1&amp;5'!B:J,9,FALSE),"-")</f>
        <v>-</v>
      </c>
      <c r="W212" s="26" t="str">
        <f>+IFERROR(VLOOKUP(A212,'ID6&amp;7'!A:I,9,FALSE),"-")</f>
        <v>-</v>
      </c>
      <c r="X212" s="26" t="str">
        <f>+IFERROR(VLOOKUP(A212,'ID6&amp;7'!A:J,10,FALSE),"-")</f>
        <v>-</v>
      </c>
      <c r="Y212" s="26"/>
      <c r="Z212" s="27" t="str">
        <f t="shared" si="9"/>
        <v>Por iniciar</v>
      </c>
    </row>
    <row r="213" spans="1:26">
      <c r="A213" s="20" t="str">
        <f t="shared" si="8"/>
        <v>INSTRUMENTDPD_24M_FRBRNC_STTS45596</v>
      </c>
      <c r="B213" s="66"/>
      <c r="C213" s="60"/>
      <c r="D213" s="60"/>
      <c r="E213" s="60"/>
      <c r="F213" s="67"/>
      <c r="G213" s="60"/>
      <c r="H213" s="65" t="s">
        <v>126</v>
      </c>
      <c r="I213" s="21" t="s">
        <v>499</v>
      </c>
      <c r="J213" s="26">
        <f>+COUNTIF('ID1&amp;5'!G:G,'1. Status'!I213)</f>
        <v>0</v>
      </c>
      <c r="K213" s="83" t="str">
        <f>+IFERROR(VLOOKUP(CONCATENATE(A213,$B$10,B213),'ID1&amp;5'!B:J,8,FALSE),"-")</f>
        <v>-</v>
      </c>
      <c r="L213" s="82" t="str">
        <f>+IFERROR(VLOOKUP(B213,'ID1&amp;5'!K:L,2,FALSE),"-")</f>
        <v>-</v>
      </c>
      <c r="M213" s="83" t="str">
        <f>+IFERROR(VLOOKUP(CONCATENATE(A213,$B$10,B213),'ID1&amp;5'!B:J,9,FALSE),"-")</f>
        <v>-</v>
      </c>
      <c r="N213" s="83" t="str">
        <f>+IFERROR(VLOOKUP(CONCATENATE(A213,$C$10,C213),'ID1&amp;5'!B:J,8,FALSE),"-")</f>
        <v>-</v>
      </c>
      <c r="O213" s="82" t="str">
        <f>+IFERROR(VLOOKUP(C213,'ID1&amp;5'!K:L,2,FALSE),"-")</f>
        <v>-</v>
      </c>
      <c r="P213" s="83" t="str">
        <f>+IFERROR(VLOOKUP(CONCATENATE(A213,$C$10,C213),'ID1&amp;5'!B:J,9,FALSE),"-")</f>
        <v>-</v>
      </c>
      <c r="Q213" s="82" t="str">
        <f>+IFERROR(VLOOKUP(D213,'ID1&amp;5'!K:L,2,FALSE),"-")</f>
        <v>-</v>
      </c>
      <c r="R213" s="26" t="str">
        <f>+IFERROR(VLOOKUP(CONCATENATE(A213,$D$10,D213),'ID1&amp;5'!B:J,9,FALSE),"-")</f>
        <v>-</v>
      </c>
      <c r="S213" s="82" t="str">
        <f>+IFERROR(VLOOKUP(E213,'ID1&amp;5'!K:L,2,FALSE),"-")</f>
        <v>-</v>
      </c>
      <c r="T213" s="83" t="str">
        <f>+IFERROR(VLOOKUP(CONCATENATE(A213,$E$10,E213),'ID1&amp;5'!B:J,9,FALSE),"-")</f>
        <v>-</v>
      </c>
      <c r="U213" s="82" t="str">
        <f>+IFERROR(VLOOKUP(F213,'ID1&amp;5'!K:L,2,FALSE),"-")</f>
        <v>-</v>
      </c>
      <c r="V213" s="83" t="str">
        <f>+IFERROR(VLOOKUP(CONCATENATE(A213,$F$10,F213),'ID1&amp;5'!B:J,9,FALSE),"-")</f>
        <v>-</v>
      </c>
      <c r="W213" s="26" t="str">
        <f>+IFERROR(VLOOKUP(A213,'ID6&amp;7'!A:I,9,FALSE),"-")</f>
        <v>-</v>
      </c>
      <c r="X213" s="26" t="str">
        <f>+IFERROR(VLOOKUP(A213,'ID6&amp;7'!A:J,10,FALSE),"-")</f>
        <v>-</v>
      </c>
      <c r="Y213" s="26"/>
      <c r="Z213" s="27" t="str">
        <f t="shared" si="9"/>
        <v>Por iniciar</v>
      </c>
    </row>
    <row r="214" spans="1:26">
      <c r="A214" s="20" t="str">
        <f t="shared" si="8"/>
        <v>INSTRUMENTDPD_24M_PRFRMNG_STTS45596</v>
      </c>
      <c r="B214" s="66"/>
      <c r="C214" s="60"/>
      <c r="D214" s="60"/>
      <c r="E214" s="60"/>
      <c r="F214" s="67"/>
      <c r="G214" s="60"/>
      <c r="H214" s="65" t="s">
        <v>126</v>
      </c>
      <c r="I214" s="21" t="s">
        <v>500</v>
      </c>
      <c r="J214" s="26">
        <f>+COUNTIF('ID1&amp;5'!G:G,'1. Status'!I214)</f>
        <v>0</v>
      </c>
      <c r="K214" s="83" t="str">
        <f>+IFERROR(VLOOKUP(CONCATENATE(A214,$B$10,B214),'ID1&amp;5'!B:J,8,FALSE),"-")</f>
        <v>-</v>
      </c>
      <c r="L214" s="82" t="str">
        <f>+IFERROR(VLOOKUP(B214,'ID1&amp;5'!K:L,2,FALSE),"-")</f>
        <v>-</v>
      </c>
      <c r="M214" s="83" t="str">
        <f>+IFERROR(VLOOKUP(CONCATENATE(A214,$B$10,B214),'ID1&amp;5'!B:J,9,FALSE),"-")</f>
        <v>-</v>
      </c>
      <c r="N214" s="83" t="str">
        <f>+IFERROR(VLOOKUP(CONCATENATE(A214,$C$10,C214),'ID1&amp;5'!B:J,8,FALSE),"-")</f>
        <v>-</v>
      </c>
      <c r="O214" s="82" t="str">
        <f>+IFERROR(VLOOKUP(C214,'ID1&amp;5'!K:L,2,FALSE),"-")</f>
        <v>-</v>
      </c>
      <c r="P214" s="83" t="str">
        <f>+IFERROR(VLOOKUP(CONCATENATE(A214,$C$10,C214),'ID1&amp;5'!B:J,9,FALSE),"-")</f>
        <v>-</v>
      </c>
      <c r="Q214" s="82" t="str">
        <f>+IFERROR(VLOOKUP(D214,'ID1&amp;5'!K:L,2,FALSE),"-")</f>
        <v>-</v>
      </c>
      <c r="R214" s="26" t="str">
        <f>+IFERROR(VLOOKUP(CONCATENATE(A214,$D$10,D214),'ID1&amp;5'!B:J,9,FALSE),"-")</f>
        <v>-</v>
      </c>
      <c r="S214" s="82" t="str">
        <f>+IFERROR(VLOOKUP(E214,'ID1&amp;5'!K:L,2,FALSE),"-")</f>
        <v>-</v>
      </c>
      <c r="T214" s="83" t="str">
        <f>+IFERROR(VLOOKUP(CONCATENATE(A214,$E$10,E214),'ID1&amp;5'!B:J,9,FALSE),"-")</f>
        <v>-</v>
      </c>
      <c r="U214" s="82" t="str">
        <f>+IFERROR(VLOOKUP(F214,'ID1&amp;5'!K:L,2,FALSE),"-")</f>
        <v>-</v>
      </c>
      <c r="V214" s="83" t="str">
        <f>+IFERROR(VLOOKUP(CONCATENATE(A214,$F$10,F214),'ID1&amp;5'!B:J,9,FALSE),"-")</f>
        <v>-</v>
      </c>
      <c r="W214" s="26" t="str">
        <f>+IFERROR(VLOOKUP(A214,'ID6&amp;7'!A:I,9,FALSE),"-")</f>
        <v>-</v>
      </c>
      <c r="X214" s="26" t="str">
        <f>+IFERROR(VLOOKUP(A214,'ID6&amp;7'!A:J,10,FALSE),"-")</f>
        <v>-</v>
      </c>
      <c r="Y214" s="26"/>
      <c r="Z214" s="27" t="str">
        <f t="shared" si="9"/>
        <v>Por iniciar</v>
      </c>
    </row>
    <row r="215" spans="1:26">
      <c r="A215" s="20" t="str">
        <f t="shared" si="8"/>
        <v>INSTRUMENTDPD_FRBRNC_STTS45596</v>
      </c>
      <c r="B215" s="66"/>
      <c r="C215" s="60"/>
      <c r="D215" s="60"/>
      <c r="E215" s="60"/>
      <c r="F215" s="67"/>
      <c r="G215" s="60"/>
      <c r="H215" s="65" t="s">
        <v>126</v>
      </c>
      <c r="I215" s="21" t="s">
        <v>501</v>
      </c>
      <c r="J215" s="26">
        <f>+COUNTIF('ID1&amp;5'!G:G,'1. Status'!I215)</f>
        <v>0</v>
      </c>
      <c r="K215" s="83" t="str">
        <f>+IFERROR(VLOOKUP(CONCATENATE(A215,$B$10,B215),'ID1&amp;5'!B:J,8,FALSE),"-")</f>
        <v>-</v>
      </c>
      <c r="L215" s="82" t="str">
        <f>+IFERROR(VLOOKUP(B215,'ID1&amp;5'!K:L,2,FALSE),"-")</f>
        <v>-</v>
      </c>
      <c r="M215" s="83" t="str">
        <f>+IFERROR(VLOOKUP(CONCATENATE(A215,$B$10,B215),'ID1&amp;5'!B:J,9,FALSE),"-")</f>
        <v>-</v>
      </c>
      <c r="N215" s="83" t="str">
        <f>+IFERROR(VLOOKUP(CONCATENATE(A215,$C$10,C215),'ID1&amp;5'!B:J,8,FALSE),"-")</f>
        <v>-</v>
      </c>
      <c r="O215" s="82" t="str">
        <f>+IFERROR(VLOOKUP(C215,'ID1&amp;5'!K:L,2,FALSE),"-")</f>
        <v>-</v>
      </c>
      <c r="P215" s="83" t="str">
        <f>+IFERROR(VLOOKUP(CONCATENATE(A215,$C$10,C215),'ID1&amp;5'!B:J,9,FALSE),"-")</f>
        <v>-</v>
      </c>
      <c r="Q215" s="82" t="str">
        <f>+IFERROR(VLOOKUP(D215,'ID1&amp;5'!K:L,2,FALSE),"-")</f>
        <v>-</v>
      </c>
      <c r="R215" s="26" t="str">
        <f>+IFERROR(VLOOKUP(CONCATENATE(A215,$D$10,D215),'ID1&amp;5'!B:J,9,FALSE),"-")</f>
        <v>-</v>
      </c>
      <c r="S215" s="82" t="str">
        <f>+IFERROR(VLOOKUP(E215,'ID1&amp;5'!K:L,2,FALSE),"-")</f>
        <v>-</v>
      </c>
      <c r="T215" s="83" t="str">
        <f>+IFERROR(VLOOKUP(CONCATENATE(A215,$E$10,E215),'ID1&amp;5'!B:J,9,FALSE),"-")</f>
        <v>-</v>
      </c>
      <c r="U215" s="82" t="str">
        <f>+IFERROR(VLOOKUP(F215,'ID1&amp;5'!K:L,2,FALSE),"-")</f>
        <v>-</v>
      </c>
      <c r="V215" s="83" t="str">
        <f>+IFERROR(VLOOKUP(CONCATENATE(A215,$F$10,F215),'ID1&amp;5'!B:J,9,FALSE),"-")</f>
        <v>-</v>
      </c>
      <c r="W215" s="26" t="str">
        <f>+IFERROR(VLOOKUP(A215,'ID6&amp;7'!A:I,9,FALSE),"-")</f>
        <v>-</v>
      </c>
      <c r="X215" s="26" t="str">
        <f>+IFERROR(VLOOKUP(A215,'ID6&amp;7'!A:J,10,FALSE),"-")</f>
        <v>-</v>
      </c>
      <c r="Y215" s="26"/>
      <c r="Z215" s="27" t="str">
        <f t="shared" si="9"/>
        <v>Por iniciar</v>
      </c>
    </row>
    <row r="216" spans="1:26">
      <c r="A216" s="20" t="str">
        <f t="shared" si="8"/>
        <v>INSTRUMENTDPD_PRFRMNG_STTS45596</v>
      </c>
      <c r="B216" s="66"/>
      <c r="C216" s="60"/>
      <c r="D216" s="60"/>
      <c r="E216" s="60"/>
      <c r="F216" s="67"/>
      <c r="G216" s="60"/>
      <c r="H216" s="65" t="s">
        <v>126</v>
      </c>
      <c r="I216" s="21" t="s">
        <v>502</v>
      </c>
      <c r="J216" s="26">
        <f>+COUNTIF('ID1&amp;5'!G:G,'1. Status'!I216)</f>
        <v>0</v>
      </c>
      <c r="K216" s="83" t="str">
        <f>+IFERROR(VLOOKUP(CONCATENATE(A216,$B$10,B216),'ID1&amp;5'!B:J,8,FALSE),"-")</f>
        <v>-</v>
      </c>
      <c r="L216" s="82" t="str">
        <f>+IFERROR(VLOOKUP(B216,'ID1&amp;5'!K:L,2,FALSE),"-")</f>
        <v>-</v>
      </c>
      <c r="M216" s="83" t="str">
        <f>+IFERROR(VLOOKUP(CONCATENATE(A216,$B$10,B216),'ID1&amp;5'!B:J,9,FALSE),"-")</f>
        <v>-</v>
      </c>
      <c r="N216" s="83" t="str">
        <f>+IFERROR(VLOOKUP(CONCATENATE(A216,$C$10,C216),'ID1&amp;5'!B:J,8,FALSE),"-")</f>
        <v>-</v>
      </c>
      <c r="O216" s="82" t="str">
        <f>+IFERROR(VLOOKUP(C216,'ID1&amp;5'!K:L,2,FALSE),"-")</f>
        <v>-</v>
      </c>
      <c r="P216" s="83" t="str">
        <f>+IFERROR(VLOOKUP(CONCATENATE(A216,$C$10,C216),'ID1&amp;5'!B:J,9,FALSE),"-")</f>
        <v>-</v>
      </c>
      <c r="Q216" s="82" t="str">
        <f>+IFERROR(VLOOKUP(D216,'ID1&amp;5'!K:L,2,FALSE),"-")</f>
        <v>-</v>
      </c>
      <c r="R216" s="26" t="str">
        <f>+IFERROR(VLOOKUP(CONCATENATE(A216,$D$10,D216),'ID1&amp;5'!B:J,9,FALSE),"-")</f>
        <v>-</v>
      </c>
      <c r="S216" s="82" t="str">
        <f>+IFERROR(VLOOKUP(E216,'ID1&amp;5'!K:L,2,FALSE),"-")</f>
        <v>-</v>
      </c>
      <c r="T216" s="83" t="str">
        <f>+IFERROR(VLOOKUP(CONCATENATE(A216,$E$10,E216),'ID1&amp;5'!B:J,9,FALSE),"-")</f>
        <v>-</v>
      </c>
      <c r="U216" s="82" t="str">
        <f>+IFERROR(VLOOKUP(F216,'ID1&amp;5'!K:L,2,FALSE),"-")</f>
        <v>-</v>
      </c>
      <c r="V216" s="83" t="str">
        <f>+IFERROR(VLOOKUP(CONCATENATE(A216,$F$10,F216),'ID1&amp;5'!B:J,9,FALSE),"-")</f>
        <v>-</v>
      </c>
      <c r="W216" s="26" t="str">
        <f>+IFERROR(VLOOKUP(A216,'ID6&amp;7'!A:I,9,FALSE),"-")</f>
        <v>-</v>
      </c>
      <c r="X216" s="26" t="str">
        <f>+IFERROR(VLOOKUP(A216,'ID6&amp;7'!A:J,10,FALSE),"-")</f>
        <v>-</v>
      </c>
      <c r="Y216" s="26"/>
      <c r="Z216" s="27" t="str">
        <f t="shared" si="9"/>
        <v>Por iniciar</v>
      </c>
    </row>
    <row r="217" spans="1:26">
      <c r="A217" s="20" t="str">
        <f t="shared" si="8"/>
        <v>INSTRUMENTDT_IMPRMNT_STTS45596</v>
      </c>
      <c r="B217" s="66"/>
      <c r="C217" s="60"/>
      <c r="D217" s="60"/>
      <c r="E217" s="60"/>
      <c r="F217" s="67"/>
      <c r="G217" s="60"/>
      <c r="H217" s="65" t="s">
        <v>126</v>
      </c>
      <c r="I217" s="21" t="s">
        <v>503</v>
      </c>
      <c r="J217" s="26">
        <f>+COUNTIF('ID1&amp;5'!G:G,'1. Status'!I217)</f>
        <v>0</v>
      </c>
      <c r="K217" s="83" t="str">
        <f>+IFERROR(VLOOKUP(CONCATENATE(A217,$B$10,B217),'ID1&amp;5'!B:J,8,FALSE),"-")</f>
        <v>-</v>
      </c>
      <c r="L217" s="82" t="str">
        <f>+IFERROR(VLOOKUP(B217,'ID1&amp;5'!K:L,2,FALSE),"-")</f>
        <v>-</v>
      </c>
      <c r="M217" s="83" t="str">
        <f>+IFERROR(VLOOKUP(CONCATENATE(A217,$B$10,B217),'ID1&amp;5'!B:J,9,FALSE),"-")</f>
        <v>-</v>
      </c>
      <c r="N217" s="83" t="str">
        <f>+IFERROR(VLOOKUP(CONCATENATE(A217,$C$10,C217),'ID1&amp;5'!B:J,8,FALSE),"-")</f>
        <v>-</v>
      </c>
      <c r="O217" s="82" t="str">
        <f>+IFERROR(VLOOKUP(C217,'ID1&amp;5'!K:L,2,FALSE),"-")</f>
        <v>-</v>
      </c>
      <c r="P217" s="83" t="str">
        <f>+IFERROR(VLOOKUP(CONCATENATE(A217,$C$10,C217),'ID1&amp;5'!B:J,9,FALSE),"-")</f>
        <v>-</v>
      </c>
      <c r="Q217" s="82" t="str">
        <f>+IFERROR(VLOOKUP(D217,'ID1&amp;5'!K:L,2,FALSE),"-")</f>
        <v>-</v>
      </c>
      <c r="R217" s="26" t="str">
        <f>+IFERROR(VLOOKUP(CONCATENATE(A217,$D$10,D217),'ID1&amp;5'!B:J,9,FALSE),"-")</f>
        <v>-</v>
      </c>
      <c r="S217" s="82" t="str">
        <f>+IFERROR(VLOOKUP(E217,'ID1&amp;5'!K:L,2,FALSE),"-")</f>
        <v>-</v>
      </c>
      <c r="T217" s="83" t="str">
        <f>+IFERROR(VLOOKUP(CONCATENATE(A217,$E$10,E217),'ID1&amp;5'!B:J,9,FALSE),"-")</f>
        <v>-</v>
      </c>
      <c r="U217" s="82" t="str">
        <f>+IFERROR(VLOOKUP(F217,'ID1&amp;5'!K:L,2,FALSE),"-")</f>
        <v>-</v>
      </c>
      <c r="V217" s="83" t="str">
        <f>+IFERROR(VLOOKUP(CONCATENATE(A217,$F$10,F217),'ID1&amp;5'!B:J,9,FALSE),"-")</f>
        <v>-</v>
      </c>
      <c r="W217" s="26" t="str">
        <f>+IFERROR(VLOOKUP(A217,'ID6&amp;7'!A:I,9,FALSE),"-")</f>
        <v>-</v>
      </c>
      <c r="X217" s="26" t="str">
        <f>+IFERROR(VLOOKUP(A217,'ID6&amp;7'!A:J,10,FALSE),"-")</f>
        <v>-</v>
      </c>
      <c r="Y217" s="26"/>
      <c r="Z217" s="27" t="str">
        <f t="shared" si="9"/>
        <v>Por iniciar</v>
      </c>
    </row>
    <row r="218" spans="1:26">
      <c r="A218" s="20" t="str">
        <f t="shared" si="8"/>
        <v>INSTRUMENTDT_IMPRMNT_STTS_PRVS45596</v>
      </c>
      <c r="B218" s="66"/>
      <c r="C218" s="60"/>
      <c r="D218" s="60"/>
      <c r="E218" s="60"/>
      <c r="F218" s="67"/>
      <c r="G218" s="60"/>
      <c r="H218" s="65" t="s">
        <v>126</v>
      </c>
      <c r="I218" s="21" t="s">
        <v>504</v>
      </c>
      <c r="J218" s="26">
        <f>+COUNTIF('ID1&amp;5'!G:G,'1. Status'!I218)</f>
        <v>0</v>
      </c>
      <c r="K218" s="83" t="str">
        <f>+IFERROR(VLOOKUP(CONCATENATE(A218,$B$10,B218),'ID1&amp;5'!B:J,8,FALSE),"-")</f>
        <v>-</v>
      </c>
      <c r="L218" s="82" t="str">
        <f>+IFERROR(VLOOKUP(B218,'ID1&amp;5'!K:L,2,FALSE),"-")</f>
        <v>-</v>
      </c>
      <c r="M218" s="83" t="str">
        <f>+IFERROR(VLOOKUP(CONCATENATE(A218,$B$10,B218),'ID1&amp;5'!B:J,9,FALSE),"-")</f>
        <v>-</v>
      </c>
      <c r="N218" s="83" t="str">
        <f>+IFERROR(VLOOKUP(CONCATENATE(A218,$C$10,C218),'ID1&amp;5'!B:J,8,FALSE),"-")</f>
        <v>-</v>
      </c>
      <c r="O218" s="82" t="str">
        <f>+IFERROR(VLOOKUP(C218,'ID1&amp;5'!K:L,2,FALSE),"-")</f>
        <v>-</v>
      </c>
      <c r="P218" s="83" t="str">
        <f>+IFERROR(VLOOKUP(CONCATENATE(A218,$C$10,C218),'ID1&amp;5'!B:J,9,FALSE),"-")</f>
        <v>-</v>
      </c>
      <c r="Q218" s="82" t="str">
        <f>+IFERROR(VLOOKUP(D218,'ID1&amp;5'!K:L,2,FALSE),"-")</f>
        <v>-</v>
      </c>
      <c r="R218" s="26" t="str">
        <f>+IFERROR(VLOOKUP(CONCATENATE(A218,$D$10,D218),'ID1&amp;5'!B:J,9,FALSE),"-")</f>
        <v>-</v>
      </c>
      <c r="S218" s="82" t="str">
        <f>+IFERROR(VLOOKUP(E218,'ID1&amp;5'!K:L,2,FALSE),"-")</f>
        <v>-</v>
      </c>
      <c r="T218" s="83" t="str">
        <f>+IFERROR(VLOOKUP(CONCATENATE(A218,$E$10,E218),'ID1&amp;5'!B:J,9,FALSE),"-")</f>
        <v>-</v>
      </c>
      <c r="U218" s="82" t="str">
        <f>+IFERROR(VLOOKUP(F218,'ID1&amp;5'!K:L,2,FALSE),"-")</f>
        <v>-</v>
      </c>
      <c r="V218" s="83" t="str">
        <f>+IFERROR(VLOOKUP(CONCATENATE(A218,$F$10,F218),'ID1&amp;5'!B:J,9,FALSE),"-")</f>
        <v>-</v>
      </c>
      <c r="W218" s="26" t="str">
        <f>+IFERROR(VLOOKUP(A218,'ID6&amp;7'!A:I,9,FALSE),"-")</f>
        <v>-</v>
      </c>
      <c r="X218" s="26" t="str">
        <f>+IFERROR(VLOOKUP(A218,'ID6&amp;7'!A:J,10,FALSE),"-")</f>
        <v>-</v>
      </c>
      <c r="Y218" s="26"/>
      <c r="Z218" s="27" t="str">
        <f t="shared" si="9"/>
        <v>Por iniciar</v>
      </c>
    </row>
    <row r="219" spans="1:26">
      <c r="A219" s="20" t="str">
        <f t="shared" si="8"/>
        <v>INSTRUMENTDT_PST_D45596</v>
      </c>
      <c r="B219" s="66"/>
      <c r="C219" s="60"/>
      <c r="D219" s="60"/>
      <c r="E219" s="60"/>
      <c r="F219" s="67"/>
      <c r="G219" s="60"/>
      <c r="H219" s="65" t="s">
        <v>126</v>
      </c>
      <c r="I219" s="21" t="s">
        <v>505</v>
      </c>
      <c r="J219" s="26">
        <f>+COUNTIF('ID1&amp;5'!G:G,'1. Status'!I219)</f>
        <v>0</v>
      </c>
      <c r="K219" s="83" t="str">
        <f>+IFERROR(VLOOKUP(CONCATENATE(A219,$B$10,B219),'ID1&amp;5'!B:J,8,FALSE),"-")</f>
        <v>-</v>
      </c>
      <c r="L219" s="82" t="str">
        <f>+IFERROR(VLOOKUP(B219,'ID1&amp;5'!K:L,2,FALSE),"-")</f>
        <v>-</v>
      </c>
      <c r="M219" s="83" t="str">
        <f>+IFERROR(VLOOKUP(CONCATENATE(A219,$B$10,B219),'ID1&amp;5'!B:J,9,FALSE),"-")</f>
        <v>-</v>
      </c>
      <c r="N219" s="83" t="str">
        <f>+IFERROR(VLOOKUP(CONCATENATE(A219,$C$10,C219),'ID1&amp;5'!B:J,8,FALSE),"-")</f>
        <v>-</v>
      </c>
      <c r="O219" s="82" t="str">
        <f>+IFERROR(VLOOKUP(C219,'ID1&amp;5'!K:L,2,FALSE),"-")</f>
        <v>-</v>
      </c>
      <c r="P219" s="83" t="str">
        <f>+IFERROR(VLOOKUP(CONCATENATE(A219,$C$10,C219),'ID1&amp;5'!B:J,9,FALSE),"-")</f>
        <v>-</v>
      </c>
      <c r="Q219" s="82" t="str">
        <f>+IFERROR(VLOOKUP(D219,'ID1&amp;5'!K:L,2,FALSE),"-")</f>
        <v>-</v>
      </c>
      <c r="R219" s="26" t="str">
        <f>+IFERROR(VLOOKUP(CONCATENATE(A219,$D$10,D219),'ID1&amp;5'!B:J,9,FALSE),"-")</f>
        <v>-</v>
      </c>
      <c r="S219" s="82" t="str">
        <f>+IFERROR(VLOOKUP(E219,'ID1&amp;5'!K:L,2,FALSE),"-")</f>
        <v>-</v>
      </c>
      <c r="T219" s="83" t="str">
        <f>+IFERROR(VLOOKUP(CONCATENATE(A219,$E$10,E219),'ID1&amp;5'!B:J,9,FALSE),"-")</f>
        <v>-</v>
      </c>
      <c r="U219" s="82" t="str">
        <f>+IFERROR(VLOOKUP(F219,'ID1&amp;5'!K:L,2,FALSE),"-")</f>
        <v>-</v>
      </c>
      <c r="V219" s="83" t="str">
        <f>+IFERROR(VLOOKUP(CONCATENATE(A219,$F$10,F219),'ID1&amp;5'!B:J,9,FALSE),"-")</f>
        <v>-</v>
      </c>
      <c r="W219" s="26" t="str">
        <f>+IFERROR(VLOOKUP(A219,'ID6&amp;7'!A:I,9,FALSE),"-")</f>
        <v>-</v>
      </c>
      <c r="X219" s="26" t="str">
        <f>+IFERROR(VLOOKUP(A219,'ID6&amp;7'!A:J,10,FALSE),"-")</f>
        <v>-</v>
      </c>
      <c r="Y219" s="26"/>
      <c r="Z219" s="27" t="str">
        <f t="shared" si="9"/>
        <v>Por iniciar</v>
      </c>
    </row>
    <row r="220" spans="1:26">
      <c r="A220" s="20" t="str">
        <f t="shared" si="8"/>
        <v>INSTRUMENTIMPRMNT_ASSSSMNT_MTHD45596</v>
      </c>
      <c r="B220" s="66"/>
      <c r="C220" s="60"/>
      <c r="D220" s="60"/>
      <c r="E220" s="60"/>
      <c r="F220" s="67"/>
      <c r="G220" s="60"/>
      <c r="H220" s="65" t="s">
        <v>126</v>
      </c>
      <c r="I220" s="21" t="s">
        <v>506</v>
      </c>
      <c r="J220" s="26">
        <f>+COUNTIF('ID1&amp;5'!G:G,'1. Status'!I220)</f>
        <v>0</v>
      </c>
      <c r="K220" s="83" t="str">
        <f>+IFERROR(VLOOKUP(CONCATENATE(A220,$B$10,B220),'ID1&amp;5'!B:J,8,FALSE),"-")</f>
        <v>-</v>
      </c>
      <c r="L220" s="82" t="str">
        <f>+IFERROR(VLOOKUP(B220,'ID1&amp;5'!K:L,2,FALSE),"-")</f>
        <v>-</v>
      </c>
      <c r="M220" s="83" t="str">
        <f>+IFERROR(VLOOKUP(CONCATENATE(A220,$B$10,B220),'ID1&amp;5'!B:J,9,FALSE),"-")</f>
        <v>-</v>
      </c>
      <c r="N220" s="83" t="str">
        <f>+IFERROR(VLOOKUP(CONCATENATE(A220,$C$10,C220),'ID1&amp;5'!B:J,8,FALSE),"-")</f>
        <v>-</v>
      </c>
      <c r="O220" s="82" t="str">
        <f>+IFERROR(VLOOKUP(C220,'ID1&amp;5'!K:L,2,FALSE),"-")</f>
        <v>-</v>
      </c>
      <c r="P220" s="83" t="str">
        <f>+IFERROR(VLOOKUP(CONCATENATE(A220,$C$10,C220),'ID1&amp;5'!B:J,9,FALSE),"-")</f>
        <v>-</v>
      </c>
      <c r="Q220" s="82" t="str">
        <f>+IFERROR(VLOOKUP(D220,'ID1&amp;5'!K:L,2,FALSE),"-")</f>
        <v>-</v>
      </c>
      <c r="R220" s="26" t="str">
        <f>+IFERROR(VLOOKUP(CONCATENATE(A220,$D$10,D220),'ID1&amp;5'!B:J,9,FALSE),"-")</f>
        <v>-</v>
      </c>
      <c r="S220" s="82" t="str">
        <f>+IFERROR(VLOOKUP(E220,'ID1&amp;5'!K:L,2,FALSE),"-")</f>
        <v>-</v>
      </c>
      <c r="T220" s="83" t="str">
        <f>+IFERROR(VLOOKUP(CONCATENATE(A220,$E$10,E220),'ID1&amp;5'!B:J,9,FALSE),"-")</f>
        <v>-</v>
      </c>
      <c r="U220" s="82" t="str">
        <f>+IFERROR(VLOOKUP(F220,'ID1&amp;5'!K:L,2,FALSE),"-")</f>
        <v>-</v>
      </c>
      <c r="V220" s="83" t="str">
        <f>+IFERROR(VLOOKUP(CONCATENATE(A220,$F$10,F220),'ID1&amp;5'!B:J,9,FALSE),"-")</f>
        <v>-</v>
      </c>
      <c r="W220" s="26" t="str">
        <f>+IFERROR(VLOOKUP(A220,'ID6&amp;7'!A:I,9,FALSE),"-")</f>
        <v>-</v>
      </c>
      <c r="X220" s="26" t="str">
        <f>+IFERROR(VLOOKUP(A220,'ID6&amp;7'!A:J,10,FALSE),"-")</f>
        <v>-</v>
      </c>
      <c r="Y220" s="26"/>
      <c r="Z220" s="27" t="str">
        <f t="shared" si="9"/>
        <v>Por iniciar</v>
      </c>
    </row>
    <row r="221" spans="1:26">
      <c r="A221" s="20" t="str">
        <f t="shared" si="8"/>
        <v>INSTRUMENTIMPRMNT_CLCLTN_MTHD45596</v>
      </c>
      <c r="B221" s="66"/>
      <c r="C221" s="60"/>
      <c r="D221" s="60"/>
      <c r="E221" s="60"/>
      <c r="F221" s="67"/>
      <c r="G221" s="60"/>
      <c r="H221" s="65" t="s">
        <v>126</v>
      </c>
      <c r="I221" s="21" t="s">
        <v>507</v>
      </c>
      <c r="J221" s="26">
        <f>+COUNTIF('ID1&amp;5'!G:G,'1. Status'!I221)</f>
        <v>0</v>
      </c>
      <c r="K221" s="83" t="str">
        <f>+IFERROR(VLOOKUP(CONCATENATE(A221,$B$10,B221),'ID1&amp;5'!B:J,8,FALSE),"-")</f>
        <v>-</v>
      </c>
      <c r="L221" s="82" t="str">
        <f>+IFERROR(VLOOKUP(B221,'ID1&amp;5'!K:L,2,FALSE),"-")</f>
        <v>-</v>
      </c>
      <c r="M221" s="83" t="str">
        <f>+IFERROR(VLOOKUP(CONCATENATE(A221,$B$10,B221),'ID1&amp;5'!B:J,9,FALSE),"-")</f>
        <v>-</v>
      </c>
      <c r="N221" s="83" t="str">
        <f>+IFERROR(VLOOKUP(CONCATENATE(A221,$C$10,C221),'ID1&amp;5'!B:J,8,FALSE),"-")</f>
        <v>-</v>
      </c>
      <c r="O221" s="82" t="str">
        <f>+IFERROR(VLOOKUP(C221,'ID1&amp;5'!K:L,2,FALSE),"-")</f>
        <v>-</v>
      </c>
      <c r="P221" s="83" t="str">
        <f>+IFERROR(VLOOKUP(CONCATENATE(A221,$C$10,C221),'ID1&amp;5'!B:J,9,FALSE),"-")</f>
        <v>-</v>
      </c>
      <c r="Q221" s="82" t="str">
        <f>+IFERROR(VLOOKUP(D221,'ID1&amp;5'!K:L,2,FALSE),"-")</f>
        <v>-</v>
      </c>
      <c r="R221" s="26" t="str">
        <f>+IFERROR(VLOOKUP(CONCATENATE(A221,$D$10,D221),'ID1&amp;5'!B:J,9,FALSE),"-")</f>
        <v>-</v>
      </c>
      <c r="S221" s="82" t="str">
        <f>+IFERROR(VLOOKUP(E221,'ID1&amp;5'!K:L,2,FALSE),"-")</f>
        <v>-</v>
      </c>
      <c r="T221" s="83" t="str">
        <f>+IFERROR(VLOOKUP(CONCATENATE(A221,$E$10,E221),'ID1&amp;5'!B:J,9,FALSE),"-")</f>
        <v>-</v>
      </c>
      <c r="U221" s="82" t="str">
        <f>+IFERROR(VLOOKUP(F221,'ID1&amp;5'!K:L,2,FALSE),"-")</f>
        <v>-</v>
      </c>
      <c r="V221" s="83" t="str">
        <f>+IFERROR(VLOOKUP(CONCATENATE(A221,$F$10,F221),'ID1&amp;5'!B:J,9,FALSE),"-")</f>
        <v>-</v>
      </c>
      <c r="W221" s="26" t="str">
        <f>+IFERROR(VLOOKUP(A221,'ID6&amp;7'!A:I,9,FALSE),"-")</f>
        <v>-</v>
      </c>
      <c r="X221" s="26" t="str">
        <f>+IFERROR(VLOOKUP(A221,'ID6&amp;7'!A:J,10,FALSE),"-")</f>
        <v>-</v>
      </c>
      <c r="Y221" s="26"/>
      <c r="Z221" s="27" t="str">
        <f t="shared" si="9"/>
        <v>Por iniciar</v>
      </c>
    </row>
    <row r="222" spans="1:26">
      <c r="A222" s="20" t="str">
        <f t="shared" si="8"/>
        <v>INSTRUMENTNMBR_FRBRNC_MSRS45596</v>
      </c>
      <c r="B222" s="66"/>
      <c r="C222" s="60"/>
      <c r="D222" s="60"/>
      <c r="E222" s="60"/>
      <c r="F222" s="67"/>
      <c r="G222" s="60"/>
      <c r="H222" s="65" t="s">
        <v>126</v>
      </c>
      <c r="I222" s="21" t="s">
        <v>508</v>
      </c>
      <c r="J222" s="26">
        <f>+COUNTIF('ID1&amp;5'!G:G,'1. Status'!I222)</f>
        <v>0</v>
      </c>
      <c r="K222" s="83" t="str">
        <f>+IFERROR(VLOOKUP(CONCATENATE(A222,$B$10,B222),'ID1&amp;5'!B:J,8,FALSE),"-")</f>
        <v>-</v>
      </c>
      <c r="L222" s="82" t="str">
        <f>+IFERROR(VLOOKUP(B222,'ID1&amp;5'!K:L,2,FALSE),"-")</f>
        <v>-</v>
      </c>
      <c r="M222" s="83" t="str">
        <f>+IFERROR(VLOOKUP(CONCATENATE(A222,$B$10,B222),'ID1&amp;5'!B:J,9,FALSE),"-")</f>
        <v>-</v>
      </c>
      <c r="N222" s="83" t="str">
        <f>+IFERROR(VLOOKUP(CONCATENATE(A222,$C$10,C222),'ID1&amp;5'!B:J,8,FALSE),"-")</f>
        <v>-</v>
      </c>
      <c r="O222" s="82" t="str">
        <f>+IFERROR(VLOOKUP(C222,'ID1&amp;5'!K:L,2,FALSE),"-")</f>
        <v>-</v>
      </c>
      <c r="P222" s="83" t="str">
        <f>+IFERROR(VLOOKUP(CONCATENATE(A222,$C$10,C222),'ID1&amp;5'!B:J,9,FALSE),"-")</f>
        <v>-</v>
      </c>
      <c r="Q222" s="82" t="str">
        <f>+IFERROR(VLOOKUP(D222,'ID1&amp;5'!K:L,2,FALSE),"-")</f>
        <v>-</v>
      </c>
      <c r="R222" s="26" t="str">
        <f>+IFERROR(VLOOKUP(CONCATENATE(A222,$D$10,D222),'ID1&amp;5'!B:J,9,FALSE),"-")</f>
        <v>-</v>
      </c>
      <c r="S222" s="82" t="str">
        <f>+IFERROR(VLOOKUP(E222,'ID1&amp;5'!K:L,2,FALSE),"-")</f>
        <v>-</v>
      </c>
      <c r="T222" s="83" t="str">
        <f>+IFERROR(VLOOKUP(CONCATENATE(A222,$E$10,E222),'ID1&amp;5'!B:J,9,FALSE),"-")</f>
        <v>-</v>
      </c>
      <c r="U222" s="82" t="str">
        <f>+IFERROR(VLOOKUP(F222,'ID1&amp;5'!K:L,2,FALSE),"-")</f>
        <v>-</v>
      </c>
      <c r="V222" s="83" t="str">
        <f>+IFERROR(VLOOKUP(CONCATENATE(A222,$F$10,F222),'ID1&amp;5'!B:J,9,FALSE),"-")</f>
        <v>-</v>
      </c>
      <c r="W222" s="26" t="str">
        <f>+IFERROR(VLOOKUP(A222,'ID6&amp;7'!A:I,9,FALSE),"-")</f>
        <v>-</v>
      </c>
      <c r="X222" s="26" t="str">
        <f>+IFERROR(VLOOKUP(A222,'ID6&amp;7'!A:J,10,FALSE),"-")</f>
        <v>-</v>
      </c>
      <c r="Y222" s="26"/>
      <c r="Z222" s="27" t="str">
        <f t="shared" si="9"/>
        <v>Por iniciar</v>
      </c>
    </row>
    <row r="223" spans="1:26">
      <c r="A223" s="20" t="str">
        <f t="shared" si="8"/>
        <v>INSTRUMENTIFRS9_LGD45596</v>
      </c>
      <c r="B223" s="66"/>
      <c r="C223" s="60"/>
      <c r="D223" s="60"/>
      <c r="E223" s="60"/>
      <c r="F223" s="67"/>
      <c r="G223" s="60"/>
      <c r="H223" s="65" t="s">
        <v>126</v>
      </c>
      <c r="I223" s="21" t="s">
        <v>509</v>
      </c>
      <c r="J223" s="26">
        <f>+COUNTIF('ID1&amp;5'!G:G,'1. Status'!I223)</f>
        <v>0</v>
      </c>
      <c r="K223" s="83" t="str">
        <f>+IFERROR(VLOOKUP(CONCATENATE(A223,$B$10,B223),'ID1&amp;5'!B:J,8,FALSE),"-")</f>
        <v>-</v>
      </c>
      <c r="L223" s="82" t="str">
        <f>+IFERROR(VLOOKUP(B223,'ID1&amp;5'!K:L,2,FALSE),"-")</f>
        <v>-</v>
      </c>
      <c r="M223" s="83" t="str">
        <f>+IFERROR(VLOOKUP(CONCATENATE(A223,$B$10,B223),'ID1&amp;5'!B:J,9,FALSE),"-")</f>
        <v>-</v>
      </c>
      <c r="N223" s="83" t="str">
        <f>+IFERROR(VLOOKUP(CONCATENATE(A223,$C$10,C223),'ID1&amp;5'!B:J,8,FALSE),"-")</f>
        <v>-</v>
      </c>
      <c r="O223" s="82" t="str">
        <f>+IFERROR(VLOOKUP(C223,'ID1&amp;5'!K:L,2,FALSE),"-")</f>
        <v>-</v>
      </c>
      <c r="P223" s="83" t="str">
        <f>+IFERROR(VLOOKUP(CONCATENATE(A223,$C$10,C223),'ID1&amp;5'!B:J,9,FALSE),"-")</f>
        <v>-</v>
      </c>
      <c r="Q223" s="82" t="str">
        <f>+IFERROR(VLOOKUP(D223,'ID1&amp;5'!K:L,2,FALSE),"-")</f>
        <v>-</v>
      </c>
      <c r="R223" s="26" t="str">
        <f>+IFERROR(VLOOKUP(CONCATENATE(A223,$D$10,D223),'ID1&amp;5'!B:J,9,FALSE),"-")</f>
        <v>-</v>
      </c>
      <c r="S223" s="82" t="str">
        <f>+IFERROR(VLOOKUP(E223,'ID1&amp;5'!K:L,2,FALSE),"-")</f>
        <v>-</v>
      </c>
      <c r="T223" s="83" t="str">
        <f>+IFERROR(VLOOKUP(CONCATENATE(A223,$E$10,E223),'ID1&amp;5'!B:J,9,FALSE),"-")</f>
        <v>-</v>
      </c>
      <c r="U223" s="82" t="str">
        <f>+IFERROR(VLOOKUP(F223,'ID1&amp;5'!K:L,2,FALSE),"-")</f>
        <v>-</v>
      </c>
      <c r="V223" s="83" t="str">
        <f>+IFERROR(VLOOKUP(CONCATENATE(A223,$F$10,F223),'ID1&amp;5'!B:J,9,FALSE),"-")</f>
        <v>-</v>
      </c>
      <c r="W223" s="26" t="str">
        <f>+IFERROR(VLOOKUP(A223,'ID6&amp;7'!A:I,9,FALSE),"-")</f>
        <v>-</v>
      </c>
      <c r="X223" s="26" t="str">
        <f>+IFERROR(VLOOKUP(A223,'ID6&amp;7'!A:J,10,FALSE),"-")</f>
        <v>-</v>
      </c>
      <c r="Y223" s="26"/>
      <c r="Z223" s="27" t="str">
        <f t="shared" si="9"/>
        <v>Por iniciar</v>
      </c>
    </row>
    <row r="224" spans="1:26">
      <c r="A224" s="20" t="str">
        <f t="shared" si="8"/>
        <v>INSTRUMENTLGD45596</v>
      </c>
      <c r="B224" s="66"/>
      <c r="C224" s="60"/>
      <c r="D224" s="60"/>
      <c r="E224" s="60"/>
      <c r="F224" s="67"/>
      <c r="G224" s="60"/>
      <c r="H224" s="65" t="s">
        <v>126</v>
      </c>
      <c r="I224" s="21" t="s">
        <v>510</v>
      </c>
      <c r="J224" s="26">
        <f>+COUNTIF('ID1&amp;5'!G:G,'1. Status'!I224)</f>
        <v>0</v>
      </c>
      <c r="K224" s="83" t="str">
        <f>+IFERROR(VLOOKUP(CONCATENATE(A224,$B$10,B224),'ID1&amp;5'!B:J,8,FALSE),"-")</f>
        <v>-</v>
      </c>
      <c r="L224" s="82" t="str">
        <f>+IFERROR(VLOOKUP(B224,'ID1&amp;5'!K:L,2,FALSE),"-")</f>
        <v>-</v>
      </c>
      <c r="M224" s="83" t="str">
        <f>+IFERROR(VLOOKUP(CONCATENATE(A224,$B$10,B224),'ID1&amp;5'!B:J,9,FALSE),"-")</f>
        <v>-</v>
      </c>
      <c r="N224" s="83" t="str">
        <f>+IFERROR(VLOOKUP(CONCATENATE(A224,$C$10,C224),'ID1&amp;5'!B:J,8,FALSE),"-")</f>
        <v>-</v>
      </c>
      <c r="O224" s="82" t="str">
        <f>+IFERROR(VLOOKUP(C224,'ID1&amp;5'!K:L,2,FALSE),"-")</f>
        <v>-</v>
      </c>
      <c r="P224" s="83" t="str">
        <f>+IFERROR(VLOOKUP(CONCATENATE(A224,$C$10,C224),'ID1&amp;5'!B:J,9,FALSE),"-")</f>
        <v>-</v>
      </c>
      <c r="Q224" s="82" t="str">
        <f>+IFERROR(VLOOKUP(D224,'ID1&amp;5'!K:L,2,FALSE),"-")</f>
        <v>-</v>
      </c>
      <c r="R224" s="26" t="str">
        <f>+IFERROR(VLOOKUP(CONCATENATE(A224,$D$10,D224),'ID1&amp;5'!B:J,9,FALSE),"-")</f>
        <v>-</v>
      </c>
      <c r="S224" s="82" t="str">
        <f>+IFERROR(VLOOKUP(E224,'ID1&amp;5'!K:L,2,FALSE),"-")</f>
        <v>-</v>
      </c>
      <c r="T224" s="83" t="str">
        <f>+IFERROR(VLOOKUP(CONCATENATE(A224,$E$10,E224),'ID1&amp;5'!B:J,9,FALSE),"-")</f>
        <v>-</v>
      </c>
      <c r="U224" s="82" t="str">
        <f>+IFERROR(VLOOKUP(F224,'ID1&amp;5'!K:L,2,FALSE),"-")</f>
        <v>-</v>
      </c>
      <c r="V224" s="83" t="str">
        <f>+IFERROR(VLOOKUP(CONCATENATE(A224,$F$10,F224),'ID1&amp;5'!B:J,9,FALSE),"-")</f>
        <v>-</v>
      </c>
      <c r="W224" s="26" t="str">
        <f>+IFERROR(VLOOKUP(A224,'ID6&amp;7'!A:I,9,FALSE),"-")</f>
        <v>-</v>
      </c>
      <c r="X224" s="26" t="str">
        <f>+IFERROR(VLOOKUP(A224,'ID6&amp;7'!A:J,10,FALSE),"-")</f>
        <v>-</v>
      </c>
      <c r="Y224" s="26"/>
      <c r="Z224" s="27" t="str">
        <f t="shared" si="9"/>
        <v>Por iniciar</v>
      </c>
    </row>
    <row r="225" spans="1:26">
      <c r="A225" s="20" t="str">
        <f t="shared" si="8"/>
        <v>INSTRUMENTLTV45596</v>
      </c>
      <c r="B225" s="66"/>
      <c r="C225" s="60"/>
      <c r="D225" s="60"/>
      <c r="E225" s="60"/>
      <c r="F225" s="67"/>
      <c r="G225" s="60"/>
      <c r="H225" s="65" t="s">
        <v>126</v>
      </c>
      <c r="I225" s="21" t="s">
        <v>511</v>
      </c>
      <c r="J225" s="26">
        <f>+COUNTIF('ID1&amp;5'!G:G,'1. Status'!I225)</f>
        <v>0</v>
      </c>
      <c r="K225" s="83" t="str">
        <f>+IFERROR(VLOOKUP(CONCATENATE(A225,$B$10,B225),'ID1&amp;5'!B:J,8,FALSE),"-")</f>
        <v>-</v>
      </c>
      <c r="L225" s="82" t="str">
        <f>+IFERROR(VLOOKUP(B225,'ID1&amp;5'!K:L,2,FALSE),"-")</f>
        <v>-</v>
      </c>
      <c r="M225" s="83" t="str">
        <f>+IFERROR(VLOOKUP(CONCATENATE(A225,$B$10,B225),'ID1&amp;5'!B:J,9,FALSE),"-")</f>
        <v>-</v>
      </c>
      <c r="N225" s="83" t="str">
        <f>+IFERROR(VLOOKUP(CONCATENATE(A225,$C$10,C225),'ID1&amp;5'!B:J,8,FALSE),"-")</f>
        <v>-</v>
      </c>
      <c r="O225" s="82" t="str">
        <f>+IFERROR(VLOOKUP(C225,'ID1&amp;5'!K:L,2,FALSE),"-")</f>
        <v>-</v>
      </c>
      <c r="P225" s="83" t="str">
        <f>+IFERROR(VLOOKUP(CONCATENATE(A225,$C$10,C225),'ID1&amp;5'!B:J,9,FALSE),"-")</f>
        <v>-</v>
      </c>
      <c r="Q225" s="82" t="str">
        <f>+IFERROR(VLOOKUP(D225,'ID1&amp;5'!K:L,2,FALSE),"-")</f>
        <v>-</v>
      </c>
      <c r="R225" s="26" t="str">
        <f>+IFERROR(VLOOKUP(CONCATENATE(A225,$D$10,D225),'ID1&amp;5'!B:J,9,FALSE),"-")</f>
        <v>-</v>
      </c>
      <c r="S225" s="82" t="str">
        <f>+IFERROR(VLOOKUP(E225,'ID1&amp;5'!K:L,2,FALSE),"-")</f>
        <v>-</v>
      </c>
      <c r="T225" s="83" t="str">
        <f>+IFERROR(VLOOKUP(CONCATENATE(A225,$E$10,E225),'ID1&amp;5'!B:J,9,FALSE),"-")</f>
        <v>-</v>
      </c>
      <c r="U225" s="82" t="str">
        <f>+IFERROR(VLOOKUP(F225,'ID1&amp;5'!K:L,2,FALSE),"-")</f>
        <v>-</v>
      </c>
      <c r="V225" s="83" t="str">
        <f>+IFERROR(VLOOKUP(CONCATENATE(A225,$F$10,F225),'ID1&amp;5'!B:J,9,FALSE),"-")</f>
        <v>-</v>
      </c>
      <c r="W225" s="26" t="str">
        <f>+IFERROR(VLOOKUP(A225,'ID6&amp;7'!A:I,9,FALSE),"-")</f>
        <v>-</v>
      </c>
      <c r="X225" s="26" t="str">
        <f>+IFERROR(VLOOKUP(A225,'ID6&amp;7'!A:J,10,FALSE),"-")</f>
        <v>-</v>
      </c>
      <c r="Y225" s="26"/>
      <c r="Z225" s="27" t="str">
        <f t="shared" si="9"/>
        <v>Por iniciar</v>
      </c>
    </row>
    <row r="226" spans="1:26">
      <c r="A226" s="20" t="str">
        <f t="shared" si="8"/>
        <v>INSTRUMENTLTV_INCPTN45596</v>
      </c>
      <c r="B226" s="66"/>
      <c r="C226" s="60"/>
      <c r="D226" s="60"/>
      <c r="E226" s="60"/>
      <c r="F226" s="67"/>
      <c r="G226" s="60"/>
      <c r="H226" s="65" t="s">
        <v>126</v>
      </c>
      <c r="I226" s="21" t="s">
        <v>512</v>
      </c>
      <c r="J226" s="26">
        <f>+COUNTIF('ID1&amp;5'!G:G,'1. Status'!I226)</f>
        <v>0</v>
      </c>
      <c r="K226" s="83" t="str">
        <f>+IFERROR(VLOOKUP(CONCATENATE(A226,$B$10,B226),'ID1&amp;5'!B:J,8,FALSE),"-")</f>
        <v>-</v>
      </c>
      <c r="L226" s="82" t="str">
        <f>+IFERROR(VLOOKUP(B226,'ID1&amp;5'!K:L,2,FALSE),"-")</f>
        <v>-</v>
      </c>
      <c r="M226" s="83" t="str">
        <f>+IFERROR(VLOOKUP(CONCATENATE(A226,$B$10,B226),'ID1&amp;5'!B:J,9,FALSE),"-")</f>
        <v>-</v>
      </c>
      <c r="N226" s="83" t="str">
        <f>+IFERROR(VLOOKUP(CONCATENATE(A226,$C$10,C226),'ID1&amp;5'!B:J,8,FALSE),"-")</f>
        <v>-</v>
      </c>
      <c r="O226" s="82" t="str">
        <f>+IFERROR(VLOOKUP(C226,'ID1&amp;5'!K:L,2,FALSE),"-")</f>
        <v>-</v>
      </c>
      <c r="P226" s="83" t="str">
        <f>+IFERROR(VLOOKUP(CONCATENATE(A226,$C$10,C226),'ID1&amp;5'!B:J,9,FALSE),"-")</f>
        <v>-</v>
      </c>
      <c r="Q226" s="82" t="str">
        <f>+IFERROR(VLOOKUP(D226,'ID1&amp;5'!K:L,2,FALSE),"-")</f>
        <v>-</v>
      </c>
      <c r="R226" s="26" t="str">
        <f>+IFERROR(VLOOKUP(CONCATENATE(A226,$D$10,D226),'ID1&amp;5'!B:J,9,FALSE),"-")</f>
        <v>-</v>
      </c>
      <c r="S226" s="82" t="str">
        <f>+IFERROR(VLOOKUP(E226,'ID1&amp;5'!K:L,2,FALSE),"-")</f>
        <v>-</v>
      </c>
      <c r="T226" s="83" t="str">
        <f>+IFERROR(VLOOKUP(CONCATENATE(A226,$E$10,E226),'ID1&amp;5'!B:J,9,FALSE),"-")</f>
        <v>-</v>
      </c>
      <c r="U226" s="82" t="str">
        <f>+IFERROR(VLOOKUP(F226,'ID1&amp;5'!K:L,2,FALSE),"-")</f>
        <v>-</v>
      </c>
      <c r="V226" s="83" t="str">
        <f>+IFERROR(VLOOKUP(CONCATENATE(A226,$F$10,F226),'ID1&amp;5'!B:J,9,FALSE),"-")</f>
        <v>-</v>
      </c>
      <c r="W226" s="26" t="str">
        <f>+IFERROR(VLOOKUP(A226,'ID6&amp;7'!A:I,9,FALSE),"-")</f>
        <v>-</v>
      </c>
      <c r="X226" s="26" t="str">
        <f>+IFERROR(VLOOKUP(A226,'ID6&amp;7'!A:J,10,FALSE),"-")</f>
        <v>-</v>
      </c>
      <c r="Y226" s="26"/>
      <c r="Z226" s="27" t="str">
        <f t="shared" si="9"/>
        <v>Por iniciar</v>
      </c>
    </row>
    <row r="227" spans="1:26">
      <c r="A227" s="20" t="str">
        <f t="shared" si="8"/>
        <v>INSTRUMENTLTV_NPE45596</v>
      </c>
      <c r="B227" s="66"/>
      <c r="C227" s="60"/>
      <c r="D227" s="60"/>
      <c r="E227" s="60"/>
      <c r="F227" s="67"/>
      <c r="G227" s="60"/>
      <c r="H227" s="65" t="s">
        <v>126</v>
      </c>
      <c r="I227" s="21" t="s">
        <v>513</v>
      </c>
      <c r="J227" s="26">
        <f>+COUNTIF('ID1&amp;5'!G:G,'1. Status'!I227)</f>
        <v>0</v>
      </c>
      <c r="K227" s="83" t="str">
        <f>+IFERROR(VLOOKUP(CONCATENATE(A227,$B$10,B227),'ID1&amp;5'!B:J,8,FALSE),"-")</f>
        <v>-</v>
      </c>
      <c r="L227" s="82" t="str">
        <f>+IFERROR(VLOOKUP(B227,'ID1&amp;5'!K:L,2,FALSE),"-")</f>
        <v>-</v>
      </c>
      <c r="M227" s="83" t="str">
        <f>+IFERROR(VLOOKUP(CONCATENATE(A227,$B$10,B227),'ID1&amp;5'!B:J,9,FALSE),"-")</f>
        <v>-</v>
      </c>
      <c r="N227" s="83" t="str">
        <f>+IFERROR(VLOOKUP(CONCATENATE(A227,$C$10,C227),'ID1&amp;5'!B:J,8,FALSE),"-")</f>
        <v>-</v>
      </c>
      <c r="O227" s="82" t="str">
        <f>+IFERROR(VLOOKUP(C227,'ID1&amp;5'!K:L,2,FALSE),"-")</f>
        <v>-</v>
      </c>
      <c r="P227" s="83" t="str">
        <f>+IFERROR(VLOOKUP(CONCATENATE(A227,$C$10,C227),'ID1&amp;5'!B:J,9,FALSE),"-")</f>
        <v>-</v>
      </c>
      <c r="Q227" s="82" t="str">
        <f>+IFERROR(VLOOKUP(D227,'ID1&amp;5'!K:L,2,FALSE),"-")</f>
        <v>-</v>
      </c>
      <c r="R227" s="26" t="str">
        <f>+IFERROR(VLOOKUP(CONCATENATE(A227,$D$10,D227),'ID1&amp;5'!B:J,9,FALSE),"-")</f>
        <v>-</v>
      </c>
      <c r="S227" s="82" t="str">
        <f>+IFERROR(VLOOKUP(E227,'ID1&amp;5'!K:L,2,FALSE),"-")</f>
        <v>-</v>
      </c>
      <c r="T227" s="83" t="str">
        <f>+IFERROR(VLOOKUP(CONCATENATE(A227,$E$10,E227),'ID1&amp;5'!B:J,9,FALSE),"-")</f>
        <v>-</v>
      </c>
      <c r="U227" s="82" t="str">
        <f>+IFERROR(VLOOKUP(F227,'ID1&amp;5'!K:L,2,FALSE),"-")</f>
        <v>-</v>
      </c>
      <c r="V227" s="83" t="str">
        <f>+IFERROR(VLOOKUP(CONCATENATE(A227,$F$10,F227),'ID1&amp;5'!B:J,9,FALSE),"-")</f>
        <v>-</v>
      </c>
      <c r="W227" s="26" t="str">
        <f>+IFERROR(VLOOKUP(A227,'ID6&amp;7'!A:I,9,FALSE),"-")</f>
        <v>-</v>
      </c>
      <c r="X227" s="26" t="str">
        <f>+IFERROR(VLOOKUP(A227,'ID6&amp;7'!A:J,10,FALSE),"-")</f>
        <v>-</v>
      </c>
      <c r="Y227" s="26"/>
      <c r="Z227" s="27" t="str">
        <f t="shared" si="9"/>
        <v>Por iniciar</v>
      </c>
    </row>
    <row r="228" spans="1:26">
      <c r="A228" s="20" t="str">
        <f t="shared" si="8"/>
        <v>INSTRUMENTPD_CRR_INCPTN45596</v>
      </c>
      <c r="B228" s="66"/>
      <c r="C228" s="60"/>
      <c r="D228" s="60"/>
      <c r="E228" s="60"/>
      <c r="F228" s="67"/>
      <c r="G228" s="60"/>
      <c r="H228" s="65" t="s">
        <v>126</v>
      </c>
      <c r="I228" s="21" t="s">
        <v>514</v>
      </c>
      <c r="J228" s="26">
        <f>+COUNTIF('ID1&amp;5'!G:G,'1. Status'!I228)</f>
        <v>0</v>
      </c>
      <c r="K228" s="83" t="str">
        <f>+IFERROR(VLOOKUP(CONCATENATE(A228,$B$10,B228),'ID1&amp;5'!B:J,8,FALSE),"-")</f>
        <v>-</v>
      </c>
      <c r="L228" s="82" t="str">
        <f>+IFERROR(VLOOKUP(B228,'ID1&amp;5'!K:L,2,FALSE),"-")</f>
        <v>-</v>
      </c>
      <c r="M228" s="83" t="str">
        <f>+IFERROR(VLOOKUP(CONCATENATE(A228,$B$10,B228),'ID1&amp;5'!B:J,9,FALSE),"-")</f>
        <v>-</v>
      </c>
      <c r="N228" s="83" t="str">
        <f>+IFERROR(VLOOKUP(CONCATENATE(A228,$C$10,C228),'ID1&amp;5'!B:J,8,FALSE),"-")</f>
        <v>-</v>
      </c>
      <c r="O228" s="82" t="str">
        <f>+IFERROR(VLOOKUP(C228,'ID1&amp;5'!K:L,2,FALSE),"-")</f>
        <v>-</v>
      </c>
      <c r="P228" s="83" t="str">
        <f>+IFERROR(VLOOKUP(CONCATENATE(A228,$C$10,C228),'ID1&amp;5'!B:J,9,FALSE),"-")</f>
        <v>-</v>
      </c>
      <c r="Q228" s="82" t="str">
        <f>+IFERROR(VLOOKUP(D228,'ID1&amp;5'!K:L,2,FALSE),"-")</f>
        <v>-</v>
      </c>
      <c r="R228" s="26" t="str">
        <f>+IFERROR(VLOOKUP(CONCATENATE(A228,$D$10,D228),'ID1&amp;5'!B:J,9,FALSE),"-")</f>
        <v>-</v>
      </c>
      <c r="S228" s="82" t="str">
        <f>+IFERROR(VLOOKUP(E228,'ID1&amp;5'!K:L,2,FALSE),"-")</f>
        <v>-</v>
      </c>
      <c r="T228" s="83" t="str">
        <f>+IFERROR(VLOOKUP(CONCATENATE(A228,$E$10,E228),'ID1&amp;5'!B:J,9,FALSE),"-")</f>
        <v>-</v>
      </c>
      <c r="U228" s="82" t="str">
        <f>+IFERROR(VLOOKUP(F228,'ID1&amp;5'!K:L,2,FALSE),"-")</f>
        <v>-</v>
      </c>
      <c r="V228" s="83" t="str">
        <f>+IFERROR(VLOOKUP(CONCATENATE(A228,$F$10,F228),'ID1&amp;5'!B:J,9,FALSE),"-")</f>
        <v>-</v>
      </c>
      <c r="W228" s="26" t="str">
        <f>+IFERROR(VLOOKUP(A228,'ID6&amp;7'!A:I,9,FALSE),"-")</f>
        <v>-</v>
      </c>
      <c r="X228" s="26" t="str">
        <f>+IFERROR(VLOOKUP(A228,'ID6&amp;7'!A:J,10,FALSE),"-")</f>
        <v>-</v>
      </c>
      <c r="Y228" s="26"/>
      <c r="Z228" s="27" t="str">
        <f t="shared" si="9"/>
        <v>Por iniciar</v>
      </c>
    </row>
    <row r="229" spans="1:26">
      <c r="A229" s="20" t="str">
        <f t="shared" si="8"/>
        <v>INSTRUMENTPD_CRR_RD45596</v>
      </c>
      <c r="B229" s="66"/>
      <c r="C229" s="60"/>
      <c r="D229" s="60"/>
      <c r="E229" s="60"/>
      <c r="F229" s="67"/>
      <c r="G229" s="60"/>
      <c r="H229" s="65" t="s">
        <v>126</v>
      </c>
      <c r="I229" s="21" t="s">
        <v>394</v>
      </c>
      <c r="J229" s="26">
        <f>+COUNTIF('ID1&amp;5'!G:G,'1. Status'!I229)</f>
        <v>0</v>
      </c>
      <c r="K229" s="83" t="str">
        <f>+IFERROR(VLOOKUP(CONCATENATE(A229,$B$10,B229),'ID1&amp;5'!B:J,8,FALSE),"-")</f>
        <v>-</v>
      </c>
      <c r="L229" s="82" t="str">
        <f>+IFERROR(VLOOKUP(B229,'ID1&amp;5'!K:L,2,FALSE),"-")</f>
        <v>-</v>
      </c>
      <c r="M229" s="83" t="str">
        <f>+IFERROR(VLOOKUP(CONCATENATE(A229,$B$10,B229),'ID1&amp;5'!B:J,9,FALSE),"-")</f>
        <v>-</v>
      </c>
      <c r="N229" s="83" t="str">
        <f>+IFERROR(VLOOKUP(CONCATENATE(A229,$C$10,C229),'ID1&amp;5'!B:J,8,FALSE),"-")</f>
        <v>-</v>
      </c>
      <c r="O229" s="82" t="str">
        <f>+IFERROR(VLOOKUP(C229,'ID1&amp;5'!K:L,2,FALSE),"-")</f>
        <v>-</v>
      </c>
      <c r="P229" s="83" t="str">
        <f>+IFERROR(VLOOKUP(CONCATENATE(A229,$C$10,C229),'ID1&amp;5'!B:J,9,FALSE),"-")</f>
        <v>-</v>
      </c>
      <c r="Q229" s="82" t="str">
        <f>+IFERROR(VLOOKUP(D229,'ID1&amp;5'!K:L,2,FALSE),"-")</f>
        <v>-</v>
      </c>
      <c r="R229" s="26" t="str">
        <f>+IFERROR(VLOOKUP(CONCATENATE(A229,$D$10,D229),'ID1&amp;5'!B:J,9,FALSE),"-")</f>
        <v>-</v>
      </c>
      <c r="S229" s="82" t="str">
        <f>+IFERROR(VLOOKUP(E229,'ID1&amp;5'!K:L,2,FALSE),"-")</f>
        <v>-</v>
      </c>
      <c r="T229" s="83" t="str">
        <f>+IFERROR(VLOOKUP(CONCATENATE(A229,$E$10,E229),'ID1&amp;5'!B:J,9,FALSE),"-")</f>
        <v>-</v>
      </c>
      <c r="U229" s="82" t="str">
        <f>+IFERROR(VLOOKUP(F229,'ID1&amp;5'!K:L,2,FALSE),"-")</f>
        <v>-</v>
      </c>
      <c r="V229" s="83" t="str">
        <f>+IFERROR(VLOOKUP(CONCATENATE(A229,$F$10,F229),'ID1&amp;5'!B:J,9,FALSE),"-")</f>
        <v>-</v>
      </c>
      <c r="W229" s="26" t="str">
        <f>+IFERROR(VLOOKUP(A229,'ID6&amp;7'!A:I,9,FALSE),"-")</f>
        <v>-</v>
      </c>
      <c r="X229" s="26" t="str">
        <f>+IFERROR(VLOOKUP(A229,'ID6&amp;7'!A:J,10,FALSE),"-")</f>
        <v>-</v>
      </c>
      <c r="Y229" s="26"/>
      <c r="Z229" s="27" t="str">
        <f t="shared" si="9"/>
        <v>Por iniciar</v>
      </c>
    </row>
    <row r="230" spans="1:26">
      <c r="A230" s="20" t="str">
        <f t="shared" si="8"/>
        <v>INSTRUMENTPD_CRR_RD_T145596</v>
      </c>
      <c r="B230" s="66"/>
      <c r="C230" s="60"/>
      <c r="D230" s="60"/>
      <c r="E230" s="60"/>
      <c r="F230" s="67"/>
      <c r="G230" s="60"/>
      <c r="H230" s="65" t="s">
        <v>126</v>
      </c>
      <c r="I230" s="21" t="s">
        <v>401</v>
      </c>
      <c r="J230" s="26">
        <f>+COUNTIF('ID1&amp;5'!G:G,'1. Status'!I230)</f>
        <v>0</v>
      </c>
      <c r="K230" s="83" t="str">
        <f>+IFERROR(VLOOKUP(CONCATENATE(A230,$B$10,B230),'ID1&amp;5'!B:J,8,FALSE),"-")</f>
        <v>-</v>
      </c>
      <c r="L230" s="82" t="str">
        <f>+IFERROR(VLOOKUP(B230,'ID1&amp;5'!K:L,2,FALSE),"-")</f>
        <v>-</v>
      </c>
      <c r="M230" s="83" t="str">
        <f>+IFERROR(VLOOKUP(CONCATENATE(A230,$B$10,B230),'ID1&amp;5'!B:J,9,FALSE),"-")</f>
        <v>-</v>
      </c>
      <c r="N230" s="83" t="str">
        <f>+IFERROR(VLOOKUP(CONCATENATE(A230,$C$10,C230),'ID1&amp;5'!B:J,8,FALSE),"-")</f>
        <v>-</v>
      </c>
      <c r="O230" s="82" t="str">
        <f>+IFERROR(VLOOKUP(C230,'ID1&amp;5'!K:L,2,FALSE),"-")</f>
        <v>-</v>
      </c>
      <c r="P230" s="83" t="str">
        <f>+IFERROR(VLOOKUP(CONCATENATE(A230,$C$10,C230),'ID1&amp;5'!B:J,9,FALSE),"-")</f>
        <v>-</v>
      </c>
      <c r="Q230" s="82" t="str">
        <f>+IFERROR(VLOOKUP(D230,'ID1&amp;5'!K:L,2,FALSE),"-")</f>
        <v>-</v>
      </c>
      <c r="R230" s="26" t="str">
        <f>+IFERROR(VLOOKUP(CONCATENATE(A230,$D$10,D230),'ID1&amp;5'!B:J,9,FALSE),"-")</f>
        <v>-</v>
      </c>
      <c r="S230" s="82" t="str">
        <f>+IFERROR(VLOOKUP(E230,'ID1&amp;5'!K:L,2,FALSE),"-")</f>
        <v>-</v>
      </c>
      <c r="T230" s="83" t="str">
        <f>+IFERROR(VLOOKUP(CONCATENATE(A230,$E$10,E230),'ID1&amp;5'!B:J,9,FALSE),"-")</f>
        <v>-</v>
      </c>
      <c r="U230" s="82" t="str">
        <f>+IFERROR(VLOOKUP(F230,'ID1&amp;5'!K:L,2,FALSE),"-")</f>
        <v>-</v>
      </c>
      <c r="V230" s="83" t="str">
        <f>+IFERROR(VLOOKUP(CONCATENATE(A230,$F$10,F230),'ID1&amp;5'!B:J,9,FALSE),"-")</f>
        <v>-</v>
      </c>
      <c r="W230" s="26" t="str">
        <f>+IFERROR(VLOOKUP(A230,'ID6&amp;7'!A:I,9,FALSE),"-")</f>
        <v>-</v>
      </c>
      <c r="X230" s="26" t="str">
        <f>+IFERROR(VLOOKUP(A230,'ID6&amp;7'!A:J,10,FALSE),"-")</f>
        <v>-</v>
      </c>
      <c r="Y230" s="26"/>
      <c r="Z230" s="27" t="str">
        <f t="shared" si="9"/>
        <v>Por iniciar</v>
      </c>
    </row>
    <row r="231" spans="1:26">
      <c r="A231" s="20" t="str">
        <f t="shared" si="8"/>
        <v>INSTRUMENTPD_IFRS9_12M_INCPTN45596</v>
      </c>
      <c r="B231" s="66"/>
      <c r="C231" s="60"/>
      <c r="D231" s="60"/>
      <c r="E231" s="60"/>
      <c r="F231" s="67"/>
      <c r="G231" s="60"/>
      <c r="H231" s="65" t="s">
        <v>126</v>
      </c>
      <c r="I231" s="21" t="s">
        <v>515</v>
      </c>
      <c r="J231" s="26">
        <f>+COUNTIF('ID1&amp;5'!G:G,'1. Status'!I231)</f>
        <v>0</v>
      </c>
      <c r="K231" s="83" t="str">
        <f>+IFERROR(VLOOKUP(CONCATENATE(A231,$B$10,B231),'ID1&amp;5'!B:J,8,FALSE),"-")</f>
        <v>-</v>
      </c>
      <c r="L231" s="82" t="str">
        <f>+IFERROR(VLOOKUP(B231,'ID1&amp;5'!K:L,2,FALSE),"-")</f>
        <v>-</v>
      </c>
      <c r="M231" s="83" t="str">
        <f>+IFERROR(VLOOKUP(CONCATENATE(A231,$B$10,B231),'ID1&amp;5'!B:J,9,FALSE),"-")</f>
        <v>-</v>
      </c>
      <c r="N231" s="83" t="str">
        <f>+IFERROR(VLOOKUP(CONCATENATE(A231,$C$10,C231),'ID1&amp;5'!B:J,8,FALSE),"-")</f>
        <v>-</v>
      </c>
      <c r="O231" s="82" t="str">
        <f>+IFERROR(VLOOKUP(C231,'ID1&amp;5'!K:L,2,FALSE),"-")</f>
        <v>-</v>
      </c>
      <c r="P231" s="83" t="str">
        <f>+IFERROR(VLOOKUP(CONCATENATE(A231,$C$10,C231),'ID1&amp;5'!B:J,9,FALSE),"-")</f>
        <v>-</v>
      </c>
      <c r="Q231" s="82" t="str">
        <f>+IFERROR(VLOOKUP(D231,'ID1&amp;5'!K:L,2,FALSE),"-")</f>
        <v>-</v>
      </c>
      <c r="R231" s="26" t="str">
        <f>+IFERROR(VLOOKUP(CONCATENATE(A231,$D$10,D231),'ID1&amp;5'!B:J,9,FALSE),"-")</f>
        <v>-</v>
      </c>
      <c r="S231" s="82" t="str">
        <f>+IFERROR(VLOOKUP(E231,'ID1&amp;5'!K:L,2,FALSE),"-")</f>
        <v>-</v>
      </c>
      <c r="T231" s="83" t="str">
        <f>+IFERROR(VLOOKUP(CONCATENATE(A231,$E$10,E231),'ID1&amp;5'!B:J,9,FALSE),"-")</f>
        <v>-</v>
      </c>
      <c r="U231" s="82" t="str">
        <f>+IFERROR(VLOOKUP(F231,'ID1&amp;5'!K:L,2,FALSE),"-")</f>
        <v>-</v>
      </c>
      <c r="V231" s="83" t="str">
        <f>+IFERROR(VLOOKUP(CONCATENATE(A231,$F$10,F231),'ID1&amp;5'!B:J,9,FALSE),"-")</f>
        <v>-</v>
      </c>
      <c r="W231" s="26" t="str">
        <f>+IFERROR(VLOOKUP(A231,'ID6&amp;7'!A:I,9,FALSE),"-")</f>
        <v>-</v>
      </c>
      <c r="X231" s="26" t="str">
        <f>+IFERROR(VLOOKUP(A231,'ID6&amp;7'!A:J,10,FALSE),"-")</f>
        <v>-</v>
      </c>
      <c r="Y231" s="26"/>
      <c r="Z231" s="27" t="str">
        <f t="shared" si="9"/>
        <v>Por iniciar</v>
      </c>
    </row>
    <row r="232" spans="1:26">
      <c r="A232" s="20" t="str">
        <f t="shared" si="8"/>
        <v>INSTRUMENTPD_IFRS9_12M_RD45596</v>
      </c>
      <c r="B232" s="66"/>
      <c r="C232" s="60"/>
      <c r="D232" s="60"/>
      <c r="E232" s="60"/>
      <c r="F232" s="67"/>
      <c r="G232" s="60"/>
      <c r="H232" s="65" t="s">
        <v>126</v>
      </c>
      <c r="I232" s="21" t="s">
        <v>395</v>
      </c>
      <c r="J232" s="26">
        <f>+COUNTIF('ID1&amp;5'!G:G,'1. Status'!I232)</f>
        <v>0</v>
      </c>
      <c r="K232" s="83" t="str">
        <f>+IFERROR(VLOOKUP(CONCATENATE(A232,$B$10,B232),'ID1&amp;5'!B:J,8,FALSE),"-")</f>
        <v>-</v>
      </c>
      <c r="L232" s="82" t="str">
        <f>+IFERROR(VLOOKUP(B232,'ID1&amp;5'!K:L,2,FALSE),"-")</f>
        <v>-</v>
      </c>
      <c r="M232" s="83" t="str">
        <f>+IFERROR(VLOOKUP(CONCATENATE(A232,$B$10,B232),'ID1&amp;5'!B:J,9,FALSE),"-")</f>
        <v>-</v>
      </c>
      <c r="N232" s="83" t="str">
        <f>+IFERROR(VLOOKUP(CONCATENATE(A232,$C$10,C232),'ID1&amp;5'!B:J,8,FALSE),"-")</f>
        <v>-</v>
      </c>
      <c r="O232" s="82" t="str">
        <f>+IFERROR(VLOOKUP(C232,'ID1&amp;5'!K:L,2,FALSE),"-")</f>
        <v>-</v>
      </c>
      <c r="P232" s="83" t="str">
        <f>+IFERROR(VLOOKUP(CONCATENATE(A232,$C$10,C232),'ID1&amp;5'!B:J,9,FALSE),"-")</f>
        <v>-</v>
      </c>
      <c r="Q232" s="82" t="str">
        <f>+IFERROR(VLOOKUP(D232,'ID1&amp;5'!K:L,2,FALSE),"-")</f>
        <v>-</v>
      </c>
      <c r="R232" s="26" t="str">
        <f>+IFERROR(VLOOKUP(CONCATENATE(A232,$D$10,D232),'ID1&amp;5'!B:J,9,FALSE),"-")</f>
        <v>-</v>
      </c>
      <c r="S232" s="82" t="str">
        <f>+IFERROR(VLOOKUP(E232,'ID1&amp;5'!K:L,2,FALSE),"-")</f>
        <v>-</v>
      </c>
      <c r="T232" s="83" t="str">
        <f>+IFERROR(VLOOKUP(CONCATENATE(A232,$E$10,E232),'ID1&amp;5'!B:J,9,FALSE),"-")</f>
        <v>-</v>
      </c>
      <c r="U232" s="82" t="str">
        <f>+IFERROR(VLOOKUP(F232,'ID1&amp;5'!K:L,2,FALSE),"-")</f>
        <v>-</v>
      </c>
      <c r="V232" s="83" t="str">
        <f>+IFERROR(VLOOKUP(CONCATENATE(A232,$F$10,F232),'ID1&amp;5'!B:J,9,FALSE),"-")</f>
        <v>-</v>
      </c>
      <c r="W232" s="26" t="str">
        <f>+IFERROR(VLOOKUP(A232,'ID6&amp;7'!A:I,9,FALSE),"-")</f>
        <v>-</v>
      </c>
      <c r="X232" s="26" t="str">
        <f>+IFERROR(VLOOKUP(A232,'ID6&amp;7'!A:J,10,FALSE),"-")</f>
        <v>-</v>
      </c>
      <c r="Y232" s="26"/>
      <c r="Z232" s="27" t="str">
        <f t="shared" si="9"/>
        <v>Por iniciar</v>
      </c>
    </row>
    <row r="233" spans="1:26">
      <c r="A233" s="20" t="str">
        <f t="shared" si="8"/>
        <v>INSTRUMENTPD_IFRS9_12M_RD_T145596</v>
      </c>
      <c r="B233" s="66"/>
      <c r="C233" s="60"/>
      <c r="D233" s="60"/>
      <c r="E233" s="60"/>
      <c r="F233" s="67"/>
      <c r="G233" s="60"/>
      <c r="H233" s="65" t="s">
        <v>126</v>
      </c>
      <c r="I233" s="21" t="s">
        <v>396</v>
      </c>
      <c r="J233" s="26">
        <f>+COUNTIF('ID1&amp;5'!G:G,'1. Status'!I233)</f>
        <v>0</v>
      </c>
      <c r="K233" s="83" t="str">
        <f>+IFERROR(VLOOKUP(CONCATENATE(A233,$B$10,B233),'ID1&amp;5'!B:J,8,FALSE),"-")</f>
        <v>-</v>
      </c>
      <c r="L233" s="82" t="str">
        <f>+IFERROR(VLOOKUP(B233,'ID1&amp;5'!K:L,2,FALSE),"-")</f>
        <v>-</v>
      </c>
      <c r="M233" s="83" t="str">
        <f>+IFERROR(VLOOKUP(CONCATENATE(A233,$B$10,B233),'ID1&amp;5'!B:J,9,FALSE),"-")</f>
        <v>-</v>
      </c>
      <c r="N233" s="83" t="str">
        <f>+IFERROR(VLOOKUP(CONCATENATE(A233,$C$10,C233),'ID1&amp;5'!B:J,8,FALSE),"-")</f>
        <v>-</v>
      </c>
      <c r="O233" s="82" t="str">
        <f>+IFERROR(VLOOKUP(C233,'ID1&amp;5'!K:L,2,FALSE),"-")</f>
        <v>-</v>
      </c>
      <c r="P233" s="83" t="str">
        <f>+IFERROR(VLOOKUP(CONCATENATE(A233,$C$10,C233),'ID1&amp;5'!B:J,9,FALSE),"-")</f>
        <v>-</v>
      </c>
      <c r="Q233" s="82" t="str">
        <f>+IFERROR(VLOOKUP(D233,'ID1&amp;5'!K:L,2,FALSE),"-")</f>
        <v>-</v>
      </c>
      <c r="R233" s="26" t="str">
        <f>+IFERROR(VLOOKUP(CONCATENATE(A233,$D$10,D233),'ID1&amp;5'!B:J,9,FALSE),"-")</f>
        <v>-</v>
      </c>
      <c r="S233" s="82" t="str">
        <f>+IFERROR(VLOOKUP(E233,'ID1&amp;5'!K:L,2,FALSE),"-")</f>
        <v>-</v>
      </c>
      <c r="T233" s="83" t="str">
        <f>+IFERROR(VLOOKUP(CONCATENATE(A233,$E$10,E233),'ID1&amp;5'!B:J,9,FALSE),"-")</f>
        <v>-</v>
      </c>
      <c r="U233" s="82" t="str">
        <f>+IFERROR(VLOOKUP(F233,'ID1&amp;5'!K:L,2,FALSE),"-")</f>
        <v>-</v>
      </c>
      <c r="V233" s="83" t="str">
        <f>+IFERROR(VLOOKUP(CONCATENATE(A233,$F$10,F233),'ID1&amp;5'!B:J,9,FALSE),"-")</f>
        <v>-</v>
      </c>
      <c r="W233" s="26" t="str">
        <f>+IFERROR(VLOOKUP(A233,'ID6&amp;7'!A:I,9,FALSE),"-")</f>
        <v>-</v>
      </c>
      <c r="X233" s="26" t="str">
        <f>+IFERROR(VLOOKUP(A233,'ID6&amp;7'!A:J,10,FALSE),"-")</f>
        <v>-</v>
      </c>
      <c r="Y233" s="26"/>
      <c r="Z233" s="27" t="str">
        <f t="shared" si="9"/>
        <v>Por iniciar</v>
      </c>
    </row>
    <row r="234" spans="1:26">
      <c r="A234" s="20" t="str">
        <f t="shared" si="8"/>
        <v>INSTRUMENTPD_IFRS9_LFTM_INCPTN45596</v>
      </c>
      <c r="B234" s="66"/>
      <c r="C234" s="60"/>
      <c r="D234" s="60"/>
      <c r="E234" s="60"/>
      <c r="F234" s="67"/>
      <c r="G234" s="60"/>
      <c r="H234" s="65" t="s">
        <v>126</v>
      </c>
      <c r="I234" s="21" t="s">
        <v>516</v>
      </c>
      <c r="J234" s="26">
        <f>+COUNTIF('ID1&amp;5'!G:G,'1. Status'!I234)</f>
        <v>0</v>
      </c>
      <c r="K234" s="83" t="str">
        <f>+IFERROR(VLOOKUP(CONCATENATE(A234,$B$10,B234),'ID1&amp;5'!B:J,8,FALSE),"-")</f>
        <v>-</v>
      </c>
      <c r="L234" s="82" t="str">
        <f>+IFERROR(VLOOKUP(B234,'ID1&amp;5'!K:L,2,FALSE),"-")</f>
        <v>-</v>
      </c>
      <c r="M234" s="83" t="str">
        <f>+IFERROR(VLOOKUP(CONCATENATE(A234,$B$10,B234),'ID1&amp;5'!B:J,9,FALSE),"-")</f>
        <v>-</v>
      </c>
      <c r="N234" s="83" t="str">
        <f>+IFERROR(VLOOKUP(CONCATENATE(A234,$C$10,C234),'ID1&amp;5'!B:J,8,FALSE),"-")</f>
        <v>-</v>
      </c>
      <c r="O234" s="82" t="str">
        <f>+IFERROR(VLOOKUP(C234,'ID1&amp;5'!K:L,2,FALSE),"-")</f>
        <v>-</v>
      </c>
      <c r="P234" s="83" t="str">
        <f>+IFERROR(VLOOKUP(CONCATENATE(A234,$C$10,C234),'ID1&amp;5'!B:J,9,FALSE),"-")</f>
        <v>-</v>
      </c>
      <c r="Q234" s="82" t="str">
        <f>+IFERROR(VLOOKUP(D234,'ID1&amp;5'!K:L,2,FALSE),"-")</f>
        <v>-</v>
      </c>
      <c r="R234" s="26" t="str">
        <f>+IFERROR(VLOOKUP(CONCATENATE(A234,$D$10,D234),'ID1&amp;5'!B:J,9,FALSE),"-")</f>
        <v>-</v>
      </c>
      <c r="S234" s="82" t="str">
        <f>+IFERROR(VLOOKUP(E234,'ID1&amp;5'!K:L,2,FALSE),"-")</f>
        <v>-</v>
      </c>
      <c r="T234" s="83" t="str">
        <f>+IFERROR(VLOOKUP(CONCATENATE(A234,$E$10,E234),'ID1&amp;5'!B:J,9,FALSE),"-")</f>
        <v>-</v>
      </c>
      <c r="U234" s="82" t="str">
        <f>+IFERROR(VLOOKUP(F234,'ID1&amp;5'!K:L,2,FALSE),"-")</f>
        <v>-</v>
      </c>
      <c r="V234" s="83" t="str">
        <f>+IFERROR(VLOOKUP(CONCATENATE(A234,$F$10,F234),'ID1&amp;5'!B:J,9,FALSE),"-")</f>
        <v>-</v>
      </c>
      <c r="W234" s="26" t="str">
        <f>+IFERROR(VLOOKUP(A234,'ID6&amp;7'!A:I,9,FALSE),"-")</f>
        <v>-</v>
      </c>
      <c r="X234" s="26" t="str">
        <f>+IFERROR(VLOOKUP(A234,'ID6&amp;7'!A:J,10,FALSE),"-")</f>
        <v>-</v>
      </c>
      <c r="Y234" s="26"/>
      <c r="Z234" s="27" t="str">
        <f t="shared" si="9"/>
        <v>Por iniciar</v>
      </c>
    </row>
    <row r="235" spans="1:26">
      <c r="A235" s="20" t="str">
        <f t="shared" si="8"/>
        <v>INSTRUMENTPD_IFRS9_RMNNG_LFTM_INCPTN45596</v>
      </c>
      <c r="B235" s="66"/>
      <c r="C235" s="60"/>
      <c r="D235" s="60"/>
      <c r="E235" s="60"/>
      <c r="F235" s="67"/>
      <c r="G235" s="60"/>
      <c r="H235" s="65" t="s">
        <v>126</v>
      </c>
      <c r="I235" s="21" t="s">
        <v>517</v>
      </c>
      <c r="J235" s="26">
        <f>+COUNTIF('ID1&amp;5'!G:G,'1. Status'!I235)</f>
        <v>0</v>
      </c>
      <c r="K235" s="83" t="str">
        <f>+IFERROR(VLOOKUP(CONCATENATE(A235,$B$10,B235),'ID1&amp;5'!B:J,8,FALSE),"-")</f>
        <v>-</v>
      </c>
      <c r="L235" s="82" t="str">
        <f>+IFERROR(VLOOKUP(B235,'ID1&amp;5'!K:L,2,FALSE),"-")</f>
        <v>-</v>
      </c>
      <c r="M235" s="83" t="str">
        <f>+IFERROR(VLOOKUP(CONCATENATE(A235,$B$10,B235),'ID1&amp;5'!B:J,9,FALSE),"-")</f>
        <v>-</v>
      </c>
      <c r="N235" s="83" t="str">
        <f>+IFERROR(VLOOKUP(CONCATENATE(A235,$C$10,C235),'ID1&amp;5'!B:J,8,FALSE),"-")</f>
        <v>-</v>
      </c>
      <c r="O235" s="82" t="str">
        <f>+IFERROR(VLOOKUP(C235,'ID1&amp;5'!K:L,2,FALSE),"-")</f>
        <v>-</v>
      </c>
      <c r="P235" s="83" t="str">
        <f>+IFERROR(VLOOKUP(CONCATENATE(A235,$C$10,C235),'ID1&amp;5'!B:J,9,FALSE),"-")</f>
        <v>-</v>
      </c>
      <c r="Q235" s="82" t="str">
        <f>+IFERROR(VLOOKUP(D235,'ID1&amp;5'!K:L,2,FALSE),"-")</f>
        <v>-</v>
      </c>
      <c r="R235" s="26" t="str">
        <f>+IFERROR(VLOOKUP(CONCATENATE(A235,$D$10,D235),'ID1&amp;5'!B:J,9,FALSE),"-")</f>
        <v>-</v>
      </c>
      <c r="S235" s="82" t="str">
        <f>+IFERROR(VLOOKUP(E235,'ID1&amp;5'!K:L,2,FALSE),"-")</f>
        <v>-</v>
      </c>
      <c r="T235" s="83" t="str">
        <f>+IFERROR(VLOOKUP(CONCATENATE(A235,$E$10,E235),'ID1&amp;5'!B:J,9,FALSE),"-")</f>
        <v>-</v>
      </c>
      <c r="U235" s="82" t="str">
        <f>+IFERROR(VLOOKUP(F235,'ID1&amp;5'!K:L,2,FALSE),"-")</f>
        <v>-</v>
      </c>
      <c r="V235" s="83" t="str">
        <f>+IFERROR(VLOOKUP(CONCATENATE(A235,$F$10,F235),'ID1&amp;5'!B:J,9,FALSE),"-")</f>
        <v>-</v>
      </c>
      <c r="W235" s="26" t="str">
        <f>+IFERROR(VLOOKUP(A235,'ID6&amp;7'!A:I,9,FALSE),"-")</f>
        <v>-</v>
      </c>
      <c r="X235" s="26" t="str">
        <f>+IFERROR(VLOOKUP(A235,'ID6&amp;7'!A:J,10,FALSE),"-")</f>
        <v>-</v>
      </c>
      <c r="Y235" s="26"/>
      <c r="Z235" s="27" t="str">
        <f t="shared" si="9"/>
        <v>Por iniciar</v>
      </c>
    </row>
    <row r="236" spans="1:26">
      <c r="A236" s="20" t="str">
        <f t="shared" si="8"/>
        <v>INSTRUMENTPD_IFRS9_RMNNG_LFTM_RD45596</v>
      </c>
      <c r="B236" s="66"/>
      <c r="C236" s="60"/>
      <c r="D236" s="60"/>
      <c r="E236" s="60"/>
      <c r="F236" s="67"/>
      <c r="G236" s="60"/>
      <c r="H236" s="65" t="s">
        <v>126</v>
      </c>
      <c r="I236" s="21" t="s">
        <v>518</v>
      </c>
      <c r="J236" s="26">
        <f>+COUNTIF('ID1&amp;5'!G:G,'1. Status'!I236)</f>
        <v>0</v>
      </c>
      <c r="K236" s="83" t="str">
        <f>+IFERROR(VLOOKUP(CONCATENATE(A236,$B$10,B236),'ID1&amp;5'!B:J,8,FALSE),"-")</f>
        <v>-</v>
      </c>
      <c r="L236" s="82" t="str">
        <f>+IFERROR(VLOOKUP(B236,'ID1&amp;5'!K:L,2,FALSE),"-")</f>
        <v>-</v>
      </c>
      <c r="M236" s="83" t="str">
        <f>+IFERROR(VLOOKUP(CONCATENATE(A236,$B$10,B236),'ID1&amp;5'!B:J,9,FALSE),"-")</f>
        <v>-</v>
      </c>
      <c r="N236" s="83" t="str">
        <f>+IFERROR(VLOOKUP(CONCATENATE(A236,$C$10,C236),'ID1&amp;5'!B:J,8,FALSE),"-")</f>
        <v>-</v>
      </c>
      <c r="O236" s="82" t="str">
        <f>+IFERROR(VLOOKUP(C236,'ID1&amp;5'!K:L,2,FALSE),"-")</f>
        <v>-</v>
      </c>
      <c r="P236" s="83" t="str">
        <f>+IFERROR(VLOOKUP(CONCATENATE(A236,$C$10,C236),'ID1&amp;5'!B:J,9,FALSE),"-")</f>
        <v>-</v>
      </c>
      <c r="Q236" s="82" t="str">
        <f>+IFERROR(VLOOKUP(D236,'ID1&amp;5'!K:L,2,FALSE),"-")</f>
        <v>-</v>
      </c>
      <c r="R236" s="26" t="str">
        <f>+IFERROR(VLOOKUP(CONCATENATE(A236,$D$10,D236),'ID1&amp;5'!B:J,9,FALSE),"-")</f>
        <v>-</v>
      </c>
      <c r="S236" s="82" t="str">
        <f>+IFERROR(VLOOKUP(E236,'ID1&amp;5'!K:L,2,FALSE),"-")</f>
        <v>-</v>
      </c>
      <c r="T236" s="83" t="str">
        <f>+IFERROR(VLOOKUP(CONCATENATE(A236,$E$10,E236),'ID1&amp;5'!B:J,9,FALSE),"-")</f>
        <v>-</v>
      </c>
      <c r="U236" s="82" t="str">
        <f>+IFERROR(VLOOKUP(F236,'ID1&amp;5'!K:L,2,FALSE),"-")</f>
        <v>-</v>
      </c>
      <c r="V236" s="83" t="str">
        <f>+IFERROR(VLOOKUP(CONCATENATE(A236,$F$10,F236),'ID1&amp;5'!B:J,9,FALSE),"-")</f>
        <v>-</v>
      </c>
      <c r="W236" s="26" t="str">
        <f>+IFERROR(VLOOKUP(A236,'ID6&amp;7'!A:I,9,FALSE),"-")</f>
        <v>-</v>
      </c>
      <c r="X236" s="26" t="str">
        <f>+IFERROR(VLOOKUP(A236,'ID6&amp;7'!A:J,10,FALSE),"-")</f>
        <v>-</v>
      </c>
      <c r="Y236" s="26"/>
      <c r="Z236" s="27" t="str">
        <f t="shared" si="9"/>
        <v>Por iniciar</v>
      </c>
    </row>
    <row r="237" spans="1:26">
      <c r="A237" s="20" t="str">
        <f t="shared" si="8"/>
        <v>INSTRUMENTRTNG_MTHD45596</v>
      </c>
      <c r="B237" s="66"/>
      <c r="C237" s="60"/>
      <c r="D237" s="60"/>
      <c r="E237" s="60"/>
      <c r="F237" s="67"/>
      <c r="G237" s="60"/>
      <c r="H237" s="65" t="s">
        <v>126</v>
      </c>
      <c r="I237" s="21" t="s">
        <v>361</v>
      </c>
      <c r="J237" s="26">
        <f>+COUNTIF('ID1&amp;5'!G:G,'1. Status'!I237)</f>
        <v>0</v>
      </c>
      <c r="K237" s="83" t="str">
        <f>+IFERROR(VLOOKUP(CONCATENATE(A237,$B$10,B237),'ID1&amp;5'!B:J,8,FALSE),"-")</f>
        <v>-</v>
      </c>
      <c r="L237" s="82" t="str">
        <f>+IFERROR(VLOOKUP(B237,'ID1&amp;5'!K:L,2,FALSE),"-")</f>
        <v>-</v>
      </c>
      <c r="M237" s="83" t="str">
        <f>+IFERROR(VLOOKUP(CONCATENATE(A237,$B$10,B237),'ID1&amp;5'!B:J,9,FALSE),"-")</f>
        <v>-</v>
      </c>
      <c r="N237" s="83" t="str">
        <f>+IFERROR(VLOOKUP(CONCATENATE(A237,$C$10,C237),'ID1&amp;5'!B:J,8,FALSE),"-")</f>
        <v>-</v>
      </c>
      <c r="O237" s="82" t="str">
        <f>+IFERROR(VLOOKUP(C237,'ID1&amp;5'!K:L,2,FALSE),"-")</f>
        <v>-</v>
      </c>
      <c r="P237" s="83" t="str">
        <f>+IFERROR(VLOOKUP(CONCATENATE(A237,$C$10,C237),'ID1&amp;5'!B:J,9,FALSE),"-")</f>
        <v>-</v>
      </c>
      <c r="Q237" s="82" t="str">
        <f>+IFERROR(VLOOKUP(D237,'ID1&amp;5'!K:L,2,FALSE),"-")</f>
        <v>-</v>
      </c>
      <c r="R237" s="26" t="str">
        <f>+IFERROR(VLOOKUP(CONCATENATE(A237,$D$10,D237),'ID1&amp;5'!B:J,9,FALSE),"-")</f>
        <v>-</v>
      </c>
      <c r="S237" s="82" t="str">
        <f>+IFERROR(VLOOKUP(E237,'ID1&amp;5'!K:L,2,FALSE),"-")</f>
        <v>-</v>
      </c>
      <c r="T237" s="83" t="str">
        <f>+IFERROR(VLOOKUP(CONCATENATE(A237,$E$10,E237),'ID1&amp;5'!B:J,9,FALSE),"-")</f>
        <v>-</v>
      </c>
      <c r="U237" s="82" t="str">
        <f>+IFERROR(VLOOKUP(F237,'ID1&amp;5'!K:L,2,FALSE),"-")</f>
        <v>-</v>
      </c>
      <c r="V237" s="83" t="str">
        <f>+IFERROR(VLOOKUP(CONCATENATE(A237,$F$10,F237),'ID1&amp;5'!B:J,9,FALSE),"-")</f>
        <v>-</v>
      </c>
      <c r="W237" s="26" t="str">
        <f>+IFERROR(VLOOKUP(A237,'ID6&amp;7'!A:I,9,FALSE),"-")</f>
        <v>-</v>
      </c>
      <c r="X237" s="26" t="str">
        <f>+IFERROR(VLOOKUP(A237,'ID6&amp;7'!A:J,10,FALSE),"-")</f>
        <v>-</v>
      </c>
      <c r="Y237" s="26"/>
      <c r="Z237" s="27" t="str">
        <f t="shared" si="9"/>
        <v>Por iniciar</v>
      </c>
    </row>
    <row r="238" spans="1:26">
      <c r="A238" s="20" t="str">
        <f t="shared" si="8"/>
        <v>INSTRUMENTRTNG_SCL45596</v>
      </c>
      <c r="B238" s="66"/>
      <c r="C238" s="60"/>
      <c r="D238" s="60"/>
      <c r="E238" s="60"/>
      <c r="F238" s="67"/>
      <c r="G238" s="60"/>
      <c r="H238" s="65" t="s">
        <v>126</v>
      </c>
      <c r="I238" s="21" t="s">
        <v>362</v>
      </c>
      <c r="J238" s="26">
        <f>+COUNTIF('ID1&amp;5'!G:G,'1. Status'!I238)</f>
        <v>0</v>
      </c>
      <c r="K238" s="83" t="str">
        <f>+IFERROR(VLOOKUP(CONCATENATE(A238,$B$10,B238),'ID1&amp;5'!B:J,8,FALSE),"-")</f>
        <v>-</v>
      </c>
      <c r="L238" s="82" t="str">
        <f>+IFERROR(VLOOKUP(B238,'ID1&amp;5'!K:L,2,FALSE),"-")</f>
        <v>-</v>
      </c>
      <c r="M238" s="83" t="str">
        <f>+IFERROR(VLOOKUP(CONCATENATE(A238,$B$10,B238),'ID1&amp;5'!B:J,9,FALSE),"-")</f>
        <v>-</v>
      </c>
      <c r="N238" s="83" t="str">
        <f>+IFERROR(VLOOKUP(CONCATENATE(A238,$C$10,C238),'ID1&amp;5'!B:J,8,FALSE),"-")</f>
        <v>-</v>
      </c>
      <c r="O238" s="82" t="str">
        <f>+IFERROR(VLOOKUP(C238,'ID1&amp;5'!K:L,2,FALSE),"-")</f>
        <v>-</v>
      </c>
      <c r="P238" s="83" t="str">
        <f>+IFERROR(VLOOKUP(CONCATENATE(A238,$C$10,C238),'ID1&amp;5'!B:J,9,FALSE),"-")</f>
        <v>-</v>
      </c>
      <c r="Q238" s="82" t="str">
        <f>+IFERROR(VLOOKUP(D238,'ID1&amp;5'!K:L,2,FALSE),"-")</f>
        <v>-</v>
      </c>
      <c r="R238" s="26" t="str">
        <f>+IFERROR(VLOOKUP(CONCATENATE(A238,$D$10,D238),'ID1&amp;5'!B:J,9,FALSE),"-")</f>
        <v>-</v>
      </c>
      <c r="S238" s="82" t="str">
        <f>+IFERROR(VLOOKUP(E238,'ID1&amp;5'!K:L,2,FALSE),"-")</f>
        <v>-</v>
      </c>
      <c r="T238" s="83" t="str">
        <f>+IFERROR(VLOOKUP(CONCATENATE(A238,$E$10,E238),'ID1&amp;5'!B:J,9,FALSE),"-")</f>
        <v>-</v>
      </c>
      <c r="U238" s="82" t="str">
        <f>+IFERROR(VLOOKUP(F238,'ID1&amp;5'!K:L,2,FALSE),"-")</f>
        <v>-</v>
      </c>
      <c r="V238" s="83" t="str">
        <f>+IFERROR(VLOOKUP(CONCATENATE(A238,$F$10,F238),'ID1&amp;5'!B:J,9,FALSE),"-")</f>
        <v>-</v>
      </c>
      <c r="W238" s="26" t="str">
        <f>+IFERROR(VLOOKUP(A238,'ID6&amp;7'!A:I,9,FALSE),"-")</f>
        <v>-</v>
      </c>
      <c r="X238" s="26" t="str">
        <f>+IFERROR(VLOOKUP(A238,'ID6&amp;7'!A:J,10,FALSE),"-")</f>
        <v>-</v>
      </c>
      <c r="Y238" s="26"/>
      <c r="Z238" s="27" t="str">
        <f t="shared" si="9"/>
        <v>Por iniciar</v>
      </c>
    </row>
    <row r="239" spans="1:26">
      <c r="A239" s="20" t="str">
        <f t="shared" si="8"/>
        <v>INSTRUMENTSICR_ASSSSMNT_MTHD45596</v>
      </c>
      <c r="B239" s="66"/>
      <c r="C239" s="60"/>
      <c r="D239" s="60"/>
      <c r="E239" s="60"/>
      <c r="F239" s="67"/>
      <c r="G239" s="60"/>
      <c r="H239" s="65" t="s">
        <v>126</v>
      </c>
      <c r="I239" s="21" t="s">
        <v>519</v>
      </c>
      <c r="J239" s="26">
        <f>+COUNTIF('ID1&amp;5'!G:G,'1. Status'!I239)</f>
        <v>0</v>
      </c>
      <c r="K239" s="83" t="str">
        <f>+IFERROR(VLOOKUP(CONCATENATE(A239,$B$10,B239),'ID1&amp;5'!B:J,8,FALSE),"-")</f>
        <v>-</v>
      </c>
      <c r="L239" s="82" t="str">
        <f>+IFERROR(VLOOKUP(B239,'ID1&amp;5'!K:L,2,FALSE),"-")</f>
        <v>-</v>
      </c>
      <c r="M239" s="83" t="str">
        <f>+IFERROR(VLOOKUP(CONCATENATE(A239,$B$10,B239),'ID1&amp;5'!B:J,9,FALSE),"-")</f>
        <v>-</v>
      </c>
      <c r="N239" s="83" t="str">
        <f>+IFERROR(VLOOKUP(CONCATENATE(A239,$C$10,C239),'ID1&amp;5'!B:J,8,FALSE),"-")</f>
        <v>-</v>
      </c>
      <c r="O239" s="82" t="str">
        <f>+IFERROR(VLOOKUP(C239,'ID1&amp;5'!K:L,2,FALSE),"-")</f>
        <v>-</v>
      </c>
      <c r="P239" s="83" t="str">
        <f>+IFERROR(VLOOKUP(CONCATENATE(A239,$C$10,C239),'ID1&amp;5'!B:J,9,FALSE),"-")</f>
        <v>-</v>
      </c>
      <c r="Q239" s="82" t="str">
        <f>+IFERROR(VLOOKUP(D239,'ID1&amp;5'!K:L,2,FALSE),"-")</f>
        <v>-</v>
      </c>
      <c r="R239" s="26" t="str">
        <f>+IFERROR(VLOOKUP(CONCATENATE(A239,$D$10,D239),'ID1&amp;5'!B:J,9,FALSE),"-")</f>
        <v>-</v>
      </c>
      <c r="S239" s="82" t="str">
        <f>+IFERROR(VLOOKUP(E239,'ID1&amp;5'!K:L,2,FALSE),"-")</f>
        <v>-</v>
      </c>
      <c r="T239" s="83" t="str">
        <f>+IFERROR(VLOOKUP(CONCATENATE(A239,$E$10,E239),'ID1&amp;5'!B:J,9,FALSE),"-")</f>
        <v>-</v>
      </c>
      <c r="U239" s="82" t="str">
        <f>+IFERROR(VLOOKUP(F239,'ID1&amp;5'!K:L,2,FALSE),"-")</f>
        <v>-</v>
      </c>
      <c r="V239" s="83" t="str">
        <f>+IFERROR(VLOOKUP(CONCATENATE(A239,$F$10,F239),'ID1&amp;5'!B:J,9,FALSE),"-")</f>
        <v>-</v>
      </c>
      <c r="W239" s="26" t="str">
        <f>+IFERROR(VLOOKUP(A239,'ID6&amp;7'!A:I,9,FALSE),"-")</f>
        <v>-</v>
      </c>
      <c r="X239" s="26" t="str">
        <f>+IFERROR(VLOOKUP(A239,'ID6&amp;7'!A:J,10,FALSE),"-")</f>
        <v>-</v>
      </c>
      <c r="Y239" s="26"/>
      <c r="Z239" s="27" t="str">
        <f t="shared" si="9"/>
        <v>Por iniciar</v>
      </c>
    </row>
    <row r="240" spans="1:26">
      <c r="A240" s="20" t="str">
        <f t="shared" si="8"/>
        <v>INSTRUMENTANNLSD_AGRD_RT45596</v>
      </c>
      <c r="B240" s="66"/>
      <c r="C240" s="60"/>
      <c r="D240" s="60"/>
      <c r="E240" s="60"/>
      <c r="F240" s="67"/>
      <c r="G240" s="60"/>
      <c r="H240" s="65" t="s">
        <v>126</v>
      </c>
      <c r="I240" s="21" t="s">
        <v>520</v>
      </c>
      <c r="J240" s="26">
        <f>+COUNTIF('ID1&amp;5'!G:G,'1. Status'!I240)</f>
        <v>0</v>
      </c>
      <c r="K240" s="83" t="str">
        <f>+IFERROR(VLOOKUP(CONCATENATE(A240,$B$10,B240),'ID1&amp;5'!B:J,8,FALSE),"-")</f>
        <v>-</v>
      </c>
      <c r="L240" s="82" t="str">
        <f>+IFERROR(VLOOKUP(B240,'ID1&amp;5'!K:L,2,FALSE),"-")</f>
        <v>-</v>
      </c>
      <c r="M240" s="83" t="str">
        <f>+IFERROR(VLOOKUP(CONCATENATE(A240,$B$10,B240),'ID1&amp;5'!B:J,9,FALSE),"-")</f>
        <v>-</v>
      </c>
      <c r="N240" s="83" t="str">
        <f>+IFERROR(VLOOKUP(CONCATENATE(A240,$C$10,C240),'ID1&amp;5'!B:J,8,FALSE),"-")</f>
        <v>-</v>
      </c>
      <c r="O240" s="82" t="str">
        <f>+IFERROR(VLOOKUP(C240,'ID1&amp;5'!K:L,2,FALSE),"-")</f>
        <v>-</v>
      </c>
      <c r="P240" s="83" t="str">
        <f>+IFERROR(VLOOKUP(CONCATENATE(A240,$C$10,C240),'ID1&amp;5'!B:J,9,FALSE),"-")</f>
        <v>-</v>
      </c>
      <c r="Q240" s="82" t="str">
        <f>+IFERROR(VLOOKUP(D240,'ID1&amp;5'!K:L,2,FALSE),"-")</f>
        <v>-</v>
      </c>
      <c r="R240" s="26" t="str">
        <f>+IFERROR(VLOOKUP(CONCATENATE(A240,$D$10,D240),'ID1&amp;5'!B:J,9,FALSE),"-")</f>
        <v>-</v>
      </c>
      <c r="S240" s="82" t="str">
        <f>+IFERROR(VLOOKUP(E240,'ID1&amp;5'!K:L,2,FALSE),"-")</f>
        <v>-</v>
      </c>
      <c r="T240" s="83" t="str">
        <f>+IFERROR(VLOOKUP(CONCATENATE(A240,$E$10,E240),'ID1&amp;5'!B:J,9,FALSE),"-")</f>
        <v>-</v>
      </c>
      <c r="U240" s="82" t="str">
        <f>+IFERROR(VLOOKUP(F240,'ID1&amp;5'!K:L,2,FALSE),"-")</f>
        <v>-</v>
      </c>
      <c r="V240" s="83" t="str">
        <f>+IFERROR(VLOOKUP(CONCATENATE(A240,$F$10,F240),'ID1&amp;5'!B:J,9,FALSE),"-")</f>
        <v>-</v>
      </c>
      <c r="W240" s="26" t="str">
        <f>+IFERROR(VLOOKUP(A240,'ID6&amp;7'!A:I,9,FALSE),"-")</f>
        <v>-</v>
      </c>
      <c r="X240" s="26" t="str">
        <f>+IFERROR(VLOOKUP(A240,'ID6&amp;7'!A:J,10,FALSE),"-")</f>
        <v>-</v>
      </c>
      <c r="Y240" s="26"/>
      <c r="Z240" s="27" t="str">
        <f t="shared" si="9"/>
        <v>Por iniciar</v>
      </c>
    </row>
    <row r="241" spans="1:26">
      <c r="A241" s="20" t="str">
        <f t="shared" si="8"/>
        <v>INSTRUMENTEIR45596</v>
      </c>
      <c r="B241" s="66"/>
      <c r="C241" s="60"/>
      <c r="D241" s="60"/>
      <c r="E241" s="60"/>
      <c r="F241" s="67"/>
      <c r="G241" s="60"/>
      <c r="H241" s="65" t="s">
        <v>126</v>
      </c>
      <c r="I241" s="21" t="s">
        <v>521</v>
      </c>
      <c r="J241" s="26">
        <f>+COUNTIF('ID1&amp;5'!G:G,'1. Status'!I241)</f>
        <v>0</v>
      </c>
      <c r="K241" s="83" t="str">
        <f>+IFERROR(VLOOKUP(CONCATENATE(A241,$B$10,B241),'ID1&amp;5'!B:J,8,FALSE),"-")</f>
        <v>-</v>
      </c>
      <c r="L241" s="82" t="str">
        <f>+IFERROR(VLOOKUP(B241,'ID1&amp;5'!K:L,2,FALSE),"-")</f>
        <v>-</v>
      </c>
      <c r="M241" s="83" t="str">
        <f>+IFERROR(VLOOKUP(CONCATENATE(A241,$B$10,B241),'ID1&amp;5'!B:J,9,FALSE),"-")</f>
        <v>-</v>
      </c>
      <c r="N241" s="83" t="str">
        <f>+IFERROR(VLOOKUP(CONCATENATE(A241,$C$10,C241),'ID1&amp;5'!B:J,8,FALSE),"-")</f>
        <v>-</v>
      </c>
      <c r="O241" s="82" t="str">
        <f>+IFERROR(VLOOKUP(C241,'ID1&amp;5'!K:L,2,FALSE),"-")</f>
        <v>-</v>
      </c>
      <c r="P241" s="83" t="str">
        <f>+IFERROR(VLOOKUP(CONCATENATE(A241,$C$10,C241),'ID1&amp;5'!B:J,9,FALSE),"-")</f>
        <v>-</v>
      </c>
      <c r="Q241" s="82" t="str">
        <f>+IFERROR(VLOOKUP(D241,'ID1&amp;5'!K:L,2,FALSE),"-")</f>
        <v>-</v>
      </c>
      <c r="R241" s="26" t="str">
        <f>+IFERROR(VLOOKUP(CONCATENATE(A241,$D$10,D241),'ID1&amp;5'!B:J,9,FALSE),"-")</f>
        <v>-</v>
      </c>
      <c r="S241" s="82" t="str">
        <f>+IFERROR(VLOOKUP(E241,'ID1&amp;5'!K:L,2,FALSE),"-")</f>
        <v>-</v>
      </c>
      <c r="T241" s="83" t="str">
        <f>+IFERROR(VLOOKUP(CONCATENATE(A241,$E$10,E241),'ID1&amp;5'!B:J,9,FALSE),"-")</f>
        <v>-</v>
      </c>
      <c r="U241" s="82" t="str">
        <f>+IFERROR(VLOOKUP(F241,'ID1&amp;5'!K:L,2,FALSE),"-")</f>
        <v>-</v>
      </c>
      <c r="V241" s="83" t="str">
        <f>+IFERROR(VLOOKUP(CONCATENATE(A241,$F$10,F241),'ID1&amp;5'!B:J,9,FALSE),"-")</f>
        <v>-</v>
      </c>
      <c r="W241" s="26" t="str">
        <f>+IFERROR(VLOOKUP(A241,'ID6&amp;7'!A:I,9,FALSE),"-")</f>
        <v>-</v>
      </c>
      <c r="X241" s="26" t="str">
        <f>+IFERROR(VLOOKUP(A241,'ID6&amp;7'!A:J,10,FALSE),"-")</f>
        <v>-</v>
      </c>
      <c r="Y241" s="26"/>
      <c r="Z241" s="27" t="str">
        <f t="shared" si="9"/>
        <v>Por iniciar</v>
      </c>
    </row>
    <row r="242" spans="1:26">
      <c r="A242" s="20" t="str">
        <f t="shared" si="8"/>
        <v>INSTRUMENTEIR_INCPTN45596</v>
      </c>
      <c r="B242" s="66"/>
      <c r="C242" s="60"/>
      <c r="D242" s="60"/>
      <c r="E242" s="60"/>
      <c r="F242" s="67"/>
      <c r="G242" s="60"/>
      <c r="H242" s="65" t="s">
        <v>126</v>
      </c>
      <c r="I242" s="21" t="s">
        <v>522</v>
      </c>
      <c r="J242" s="26">
        <f>+COUNTIF('ID1&amp;5'!G:G,'1. Status'!I242)</f>
        <v>0</v>
      </c>
      <c r="K242" s="83" t="str">
        <f>+IFERROR(VLOOKUP(CONCATENATE(A242,$B$10,B242),'ID1&amp;5'!B:J,8,FALSE),"-")</f>
        <v>-</v>
      </c>
      <c r="L242" s="82" t="str">
        <f>+IFERROR(VLOOKUP(B242,'ID1&amp;5'!K:L,2,FALSE),"-")</f>
        <v>-</v>
      </c>
      <c r="M242" s="83" t="str">
        <f>+IFERROR(VLOOKUP(CONCATENATE(A242,$B$10,B242),'ID1&amp;5'!B:J,9,FALSE),"-")</f>
        <v>-</v>
      </c>
      <c r="N242" s="83" t="str">
        <f>+IFERROR(VLOOKUP(CONCATENATE(A242,$C$10,C242),'ID1&amp;5'!B:J,8,FALSE),"-")</f>
        <v>-</v>
      </c>
      <c r="O242" s="82" t="str">
        <f>+IFERROR(VLOOKUP(C242,'ID1&amp;5'!K:L,2,FALSE),"-")</f>
        <v>-</v>
      </c>
      <c r="P242" s="83" t="str">
        <f>+IFERROR(VLOOKUP(CONCATENATE(A242,$C$10,C242),'ID1&amp;5'!B:J,9,FALSE),"-")</f>
        <v>-</v>
      </c>
      <c r="Q242" s="82" t="str">
        <f>+IFERROR(VLOOKUP(D242,'ID1&amp;5'!K:L,2,FALSE),"-")</f>
        <v>-</v>
      </c>
      <c r="R242" s="26" t="str">
        <f>+IFERROR(VLOOKUP(CONCATENATE(A242,$D$10,D242),'ID1&amp;5'!B:J,9,FALSE),"-")</f>
        <v>-</v>
      </c>
      <c r="S242" s="82" t="str">
        <f>+IFERROR(VLOOKUP(E242,'ID1&amp;5'!K:L,2,FALSE),"-")</f>
        <v>-</v>
      </c>
      <c r="T242" s="83" t="str">
        <f>+IFERROR(VLOOKUP(CONCATENATE(A242,$E$10,E242),'ID1&amp;5'!B:J,9,FALSE),"-")</f>
        <v>-</v>
      </c>
      <c r="U242" s="82" t="str">
        <f>+IFERROR(VLOOKUP(F242,'ID1&amp;5'!K:L,2,FALSE),"-")</f>
        <v>-</v>
      </c>
      <c r="V242" s="83" t="str">
        <f>+IFERROR(VLOOKUP(CONCATENATE(A242,$F$10,F242),'ID1&amp;5'!B:J,9,FALSE),"-")</f>
        <v>-</v>
      </c>
      <c r="W242" s="26" t="str">
        <f>+IFERROR(VLOOKUP(A242,'ID6&amp;7'!A:I,9,FALSE),"-")</f>
        <v>-</v>
      </c>
      <c r="X242" s="26" t="str">
        <f>+IFERROR(VLOOKUP(A242,'ID6&amp;7'!A:J,10,FALSE),"-")</f>
        <v>-</v>
      </c>
      <c r="Y242" s="26"/>
      <c r="Z242" s="27" t="str">
        <f t="shared" si="9"/>
        <v>Por iniciar</v>
      </c>
    </row>
    <row r="243" spans="1:26">
      <c r="A243" s="20" t="str">
        <f t="shared" si="8"/>
        <v>INSTRUMENTINTRST_RT_RST_FRQNCY45596</v>
      </c>
      <c r="B243" s="66"/>
      <c r="C243" s="60"/>
      <c r="D243" s="60"/>
      <c r="E243" s="60"/>
      <c r="F243" s="67"/>
      <c r="G243" s="60"/>
      <c r="H243" s="65" t="s">
        <v>126</v>
      </c>
      <c r="I243" s="21" t="s">
        <v>523</v>
      </c>
      <c r="J243" s="26">
        <f>+COUNTIF('ID1&amp;5'!G:G,'1. Status'!I243)</f>
        <v>0</v>
      </c>
      <c r="K243" s="83" t="str">
        <f>+IFERROR(VLOOKUP(CONCATENATE(A243,$B$10,B243),'ID1&amp;5'!B:J,8,FALSE),"-")</f>
        <v>-</v>
      </c>
      <c r="L243" s="82" t="str">
        <f>+IFERROR(VLOOKUP(B243,'ID1&amp;5'!K:L,2,FALSE),"-")</f>
        <v>-</v>
      </c>
      <c r="M243" s="83" t="str">
        <f>+IFERROR(VLOOKUP(CONCATENATE(A243,$B$10,B243),'ID1&amp;5'!B:J,9,FALSE),"-")</f>
        <v>-</v>
      </c>
      <c r="N243" s="83" t="str">
        <f>+IFERROR(VLOOKUP(CONCATENATE(A243,$C$10,C243),'ID1&amp;5'!B:J,8,FALSE),"-")</f>
        <v>-</v>
      </c>
      <c r="O243" s="82" t="str">
        <f>+IFERROR(VLOOKUP(C243,'ID1&amp;5'!K:L,2,FALSE),"-")</f>
        <v>-</v>
      </c>
      <c r="P243" s="83" t="str">
        <f>+IFERROR(VLOOKUP(CONCATENATE(A243,$C$10,C243),'ID1&amp;5'!B:J,9,FALSE),"-")</f>
        <v>-</v>
      </c>
      <c r="Q243" s="82" t="str">
        <f>+IFERROR(VLOOKUP(D243,'ID1&amp;5'!K:L,2,FALSE),"-")</f>
        <v>-</v>
      </c>
      <c r="R243" s="26" t="str">
        <f>+IFERROR(VLOOKUP(CONCATENATE(A243,$D$10,D243),'ID1&amp;5'!B:J,9,FALSE),"-")</f>
        <v>-</v>
      </c>
      <c r="S243" s="82" t="str">
        <f>+IFERROR(VLOOKUP(E243,'ID1&amp;5'!K:L,2,FALSE),"-")</f>
        <v>-</v>
      </c>
      <c r="T243" s="83" t="str">
        <f>+IFERROR(VLOOKUP(CONCATENATE(A243,$E$10,E243),'ID1&amp;5'!B:J,9,FALSE),"-")</f>
        <v>-</v>
      </c>
      <c r="U243" s="82" t="str">
        <f>+IFERROR(VLOOKUP(F243,'ID1&amp;5'!K:L,2,FALSE),"-")</f>
        <v>-</v>
      </c>
      <c r="V243" s="83" t="str">
        <f>+IFERROR(VLOOKUP(CONCATENATE(A243,$F$10,F243),'ID1&amp;5'!B:J,9,FALSE),"-")</f>
        <v>-</v>
      </c>
      <c r="W243" s="26" t="str">
        <f>+IFERROR(VLOOKUP(A243,'ID6&amp;7'!A:I,9,FALSE),"-")</f>
        <v>-</v>
      </c>
      <c r="X243" s="26" t="str">
        <f>+IFERROR(VLOOKUP(A243,'ID6&amp;7'!A:J,10,FALSE),"-")</f>
        <v>-</v>
      </c>
      <c r="Y243" s="26"/>
      <c r="Z243" s="27" t="str">
        <f t="shared" si="9"/>
        <v>Por iniciar</v>
      </c>
    </row>
    <row r="244" spans="1:26">
      <c r="A244" s="20" t="str">
        <f t="shared" si="8"/>
        <v>INSTRUMENTRCVD_AMRTSTN_12M45596</v>
      </c>
      <c r="B244" s="66"/>
      <c r="C244" s="60"/>
      <c r="D244" s="60"/>
      <c r="E244" s="60"/>
      <c r="F244" s="67"/>
      <c r="G244" s="60"/>
      <c r="H244" s="65" t="s">
        <v>126</v>
      </c>
      <c r="I244" s="21" t="s">
        <v>524</v>
      </c>
      <c r="J244" s="26">
        <f>+COUNTIF('ID1&amp;5'!G:G,'1. Status'!I244)</f>
        <v>0</v>
      </c>
      <c r="K244" s="83" t="str">
        <f>+IFERROR(VLOOKUP(CONCATENATE(A244,$B$10,B244),'ID1&amp;5'!B:J,8,FALSE),"-")</f>
        <v>-</v>
      </c>
      <c r="L244" s="82" t="str">
        <f>+IFERROR(VLOOKUP(B244,'ID1&amp;5'!K:L,2,FALSE),"-")</f>
        <v>-</v>
      </c>
      <c r="M244" s="83" t="str">
        <f>+IFERROR(VLOOKUP(CONCATENATE(A244,$B$10,B244),'ID1&amp;5'!B:J,9,FALSE),"-")</f>
        <v>-</v>
      </c>
      <c r="N244" s="83" t="str">
        <f>+IFERROR(VLOOKUP(CONCATENATE(A244,$C$10,C244),'ID1&amp;5'!B:J,8,FALSE),"-")</f>
        <v>-</v>
      </c>
      <c r="O244" s="82" t="str">
        <f>+IFERROR(VLOOKUP(C244,'ID1&amp;5'!K:L,2,FALSE),"-")</f>
        <v>-</v>
      </c>
      <c r="P244" s="83" t="str">
        <f>+IFERROR(VLOOKUP(CONCATENATE(A244,$C$10,C244),'ID1&amp;5'!B:J,9,FALSE),"-")</f>
        <v>-</v>
      </c>
      <c r="Q244" s="82" t="str">
        <f>+IFERROR(VLOOKUP(D244,'ID1&amp;5'!K:L,2,FALSE),"-")</f>
        <v>-</v>
      </c>
      <c r="R244" s="26" t="str">
        <f>+IFERROR(VLOOKUP(CONCATENATE(A244,$D$10,D244),'ID1&amp;5'!B:J,9,FALSE),"-")</f>
        <v>-</v>
      </c>
      <c r="S244" s="82" t="str">
        <f>+IFERROR(VLOOKUP(E244,'ID1&amp;5'!K:L,2,FALSE),"-")</f>
        <v>-</v>
      </c>
      <c r="T244" s="83" t="str">
        <f>+IFERROR(VLOOKUP(CONCATENATE(A244,$E$10,E244),'ID1&amp;5'!B:J,9,FALSE),"-")</f>
        <v>-</v>
      </c>
      <c r="U244" s="82" t="str">
        <f>+IFERROR(VLOOKUP(F244,'ID1&amp;5'!K:L,2,FALSE),"-")</f>
        <v>-</v>
      </c>
      <c r="V244" s="83" t="str">
        <f>+IFERROR(VLOOKUP(CONCATENATE(A244,$F$10,F244),'ID1&amp;5'!B:J,9,FALSE),"-")</f>
        <v>-</v>
      </c>
      <c r="W244" s="26" t="str">
        <f>+IFERROR(VLOOKUP(A244,'ID6&amp;7'!A:I,9,FALSE),"-")</f>
        <v>-</v>
      </c>
      <c r="X244" s="26" t="str">
        <f>+IFERROR(VLOOKUP(A244,'ID6&amp;7'!A:J,10,FALSE),"-")</f>
        <v>-</v>
      </c>
      <c r="Y244" s="26"/>
      <c r="Z244" s="27" t="str">
        <f t="shared" si="9"/>
        <v>Por iniciar</v>
      </c>
    </row>
    <row r="245" spans="1:26">
      <c r="A245" s="20" t="str">
        <f t="shared" si="8"/>
        <v>INSTRUMENTRCVD_AMRTSTN_24M45596</v>
      </c>
      <c r="B245" s="66"/>
      <c r="C245" s="60"/>
      <c r="D245" s="60"/>
      <c r="E245" s="60"/>
      <c r="F245" s="67"/>
      <c r="G245" s="60"/>
      <c r="H245" s="65" t="s">
        <v>126</v>
      </c>
      <c r="I245" s="21" t="s">
        <v>525</v>
      </c>
      <c r="J245" s="26">
        <f>+COUNTIF('ID1&amp;5'!G:G,'1. Status'!I245)</f>
        <v>0</v>
      </c>
      <c r="K245" s="83" t="str">
        <f>+IFERROR(VLOOKUP(CONCATENATE(A245,$B$10,B245),'ID1&amp;5'!B:J,8,FALSE),"-")</f>
        <v>-</v>
      </c>
      <c r="L245" s="82" t="str">
        <f>+IFERROR(VLOOKUP(B245,'ID1&amp;5'!K:L,2,FALSE),"-")</f>
        <v>-</v>
      </c>
      <c r="M245" s="83" t="str">
        <f>+IFERROR(VLOOKUP(CONCATENATE(A245,$B$10,B245),'ID1&amp;5'!B:J,9,FALSE),"-")</f>
        <v>-</v>
      </c>
      <c r="N245" s="83" t="str">
        <f>+IFERROR(VLOOKUP(CONCATENATE(A245,$C$10,C245),'ID1&amp;5'!B:J,8,FALSE),"-")</f>
        <v>-</v>
      </c>
      <c r="O245" s="82" t="str">
        <f>+IFERROR(VLOOKUP(C245,'ID1&amp;5'!K:L,2,FALSE),"-")</f>
        <v>-</v>
      </c>
      <c r="P245" s="83" t="str">
        <f>+IFERROR(VLOOKUP(CONCATENATE(A245,$C$10,C245),'ID1&amp;5'!B:J,9,FALSE),"-")</f>
        <v>-</v>
      </c>
      <c r="Q245" s="82" t="str">
        <f>+IFERROR(VLOOKUP(D245,'ID1&amp;5'!K:L,2,FALSE),"-")</f>
        <v>-</v>
      </c>
      <c r="R245" s="26" t="str">
        <f>+IFERROR(VLOOKUP(CONCATENATE(A245,$D$10,D245),'ID1&amp;5'!B:J,9,FALSE),"-")</f>
        <v>-</v>
      </c>
      <c r="S245" s="82" t="str">
        <f>+IFERROR(VLOOKUP(E245,'ID1&amp;5'!K:L,2,FALSE),"-")</f>
        <v>-</v>
      </c>
      <c r="T245" s="83" t="str">
        <f>+IFERROR(VLOOKUP(CONCATENATE(A245,$E$10,E245),'ID1&amp;5'!B:J,9,FALSE),"-")</f>
        <v>-</v>
      </c>
      <c r="U245" s="82" t="str">
        <f>+IFERROR(VLOOKUP(F245,'ID1&amp;5'!K:L,2,FALSE),"-")</f>
        <v>-</v>
      </c>
      <c r="V245" s="83" t="str">
        <f>+IFERROR(VLOOKUP(CONCATENATE(A245,$F$10,F245),'ID1&amp;5'!B:J,9,FALSE),"-")</f>
        <v>-</v>
      </c>
      <c r="W245" s="26" t="str">
        <f>+IFERROR(VLOOKUP(A245,'ID6&amp;7'!A:I,9,FALSE),"-")</f>
        <v>-</v>
      </c>
      <c r="X245" s="26" t="str">
        <f>+IFERROR(VLOOKUP(A245,'ID6&amp;7'!A:J,10,FALSE),"-")</f>
        <v>-</v>
      </c>
      <c r="Y245" s="26"/>
      <c r="Z245" s="27" t="str">
        <f t="shared" si="9"/>
        <v>Por iniciar</v>
      </c>
    </row>
    <row r="246" spans="1:26">
      <c r="A246" s="20" t="str">
        <f t="shared" si="8"/>
        <v>INSTRUMENTRCVD_INTRST_12M45596</v>
      </c>
      <c r="B246" s="66"/>
      <c r="C246" s="60"/>
      <c r="D246" s="60"/>
      <c r="E246" s="60"/>
      <c r="F246" s="67"/>
      <c r="G246" s="60"/>
      <c r="H246" s="65" t="s">
        <v>126</v>
      </c>
      <c r="I246" s="21" t="s">
        <v>526</v>
      </c>
      <c r="J246" s="26">
        <f>+COUNTIF('ID1&amp;5'!G:G,'1. Status'!I246)</f>
        <v>0</v>
      </c>
      <c r="K246" s="83" t="str">
        <f>+IFERROR(VLOOKUP(CONCATENATE(A246,$B$10,B246),'ID1&amp;5'!B:J,8,FALSE),"-")</f>
        <v>-</v>
      </c>
      <c r="L246" s="82" t="str">
        <f>+IFERROR(VLOOKUP(B246,'ID1&amp;5'!K:L,2,FALSE),"-")</f>
        <v>-</v>
      </c>
      <c r="M246" s="83" t="str">
        <f>+IFERROR(VLOOKUP(CONCATENATE(A246,$B$10,B246),'ID1&amp;5'!B:J,9,FALSE),"-")</f>
        <v>-</v>
      </c>
      <c r="N246" s="83" t="str">
        <f>+IFERROR(VLOOKUP(CONCATENATE(A246,$C$10,C246),'ID1&amp;5'!B:J,8,FALSE),"-")</f>
        <v>-</v>
      </c>
      <c r="O246" s="82" t="str">
        <f>+IFERROR(VLOOKUP(C246,'ID1&amp;5'!K:L,2,FALSE),"-")</f>
        <v>-</v>
      </c>
      <c r="P246" s="83" t="str">
        <f>+IFERROR(VLOOKUP(CONCATENATE(A246,$C$10,C246),'ID1&amp;5'!B:J,9,FALSE),"-")</f>
        <v>-</v>
      </c>
      <c r="Q246" s="82" t="str">
        <f>+IFERROR(VLOOKUP(D246,'ID1&amp;5'!K:L,2,FALSE),"-")</f>
        <v>-</v>
      </c>
      <c r="R246" s="26" t="str">
        <f>+IFERROR(VLOOKUP(CONCATENATE(A246,$D$10,D246),'ID1&amp;5'!B:J,9,FALSE),"-")</f>
        <v>-</v>
      </c>
      <c r="S246" s="82" t="str">
        <f>+IFERROR(VLOOKUP(E246,'ID1&amp;5'!K:L,2,FALSE),"-")</f>
        <v>-</v>
      </c>
      <c r="T246" s="83" t="str">
        <f>+IFERROR(VLOOKUP(CONCATENATE(A246,$E$10,E246),'ID1&amp;5'!B:J,9,FALSE),"-")</f>
        <v>-</v>
      </c>
      <c r="U246" s="82" t="str">
        <f>+IFERROR(VLOOKUP(F246,'ID1&amp;5'!K:L,2,FALSE),"-")</f>
        <v>-</v>
      </c>
      <c r="V246" s="83" t="str">
        <f>+IFERROR(VLOOKUP(CONCATENATE(A246,$F$10,F246),'ID1&amp;5'!B:J,9,FALSE),"-")</f>
        <v>-</v>
      </c>
      <c r="W246" s="26" t="str">
        <f>+IFERROR(VLOOKUP(A246,'ID6&amp;7'!A:I,9,FALSE),"-")</f>
        <v>-</v>
      </c>
      <c r="X246" s="26" t="str">
        <f>+IFERROR(VLOOKUP(A246,'ID6&amp;7'!A:J,10,FALSE),"-")</f>
        <v>-</v>
      </c>
      <c r="Y246" s="26"/>
      <c r="Z246" s="27" t="str">
        <f t="shared" si="9"/>
        <v>Por iniciar</v>
      </c>
    </row>
    <row r="247" spans="1:26">
      <c r="A247" s="20" t="str">
        <f t="shared" si="8"/>
        <v>INSTRUMENTRCVD_INTRST_24M45596</v>
      </c>
      <c r="B247" s="66"/>
      <c r="C247" s="60"/>
      <c r="D247" s="60"/>
      <c r="E247" s="60"/>
      <c r="F247" s="67"/>
      <c r="G247" s="60"/>
      <c r="H247" s="65" t="s">
        <v>126</v>
      </c>
      <c r="I247" s="21" t="s">
        <v>527</v>
      </c>
      <c r="J247" s="26">
        <f>+COUNTIF('ID1&amp;5'!G:G,'1. Status'!I247)</f>
        <v>0</v>
      </c>
      <c r="K247" s="83" t="str">
        <f>+IFERROR(VLOOKUP(CONCATENATE(A247,$B$10,B247),'ID1&amp;5'!B:J,8,FALSE),"-")</f>
        <v>-</v>
      </c>
      <c r="L247" s="82" t="str">
        <f>+IFERROR(VLOOKUP(B247,'ID1&amp;5'!K:L,2,FALSE),"-")</f>
        <v>-</v>
      </c>
      <c r="M247" s="83" t="str">
        <f>+IFERROR(VLOOKUP(CONCATENATE(A247,$B$10,B247),'ID1&amp;5'!B:J,9,FALSE),"-")</f>
        <v>-</v>
      </c>
      <c r="N247" s="83" t="str">
        <f>+IFERROR(VLOOKUP(CONCATENATE(A247,$C$10,C247),'ID1&amp;5'!B:J,8,FALSE),"-")</f>
        <v>-</v>
      </c>
      <c r="O247" s="82" t="str">
        <f>+IFERROR(VLOOKUP(C247,'ID1&amp;5'!K:L,2,FALSE),"-")</f>
        <v>-</v>
      </c>
      <c r="P247" s="83" t="str">
        <f>+IFERROR(VLOOKUP(CONCATENATE(A247,$C$10,C247),'ID1&amp;5'!B:J,9,FALSE),"-")</f>
        <v>-</v>
      </c>
      <c r="Q247" s="82" t="str">
        <f>+IFERROR(VLOOKUP(D247,'ID1&amp;5'!K:L,2,FALSE),"-")</f>
        <v>-</v>
      </c>
      <c r="R247" s="26" t="str">
        <f>+IFERROR(VLOOKUP(CONCATENATE(A247,$D$10,D247),'ID1&amp;5'!B:J,9,FALSE),"-")</f>
        <v>-</v>
      </c>
      <c r="S247" s="82" t="str">
        <f>+IFERROR(VLOOKUP(E247,'ID1&amp;5'!K:L,2,FALSE),"-")</f>
        <v>-</v>
      </c>
      <c r="T247" s="83" t="str">
        <f>+IFERROR(VLOOKUP(CONCATENATE(A247,$E$10,E247),'ID1&amp;5'!B:J,9,FALSE),"-")</f>
        <v>-</v>
      </c>
      <c r="U247" s="82" t="str">
        <f>+IFERROR(VLOOKUP(F247,'ID1&amp;5'!K:L,2,FALSE),"-")</f>
        <v>-</v>
      </c>
      <c r="V247" s="83" t="str">
        <f>+IFERROR(VLOOKUP(CONCATENATE(A247,$F$10,F247),'ID1&amp;5'!B:J,9,FALSE),"-")</f>
        <v>-</v>
      </c>
      <c r="W247" s="26" t="str">
        <f>+IFERROR(VLOOKUP(A247,'ID6&amp;7'!A:I,9,FALSE),"-")</f>
        <v>-</v>
      </c>
      <c r="X247" s="26" t="str">
        <f>+IFERROR(VLOOKUP(A247,'ID6&amp;7'!A:J,10,FALSE),"-")</f>
        <v>-</v>
      </c>
      <c r="Y247" s="26"/>
      <c r="Z247" s="27" t="str">
        <f t="shared" si="9"/>
        <v>Por iniciar</v>
      </c>
    </row>
    <row r="248" spans="1:26">
      <c r="A248" s="20" t="str">
        <f t="shared" si="8"/>
        <v>INSTRUMENTSYNDCT_RL45596</v>
      </c>
      <c r="B248" s="66"/>
      <c r="C248" s="60"/>
      <c r="D248" s="60"/>
      <c r="E248" s="60"/>
      <c r="F248" s="67"/>
      <c r="G248" s="60"/>
      <c r="H248" s="65" t="s">
        <v>126</v>
      </c>
      <c r="I248" s="21" t="s">
        <v>528</v>
      </c>
      <c r="J248" s="26">
        <f>+COUNTIF('ID1&amp;5'!G:G,'1. Status'!I248)</f>
        <v>0</v>
      </c>
      <c r="K248" s="83" t="str">
        <f>+IFERROR(VLOOKUP(CONCATENATE(A248,$B$10,B248),'ID1&amp;5'!B:J,8,FALSE),"-")</f>
        <v>-</v>
      </c>
      <c r="L248" s="82" t="str">
        <f>+IFERROR(VLOOKUP(B248,'ID1&amp;5'!K:L,2,FALSE),"-")</f>
        <v>-</v>
      </c>
      <c r="M248" s="83" t="str">
        <f>+IFERROR(VLOOKUP(CONCATENATE(A248,$B$10,B248),'ID1&amp;5'!B:J,9,FALSE),"-")</f>
        <v>-</v>
      </c>
      <c r="N248" s="83" t="str">
        <f>+IFERROR(VLOOKUP(CONCATENATE(A248,$C$10,C248),'ID1&amp;5'!B:J,8,FALSE),"-")</f>
        <v>-</v>
      </c>
      <c r="O248" s="82" t="str">
        <f>+IFERROR(VLOOKUP(C248,'ID1&amp;5'!K:L,2,FALSE),"-")</f>
        <v>-</v>
      </c>
      <c r="P248" s="83" t="str">
        <f>+IFERROR(VLOOKUP(CONCATENATE(A248,$C$10,C248),'ID1&amp;5'!B:J,9,FALSE),"-")</f>
        <v>-</v>
      </c>
      <c r="Q248" s="82" t="str">
        <f>+IFERROR(VLOOKUP(D248,'ID1&amp;5'!K:L,2,FALSE),"-")</f>
        <v>-</v>
      </c>
      <c r="R248" s="26" t="str">
        <f>+IFERROR(VLOOKUP(CONCATENATE(A248,$D$10,D248),'ID1&amp;5'!B:J,9,FALSE),"-")</f>
        <v>-</v>
      </c>
      <c r="S248" s="82" t="str">
        <f>+IFERROR(VLOOKUP(E248,'ID1&amp;5'!K:L,2,FALSE),"-")</f>
        <v>-</v>
      </c>
      <c r="T248" s="83" t="str">
        <f>+IFERROR(VLOOKUP(CONCATENATE(A248,$E$10,E248),'ID1&amp;5'!B:J,9,FALSE),"-")</f>
        <v>-</v>
      </c>
      <c r="U248" s="82" t="str">
        <f>+IFERROR(VLOOKUP(F248,'ID1&amp;5'!K:L,2,FALSE),"-")</f>
        <v>-</v>
      </c>
      <c r="V248" s="83" t="str">
        <f>+IFERROR(VLOOKUP(CONCATENATE(A248,$F$10,F248),'ID1&amp;5'!B:J,9,FALSE),"-")</f>
        <v>-</v>
      </c>
      <c r="W248" s="26" t="str">
        <f>+IFERROR(VLOOKUP(A248,'ID6&amp;7'!A:I,9,FALSE),"-")</f>
        <v>-</v>
      </c>
      <c r="X248" s="26" t="str">
        <f>+IFERROR(VLOOKUP(A248,'ID6&amp;7'!A:J,10,FALSE),"-")</f>
        <v>-</v>
      </c>
      <c r="Y248" s="26"/>
      <c r="Z248" s="27" t="str">
        <f t="shared" si="9"/>
        <v>Por iniciar</v>
      </c>
    </row>
    <row r="249" spans="1:26">
      <c r="A249" s="20" t="str">
        <f t="shared" si="8"/>
        <v>INSTRUMENTSYNDCTD_AGNT45596</v>
      </c>
      <c r="B249" s="66"/>
      <c r="C249" s="60"/>
      <c r="D249" s="60"/>
      <c r="E249" s="60"/>
      <c r="F249" s="67"/>
      <c r="G249" s="60"/>
      <c r="H249" s="65" t="s">
        <v>126</v>
      </c>
      <c r="I249" s="21" t="s">
        <v>529</v>
      </c>
      <c r="J249" s="26">
        <f>+COUNTIF('ID1&amp;5'!G:G,'1. Status'!I249)</f>
        <v>0</v>
      </c>
      <c r="K249" s="83" t="str">
        <f>+IFERROR(VLOOKUP(CONCATENATE(A249,$B$10,B249),'ID1&amp;5'!B:J,8,FALSE),"-")</f>
        <v>-</v>
      </c>
      <c r="L249" s="82" t="str">
        <f>+IFERROR(VLOOKUP(B249,'ID1&amp;5'!K:L,2,FALSE),"-")</f>
        <v>-</v>
      </c>
      <c r="M249" s="83" t="str">
        <f>+IFERROR(VLOOKUP(CONCATENATE(A249,$B$10,B249),'ID1&amp;5'!B:J,9,FALSE),"-")</f>
        <v>-</v>
      </c>
      <c r="N249" s="83" t="str">
        <f>+IFERROR(VLOOKUP(CONCATENATE(A249,$C$10,C249),'ID1&amp;5'!B:J,8,FALSE),"-")</f>
        <v>-</v>
      </c>
      <c r="O249" s="82" t="str">
        <f>+IFERROR(VLOOKUP(C249,'ID1&amp;5'!K:L,2,FALSE),"-")</f>
        <v>-</v>
      </c>
      <c r="P249" s="83" t="str">
        <f>+IFERROR(VLOOKUP(CONCATENATE(A249,$C$10,C249),'ID1&amp;5'!B:J,9,FALSE),"-")</f>
        <v>-</v>
      </c>
      <c r="Q249" s="82" t="str">
        <f>+IFERROR(VLOOKUP(D249,'ID1&amp;5'!K:L,2,FALSE),"-")</f>
        <v>-</v>
      </c>
      <c r="R249" s="26" t="str">
        <f>+IFERROR(VLOOKUP(CONCATENATE(A249,$D$10,D249),'ID1&amp;5'!B:J,9,FALSE),"-")</f>
        <v>-</v>
      </c>
      <c r="S249" s="82" t="str">
        <f>+IFERROR(VLOOKUP(E249,'ID1&amp;5'!K:L,2,FALSE),"-")</f>
        <v>-</v>
      </c>
      <c r="T249" s="83" t="str">
        <f>+IFERROR(VLOOKUP(CONCATENATE(A249,$E$10,E249),'ID1&amp;5'!B:J,9,FALSE),"-")</f>
        <v>-</v>
      </c>
      <c r="U249" s="82" t="str">
        <f>+IFERROR(VLOOKUP(F249,'ID1&amp;5'!K:L,2,FALSE),"-")</f>
        <v>-</v>
      </c>
      <c r="V249" s="83" t="str">
        <f>+IFERROR(VLOOKUP(CONCATENATE(A249,$F$10,F249),'ID1&amp;5'!B:J,9,FALSE),"-")</f>
        <v>-</v>
      </c>
      <c r="W249" s="26" t="str">
        <f>+IFERROR(VLOOKUP(A249,'ID6&amp;7'!A:I,9,FALSE),"-")</f>
        <v>-</v>
      </c>
      <c r="X249" s="26" t="str">
        <f>+IFERROR(VLOOKUP(A249,'ID6&amp;7'!A:J,10,FALSE),"-")</f>
        <v>-</v>
      </c>
      <c r="Y249" s="26"/>
      <c r="Z249" s="27" t="str">
        <f t="shared" si="9"/>
        <v>Por iniciar</v>
      </c>
    </row>
    <row r="250" spans="1:26">
      <c r="A250" s="20" t="str">
        <f t="shared" si="8"/>
        <v>INSTRUMENTSYNDCTD_CNTRCT_ID45596</v>
      </c>
      <c r="B250" s="66"/>
      <c r="C250" s="60"/>
      <c r="D250" s="60"/>
      <c r="E250" s="60"/>
      <c r="F250" s="67"/>
      <c r="G250" s="60"/>
      <c r="H250" s="65" t="s">
        <v>126</v>
      </c>
      <c r="I250" s="21" t="s">
        <v>530</v>
      </c>
      <c r="J250" s="26">
        <f>+COUNTIF('ID1&amp;5'!G:G,'1. Status'!I250)</f>
        <v>0</v>
      </c>
      <c r="K250" s="83" t="str">
        <f>+IFERROR(VLOOKUP(CONCATENATE(A250,$B$10,B250),'ID1&amp;5'!B:J,8,FALSE),"-")</f>
        <v>-</v>
      </c>
      <c r="L250" s="82" t="str">
        <f>+IFERROR(VLOOKUP(B250,'ID1&amp;5'!K:L,2,FALSE),"-")</f>
        <v>-</v>
      </c>
      <c r="M250" s="83" t="str">
        <f>+IFERROR(VLOOKUP(CONCATENATE(A250,$B$10,B250),'ID1&amp;5'!B:J,9,FALSE),"-")</f>
        <v>-</v>
      </c>
      <c r="N250" s="83" t="str">
        <f>+IFERROR(VLOOKUP(CONCATENATE(A250,$C$10,C250),'ID1&amp;5'!B:J,8,FALSE),"-")</f>
        <v>-</v>
      </c>
      <c r="O250" s="82" t="str">
        <f>+IFERROR(VLOOKUP(C250,'ID1&amp;5'!K:L,2,FALSE),"-")</f>
        <v>-</v>
      </c>
      <c r="P250" s="83" t="str">
        <f>+IFERROR(VLOOKUP(CONCATENATE(A250,$C$10,C250),'ID1&amp;5'!B:J,9,FALSE),"-")</f>
        <v>-</v>
      </c>
      <c r="Q250" s="82" t="str">
        <f>+IFERROR(VLOOKUP(D250,'ID1&amp;5'!K:L,2,FALSE),"-")</f>
        <v>-</v>
      </c>
      <c r="R250" s="26" t="str">
        <f>+IFERROR(VLOOKUP(CONCATENATE(A250,$D$10,D250),'ID1&amp;5'!B:J,9,FALSE),"-")</f>
        <v>-</v>
      </c>
      <c r="S250" s="82" t="str">
        <f>+IFERROR(VLOOKUP(E250,'ID1&amp;5'!K:L,2,FALSE),"-")</f>
        <v>-</v>
      </c>
      <c r="T250" s="83" t="str">
        <f>+IFERROR(VLOOKUP(CONCATENATE(A250,$E$10,E250),'ID1&amp;5'!B:J,9,FALSE),"-")</f>
        <v>-</v>
      </c>
      <c r="U250" s="82" t="str">
        <f>+IFERROR(VLOOKUP(F250,'ID1&amp;5'!K:L,2,FALSE),"-")</f>
        <v>-</v>
      </c>
      <c r="V250" s="83" t="str">
        <f>+IFERROR(VLOOKUP(CONCATENATE(A250,$F$10,F250),'ID1&amp;5'!B:J,9,FALSE),"-")</f>
        <v>-</v>
      </c>
      <c r="W250" s="26" t="str">
        <f>+IFERROR(VLOOKUP(A250,'ID6&amp;7'!A:I,9,FALSE),"-")</f>
        <v>-</v>
      </c>
      <c r="X250" s="26" t="str">
        <f>+IFERROR(VLOOKUP(A250,'ID6&amp;7'!A:J,10,FALSE),"-")</f>
        <v>-</v>
      </c>
      <c r="Y250" s="26"/>
      <c r="Z250" s="27" t="str">
        <f t="shared" si="9"/>
        <v>Por iniciar</v>
      </c>
    </row>
    <row r="251" spans="1:26">
      <c r="A251" s="20" t="str">
        <f t="shared" si="8"/>
        <v>INSTRUMENTSYNDCTD_LNDRS45596</v>
      </c>
      <c r="B251" s="66"/>
      <c r="C251" s="60"/>
      <c r="D251" s="60"/>
      <c r="E251" s="60"/>
      <c r="F251" s="67"/>
      <c r="G251" s="60"/>
      <c r="H251" s="65" t="s">
        <v>126</v>
      </c>
      <c r="I251" s="21" t="s">
        <v>531</v>
      </c>
      <c r="J251" s="26">
        <f>+COUNTIF('ID1&amp;5'!G:G,'1. Status'!I251)</f>
        <v>0</v>
      </c>
      <c r="K251" s="83" t="str">
        <f>+IFERROR(VLOOKUP(CONCATENATE(A251,$B$10,B251),'ID1&amp;5'!B:J,8,FALSE),"-")</f>
        <v>-</v>
      </c>
      <c r="L251" s="82" t="str">
        <f>+IFERROR(VLOOKUP(B251,'ID1&amp;5'!K:L,2,FALSE),"-")</f>
        <v>-</v>
      </c>
      <c r="M251" s="83" t="str">
        <f>+IFERROR(VLOOKUP(CONCATENATE(A251,$B$10,B251),'ID1&amp;5'!B:J,9,FALSE),"-")</f>
        <v>-</v>
      </c>
      <c r="N251" s="83" t="str">
        <f>+IFERROR(VLOOKUP(CONCATENATE(A251,$C$10,C251),'ID1&amp;5'!B:J,8,FALSE),"-")</f>
        <v>-</v>
      </c>
      <c r="O251" s="82" t="str">
        <f>+IFERROR(VLOOKUP(C251,'ID1&amp;5'!K:L,2,FALSE),"-")</f>
        <v>-</v>
      </c>
      <c r="P251" s="83" t="str">
        <f>+IFERROR(VLOOKUP(CONCATENATE(A251,$C$10,C251),'ID1&amp;5'!B:J,9,FALSE),"-")</f>
        <v>-</v>
      </c>
      <c r="Q251" s="82" t="str">
        <f>+IFERROR(VLOOKUP(D251,'ID1&amp;5'!K:L,2,FALSE),"-")</f>
        <v>-</v>
      </c>
      <c r="R251" s="26" t="str">
        <f>+IFERROR(VLOOKUP(CONCATENATE(A251,$D$10,D251),'ID1&amp;5'!B:J,9,FALSE),"-")</f>
        <v>-</v>
      </c>
      <c r="S251" s="82" t="str">
        <f>+IFERROR(VLOOKUP(E251,'ID1&amp;5'!K:L,2,FALSE),"-")</f>
        <v>-</v>
      </c>
      <c r="T251" s="83" t="str">
        <f>+IFERROR(VLOOKUP(CONCATENATE(A251,$E$10,E251),'ID1&amp;5'!B:J,9,FALSE),"-")</f>
        <v>-</v>
      </c>
      <c r="U251" s="82" t="str">
        <f>+IFERROR(VLOOKUP(F251,'ID1&amp;5'!K:L,2,FALSE),"-")</f>
        <v>-</v>
      </c>
      <c r="V251" s="83" t="str">
        <f>+IFERROR(VLOOKUP(CONCATENATE(A251,$F$10,F251),'ID1&amp;5'!B:J,9,FALSE),"-")</f>
        <v>-</v>
      </c>
      <c r="W251" s="26" t="str">
        <f>+IFERROR(VLOOKUP(A251,'ID6&amp;7'!A:I,9,FALSE),"-")</f>
        <v>-</v>
      </c>
      <c r="X251" s="26" t="str">
        <f>+IFERROR(VLOOKUP(A251,'ID6&amp;7'!A:J,10,FALSE),"-")</f>
        <v>-</v>
      </c>
      <c r="Y251" s="26"/>
      <c r="Z251" s="27" t="str">
        <f t="shared" si="9"/>
        <v>Por iniciar</v>
      </c>
    </row>
    <row r="252" spans="1:26">
      <c r="A252" s="20" t="str">
        <f t="shared" si="8"/>
        <v>INSTRUMENTSYNDCTD_SHR45596</v>
      </c>
      <c r="B252" s="66"/>
      <c r="C252" s="60"/>
      <c r="D252" s="60"/>
      <c r="E252" s="60"/>
      <c r="F252" s="67"/>
      <c r="G252" s="60"/>
      <c r="H252" s="65" t="s">
        <v>126</v>
      </c>
      <c r="I252" s="21" t="s">
        <v>532</v>
      </c>
      <c r="J252" s="26">
        <f>+COUNTIF('ID1&amp;5'!G:G,'1. Status'!I252)</f>
        <v>0</v>
      </c>
      <c r="K252" s="83" t="str">
        <f>+IFERROR(VLOOKUP(CONCATENATE(A252,$B$10,B252),'ID1&amp;5'!B:J,8,FALSE),"-")</f>
        <v>-</v>
      </c>
      <c r="L252" s="82" t="str">
        <f>+IFERROR(VLOOKUP(B252,'ID1&amp;5'!K:L,2,FALSE),"-")</f>
        <v>-</v>
      </c>
      <c r="M252" s="83" t="str">
        <f>+IFERROR(VLOOKUP(CONCATENATE(A252,$B$10,B252),'ID1&amp;5'!B:J,9,FALSE),"-")</f>
        <v>-</v>
      </c>
      <c r="N252" s="83" t="str">
        <f>+IFERROR(VLOOKUP(CONCATENATE(A252,$C$10,C252),'ID1&amp;5'!B:J,8,FALSE),"-")</f>
        <v>-</v>
      </c>
      <c r="O252" s="82" t="str">
        <f>+IFERROR(VLOOKUP(C252,'ID1&amp;5'!K:L,2,FALSE),"-")</f>
        <v>-</v>
      </c>
      <c r="P252" s="83" t="str">
        <f>+IFERROR(VLOOKUP(CONCATENATE(A252,$C$10,C252),'ID1&amp;5'!B:J,9,FALSE),"-")</f>
        <v>-</v>
      </c>
      <c r="Q252" s="82" t="str">
        <f>+IFERROR(VLOOKUP(D252,'ID1&amp;5'!K:L,2,FALSE),"-")</f>
        <v>-</v>
      </c>
      <c r="R252" s="26" t="str">
        <f>+IFERROR(VLOOKUP(CONCATENATE(A252,$D$10,D252),'ID1&amp;5'!B:J,9,FALSE),"-")</f>
        <v>-</v>
      </c>
      <c r="S252" s="82" t="str">
        <f>+IFERROR(VLOOKUP(E252,'ID1&amp;5'!K:L,2,FALSE),"-")</f>
        <v>-</v>
      </c>
      <c r="T252" s="83" t="str">
        <f>+IFERROR(VLOOKUP(CONCATENATE(A252,$E$10,E252),'ID1&amp;5'!B:J,9,FALSE),"-")</f>
        <v>-</v>
      </c>
      <c r="U252" s="82" t="str">
        <f>+IFERROR(VLOOKUP(F252,'ID1&amp;5'!K:L,2,FALSE),"-")</f>
        <v>-</v>
      </c>
      <c r="V252" s="83" t="str">
        <f>+IFERROR(VLOOKUP(CONCATENATE(A252,$F$10,F252),'ID1&amp;5'!B:J,9,FALSE),"-")</f>
        <v>-</v>
      </c>
      <c r="W252" s="26" t="str">
        <f>+IFERROR(VLOOKUP(A252,'ID6&amp;7'!A:I,9,FALSE),"-")</f>
        <v>-</v>
      </c>
      <c r="X252" s="26" t="str">
        <f>+IFERROR(VLOOKUP(A252,'ID6&amp;7'!A:J,10,FALSE),"-")</f>
        <v>-</v>
      </c>
      <c r="Y252" s="26"/>
      <c r="Z252" s="27" t="str">
        <f t="shared" si="9"/>
        <v>Por iniciar</v>
      </c>
    </row>
    <row r="253" spans="1:26">
      <c r="A253" s="20" t="str">
        <f t="shared" si="8"/>
        <v>INSTRUMENTSYNDCTN_TYP45596</v>
      </c>
      <c r="B253" s="66"/>
      <c r="C253" s="60"/>
      <c r="D253" s="60"/>
      <c r="E253" s="60"/>
      <c r="F253" s="67"/>
      <c r="G253" s="60"/>
      <c r="H253" s="65" t="s">
        <v>126</v>
      </c>
      <c r="I253" s="21" t="s">
        <v>533</v>
      </c>
      <c r="J253" s="26">
        <f>+COUNTIF('ID1&amp;5'!G:G,'1. Status'!I253)</f>
        <v>0</v>
      </c>
      <c r="K253" s="83" t="str">
        <f>+IFERROR(VLOOKUP(CONCATENATE(A253,$B$10,B253),'ID1&amp;5'!B:J,8,FALSE),"-")</f>
        <v>-</v>
      </c>
      <c r="L253" s="82" t="str">
        <f>+IFERROR(VLOOKUP(B253,'ID1&amp;5'!K:L,2,FALSE),"-")</f>
        <v>-</v>
      </c>
      <c r="M253" s="83" t="str">
        <f>+IFERROR(VLOOKUP(CONCATENATE(A253,$B$10,B253),'ID1&amp;5'!B:J,9,FALSE),"-")</f>
        <v>-</v>
      </c>
      <c r="N253" s="83" t="str">
        <f>+IFERROR(VLOOKUP(CONCATENATE(A253,$C$10,C253),'ID1&amp;5'!B:J,8,FALSE),"-")</f>
        <v>-</v>
      </c>
      <c r="O253" s="82" t="str">
        <f>+IFERROR(VLOOKUP(C253,'ID1&amp;5'!K:L,2,FALSE),"-")</f>
        <v>-</v>
      </c>
      <c r="P253" s="83" t="str">
        <f>+IFERROR(VLOOKUP(CONCATENATE(A253,$C$10,C253),'ID1&amp;5'!B:J,9,FALSE),"-")</f>
        <v>-</v>
      </c>
      <c r="Q253" s="82" t="str">
        <f>+IFERROR(VLOOKUP(D253,'ID1&amp;5'!K:L,2,FALSE),"-")</f>
        <v>-</v>
      </c>
      <c r="R253" s="26" t="str">
        <f>+IFERROR(VLOOKUP(CONCATENATE(A253,$D$10,D253),'ID1&amp;5'!B:J,9,FALSE),"-")</f>
        <v>-</v>
      </c>
      <c r="S253" s="82" t="str">
        <f>+IFERROR(VLOOKUP(E253,'ID1&amp;5'!K:L,2,FALSE),"-")</f>
        <v>-</v>
      </c>
      <c r="T253" s="83" t="str">
        <f>+IFERROR(VLOOKUP(CONCATENATE(A253,$E$10,E253),'ID1&amp;5'!B:J,9,FALSE),"-")</f>
        <v>-</v>
      </c>
      <c r="U253" s="82" t="str">
        <f>+IFERROR(VLOOKUP(F253,'ID1&amp;5'!K:L,2,FALSE),"-")</f>
        <v>-</v>
      </c>
      <c r="V253" s="83" t="str">
        <f>+IFERROR(VLOOKUP(CONCATENATE(A253,$F$10,F253),'ID1&amp;5'!B:J,9,FALSE),"-")</f>
        <v>-</v>
      </c>
      <c r="W253" s="26" t="str">
        <f>+IFERROR(VLOOKUP(A253,'ID6&amp;7'!A:I,9,FALSE),"-")</f>
        <v>-</v>
      </c>
      <c r="X253" s="26" t="str">
        <f>+IFERROR(VLOOKUP(A253,'ID6&amp;7'!A:J,10,FALSE),"-")</f>
        <v>-</v>
      </c>
      <c r="Y253" s="26"/>
      <c r="Z253" s="27" t="str">
        <f t="shared" si="9"/>
        <v>Por iniciar</v>
      </c>
    </row>
    <row r="254" spans="1:26">
      <c r="A254" s="20" t="str">
        <f t="shared" si="8"/>
        <v>INSTRUMENTEBA_CMPLNT_MRTR_ST_C1945596</v>
      </c>
      <c r="B254" s="66"/>
      <c r="C254" s="60"/>
      <c r="D254" s="60"/>
      <c r="E254" s="60"/>
      <c r="F254" s="67"/>
      <c r="G254" s="60"/>
      <c r="H254" s="65" t="s">
        <v>126</v>
      </c>
      <c r="I254" s="21" t="s">
        <v>534</v>
      </c>
      <c r="J254" s="26">
        <f>+COUNTIF('ID1&amp;5'!G:G,'1. Status'!I254)</f>
        <v>0</v>
      </c>
      <c r="K254" s="83" t="str">
        <f>+IFERROR(VLOOKUP(CONCATENATE(A254,$B$10,B254),'ID1&amp;5'!B:J,8,FALSE),"-")</f>
        <v>-</v>
      </c>
      <c r="L254" s="82" t="str">
        <f>+IFERROR(VLOOKUP(B254,'ID1&amp;5'!K:L,2,FALSE),"-")</f>
        <v>-</v>
      </c>
      <c r="M254" s="83" t="str">
        <f>+IFERROR(VLOOKUP(CONCATENATE(A254,$B$10,B254),'ID1&amp;5'!B:J,9,FALSE),"-")</f>
        <v>-</v>
      </c>
      <c r="N254" s="83" t="str">
        <f>+IFERROR(VLOOKUP(CONCATENATE(A254,$C$10,C254),'ID1&amp;5'!B:J,8,FALSE),"-")</f>
        <v>-</v>
      </c>
      <c r="O254" s="82" t="str">
        <f>+IFERROR(VLOOKUP(C254,'ID1&amp;5'!K:L,2,FALSE),"-")</f>
        <v>-</v>
      </c>
      <c r="P254" s="83" t="str">
        <f>+IFERROR(VLOOKUP(CONCATENATE(A254,$C$10,C254),'ID1&amp;5'!B:J,9,FALSE),"-")</f>
        <v>-</v>
      </c>
      <c r="Q254" s="82" t="str">
        <f>+IFERROR(VLOOKUP(D254,'ID1&amp;5'!K:L,2,FALSE),"-")</f>
        <v>-</v>
      </c>
      <c r="R254" s="26" t="str">
        <f>+IFERROR(VLOOKUP(CONCATENATE(A254,$D$10,D254),'ID1&amp;5'!B:J,9,FALSE),"-")</f>
        <v>-</v>
      </c>
      <c r="S254" s="82" t="str">
        <f>+IFERROR(VLOOKUP(E254,'ID1&amp;5'!K:L,2,FALSE),"-")</f>
        <v>-</v>
      </c>
      <c r="T254" s="83" t="str">
        <f>+IFERROR(VLOOKUP(CONCATENATE(A254,$E$10,E254),'ID1&amp;5'!B:J,9,FALSE),"-")</f>
        <v>-</v>
      </c>
      <c r="U254" s="82" t="str">
        <f>+IFERROR(VLOOKUP(F254,'ID1&amp;5'!K:L,2,FALSE),"-")</f>
        <v>-</v>
      </c>
      <c r="V254" s="83" t="str">
        <f>+IFERROR(VLOOKUP(CONCATENATE(A254,$F$10,F254),'ID1&amp;5'!B:J,9,FALSE),"-")</f>
        <v>-</v>
      </c>
      <c r="W254" s="26" t="str">
        <f>+IFERROR(VLOOKUP(A254,'ID6&amp;7'!A:I,9,FALSE),"-")</f>
        <v>-</v>
      </c>
      <c r="X254" s="26" t="str">
        <f>+IFERROR(VLOOKUP(A254,'ID6&amp;7'!A:J,10,FALSE),"-")</f>
        <v>-</v>
      </c>
      <c r="Y254" s="26"/>
      <c r="Z254" s="27" t="str">
        <f t="shared" si="9"/>
        <v>Por iniciar</v>
      </c>
    </row>
    <row r="255" spans="1:26">
      <c r="A255" s="20" t="str">
        <f t="shared" si="8"/>
        <v>INSTRUMENTDT_CMPLNT_MRTR_STTS_C1945596</v>
      </c>
      <c r="B255" s="66"/>
      <c r="C255" s="60"/>
      <c r="D255" s="60"/>
      <c r="E255" s="60"/>
      <c r="F255" s="67"/>
      <c r="G255" s="60"/>
      <c r="H255" s="65" t="s">
        <v>126</v>
      </c>
      <c r="I255" s="21" t="s">
        <v>535</v>
      </c>
      <c r="J255" s="26">
        <f>+COUNTIF('ID1&amp;5'!G:G,'1. Status'!I255)</f>
        <v>0</v>
      </c>
      <c r="K255" s="83" t="str">
        <f>+IFERROR(VLOOKUP(CONCATENATE(A255,$B$10,B255),'ID1&amp;5'!B:J,8,FALSE),"-")</f>
        <v>-</v>
      </c>
      <c r="L255" s="82" t="str">
        <f>+IFERROR(VLOOKUP(B255,'ID1&amp;5'!K:L,2,FALSE),"-")</f>
        <v>-</v>
      </c>
      <c r="M255" s="83" t="str">
        <f>+IFERROR(VLOOKUP(CONCATENATE(A255,$B$10,B255),'ID1&amp;5'!B:J,9,FALSE),"-")</f>
        <v>-</v>
      </c>
      <c r="N255" s="83" t="str">
        <f>+IFERROR(VLOOKUP(CONCATENATE(A255,$C$10,C255),'ID1&amp;5'!B:J,8,FALSE),"-")</f>
        <v>-</v>
      </c>
      <c r="O255" s="82" t="str">
        <f>+IFERROR(VLOOKUP(C255,'ID1&amp;5'!K:L,2,FALSE),"-")</f>
        <v>-</v>
      </c>
      <c r="P255" s="83" t="str">
        <f>+IFERROR(VLOOKUP(CONCATENATE(A255,$C$10,C255),'ID1&amp;5'!B:J,9,FALSE),"-")</f>
        <v>-</v>
      </c>
      <c r="Q255" s="82" t="str">
        <f>+IFERROR(VLOOKUP(D255,'ID1&amp;5'!K:L,2,FALSE),"-")</f>
        <v>-</v>
      </c>
      <c r="R255" s="26" t="str">
        <f>+IFERROR(VLOOKUP(CONCATENATE(A255,$D$10,D255),'ID1&amp;5'!B:J,9,FALSE),"-")</f>
        <v>-</v>
      </c>
      <c r="S255" s="82" t="str">
        <f>+IFERROR(VLOOKUP(E255,'ID1&amp;5'!K:L,2,FALSE),"-")</f>
        <v>-</v>
      </c>
      <c r="T255" s="83" t="str">
        <f>+IFERROR(VLOOKUP(CONCATENATE(A255,$E$10,E255),'ID1&amp;5'!B:J,9,FALSE),"-")</f>
        <v>-</v>
      </c>
      <c r="U255" s="82" t="str">
        <f>+IFERROR(VLOOKUP(F255,'ID1&amp;5'!K:L,2,FALSE),"-")</f>
        <v>-</v>
      </c>
      <c r="V255" s="83" t="str">
        <f>+IFERROR(VLOOKUP(CONCATENATE(A255,$F$10,F255),'ID1&amp;5'!B:J,9,FALSE),"-")</f>
        <v>-</v>
      </c>
      <c r="W255" s="26" t="str">
        <f>+IFERROR(VLOOKUP(A255,'ID6&amp;7'!A:I,9,FALSE),"-")</f>
        <v>-</v>
      </c>
      <c r="X255" s="26" t="str">
        <f>+IFERROR(VLOOKUP(A255,'ID6&amp;7'!A:J,10,FALSE),"-")</f>
        <v>-</v>
      </c>
      <c r="Y255" s="26"/>
      <c r="Z255" s="27" t="str">
        <f t="shared" si="9"/>
        <v>Por iniciar</v>
      </c>
    </row>
    <row r="256" spans="1:26">
      <c r="A256" s="20" t="str">
        <f t="shared" si="8"/>
        <v>INSTRUMENTDT_CMPLNT_MRTR_STTS_PRVS_C1945596</v>
      </c>
      <c r="B256" s="66"/>
      <c r="C256" s="60"/>
      <c r="D256" s="60"/>
      <c r="E256" s="60"/>
      <c r="F256" s="67"/>
      <c r="G256" s="60"/>
      <c r="H256" s="65" t="s">
        <v>126</v>
      </c>
      <c r="I256" s="21" t="s">
        <v>536</v>
      </c>
      <c r="J256" s="26">
        <f>+COUNTIF('ID1&amp;5'!G:G,'1. Status'!I256)</f>
        <v>0</v>
      </c>
      <c r="K256" s="83" t="str">
        <f>+IFERROR(VLOOKUP(CONCATENATE(A256,$B$10,B256),'ID1&amp;5'!B:J,8,FALSE),"-")</f>
        <v>-</v>
      </c>
      <c r="L256" s="82" t="str">
        <f>+IFERROR(VLOOKUP(B256,'ID1&amp;5'!K:L,2,FALSE),"-")</f>
        <v>-</v>
      </c>
      <c r="M256" s="83" t="str">
        <f>+IFERROR(VLOOKUP(CONCATENATE(A256,$B$10,B256),'ID1&amp;5'!B:J,9,FALSE),"-")</f>
        <v>-</v>
      </c>
      <c r="N256" s="83" t="str">
        <f>+IFERROR(VLOOKUP(CONCATENATE(A256,$C$10,C256),'ID1&amp;5'!B:J,8,FALSE),"-")</f>
        <v>-</v>
      </c>
      <c r="O256" s="82" t="str">
        <f>+IFERROR(VLOOKUP(C256,'ID1&amp;5'!K:L,2,FALSE),"-")</f>
        <v>-</v>
      </c>
      <c r="P256" s="83" t="str">
        <f>+IFERROR(VLOOKUP(CONCATENATE(A256,$C$10,C256),'ID1&amp;5'!B:J,9,FALSE),"-")</f>
        <v>-</v>
      </c>
      <c r="Q256" s="82" t="str">
        <f>+IFERROR(VLOOKUP(D256,'ID1&amp;5'!K:L,2,FALSE),"-")</f>
        <v>-</v>
      </c>
      <c r="R256" s="26" t="str">
        <f>+IFERROR(VLOOKUP(CONCATENATE(A256,$D$10,D256),'ID1&amp;5'!B:J,9,FALSE),"-")</f>
        <v>-</v>
      </c>
      <c r="S256" s="82" t="str">
        <f>+IFERROR(VLOOKUP(E256,'ID1&amp;5'!K:L,2,FALSE),"-")</f>
        <v>-</v>
      </c>
      <c r="T256" s="83" t="str">
        <f>+IFERROR(VLOOKUP(CONCATENATE(A256,$E$10,E256),'ID1&amp;5'!B:J,9,FALSE),"-")</f>
        <v>-</v>
      </c>
      <c r="U256" s="82" t="str">
        <f>+IFERROR(VLOOKUP(F256,'ID1&amp;5'!K:L,2,FALSE),"-")</f>
        <v>-</v>
      </c>
      <c r="V256" s="83" t="str">
        <f>+IFERROR(VLOOKUP(CONCATENATE(A256,$F$10,F256),'ID1&amp;5'!B:J,9,FALSE),"-")</f>
        <v>-</v>
      </c>
      <c r="W256" s="26" t="str">
        <f>+IFERROR(VLOOKUP(A256,'ID6&amp;7'!A:I,9,FALSE),"-")</f>
        <v>-</v>
      </c>
      <c r="X256" s="26" t="str">
        <f>+IFERROR(VLOOKUP(A256,'ID6&amp;7'!A:J,10,FALSE),"-")</f>
        <v>-</v>
      </c>
      <c r="Y256" s="26"/>
      <c r="Z256" s="27" t="str">
        <f t="shared" si="9"/>
        <v>Por iniciar</v>
      </c>
    </row>
    <row r="257" spans="1:26">
      <c r="A257" s="20" t="str">
        <f t="shared" si="8"/>
        <v>INSTRUMENTMTRTY_LTST_MRTR_C1945596</v>
      </c>
      <c r="B257" s="66"/>
      <c r="C257" s="60"/>
      <c r="D257" s="60"/>
      <c r="E257" s="60"/>
      <c r="F257" s="67"/>
      <c r="G257" s="60"/>
      <c r="H257" s="65" t="s">
        <v>126</v>
      </c>
      <c r="I257" s="21" t="s">
        <v>537</v>
      </c>
      <c r="J257" s="26">
        <f>+COUNTIF('ID1&amp;5'!G:G,'1. Status'!I257)</f>
        <v>0</v>
      </c>
      <c r="K257" s="83" t="str">
        <f>+IFERROR(VLOOKUP(CONCATENATE(A257,$B$10,B257),'ID1&amp;5'!B:J,8,FALSE),"-")</f>
        <v>-</v>
      </c>
      <c r="L257" s="82" t="str">
        <f>+IFERROR(VLOOKUP(B257,'ID1&amp;5'!K:L,2,FALSE),"-")</f>
        <v>-</v>
      </c>
      <c r="M257" s="83" t="str">
        <f>+IFERROR(VLOOKUP(CONCATENATE(A257,$B$10,B257),'ID1&amp;5'!B:J,9,FALSE),"-")</f>
        <v>-</v>
      </c>
      <c r="N257" s="83" t="str">
        <f>+IFERROR(VLOOKUP(CONCATENATE(A257,$C$10,C257),'ID1&amp;5'!B:J,8,FALSE),"-")</f>
        <v>-</v>
      </c>
      <c r="O257" s="82" t="str">
        <f>+IFERROR(VLOOKUP(C257,'ID1&amp;5'!K:L,2,FALSE),"-")</f>
        <v>-</v>
      </c>
      <c r="P257" s="83" t="str">
        <f>+IFERROR(VLOOKUP(CONCATENATE(A257,$C$10,C257),'ID1&amp;5'!B:J,9,FALSE),"-")</f>
        <v>-</v>
      </c>
      <c r="Q257" s="82" t="str">
        <f>+IFERROR(VLOOKUP(D257,'ID1&amp;5'!K:L,2,FALSE),"-")</f>
        <v>-</v>
      </c>
      <c r="R257" s="26" t="str">
        <f>+IFERROR(VLOOKUP(CONCATENATE(A257,$D$10,D257),'ID1&amp;5'!B:J,9,FALSE),"-")</f>
        <v>-</v>
      </c>
      <c r="S257" s="82" t="str">
        <f>+IFERROR(VLOOKUP(E257,'ID1&amp;5'!K:L,2,FALSE),"-")</f>
        <v>-</v>
      </c>
      <c r="T257" s="83" t="str">
        <f>+IFERROR(VLOOKUP(CONCATENATE(A257,$E$10,E257),'ID1&amp;5'!B:J,9,FALSE),"-")</f>
        <v>-</v>
      </c>
      <c r="U257" s="82" t="str">
        <f>+IFERROR(VLOOKUP(F257,'ID1&amp;5'!K:L,2,FALSE),"-")</f>
        <v>-</v>
      </c>
      <c r="V257" s="83" t="str">
        <f>+IFERROR(VLOOKUP(CONCATENATE(A257,$F$10,F257),'ID1&amp;5'!B:J,9,FALSE),"-")</f>
        <v>-</v>
      </c>
      <c r="W257" s="26" t="str">
        <f>+IFERROR(VLOOKUP(A257,'ID6&amp;7'!A:I,9,FALSE),"-")</f>
        <v>-</v>
      </c>
      <c r="X257" s="26" t="str">
        <f>+IFERROR(VLOOKUP(A257,'ID6&amp;7'!A:J,10,FALSE),"-")</f>
        <v>-</v>
      </c>
      <c r="Y257" s="26"/>
      <c r="Z257" s="27" t="str">
        <f t="shared" si="9"/>
        <v>Por iniciar</v>
      </c>
    </row>
    <row r="258" spans="1:26">
      <c r="A258" s="20" t="str">
        <f t="shared" si="8"/>
        <v>INSTRUMENTTYP_CMPLNT_MRTR_C1945596</v>
      </c>
      <c r="B258" s="66"/>
      <c r="C258" s="60"/>
      <c r="D258" s="60"/>
      <c r="E258" s="60"/>
      <c r="F258" s="67"/>
      <c r="G258" s="60"/>
      <c r="H258" s="65" t="s">
        <v>126</v>
      </c>
      <c r="I258" s="21" t="s">
        <v>538</v>
      </c>
      <c r="J258" s="26">
        <f>+COUNTIF('ID1&amp;5'!G:G,'1. Status'!I258)</f>
        <v>0</v>
      </c>
      <c r="K258" s="83" t="str">
        <f>+IFERROR(VLOOKUP(CONCATENATE(A258,$B$10,B258),'ID1&amp;5'!B:J,8,FALSE),"-")</f>
        <v>-</v>
      </c>
      <c r="L258" s="82" t="str">
        <f>+IFERROR(VLOOKUP(B258,'ID1&amp;5'!K:L,2,FALSE),"-")</f>
        <v>-</v>
      </c>
      <c r="M258" s="83" t="str">
        <f>+IFERROR(VLOOKUP(CONCATENATE(A258,$B$10,B258),'ID1&amp;5'!B:J,9,FALSE),"-")</f>
        <v>-</v>
      </c>
      <c r="N258" s="83" t="str">
        <f>+IFERROR(VLOOKUP(CONCATENATE(A258,$C$10,C258),'ID1&amp;5'!B:J,8,FALSE),"-")</f>
        <v>-</v>
      </c>
      <c r="O258" s="82" t="str">
        <f>+IFERROR(VLOOKUP(C258,'ID1&amp;5'!K:L,2,FALSE),"-")</f>
        <v>-</v>
      </c>
      <c r="P258" s="83" t="str">
        <f>+IFERROR(VLOOKUP(CONCATENATE(A258,$C$10,C258),'ID1&amp;5'!B:J,9,FALSE),"-")</f>
        <v>-</v>
      </c>
      <c r="Q258" s="82" t="str">
        <f>+IFERROR(VLOOKUP(D258,'ID1&amp;5'!K:L,2,FALSE),"-")</f>
        <v>-</v>
      </c>
      <c r="R258" s="26" t="str">
        <f>+IFERROR(VLOOKUP(CONCATENATE(A258,$D$10,D258),'ID1&amp;5'!B:J,9,FALSE),"-")</f>
        <v>-</v>
      </c>
      <c r="S258" s="82" t="str">
        <f>+IFERROR(VLOOKUP(E258,'ID1&amp;5'!K:L,2,FALSE),"-")</f>
        <v>-</v>
      </c>
      <c r="T258" s="83" t="str">
        <f>+IFERROR(VLOOKUP(CONCATENATE(A258,$E$10,E258),'ID1&amp;5'!B:J,9,FALSE),"-")</f>
        <v>-</v>
      </c>
      <c r="U258" s="82" t="str">
        <f>+IFERROR(VLOOKUP(F258,'ID1&amp;5'!K:L,2,FALSE),"-")</f>
        <v>-</v>
      </c>
      <c r="V258" s="83" t="str">
        <f>+IFERROR(VLOOKUP(CONCATENATE(A258,$F$10,F258),'ID1&amp;5'!B:J,9,FALSE),"-")</f>
        <v>-</v>
      </c>
      <c r="W258" s="26" t="str">
        <f>+IFERROR(VLOOKUP(A258,'ID6&amp;7'!A:I,9,FALSE),"-")</f>
        <v>-</v>
      </c>
      <c r="X258" s="26" t="str">
        <f>+IFERROR(VLOOKUP(A258,'ID6&amp;7'!A:J,10,FALSE),"-")</f>
        <v>-</v>
      </c>
      <c r="Y258" s="26"/>
      <c r="Z258" s="27" t="str">
        <f t="shared" si="9"/>
        <v>Por iniciar</v>
      </c>
    </row>
    <row r="259" spans="1:26">
      <c r="A259" s="20" t="str">
        <f t="shared" si="8"/>
        <v>INSTRUMENTGRC_PRD_CPTL_INTRST_C1945596</v>
      </c>
      <c r="B259" s="66"/>
      <c r="C259" s="60"/>
      <c r="D259" s="60"/>
      <c r="E259" s="60"/>
      <c r="F259" s="67"/>
      <c r="G259" s="60"/>
      <c r="H259" s="65" t="s">
        <v>126</v>
      </c>
      <c r="I259" s="21" t="s">
        <v>539</v>
      </c>
      <c r="J259" s="26">
        <f>+COUNTIF('ID1&amp;5'!G:G,'1. Status'!I259)</f>
        <v>0</v>
      </c>
      <c r="K259" s="83" t="str">
        <f>+IFERROR(VLOOKUP(CONCATENATE(A259,$B$10,B259),'ID1&amp;5'!B:J,8,FALSE),"-")</f>
        <v>-</v>
      </c>
      <c r="L259" s="82" t="str">
        <f>+IFERROR(VLOOKUP(B259,'ID1&amp;5'!K:L,2,FALSE),"-")</f>
        <v>-</v>
      </c>
      <c r="M259" s="83" t="str">
        <f>+IFERROR(VLOOKUP(CONCATENATE(A259,$B$10,B259),'ID1&amp;5'!B:J,9,FALSE),"-")</f>
        <v>-</v>
      </c>
      <c r="N259" s="83" t="str">
        <f>+IFERROR(VLOOKUP(CONCATENATE(A259,$C$10,C259),'ID1&amp;5'!B:J,8,FALSE),"-")</f>
        <v>-</v>
      </c>
      <c r="O259" s="82" t="str">
        <f>+IFERROR(VLOOKUP(C259,'ID1&amp;5'!K:L,2,FALSE),"-")</f>
        <v>-</v>
      </c>
      <c r="P259" s="83" t="str">
        <f>+IFERROR(VLOOKUP(CONCATENATE(A259,$C$10,C259),'ID1&amp;5'!B:J,9,FALSE),"-")</f>
        <v>-</v>
      </c>
      <c r="Q259" s="82" t="str">
        <f>+IFERROR(VLOOKUP(D259,'ID1&amp;5'!K:L,2,FALSE),"-")</f>
        <v>-</v>
      </c>
      <c r="R259" s="26" t="str">
        <f>+IFERROR(VLOOKUP(CONCATENATE(A259,$D$10,D259),'ID1&amp;5'!B:J,9,FALSE),"-")</f>
        <v>-</v>
      </c>
      <c r="S259" s="82" t="str">
        <f>+IFERROR(VLOOKUP(E259,'ID1&amp;5'!K:L,2,FALSE),"-")</f>
        <v>-</v>
      </c>
      <c r="T259" s="83" t="str">
        <f>+IFERROR(VLOOKUP(CONCATENATE(A259,$E$10,E259),'ID1&amp;5'!B:J,9,FALSE),"-")</f>
        <v>-</v>
      </c>
      <c r="U259" s="82" t="str">
        <f>+IFERROR(VLOOKUP(F259,'ID1&amp;5'!K:L,2,FALSE),"-")</f>
        <v>-</v>
      </c>
      <c r="V259" s="83" t="str">
        <f>+IFERROR(VLOOKUP(CONCATENATE(A259,$F$10,F259),'ID1&amp;5'!B:J,9,FALSE),"-")</f>
        <v>-</v>
      </c>
      <c r="W259" s="26" t="str">
        <f>+IFERROR(VLOOKUP(A259,'ID6&amp;7'!A:I,9,FALSE),"-")</f>
        <v>-</v>
      </c>
      <c r="X259" s="26" t="str">
        <f>+IFERROR(VLOOKUP(A259,'ID6&amp;7'!A:J,10,FALSE),"-")</f>
        <v>-</v>
      </c>
      <c r="Y259" s="26"/>
      <c r="Z259" s="27" t="str">
        <f t="shared" si="9"/>
        <v>Por iniciar</v>
      </c>
    </row>
    <row r="260" spans="1:26">
      <c r="A260" s="20" t="str">
        <f t="shared" si="8"/>
        <v>INSTRUMENTCMPLNT_MRTR_C19_NM45596</v>
      </c>
      <c r="B260" s="66"/>
      <c r="C260" s="60"/>
      <c r="D260" s="60"/>
      <c r="E260" s="60"/>
      <c r="F260" s="67"/>
      <c r="G260" s="60"/>
      <c r="H260" s="65" t="s">
        <v>126</v>
      </c>
      <c r="I260" s="21" t="s">
        <v>540</v>
      </c>
      <c r="J260" s="26">
        <f>+COUNTIF('ID1&amp;5'!G:G,'1. Status'!I260)</f>
        <v>0</v>
      </c>
      <c r="K260" s="83" t="str">
        <f>+IFERROR(VLOOKUP(CONCATENATE(A260,$B$10,B260),'ID1&amp;5'!B:J,8,FALSE),"-")</f>
        <v>-</v>
      </c>
      <c r="L260" s="82" t="str">
        <f>+IFERROR(VLOOKUP(B260,'ID1&amp;5'!K:L,2,FALSE),"-")</f>
        <v>-</v>
      </c>
      <c r="M260" s="83" t="str">
        <f>+IFERROR(VLOOKUP(CONCATENATE(A260,$B$10,B260),'ID1&amp;5'!B:J,9,FALSE),"-")</f>
        <v>-</v>
      </c>
      <c r="N260" s="83" t="str">
        <f>+IFERROR(VLOOKUP(CONCATENATE(A260,$C$10,C260),'ID1&amp;5'!B:J,8,FALSE),"-")</f>
        <v>-</v>
      </c>
      <c r="O260" s="82" t="str">
        <f>+IFERROR(VLOOKUP(C260,'ID1&amp;5'!K:L,2,FALSE),"-")</f>
        <v>-</v>
      </c>
      <c r="P260" s="83" t="str">
        <f>+IFERROR(VLOOKUP(CONCATENATE(A260,$C$10,C260),'ID1&amp;5'!B:J,9,FALSE),"-")</f>
        <v>-</v>
      </c>
      <c r="Q260" s="82" t="str">
        <f>+IFERROR(VLOOKUP(D260,'ID1&amp;5'!K:L,2,FALSE),"-")</f>
        <v>-</v>
      </c>
      <c r="R260" s="26" t="str">
        <f>+IFERROR(VLOOKUP(CONCATENATE(A260,$D$10,D260),'ID1&amp;5'!B:J,9,FALSE),"-")</f>
        <v>-</v>
      </c>
      <c r="S260" s="82" t="str">
        <f>+IFERROR(VLOOKUP(E260,'ID1&amp;5'!K:L,2,FALSE),"-")</f>
        <v>-</v>
      </c>
      <c r="T260" s="83" t="str">
        <f>+IFERROR(VLOOKUP(CONCATENATE(A260,$E$10,E260),'ID1&amp;5'!B:J,9,FALSE),"-")</f>
        <v>-</v>
      </c>
      <c r="U260" s="82" t="str">
        <f>+IFERROR(VLOOKUP(F260,'ID1&amp;5'!K:L,2,FALSE),"-")</f>
        <v>-</v>
      </c>
      <c r="V260" s="83" t="str">
        <f>+IFERROR(VLOOKUP(CONCATENATE(A260,$F$10,F260),'ID1&amp;5'!B:J,9,FALSE),"-")</f>
        <v>-</v>
      </c>
      <c r="W260" s="26" t="str">
        <f>+IFERROR(VLOOKUP(A260,'ID6&amp;7'!A:I,9,FALSE),"-")</f>
        <v>-</v>
      </c>
      <c r="X260" s="26" t="str">
        <f>+IFERROR(VLOOKUP(A260,'ID6&amp;7'!A:J,10,FALSE),"-")</f>
        <v>-</v>
      </c>
      <c r="Y260" s="26"/>
      <c r="Z260" s="27" t="str">
        <f t="shared" si="9"/>
        <v>Por iniciar</v>
      </c>
    </row>
    <row r="261" spans="1:26">
      <c r="A261" s="20" t="str">
        <f t="shared" si="8"/>
        <v>INSTRUMENTFRBRNC_STTS_C1945596</v>
      </c>
      <c r="B261" s="66"/>
      <c r="C261" s="60"/>
      <c r="D261" s="60"/>
      <c r="E261" s="60"/>
      <c r="F261" s="67"/>
      <c r="G261" s="60"/>
      <c r="H261" s="65" t="s">
        <v>126</v>
      </c>
      <c r="I261" s="21" t="s">
        <v>541</v>
      </c>
      <c r="J261" s="26">
        <f>+COUNTIF('ID1&amp;5'!G:G,'1. Status'!I261)</f>
        <v>0</v>
      </c>
      <c r="K261" s="83" t="str">
        <f>+IFERROR(VLOOKUP(CONCATENATE(A261,$B$10,B261),'ID1&amp;5'!B:J,8,FALSE),"-")</f>
        <v>-</v>
      </c>
      <c r="L261" s="82" t="str">
        <f>+IFERROR(VLOOKUP(B261,'ID1&amp;5'!K:L,2,FALSE),"-")</f>
        <v>-</v>
      </c>
      <c r="M261" s="83" t="str">
        <f>+IFERROR(VLOOKUP(CONCATENATE(A261,$B$10,B261),'ID1&amp;5'!B:J,9,FALSE),"-")</f>
        <v>-</v>
      </c>
      <c r="N261" s="83" t="str">
        <f>+IFERROR(VLOOKUP(CONCATENATE(A261,$C$10,C261),'ID1&amp;5'!B:J,8,FALSE),"-")</f>
        <v>-</v>
      </c>
      <c r="O261" s="82" t="str">
        <f>+IFERROR(VLOOKUP(C261,'ID1&amp;5'!K:L,2,FALSE),"-")</f>
        <v>-</v>
      </c>
      <c r="P261" s="83" t="str">
        <f>+IFERROR(VLOOKUP(CONCATENATE(A261,$C$10,C261),'ID1&amp;5'!B:J,9,FALSE),"-")</f>
        <v>-</v>
      </c>
      <c r="Q261" s="82" t="str">
        <f>+IFERROR(VLOOKUP(D261,'ID1&amp;5'!K:L,2,FALSE),"-")</f>
        <v>-</v>
      </c>
      <c r="R261" s="26" t="str">
        <f>+IFERROR(VLOOKUP(CONCATENATE(A261,$D$10,D261),'ID1&amp;5'!B:J,9,FALSE),"-")</f>
        <v>-</v>
      </c>
      <c r="S261" s="82" t="str">
        <f>+IFERROR(VLOOKUP(E261,'ID1&amp;5'!K:L,2,FALSE),"-")</f>
        <v>-</v>
      </c>
      <c r="T261" s="83" t="str">
        <f>+IFERROR(VLOOKUP(CONCATENATE(A261,$E$10,E261),'ID1&amp;5'!B:J,9,FALSE),"-")</f>
        <v>-</v>
      </c>
      <c r="U261" s="82" t="str">
        <f>+IFERROR(VLOOKUP(F261,'ID1&amp;5'!K:L,2,FALSE),"-")</f>
        <v>-</v>
      </c>
      <c r="V261" s="83" t="str">
        <f>+IFERROR(VLOOKUP(CONCATENATE(A261,$F$10,F261),'ID1&amp;5'!B:J,9,FALSE),"-")</f>
        <v>-</v>
      </c>
      <c r="W261" s="26" t="str">
        <f>+IFERROR(VLOOKUP(A261,'ID6&amp;7'!A:I,9,FALSE),"-")</f>
        <v>-</v>
      </c>
      <c r="X261" s="26" t="str">
        <f>+IFERROR(VLOOKUP(A261,'ID6&amp;7'!A:J,10,FALSE),"-")</f>
        <v>-</v>
      </c>
      <c r="Y261" s="26"/>
      <c r="Z261" s="27" t="str">
        <f t="shared" si="9"/>
        <v>Por iniciar</v>
      </c>
    </row>
    <row r="262" spans="1:26">
      <c r="A262" s="20" t="str">
        <f t="shared" si="8"/>
        <v>INSTRUMENTDT_FRBRNC_STTS_C1945596</v>
      </c>
      <c r="B262" s="66"/>
      <c r="C262" s="60"/>
      <c r="D262" s="60"/>
      <c r="E262" s="60"/>
      <c r="F262" s="67"/>
      <c r="G262" s="60"/>
      <c r="H262" s="65" t="s">
        <v>126</v>
      </c>
      <c r="I262" s="21" t="s">
        <v>542</v>
      </c>
      <c r="J262" s="26">
        <f>+COUNTIF('ID1&amp;5'!G:G,'1. Status'!I262)</f>
        <v>0</v>
      </c>
      <c r="K262" s="83" t="str">
        <f>+IFERROR(VLOOKUP(CONCATENATE(A262,$B$10,B262),'ID1&amp;5'!B:J,8,FALSE),"-")</f>
        <v>-</v>
      </c>
      <c r="L262" s="82" t="str">
        <f>+IFERROR(VLOOKUP(B262,'ID1&amp;5'!K:L,2,FALSE),"-")</f>
        <v>-</v>
      </c>
      <c r="M262" s="83" t="str">
        <f>+IFERROR(VLOOKUP(CONCATENATE(A262,$B$10,B262),'ID1&amp;5'!B:J,9,FALSE),"-")</f>
        <v>-</v>
      </c>
      <c r="N262" s="83" t="str">
        <f>+IFERROR(VLOOKUP(CONCATENATE(A262,$C$10,C262),'ID1&amp;5'!B:J,8,FALSE),"-")</f>
        <v>-</v>
      </c>
      <c r="O262" s="82" t="str">
        <f>+IFERROR(VLOOKUP(C262,'ID1&amp;5'!K:L,2,FALSE),"-")</f>
        <v>-</v>
      </c>
      <c r="P262" s="83" t="str">
        <f>+IFERROR(VLOOKUP(CONCATENATE(A262,$C$10,C262),'ID1&amp;5'!B:J,9,FALSE),"-")</f>
        <v>-</v>
      </c>
      <c r="Q262" s="82" t="str">
        <f>+IFERROR(VLOOKUP(D262,'ID1&amp;5'!K:L,2,FALSE),"-")</f>
        <v>-</v>
      </c>
      <c r="R262" s="26" t="str">
        <f>+IFERROR(VLOOKUP(CONCATENATE(A262,$D$10,D262),'ID1&amp;5'!B:J,9,FALSE),"-")</f>
        <v>-</v>
      </c>
      <c r="S262" s="82" t="str">
        <f>+IFERROR(VLOOKUP(E262,'ID1&amp;5'!K:L,2,FALSE),"-")</f>
        <v>-</v>
      </c>
      <c r="T262" s="83" t="str">
        <f>+IFERROR(VLOOKUP(CONCATENATE(A262,$E$10,E262),'ID1&amp;5'!B:J,9,FALSE),"-")</f>
        <v>-</v>
      </c>
      <c r="U262" s="82" t="str">
        <f>+IFERROR(VLOOKUP(F262,'ID1&amp;5'!K:L,2,FALSE),"-")</f>
        <v>-</v>
      </c>
      <c r="V262" s="83" t="str">
        <f>+IFERROR(VLOOKUP(CONCATENATE(A262,$F$10,F262),'ID1&amp;5'!B:J,9,FALSE),"-")</f>
        <v>-</v>
      </c>
      <c r="W262" s="26" t="str">
        <f>+IFERROR(VLOOKUP(A262,'ID6&amp;7'!A:I,9,FALSE),"-")</f>
        <v>-</v>
      </c>
      <c r="X262" s="26" t="str">
        <f>+IFERROR(VLOOKUP(A262,'ID6&amp;7'!A:J,10,FALSE),"-")</f>
        <v>-</v>
      </c>
      <c r="Y262" s="26"/>
      <c r="Z262" s="27" t="str">
        <f t="shared" si="9"/>
        <v>Por iniciar</v>
      </c>
    </row>
    <row r="263" spans="1:26">
      <c r="A263" s="20" t="str">
        <f t="shared" si="8"/>
        <v>INSTRUMENTDT_FRBRNC_STTS_PRVS_C1945596</v>
      </c>
      <c r="B263" s="66"/>
      <c r="C263" s="60"/>
      <c r="D263" s="60"/>
      <c r="E263" s="60"/>
      <c r="F263" s="67"/>
      <c r="G263" s="60"/>
      <c r="H263" s="65" t="s">
        <v>126</v>
      </c>
      <c r="I263" s="21" t="s">
        <v>543</v>
      </c>
      <c r="J263" s="26">
        <f>+COUNTIF('ID1&amp;5'!G:G,'1. Status'!I263)</f>
        <v>0</v>
      </c>
      <c r="K263" s="83" t="str">
        <f>+IFERROR(VLOOKUP(CONCATENATE(A263,$B$10,B263),'ID1&amp;5'!B:J,8,FALSE),"-")</f>
        <v>-</v>
      </c>
      <c r="L263" s="82" t="str">
        <f>+IFERROR(VLOOKUP(B263,'ID1&amp;5'!K:L,2,FALSE),"-")</f>
        <v>-</v>
      </c>
      <c r="M263" s="83" t="str">
        <f>+IFERROR(VLOOKUP(CONCATENATE(A263,$B$10,B263),'ID1&amp;5'!B:J,9,FALSE),"-")</f>
        <v>-</v>
      </c>
      <c r="N263" s="83" t="str">
        <f>+IFERROR(VLOOKUP(CONCATENATE(A263,$C$10,C263),'ID1&amp;5'!B:J,8,FALSE),"-")</f>
        <v>-</v>
      </c>
      <c r="O263" s="82" t="str">
        <f>+IFERROR(VLOOKUP(C263,'ID1&amp;5'!K:L,2,FALSE),"-")</f>
        <v>-</v>
      </c>
      <c r="P263" s="83" t="str">
        <f>+IFERROR(VLOOKUP(CONCATENATE(A263,$C$10,C263),'ID1&amp;5'!B:J,9,FALSE),"-")</f>
        <v>-</v>
      </c>
      <c r="Q263" s="82" t="str">
        <f>+IFERROR(VLOOKUP(D263,'ID1&amp;5'!K:L,2,FALSE),"-")</f>
        <v>-</v>
      </c>
      <c r="R263" s="26" t="str">
        <f>+IFERROR(VLOOKUP(CONCATENATE(A263,$D$10,D263),'ID1&amp;5'!B:J,9,FALSE),"-")</f>
        <v>-</v>
      </c>
      <c r="S263" s="82" t="str">
        <f>+IFERROR(VLOOKUP(E263,'ID1&amp;5'!K:L,2,FALSE),"-")</f>
        <v>-</v>
      </c>
      <c r="T263" s="83" t="str">
        <f>+IFERROR(VLOOKUP(CONCATENATE(A263,$E$10,E263),'ID1&amp;5'!B:J,9,FALSE),"-")</f>
        <v>-</v>
      </c>
      <c r="U263" s="82" t="str">
        <f>+IFERROR(VLOOKUP(F263,'ID1&amp;5'!K:L,2,FALSE),"-")</f>
        <v>-</v>
      </c>
      <c r="V263" s="83" t="str">
        <f>+IFERROR(VLOOKUP(CONCATENATE(A263,$F$10,F263),'ID1&amp;5'!B:J,9,FALSE),"-")</f>
        <v>-</v>
      </c>
      <c r="W263" s="26" t="str">
        <f>+IFERROR(VLOOKUP(A263,'ID6&amp;7'!A:I,9,FALSE),"-")</f>
        <v>-</v>
      </c>
      <c r="X263" s="26" t="str">
        <f>+IFERROR(VLOOKUP(A263,'ID6&amp;7'!A:J,10,FALSE),"-")</f>
        <v>-</v>
      </c>
      <c r="Y263" s="26"/>
      <c r="Z263" s="27" t="str">
        <f t="shared" si="9"/>
        <v>Por iniciar</v>
      </c>
    </row>
    <row r="264" spans="1:26">
      <c r="A264" s="20" t="str">
        <f t="shared" si="8"/>
        <v>INSTRUMENTMTRTY_LTST_FRBRNC_MSR_C1945596</v>
      </c>
      <c r="B264" s="66"/>
      <c r="C264" s="60"/>
      <c r="D264" s="60"/>
      <c r="E264" s="60"/>
      <c r="F264" s="67"/>
      <c r="G264" s="60"/>
      <c r="H264" s="65" t="s">
        <v>126</v>
      </c>
      <c r="I264" s="21" t="s">
        <v>544</v>
      </c>
      <c r="J264" s="26">
        <f>+COUNTIF('ID1&amp;5'!G:G,'1. Status'!I264)</f>
        <v>0</v>
      </c>
      <c r="K264" s="83" t="str">
        <f>+IFERROR(VLOOKUP(CONCATENATE(A264,$B$10,B264),'ID1&amp;5'!B:J,8,FALSE),"-")</f>
        <v>-</v>
      </c>
      <c r="L264" s="82" t="str">
        <f>+IFERROR(VLOOKUP(B264,'ID1&amp;5'!K:L,2,FALSE),"-")</f>
        <v>-</v>
      </c>
      <c r="M264" s="83" t="str">
        <f>+IFERROR(VLOOKUP(CONCATENATE(A264,$B$10,B264),'ID1&amp;5'!B:J,9,FALSE),"-")</f>
        <v>-</v>
      </c>
      <c r="N264" s="83" t="str">
        <f>+IFERROR(VLOOKUP(CONCATENATE(A264,$C$10,C264),'ID1&amp;5'!B:J,8,FALSE),"-")</f>
        <v>-</v>
      </c>
      <c r="O264" s="82" t="str">
        <f>+IFERROR(VLOOKUP(C264,'ID1&amp;5'!K:L,2,FALSE),"-")</f>
        <v>-</v>
      </c>
      <c r="P264" s="83" t="str">
        <f>+IFERROR(VLOOKUP(CONCATENATE(A264,$C$10,C264),'ID1&amp;5'!B:J,9,FALSE),"-")</f>
        <v>-</v>
      </c>
      <c r="Q264" s="82" t="str">
        <f>+IFERROR(VLOOKUP(D264,'ID1&amp;5'!K:L,2,FALSE),"-")</f>
        <v>-</v>
      </c>
      <c r="R264" s="26" t="str">
        <f>+IFERROR(VLOOKUP(CONCATENATE(A264,$D$10,D264),'ID1&amp;5'!B:J,9,FALSE),"-")</f>
        <v>-</v>
      </c>
      <c r="S264" s="82" t="str">
        <f>+IFERROR(VLOOKUP(E264,'ID1&amp;5'!K:L,2,FALSE),"-")</f>
        <v>-</v>
      </c>
      <c r="T264" s="83" t="str">
        <f>+IFERROR(VLOOKUP(CONCATENATE(A264,$E$10,E264),'ID1&amp;5'!B:J,9,FALSE),"-")</f>
        <v>-</v>
      </c>
      <c r="U264" s="82" t="str">
        <f>+IFERROR(VLOOKUP(F264,'ID1&amp;5'!K:L,2,FALSE),"-")</f>
        <v>-</v>
      </c>
      <c r="V264" s="83" t="str">
        <f>+IFERROR(VLOOKUP(CONCATENATE(A264,$F$10,F264),'ID1&amp;5'!B:J,9,FALSE),"-")</f>
        <v>-</v>
      </c>
      <c r="W264" s="26" t="str">
        <f>+IFERROR(VLOOKUP(A264,'ID6&amp;7'!A:I,9,FALSE),"-")</f>
        <v>-</v>
      </c>
      <c r="X264" s="26" t="str">
        <f>+IFERROR(VLOOKUP(A264,'ID6&amp;7'!A:J,10,FALSE),"-")</f>
        <v>-</v>
      </c>
      <c r="Y264" s="26"/>
      <c r="Z264" s="27" t="str">
        <f t="shared" si="9"/>
        <v>Por iniciar</v>
      </c>
    </row>
    <row r="265" spans="1:26">
      <c r="A265" s="20" t="str">
        <f t="shared" si="8"/>
        <v>INSTRUMENTDT_END_GP_PPAL_C1945596</v>
      </c>
      <c r="B265" s="66"/>
      <c r="C265" s="60"/>
      <c r="D265" s="60"/>
      <c r="E265" s="60"/>
      <c r="F265" s="67"/>
      <c r="G265" s="60"/>
      <c r="H265" s="65" t="s">
        <v>126</v>
      </c>
      <c r="I265" s="21" t="s">
        <v>545</v>
      </c>
      <c r="J265" s="26">
        <f>+COUNTIF('ID1&amp;5'!G:G,'1. Status'!I265)</f>
        <v>0</v>
      </c>
      <c r="K265" s="83" t="str">
        <f>+IFERROR(VLOOKUP(CONCATENATE(A265,$B$10,B265),'ID1&amp;5'!B:J,8,FALSE),"-")</f>
        <v>-</v>
      </c>
      <c r="L265" s="82" t="str">
        <f>+IFERROR(VLOOKUP(B265,'ID1&amp;5'!K:L,2,FALSE),"-")</f>
        <v>-</v>
      </c>
      <c r="M265" s="83" t="str">
        <f>+IFERROR(VLOOKUP(CONCATENATE(A265,$B$10,B265),'ID1&amp;5'!B:J,9,FALSE),"-")</f>
        <v>-</v>
      </c>
      <c r="N265" s="83" t="str">
        <f>+IFERROR(VLOOKUP(CONCATENATE(A265,$C$10,C265),'ID1&amp;5'!B:J,8,FALSE),"-")</f>
        <v>-</v>
      </c>
      <c r="O265" s="82" t="str">
        <f>+IFERROR(VLOOKUP(C265,'ID1&amp;5'!K:L,2,FALSE),"-")</f>
        <v>-</v>
      </c>
      <c r="P265" s="83" t="str">
        <f>+IFERROR(VLOOKUP(CONCATENATE(A265,$C$10,C265),'ID1&amp;5'!B:J,9,FALSE),"-")</f>
        <v>-</v>
      </c>
      <c r="Q265" s="82" t="str">
        <f>+IFERROR(VLOOKUP(D265,'ID1&amp;5'!K:L,2,FALSE),"-")</f>
        <v>-</v>
      </c>
      <c r="R265" s="26" t="str">
        <f>+IFERROR(VLOOKUP(CONCATENATE(A265,$D$10,D265),'ID1&amp;5'!B:J,9,FALSE),"-")</f>
        <v>-</v>
      </c>
      <c r="S265" s="82" t="str">
        <f>+IFERROR(VLOOKUP(E265,'ID1&amp;5'!K:L,2,FALSE),"-")</f>
        <v>-</v>
      </c>
      <c r="T265" s="83" t="str">
        <f>+IFERROR(VLOOKUP(CONCATENATE(A265,$E$10,E265),'ID1&amp;5'!B:J,9,FALSE),"-")</f>
        <v>-</v>
      </c>
      <c r="U265" s="82" t="str">
        <f>+IFERROR(VLOOKUP(F265,'ID1&amp;5'!K:L,2,FALSE),"-")</f>
        <v>-</v>
      </c>
      <c r="V265" s="83" t="str">
        <f>+IFERROR(VLOOKUP(CONCATENATE(A265,$F$10,F265),'ID1&amp;5'!B:J,9,FALSE),"-")</f>
        <v>-</v>
      </c>
      <c r="W265" s="26" t="str">
        <f>+IFERROR(VLOOKUP(A265,'ID6&amp;7'!A:I,9,FALSE),"-")</f>
        <v>-</v>
      </c>
      <c r="X265" s="26" t="str">
        <f>+IFERROR(VLOOKUP(A265,'ID6&amp;7'!A:J,10,FALSE),"-")</f>
        <v>-</v>
      </c>
      <c r="Y265" s="26"/>
      <c r="Z265" s="27" t="str">
        <f t="shared" si="9"/>
        <v>Por iniciar</v>
      </c>
    </row>
    <row r="266" spans="1:26">
      <c r="A266" s="20" t="str">
        <f t="shared" si="8"/>
        <v>INSTRUMENTDT_END_INTRST_ONLY_C1945596</v>
      </c>
      <c r="B266" s="66"/>
      <c r="C266" s="60"/>
      <c r="D266" s="60"/>
      <c r="E266" s="60"/>
      <c r="F266" s="67"/>
      <c r="G266" s="60"/>
      <c r="H266" s="65" t="s">
        <v>126</v>
      </c>
      <c r="I266" s="21" t="s">
        <v>546</v>
      </c>
      <c r="J266" s="26">
        <f>+COUNTIF('ID1&amp;5'!G:G,'1. Status'!I266)</f>
        <v>0</v>
      </c>
      <c r="K266" s="83" t="str">
        <f>+IFERROR(VLOOKUP(CONCATENATE(A266,$B$10,B266),'ID1&amp;5'!B:J,8,FALSE),"-")</f>
        <v>-</v>
      </c>
      <c r="L266" s="82" t="str">
        <f>+IFERROR(VLOOKUP(B266,'ID1&amp;5'!K:L,2,FALSE),"-")</f>
        <v>-</v>
      </c>
      <c r="M266" s="83" t="str">
        <f>+IFERROR(VLOOKUP(CONCATENATE(A266,$B$10,B266),'ID1&amp;5'!B:J,9,FALSE),"-")</f>
        <v>-</v>
      </c>
      <c r="N266" s="83" t="str">
        <f>+IFERROR(VLOOKUP(CONCATENATE(A266,$C$10,C266),'ID1&amp;5'!B:J,8,FALSE),"-")</f>
        <v>-</v>
      </c>
      <c r="O266" s="82" t="str">
        <f>+IFERROR(VLOOKUP(C266,'ID1&amp;5'!K:L,2,FALSE),"-")</f>
        <v>-</v>
      </c>
      <c r="P266" s="83" t="str">
        <f>+IFERROR(VLOOKUP(CONCATENATE(A266,$C$10,C266),'ID1&amp;5'!B:J,9,FALSE),"-")</f>
        <v>-</v>
      </c>
      <c r="Q266" s="82" t="str">
        <f>+IFERROR(VLOOKUP(D266,'ID1&amp;5'!K:L,2,FALSE),"-")</f>
        <v>-</v>
      </c>
      <c r="R266" s="26" t="str">
        <f>+IFERROR(VLOOKUP(CONCATENATE(A266,$D$10,D266),'ID1&amp;5'!B:J,9,FALSE),"-")</f>
        <v>-</v>
      </c>
      <c r="S266" s="82" t="str">
        <f>+IFERROR(VLOOKUP(E266,'ID1&amp;5'!K:L,2,FALSE),"-")</f>
        <v>-</v>
      </c>
      <c r="T266" s="83" t="str">
        <f>+IFERROR(VLOOKUP(CONCATENATE(A266,$E$10,E266),'ID1&amp;5'!B:J,9,FALSE),"-")</f>
        <v>-</v>
      </c>
      <c r="U266" s="82" t="str">
        <f>+IFERROR(VLOOKUP(F266,'ID1&amp;5'!K:L,2,FALSE),"-")</f>
        <v>-</v>
      </c>
      <c r="V266" s="83" t="str">
        <f>+IFERROR(VLOOKUP(CONCATENATE(A266,$F$10,F266),'ID1&amp;5'!B:J,9,FALSE),"-")</f>
        <v>-</v>
      </c>
      <c r="W266" s="26" t="str">
        <f>+IFERROR(VLOOKUP(A266,'ID6&amp;7'!A:I,9,FALSE),"-")</f>
        <v>-</v>
      </c>
      <c r="X266" s="26" t="str">
        <f>+IFERROR(VLOOKUP(A266,'ID6&amp;7'!A:J,10,FALSE),"-")</f>
        <v>-</v>
      </c>
      <c r="Y266" s="26"/>
      <c r="Z266" s="27" t="str">
        <f t="shared" si="9"/>
        <v>Por iniciar</v>
      </c>
    </row>
    <row r="267" spans="1:26">
      <c r="A267" s="20" t="str">
        <f t="shared" ref="A267:A330" si="10">+H267&amp;I267&amp;$I$8</f>
        <v>INSTRUMENTSBJCT_PBLC_GRNT_SCHM_C1945596</v>
      </c>
      <c r="B267" s="66"/>
      <c r="C267" s="60"/>
      <c r="D267" s="60"/>
      <c r="E267" s="60"/>
      <c r="F267" s="67"/>
      <c r="G267" s="60"/>
      <c r="H267" s="65" t="s">
        <v>126</v>
      </c>
      <c r="I267" s="21" t="s">
        <v>547</v>
      </c>
      <c r="J267" s="26">
        <f>+COUNTIF('ID1&amp;5'!G:G,'1. Status'!I267)</f>
        <v>0</v>
      </c>
      <c r="K267" s="83" t="str">
        <f>+IFERROR(VLOOKUP(CONCATENATE(A267,$B$10,B267),'ID1&amp;5'!B:J,8,FALSE),"-")</f>
        <v>-</v>
      </c>
      <c r="L267" s="82" t="str">
        <f>+IFERROR(VLOOKUP(B267,'ID1&amp;5'!K:L,2,FALSE),"-")</f>
        <v>-</v>
      </c>
      <c r="M267" s="83" t="str">
        <f>+IFERROR(VLOOKUP(CONCATENATE(A267,$B$10,B267),'ID1&amp;5'!B:J,9,FALSE),"-")</f>
        <v>-</v>
      </c>
      <c r="N267" s="83" t="str">
        <f>+IFERROR(VLOOKUP(CONCATENATE(A267,$C$10,C267),'ID1&amp;5'!B:J,8,FALSE),"-")</f>
        <v>-</v>
      </c>
      <c r="O267" s="82" t="str">
        <f>+IFERROR(VLOOKUP(C267,'ID1&amp;5'!K:L,2,FALSE),"-")</f>
        <v>-</v>
      </c>
      <c r="P267" s="83" t="str">
        <f>+IFERROR(VLOOKUP(CONCATENATE(A267,$C$10,C267),'ID1&amp;5'!B:J,9,FALSE),"-")</f>
        <v>-</v>
      </c>
      <c r="Q267" s="82" t="str">
        <f>+IFERROR(VLOOKUP(D267,'ID1&amp;5'!K:L,2,FALSE),"-")</f>
        <v>-</v>
      </c>
      <c r="R267" s="26" t="str">
        <f>+IFERROR(VLOOKUP(CONCATENATE(A267,$D$10,D267),'ID1&amp;5'!B:J,9,FALSE),"-")</f>
        <v>-</v>
      </c>
      <c r="S267" s="82" t="str">
        <f>+IFERROR(VLOOKUP(E267,'ID1&amp;5'!K:L,2,FALSE),"-")</f>
        <v>-</v>
      </c>
      <c r="T267" s="83" t="str">
        <f>+IFERROR(VLOOKUP(CONCATENATE(A267,$E$10,E267),'ID1&amp;5'!B:J,9,FALSE),"-")</f>
        <v>-</v>
      </c>
      <c r="U267" s="82" t="str">
        <f>+IFERROR(VLOOKUP(F267,'ID1&amp;5'!K:L,2,FALSE),"-")</f>
        <v>-</v>
      </c>
      <c r="V267" s="83" t="str">
        <f>+IFERROR(VLOOKUP(CONCATENATE(A267,$F$10,F267),'ID1&amp;5'!B:J,9,FALSE),"-")</f>
        <v>-</v>
      </c>
      <c r="W267" s="26" t="str">
        <f>+IFERROR(VLOOKUP(A267,'ID6&amp;7'!A:I,9,FALSE),"-")</f>
        <v>-</v>
      </c>
      <c r="X267" s="26" t="str">
        <f>+IFERROR(VLOOKUP(A267,'ID6&amp;7'!A:J,10,FALSE),"-")</f>
        <v>-</v>
      </c>
      <c r="Y267" s="26"/>
      <c r="Z267" s="27" t="str">
        <f t="shared" ref="Z267:Z330" si="11">+IF(J267=0,"Por iniciar",IF(OR(K267="-",M267="-",P267="-",R267="-",T267="-",V267="-"),"Em testes",IF(AND(M267=0,P267=0,R267=0,T267&lt;&gt;K267,V267&lt;&gt;K267),"OK","NOK")))</f>
        <v>Por iniciar</v>
      </c>
    </row>
    <row r="268" spans="1:26">
      <c r="A268" s="20" t="str">
        <f t="shared" si="10"/>
        <v>INSTRUMENTPBLC_GRNT_SCHM_C19_NM45596</v>
      </c>
      <c r="B268" s="66"/>
      <c r="C268" s="60"/>
      <c r="D268" s="60"/>
      <c r="E268" s="60"/>
      <c r="F268" s="67"/>
      <c r="G268" s="60"/>
      <c r="H268" s="65" t="s">
        <v>126</v>
      </c>
      <c r="I268" s="21" t="s">
        <v>548</v>
      </c>
      <c r="J268" s="26">
        <f>+COUNTIF('ID1&amp;5'!G:G,'1. Status'!I268)</f>
        <v>0</v>
      </c>
      <c r="K268" s="83" t="str">
        <f>+IFERROR(VLOOKUP(CONCATENATE(A268,$B$10,B268),'ID1&amp;5'!B:J,8,FALSE),"-")</f>
        <v>-</v>
      </c>
      <c r="L268" s="82" t="str">
        <f>+IFERROR(VLOOKUP(B268,'ID1&amp;5'!K:L,2,FALSE),"-")</f>
        <v>-</v>
      </c>
      <c r="M268" s="83" t="str">
        <f>+IFERROR(VLOOKUP(CONCATENATE(A268,$B$10,B268),'ID1&amp;5'!B:J,9,FALSE),"-")</f>
        <v>-</v>
      </c>
      <c r="N268" s="83" t="str">
        <f>+IFERROR(VLOOKUP(CONCATENATE(A268,$C$10,C268),'ID1&amp;5'!B:J,8,FALSE),"-")</f>
        <v>-</v>
      </c>
      <c r="O268" s="82" t="str">
        <f>+IFERROR(VLOOKUP(C268,'ID1&amp;5'!K:L,2,FALSE),"-")</f>
        <v>-</v>
      </c>
      <c r="P268" s="83" t="str">
        <f>+IFERROR(VLOOKUP(CONCATENATE(A268,$C$10,C268),'ID1&amp;5'!B:J,9,FALSE),"-")</f>
        <v>-</v>
      </c>
      <c r="Q268" s="82" t="str">
        <f>+IFERROR(VLOOKUP(D268,'ID1&amp;5'!K:L,2,FALSE),"-")</f>
        <v>-</v>
      </c>
      <c r="R268" s="26" t="str">
        <f>+IFERROR(VLOOKUP(CONCATENATE(A268,$D$10,D268),'ID1&amp;5'!B:J,9,FALSE),"-")</f>
        <v>-</v>
      </c>
      <c r="S268" s="82" t="str">
        <f>+IFERROR(VLOOKUP(E268,'ID1&amp;5'!K:L,2,FALSE),"-")</f>
        <v>-</v>
      </c>
      <c r="T268" s="83" t="str">
        <f>+IFERROR(VLOOKUP(CONCATENATE(A268,$E$10,E268),'ID1&amp;5'!B:J,9,FALSE),"-")</f>
        <v>-</v>
      </c>
      <c r="U268" s="82" t="str">
        <f>+IFERROR(VLOOKUP(F268,'ID1&amp;5'!K:L,2,FALSE),"-")</f>
        <v>-</v>
      </c>
      <c r="V268" s="83" t="str">
        <f>+IFERROR(VLOOKUP(CONCATENATE(A268,$F$10,F268),'ID1&amp;5'!B:J,9,FALSE),"-")</f>
        <v>-</v>
      </c>
      <c r="W268" s="26" t="str">
        <f>+IFERROR(VLOOKUP(A268,'ID6&amp;7'!A:I,9,FALSE),"-")</f>
        <v>-</v>
      </c>
      <c r="X268" s="26" t="str">
        <f>+IFERROR(VLOOKUP(A268,'ID6&amp;7'!A:J,10,FALSE),"-")</f>
        <v>-</v>
      </c>
      <c r="Y268" s="26"/>
      <c r="Z268" s="27" t="str">
        <f t="shared" si="11"/>
        <v>Por iniciar</v>
      </c>
    </row>
    <row r="269" spans="1:26">
      <c r="A269" s="20" t="str">
        <f t="shared" si="10"/>
        <v>INSTRUMENTPMNT_PBLC_GRNT_SCHM_C1945596</v>
      </c>
      <c r="B269" s="66"/>
      <c r="C269" s="60"/>
      <c r="D269" s="60"/>
      <c r="E269" s="60"/>
      <c r="F269" s="67"/>
      <c r="G269" s="60"/>
      <c r="H269" s="65" t="s">
        <v>126</v>
      </c>
      <c r="I269" s="21" t="s">
        <v>549</v>
      </c>
      <c r="J269" s="26">
        <f>+COUNTIF('ID1&amp;5'!G:G,'1. Status'!I269)</f>
        <v>0</v>
      </c>
      <c r="K269" s="83" t="str">
        <f>+IFERROR(VLOOKUP(CONCATENATE(A269,$B$10,B269),'ID1&amp;5'!B:J,8,FALSE),"-")</f>
        <v>-</v>
      </c>
      <c r="L269" s="82" t="str">
        <f>+IFERROR(VLOOKUP(B269,'ID1&amp;5'!K:L,2,FALSE),"-")</f>
        <v>-</v>
      </c>
      <c r="M269" s="83" t="str">
        <f>+IFERROR(VLOOKUP(CONCATENATE(A269,$B$10,B269),'ID1&amp;5'!B:J,9,FALSE),"-")</f>
        <v>-</v>
      </c>
      <c r="N269" s="83" t="str">
        <f>+IFERROR(VLOOKUP(CONCATENATE(A269,$C$10,C269),'ID1&amp;5'!B:J,8,FALSE),"-")</f>
        <v>-</v>
      </c>
      <c r="O269" s="82" t="str">
        <f>+IFERROR(VLOOKUP(C269,'ID1&amp;5'!K:L,2,FALSE),"-")</f>
        <v>-</v>
      </c>
      <c r="P269" s="83" t="str">
        <f>+IFERROR(VLOOKUP(CONCATENATE(A269,$C$10,C269),'ID1&amp;5'!B:J,9,FALSE),"-")</f>
        <v>-</v>
      </c>
      <c r="Q269" s="82" t="str">
        <f>+IFERROR(VLOOKUP(D269,'ID1&amp;5'!K:L,2,FALSE),"-")</f>
        <v>-</v>
      </c>
      <c r="R269" s="26" t="str">
        <f>+IFERROR(VLOOKUP(CONCATENATE(A269,$D$10,D269),'ID1&amp;5'!B:J,9,FALSE),"-")</f>
        <v>-</v>
      </c>
      <c r="S269" s="82" t="str">
        <f>+IFERROR(VLOOKUP(E269,'ID1&amp;5'!K:L,2,FALSE),"-")</f>
        <v>-</v>
      </c>
      <c r="T269" s="83" t="str">
        <f>+IFERROR(VLOOKUP(CONCATENATE(A269,$E$10,E269),'ID1&amp;5'!B:J,9,FALSE),"-")</f>
        <v>-</v>
      </c>
      <c r="U269" s="82" t="str">
        <f>+IFERROR(VLOOKUP(F269,'ID1&amp;5'!K:L,2,FALSE),"-")</f>
        <v>-</v>
      </c>
      <c r="V269" s="83" t="str">
        <f>+IFERROR(VLOOKUP(CONCATENATE(A269,$F$10,F269),'ID1&amp;5'!B:J,9,FALSE),"-")</f>
        <v>-</v>
      </c>
      <c r="W269" s="26" t="str">
        <f>+IFERROR(VLOOKUP(A269,'ID6&amp;7'!A:I,9,FALSE),"-")</f>
        <v>-</v>
      </c>
      <c r="X269" s="26" t="str">
        <f>+IFERROR(VLOOKUP(A269,'ID6&amp;7'!A:J,10,FALSE),"-")</f>
        <v>-</v>
      </c>
      <c r="Y269" s="26"/>
      <c r="Z269" s="27" t="str">
        <f t="shared" si="11"/>
        <v>Por iniciar</v>
      </c>
    </row>
    <row r="270" spans="1:26">
      <c r="A270" s="20" t="str">
        <f t="shared" si="10"/>
        <v>INSTRUMENTASST_SCRT_CLSS45596</v>
      </c>
      <c r="B270" s="66"/>
      <c r="C270" s="60"/>
      <c r="D270" s="60"/>
      <c r="E270" s="60"/>
      <c r="F270" s="67"/>
      <c r="G270" s="60"/>
      <c r="H270" s="65" t="s">
        <v>126</v>
      </c>
      <c r="I270" s="21" t="s">
        <v>550</v>
      </c>
      <c r="J270" s="26">
        <f>+COUNTIF('ID1&amp;5'!G:G,'1. Status'!I270)</f>
        <v>0</v>
      </c>
      <c r="K270" s="83" t="str">
        <f>+IFERROR(VLOOKUP(CONCATENATE(A270,$B$10,B270),'ID1&amp;5'!B:J,8,FALSE),"-")</f>
        <v>-</v>
      </c>
      <c r="L270" s="82" t="str">
        <f>+IFERROR(VLOOKUP(B270,'ID1&amp;5'!K:L,2,FALSE),"-")</f>
        <v>-</v>
      </c>
      <c r="M270" s="83" t="str">
        <f>+IFERROR(VLOOKUP(CONCATENATE(A270,$B$10,B270),'ID1&amp;5'!B:J,9,FALSE),"-")</f>
        <v>-</v>
      </c>
      <c r="N270" s="83" t="str">
        <f>+IFERROR(VLOOKUP(CONCATENATE(A270,$C$10,C270),'ID1&amp;5'!B:J,8,FALSE),"-")</f>
        <v>-</v>
      </c>
      <c r="O270" s="82" t="str">
        <f>+IFERROR(VLOOKUP(C270,'ID1&amp;5'!K:L,2,FALSE),"-")</f>
        <v>-</v>
      </c>
      <c r="P270" s="83" t="str">
        <f>+IFERROR(VLOOKUP(CONCATENATE(A270,$C$10,C270),'ID1&amp;5'!B:J,9,FALSE),"-")</f>
        <v>-</v>
      </c>
      <c r="Q270" s="82" t="str">
        <f>+IFERROR(VLOOKUP(D270,'ID1&amp;5'!K:L,2,FALSE),"-")</f>
        <v>-</v>
      </c>
      <c r="R270" s="26" t="str">
        <f>+IFERROR(VLOOKUP(CONCATENATE(A270,$D$10,D270),'ID1&amp;5'!B:J,9,FALSE),"-")</f>
        <v>-</v>
      </c>
      <c r="S270" s="82" t="str">
        <f>+IFERROR(VLOOKUP(E270,'ID1&amp;5'!K:L,2,FALSE),"-")</f>
        <v>-</v>
      </c>
      <c r="T270" s="83" t="str">
        <f>+IFERROR(VLOOKUP(CONCATENATE(A270,$E$10,E270),'ID1&amp;5'!B:J,9,FALSE),"-")</f>
        <v>-</v>
      </c>
      <c r="U270" s="82" t="str">
        <f>+IFERROR(VLOOKUP(F270,'ID1&amp;5'!K:L,2,FALSE),"-")</f>
        <v>-</v>
      </c>
      <c r="V270" s="83" t="str">
        <f>+IFERROR(VLOOKUP(CONCATENATE(A270,$F$10,F270),'ID1&amp;5'!B:J,9,FALSE),"-")</f>
        <v>-</v>
      </c>
      <c r="W270" s="26" t="str">
        <f>+IFERROR(VLOOKUP(A270,'ID6&amp;7'!A:I,9,FALSE),"-")</f>
        <v>-</v>
      </c>
      <c r="X270" s="26" t="str">
        <f>+IFERROR(VLOOKUP(A270,'ID6&amp;7'!A:J,10,FALSE),"-")</f>
        <v>-</v>
      </c>
      <c r="Y270" s="26"/>
      <c r="Z270" s="27" t="str">
        <f t="shared" si="11"/>
        <v>Por iniciar</v>
      </c>
    </row>
    <row r="271" spans="1:26">
      <c r="A271" s="20" t="str">
        <f t="shared" si="10"/>
        <v>INSTRUMENTCPN_CRRNCY45596</v>
      </c>
      <c r="B271" s="66"/>
      <c r="C271" s="60"/>
      <c r="D271" s="60"/>
      <c r="E271" s="60"/>
      <c r="F271" s="67"/>
      <c r="G271" s="60"/>
      <c r="H271" s="65" t="s">
        <v>126</v>
      </c>
      <c r="I271" s="21" t="s">
        <v>551</v>
      </c>
      <c r="J271" s="26">
        <f>+COUNTIF('ID1&amp;5'!G:G,'1. Status'!I271)</f>
        <v>0</v>
      </c>
      <c r="K271" s="83" t="str">
        <f>+IFERROR(VLOOKUP(CONCATENATE(A271,$B$10,B271),'ID1&amp;5'!B:J,8,FALSE),"-")</f>
        <v>-</v>
      </c>
      <c r="L271" s="82" t="str">
        <f>+IFERROR(VLOOKUP(B271,'ID1&amp;5'!K:L,2,FALSE),"-")</f>
        <v>-</v>
      </c>
      <c r="M271" s="83" t="str">
        <f>+IFERROR(VLOOKUP(CONCATENATE(A271,$B$10,B271),'ID1&amp;5'!B:J,9,FALSE),"-")</f>
        <v>-</v>
      </c>
      <c r="N271" s="83" t="str">
        <f>+IFERROR(VLOOKUP(CONCATENATE(A271,$C$10,C271),'ID1&amp;5'!B:J,8,FALSE),"-")</f>
        <v>-</v>
      </c>
      <c r="O271" s="82" t="str">
        <f>+IFERROR(VLOOKUP(C271,'ID1&amp;5'!K:L,2,FALSE),"-")</f>
        <v>-</v>
      </c>
      <c r="P271" s="83" t="str">
        <f>+IFERROR(VLOOKUP(CONCATENATE(A271,$C$10,C271),'ID1&amp;5'!B:J,9,FALSE),"-")</f>
        <v>-</v>
      </c>
      <c r="Q271" s="82" t="str">
        <f>+IFERROR(VLOOKUP(D271,'ID1&amp;5'!K:L,2,FALSE),"-")</f>
        <v>-</v>
      </c>
      <c r="R271" s="26" t="str">
        <f>+IFERROR(VLOOKUP(CONCATENATE(A271,$D$10,D271),'ID1&amp;5'!B:J,9,FALSE),"-")</f>
        <v>-</v>
      </c>
      <c r="S271" s="82" t="str">
        <f>+IFERROR(VLOOKUP(E271,'ID1&amp;5'!K:L,2,FALSE),"-")</f>
        <v>-</v>
      </c>
      <c r="T271" s="83" t="str">
        <f>+IFERROR(VLOOKUP(CONCATENATE(A271,$E$10,E271),'ID1&amp;5'!B:J,9,FALSE),"-")</f>
        <v>-</v>
      </c>
      <c r="U271" s="82" t="str">
        <f>+IFERROR(VLOOKUP(F271,'ID1&amp;5'!K:L,2,FALSE),"-")</f>
        <v>-</v>
      </c>
      <c r="V271" s="83" t="str">
        <f>+IFERROR(VLOOKUP(CONCATENATE(A271,$F$10,F271),'ID1&amp;5'!B:J,9,FALSE),"-")</f>
        <v>-</v>
      </c>
      <c r="W271" s="26" t="str">
        <f>+IFERROR(VLOOKUP(A271,'ID6&amp;7'!A:I,9,FALSE),"-")</f>
        <v>-</v>
      </c>
      <c r="X271" s="26" t="str">
        <f>+IFERROR(VLOOKUP(A271,'ID6&amp;7'!A:J,10,FALSE),"-")</f>
        <v>-</v>
      </c>
      <c r="Y271" s="26"/>
      <c r="Z271" s="27" t="str">
        <f t="shared" si="11"/>
        <v>Por iniciar</v>
      </c>
    </row>
    <row r="272" spans="1:26">
      <c r="A272" s="20" t="str">
        <f t="shared" si="10"/>
        <v>INSTRUMENTDT_VLTN45596</v>
      </c>
      <c r="B272" s="66"/>
      <c r="C272" s="60"/>
      <c r="D272" s="60"/>
      <c r="E272" s="60"/>
      <c r="F272" s="67"/>
      <c r="G272" s="60"/>
      <c r="H272" s="65" t="s">
        <v>126</v>
      </c>
      <c r="I272" s="21" t="s">
        <v>553</v>
      </c>
      <c r="J272" s="26">
        <f>+COUNTIF('ID1&amp;5'!G:G,'1. Status'!I272)</f>
        <v>0</v>
      </c>
      <c r="K272" s="83" t="str">
        <f>+IFERROR(VLOOKUP(CONCATENATE(A272,$B$10,B272),'ID1&amp;5'!B:J,8,FALSE),"-")</f>
        <v>-</v>
      </c>
      <c r="L272" s="82" t="str">
        <f>+IFERROR(VLOOKUP(B272,'ID1&amp;5'!K:L,2,FALSE),"-")</f>
        <v>-</v>
      </c>
      <c r="M272" s="83" t="str">
        <f>+IFERROR(VLOOKUP(CONCATENATE(A272,$B$10,B272),'ID1&amp;5'!B:J,9,FALSE),"-")</f>
        <v>-</v>
      </c>
      <c r="N272" s="83" t="str">
        <f>+IFERROR(VLOOKUP(CONCATENATE(A272,$C$10,C272),'ID1&amp;5'!B:J,8,FALSE),"-")</f>
        <v>-</v>
      </c>
      <c r="O272" s="82" t="str">
        <f>+IFERROR(VLOOKUP(C272,'ID1&amp;5'!K:L,2,FALSE),"-")</f>
        <v>-</v>
      </c>
      <c r="P272" s="83" t="str">
        <f>+IFERROR(VLOOKUP(CONCATENATE(A272,$C$10,C272),'ID1&amp;5'!B:J,9,FALSE),"-")</f>
        <v>-</v>
      </c>
      <c r="Q272" s="82" t="str">
        <f>+IFERROR(VLOOKUP(D272,'ID1&amp;5'!K:L,2,FALSE),"-")</f>
        <v>-</v>
      </c>
      <c r="R272" s="26" t="str">
        <f>+IFERROR(VLOOKUP(CONCATENATE(A272,$D$10,D272),'ID1&amp;5'!B:J,9,FALSE),"-")</f>
        <v>-</v>
      </c>
      <c r="S272" s="82" t="str">
        <f>+IFERROR(VLOOKUP(E272,'ID1&amp;5'!K:L,2,FALSE),"-")</f>
        <v>-</v>
      </c>
      <c r="T272" s="83" t="str">
        <f>+IFERROR(VLOOKUP(CONCATENATE(A272,$E$10,E272),'ID1&amp;5'!B:J,9,FALSE),"-")</f>
        <v>-</v>
      </c>
      <c r="U272" s="82" t="str">
        <f>+IFERROR(VLOOKUP(F272,'ID1&amp;5'!K:L,2,FALSE),"-")</f>
        <v>-</v>
      </c>
      <c r="V272" s="83" t="str">
        <f>+IFERROR(VLOOKUP(CONCATENATE(A272,$F$10,F272),'ID1&amp;5'!B:J,9,FALSE),"-")</f>
        <v>-</v>
      </c>
      <c r="W272" s="26" t="str">
        <f>+IFERROR(VLOOKUP(A272,'ID6&amp;7'!A:I,9,FALSE),"-")</f>
        <v>-</v>
      </c>
      <c r="X272" s="26" t="str">
        <f>+IFERROR(VLOOKUP(A272,'ID6&amp;7'!A:J,10,FALSE),"-")</f>
        <v>-</v>
      </c>
      <c r="Y272" s="26"/>
      <c r="Z272" s="27" t="str">
        <f t="shared" si="11"/>
        <v>Por iniciar</v>
      </c>
    </row>
    <row r="273" spans="1:26">
      <c r="A273" s="20" t="str">
        <f t="shared" si="10"/>
        <v>INSTRUMENTELGBLTY_ECB45596</v>
      </c>
      <c r="B273" s="66"/>
      <c r="C273" s="60"/>
      <c r="D273" s="60"/>
      <c r="E273" s="60"/>
      <c r="F273" s="67"/>
      <c r="G273" s="60"/>
      <c r="H273" s="65" t="s">
        <v>126</v>
      </c>
      <c r="I273" s="21" t="s">
        <v>554</v>
      </c>
      <c r="J273" s="26">
        <f>+COUNTIF('ID1&amp;5'!G:G,'1. Status'!I273)</f>
        <v>0</v>
      </c>
      <c r="K273" s="83" t="str">
        <f>+IFERROR(VLOOKUP(CONCATENATE(A273,$B$10,B273),'ID1&amp;5'!B:J,8,FALSE),"-")</f>
        <v>-</v>
      </c>
      <c r="L273" s="82" t="str">
        <f>+IFERROR(VLOOKUP(B273,'ID1&amp;5'!K:L,2,FALSE),"-")</f>
        <v>-</v>
      </c>
      <c r="M273" s="83" t="str">
        <f>+IFERROR(VLOOKUP(CONCATENATE(A273,$B$10,B273),'ID1&amp;5'!B:J,9,FALSE),"-")</f>
        <v>-</v>
      </c>
      <c r="N273" s="83" t="str">
        <f>+IFERROR(VLOOKUP(CONCATENATE(A273,$C$10,C273),'ID1&amp;5'!B:J,8,FALSE),"-")</f>
        <v>-</v>
      </c>
      <c r="O273" s="82" t="str">
        <f>+IFERROR(VLOOKUP(C273,'ID1&amp;5'!K:L,2,FALSE),"-")</f>
        <v>-</v>
      </c>
      <c r="P273" s="83" t="str">
        <f>+IFERROR(VLOOKUP(CONCATENATE(A273,$C$10,C273),'ID1&amp;5'!B:J,9,FALSE),"-")</f>
        <v>-</v>
      </c>
      <c r="Q273" s="82" t="str">
        <f>+IFERROR(VLOOKUP(D273,'ID1&amp;5'!K:L,2,FALSE),"-")</f>
        <v>-</v>
      </c>
      <c r="R273" s="26" t="str">
        <f>+IFERROR(VLOOKUP(CONCATENATE(A273,$D$10,D273),'ID1&amp;5'!B:J,9,FALSE),"-")</f>
        <v>-</v>
      </c>
      <c r="S273" s="82" t="str">
        <f>+IFERROR(VLOOKUP(E273,'ID1&amp;5'!K:L,2,FALSE),"-")</f>
        <v>-</v>
      </c>
      <c r="T273" s="83" t="str">
        <f>+IFERROR(VLOOKUP(CONCATENATE(A273,$E$10,E273),'ID1&amp;5'!B:J,9,FALSE),"-")</f>
        <v>-</v>
      </c>
      <c r="U273" s="82" t="str">
        <f>+IFERROR(VLOOKUP(F273,'ID1&amp;5'!K:L,2,FALSE),"-")</f>
        <v>-</v>
      </c>
      <c r="V273" s="83" t="str">
        <f>+IFERROR(VLOOKUP(CONCATENATE(A273,$F$10,F273),'ID1&amp;5'!B:J,9,FALSE),"-")</f>
        <v>-</v>
      </c>
      <c r="W273" s="26" t="str">
        <f>+IFERROR(VLOOKUP(A273,'ID6&amp;7'!A:I,9,FALSE),"-")</f>
        <v>-</v>
      </c>
      <c r="X273" s="26" t="str">
        <f>+IFERROR(VLOOKUP(A273,'ID6&amp;7'!A:J,10,FALSE),"-")</f>
        <v>-</v>
      </c>
      <c r="Y273" s="26"/>
      <c r="Z273" s="27" t="str">
        <f t="shared" si="11"/>
        <v>Por iniciar</v>
      </c>
    </row>
    <row r="274" spans="1:26">
      <c r="A274" s="20" t="str">
        <f t="shared" si="10"/>
        <v>INSTRUMENTGRNTR_ID45596</v>
      </c>
      <c r="B274" s="66"/>
      <c r="C274" s="60"/>
      <c r="D274" s="60"/>
      <c r="E274" s="60"/>
      <c r="F274" s="67"/>
      <c r="G274" s="60"/>
      <c r="H274" s="65" t="s">
        <v>126</v>
      </c>
      <c r="I274" s="21" t="s">
        <v>555</v>
      </c>
      <c r="J274" s="26">
        <f>+COUNTIF('ID1&amp;5'!G:G,'1. Status'!I274)</f>
        <v>0</v>
      </c>
      <c r="K274" s="83" t="str">
        <f>+IFERROR(VLOOKUP(CONCATENATE(A274,$B$10,B274),'ID1&amp;5'!B:J,8,FALSE),"-")</f>
        <v>-</v>
      </c>
      <c r="L274" s="82" t="str">
        <f>+IFERROR(VLOOKUP(B274,'ID1&amp;5'!K:L,2,FALSE),"-")</f>
        <v>-</v>
      </c>
      <c r="M274" s="83" t="str">
        <f>+IFERROR(VLOOKUP(CONCATENATE(A274,$B$10,B274),'ID1&amp;5'!B:J,9,FALSE),"-")</f>
        <v>-</v>
      </c>
      <c r="N274" s="83" t="str">
        <f>+IFERROR(VLOOKUP(CONCATENATE(A274,$C$10,C274),'ID1&amp;5'!B:J,8,FALSE),"-")</f>
        <v>-</v>
      </c>
      <c r="O274" s="82" t="str">
        <f>+IFERROR(VLOOKUP(C274,'ID1&amp;5'!K:L,2,FALSE),"-")</f>
        <v>-</v>
      </c>
      <c r="P274" s="83" t="str">
        <f>+IFERROR(VLOOKUP(CONCATENATE(A274,$C$10,C274),'ID1&amp;5'!B:J,9,FALSE),"-")</f>
        <v>-</v>
      </c>
      <c r="Q274" s="82" t="str">
        <f>+IFERROR(VLOOKUP(D274,'ID1&amp;5'!K:L,2,FALSE),"-")</f>
        <v>-</v>
      </c>
      <c r="R274" s="26" t="str">
        <f>+IFERROR(VLOOKUP(CONCATENATE(A274,$D$10,D274),'ID1&amp;5'!B:J,9,FALSE),"-")</f>
        <v>-</v>
      </c>
      <c r="S274" s="82" t="str">
        <f>+IFERROR(VLOOKUP(E274,'ID1&amp;5'!K:L,2,FALSE),"-")</f>
        <v>-</v>
      </c>
      <c r="T274" s="83" t="str">
        <f>+IFERROR(VLOOKUP(CONCATENATE(A274,$E$10,E274),'ID1&amp;5'!B:J,9,FALSE),"-")</f>
        <v>-</v>
      </c>
      <c r="U274" s="82" t="str">
        <f>+IFERROR(VLOOKUP(F274,'ID1&amp;5'!K:L,2,FALSE),"-")</f>
        <v>-</v>
      </c>
      <c r="V274" s="83" t="str">
        <f>+IFERROR(VLOOKUP(CONCATENATE(A274,$F$10,F274),'ID1&amp;5'!B:J,9,FALSE),"-")</f>
        <v>-</v>
      </c>
      <c r="W274" s="26" t="str">
        <f>+IFERROR(VLOOKUP(A274,'ID6&amp;7'!A:I,9,FALSE),"-")</f>
        <v>-</v>
      </c>
      <c r="X274" s="26" t="str">
        <f>+IFERROR(VLOOKUP(A274,'ID6&amp;7'!A:J,10,FALSE),"-")</f>
        <v>-</v>
      </c>
      <c r="Y274" s="26"/>
      <c r="Z274" s="27" t="str">
        <f t="shared" si="11"/>
        <v>Por iniciar</v>
      </c>
    </row>
    <row r="275" spans="1:26">
      <c r="A275" s="20" t="str">
        <f t="shared" si="10"/>
        <v>INSTRUMENTGRNTR_ID_TYP45596</v>
      </c>
      <c r="B275" s="66"/>
      <c r="C275" s="60"/>
      <c r="D275" s="60"/>
      <c r="E275" s="60"/>
      <c r="F275" s="67"/>
      <c r="G275" s="60"/>
      <c r="H275" s="65" t="s">
        <v>126</v>
      </c>
      <c r="I275" s="21" t="s">
        <v>556</v>
      </c>
      <c r="J275" s="26">
        <f>+COUNTIF('ID1&amp;5'!G:G,'1. Status'!I275)</f>
        <v>0</v>
      </c>
      <c r="K275" s="83" t="str">
        <f>+IFERROR(VLOOKUP(CONCATENATE(A275,$B$10,B275),'ID1&amp;5'!B:J,8,FALSE),"-")</f>
        <v>-</v>
      </c>
      <c r="L275" s="82" t="str">
        <f>+IFERROR(VLOOKUP(B275,'ID1&amp;5'!K:L,2,FALSE),"-")</f>
        <v>-</v>
      </c>
      <c r="M275" s="83" t="str">
        <f>+IFERROR(VLOOKUP(CONCATENATE(A275,$B$10,B275),'ID1&amp;5'!B:J,9,FALSE),"-")</f>
        <v>-</v>
      </c>
      <c r="N275" s="83" t="str">
        <f>+IFERROR(VLOOKUP(CONCATENATE(A275,$C$10,C275),'ID1&amp;5'!B:J,8,FALSE),"-")</f>
        <v>-</v>
      </c>
      <c r="O275" s="82" t="str">
        <f>+IFERROR(VLOOKUP(C275,'ID1&amp;5'!K:L,2,FALSE),"-")</f>
        <v>-</v>
      </c>
      <c r="P275" s="83" t="str">
        <f>+IFERROR(VLOOKUP(CONCATENATE(A275,$C$10,C275),'ID1&amp;5'!B:J,9,FALSE),"-")</f>
        <v>-</v>
      </c>
      <c r="Q275" s="82" t="str">
        <f>+IFERROR(VLOOKUP(D275,'ID1&amp;5'!K:L,2,FALSE),"-")</f>
        <v>-</v>
      </c>
      <c r="R275" s="26" t="str">
        <f>+IFERROR(VLOOKUP(CONCATENATE(A275,$D$10,D275),'ID1&amp;5'!B:J,9,FALSE),"-")</f>
        <v>-</v>
      </c>
      <c r="S275" s="82" t="str">
        <f>+IFERROR(VLOOKUP(E275,'ID1&amp;5'!K:L,2,FALSE),"-")</f>
        <v>-</v>
      </c>
      <c r="T275" s="83" t="str">
        <f>+IFERROR(VLOOKUP(CONCATENATE(A275,$E$10,E275),'ID1&amp;5'!B:J,9,FALSE),"-")</f>
        <v>-</v>
      </c>
      <c r="U275" s="82" t="str">
        <f>+IFERROR(VLOOKUP(F275,'ID1&amp;5'!K:L,2,FALSE),"-")</f>
        <v>-</v>
      </c>
      <c r="V275" s="83" t="str">
        <f>+IFERROR(VLOOKUP(CONCATENATE(A275,$F$10,F275),'ID1&amp;5'!B:J,9,FALSE),"-")</f>
        <v>-</v>
      </c>
      <c r="W275" s="26" t="str">
        <f>+IFERROR(VLOOKUP(A275,'ID6&amp;7'!A:I,9,FALSE),"-")</f>
        <v>-</v>
      </c>
      <c r="X275" s="26" t="str">
        <f>+IFERROR(VLOOKUP(A275,'ID6&amp;7'!A:J,10,FALSE),"-")</f>
        <v>-</v>
      </c>
      <c r="Y275" s="26"/>
      <c r="Z275" s="27" t="str">
        <f t="shared" si="11"/>
        <v>Por iniciar</v>
      </c>
    </row>
    <row r="276" spans="1:26">
      <c r="A276" s="20" t="str">
        <f t="shared" si="10"/>
        <v>INSTRUMENTHEDGE_ID45596</v>
      </c>
      <c r="B276" s="66"/>
      <c r="C276" s="60"/>
      <c r="D276" s="60"/>
      <c r="E276" s="60"/>
      <c r="F276" s="67"/>
      <c r="G276" s="60"/>
      <c r="H276" s="65" t="s">
        <v>126</v>
      </c>
      <c r="I276" s="21" t="s">
        <v>557</v>
      </c>
      <c r="J276" s="26">
        <f>+COUNTIF('ID1&amp;5'!G:G,'1. Status'!I276)</f>
        <v>0</v>
      </c>
      <c r="K276" s="83" t="str">
        <f>+IFERROR(VLOOKUP(CONCATENATE(A276,$B$10,B276),'ID1&amp;5'!B:J,8,FALSE),"-")</f>
        <v>-</v>
      </c>
      <c r="L276" s="82" t="str">
        <f>+IFERROR(VLOOKUP(B276,'ID1&amp;5'!K:L,2,FALSE),"-")</f>
        <v>-</v>
      </c>
      <c r="M276" s="83" t="str">
        <f>+IFERROR(VLOOKUP(CONCATENATE(A276,$B$10,B276),'ID1&amp;5'!B:J,9,FALSE),"-")</f>
        <v>-</v>
      </c>
      <c r="N276" s="83" t="str">
        <f>+IFERROR(VLOOKUP(CONCATENATE(A276,$C$10,C276),'ID1&amp;5'!B:J,8,FALSE),"-")</f>
        <v>-</v>
      </c>
      <c r="O276" s="82" t="str">
        <f>+IFERROR(VLOOKUP(C276,'ID1&amp;5'!K:L,2,FALSE),"-")</f>
        <v>-</v>
      </c>
      <c r="P276" s="83" t="str">
        <f>+IFERROR(VLOOKUP(CONCATENATE(A276,$C$10,C276),'ID1&amp;5'!B:J,9,FALSE),"-")</f>
        <v>-</v>
      </c>
      <c r="Q276" s="82" t="str">
        <f>+IFERROR(VLOOKUP(D276,'ID1&amp;5'!K:L,2,FALSE),"-")</f>
        <v>-</v>
      </c>
      <c r="R276" s="26" t="str">
        <f>+IFERROR(VLOOKUP(CONCATENATE(A276,$D$10,D276),'ID1&amp;5'!B:J,9,FALSE),"-")</f>
        <v>-</v>
      </c>
      <c r="S276" s="82" t="str">
        <f>+IFERROR(VLOOKUP(E276,'ID1&amp;5'!K:L,2,FALSE),"-")</f>
        <v>-</v>
      </c>
      <c r="T276" s="83" t="str">
        <f>+IFERROR(VLOOKUP(CONCATENATE(A276,$E$10,E276),'ID1&amp;5'!B:J,9,FALSE),"-")</f>
        <v>-</v>
      </c>
      <c r="U276" s="82" t="str">
        <f>+IFERROR(VLOOKUP(F276,'ID1&amp;5'!K:L,2,FALSE),"-")</f>
        <v>-</v>
      </c>
      <c r="V276" s="83" t="str">
        <f>+IFERROR(VLOOKUP(CONCATENATE(A276,$F$10,F276),'ID1&amp;5'!B:J,9,FALSE),"-")</f>
        <v>-</v>
      </c>
      <c r="W276" s="26" t="str">
        <f>+IFERROR(VLOOKUP(A276,'ID6&amp;7'!A:I,9,FALSE),"-")</f>
        <v>-</v>
      </c>
      <c r="X276" s="26" t="str">
        <f>+IFERROR(VLOOKUP(A276,'ID6&amp;7'!A:J,10,FALSE),"-")</f>
        <v>-</v>
      </c>
      <c r="Y276" s="26"/>
      <c r="Z276" s="27" t="str">
        <f t="shared" si="11"/>
        <v>Por iniciar</v>
      </c>
    </row>
    <row r="277" spans="1:26">
      <c r="A277" s="20" t="str">
        <f t="shared" si="10"/>
        <v>INSTRUMENTINSTR_SNRTY_CLSS45596</v>
      </c>
      <c r="B277" s="66"/>
      <c r="C277" s="60"/>
      <c r="D277" s="60"/>
      <c r="E277" s="60"/>
      <c r="F277" s="67"/>
      <c r="G277" s="60"/>
      <c r="H277" s="65" t="s">
        <v>126</v>
      </c>
      <c r="I277" s="21" t="s">
        <v>558</v>
      </c>
      <c r="J277" s="26">
        <f>+COUNTIF('ID1&amp;5'!G:G,'1. Status'!I277)</f>
        <v>0</v>
      </c>
      <c r="K277" s="83" t="str">
        <f>+IFERROR(VLOOKUP(CONCATENATE(A277,$B$10,B277),'ID1&amp;5'!B:J,8,FALSE),"-")</f>
        <v>-</v>
      </c>
      <c r="L277" s="82" t="str">
        <f>+IFERROR(VLOOKUP(B277,'ID1&amp;5'!K:L,2,FALSE),"-")</f>
        <v>-</v>
      </c>
      <c r="M277" s="83" t="str">
        <f>+IFERROR(VLOOKUP(CONCATENATE(A277,$B$10,B277),'ID1&amp;5'!B:J,9,FALSE),"-")</f>
        <v>-</v>
      </c>
      <c r="N277" s="83" t="str">
        <f>+IFERROR(VLOOKUP(CONCATENATE(A277,$C$10,C277),'ID1&amp;5'!B:J,8,FALSE),"-")</f>
        <v>-</v>
      </c>
      <c r="O277" s="82" t="str">
        <f>+IFERROR(VLOOKUP(C277,'ID1&amp;5'!K:L,2,FALSE),"-")</f>
        <v>-</v>
      </c>
      <c r="P277" s="83" t="str">
        <f>+IFERROR(VLOOKUP(CONCATENATE(A277,$C$10,C277),'ID1&amp;5'!B:J,9,FALSE),"-")</f>
        <v>-</v>
      </c>
      <c r="Q277" s="82" t="str">
        <f>+IFERROR(VLOOKUP(D277,'ID1&amp;5'!K:L,2,FALSE),"-")</f>
        <v>-</v>
      </c>
      <c r="R277" s="26" t="str">
        <f>+IFERROR(VLOOKUP(CONCATENATE(A277,$D$10,D277),'ID1&amp;5'!B:J,9,FALSE),"-")</f>
        <v>-</v>
      </c>
      <c r="S277" s="82" t="str">
        <f>+IFERROR(VLOOKUP(E277,'ID1&amp;5'!K:L,2,FALSE),"-")</f>
        <v>-</v>
      </c>
      <c r="T277" s="83" t="str">
        <f>+IFERROR(VLOOKUP(CONCATENATE(A277,$E$10,E277),'ID1&amp;5'!B:J,9,FALSE),"-")</f>
        <v>-</v>
      </c>
      <c r="U277" s="82" t="str">
        <f>+IFERROR(VLOOKUP(F277,'ID1&amp;5'!K:L,2,FALSE),"-")</f>
        <v>-</v>
      </c>
      <c r="V277" s="83" t="str">
        <f>+IFERROR(VLOOKUP(CONCATENATE(A277,$F$10,F277),'ID1&amp;5'!B:J,9,FALSE),"-")</f>
        <v>-</v>
      </c>
      <c r="W277" s="26" t="str">
        <f>+IFERROR(VLOOKUP(A277,'ID6&amp;7'!A:I,9,FALSE),"-")</f>
        <v>-</v>
      </c>
      <c r="X277" s="26" t="str">
        <f>+IFERROR(VLOOKUP(A277,'ID6&amp;7'!A:J,10,FALSE),"-")</f>
        <v>-</v>
      </c>
      <c r="Y277" s="26"/>
      <c r="Z277" s="27" t="str">
        <f t="shared" si="11"/>
        <v>Por iniciar</v>
      </c>
    </row>
    <row r="278" spans="1:26">
      <c r="A278" s="20" t="str">
        <f t="shared" si="10"/>
        <v>INSTRUMENTINSTRMNT_CLSS45596</v>
      </c>
      <c r="B278" s="66"/>
      <c r="C278" s="60"/>
      <c r="D278" s="60"/>
      <c r="E278" s="60"/>
      <c r="F278" s="67"/>
      <c r="G278" s="60"/>
      <c r="H278" s="65" t="s">
        <v>126</v>
      </c>
      <c r="I278" s="21" t="s">
        <v>559</v>
      </c>
      <c r="J278" s="26">
        <f>+COUNTIF('ID1&amp;5'!G:G,'1. Status'!I278)</f>
        <v>0</v>
      </c>
      <c r="K278" s="83" t="str">
        <f>+IFERROR(VLOOKUP(CONCATENATE(A278,$B$10,B278),'ID1&amp;5'!B:J,8,FALSE),"-")</f>
        <v>-</v>
      </c>
      <c r="L278" s="82" t="str">
        <f>+IFERROR(VLOOKUP(B278,'ID1&amp;5'!K:L,2,FALSE),"-")</f>
        <v>-</v>
      </c>
      <c r="M278" s="83" t="str">
        <f>+IFERROR(VLOOKUP(CONCATENATE(A278,$B$10,B278),'ID1&amp;5'!B:J,9,FALSE),"-")</f>
        <v>-</v>
      </c>
      <c r="N278" s="83" t="str">
        <f>+IFERROR(VLOOKUP(CONCATENATE(A278,$C$10,C278),'ID1&amp;5'!B:J,8,FALSE),"-")</f>
        <v>-</v>
      </c>
      <c r="O278" s="82" t="str">
        <f>+IFERROR(VLOOKUP(C278,'ID1&amp;5'!K:L,2,FALSE),"-")</f>
        <v>-</v>
      </c>
      <c r="P278" s="83" t="str">
        <f>+IFERROR(VLOOKUP(CONCATENATE(A278,$C$10,C278),'ID1&amp;5'!B:J,9,FALSE),"-")</f>
        <v>-</v>
      </c>
      <c r="Q278" s="82" t="str">
        <f>+IFERROR(VLOOKUP(D278,'ID1&amp;5'!K:L,2,FALSE),"-")</f>
        <v>-</v>
      </c>
      <c r="R278" s="26" t="str">
        <f>+IFERROR(VLOOKUP(CONCATENATE(A278,$D$10,D278),'ID1&amp;5'!B:J,9,FALSE),"-")</f>
        <v>-</v>
      </c>
      <c r="S278" s="82" t="str">
        <f>+IFERROR(VLOOKUP(E278,'ID1&amp;5'!K:L,2,FALSE),"-")</f>
        <v>-</v>
      </c>
      <c r="T278" s="83" t="str">
        <f>+IFERROR(VLOOKUP(CONCATENATE(A278,$E$10,E278),'ID1&amp;5'!B:J,9,FALSE),"-")</f>
        <v>-</v>
      </c>
      <c r="U278" s="82" t="str">
        <f>+IFERROR(VLOOKUP(F278,'ID1&amp;5'!K:L,2,FALSE),"-")</f>
        <v>-</v>
      </c>
      <c r="V278" s="83" t="str">
        <f>+IFERROR(VLOOKUP(CONCATENATE(A278,$F$10,F278),'ID1&amp;5'!B:J,9,FALSE),"-")</f>
        <v>-</v>
      </c>
      <c r="W278" s="26" t="str">
        <f>+IFERROR(VLOOKUP(A278,'ID6&amp;7'!A:I,9,FALSE),"-")</f>
        <v>-</v>
      </c>
      <c r="X278" s="26" t="str">
        <f>+IFERROR(VLOOKUP(A278,'ID6&amp;7'!A:J,10,FALSE),"-")</f>
        <v>-</v>
      </c>
      <c r="Y278" s="26"/>
      <c r="Z278" s="27" t="str">
        <f t="shared" si="11"/>
        <v>Por iniciar</v>
      </c>
    </row>
    <row r="279" spans="1:26">
      <c r="A279" s="20" t="str">
        <f t="shared" si="10"/>
        <v>INSTRUMENTISIN45596</v>
      </c>
      <c r="B279" s="66"/>
      <c r="C279" s="60"/>
      <c r="D279" s="60"/>
      <c r="E279" s="60"/>
      <c r="F279" s="67"/>
      <c r="G279" s="60"/>
      <c r="H279" s="65" t="s">
        <v>126</v>
      </c>
      <c r="I279" s="21" t="s">
        <v>112</v>
      </c>
      <c r="J279" s="26">
        <f>+COUNTIF('ID1&amp;5'!G:G,'1. Status'!I279)</f>
        <v>0</v>
      </c>
      <c r="K279" s="83" t="str">
        <f>+IFERROR(VLOOKUP(CONCATENATE(A279,$B$10,B279),'ID1&amp;5'!B:J,8,FALSE),"-")</f>
        <v>-</v>
      </c>
      <c r="L279" s="82" t="str">
        <f>+IFERROR(VLOOKUP(B279,'ID1&amp;5'!K:L,2,FALSE),"-")</f>
        <v>-</v>
      </c>
      <c r="M279" s="83" t="str">
        <f>+IFERROR(VLOOKUP(CONCATENATE(A279,$B$10,B279),'ID1&amp;5'!B:J,9,FALSE),"-")</f>
        <v>-</v>
      </c>
      <c r="N279" s="83" t="str">
        <f>+IFERROR(VLOOKUP(CONCATENATE(A279,$C$10,C279),'ID1&amp;5'!B:J,8,FALSE),"-")</f>
        <v>-</v>
      </c>
      <c r="O279" s="82" t="str">
        <f>+IFERROR(VLOOKUP(C279,'ID1&amp;5'!K:L,2,FALSE),"-")</f>
        <v>-</v>
      </c>
      <c r="P279" s="83" t="str">
        <f>+IFERROR(VLOOKUP(CONCATENATE(A279,$C$10,C279),'ID1&amp;5'!B:J,9,FALSE),"-")</f>
        <v>-</v>
      </c>
      <c r="Q279" s="82" t="str">
        <f>+IFERROR(VLOOKUP(D279,'ID1&amp;5'!K:L,2,FALSE),"-")</f>
        <v>-</v>
      </c>
      <c r="R279" s="26" t="str">
        <f>+IFERROR(VLOOKUP(CONCATENATE(A279,$D$10,D279),'ID1&amp;5'!B:J,9,FALSE),"-")</f>
        <v>-</v>
      </c>
      <c r="S279" s="82" t="str">
        <f>+IFERROR(VLOOKUP(E279,'ID1&amp;5'!K:L,2,FALSE),"-")</f>
        <v>-</v>
      </c>
      <c r="T279" s="83" t="str">
        <f>+IFERROR(VLOOKUP(CONCATENATE(A279,$E$10,E279),'ID1&amp;5'!B:J,9,FALSE),"-")</f>
        <v>-</v>
      </c>
      <c r="U279" s="82" t="str">
        <f>+IFERROR(VLOOKUP(F279,'ID1&amp;5'!K:L,2,FALSE),"-")</f>
        <v>-</v>
      </c>
      <c r="V279" s="83" t="str">
        <f>+IFERROR(VLOOKUP(CONCATENATE(A279,$F$10,F279),'ID1&amp;5'!B:J,9,FALSE),"-")</f>
        <v>-</v>
      </c>
      <c r="W279" s="26" t="str">
        <f>+IFERROR(VLOOKUP(A279,'ID6&amp;7'!A:I,9,FALSE),"-")</f>
        <v>-</v>
      </c>
      <c r="X279" s="26" t="str">
        <f>+IFERROR(VLOOKUP(A279,'ID6&amp;7'!A:J,10,FALSE),"-")</f>
        <v>-</v>
      </c>
      <c r="Y279" s="26"/>
      <c r="Z279" s="27" t="str">
        <f t="shared" si="11"/>
        <v>Por iniciar</v>
      </c>
    </row>
    <row r="280" spans="1:26">
      <c r="A280" s="20" t="str">
        <f t="shared" si="10"/>
        <v>INSTRUMENTISSR_CNTRY45596</v>
      </c>
      <c r="B280" s="66"/>
      <c r="C280" s="60"/>
      <c r="D280" s="60"/>
      <c r="E280" s="60"/>
      <c r="F280" s="67"/>
      <c r="G280" s="60"/>
      <c r="H280" s="65" t="s">
        <v>126</v>
      </c>
      <c r="I280" s="21" t="s">
        <v>105</v>
      </c>
      <c r="J280" s="26">
        <f>+COUNTIF('ID1&amp;5'!G:G,'1. Status'!I280)</f>
        <v>0</v>
      </c>
      <c r="K280" s="83" t="str">
        <f>+IFERROR(VLOOKUP(CONCATENATE(A280,$B$10,B280),'ID1&amp;5'!B:J,8,FALSE),"-")</f>
        <v>-</v>
      </c>
      <c r="L280" s="82" t="str">
        <f>+IFERROR(VLOOKUP(B280,'ID1&amp;5'!K:L,2,FALSE),"-")</f>
        <v>-</v>
      </c>
      <c r="M280" s="83" t="str">
        <f>+IFERROR(VLOOKUP(CONCATENATE(A280,$B$10,B280),'ID1&amp;5'!B:J,9,FALSE),"-")</f>
        <v>-</v>
      </c>
      <c r="N280" s="83" t="str">
        <f>+IFERROR(VLOOKUP(CONCATENATE(A280,$C$10,C280),'ID1&amp;5'!B:J,8,FALSE),"-")</f>
        <v>-</v>
      </c>
      <c r="O280" s="82" t="str">
        <f>+IFERROR(VLOOKUP(C280,'ID1&amp;5'!K:L,2,FALSE),"-")</f>
        <v>-</v>
      </c>
      <c r="P280" s="83" t="str">
        <f>+IFERROR(VLOOKUP(CONCATENATE(A280,$C$10,C280),'ID1&amp;5'!B:J,9,FALSE),"-")</f>
        <v>-</v>
      </c>
      <c r="Q280" s="82" t="str">
        <f>+IFERROR(VLOOKUP(D280,'ID1&amp;5'!K:L,2,FALSE),"-")</f>
        <v>-</v>
      </c>
      <c r="R280" s="26" t="str">
        <f>+IFERROR(VLOOKUP(CONCATENATE(A280,$D$10,D280),'ID1&amp;5'!B:J,9,FALSE),"-")</f>
        <v>-</v>
      </c>
      <c r="S280" s="82" t="str">
        <f>+IFERROR(VLOOKUP(E280,'ID1&amp;5'!K:L,2,FALSE),"-")</f>
        <v>-</v>
      </c>
      <c r="T280" s="83" t="str">
        <f>+IFERROR(VLOOKUP(CONCATENATE(A280,$E$10,E280),'ID1&amp;5'!B:J,9,FALSE),"-")</f>
        <v>-</v>
      </c>
      <c r="U280" s="82" t="str">
        <f>+IFERROR(VLOOKUP(F280,'ID1&amp;5'!K:L,2,FALSE),"-")</f>
        <v>-</v>
      </c>
      <c r="V280" s="83" t="str">
        <f>+IFERROR(VLOOKUP(CONCATENATE(A280,$F$10,F280),'ID1&amp;5'!B:J,9,FALSE),"-")</f>
        <v>-</v>
      </c>
      <c r="W280" s="26" t="str">
        <f>+IFERROR(VLOOKUP(A280,'ID6&amp;7'!A:I,9,FALSE),"-")</f>
        <v>-</v>
      </c>
      <c r="X280" s="26" t="str">
        <f>+IFERROR(VLOOKUP(A280,'ID6&amp;7'!A:J,10,FALSE),"-")</f>
        <v>-</v>
      </c>
      <c r="Y280" s="26"/>
      <c r="Z280" s="27" t="str">
        <f t="shared" si="11"/>
        <v>Por iniciar</v>
      </c>
    </row>
    <row r="281" spans="1:26">
      <c r="A281" s="20" t="str">
        <f t="shared" si="10"/>
        <v>INSTRUMENTISSR_ESA_201045596</v>
      </c>
      <c r="B281" s="66"/>
      <c r="C281" s="60"/>
      <c r="D281" s="60"/>
      <c r="E281" s="60"/>
      <c r="F281" s="67"/>
      <c r="G281" s="60"/>
      <c r="H281" s="65" t="s">
        <v>126</v>
      </c>
      <c r="I281" s="21" t="s">
        <v>560</v>
      </c>
      <c r="J281" s="26">
        <f>+COUNTIF('ID1&amp;5'!G:G,'1. Status'!I281)</f>
        <v>0</v>
      </c>
      <c r="K281" s="83" t="str">
        <f>+IFERROR(VLOOKUP(CONCATENATE(A281,$B$10,B281),'ID1&amp;5'!B:J,8,FALSE),"-")</f>
        <v>-</v>
      </c>
      <c r="L281" s="82" t="str">
        <f>+IFERROR(VLOOKUP(B281,'ID1&amp;5'!K:L,2,FALSE),"-")</f>
        <v>-</v>
      </c>
      <c r="M281" s="83" t="str">
        <f>+IFERROR(VLOOKUP(CONCATENATE(A281,$B$10,B281),'ID1&amp;5'!B:J,9,FALSE),"-")</f>
        <v>-</v>
      </c>
      <c r="N281" s="83" t="str">
        <f>+IFERROR(VLOOKUP(CONCATENATE(A281,$C$10,C281),'ID1&amp;5'!B:J,8,FALSE),"-")</f>
        <v>-</v>
      </c>
      <c r="O281" s="82" t="str">
        <f>+IFERROR(VLOOKUP(C281,'ID1&amp;5'!K:L,2,FALSE),"-")</f>
        <v>-</v>
      </c>
      <c r="P281" s="83" t="str">
        <f>+IFERROR(VLOOKUP(CONCATENATE(A281,$C$10,C281),'ID1&amp;5'!B:J,9,FALSE),"-")</f>
        <v>-</v>
      </c>
      <c r="Q281" s="82" t="str">
        <f>+IFERROR(VLOOKUP(D281,'ID1&amp;5'!K:L,2,FALSE),"-")</f>
        <v>-</v>
      </c>
      <c r="R281" s="26" t="str">
        <f>+IFERROR(VLOOKUP(CONCATENATE(A281,$D$10,D281),'ID1&amp;5'!B:J,9,FALSE),"-")</f>
        <v>-</v>
      </c>
      <c r="S281" s="82" t="str">
        <f>+IFERROR(VLOOKUP(E281,'ID1&amp;5'!K:L,2,FALSE),"-")</f>
        <v>-</v>
      </c>
      <c r="T281" s="83" t="str">
        <f>+IFERROR(VLOOKUP(CONCATENATE(A281,$E$10,E281),'ID1&amp;5'!B:J,9,FALSE),"-")</f>
        <v>-</v>
      </c>
      <c r="U281" s="82" t="str">
        <f>+IFERROR(VLOOKUP(F281,'ID1&amp;5'!K:L,2,FALSE),"-")</f>
        <v>-</v>
      </c>
      <c r="V281" s="83" t="str">
        <f>+IFERROR(VLOOKUP(CONCATENATE(A281,$F$10,F281),'ID1&amp;5'!B:J,9,FALSE),"-")</f>
        <v>-</v>
      </c>
      <c r="W281" s="26" t="str">
        <f>+IFERROR(VLOOKUP(A281,'ID6&amp;7'!A:I,9,FALSE),"-")</f>
        <v>-</v>
      </c>
      <c r="X281" s="26" t="str">
        <f>+IFERROR(VLOOKUP(A281,'ID6&amp;7'!A:J,10,FALSE),"-")</f>
        <v>-</v>
      </c>
      <c r="Y281" s="26"/>
      <c r="Z281" s="27" t="str">
        <f t="shared" si="11"/>
        <v>Por iniciar</v>
      </c>
    </row>
    <row r="282" spans="1:26">
      <c r="A282" s="20" t="str">
        <f t="shared" si="10"/>
        <v>INSTRUMENTISSR_ID45596</v>
      </c>
      <c r="B282" s="66"/>
      <c r="C282" s="60"/>
      <c r="D282" s="60"/>
      <c r="E282" s="60"/>
      <c r="F282" s="67"/>
      <c r="G282" s="60"/>
      <c r="H282" s="65" t="s">
        <v>126</v>
      </c>
      <c r="I282" s="21" t="s">
        <v>561</v>
      </c>
      <c r="J282" s="26">
        <f>+COUNTIF('ID1&amp;5'!G:G,'1. Status'!I282)</f>
        <v>0</v>
      </c>
      <c r="K282" s="83" t="str">
        <f>+IFERROR(VLOOKUP(CONCATENATE(A282,$B$10,B282),'ID1&amp;5'!B:J,8,FALSE),"-")</f>
        <v>-</v>
      </c>
      <c r="L282" s="82" t="str">
        <f>+IFERROR(VLOOKUP(B282,'ID1&amp;5'!K:L,2,FALSE),"-")</f>
        <v>-</v>
      </c>
      <c r="M282" s="83" t="str">
        <f>+IFERROR(VLOOKUP(CONCATENATE(A282,$B$10,B282),'ID1&amp;5'!B:J,9,FALSE),"-")</f>
        <v>-</v>
      </c>
      <c r="N282" s="83" t="str">
        <f>+IFERROR(VLOOKUP(CONCATENATE(A282,$C$10,C282),'ID1&amp;5'!B:J,8,FALSE),"-")</f>
        <v>-</v>
      </c>
      <c r="O282" s="82" t="str">
        <f>+IFERROR(VLOOKUP(C282,'ID1&amp;5'!K:L,2,FALSE),"-")</f>
        <v>-</v>
      </c>
      <c r="P282" s="83" t="str">
        <f>+IFERROR(VLOOKUP(CONCATENATE(A282,$C$10,C282),'ID1&amp;5'!B:J,9,FALSE),"-")</f>
        <v>-</v>
      </c>
      <c r="Q282" s="82" t="str">
        <f>+IFERROR(VLOOKUP(D282,'ID1&amp;5'!K:L,2,FALSE),"-")</f>
        <v>-</v>
      </c>
      <c r="R282" s="26" t="str">
        <f>+IFERROR(VLOOKUP(CONCATENATE(A282,$D$10,D282),'ID1&amp;5'!B:J,9,FALSE),"-")</f>
        <v>-</v>
      </c>
      <c r="S282" s="82" t="str">
        <f>+IFERROR(VLOOKUP(E282,'ID1&amp;5'!K:L,2,FALSE),"-")</f>
        <v>-</v>
      </c>
      <c r="T282" s="83" t="str">
        <f>+IFERROR(VLOOKUP(CONCATENATE(A282,$E$10,E282),'ID1&amp;5'!B:J,9,FALSE),"-")</f>
        <v>-</v>
      </c>
      <c r="U282" s="82" t="str">
        <f>+IFERROR(VLOOKUP(F282,'ID1&amp;5'!K:L,2,FALSE),"-")</f>
        <v>-</v>
      </c>
      <c r="V282" s="83" t="str">
        <f>+IFERROR(VLOOKUP(CONCATENATE(A282,$F$10,F282),'ID1&amp;5'!B:J,9,FALSE),"-")</f>
        <v>-</v>
      </c>
      <c r="W282" s="26" t="str">
        <f>+IFERROR(VLOOKUP(A282,'ID6&amp;7'!A:I,9,FALSE),"-")</f>
        <v>-</v>
      </c>
      <c r="X282" s="26" t="str">
        <f>+IFERROR(VLOOKUP(A282,'ID6&amp;7'!A:J,10,FALSE),"-")</f>
        <v>-</v>
      </c>
      <c r="Y282" s="26"/>
      <c r="Z282" s="27" t="str">
        <f t="shared" si="11"/>
        <v>Por iniciar</v>
      </c>
    </row>
    <row r="283" spans="1:26">
      <c r="A283" s="20" t="str">
        <f t="shared" si="10"/>
        <v>INSTRUMENTISSR_ID_TYP45596</v>
      </c>
      <c r="B283" s="66"/>
      <c r="C283" s="60"/>
      <c r="D283" s="60"/>
      <c r="E283" s="60"/>
      <c r="F283" s="67"/>
      <c r="G283" s="60"/>
      <c r="H283" s="65" t="s">
        <v>126</v>
      </c>
      <c r="I283" s="21" t="s">
        <v>562</v>
      </c>
      <c r="J283" s="26">
        <f>+COUNTIF('ID1&amp;5'!G:G,'1. Status'!I283)</f>
        <v>0</v>
      </c>
      <c r="K283" s="83" t="str">
        <f>+IFERROR(VLOOKUP(CONCATENATE(A283,$B$10,B283),'ID1&amp;5'!B:J,8,FALSE),"-")</f>
        <v>-</v>
      </c>
      <c r="L283" s="82" t="str">
        <f>+IFERROR(VLOOKUP(B283,'ID1&amp;5'!K:L,2,FALSE),"-")</f>
        <v>-</v>
      </c>
      <c r="M283" s="83" t="str">
        <f>+IFERROR(VLOOKUP(CONCATENATE(A283,$B$10,B283),'ID1&amp;5'!B:J,9,FALSE),"-")</f>
        <v>-</v>
      </c>
      <c r="N283" s="83" t="str">
        <f>+IFERROR(VLOOKUP(CONCATENATE(A283,$C$10,C283),'ID1&amp;5'!B:J,8,FALSE),"-")</f>
        <v>-</v>
      </c>
      <c r="O283" s="82" t="str">
        <f>+IFERROR(VLOOKUP(C283,'ID1&amp;5'!K:L,2,FALSE),"-")</f>
        <v>-</v>
      </c>
      <c r="P283" s="83" t="str">
        <f>+IFERROR(VLOOKUP(CONCATENATE(A283,$C$10,C283),'ID1&amp;5'!B:J,9,FALSE),"-")</f>
        <v>-</v>
      </c>
      <c r="Q283" s="82" t="str">
        <f>+IFERROR(VLOOKUP(D283,'ID1&amp;5'!K:L,2,FALSE),"-")</f>
        <v>-</v>
      </c>
      <c r="R283" s="26" t="str">
        <f>+IFERROR(VLOOKUP(CONCATENATE(A283,$D$10,D283),'ID1&amp;5'!B:J,9,FALSE),"-")</f>
        <v>-</v>
      </c>
      <c r="S283" s="82" t="str">
        <f>+IFERROR(VLOOKUP(E283,'ID1&amp;5'!K:L,2,FALSE),"-")</f>
        <v>-</v>
      </c>
      <c r="T283" s="83" t="str">
        <f>+IFERROR(VLOOKUP(CONCATENATE(A283,$E$10,E283),'ID1&amp;5'!B:J,9,FALSE),"-")</f>
        <v>-</v>
      </c>
      <c r="U283" s="82" t="str">
        <f>+IFERROR(VLOOKUP(F283,'ID1&amp;5'!K:L,2,FALSE),"-")</f>
        <v>-</v>
      </c>
      <c r="V283" s="83" t="str">
        <f>+IFERROR(VLOOKUP(CONCATENATE(A283,$F$10,F283),'ID1&amp;5'!B:J,9,FALSE),"-")</f>
        <v>-</v>
      </c>
      <c r="W283" s="26" t="str">
        <f>+IFERROR(VLOOKUP(A283,'ID6&amp;7'!A:I,9,FALSE),"-")</f>
        <v>-</v>
      </c>
      <c r="X283" s="26" t="str">
        <f>+IFERROR(VLOOKUP(A283,'ID6&amp;7'!A:J,10,FALSE),"-")</f>
        <v>-</v>
      </c>
      <c r="Y283" s="26"/>
      <c r="Z283" s="27" t="str">
        <f t="shared" si="11"/>
        <v>Por iniciar</v>
      </c>
    </row>
    <row r="284" spans="1:26">
      <c r="A284" s="20" t="str">
        <f t="shared" si="10"/>
        <v>INSTRUMENTISSR_NACE_SCTR45596</v>
      </c>
      <c r="B284" s="66"/>
      <c r="C284" s="60"/>
      <c r="D284" s="60"/>
      <c r="E284" s="60"/>
      <c r="F284" s="67"/>
      <c r="G284" s="60"/>
      <c r="H284" s="65" t="s">
        <v>126</v>
      </c>
      <c r="I284" s="21" t="s">
        <v>106</v>
      </c>
      <c r="J284" s="26">
        <f>+COUNTIF('ID1&amp;5'!G:G,'1. Status'!I284)</f>
        <v>0</v>
      </c>
      <c r="K284" s="83" t="str">
        <f>+IFERROR(VLOOKUP(CONCATENATE(A284,$B$10,B284),'ID1&amp;5'!B:J,8,FALSE),"-")</f>
        <v>-</v>
      </c>
      <c r="L284" s="82" t="str">
        <f>+IFERROR(VLOOKUP(B284,'ID1&amp;5'!K:L,2,FALSE),"-")</f>
        <v>-</v>
      </c>
      <c r="M284" s="83" t="str">
        <f>+IFERROR(VLOOKUP(CONCATENATE(A284,$B$10,B284),'ID1&amp;5'!B:J,9,FALSE),"-")</f>
        <v>-</v>
      </c>
      <c r="N284" s="83" t="str">
        <f>+IFERROR(VLOOKUP(CONCATENATE(A284,$C$10,C284),'ID1&amp;5'!B:J,8,FALSE),"-")</f>
        <v>-</v>
      </c>
      <c r="O284" s="82" t="str">
        <f>+IFERROR(VLOOKUP(C284,'ID1&amp;5'!K:L,2,FALSE),"-")</f>
        <v>-</v>
      </c>
      <c r="P284" s="83" t="str">
        <f>+IFERROR(VLOOKUP(CONCATENATE(A284,$C$10,C284),'ID1&amp;5'!B:J,9,FALSE),"-")</f>
        <v>-</v>
      </c>
      <c r="Q284" s="82" t="str">
        <f>+IFERROR(VLOOKUP(D284,'ID1&amp;5'!K:L,2,FALSE),"-")</f>
        <v>-</v>
      </c>
      <c r="R284" s="26" t="str">
        <f>+IFERROR(VLOOKUP(CONCATENATE(A284,$D$10,D284),'ID1&amp;5'!B:J,9,FALSE),"-")</f>
        <v>-</v>
      </c>
      <c r="S284" s="82" t="str">
        <f>+IFERROR(VLOOKUP(E284,'ID1&amp;5'!K:L,2,FALSE),"-")</f>
        <v>-</v>
      </c>
      <c r="T284" s="83" t="str">
        <f>+IFERROR(VLOOKUP(CONCATENATE(A284,$E$10,E284),'ID1&amp;5'!B:J,9,FALSE),"-")</f>
        <v>-</v>
      </c>
      <c r="U284" s="82" t="str">
        <f>+IFERROR(VLOOKUP(F284,'ID1&amp;5'!K:L,2,FALSE),"-")</f>
        <v>-</v>
      </c>
      <c r="V284" s="83" t="str">
        <f>+IFERROR(VLOOKUP(CONCATENATE(A284,$F$10,F284),'ID1&amp;5'!B:J,9,FALSE),"-")</f>
        <v>-</v>
      </c>
      <c r="W284" s="26" t="str">
        <f>+IFERROR(VLOOKUP(A284,'ID6&amp;7'!A:I,9,FALSE),"-")</f>
        <v>-</v>
      </c>
      <c r="X284" s="26" t="str">
        <f>+IFERROR(VLOOKUP(A284,'ID6&amp;7'!A:J,10,FALSE),"-")</f>
        <v>-</v>
      </c>
      <c r="Y284" s="26"/>
      <c r="Z284" s="27" t="str">
        <f t="shared" si="11"/>
        <v>Por iniciar</v>
      </c>
    </row>
    <row r="285" spans="1:26">
      <c r="A285" s="20" t="str">
        <f t="shared" si="10"/>
        <v>INSTRUMENTISSR_RTNG45596</v>
      </c>
      <c r="B285" s="66"/>
      <c r="C285" s="60"/>
      <c r="D285" s="60"/>
      <c r="E285" s="60"/>
      <c r="F285" s="67"/>
      <c r="G285" s="60"/>
      <c r="H285" s="65" t="s">
        <v>126</v>
      </c>
      <c r="I285" s="21" t="s">
        <v>563</v>
      </c>
      <c r="J285" s="26">
        <f>+COUNTIF('ID1&amp;5'!G:G,'1. Status'!I285)</f>
        <v>0</v>
      </c>
      <c r="K285" s="83" t="str">
        <f>+IFERROR(VLOOKUP(CONCATENATE(A285,$B$10,B285),'ID1&amp;5'!B:J,8,FALSE),"-")</f>
        <v>-</v>
      </c>
      <c r="L285" s="82" t="str">
        <f>+IFERROR(VLOOKUP(B285,'ID1&amp;5'!K:L,2,FALSE),"-")</f>
        <v>-</v>
      </c>
      <c r="M285" s="83" t="str">
        <f>+IFERROR(VLOOKUP(CONCATENATE(A285,$B$10,B285),'ID1&amp;5'!B:J,9,FALSE),"-")</f>
        <v>-</v>
      </c>
      <c r="N285" s="83" t="str">
        <f>+IFERROR(VLOOKUP(CONCATENATE(A285,$C$10,C285),'ID1&amp;5'!B:J,8,FALSE),"-")</f>
        <v>-</v>
      </c>
      <c r="O285" s="82" t="str">
        <f>+IFERROR(VLOOKUP(C285,'ID1&amp;5'!K:L,2,FALSE),"-")</f>
        <v>-</v>
      </c>
      <c r="P285" s="83" t="str">
        <f>+IFERROR(VLOOKUP(CONCATENATE(A285,$C$10,C285),'ID1&amp;5'!B:J,9,FALSE),"-")</f>
        <v>-</v>
      </c>
      <c r="Q285" s="82" t="str">
        <f>+IFERROR(VLOOKUP(D285,'ID1&amp;5'!K:L,2,FALSE),"-")</f>
        <v>-</v>
      </c>
      <c r="R285" s="26" t="str">
        <f>+IFERROR(VLOOKUP(CONCATENATE(A285,$D$10,D285),'ID1&amp;5'!B:J,9,FALSE),"-")</f>
        <v>-</v>
      </c>
      <c r="S285" s="82" t="str">
        <f>+IFERROR(VLOOKUP(E285,'ID1&amp;5'!K:L,2,FALSE),"-")</f>
        <v>-</v>
      </c>
      <c r="T285" s="83" t="str">
        <f>+IFERROR(VLOOKUP(CONCATENATE(A285,$E$10,E285),'ID1&amp;5'!B:J,9,FALSE),"-")</f>
        <v>-</v>
      </c>
      <c r="U285" s="82" t="str">
        <f>+IFERROR(VLOOKUP(F285,'ID1&amp;5'!K:L,2,FALSE),"-")</f>
        <v>-</v>
      </c>
      <c r="V285" s="83" t="str">
        <f>+IFERROR(VLOOKUP(CONCATENATE(A285,$F$10,F285),'ID1&amp;5'!B:J,9,FALSE),"-")</f>
        <v>-</v>
      </c>
      <c r="W285" s="26" t="str">
        <f>+IFERROR(VLOOKUP(A285,'ID6&amp;7'!A:I,9,FALSE),"-")</f>
        <v>-</v>
      </c>
      <c r="X285" s="26" t="str">
        <f>+IFERROR(VLOOKUP(A285,'ID6&amp;7'!A:J,10,FALSE),"-")</f>
        <v>-</v>
      </c>
      <c r="Y285" s="26"/>
      <c r="Z285" s="27" t="str">
        <f t="shared" si="11"/>
        <v>Por iniciar</v>
      </c>
    </row>
    <row r="286" spans="1:26">
      <c r="A286" s="20" t="str">
        <f t="shared" si="10"/>
        <v>INSTRUMENTISSR_RTNG_SRC45596</v>
      </c>
      <c r="B286" s="66"/>
      <c r="C286" s="60"/>
      <c r="D286" s="60"/>
      <c r="E286" s="60"/>
      <c r="F286" s="67"/>
      <c r="G286" s="60"/>
      <c r="H286" s="65" t="s">
        <v>126</v>
      </c>
      <c r="I286" s="21" t="s">
        <v>564</v>
      </c>
      <c r="J286" s="26">
        <f>+COUNTIF('ID1&amp;5'!G:G,'1. Status'!I286)</f>
        <v>0</v>
      </c>
      <c r="K286" s="83" t="str">
        <f>+IFERROR(VLOOKUP(CONCATENATE(A286,$B$10,B286),'ID1&amp;5'!B:J,8,FALSE),"-")</f>
        <v>-</v>
      </c>
      <c r="L286" s="82" t="str">
        <f>+IFERROR(VLOOKUP(B286,'ID1&amp;5'!K:L,2,FALSE),"-")</f>
        <v>-</v>
      </c>
      <c r="M286" s="83" t="str">
        <f>+IFERROR(VLOOKUP(CONCATENATE(A286,$B$10,B286),'ID1&amp;5'!B:J,9,FALSE),"-")</f>
        <v>-</v>
      </c>
      <c r="N286" s="83" t="str">
        <f>+IFERROR(VLOOKUP(CONCATENATE(A286,$C$10,C286),'ID1&amp;5'!B:J,8,FALSE),"-")</f>
        <v>-</v>
      </c>
      <c r="O286" s="82" t="str">
        <f>+IFERROR(VLOOKUP(C286,'ID1&amp;5'!K:L,2,FALSE),"-")</f>
        <v>-</v>
      </c>
      <c r="P286" s="83" t="str">
        <f>+IFERROR(VLOOKUP(CONCATENATE(A286,$C$10,C286),'ID1&amp;5'!B:J,9,FALSE),"-")</f>
        <v>-</v>
      </c>
      <c r="Q286" s="82" t="str">
        <f>+IFERROR(VLOOKUP(D286,'ID1&amp;5'!K:L,2,FALSE),"-")</f>
        <v>-</v>
      </c>
      <c r="R286" s="26" t="str">
        <f>+IFERROR(VLOOKUP(CONCATENATE(A286,$D$10,D286),'ID1&amp;5'!B:J,9,FALSE),"-")</f>
        <v>-</v>
      </c>
      <c r="S286" s="82" t="str">
        <f>+IFERROR(VLOOKUP(E286,'ID1&amp;5'!K:L,2,FALSE),"-")</f>
        <v>-</v>
      </c>
      <c r="T286" s="83" t="str">
        <f>+IFERROR(VLOOKUP(CONCATENATE(A286,$E$10,E286),'ID1&amp;5'!B:J,9,FALSE),"-")</f>
        <v>-</v>
      </c>
      <c r="U286" s="82" t="str">
        <f>+IFERROR(VLOOKUP(F286,'ID1&amp;5'!K:L,2,FALSE),"-")</f>
        <v>-</v>
      </c>
      <c r="V286" s="83" t="str">
        <f>+IFERROR(VLOOKUP(CONCATENATE(A286,$F$10,F286),'ID1&amp;5'!B:J,9,FALSE),"-")</f>
        <v>-</v>
      </c>
      <c r="W286" s="26" t="str">
        <f>+IFERROR(VLOOKUP(A286,'ID6&amp;7'!A:I,9,FALSE),"-")</f>
        <v>-</v>
      </c>
      <c r="X286" s="26" t="str">
        <f>+IFERROR(VLOOKUP(A286,'ID6&amp;7'!A:J,10,FALSE),"-")</f>
        <v>-</v>
      </c>
      <c r="Y286" s="26"/>
      <c r="Z286" s="27" t="str">
        <f t="shared" si="11"/>
        <v>Por iniciar</v>
      </c>
    </row>
    <row r="287" spans="1:26">
      <c r="A287" s="20" t="str">
        <f t="shared" si="10"/>
        <v>INSTRUMENTISSR_TYP45596</v>
      </c>
      <c r="B287" s="66"/>
      <c r="C287" s="60"/>
      <c r="D287" s="60"/>
      <c r="E287" s="60"/>
      <c r="F287" s="67"/>
      <c r="G287" s="60"/>
      <c r="H287" s="65" t="s">
        <v>126</v>
      </c>
      <c r="I287" s="21" t="s">
        <v>565</v>
      </c>
      <c r="J287" s="26">
        <f>+COUNTIF('ID1&amp;5'!G:G,'1. Status'!I287)</f>
        <v>0</v>
      </c>
      <c r="K287" s="83" t="str">
        <f>+IFERROR(VLOOKUP(CONCATENATE(A287,$B$10,B287),'ID1&amp;5'!B:J,8,FALSE),"-")</f>
        <v>-</v>
      </c>
      <c r="L287" s="82" t="str">
        <f>+IFERROR(VLOOKUP(B287,'ID1&amp;5'!K:L,2,FALSE),"-")</f>
        <v>-</v>
      </c>
      <c r="M287" s="83" t="str">
        <f>+IFERROR(VLOOKUP(CONCATENATE(A287,$B$10,B287),'ID1&amp;5'!B:J,9,FALSE),"-")</f>
        <v>-</v>
      </c>
      <c r="N287" s="83" t="str">
        <f>+IFERROR(VLOOKUP(CONCATENATE(A287,$C$10,C287),'ID1&amp;5'!B:J,8,FALSE),"-")</f>
        <v>-</v>
      </c>
      <c r="O287" s="82" t="str">
        <f>+IFERROR(VLOOKUP(C287,'ID1&amp;5'!K:L,2,FALSE),"-")</f>
        <v>-</v>
      </c>
      <c r="P287" s="83" t="str">
        <f>+IFERROR(VLOOKUP(CONCATENATE(A287,$C$10,C287),'ID1&amp;5'!B:J,9,FALSE),"-")</f>
        <v>-</v>
      </c>
      <c r="Q287" s="82" t="str">
        <f>+IFERROR(VLOOKUP(D287,'ID1&amp;5'!K:L,2,FALSE),"-")</f>
        <v>-</v>
      </c>
      <c r="R287" s="26" t="str">
        <f>+IFERROR(VLOOKUP(CONCATENATE(A287,$D$10,D287),'ID1&amp;5'!B:J,9,FALSE),"-")</f>
        <v>-</v>
      </c>
      <c r="S287" s="82" t="str">
        <f>+IFERROR(VLOOKUP(E287,'ID1&amp;5'!K:L,2,FALSE),"-")</f>
        <v>-</v>
      </c>
      <c r="T287" s="83" t="str">
        <f>+IFERROR(VLOOKUP(CONCATENATE(A287,$E$10,E287),'ID1&amp;5'!B:J,9,FALSE),"-")</f>
        <v>-</v>
      </c>
      <c r="U287" s="82" t="str">
        <f>+IFERROR(VLOOKUP(F287,'ID1&amp;5'!K:L,2,FALSE),"-")</f>
        <v>-</v>
      </c>
      <c r="V287" s="83" t="str">
        <f>+IFERROR(VLOOKUP(CONCATENATE(A287,$F$10,F287),'ID1&amp;5'!B:J,9,FALSE),"-")</f>
        <v>-</v>
      </c>
      <c r="W287" s="26" t="str">
        <f>+IFERROR(VLOOKUP(A287,'ID6&amp;7'!A:I,9,FALSE),"-")</f>
        <v>-</v>
      </c>
      <c r="X287" s="26" t="str">
        <f>+IFERROR(VLOOKUP(A287,'ID6&amp;7'!A:J,10,FALSE),"-")</f>
        <v>-</v>
      </c>
      <c r="Y287" s="26"/>
      <c r="Z287" s="27" t="str">
        <f t="shared" si="11"/>
        <v>Por iniciar</v>
      </c>
    </row>
    <row r="288" spans="1:26">
      <c r="A288" s="20" t="str">
        <f t="shared" si="10"/>
        <v>INSTRUMENTLCR_BFFR_CTGRY45596</v>
      </c>
      <c r="B288" s="66"/>
      <c r="C288" s="60"/>
      <c r="D288" s="60"/>
      <c r="E288" s="60"/>
      <c r="F288" s="67"/>
      <c r="G288" s="60"/>
      <c r="H288" s="65" t="s">
        <v>126</v>
      </c>
      <c r="I288" s="21" t="s">
        <v>566</v>
      </c>
      <c r="J288" s="26">
        <f>+COUNTIF('ID1&amp;5'!G:G,'1. Status'!I288)</f>
        <v>0</v>
      </c>
      <c r="K288" s="83" t="str">
        <f>+IFERROR(VLOOKUP(CONCATENATE(A288,$B$10,B288),'ID1&amp;5'!B:J,8,FALSE),"-")</f>
        <v>-</v>
      </c>
      <c r="L288" s="82" t="str">
        <f>+IFERROR(VLOOKUP(B288,'ID1&amp;5'!K:L,2,FALSE),"-")</f>
        <v>-</v>
      </c>
      <c r="M288" s="83" t="str">
        <f>+IFERROR(VLOOKUP(CONCATENATE(A288,$B$10,B288),'ID1&amp;5'!B:J,9,FALSE),"-")</f>
        <v>-</v>
      </c>
      <c r="N288" s="83" t="str">
        <f>+IFERROR(VLOOKUP(CONCATENATE(A288,$C$10,C288),'ID1&amp;5'!B:J,8,FALSE),"-")</f>
        <v>-</v>
      </c>
      <c r="O288" s="82" t="str">
        <f>+IFERROR(VLOOKUP(C288,'ID1&amp;5'!K:L,2,FALSE),"-")</f>
        <v>-</v>
      </c>
      <c r="P288" s="83" t="str">
        <f>+IFERROR(VLOOKUP(CONCATENATE(A288,$C$10,C288),'ID1&amp;5'!B:J,9,FALSE),"-")</f>
        <v>-</v>
      </c>
      <c r="Q288" s="82" t="str">
        <f>+IFERROR(VLOOKUP(D288,'ID1&amp;5'!K:L,2,FALSE),"-")</f>
        <v>-</v>
      </c>
      <c r="R288" s="26" t="str">
        <f>+IFERROR(VLOOKUP(CONCATENATE(A288,$D$10,D288),'ID1&amp;5'!B:J,9,FALSE),"-")</f>
        <v>-</v>
      </c>
      <c r="S288" s="82" t="str">
        <f>+IFERROR(VLOOKUP(E288,'ID1&amp;5'!K:L,2,FALSE),"-")</f>
        <v>-</v>
      </c>
      <c r="T288" s="83" t="str">
        <f>+IFERROR(VLOOKUP(CONCATENATE(A288,$E$10,E288),'ID1&amp;5'!B:J,9,FALSE),"-")</f>
        <v>-</v>
      </c>
      <c r="U288" s="82" t="str">
        <f>+IFERROR(VLOOKUP(F288,'ID1&amp;5'!K:L,2,FALSE),"-")</f>
        <v>-</v>
      </c>
      <c r="V288" s="83" t="str">
        <f>+IFERROR(VLOOKUP(CONCATENATE(A288,$F$10,F288),'ID1&amp;5'!B:J,9,FALSE),"-")</f>
        <v>-</v>
      </c>
      <c r="W288" s="26" t="str">
        <f>+IFERROR(VLOOKUP(A288,'ID6&amp;7'!A:I,9,FALSE),"-")</f>
        <v>-</v>
      </c>
      <c r="X288" s="26" t="str">
        <f>+IFERROR(VLOOKUP(A288,'ID6&amp;7'!A:J,10,FALSE),"-")</f>
        <v>-</v>
      </c>
      <c r="Y288" s="26"/>
      <c r="Z288" s="27" t="str">
        <f t="shared" si="11"/>
        <v>Por iniciar</v>
      </c>
    </row>
    <row r="289" spans="1:26">
      <c r="A289" s="20" t="str">
        <f t="shared" si="10"/>
        <v>INSTRUMENTPRCH_UNDR_RSL_AGR45596</v>
      </c>
      <c r="B289" s="66"/>
      <c r="C289" s="60"/>
      <c r="D289" s="60"/>
      <c r="E289" s="60"/>
      <c r="F289" s="67"/>
      <c r="G289" s="60"/>
      <c r="H289" s="65" t="s">
        <v>126</v>
      </c>
      <c r="I289" s="21" t="s">
        <v>567</v>
      </c>
      <c r="J289" s="26">
        <f>+COUNTIF('ID1&amp;5'!G:G,'1. Status'!I289)</f>
        <v>0</v>
      </c>
      <c r="K289" s="83" t="str">
        <f>+IFERROR(VLOOKUP(CONCATENATE(A289,$B$10,B289),'ID1&amp;5'!B:J,8,FALSE),"-")</f>
        <v>-</v>
      </c>
      <c r="L289" s="82" t="str">
        <f>+IFERROR(VLOOKUP(B289,'ID1&amp;5'!K:L,2,FALSE),"-")</f>
        <v>-</v>
      </c>
      <c r="M289" s="83" t="str">
        <f>+IFERROR(VLOOKUP(CONCATENATE(A289,$B$10,B289),'ID1&amp;5'!B:J,9,FALSE),"-")</f>
        <v>-</v>
      </c>
      <c r="N289" s="83" t="str">
        <f>+IFERROR(VLOOKUP(CONCATENATE(A289,$C$10,C289),'ID1&amp;5'!B:J,8,FALSE),"-")</f>
        <v>-</v>
      </c>
      <c r="O289" s="82" t="str">
        <f>+IFERROR(VLOOKUP(C289,'ID1&amp;5'!K:L,2,FALSE),"-")</f>
        <v>-</v>
      </c>
      <c r="P289" s="83" t="str">
        <f>+IFERROR(VLOOKUP(CONCATENATE(A289,$C$10,C289),'ID1&amp;5'!B:J,9,FALSE),"-")</f>
        <v>-</v>
      </c>
      <c r="Q289" s="82" t="str">
        <f>+IFERROR(VLOOKUP(D289,'ID1&amp;5'!K:L,2,FALSE),"-")</f>
        <v>-</v>
      </c>
      <c r="R289" s="26" t="str">
        <f>+IFERROR(VLOOKUP(CONCATENATE(A289,$D$10,D289),'ID1&amp;5'!B:J,9,FALSE),"-")</f>
        <v>-</v>
      </c>
      <c r="S289" s="82" t="str">
        <f>+IFERROR(VLOOKUP(E289,'ID1&amp;5'!K:L,2,FALSE),"-")</f>
        <v>-</v>
      </c>
      <c r="T289" s="83" t="str">
        <f>+IFERROR(VLOOKUP(CONCATENATE(A289,$E$10,E289),'ID1&amp;5'!B:J,9,FALSE),"-")</f>
        <v>-</v>
      </c>
      <c r="U289" s="82" t="str">
        <f>+IFERROR(VLOOKUP(F289,'ID1&amp;5'!K:L,2,FALSE),"-")</f>
        <v>-</v>
      </c>
      <c r="V289" s="83" t="str">
        <f>+IFERROR(VLOOKUP(CONCATENATE(A289,$F$10,F289),'ID1&amp;5'!B:J,9,FALSE),"-")</f>
        <v>-</v>
      </c>
      <c r="W289" s="26" t="str">
        <f>+IFERROR(VLOOKUP(A289,'ID6&amp;7'!A:I,9,FALSE),"-")</f>
        <v>-</v>
      </c>
      <c r="X289" s="26" t="str">
        <f>+IFERROR(VLOOKUP(A289,'ID6&amp;7'!A:J,10,FALSE),"-")</f>
        <v>-</v>
      </c>
      <c r="Y289" s="26"/>
      <c r="Z289" s="27" t="str">
        <f t="shared" si="11"/>
        <v>Por iniciar</v>
      </c>
    </row>
    <row r="290" spans="1:26">
      <c r="A290" s="20" t="str">
        <f t="shared" si="10"/>
        <v>INSTRUMENTPRDNTL_PRTFL45596</v>
      </c>
      <c r="B290" s="66"/>
      <c r="C290" s="60"/>
      <c r="D290" s="60"/>
      <c r="E290" s="60"/>
      <c r="F290" s="67"/>
      <c r="G290" s="60"/>
      <c r="H290" s="65" t="s">
        <v>126</v>
      </c>
      <c r="I290" s="21" t="s">
        <v>568</v>
      </c>
      <c r="J290" s="26">
        <f>+COUNTIF('ID1&amp;5'!G:G,'1. Status'!I290)</f>
        <v>0</v>
      </c>
      <c r="K290" s="83" t="str">
        <f>+IFERROR(VLOOKUP(CONCATENATE(A290,$B$10,B290),'ID1&amp;5'!B:J,8,FALSE),"-")</f>
        <v>-</v>
      </c>
      <c r="L290" s="82" t="str">
        <f>+IFERROR(VLOOKUP(B290,'ID1&amp;5'!K:L,2,FALSE),"-")</f>
        <v>-</v>
      </c>
      <c r="M290" s="83" t="str">
        <f>+IFERROR(VLOOKUP(CONCATENATE(A290,$B$10,B290),'ID1&amp;5'!B:J,9,FALSE),"-")</f>
        <v>-</v>
      </c>
      <c r="N290" s="83" t="str">
        <f>+IFERROR(VLOOKUP(CONCATENATE(A290,$C$10,C290),'ID1&amp;5'!B:J,8,FALSE),"-")</f>
        <v>-</v>
      </c>
      <c r="O290" s="82" t="str">
        <f>+IFERROR(VLOOKUP(C290,'ID1&amp;5'!K:L,2,FALSE),"-")</f>
        <v>-</v>
      </c>
      <c r="P290" s="83" t="str">
        <f>+IFERROR(VLOOKUP(CONCATENATE(A290,$C$10,C290),'ID1&amp;5'!B:J,9,FALSE),"-")</f>
        <v>-</v>
      </c>
      <c r="Q290" s="82" t="str">
        <f>+IFERROR(VLOOKUP(D290,'ID1&amp;5'!K:L,2,FALSE),"-")</f>
        <v>-</v>
      </c>
      <c r="R290" s="26" t="str">
        <f>+IFERROR(VLOOKUP(CONCATENATE(A290,$D$10,D290),'ID1&amp;5'!B:J,9,FALSE),"-")</f>
        <v>-</v>
      </c>
      <c r="S290" s="82" t="str">
        <f>+IFERROR(VLOOKUP(E290,'ID1&amp;5'!K:L,2,FALSE),"-")</f>
        <v>-</v>
      </c>
      <c r="T290" s="83" t="str">
        <f>+IFERROR(VLOOKUP(CONCATENATE(A290,$E$10,E290),'ID1&amp;5'!B:J,9,FALSE),"-")</f>
        <v>-</v>
      </c>
      <c r="U290" s="82" t="str">
        <f>+IFERROR(VLOOKUP(F290,'ID1&amp;5'!K:L,2,FALSE),"-")</f>
        <v>-</v>
      </c>
      <c r="V290" s="83" t="str">
        <f>+IFERROR(VLOOKUP(CONCATENATE(A290,$F$10,F290),'ID1&amp;5'!B:J,9,FALSE),"-")</f>
        <v>-</v>
      </c>
      <c r="W290" s="26" t="str">
        <f>+IFERROR(VLOOKUP(A290,'ID6&amp;7'!A:I,9,FALSE),"-")</f>
        <v>-</v>
      </c>
      <c r="X290" s="26" t="str">
        <f>+IFERROR(VLOOKUP(A290,'ID6&amp;7'!A:J,10,FALSE),"-")</f>
        <v>-</v>
      </c>
      <c r="Y290" s="26"/>
      <c r="Z290" s="27" t="str">
        <f t="shared" si="11"/>
        <v>Por iniciar</v>
      </c>
    </row>
    <row r="291" spans="1:26">
      <c r="A291" s="20" t="str">
        <f t="shared" si="10"/>
        <v>INSTRUMENTPRMRY_ASST_CLSSF45596</v>
      </c>
      <c r="B291" s="66"/>
      <c r="C291" s="60"/>
      <c r="D291" s="60"/>
      <c r="E291" s="60"/>
      <c r="F291" s="67"/>
      <c r="G291" s="60"/>
      <c r="H291" s="65" t="s">
        <v>126</v>
      </c>
      <c r="I291" s="21" t="s">
        <v>107</v>
      </c>
      <c r="J291" s="26">
        <f>+COUNTIF('ID1&amp;5'!G:G,'1. Status'!I291)</f>
        <v>0</v>
      </c>
      <c r="K291" s="83" t="str">
        <f>+IFERROR(VLOOKUP(CONCATENATE(A291,$B$10,B291),'ID1&amp;5'!B:J,8,FALSE),"-")</f>
        <v>-</v>
      </c>
      <c r="L291" s="82" t="str">
        <f>+IFERROR(VLOOKUP(B291,'ID1&amp;5'!K:L,2,FALSE),"-")</f>
        <v>-</v>
      </c>
      <c r="M291" s="83" t="str">
        <f>+IFERROR(VLOOKUP(CONCATENATE(A291,$B$10,B291),'ID1&amp;5'!B:J,9,FALSE),"-")</f>
        <v>-</v>
      </c>
      <c r="N291" s="83" t="str">
        <f>+IFERROR(VLOOKUP(CONCATENATE(A291,$C$10,C291),'ID1&amp;5'!B:J,8,FALSE),"-")</f>
        <v>-</v>
      </c>
      <c r="O291" s="82" t="str">
        <f>+IFERROR(VLOOKUP(C291,'ID1&amp;5'!K:L,2,FALSE),"-")</f>
        <v>-</v>
      </c>
      <c r="P291" s="83" t="str">
        <f>+IFERROR(VLOOKUP(CONCATENATE(A291,$C$10,C291),'ID1&amp;5'!B:J,9,FALSE),"-")</f>
        <v>-</v>
      </c>
      <c r="Q291" s="82" t="str">
        <f>+IFERROR(VLOOKUP(D291,'ID1&amp;5'!K:L,2,FALSE),"-")</f>
        <v>-</v>
      </c>
      <c r="R291" s="26" t="str">
        <f>+IFERROR(VLOOKUP(CONCATENATE(A291,$D$10,D291),'ID1&amp;5'!B:J,9,FALSE),"-")</f>
        <v>-</v>
      </c>
      <c r="S291" s="82" t="str">
        <f>+IFERROR(VLOOKUP(E291,'ID1&amp;5'!K:L,2,FALSE),"-")</f>
        <v>-</v>
      </c>
      <c r="T291" s="83" t="str">
        <f>+IFERROR(VLOOKUP(CONCATENATE(A291,$E$10,E291),'ID1&amp;5'!B:J,9,FALSE),"-")</f>
        <v>-</v>
      </c>
      <c r="U291" s="82" t="str">
        <f>+IFERROR(VLOOKUP(F291,'ID1&amp;5'!K:L,2,FALSE),"-")</f>
        <v>-</v>
      </c>
      <c r="V291" s="83" t="str">
        <f>+IFERROR(VLOOKUP(CONCATENATE(A291,$F$10,F291),'ID1&amp;5'!B:J,9,FALSE),"-")</f>
        <v>-</v>
      </c>
      <c r="W291" s="26" t="str">
        <f>+IFERROR(VLOOKUP(A291,'ID6&amp;7'!A:I,9,FALSE),"-")</f>
        <v>-</v>
      </c>
      <c r="X291" s="26" t="str">
        <f>+IFERROR(VLOOKUP(A291,'ID6&amp;7'!A:J,10,FALSE),"-")</f>
        <v>-</v>
      </c>
      <c r="Y291" s="26"/>
      <c r="Z291" s="27" t="str">
        <f t="shared" si="11"/>
        <v>Por iniciar</v>
      </c>
    </row>
    <row r="292" spans="1:26">
      <c r="A292" s="20" t="str">
        <f t="shared" si="10"/>
        <v>INSTRUMENTPRT_LCR_BFFR45596</v>
      </c>
      <c r="B292" s="66"/>
      <c r="C292" s="60"/>
      <c r="D292" s="60"/>
      <c r="E292" s="60"/>
      <c r="F292" s="67"/>
      <c r="G292" s="60"/>
      <c r="H292" s="65" t="s">
        <v>126</v>
      </c>
      <c r="I292" s="21" t="s">
        <v>569</v>
      </c>
      <c r="J292" s="26">
        <f>+COUNTIF('ID1&amp;5'!G:G,'1. Status'!I292)</f>
        <v>0</v>
      </c>
      <c r="K292" s="83" t="str">
        <f>+IFERROR(VLOOKUP(CONCATENATE(A292,$B$10,B292),'ID1&amp;5'!B:J,8,FALSE),"-")</f>
        <v>-</v>
      </c>
      <c r="L292" s="82" t="str">
        <f>+IFERROR(VLOOKUP(B292,'ID1&amp;5'!K:L,2,FALSE),"-")</f>
        <v>-</v>
      </c>
      <c r="M292" s="83" t="str">
        <f>+IFERROR(VLOOKUP(CONCATENATE(A292,$B$10,B292),'ID1&amp;5'!B:J,9,FALSE),"-")</f>
        <v>-</v>
      </c>
      <c r="N292" s="83" t="str">
        <f>+IFERROR(VLOOKUP(CONCATENATE(A292,$C$10,C292),'ID1&amp;5'!B:J,8,FALSE),"-")</f>
        <v>-</v>
      </c>
      <c r="O292" s="82" t="str">
        <f>+IFERROR(VLOOKUP(C292,'ID1&amp;5'!K:L,2,FALSE),"-")</f>
        <v>-</v>
      </c>
      <c r="P292" s="83" t="str">
        <f>+IFERROR(VLOOKUP(CONCATENATE(A292,$C$10,C292),'ID1&amp;5'!B:J,9,FALSE),"-")</f>
        <v>-</v>
      </c>
      <c r="Q292" s="82" t="str">
        <f>+IFERROR(VLOOKUP(D292,'ID1&amp;5'!K:L,2,FALSE),"-")</f>
        <v>-</v>
      </c>
      <c r="R292" s="26" t="str">
        <f>+IFERROR(VLOOKUP(CONCATENATE(A292,$D$10,D292),'ID1&amp;5'!B:J,9,FALSE),"-")</f>
        <v>-</v>
      </c>
      <c r="S292" s="82" t="str">
        <f>+IFERROR(VLOOKUP(E292,'ID1&amp;5'!K:L,2,FALSE),"-")</f>
        <v>-</v>
      </c>
      <c r="T292" s="83" t="str">
        <f>+IFERROR(VLOOKUP(CONCATENATE(A292,$E$10,E292),'ID1&amp;5'!B:J,9,FALSE),"-")</f>
        <v>-</v>
      </c>
      <c r="U292" s="82" t="str">
        <f>+IFERROR(VLOOKUP(F292,'ID1&amp;5'!K:L,2,FALSE),"-")</f>
        <v>-</v>
      </c>
      <c r="V292" s="83" t="str">
        <f>+IFERROR(VLOOKUP(CONCATENATE(A292,$F$10,F292),'ID1&amp;5'!B:J,9,FALSE),"-")</f>
        <v>-</v>
      </c>
      <c r="W292" s="26" t="str">
        <f>+IFERROR(VLOOKUP(A292,'ID6&amp;7'!A:I,9,FALSE),"-")</f>
        <v>-</v>
      </c>
      <c r="X292" s="26" t="str">
        <f>+IFERROR(VLOOKUP(A292,'ID6&amp;7'!A:J,10,FALSE),"-")</f>
        <v>-</v>
      </c>
      <c r="Y292" s="26"/>
      <c r="Z292" s="27" t="str">
        <f t="shared" si="11"/>
        <v>Por iniciar</v>
      </c>
    </row>
    <row r="293" spans="1:26">
      <c r="A293" s="20" t="str">
        <f t="shared" si="10"/>
        <v>INSTRUMENTSPRD45596</v>
      </c>
      <c r="B293" s="66"/>
      <c r="C293" s="60"/>
      <c r="D293" s="60"/>
      <c r="E293" s="60"/>
      <c r="F293" s="67"/>
      <c r="G293" s="60"/>
      <c r="H293" s="65" t="s">
        <v>126</v>
      </c>
      <c r="I293" s="21" t="s">
        <v>571</v>
      </c>
      <c r="J293" s="26">
        <f>+COUNTIF('ID1&amp;5'!G:G,'1. Status'!I293)</f>
        <v>0</v>
      </c>
      <c r="K293" s="83" t="str">
        <f>+IFERROR(VLOOKUP(CONCATENATE(A293,$B$10,B293),'ID1&amp;5'!B:J,8,FALSE),"-")</f>
        <v>-</v>
      </c>
      <c r="L293" s="82" t="str">
        <f>+IFERROR(VLOOKUP(B293,'ID1&amp;5'!K:L,2,FALSE),"-")</f>
        <v>-</v>
      </c>
      <c r="M293" s="83" t="str">
        <f>+IFERROR(VLOOKUP(CONCATENATE(A293,$B$10,B293),'ID1&amp;5'!B:J,9,FALSE),"-")</f>
        <v>-</v>
      </c>
      <c r="N293" s="83" t="str">
        <f>+IFERROR(VLOOKUP(CONCATENATE(A293,$C$10,C293),'ID1&amp;5'!B:J,8,FALSE),"-")</f>
        <v>-</v>
      </c>
      <c r="O293" s="82" t="str">
        <f>+IFERROR(VLOOKUP(C293,'ID1&amp;5'!K:L,2,FALSE),"-")</f>
        <v>-</v>
      </c>
      <c r="P293" s="83" t="str">
        <f>+IFERROR(VLOOKUP(CONCATENATE(A293,$C$10,C293),'ID1&amp;5'!B:J,9,FALSE),"-")</f>
        <v>-</v>
      </c>
      <c r="Q293" s="82" t="str">
        <f>+IFERROR(VLOOKUP(D293,'ID1&amp;5'!K:L,2,FALSE),"-")</f>
        <v>-</v>
      </c>
      <c r="R293" s="26" t="str">
        <f>+IFERROR(VLOOKUP(CONCATENATE(A293,$D$10,D293),'ID1&amp;5'!B:J,9,FALSE),"-")</f>
        <v>-</v>
      </c>
      <c r="S293" s="82" t="str">
        <f>+IFERROR(VLOOKUP(E293,'ID1&amp;5'!K:L,2,FALSE),"-")</f>
        <v>-</v>
      </c>
      <c r="T293" s="83" t="str">
        <f>+IFERROR(VLOOKUP(CONCATENATE(A293,$E$10,E293),'ID1&amp;5'!B:J,9,FALSE),"-")</f>
        <v>-</v>
      </c>
      <c r="U293" s="82" t="str">
        <f>+IFERROR(VLOOKUP(F293,'ID1&amp;5'!K:L,2,FALSE),"-")</f>
        <v>-</v>
      </c>
      <c r="V293" s="83" t="str">
        <f>+IFERROR(VLOOKUP(CONCATENATE(A293,$F$10,F293),'ID1&amp;5'!B:J,9,FALSE),"-")</f>
        <v>-</v>
      </c>
      <c r="W293" s="26" t="str">
        <f>+IFERROR(VLOOKUP(A293,'ID6&amp;7'!A:I,9,FALSE),"-")</f>
        <v>-</v>
      </c>
      <c r="X293" s="26" t="str">
        <f>+IFERROR(VLOOKUP(A293,'ID6&amp;7'!A:J,10,FALSE),"-")</f>
        <v>-</v>
      </c>
      <c r="Y293" s="26"/>
      <c r="Z293" s="27" t="str">
        <f t="shared" si="11"/>
        <v>Por iniciar</v>
      </c>
    </row>
    <row r="294" spans="1:26">
      <c r="A294" s="20" t="str">
        <f t="shared" si="10"/>
        <v>INSTRUMENTSRCS_ENCMBRNC45596</v>
      </c>
      <c r="B294" s="66"/>
      <c r="C294" s="60"/>
      <c r="D294" s="60"/>
      <c r="E294" s="60"/>
      <c r="F294" s="67"/>
      <c r="G294" s="60"/>
      <c r="H294" s="65" t="s">
        <v>126</v>
      </c>
      <c r="I294" s="21" t="s">
        <v>572</v>
      </c>
      <c r="J294" s="26">
        <f>+COUNTIF('ID1&amp;5'!G:G,'1. Status'!I294)</f>
        <v>0</v>
      </c>
      <c r="K294" s="83" t="str">
        <f>+IFERROR(VLOOKUP(CONCATENATE(A294,$B$10,B294),'ID1&amp;5'!B:J,8,FALSE),"-")</f>
        <v>-</v>
      </c>
      <c r="L294" s="82" t="str">
        <f>+IFERROR(VLOOKUP(B294,'ID1&amp;5'!K:L,2,FALSE),"-")</f>
        <v>-</v>
      </c>
      <c r="M294" s="83" t="str">
        <f>+IFERROR(VLOOKUP(CONCATENATE(A294,$B$10,B294),'ID1&amp;5'!B:J,9,FALSE),"-")</f>
        <v>-</v>
      </c>
      <c r="N294" s="83" t="str">
        <f>+IFERROR(VLOOKUP(CONCATENATE(A294,$C$10,C294),'ID1&amp;5'!B:J,8,FALSE),"-")</f>
        <v>-</v>
      </c>
      <c r="O294" s="82" t="str">
        <f>+IFERROR(VLOOKUP(C294,'ID1&amp;5'!K:L,2,FALSE),"-")</f>
        <v>-</v>
      </c>
      <c r="P294" s="83" t="str">
        <f>+IFERROR(VLOOKUP(CONCATENATE(A294,$C$10,C294),'ID1&amp;5'!B:J,9,FALSE),"-")</f>
        <v>-</v>
      </c>
      <c r="Q294" s="82" t="str">
        <f>+IFERROR(VLOOKUP(D294,'ID1&amp;5'!K:L,2,FALSE),"-")</f>
        <v>-</v>
      </c>
      <c r="R294" s="26" t="str">
        <f>+IFERROR(VLOOKUP(CONCATENATE(A294,$D$10,D294),'ID1&amp;5'!B:J,9,FALSE),"-")</f>
        <v>-</v>
      </c>
      <c r="S294" s="82" t="str">
        <f>+IFERROR(VLOOKUP(E294,'ID1&amp;5'!K:L,2,FALSE),"-")</f>
        <v>-</v>
      </c>
      <c r="T294" s="83" t="str">
        <f>+IFERROR(VLOOKUP(CONCATENATE(A294,$E$10,E294),'ID1&amp;5'!B:J,9,FALSE),"-")</f>
        <v>-</v>
      </c>
      <c r="U294" s="82" t="str">
        <f>+IFERROR(VLOOKUP(F294,'ID1&amp;5'!K:L,2,FALSE),"-")</f>
        <v>-</v>
      </c>
      <c r="V294" s="83" t="str">
        <f>+IFERROR(VLOOKUP(CONCATENATE(A294,$F$10,F294),'ID1&amp;5'!B:J,9,FALSE),"-")</f>
        <v>-</v>
      </c>
      <c r="W294" s="26" t="str">
        <f>+IFERROR(VLOOKUP(A294,'ID6&amp;7'!A:I,9,FALSE),"-")</f>
        <v>-</v>
      </c>
      <c r="X294" s="26" t="str">
        <f>+IFERROR(VLOOKUP(A294,'ID6&amp;7'!A:J,10,FALSE),"-")</f>
        <v>-</v>
      </c>
      <c r="Y294" s="26"/>
      <c r="Z294" s="27" t="str">
        <f t="shared" si="11"/>
        <v>Por iniciar</v>
      </c>
    </row>
    <row r="295" spans="1:26">
      <c r="A295" s="20" t="str">
        <f t="shared" si="10"/>
        <v>INSTRUMENTTYPE_OF_PLCMNT45596</v>
      </c>
      <c r="B295" s="66"/>
      <c r="C295" s="60"/>
      <c r="D295" s="60"/>
      <c r="E295" s="60"/>
      <c r="F295" s="67"/>
      <c r="G295" s="60"/>
      <c r="H295" s="65" t="s">
        <v>126</v>
      </c>
      <c r="I295" s="21" t="s">
        <v>573</v>
      </c>
      <c r="J295" s="26">
        <f>+COUNTIF('ID1&amp;5'!G:G,'1. Status'!I295)</f>
        <v>0</v>
      </c>
      <c r="K295" s="83" t="str">
        <f>+IFERROR(VLOOKUP(CONCATENATE(A295,$B$10,B295),'ID1&amp;5'!B:J,8,FALSE),"-")</f>
        <v>-</v>
      </c>
      <c r="L295" s="82" t="str">
        <f>+IFERROR(VLOOKUP(B295,'ID1&amp;5'!K:L,2,FALSE),"-")</f>
        <v>-</v>
      </c>
      <c r="M295" s="83" t="str">
        <f>+IFERROR(VLOOKUP(CONCATENATE(A295,$B$10,B295),'ID1&amp;5'!B:J,9,FALSE),"-")</f>
        <v>-</v>
      </c>
      <c r="N295" s="83" t="str">
        <f>+IFERROR(VLOOKUP(CONCATENATE(A295,$C$10,C295),'ID1&amp;5'!B:J,8,FALSE),"-")</f>
        <v>-</v>
      </c>
      <c r="O295" s="82" t="str">
        <f>+IFERROR(VLOOKUP(C295,'ID1&amp;5'!K:L,2,FALSE),"-")</f>
        <v>-</v>
      </c>
      <c r="P295" s="83" t="str">
        <f>+IFERROR(VLOOKUP(CONCATENATE(A295,$C$10,C295),'ID1&amp;5'!B:J,9,FALSE),"-")</f>
        <v>-</v>
      </c>
      <c r="Q295" s="82" t="str">
        <f>+IFERROR(VLOOKUP(D295,'ID1&amp;5'!K:L,2,FALSE),"-")</f>
        <v>-</v>
      </c>
      <c r="R295" s="26" t="str">
        <f>+IFERROR(VLOOKUP(CONCATENATE(A295,$D$10,D295),'ID1&amp;5'!B:J,9,FALSE),"-")</f>
        <v>-</v>
      </c>
      <c r="S295" s="82" t="str">
        <f>+IFERROR(VLOOKUP(E295,'ID1&amp;5'!K:L,2,FALSE),"-")</f>
        <v>-</v>
      </c>
      <c r="T295" s="83" t="str">
        <f>+IFERROR(VLOOKUP(CONCATENATE(A295,$E$10,E295),'ID1&amp;5'!B:J,9,FALSE),"-")</f>
        <v>-</v>
      </c>
      <c r="U295" s="82" t="str">
        <f>+IFERROR(VLOOKUP(F295,'ID1&amp;5'!K:L,2,FALSE),"-")</f>
        <v>-</v>
      </c>
      <c r="V295" s="83" t="str">
        <f>+IFERROR(VLOOKUP(CONCATENATE(A295,$F$10,F295),'ID1&amp;5'!B:J,9,FALSE),"-")</f>
        <v>-</v>
      </c>
      <c r="W295" s="26" t="str">
        <f>+IFERROR(VLOOKUP(A295,'ID6&amp;7'!A:I,9,FALSE),"-")</f>
        <v>-</v>
      </c>
      <c r="X295" s="26" t="str">
        <f>+IFERROR(VLOOKUP(A295,'ID6&amp;7'!A:J,10,FALSE),"-")</f>
        <v>-</v>
      </c>
      <c r="Y295" s="26"/>
      <c r="Z295" s="27" t="str">
        <f t="shared" si="11"/>
        <v>Por iniciar</v>
      </c>
    </row>
    <row r="296" spans="1:26">
      <c r="A296" s="20" t="str">
        <f t="shared" si="10"/>
        <v>INSTRUMENTVLTN_CRRNCY45596</v>
      </c>
      <c r="B296" s="66"/>
      <c r="C296" s="60"/>
      <c r="D296" s="60"/>
      <c r="E296" s="60"/>
      <c r="F296" s="67"/>
      <c r="G296" s="60"/>
      <c r="H296" s="65" t="s">
        <v>126</v>
      </c>
      <c r="I296" s="21" t="s">
        <v>574</v>
      </c>
      <c r="J296" s="26">
        <f>+COUNTIF('ID1&amp;5'!G:G,'1. Status'!I296)</f>
        <v>0</v>
      </c>
      <c r="K296" s="83" t="str">
        <f>+IFERROR(VLOOKUP(CONCATENATE(A296,$B$10,B296),'ID1&amp;5'!B:J,8,FALSE),"-")</f>
        <v>-</v>
      </c>
      <c r="L296" s="82" t="str">
        <f>+IFERROR(VLOOKUP(B296,'ID1&amp;5'!K:L,2,FALSE),"-")</f>
        <v>-</v>
      </c>
      <c r="M296" s="83" t="str">
        <f>+IFERROR(VLOOKUP(CONCATENATE(A296,$B$10,B296),'ID1&amp;5'!B:J,9,FALSE),"-")</f>
        <v>-</v>
      </c>
      <c r="N296" s="83" t="str">
        <f>+IFERROR(VLOOKUP(CONCATENATE(A296,$C$10,C296),'ID1&amp;5'!B:J,8,FALSE),"-")</f>
        <v>-</v>
      </c>
      <c r="O296" s="82" t="str">
        <f>+IFERROR(VLOOKUP(C296,'ID1&amp;5'!K:L,2,FALSE),"-")</f>
        <v>-</v>
      </c>
      <c r="P296" s="83" t="str">
        <f>+IFERROR(VLOOKUP(CONCATENATE(A296,$C$10,C296),'ID1&amp;5'!B:J,9,FALSE),"-")</f>
        <v>-</v>
      </c>
      <c r="Q296" s="82" t="str">
        <f>+IFERROR(VLOOKUP(D296,'ID1&amp;5'!K:L,2,FALSE),"-")</f>
        <v>-</v>
      </c>
      <c r="R296" s="26" t="str">
        <f>+IFERROR(VLOOKUP(CONCATENATE(A296,$D$10,D296),'ID1&amp;5'!B:J,9,FALSE),"-")</f>
        <v>-</v>
      </c>
      <c r="S296" s="82" t="str">
        <f>+IFERROR(VLOOKUP(E296,'ID1&amp;5'!K:L,2,FALSE),"-")</f>
        <v>-</v>
      </c>
      <c r="T296" s="83" t="str">
        <f>+IFERROR(VLOOKUP(CONCATENATE(A296,$E$10,E296),'ID1&amp;5'!B:J,9,FALSE),"-")</f>
        <v>-</v>
      </c>
      <c r="U296" s="82" t="str">
        <f>+IFERROR(VLOOKUP(F296,'ID1&amp;5'!K:L,2,FALSE),"-")</f>
        <v>-</v>
      </c>
      <c r="V296" s="83" t="str">
        <f>+IFERROR(VLOOKUP(CONCATENATE(A296,$F$10,F296),'ID1&amp;5'!B:J,9,FALSE),"-")</f>
        <v>-</v>
      </c>
      <c r="W296" s="26" t="str">
        <f>+IFERROR(VLOOKUP(A296,'ID6&amp;7'!A:I,9,FALSE),"-")</f>
        <v>-</v>
      </c>
      <c r="X296" s="26" t="str">
        <f>+IFERROR(VLOOKUP(A296,'ID6&amp;7'!A:J,10,FALSE),"-")</f>
        <v>-</v>
      </c>
      <c r="Y296" s="26"/>
      <c r="Z296" s="27" t="str">
        <f t="shared" si="11"/>
        <v>Por iniciar</v>
      </c>
    </row>
    <row r="297" spans="1:26">
      <c r="A297" s="20" t="str">
        <f t="shared" si="10"/>
        <v>INSTRUMENTVLTN_TYP45596</v>
      </c>
      <c r="B297" s="66"/>
      <c r="C297" s="60"/>
      <c r="D297" s="60"/>
      <c r="E297" s="60"/>
      <c r="F297" s="67"/>
      <c r="G297" s="60"/>
      <c r="H297" s="65" t="s">
        <v>126</v>
      </c>
      <c r="I297" s="21" t="s">
        <v>575</v>
      </c>
      <c r="J297" s="26">
        <f>+COUNTIF('ID1&amp;5'!G:G,'1. Status'!I297)</f>
        <v>0</v>
      </c>
      <c r="K297" s="83" t="str">
        <f>+IFERROR(VLOOKUP(CONCATENATE(A297,$B$10,B297),'ID1&amp;5'!B:J,8,FALSE),"-")</f>
        <v>-</v>
      </c>
      <c r="L297" s="82" t="str">
        <f>+IFERROR(VLOOKUP(B297,'ID1&amp;5'!K:L,2,FALSE),"-")</f>
        <v>-</v>
      </c>
      <c r="M297" s="83" t="str">
        <f>+IFERROR(VLOOKUP(CONCATENATE(A297,$B$10,B297),'ID1&amp;5'!B:J,9,FALSE),"-")</f>
        <v>-</v>
      </c>
      <c r="N297" s="83" t="str">
        <f>+IFERROR(VLOOKUP(CONCATENATE(A297,$C$10,C297),'ID1&amp;5'!B:J,8,FALSE),"-")</f>
        <v>-</v>
      </c>
      <c r="O297" s="82" t="str">
        <f>+IFERROR(VLOOKUP(C297,'ID1&amp;5'!K:L,2,FALSE),"-")</f>
        <v>-</v>
      </c>
      <c r="P297" s="83" t="str">
        <f>+IFERROR(VLOOKUP(CONCATENATE(A297,$C$10,C297),'ID1&amp;5'!B:J,9,FALSE),"-")</f>
        <v>-</v>
      </c>
      <c r="Q297" s="82" t="str">
        <f>+IFERROR(VLOOKUP(D297,'ID1&amp;5'!K:L,2,FALSE),"-")</f>
        <v>-</v>
      </c>
      <c r="R297" s="26" t="str">
        <f>+IFERROR(VLOOKUP(CONCATENATE(A297,$D$10,D297),'ID1&amp;5'!B:J,9,FALSE),"-")</f>
        <v>-</v>
      </c>
      <c r="S297" s="82" t="str">
        <f>+IFERROR(VLOOKUP(E297,'ID1&amp;5'!K:L,2,FALSE),"-")</f>
        <v>-</v>
      </c>
      <c r="T297" s="83" t="str">
        <f>+IFERROR(VLOOKUP(CONCATENATE(A297,$E$10,E297),'ID1&amp;5'!B:J,9,FALSE),"-")</f>
        <v>-</v>
      </c>
      <c r="U297" s="82" t="str">
        <f>+IFERROR(VLOOKUP(F297,'ID1&amp;5'!K:L,2,FALSE),"-")</f>
        <v>-</v>
      </c>
      <c r="V297" s="83" t="str">
        <f>+IFERROR(VLOOKUP(CONCATENATE(A297,$F$10,F297),'ID1&amp;5'!B:J,9,FALSE),"-")</f>
        <v>-</v>
      </c>
      <c r="W297" s="26" t="str">
        <f>+IFERROR(VLOOKUP(A297,'ID6&amp;7'!A:I,9,FALSE),"-")</f>
        <v>-</v>
      </c>
      <c r="X297" s="26" t="str">
        <f>+IFERROR(VLOOKUP(A297,'ID6&amp;7'!A:J,10,FALSE),"-")</f>
        <v>-</v>
      </c>
      <c r="Y297" s="26"/>
      <c r="Z297" s="27" t="str">
        <f t="shared" si="11"/>
        <v>Por iniciar</v>
      </c>
    </row>
    <row r="298" spans="1:26">
      <c r="A298" s="20" t="str">
        <f t="shared" si="10"/>
        <v>INSTRUMENTLVRG_FNNC_FLG45596</v>
      </c>
      <c r="B298" s="66"/>
      <c r="C298" s="60"/>
      <c r="D298" s="60"/>
      <c r="E298" s="60"/>
      <c r="F298" s="67"/>
      <c r="G298" s="60"/>
      <c r="H298" s="65" t="s">
        <v>126</v>
      </c>
      <c r="I298" s="21" t="s">
        <v>576</v>
      </c>
      <c r="J298" s="26">
        <f>+COUNTIF('ID1&amp;5'!G:G,'1. Status'!I298)</f>
        <v>0</v>
      </c>
      <c r="K298" s="83" t="str">
        <f>+IFERROR(VLOOKUP(CONCATENATE(A298,$B$10,B298),'ID1&amp;5'!B:J,8,FALSE),"-")</f>
        <v>-</v>
      </c>
      <c r="L298" s="82" t="str">
        <f>+IFERROR(VLOOKUP(B298,'ID1&amp;5'!K:L,2,FALSE),"-")</f>
        <v>-</v>
      </c>
      <c r="M298" s="83" t="str">
        <f>+IFERROR(VLOOKUP(CONCATENATE(A298,$B$10,B298),'ID1&amp;5'!B:J,9,FALSE),"-")</f>
        <v>-</v>
      </c>
      <c r="N298" s="83" t="str">
        <f>+IFERROR(VLOOKUP(CONCATENATE(A298,$C$10,C298),'ID1&amp;5'!B:J,8,FALSE),"-")</f>
        <v>-</v>
      </c>
      <c r="O298" s="82" t="str">
        <f>+IFERROR(VLOOKUP(C298,'ID1&amp;5'!K:L,2,FALSE),"-")</f>
        <v>-</v>
      </c>
      <c r="P298" s="83" t="str">
        <f>+IFERROR(VLOOKUP(CONCATENATE(A298,$C$10,C298),'ID1&amp;5'!B:J,9,FALSE),"-")</f>
        <v>-</v>
      </c>
      <c r="Q298" s="82" t="str">
        <f>+IFERROR(VLOOKUP(D298,'ID1&amp;5'!K:L,2,FALSE),"-")</f>
        <v>-</v>
      </c>
      <c r="R298" s="26" t="str">
        <f>+IFERROR(VLOOKUP(CONCATENATE(A298,$D$10,D298),'ID1&amp;5'!B:J,9,FALSE),"-")</f>
        <v>-</v>
      </c>
      <c r="S298" s="82" t="str">
        <f>+IFERROR(VLOOKUP(E298,'ID1&amp;5'!K:L,2,FALSE),"-")</f>
        <v>-</v>
      </c>
      <c r="T298" s="83" t="str">
        <f>+IFERROR(VLOOKUP(CONCATENATE(A298,$E$10,E298),'ID1&amp;5'!B:J,9,FALSE),"-")</f>
        <v>-</v>
      </c>
      <c r="U298" s="82" t="str">
        <f>+IFERROR(VLOOKUP(F298,'ID1&amp;5'!K:L,2,FALSE),"-")</f>
        <v>-</v>
      </c>
      <c r="V298" s="83" t="str">
        <f>+IFERROR(VLOOKUP(CONCATENATE(A298,$F$10,F298),'ID1&amp;5'!B:J,9,FALSE),"-")</f>
        <v>-</v>
      </c>
      <c r="W298" s="26" t="str">
        <f>+IFERROR(VLOOKUP(A298,'ID6&amp;7'!A:I,9,FALSE),"-")</f>
        <v>-</v>
      </c>
      <c r="X298" s="26" t="str">
        <f>+IFERROR(VLOOKUP(A298,'ID6&amp;7'!A:J,10,FALSE),"-")</f>
        <v>-</v>
      </c>
      <c r="Y298" s="26"/>
      <c r="Z298" s="27" t="str">
        <f t="shared" si="11"/>
        <v>Por iniciar</v>
      </c>
    </row>
    <row r="299" spans="1:26">
      <c r="A299" s="20" t="str">
        <f t="shared" si="10"/>
        <v>INSTRUMENTINTRNL_SGMNT_IFRS945596</v>
      </c>
      <c r="B299" s="66"/>
      <c r="C299" s="60"/>
      <c r="D299" s="60"/>
      <c r="E299" s="60"/>
      <c r="F299" s="67"/>
      <c r="G299" s="60"/>
      <c r="H299" s="65" t="s">
        <v>126</v>
      </c>
      <c r="I299" s="21" t="s">
        <v>577</v>
      </c>
      <c r="J299" s="26">
        <f>+COUNTIF('ID1&amp;5'!G:G,'1. Status'!I299)</f>
        <v>0</v>
      </c>
      <c r="K299" s="83" t="str">
        <f>+IFERROR(VLOOKUP(CONCATENATE(A299,$B$10,B299),'ID1&amp;5'!B:J,8,FALSE),"-")</f>
        <v>-</v>
      </c>
      <c r="L299" s="82" t="str">
        <f>+IFERROR(VLOOKUP(B299,'ID1&amp;5'!K:L,2,FALSE),"-")</f>
        <v>-</v>
      </c>
      <c r="M299" s="83" t="str">
        <f>+IFERROR(VLOOKUP(CONCATENATE(A299,$B$10,B299),'ID1&amp;5'!B:J,9,FALSE),"-")</f>
        <v>-</v>
      </c>
      <c r="N299" s="83" t="str">
        <f>+IFERROR(VLOOKUP(CONCATENATE(A299,$C$10,C299),'ID1&amp;5'!B:J,8,FALSE),"-")</f>
        <v>-</v>
      </c>
      <c r="O299" s="82" t="str">
        <f>+IFERROR(VLOOKUP(C299,'ID1&amp;5'!K:L,2,FALSE),"-")</f>
        <v>-</v>
      </c>
      <c r="P299" s="83" t="str">
        <f>+IFERROR(VLOOKUP(CONCATENATE(A299,$C$10,C299),'ID1&amp;5'!B:J,9,FALSE),"-")</f>
        <v>-</v>
      </c>
      <c r="Q299" s="82" t="str">
        <f>+IFERROR(VLOOKUP(D299,'ID1&amp;5'!K:L,2,FALSE),"-")</f>
        <v>-</v>
      </c>
      <c r="R299" s="26" t="str">
        <f>+IFERROR(VLOOKUP(CONCATENATE(A299,$D$10,D299),'ID1&amp;5'!B:J,9,FALSE),"-")</f>
        <v>-</v>
      </c>
      <c r="S299" s="82" t="str">
        <f>+IFERROR(VLOOKUP(E299,'ID1&amp;5'!K:L,2,FALSE),"-")</f>
        <v>-</v>
      </c>
      <c r="T299" s="83" t="str">
        <f>+IFERROR(VLOOKUP(CONCATENATE(A299,$E$10,E299),'ID1&amp;5'!B:J,9,FALSE),"-")</f>
        <v>-</v>
      </c>
      <c r="U299" s="82" t="str">
        <f>+IFERROR(VLOOKUP(F299,'ID1&amp;5'!K:L,2,FALSE),"-")</f>
        <v>-</v>
      </c>
      <c r="V299" s="83" t="str">
        <f>+IFERROR(VLOOKUP(CONCATENATE(A299,$F$10,F299),'ID1&amp;5'!B:J,9,FALSE),"-")</f>
        <v>-</v>
      </c>
      <c r="W299" s="26" t="str">
        <f>+IFERROR(VLOOKUP(A299,'ID6&amp;7'!A:I,9,FALSE),"-")</f>
        <v>-</v>
      </c>
      <c r="X299" s="26" t="str">
        <f>+IFERROR(VLOOKUP(A299,'ID6&amp;7'!A:J,10,FALSE),"-")</f>
        <v>-</v>
      </c>
      <c r="Y299" s="26"/>
      <c r="Z299" s="27" t="str">
        <f t="shared" si="11"/>
        <v>Por iniciar</v>
      </c>
    </row>
    <row r="300" spans="1:26">
      <c r="A300" s="20" t="str">
        <f t="shared" si="10"/>
        <v>INSTRUMENTINTRNL_SGMNT_CAT_MSTA45596</v>
      </c>
      <c r="B300" s="66"/>
      <c r="C300" s="60"/>
      <c r="D300" s="60"/>
      <c r="E300" s="60"/>
      <c r="F300" s="67"/>
      <c r="G300" s="60"/>
      <c r="H300" s="65" t="s">
        <v>126</v>
      </c>
      <c r="I300" s="21" t="s">
        <v>578</v>
      </c>
      <c r="J300" s="26">
        <f>+COUNTIF('ID1&amp;5'!G:G,'1. Status'!I300)</f>
        <v>0</v>
      </c>
      <c r="K300" s="83" t="str">
        <f>+IFERROR(VLOOKUP(CONCATENATE(A300,$B$10,B300),'ID1&amp;5'!B:J,8,FALSE),"-")</f>
        <v>-</v>
      </c>
      <c r="L300" s="82" t="str">
        <f>+IFERROR(VLOOKUP(B300,'ID1&amp;5'!K:L,2,FALSE),"-")</f>
        <v>-</v>
      </c>
      <c r="M300" s="83" t="str">
        <f>+IFERROR(VLOOKUP(CONCATENATE(A300,$B$10,B300),'ID1&amp;5'!B:J,9,FALSE),"-")</f>
        <v>-</v>
      </c>
      <c r="N300" s="83" t="str">
        <f>+IFERROR(VLOOKUP(CONCATENATE(A300,$C$10,C300),'ID1&amp;5'!B:J,8,FALSE),"-")</f>
        <v>-</v>
      </c>
      <c r="O300" s="82" t="str">
        <f>+IFERROR(VLOOKUP(C300,'ID1&amp;5'!K:L,2,FALSE),"-")</f>
        <v>-</v>
      </c>
      <c r="P300" s="83" t="str">
        <f>+IFERROR(VLOOKUP(CONCATENATE(A300,$C$10,C300),'ID1&amp;5'!B:J,9,FALSE),"-")</f>
        <v>-</v>
      </c>
      <c r="Q300" s="82" t="str">
        <f>+IFERROR(VLOOKUP(D300,'ID1&amp;5'!K:L,2,FALSE),"-")</f>
        <v>-</v>
      </c>
      <c r="R300" s="26" t="str">
        <f>+IFERROR(VLOOKUP(CONCATENATE(A300,$D$10,D300),'ID1&amp;5'!B:J,9,FALSE),"-")</f>
        <v>-</v>
      </c>
      <c r="S300" s="82" t="str">
        <f>+IFERROR(VLOOKUP(E300,'ID1&amp;5'!K:L,2,FALSE),"-")</f>
        <v>-</v>
      </c>
      <c r="T300" s="83" t="str">
        <f>+IFERROR(VLOOKUP(CONCATENATE(A300,$E$10,E300),'ID1&amp;5'!B:J,9,FALSE),"-")</f>
        <v>-</v>
      </c>
      <c r="U300" s="82" t="str">
        <f>+IFERROR(VLOOKUP(F300,'ID1&amp;5'!K:L,2,FALSE),"-")</f>
        <v>-</v>
      </c>
      <c r="V300" s="83" t="str">
        <f>+IFERROR(VLOOKUP(CONCATENATE(A300,$F$10,F300),'ID1&amp;5'!B:J,9,FALSE),"-")</f>
        <v>-</v>
      </c>
      <c r="W300" s="26" t="str">
        <f>+IFERROR(VLOOKUP(A300,'ID6&amp;7'!A:I,9,FALSE),"-")</f>
        <v>-</v>
      </c>
      <c r="X300" s="26" t="str">
        <f>+IFERROR(VLOOKUP(A300,'ID6&amp;7'!A:J,10,FALSE),"-")</f>
        <v>-</v>
      </c>
      <c r="Y300" s="26"/>
      <c r="Z300" s="27" t="str">
        <f t="shared" si="11"/>
        <v>Por iniciar</v>
      </c>
    </row>
    <row r="301" spans="1:26">
      <c r="A301" s="20" t="str">
        <f t="shared" si="10"/>
        <v>INSTRUMENTINTRNL_SGMNT_CATGSUB45596</v>
      </c>
      <c r="B301" s="66"/>
      <c r="C301" s="60"/>
      <c r="D301" s="60"/>
      <c r="E301" s="60"/>
      <c r="F301" s="67"/>
      <c r="G301" s="60"/>
      <c r="H301" s="65" t="s">
        <v>126</v>
      </c>
      <c r="I301" s="21" t="s">
        <v>579</v>
      </c>
      <c r="J301" s="26">
        <f>+COUNTIF('ID1&amp;5'!G:G,'1. Status'!I301)</f>
        <v>0</v>
      </c>
      <c r="K301" s="83" t="str">
        <f>+IFERROR(VLOOKUP(CONCATENATE(A301,$B$10,B301),'ID1&amp;5'!B:J,8,FALSE),"-")</f>
        <v>-</v>
      </c>
      <c r="L301" s="82" t="str">
        <f>+IFERROR(VLOOKUP(B301,'ID1&amp;5'!K:L,2,FALSE),"-")</f>
        <v>-</v>
      </c>
      <c r="M301" s="83" t="str">
        <f>+IFERROR(VLOOKUP(CONCATENATE(A301,$B$10,B301),'ID1&amp;5'!B:J,9,FALSE),"-")</f>
        <v>-</v>
      </c>
      <c r="N301" s="83" t="str">
        <f>+IFERROR(VLOOKUP(CONCATENATE(A301,$C$10,C301),'ID1&amp;5'!B:J,8,FALSE),"-")</f>
        <v>-</v>
      </c>
      <c r="O301" s="82" t="str">
        <f>+IFERROR(VLOOKUP(C301,'ID1&amp;5'!K:L,2,FALSE),"-")</f>
        <v>-</v>
      </c>
      <c r="P301" s="83" t="str">
        <f>+IFERROR(VLOOKUP(CONCATENATE(A301,$C$10,C301),'ID1&amp;5'!B:J,9,FALSE),"-")</f>
        <v>-</v>
      </c>
      <c r="Q301" s="82" t="str">
        <f>+IFERROR(VLOOKUP(D301,'ID1&amp;5'!K:L,2,FALSE),"-")</f>
        <v>-</v>
      </c>
      <c r="R301" s="26" t="str">
        <f>+IFERROR(VLOOKUP(CONCATENATE(A301,$D$10,D301),'ID1&amp;5'!B:J,9,FALSE),"-")</f>
        <v>-</v>
      </c>
      <c r="S301" s="82" t="str">
        <f>+IFERROR(VLOOKUP(E301,'ID1&amp;5'!K:L,2,FALSE),"-")</f>
        <v>-</v>
      </c>
      <c r="T301" s="83" t="str">
        <f>+IFERROR(VLOOKUP(CONCATENATE(A301,$E$10,E301),'ID1&amp;5'!B:J,9,FALSE),"-")</f>
        <v>-</v>
      </c>
      <c r="U301" s="82" t="str">
        <f>+IFERROR(VLOOKUP(F301,'ID1&amp;5'!K:L,2,FALSE),"-")</f>
        <v>-</v>
      </c>
      <c r="V301" s="83" t="str">
        <f>+IFERROR(VLOOKUP(CONCATENATE(A301,$F$10,F301),'ID1&amp;5'!B:J,9,FALSE),"-")</f>
        <v>-</v>
      </c>
      <c r="W301" s="26" t="str">
        <f>+IFERROR(VLOOKUP(A301,'ID6&amp;7'!A:I,9,FALSE),"-")</f>
        <v>-</v>
      </c>
      <c r="X301" s="26" t="str">
        <f>+IFERROR(VLOOKUP(A301,'ID6&amp;7'!A:J,10,FALSE),"-")</f>
        <v>-</v>
      </c>
      <c r="Y301" s="26"/>
      <c r="Z301" s="27" t="str">
        <f t="shared" si="11"/>
        <v>Por iniciar</v>
      </c>
    </row>
    <row r="302" spans="1:26">
      <c r="A302" s="20" t="str">
        <f t="shared" si="10"/>
        <v>INSTRUMENTCRRLTN_CFFCNT45596</v>
      </c>
      <c r="B302" s="66"/>
      <c r="C302" s="60"/>
      <c r="D302" s="60"/>
      <c r="E302" s="60"/>
      <c r="F302" s="67"/>
      <c r="G302" s="60"/>
      <c r="H302" s="65" t="s">
        <v>126</v>
      </c>
      <c r="I302" s="21" t="s">
        <v>580</v>
      </c>
      <c r="J302" s="26">
        <f>+COUNTIF('ID1&amp;5'!G:G,'1. Status'!I302)</f>
        <v>0</v>
      </c>
      <c r="K302" s="83" t="str">
        <f>+IFERROR(VLOOKUP(CONCATENATE(A302,$B$10,B302),'ID1&amp;5'!B:J,8,FALSE),"-")</f>
        <v>-</v>
      </c>
      <c r="L302" s="82" t="str">
        <f>+IFERROR(VLOOKUP(B302,'ID1&amp;5'!K:L,2,FALSE),"-")</f>
        <v>-</v>
      </c>
      <c r="M302" s="83" t="str">
        <f>+IFERROR(VLOOKUP(CONCATENATE(A302,$B$10,B302),'ID1&amp;5'!B:J,9,FALSE),"-")</f>
        <v>-</v>
      </c>
      <c r="N302" s="83" t="str">
        <f>+IFERROR(VLOOKUP(CONCATENATE(A302,$C$10,C302),'ID1&amp;5'!B:J,8,FALSE),"-")</f>
        <v>-</v>
      </c>
      <c r="O302" s="82" t="str">
        <f>+IFERROR(VLOOKUP(C302,'ID1&amp;5'!K:L,2,FALSE),"-")</f>
        <v>-</v>
      </c>
      <c r="P302" s="83" t="str">
        <f>+IFERROR(VLOOKUP(CONCATENATE(A302,$C$10,C302),'ID1&amp;5'!B:J,9,FALSE),"-")</f>
        <v>-</v>
      </c>
      <c r="Q302" s="82" t="str">
        <f>+IFERROR(VLOOKUP(D302,'ID1&amp;5'!K:L,2,FALSE),"-")</f>
        <v>-</v>
      </c>
      <c r="R302" s="26" t="str">
        <f>+IFERROR(VLOOKUP(CONCATENATE(A302,$D$10,D302),'ID1&amp;5'!B:J,9,FALSE),"-")</f>
        <v>-</v>
      </c>
      <c r="S302" s="82" t="str">
        <f>+IFERROR(VLOOKUP(E302,'ID1&amp;5'!K:L,2,FALSE),"-")</f>
        <v>-</v>
      </c>
      <c r="T302" s="83" t="str">
        <f>+IFERROR(VLOOKUP(CONCATENATE(A302,$E$10,E302),'ID1&amp;5'!B:J,9,FALSE),"-")</f>
        <v>-</v>
      </c>
      <c r="U302" s="82" t="str">
        <f>+IFERROR(VLOOKUP(F302,'ID1&amp;5'!K:L,2,FALSE),"-")</f>
        <v>-</v>
      </c>
      <c r="V302" s="83" t="str">
        <f>+IFERROR(VLOOKUP(CONCATENATE(A302,$F$10,F302),'ID1&amp;5'!B:J,9,FALSE),"-")</f>
        <v>-</v>
      </c>
      <c r="W302" s="26" t="str">
        <f>+IFERROR(VLOOKUP(A302,'ID6&amp;7'!A:I,9,FALSE),"-")</f>
        <v>-</v>
      </c>
      <c r="X302" s="26" t="str">
        <f>+IFERROR(VLOOKUP(A302,'ID6&amp;7'!A:J,10,FALSE),"-")</f>
        <v>-</v>
      </c>
      <c r="Y302" s="26"/>
      <c r="Z302" s="27" t="str">
        <f t="shared" si="11"/>
        <v>Por iniciar</v>
      </c>
    </row>
    <row r="303" spans="1:26">
      <c r="A303" s="20" t="str">
        <f t="shared" si="10"/>
        <v>INSTRUMENTISIN_SCRTSTN45596</v>
      </c>
      <c r="B303" s="66"/>
      <c r="C303" s="60"/>
      <c r="D303" s="60"/>
      <c r="E303" s="60"/>
      <c r="F303" s="67"/>
      <c r="G303" s="60"/>
      <c r="H303" s="65" t="s">
        <v>126</v>
      </c>
      <c r="I303" s="21" t="s">
        <v>581</v>
      </c>
      <c r="J303" s="26">
        <f>+COUNTIF('ID1&amp;5'!G:G,'1. Status'!I303)</f>
        <v>0</v>
      </c>
      <c r="K303" s="83" t="str">
        <f>+IFERROR(VLOOKUP(CONCATENATE(A303,$B$10,B303),'ID1&amp;5'!B:J,8,FALSE),"-")</f>
        <v>-</v>
      </c>
      <c r="L303" s="82" t="str">
        <f>+IFERROR(VLOOKUP(B303,'ID1&amp;5'!K:L,2,FALSE),"-")</f>
        <v>-</v>
      </c>
      <c r="M303" s="83" t="str">
        <f>+IFERROR(VLOOKUP(CONCATENATE(A303,$B$10,B303),'ID1&amp;5'!B:J,9,FALSE),"-")</f>
        <v>-</v>
      </c>
      <c r="N303" s="83" t="str">
        <f>+IFERROR(VLOOKUP(CONCATENATE(A303,$C$10,C303),'ID1&amp;5'!B:J,8,FALSE),"-")</f>
        <v>-</v>
      </c>
      <c r="O303" s="82" t="str">
        <f>+IFERROR(VLOOKUP(C303,'ID1&amp;5'!K:L,2,FALSE),"-")</f>
        <v>-</v>
      </c>
      <c r="P303" s="83" t="str">
        <f>+IFERROR(VLOOKUP(CONCATENATE(A303,$C$10,C303),'ID1&amp;5'!B:J,9,FALSE),"-")</f>
        <v>-</v>
      </c>
      <c r="Q303" s="82" t="str">
        <f>+IFERROR(VLOOKUP(D303,'ID1&amp;5'!K:L,2,FALSE),"-")</f>
        <v>-</v>
      </c>
      <c r="R303" s="26" t="str">
        <f>+IFERROR(VLOOKUP(CONCATENATE(A303,$D$10,D303),'ID1&amp;5'!B:J,9,FALSE),"-")</f>
        <v>-</v>
      </c>
      <c r="S303" s="82" t="str">
        <f>+IFERROR(VLOOKUP(E303,'ID1&amp;5'!K:L,2,FALSE),"-")</f>
        <v>-</v>
      </c>
      <c r="T303" s="83" t="str">
        <f>+IFERROR(VLOOKUP(CONCATENATE(A303,$E$10,E303),'ID1&amp;5'!B:J,9,FALSE),"-")</f>
        <v>-</v>
      </c>
      <c r="U303" s="82" t="str">
        <f>+IFERROR(VLOOKUP(F303,'ID1&amp;5'!K:L,2,FALSE),"-")</f>
        <v>-</v>
      </c>
      <c r="V303" s="83" t="str">
        <f>+IFERROR(VLOOKUP(CONCATENATE(A303,$F$10,F303),'ID1&amp;5'!B:J,9,FALSE),"-")</f>
        <v>-</v>
      </c>
      <c r="W303" s="26" t="str">
        <f>+IFERROR(VLOOKUP(A303,'ID6&amp;7'!A:I,9,FALSE),"-")</f>
        <v>-</v>
      </c>
      <c r="X303" s="26" t="str">
        <f>+IFERROR(VLOOKUP(A303,'ID6&amp;7'!A:J,10,FALSE),"-")</f>
        <v>-</v>
      </c>
      <c r="Y303" s="26"/>
      <c r="Z303" s="27" t="str">
        <f t="shared" si="11"/>
        <v>Por iniciar</v>
      </c>
    </row>
    <row r="304" spans="1:26">
      <c r="A304" s="20" t="str">
        <f t="shared" si="10"/>
        <v>INSTRUMENTCNTRCT_ID_BDR45596</v>
      </c>
      <c r="B304" s="66"/>
      <c r="C304" s="60"/>
      <c r="D304" s="60"/>
      <c r="E304" s="60"/>
      <c r="F304" s="67"/>
      <c r="G304" s="60"/>
      <c r="H304" s="65" t="s">
        <v>126</v>
      </c>
      <c r="I304" s="21" t="s">
        <v>582</v>
      </c>
      <c r="J304" s="26">
        <f>+COUNTIF('ID1&amp;5'!G:G,'1. Status'!I304)</f>
        <v>0</v>
      </c>
      <c r="K304" s="83" t="str">
        <f>+IFERROR(VLOOKUP(CONCATENATE(A304,$B$10,B304),'ID1&amp;5'!B:J,8,FALSE),"-")</f>
        <v>-</v>
      </c>
      <c r="L304" s="82" t="str">
        <f>+IFERROR(VLOOKUP(B304,'ID1&amp;5'!K:L,2,FALSE),"-")</f>
        <v>-</v>
      </c>
      <c r="M304" s="83" t="str">
        <f>+IFERROR(VLOOKUP(CONCATENATE(A304,$B$10,B304),'ID1&amp;5'!B:J,9,FALSE),"-")</f>
        <v>-</v>
      </c>
      <c r="N304" s="83" t="str">
        <f>+IFERROR(VLOOKUP(CONCATENATE(A304,$C$10,C304),'ID1&amp;5'!B:J,8,FALSE),"-")</f>
        <v>-</v>
      </c>
      <c r="O304" s="82" t="str">
        <f>+IFERROR(VLOOKUP(C304,'ID1&amp;5'!K:L,2,FALSE),"-")</f>
        <v>-</v>
      </c>
      <c r="P304" s="83" t="str">
        <f>+IFERROR(VLOOKUP(CONCATENATE(A304,$C$10,C304),'ID1&amp;5'!B:J,9,FALSE),"-")</f>
        <v>-</v>
      </c>
      <c r="Q304" s="82" t="str">
        <f>+IFERROR(VLOOKUP(D304,'ID1&amp;5'!K:L,2,FALSE),"-")</f>
        <v>-</v>
      </c>
      <c r="R304" s="26" t="str">
        <f>+IFERROR(VLOOKUP(CONCATENATE(A304,$D$10,D304),'ID1&amp;5'!B:J,9,FALSE),"-")</f>
        <v>-</v>
      </c>
      <c r="S304" s="82" t="str">
        <f>+IFERROR(VLOOKUP(E304,'ID1&amp;5'!K:L,2,FALSE),"-")</f>
        <v>-</v>
      </c>
      <c r="T304" s="83" t="str">
        <f>+IFERROR(VLOOKUP(CONCATENATE(A304,$E$10,E304),'ID1&amp;5'!B:J,9,FALSE),"-")</f>
        <v>-</v>
      </c>
      <c r="U304" s="82" t="str">
        <f>+IFERROR(VLOOKUP(F304,'ID1&amp;5'!K:L,2,FALSE),"-")</f>
        <v>-</v>
      </c>
      <c r="V304" s="83" t="str">
        <f>+IFERROR(VLOOKUP(CONCATENATE(A304,$F$10,F304),'ID1&amp;5'!B:J,9,FALSE),"-")</f>
        <v>-</v>
      </c>
      <c r="W304" s="26" t="str">
        <f>+IFERROR(VLOOKUP(A304,'ID6&amp;7'!A:I,9,FALSE),"-")</f>
        <v>-</v>
      </c>
      <c r="X304" s="26" t="str">
        <f>+IFERROR(VLOOKUP(A304,'ID6&amp;7'!A:J,10,FALSE),"-")</f>
        <v>-</v>
      </c>
      <c r="Y304" s="26"/>
      <c r="Z304" s="27" t="str">
        <f t="shared" si="11"/>
        <v>Por iniciar</v>
      </c>
    </row>
    <row r="305" spans="1:26">
      <c r="A305" s="20" t="str">
        <f t="shared" si="10"/>
        <v>INSTRUMENTCOD_SOC_INTRGRP45596</v>
      </c>
      <c r="B305" s="66"/>
      <c r="C305" s="60"/>
      <c r="D305" s="60"/>
      <c r="E305" s="60"/>
      <c r="F305" s="67"/>
      <c r="G305" s="60"/>
      <c r="H305" s="65" t="s">
        <v>126</v>
      </c>
      <c r="I305" s="21" t="s">
        <v>583</v>
      </c>
      <c r="J305" s="26">
        <f>+COUNTIF('ID1&amp;5'!G:G,'1. Status'!I305)</f>
        <v>0</v>
      </c>
      <c r="K305" s="83" t="str">
        <f>+IFERROR(VLOOKUP(CONCATENATE(A305,$B$10,B305),'ID1&amp;5'!B:J,8,FALSE),"-")</f>
        <v>-</v>
      </c>
      <c r="L305" s="82" t="str">
        <f>+IFERROR(VLOOKUP(B305,'ID1&amp;5'!K:L,2,FALSE),"-")</f>
        <v>-</v>
      </c>
      <c r="M305" s="83" t="str">
        <f>+IFERROR(VLOOKUP(CONCATENATE(A305,$B$10,B305),'ID1&amp;5'!B:J,9,FALSE),"-")</f>
        <v>-</v>
      </c>
      <c r="N305" s="83" t="str">
        <f>+IFERROR(VLOOKUP(CONCATENATE(A305,$C$10,C305),'ID1&amp;5'!B:J,8,FALSE),"-")</f>
        <v>-</v>
      </c>
      <c r="O305" s="82" t="str">
        <f>+IFERROR(VLOOKUP(C305,'ID1&amp;5'!K:L,2,FALSE),"-")</f>
        <v>-</v>
      </c>
      <c r="P305" s="83" t="str">
        <f>+IFERROR(VLOOKUP(CONCATENATE(A305,$C$10,C305),'ID1&amp;5'!B:J,9,FALSE),"-")</f>
        <v>-</v>
      </c>
      <c r="Q305" s="82" t="str">
        <f>+IFERROR(VLOOKUP(D305,'ID1&amp;5'!K:L,2,FALSE),"-")</f>
        <v>-</v>
      </c>
      <c r="R305" s="26" t="str">
        <f>+IFERROR(VLOOKUP(CONCATENATE(A305,$D$10,D305),'ID1&amp;5'!B:J,9,FALSE),"-")</f>
        <v>-</v>
      </c>
      <c r="S305" s="82" t="str">
        <f>+IFERROR(VLOOKUP(E305,'ID1&amp;5'!K:L,2,FALSE),"-")</f>
        <v>-</v>
      </c>
      <c r="T305" s="83" t="str">
        <f>+IFERROR(VLOOKUP(CONCATENATE(A305,$E$10,E305),'ID1&amp;5'!B:J,9,FALSE),"-")</f>
        <v>-</v>
      </c>
      <c r="U305" s="82" t="str">
        <f>+IFERROR(VLOOKUP(F305,'ID1&amp;5'!K:L,2,FALSE),"-")</f>
        <v>-</v>
      </c>
      <c r="V305" s="83" t="str">
        <f>+IFERROR(VLOOKUP(CONCATENATE(A305,$F$10,F305),'ID1&amp;5'!B:J,9,FALSE),"-")</f>
        <v>-</v>
      </c>
      <c r="W305" s="26" t="str">
        <f>+IFERROR(VLOOKUP(A305,'ID6&amp;7'!A:I,9,FALSE),"-")</f>
        <v>-</v>
      </c>
      <c r="X305" s="26" t="str">
        <f>+IFERROR(VLOOKUP(A305,'ID6&amp;7'!A:J,10,FALSE),"-")</f>
        <v>-</v>
      </c>
      <c r="Y305" s="26"/>
      <c r="Z305" s="27" t="str">
        <f t="shared" si="11"/>
        <v>Por iniciar</v>
      </c>
    </row>
    <row r="306" spans="1:26">
      <c r="A306" s="20" t="str">
        <f t="shared" si="10"/>
        <v>INSTRUMENTLCL_INSTMRNT_ID45596</v>
      </c>
      <c r="B306" s="66"/>
      <c r="C306" s="60"/>
      <c r="D306" s="60"/>
      <c r="E306" s="60"/>
      <c r="F306" s="67"/>
      <c r="G306" s="60"/>
      <c r="H306" s="65" t="s">
        <v>126</v>
      </c>
      <c r="I306" s="21" t="s">
        <v>110</v>
      </c>
      <c r="J306" s="26">
        <f>+COUNTIF('ID1&amp;5'!G:G,'1. Status'!I306)</f>
        <v>0</v>
      </c>
      <c r="K306" s="83" t="str">
        <f>+IFERROR(VLOOKUP(CONCATENATE(A306,$B$10,B306),'ID1&amp;5'!B:J,8,FALSE),"-")</f>
        <v>-</v>
      </c>
      <c r="L306" s="82" t="str">
        <f>+IFERROR(VLOOKUP(B306,'ID1&amp;5'!K:L,2,FALSE),"-")</f>
        <v>-</v>
      </c>
      <c r="M306" s="83" t="str">
        <f>+IFERROR(VLOOKUP(CONCATENATE(A306,$B$10,B306),'ID1&amp;5'!B:J,9,FALSE),"-")</f>
        <v>-</v>
      </c>
      <c r="N306" s="83" t="str">
        <f>+IFERROR(VLOOKUP(CONCATENATE(A306,$C$10,C306),'ID1&amp;5'!B:J,8,FALSE),"-")</f>
        <v>-</v>
      </c>
      <c r="O306" s="82" t="str">
        <f>+IFERROR(VLOOKUP(C306,'ID1&amp;5'!K:L,2,FALSE),"-")</f>
        <v>-</v>
      </c>
      <c r="P306" s="83" t="str">
        <f>+IFERROR(VLOOKUP(CONCATENATE(A306,$C$10,C306),'ID1&amp;5'!B:J,9,FALSE),"-")</f>
        <v>-</v>
      </c>
      <c r="Q306" s="82" t="str">
        <f>+IFERROR(VLOOKUP(D306,'ID1&amp;5'!K:L,2,FALSE),"-")</f>
        <v>-</v>
      </c>
      <c r="R306" s="26" t="str">
        <f>+IFERROR(VLOOKUP(CONCATENATE(A306,$D$10,D306),'ID1&amp;5'!B:J,9,FALSE),"-")</f>
        <v>-</v>
      </c>
      <c r="S306" s="82" t="str">
        <f>+IFERROR(VLOOKUP(E306,'ID1&amp;5'!K:L,2,FALSE),"-")</f>
        <v>-</v>
      </c>
      <c r="T306" s="83" t="str">
        <f>+IFERROR(VLOOKUP(CONCATENATE(A306,$E$10,E306),'ID1&amp;5'!B:J,9,FALSE),"-")</f>
        <v>-</v>
      </c>
      <c r="U306" s="82" t="str">
        <f>+IFERROR(VLOOKUP(F306,'ID1&amp;5'!K:L,2,FALSE),"-")</f>
        <v>-</v>
      </c>
      <c r="V306" s="83" t="str">
        <f>+IFERROR(VLOOKUP(CONCATENATE(A306,$F$10,F306),'ID1&amp;5'!B:J,9,FALSE),"-")</f>
        <v>-</v>
      </c>
      <c r="W306" s="26" t="str">
        <f>+IFERROR(VLOOKUP(A306,'ID6&amp;7'!A:I,9,FALSE),"-")</f>
        <v>-</v>
      </c>
      <c r="X306" s="26" t="str">
        <f>+IFERROR(VLOOKUP(A306,'ID6&amp;7'!A:J,10,FALSE),"-")</f>
        <v>-</v>
      </c>
      <c r="Y306" s="26"/>
      <c r="Z306" s="27" t="str">
        <f t="shared" si="11"/>
        <v>Por iniciar</v>
      </c>
    </row>
    <row r="307" spans="1:26">
      <c r="A307" s="20" t="str">
        <f t="shared" si="10"/>
        <v>INSTRUMENTIDCMB45596</v>
      </c>
      <c r="B307" s="66"/>
      <c r="C307" s="60"/>
      <c r="D307" s="60"/>
      <c r="E307" s="60"/>
      <c r="F307" s="67"/>
      <c r="G307" s="60"/>
      <c r="H307" s="65" t="s">
        <v>126</v>
      </c>
      <c r="I307" s="21" t="s">
        <v>111</v>
      </c>
      <c r="J307" s="26">
        <f>+COUNTIF('ID1&amp;5'!G:G,'1. Status'!I307)</f>
        <v>0</v>
      </c>
      <c r="K307" s="83" t="str">
        <f>+IFERROR(VLOOKUP(CONCATENATE(A307,$B$10,B307),'ID1&amp;5'!B:J,8,FALSE),"-")</f>
        <v>-</v>
      </c>
      <c r="L307" s="82" t="str">
        <f>+IFERROR(VLOOKUP(B307,'ID1&amp;5'!K:L,2,FALSE),"-")</f>
        <v>-</v>
      </c>
      <c r="M307" s="83" t="str">
        <f>+IFERROR(VLOOKUP(CONCATENATE(A307,$B$10,B307),'ID1&amp;5'!B:J,9,FALSE),"-")</f>
        <v>-</v>
      </c>
      <c r="N307" s="83" t="str">
        <f>+IFERROR(VLOOKUP(CONCATENATE(A307,$C$10,C307),'ID1&amp;5'!B:J,8,FALSE),"-")</f>
        <v>-</v>
      </c>
      <c r="O307" s="82" t="str">
        <f>+IFERROR(VLOOKUP(C307,'ID1&amp;5'!K:L,2,FALSE),"-")</f>
        <v>-</v>
      </c>
      <c r="P307" s="83" t="str">
        <f>+IFERROR(VLOOKUP(CONCATENATE(A307,$C$10,C307),'ID1&amp;5'!B:J,9,FALSE),"-")</f>
        <v>-</v>
      </c>
      <c r="Q307" s="82" t="str">
        <f>+IFERROR(VLOOKUP(D307,'ID1&amp;5'!K:L,2,FALSE),"-")</f>
        <v>-</v>
      </c>
      <c r="R307" s="26" t="str">
        <f>+IFERROR(VLOOKUP(CONCATENATE(A307,$D$10,D307),'ID1&amp;5'!B:J,9,FALSE),"-")</f>
        <v>-</v>
      </c>
      <c r="S307" s="82" t="str">
        <f>+IFERROR(VLOOKUP(E307,'ID1&amp;5'!K:L,2,FALSE),"-")</f>
        <v>-</v>
      </c>
      <c r="T307" s="83" t="str">
        <f>+IFERROR(VLOOKUP(CONCATENATE(A307,$E$10,E307),'ID1&amp;5'!B:J,9,FALSE),"-")</f>
        <v>-</v>
      </c>
      <c r="U307" s="82" t="str">
        <f>+IFERROR(VLOOKUP(F307,'ID1&amp;5'!K:L,2,FALSE),"-")</f>
        <v>-</v>
      </c>
      <c r="V307" s="83" t="str">
        <f>+IFERROR(VLOOKUP(CONCATENATE(A307,$F$10,F307),'ID1&amp;5'!B:J,9,FALSE),"-")</f>
        <v>-</v>
      </c>
      <c r="W307" s="26" t="str">
        <f>+IFERROR(VLOOKUP(A307,'ID6&amp;7'!A:I,9,FALSE),"-")</f>
        <v>-</v>
      </c>
      <c r="X307" s="26" t="str">
        <f>+IFERROR(VLOOKUP(A307,'ID6&amp;7'!A:J,10,FALSE),"-")</f>
        <v>-</v>
      </c>
      <c r="Y307" s="26"/>
      <c r="Z307" s="27" t="str">
        <f t="shared" si="11"/>
        <v>Por iniciar</v>
      </c>
    </row>
    <row r="308" spans="1:26">
      <c r="A308" s="20" t="str">
        <f t="shared" si="10"/>
        <v>INSTRUMENTEXPCTD_LSS_CRR45596</v>
      </c>
      <c r="B308" s="66"/>
      <c r="C308" s="60"/>
      <c r="D308" s="60"/>
      <c r="E308" s="60"/>
      <c r="F308" s="67"/>
      <c r="G308" s="60"/>
      <c r="H308" s="65" t="s">
        <v>126</v>
      </c>
      <c r="I308" s="21" t="s">
        <v>584</v>
      </c>
      <c r="J308" s="26">
        <f>+COUNTIF('ID1&amp;5'!G:G,'1. Status'!I308)</f>
        <v>0</v>
      </c>
      <c r="K308" s="83" t="str">
        <f>+IFERROR(VLOOKUP(CONCATENATE(A308,$B$10,B308),'ID1&amp;5'!B:J,8,FALSE),"-")</f>
        <v>-</v>
      </c>
      <c r="L308" s="82" t="str">
        <f>+IFERROR(VLOOKUP(B308,'ID1&amp;5'!K:L,2,FALSE),"-")</f>
        <v>-</v>
      </c>
      <c r="M308" s="83" t="str">
        <f>+IFERROR(VLOOKUP(CONCATENATE(A308,$B$10,B308),'ID1&amp;5'!B:J,9,FALSE),"-")</f>
        <v>-</v>
      </c>
      <c r="N308" s="83" t="str">
        <f>+IFERROR(VLOOKUP(CONCATENATE(A308,$C$10,C308),'ID1&amp;5'!B:J,8,FALSE),"-")</f>
        <v>-</v>
      </c>
      <c r="O308" s="82" t="str">
        <f>+IFERROR(VLOOKUP(C308,'ID1&amp;5'!K:L,2,FALSE),"-")</f>
        <v>-</v>
      </c>
      <c r="P308" s="83" t="str">
        <f>+IFERROR(VLOOKUP(CONCATENATE(A308,$C$10,C308),'ID1&amp;5'!B:J,9,FALSE),"-")</f>
        <v>-</v>
      </c>
      <c r="Q308" s="82" t="str">
        <f>+IFERROR(VLOOKUP(D308,'ID1&amp;5'!K:L,2,FALSE),"-")</f>
        <v>-</v>
      </c>
      <c r="R308" s="26" t="str">
        <f>+IFERROR(VLOOKUP(CONCATENATE(A308,$D$10,D308),'ID1&amp;5'!B:J,9,FALSE),"-")</f>
        <v>-</v>
      </c>
      <c r="S308" s="82" t="str">
        <f>+IFERROR(VLOOKUP(E308,'ID1&amp;5'!K:L,2,FALSE),"-")</f>
        <v>-</v>
      </c>
      <c r="T308" s="83" t="str">
        <f>+IFERROR(VLOOKUP(CONCATENATE(A308,$E$10,E308),'ID1&amp;5'!B:J,9,FALSE),"-")</f>
        <v>-</v>
      </c>
      <c r="U308" s="82" t="str">
        <f>+IFERROR(VLOOKUP(F308,'ID1&amp;5'!K:L,2,FALSE),"-")</f>
        <v>-</v>
      </c>
      <c r="V308" s="83" t="str">
        <f>+IFERROR(VLOOKUP(CONCATENATE(A308,$F$10,F308),'ID1&amp;5'!B:J,9,FALSE),"-")</f>
        <v>-</v>
      </c>
      <c r="W308" s="26" t="str">
        <f>+IFERROR(VLOOKUP(A308,'ID6&amp;7'!A:I,9,FALSE),"-")</f>
        <v>-</v>
      </c>
      <c r="X308" s="26" t="str">
        <f>+IFERROR(VLOOKUP(A308,'ID6&amp;7'!A:J,10,FALSE),"-")</f>
        <v>-</v>
      </c>
      <c r="Y308" s="26"/>
      <c r="Z308" s="27" t="str">
        <f t="shared" si="11"/>
        <v>Por iniciar</v>
      </c>
    </row>
    <row r="309" spans="1:26">
      <c r="A309" s="20" t="str">
        <f t="shared" si="10"/>
        <v>INSTRUMENTLSTI45596</v>
      </c>
      <c r="B309" s="66"/>
      <c r="C309" s="60"/>
      <c r="D309" s="60"/>
      <c r="E309" s="60"/>
      <c r="F309" s="67"/>
      <c r="G309" s="60"/>
      <c r="H309" s="65" t="s">
        <v>126</v>
      </c>
      <c r="I309" s="21" t="s">
        <v>585</v>
      </c>
      <c r="J309" s="26">
        <f>+COUNTIF('ID1&amp;5'!G:G,'1. Status'!I309)</f>
        <v>0</v>
      </c>
      <c r="K309" s="83" t="str">
        <f>+IFERROR(VLOOKUP(CONCATENATE(A309,$B$10,B309),'ID1&amp;5'!B:J,8,FALSE),"-")</f>
        <v>-</v>
      </c>
      <c r="L309" s="82" t="str">
        <f>+IFERROR(VLOOKUP(B309,'ID1&amp;5'!K:L,2,FALSE),"-")</f>
        <v>-</v>
      </c>
      <c r="M309" s="83" t="str">
        <f>+IFERROR(VLOOKUP(CONCATENATE(A309,$B$10,B309),'ID1&amp;5'!B:J,9,FALSE),"-")</f>
        <v>-</v>
      </c>
      <c r="N309" s="83" t="str">
        <f>+IFERROR(VLOOKUP(CONCATENATE(A309,$C$10,C309),'ID1&amp;5'!B:J,8,FALSE),"-")</f>
        <v>-</v>
      </c>
      <c r="O309" s="82" t="str">
        <f>+IFERROR(VLOOKUP(C309,'ID1&amp;5'!K:L,2,FALSE),"-")</f>
        <v>-</v>
      </c>
      <c r="P309" s="83" t="str">
        <f>+IFERROR(VLOOKUP(CONCATENATE(A309,$C$10,C309),'ID1&amp;5'!B:J,9,FALSE),"-")</f>
        <v>-</v>
      </c>
      <c r="Q309" s="82" t="str">
        <f>+IFERROR(VLOOKUP(D309,'ID1&amp;5'!K:L,2,FALSE),"-")</f>
        <v>-</v>
      </c>
      <c r="R309" s="26" t="str">
        <f>+IFERROR(VLOOKUP(CONCATENATE(A309,$D$10,D309),'ID1&amp;5'!B:J,9,FALSE),"-")</f>
        <v>-</v>
      </c>
      <c r="S309" s="82" t="str">
        <f>+IFERROR(VLOOKUP(E309,'ID1&amp;5'!K:L,2,FALSE),"-")</f>
        <v>-</v>
      </c>
      <c r="T309" s="83" t="str">
        <f>+IFERROR(VLOOKUP(CONCATENATE(A309,$E$10,E309),'ID1&amp;5'!B:J,9,FALSE),"-")</f>
        <v>-</v>
      </c>
      <c r="U309" s="82" t="str">
        <f>+IFERROR(VLOOKUP(F309,'ID1&amp;5'!K:L,2,FALSE),"-")</f>
        <v>-</v>
      </c>
      <c r="V309" s="83" t="str">
        <f>+IFERROR(VLOOKUP(CONCATENATE(A309,$F$10,F309),'ID1&amp;5'!B:J,9,FALSE),"-")</f>
        <v>-</v>
      </c>
      <c r="W309" s="26" t="str">
        <f>+IFERROR(VLOOKUP(A309,'ID6&amp;7'!A:I,9,FALSE),"-")</f>
        <v>-</v>
      </c>
      <c r="X309" s="26" t="str">
        <f>+IFERROR(VLOOKUP(A309,'ID6&amp;7'!A:J,10,FALSE),"-")</f>
        <v>-</v>
      </c>
      <c r="Y309" s="26"/>
      <c r="Z309" s="27" t="str">
        <f t="shared" si="11"/>
        <v>Por iniciar</v>
      </c>
    </row>
    <row r="310" spans="1:26">
      <c r="A310" s="20" t="str">
        <f t="shared" si="10"/>
        <v>INSTRUMENTDSTI45596</v>
      </c>
      <c r="B310" s="66"/>
      <c r="C310" s="60"/>
      <c r="D310" s="60"/>
      <c r="E310" s="60"/>
      <c r="F310" s="67"/>
      <c r="G310" s="60"/>
      <c r="H310" s="65" t="s">
        <v>126</v>
      </c>
      <c r="I310" s="21" t="s">
        <v>586</v>
      </c>
      <c r="J310" s="26">
        <f>+COUNTIF('ID1&amp;5'!G:G,'1. Status'!I310)</f>
        <v>0</v>
      </c>
      <c r="K310" s="83" t="str">
        <f>+IFERROR(VLOOKUP(CONCATENATE(A310,$B$10,B310),'ID1&amp;5'!B:J,8,FALSE),"-")</f>
        <v>-</v>
      </c>
      <c r="L310" s="82" t="str">
        <f>+IFERROR(VLOOKUP(B310,'ID1&amp;5'!K:L,2,FALSE),"-")</f>
        <v>-</v>
      </c>
      <c r="M310" s="83" t="str">
        <f>+IFERROR(VLOOKUP(CONCATENATE(A310,$B$10,B310),'ID1&amp;5'!B:J,9,FALSE),"-")</f>
        <v>-</v>
      </c>
      <c r="N310" s="83" t="str">
        <f>+IFERROR(VLOOKUP(CONCATENATE(A310,$C$10,C310),'ID1&amp;5'!B:J,8,FALSE),"-")</f>
        <v>-</v>
      </c>
      <c r="O310" s="82" t="str">
        <f>+IFERROR(VLOOKUP(C310,'ID1&amp;5'!K:L,2,FALSE),"-")</f>
        <v>-</v>
      </c>
      <c r="P310" s="83" t="str">
        <f>+IFERROR(VLOOKUP(CONCATENATE(A310,$C$10,C310),'ID1&amp;5'!B:J,9,FALSE),"-")</f>
        <v>-</v>
      </c>
      <c r="Q310" s="82" t="str">
        <f>+IFERROR(VLOOKUP(D310,'ID1&amp;5'!K:L,2,FALSE),"-")</f>
        <v>-</v>
      </c>
      <c r="R310" s="26" t="str">
        <f>+IFERROR(VLOOKUP(CONCATENATE(A310,$D$10,D310),'ID1&amp;5'!B:J,9,FALSE),"-")</f>
        <v>-</v>
      </c>
      <c r="S310" s="82" t="str">
        <f>+IFERROR(VLOOKUP(E310,'ID1&amp;5'!K:L,2,FALSE),"-")</f>
        <v>-</v>
      </c>
      <c r="T310" s="83" t="str">
        <f>+IFERROR(VLOOKUP(CONCATENATE(A310,$E$10,E310),'ID1&amp;5'!B:J,9,FALSE),"-")</f>
        <v>-</v>
      </c>
      <c r="U310" s="82" t="str">
        <f>+IFERROR(VLOOKUP(F310,'ID1&amp;5'!K:L,2,FALSE),"-")</f>
        <v>-</v>
      </c>
      <c r="V310" s="83" t="str">
        <f>+IFERROR(VLOOKUP(CONCATENATE(A310,$F$10,F310),'ID1&amp;5'!B:J,9,FALSE),"-")</f>
        <v>-</v>
      </c>
      <c r="W310" s="26" t="str">
        <f>+IFERROR(VLOOKUP(A310,'ID6&amp;7'!A:I,9,FALSE),"-")</f>
        <v>-</v>
      </c>
      <c r="X310" s="26" t="str">
        <f>+IFERROR(VLOOKUP(A310,'ID6&amp;7'!A:J,10,FALSE),"-")</f>
        <v>-</v>
      </c>
      <c r="Y310" s="26"/>
      <c r="Z310" s="27" t="str">
        <f t="shared" si="11"/>
        <v>Por iniciar</v>
      </c>
    </row>
    <row r="311" spans="1:26">
      <c r="A311" s="20" t="str">
        <f t="shared" si="10"/>
        <v>INSTRUMENTLTI_INSTRMNT45596</v>
      </c>
      <c r="B311" s="66"/>
      <c r="C311" s="60"/>
      <c r="D311" s="60"/>
      <c r="E311" s="60"/>
      <c r="F311" s="67"/>
      <c r="G311" s="60"/>
      <c r="H311" s="65" t="s">
        <v>126</v>
      </c>
      <c r="I311" s="21" t="s">
        <v>587</v>
      </c>
      <c r="J311" s="26">
        <f>+COUNTIF('ID1&amp;5'!G:G,'1. Status'!I311)</f>
        <v>0</v>
      </c>
      <c r="K311" s="83" t="str">
        <f>+IFERROR(VLOOKUP(CONCATENATE(A311,$B$10,B311),'ID1&amp;5'!B:J,8,FALSE),"-")</f>
        <v>-</v>
      </c>
      <c r="L311" s="82" t="str">
        <f>+IFERROR(VLOOKUP(B311,'ID1&amp;5'!K:L,2,FALSE),"-")</f>
        <v>-</v>
      </c>
      <c r="M311" s="83" t="str">
        <f>+IFERROR(VLOOKUP(CONCATENATE(A311,$B$10,B311),'ID1&amp;5'!B:J,9,FALSE),"-")</f>
        <v>-</v>
      </c>
      <c r="N311" s="83" t="str">
        <f>+IFERROR(VLOOKUP(CONCATENATE(A311,$C$10,C311),'ID1&amp;5'!B:J,8,FALSE),"-")</f>
        <v>-</v>
      </c>
      <c r="O311" s="82" t="str">
        <f>+IFERROR(VLOOKUP(C311,'ID1&amp;5'!K:L,2,FALSE),"-")</f>
        <v>-</v>
      </c>
      <c r="P311" s="83" t="str">
        <f>+IFERROR(VLOOKUP(CONCATENATE(A311,$C$10,C311),'ID1&amp;5'!B:J,9,FALSE),"-")</f>
        <v>-</v>
      </c>
      <c r="Q311" s="82" t="str">
        <f>+IFERROR(VLOOKUP(D311,'ID1&amp;5'!K:L,2,FALSE),"-")</f>
        <v>-</v>
      </c>
      <c r="R311" s="26" t="str">
        <f>+IFERROR(VLOOKUP(CONCATENATE(A311,$D$10,D311),'ID1&amp;5'!B:J,9,FALSE),"-")</f>
        <v>-</v>
      </c>
      <c r="S311" s="82" t="str">
        <f>+IFERROR(VLOOKUP(E311,'ID1&amp;5'!K:L,2,FALSE),"-")</f>
        <v>-</v>
      </c>
      <c r="T311" s="83" t="str">
        <f>+IFERROR(VLOOKUP(CONCATENATE(A311,$E$10,E311),'ID1&amp;5'!B:J,9,FALSE),"-")</f>
        <v>-</v>
      </c>
      <c r="U311" s="82" t="str">
        <f>+IFERROR(VLOOKUP(F311,'ID1&amp;5'!K:L,2,FALSE),"-")</f>
        <v>-</v>
      </c>
      <c r="V311" s="83" t="str">
        <f>+IFERROR(VLOOKUP(CONCATENATE(A311,$F$10,F311),'ID1&amp;5'!B:J,9,FALSE),"-")</f>
        <v>-</v>
      </c>
      <c r="W311" s="26" t="str">
        <f>+IFERROR(VLOOKUP(A311,'ID6&amp;7'!A:I,9,FALSE),"-")</f>
        <v>-</v>
      </c>
      <c r="X311" s="26" t="str">
        <f>+IFERROR(VLOOKUP(A311,'ID6&amp;7'!A:J,10,FALSE),"-")</f>
        <v>-</v>
      </c>
      <c r="Y311" s="26"/>
      <c r="Z311" s="27" t="str">
        <f t="shared" si="11"/>
        <v>Por iniciar</v>
      </c>
    </row>
    <row r="312" spans="1:26">
      <c r="A312" s="20" t="str">
        <f t="shared" si="10"/>
        <v>INSTRUMENTCPN_RT45596</v>
      </c>
      <c r="B312" s="66"/>
      <c r="C312" s="60"/>
      <c r="D312" s="60"/>
      <c r="E312" s="60"/>
      <c r="F312" s="67"/>
      <c r="G312" s="60"/>
      <c r="H312" s="65" t="s">
        <v>126</v>
      </c>
      <c r="I312" s="21" t="s">
        <v>656</v>
      </c>
      <c r="J312" s="26">
        <f>+COUNTIF('ID1&amp;5'!G:G,'1. Status'!I312)</f>
        <v>0</v>
      </c>
      <c r="K312" s="83" t="str">
        <f>+IFERROR(VLOOKUP(CONCATENATE(A312,$B$10,B312),'ID1&amp;5'!B:J,8,FALSE),"-")</f>
        <v>-</v>
      </c>
      <c r="L312" s="82" t="str">
        <f>+IFERROR(VLOOKUP(B312,'ID1&amp;5'!K:L,2,FALSE),"-")</f>
        <v>-</v>
      </c>
      <c r="M312" s="83" t="str">
        <f>+IFERROR(VLOOKUP(CONCATENATE(A312,$B$10,B312),'ID1&amp;5'!B:J,9,FALSE),"-")</f>
        <v>-</v>
      </c>
      <c r="N312" s="83" t="str">
        <f>+IFERROR(VLOOKUP(CONCATENATE(A312,$C$10,C312),'ID1&amp;5'!B:J,8,FALSE),"-")</f>
        <v>-</v>
      </c>
      <c r="O312" s="82" t="str">
        <f>+IFERROR(VLOOKUP(C312,'ID1&amp;5'!K:L,2,FALSE),"-")</f>
        <v>-</v>
      </c>
      <c r="P312" s="83" t="str">
        <f>+IFERROR(VLOOKUP(CONCATENATE(A312,$C$10,C312),'ID1&amp;5'!B:J,9,FALSE),"-")</f>
        <v>-</v>
      </c>
      <c r="Q312" s="82" t="str">
        <f>+IFERROR(VLOOKUP(D312,'ID1&amp;5'!K:L,2,FALSE),"-")</f>
        <v>-</v>
      </c>
      <c r="R312" s="26" t="str">
        <f>+IFERROR(VLOOKUP(CONCATENATE(A312,$D$10,D312),'ID1&amp;5'!B:J,9,FALSE),"-")</f>
        <v>-</v>
      </c>
      <c r="S312" s="82" t="str">
        <f>+IFERROR(VLOOKUP(E312,'ID1&amp;5'!K:L,2,FALSE),"-")</f>
        <v>-</v>
      </c>
      <c r="T312" s="83" t="str">
        <f>+IFERROR(VLOOKUP(CONCATENATE(A312,$E$10,E312),'ID1&amp;5'!B:J,9,FALSE),"-")</f>
        <v>-</v>
      </c>
      <c r="U312" s="82" t="str">
        <f>+IFERROR(VLOOKUP(F312,'ID1&amp;5'!K:L,2,FALSE),"-")</f>
        <v>-</v>
      </c>
      <c r="V312" s="83" t="str">
        <f>+IFERROR(VLOOKUP(CONCATENATE(A312,$F$10,F312),'ID1&amp;5'!B:J,9,FALSE),"-")</f>
        <v>-</v>
      </c>
      <c r="W312" s="26" t="str">
        <f>+IFERROR(VLOOKUP(A312,'ID6&amp;7'!A:I,9,FALSE),"-")</f>
        <v>-</v>
      </c>
      <c r="X312" s="26" t="str">
        <f>+IFERROR(VLOOKUP(A312,'ID6&amp;7'!A:J,10,FALSE),"-")</f>
        <v>-</v>
      </c>
      <c r="Y312" s="93" t="s">
        <v>657</v>
      </c>
      <c r="Z312" s="27" t="str">
        <f t="shared" si="11"/>
        <v>Por iniciar</v>
      </c>
    </row>
    <row r="313" spans="1:26">
      <c r="A313" s="20" t="str">
        <f t="shared" si="10"/>
        <v>INSTRUMENTRFRNC_RT45596</v>
      </c>
      <c r="B313" s="66"/>
      <c r="C313" s="60"/>
      <c r="D313" s="60"/>
      <c r="E313" s="60"/>
      <c r="F313" s="67"/>
      <c r="G313" s="60"/>
      <c r="H313" s="65" t="s">
        <v>126</v>
      </c>
      <c r="I313" s="21" t="s">
        <v>591</v>
      </c>
      <c r="J313" s="26">
        <f>+COUNTIF('ID1&amp;5'!G:G,'1. Status'!I313)</f>
        <v>0</v>
      </c>
      <c r="K313" s="83" t="str">
        <f>+IFERROR(VLOOKUP(CONCATENATE(A313,$B$10,B313),'ID1&amp;5'!B:J,8,FALSE),"-")</f>
        <v>-</v>
      </c>
      <c r="L313" s="82" t="str">
        <f>+IFERROR(VLOOKUP(B313,'ID1&amp;5'!K:L,2,FALSE),"-")</f>
        <v>-</v>
      </c>
      <c r="M313" s="83" t="str">
        <f>+IFERROR(VLOOKUP(CONCATENATE(A313,$B$10,B313),'ID1&amp;5'!B:J,9,FALSE),"-")</f>
        <v>-</v>
      </c>
      <c r="N313" s="83" t="str">
        <f>+IFERROR(VLOOKUP(CONCATENATE(A313,$C$10,C313),'ID1&amp;5'!B:J,8,FALSE),"-")</f>
        <v>-</v>
      </c>
      <c r="O313" s="82" t="str">
        <f>+IFERROR(VLOOKUP(C313,'ID1&amp;5'!K:L,2,FALSE),"-")</f>
        <v>-</v>
      </c>
      <c r="P313" s="83" t="str">
        <f>+IFERROR(VLOOKUP(CONCATENATE(A313,$C$10,C313),'ID1&amp;5'!B:J,9,FALSE),"-")</f>
        <v>-</v>
      </c>
      <c r="Q313" s="82" t="str">
        <f>+IFERROR(VLOOKUP(D313,'ID1&amp;5'!K:L,2,FALSE),"-")</f>
        <v>-</v>
      </c>
      <c r="R313" s="26" t="str">
        <f>+IFERROR(VLOOKUP(CONCATENATE(A313,$D$10,D313),'ID1&amp;5'!B:J,9,FALSE),"-")</f>
        <v>-</v>
      </c>
      <c r="S313" s="82" t="str">
        <f>+IFERROR(VLOOKUP(E313,'ID1&amp;5'!K:L,2,FALSE),"-")</f>
        <v>-</v>
      </c>
      <c r="T313" s="83" t="str">
        <f>+IFERROR(VLOOKUP(CONCATENATE(A313,$E$10,E313),'ID1&amp;5'!B:J,9,FALSE),"-")</f>
        <v>-</v>
      </c>
      <c r="U313" s="82" t="str">
        <f>+IFERROR(VLOOKUP(F313,'ID1&amp;5'!K:L,2,FALSE),"-")</f>
        <v>-</v>
      </c>
      <c r="V313" s="83" t="str">
        <f>+IFERROR(VLOOKUP(CONCATENATE(A313,$F$10,F313),'ID1&amp;5'!B:J,9,FALSE),"-")</f>
        <v>-</v>
      </c>
      <c r="W313" s="26" t="str">
        <f>+IFERROR(VLOOKUP(A313,'ID6&amp;7'!A:I,9,FALSE),"-")</f>
        <v>-</v>
      </c>
      <c r="X313" s="26" t="str">
        <f>+IFERROR(VLOOKUP(A313,'ID6&amp;7'!A:J,10,FALSE),"-")</f>
        <v>-</v>
      </c>
      <c r="Y313" s="26"/>
      <c r="Z313" s="27" t="str">
        <f t="shared" si="11"/>
        <v>Por iniciar</v>
      </c>
    </row>
    <row r="314" spans="1:26">
      <c r="A314" s="20" t="str">
        <f t="shared" si="10"/>
        <v>INSTRUMENTCPN_RT_FXD45596</v>
      </c>
      <c r="B314" s="66">
        <f t="array" ref="B314">+MAX(IF('ID1&amp;5'!A:A='1. Status'!A314&amp;'1. Status'!$B$10,'ID1&amp;5'!K:K))</f>
        <v>0</v>
      </c>
      <c r="C314" s="60">
        <f t="array" ref="C314">+MAX(IF('ID1&amp;5'!A:A='1. Status'!A314&amp;'1. Status'!$C$10,'ID1&amp;5'!K:K))</f>
        <v>0</v>
      </c>
      <c r="D314" s="60">
        <f t="array" ref="D314">+MAX(IF('ID1&amp;5'!A:A='1. Status'!A314&amp;'1. Status'!$D$10,'ID1&amp;5'!K:K))</f>
        <v>0</v>
      </c>
      <c r="E314" s="60">
        <f t="array" ref="E314">+MAX(IF('ID1&amp;5'!A:A='1. Status'!A314&amp;'1. Status'!$E$10,'ID1&amp;5'!K:K))</f>
        <v>0</v>
      </c>
      <c r="F314" s="67">
        <f t="array" ref="F314">+MAX(IF('ID1&amp;5'!A:A='1. Status'!A314&amp;'1. Status'!$F$10,'ID1&amp;5'!K:K))</f>
        <v>0</v>
      </c>
      <c r="G314" s="60"/>
      <c r="H314" s="65" t="s">
        <v>126</v>
      </c>
      <c r="I314" s="21" t="s">
        <v>552</v>
      </c>
      <c r="J314" s="26">
        <f>+COUNTIF('ID1&amp;5'!G:G,'1. Status'!I314)</f>
        <v>0</v>
      </c>
      <c r="K314" s="83" t="str">
        <f>+IFERROR(VLOOKUP(CONCATENATE(A314,$B$10,B314),'ID1&amp;5'!B:J,8,FALSE),"-")</f>
        <v>-</v>
      </c>
      <c r="L314" s="82" t="str">
        <f>+IFERROR(VLOOKUP(B314,'ID1&amp;5'!K:L,2,FALSE),"-")</f>
        <v>-</v>
      </c>
      <c r="M314" s="83" t="str">
        <f>+IFERROR(VLOOKUP(CONCATENATE(A314,$B$10,B314),'ID1&amp;5'!B:J,9,FALSE),"-")</f>
        <v>-</v>
      </c>
      <c r="N314" s="83" t="str">
        <f>+IFERROR(VLOOKUP(CONCATENATE(A314,$C$10,C314),'ID1&amp;5'!B:J,8,FALSE),"-")</f>
        <v>-</v>
      </c>
      <c r="O314" s="82" t="str">
        <f>+IFERROR(VLOOKUP(C314,'ID1&amp;5'!K:L,2,FALSE),"-")</f>
        <v>-</v>
      </c>
      <c r="P314" s="83" t="str">
        <f>+IFERROR(VLOOKUP(CONCATENATE(A314,$C$10,C314),'ID1&amp;5'!B:J,9,FALSE),"-")</f>
        <v>-</v>
      </c>
      <c r="Q314" s="82" t="str">
        <f>+IFERROR(VLOOKUP(D314,'ID1&amp;5'!K:L,2,FALSE),"-")</f>
        <v>-</v>
      </c>
      <c r="R314" s="26" t="str">
        <f>+IFERROR(VLOOKUP(CONCATENATE(A314,$D$10,D314),'ID1&amp;5'!B:J,9,FALSE),"-")</f>
        <v>-</v>
      </c>
      <c r="S314" s="82" t="str">
        <f>+IFERROR(VLOOKUP(E314,'ID1&amp;5'!K:L,2,FALSE),"-")</f>
        <v>-</v>
      </c>
      <c r="T314" s="83" t="str">
        <f>+IFERROR(VLOOKUP(CONCATENATE(A314,$E$10,E314),'ID1&amp;5'!B:J,9,FALSE),"-")</f>
        <v>-</v>
      </c>
      <c r="U314" s="82" t="str">
        <f>+IFERROR(VLOOKUP(F314,'ID1&amp;5'!K:L,2,FALSE),"-")</f>
        <v>-</v>
      </c>
      <c r="V314" s="83" t="str">
        <f>+IFERROR(VLOOKUP(CONCATENATE(A314,$F$10,F314),'ID1&amp;5'!B:J,9,FALSE),"-")</f>
        <v>-</v>
      </c>
      <c r="W314" s="26" t="str">
        <f>+IFERROR(VLOOKUP(A314,'ID6&amp;7'!A:I,9,FALSE),"-")</f>
        <v>-</v>
      </c>
      <c r="X314" s="26" t="str">
        <f>+IFERROR(VLOOKUP(A314,'ID6&amp;7'!A:J,10,FALSE),"-")</f>
        <v>-</v>
      </c>
      <c r="Y314" s="26"/>
      <c r="Z314" s="27" t="str">
        <f t="shared" si="11"/>
        <v>Por iniciar</v>
      </c>
    </row>
    <row r="315" spans="1:26">
      <c r="A315" s="20" t="str">
        <f t="shared" ref="A315" si="12">+H315&amp;I315&amp;$I$8</f>
        <v>INSTRUMENTCPN_RT_FLTNG45596</v>
      </c>
      <c r="B315" s="66">
        <f t="array" ref="B315">+MAX(IF('ID1&amp;5'!A:A='1. Status'!A315&amp;'1. Status'!$B$10,'ID1&amp;5'!K:K))</f>
        <v>0</v>
      </c>
      <c r="C315" s="60">
        <f t="array" ref="C315">+MAX(IF('ID1&amp;5'!A:A='1. Status'!A315&amp;'1. Status'!$C$10,'ID1&amp;5'!K:K))</f>
        <v>0</v>
      </c>
      <c r="D315" s="60">
        <f t="array" ref="D315">+MAX(IF('ID1&amp;5'!A:A='1. Status'!A315&amp;'1. Status'!$D$10,'ID1&amp;5'!K:K))</f>
        <v>0</v>
      </c>
      <c r="E315" s="60">
        <f t="array" ref="E315">+MAX(IF('ID1&amp;5'!A:A='1. Status'!A315&amp;'1. Status'!$E$10,'ID1&amp;5'!K:K))</f>
        <v>0</v>
      </c>
      <c r="F315" s="67">
        <f t="array" ref="F315">+MAX(IF('ID1&amp;5'!A:A='1. Status'!A315&amp;'1. Status'!$F$10,'ID1&amp;5'!K:K))</f>
        <v>0</v>
      </c>
      <c r="G315" s="60"/>
      <c r="H315" s="65" t="s">
        <v>126</v>
      </c>
      <c r="I315" s="21" t="s">
        <v>570</v>
      </c>
      <c r="J315" s="26">
        <f>+COUNTIF('ID1&amp;5'!G:G,'1. Status'!I315)</f>
        <v>0</v>
      </c>
      <c r="K315" s="83" t="str">
        <f>+IFERROR(VLOOKUP(CONCATENATE(A315,$B$10,B315),'ID1&amp;5'!B:J,8,FALSE),"-")</f>
        <v>-</v>
      </c>
      <c r="L315" s="82" t="str">
        <f>+IFERROR(VLOOKUP(B315,'ID1&amp;5'!K:L,2,FALSE),"-")</f>
        <v>-</v>
      </c>
      <c r="M315" s="83" t="str">
        <f>+IFERROR(VLOOKUP(CONCATENATE(A315,$B$10,B315),'ID1&amp;5'!B:J,9,FALSE),"-")</f>
        <v>-</v>
      </c>
      <c r="N315" s="83" t="str">
        <f>+IFERROR(VLOOKUP(CONCATENATE(A315,$C$10,C315),'ID1&amp;5'!B:J,8,FALSE),"-")</f>
        <v>-</v>
      </c>
      <c r="O315" s="82" t="str">
        <f>+IFERROR(VLOOKUP(C315,'ID1&amp;5'!K:L,2,FALSE),"-")</f>
        <v>-</v>
      </c>
      <c r="P315" s="83" t="str">
        <f>+IFERROR(VLOOKUP(CONCATENATE(A315,$C$10,C315),'ID1&amp;5'!B:J,9,FALSE),"-")</f>
        <v>-</v>
      </c>
      <c r="Q315" s="82" t="str">
        <f>+IFERROR(VLOOKUP(D315,'ID1&amp;5'!K:L,2,FALSE),"-")</f>
        <v>-</v>
      </c>
      <c r="R315" s="26" t="str">
        <f>+IFERROR(VLOOKUP(CONCATENATE(A315,$D$10,D315),'ID1&amp;5'!B:J,9,FALSE),"-")</f>
        <v>-</v>
      </c>
      <c r="S315" s="82" t="str">
        <f>+IFERROR(VLOOKUP(E315,'ID1&amp;5'!K:L,2,FALSE),"-")</f>
        <v>-</v>
      </c>
      <c r="T315" s="83" t="str">
        <f>+IFERROR(VLOOKUP(CONCATENATE(A315,$E$10,E315),'ID1&amp;5'!B:J,9,FALSE),"-")</f>
        <v>-</v>
      </c>
      <c r="U315" s="82" t="str">
        <f>+IFERROR(VLOOKUP(F315,'ID1&amp;5'!K:L,2,FALSE),"-")</f>
        <v>-</v>
      </c>
      <c r="V315" s="83" t="str">
        <f>+IFERROR(VLOOKUP(CONCATENATE(A315,$F$10,F315),'ID1&amp;5'!B:J,9,FALSE),"-")</f>
        <v>-</v>
      </c>
      <c r="W315" s="26" t="str">
        <f>+IFERROR(VLOOKUP(A315,'ID6&amp;7'!A:I,9,FALSE),"-")</f>
        <v>-</v>
      </c>
      <c r="X315" s="26" t="str">
        <f>+IFERROR(VLOOKUP(A315,'ID6&amp;7'!A:J,10,FALSE),"-")</f>
        <v>-</v>
      </c>
      <c r="Y315" s="26"/>
      <c r="Z315" s="27" t="str">
        <f t="shared" si="11"/>
        <v>Por iniciar</v>
      </c>
    </row>
    <row r="316" spans="1:26">
      <c r="A316" s="20" t="str">
        <f t="shared" si="10"/>
        <v>INSTRUMENTINTRST_RT_CP45596</v>
      </c>
      <c r="B316" s="66">
        <f t="array" ref="B316">+MAX(IF('ID1&amp;5'!A:A='1. Status'!A316&amp;'1. Status'!$B$10,'ID1&amp;5'!K:K))</f>
        <v>0</v>
      </c>
      <c r="C316" s="60">
        <f t="array" ref="C316">+MAX(IF('ID1&amp;5'!A:A='1. Status'!A316&amp;'1. Status'!$C$10,'ID1&amp;5'!K:K))</f>
        <v>0</v>
      </c>
      <c r="D316" s="60">
        <f t="array" ref="D316">+MAX(IF('ID1&amp;5'!A:A='1. Status'!A316&amp;'1. Status'!$D$10,'ID1&amp;5'!K:K))</f>
        <v>0</v>
      </c>
      <c r="E316" s="60">
        <f t="array" ref="E316">+MAX(IF('ID1&amp;5'!A:A='1. Status'!A316&amp;'1. Status'!$E$10,'ID1&amp;5'!K:K))</f>
        <v>0</v>
      </c>
      <c r="F316" s="67">
        <f t="array" ref="F316">+MAX(IF('ID1&amp;5'!A:A='1. Status'!A316&amp;'1. Status'!$F$10,'ID1&amp;5'!K:K))</f>
        <v>0</v>
      </c>
      <c r="G316" s="60"/>
      <c r="H316" s="65" t="s">
        <v>126</v>
      </c>
      <c r="I316" s="21" t="s">
        <v>588</v>
      </c>
      <c r="J316" s="26">
        <f>+COUNTIF('ID1&amp;5'!G:G,'1. Status'!I316)</f>
        <v>0</v>
      </c>
      <c r="K316" s="83" t="str">
        <f>+IFERROR(VLOOKUP(CONCATENATE(A316,$B$10,B316),'ID1&amp;5'!B:J,8,FALSE),"-")</f>
        <v>-</v>
      </c>
      <c r="L316" s="82" t="str">
        <f>+IFERROR(VLOOKUP(B316,'ID1&amp;5'!K:L,2,FALSE),"-")</f>
        <v>-</v>
      </c>
      <c r="M316" s="83" t="str">
        <f>+IFERROR(VLOOKUP(CONCATENATE(A316,$B$10,B316),'ID1&amp;5'!B:J,9,FALSE),"-")</f>
        <v>-</v>
      </c>
      <c r="N316" s="83" t="str">
        <f>+IFERROR(VLOOKUP(CONCATENATE(A316,$C$10,C316),'ID1&amp;5'!B:J,8,FALSE),"-")</f>
        <v>-</v>
      </c>
      <c r="O316" s="82" t="str">
        <f>+IFERROR(VLOOKUP(C316,'ID1&amp;5'!K:L,2,FALSE),"-")</f>
        <v>-</v>
      </c>
      <c r="P316" s="83" t="str">
        <f>+IFERROR(VLOOKUP(CONCATENATE(A316,$C$10,C316),'ID1&amp;5'!B:J,9,FALSE),"-")</f>
        <v>-</v>
      </c>
      <c r="Q316" s="82" t="str">
        <f>+IFERROR(VLOOKUP(D316,'ID1&amp;5'!K:L,2,FALSE),"-")</f>
        <v>-</v>
      </c>
      <c r="R316" s="26" t="str">
        <f>+IFERROR(VLOOKUP(CONCATENATE(A316,$D$10,D316),'ID1&amp;5'!B:J,9,FALSE),"-")</f>
        <v>-</v>
      </c>
      <c r="S316" s="82" t="str">
        <f>+IFERROR(VLOOKUP(E316,'ID1&amp;5'!K:L,2,FALSE),"-")</f>
        <v>-</v>
      </c>
      <c r="T316" s="83" t="str">
        <f>+IFERROR(VLOOKUP(CONCATENATE(A316,$E$10,E316),'ID1&amp;5'!B:J,9,FALSE),"-")</f>
        <v>-</v>
      </c>
      <c r="U316" s="82" t="str">
        <f>+IFERROR(VLOOKUP(F316,'ID1&amp;5'!K:L,2,FALSE),"-")</f>
        <v>-</v>
      </c>
      <c r="V316" s="83" t="str">
        <f>+IFERROR(VLOOKUP(CONCATENATE(A316,$F$10,F316),'ID1&amp;5'!B:J,9,FALSE),"-")</f>
        <v>-</v>
      </c>
      <c r="W316" s="26" t="str">
        <f>+IFERROR(VLOOKUP(A316,'ID6&amp;7'!A:I,9,FALSE),"-")</f>
        <v>-</v>
      </c>
      <c r="X316" s="26" t="str">
        <f>+IFERROR(VLOOKUP(A316,'ID6&amp;7'!A:J,10,FALSE),"-")</f>
        <v>-</v>
      </c>
      <c r="Y316" s="26"/>
      <c r="Z316" s="27" t="str">
        <f t="shared" si="11"/>
        <v>Por iniciar</v>
      </c>
    </row>
    <row r="317" spans="1:26">
      <c r="A317" s="20" t="str">
        <f t="shared" si="10"/>
        <v>INSTRUMENTINTRST_RT_FLR45596</v>
      </c>
      <c r="B317" s="66">
        <f t="array" ref="B317">+MAX(IF('ID1&amp;5'!A:A='1. Status'!A317&amp;'1. Status'!$B$10,'ID1&amp;5'!K:K))</f>
        <v>0</v>
      </c>
      <c r="C317" s="60">
        <f t="array" ref="C317">+MAX(IF('ID1&amp;5'!A:A='1. Status'!A317&amp;'1. Status'!$C$10,'ID1&amp;5'!K:K))</f>
        <v>0</v>
      </c>
      <c r="D317" s="60">
        <f t="array" ref="D317">+MAX(IF('ID1&amp;5'!A:A='1. Status'!A317&amp;'1. Status'!$D$10,'ID1&amp;5'!K:K))</f>
        <v>0</v>
      </c>
      <c r="E317" s="60">
        <f t="array" ref="E317">+MAX(IF('ID1&amp;5'!A:A='1. Status'!A317&amp;'1. Status'!$E$10,'ID1&amp;5'!K:K))</f>
        <v>0</v>
      </c>
      <c r="F317" s="67">
        <f t="array" ref="F317">+MAX(IF('ID1&amp;5'!A:A='1. Status'!A317&amp;'1. Status'!$F$10,'ID1&amp;5'!K:K))</f>
        <v>0</v>
      </c>
      <c r="G317" s="60"/>
      <c r="H317" s="65" t="s">
        <v>126</v>
      </c>
      <c r="I317" s="21" t="s">
        <v>589</v>
      </c>
      <c r="J317" s="26">
        <f>+COUNTIF('ID1&amp;5'!G:G,'1. Status'!I317)</f>
        <v>0</v>
      </c>
      <c r="K317" s="83" t="str">
        <f>+IFERROR(VLOOKUP(CONCATENATE(A317,$B$10,B317),'ID1&amp;5'!B:J,8,FALSE),"-")</f>
        <v>-</v>
      </c>
      <c r="L317" s="82" t="str">
        <f>+IFERROR(VLOOKUP(B317,'ID1&amp;5'!K:L,2,FALSE),"-")</f>
        <v>-</v>
      </c>
      <c r="M317" s="83" t="str">
        <f>+IFERROR(VLOOKUP(CONCATENATE(A317,$B$10,B317),'ID1&amp;5'!B:J,9,FALSE),"-")</f>
        <v>-</v>
      </c>
      <c r="N317" s="83" t="str">
        <f>+IFERROR(VLOOKUP(CONCATENATE(A317,$C$10,C317),'ID1&amp;5'!B:J,8,FALSE),"-")</f>
        <v>-</v>
      </c>
      <c r="O317" s="82" t="str">
        <f>+IFERROR(VLOOKUP(C317,'ID1&amp;5'!K:L,2,FALSE),"-")</f>
        <v>-</v>
      </c>
      <c r="P317" s="83" t="str">
        <f>+IFERROR(VLOOKUP(CONCATENATE(A317,$C$10,C317),'ID1&amp;5'!B:J,9,FALSE),"-")</f>
        <v>-</v>
      </c>
      <c r="Q317" s="82" t="str">
        <f>+IFERROR(VLOOKUP(D317,'ID1&amp;5'!K:L,2,FALSE),"-")</f>
        <v>-</v>
      </c>
      <c r="R317" s="26" t="str">
        <f>+IFERROR(VLOOKUP(CONCATENATE(A317,$D$10,D317),'ID1&amp;5'!B:J,9,FALSE),"-")</f>
        <v>-</v>
      </c>
      <c r="S317" s="82" t="str">
        <f>+IFERROR(VLOOKUP(E317,'ID1&amp;5'!K:L,2,FALSE),"-")</f>
        <v>-</v>
      </c>
      <c r="T317" s="83" t="str">
        <f>+IFERROR(VLOOKUP(CONCATENATE(A317,$E$10,E317),'ID1&amp;5'!B:J,9,FALSE),"-")</f>
        <v>-</v>
      </c>
      <c r="U317" s="82" t="str">
        <f>+IFERROR(VLOOKUP(F317,'ID1&amp;5'!K:L,2,FALSE),"-")</f>
        <v>-</v>
      </c>
      <c r="V317" s="83" t="str">
        <f>+IFERROR(VLOOKUP(CONCATENATE(A317,$F$10,F317),'ID1&amp;5'!B:J,9,FALSE),"-")</f>
        <v>-</v>
      </c>
      <c r="W317" s="26" t="str">
        <f>+IFERROR(VLOOKUP(A317,'ID6&amp;7'!A:I,9,FALSE),"-")</f>
        <v>-</v>
      </c>
      <c r="X317" s="26" t="str">
        <f>+IFERROR(VLOOKUP(A317,'ID6&amp;7'!A:J,10,FALSE),"-")</f>
        <v>-</v>
      </c>
      <c r="Y317" s="26"/>
      <c r="Z317" s="27" t="str">
        <f t="shared" si="11"/>
        <v>Por iniciar</v>
      </c>
    </row>
    <row r="318" spans="1:26">
      <c r="A318" s="20" t="str">
        <f t="shared" si="10"/>
        <v>INSTRUMENTNMNL_INTRST_RT_FEE45596</v>
      </c>
      <c r="B318" s="66">
        <f t="array" ref="B318">+MAX(IF('ID1&amp;5'!A:A='1. Status'!A318&amp;'1. Status'!$B$10,'ID1&amp;5'!K:K))</f>
        <v>0</v>
      </c>
      <c r="C318" s="60">
        <f t="array" ref="C318">+MAX(IF('ID1&amp;5'!A:A='1. Status'!A318&amp;'1. Status'!$C$10,'ID1&amp;5'!K:K))</f>
        <v>0</v>
      </c>
      <c r="D318" s="60">
        <f t="array" ref="D318">+MAX(IF('ID1&amp;5'!A:A='1. Status'!A318&amp;'1. Status'!$D$10,'ID1&amp;5'!K:K))</f>
        <v>0</v>
      </c>
      <c r="E318" s="60">
        <f t="array" ref="E318">+MAX(IF('ID1&amp;5'!A:A='1. Status'!A318&amp;'1. Status'!$E$10,'ID1&amp;5'!K:K))</f>
        <v>0</v>
      </c>
      <c r="F318" s="67">
        <f t="array" ref="F318">+MAX(IF('ID1&amp;5'!A:A='1. Status'!A318&amp;'1. Status'!$F$10,'ID1&amp;5'!K:K))</f>
        <v>0</v>
      </c>
      <c r="G318" s="60"/>
      <c r="H318" s="65" t="s">
        <v>126</v>
      </c>
      <c r="I318" s="21" t="s">
        <v>590</v>
      </c>
      <c r="J318" s="26">
        <f>+COUNTIF('ID1&amp;5'!G:G,'1. Status'!I318)</f>
        <v>0</v>
      </c>
      <c r="K318" s="83" t="str">
        <f>+IFERROR(VLOOKUP(CONCATENATE(A318,$B$10,B318),'ID1&amp;5'!B:J,8,FALSE),"-")</f>
        <v>-</v>
      </c>
      <c r="L318" s="82" t="str">
        <f>+IFERROR(VLOOKUP(B318,'ID1&amp;5'!K:L,2,FALSE),"-")</f>
        <v>-</v>
      </c>
      <c r="M318" s="83" t="str">
        <f>+IFERROR(VLOOKUP(CONCATENATE(A318,$B$10,B318),'ID1&amp;5'!B:J,9,FALSE),"-")</f>
        <v>-</v>
      </c>
      <c r="N318" s="83" t="str">
        <f>+IFERROR(VLOOKUP(CONCATENATE(A318,$C$10,C318),'ID1&amp;5'!B:J,8,FALSE),"-")</f>
        <v>-</v>
      </c>
      <c r="O318" s="82" t="str">
        <f>+IFERROR(VLOOKUP(C318,'ID1&amp;5'!K:L,2,FALSE),"-")</f>
        <v>-</v>
      </c>
      <c r="P318" s="83" t="str">
        <f>+IFERROR(VLOOKUP(CONCATENATE(A318,$C$10,C318),'ID1&amp;5'!B:J,9,FALSE),"-")</f>
        <v>-</v>
      </c>
      <c r="Q318" s="82" t="str">
        <f>+IFERROR(VLOOKUP(D318,'ID1&amp;5'!K:L,2,FALSE),"-")</f>
        <v>-</v>
      </c>
      <c r="R318" s="26" t="str">
        <f>+IFERROR(VLOOKUP(CONCATENATE(A318,$D$10,D318),'ID1&amp;5'!B:J,9,FALSE),"-")</f>
        <v>-</v>
      </c>
      <c r="S318" s="82" t="str">
        <f>+IFERROR(VLOOKUP(E318,'ID1&amp;5'!K:L,2,FALSE),"-")</f>
        <v>-</v>
      </c>
      <c r="T318" s="83" t="str">
        <f>+IFERROR(VLOOKUP(CONCATENATE(A318,$E$10,E318),'ID1&amp;5'!B:J,9,FALSE),"-")</f>
        <v>-</v>
      </c>
      <c r="U318" s="82" t="str">
        <f>+IFERROR(VLOOKUP(F318,'ID1&amp;5'!K:L,2,FALSE),"-")</f>
        <v>-</v>
      </c>
      <c r="V318" s="83" t="str">
        <f>+IFERROR(VLOOKUP(CONCATENATE(A318,$F$10,F318),'ID1&amp;5'!B:J,9,FALSE),"-")</f>
        <v>-</v>
      </c>
      <c r="W318" s="26" t="str">
        <f>+IFERROR(VLOOKUP(A318,'ID6&amp;7'!A:I,9,FALSE),"-")</f>
        <v>-</v>
      </c>
      <c r="X318" s="26" t="str">
        <f>+IFERROR(VLOOKUP(A318,'ID6&amp;7'!A:J,10,FALSE),"-")</f>
        <v>-</v>
      </c>
      <c r="Y318" s="26"/>
      <c r="Z318" s="27" t="str">
        <f t="shared" si="11"/>
        <v>Por iniciar</v>
      </c>
    </row>
    <row r="319" spans="1:26">
      <c r="A319" s="20" t="str">
        <f t="shared" si="10"/>
        <v>INSTRUMENTDT_STTLMNT45596</v>
      </c>
      <c r="B319" s="66">
        <f t="array" ref="B319">+MAX(IF('ID1&amp;5'!A:A='1. Status'!A319&amp;'1. Status'!$B$10,'ID1&amp;5'!K:K))</f>
        <v>0</v>
      </c>
      <c r="C319" s="60">
        <f t="array" ref="C319">+MAX(IF('ID1&amp;5'!A:A='1. Status'!A319&amp;'1. Status'!$C$10,'ID1&amp;5'!K:K))</f>
        <v>0</v>
      </c>
      <c r="D319" s="60">
        <f t="array" ref="D319">+MAX(IF('ID1&amp;5'!A:A='1. Status'!A319&amp;'1. Status'!$D$10,'ID1&amp;5'!K:K))</f>
        <v>0</v>
      </c>
      <c r="E319" s="60">
        <f t="array" ref="E319">+MAX(IF('ID1&amp;5'!A:A='1. Status'!A319&amp;'1. Status'!$E$10,'ID1&amp;5'!K:K))</f>
        <v>0</v>
      </c>
      <c r="F319" s="67">
        <f t="array" ref="F319">+MAX(IF('ID1&amp;5'!A:A='1. Status'!A319&amp;'1. Status'!$F$10,'ID1&amp;5'!K:K))</f>
        <v>0</v>
      </c>
      <c r="G319" s="60"/>
      <c r="H319" s="65" t="s">
        <v>126</v>
      </c>
      <c r="I319" s="21" t="s">
        <v>592</v>
      </c>
      <c r="J319" s="26">
        <f>+COUNTIF('ID1&amp;5'!G:G,'1. Status'!I319)</f>
        <v>0</v>
      </c>
      <c r="K319" s="83" t="str">
        <f>+IFERROR(VLOOKUP(CONCATENATE(A319,$B$10,B319),'ID1&amp;5'!B:J,8,FALSE),"-")</f>
        <v>-</v>
      </c>
      <c r="L319" s="82" t="str">
        <f>+IFERROR(VLOOKUP(B319,'ID1&amp;5'!K:L,2,FALSE),"-")</f>
        <v>-</v>
      </c>
      <c r="M319" s="83" t="str">
        <f>+IFERROR(VLOOKUP(CONCATENATE(A319,$B$10,B319),'ID1&amp;5'!B:J,9,FALSE),"-")</f>
        <v>-</v>
      </c>
      <c r="N319" s="83" t="str">
        <f>+IFERROR(VLOOKUP(CONCATENATE(A319,$C$10,C319),'ID1&amp;5'!B:J,8,FALSE),"-")</f>
        <v>-</v>
      </c>
      <c r="O319" s="82" t="str">
        <f>+IFERROR(VLOOKUP(C319,'ID1&amp;5'!K:L,2,FALSE),"-")</f>
        <v>-</v>
      </c>
      <c r="P319" s="83" t="str">
        <f>+IFERROR(VLOOKUP(CONCATENATE(A319,$C$10,C319),'ID1&amp;5'!B:J,9,FALSE),"-")</f>
        <v>-</v>
      </c>
      <c r="Q319" s="82" t="str">
        <f>+IFERROR(VLOOKUP(D319,'ID1&amp;5'!K:L,2,FALSE),"-")</f>
        <v>-</v>
      </c>
      <c r="R319" s="26" t="str">
        <f>+IFERROR(VLOOKUP(CONCATENATE(A319,$D$10,D319),'ID1&amp;5'!B:J,9,FALSE),"-")</f>
        <v>-</v>
      </c>
      <c r="S319" s="82" t="str">
        <f>+IFERROR(VLOOKUP(E319,'ID1&amp;5'!K:L,2,FALSE),"-")</f>
        <v>-</v>
      </c>
      <c r="T319" s="83" t="str">
        <f>+IFERROR(VLOOKUP(CONCATENATE(A319,$E$10,E319),'ID1&amp;5'!B:J,9,FALSE),"-")</f>
        <v>-</v>
      </c>
      <c r="U319" s="82" t="str">
        <f>+IFERROR(VLOOKUP(F319,'ID1&amp;5'!K:L,2,FALSE),"-")</f>
        <v>-</v>
      </c>
      <c r="V319" s="83" t="str">
        <f>+IFERROR(VLOOKUP(CONCATENATE(A319,$F$10,F319),'ID1&amp;5'!B:J,9,FALSE),"-")</f>
        <v>-</v>
      </c>
      <c r="W319" s="26" t="str">
        <f>+IFERROR(VLOOKUP(A319,'ID6&amp;7'!A:I,9,FALSE),"-")</f>
        <v>-</v>
      </c>
      <c r="X319" s="26" t="str">
        <f>+IFERROR(VLOOKUP(A319,'ID6&amp;7'!A:J,10,FALSE),"-")</f>
        <v>-</v>
      </c>
      <c r="Y319" s="26"/>
      <c r="Z319" s="27" t="str">
        <f t="shared" si="11"/>
        <v>Por iniciar</v>
      </c>
    </row>
    <row r="320" spans="1:26">
      <c r="A320" s="20" t="str">
        <f t="shared" si="10"/>
        <v>INSTRUMENTTRNSFRRD_AMNT45596</v>
      </c>
      <c r="B320" s="66">
        <f t="array" ref="B320">+MAX(IF('ID1&amp;5'!A:A='1. Status'!A320&amp;'1. Status'!$B$10,'ID1&amp;5'!K:K))</f>
        <v>0</v>
      </c>
      <c r="C320" s="60">
        <f t="array" ref="C320">+MAX(IF('ID1&amp;5'!A:A='1. Status'!A320&amp;'1. Status'!$C$10,'ID1&amp;5'!K:K))</f>
        <v>0</v>
      </c>
      <c r="D320" s="60">
        <f t="array" ref="D320">+MAX(IF('ID1&amp;5'!A:A='1. Status'!A320&amp;'1. Status'!$D$10,'ID1&amp;5'!K:K))</f>
        <v>0</v>
      </c>
      <c r="E320" s="60">
        <f t="array" ref="E320">+MAX(IF('ID1&amp;5'!A:A='1. Status'!A320&amp;'1. Status'!$E$10,'ID1&amp;5'!K:K))</f>
        <v>0</v>
      </c>
      <c r="F320" s="67">
        <f t="array" ref="F320">+MAX(IF('ID1&amp;5'!A:A='1. Status'!A320&amp;'1. Status'!$F$10,'ID1&amp;5'!K:K))</f>
        <v>0</v>
      </c>
      <c r="G320" s="60"/>
      <c r="H320" s="65" t="s">
        <v>126</v>
      </c>
      <c r="I320" s="21" t="s">
        <v>593</v>
      </c>
      <c r="J320" s="26">
        <f>+COUNTIF('ID1&amp;5'!G:G,'1. Status'!I320)</f>
        <v>0</v>
      </c>
      <c r="K320" s="83" t="str">
        <f>+IFERROR(VLOOKUP(CONCATENATE(A320,$B$10,B320),'ID1&amp;5'!B:J,8,FALSE),"-")</f>
        <v>-</v>
      </c>
      <c r="L320" s="82" t="str">
        <f>+IFERROR(VLOOKUP(B320,'ID1&amp;5'!K:L,2,FALSE),"-")</f>
        <v>-</v>
      </c>
      <c r="M320" s="83" t="str">
        <f>+IFERROR(VLOOKUP(CONCATENATE(A320,$B$10,B320),'ID1&amp;5'!B:J,9,FALSE),"-")</f>
        <v>-</v>
      </c>
      <c r="N320" s="83" t="str">
        <f>+IFERROR(VLOOKUP(CONCATENATE(A320,$C$10,C320),'ID1&amp;5'!B:J,8,FALSE),"-")</f>
        <v>-</v>
      </c>
      <c r="O320" s="82" t="str">
        <f>+IFERROR(VLOOKUP(C320,'ID1&amp;5'!K:L,2,FALSE),"-")</f>
        <v>-</v>
      </c>
      <c r="P320" s="83" t="str">
        <f>+IFERROR(VLOOKUP(CONCATENATE(A320,$C$10,C320),'ID1&amp;5'!B:J,9,FALSE),"-")</f>
        <v>-</v>
      </c>
      <c r="Q320" s="82" t="str">
        <f>+IFERROR(VLOOKUP(D320,'ID1&amp;5'!K:L,2,FALSE),"-")</f>
        <v>-</v>
      </c>
      <c r="R320" s="26" t="str">
        <f>+IFERROR(VLOOKUP(CONCATENATE(A320,$D$10,D320),'ID1&amp;5'!B:J,9,FALSE),"-")</f>
        <v>-</v>
      </c>
      <c r="S320" s="82" t="str">
        <f>+IFERROR(VLOOKUP(E320,'ID1&amp;5'!K:L,2,FALSE),"-")</f>
        <v>-</v>
      </c>
      <c r="T320" s="83" t="str">
        <f>+IFERROR(VLOOKUP(CONCATENATE(A320,$E$10,E320),'ID1&amp;5'!B:J,9,FALSE),"-")</f>
        <v>-</v>
      </c>
      <c r="U320" s="82" t="str">
        <f>+IFERROR(VLOOKUP(F320,'ID1&amp;5'!K:L,2,FALSE),"-")</f>
        <v>-</v>
      </c>
      <c r="V320" s="83" t="str">
        <f>+IFERROR(VLOOKUP(CONCATENATE(A320,$F$10,F320),'ID1&amp;5'!B:J,9,FALSE),"-")</f>
        <v>-</v>
      </c>
      <c r="W320" s="26" t="str">
        <f>+IFERROR(VLOOKUP(A320,'ID6&amp;7'!A:I,9,FALSE),"-")</f>
        <v>-</v>
      </c>
      <c r="X320" s="26" t="str">
        <f>+IFERROR(VLOOKUP(A320,'ID6&amp;7'!A:J,10,FALSE),"-")</f>
        <v>-</v>
      </c>
      <c r="Y320" s="26"/>
      <c r="Z320" s="27" t="str">
        <f t="shared" si="11"/>
        <v>Por iniciar</v>
      </c>
    </row>
    <row r="321" spans="1:26">
      <c r="A321" s="20" t="str">
        <f t="shared" si="10"/>
        <v>INSTRUMENTTYP_SCRTZTN45596</v>
      </c>
      <c r="B321" s="66">
        <f t="array" ref="B321">+MAX(IF('ID1&amp;5'!A:A='1. Status'!A321&amp;'1. Status'!$B$10,'ID1&amp;5'!K:K))</f>
        <v>0</v>
      </c>
      <c r="C321" s="60">
        <f t="array" ref="C321">+MAX(IF('ID1&amp;5'!A:A='1. Status'!A321&amp;'1. Status'!$C$10,'ID1&amp;5'!K:K))</f>
        <v>0</v>
      </c>
      <c r="D321" s="60">
        <f t="array" ref="D321">+MAX(IF('ID1&amp;5'!A:A='1. Status'!A321&amp;'1. Status'!$D$10,'ID1&amp;5'!K:K))</f>
        <v>0</v>
      </c>
      <c r="E321" s="60">
        <f t="array" ref="E321">+MAX(IF('ID1&amp;5'!A:A='1. Status'!A321&amp;'1. Status'!$E$10,'ID1&amp;5'!K:K))</f>
        <v>0</v>
      </c>
      <c r="F321" s="67">
        <f t="array" ref="F321">+MAX(IF('ID1&amp;5'!A:A='1. Status'!A321&amp;'1. Status'!$F$10,'ID1&amp;5'!K:K))</f>
        <v>0</v>
      </c>
      <c r="G321" s="60"/>
      <c r="H321" s="65" t="s">
        <v>126</v>
      </c>
      <c r="I321" s="21" t="s">
        <v>594</v>
      </c>
      <c r="J321" s="26">
        <f>+COUNTIF('ID1&amp;5'!G:G,'1. Status'!I321)</f>
        <v>0</v>
      </c>
      <c r="K321" s="83" t="str">
        <f>+IFERROR(VLOOKUP(CONCATENATE(A321,$B$10,B321),'ID1&amp;5'!B:J,8,FALSE),"-")</f>
        <v>-</v>
      </c>
      <c r="L321" s="82" t="str">
        <f>+IFERROR(VLOOKUP(B321,'ID1&amp;5'!K:L,2,FALSE),"-")</f>
        <v>-</v>
      </c>
      <c r="M321" s="83" t="str">
        <f>+IFERROR(VLOOKUP(CONCATENATE(A321,$B$10,B321),'ID1&amp;5'!B:J,9,FALSE),"-")</f>
        <v>-</v>
      </c>
      <c r="N321" s="83" t="str">
        <f>+IFERROR(VLOOKUP(CONCATENATE(A321,$C$10,C321),'ID1&amp;5'!B:J,8,FALSE),"-")</f>
        <v>-</v>
      </c>
      <c r="O321" s="82" t="str">
        <f>+IFERROR(VLOOKUP(C321,'ID1&amp;5'!K:L,2,FALSE),"-")</f>
        <v>-</v>
      </c>
      <c r="P321" s="83" t="str">
        <f>+IFERROR(VLOOKUP(CONCATENATE(A321,$C$10,C321),'ID1&amp;5'!B:J,9,FALSE),"-")</f>
        <v>-</v>
      </c>
      <c r="Q321" s="82" t="str">
        <f>+IFERROR(VLOOKUP(D321,'ID1&amp;5'!K:L,2,FALSE),"-")</f>
        <v>-</v>
      </c>
      <c r="R321" s="26" t="str">
        <f>+IFERROR(VLOOKUP(CONCATENATE(A321,$D$10,D321),'ID1&amp;5'!B:J,9,FALSE),"-")</f>
        <v>-</v>
      </c>
      <c r="S321" s="82" t="str">
        <f>+IFERROR(VLOOKUP(E321,'ID1&amp;5'!K:L,2,FALSE),"-")</f>
        <v>-</v>
      </c>
      <c r="T321" s="83" t="str">
        <f>+IFERROR(VLOOKUP(CONCATENATE(A321,$E$10,E321),'ID1&amp;5'!B:J,9,FALSE),"-")</f>
        <v>-</v>
      </c>
      <c r="U321" s="82" t="str">
        <f>+IFERROR(VLOOKUP(F321,'ID1&amp;5'!K:L,2,FALSE),"-")</f>
        <v>-</v>
      </c>
      <c r="V321" s="83" t="str">
        <f>+IFERROR(VLOOKUP(CONCATENATE(A321,$F$10,F321),'ID1&amp;5'!B:J,9,FALSE),"-")</f>
        <v>-</v>
      </c>
      <c r="W321" s="26" t="str">
        <f>+IFERROR(VLOOKUP(A321,'ID6&amp;7'!A:I,9,FALSE),"-")</f>
        <v>-</v>
      </c>
      <c r="X321" s="26" t="str">
        <f>+IFERROR(VLOOKUP(A321,'ID6&amp;7'!A:J,10,FALSE),"-")</f>
        <v>-</v>
      </c>
      <c r="Y321" s="26"/>
      <c r="Z321" s="27" t="str">
        <f t="shared" si="11"/>
        <v>Por iniciar</v>
      </c>
    </row>
    <row r="322" spans="1:26">
      <c r="A322" s="20" t="str">
        <f t="shared" si="10"/>
        <v>INSTRUMENTTYP_OFF_BLNC_PRDCT45596</v>
      </c>
      <c r="B322" s="66">
        <f t="array" ref="B322">+MAX(IF('ID1&amp;5'!A:A='1. Status'!A322&amp;'1. Status'!$B$10,'ID1&amp;5'!K:K))</f>
        <v>0</v>
      </c>
      <c r="C322" s="60">
        <f t="array" ref="C322">+MAX(IF('ID1&amp;5'!A:A='1. Status'!A322&amp;'1. Status'!$C$10,'ID1&amp;5'!K:K))</f>
        <v>0</v>
      </c>
      <c r="D322" s="60">
        <f t="array" ref="D322">+MAX(IF('ID1&amp;5'!A:A='1. Status'!A322&amp;'1. Status'!$D$10,'ID1&amp;5'!K:K))</f>
        <v>0</v>
      </c>
      <c r="E322" s="60">
        <f t="array" ref="E322">+MAX(IF('ID1&amp;5'!A:A='1. Status'!A322&amp;'1. Status'!$E$10,'ID1&amp;5'!K:K))</f>
        <v>0</v>
      </c>
      <c r="F322" s="67">
        <f t="array" ref="F322">+MAX(IF('ID1&amp;5'!A:A='1. Status'!A322&amp;'1. Status'!$F$10,'ID1&amp;5'!K:K))</f>
        <v>0</v>
      </c>
      <c r="G322" s="60"/>
      <c r="H322" s="65" t="s">
        <v>126</v>
      </c>
      <c r="I322" s="21" t="s">
        <v>595</v>
      </c>
      <c r="J322" s="26">
        <f>+COUNTIF('ID1&amp;5'!G:G,'1. Status'!I322)</f>
        <v>0</v>
      </c>
      <c r="K322" s="83" t="str">
        <f>+IFERROR(VLOOKUP(CONCATENATE(A322,$B$10,B322),'ID1&amp;5'!B:J,8,FALSE),"-")</f>
        <v>-</v>
      </c>
      <c r="L322" s="82" t="str">
        <f>+IFERROR(VLOOKUP(B322,'ID1&amp;5'!K:L,2,FALSE),"-")</f>
        <v>-</v>
      </c>
      <c r="M322" s="83" t="str">
        <f>+IFERROR(VLOOKUP(CONCATENATE(A322,$B$10,B322),'ID1&amp;5'!B:J,9,FALSE),"-")</f>
        <v>-</v>
      </c>
      <c r="N322" s="83" t="str">
        <f>+IFERROR(VLOOKUP(CONCATENATE(A322,$C$10,C322),'ID1&amp;5'!B:J,8,FALSE),"-")</f>
        <v>-</v>
      </c>
      <c r="O322" s="82" t="str">
        <f>+IFERROR(VLOOKUP(C322,'ID1&amp;5'!K:L,2,FALSE),"-")</f>
        <v>-</v>
      </c>
      <c r="P322" s="83" t="str">
        <f>+IFERROR(VLOOKUP(CONCATENATE(A322,$C$10,C322),'ID1&amp;5'!B:J,9,FALSE),"-")</f>
        <v>-</v>
      </c>
      <c r="Q322" s="82" t="str">
        <f>+IFERROR(VLOOKUP(D322,'ID1&amp;5'!K:L,2,FALSE),"-")</f>
        <v>-</v>
      </c>
      <c r="R322" s="26" t="str">
        <f>+IFERROR(VLOOKUP(CONCATENATE(A322,$D$10,D322),'ID1&amp;5'!B:J,9,FALSE),"-")</f>
        <v>-</v>
      </c>
      <c r="S322" s="82" t="str">
        <f>+IFERROR(VLOOKUP(E322,'ID1&amp;5'!K:L,2,FALSE),"-")</f>
        <v>-</v>
      </c>
      <c r="T322" s="83" t="str">
        <f>+IFERROR(VLOOKUP(CONCATENATE(A322,$E$10,E322),'ID1&amp;5'!B:J,9,FALSE),"-")</f>
        <v>-</v>
      </c>
      <c r="U322" s="82" t="str">
        <f>+IFERROR(VLOOKUP(F322,'ID1&amp;5'!K:L,2,FALSE),"-")</f>
        <v>-</v>
      </c>
      <c r="V322" s="83" t="str">
        <f>+IFERROR(VLOOKUP(CONCATENATE(A322,$F$10,F322),'ID1&amp;5'!B:J,9,FALSE),"-")</f>
        <v>-</v>
      </c>
      <c r="W322" s="26" t="str">
        <f>+IFERROR(VLOOKUP(A322,'ID6&amp;7'!A:I,9,FALSE),"-")</f>
        <v>-</v>
      </c>
      <c r="X322" s="26" t="str">
        <f>+IFERROR(VLOOKUP(A322,'ID6&amp;7'!A:J,10,FALSE),"-")</f>
        <v>-</v>
      </c>
      <c r="Y322" s="26"/>
      <c r="Z322" s="27" t="str">
        <f t="shared" si="11"/>
        <v>Por iniciar</v>
      </c>
    </row>
    <row r="323" spans="1:26">
      <c r="A323" s="20" t="str">
        <f t="shared" si="10"/>
        <v>INSTRUMENTBLNC_SHT_RCGNTN45596</v>
      </c>
      <c r="B323" s="66">
        <f t="array" ref="B323">+MAX(IF('ID1&amp;5'!A:A='1. Status'!A323&amp;'1. Status'!$B$10,'ID1&amp;5'!K:K))</f>
        <v>0</v>
      </c>
      <c r="C323" s="60">
        <f t="array" ref="C323">+MAX(IF('ID1&amp;5'!A:A='1. Status'!A323&amp;'1. Status'!$C$10,'ID1&amp;5'!K:K))</f>
        <v>0</v>
      </c>
      <c r="D323" s="60">
        <f t="array" ref="D323">+MAX(IF('ID1&amp;5'!A:A='1. Status'!A323&amp;'1. Status'!$D$10,'ID1&amp;5'!K:K))</f>
        <v>0</v>
      </c>
      <c r="E323" s="60">
        <f t="array" ref="E323">+MAX(IF('ID1&amp;5'!A:A='1. Status'!A323&amp;'1. Status'!$E$10,'ID1&amp;5'!K:K))</f>
        <v>0</v>
      </c>
      <c r="F323" s="67">
        <f t="array" ref="F323">+MAX(IF('ID1&amp;5'!A:A='1. Status'!A323&amp;'1. Status'!$F$10,'ID1&amp;5'!K:K))</f>
        <v>0</v>
      </c>
      <c r="G323" s="60"/>
      <c r="H323" s="65" t="s">
        <v>126</v>
      </c>
      <c r="I323" s="21" t="s">
        <v>596</v>
      </c>
      <c r="J323" s="26">
        <f>+COUNTIF('ID1&amp;5'!G:G,'1. Status'!I323)</f>
        <v>0</v>
      </c>
      <c r="K323" s="83" t="str">
        <f>+IFERROR(VLOOKUP(CONCATENATE(A323,$B$10,B323),'ID1&amp;5'!B:J,8,FALSE),"-")</f>
        <v>-</v>
      </c>
      <c r="L323" s="82" t="str">
        <f>+IFERROR(VLOOKUP(B323,'ID1&amp;5'!K:L,2,FALSE),"-")</f>
        <v>-</v>
      </c>
      <c r="M323" s="83" t="str">
        <f>+IFERROR(VLOOKUP(CONCATENATE(A323,$B$10,B323),'ID1&amp;5'!B:J,9,FALSE),"-")</f>
        <v>-</v>
      </c>
      <c r="N323" s="83" t="str">
        <f>+IFERROR(VLOOKUP(CONCATENATE(A323,$C$10,C323),'ID1&amp;5'!B:J,8,FALSE),"-")</f>
        <v>-</v>
      </c>
      <c r="O323" s="82" t="str">
        <f>+IFERROR(VLOOKUP(C323,'ID1&amp;5'!K:L,2,FALSE),"-")</f>
        <v>-</v>
      </c>
      <c r="P323" s="83" t="str">
        <f>+IFERROR(VLOOKUP(CONCATENATE(A323,$C$10,C323),'ID1&amp;5'!B:J,9,FALSE),"-")</f>
        <v>-</v>
      </c>
      <c r="Q323" s="82" t="str">
        <f>+IFERROR(VLOOKUP(D323,'ID1&amp;5'!K:L,2,FALSE),"-")</f>
        <v>-</v>
      </c>
      <c r="R323" s="26" t="str">
        <f>+IFERROR(VLOOKUP(CONCATENATE(A323,$D$10,D323),'ID1&amp;5'!B:J,9,FALSE),"-")</f>
        <v>-</v>
      </c>
      <c r="S323" s="82" t="str">
        <f>+IFERROR(VLOOKUP(E323,'ID1&amp;5'!K:L,2,FALSE),"-")</f>
        <v>-</v>
      </c>
      <c r="T323" s="83" t="str">
        <f>+IFERROR(VLOOKUP(CONCATENATE(A323,$E$10,E323),'ID1&amp;5'!B:J,9,FALSE),"-")</f>
        <v>-</v>
      </c>
      <c r="U323" s="82" t="str">
        <f>+IFERROR(VLOOKUP(F323,'ID1&amp;5'!K:L,2,FALSE),"-")</f>
        <v>-</v>
      </c>
      <c r="V323" s="83" t="str">
        <f>+IFERROR(VLOOKUP(CONCATENATE(A323,$F$10,F323),'ID1&amp;5'!B:J,9,FALSE),"-")</f>
        <v>-</v>
      </c>
      <c r="W323" s="26" t="str">
        <f>+IFERROR(VLOOKUP(A323,'ID6&amp;7'!A:I,9,FALSE),"-")</f>
        <v>-</v>
      </c>
      <c r="X323" s="26" t="str">
        <f>+IFERROR(VLOOKUP(A323,'ID6&amp;7'!A:J,10,FALSE),"-")</f>
        <v>-</v>
      </c>
      <c r="Y323" s="26"/>
      <c r="Z323" s="27" t="str">
        <f t="shared" si="11"/>
        <v>Por iniciar</v>
      </c>
    </row>
    <row r="324" spans="1:26">
      <c r="A324" s="20" t="str">
        <f t="shared" si="10"/>
        <v>INSTRUMENTFLG_DFLT45596</v>
      </c>
      <c r="B324" s="66">
        <f t="array" ref="B324">+MAX(IF('ID1&amp;5'!A:A='1. Status'!A324&amp;'1. Status'!$B$10,'ID1&amp;5'!K:K))</f>
        <v>0</v>
      </c>
      <c r="C324" s="60">
        <f t="array" ref="C324">+MAX(IF('ID1&amp;5'!A:A='1. Status'!A324&amp;'1. Status'!$C$10,'ID1&amp;5'!K:K))</f>
        <v>0</v>
      </c>
      <c r="D324" s="60">
        <f t="array" ref="D324">+MAX(IF('ID1&amp;5'!A:A='1. Status'!A324&amp;'1. Status'!$D$10,'ID1&amp;5'!K:K))</f>
        <v>0</v>
      </c>
      <c r="E324" s="60">
        <f t="array" ref="E324">+MAX(IF('ID1&amp;5'!A:A='1. Status'!A324&amp;'1. Status'!$E$10,'ID1&amp;5'!K:K))</f>
        <v>0</v>
      </c>
      <c r="F324" s="67">
        <f t="array" ref="F324">+MAX(IF('ID1&amp;5'!A:A='1. Status'!A324&amp;'1. Status'!$F$10,'ID1&amp;5'!K:K))</f>
        <v>0</v>
      </c>
      <c r="G324" s="60"/>
      <c r="H324" s="65" t="s">
        <v>126</v>
      </c>
      <c r="I324" s="21" t="s">
        <v>597</v>
      </c>
      <c r="J324" s="26">
        <f>+COUNTIF('ID1&amp;5'!G:G,'1. Status'!I324)</f>
        <v>0</v>
      </c>
      <c r="K324" s="83" t="str">
        <f>+IFERROR(VLOOKUP(CONCATENATE(A324,$B$10,B324),'ID1&amp;5'!B:J,8,FALSE),"-")</f>
        <v>-</v>
      </c>
      <c r="L324" s="82" t="str">
        <f>+IFERROR(VLOOKUP(B324,'ID1&amp;5'!K:L,2,FALSE),"-")</f>
        <v>-</v>
      </c>
      <c r="M324" s="83" t="str">
        <f>+IFERROR(VLOOKUP(CONCATENATE(A324,$B$10,B324),'ID1&amp;5'!B:J,9,FALSE),"-")</f>
        <v>-</v>
      </c>
      <c r="N324" s="83" t="str">
        <f>+IFERROR(VLOOKUP(CONCATENATE(A324,$C$10,C324),'ID1&amp;5'!B:J,8,FALSE),"-")</f>
        <v>-</v>
      </c>
      <c r="O324" s="82" t="str">
        <f>+IFERROR(VLOOKUP(C324,'ID1&amp;5'!K:L,2,FALSE),"-")</f>
        <v>-</v>
      </c>
      <c r="P324" s="83" t="str">
        <f>+IFERROR(VLOOKUP(CONCATENATE(A324,$C$10,C324),'ID1&amp;5'!B:J,9,FALSE),"-")</f>
        <v>-</v>
      </c>
      <c r="Q324" s="82" t="str">
        <f>+IFERROR(VLOOKUP(D324,'ID1&amp;5'!K:L,2,FALSE),"-")</f>
        <v>-</v>
      </c>
      <c r="R324" s="26" t="str">
        <f>+IFERROR(VLOOKUP(CONCATENATE(A324,$D$10,D324),'ID1&amp;5'!B:J,9,FALSE),"-")</f>
        <v>-</v>
      </c>
      <c r="S324" s="82" t="str">
        <f>+IFERROR(VLOOKUP(E324,'ID1&amp;5'!K:L,2,FALSE),"-")</f>
        <v>-</v>
      </c>
      <c r="T324" s="83" t="str">
        <f>+IFERROR(VLOOKUP(CONCATENATE(A324,$E$10,E324),'ID1&amp;5'!B:J,9,FALSE),"-")</f>
        <v>-</v>
      </c>
      <c r="U324" s="82" t="str">
        <f>+IFERROR(VLOOKUP(F324,'ID1&amp;5'!K:L,2,FALSE),"-")</f>
        <v>-</v>
      </c>
      <c r="V324" s="83" t="str">
        <f>+IFERROR(VLOOKUP(CONCATENATE(A324,$F$10,F324),'ID1&amp;5'!B:J,9,FALSE),"-")</f>
        <v>-</v>
      </c>
      <c r="W324" s="26" t="str">
        <f>+IFERROR(VLOOKUP(A324,'ID6&amp;7'!A:I,9,FALSE),"-")</f>
        <v>-</v>
      </c>
      <c r="X324" s="26" t="str">
        <f>+IFERROR(VLOOKUP(A324,'ID6&amp;7'!A:J,10,FALSE),"-")</f>
        <v>-</v>
      </c>
      <c r="Y324" s="26"/>
      <c r="Z324" s="27" t="str">
        <f t="shared" si="11"/>
        <v>Por iniciar</v>
      </c>
    </row>
    <row r="325" spans="1:26">
      <c r="A325" s="20" t="str">
        <f t="shared" si="10"/>
        <v>INSTRUMENTFLG_HGH_RSK45596</v>
      </c>
      <c r="B325" s="66">
        <f t="array" ref="B325">+MAX(IF('ID1&amp;5'!A:A='1. Status'!A325&amp;'1. Status'!$B$10,'ID1&amp;5'!K:K))</f>
        <v>0</v>
      </c>
      <c r="C325" s="60">
        <f t="array" ref="C325">+MAX(IF('ID1&amp;5'!A:A='1. Status'!A325&amp;'1. Status'!$C$10,'ID1&amp;5'!K:K))</f>
        <v>0</v>
      </c>
      <c r="D325" s="60">
        <f t="array" ref="D325">+MAX(IF('ID1&amp;5'!A:A='1. Status'!A325&amp;'1. Status'!$D$10,'ID1&amp;5'!K:K))</f>
        <v>0</v>
      </c>
      <c r="E325" s="60">
        <f t="array" ref="E325">+MAX(IF('ID1&amp;5'!A:A='1. Status'!A325&amp;'1. Status'!$E$10,'ID1&amp;5'!K:K))</f>
        <v>0</v>
      </c>
      <c r="F325" s="67">
        <f t="array" ref="F325">+MAX(IF('ID1&amp;5'!A:A='1. Status'!A325&amp;'1. Status'!$F$10,'ID1&amp;5'!K:K))</f>
        <v>0</v>
      </c>
      <c r="G325" s="60"/>
      <c r="H325" s="65" t="s">
        <v>126</v>
      </c>
      <c r="I325" s="21" t="s">
        <v>598</v>
      </c>
      <c r="J325" s="26">
        <f>+COUNTIF('ID1&amp;5'!G:G,'1. Status'!I325)</f>
        <v>0</v>
      </c>
      <c r="K325" s="83" t="str">
        <f>+IFERROR(VLOOKUP(CONCATENATE(A325,$B$10,B325),'ID1&amp;5'!B:J,8,FALSE),"-")</f>
        <v>-</v>
      </c>
      <c r="L325" s="82" t="str">
        <f>+IFERROR(VLOOKUP(B325,'ID1&amp;5'!K:L,2,FALSE),"-")</f>
        <v>-</v>
      </c>
      <c r="M325" s="83" t="str">
        <f>+IFERROR(VLOOKUP(CONCATENATE(A325,$B$10,B325),'ID1&amp;5'!B:J,9,FALSE),"-")</f>
        <v>-</v>
      </c>
      <c r="N325" s="83" t="str">
        <f>+IFERROR(VLOOKUP(CONCATENATE(A325,$C$10,C325),'ID1&amp;5'!B:J,8,FALSE),"-")</f>
        <v>-</v>
      </c>
      <c r="O325" s="82" t="str">
        <f>+IFERROR(VLOOKUP(C325,'ID1&amp;5'!K:L,2,FALSE),"-")</f>
        <v>-</v>
      </c>
      <c r="P325" s="83" t="str">
        <f>+IFERROR(VLOOKUP(CONCATENATE(A325,$C$10,C325),'ID1&amp;5'!B:J,9,FALSE),"-")</f>
        <v>-</v>
      </c>
      <c r="Q325" s="82" t="str">
        <f>+IFERROR(VLOOKUP(D325,'ID1&amp;5'!K:L,2,FALSE),"-")</f>
        <v>-</v>
      </c>
      <c r="R325" s="26" t="str">
        <f>+IFERROR(VLOOKUP(CONCATENATE(A325,$D$10,D325),'ID1&amp;5'!B:J,9,FALSE),"-")</f>
        <v>-</v>
      </c>
      <c r="S325" s="82" t="str">
        <f>+IFERROR(VLOOKUP(E325,'ID1&amp;5'!K:L,2,FALSE),"-")</f>
        <v>-</v>
      </c>
      <c r="T325" s="83" t="str">
        <f>+IFERROR(VLOOKUP(CONCATENATE(A325,$E$10,E325),'ID1&amp;5'!B:J,9,FALSE),"-")</f>
        <v>-</v>
      </c>
      <c r="U325" s="82" t="str">
        <f>+IFERROR(VLOOKUP(F325,'ID1&amp;5'!K:L,2,FALSE),"-")</f>
        <v>-</v>
      </c>
      <c r="V325" s="83" t="str">
        <f>+IFERROR(VLOOKUP(CONCATENATE(A325,$F$10,F325),'ID1&amp;5'!B:J,9,FALSE),"-")</f>
        <v>-</v>
      </c>
      <c r="W325" s="26" t="str">
        <f>+IFERROR(VLOOKUP(A325,'ID6&amp;7'!A:I,9,FALSE),"-")</f>
        <v>-</v>
      </c>
      <c r="X325" s="26" t="str">
        <f>+IFERROR(VLOOKUP(A325,'ID6&amp;7'!A:J,10,FALSE),"-")</f>
        <v>-</v>
      </c>
      <c r="Y325" s="26"/>
      <c r="Z325" s="27" t="str">
        <f t="shared" si="11"/>
        <v>Por iniciar</v>
      </c>
    </row>
    <row r="326" spans="1:26">
      <c r="A326" s="20" t="str">
        <f t="shared" si="10"/>
        <v>INSTRUMENTPRTNR45596</v>
      </c>
      <c r="B326" s="66">
        <f t="array" ref="B326">+MAX(IF('ID1&amp;5'!A:A='1. Status'!A326&amp;'1. Status'!$B$10,'ID1&amp;5'!K:K))</f>
        <v>0</v>
      </c>
      <c r="C326" s="60">
        <f t="array" ref="C326">+MAX(IF('ID1&amp;5'!A:A='1. Status'!A326&amp;'1. Status'!$C$10,'ID1&amp;5'!K:K))</f>
        <v>0</v>
      </c>
      <c r="D326" s="60">
        <f t="array" ref="D326">+MAX(IF('ID1&amp;5'!A:A='1. Status'!A326&amp;'1. Status'!$D$10,'ID1&amp;5'!K:K))</f>
        <v>0</v>
      </c>
      <c r="E326" s="60">
        <f t="array" ref="E326">+MAX(IF('ID1&amp;5'!A:A='1. Status'!A326&amp;'1. Status'!$E$10,'ID1&amp;5'!K:K))</f>
        <v>0</v>
      </c>
      <c r="F326" s="67">
        <f t="array" ref="F326">+MAX(IF('ID1&amp;5'!A:A='1. Status'!A326&amp;'1. Status'!$F$10,'ID1&amp;5'!K:K))</f>
        <v>0</v>
      </c>
      <c r="G326" s="60"/>
      <c r="H326" s="65" t="s">
        <v>126</v>
      </c>
      <c r="I326" s="21" t="s">
        <v>599</v>
      </c>
      <c r="J326" s="26">
        <f>+COUNTIF('ID1&amp;5'!G:G,'1. Status'!I326)</f>
        <v>0</v>
      </c>
      <c r="K326" s="83" t="str">
        <f>+IFERROR(VLOOKUP(CONCATENATE(A326,$B$10,B326),'ID1&amp;5'!B:J,8,FALSE),"-")</f>
        <v>-</v>
      </c>
      <c r="L326" s="82" t="str">
        <f>+IFERROR(VLOOKUP(B326,'ID1&amp;5'!K:L,2,FALSE),"-")</f>
        <v>-</v>
      </c>
      <c r="M326" s="83" t="str">
        <f>+IFERROR(VLOOKUP(CONCATENATE(A326,$B$10,B326),'ID1&amp;5'!B:J,9,FALSE),"-")</f>
        <v>-</v>
      </c>
      <c r="N326" s="83" t="str">
        <f>+IFERROR(VLOOKUP(CONCATENATE(A326,$C$10,C326),'ID1&amp;5'!B:J,8,FALSE),"-")</f>
        <v>-</v>
      </c>
      <c r="O326" s="82" t="str">
        <f>+IFERROR(VLOOKUP(C326,'ID1&amp;5'!K:L,2,FALSE),"-")</f>
        <v>-</v>
      </c>
      <c r="P326" s="83" t="str">
        <f>+IFERROR(VLOOKUP(CONCATENATE(A326,$C$10,C326),'ID1&amp;5'!B:J,9,FALSE),"-")</f>
        <v>-</v>
      </c>
      <c r="Q326" s="82" t="str">
        <f>+IFERROR(VLOOKUP(D326,'ID1&amp;5'!K:L,2,FALSE),"-")</f>
        <v>-</v>
      </c>
      <c r="R326" s="26" t="str">
        <f>+IFERROR(VLOOKUP(CONCATENATE(A326,$D$10,D326),'ID1&amp;5'!B:J,9,FALSE),"-")</f>
        <v>-</v>
      </c>
      <c r="S326" s="82" t="str">
        <f>+IFERROR(VLOOKUP(E326,'ID1&amp;5'!K:L,2,FALSE),"-")</f>
        <v>-</v>
      </c>
      <c r="T326" s="83" t="str">
        <f>+IFERROR(VLOOKUP(CONCATENATE(A326,$E$10,E326),'ID1&amp;5'!B:J,9,FALSE),"-")</f>
        <v>-</v>
      </c>
      <c r="U326" s="82" t="str">
        <f>+IFERROR(VLOOKUP(F326,'ID1&amp;5'!K:L,2,FALSE),"-")</f>
        <v>-</v>
      </c>
      <c r="V326" s="83" t="str">
        <f>+IFERROR(VLOOKUP(CONCATENATE(A326,$F$10,F326),'ID1&amp;5'!B:J,9,FALSE),"-")</f>
        <v>-</v>
      </c>
      <c r="W326" s="26" t="str">
        <f>+IFERROR(VLOOKUP(A326,'ID6&amp;7'!A:I,9,FALSE),"-")</f>
        <v>-</v>
      </c>
      <c r="X326" s="26" t="str">
        <f>+IFERROR(VLOOKUP(A326,'ID6&amp;7'!A:J,10,FALSE),"-")</f>
        <v>-</v>
      </c>
      <c r="Y326" s="81"/>
      <c r="Z326" s="27" t="str">
        <f t="shared" si="11"/>
        <v>Por iniciar</v>
      </c>
    </row>
    <row r="327" spans="1:26">
      <c r="A327" s="20" t="str">
        <f t="shared" si="10"/>
        <v>INSTRUMENTINCNTVS45596</v>
      </c>
      <c r="B327" s="66">
        <f t="array" ref="B327">+MAX(IF('ID1&amp;5'!A:A='1. Status'!A327&amp;'1. Status'!$B$10,'ID1&amp;5'!K:K))</f>
        <v>0</v>
      </c>
      <c r="C327" s="60">
        <f t="array" ref="C327">+MAX(IF('ID1&amp;5'!A:A='1. Status'!A327&amp;'1. Status'!$C$10,'ID1&amp;5'!K:K))</f>
        <v>0</v>
      </c>
      <c r="D327" s="60">
        <f t="array" ref="D327">+MAX(IF('ID1&amp;5'!A:A='1. Status'!A327&amp;'1. Status'!$D$10,'ID1&amp;5'!K:K))</f>
        <v>0</v>
      </c>
      <c r="E327" s="60">
        <f t="array" ref="E327">+MAX(IF('ID1&amp;5'!A:A='1. Status'!A327&amp;'1. Status'!$E$10,'ID1&amp;5'!K:K))</f>
        <v>0</v>
      </c>
      <c r="F327" s="67">
        <f t="array" ref="F327">+MAX(IF('ID1&amp;5'!A:A='1. Status'!A327&amp;'1. Status'!$F$10,'ID1&amp;5'!K:K))</f>
        <v>0</v>
      </c>
      <c r="G327" s="60"/>
      <c r="H327" s="65" t="s">
        <v>126</v>
      </c>
      <c r="I327" s="21" t="s">
        <v>600</v>
      </c>
      <c r="J327" s="26">
        <f>+COUNTIF('ID1&amp;5'!G:G,'1. Status'!I327)</f>
        <v>0</v>
      </c>
      <c r="K327" s="83" t="str">
        <f>+IFERROR(VLOOKUP(CONCATENATE(A327,$B$10,B327),'ID1&amp;5'!B:J,8,FALSE),"-")</f>
        <v>-</v>
      </c>
      <c r="L327" s="82" t="str">
        <f>+IFERROR(VLOOKUP(B327,'ID1&amp;5'!K:L,2,FALSE),"-")</f>
        <v>-</v>
      </c>
      <c r="M327" s="83" t="str">
        <f>+IFERROR(VLOOKUP(CONCATENATE(A327,$B$10,B327),'ID1&amp;5'!B:J,9,FALSE),"-")</f>
        <v>-</v>
      </c>
      <c r="N327" s="83" t="str">
        <f>+IFERROR(VLOOKUP(CONCATENATE(A327,$C$10,C327),'ID1&amp;5'!B:J,8,FALSE),"-")</f>
        <v>-</v>
      </c>
      <c r="O327" s="82" t="str">
        <f>+IFERROR(VLOOKUP(C327,'ID1&amp;5'!K:L,2,FALSE),"-")</f>
        <v>-</v>
      </c>
      <c r="P327" s="83" t="str">
        <f>+IFERROR(VLOOKUP(CONCATENATE(A327,$C$10,C327),'ID1&amp;5'!B:J,9,FALSE),"-")</f>
        <v>-</v>
      </c>
      <c r="Q327" s="82" t="str">
        <f>+IFERROR(VLOOKUP(D327,'ID1&amp;5'!K:L,2,FALSE),"-")</f>
        <v>-</v>
      </c>
      <c r="R327" s="26" t="str">
        <f>+IFERROR(VLOOKUP(CONCATENATE(A327,$D$10,D327),'ID1&amp;5'!B:J,9,FALSE),"-")</f>
        <v>-</v>
      </c>
      <c r="S327" s="82" t="str">
        <f>+IFERROR(VLOOKUP(E327,'ID1&amp;5'!K:L,2,FALSE),"-")</f>
        <v>-</v>
      </c>
      <c r="T327" s="83" t="str">
        <f>+IFERROR(VLOOKUP(CONCATENATE(A327,$E$10,E327),'ID1&amp;5'!B:J,9,FALSE),"-")</f>
        <v>-</v>
      </c>
      <c r="U327" s="82" t="str">
        <f>+IFERROR(VLOOKUP(F327,'ID1&amp;5'!K:L,2,FALSE),"-")</f>
        <v>-</v>
      </c>
      <c r="V327" s="83" t="str">
        <f>+IFERROR(VLOOKUP(CONCATENATE(A327,$F$10,F327),'ID1&amp;5'!B:J,9,FALSE),"-")</f>
        <v>-</v>
      </c>
      <c r="W327" s="26" t="str">
        <f>+IFERROR(VLOOKUP(A327,'ID6&amp;7'!A:I,9,FALSE),"-")</f>
        <v>-</v>
      </c>
      <c r="X327" s="26" t="str">
        <f>+IFERROR(VLOOKUP(A327,'ID6&amp;7'!A:J,10,FALSE),"-")</f>
        <v>-</v>
      </c>
      <c r="Y327" s="26"/>
      <c r="Z327" s="27" t="str">
        <f t="shared" si="11"/>
        <v>Por iniciar</v>
      </c>
    </row>
    <row r="328" spans="1:26">
      <c r="A328" s="20" t="str">
        <f t="shared" si="10"/>
        <v>INSTRUMENTOTHR_OPRTNG_INCM45596</v>
      </c>
      <c r="B328" s="66">
        <f t="array" ref="B328">+MAX(IF('ID1&amp;5'!A:A='1. Status'!A328&amp;'1. Status'!$B$10,'ID1&amp;5'!K:K))</f>
        <v>0</v>
      </c>
      <c r="C328" s="60">
        <f t="array" ref="C328">+MAX(IF('ID1&amp;5'!A:A='1. Status'!A328&amp;'1. Status'!$C$10,'ID1&amp;5'!K:K))</f>
        <v>0</v>
      </c>
      <c r="D328" s="60">
        <f t="array" ref="D328">+MAX(IF('ID1&amp;5'!A:A='1. Status'!A328&amp;'1. Status'!$D$10,'ID1&amp;5'!K:K))</f>
        <v>0</v>
      </c>
      <c r="E328" s="60">
        <f t="array" ref="E328">+MAX(IF('ID1&amp;5'!A:A='1. Status'!A328&amp;'1. Status'!$E$10,'ID1&amp;5'!K:K))</f>
        <v>0</v>
      </c>
      <c r="F328" s="67">
        <f t="array" ref="F328">+MAX(IF('ID1&amp;5'!A:A='1. Status'!A328&amp;'1. Status'!$F$10,'ID1&amp;5'!K:K))</f>
        <v>0</v>
      </c>
      <c r="G328" s="60"/>
      <c r="H328" s="65" t="s">
        <v>126</v>
      </c>
      <c r="I328" s="21" t="s">
        <v>601</v>
      </c>
      <c r="J328" s="26">
        <f>+COUNTIF('ID1&amp;5'!G:G,'1. Status'!I328)</f>
        <v>0</v>
      </c>
      <c r="K328" s="83" t="str">
        <f>+IFERROR(VLOOKUP(CONCATENATE(A328,$B$10,B328),'ID1&amp;5'!B:J,8,FALSE),"-")</f>
        <v>-</v>
      </c>
      <c r="L328" s="82" t="str">
        <f>+IFERROR(VLOOKUP(B328,'ID1&amp;5'!K:L,2,FALSE),"-")</f>
        <v>-</v>
      </c>
      <c r="M328" s="83" t="str">
        <f>+IFERROR(VLOOKUP(CONCATENATE(A328,$B$10,B328),'ID1&amp;5'!B:J,9,FALSE),"-")</f>
        <v>-</v>
      </c>
      <c r="N328" s="83" t="str">
        <f>+IFERROR(VLOOKUP(CONCATENATE(A328,$C$10,C328),'ID1&amp;5'!B:J,8,FALSE),"-")</f>
        <v>-</v>
      </c>
      <c r="O328" s="82" t="str">
        <f>+IFERROR(VLOOKUP(C328,'ID1&amp;5'!K:L,2,FALSE),"-")</f>
        <v>-</v>
      </c>
      <c r="P328" s="83" t="str">
        <f>+IFERROR(VLOOKUP(CONCATENATE(A328,$C$10,C328),'ID1&amp;5'!B:J,9,FALSE),"-")</f>
        <v>-</v>
      </c>
      <c r="Q328" s="82" t="str">
        <f>+IFERROR(VLOOKUP(D328,'ID1&amp;5'!K:L,2,FALSE),"-")</f>
        <v>-</v>
      </c>
      <c r="R328" s="26" t="str">
        <f>+IFERROR(VLOOKUP(CONCATENATE(A328,$D$10,D328),'ID1&amp;5'!B:J,9,FALSE),"-")</f>
        <v>-</v>
      </c>
      <c r="S328" s="82" t="str">
        <f>+IFERROR(VLOOKUP(E328,'ID1&amp;5'!K:L,2,FALSE),"-")</f>
        <v>-</v>
      </c>
      <c r="T328" s="83" t="str">
        <f>+IFERROR(VLOOKUP(CONCATENATE(A328,$E$10,E328),'ID1&amp;5'!B:J,9,FALSE),"-")</f>
        <v>-</v>
      </c>
      <c r="U328" s="82" t="str">
        <f>+IFERROR(VLOOKUP(F328,'ID1&amp;5'!K:L,2,FALSE),"-")</f>
        <v>-</v>
      </c>
      <c r="V328" s="83" t="str">
        <f>+IFERROR(VLOOKUP(CONCATENATE(A328,$F$10,F328),'ID1&amp;5'!B:J,9,FALSE),"-")</f>
        <v>-</v>
      </c>
      <c r="W328" s="26" t="str">
        <f>+IFERROR(VLOOKUP(A328,'ID6&amp;7'!A:I,9,FALSE),"-")</f>
        <v>-</v>
      </c>
      <c r="X328" s="26" t="str">
        <f>+IFERROR(VLOOKUP(A328,'ID6&amp;7'!A:J,10,FALSE),"-")</f>
        <v>-</v>
      </c>
      <c r="Y328" s="26"/>
      <c r="Z328" s="27" t="str">
        <f t="shared" si="11"/>
        <v>Por iniciar</v>
      </c>
    </row>
    <row r="329" spans="1:26">
      <c r="A329" s="20" t="str">
        <f t="shared" si="10"/>
        <v>INSTRUMENTRFRRL_FS45596</v>
      </c>
      <c r="B329" s="66">
        <f t="array" ref="B329">+MAX(IF('ID1&amp;5'!A:A='1. Status'!A329&amp;'1. Status'!$B$10,'ID1&amp;5'!K:K))</f>
        <v>0</v>
      </c>
      <c r="C329" s="60">
        <f t="array" ref="C329">+MAX(IF('ID1&amp;5'!A:A='1. Status'!A329&amp;'1. Status'!$C$10,'ID1&amp;5'!K:K))</f>
        <v>0</v>
      </c>
      <c r="D329" s="60">
        <f t="array" ref="D329">+MAX(IF('ID1&amp;5'!A:A='1. Status'!A329&amp;'1. Status'!$D$10,'ID1&amp;5'!K:K))</f>
        <v>0</v>
      </c>
      <c r="E329" s="60">
        <f t="array" ref="E329">+MAX(IF('ID1&amp;5'!A:A='1. Status'!A329&amp;'1. Status'!$E$10,'ID1&amp;5'!K:K))</f>
        <v>0</v>
      </c>
      <c r="F329" s="67">
        <f t="array" ref="F329">+MAX(IF('ID1&amp;5'!A:A='1. Status'!A329&amp;'1. Status'!$F$10,'ID1&amp;5'!K:K))</f>
        <v>0</v>
      </c>
      <c r="G329" s="60"/>
      <c r="H329" s="65" t="s">
        <v>126</v>
      </c>
      <c r="I329" s="21" t="s">
        <v>602</v>
      </c>
      <c r="J329" s="26">
        <f>+COUNTIF('ID1&amp;5'!G:G,'1. Status'!I329)</f>
        <v>0</v>
      </c>
      <c r="K329" s="83" t="str">
        <f>+IFERROR(VLOOKUP(CONCATENATE(A329,$B$10,B329),'ID1&amp;5'!B:J,8,FALSE),"-")</f>
        <v>-</v>
      </c>
      <c r="L329" s="82" t="str">
        <f>+IFERROR(VLOOKUP(B329,'ID1&amp;5'!K:L,2,FALSE),"-")</f>
        <v>-</v>
      </c>
      <c r="M329" s="83" t="str">
        <f>+IFERROR(VLOOKUP(CONCATENATE(A329,$B$10,B329),'ID1&amp;5'!B:J,9,FALSE),"-")</f>
        <v>-</v>
      </c>
      <c r="N329" s="83" t="str">
        <f>+IFERROR(VLOOKUP(CONCATENATE(A329,$C$10,C329),'ID1&amp;5'!B:J,8,FALSE),"-")</f>
        <v>-</v>
      </c>
      <c r="O329" s="82" t="str">
        <f>+IFERROR(VLOOKUP(C329,'ID1&amp;5'!K:L,2,FALSE),"-")</f>
        <v>-</v>
      </c>
      <c r="P329" s="83" t="str">
        <f>+IFERROR(VLOOKUP(CONCATENATE(A329,$C$10,C329),'ID1&amp;5'!B:J,9,FALSE),"-")</f>
        <v>-</v>
      </c>
      <c r="Q329" s="82" t="str">
        <f>+IFERROR(VLOOKUP(D329,'ID1&amp;5'!K:L,2,FALSE),"-")</f>
        <v>-</v>
      </c>
      <c r="R329" s="26" t="str">
        <f>+IFERROR(VLOOKUP(CONCATENATE(A329,$D$10,D329),'ID1&amp;5'!B:J,9,FALSE),"-")</f>
        <v>-</v>
      </c>
      <c r="S329" s="82" t="str">
        <f>+IFERROR(VLOOKUP(E329,'ID1&amp;5'!K:L,2,FALSE),"-")</f>
        <v>-</v>
      </c>
      <c r="T329" s="83" t="str">
        <f>+IFERROR(VLOOKUP(CONCATENATE(A329,$E$10,E329),'ID1&amp;5'!B:J,9,FALSE),"-")</f>
        <v>-</v>
      </c>
      <c r="U329" s="82" t="str">
        <f>+IFERROR(VLOOKUP(F329,'ID1&amp;5'!K:L,2,FALSE),"-")</f>
        <v>-</v>
      </c>
      <c r="V329" s="83" t="str">
        <f>+IFERROR(VLOOKUP(CONCATENATE(A329,$F$10,F329),'ID1&amp;5'!B:J,9,FALSE),"-")</f>
        <v>-</v>
      </c>
      <c r="W329" s="26" t="str">
        <f>+IFERROR(VLOOKUP(A329,'ID6&amp;7'!A:I,9,FALSE),"-")</f>
        <v>-</v>
      </c>
      <c r="X329" s="26" t="str">
        <f>+IFERROR(VLOOKUP(A329,'ID6&amp;7'!A:J,10,FALSE),"-")</f>
        <v>-</v>
      </c>
      <c r="Y329" s="26"/>
      <c r="Z329" s="27" t="str">
        <f t="shared" si="11"/>
        <v>Por iniciar</v>
      </c>
    </row>
    <row r="330" spans="1:26">
      <c r="A330" s="20" t="str">
        <f t="shared" si="10"/>
        <v>INSTRUMENTINSRNC_CMSSNS45596</v>
      </c>
      <c r="B330" s="66">
        <f t="array" ref="B330">+MAX(IF('ID1&amp;5'!A:A='1. Status'!A330&amp;'1. Status'!$B$10,'ID1&amp;5'!K:K))</f>
        <v>0</v>
      </c>
      <c r="C330" s="60">
        <f t="array" ref="C330">+MAX(IF('ID1&amp;5'!A:A='1. Status'!A330&amp;'1. Status'!$C$10,'ID1&amp;5'!K:K))</f>
        <v>0</v>
      </c>
      <c r="D330" s="60">
        <f t="array" ref="D330">+MAX(IF('ID1&amp;5'!A:A='1. Status'!A330&amp;'1. Status'!$D$10,'ID1&amp;5'!K:K))</f>
        <v>0</v>
      </c>
      <c r="E330" s="60">
        <f t="array" ref="E330">+MAX(IF('ID1&amp;5'!A:A='1. Status'!A330&amp;'1. Status'!$E$10,'ID1&amp;5'!K:K))</f>
        <v>0</v>
      </c>
      <c r="F330" s="67">
        <f t="array" ref="F330">+MAX(IF('ID1&amp;5'!A:A='1. Status'!A330&amp;'1. Status'!$F$10,'ID1&amp;5'!K:K))</f>
        <v>0</v>
      </c>
      <c r="G330" s="60"/>
      <c r="H330" s="65" t="s">
        <v>126</v>
      </c>
      <c r="I330" s="21" t="s">
        <v>603</v>
      </c>
      <c r="J330" s="26">
        <f>+COUNTIF('ID1&amp;5'!G:G,'1. Status'!I330)</f>
        <v>0</v>
      </c>
      <c r="K330" s="83" t="str">
        <f>+IFERROR(VLOOKUP(CONCATENATE(A330,$B$10,B330),'ID1&amp;5'!B:J,8,FALSE),"-")</f>
        <v>-</v>
      </c>
      <c r="L330" s="82" t="str">
        <f>+IFERROR(VLOOKUP(B330,'ID1&amp;5'!K:L,2,FALSE),"-")</f>
        <v>-</v>
      </c>
      <c r="M330" s="83" t="str">
        <f>+IFERROR(VLOOKUP(CONCATENATE(A330,$B$10,B330),'ID1&amp;5'!B:J,9,FALSE),"-")</f>
        <v>-</v>
      </c>
      <c r="N330" s="83" t="str">
        <f>+IFERROR(VLOOKUP(CONCATENATE(A330,$C$10,C330),'ID1&amp;5'!B:J,8,FALSE),"-")</f>
        <v>-</v>
      </c>
      <c r="O330" s="82" t="str">
        <f>+IFERROR(VLOOKUP(C330,'ID1&amp;5'!K:L,2,FALSE),"-")</f>
        <v>-</v>
      </c>
      <c r="P330" s="83" t="str">
        <f>+IFERROR(VLOOKUP(CONCATENATE(A330,$C$10,C330),'ID1&amp;5'!B:J,9,FALSE),"-")</f>
        <v>-</v>
      </c>
      <c r="Q330" s="82" t="str">
        <f>+IFERROR(VLOOKUP(D330,'ID1&amp;5'!K:L,2,FALSE),"-")</f>
        <v>-</v>
      </c>
      <c r="R330" s="26" t="str">
        <f>+IFERROR(VLOOKUP(CONCATENATE(A330,$D$10,D330),'ID1&amp;5'!B:J,9,FALSE),"-")</f>
        <v>-</v>
      </c>
      <c r="S330" s="82" t="str">
        <f>+IFERROR(VLOOKUP(E330,'ID1&amp;5'!K:L,2,FALSE),"-")</f>
        <v>-</v>
      </c>
      <c r="T330" s="83" t="str">
        <f>+IFERROR(VLOOKUP(CONCATENATE(A330,$E$10,E330),'ID1&amp;5'!B:J,9,FALSE),"-")</f>
        <v>-</v>
      </c>
      <c r="U330" s="82" t="str">
        <f>+IFERROR(VLOOKUP(F330,'ID1&amp;5'!K:L,2,FALSE),"-")</f>
        <v>-</v>
      </c>
      <c r="V330" s="83" t="str">
        <f>+IFERROR(VLOOKUP(CONCATENATE(A330,$F$10,F330),'ID1&amp;5'!B:J,9,FALSE),"-")</f>
        <v>-</v>
      </c>
      <c r="W330" s="26" t="str">
        <f>+IFERROR(VLOOKUP(A330,'ID6&amp;7'!A:I,9,FALSE),"-")</f>
        <v>-</v>
      </c>
      <c r="X330" s="26" t="str">
        <f>+IFERROR(VLOOKUP(A330,'ID6&amp;7'!A:J,10,FALSE),"-")</f>
        <v>-</v>
      </c>
      <c r="Y330" s="26"/>
      <c r="Z330" s="27" t="str">
        <f t="shared" si="11"/>
        <v>Por iniciar</v>
      </c>
    </row>
    <row r="331" spans="1:26">
      <c r="A331" s="20" t="str">
        <f t="shared" ref="A331:A378" si="13">+H331&amp;I331&amp;$I$8</f>
        <v>INSTRUMENTOTHR_INCM_AND_CHRGS45596</v>
      </c>
      <c r="B331" s="66">
        <f t="array" ref="B331">+MAX(IF('ID1&amp;5'!A:A='1. Status'!A331&amp;'1. Status'!$B$10,'ID1&amp;5'!K:K))</f>
        <v>0</v>
      </c>
      <c r="C331" s="60">
        <f t="array" ref="C331">+MAX(IF('ID1&amp;5'!A:A='1. Status'!A331&amp;'1. Status'!$C$10,'ID1&amp;5'!K:K))</f>
        <v>0</v>
      </c>
      <c r="D331" s="60">
        <f t="array" ref="D331">+MAX(IF('ID1&amp;5'!A:A='1. Status'!A331&amp;'1. Status'!$D$10,'ID1&amp;5'!K:K))</f>
        <v>0</v>
      </c>
      <c r="E331" s="60">
        <f t="array" ref="E331">+MAX(IF('ID1&amp;5'!A:A='1. Status'!A331&amp;'1. Status'!$E$10,'ID1&amp;5'!K:K))</f>
        <v>0</v>
      </c>
      <c r="F331" s="67">
        <f t="array" ref="F331">+MAX(IF('ID1&amp;5'!A:A='1. Status'!A331&amp;'1. Status'!$F$10,'ID1&amp;5'!K:K))</f>
        <v>0</v>
      </c>
      <c r="G331" s="60"/>
      <c r="H331" s="65" t="s">
        <v>126</v>
      </c>
      <c r="I331" s="21" t="s">
        <v>604</v>
      </c>
      <c r="J331" s="26">
        <f>+COUNTIF('ID1&amp;5'!G:G,'1. Status'!I331)</f>
        <v>0</v>
      </c>
      <c r="K331" s="83" t="str">
        <f>+IFERROR(VLOOKUP(CONCATENATE(A331,$B$10,B331),'ID1&amp;5'!B:J,8,FALSE),"-")</f>
        <v>-</v>
      </c>
      <c r="L331" s="82" t="str">
        <f>+IFERROR(VLOOKUP(B331,'ID1&amp;5'!K:L,2,FALSE),"-")</f>
        <v>-</v>
      </c>
      <c r="M331" s="83" t="str">
        <f>+IFERROR(VLOOKUP(CONCATENATE(A331,$B$10,B331),'ID1&amp;5'!B:J,9,FALSE),"-")</f>
        <v>-</v>
      </c>
      <c r="N331" s="83" t="str">
        <f>+IFERROR(VLOOKUP(CONCATENATE(A331,$C$10,C331),'ID1&amp;5'!B:J,8,FALSE),"-")</f>
        <v>-</v>
      </c>
      <c r="O331" s="82" t="str">
        <f>+IFERROR(VLOOKUP(C331,'ID1&amp;5'!K:L,2,FALSE),"-")</f>
        <v>-</v>
      </c>
      <c r="P331" s="83" t="str">
        <f>+IFERROR(VLOOKUP(CONCATENATE(A331,$C$10,C331),'ID1&amp;5'!B:J,9,FALSE),"-")</f>
        <v>-</v>
      </c>
      <c r="Q331" s="82" t="str">
        <f>+IFERROR(VLOOKUP(D331,'ID1&amp;5'!K:L,2,FALSE),"-")</f>
        <v>-</v>
      </c>
      <c r="R331" s="26" t="str">
        <f>+IFERROR(VLOOKUP(CONCATENATE(A331,$D$10,D331),'ID1&amp;5'!B:J,9,FALSE),"-")</f>
        <v>-</v>
      </c>
      <c r="S331" s="82" t="str">
        <f>+IFERROR(VLOOKUP(E331,'ID1&amp;5'!K:L,2,FALSE),"-")</f>
        <v>-</v>
      </c>
      <c r="T331" s="83" t="str">
        <f>+IFERROR(VLOOKUP(CONCATENATE(A331,$E$10,E331),'ID1&amp;5'!B:J,9,FALSE),"-")</f>
        <v>-</v>
      </c>
      <c r="U331" s="82" t="str">
        <f>+IFERROR(VLOOKUP(F331,'ID1&amp;5'!K:L,2,FALSE),"-")</f>
        <v>-</v>
      </c>
      <c r="V331" s="83" t="str">
        <f>+IFERROR(VLOOKUP(CONCATENATE(A331,$F$10,F331),'ID1&amp;5'!B:J,9,FALSE),"-")</f>
        <v>-</v>
      </c>
      <c r="W331" s="26" t="str">
        <f>+IFERROR(VLOOKUP(A331,'ID6&amp;7'!A:I,9,FALSE),"-")</f>
        <v>-</v>
      </c>
      <c r="X331" s="26" t="str">
        <f>+IFERROR(VLOOKUP(A331,'ID6&amp;7'!A:J,10,FALSE),"-")</f>
        <v>-</v>
      </c>
      <c r="Y331" s="26"/>
      <c r="Z331" s="27" t="str">
        <f t="shared" ref="Z331:Z378" si="14">+IF(J331=0,"Por iniciar",IF(OR(K331="-",M331="-",P331="-",R331="-",T331="-",V331="-"),"Em testes",IF(AND(M331=0,P331=0,R331=0,T331&lt;&gt;K331,V331&lt;&gt;K331),"OK","NOK")))</f>
        <v>Por iniciar</v>
      </c>
    </row>
    <row r="332" spans="1:26">
      <c r="A332" s="20" t="str">
        <f t="shared" si="13"/>
        <v>INSTRUMENTTX_ON_PRFT45596</v>
      </c>
      <c r="B332" s="66">
        <f t="array" ref="B332">+MAX(IF('ID1&amp;5'!A:A='1. Status'!A332&amp;'1. Status'!$B$10,'ID1&amp;5'!K:K))</f>
        <v>0</v>
      </c>
      <c r="C332" s="60">
        <f t="array" ref="C332">+MAX(IF('ID1&amp;5'!A:A='1. Status'!A332&amp;'1. Status'!$C$10,'ID1&amp;5'!K:K))</f>
        <v>0</v>
      </c>
      <c r="D332" s="60">
        <f t="array" ref="D332">+MAX(IF('ID1&amp;5'!A:A='1. Status'!A332&amp;'1. Status'!$D$10,'ID1&amp;5'!K:K))</f>
        <v>0</v>
      </c>
      <c r="E332" s="60">
        <f t="array" ref="E332">+MAX(IF('ID1&amp;5'!A:A='1. Status'!A332&amp;'1. Status'!$E$10,'ID1&amp;5'!K:K))</f>
        <v>0</v>
      </c>
      <c r="F332" s="67">
        <f t="array" ref="F332">+MAX(IF('ID1&amp;5'!A:A='1. Status'!A332&amp;'1. Status'!$F$10,'ID1&amp;5'!K:K))</f>
        <v>0</v>
      </c>
      <c r="G332" s="60"/>
      <c r="H332" s="65" t="s">
        <v>126</v>
      </c>
      <c r="I332" s="21" t="s">
        <v>605</v>
      </c>
      <c r="J332" s="26">
        <f>+COUNTIF('ID1&amp;5'!G:G,'1. Status'!I332)</f>
        <v>0</v>
      </c>
      <c r="K332" s="83" t="str">
        <f>+IFERROR(VLOOKUP(CONCATENATE(A332,$B$10,B332),'ID1&amp;5'!B:J,8,FALSE),"-")</f>
        <v>-</v>
      </c>
      <c r="L332" s="82" t="str">
        <f>+IFERROR(VLOOKUP(B332,'ID1&amp;5'!K:L,2,FALSE),"-")</f>
        <v>-</v>
      </c>
      <c r="M332" s="83" t="str">
        <f>+IFERROR(VLOOKUP(CONCATENATE(A332,$B$10,B332),'ID1&amp;5'!B:J,9,FALSE),"-")</f>
        <v>-</v>
      </c>
      <c r="N332" s="83" t="str">
        <f>+IFERROR(VLOOKUP(CONCATENATE(A332,$C$10,C332),'ID1&amp;5'!B:J,8,FALSE),"-")</f>
        <v>-</v>
      </c>
      <c r="O332" s="82" t="str">
        <f>+IFERROR(VLOOKUP(C332,'ID1&amp;5'!K:L,2,FALSE),"-")</f>
        <v>-</v>
      </c>
      <c r="P332" s="83" t="str">
        <f>+IFERROR(VLOOKUP(CONCATENATE(A332,$C$10,C332),'ID1&amp;5'!B:J,9,FALSE),"-")</f>
        <v>-</v>
      </c>
      <c r="Q332" s="82" t="str">
        <f>+IFERROR(VLOOKUP(D332,'ID1&amp;5'!K:L,2,FALSE),"-")</f>
        <v>-</v>
      </c>
      <c r="R332" s="26" t="str">
        <f>+IFERROR(VLOOKUP(CONCATENATE(A332,$D$10,D332),'ID1&amp;5'!B:J,9,FALSE),"-")</f>
        <v>-</v>
      </c>
      <c r="S332" s="82" t="str">
        <f>+IFERROR(VLOOKUP(E332,'ID1&amp;5'!K:L,2,FALSE),"-")</f>
        <v>-</v>
      </c>
      <c r="T332" s="83" t="str">
        <f>+IFERROR(VLOOKUP(CONCATENATE(A332,$E$10,E332),'ID1&amp;5'!B:J,9,FALSE),"-")</f>
        <v>-</v>
      </c>
      <c r="U332" s="82" t="str">
        <f>+IFERROR(VLOOKUP(F332,'ID1&amp;5'!K:L,2,FALSE),"-")</f>
        <v>-</v>
      </c>
      <c r="V332" s="83" t="str">
        <f>+IFERROR(VLOOKUP(CONCATENATE(A332,$F$10,F332),'ID1&amp;5'!B:J,9,FALSE),"-")</f>
        <v>-</v>
      </c>
      <c r="W332" s="26" t="str">
        <f>+IFERROR(VLOOKUP(A332,'ID6&amp;7'!A:I,9,FALSE),"-")</f>
        <v>-</v>
      </c>
      <c r="X332" s="26" t="str">
        <f>+IFERROR(VLOOKUP(A332,'ID6&amp;7'!A:J,10,FALSE),"-")</f>
        <v>-</v>
      </c>
      <c r="Y332" s="26"/>
      <c r="Z332" s="27" t="str">
        <f t="shared" si="14"/>
        <v>Por iniciar</v>
      </c>
    </row>
    <row r="333" spans="1:26">
      <c r="A333" s="20" t="str">
        <f t="shared" si="13"/>
        <v>INSTR_PROTECTIONCOD_SOC45596</v>
      </c>
      <c r="B333" s="66">
        <f t="array" ref="B333">+MAX(IF('ID1&amp;5'!A:A='1. Status'!A333&amp;'1. Status'!$B$10,'ID1&amp;5'!K:K))</f>
        <v>0</v>
      </c>
      <c r="C333" s="60">
        <f t="array" ref="C333">+MAX(IF('ID1&amp;5'!A:A='1. Status'!A333&amp;'1. Status'!$C$10,'ID1&amp;5'!K:K))</f>
        <v>0</v>
      </c>
      <c r="D333" s="60">
        <f t="array" ref="D333">+MAX(IF('ID1&amp;5'!A:A='1. Status'!A333&amp;'1. Status'!$D$10,'ID1&amp;5'!K:K))</f>
        <v>0</v>
      </c>
      <c r="E333" s="60">
        <f t="array" ref="E333">+MAX(IF('ID1&amp;5'!A:A='1. Status'!A333&amp;'1. Status'!$E$10,'ID1&amp;5'!K:K))</f>
        <v>0</v>
      </c>
      <c r="F333" s="67">
        <f t="array" ref="F333">+MAX(IF('ID1&amp;5'!A:A='1. Status'!A333&amp;'1. Status'!$F$10,'ID1&amp;5'!K:K))</f>
        <v>0</v>
      </c>
      <c r="G333" s="60"/>
      <c r="H333" s="65" t="s">
        <v>322</v>
      </c>
      <c r="I333" s="21" t="s">
        <v>109</v>
      </c>
      <c r="J333" s="26">
        <f>+COUNTIF('ID1&amp;5'!G:G,'1. Status'!I333)</f>
        <v>0</v>
      </c>
      <c r="K333" s="83" t="str">
        <f>+IFERROR(VLOOKUP(CONCATENATE(A333,$B$10,B333),'ID1&amp;5'!B:J,8,FALSE),"-")</f>
        <v>-</v>
      </c>
      <c r="L333" s="82" t="str">
        <f>+IFERROR(VLOOKUP(B333,'ID1&amp;5'!K:L,2,FALSE),"-")</f>
        <v>-</v>
      </c>
      <c r="M333" s="83" t="str">
        <f>+IFERROR(VLOOKUP(CONCATENATE(A333,$B$10,B333),'ID1&amp;5'!B:J,9,FALSE),"-")</f>
        <v>-</v>
      </c>
      <c r="N333" s="83" t="str">
        <f>+IFERROR(VLOOKUP(CONCATENATE(A333,$C$10,C333),'ID1&amp;5'!B:J,8,FALSE),"-")</f>
        <v>-</v>
      </c>
      <c r="O333" s="82" t="str">
        <f>+IFERROR(VLOOKUP(C333,'ID1&amp;5'!K:L,2,FALSE),"-")</f>
        <v>-</v>
      </c>
      <c r="P333" s="83" t="str">
        <f>+IFERROR(VLOOKUP(CONCATENATE(A333,$C$10,C333),'ID1&amp;5'!B:J,9,FALSE),"-")</f>
        <v>-</v>
      </c>
      <c r="Q333" s="82" t="str">
        <f>+IFERROR(VLOOKUP(D333,'ID1&amp;5'!K:L,2,FALSE),"-")</f>
        <v>-</v>
      </c>
      <c r="R333" s="26" t="str">
        <f>+IFERROR(VLOOKUP(CONCATENATE(A333,$D$10,D333),'ID1&amp;5'!B:J,9,FALSE),"-")</f>
        <v>-</v>
      </c>
      <c r="S333" s="82" t="str">
        <f>+IFERROR(VLOOKUP(E333,'ID1&amp;5'!K:L,2,FALSE),"-")</f>
        <v>-</v>
      </c>
      <c r="T333" s="83" t="str">
        <f>+IFERROR(VLOOKUP(CONCATENATE(A333,$E$10,E333),'ID1&amp;5'!B:J,9,FALSE),"-")</f>
        <v>-</v>
      </c>
      <c r="U333" s="82" t="str">
        <f>+IFERROR(VLOOKUP(F333,'ID1&amp;5'!K:L,2,FALSE),"-")</f>
        <v>-</v>
      </c>
      <c r="V333" s="83" t="str">
        <f>+IFERROR(VLOOKUP(CONCATENATE(A333,$F$10,F333),'ID1&amp;5'!B:J,9,FALSE),"-")</f>
        <v>-</v>
      </c>
      <c r="W333" s="26" t="str">
        <f>+IFERROR(VLOOKUP(A333,'ID6&amp;7'!A:I,9,FALSE),"-")</f>
        <v>-</v>
      </c>
      <c r="X333" s="26" t="str">
        <f>+IFERROR(VLOOKUP(A333,'ID6&amp;7'!A:J,10,FALSE),"-")</f>
        <v>-</v>
      </c>
      <c r="Y333" s="26"/>
      <c r="Z333" s="27" t="str">
        <f t="shared" si="14"/>
        <v>Por iniciar</v>
      </c>
    </row>
    <row r="334" spans="1:26">
      <c r="A334" s="20" t="str">
        <f t="shared" si="13"/>
        <v>INSTR_PROTECTIONPRTCTN_ALLCTD_VL45596</v>
      </c>
      <c r="B334" s="66">
        <f t="array" ref="B334">+MAX(IF('ID1&amp;5'!A:A='1. Status'!A334&amp;'1. Status'!$B$10,'ID1&amp;5'!K:K))</f>
        <v>0</v>
      </c>
      <c r="C334" s="60">
        <f t="array" ref="C334">+MAX(IF('ID1&amp;5'!A:A='1. Status'!A334&amp;'1. Status'!$C$10,'ID1&amp;5'!K:K))</f>
        <v>0</v>
      </c>
      <c r="D334" s="60">
        <f t="array" ref="D334">+MAX(IF('ID1&amp;5'!A:A='1. Status'!A334&amp;'1. Status'!$D$10,'ID1&amp;5'!K:K))</f>
        <v>0</v>
      </c>
      <c r="E334" s="60">
        <f t="array" ref="E334">+MAX(IF('ID1&amp;5'!A:A='1. Status'!A334&amp;'1. Status'!$E$10,'ID1&amp;5'!K:K))</f>
        <v>0</v>
      </c>
      <c r="F334" s="67">
        <f t="array" ref="F334">+MAX(IF('ID1&amp;5'!A:A='1. Status'!A334&amp;'1. Status'!$F$10,'ID1&amp;5'!K:K))</f>
        <v>0</v>
      </c>
      <c r="G334" s="60"/>
      <c r="H334" s="65" t="s">
        <v>322</v>
      </c>
      <c r="I334" s="21" t="s">
        <v>606</v>
      </c>
      <c r="J334" s="26">
        <f>+COUNTIF('ID1&amp;5'!G:G,'1. Status'!I334)</f>
        <v>0</v>
      </c>
      <c r="K334" s="83" t="str">
        <f>+IFERROR(VLOOKUP(CONCATENATE(A334,$B$10,B334),'ID1&amp;5'!B:J,8,FALSE),"-")</f>
        <v>-</v>
      </c>
      <c r="L334" s="82" t="str">
        <f>+IFERROR(VLOOKUP(B334,'ID1&amp;5'!K:L,2,FALSE),"-")</f>
        <v>-</v>
      </c>
      <c r="M334" s="83" t="str">
        <f>+IFERROR(VLOOKUP(CONCATENATE(A334,$B$10,B334),'ID1&amp;5'!B:J,9,FALSE),"-")</f>
        <v>-</v>
      </c>
      <c r="N334" s="83" t="str">
        <f>+IFERROR(VLOOKUP(CONCATENATE(A334,$C$10,C334),'ID1&amp;5'!B:J,8,FALSE),"-")</f>
        <v>-</v>
      </c>
      <c r="O334" s="82" t="str">
        <f>+IFERROR(VLOOKUP(C334,'ID1&amp;5'!K:L,2,FALSE),"-")</f>
        <v>-</v>
      </c>
      <c r="P334" s="83" t="str">
        <f>+IFERROR(VLOOKUP(CONCATENATE(A334,$C$10,C334),'ID1&amp;5'!B:J,9,FALSE),"-")</f>
        <v>-</v>
      </c>
      <c r="Q334" s="82" t="str">
        <f>+IFERROR(VLOOKUP(D334,'ID1&amp;5'!K:L,2,FALSE),"-")</f>
        <v>-</v>
      </c>
      <c r="R334" s="26" t="str">
        <f>+IFERROR(VLOOKUP(CONCATENATE(A334,$D$10,D334),'ID1&amp;5'!B:J,9,FALSE),"-")</f>
        <v>-</v>
      </c>
      <c r="S334" s="82" t="str">
        <f>+IFERROR(VLOOKUP(E334,'ID1&amp;5'!K:L,2,FALSE),"-")</f>
        <v>-</v>
      </c>
      <c r="T334" s="83" t="str">
        <f>+IFERROR(VLOOKUP(CONCATENATE(A334,$E$10,E334),'ID1&amp;5'!B:J,9,FALSE),"-")</f>
        <v>-</v>
      </c>
      <c r="U334" s="82" t="str">
        <f>+IFERROR(VLOOKUP(F334,'ID1&amp;5'!K:L,2,FALSE),"-")</f>
        <v>-</v>
      </c>
      <c r="V334" s="83" t="str">
        <f>+IFERROR(VLOOKUP(CONCATENATE(A334,$F$10,F334),'ID1&amp;5'!B:J,9,FALSE),"-")</f>
        <v>-</v>
      </c>
      <c r="W334" s="26" t="str">
        <f>+IFERROR(VLOOKUP(A334,'ID6&amp;7'!A:I,9,FALSE),"-")</f>
        <v>-</v>
      </c>
      <c r="X334" s="26" t="str">
        <f>+IFERROR(VLOOKUP(A334,'ID6&amp;7'!A:J,10,FALSE),"-")</f>
        <v>-</v>
      </c>
      <c r="Y334" s="81"/>
      <c r="Z334" s="27" t="str">
        <f t="shared" si="14"/>
        <v>Por iniciar</v>
      </c>
    </row>
    <row r="335" spans="1:26">
      <c r="A335" s="20" t="str">
        <f t="shared" si="13"/>
        <v>INSTR_PROTECTIONTHRD_PRTY_PRRTY_CLMS45596</v>
      </c>
      <c r="B335" s="66">
        <f t="array" ref="B335">+MAX(IF('ID1&amp;5'!A:A='1. Status'!A335&amp;'1. Status'!$B$10,'ID1&amp;5'!K:K))</f>
        <v>0</v>
      </c>
      <c r="C335" s="60">
        <f t="array" ref="C335">+MAX(IF('ID1&amp;5'!A:A='1. Status'!A335&amp;'1. Status'!$C$10,'ID1&amp;5'!K:K))</f>
        <v>0</v>
      </c>
      <c r="D335" s="60">
        <f t="array" ref="D335">+MAX(IF('ID1&amp;5'!A:A='1. Status'!A335&amp;'1. Status'!$D$10,'ID1&amp;5'!K:K))</f>
        <v>0</v>
      </c>
      <c r="E335" s="60">
        <f t="array" ref="E335">+MAX(IF('ID1&amp;5'!A:A='1. Status'!A335&amp;'1. Status'!$E$10,'ID1&amp;5'!K:K))</f>
        <v>0</v>
      </c>
      <c r="F335" s="67">
        <f t="array" ref="F335">+MAX(IF('ID1&amp;5'!A:A='1. Status'!A335&amp;'1. Status'!$F$10,'ID1&amp;5'!K:K))</f>
        <v>0</v>
      </c>
      <c r="G335" s="60"/>
      <c r="H335" s="65" t="s">
        <v>322</v>
      </c>
      <c r="I335" s="21" t="s">
        <v>607</v>
      </c>
      <c r="J335" s="26">
        <f>+COUNTIF('ID1&amp;5'!G:G,'1. Status'!I335)</f>
        <v>0</v>
      </c>
      <c r="K335" s="83" t="str">
        <f>+IFERROR(VLOOKUP(CONCATENATE(A335,$B$10,B335),'ID1&amp;5'!B:J,8,FALSE),"-")</f>
        <v>-</v>
      </c>
      <c r="L335" s="82" t="str">
        <f>+IFERROR(VLOOKUP(B335,'ID1&amp;5'!K:L,2,FALSE),"-")</f>
        <v>-</v>
      </c>
      <c r="M335" s="83" t="str">
        <f>+IFERROR(VLOOKUP(CONCATENATE(A335,$B$10,B335),'ID1&amp;5'!B:J,9,FALSE),"-")</f>
        <v>-</v>
      </c>
      <c r="N335" s="83" t="str">
        <f>+IFERROR(VLOOKUP(CONCATENATE(A335,$C$10,C335),'ID1&amp;5'!B:J,8,FALSE),"-")</f>
        <v>-</v>
      </c>
      <c r="O335" s="82" t="str">
        <f>+IFERROR(VLOOKUP(C335,'ID1&amp;5'!K:L,2,FALSE),"-")</f>
        <v>-</v>
      </c>
      <c r="P335" s="83" t="str">
        <f>+IFERROR(VLOOKUP(CONCATENATE(A335,$C$10,C335),'ID1&amp;5'!B:J,9,FALSE),"-")</f>
        <v>-</v>
      </c>
      <c r="Q335" s="82" t="str">
        <f>+IFERROR(VLOOKUP(D335,'ID1&amp;5'!K:L,2,FALSE),"-")</f>
        <v>-</v>
      </c>
      <c r="R335" s="26" t="str">
        <f>+IFERROR(VLOOKUP(CONCATENATE(A335,$D$10,D335),'ID1&amp;5'!B:J,9,FALSE),"-")</f>
        <v>-</v>
      </c>
      <c r="S335" s="82" t="str">
        <f>+IFERROR(VLOOKUP(E335,'ID1&amp;5'!K:L,2,FALSE),"-")</f>
        <v>-</v>
      </c>
      <c r="T335" s="83" t="str">
        <f>+IFERROR(VLOOKUP(CONCATENATE(A335,$E$10,E335),'ID1&amp;5'!B:J,9,FALSE),"-")</f>
        <v>-</v>
      </c>
      <c r="U335" s="82" t="str">
        <f>+IFERROR(VLOOKUP(F335,'ID1&amp;5'!K:L,2,FALSE),"-")</f>
        <v>-</v>
      </c>
      <c r="V335" s="83" t="str">
        <f>+IFERROR(VLOOKUP(CONCATENATE(A335,$F$10,F335),'ID1&amp;5'!B:J,9,FALSE),"-")</f>
        <v>-</v>
      </c>
      <c r="W335" s="26" t="str">
        <f>+IFERROR(VLOOKUP(A335,'ID6&amp;7'!A:I,9,FALSE),"-")</f>
        <v>-</v>
      </c>
      <c r="X335" s="26" t="str">
        <f>+IFERROR(VLOOKUP(A335,'ID6&amp;7'!A:J,10,FALSE),"-")</f>
        <v>-</v>
      </c>
      <c r="Y335" s="26"/>
      <c r="Z335" s="27" t="str">
        <f t="shared" si="14"/>
        <v>Por iniciar</v>
      </c>
    </row>
    <row r="336" spans="1:26">
      <c r="A336" s="20" t="str">
        <f t="shared" si="13"/>
        <v>PROTECTIONCOD_SOC45596</v>
      </c>
      <c r="B336" s="66">
        <f t="array" ref="B336">+MAX(IF('ID1&amp;5'!A:A='1. Status'!A336&amp;'1. Status'!$B$10,'ID1&amp;5'!K:K))</f>
        <v>0</v>
      </c>
      <c r="C336" s="60">
        <f t="array" ref="C336">+MAX(IF('ID1&amp;5'!A:A='1. Status'!A336&amp;'1. Status'!$C$10,'ID1&amp;5'!K:K))</f>
        <v>0</v>
      </c>
      <c r="D336" s="60">
        <f t="array" ref="D336">+MAX(IF('ID1&amp;5'!A:A='1. Status'!A336&amp;'1. Status'!$D$10,'ID1&amp;5'!K:K))</f>
        <v>0</v>
      </c>
      <c r="E336" s="60">
        <f t="array" ref="E336">+MAX(IF('ID1&amp;5'!A:A='1. Status'!A336&amp;'1. Status'!$E$10,'ID1&amp;5'!K:K))</f>
        <v>0</v>
      </c>
      <c r="F336" s="67">
        <f t="array" ref="F336">+MAX(IF('ID1&amp;5'!A:A='1. Status'!A336&amp;'1. Status'!$F$10,'ID1&amp;5'!K:K))</f>
        <v>0</v>
      </c>
      <c r="G336" s="60"/>
      <c r="H336" s="65" t="s">
        <v>128</v>
      </c>
      <c r="I336" s="21" t="s">
        <v>109</v>
      </c>
      <c r="J336" s="26">
        <f>+COUNTIF('ID1&amp;5'!G:G,'1. Status'!I336)</f>
        <v>0</v>
      </c>
      <c r="K336" s="83" t="str">
        <f>+IFERROR(VLOOKUP(CONCATENATE(A336,$B$10,B336),'ID1&amp;5'!B:J,8,FALSE),"-")</f>
        <v>-</v>
      </c>
      <c r="L336" s="82" t="str">
        <f>+IFERROR(VLOOKUP(B336,'ID1&amp;5'!K:L,2,FALSE),"-")</f>
        <v>-</v>
      </c>
      <c r="M336" s="83" t="str">
        <f>+IFERROR(VLOOKUP(CONCATENATE(A336,$B$10,B336),'ID1&amp;5'!B:J,9,FALSE),"-")</f>
        <v>-</v>
      </c>
      <c r="N336" s="83" t="str">
        <f>+IFERROR(VLOOKUP(CONCATENATE(A336,$C$10,C336),'ID1&amp;5'!B:J,8,FALSE),"-")</f>
        <v>-</v>
      </c>
      <c r="O336" s="82" t="str">
        <f>+IFERROR(VLOOKUP(C336,'ID1&amp;5'!K:L,2,FALSE),"-")</f>
        <v>-</v>
      </c>
      <c r="P336" s="83" t="str">
        <f>+IFERROR(VLOOKUP(CONCATENATE(A336,$C$10,C336),'ID1&amp;5'!B:J,9,FALSE),"-")</f>
        <v>-</v>
      </c>
      <c r="Q336" s="82" t="str">
        <f>+IFERROR(VLOOKUP(D336,'ID1&amp;5'!K:L,2,FALSE),"-")</f>
        <v>-</v>
      </c>
      <c r="R336" s="26" t="str">
        <f>+IFERROR(VLOOKUP(CONCATENATE(A336,$D$10,D336),'ID1&amp;5'!B:J,9,FALSE),"-")</f>
        <v>-</v>
      </c>
      <c r="S336" s="82" t="str">
        <f>+IFERROR(VLOOKUP(E336,'ID1&amp;5'!K:L,2,FALSE),"-")</f>
        <v>-</v>
      </c>
      <c r="T336" s="83" t="str">
        <f>+IFERROR(VLOOKUP(CONCATENATE(A336,$E$10,E336),'ID1&amp;5'!B:J,9,FALSE),"-")</f>
        <v>-</v>
      </c>
      <c r="U336" s="82" t="str">
        <f>+IFERROR(VLOOKUP(F336,'ID1&amp;5'!K:L,2,FALSE),"-")</f>
        <v>-</v>
      </c>
      <c r="V336" s="83" t="str">
        <f>+IFERROR(VLOOKUP(CONCATENATE(A336,$F$10,F336),'ID1&amp;5'!B:J,9,FALSE),"-")</f>
        <v>-</v>
      </c>
      <c r="W336" s="26" t="str">
        <f>+IFERROR(VLOOKUP(A336,'ID6&amp;7'!A:I,9,FALSE),"-")</f>
        <v>-</v>
      </c>
      <c r="X336" s="26" t="str">
        <f>+IFERROR(VLOOKUP(A336,'ID6&amp;7'!A:J,10,FALSE),"-")</f>
        <v>-</v>
      </c>
      <c r="Y336" s="26"/>
      <c r="Z336" s="27" t="str">
        <f t="shared" si="14"/>
        <v>Por iniciar</v>
      </c>
    </row>
    <row r="337" spans="1:26">
      <c r="A337" s="20" t="str">
        <f t="shared" si="13"/>
        <v>PROTECTIONDT_MTRTY_PRTCTN45596</v>
      </c>
      <c r="B337" s="66">
        <f t="array" ref="B337">+MAX(IF('ID1&amp;5'!A:A='1. Status'!A337&amp;'1. Status'!$B$10,'ID1&amp;5'!K:K))</f>
        <v>0</v>
      </c>
      <c r="C337" s="60">
        <f t="array" ref="C337">+MAX(IF('ID1&amp;5'!A:A='1. Status'!A337&amp;'1. Status'!$C$10,'ID1&amp;5'!K:K))</f>
        <v>0</v>
      </c>
      <c r="D337" s="60">
        <f t="array" ref="D337">+MAX(IF('ID1&amp;5'!A:A='1. Status'!A337&amp;'1. Status'!$D$10,'ID1&amp;5'!K:K))</f>
        <v>0</v>
      </c>
      <c r="E337" s="60">
        <f t="array" ref="E337">+MAX(IF('ID1&amp;5'!A:A='1. Status'!A337&amp;'1. Status'!$E$10,'ID1&amp;5'!K:K))</f>
        <v>0</v>
      </c>
      <c r="F337" s="67">
        <f t="array" ref="F337">+MAX(IF('ID1&amp;5'!A:A='1. Status'!A337&amp;'1. Status'!$F$10,'ID1&amp;5'!K:K))</f>
        <v>0</v>
      </c>
      <c r="G337" s="60"/>
      <c r="H337" s="65" t="s">
        <v>128</v>
      </c>
      <c r="I337" s="21" t="s">
        <v>608</v>
      </c>
      <c r="J337" s="26">
        <f>+COUNTIF('ID1&amp;5'!G:G,'1. Status'!I337)</f>
        <v>0</v>
      </c>
      <c r="K337" s="83" t="str">
        <f>+IFERROR(VLOOKUP(CONCATENATE(A337,$B$10,B337),'ID1&amp;5'!B:J,8,FALSE),"-")</f>
        <v>-</v>
      </c>
      <c r="L337" s="82" t="str">
        <f>+IFERROR(VLOOKUP(B337,'ID1&amp;5'!K:L,2,FALSE),"-")</f>
        <v>-</v>
      </c>
      <c r="M337" s="83" t="str">
        <f>+IFERROR(VLOOKUP(CONCATENATE(A337,$B$10,B337),'ID1&amp;5'!B:J,9,FALSE),"-")</f>
        <v>-</v>
      </c>
      <c r="N337" s="83" t="str">
        <f>+IFERROR(VLOOKUP(CONCATENATE(A337,$C$10,C337),'ID1&amp;5'!B:J,8,FALSE),"-")</f>
        <v>-</v>
      </c>
      <c r="O337" s="82" t="str">
        <f>+IFERROR(VLOOKUP(C337,'ID1&amp;5'!K:L,2,FALSE),"-")</f>
        <v>-</v>
      </c>
      <c r="P337" s="83" t="str">
        <f>+IFERROR(VLOOKUP(CONCATENATE(A337,$C$10,C337),'ID1&amp;5'!B:J,9,FALSE),"-")</f>
        <v>-</v>
      </c>
      <c r="Q337" s="82" t="str">
        <f>+IFERROR(VLOOKUP(D337,'ID1&amp;5'!K:L,2,FALSE),"-")</f>
        <v>-</v>
      </c>
      <c r="R337" s="26" t="str">
        <f>+IFERROR(VLOOKUP(CONCATENATE(A337,$D$10,D337),'ID1&amp;5'!B:J,9,FALSE),"-")</f>
        <v>-</v>
      </c>
      <c r="S337" s="82" t="str">
        <f>+IFERROR(VLOOKUP(E337,'ID1&amp;5'!K:L,2,FALSE),"-")</f>
        <v>-</v>
      </c>
      <c r="T337" s="83" t="str">
        <f>+IFERROR(VLOOKUP(CONCATENATE(A337,$E$10,E337),'ID1&amp;5'!B:J,9,FALSE),"-")</f>
        <v>-</v>
      </c>
      <c r="U337" s="82" t="str">
        <f>+IFERROR(VLOOKUP(F337,'ID1&amp;5'!K:L,2,FALSE),"-")</f>
        <v>-</v>
      </c>
      <c r="V337" s="83" t="str">
        <f>+IFERROR(VLOOKUP(CONCATENATE(A337,$F$10,F337),'ID1&amp;5'!B:J,9,FALSE),"-")</f>
        <v>-</v>
      </c>
      <c r="W337" s="26" t="str">
        <f>+IFERROR(VLOOKUP(A337,'ID6&amp;7'!A:I,9,FALSE),"-")</f>
        <v>-</v>
      </c>
      <c r="X337" s="26" t="str">
        <f>+IFERROR(VLOOKUP(A337,'ID6&amp;7'!A:J,10,FALSE),"-")</f>
        <v>-</v>
      </c>
      <c r="Y337" s="26"/>
      <c r="Z337" s="27" t="str">
        <f t="shared" si="14"/>
        <v>Por iniciar</v>
      </c>
    </row>
    <row r="338" spans="1:26">
      <c r="A338" s="20" t="str">
        <f t="shared" si="13"/>
        <v>PROTECTIONNTNL_ID45596</v>
      </c>
      <c r="B338" s="66">
        <f t="array" ref="B338">+MAX(IF('ID1&amp;5'!A:A='1. Status'!A338&amp;'1. Status'!$B$10,'ID1&amp;5'!K:K))</f>
        <v>0</v>
      </c>
      <c r="C338" s="60">
        <f t="array" ref="C338">+MAX(IF('ID1&amp;5'!A:A='1. Status'!A338&amp;'1. Status'!$C$10,'ID1&amp;5'!K:K))</f>
        <v>0</v>
      </c>
      <c r="D338" s="60">
        <f t="array" ref="D338">+MAX(IF('ID1&amp;5'!A:A='1. Status'!A338&amp;'1. Status'!$D$10,'ID1&amp;5'!K:K))</f>
        <v>0</v>
      </c>
      <c r="E338" s="60">
        <f t="array" ref="E338">+MAX(IF('ID1&amp;5'!A:A='1. Status'!A338&amp;'1. Status'!$E$10,'ID1&amp;5'!K:K))</f>
        <v>0</v>
      </c>
      <c r="F338" s="67">
        <f t="array" ref="F338">+MAX(IF('ID1&amp;5'!A:A='1. Status'!A338&amp;'1. Status'!$F$10,'ID1&amp;5'!K:K))</f>
        <v>0</v>
      </c>
      <c r="G338" s="60"/>
      <c r="H338" s="65" t="s">
        <v>128</v>
      </c>
      <c r="I338" s="21" t="s">
        <v>609</v>
      </c>
      <c r="J338" s="26">
        <f>+COUNTIF('ID1&amp;5'!G:G,'1. Status'!I338)</f>
        <v>0</v>
      </c>
      <c r="K338" s="83" t="str">
        <f>+IFERROR(VLOOKUP(CONCATENATE(A338,$B$10,B338),'ID1&amp;5'!B:J,8,FALSE),"-")</f>
        <v>-</v>
      </c>
      <c r="L338" s="82" t="str">
        <f>+IFERROR(VLOOKUP(B338,'ID1&amp;5'!K:L,2,FALSE),"-")</f>
        <v>-</v>
      </c>
      <c r="M338" s="83" t="str">
        <f>+IFERROR(VLOOKUP(CONCATENATE(A338,$B$10,B338),'ID1&amp;5'!B:J,9,FALSE),"-")</f>
        <v>-</v>
      </c>
      <c r="N338" s="83" t="str">
        <f>+IFERROR(VLOOKUP(CONCATENATE(A338,$C$10,C338),'ID1&amp;5'!B:J,8,FALSE),"-")</f>
        <v>-</v>
      </c>
      <c r="O338" s="82" t="str">
        <f>+IFERROR(VLOOKUP(C338,'ID1&amp;5'!K:L,2,FALSE),"-")</f>
        <v>-</v>
      </c>
      <c r="P338" s="83" t="str">
        <f>+IFERROR(VLOOKUP(CONCATENATE(A338,$C$10,C338),'ID1&amp;5'!B:J,9,FALSE),"-")</f>
        <v>-</v>
      </c>
      <c r="Q338" s="82" t="str">
        <f>+IFERROR(VLOOKUP(D338,'ID1&amp;5'!K:L,2,FALSE),"-")</f>
        <v>-</v>
      </c>
      <c r="R338" s="26" t="str">
        <f>+IFERROR(VLOOKUP(CONCATENATE(A338,$D$10,D338),'ID1&amp;5'!B:J,9,FALSE),"-")</f>
        <v>-</v>
      </c>
      <c r="S338" s="82" t="str">
        <f>+IFERROR(VLOOKUP(E338,'ID1&amp;5'!K:L,2,FALSE),"-")</f>
        <v>-</v>
      </c>
      <c r="T338" s="83" t="str">
        <f>+IFERROR(VLOOKUP(CONCATENATE(A338,$E$10,E338),'ID1&amp;5'!B:J,9,FALSE),"-")</f>
        <v>-</v>
      </c>
      <c r="U338" s="82" t="str">
        <f>+IFERROR(VLOOKUP(F338,'ID1&amp;5'!K:L,2,FALSE),"-")</f>
        <v>-</v>
      </c>
      <c r="V338" s="83" t="str">
        <f>+IFERROR(VLOOKUP(CONCATENATE(A338,$F$10,F338),'ID1&amp;5'!B:J,9,FALSE),"-")</f>
        <v>-</v>
      </c>
      <c r="W338" s="26" t="str">
        <f>+IFERROR(VLOOKUP(A338,'ID6&amp;7'!A:I,9,FALSE),"-")</f>
        <v>-</v>
      </c>
      <c r="X338" s="26" t="str">
        <f>+IFERROR(VLOOKUP(A338,'ID6&amp;7'!A:J,10,FALSE),"-")</f>
        <v>-</v>
      </c>
      <c r="Y338" s="26"/>
      <c r="Z338" s="27" t="str">
        <f t="shared" si="14"/>
        <v>Por iniciar</v>
      </c>
    </row>
    <row r="339" spans="1:26">
      <c r="A339" s="20" t="str">
        <f t="shared" si="13"/>
        <v>PROTECTIONPRTCTN_PRVDR_ID45596</v>
      </c>
      <c r="B339" s="66">
        <f t="array" ref="B339">+MAX(IF('ID1&amp;5'!A:A='1. Status'!A339&amp;'1. Status'!$B$10,'ID1&amp;5'!K:K))</f>
        <v>0</v>
      </c>
      <c r="C339" s="60">
        <f t="array" ref="C339">+MAX(IF('ID1&amp;5'!A:A='1. Status'!A339&amp;'1. Status'!$C$10,'ID1&amp;5'!K:K))</f>
        <v>0</v>
      </c>
      <c r="D339" s="60">
        <f t="array" ref="D339">+MAX(IF('ID1&amp;5'!A:A='1. Status'!A339&amp;'1. Status'!$D$10,'ID1&amp;5'!K:K))</f>
        <v>0</v>
      </c>
      <c r="E339" s="60">
        <f t="array" ref="E339">+MAX(IF('ID1&amp;5'!A:A='1. Status'!A339&amp;'1. Status'!$E$10,'ID1&amp;5'!K:K))</f>
        <v>0</v>
      </c>
      <c r="F339" s="67">
        <f t="array" ref="F339">+MAX(IF('ID1&amp;5'!A:A='1. Status'!A339&amp;'1. Status'!$F$10,'ID1&amp;5'!K:K))</f>
        <v>0</v>
      </c>
      <c r="G339" s="60"/>
      <c r="H339" s="65" t="s">
        <v>128</v>
      </c>
      <c r="I339" s="21" t="s">
        <v>610</v>
      </c>
      <c r="J339" s="26">
        <f>+COUNTIF('ID1&amp;5'!G:G,'1. Status'!I339)</f>
        <v>0</v>
      </c>
      <c r="K339" s="83" t="str">
        <f>+IFERROR(VLOOKUP(CONCATENATE(A339,$B$10,B339),'ID1&amp;5'!B:J,8,FALSE),"-")</f>
        <v>-</v>
      </c>
      <c r="L339" s="82" t="str">
        <f>+IFERROR(VLOOKUP(B339,'ID1&amp;5'!K:L,2,FALSE),"-")</f>
        <v>-</v>
      </c>
      <c r="M339" s="83" t="str">
        <f>+IFERROR(VLOOKUP(CONCATENATE(A339,$B$10,B339),'ID1&amp;5'!B:J,9,FALSE),"-")</f>
        <v>-</v>
      </c>
      <c r="N339" s="83" t="str">
        <f>+IFERROR(VLOOKUP(CONCATENATE(A339,$C$10,C339),'ID1&amp;5'!B:J,8,FALSE),"-")</f>
        <v>-</v>
      </c>
      <c r="O339" s="82" t="str">
        <f>+IFERROR(VLOOKUP(C339,'ID1&amp;5'!K:L,2,FALSE),"-")</f>
        <v>-</v>
      </c>
      <c r="P339" s="83" t="str">
        <f>+IFERROR(VLOOKUP(CONCATENATE(A339,$C$10,C339),'ID1&amp;5'!B:J,9,FALSE),"-")</f>
        <v>-</v>
      </c>
      <c r="Q339" s="82" t="str">
        <f>+IFERROR(VLOOKUP(D339,'ID1&amp;5'!K:L,2,FALSE),"-")</f>
        <v>-</v>
      </c>
      <c r="R339" s="26" t="str">
        <f>+IFERROR(VLOOKUP(CONCATENATE(A339,$D$10,D339),'ID1&amp;5'!B:J,9,FALSE),"-")</f>
        <v>-</v>
      </c>
      <c r="S339" s="82" t="str">
        <f>+IFERROR(VLOOKUP(E339,'ID1&amp;5'!K:L,2,FALSE),"-")</f>
        <v>-</v>
      </c>
      <c r="T339" s="83" t="str">
        <f>+IFERROR(VLOOKUP(CONCATENATE(A339,$E$10,E339),'ID1&amp;5'!B:J,9,FALSE),"-")</f>
        <v>-</v>
      </c>
      <c r="U339" s="82" t="str">
        <f>+IFERROR(VLOOKUP(F339,'ID1&amp;5'!K:L,2,FALSE),"-")</f>
        <v>-</v>
      </c>
      <c r="V339" s="83" t="str">
        <f>+IFERROR(VLOOKUP(CONCATENATE(A339,$F$10,F339),'ID1&amp;5'!B:J,9,FALSE),"-")</f>
        <v>-</v>
      </c>
      <c r="W339" s="26" t="str">
        <f>+IFERROR(VLOOKUP(A339,'ID6&amp;7'!A:I,9,FALSE),"-")</f>
        <v>-</v>
      </c>
      <c r="X339" s="26" t="str">
        <f>+IFERROR(VLOOKUP(A339,'ID6&amp;7'!A:J,10,FALSE),"-")</f>
        <v>-</v>
      </c>
      <c r="Y339" s="26"/>
      <c r="Z339" s="27" t="str">
        <f t="shared" si="14"/>
        <v>Por iniciar</v>
      </c>
    </row>
    <row r="340" spans="1:26">
      <c r="A340" s="20" t="str">
        <f t="shared" si="13"/>
        <v>PROTECTIONRL_ESTT_ADDRSS45596</v>
      </c>
      <c r="B340" s="66">
        <f t="array" ref="B340">+MAX(IF('ID1&amp;5'!A:A='1. Status'!A340&amp;'1. Status'!$B$10,'ID1&amp;5'!K:K))</f>
        <v>0</v>
      </c>
      <c r="C340" s="60">
        <f t="array" ref="C340">+MAX(IF('ID1&amp;5'!A:A='1. Status'!A340&amp;'1. Status'!$C$10,'ID1&amp;5'!K:K))</f>
        <v>0</v>
      </c>
      <c r="D340" s="60">
        <f t="array" ref="D340">+MAX(IF('ID1&amp;5'!A:A='1. Status'!A340&amp;'1. Status'!$D$10,'ID1&amp;5'!K:K))</f>
        <v>0</v>
      </c>
      <c r="E340" s="60">
        <f t="array" ref="E340">+MAX(IF('ID1&amp;5'!A:A='1. Status'!A340&amp;'1. Status'!$E$10,'ID1&amp;5'!K:K))</f>
        <v>0</v>
      </c>
      <c r="F340" s="67">
        <f t="array" ref="F340">+MAX(IF('ID1&amp;5'!A:A='1. Status'!A340&amp;'1. Status'!$F$10,'ID1&amp;5'!K:K))</f>
        <v>0</v>
      </c>
      <c r="G340" s="60"/>
      <c r="H340" s="65" t="s">
        <v>128</v>
      </c>
      <c r="I340" s="21" t="s">
        <v>611</v>
      </c>
      <c r="J340" s="26">
        <f>+COUNTIF('ID1&amp;5'!G:G,'1. Status'!I340)</f>
        <v>0</v>
      </c>
      <c r="K340" s="83" t="str">
        <f>+IFERROR(VLOOKUP(CONCATENATE(A340,$B$10,B340),'ID1&amp;5'!B:J,8,FALSE),"-")</f>
        <v>-</v>
      </c>
      <c r="L340" s="82" t="str">
        <f>+IFERROR(VLOOKUP(B340,'ID1&amp;5'!K:L,2,FALSE),"-")</f>
        <v>-</v>
      </c>
      <c r="M340" s="83" t="str">
        <f>+IFERROR(VLOOKUP(CONCATENATE(A340,$B$10,B340),'ID1&amp;5'!B:J,9,FALSE),"-")</f>
        <v>-</v>
      </c>
      <c r="N340" s="83" t="str">
        <f>+IFERROR(VLOOKUP(CONCATENATE(A340,$C$10,C340),'ID1&amp;5'!B:J,8,FALSE),"-")</f>
        <v>-</v>
      </c>
      <c r="O340" s="82" t="str">
        <f>+IFERROR(VLOOKUP(C340,'ID1&amp;5'!K:L,2,FALSE),"-")</f>
        <v>-</v>
      </c>
      <c r="P340" s="83" t="str">
        <f>+IFERROR(VLOOKUP(CONCATENATE(A340,$C$10,C340),'ID1&amp;5'!B:J,9,FALSE),"-")</f>
        <v>-</v>
      </c>
      <c r="Q340" s="82" t="str">
        <f>+IFERROR(VLOOKUP(D340,'ID1&amp;5'!K:L,2,FALSE),"-")</f>
        <v>-</v>
      </c>
      <c r="R340" s="26" t="str">
        <f>+IFERROR(VLOOKUP(CONCATENATE(A340,$D$10,D340),'ID1&amp;5'!B:J,9,FALSE),"-")</f>
        <v>-</v>
      </c>
      <c r="S340" s="82" t="str">
        <f>+IFERROR(VLOOKUP(E340,'ID1&amp;5'!K:L,2,FALSE),"-")</f>
        <v>-</v>
      </c>
      <c r="T340" s="83" t="str">
        <f>+IFERROR(VLOOKUP(CONCATENATE(A340,$E$10,E340),'ID1&amp;5'!B:J,9,FALSE),"-")</f>
        <v>-</v>
      </c>
      <c r="U340" s="82" t="str">
        <f>+IFERROR(VLOOKUP(F340,'ID1&amp;5'!K:L,2,FALSE),"-")</f>
        <v>-</v>
      </c>
      <c r="V340" s="83" t="str">
        <f>+IFERROR(VLOOKUP(CONCATENATE(A340,$F$10,F340),'ID1&amp;5'!B:J,9,FALSE),"-")</f>
        <v>-</v>
      </c>
      <c r="W340" s="26" t="str">
        <f>+IFERROR(VLOOKUP(A340,'ID6&amp;7'!A:I,9,FALSE),"-")</f>
        <v>-</v>
      </c>
      <c r="X340" s="26" t="str">
        <f>+IFERROR(VLOOKUP(A340,'ID6&amp;7'!A:J,10,FALSE),"-")</f>
        <v>-</v>
      </c>
      <c r="Y340" s="26"/>
      <c r="Z340" s="27" t="str">
        <f t="shared" si="14"/>
        <v>Por iniciar</v>
      </c>
    </row>
    <row r="341" spans="1:26">
      <c r="A341" s="20" t="str">
        <f t="shared" si="13"/>
        <v>PROTECTIONRL_ESTT_CLLTRL_LCTN45596</v>
      </c>
      <c r="B341" s="66">
        <f t="array" ref="B341">+MAX(IF('ID1&amp;5'!A:A='1. Status'!A341&amp;'1. Status'!$B$10,'ID1&amp;5'!K:K))</f>
        <v>0</v>
      </c>
      <c r="C341" s="60">
        <f t="array" ref="C341">+MAX(IF('ID1&amp;5'!A:A='1. Status'!A341&amp;'1. Status'!$C$10,'ID1&amp;5'!K:K))</f>
        <v>0</v>
      </c>
      <c r="D341" s="60">
        <f t="array" ref="D341">+MAX(IF('ID1&amp;5'!A:A='1. Status'!A341&amp;'1. Status'!$D$10,'ID1&amp;5'!K:K))</f>
        <v>0</v>
      </c>
      <c r="E341" s="60">
        <f t="array" ref="E341">+MAX(IF('ID1&amp;5'!A:A='1. Status'!A341&amp;'1. Status'!$E$10,'ID1&amp;5'!K:K))</f>
        <v>0</v>
      </c>
      <c r="F341" s="67">
        <f t="array" ref="F341">+MAX(IF('ID1&amp;5'!A:A='1. Status'!A341&amp;'1. Status'!$F$10,'ID1&amp;5'!K:K))</f>
        <v>0</v>
      </c>
      <c r="G341" s="60"/>
      <c r="H341" s="65" t="s">
        <v>128</v>
      </c>
      <c r="I341" s="21" t="s">
        <v>121</v>
      </c>
      <c r="J341" s="26">
        <f>+COUNTIF('ID1&amp;5'!G:G,'1. Status'!I341)</f>
        <v>0</v>
      </c>
      <c r="K341" s="83" t="str">
        <f>+IFERROR(VLOOKUP(CONCATENATE(A341,$B$10,B341),'ID1&amp;5'!B:J,8,FALSE),"-")</f>
        <v>-</v>
      </c>
      <c r="L341" s="82" t="str">
        <f>+IFERROR(VLOOKUP(B341,'ID1&amp;5'!K:L,2,FALSE),"-")</f>
        <v>-</v>
      </c>
      <c r="M341" s="83" t="str">
        <f>+IFERROR(VLOOKUP(CONCATENATE(A341,$B$10,B341),'ID1&amp;5'!B:J,9,FALSE),"-")</f>
        <v>-</v>
      </c>
      <c r="N341" s="83" t="str">
        <f>+IFERROR(VLOOKUP(CONCATENATE(A341,$C$10,C341),'ID1&amp;5'!B:J,8,FALSE),"-")</f>
        <v>-</v>
      </c>
      <c r="O341" s="82" t="str">
        <f>+IFERROR(VLOOKUP(C341,'ID1&amp;5'!K:L,2,FALSE),"-")</f>
        <v>-</v>
      </c>
      <c r="P341" s="83" t="str">
        <f>+IFERROR(VLOOKUP(CONCATENATE(A341,$C$10,C341),'ID1&amp;5'!B:J,9,FALSE),"-")</f>
        <v>-</v>
      </c>
      <c r="Q341" s="82" t="str">
        <f>+IFERROR(VLOOKUP(D341,'ID1&amp;5'!K:L,2,FALSE),"-")</f>
        <v>-</v>
      </c>
      <c r="R341" s="26" t="str">
        <f>+IFERROR(VLOOKUP(CONCATENATE(A341,$D$10,D341),'ID1&amp;5'!B:J,9,FALSE),"-")</f>
        <v>-</v>
      </c>
      <c r="S341" s="82" t="str">
        <f>+IFERROR(VLOOKUP(E341,'ID1&amp;5'!K:L,2,FALSE),"-")</f>
        <v>-</v>
      </c>
      <c r="T341" s="83" t="str">
        <f>+IFERROR(VLOOKUP(CONCATENATE(A341,$E$10,E341),'ID1&amp;5'!B:J,9,FALSE),"-")</f>
        <v>-</v>
      </c>
      <c r="U341" s="82" t="str">
        <f>+IFERROR(VLOOKUP(F341,'ID1&amp;5'!K:L,2,FALSE),"-")</f>
        <v>-</v>
      </c>
      <c r="V341" s="83" t="str">
        <f>+IFERROR(VLOOKUP(CONCATENATE(A341,$F$10,F341),'ID1&amp;5'!B:J,9,FALSE),"-")</f>
        <v>-</v>
      </c>
      <c r="W341" s="26" t="str">
        <f>+IFERROR(VLOOKUP(A341,'ID6&amp;7'!A:I,9,FALSE),"-")</f>
        <v>-</v>
      </c>
      <c r="X341" s="26" t="str">
        <f>+IFERROR(VLOOKUP(A341,'ID6&amp;7'!A:J,10,FALSE),"-")</f>
        <v>-</v>
      </c>
      <c r="Y341" s="26"/>
      <c r="Z341" s="27" t="str">
        <f t="shared" si="14"/>
        <v>Por iniciar</v>
      </c>
    </row>
    <row r="342" spans="1:26">
      <c r="A342" s="20" t="str">
        <f t="shared" si="13"/>
        <v>PROTECTIONRL_ESTT_CLLTRL_LCTN_INT45596</v>
      </c>
      <c r="B342" s="66">
        <f t="array" ref="B342">+MAX(IF('ID1&amp;5'!A:A='1. Status'!A342&amp;'1. Status'!$B$10,'ID1&amp;5'!K:K))</f>
        <v>0</v>
      </c>
      <c r="C342" s="60">
        <f t="array" ref="C342">+MAX(IF('ID1&amp;5'!A:A='1. Status'!A342&amp;'1. Status'!$C$10,'ID1&amp;5'!K:K))</f>
        <v>0</v>
      </c>
      <c r="D342" s="60">
        <f t="array" ref="D342">+MAX(IF('ID1&amp;5'!A:A='1. Status'!A342&amp;'1. Status'!$D$10,'ID1&amp;5'!K:K))</f>
        <v>0</v>
      </c>
      <c r="E342" s="60">
        <f t="array" ref="E342">+MAX(IF('ID1&amp;5'!A:A='1. Status'!A342&amp;'1. Status'!$E$10,'ID1&amp;5'!K:K))</f>
        <v>0</v>
      </c>
      <c r="F342" s="67">
        <f t="array" ref="F342">+MAX(IF('ID1&amp;5'!A:A='1. Status'!A342&amp;'1. Status'!$F$10,'ID1&amp;5'!K:K))</f>
        <v>0</v>
      </c>
      <c r="G342" s="60"/>
      <c r="H342" s="65" t="s">
        <v>128</v>
      </c>
      <c r="I342" s="21" t="s">
        <v>612</v>
      </c>
      <c r="J342" s="26">
        <f>+COUNTIF('ID1&amp;5'!G:G,'1. Status'!I342)</f>
        <v>0</v>
      </c>
      <c r="K342" s="83" t="str">
        <f>+IFERROR(VLOOKUP(CONCATENATE(A342,$B$10,B342),'ID1&amp;5'!B:J,8,FALSE),"-")</f>
        <v>-</v>
      </c>
      <c r="L342" s="82" t="str">
        <f>+IFERROR(VLOOKUP(B342,'ID1&amp;5'!K:L,2,FALSE),"-")</f>
        <v>-</v>
      </c>
      <c r="M342" s="83" t="str">
        <f>+IFERROR(VLOOKUP(CONCATENATE(A342,$B$10,B342),'ID1&amp;5'!B:J,9,FALSE),"-")</f>
        <v>-</v>
      </c>
      <c r="N342" s="83" t="str">
        <f>+IFERROR(VLOOKUP(CONCATENATE(A342,$C$10,C342),'ID1&amp;5'!B:J,8,FALSE),"-")</f>
        <v>-</v>
      </c>
      <c r="O342" s="82" t="str">
        <f>+IFERROR(VLOOKUP(C342,'ID1&amp;5'!K:L,2,FALSE),"-")</f>
        <v>-</v>
      </c>
      <c r="P342" s="83" t="str">
        <f>+IFERROR(VLOOKUP(CONCATENATE(A342,$C$10,C342),'ID1&amp;5'!B:J,9,FALSE),"-")</f>
        <v>-</v>
      </c>
      <c r="Q342" s="82" t="str">
        <f>+IFERROR(VLOOKUP(D342,'ID1&amp;5'!K:L,2,FALSE),"-")</f>
        <v>-</v>
      </c>
      <c r="R342" s="26" t="str">
        <f>+IFERROR(VLOOKUP(CONCATENATE(A342,$D$10,D342),'ID1&amp;5'!B:J,9,FALSE),"-")</f>
        <v>-</v>
      </c>
      <c r="S342" s="82" t="str">
        <f>+IFERROR(VLOOKUP(E342,'ID1&amp;5'!K:L,2,FALSE),"-")</f>
        <v>-</v>
      </c>
      <c r="T342" s="83" t="str">
        <f>+IFERROR(VLOOKUP(CONCATENATE(A342,$E$10,E342),'ID1&amp;5'!B:J,9,FALSE),"-")</f>
        <v>-</v>
      </c>
      <c r="U342" s="82" t="str">
        <f>+IFERROR(VLOOKUP(F342,'ID1&amp;5'!K:L,2,FALSE),"-")</f>
        <v>-</v>
      </c>
      <c r="V342" s="83" t="str">
        <f>+IFERROR(VLOOKUP(CONCATENATE(A342,$F$10,F342),'ID1&amp;5'!B:J,9,FALSE),"-")</f>
        <v>-</v>
      </c>
      <c r="W342" s="26" t="str">
        <f>+IFERROR(VLOOKUP(A342,'ID6&amp;7'!A:I,9,FALSE),"-")</f>
        <v>-</v>
      </c>
      <c r="X342" s="26" t="str">
        <f>+IFERROR(VLOOKUP(A342,'ID6&amp;7'!A:J,10,FALSE),"-")</f>
        <v>-</v>
      </c>
      <c r="Y342" s="26"/>
      <c r="Z342" s="27" t="str">
        <f t="shared" si="14"/>
        <v>Por iniciar</v>
      </c>
    </row>
    <row r="343" spans="1:26">
      <c r="A343" s="20" t="str">
        <f t="shared" si="13"/>
        <v>PROTECTIONRL_ESTT_CTY45596</v>
      </c>
      <c r="B343" s="66">
        <f t="array" ref="B343">+MAX(IF('ID1&amp;5'!A:A='1. Status'!A343&amp;'1. Status'!$B$10,'ID1&amp;5'!K:K))</f>
        <v>0</v>
      </c>
      <c r="C343" s="60">
        <f t="array" ref="C343">+MAX(IF('ID1&amp;5'!A:A='1. Status'!A343&amp;'1. Status'!$C$10,'ID1&amp;5'!K:K))</f>
        <v>0</v>
      </c>
      <c r="D343" s="60">
        <f t="array" ref="D343">+MAX(IF('ID1&amp;5'!A:A='1. Status'!A343&amp;'1. Status'!$D$10,'ID1&amp;5'!K:K))</f>
        <v>0</v>
      </c>
      <c r="E343" s="60">
        <f t="array" ref="E343">+MAX(IF('ID1&amp;5'!A:A='1. Status'!A343&amp;'1. Status'!$E$10,'ID1&amp;5'!K:K))</f>
        <v>0</v>
      </c>
      <c r="F343" s="67">
        <f t="array" ref="F343">+MAX(IF('ID1&amp;5'!A:A='1. Status'!A343&amp;'1. Status'!$F$10,'ID1&amp;5'!K:K))</f>
        <v>0</v>
      </c>
      <c r="G343" s="60"/>
      <c r="H343" s="65" t="s">
        <v>128</v>
      </c>
      <c r="I343" s="21" t="s">
        <v>613</v>
      </c>
      <c r="J343" s="26">
        <f>+COUNTIF('ID1&amp;5'!G:G,'1. Status'!I343)</f>
        <v>0</v>
      </c>
      <c r="K343" s="83" t="str">
        <f>+IFERROR(VLOOKUP(CONCATENATE(A343,$B$10,B343),'ID1&amp;5'!B:J,8,FALSE),"-")</f>
        <v>-</v>
      </c>
      <c r="L343" s="82" t="str">
        <f>+IFERROR(VLOOKUP(B343,'ID1&amp;5'!K:L,2,FALSE),"-")</f>
        <v>-</v>
      </c>
      <c r="M343" s="83" t="str">
        <f>+IFERROR(VLOOKUP(CONCATENATE(A343,$B$10,B343),'ID1&amp;5'!B:J,9,FALSE),"-")</f>
        <v>-</v>
      </c>
      <c r="N343" s="83" t="str">
        <f>+IFERROR(VLOOKUP(CONCATENATE(A343,$C$10,C343),'ID1&amp;5'!B:J,8,FALSE),"-")</f>
        <v>-</v>
      </c>
      <c r="O343" s="82" t="str">
        <f>+IFERROR(VLOOKUP(C343,'ID1&amp;5'!K:L,2,FALSE),"-")</f>
        <v>-</v>
      </c>
      <c r="P343" s="83" t="str">
        <f>+IFERROR(VLOOKUP(CONCATENATE(A343,$C$10,C343),'ID1&amp;5'!B:J,9,FALSE),"-")</f>
        <v>-</v>
      </c>
      <c r="Q343" s="82" t="str">
        <f>+IFERROR(VLOOKUP(D343,'ID1&amp;5'!K:L,2,FALSE),"-")</f>
        <v>-</v>
      </c>
      <c r="R343" s="26" t="str">
        <f>+IFERROR(VLOOKUP(CONCATENATE(A343,$D$10,D343),'ID1&amp;5'!B:J,9,FALSE),"-")</f>
        <v>-</v>
      </c>
      <c r="S343" s="82" t="str">
        <f>+IFERROR(VLOOKUP(E343,'ID1&amp;5'!K:L,2,FALSE),"-")</f>
        <v>-</v>
      </c>
      <c r="T343" s="83" t="str">
        <f>+IFERROR(VLOOKUP(CONCATENATE(A343,$E$10,E343),'ID1&amp;5'!B:J,9,FALSE),"-")</f>
        <v>-</v>
      </c>
      <c r="U343" s="82" t="str">
        <f>+IFERROR(VLOOKUP(F343,'ID1&amp;5'!K:L,2,FALSE),"-")</f>
        <v>-</v>
      </c>
      <c r="V343" s="83" t="str">
        <f>+IFERROR(VLOOKUP(CONCATENATE(A343,$F$10,F343),'ID1&amp;5'!B:J,9,FALSE),"-")</f>
        <v>-</v>
      </c>
      <c r="W343" s="26" t="str">
        <f>+IFERROR(VLOOKUP(A343,'ID6&amp;7'!A:I,9,FALSE),"-")</f>
        <v>-</v>
      </c>
      <c r="X343" s="26" t="str">
        <f>+IFERROR(VLOOKUP(A343,'ID6&amp;7'!A:J,10,FALSE),"-")</f>
        <v>-</v>
      </c>
      <c r="Y343" s="26"/>
      <c r="Z343" s="27" t="str">
        <f t="shared" si="14"/>
        <v>Por iniciar</v>
      </c>
    </row>
    <row r="344" spans="1:26">
      <c r="A344" s="20" t="str">
        <f t="shared" si="13"/>
        <v>PROTECTIONRL_ESTT_PST_CD45596</v>
      </c>
      <c r="B344" s="66">
        <f t="array" ref="B344">+MAX(IF('ID1&amp;5'!A:A='1. Status'!A344&amp;'1. Status'!$B$10,'ID1&amp;5'!K:K))</f>
        <v>0</v>
      </c>
      <c r="C344" s="60">
        <f t="array" ref="C344">+MAX(IF('ID1&amp;5'!A:A='1. Status'!A344&amp;'1. Status'!$C$10,'ID1&amp;5'!K:K))</f>
        <v>0</v>
      </c>
      <c r="D344" s="60">
        <f t="array" ref="D344">+MAX(IF('ID1&amp;5'!A:A='1. Status'!A344&amp;'1. Status'!$D$10,'ID1&amp;5'!K:K))</f>
        <v>0</v>
      </c>
      <c r="E344" s="60">
        <f t="array" ref="E344">+MAX(IF('ID1&amp;5'!A:A='1. Status'!A344&amp;'1. Status'!$E$10,'ID1&amp;5'!K:K))</f>
        <v>0</v>
      </c>
      <c r="F344" s="67">
        <f t="array" ref="F344">+MAX(IF('ID1&amp;5'!A:A='1. Status'!A344&amp;'1. Status'!$F$10,'ID1&amp;5'!K:K))</f>
        <v>0</v>
      </c>
      <c r="G344" s="60"/>
      <c r="H344" s="65" t="s">
        <v>128</v>
      </c>
      <c r="I344" s="21" t="s">
        <v>122</v>
      </c>
      <c r="J344" s="26">
        <f>+COUNTIF('ID1&amp;5'!G:G,'1. Status'!I344)</f>
        <v>0</v>
      </c>
      <c r="K344" s="83" t="str">
        <f>+IFERROR(VLOOKUP(CONCATENATE(A344,$B$10,B344),'ID1&amp;5'!B:J,8,FALSE),"-")</f>
        <v>-</v>
      </c>
      <c r="L344" s="82" t="str">
        <f>+IFERROR(VLOOKUP(B344,'ID1&amp;5'!K:L,2,FALSE),"-")</f>
        <v>-</v>
      </c>
      <c r="M344" s="83" t="str">
        <f>+IFERROR(VLOOKUP(CONCATENATE(A344,$B$10,B344),'ID1&amp;5'!B:J,9,FALSE),"-")</f>
        <v>-</v>
      </c>
      <c r="N344" s="83" t="str">
        <f>+IFERROR(VLOOKUP(CONCATENATE(A344,$C$10,C344),'ID1&amp;5'!B:J,8,FALSE),"-")</f>
        <v>-</v>
      </c>
      <c r="O344" s="82" t="str">
        <f>+IFERROR(VLOOKUP(C344,'ID1&amp;5'!K:L,2,FALSE),"-")</f>
        <v>-</v>
      </c>
      <c r="P344" s="83" t="str">
        <f>+IFERROR(VLOOKUP(CONCATENATE(A344,$C$10,C344),'ID1&amp;5'!B:J,9,FALSE),"-")</f>
        <v>-</v>
      </c>
      <c r="Q344" s="82" t="str">
        <f>+IFERROR(VLOOKUP(D344,'ID1&amp;5'!K:L,2,FALSE),"-")</f>
        <v>-</v>
      </c>
      <c r="R344" s="26" t="str">
        <f>+IFERROR(VLOOKUP(CONCATENATE(A344,$D$10,D344),'ID1&amp;5'!B:J,9,FALSE),"-")</f>
        <v>-</v>
      </c>
      <c r="S344" s="82" t="str">
        <f>+IFERROR(VLOOKUP(E344,'ID1&amp;5'!K:L,2,FALSE),"-")</f>
        <v>-</v>
      </c>
      <c r="T344" s="83" t="str">
        <f>+IFERROR(VLOOKUP(CONCATENATE(A344,$E$10,E344),'ID1&amp;5'!B:J,9,FALSE),"-")</f>
        <v>-</v>
      </c>
      <c r="U344" s="82" t="str">
        <f>+IFERROR(VLOOKUP(F344,'ID1&amp;5'!K:L,2,FALSE),"-")</f>
        <v>-</v>
      </c>
      <c r="V344" s="83" t="str">
        <f>+IFERROR(VLOOKUP(CONCATENATE(A344,$F$10,F344),'ID1&amp;5'!B:J,9,FALSE),"-")</f>
        <v>-</v>
      </c>
      <c r="W344" s="26" t="str">
        <f>+IFERROR(VLOOKUP(A344,'ID6&amp;7'!A:I,9,FALSE),"-")</f>
        <v>-</v>
      </c>
      <c r="X344" s="26" t="str">
        <f>+IFERROR(VLOOKUP(A344,'ID6&amp;7'!A:J,10,FALSE),"-")</f>
        <v>-</v>
      </c>
      <c r="Y344" s="26"/>
      <c r="Z344" s="27" t="str">
        <f t="shared" si="14"/>
        <v>Por iniciar</v>
      </c>
    </row>
    <row r="345" spans="1:26">
      <c r="A345" s="20" t="str">
        <f t="shared" si="13"/>
        <v>PROTECTIONHRCT_MV45596</v>
      </c>
      <c r="B345" s="66">
        <f t="array" ref="B345">+MAX(IF('ID1&amp;5'!A:A='1. Status'!A345&amp;'1. Status'!$B$10,'ID1&amp;5'!K:K))</f>
        <v>0</v>
      </c>
      <c r="C345" s="60">
        <f t="array" ref="C345">+MAX(IF('ID1&amp;5'!A:A='1. Status'!A345&amp;'1. Status'!$C$10,'ID1&amp;5'!K:K))</f>
        <v>0</v>
      </c>
      <c r="D345" s="60">
        <f t="array" ref="D345">+MAX(IF('ID1&amp;5'!A:A='1. Status'!A345&amp;'1. Status'!$D$10,'ID1&amp;5'!K:K))</f>
        <v>0</v>
      </c>
      <c r="E345" s="60">
        <f t="array" ref="E345">+MAX(IF('ID1&amp;5'!A:A='1. Status'!A345&amp;'1. Status'!$E$10,'ID1&amp;5'!K:K))</f>
        <v>0</v>
      </c>
      <c r="F345" s="67">
        <f t="array" ref="F345">+MAX(IF('ID1&amp;5'!A:A='1. Status'!A345&amp;'1. Status'!$F$10,'ID1&amp;5'!K:K))</f>
        <v>0</v>
      </c>
      <c r="G345" s="60"/>
      <c r="H345" s="65" t="s">
        <v>128</v>
      </c>
      <c r="I345" s="21" t="s">
        <v>614</v>
      </c>
      <c r="J345" s="26">
        <f>+COUNTIF('ID1&amp;5'!G:G,'1. Status'!I345)</f>
        <v>0</v>
      </c>
      <c r="K345" s="83" t="str">
        <f>+IFERROR(VLOOKUP(CONCATENATE(A345,$B$10,B345),'ID1&amp;5'!B:J,8,FALSE),"-")</f>
        <v>-</v>
      </c>
      <c r="L345" s="82" t="str">
        <f>+IFERROR(VLOOKUP(B345,'ID1&amp;5'!K:L,2,FALSE),"-")</f>
        <v>-</v>
      </c>
      <c r="M345" s="83" t="str">
        <f>+IFERROR(VLOOKUP(CONCATENATE(A345,$B$10,B345),'ID1&amp;5'!B:J,9,FALSE),"-")</f>
        <v>-</v>
      </c>
      <c r="N345" s="83" t="str">
        <f>+IFERROR(VLOOKUP(CONCATENATE(A345,$C$10,C345),'ID1&amp;5'!B:J,8,FALSE),"-")</f>
        <v>-</v>
      </c>
      <c r="O345" s="82" t="str">
        <f>+IFERROR(VLOOKUP(C345,'ID1&amp;5'!K:L,2,FALSE),"-")</f>
        <v>-</v>
      </c>
      <c r="P345" s="83" t="str">
        <f>+IFERROR(VLOOKUP(CONCATENATE(A345,$C$10,C345),'ID1&amp;5'!B:J,9,FALSE),"-")</f>
        <v>-</v>
      </c>
      <c r="Q345" s="82" t="str">
        <f>+IFERROR(VLOOKUP(D345,'ID1&amp;5'!K:L,2,FALSE),"-")</f>
        <v>-</v>
      </c>
      <c r="R345" s="26" t="str">
        <f>+IFERROR(VLOOKUP(CONCATENATE(A345,$D$10,D345),'ID1&amp;5'!B:J,9,FALSE),"-")</f>
        <v>-</v>
      </c>
      <c r="S345" s="82" t="str">
        <f>+IFERROR(VLOOKUP(E345,'ID1&amp;5'!K:L,2,FALSE),"-")</f>
        <v>-</v>
      </c>
      <c r="T345" s="83" t="str">
        <f>+IFERROR(VLOOKUP(CONCATENATE(A345,$E$10,E345),'ID1&amp;5'!B:J,9,FALSE),"-")</f>
        <v>-</v>
      </c>
      <c r="U345" s="82" t="str">
        <f>+IFERROR(VLOOKUP(F345,'ID1&amp;5'!K:L,2,FALSE),"-")</f>
        <v>-</v>
      </c>
      <c r="V345" s="83" t="str">
        <f>+IFERROR(VLOOKUP(CONCATENATE(A345,$F$10,F345),'ID1&amp;5'!B:J,9,FALSE),"-")</f>
        <v>-</v>
      </c>
      <c r="W345" s="26" t="str">
        <f>+IFERROR(VLOOKUP(A345,'ID6&amp;7'!A:I,9,FALSE),"-")</f>
        <v>-</v>
      </c>
      <c r="X345" s="26" t="str">
        <f>+IFERROR(VLOOKUP(A345,'ID6&amp;7'!A:J,10,FALSE),"-")</f>
        <v>-</v>
      </c>
      <c r="Y345" s="26"/>
      <c r="Z345" s="27" t="str">
        <f t="shared" si="14"/>
        <v>Por iniciar</v>
      </c>
    </row>
    <row r="346" spans="1:26">
      <c r="A346" s="20" t="str">
        <f t="shared" si="13"/>
        <v>PROTECTIONPRTCTN_CLLD45596</v>
      </c>
      <c r="B346" s="66">
        <f t="array" ref="B346">+MAX(IF('ID1&amp;5'!A:A='1. Status'!A346&amp;'1. Status'!$B$10,'ID1&amp;5'!K:K))</f>
        <v>0</v>
      </c>
      <c r="C346" s="60">
        <f t="array" ref="C346">+MAX(IF('ID1&amp;5'!A:A='1. Status'!A346&amp;'1. Status'!$C$10,'ID1&amp;5'!K:K))</f>
        <v>0</v>
      </c>
      <c r="D346" s="60">
        <f t="array" ref="D346">+MAX(IF('ID1&amp;5'!A:A='1. Status'!A346&amp;'1. Status'!$D$10,'ID1&amp;5'!K:K))</f>
        <v>0</v>
      </c>
      <c r="E346" s="60">
        <f t="array" ref="E346">+MAX(IF('ID1&amp;5'!A:A='1. Status'!A346&amp;'1. Status'!$E$10,'ID1&amp;5'!K:K))</f>
        <v>0</v>
      </c>
      <c r="F346" s="67">
        <f t="array" ref="F346">+MAX(IF('ID1&amp;5'!A:A='1. Status'!A346&amp;'1. Status'!$F$10,'ID1&amp;5'!K:K))</f>
        <v>0</v>
      </c>
      <c r="G346" s="60"/>
      <c r="H346" s="65" t="s">
        <v>128</v>
      </c>
      <c r="I346" s="21" t="s">
        <v>615</v>
      </c>
      <c r="J346" s="26">
        <f>+COUNTIF('ID1&amp;5'!G:G,'1. Status'!I346)</f>
        <v>0</v>
      </c>
      <c r="K346" s="83" t="str">
        <f>+IFERROR(VLOOKUP(CONCATENATE(A346,$B$10,B346),'ID1&amp;5'!B:J,8,FALSE),"-")</f>
        <v>-</v>
      </c>
      <c r="L346" s="82" t="str">
        <f>+IFERROR(VLOOKUP(B346,'ID1&amp;5'!K:L,2,FALSE),"-")</f>
        <v>-</v>
      </c>
      <c r="M346" s="83" t="str">
        <f>+IFERROR(VLOOKUP(CONCATENATE(A346,$B$10,B346),'ID1&amp;5'!B:J,9,FALSE),"-")</f>
        <v>-</v>
      </c>
      <c r="N346" s="83" t="str">
        <f>+IFERROR(VLOOKUP(CONCATENATE(A346,$C$10,C346),'ID1&amp;5'!B:J,8,FALSE),"-")</f>
        <v>-</v>
      </c>
      <c r="O346" s="82" t="str">
        <f>+IFERROR(VLOOKUP(C346,'ID1&amp;5'!K:L,2,FALSE),"-")</f>
        <v>-</v>
      </c>
      <c r="P346" s="83" t="str">
        <f>+IFERROR(VLOOKUP(CONCATENATE(A346,$C$10,C346),'ID1&amp;5'!B:J,9,FALSE),"-")</f>
        <v>-</v>
      </c>
      <c r="Q346" s="82" t="str">
        <f>+IFERROR(VLOOKUP(D346,'ID1&amp;5'!K:L,2,FALSE),"-")</f>
        <v>-</v>
      </c>
      <c r="R346" s="26" t="str">
        <f>+IFERROR(VLOOKUP(CONCATENATE(A346,$D$10,D346),'ID1&amp;5'!B:J,9,FALSE),"-")</f>
        <v>-</v>
      </c>
      <c r="S346" s="82" t="str">
        <f>+IFERROR(VLOOKUP(E346,'ID1&amp;5'!K:L,2,FALSE),"-")</f>
        <v>-</v>
      </c>
      <c r="T346" s="83" t="str">
        <f>+IFERROR(VLOOKUP(CONCATENATE(A346,$E$10,E346),'ID1&amp;5'!B:J,9,FALSE),"-")</f>
        <v>-</v>
      </c>
      <c r="U346" s="82" t="str">
        <f>+IFERROR(VLOOKUP(F346,'ID1&amp;5'!K:L,2,FALSE),"-")</f>
        <v>-</v>
      </c>
      <c r="V346" s="83" t="str">
        <f>+IFERROR(VLOOKUP(CONCATENATE(A346,$F$10,F346),'ID1&amp;5'!B:J,9,FALSE),"-")</f>
        <v>-</v>
      </c>
      <c r="W346" s="26" t="str">
        <f>+IFERROR(VLOOKUP(A346,'ID6&amp;7'!A:I,9,FALSE),"-")</f>
        <v>-</v>
      </c>
      <c r="X346" s="26" t="str">
        <f>+IFERROR(VLOOKUP(A346,'ID6&amp;7'!A:J,10,FALSE),"-")</f>
        <v>-</v>
      </c>
      <c r="Y346" s="26"/>
      <c r="Z346" s="27" t="str">
        <f t="shared" si="14"/>
        <v>Por iniciar</v>
      </c>
    </row>
    <row r="347" spans="1:26">
      <c r="A347" s="20" t="str">
        <f t="shared" si="13"/>
        <v>PROTECTIONTYP_PRTCTN45596</v>
      </c>
      <c r="B347" s="66">
        <f t="array" ref="B347">+MAX(IF('ID1&amp;5'!A:A='1. Status'!A347&amp;'1. Status'!$B$10,'ID1&amp;5'!K:K))</f>
        <v>0</v>
      </c>
      <c r="C347" s="60">
        <f t="array" ref="C347">+MAX(IF('ID1&amp;5'!A:A='1. Status'!A347&amp;'1. Status'!$C$10,'ID1&amp;5'!K:K))</f>
        <v>0</v>
      </c>
      <c r="D347" s="60">
        <f t="array" ref="D347">+MAX(IF('ID1&amp;5'!A:A='1. Status'!A347&amp;'1. Status'!$D$10,'ID1&amp;5'!K:K))</f>
        <v>0</v>
      </c>
      <c r="E347" s="60">
        <f t="array" ref="E347">+MAX(IF('ID1&amp;5'!A:A='1. Status'!A347&amp;'1. Status'!$E$10,'ID1&amp;5'!K:K))</f>
        <v>0</v>
      </c>
      <c r="F347" s="67">
        <f t="array" ref="F347">+MAX(IF('ID1&amp;5'!A:A='1. Status'!A347&amp;'1. Status'!$F$10,'ID1&amp;5'!K:K))</f>
        <v>0</v>
      </c>
      <c r="G347" s="60"/>
      <c r="H347" s="65" t="s">
        <v>128</v>
      </c>
      <c r="I347" s="21" t="s">
        <v>123</v>
      </c>
      <c r="J347" s="26">
        <f>+COUNTIF('ID1&amp;5'!G:G,'1. Status'!I347)</f>
        <v>0</v>
      </c>
      <c r="K347" s="83" t="str">
        <f>+IFERROR(VLOOKUP(CONCATENATE(A347,$B$10,B347),'ID1&amp;5'!B:J,8,FALSE),"-")</f>
        <v>-</v>
      </c>
      <c r="L347" s="82" t="str">
        <f>+IFERROR(VLOOKUP(B347,'ID1&amp;5'!K:L,2,FALSE),"-")</f>
        <v>-</v>
      </c>
      <c r="M347" s="83" t="str">
        <f>+IFERROR(VLOOKUP(CONCATENATE(A347,$B$10,B347),'ID1&amp;5'!B:J,9,FALSE),"-")</f>
        <v>-</v>
      </c>
      <c r="N347" s="83" t="str">
        <f>+IFERROR(VLOOKUP(CONCATENATE(A347,$C$10,C347),'ID1&amp;5'!B:J,8,FALSE),"-")</f>
        <v>-</v>
      </c>
      <c r="O347" s="82" t="str">
        <f>+IFERROR(VLOOKUP(C347,'ID1&amp;5'!K:L,2,FALSE),"-")</f>
        <v>-</v>
      </c>
      <c r="P347" s="83" t="str">
        <f>+IFERROR(VLOOKUP(CONCATENATE(A347,$C$10,C347),'ID1&amp;5'!B:J,9,FALSE),"-")</f>
        <v>-</v>
      </c>
      <c r="Q347" s="82" t="str">
        <f>+IFERROR(VLOOKUP(D347,'ID1&amp;5'!K:L,2,FALSE),"-")</f>
        <v>-</v>
      </c>
      <c r="R347" s="26" t="str">
        <f>+IFERROR(VLOOKUP(CONCATENATE(A347,$D$10,D347),'ID1&amp;5'!B:J,9,FALSE),"-")</f>
        <v>-</v>
      </c>
      <c r="S347" s="82" t="str">
        <f>+IFERROR(VLOOKUP(E347,'ID1&amp;5'!K:L,2,FALSE),"-")</f>
        <v>-</v>
      </c>
      <c r="T347" s="83" t="str">
        <f>+IFERROR(VLOOKUP(CONCATENATE(A347,$E$10,E347),'ID1&amp;5'!B:J,9,FALSE),"-")</f>
        <v>-</v>
      </c>
      <c r="U347" s="82" t="str">
        <f>+IFERROR(VLOOKUP(F347,'ID1&amp;5'!K:L,2,FALSE),"-")</f>
        <v>-</v>
      </c>
      <c r="V347" s="83" t="str">
        <f>+IFERROR(VLOOKUP(CONCATENATE(A347,$F$10,F347),'ID1&amp;5'!B:J,9,FALSE),"-")</f>
        <v>-</v>
      </c>
      <c r="W347" s="26" t="str">
        <f>+IFERROR(VLOOKUP(A347,'ID6&amp;7'!A:I,9,FALSE),"-")</f>
        <v>-</v>
      </c>
      <c r="X347" s="26" t="str">
        <f>+IFERROR(VLOOKUP(A347,'ID6&amp;7'!A:J,10,FALSE),"-")</f>
        <v>-</v>
      </c>
      <c r="Y347" s="26"/>
      <c r="Z347" s="27" t="str">
        <f t="shared" si="14"/>
        <v>Por iniciar</v>
      </c>
    </row>
    <row r="348" spans="1:26">
      <c r="A348" s="20" t="str">
        <f t="shared" si="13"/>
        <v>PROTECTIONTYP_PRTCTN_INTRNL45596</v>
      </c>
      <c r="B348" s="66">
        <f t="array" ref="B348">+MAX(IF('ID1&amp;5'!A:A='1. Status'!A348&amp;'1. Status'!$B$10,'ID1&amp;5'!K:K))</f>
        <v>0</v>
      </c>
      <c r="C348" s="60">
        <f t="array" ref="C348">+MAX(IF('ID1&amp;5'!A:A='1. Status'!A348&amp;'1. Status'!$C$10,'ID1&amp;5'!K:K))</f>
        <v>0</v>
      </c>
      <c r="D348" s="60">
        <f t="array" ref="D348">+MAX(IF('ID1&amp;5'!A:A='1. Status'!A348&amp;'1. Status'!$D$10,'ID1&amp;5'!K:K))</f>
        <v>0</v>
      </c>
      <c r="E348" s="60">
        <f t="array" ref="E348">+MAX(IF('ID1&amp;5'!A:A='1. Status'!A348&amp;'1. Status'!$E$10,'ID1&amp;5'!K:K))</f>
        <v>0</v>
      </c>
      <c r="F348" s="67">
        <f t="array" ref="F348">+MAX(IF('ID1&amp;5'!A:A='1. Status'!A348&amp;'1. Status'!$F$10,'ID1&amp;5'!K:K))</f>
        <v>0</v>
      </c>
      <c r="G348" s="60"/>
      <c r="H348" s="65" t="s">
        <v>128</v>
      </c>
      <c r="I348" s="21" t="s">
        <v>616</v>
      </c>
      <c r="J348" s="26">
        <f>+COUNTIF('ID1&amp;5'!G:G,'1. Status'!I348)</f>
        <v>0</v>
      </c>
      <c r="K348" s="83" t="str">
        <f>+IFERROR(VLOOKUP(CONCATENATE(A348,$B$10,B348),'ID1&amp;5'!B:J,8,FALSE),"-")</f>
        <v>-</v>
      </c>
      <c r="L348" s="82" t="str">
        <f>+IFERROR(VLOOKUP(B348,'ID1&amp;5'!K:L,2,FALSE),"-")</f>
        <v>-</v>
      </c>
      <c r="M348" s="83" t="str">
        <f>+IFERROR(VLOOKUP(CONCATENATE(A348,$B$10,B348),'ID1&amp;5'!B:J,9,FALSE),"-")</f>
        <v>-</v>
      </c>
      <c r="N348" s="83" t="str">
        <f>+IFERROR(VLOOKUP(CONCATENATE(A348,$C$10,C348),'ID1&amp;5'!B:J,8,FALSE),"-")</f>
        <v>-</v>
      </c>
      <c r="O348" s="82" t="str">
        <f>+IFERROR(VLOOKUP(C348,'ID1&amp;5'!K:L,2,FALSE),"-")</f>
        <v>-</v>
      </c>
      <c r="P348" s="83" t="str">
        <f>+IFERROR(VLOOKUP(CONCATENATE(A348,$C$10,C348),'ID1&amp;5'!B:J,9,FALSE),"-")</f>
        <v>-</v>
      </c>
      <c r="Q348" s="82" t="str">
        <f>+IFERROR(VLOOKUP(D348,'ID1&amp;5'!K:L,2,FALSE),"-")</f>
        <v>-</v>
      </c>
      <c r="R348" s="26" t="str">
        <f>+IFERROR(VLOOKUP(CONCATENATE(A348,$D$10,D348),'ID1&amp;5'!B:J,9,FALSE),"-")</f>
        <v>-</v>
      </c>
      <c r="S348" s="82" t="str">
        <f>+IFERROR(VLOOKUP(E348,'ID1&amp;5'!K:L,2,FALSE),"-")</f>
        <v>-</v>
      </c>
      <c r="T348" s="83" t="str">
        <f>+IFERROR(VLOOKUP(CONCATENATE(A348,$E$10,E348),'ID1&amp;5'!B:J,9,FALSE),"-")</f>
        <v>-</v>
      </c>
      <c r="U348" s="82" t="str">
        <f>+IFERROR(VLOOKUP(F348,'ID1&amp;5'!K:L,2,FALSE),"-")</f>
        <v>-</v>
      </c>
      <c r="V348" s="83" t="str">
        <f>+IFERROR(VLOOKUP(CONCATENATE(A348,$F$10,F348),'ID1&amp;5'!B:J,9,FALSE),"-")</f>
        <v>-</v>
      </c>
      <c r="W348" s="26" t="str">
        <f>+IFERROR(VLOOKUP(A348,'ID6&amp;7'!A:I,9,FALSE),"-")</f>
        <v>-</v>
      </c>
      <c r="X348" s="26" t="str">
        <f>+IFERROR(VLOOKUP(A348,'ID6&amp;7'!A:J,10,FALSE),"-")</f>
        <v>-</v>
      </c>
      <c r="Y348" s="26"/>
      <c r="Z348" s="27" t="str">
        <f t="shared" si="14"/>
        <v>Por iniciar</v>
      </c>
    </row>
    <row r="349" spans="1:26">
      <c r="A349" s="20" t="str">
        <f t="shared" si="13"/>
        <v>PROTECTIONTYP_PRTCTN_VL45596</v>
      </c>
      <c r="B349" s="66">
        <f t="array" ref="B349">+MAX(IF('ID1&amp;5'!A:A='1. Status'!A349&amp;'1. Status'!$B$10,'ID1&amp;5'!K:K))</f>
        <v>0</v>
      </c>
      <c r="C349" s="60">
        <f t="array" ref="C349">+MAX(IF('ID1&amp;5'!A:A='1. Status'!A349&amp;'1. Status'!$C$10,'ID1&amp;5'!K:K))</f>
        <v>0</v>
      </c>
      <c r="D349" s="60">
        <f t="array" ref="D349">+MAX(IF('ID1&amp;5'!A:A='1. Status'!A349&amp;'1. Status'!$D$10,'ID1&amp;5'!K:K))</f>
        <v>0</v>
      </c>
      <c r="E349" s="60">
        <f t="array" ref="E349">+MAX(IF('ID1&amp;5'!A:A='1. Status'!A349&amp;'1. Status'!$E$10,'ID1&amp;5'!K:K))</f>
        <v>0</v>
      </c>
      <c r="F349" s="67">
        <f t="array" ref="F349">+MAX(IF('ID1&amp;5'!A:A='1. Status'!A349&amp;'1. Status'!$F$10,'ID1&amp;5'!K:K))</f>
        <v>0</v>
      </c>
      <c r="G349" s="60"/>
      <c r="H349" s="65" t="s">
        <v>128</v>
      </c>
      <c r="I349" s="21" t="s">
        <v>617</v>
      </c>
      <c r="J349" s="26">
        <f>+COUNTIF('ID1&amp;5'!G:G,'1. Status'!I349)</f>
        <v>0</v>
      </c>
      <c r="K349" s="83" t="str">
        <f>+IFERROR(VLOOKUP(CONCATENATE(A349,$B$10,B349),'ID1&amp;5'!B:J,8,FALSE),"-")</f>
        <v>-</v>
      </c>
      <c r="L349" s="82" t="str">
        <f>+IFERROR(VLOOKUP(B349,'ID1&amp;5'!K:L,2,FALSE),"-")</f>
        <v>-</v>
      </c>
      <c r="M349" s="83" t="str">
        <f>+IFERROR(VLOOKUP(CONCATENATE(A349,$B$10,B349),'ID1&amp;5'!B:J,9,FALSE),"-")</f>
        <v>-</v>
      </c>
      <c r="N349" s="83" t="str">
        <f>+IFERROR(VLOOKUP(CONCATENATE(A349,$C$10,C349),'ID1&amp;5'!B:J,8,FALSE),"-")</f>
        <v>-</v>
      </c>
      <c r="O349" s="82" t="str">
        <f>+IFERROR(VLOOKUP(C349,'ID1&amp;5'!K:L,2,FALSE),"-")</f>
        <v>-</v>
      </c>
      <c r="P349" s="83" t="str">
        <f>+IFERROR(VLOOKUP(CONCATENATE(A349,$C$10,C349),'ID1&amp;5'!B:J,9,FALSE),"-")</f>
        <v>-</v>
      </c>
      <c r="Q349" s="82" t="str">
        <f>+IFERROR(VLOOKUP(D349,'ID1&amp;5'!K:L,2,FALSE),"-")</f>
        <v>-</v>
      </c>
      <c r="R349" s="26" t="str">
        <f>+IFERROR(VLOOKUP(CONCATENATE(A349,$D$10,D349),'ID1&amp;5'!B:J,9,FALSE),"-")</f>
        <v>-</v>
      </c>
      <c r="S349" s="82" t="str">
        <f>+IFERROR(VLOOKUP(E349,'ID1&amp;5'!K:L,2,FALSE),"-")</f>
        <v>-</v>
      </c>
      <c r="T349" s="83" t="str">
        <f>+IFERROR(VLOOKUP(CONCATENATE(A349,$E$10,E349),'ID1&amp;5'!B:J,9,FALSE),"-")</f>
        <v>-</v>
      </c>
      <c r="U349" s="82" t="str">
        <f>+IFERROR(VLOOKUP(F349,'ID1&amp;5'!K:L,2,FALSE),"-")</f>
        <v>-</v>
      </c>
      <c r="V349" s="83" t="str">
        <f>+IFERROR(VLOOKUP(CONCATENATE(A349,$F$10,F349),'ID1&amp;5'!B:J,9,FALSE),"-")</f>
        <v>-</v>
      </c>
      <c r="W349" s="26" t="str">
        <f>+IFERROR(VLOOKUP(A349,'ID6&amp;7'!A:I,9,FALSE),"-")</f>
        <v>-</v>
      </c>
      <c r="X349" s="26" t="str">
        <f>+IFERROR(VLOOKUP(A349,'ID6&amp;7'!A:J,10,FALSE),"-")</f>
        <v>-</v>
      </c>
      <c r="Y349" s="26"/>
      <c r="Z349" s="27" t="str">
        <f t="shared" si="14"/>
        <v>Por iniciar</v>
      </c>
    </row>
    <row r="350" spans="1:26">
      <c r="A350" s="20" t="str">
        <f t="shared" si="13"/>
        <v>PROTECTIONAPPRSL_CRRNCY45596</v>
      </c>
      <c r="B350" s="66">
        <f t="array" ref="B350">+MAX(IF('ID1&amp;5'!A:A='1. Status'!A350&amp;'1. Status'!$B$10,'ID1&amp;5'!K:K))</f>
        <v>0</v>
      </c>
      <c r="C350" s="60">
        <f t="array" ref="C350">+MAX(IF('ID1&amp;5'!A:A='1. Status'!A350&amp;'1. Status'!$C$10,'ID1&amp;5'!K:K))</f>
        <v>0</v>
      </c>
      <c r="D350" s="60">
        <f t="array" ref="D350">+MAX(IF('ID1&amp;5'!A:A='1. Status'!A350&amp;'1. Status'!$D$10,'ID1&amp;5'!K:K))</f>
        <v>0</v>
      </c>
      <c r="E350" s="60">
        <f t="array" ref="E350">+MAX(IF('ID1&amp;5'!A:A='1. Status'!A350&amp;'1. Status'!$E$10,'ID1&amp;5'!K:K))</f>
        <v>0</v>
      </c>
      <c r="F350" s="67">
        <f t="array" ref="F350">+MAX(IF('ID1&amp;5'!A:A='1. Status'!A350&amp;'1. Status'!$F$10,'ID1&amp;5'!K:K))</f>
        <v>0</v>
      </c>
      <c r="G350" s="60"/>
      <c r="H350" s="65" t="s">
        <v>128</v>
      </c>
      <c r="I350" s="21" t="s">
        <v>618</v>
      </c>
      <c r="J350" s="26">
        <f>+COUNTIF('ID1&amp;5'!G:G,'1. Status'!I350)</f>
        <v>0</v>
      </c>
      <c r="K350" s="83" t="str">
        <f>+IFERROR(VLOOKUP(CONCATENATE(A350,$B$10,B350),'ID1&amp;5'!B:J,8,FALSE),"-")</f>
        <v>-</v>
      </c>
      <c r="L350" s="82" t="str">
        <f>+IFERROR(VLOOKUP(B350,'ID1&amp;5'!K:L,2,FALSE),"-")</f>
        <v>-</v>
      </c>
      <c r="M350" s="83" t="str">
        <f>+IFERROR(VLOOKUP(CONCATENATE(A350,$B$10,B350),'ID1&amp;5'!B:J,9,FALSE),"-")</f>
        <v>-</v>
      </c>
      <c r="N350" s="83" t="str">
        <f>+IFERROR(VLOOKUP(CONCATENATE(A350,$C$10,C350),'ID1&amp;5'!B:J,8,FALSE),"-")</f>
        <v>-</v>
      </c>
      <c r="O350" s="82" t="str">
        <f>+IFERROR(VLOOKUP(C350,'ID1&amp;5'!K:L,2,FALSE),"-")</f>
        <v>-</v>
      </c>
      <c r="P350" s="83" t="str">
        <f>+IFERROR(VLOOKUP(CONCATENATE(A350,$C$10,C350),'ID1&amp;5'!B:J,9,FALSE),"-")</f>
        <v>-</v>
      </c>
      <c r="Q350" s="82" t="str">
        <f>+IFERROR(VLOOKUP(D350,'ID1&amp;5'!K:L,2,FALSE),"-")</f>
        <v>-</v>
      </c>
      <c r="R350" s="26" t="str">
        <f>+IFERROR(VLOOKUP(CONCATENATE(A350,$D$10,D350),'ID1&amp;5'!B:J,9,FALSE),"-")</f>
        <v>-</v>
      </c>
      <c r="S350" s="82" t="str">
        <f>+IFERROR(VLOOKUP(E350,'ID1&amp;5'!K:L,2,FALSE),"-")</f>
        <v>-</v>
      </c>
      <c r="T350" s="83" t="str">
        <f>+IFERROR(VLOOKUP(CONCATENATE(A350,$E$10,E350),'ID1&amp;5'!B:J,9,FALSE),"-")</f>
        <v>-</v>
      </c>
      <c r="U350" s="82" t="str">
        <f>+IFERROR(VLOOKUP(F350,'ID1&amp;5'!K:L,2,FALSE),"-")</f>
        <v>-</v>
      </c>
      <c r="V350" s="83" t="str">
        <f>+IFERROR(VLOOKUP(CONCATENATE(A350,$F$10,F350),'ID1&amp;5'!B:J,9,FALSE),"-")</f>
        <v>-</v>
      </c>
      <c r="W350" s="26" t="str">
        <f>+IFERROR(VLOOKUP(A350,'ID6&amp;7'!A:I,9,FALSE),"-")</f>
        <v>-</v>
      </c>
      <c r="X350" s="26" t="str">
        <f>+IFERROR(VLOOKUP(A350,'ID6&amp;7'!A:J,10,FALSE),"-")</f>
        <v>-</v>
      </c>
      <c r="Y350" s="26"/>
      <c r="Z350" s="27" t="str">
        <f t="shared" si="14"/>
        <v>Por iniciar</v>
      </c>
    </row>
    <row r="351" spans="1:26">
      <c r="A351" s="20" t="str">
        <f t="shared" si="13"/>
        <v>PROTECTIONAPPRSR45596</v>
      </c>
      <c r="B351" s="66">
        <f t="array" ref="B351">+MAX(IF('ID1&amp;5'!A:A='1. Status'!A351&amp;'1. Status'!$B$10,'ID1&amp;5'!K:K))</f>
        <v>0</v>
      </c>
      <c r="C351" s="60">
        <f t="array" ref="C351">+MAX(IF('ID1&amp;5'!A:A='1. Status'!A351&amp;'1. Status'!$C$10,'ID1&amp;5'!K:K))</f>
        <v>0</v>
      </c>
      <c r="D351" s="60">
        <f t="array" ref="D351">+MAX(IF('ID1&amp;5'!A:A='1. Status'!A351&amp;'1. Status'!$D$10,'ID1&amp;5'!K:K))</f>
        <v>0</v>
      </c>
      <c r="E351" s="60">
        <f t="array" ref="E351">+MAX(IF('ID1&amp;5'!A:A='1. Status'!A351&amp;'1. Status'!$E$10,'ID1&amp;5'!K:K))</f>
        <v>0</v>
      </c>
      <c r="F351" s="67">
        <f t="array" ref="F351">+MAX(IF('ID1&amp;5'!A:A='1. Status'!A351&amp;'1. Status'!$F$10,'ID1&amp;5'!K:K))</f>
        <v>0</v>
      </c>
      <c r="G351" s="60"/>
      <c r="H351" s="65" t="s">
        <v>128</v>
      </c>
      <c r="I351" s="21" t="s">
        <v>619</v>
      </c>
      <c r="J351" s="26">
        <f>+COUNTIF('ID1&amp;5'!G:G,'1. Status'!I351)</f>
        <v>0</v>
      </c>
      <c r="K351" s="83" t="str">
        <f>+IFERROR(VLOOKUP(CONCATENATE(A351,$B$10,B351),'ID1&amp;5'!B:J,8,FALSE),"-")</f>
        <v>-</v>
      </c>
      <c r="L351" s="82" t="str">
        <f>+IFERROR(VLOOKUP(B351,'ID1&amp;5'!K:L,2,FALSE),"-")</f>
        <v>-</v>
      </c>
      <c r="M351" s="83" t="str">
        <f>+IFERROR(VLOOKUP(CONCATENATE(A351,$B$10,B351),'ID1&amp;5'!B:J,9,FALSE),"-")</f>
        <v>-</v>
      </c>
      <c r="N351" s="83" t="str">
        <f>+IFERROR(VLOOKUP(CONCATENATE(A351,$C$10,C351),'ID1&amp;5'!B:J,8,FALSE),"-")</f>
        <v>-</v>
      </c>
      <c r="O351" s="82" t="str">
        <f>+IFERROR(VLOOKUP(C351,'ID1&amp;5'!K:L,2,FALSE),"-")</f>
        <v>-</v>
      </c>
      <c r="P351" s="83" t="str">
        <f>+IFERROR(VLOOKUP(CONCATENATE(A351,$C$10,C351),'ID1&amp;5'!B:J,9,FALSE),"-")</f>
        <v>-</v>
      </c>
      <c r="Q351" s="82" t="str">
        <f>+IFERROR(VLOOKUP(D351,'ID1&amp;5'!K:L,2,FALSE),"-")</f>
        <v>-</v>
      </c>
      <c r="R351" s="26" t="str">
        <f>+IFERROR(VLOOKUP(CONCATENATE(A351,$D$10,D351),'ID1&amp;5'!B:J,9,FALSE),"-")</f>
        <v>-</v>
      </c>
      <c r="S351" s="82" t="str">
        <f>+IFERROR(VLOOKUP(E351,'ID1&amp;5'!K:L,2,FALSE),"-")</f>
        <v>-</v>
      </c>
      <c r="T351" s="83" t="str">
        <f>+IFERROR(VLOOKUP(CONCATENATE(A351,$E$10,E351),'ID1&amp;5'!B:J,9,FALSE),"-")</f>
        <v>-</v>
      </c>
      <c r="U351" s="82" t="str">
        <f>+IFERROR(VLOOKUP(F351,'ID1&amp;5'!K:L,2,FALSE),"-")</f>
        <v>-</v>
      </c>
      <c r="V351" s="83" t="str">
        <f>+IFERROR(VLOOKUP(CONCATENATE(A351,$F$10,F351),'ID1&amp;5'!B:J,9,FALSE),"-")</f>
        <v>-</v>
      </c>
      <c r="W351" s="26" t="str">
        <f>+IFERROR(VLOOKUP(A351,'ID6&amp;7'!A:I,9,FALSE),"-")</f>
        <v>-</v>
      </c>
      <c r="X351" s="26" t="str">
        <f>+IFERROR(VLOOKUP(A351,'ID6&amp;7'!A:J,10,FALSE),"-")</f>
        <v>-</v>
      </c>
      <c r="Y351" s="26"/>
      <c r="Z351" s="27" t="str">
        <f t="shared" si="14"/>
        <v>Por iniciar</v>
      </c>
    </row>
    <row r="352" spans="1:26">
      <c r="A352" s="20" t="str">
        <f t="shared" si="13"/>
        <v>PROTECTIONDT_LST_FLL_APPRSL45596</v>
      </c>
      <c r="B352" s="66">
        <f t="array" ref="B352">+MAX(IF('ID1&amp;5'!A:A='1. Status'!A352&amp;'1. Status'!$B$10,'ID1&amp;5'!K:K))</f>
        <v>0</v>
      </c>
      <c r="C352" s="60">
        <f t="array" ref="C352">+MAX(IF('ID1&amp;5'!A:A='1. Status'!A352&amp;'1. Status'!$C$10,'ID1&amp;5'!K:K))</f>
        <v>0</v>
      </c>
      <c r="D352" s="60">
        <f t="array" ref="D352">+MAX(IF('ID1&amp;5'!A:A='1. Status'!A352&amp;'1. Status'!$D$10,'ID1&amp;5'!K:K))</f>
        <v>0</v>
      </c>
      <c r="E352" s="60">
        <f t="array" ref="E352">+MAX(IF('ID1&amp;5'!A:A='1. Status'!A352&amp;'1. Status'!$E$10,'ID1&amp;5'!K:K))</f>
        <v>0</v>
      </c>
      <c r="F352" s="67">
        <f t="array" ref="F352">+MAX(IF('ID1&amp;5'!A:A='1. Status'!A352&amp;'1. Status'!$F$10,'ID1&amp;5'!K:K))</f>
        <v>0</v>
      </c>
      <c r="G352" s="60"/>
      <c r="H352" s="65" t="s">
        <v>128</v>
      </c>
      <c r="I352" s="21" t="s">
        <v>620</v>
      </c>
      <c r="J352" s="26">
        <f>+COUNTIF('ID1&amp;5'!G:G,'1. Status'!I352)</f>
        <v>0</v>
      </c>
      <c r="K352" s="83" t="str">
        <f>+IFERROR(VLOOKUP(CONCATENATE(A352,$B$10,B352),'ID1&amp;5'!B:J,8,FALSE),"-")</f>
        <v>-</v>
      </c>
      <c r="L352" s="82" t="str">
        <f>+IFERROR(VLOOKUP(B352,'ID1&amp;5'!K:L,2,FALSE),"-")</f>
        <v>-</v>
      </c>
      <c r="M352" s="83" t="str">
        <f>+IFERROR(VLOOKUP(CONCATENATE(A352,$B$10,B352),'ID1&amp;5'!B:J,9,FALSE),"-")</f>
        <v>-</v>
      </c>
      <c r="N352" s="83" t="str">
        <f>+IFERROR(VLOOKUP(CONCATENATE(A352,$C$10,C352),'ID1&amp;5'!B:J,8,FALSE),"-")</f>
        <v>-</v>
      </c>
      <c r="O352" s="82" t="str">
        <f>+IFERROR(VLOOKUP(C352,'ID1&amp;5'!K:L,2,FALSE),"-")</f>
        <v>-</v>
      </c>
      <c r="P352" s="83" t="str">
        <f>+IFERROR(VLOOKUP(CONCATENATE(A352,$C$10,C352),'ID1&amp;5'!B:J,9,FALSE),"-")</f>
        <v>-</v>
      </c>
      <c r="Q352" s="82" t="str">
        <f>+IFERROR(VLOOKUP(D352,'ID1&amp;5'!K:L,2,FALSE),"-")</f>
        <v>-</v>
      </c>
      <c r="R352" s="26" t="str">
        <f>+IFERROR(VLOOKUP(CONCATENATE(A352,$D$10,D352),'ID1&amp;5'!B:J,9,FALSE),"-")</f>
        <v>-</v>
      </c>
      <c r="S352" s="82" t="str">
        <f>+IFERROR(VLOOKUP(E352,'ID1&amp;5'!K:L,2,FALSE),"-")</f>
        <v>-</v>
      </c>
      <c r="T352" s="83" t="str">
        <f>+IFERROR(VLOOKUP(CONCATENATE(A352,$E$10,E352),'ID1&amp;5'!B:J,9,FALSE),"-")</f>
        <v>-</v>
      </c>
      <c r="U352" s="82" t="str">
        <f>+IFERROR(VLOOKUP(F352,'ID1&amp;5'!K:L,2,FALSE),"-")</f>
        <v>-</v>
      </c>
      <c r="V352" s="83" t="str">
        <f>+IFERROR(VLOOKUP(CONCATENATE(A352,$F$10,F352),'ID1&amp;5'!B:J,9,FALSE),"-")</f>
        <v>-</v>
      </c>
      <c r="W352" s="26" t="str">
        <f>+IFERROR(VLOOKUP(A352,'ID6&amp;7'!A:I,9,FALSE),"-")</f>
        <v>-</v>
      </c>
      <c r="X352" s="26" t="str">
        <f>+IFERROR(VLOOKUP(A352,'ID6&amp;7'!A:J,10,FALSE),"-")</f>
        <v>-</v>
      </c>
      <c r="Y352" s="26"/>
      <c r="Z352" s="27" t="str">
        <f t="shared" si="14"/>
        <v>Por iniciar</v>
      </c>
    </row>
    <row r="353" spans="1:26">
      <c r="A353" s="20" t="str">
        <f t="shared" si="13"/>
        <v>PROTECTIONDT_ORGNL_PRTCTN_VL45596</v>
      </c>
      <c r="B353" s="66">
        <f t="array" ref="B353">+MAX(IF('ID1&amp;5'!A:A='1. Status'!A353&amp;'1. Status'!$B$10,'ID1&amp;5'!K:K))</f>
        <v>0</v>
      </c>
      <c r="C353" s="60">
        <f t="array" ref="C353">+MAX(IF('ID1&amp;5'!A:A='1. Status'!A353&amp;'1. Status'!$C$10,'ID1&amp;5'!K:K))</f>
        <v>0</v>
      </c>
      <c r="D353" s="60">
        <f t="array" ref="D353">+MAX(IF('ID1&amp;5'!A:A='1. Status'!A353&amp;'1. Status'!$D$10,'ID1&amp;5'!K:K))</f>
        <v>0</v>
      </c>
      <c r="E353" s="60">
        <f t="array" ref="E353">+MAX(IF('ID1&amp;5'!A:A='1. Status'!A353&amp;'1. Status'!$E$10,'ID1&amp;5'!K:K))</f>
        <v>0</v>
      </c>
      <c r="F353" s="67">
        <f t="array" ref="F353">+MAX(IF('ID1&amp;5'!A:A='1. Status'!A353&amp;'1. Status'!$F$10,'ID1&amp;5'!K:K))</f>
        <v>0</v>
      </c>
      <c r="G353" s="60"/>
      <c r="H353" s="65" t="s">
        <v>128</v>
      </c>
      <c r="I353" s="21" t="s">
        <v>621</v>
      </c>
      <c r="J353" s="26">
        <f>+COUNTIF('ID1&amp;5'!G:G,'1. Status'!I353)</f>
        <v>0</v>
      </c>
      <c r="K353" s="83" t="str">
        <f>+IFERROR(VLOOKUP(CONCATENATE(A353,$B$10,B353),'ID1&amp;5'!B:J,8,FALSE),"-")</f>
        <v>-</v>
      </c>
      <c r="L353" s="82" t="str">
        <f>+IFERROR(VLOOKUP(B353,'ID1&amp;5'!K:L,2,FALSE),"-")</f>
        <v>-</v>
      </c>
      <c r="M353" s="83" t="str">
        <f>+IFERROR(VLOOKUP(CONCATENATE(A353,$B$10,B353),'ID1&amp;5'!B:J,9,FALSE),"-")</f>
        <v>-</v>
      </c>
      <c r="N353" s="83" t="str">
        <f>+IFERROR(VLOOKUP(CONCATENATE(A353,$C$10,C353),'ID1&amp;5'!B:J,8,FALSE),"-")</f>
        <v>-</v>
      </c>
      <c r="O353" s="82" t="str">
        <f>+IFERROR(VLOOKUP(C353,'ID1&amp;5'!K:L,2,FALSE),"-")</f>
        <v>-</v>
      </c>
      <c r="P353" s="83" t="str">
        <f>+IFERROR(VLOOKUP(CONCATENATE(A353,$C$10,C353),'ID1&amp;5'!B:J,9,FALSE),"-")</f>
        <v>-</v>
      </c>
      <c r="Q353" s="82" t="str">
        <f>+IFERROR(VLOOKUP(D353,'ID1&amp;5'!K:L,2,FALSE),"-")</f>
        <v>-</v>
      </c>
      <c r="R353" s="26" t="str">
        <f>+IFERROR(VLOOKUP(CONCATENATE(A353,$D$10,D353),'ID1&amp;5'!B:J,9,FALSE),"-")</f>
        <v>-</v>
      </c>
      <c r="S353" s="82" t="str">
        <f>+IFERROR(VLOOKUP(E353,'ID1&amp;5'!K:L,2,FALSE),"-")</f>
        <v>-</v>
      </c>
      <c r="T353" s="83" t="str">
        <f>+IFERROR(VLOOKUP(CONCATENATE(A353,$E$10,E353),'ID1&amp;5'!B:J,9,FALSE),"-")</f>
        <v>-</v>
      </c>
      <c r="U353" s="82" t="str">
        <f>+IFERROR(VLOOKUP(F353,'ID1&amp;5'!K:L,2,FALSE),"-")</f>
        <v>-</v>
      </c>
      <c r="V353" s="83" t="str">
        <f>+IFERROR(VLOOKUP(CONCATENATE(A353,$F$10,F353),'ID1&amp;5'!B:J,9,FALSE),"-")</f>
        <v>-</v>
      </c>
      <c r="W353" s="26" t="str">
        <f>+IFERROR(VLOOKUP(A353,'ID6&amp;7'!A:I,9,FALSE),"-")</f>
        <v>-</v>
      </c>
      <c r="X353" s="26" t="str">
        <f>+IFERROR(VLOOKUP(A353,'ID6&amp;7'!A:J,10,FALSE),"-")</f>
        <v>-</v>
      </c>
      <c r="Y353" s="26"/>
      <c r="Z353" s="27" t="str">
        <f t="shared" si="14"/>
        <v>Por iniciar</v>
      </c>
    </row>
    <row r="354" spans="1:26">
      <c r="A354" s="20" t="str">
        <f t="shared" si="13"/>
        <v>PROTECTIONDT_PRTCTN_VL45596</v>
      </c>
      <c r="B354" s="66">
        <f t="array" ref="B354">+MAX(IF('ID1&amp;5'!A:A='1. Status'!A354&amp;'1. Status'!$B$10,'ID1&amp;5'!K:K))</f>
        <v>0</v>
      </c>
      <c r="C354" s="60">
        <f t="array" ref="C354">+MAX(IF('ID1&amp;5'!A:A='1. Status'!A354&amp;'1. Status'!$C$10,'ID1&amp;5'!K:K))</f>
        <v>0</v>
      </c>
      <c r="D354" s="60">
        <f t="array" ref="D354">+MAX(IF('ID1&amp;5'!A:A='1. Status'!A354&amp;'1. Status'!$D$10,'ID1&amp;5'!K:K))</f>
        <v>0</v>
      </c>
      <c r="E354" s="60">
        <f t="array" ref="E354">+MAX(IF('ID1&amp;5'!A:A='1. Status'!A354&amp;'1. Status'!$E$10,'ID1&amp;5'!K:K))</f>
        <v>0</v>
      </c>
      <c r="F354" s="67">
        <f t="array" ref="F354">+MAX(IF('ID1&amp;5'!A:A='1. Status'!A354&amp;'1. Status'!$F$10,'ID1&amp;5'!K:K))</f>
        <v>0</v>
      </c>
      <c r="G354" s="60"/>
      <c r="H354" s="65" t="s">
        <v>128</v>
      </c>
      <c r="I354" s="21" t="s">
        <v>622</v>
      </c>
      <c r="J354" s="26">
        <f>+COUNTIF('ID1&amp;5'!G:G,'1. Status'!I354)</f>
        <v>0</v>
      </c>
      <c r="K354" s="83" t="str">
        <f>+IFERROR(VLOOKUP(CONCATENATE(A354,$B$10,B354),'ID1&amp;5'!B:J,8,FALSE),"-")</f>
        <v>-</v>
      </c>
      <c r="L354" s="82" t="str">
        <f>+IFERROR(VLOOKUP(B354,'ID1&amp;5'!K:L,2,FALSE),"-")</f>
        <v>-</v>
      </c>
      <c r="M354" s="83" t="str">
        <f>+IFERROR(VLOOKUP(CONCATENATE(A354,$B$10,B354),'ID1&amp;5'!B:J,9,FALSE),"-")</f>
        <v>-</v>
      </c>
      <c r="N354" s="83" t="str">
        <f>+IFERROR(VLOOKUP(CONCATENATE(A354,$C$10,C354),'ID1&amp;5'!B:J,8,FALSE),"-")</f>
        <v>-</v>
      </c>
      <c r="O354" s="82" t="str">
        <f>+IFERROR(VLOOKUP(C354,'ID1&amp;5'!K:L,2,FALSE),"-")</f>
        <v>-</v>
      </c>
      <c r="P354" s="83" t="str">
        <f>+IFERROR(VLOOKUP(CONCATENATE(A354,$C$10,C354),'ID1&amp;5'!B:J,9,FALSE),"-")</f>
        <v>-</v>
      </c>
      <c r="Q354" s="82" t="str">
        <f>+IFERROR(VLOOKUP(D354,'ID1&amp;5'!K:L,2,FALSE),"-")</f>
        <v>-</v>
      </c>
      <c r="R354" s="26" t="str">
        <f>+IFERROR(VLOOKUP(CONCATENATE(A354,$D$10,D354),'ID1&amp;5'!B:J,9,FALSE),"-")</f>
        <v>-</v>
      </c>
      <c r="S354" s="82" t="str">
        <f>+IFERROR(VLOOKUP(E354,'ID1&amp;5'!K:L,2,FALSE),"-")</f>
        <v>-</v>
      </c>
      <c r="T354" s="83" t="str">
        <f>+IFERROR(VLOOKUP(CONCATENATE(A354,$E$10,E354),'ID1&amp;5'!B:J,9,FALSE),"-")</f>
        <v>-</v>
      </c>
      <c r="U354" s="82" t="str">
        <f>+IFERROR(VLOOKUP(F354,'ID1&amp;5'!K:L,2,FALSE),"-")</f>
        <v>-</v>
      </c>
      <c r="V354" s="83" t="str">
        <f>+IFERROR(VLOOKUP(CONCATENATE(A354,$F$10,F354),'ID1&amp;5'!B:J,9,FALSE),"-")</f>
        <v>-</v>
      </c>
      <c r="W354" s="26" t="str">
        <f>+IFERROR(VLOOKUP(A354,'ID6&amp;7'!A:I,9,FALSE),"-")</f>
        <v>-</v>
      </c>
      <c r="X354" s="26" t="str">
        <f>+IFERROR(VLOOKUP(A354,'ID6&amp;7'!A:J,10,FALSE),"-")</f>
        <v>-</v>
      </c>
      <c r="Y354" s="26"/>
      <c r="Z354" s="27" t="str">
        <f t="shared" si="14"/>
        <v>Por iniciar</v>
      </c>
    </row>
    <row r="355" spans="1:26">
      <c r="A355" s="20" t="str">
        <f t="shared" si="13"/>
        <v>PROTECTIONORGNL_PRTCTN_VL45596</v>
      </c>
      <c r="B355" s="66">
        <f t="array" ref="B355">+MAX(IF('ID1&amp;5'!A:A='1. Status'!A355&amp;'1. Status'!$B$10,'ID1&amp;5'!K:K))</f>
        <v>0</v>
      </c>
      <c r="C355" s="60">
        <f t="array" ref="C355">+MAX(IF('ID1&amp;5'!A:A='1. Status'!A355&amp;'1. Status'!$C$10,'ID1&amp;5'!K:K))</f>
        <v>0</v>
      </c>
      <c r="D355" s="60">
        <f t="array" ref="D355">+MAX(IF('ID1&amp;5'!A:A='1. Status'!A355&amp;'1. Status'!$D$10,'ID1&amp;5'!K:K))</f>
        <v>0</v>
      </c>
      <c r="E355" s="60">
        <f t="array" ref="E355">+MAX(IF('ID1&amp;5'!A:A='1. Status'!A355&amp;'1. Status'!$E$10,'ID1&amp;5'!K:K))</f>
        <v>0</v>
      </c>
      <c r="F355" s="67">
        <f t="array" ref="F355">+MAX(IF('ID1&amp;5'!A:A='1. Status'!A355&amp;'1. Status'!$F$10,'ID1&amp;5'!K:K))</f>
        <v>0</v>
      </c>
      <c r="G355" s="60"/>
      <c r="H355" s="65" t="s">
        <v>128</v>
      </c>
      <c r="I355" s="21" t="s">
        <v>124</v>
      </c>
      <c r="J355" s="26">
        <f>+COUNTIF('ID1&amp;5'!G:G,'1. Status'!I355)</f>
        <v>0</v>
      </c>
      <c r="K355" s="83" t="str">
        <f>+IFERROR(VLOOKUP(CONCATENATE(A355,$B$10,B355),'ID1&amp;5'!B:J,8,FALSE),"-")</f>
        <v>-</v>
      </c>
      <c r="L355" s="82" t="str">
        <f>+IFERROR(VLOOKUP(B355,'ID1&amp;5'!K:L,2,FALSE),"-")</f>
        <v>-</v>
      </c>
      <c r="M355" s="83" t="str">
        <f>+IFERROR(VLOOKUP(CONCATENATE(A355,$B$10,B355),'ID1&amp;5'!B:J,9,FALSE),"-")</f>
        <v>-</v>
      </c>
      <c r="N355" s="83" t="str">
        <f>+IFERROR(VLOOKUP(CONCATENATE(A355,$C$10,C355),'ID1&amp;5'!B:J,8,FALSE),"-")</f>
        <v>-</v>
      </c>
      <c r="O355" s="82" t="str">
        <f>+IFERROR(VLOOKUP(C355,'ID1&amp;5'!K:L,2,FALSE),"-")</f>
        <v>-</v>
      </c>
      <c r="P355" s="83" t="str">
        <f>+IFERROR(VLOOKUP(CONCATENATE(A355,$C$10,C355),'ID1&amp;5'!B:J,9,FALSE),"-")</f>
        <v>-</v>
      </c>
      <c r="Q355" s="82" t="str">
        <f>+IFERROR(VLOOKUP(D355,'ID1&amp;5'!K:L,2,FALSE),"-")</f>
        <v>-</v>
      </c>
      <c r="R355" s="26" t="str">
        <f>+IFERROR(VLOOKUP(CONCATENATE(A355,$D$10,D355),'ID1&amp;5'!B:J,9,FALSE),"-")</f>
        <v>-</v>
      </c>
      <c r="S355" s="82" t="str">
        <f>+IFERROR(VLOOKUP(E355,'ID1&amp;5'!K:L,2,FALSE),"-")</f>
        <v>-</v>
      </c>
      <c r="T355" s="83" t="str">
        <f>+IFERROR(VLOOKUP(CONCATENATE(A355,$E$10,E355),'ID1&amp;5'!B:J,9,FALSE),"-")</f>
        <v>-</v>
      </c>
      <c r="U355" s="82" t="str">
        <f>+IFERROR(VLOOKUP(F355,'ID1&amp;5'!K:L,2,FALSE),"-")</f>
        <v>-</v>
      </c>
      <c r="V355" s="83" t="str">
        <f>+IFERROR(VLOOKUP(CONCATENATE(A355,$F$10,F355),'ID1&amp;5'!B:J,9,FALSE),"-")</f>
        <v>-</v>
      </c>
      <c r="W355" s="26" t="str">
        <f>+IFERROR(VLOOKUP(A355,'ID6&amp;7'!A:I,9,FALSE),"-")</f>
        <v>-</v>
      </c>
      <c r="X355" s="26" t="str">
        <f>+IFERROR(VLOOKUP(A355,'ID6&amp;7'!A:J,10,FALSE),"-")</f>
        <v>-</v>
      </c>
      <c r="Y355" s="26"/>
      <c r="Z355" s="27" t="str">
        <f t="shared" si="14"/>
        <v>Por iniciar</v>
      </c>
    </row>
    <row r="356" spans="1:26">
      <c r="A356" s="20" t="str">
        <f t="shared" si="13"/>
        <v>PROTECTIONPRTCTN_FRCD_SL_VL45596</v>
      </c>
      <c r="B356" s="66">
        <f t="array" ref="B356">+MAX(IF('ID1&amp;5'!A:A='1. Status'!A356&amp;'1. Status'!$B$10,'ID1&amp;5'!K:K))</f>
        <v>0</v>
      </c>
      <c r="C356" s="60">
        <f t="array" ref="C356">+MAX(IF('ID1&amp;5'!A:A='1. Status'!A356&amp;'1. Status'!$C$10,'ID1&amp;5'!K:K))</f>
        <v>0</v>
      </c>
      <c r="D356" s="60">
        <f t="array" ref="D356">+MAX(IF('ID1&amp;5'!A:A='1. Status'!A356&amp;'1. Status'!$D$10,'ID1&amp;5'!K:K))</f>
        <v>0</v>
      </c>
      <c r="E356" s="60">
        <f t="array" ref="E356">+MAX(IF('ID1&amp;5'!A:A='1. Status'!A356&amp;'1. Status'!$E$10,'ID1&amp;5'!K:K))</f>
        <v>0</v>
      </c>
      <c r="F356" s="67">
        <f t="array" ref="F356">+MAX(IF('ID1&amp;5'!A:A='1. Status'!A356&amp;'1. Status'!$F$10,'ID1&amp;5'!K:K))</f>
        <v>0</v>
      </c>
      <c r="G356" s="60"/>
      <c r="H356" s="65" t="s">
        <v>128</v>
      </c>
      <c r="I356" s="21" t="s">
        <v>623</v>
      </c>
      <c r="J356" s="26">
        <f>+COUNTIF('ID1&amp;5'!G:G,'1. Status'!I356)</f>
        <v>0</v>
      </c>
      <c r="K356" s="83" t="str">
        <f>+IFERROR(VLOOKUP(CONCATENATE(A356,$B$10,B356),'ID1&amp;5'!B:J,8,FALSE),"-")</f>
        <v>-</v>
      </c>
      <c r="L356" s="82" t="str">
        <f>+IFERROR(VLOOKUP(B356,'ID1&amp;5'!K:L,2,FALSE),"-")</f>
        <v>-</v>
      </c>
      <c r="M356" s="83" t="str">
        <f>+IFERROR(VLOOKUP(CONCATENATE(A356,$B$10,B356),'ID1&amp;5'!B:J,9,FALSE),"-")</f>
        <v>-</v>
      </c>
      <c r="N356" s="83" t="str">
        <f>+IFERROR(VLOOKUP(CONCATENATE(A356,$C$10,C356),'ID1&amp;5'!B:J,8,FALSE),"-")</f>
        <v>-</v>
      </c>
      <c r="O356" s="82" t="str">
        <f>+IFERROR(VLOOKUP(C356,'ID1&amp;5'!K:L,2,FALSE),"-")</f>
        <v>-</v>
      </c>
      <c r="P356" s="83" t="str">
        <f>+IFERROR(VLOOKUP(CONCATENATE(A356,$C$10,C356),'ID1&amp;5'!B:J,9,FALSE),"-")</f>
        <v>-</v>
      </c>
      <c r="Q356" s="82" t="str">
        <f>+IFERROR(VLOOKUP(D356,'ID1&amp;5'!K:L,2,FALSE),"-")</f>
        <v>-</v>
      </c>
      <c r="R356" s="26" t="str">
        <f>+IFERROR(VLOOKUP(CONCATENATE(A356,$D$10,D356),'ID1&amp;5'!B:J,9,FALSE),"-")</f>
        <v>-</v>
      </c>
      <c r="S356" s="82" t="str">
        <f>+IFERROR(VLOOKUP(E356,'ID1&amp;5'!K:L,2,FALSE),"-")</f>
        <v>-</v>
      </c>
      <c r="T356" s="83" t="str">
        <f>+IFERROR(VLOOKUP(CONCATENATE(A356,$E$10,E356),'ID1&amp;5'!B:J,9,FALSE),"-")</f>
        <v>-</v>
      </c>
      <c r="U356" s="82" t="str">
        <f>+IFERROR(VLOOKUP(F356,'ID1&amp;5'!K:L,2,FALSE),"-")</f>
        <v>-</v>
      </c>
      <c r="V356" s="83" t="str">
        <f>+IFERROR(VLOOKUP(CONCATENATE(A356,$F$10,F356),'ID1&amp;5'!B:J,9,FALSE),"-")</f>
        <v>-</v>
      </c>
      <c r="W356" s="26" t="str">
        <f>+IFERROR(VLOOKUP(A356,'ID6&amp;7'!A:I,9,FALSE),"-")</f>
        <v>-</v>
      </c>
      <c r="X356" s="26" t="str">
        <f>+IFERROR(VLOOKUP(A356,'ID6&amp;7'!A:J,10,FALSE),"-")</f>
        <v>-</v>
      </c>
      <c r="Y356" s="26"/>
      <c r="Z356" s="27" t="str">
        <f t="shared" si="14"/>
        <v>Por iniciar</v>
      </c>
    </row>
    <row r="357" spans="1:26">
      <c r="A357" s="20" t="str">
        <f t="shared" si="13"/>
        <v>PROTECTIONPRTCTN_VL45596</v>
      </c>
      <c r="B357" s="66">
        <f t="array" ref="B357">+MAX(IF('ID1&amp;5'!A:A='1. Status'!A357&amp;'1. Status'!$B$10,'ID1&amp;5'!K:K))</f>
        <v>0</v>
      </c>
      <c r="C357" s="60">
        <f t="array" ref="C357">+MAX(IF('ID1&amp;5'!A:A='1. Status'!A357&amp;'1. Status'!$C$10,'ID1&amp;5'!K:K))</f>
        <v>0</v>
      </c>
      <c r="D357" s="60">
        <f t="array" ref="D357">+MAX(IF('ID1&amp;5'!A:A='1. Status'!A357&amp;'1. Status'!$D$10,'ID1&amp;5'!K:K))</f>
        <v>0</v>
      </c>
      <c r="E357" s="60">
        <f t="array" ref="E357">+MAX(IF('ID1&amp;5'!A:A='1. Status'!A357&amp;'1. Status'!$E$10,'ID1&amp;5'!K:K))</f>
        <v>0</v>
      </c>
      <c r="F357" s="67">
        <f t="array" ref="F357">+MAX(IF('ID1&amp;5'!A:A='1. Status'!A357&amp;'1. Status'!$F$10,'ID1&amp;5'!K:K))</f>
        <v>0</v>
      </c>
      <c r="G357" s="60"/>
      <c r="H357" s="65" t="s">
        <v>128</v>
      </c>
      <c r="I357" s="21" t="s">
        <v>125</v>
      </c>
      <c r="J357" s="26">
        <f>+COUNTIF('ID1&amp;5'!G:G,'1. Status'!I357)</f>
        <v>0</v>
      </c>
      <c r="K357" s="83" t="str">
        <f>+IFERROR(VLOOKUP(CONCATENATE(A357,$B$10,B357),'ID1&amp;5'!B:J,8,FALSE),"-")</f>
        <v>-</v>
      </c>
      <c r="L357" s="82" t="str">
        <f>+IFERROR(VLOOKUP(B357,'ID1&amp;5'!K:L,2,FALSE),"-")</f>
        <v>-</v>
      </c>
      <c r="M357" s="83" t="str">
        <f>+IFERROR(VLOOKUP(CONCATENATE(A357,$B$10,B357),'ID1&amp;5'!B:J,9,FALSE),"-")</f>
        <v>-</v>
      </c>
      <c r="N357" s="83" t="str">
        <f>+IFERROR(VLOOKUP(CONCATENATE(A357,$C$10,C357),'ID1&amp;5'!B:J,8,FALSE),"-")</f>
        <v>-</v>
      </c>
      <c r="O357" s="82" t="str">
        <f>+IFERROR(VLOOKUP(C357,'ID1&amp;5'!K:L,2,FALSE),"-")</f>
        <v>-</v>
      </c>
      <c r="P357" s="83" t="str">
        <f>+IFERROR(VLOOKUP(CONCATENATE(A357,$C$10,C357),'ID1&amp;5'!B:J,9,FALSE),"-")</f>
        <v>-</v>
      </c>
      <c r="Q357" s="82" t="str">
        <f>+IFERROR(VLOOKUP(D357,'ID1&amp;5'!K:L,2,FALSE),"-")</f>
        <v>-</v>
      </c>
      <c r="R357" s="26" t="str">
        <f>+IFERROR(VLOOKUP(CONCATENATE(A357,$D$10,D357),'ID1&amp;5'!B:J,9,FALSE),"-")</f>
        <v>-</v>
      </c>
      <c r="S357" s="82" t="str">
        <f>+IFERROR(VLOOKUP(E357,'ID1&amp;5'!K:L,2,FALSE),"-")</f>
        <v>-</v>
      </c>
      <c r="T357" s="83" t="str">
        <f>+IFERROR(VLOOKUP(CONCATENATE(A357,$E$10,E357),'ID1&amp;5'!B:J,9,FALSE),"-")</f>
        <v>-</v>
      </c>
      <c r="U357" s="82" t="str">
        <f>+IFERROR(VLOOKUP(F357,'ID1&amp;5'!K:L,2,FALSE),"-")</f>
        <v>-</v>
      </c>
      <c r="V357" s="83" t="str">
        <f>+IFERROR(VLOOKUP(CONCATENATE(A357,$F$10,F357),'ID1&amp;5'!B:J,9,FALSE),"-")</f>
        <v>-</v>
      </c>
      <c r="W357" s="26" t="str">
        <f>+IFERROR(VLOOKUP(A357,'ID6&amp;7'!A:I,9,FALSE),"-")</f>
        <v>-</v>
      </c>
      <c r="X357" s="26" t="str">
        <f>+IFERROR(VLOOKUP(A357,'ID6&amp;7'!A:J,10,FALSE),"-")</f>
        <v>-</v>
      </c>
      <c r="Y357" s="26"/>
      <c r="Z357" s="27" t="str">
        <f t="shared" si="14"/>
        <v>Por iniciar</v>
      </c>
    </row>
    <row r="358" spans="1:26">
      <c r="A358" s="20" t="str">
        <f t="shared" si="13"/>
        <v>PROTECTIONPRTCTN_VL_NPE45596</v>
      </c>
      <c r="B358" s="66">
        <f t="array" ref="B358">+MAX(IF('ID1&amp;5'!A:A='1. Status'!A358&amp;'1. Status'!$B$10,'ID1&amp;5'!K:K))</f>
        <v>0</v>
      </c>
      <c r="C358" s="60">
        <f t="array" ref="C358">+MAX(IF('ID1&amp;5'!A:A='1. Status'!A358&amp;'1. Status'!$C$10,'ID1&amp;5'!K:K))</f>
        <v>0</v>
      </c>
      <c r="D358" s="60">
        <f t="array" ref="D358">+MAX(IF('ID1&amp;5'!A:A='1. Status'!A358&amp;'1. Status'!$D$10,'ID1&amp;5'!K:K))</f>
        <v>0</v>
      </c>
      <c r="E358" s="60">
        <f t="array" ref="E358">+MAX(IF('ID1&amp;5'!A:A='1. Status'!A358&amp;'1. Status'!$E$10,'ID1&amp;5'!K:K))</f>
        <v>0</v>
      </c>
      <c r="F358" s="67">
        <f t="array" ref="F358">+MAX(IF('ID1&amp;5'!A:A='1. Status'!A358&amp;'1. Status'!$F$10,'ID1&amp;5'!K:K))</f>
        <v>0</v>
      </c>
      <c r="G358" s="60"/>
      <c r="H358" s="65" t="s">
        <v>128</v>
      </c>
      <c r="I358" s="21" t="s">
        <v>624</v>
      </c>
      <c r="J358" s="26">
        <f>+COUNTIF('ID1&amp;5'!G:G,'1. Status'!I358)</f>
        <v>0</v>
      </c>
      <c r="K358" s="83" t="str">
        <f>+IFERROR(VLOOKUP(CONCATENATE(A358,$B$10,B358),'ID1&amp;5'!B:J,8,FALSE),"-")</f>
        <v>-</v>
      </c>
      <c r="L358" s="82" t="str">
        <f>+IFERROR(VLOOKUP(B358,'ID1&amp;5'!K:L,2,FALSE),"-")</f>
        <v>-</v>
      </c>
      <c r="M358" s="83" t="str">
        <f>+IFERROR(VLOOKUP(CONCATENATE(A358,$B$10,B358),'ID1&amp;5'!B:J,9,FALSE),"-")</f>
        <v>-</v>
      </c>
      <c r="N358" s="83" t="str">
        <f>+IFERROR(VLOOKUP(CONCATENATE(A358,$C$10,C358),'ID1&amp;5'!B:J,8,FALSE),"-")</f>
        <v>-</v>
      </c>
      <c r="O358" s="82" t="str">
        <f>+IFERROR(VLOOKUP(C358,'ID1&amp;5'!K:L,2,FALSE),"-")</f>
        <v>-</v>
      </c>
      <c r="P358" s="83" t="str">
        <f>+IFERROR(VLOOKUP(CONCATENATE(A358,$C$10,C358),'ID1&amp;5'!B:J,9,FALSE),"-")</f>
        <v>-</v>
      </c>
      <c r="Q358" s="82" t="str">
        <f>+IFERROR(VLOOKUP(D358,'ID1&amp;5'!K:L,2,FALSE),"-")</f>
        <v>-</v>
      </c>
      <c r="R358" s="26" t="str">
        <f>+IFERROR(VLOOKUP(CONCATENATE(A358,$D$10,D358),'ID1&amp;5'!B:J,9,FALSE),"-")</f>
        <v>-</v>
      </c>
      <c r="S358" s="82" t="str">
        <f>+IFERROR(VLOOKUP(E358,'ID1&amp;5'!K:L,2,FALSE),"-")</f>
        <v>-</v>
      </c>
      <c r="T358" s="83" t="str">
        <f>+IFERROR(VLOOKUP(CONCATENATE(A358,$E$10,E358),'ID1&amp;5'!B:J,9,FALSE),"-")</f>
        <v>-</v>
      </c>
      <c r="U358" s="82" t="str">
        <f>+IFERROR(VLOOKUP(F358,'ID1&amp;5'!K:L,2,FALSE),"-")</f>
        <v>-</v>
      </c>
      <c r="V358" s="83" t="str">
        <f>+IFERROR(VLOOKUP(CONCATENATE(A358,$F$10,F358),'ID1&amp;5'!B:J,9,FALSE),"-")</f>
        <v>-</v>
      </c>
      <c r="W358" s="26" t="str">
        <f>+IFERROR(VLOOKUP(A358,'ID6&amp;7'!A:I,9,FALSE),"-")</f>
        <v>-</v>
      </c>
      <c r="X358" s="26" t="str">
        <f>+IFERROR(VLOOKUP(A358,'ID6&amp;7'!A:J,10,FALSE),"-")</f>
        <v>-</v>
      </c>
      <c r="Y358" s="26"/>
      <c r="Z358" s="27" t="str">
        <f t="shared" si="14"/>
        <v>Por iniciar</v>
      </c>
    </row>
    <row r="359" spans="1:26">
      <c r="A359" s="20" t="str">
        <f t="shared" si="13"/>
        <v>PROTECTIONPRTCTN_VLTN_APPRCH45596</v>
      </c>
      <c r="B359" s="66">
        <f t="array" ref="B359">+MAX(IF('ID1&amp;5'!A:A='1. Status'!A359&amp;'1. Status'!$B$10,'ID1&amp;5'!K:K))</f>
        <v>0</v>
      </c>
      <c r="C359" s="60">
        <f t="array" ref="C359">+MAX(IF('ID1&amp;5'!A:A='1. Status'!A359&amp;'1. Status'!$C$10,'ID1&amp;5'!K:K))</f>
        <v>0</v>
      </c>
      <c r="D359" s="60">
        <f t="array" ref="D359">+MAX(IF('ID1&amp;5'!A:A='1. Status'!A359&amp;'1. Status'!$D$10,'ID1&amp;5'!K:K))</f>
        <v>0</v>
      </c>
      <c r="E359" s="60">
        <f t="array" ref="E359">+MAX(IF('ID1&amp;5'!A:A='1. Status'!A359&amp;'1. Status'!$E$10,'ID1&amp;5'!K:K))</f>
        <v>0</v>
      </c>
      <c r="F359" s="67">
        <f t="array" ref="F359">+MAX(IF('ID1&amp;5'!A:A='1. Status'!A359&amp;'1. Status'!$F$10,'ID1&amp;5'!K:K))</f>
        <v>0</v>
      </c>
      <c r="G359" s="60"/>
      <c r="H359" s="65" t="s">
        <v>128</v>
      </c>
      <c r="I359" s="21" t="s">
        <v>625</v>
      </c>
      <c r="J359" s="26">
        <f>+COUNTIF('ID1&amp;5'!G:G,'1. Status'!I359)</f>
        <v>0</v>
      </c>
      <c r="K359" s="83" t="str">
        <f>+IFERROR(VLOOKUP(CONCATENATE(A359,$B$10,B359),'ID1&amp;5'!B:J,8,FALSE),"-")</f>
        <v>-</v>
      </c>
      <c r="L359" s="82" t="str">
        <f>+IFERROR(VLOOKUP(B359,'ID1&amp;5'!K:L,2,FALSE),"-")</f>
        <v>-</v>
      </c>
      <c r="M359" s="83" t="str">
        <f>+IFERROR(VLOOKUP(CONCATENATE(A359,$B$10,B359),'ID1&amp;5'!B:J,9,FALSE),"-")</f>
        <v>-</v>
      </c>
      <c r="N359" s="83" t="str">
        <f>+IFERROR(VLOOKUP(CONCATENATE(A359,$C$10,C359),'ID1&amp;5'!B:J,8,FALSE),"-")</f>
        <v>-</v>
      </c>
      <c r="O359" s="82" t="str">
        <f>+IFERROR(VLOOKUP(C359,'ID1&amp;5'!K:L,2,FALSE),"-")</f>
        <v>-</v>
      </c>
      <c r="P359" s="83" t="str">
        <f>+IFERROR(VLOOKUP(CONCATENATE(A359,$C$10,C359),'ID1&amp;5'!B:J,9,FALSE),"-")</f>
        <v>-</v>
      </c>
      <c r="Q359" s="82" t="str">
        <f>+IFERROR(VLOOKUP(D359,'ID1&amp;5'!K:L,2,FALSE),"-")</f>
        <v>-</v>
      </c>
      <c r="R359" s="26" t="str">
        <f>+IFERROR(VLOOKUP(CONCATENATE(A359,$D$10,D359),'ID1&amp;5'!B:J,9,FALSE),"-")</f>
        <v>-</v>
      </c>
      <c r="S359" s="82" t="str">
        <f>+IFERROR(VLOOKUP(E359,'ID1&amp;5'!K:L,2,FALSE),"-")</f>
        <v>-</v>
      </c>
      <c r="T359" s="83" t="str">
        <f>+IFERROR(VLOOKUP(CONCATENATE(A359,$E$10,E359),'ID1&amp;5'!B:J,9,FALSE),"-")</f>
        <v>-</v>
      </c>
      <c r="U359" s="82" t="str">
        <f>+IFERROR(VLOOKUP(F359,'ID1&amp;5'!K:L,2,FALSE),"-")</f>
        <v>-</v>
      </c>
      <c r="V359" s="83" t="str">
        <f>+IFERROR(VLOOKUP(CONCATENATE(A359,$F$10,F359),'ID1&amp;5'!B:J,9,FALSE),"-")</f>
        <v>-</v>
      </c>
      <c r="W359" s="26" t="str">
        <f>+IFERROR(VLOOKUP(A359,'ID6&amp;7'!A:I,9,FALSE),"-")</f>
        <v>-</v>
      </c>
      <c r="X359" s="26" t="str">
        <f>+IFERROR(VLOOKUP(A359,'ID6&amp;7'!A:J,10,FALSE),"-")</f>
        <v>-</v>
      </c>
      <c r="Y359" s="26"/>
      <c r="Z359" s="27" t="str">
        <f t="shared" si="14"/>
        <v>Por iniciar</v>
      </c>
    </row>
    <row r="360" spans="1:26">
      <c r="A360" s="20" t="str">
        <f t="shared" si="13"/>
        <v>PROTECTIONDT_APPRSL_PRVS45596</v>
      </c>
      <c r="B360" s="66">
        <f t="array" ref="B360">+MAX(IF('ID1&amp;5'!A:A='1. Status'!A360&amp;'1. Status'!$B$10,'ID1&amp;5'!K:K))</f>
        <v>0</v>
      </c>
      <c r="C360" s="60">
        <f t="array" ref="C360">+MAX(IF('ID1&amp;5'!A:A='1. Status'!A360&amp;'1. Status'!$C$10,'ID1&amp;5'!K:K))</f>
        <v>0</v>
      </c>
      <c r="D360" s="60">
        <f t="array" ref="D360">+MAX(IF('ID1&amp;5'!A:A='1. Status'!A360&amp;'1. Status'!$D$10,'ID1&amp;5'!K:K))</f>
        <v>0</v>
      </c>
      <c r="E360" s="60">
        <f t="array" ref="E360">+MAX(IF('ID1&amp;5'!A:A='1. Status'!A360&amp;'1. Status'!$E$10,'ID1&amp;5'!K:K))</f>
        <v>0</v>
      </c>
      <c r="F360" s="67">
        <f t="array" ref="F360">+MAX(IF('ID1&amp;5'!A:A='1. Status'!A360&amp;'1. Status'!$F$10,'ID1&amp;5'!K:K))</f>
        <v>0</v>
      </c>
      <c r="G360" s="60"/>
      <c r="H360" s="65" t="s">
        <v>128</v>
      </c>
      <c r="I360" s="21" t="s">
        <v>626</v>
      </c>
      <c r="J360" s="26">
        <f>+COUNTIF('ID1&amp;5'!G:G,'1. Status'!I360)</f>
        <v>0</v>
      </c>
      <c r="K360" s="83" t="str">
        <f>+IFERROR(VLOOKUP(CONCATENATE(A360,$B$10,B360),'ID1&amp;5'!B:J,8,FALSE),"-")</f>
        <v>-</v>
      </c>
      <c r="L360" s="82" t="str">
        <f>+IFERROR(VLOOKUP(B360,'ID1&amp;5'!K:L,2,FALSE),"-")</f>
        <v>-</v>
      </c>
      <c r="M360" s="83" t="str">
        <f>+IFERROR(VLOOKUP(CONCATENATE(A360,$B$10,B360),'ID1&amp;5'!B:J,9,FALSE),"-")</f>
        <v>-</v>
      </c>
      <c r="N360" s="83" t="str">
        <f>+IFERROR(VLOOKUP(CONCATENATE(A360,$C$10,C360),'ID1&amp;5'!B:J,8,FALSE),"-")</f>
        <v>-</v>
      </c>
      <c r="O360" s="82" t="str">
        <f>+IFERROR(VLOOKUP(C360,'ID1&amp;5'!K:L,2,FALSE),"-")</f>
        <v>-</v>
      </c>
      <c r="P360" s="83" t="str">
        <f>+IFERROR(VLOOKUP(CONCATENATE(A360,$C$10,C360),'ID1&amp;5'!B:J,9,FALSE),"-")</f>
        <v>-</v>
      </c>
      <c r="Q360" s="82" t="str">
        <f>+IFERROR(VLOOKUP(D360,'ID1&amp;5'!K:L,2,FALSE),"-")</f>
        <v>-</v>
      </c>
      <c r="R360" s="26" t="str">
        <f>+IFERROR(VLOOKUP(CONCATENATE(A360,$D$10,D360),'ID1&amp;5'!B:J,9,FALSE),"-")</f>
        <v>-</v>
      </c>
      <c r="S360" s="82" t="str">
        <f>+IFERROR(VLOOKUP(E360,'ID1&amp;5'!K:L,2,FALSE),"-")</f>
        <v>-</v>
      </c>
      <c r="T360" s="83" t="str">
        <f>+IFERROR(VLOOKUP(CONCATENATE(A360,$E$10,E360),'ID1&amp;5'!B:J,9,FALSE),"-")</f>
        <v>-</v>
      </c>
      <c r="U360" s="82" t="str">
        <f>+IFERROR(VLOOKUP(F360,'ID1&amp;5'!K:L,2,FALSE),"-")</f>
        <v>-</v>
      </c>
      <c r="V360" s="83" t="str">
        <f>+IFERROR(VLOOKUP(CONCATENATE(A360,$F$10,F360),'ID1&amp;5'!B:J,9,FALSE),"-")</f>
        <v>-</v>
      </c>
      <c r="W360" s="26" t="str">
        <f>+IFERROR(VLOOKUP(A360,'ID6&amp;7'!A:I,9,FALSE),"-")</f>
        <v>-</v>
      </c>
      <c r="X360" s="26" t="str">
        <f>+IFERROR(VLOOKUP(A360,'ID6&amp;7'!A:J,10,FALSE),"-")</f>
        <v>-</v>
      </c>
      <c r="Y360" s="26"/>
      <c r="Z360" s="27" t="str">
        <f t="shared" si="14"/>
        <v>Por iniciar</v>
      </c>
    </row>
    <row r="361" spans="1:26">
      <c r="A361" s="20" t="str">
        <f t="shared" si="13"/>
        <v>PROTECTIONPRTCTN_VL_PRVS45596</v>
      </c>
      <c r="B361" s="66">
        <f t="array" ref="B361">+MAX(IF('ID1&amp;5'!A:A='1. Status'!A361&amp;'1. Status'!$B$10,'ID1&amp;5'!K:K))</f>
        <v>0</v>
      </c>
      <c r="C361" s="60">
        <f t="array" ref="C361">+MAX(IF('ID1&amp;5'!A:A='1. Status'!A361&amp;'1. Status'!$C$10,'ID1&amp;5'!K:K))</f>
        <v>0</v>
      </c>
      <c r="D361" s="60">
        <f t="array" ref="D361">+MAX(IF('ID1&amp;5'!A:A='1. Status'!A361&amp;'1. Status'!$D$10,'ID1&amp;5'!K:K))</f>
        <v>0</v>
      </c>
      <c r="E361" s="60">
        <f t="array" ref="E361">+MAX(IF('ID1&amp;5'!A:A='1. Status'!A361&amp;'1. Status'!$E$10,'ID1&amp;5'!K:K))</f>
        <v>0</v>
      </c>
      <c r="F361" s="67">
        <f t="array" ref="F361">+MAX(IF('ID1&amp;5'!A:A='1. Status'!A361&amp;'1. Status'!$F$10,'ID1&amp;5'!K:K))</f>
        <v>0</v>
      </c>
      <c r="G361" s="60"/>
      <c r="H361" s="65" t="s">
        <v>128</v>
      </c>
      <c r="I361" s="21" t="s">
        <v>627</v>
      </c>
      <c r="J361" s="26">
        <f>+COUNTIF('ID1&amp;5'!G:G,'1. Status'!I361)</f>
        <v>0</v>
      </c>
      <c r="K361" s="83" t="str">
        <f>+IFERROR(VLOOKUP(CONCATENATE(A361,$B$10,B361),'ID1&amp;5'!B:J,8,FALSE),"-")</f>
        <v>-</v>
      </c>
      <c r="L361" s="82" t="str">
        <f>+IFERROR(VLOOKUP(B361,'ID1&amp;5'!K:L,2,FALSE),"-")</f>
        <v>-</v>
      </c>
      <c r="M361" s="83" t="str">
        <f>+IFERROR(VLOOKUP(CONCATENATE(A361,$B$10,B361),'ID1&amp;5'!B:J,9,FALSE),"-")</f>
        <v>-</v>
      </c>
      <c r="N361" s="83" t="str">
        <f>+IFERROR(VLOOKUP(CONCATENATE(A361,$C$10,C361),'ID1&amp;5'!B:J,8,FALSE),"-")</f>
        <v>-</v>
      </c>
      <c r="O361" s="82" t="str">
        <f>+IFERROR(VLOOKUP(C361,'ID1&amp;5'!K:L,2,FALSE),"-")</f>
        <v>-</v>
      </c>
      <c r="P361" s="83" t="str">
        <f>+IFERROR(VLOOKUP(CONCATENATE(A361,$C$10,C361),'ID1&amp;5'!B:J,9,FALSE),"-")</f>
        <v>-</v>
      </c>
      <c r="Q361" s="82" t="str">
        <f>+IFERROR(VLOOKUP(D361,'ID1&amp;5'!K:L,2,FALSE),"-")</f>
        <v>-</v>
      </c>
      <c r="R361" s="26" t="str">
        <f>+IFERROR(VLOOKUP(CONCATENATE(A361,$D$10,D361),'ID1&amp;5'!B:J,9,FALSE),"-")</f>
        <v>-</v>
      </c>
      <c r="S361" s="82" t="str">
        <f>+IFERROR(VLOOKUP(E361,'ID1&amp;5'!K:L,2,FALSE),"-")</f>
        <v>-</v>
      </c>
      <c r="T361" s="83" t="str">
        <f>+IFERROR(VLOOKUP(CONCATENATE(A361,$E$10,E361),'ID1&amp;5'!B:J,9,FALSE),"-")</f>
        <v>-</v>
      </c>
      <c r="U361" s="82" t="str">
        <f>+IFERROR(VLOOKUP(F361,'ID1&amp;5'!K:L,2,FALSE),"-")</f>
        <v>-</v>
      </c>
      <c r="V361" s="83" t="str">
        <f>+IFERROR(VLOOKUP(CONCATENATE(A361,$F$10,F361),'ID1&amp;5'!B:J,9,FALSE),"-")</f>
        <v>-</v>
      </c>
      <c r="W361" s="26" t="str">
        <f>+IFERROR(VLOOKUP(A361,'ID6&amp;7'!A:I,9,FALSE),"-")</f>
        <v>-</v>
      </c>
      <c r="X361" s="26" t="str">
        <f>+IFERROR(VLOOKUP(A361,'ID6&amp;7'!A:J,10,FALSE),"-")</f>
        <v>-</v>
      </c>
      <c r="Y361" s="26"/>
      <c r="Z361" s="27" t="str">
        <f t="shared" si="14"/>
        <v>Por iniciar</v>
      </c>
    </row>
    <row r="362" spans="1:26">
      <c r="A362" s="20" t="str">
        <f t="shared" si="13"/>
        <v>PROTECTIONCNSTRCTN_STTS45596</v>
      </c>
      <c r="B362" s="66">
        <f t="array" ref="B362">+MAX(IF('ID1&amp;5'!A:A='1. Status'!A362&amp;'1. Status'!$B$10,'ID1&amp;5'!K:K))</f>
        <v>0</v>
      </c>
      <c r="C362" s="60">
        <f t="array" ref="C362">+MAX(IF('ID1&amp;5'!A:A='1. Status'!A362&amp;'1. Status'!$C$10,'ID1&amp;5'!K:K))</f>
        <v>0</v>
      </c>
      <c r="D362" s="60">
        <f t="array" ref="D362">+MAX(IF('ID1&amp;5'!A:A='1. Status'!A362&amp;'1. Status'!$D$10,'ID1&amp;5'!K:K))</f>
        <v>0</v>
      </c>
      <c r="E362" s="60">
        <f t="array" ref="E362">+MAX(IF('ID1&amp;5'!A:A='1. Status'!A362&amp;'1. Status'!$E$10,'ID1&amp;5'!K:K))</f>
        <v>0</v>
      </c>
      <c r="F362" s="67">
        <f t="array" ref="F362">+MAX(IF('ID1&amp;5'!A:A='1. Status'!A362&amp;'1. Status'!$F$10,'ID1&amp;5'!K:K))</f>
        <v>0</v>
      </c>
      <c r="G362" s="60"/>
      <c r="H362" s="65" t="s">
        <v>128</v>
      </c>
      <c r="I362" s="21" t="s">
        <v>628</v>
      </c>
      <c r="J362" s="26">
        <f>+COUNTIF('ID1&amp;5'!G:G,'1. Status'!I362)</f>
        <v>0</v>
      </c>
      <c r="K362" s="83" t="str">
        <f>+IFERROR(VLOOKUP(CONCATENATE(A362,$B$10,B362),'ID1&amp;5'!B:J,8,FALSE),"-")</f>
        <v>-</v>
      </c>
      <c r="L362" s="82" t="str">
        <f>+IFERROR(VLOOKUP(B362,'ID1&amp;5'!K:L,2,FALSE),"-")</f>
        <v>-</v>
      </c>
      <c r="M362" s="83" t="str">
        <f>+IFERROR(VLOOKUP(CONCATENATE(A362,$B$10,B362),'ID1&amp;5'!B:J,9,FALSE),"-")</f>
        <v>-</v>
      </c>
      <c r="N362" s="83" t="str">
        <f>+IFERROR(VLOOKUP(CONCATENATE(A362,$C$10,C362),'ID1&amp;5'!B:J,8,FALSE),"-")</f>
        <v>-</v>
      </c>
      <c r="O362" s="82" t="str">
        <f>+IFERROR(VLOOKUP(C362,'ID1&amp;5'!K:L,2,FALSE),"-")</f>
        <v>-</v>
      </c>
      <c r="P362" s="83" t="str">
        <f>+IFERROR(VLOOKUP(CONCATENATE(A362,$C$10,C362),'ID1&amp;5'!B:J,9,FALSE),"-")</f>
        <v>-</v>
      </c>
      <c r="Q362" s="82" t="str">
        <f>+IFERROR(VLOOKUP(D362,'ID1&amp;5'!K:L,2,FALSE),"-")</f>
        <v>-</v>
      </c>
      <c r="R362" s="26" t="str">
        <f>+IFERROR(VLOOKUP(CONCATENATE(A362,$D$10,D362),'ID1&amp;5'!B:J,9,FALSE),"-")</f>
        <v>-</v>
      </c>
      <c r="S362" s="82" t="str">
        <f>+IFERROR(VLOOKUP(E362,'ID1&amp;5'!K:L,2,FALSE),"-")</f>
        <v>-</v>
      </c>
      <c r="T362" s="83" t="str">
        <f>+IFERROR(VLOOKUP(CONCATENATE(A362,$E$10,E362),'ID1&amp;5'!B:J,9,FALSE),"-")</f>
        <v>-</v>
      </c>
      <c r="U362" s="82" t="str">
        <f>+IFERROR(VLOOKUP(F362,'ID1&amp;5'!K:L,2,FALSE),"-")</f>
        <v>-</v>
      </c>
      <c r="V362" s="83" t="str">
        <f>+IFERROR(VLOOKUP(CONCATENATE(A362,$F$10,F362),'ID1&amp;5'!B:J,9,FALSE),"-")</f>
        <v>-</v>
      </c>
      <c r="W362" s="26" t="str">
        <f>+IFERROR(VLOOKUP(A362,'ID6&amp;7'!A:I,9,FALSE),"-")</f>
        <v>-</v>
      </c>
      <c r="X362" s="26" t="str">
        <f>+IFERROR(VLOOKUP(A362,'ID6&amp;7'!A:J,10,FALSE),"-")</f>
        <v>-</v>
      </c>
      <c r="Y362" s="26"/>
      <c r="Z362" s="27" t="str">
        <f t="shared" si="14"/>
        <v>Por iniciar</v>
      </c>
    </row>
    <row r="363" spans="1:26">
      <c r="A363" s="20" t="str">
        <f t="shared" si="13"/>
        <v>PROTECTIONDT_CNSTRCTN_STTS45596</v>
      </c>
      <c r="B363" s="66">
        <f t="array" ref="B363">+MAX(IF('ID1&amp;5'!A:A='1. Status'!A363&amp;'1. Status'!$B$10,'ID1&amp;5'!K:K))</f>
        <v>0</v>
      </c>
      <c r="C363" s="60">
        <f t="array" ref="C363">+MAX(IF('ID1&amp;5'!A:A='1. Status'!A363&amp;'1. Status'!$C$10,'ID1&amp;5'!K:K))</f>
        <v>0</v>
      </c>
      <c r="D363" s="60">
        <f t="array" ref="D363">+MAX(IF('ID1&amp;5'!A:A='1. Status'!A363&amp;'1. Status'!$D$10,'ID1&amp;5'!K:K))</f>
        <v>0</v>
      </c>
      <c r="E363" s="60">
        <f t="array" ref="E363">+MAX(IF('ID1&amp;5'!A:A='1. Status'!A363&amp;'1. Status'!$E$10,'ID1&amp;5'!K:K))</f>
        <v>0</v>
      </c>
      <c r="F363" s="67">
        <f t="array" ref="F363">+MAX(IF('ID1&amp;5'!A:A='1. Status'!A363&amp;'1. Status'!$F$10,'ID1&amp;5'!K:K))</f>
        <v>0</v>
      </c>
      <c r="G363" s="60"/>
      <c r="H363" s="65" t="s">
        <v>128</v>
      </c>
      <c r="I363" s="21" t="s">
        <v>629</v>
      </c>
      <c r="J363" s="26">
        <f>+COUNTIF('ID1&amp;5'!G:G,'1. Status'!I363)</f>
        <v>0</v>
      </c>
      <c r="K363" s="83" t="str">
        <f>+IFERROR(VLOOKUP(CONCATENATE(A363,$B$10,B363),'ID1&amp;5'!B:J,8,FALSE),"-")</f>
        <v>-</v>
      </c>
      <c r="L363" s="82" t="str">
        <f>+IFERROR(VLOOKUP(B363,'ID1&amp;5'!K:L,2,FALSE),"-")</f>
        <v>-</v>
      </c>
      <c r="M363" s="83" t="str">
        <f>+IFERROR(VLOOKUP(CONCATENATE(A363,$B$10,B363),'ID1&amp;5'!B:J,9,FALSE),"-")</f>
        <v>-</v>
      </c>
      <c r="N363" s="83" t="str">
        <f>+IFERROR(VLOOKUP(CONCATENATE(A363,$C$10,C363),'ID1&amp;5'!B:J,8,FALSE),"-")</f>
        <v>-</v>
      </c>
      <c r="O363" s="82" t="str">
        <f>+IFERROR(VLOOKUP(C363,'ID1&amp;5'!K:L,2,FALSE),"-")</f>
        <v>-</v>
      </c>
      <c r="P363" s="83" t="str">
        <f>+IFERROR(VLOOKUP(CONCATENATE(A363,$C$10,C363),'ID1&amp;5'!B:J,9,FALSE),"-")</f>
        <v>-</v>
      </c>
      <c r="Q363" s="82" t="str">
        <f>+IFERROR(VLOOKUP(D363,'ID1&amp;5'!K:L,2,FALSE),"-")</f>
        <v>-</v>
      </c>
      <c r="R363" s="26" t="str">
        <f>+IFERROR(VLOOKUP(CONCATENATE(A363,$D$10,D363),'ID1&amp;5'!B:J,9,FALSE),"-")</f>
        <v>-</v>
      </c>
      <c r="S363" s="82" t="str">
        <f>+IFERROR(VLOOKUP(E363,'ID1&amp;5'!K:L,2,FALSE),"-")</f>
        <v>-</v>
      </c>
      <c r="T363" s="83" t="str">
        <f>+IFERROR(VLOOKUP(CONCATENATE(A363,$E$10,E363),'ID1&amp;5'!B:J,9,FALSE),"-")</f>
        <v>-</v>
      </c>
      <c r="U363" s="82" t="str">
        <f>+IFERROR(VLOOKUP(F363,'ID1&amp;5'!K:L,2,FALSE),"-")</f>
        <v>-</v>
      </c>
      <c r="V363" s="83" t="str">
        <f>+IFERROR(VLOOKUP(CONCATENATE(A363,$F$10,F363),'ID1&amp;5'!B:J,9,FALSE),"-")</f>
        <v>-</v>
      </c>
      <c r="W363" s="26" t="str">
        <f>+IFERROR(VLOOKUP(A363,'ID6&amp;7'!A:I,9,FALSE),"-")</f>
        <v>-</v>
      </c>
      <c r="X363" s="26" t="str">
        <f>+IFERROR(VLOOKUP(A363,'ID6&amp;7'!A:J,10,FALSE),"-")</f>
        <v>-</v>
      </c>
      <c r="Y363" s="26"/>
      <c r="Z363" s="27" t="str">
        <f t="shared" si="14"/>
        <v>Por iniciar</v>
      </c>
    </row>
    <row r="364" spans="1:26">
      <c r="A364" s="20" t="str">
        <f t="shared" si="13"/>
        <v>PROTECTIONDT_FRST_USG45596</v>
      </c>
      <c r="B364" s="66">
        <f t="array" ref="B364">+MAX(IF('ID1&amp;5'!A:A='1. Status'!A364&amp;'1. Status'!$B$10,'ID1&amp;5'!K:K))</f>
        <v>0</v>
      </c>
      <c r="C364" s="60">
        <f t="array" ref="C364">+MAX(IF('ID1&amp;5'!A:A='1. Status'!A364&amp;'1. Status'!$C$10,'ID1&amp;5'!K:K))</f>
        <v>0</v>
      </c>
      <c r="D364" s="60">
        <f t="array" ref="D364">+MAX(IF('ID1&amp;5'!A:A='1. Status'!A364&amp;'1. Status'!$D$10,'ID1&amp;5'!K:K))</f>
        <v>0</v>
      </c>
      <c r="E364" s="60">
        <f t="array" ref="E364">+MAX(IF('ID1&amp;5'!A:A='1. Status'!A364&amp;'1. Status'!$E$10,'ID1&amp;5'!K:K))</f>
        <v>0</v>
      </c>
      <c r="F364" s="67">
        <f t="array" ref="F364">+MAX(IF('ID1&amp;5'!A:A='1. Status'!A364&amp;'1. Status'!$F$10,'ID1&amp;5'!K:K))</f>
        <v>0</v>
      </c>
      <c r="G364" s="60"/>
      <c r="H364" s="65" t="s">
        <v>128</v>
      </c>
      <c r="I364" s="21" t="s">
        <v>630</v>
      </c>
      <c r="J364" s="26">
        <f>+COUNTIF('ID1&amp;5'!G:G,'1. Status'!I364)</f>
        <v>0</v>
      </c>
      <c r="K364" s="83" t="str">
        <f>+IFERROR(VLOOKUP(CONCATENATE(A364,$B$10,B364),'ID1&amp;5'!B:J,8,FALSE),"-")</f>
        <v>-</v>
      </c>
      <c r="L364" s="82" t="str">
        <f>+IFERROR(VLOOKUP(B364,'ID1&amp;5'!K:L,2,FALSE),"-")</f>
        <v>-</v>
      </c>
      <c r="M364" s="83" t="str">
        <f>+IFERROR(VLOOKUP(CONCATENATE(A364,$B$10,B364),'ID1&amp;5'!B:J,9,FALSE),"-")</f>
        <v>-</v>
      </c>
      <c r="N364" s="83" t="str">
        <f>+IFERROR(VLOOKUP(CONCATENATE(A364,$C$10,C364),'ID1&amp;5'!B:J,8,FALSE),"-")</f>
        <v>-</v>
      </c>
      <c r="O364" s="82" t="str">
        <f>+IFERROR(VLOOKUP(C364,'ID1&amp;5'!K:L,2,FALSE),"-")</f>
        <v>-</v>
      </c>
      <c r="P364" s="83" t="str">
        <f>+IFERROR(VLOOKUP(CONCATENATE(A364,$C$10,C364),'ID1&amp;5'!B:J,9,FALSE),"-")</f>
        <v>-</v>
      </c>
      <c r="Q364" s="82" t="str">
        <f>+IFERROR(VLOOKUP(D364,'ID1&amp;5'!K:L,2,FALSE),"-")</f>
        <v>-</v>
      </c>
      <c r="R364" s="26" t="str">
        <f>+IFERROR(VLOOKUP(CONCATENATE(A364,$D$10,D364),'ID1&amp;5'!B:J,9,FALSE),"-")</f>
        <v>-</v>
      </c>
      <c r="S364" s="82" t="str">
        <f>+IFERROR(VLOOKUP(E364,'ID1&amp;5'!K:L,2,FALSE),"-")</f>
        <v>-</v>
      </c>
      <c r="T364" s="83" t="str">
        <f>+IFERROR(VLOOKUP(CONCATENATE(A364,$E$10,E364),'ID1&amp;5'!B:J,9,FALSE),"-")</f>
        <v>-</v>
      </c>
      <c r="U364" s="82" t="str">
        <f>+IFERROR(VLOOKUP(F364,'ID1&amp;5'!K:L,2,FALSE),"-")</f>
        <v>-</v>
      </c>
      <c r="V364" s="83" t="str">
        <f>+IFERROR(VLOOKUP(CONCATENATE(A364,$F$10,F364),'ID1&amp;5'!B:J,9,FALSE),"-")</f>
        <v>-</v>
      </c>
      <c r="W364" s="26" t="str">
        <f>+IFERROR(VLOOKUP(A364,'ID6&amp;7'!A:I,9,FALSE),"-")</f>
        <v>-</v>
      </c>
      <c r="X364" s="26" t="str">
        <f>+IFERROR(VLOOKUP(A364,'ID6&amp;7'!A:J,10,FALSE),"-")</f>
        <v>-</v>
      </c>
      <c r="Y364" s="26"/>
      <c r="Z364" s="27" t="str">
        <f t="shared" si="14"/>
        <v>Por iniciar</v>
      </c>
    </row>
    <row r="365" spans="1:26">
      <c r="A365" s="20" t="str">
        <f t="shared" si="13"/>
        <v>PROTECTIONDVLPMNT_STTS45596</v>
      </c>
      <c r="B365" s="66">
        <f t="array" ref="B365">+MAX(IF('ID1&amp;5'!A:A='1. Status'!A365&amp;'1. Status'!$B$10,'ID1&amp;5'!K:K))</f>
        <v>0</v>
      </c>
      <c r="C365" s="60">
        <f t="array" ref="C365">+MAX(IF('ID1&amp;5'!A:A='1. Status'!A365&amp;'1. Status'!$C$10,'ID1&amp;5'!K:K))</f>
        <v>0</v>
      </c>
      <c r="D365" s="60">
        <f t="array" ref="D365">+MAX(IF('ID1&amp;5'!A:A='1. Status'!A365&amp;'1. Status'!$D$10,'ID1&amp;5'!K:K))</f>
        <v>0</v>
      </c>
      <c r="E365" s="60">
        <f t="array" ref="E365">+MAX(IF('ID1&amp;5'!A:A='1. Status'!A365&amp;'1. Status'!$E$10,'ID1&amp;5'!K:K))</f>
        <v>0</v>
      </c>
      <c r="F365" s="67">
        <f t="array" ref="F365">+MAX(IF('ID1&amp;5'!A:A='1. Status'!A365&amp;'1. Status'!$F$10,'ID1&amp;5'!K:K))</f>
        <v>0</v>
      </c>
      <c r="G365" s="60"/>
      <c r="H365" s="65" t="s">
        <v>128</v>
      </c>
      <c r="I365" s="21" t="s">
        <v>631</v>
      </c>
      <c r="J365" s="26">
        <f>+COUNTIF('ID1&amp;5'!G:G,'1. Status'!I365)</f>
        <v>0</v>
      </c>
      <c r="K365" s="83" t="str">
        <f>+IFERROR(VLOOKUP(CONCATENATE(A365,$B$10,B365),'ID1&amp;5'!B:J,8,FALSE),"-")</f>
        <v>-</v>
      </c>
      <c r="L365" s="82" t="str">
        <f>+IFERROR(VLOOKUP(B365,'ID1&amp;5'!K:L,2,FALSE),"-")</f>
        <v>-</v>
      </c>
      <c r="M365" s="83" t="str">
        <f>+IFERROR(VLOOKUP(CONCATENATE(A365,$B$10,B365),'ID1&amp;5'!B:J,9,FALSE),"-")</f>
        <v>-</v>
      </c>
      <c r="N365" s="83" t="str">
        <f>+IFERROR(VLOOKUP(CONCATENATE(A365,$C$10,C365),'ID1&amp;5'!B:J,8,FALSE),"-")</f>
        <v>-</v>
      </c>
      <c r="O365" s="82" t="str">
        <f>+IFERROR(VLOOKUP(C365,'ID1&amp;5'!K:L,2,FALSE),"-")</f>
        <v>-</v>
      </c>
      <c r="P365" s="83" t="str">
        <f>+IFERROR(VLOOKUP(CONCATENATE(A365,$C$10,C365),'ID1&amp;5'!B:J,9,FALSE),"-")</f>
        <v>-</v>
      </c>
      <c r="Q365" s="82" t="str">
        <f>+IFERROR(VLOOKUP(D365,'ID1&amp;5'!K:L,2,FALSE),"-")</f>
        <v>-</v>
      </c>
      <c r="R365" s="26" t="str">
        <f>+IFERROR(VLOOKUP(CONCATENATE(A365,$D$10,D365),'ID1&amp;5'!B:J,9,FALSE),"-")</f>
        <v>-</v>
      </c>
      <c r="S365" s="82" t="str">
        <f>+IFERROR(VLOOKUP(E365,'ID1&amp;5'!K:L,2,FALSE),"-")</f>
        <v>-</v>
      </c>
      <c r="T365" s="83" t="str">
        <f>+IFERROR(VLOOKUP(CONCATENATE(A365,$E$10,E365),'ID1&amp;5'!B:J,9,FALSE),"-")</f>
        <v>-</v>
      </c>
      <c r="U365" s="82" t="str">
        <f>+IFERROR(VLOOKUP(F365,'ID1&amp;5'!K:L,2,FALSE),"-")</f>
        <v>-</v>
      </c>
      <c r="V365" s="83" t="str">
        <f>+IFERROR(VLOOKUP(CONCATENATE(A365,$F$10,F365),'ID1&amp;5'!B:J,9,FALSE),"-")</f>
        <v>-</v>
      </c>
      <c r="W365" s="26" t="str">
        <f>+IFERROR(VLOOKUP(A365,'ID6&amp;7'!A:I,9,FALSE),"-")</f>
        <v>-</v>
      </c>
      <c r="X365" s="26" t="str">
        <f>+IFERROR(VLOOKUP(A365,'ID6&amp;7'!A:J,10,FALSE),"-")</f>
        <v>-</v>
      </c>
      <c r="Y365" s="26"/>
      <c r="Z365" s="27" t="str">
        <f t="shared" si="14"/>
        <v>Por iniciar</v>
      </c>
    </row>
    <row r="366" spans="1:26">
      <c r="A366" s="20" t="str">
        <f t="shared" si="13"/>
        <v>PROTECTIONMN_PRPS45596</v>
      </c>
      <c r="B366" s="66">
        <f t="array" ref="B366">+MAX(IF('ID1&amp;5'!A:A='1. Status'!A366&amp;'1. Status'!$B$10,'ID1&amp;5'!K:K))</f>
        <v>0</v>
      </c>
      <c r="C366" s="60">
        <f t="array" ref="C366">+MAX(IF('ID1&amp;5'!A:A='1. Status'!A366&amp;'1. Status'!$C$10,'ID1&amp;5'!K:K))</f>
        <v>0</v>
      </c>
      <c r="D366" s="60">
        <f t="array" ref="D366">+MAX(IF('ID1&amp;5'!A:A='1. Status'!A366&amp;'1. Status'!$D$10,'ID1&amp;5'!K:K))</f>
        <v>0</v>
      </c>
      <c r="E366" s="60">
        <f t="array" ref="E366">+MAX(IF('ID1&amp;5'!A:A='1. Status'!A366&amp;'1. Status'!$E$10,'ID1&amp;5'!K:K))</f>
        <v>0</v>
      </c>
      <c r="F366" s="67">
        <f t="array" ref="F366">+MAX(IF('ID1&amp;5'!A:A='1. Status'!A366&amp;'1. Status'!$F$10,'ID1&amp;5'!K:K))</f>
        <v>0</v>
      </c>
      <c r="G366" s="60"/>
      <c r="H366" s="65" t="s">
        <v>128</v>
      </c>
      <c r="I366" s="21" t="s">
        <v>632</v>
      </c>
      <c r="J366" s="26">
        <f>+COUNTIF('ID1&amp;5'!G:G,'1. Status'!I366)</f>
        <v>0</v>
      </c>
      <c r="K366" s="83" t="str">
        <f>+IFERROR(VLOOKUP(CONCATENATE(A366,$B$10,B366),'ID1&amp;5'!B:J,8,FALSE),"-")</f>
        <v>-</v>
      </c>
      <c r="L366" s="82" t="str">
        <f>+IFERROR(VLOOKUP(B366,'ID1&amp;5'!K:L,2,FALSE),"-")</f>
        <v>-</v>
      </c>
      <c r="M366" s="83" t="str">
        <f>+IFERROR(VLOOKUP(CONCATENATE(A366,$B$10,B366),'ID1&amp;5'!B:J,9,FALSE),"-")</f>
        <v>-</v>
      </c>
      <c r="N366" s="83" t="str">
        <f>+IFERROR(VLOOKUP(CONCATENATE(A366,$C$10,C366),'ID1&amp;5'!B:J,8,FALSE),"-")</f>
        <v>-</v>
      </c>
      <c r="O366" s="82" t="str">
        <f>+IFERROR(VLOOKUP(C366,'ID1&amp;5'!K:L,2,FALSE),"-")</f>
        <v>-</v>
      </c>
      <c r="P366" s="83" t="str">
        <f>+IFERROR(VLOOKUP(CONCATENATE(A366,$C$10,C366),'ID1&amp;5'!B:J,9,FALSE),"-")</f>
        <v>-</v>
      </c>
      <c r="Q366" s="82" t="str">
        <f>+IFERROR(VLOOKUP(D366,'ID1&amp;5'!K:L,2,FALSE),"-")</f>
        <v>-</v>
      </c>
      <c r="R366" s="26" t="str">
        <f>+IFERROR(VLOOKUP(CONCATENATE(A366,$D$10,D366),'ID1&amp;5'!B:J,9,FALSE),"-")</f>
        <v>-</v>
      </c>
      <c r="S366" s="82" t="str">
        <f>+IFERROR(VLOOKUP(E366,'ID1&amp;5'!K:L,2,FALSE),"-")</f>
        <v>-</v>
      </c>
      <c r="T366" s="83" t="str">
        <f>+IFERROR(VLOOKUP(CONCATENATE(A366,$E$10,E366),'ID1&amp;5'!B:J,9,FALSE),"-")</f>
        <v>-</v>
      </c>
      <c r="U366" s="82" t="str">
        <f>+IFERROR(VLOOKUP(F366,'ID1&amp;5'!K:L,2,FALSE),"-")</f>
        <v>-</v>
      </c>
      <c r="V366" s="83" t="str">
        <f>+IFERROR(VLOOKUP(CONCATENATE(A366,$F$10,F366),'ID1&amp;5'!B:J,9,FALSE),"-")</f>
        <v>-</v>
      </c>
      <c r="W366" s="26" t="str">
        <f>+IFERROR(VLOOKUP(A366,'ID6&amp;7'!A:I,9,FALSE),"-")</f>
        <v>-</v>
      </c>
      <c r="X366" s="26" t="str">
        <f>+IFERROR(VLOOKUP(A366,'ID6&amp;7'!A:J,10,FALSE),"-")</f>
        <v>-</v>
      </c>
      <c r="Y366" s="26"/>
      <c r="Z366" s="27" t="str">
        <f t="shared" si="14"/>
        <v>Por iniciar</v>
      </c>
    </row>
    <row r="367" spans="1:26">
      <c r="A367" s="20" t="str">
        <f t="shared" si="13"/>
        <v>PROTECTIONPRM_LCTN45596</v>
      </c>
      <c r="B367" s="66">
        <f t="array" ref="B367">+MAX(IF('ID1&amp;5'!A:A='1. Status'!A367&amp;'1. Status'!$B$10,'ID1&amp;5'!K:K))</f>
        <v>0</v>
      </c>
      <c r="C367" s="60">
        <f t="array" ref="C367">+MAX(IF('ID1&amp;5'!A:A='1. Status'!A367&amp;'1. Status'!$C$10,'ID1&amp;5'!K:K))</f>
        <v>0</v>
      </c>
      <c r="D367" s="60">
        <f t="array" ref="D367">+MAX(IF('ID1&amp;5'!A:A='1. Status'!A367&amp;'1. Status'!$D$10,'ID1&amp;5'!K:K))</f>
        <v>0</v>
      </c>
      <c r="E367" s="60">
        <f t="array" ref="E367">+MAX(IF('ID1&amp;5'!A:A='1. Status'!A367&amp;'1. Status'!$E$10,'ID1&amp;5'!K:K))</f>
        <v>0</v>
      </c>
      <c r="F367" s="67">
        <f t="array" ref="F367">+MAX(IF('ID1&amp;5'!A:A='1. Status'!A367&amp;'1. Status'!$F$10,'ID1&amp;5'!K:K))</f>
        <v>0</v>
      </c>
      <c r="G367" s="60"/>
      <c r="H367" s="65" t="s">
        <v>128</v>
      </c>
      <c r="I367" s="21" t="s">
        <v>633</v>
      </c>
      <c r="J367" s="26">
        <f>+COUNTIF('ID1&amp;5'!G:G,'1. Status'!I367)</f>
        <v>0</v>
      </c>
      <c r="K367" s="83" t="str">
        <f>+IFERROR(VLOOKUP(CONCATENATE(A367,$B$10,B367),'ID1&amp;5'!B:J,8,FALSE),"-")</f>
        <v>-</v>
      </c>
      <c r="L367" s="82" t="str">
        <f>+IFERROR(VLOOKUP(B367,'ID1&amp;5'!K:L,2,FALSE),"-")</f>
        <v>-</v>
      </c>
      <c r="M367" s="83" t="str">
        <f>+IFERROR(VLOOKUP(CONCATENATE(A367,$B$10,B367),'ID1&amp;5'!B:J,9,FALSE),"-")</f>
        <v>-</v>
      </c>
      <c r="N367" s="83" t="str">
        <f>+IFERROR(VLOOKUP(CONCATENATE(A367,$C$10,C367),'ID1&amp;5'!B:J,8,FALSE),"-")</f>
        <v>-</v>
      </c>
      <c r="O367" s="82" t="str">
        <f>+IFERROR(VLOOKUP(C367,'ID1&amp;5'!K:L,2,FALSE),"-")</f>
        <v>-</v>
      </c>
      <c r="P367" s="83" t="str">
        <f>+IFERROR(VLOOKUP(CONCATENATE(A367,$C$10,C367),'ID1&amp;5'!B:J,9,FALSE),"-")</f>
        <v>-</v>
      </c>
      <c r="Q367" s="82" t="str">
        <f>+IFERROR(VLOOKUP(D367,'ID1&amp;5'!K:L,2,FALSE),"-")</f>
        <v>-</v>
      </c>
      <c r="R367" s="26" t="str">
        <f>+IFERROR(VLOOKUP(CONCATENATE(A367,$D$10,D367),'ID1&amp;5'!B:J,9,FALSE),"-")</f>
        <v>-</v>
      </c>
      <c r="S367" s="82" t="str">
        <f>+IFERROR(VLOOKUP(E367,'ID1&amp;5'!K:L,2,FALSE),"-")</f>
        <v>-</v>
      </c>
      <c r="T367" s="83" t="str">
        <f>+IFERROR(VLOOKUP(CONCATENATE(A367,$E$10,E367),'ID1&amp;5'!B:J,9,FALSE),"-")</f>
        <v>-</v>
      </c>
      <c r="U367" s="82" t="str">
        <f>+IFERROR(VLOOKUP(F367,'ID1&amp;5'!K:L,2,FALSE),"-")</f>
        <v>-</v>
      </c>
      <c r="V367" s="83" t="str">
        <f>+IFERROR(VLOOKUP(CONCATENATE(A367,$F$10,F367),'ID1&amp;5'!B:J,9,FALSE),"-")</f>
        <v>-</v>
      </c>
      <c r="W367" s="26" t="str">
        <f>+IFERROR(VLOOKUP(A367,'ID6&amp;7'!A:I,9,FALSE),"-")</f>
        <v>-</v>
      </c>
      <c r="X367" s="26" t="str">
        <f>+IFERROR(VLOOKUP(A367,'ID6&amp;7'!A:J,10,FALSE),"-")</f>
        <v>-</v>
      </c>
      <c r="Y367" s="26"/>
      <c r="Z367" s="27" t="str">
        <f t="shared" si="14"/>
        <v>Por iniciar</v>
      </c>
    </row>
    <row r="368" spans="1:26">
      <c r="A368" s="20" t="str">
        <f t="shared" si="13"/>
        <v>PROTECTIONCRE_INCM_CRRNCY45596</v>
      </c>
      <c r="B368" s="66">
        <f t="array" ref="B368">+MAX(IF('ID1&amp;5'!A:A='1. Status'!A368&amp;'1. Status'!$B$10,'ID1&amp;5'!K:K))</f>
        <v>0</v>
      </c>
      <c r="C368" s="60">
        <f t="array" ref="C368">+MAX(IF('ID1&amp;5'!A:A='1. Status'!A368&amp;'1. Status'!$C$10,'ID1&amp;5'!K:K))</f>
        <v>0</v>
      </c>
      <c r="D368" s="60">
        <f t="array" ref="D368">+MAX(IF('ID1&amp;5'!A:A='1. Status'!A368&amp;'1. Status'!$D$10,'ID1&amp;5'!K:K))</f>
        <v>0</v>
      </c>
      <c r="E368" s="60">
        <f t="array" ref="E368">+MAX(IF('ID1&amp;5'!A:A='1. Status'!A368&amp;'1. Status'!$E$10,'ID1&amp;5'!K:K))</f>
        <v>0</v>
      </c>
      <c r="F368" s="67">
        <f t="array" ref="F368">+MAX(IF('ID1&amp;5'!A:A='1. Status'!A368&amp;'1. Status'!$F$10,'ID1&amp;5'!K:K))</f>
        <v>0</v>
      </c>
      <c r="G368" s="60"/>
      <c r="H368" s="65" t="s">
        <v>128</v>
      </c>
      <c r="I368" s="21" t="s">
        <v>634</v>
      </c>
      <c r="J368" s="26">
        <f>+COUNTIF('ID1&amp;5'!G:G,'1. Status'!I368)</f>
        <v>0</v>
      </c>
      <c r="K368" s="83" t="str">
        <f>+IFERROR(VLOOKUP(CONCATENATE(A368,$B$10,B368),'ID1&amp;5'!B:J,8,FALSE),"-")</f>
        <v>-</v>
      </c>
      <c r="L368" s="82" t="str">
        <f>+IFERROR(VLOOKUP(B368,'ID1&amp;5'!K:L,2,FALSE),"-")</f>
        <v>-</v>
      </c>
      <c r="M368" s="83" t="str">
        <f>+IFERROR(VLOOKUP(CONCATENATE(A368,$B$10,B368),'ID1&amp;5'!B:J,9,FALSE),"-")</f>
        <v>-</v>
      </c>
      <c r="N368" s="83" t="str">
        <f>+IFERROR(VLOOKUP(CONCATENATE(A368,$C$10,C368),'ID1&amp;5'!B:J,8,FALSE),"-")</f>
        <v>-</v>
      </c>
      <c r="O368" s="82" t="str">
        <f>+IFERROR(VLOOKUP(C368,'ID1&amp;5'!K:L,2,FALSE),"-")</f>
        <v>-</v>
      </c>
      <c r="P368" s="83" t="str">
        <f>+IFERROR(VLOOKUP(CONCATENATE(A368,$C$10,C368),'ID1&amp;5'!B:J,9,FALSE),"-")</f>
        <v>-</v>
      </c>
      <c r="Q368" s="82" t="str">
        <f>+IFERROR(VLOOKUP(D368,'ID1&amp;5'!K:L,2,FALSE),"-")</f>
        <v>-</v>
      </c>
      <c r="R368" s="26" t="str">
        <f>+IFERROR(VLOOKUP(CONCATENATE(A368,$D$10,D368),'ID1&amp;5'!B:J,9,FALSE),"-")</f>
        <v>-</v>
      </c>
      <c r="S368" s="82" t="str">
        <f>+IFERROR(VLOOKUP(E368,'ID1&amp;5'!K:L,2,FALSE),"-")</f>
        <v>-</v>
      </c>
      <c r="T368" s="83" t="str">
        <f>+IFERROR(VLOOKUP(CONCATENATE(A368,$E$10,E368),'ID1&amp;5'!B:J,9,FALSE),"-")</f>
        <v>-</v>
      </c>
      <c r="U368" s="82" t="str">
        <f>+IFERROR(VLOOKUP(F368,'ID1&amp;5'!K:L,2,FALSE),"-")</f>
        <v>-</v>
      </c>
      <c r="V368" s="83" t="str">
        <f>+IFERROR(VLOOKUP(CONCATENATE(A368,$F$10,F368),'ID1&amp;5'!B:J,9,FALSE),"-")</f>
        <v>-</v>
      </c>
      <c r="W368" s="26" t="str">
        <f>+IFERROR(VLOOKUP(A368,'ID6&amp;7'!A:I,9,FALSE),"-")</f>
        <v>-</v>
      </c>
      <c r="X368" s="26" t="str">
        <f>+IFERROR(VLOOKUP(A368,'ID6&amp;7'!A:J,10,FALSE),"-")</f>
        <v>-</v>
      </c>
      <c r="Y368" s="26"/>
      <c r="Z368" s="27" t="str">
        <f t="shared" si="14"/>
        <v>Por iniciar</v>
      </c>
    </row>
    <row r="369" spans="1:26">
      <c r="A369" s="20" t="str">
        <f t="shared" si="13"/>
        <v>PROTECTIONCRE_YRLY_EXPNSS45596</v>
      </c>
      <c r="B369" s="66">
        <f t="array" ref="B369">+MAX(IF('ID1&amp;5'!A:A='1. Status'!A369&amp;'1. Status'!$B$10,'ID1&amp;5'!K:K))</f>
        <v>0</v>
      </c>
      <c r="C369" s="60">
        <f t="array" ref="C369">+MAX(IF('ID1&amp;5'!A:A='1. Status'!A369&amp;'1. Status'!$C$10,'ID1&amp;5'!K:K))</f>
        <v>0</v>
      </c>
      <c r="D369" s="60">
        <f t="array" ref="D369">+MAX(IF('ID1&amp;5'!A:A='1. Status'!A369&amp;'1. Status'!$D$10,'ID1&amp;5'!K:K))</f>
        <v>0</v>
      </c>
      <c r="E369" s="60">
        <f t="array" ref="E369">+MAX(IF('ID1&amp;5'!A:A='1. Status'!A369&amp;'1. Status'!$E$10,'ID1&amp;5'!K:K))</f>
        <v>0</v>
      </c>
      <c r="F369" s="67">
        <f t="array" ref="F369">+MAX(IF('ID1&amp;5'!A:A='1. Status'!A369&amp;'1. Status'!$F$10,'ID1&amp;5'!K:K))</f>
        <v>0</v>
      </c>
      <c r="G369" s="60"/>
      <c r="H369" s="65" t="s">
        <v>128</v>
      </c>
      <c r="I369" s="21" t="s">
        <v>635</v>
      </c>
      <c r="J369" s="26">
        <f>+COUNTIF('ID1&amp;5'!G:G,'1. Status'!I369)</f>
        <v>0</v>
      </c>
      <c r="K369" s="83" t="str">
        <f>+IFERROR(VLOOKUP(CONCATENATE(A369,$B$10,B369),'ID1&amp;5'!B:J,8,FALSE),"-")</f>
        <v>-</v>
      </c>
      <c r="L369" s="82" t="str">
        <f>+IFERROR(VLOOKUP(B369,'ID1&amp;5'!K:L,2,FALSE),"-")</f>
        <v>-</v>
      </c>
      <c r="M369" s="83" t="str">
        <f>+IFERROR(VLOOKUP(CONCATENATE(A369,$B$10,B369),'ID1&amp;5'!B:J,9,FALSE),"-")</f>
        <v>-</v>
      </c>
      <c r="N369" s="83" t="str">
        <f>+IFERROR(VLOOKUP(CONCATENATE(A369,$C$10,C369),'ID1&amp;5'!B:J,8,FALSE),"-")</f>
        <v>-</v>
      </c>
      <c r="O369" s="82" t="str">
        <f>+IFERROR(VLOOKUP(C369,'ID1&amp;5'!K:L,2,FALSE),"-")</f>
        <v>-</v>
      </c>
      <c r="P369" s="83" t="str">
        <f>+IFERROR(VLOOKUP(CONCATENATE(A369,$C$10,C369),'ID1&amp;5'!B:J,9,FALSE),"-")</f>
        <v>-</v>
      </c>
      <c r="Q369" s="82" t="str">
        <f>+IFERROR(VLOOKUP(D369,'ID1&amp;5'!K:L,2,FALSE),"-")</f>
        <v>-</v>
      </c>
      <c r="R369" s="26" t="str">
        <f>+IFERROR(VLOOKUP(CONCATENATE(A369,$D$10,D369),'ID1&amp;5'!B:J,9,FALSE),"-")</f>
        <v>-</v>
      </c>
      <c r="S369" s="82" t="str">
        <f>+IFERROR(VLOOKUP(E369,'ID1&amp;5'!K:L,2,FALSE),"-")</f>
        <v>-</v>
      </c>
      <c r="T369" s="83" t="str">
        <f>+IFERROR(VLOOKUP(CONCATENATE(A369,$E$10,E369),'ID1&amp;5'!B:J,9,FALSE),"-")</f>
        <v>-</v>
      </c>
      <c r="U369" s="82" t="str">
        <f>+IFERROR(VLOOKUP(F369,'ID1&amp;5'!K:L,2,FALSE),"-")</f>
        <v>-</v>
      </c>
      <c r="V369" s="83" t="str">
        <f>+IFERROR(VLOOKUP(CONCATENATE(A369,$F$10,F369),'ID1&amp;5'!B:J,9,FALSE),"-")</f>
        <v>-</v>
      </c>
      <c r="W369" s="26" t="str">
        <f>+IFERROR(VLOOKUP(A369,'ID6&amp;7'!A:I,9,FALSE),"-")</f>
        <v>-</v>
      </c>
      <c r="X369" s="26" t="str">
        <f>+IFERROR(VLOOKUP(A369,'ID6&amp;7'!A:J,10,FALSE),"-")</f>
        <v>-</v>
      </c>
      <c r="Y369" s="26"/>
      <c r="Z369" s="27" t="str">
        <f t="shared" si="14"/>
        <v>Por iniciar</v>
      </c>
    </row>
    <row r="370" spans="1:26">
      <c r="A370" s="20" t="str">
        <f t="shared" si="13"/>
        <v>PROTECTIONCRE_YRLY_INCM45596</v>
      </c>
      <c r="B370" s="66">
        <f t="array" ref="B370">+MAX(IF('ID1&amp;5'!A:A='1. Status'!A370&amp;'1. Status'!$B$10,'ID1&amp;5'!K:K))</f>
        <v>0</v>
      </c>
      <c r="C370" s="60">
        <f t="array" ref="C370">+MAX(IF('ID1&amp;5'!A:A='1. Status'!A370&amp;'1. Status'!$C$10,'ID1&amp;5'!K:K))</f>
        <v>0</v>
      </c>
      <c r="D370" s="60">
        <f t="array" ref="D370">+MAX(IF('ID1&amp;5'!A:A='1. Status'!A370&amp;'1. Status'!$D$10,'ID1&amp;5'!K:K))</f>
        <v>0</v>
      </c>
      <c r="E370" s="60">
        <f t="array" ref="E370">+MAX(IF('ID1&amp;5'!A:A='1. Status'!A370&amp;'1. Status'!$E$10,'ID1&amp;5'!K:K))</f>
        <v>0</v>
      </c>
      <c r="F370" s="67">
        <f t="array" ref="F370">+MAX(IF('ID1&amp;5'!A:A='1. Status'!A370&amp;'1. Status'!$F$10,'ID1&amp;5'!K:K))</f>
        <v>0</v>
      </c>
      <c r="G370" s="60"/>
      <c r="H370" s="65" t="s">
        <v>128</v>
      </c>
      <c r="I370" s="21" t="s">
        <v>636</v>
      </c>
      <c r="J370" s="26">
        <f>+COUNTIF('ID1&amp;5'!G:G,'1. Status'!I370)</f>
        <v>0</v>
      </c>
      <c r="K370" s="83" t="str">
        <f>+IFERROR(VLOOKUP(CONCATENATE(A370,$B$10,B370),'ID1&amp;5'!B:J,8,FALSE),"-")</f>
        <v>-</v>
      </c>
      <c r="L370" s="82" t="str">
        <f>+IFERROR(VLOOKUP(B370,'ID1&amp;5'!K:L,2,FALSE),"-")</f>
        <v>-</v>
      </c>
      <c r="M370" s="83" t="str">
        <f>+IFERROR(VLOOKUP(CONCATENATE(A370,$B$10,B370),'ID1&amp;5'!B:J,9,FALSE),"-")</f>
        <v>-</v>
      </c>
      <c r="N370" s="83" t="str">
        <f>+IFERROR(VLOOKUP(CONCATENATE(A370,$C$10,C370),'ID1&amp;5'!B:J,8,FALSE),"-")</f>
        <v>-</v>
      </c>
      <c r="O370" s="82" t="str">
        <f>+IFERROR(VLOOKUP(C370,'ID1&amp;5'!K:L,2,FALSE),"-")</f>
        <v>-</v>
      </c>
      <c r="P370" s="83" t="str">
        <f>+IFERROR(VLOOKUP(CONCATENATE(A370,$C$10,C370),'ID1&amp;5'!B:J,9,FALSE),"-")</f>
        <v>-</v>
      </c>
      <c r="Q370" s="82" t="str">
        <f>+IFERROR(VLOOKUP(D370,'ID1&amp;5'!K:L,2,FALSE),"-")</f>
        <v>-</v>
      </c>
      <c r="R370" s="26" t="str">
        <f>+IFERROR(VLOOKUP(CONCATENATE(A370,$D$10,D370),'ID1&amp;5'!B:J,9,FALSE),"-")</f>
        <v>-</v>
      </c>
      <c r="S370" s="82" t="str">
        <f>+IFERROR(VLOOKUP(E370,'ID1&amp;5'!K:L,2,FALSE),"-")</f>
        <v>-</v>
      </c>
      <c r="T370" s="83" t="str">
        <f>+IFERROR(VLOOKUP(CONCATENATE(A370,$E$10,E370),'ID1&amp;5'!B:J,9,FALSE),"-")</f>
        <v>-</v>
      </c>
      <c r="U370" s="82" t="str">
        <f>+IFERROR(VLOOKUP(F370,'ID1&amp;5'!K:L,2,FALSE),"-")</f>
        <v>-</v>
      </c>
      <c r="V370" s="83" t="str">
        <f>+IFERROR(VLOOKUP(CONCATENATE(A370,$F$10,F370),'ID1&amp;5'!B:J,9,FALSE),"-")</f>
        <v>-</v>
      </c>
      <c r="W370" s="26" t="str">
        <f>+IFERROR(VLOOKUP(A370,'ID6&amp;7'!A:I,9,FALSE),"-")</f>
        <v>-</v>
      </c>
      <c r="X370" s="26" t="str">
        <f>+IFERROR(VLOOKUP(A370,'ID6&amp;7'!A:J,10,FALSE),"-")</f>
        <v>-</v>
      </c>
      <c r="Y370" s="26"/>
      <c r="Z370" s="27" t="str">
        <f t="shared" si="14"/>
        <v>Por iniciar</v>
      </c>
    </row>
    <row r="371" spans="1:26">
      <c r="A371" s="20" t="str">
        <f t="shared" si="13"/>
        <v>PROTECTIONPRTCTN_TYP_PBLC_GRNT_SCHM_C1945596</v>
      </c>
      <c r="B371" s="66">
        <f t="array" ref="B371">+MAX(IF('ID1&amp;5'!A:A='1. Status'!A371&amp;'1. Status'!$B$10,'ID1&amp;5'!K:K))</f>
        <v>0</v>
      </c>
      <c r="C371" s="60">
        <f t="array" ref="C371">+MAX(IF('ID1&amp;5'!A:A='1. Status'!A371&amp;'1. Status'!$C$10,'ID1&amp;5'!K:K))</f>
        <v>0</v>
      </c>
      <c r="D371" s="60">
        <f t="array" ref="D371">+MAX(IF('ID1&amp;5'!A:A='1. Status'!A371&amp;'1. Status'!$D$10,'ID1&amp;5'!K:K))</f>
        <v>0</v>
      </c>
      <c r="E371" s="60">
        <f t="array" ref="E371">+MAX(IF('ID1&amp;5'!A:A='1. Status'!A371&amp;'1. Status'!$E$10,'ID1&amp;5'!K:K))</f>
        <v>0</v>
      </c>
      <c r="F371" s="67">
        <f t="array" ref="F371">+MAX(IF('ID1&amp;5'!A:A='1. Status'!A371&amp;'1. Status'!$F$10,'ID1&amp;5'!K:K))</f>
        <v>0</v>
      </c>
      <c r="G371" s="60"/>
      <c r="H371" s="65" t="s">
        <v>128</v>
      </c>
      <c r="I371" s="21" t="s">
        <v>637</v>
      </c>
      <c r="J371" s="26">
        <f>+COUNTIF('ID1&amp;5'!G:G,'1. Status'!I371)</f>
        <v>0</v>
      </c>
      <c r="K371" s="83" t="str">
        <f>+IFERROR(VLOOKUP(CONCATENATE(A371,$B$10,B371),'ID1&amp;5'!B:J,8,FALSE),"-")</f>
        <v>-</v>
      </c>
      <c r="L371" s="82" t="str">
        <f>+IFERROR(VLOOKUP(B371,'ID1&amp;5'!K:L,2,FALSE),"-")</f>
        <v>-</v>
      </c>
      <c r="M371" s="83" t="str">
        <f>+IFERROR(VLOOKUP(CONCATENATE(A371,$B$10,B371),'ID1&amp;5'!B:J,9,FALSE),"-")</f>
        <v>-</v>
      </c>
      <c r="N371" s="83" t="str">
        <f>+IFERROR(VLOOKUP(CONCATENATE(A371,$C$10,C371),'ID1&amp;5'!B:J,8,FALSE),"-")</f>
        <v>-</v>
      </c>
      <c r="O371" s="82" t="str">
        <f>+IFERROR(VLOOKUP(C371,'ID1&amp;5'!K:L,2,FALSE),"-")</f>
        <v>-</v>
      </c>
      <c r="P371" s="83" t="str">
        <f>+IFERROR(VLOOKUP(CONCATENATE(A371,$C$10,C371),'ID1&amp;5'!B:J,9,FALSE),"-")</f>
        <v>-</v>
      </c>
      <c r="Q371" s="82" t="str">
        <f>+IFERROR(VLOOKUP(D371,'ID1&amp;5'!K:L,2,FALSE),"-")</f>
        <v>-</v>
      </c>
      <c r="R371" s="26" t="str">
        <f>+IFERROR(VLOOKUP(CONCATENATE(A371,$D$10,D371),'ID1&amp;5'!B:J,9,FALSE),"-")</f>
        <v>-</v>
      </c>
      <c r="S371" s="82" t="str">
        <f>+IFERROR(VLOOKUP(E371,'ID1&amp;5'!K:L,2,FALSE),"-")</f>
        <v>-</v>
      </c>
      <c r="T371" s="83" t="str">
        <f>+IFERROR(VLOOKUP(CONCATENATE(A371,$E$10,E371),'ID1&amp;5'!B:J,9,FALSE),"-")</f>
        <v>-</v>
      </c>
      <c r="U371" s="82" t="str">
        <f>+IFERROR(VLOOKUP(F371,'ID1&amp;5'!K:L,2,FALSE),"-")</f>
        <v>-</v>
      </c>
      <c r="V371" s="83" t="str">
        <f>+IFERROR(VLOOKUP(CONCATENATE(A371,$F$10,F371),'ID1&amp;5'!B:J,9,FALSE),"-")</f>
        <v>-</v>
      </c>
      <c r="W371" s="26" t="str">
        <f>+IFERROR(VLOOKUP(A371,'ID6&amp;7'!A:I,9,FALSE),"-")</f>
        <v>-</v>
      </c>
      <c r="X371" s="26" t="str">
        <f>+IFERROR(VLOOKUP(A371,'ID6&amp;7'!A:J,10,FALSE),"-")</f>
        <v>-</v>
      </c>
      <c r="Y371" s="26"/>
      <c r="Z371" s="27" t="str">
        <f t="shared" si="14"/>
        <v>Por iniciar</v>
      </c>
    </row>
    <row r="372" spans="1:26">
      <c r="A372" s="20" t="str">
        <f t="shared" si="13"/>
        <v>PROTECTIONTAX_ID45596</v>
      </c>
      <c r="B372" s="66">
        <f t="array" ref="B372">+MAX(IF('ID1&amp;5'!A:A='1. Status'!A372&amp;'1. Status'!$B$10,'ID1&amp;5'!K:K))</f>
        <v>0</v>
      </c>
      <c r="C372" s="60">
        <f t="array" ref="C372">+MAX(IF('ID1&amp;5'!A:A='1. Status'!A372&amp;'1. Status'!$C$10,'ID1&amp;5'!K:K))</f>
        <v>0</v>
      </c>
      <c r="D372" s="60">
        <f t="array" ref="D372">+MAX(IF('ID1&amp;5'!A:A='1. Status'!A372&amp;'1. Status'!$D$10,'ID1&amp;5'!K:K))</f>
        <v>0</v>
      </c>
      <c r="E372" s="60">
        <f t="array" ref="E372">+MAX(IF('ID1&amp;5'!A:A='1. Status'!A372&amp;'1. Status'!$E$10,'ID1&amp;5'!K:K))</f>
        <v>0</v>
      </c>
      <c r="F372" s="67">
        <f t="array" ref="F372">+MAX(IF('ID1&amp;5'!A:A='1. Status'!A372&amp;'1. Status'!$F$10,'ID1&amp;5'!K:K))</f>
        <v>0</v>
      </c>
      <c r="G372" s="60"/>
      <c r="H372" s="65" t="s">
        <v>128</v>
      </c>
      <c r="I372" s="21" t="s">
        <v>397</v>
      </c>
      <c r="J372" s="26">
        <f>+COUNTIF('ID1&amp;5'!G:G,'1. Status'!I372)</f>
        <v>0</v>
      </c>
      <c r="K372" s="83" t="str">
        <f>+IFERROR(VLOOKUP(CONCATENATE(A372,$B$10,B372),'ID1&amp;5'!B:J,8,FALSE),"-")</f>
        <v>-</v>
      </c>
      <c r="L372" s="82" t="str">
        <f>+IFERROR(VLOOKUP(B372,'ID1&amp;5'!K:L,2,FALSE),"-")</f>
        <v>-</v>
      </c>
      <c r="M372" s="83" t="str">
        <f>+IFERROR(VLOOKUP(CONCATENATE(A372,$B$10,B372),'ID1&amp;5'!B:J,9,FALSE),"-")</f>
        <v>-</v>
      </c>
      <c r="N372" s="83" t="str">
        <f>+IFERROR(VLOOKUP(CONCATENATE(A372,$C$10,C372),'ID1&amp;5'!B:J,8,FALSE),"-")</f>
        <v>-</v>
      </c>
      <c r="O372" s="82" t="str">
        <f>+IFERROR(VLOOKUP(C372,'ID1&amp;5'!K:L,2,FALSE),"-")</f>
        <v>-</v>
      </c>
      <c r="P372" s="83" t="str">
        <f>+IFERROR(VLOOKUP(CONCATENATE(A372,$C$10,C372),'ID1&amp;5'!B:J,9,FALSE),"-")</f>
        <v>-</v>
      </c>
      <c r="Q372" s="82" t="str">
        <f>+IFERROR(VLOOKUP(D372,'ID1&amp;5'!K:L,2,FALSE),"-")</f>
        <v>-</v>
      </c>
      <c r="R372" s="26" t="str">
        <f>+IFERROR(VLOOKUP(CONCATENATE(A372,$D$10,D372),'ID1&amp;5'!B:J,9,FALSE),"-")</f>
        <v>-</v>
      </c>
      <c r="S372" s="82" t="str">
        <f>+IFERROR(VLOOKUP(E372,'ID1&amp;5'!K:L,2,FALSE),"-")</f>
        <v>-</v>
      </c>
      <c r="T372" s="83" t="str">
        <f>+IFERROR(VLOOKUP(CONCATENATE(A372,$E$10,E372),'ID1&amp;5'!B:J,9,FALSE),"-")</f>
        <v>-</v>
      </c>
      <c r="U372" s="82" t="str">
        <f>+IFERROR(VLOOKUP(F372,'ID1&amp;5'!K:L,2,FALSE),"-")</f>
        <v>-</v>
      </c>
      <c r="V372" s="83" t="str">
        <f>+IFERROR(VLOOKUP(CONCATENATE(A372,$F$10,F372),'ID1&amp;5'!B:J,9,FALSE),"-")</f>
        <v>-</v>
      </c>
      <c r="W372" s="26" t="str">
        <f>+IFERROR(VLOOKUP(A372,'ID6&amp;7'!A:I,9,FALSE),"-")</f>
        <v>-</v>
      </c>
      <c r="X372" s="26" t="str">
        <f>+IFERROR(VLOOKUP(A372,'ID6&amp;7'!A:J,10,FALSE),"-")</f>
        <v>-</v>
      </c>
      <c r="Y372" s="26"/>
      <c r="Z372" s="27" t="str">
        <f t="shared" si="14"/>
        <v>Por iniciar</v>
      </c>
    </row>
    <row r="373" spans="1:26">
      <c r="A373" s="20" t="str">
        <f t="shared" si="13"/>
        <v>PROTECTIONYR_CNSTRCTN45596</v>
      </c>
      <c r="B373" s="66">
        <f t="array" ref="B373">+MAX(IF('ID1&amp;5'!A:A='1. Status'!A373&amp;'1. Status'!$B$10,'ID1&amp;5'!K:K))</f>
        <v>0</v>
      </c>
      <c r="C373" s="60">
        <f t="array" ref="C373">+MAX(IF('ID1&amp;5'!A:A='1. Status'!A373&amp;'1. Status'!$C$10,'ID1&amp;5'!K:K))</f>
        <v>0</v>
      </c>
      <c r="D373" s="60">
        <f t="array" ref="D373">+MAX(IF('ID1&amp;5'!A:A='1. Status'!A373&amp;'1. Status'!$D$10,'ID1&amp;5'!K:K))</f>
        <v>0</v>
      </c>
      <c r="E373" s="60">
        <f t="array" ref="E373">+MAX(IF('ID1&amp;5'!A:A='1. Status'!A373&amp;'1. Status'!$E$10,'ID1&amp;5'!K:K))</f>
        <v>0</v>
      </c>
      <c r="F373" s="67">
        <f t="array" ref="F373">+MAX(IF('ID1&amp;5'!A:A='1. Status'!A373&amp;'1. Status'!$F$10,'ID1&amp;5'!K:K))</f>
        <v>0</v>
      </c>
      <c r="G373" s="60"/>
      <c r="H373" s="65" t="s">
        <v>128</v>
      </c>
      <c r="I373" s="21" t="s">
        <v>638</v>
      </c>
      <c r="J373" s="26">
        <f>+COUNTIF('ID1&amp;5'!G:G,'1. Status'!I373)</f>
        <v>0</v>
      </c>
      <c r="K373" s="83" t="str">
        <f>+IFERROR(VLOOKUP(CONCATENATE(A373,$B$10,B373),'ID1&amp;5'!B:J,8,FALSE),"-")</f>
        <v>-</v>
      </c>
      <c r="L373" s="82" t="str">
        <f>+IFERROR(VLOOKUP(B373,'ID1&amp;5'!K:L,2,FALSE),"-")</f>
        <v>-</v>
      </c>
      <c r="M373" s="83" t="str">
        <f>+IFERROR(VLOOKUP(CONCATENATE(A373,$B$10,B373),'ID1&amp;5'!B:J,9,FALSE),"-")</f>
        <v>-</v>
      </c>
      <c r="N373" s="83" t="str">
        <f>+IFERROR(VLOOKUP(CONCATENATE(A373,$C$10,C373),'ID1&amp;5'!B:J,8,FALSE),"-")</f>
        <v>-</v>
      </c>
      <c r="O373" s="82" t="str">
        <f>+IFERROR(VLOOKUP(C373,'ID1&amp;5'!K:L,2,FALSE),"-")</f>
        <v>-</v>
      </c>
      <c r="P373" s="83" t="str">
        <f>+IFERROR(VLOOKUP(CONCATENATE(A373,$C$10,C373),'ID1&amp;5'!B:J,9,FALSE),"-")</f>
        <v>-</v>
      </c>
      <c r="Q373" s="82" t="str">
        <f>+IFERROR(VLOOKUP(D373,'ID1&amp;5'!K:L,2,FALSE),"-")</f>
        <v>-</v>
      </c>
      <c r="R373" s="26" t="str">
        <f>+IFERROR(VLOOKUP(CONCATENATE(A373,$D$10,D373),'ID1&amp;5'!B:J,9,FALSE),"-")</f>
        <v>-</v>
      </c>
      <c r="S373" s="82" t="str">
        <f>+IFERROR(VLOOKUP(E373,'ID1&amp;5'!K:L,2,FALSE),"-")</f>
        <v>-</v>
      </c>
      <c r="T373" s="83" t="str">
        <f>+IFERROR(VLOOKUP(CONCATENATE(A373,$E$10,E373),'ID1&amp;5'!B:J,9,FALSE),"-")</f>
        <v>-</v>
      </c>
      <c r="U373" s="82" t="str">
        <f>+IFERROR(VLOOKUP(F373,'ID1&amp;5'!K:L,2,FALSE),"-")</f>
        <v>-</v>
      </c>
      <c r="V373" s="83" t="str">
        <f>+IFERROR(VLOOKUP(CONCATENATE(A373,$F$10,F373),'ID1&amp;5'!B:J,9,FALSE),"-")</f>
        <v>-</v>
      </c>
      <c r="W373" s="26" t="str">
        <f>+IFERROR(VLOOKUP(A373,'ID6&amp;7'!A:I,9,FALSE),"-")</f>
        <v>-</v>
      </c>
      <c r="X373" s="26" t="str">
        <f>+IFERROR(VLOOKUP(A373,'ID6&amp;7'!A:J,10,FALSE),"-")</f>
        <v>-</v>
      </c>
      <c r="Y373" s="26"/>
      <c r="Z373" s="27" t="str">
        <f t="shared" si="14"/>
        <v>Por iniciar</v>
      </c>
    </row>
    <row r="374" spans="1:26">
      <c r="A374" s="20" t="str">
        <f t="shared" si="13"/>
        <v>PROTECTIONLND_AR45596</v>
      </c>
      <c r="B374" s="66">
        <f t="array" ref="B374">+MAX(IF('ID1&amp;5'!A:A='1. Status'!A374&amp;'1. Status'!$B$10,'ID1&amp;5'!K:K))</f>
        <v>0</v>
      </c>
      <c r="C374" s="60">
        <f t="array" ref="C374">+MAX(IF('ID1&amp;5'!A:A='1. Status'!A374&amp;'1. Status'!$C$10,'ID1&amp;5'!K:K))</f>
        <v>0</v>
      </c>
      <c r="D374" s="60">
        <f t="array" ref="D374">+MAX(IF('ID1&amp;5'!A:A='1. Status'!A374&amp;'1. Status'!$D$10,'ID1&amp;5'!K:K))</f>
        <v>0</v>
      </c>
      <c r="E374" s="60">
        <f t="array" ref="E374">+MAX(IF('ID1&amp;5'!A:A='1. Status'!A374&amp;'1. Status'!$E$10,'ID1&amp;5'!K:K))</f>
        <v>0</v>
      </c>
      <c r="F374" s="67">
        <f t="array" ref="F374">+MAX(IF('ID1&amp;5'!A:A='1. Status'!A374&amp;'1. Status'!$F$10,'ID1&amp;5'!K:K))</f>
        <v>0</v>
      </c>
      <c r="G374" s="60"/>
      <c r="H374" s="65" t="s">
        <v>128</v>
      </c>
      <c r="I374" s="21" t="s">
        <v>639</v>
      </c>
      <c r="J374" s="26">
        <f>+COUNTIF('ID1&amp;5'!G:G,'1. Status'!I374)</f>
        <v>0</v>
      </c>
      <c r="K374" s="83" t="str">
        <f>+IFERROR(VLOOKUP(CONCATENATE(A374,$B$10,B374),'ID1&amp;5'!B:J,8,FALSE),"-")</f>
        <v>-</v>
      </c>
      <c r="L374" s="82" t="str">
        <f>+IFERROR(VLOOKUP(B374,'ID1&amp;5'!K:L,2,FALSE),"-")</f>
        <v>-</v>
      </c>
      <c r="M374" s="83" t="str">
        <f>+IFERROR(VLOOKUP(CONCATENATE(A374,$B$10,B374),'ID1&amp;5'!B:J,9,FALSE),"-")</f>
        <v>-</v>
      </c>
      <c r="N374" s="83" t="str">
        <f>+IFERROR(VLOOKUP(CONCATENATE(A374,$C$10,C374),'ID1&amp;5'!B:J,8,FALSE),"-")</f>
        <v>-</v>
      </c>
      <c r="O374" s="82" t="str">
        <f>+IFERROR(VLOOKUP(C374,'ID1&amp;5'!K:L,2,FALSE),"-")</f>
        <v>-</v>
      </c>
      <c r="P374" s="83" t="str">
        <f>+IFERROR(VLOOKUP(CONCATENATE(A374,$C$10,C374),'ID1&amp;5'!B:J,9,FALSE),"-")</f>
        <v>-</v>
      </c>
      <c r="Q374" s="82" t="str">
        <f>+IFERROR(VLOOKUP(D374,'ID1&amp;5'!K:L,2,FALSE),"-")</f>
        <v>-</v>
      </c>
      <c r="R374" s="26" t="str">
        <f>+IFERROR(VLOOKUP(CONCATENATE(A374,$D$10,D374),'ID1&amp;5'!B:J,9,FALSE),"-")</f>
        <v>-</v>
      </c>
      <c r="S374" s="82" t="str">
        <f>+IFERROR(VLOOKUP(E374,'ID1&amp;5'!K:L,2,FALSE),"-")</f>
        <v>-</v>
      </c>
      <c r="T374" s="83" t="str">
        <f>+IFERROR(VLOOKUP(CONCATENATE(A374,$E$10,E374),'ID1&amp;5'!B:J,9,FALSE),"-")</f>
        <v>-</v>
      </c>
      <c r="U374" s="82" t="str">
        <f>+IFERROR(VLOOKUP(F374,'ID1&amp;5'!K:L,2,FALSE),"-")</f>
        <v>-</v>
      </c>
      <c r="V374" s="83" t="str">
        <f>+IFERROR(VLOOKUP(CONCATENATE(A374,$F$10,F374),'ID1&amp;5'!B:J,9,FALSE),"-")</f>
        <v>-</v>
      </c>
      <c r="W374" s="26" t="str">
        <f>+IFERROR(VLOOKUP(A374,'ID6&amp;7'!A:I,9,FALSE),"-")</f>
        <v>-</v>
      </c>
      <c r="X374" s="26" t="str">
        <f>+IFERROR(VLOOKUP(A374,'ID6&amp;7'!A:J,10,FALSE),"-")</f>
        <v>-</v>
      </c>
      <c r="Y374" s="26"/>
      <c r="Z374" s="27" t="str">
        <f t="shared" si="14"/>
        <v>Por iniciar</v>
      </c>
    </row>
    <row r="375" spans="1:26">
      <c r="A375" s="20" t="str">
        <f t="shared" si="13"/>
        <v>PROTECTIONLN_PSTN45596</v>
      </c>
      <c r="B375" s="66">
        <f t="array" ref="B375">+MAX(IF('ID1&amp;5'!A:A='1. Status'!A375&amp;'1. Status'!$B$10,'ID1&amp;5'!K:K))</f>
        <v>0</v>
      </c>
      <c r="C375" s="60">
        <f t="array" ref="C375">+MAX(IF('ID1&amp;5'!A:A='1. Status'!A375&amp;'1. Status'!$C$10,'ID1&amp;5'!K:K))</f>
        <v>0</v>
      </c>
      <c r="D375" s="60">
        <f t="array" ref="D375">+MAX(IF('ID1&amp;5'!A:A='1. Status'!A375&amp;'1. Status'!$D$10,'ID1&amp;5'!K:K))</f>
        <v>0</v>
      </c>
      <c r="E375" s="60">
        <f t="array" ref="E375">+MAX(IF('ID1&amp;5'!A:A='1. Status'!A375&amp;'1. Status'!$E$10,'ID1&amp;5'!K:K))</f>
        <v>0</v>
      </c>
      <c r="F375" s="67">
        <f t="array" ref="F375">+MAX(IF('ID1&amp;5'!A:A='1. Status'!A375&amp;'1. Status'!$F$10,'ID1&amp;5'!K:K))</f>
        <v>0</v>
      </c>
      <c r="G375" s="60"/>
      <c r="H375" s="65" t="s">
        <v>128</v>
      </c>
      <c r="I375" s="21" t="s">
        <v>640</v>
      </c>
      <c r="J375" s="26">
        <f>+COUNTIF('ID1&amp;5'!G:G,'1. Status'!I375)</f>
        <v>0</v>
      </c>
      <c r="K375" s="83" t="str">
        <f>+IFERROR(VLOOKUP(CONCATENATE(A375,$B$10,B375),'ID1&amp;5'!B:J,8,FALSE),"-")</f>
        <v>-</v>
      </c>
      <c r="L375" s="82" t="str">
        <f>+IFERROR(VLOOKUP(B375,'ID1&amp;5'!K:L,2,FALSE),"-")</f>
        <v>-</v>
      </c>
      <c r="M375" s="83" t="str">
        <f>+IFERROR(VLOOKUP(CONCATENATE(A375,$B$10,B375),'ID1&amp;5'!B:J,9,FALSE),"-")</f>
        <v>-</v>
      </c>
      <c r="N375" s="83" t="str">
        <f>+IFERROR(VLOOKUP(CONCATENATE(A375,$C$10,C375),'ID1&amp;5'!B:J,8,FALSE),"-")</f>
        <v>-</v>
      </c>
      <c r="O375" s="82" t="str">
        <f>+IFERROR(VLOOKUP(C375,'ID1&amp;5'!K:L,2,FALSE),"-")</f>
        <v>-</v>
      </c>
      <c r="P375" s="83" t="str">
        <f>+IFERROR(VLOOKUP(CONCATENATE(A375,$C$10,C375),'ID1&amp;5'!B:J,9,FALSE),"-")</f>
        <v>-</v>
      </c>
      <c r="Q375" s="82" t="str">
        <f>+IFERROR(VLOOKUP(D375,'ID1&amp;5'!K:L,2,FALSE),"-")</f>
        <v>-</v>
      </c>
      <c r="R375" s="26" t="str">
        <f>+IFERROR(VLOOKUP(CONCATENATE(A375,$D$10,D375),'ID1&amp;5'!B:J,9,FALSE),"-")</f>
        <v>-</v>
      </c>
      <c r="S375" s="82" t="str">
        <f>+IFERROR(VLOOKUP(E375,'ID1&amp;5'!K:L,2,FALSE),"-")</f>
        <v>-</v>
      </c>
      <c r="T375" s="83" t="str">
        <f>+IFERROR(VLOOKUP(CONCATENATE(A375,$E$10,E375),'ID1&amp;5'!B:J,9,FALSE),"-")</f>
        <v>-</v>
      </c>
      <c r="U375" s="82" t="str">
        <f>+IFERROR(VLOOKUP(F375,'ID1&amp;5'!K:L,2,FALSE),"-")</f>
        <v>-</v>
      </c>
      <c r="V375" s="83" t="str">
        <f>+IFERROR(VLOOKUP(CONCATENATE(A375,$F$10,F375),'ID1&amp;5'!B:J,9,FALSE),"-")</f>
        <v>-</v>
      </c>
      <c r="W375" s="26" t="str">
        <f>+IFERROR(VLOOKUP(A375,'ID6&amp;7'!A:I,9,FALSE),"-")</f>
        <v>-</v>
      </c>
      <c r="X375" s="26" t="str">
        <f>+IFERROR(VLOOKUP(A375,'ID6&amp;7'!A:J,10,FALSE),"-")</f>
        <v>-</v>
      </c>
      <c r="Y375" s="26"/>
      <c r="Z375" s="27" t="str">
        <f t="shared" si="14"/>
        <v>Por iniciar</v>
      </c>
    </row>
    <row r="376" spans="1:26">
      <c r="A376" s="20" t="str">
        <f t="shared" si="13"/>
        <v>PROTECTIONRL_ESTT_LNGTD45596</v>
      </c>
      <c r="B376" s="66">
        <f t="array" ref="B376">+MAX(IF('ID1&amp;5'!A:A='1. Status'!A376&amp;'1. Status'!$B$10,'ID1&amp;5'!K:K))</f>
        <v>0</v>
      </c>
      <c r="C376" s="60">
        <f t="array" ref="C376">+MAX(IF('ID1&amp;5'!A:A='1. Status'!A376&amp;'1. Status'!$C$10,'ID1&amp;5'!K:K))</f>
        <v>0</v>
      </c>
      <c r="D376" s="60">
        <f t="array" ref="D376">+MAX(IF('ID1&amp;5'!A:A='1. Status'!A376&amp;'1. Status'!$D$10,'ID1&amp;5'!K:K))</f>
        <v>0</v>
      </c>
      <c r="E376" s="60">
        <f t="array" ref="E376">+MAX(IF('ID1&amp;5'!A:A='1. Status'!A376&amp;'1. Status'!$E$10,'ID1&amp;5'!K:K))</f>
        <v>0</v>
      </c>
      <c r="F376" s="67">
        <f t="array" ref="F376">+MAX(IF('ID1&amp;5'!A:A='1. Status'!A376&amp;'1. Status'!$F$10,'ID1&amp;5'!K:K))</f>
        <v>0</v>
      </c>
      <c r="G376" s="60"/>
      <c r="H376" s="65" t="s">
        <v>128</v>
      </c>
      <c r="I376" s="21" t="s">
        <v>641</v>
      </c>
      <c r="J376" s="26">
        <f>+COUNTIF('ID1&amp;5'!G:G,'1. Status'!I376)</f>
        <v>0</v>
      </c>
      <c r="K376" s="83" t="str">
        <f>+IFERROR(VLOOKUP(CONCATENATE(A376,$B$10,B376),'ID1&amp;5'!B:J,8,FALSE),"-")</f>
        <v>-</v>
      </c>
      <c r="L376" s="82" t="str">
        <f>+IFERROR(VLOOKUP(B376,'ID1&amp;5'!K:L,2,FALSE),"-")</f>
        <v>-</v>
      </c>
      <c r="M376" s="83" t="str">
        <f>+IFERROR(VLOOKUP(CONCATENATE(A376,$B$10,B376),'ID1&amp;5'!B:J,9,FALSE),"-")</f>
        <v>-</v>
      </c>
      <c r="N376" s="83" t="str">
        <f>+IFERROR(VLOOKUP(CONCATENATE(A376,$C$10,C376),'ID1&amp;5'!B:J,8,FALSE),"-")</f>
        <v>-</v>
      </c>
      <c r="O376" s="82" t="str">
        <f>+IFERROR(VLOOKUP(C376,'ID1&amp;5'!K:L,2,FALSE),"-")</f>
        <v>-</v>
      </c>
      <c r="P376" s="83" t="str">
        <f>+IFERROR(VLOOKUP(CONCATENATE(A376,$C$10,C376),'ID1&amp;5'!B:J,9,FALSE),"-")</f>
        <v>-</v>
      </c>
      <c r="Q376" s="82" t="str">
        <f>+IFERROR(VLOOKUP(D376,'ID1&amp;5'!K:L,2,FALSE),"-")</f>
        <v>-</v>
      </c>
      <c r="R376" s="26" t="str">
        <f>+IFERROR(VLOOKUP(CONCATENATE(A376,$D$10,D376),'ID1&amp;5'!B:J,9,FALSE),"-")</f>
        <v>-</v>
      </c>
      <c r="S376" s="82" t="str">
        <f>+IFERROR(VLOOKUP(E376,'ID1&amp;5'!K:L,2,FALSE),"-")</f>
        <v>-</v>
      </c>
      <c r="T376" s="83" t="str">
        <f>+IFERROR(VLOOKUP(CONCATENATE(A376,$E$10,E376),'ID1&amp;5'!B:J,9,FALSE),"-")</f>
        <v>-</v>
      </c>
      <c r="U376" s="82" t="str">
        <f>+IFERROR(VLOOKUP(F376,'ID1&amp;5'!K:L,2,FALSE),"-")</f>
        <v>-</v>
      </c>
      <c r="V376" s="83" t="str">
        <f>+IFERROR(VLOOKUP(CONCATENATE(A376,$F$10,F376),'ID1&amp;5'!B:J,9,FALSE),"-")</f>
        <v>-</v>
      </c>
      <c r="W376" s="26" t="str">
        <f>+IFERROR(VLOOKUP(A376,'ID6&amp;7'!A:I,9,FALSE),"-")</f>
        <v>-</v>
      </c>
      <c r="X376" s="26" t="str">
        <f>+IFERROR(VLOOKUP(A376,'ID6&amp;7'!A:J,10,FALSE),"-")</f>
        <v>-</v>
      </c>
      <c r="Y376" s="26"/>
      <c r="Z376" s="27" t="str">
        <f t="shared" si="14"/>
        <v>Por iniciar</v>
      </c>
    </row>
    <row r="377" spans="1:26">
      <c r="A377" s="20" t="str">
        <f t="shared" si="13"/>
        <v>PROTECTIONRL_ESTT_LTTD45596</v>
      </c>
      <c r="B377" s="66">
        <f t="array" ref="B377">+MAX(IF('ID1&amp;5'!A:A='1. Status'!A377&amp;'1. Status'!$B$10,'ID1&amp;5'!K:K))</f>
        <v>0</v>
      </c>
      <c r="C377" s="60">
        <f t="array" ref="C377">+MAX(IF('ID1&amp;5'!A:A='1. Status'!A377&amp;'1. Status'!$C$10,'ID1&amp;5'!K:K))</f>
        <v>0</v>
      </c>
      <c r="D377" s="60">
        <f t="array" ref="D377">+MAX(IF('ID1&amp;5'!A:A='1. Status'!A377&amp;'1. Status'!$D$10,'ID1&amp;5'!K:K))</f>
        <v>0</v>
      </c>
      <c r="E377" s="60">
        <f t="array" ref="E377">+MAX(IF('ID1&amp;5'!A:A='1. Status'!A377&amp;'1. Status'!$E$10,'ID1&amp;5'!K:K))</f>
        <v>0</v>
      </c>
      <c r="F377" s="67">
        <f t="array" ref="F377">+MAX(IF('ID1&amp;5'!A:A='1. Status'!A377&amp;'1. Status'!$F$10,'ID1&amp;5'!K:K))</f>
        <v>0</v>
      </c>
      <c r="G377" s="60"/>
      <c r="H377" s="65" t="s">
        <v>128</v>
      </c>
      <c r="I377" s="21" t="s">
        <v>642</v>
      </c>
      <c r="J377" s="26">
        <f>+COUNTIF('ID1&amp;5'!G:G,'1. Status'!I377)</f>
        <v>0</v>
      </c>
      <c r="K377" s="83" t="str">
        <f>+IFERROR(VLOOKUP(CONCATENATE(A377,$B$10,B377),'ID1&amp;5'!B:J,8,FALSE),"-")</f>
        <v>-</v>
      </c>
      <c r="L377" s="82" t="str">
        <f>+IFERROR(VLOOKUP(B377,'ID1&amp;5'!K:L,2,FALSE),"-")</f>
        <v>-</v>
      </c>
      <c r="M377" s="83" t="str">
        <f>+IFERROR(VLOOKUP(CONCATENATE(A377,$B$10,B377),'ID1&amp;5'!B:J,9,FALSE),"-")</f>
        <v>-</v>
      </c>
      <c r="N377" s="83" t="str">
        <f>+IFERROR(VLOOKUP(CONCATENATE(A377,$C$10,C377),'ID1&amp;5'!B:J,8,FALSE),"-")</f>
        <v>-</v>
      </c>
      <c r="O377" s="82" t="str">
        <f>+IFERROR(VLOOKUP(C377,'ID1&amp;5'!K:L,2,FALSE),"-")</f>
        <v>-</v>
      </c>
      <c r="P377" s="83" t="str">
        <f>+IFERROR(VLOOKUP(CONCATENATE(A377,$C$10,C377),'ID1&amp;5'!B:J,9,FALSE),"-")</f>
        <v>-</v>
      </c>
      <c r="Q377" s="82" t="str">
        <f>+IFERROR(VLOOKUP(D377,'ID1&amp;5'!K:L,2,FALSE),"-")</f>
        <v>-</v>
      </c>
      <c r="R377" s="26" t="str">
        <f>+IFERROR(VLOOKUP(CONCATENATE(A377,$D$10,D377),'ID1&amp;5'!B:J,9,FALSE),"-")</f>
        <v>-</v>
      </c>
      <c r="S377" s="82" t="str">
        <f>+IFERROR(VLOOKUP(E377,'ID1&amp;5'!K:L,2,FALSE),"-")</f>
        <v>-</v>
      </c>
      <c r="T377" s="83" t="str">
        <f>+IFERROR(VLOOKUP(CONCATENATE(A377,$E$10,E377),'ID1&amp;5'!B:J,9,FALSE),"-")</f>
        <v>-</v>
      </c>
      <c r="U377" s="82" t="str">
        <f>+IFERROR(VLOOKUP(F377,'ID1&amp;5'!K:L,2,FALSE),"-")</f>
        <v>-</v>
      </c>
      <c r="V377" s="83" t="str">
        <f>+IFERROR(VLOOKUP(CONCATENATE(A377,$F$10,F377),'ID1&amp;5'!B:J,9,FALSE),"-")</f>
        <v>-</v>
      </c>
      <c r="W377" s="26" t="str">
        <f>+IFERROR(VLOOKUP(A377,'ID6&amp;7'!A:I,9,FALSE),"-")</f>
        <v>-</v>
      </c>
      <c r="X377" s="26" t="str">
        <f>+IFERROR(VLOOKUP(A377,'ID6&amp;7'!A:J,10,FALSE),"-")</f>
        <v>-</v>
      </c>
      <c r="Y377" s="26"/>
      <c r="Z377" s="27" t="str">
        <f t="shared" si="14"/>
        <v>Por iniciar</v>
      </c>
    </row>
    <row r="378" spans="1:26">
      <c r="A378" s="20" t="str">
        <f t="shared" si="13"/>
        <v>INSTR_ACTIVITYPRCNTG_ACTVTY45596</v>
      </c>
      <c r="B378" s="68">
        <f t="array" ref="B378">+MAX(IF('ID1&amp;5'!A:A='1. Status'!A378&amp;'1. Status'!$B$10,'ID1&amp;5'!K:K))</f>
        <v>0</v>
      </c>
      <c r="C378" s="69">
        <f t="array" ref="C378">+MAX(IF('ID1&amp;5'!A:A='1. Status'!A378&amp;'1. Status'!$C$10,'ID1&amp;5'!K:K))</f>
        <v>0</v>
      </c>
      <c r="D378" s="69">
        <f t="array" ref="D378">+MAX(IF('ID1&amp;5'!A:A='1. Status'!A378&amp;'1. Status'!$D$10,'ID1&amp;5'!K:K))</f>
        <v>0</v>
      </c>
      <c r="E378" s="69">
        <f t="array" ref="E378">+MAX(IF('ID1&amp;5'!A:A='1. Status'!A378&amp;'1. Status'!$E$10,'ID1&amp;5'!K:K))</f>
        <v>0</v>
      </c>
      <c r="F378" s="70">
        <f t="array" ref="F378">+MAX(IF('ID1&amp;5'!A:A='1. Status'!A378&amp;'1. Status'!$F$10,'ID1&amp;5'!K:K))</f>
        <v>0</v>
      </c>
      <c r="G378" s="60"/>
      <c r="H378" s="65" t="s">
        <v>323</v>
      </c>
      <c r="I378" s="21" t="s">
        <v>643</v>
      </c>
      <c r="J378" s="26">
        <f>+COUNTIF('ID1&amp;5'!G:G,'1. Status'!I378)</f>
        <v>0</v>
      </c>
      <c r="K378" s="83" t="str">
        <f>+IFERROR(VLOOKUP(CONCATENATE(A378,$B$10,B378),'ID1&amp;5'!B:J,8,FALSE),"-")</f>
        <v>-</v>
      </c>
      <c r="L378" s="82" t="str">
        <f>+IFERROR(VLOOKUP(B378,'ID1&amp;5'!K:L,2,FALSE),"-")</f>
        <v>-</v>
      </c>
      <c r="M378" s="83" t="str">
        <f>+IFERROR(VLOOKUP(CONCATENATE(A378,$B$10,B378),'ID1&amp;5'!B:J,9,FALSE),"-")</f>
        <v>-</v>
      </c>
      <c r="N378" s="83" t="str">
        <f>+IFERROR(VLOOKUP(CONCATENATE(A378,$C$10,C378),'ID1&amp;5'!B:J,8,FALSE),"-")</f>
        <v>-</v>
      </c>
      <c r="O378" s="82" t="str">
        <f>+IFERROR(VLOOKUP(C378,'ID1&amp;5'!K:L,2,FALSE),"-")</f>
        <v>-</v>
      </c>
      <c r="P378" s="83" t="str">
        <f>+IFERROR(VLOOKUP(CONCATENATE(A378,$C$10,C378),'ID1&amp;5'!B:J,9,FALSE),"-")</f>
        <v>-</v>
      </c>
      <c r="Q378" s="82" t="str">
        <f>+IFERROR(VLOOKUP(D378,'ID1&amp;5'!K:L,2,FALSE),"-")</f>
        <v>-</v>
      </c>
      <c r="R378" s="26" t="str">
        <f>+IFERROR(VLOOKUP(CONCATENATE(A378,$D$10,D378),'ID1&amp;5'!B:J,9,FALSE),"-")</f>
        <v>-</v>
      </c>
      <c r="S378" s="82" t="str">
        <f>+IFERROR(VLOOKUP(E378,'ID1&amp;5'!K:L,2,FALSE),"-")</f>
        <v>-</v>
      </c>
      <c r="T378" s="83" t="str">
        <f>+IFERROR(VLOOKUP(CONCATENATE(A378,$E$10,E378),'ID1&amp;5'!B:J,9,FALSE),"-")</f>
        <v>-</v>
      </c>
      <c r="U378" s="82" t="str">
        <f>+IFERROR(VLOOKUP(F378,'ID1&amp;5'!K:L,2,FALSE),"-")</f>
        <v>-</v>
      </c>
      <c r="V378" s="83" t="str">
        <f>+IFERROR(VLOOKUP(CONCATENATE(A378,$F$10,F378),'ID1&amp;5'!B:J,9,FALSE),"-")</f>
        <v>-</v>
      </c>
      <c r="W378" s="26" t="str">
        <f>+IFERROR(VLOOKUP(A378,'ID6&amp;7'!A:I,9,FALSE),"-")</f>
        <v>-</v>
      </c>
      <c r="X378" s="26" t="str">
        <f>+IFERROR(VLOOKUP(A378,'ID6&amp;7'!A:J,10,FALSE),"-")</f>
        <v>-</v>
      </c>
      <c r="Y378" s="26"/>
      <c r="Z378" s="27" t="str">
        <f t="shared" si="14"/>
        <v>Por iniciar</v>
      </c>
    </row>
    <row r="379" spans="1:26"/>
  </sheetData>
  <mergeCells count="1">
    <mergeCell ref="B9:F9"/>
  </mergeCells>
  <conditionalFormatting sqref="Z11:Z378">
    <cfRule type="cellIs" dxfId="16" priority="1" operator="equal">
      <formula>"Por iniciar"</formula>
    </cfRule>
    <cfRule type="cellIs" dxfId="15" priority="2" operator="equal">
      <formula>"EM TESTES"</formula>
    </cfRule>
    <cfRule type="cellIs" dxfId="14" priority="3" operator="equal">
      <formula>"NOK"</formula>
    </cfRule>
    <cfRule type="cellIs" dxfId="13" priority="4" operator="equal">
      <formula>"OK"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C647"/>
  <sheetViews>
    <sheetView showGridLines="0" tabSelected="1" zoomScale="80" zoomScaleNormal="9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F9" sqref="F9"/>
    </sheetView>
  </sheetViews>
  <sheetFormatPr defaultColWidth="0" defaultRowHeight="13.8" zeroHeight="1"/>
  <cols>
    <col min="1" max="1" width="3.6640625" style="2" customWidth="1"/>
    <col min="2" max="3" width="32.33203125" style="2" customWidth="1"/>
    <col min="4" max="4" width="38" style="2" customWidth="1"/>
    <col min="5" max="13" width="25" style="2" customWidth="1"/>
    <col min="14" max="14" width="3.6640625" style="2" customWidth="1"/>
    <col min="15" max="29" width="0" style="2" hidden="1" customWidth="1"/>
    <col min="30" max="16384" width="9.109375" style="2" hidden="1"/>
  </cols>
  <sheetData>
    <row r="1" spans="1:2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3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/>
    <row r="6" spans="1:28" ht="14.4" thickBot="1">
      <c r="B6" s="28" t="s">
        <v>75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</row>
    <row r="7" spans="1:28"/>
    <row r="8" spans="1:28">
      <c r="B8" s="33" t="s">
        <v>0</v>
      </c>
      <c r="C8" s="33" t="s">
        <v>3</v>
      </c>
      <c r="D8" s="37" t="s">
        <v>7</v>
      </c>
      <c r="E8" s="37" t="s">
        <v>2</v>
      </c>
      <c r="F8" s="37" t="s">
        <v>6</v>
      </c>
      <c r="G8" s="37" t="s">
        <v>47</v>
      </c>
      <c r="H8" s="37" t="s">
        <v>129</v>
      </c>
      <c r="I8" s="37" t="s">
        <v>8</v>
      </c>
      <c r="J8" s="37" t="s">
        <v>9</v>
      </c>
      <c r="K8" s="37" t="s">
        <v>10</v>
      </c>
      <c r="L8" s="64" t="s">
        <v>78</v>
      </c>
      <c r="M8" s="64" t="s">
        <v>79</v>
      </c>
    </row>
    <row r="9" spans="1:28">
      <c r="B9" s="34" t="s">
        <v>127</v>
      </c>
      <c r="C9" s="34" t="s">
        <v>5</v>
      </c>
      <c r="D9" s="34" t="str">
        <f>+UPPER('0. Instruções'!$D$35&amp;"."&amp;VLOOKUP(B9,'0. Instruções'!$C$27:$D$32,2,FALSE))</f>
        <v>CD_LOAN_TAPES_BCE.LT003_ENTITY</v>
      </c>
      <c r="E9" s="34" t="str">
        <f>+UPPER('0. Instruções'!$D$36&amp;"."&amp;VLOOKUP(B9,'0. Instruções'!$C$27:$E$32,3,FALSE))</f>
        <v>BU_LOANTAPE_WORK.LT003_ENTITY</v>
      </c>
      <c r="F9" s="34" t="s">
        <v>109</v>
      </c>
      <c r="G9" s="34"/>
      <c r="H9" s="34" t="s">
        <v>644</v>
      </c>
      <c r="I9" s="34" t="str">
        <f>"(SELECT "&amp;VLOOKUP(B9,'0. Instruções'!$C$27:$G$32,4,FALSE)&amp;", "&amp;F9&amp;" FROM "&amp;D9&amp;" WHERE "&amp;'0. Instruções'!$D$42&amp;")X"</f>
        <v>(SELECT entty_id, COD_SOC FROM CD_LOAN_TAPES_BCE.LT003_ENTITY WHERE ref_date='${ref_date}' AND nome_perimetro='Individual Corporativo' AND segmento='ESTR' AND ambito='PM' AND entidade='00100')X</v>
      </c>
      <c r="J9" s="34" t="str">
        <f>"(SELECT "&amp;VLOOKUP(B9,'0. Instruções'!$C$27:$G$32,4,FALSE)&amp;" AS "&amp;VLOOKUP(B9,'0. Instruções'!$C$27:$G$32,4,FALSE)&amp;"_SIMUL, "&amp;F9&amp;" AS "&amp;F9&amp;"_SIMUL FROM "&amp;E9&amp;" WHERE "&amp;'0. Instruções'!$D$43&amp;")Y"</f>
        <v>(SELECT entty_id AS entty_id_SIMUL, COD_SOC AS COD_SOC_SIMUL FROM BU_LOANTAPE_WORK.LT003_ENTITY WHERE ref_date='${ref_date}' AND nome_perimetro='Individual Corporativo' AND segmento='ESTR' AND ambito='PM' AND entidade='00100')Y</v>
      </c>
      <c r="K9" s="35" t="str">
        <f>+UPPER("ON X."&amp;VLOOKUP(B9,'0. Instruções'!$C$27:$G$32,4,FALSE)&amp;"=Y."&amp;VLOOKUP(B9,'0. Instruções'!$C$27:$G$32,4,FALSE)&amp;"_SIMUL")</f>
        <v>ON X.ENTTY_ID=Y.ENTTY_ID_SIMUL</v>
      </c>
      <c r="L9" s="35" t="str">
        <f>+IF(C9="Coerência", +IF(LEFT(G9,5)="FLOAT","SELECT '"&amp;UPPER(B9)&amp;"' AS TABELA, '"&amp;UPPER(C9)&amp;"' AS TIPOLOGIA_TESTE,'"&amp;D9&amp;"' AS TABELA_LT,'"&amp;E9&amp;"' AS TABELA_SIMUL,'"&amp;F9&amp;"' AS CAMPO, "&amp;"'${ref_date}' AS REF_DATE, COUNT(*) AS NUM_REG, SUM(IF((ABS(COALESCE(CAST(X."&amp;F9&amp;" AS DECIMAL(18,6)),0)-COALESCE(CAST(Y."&amp;F9&amp;"_SIMUL AS DECIMAL(18,6)),0))&gt;0.000001) OR (X."&amp;F9&amp;" IS NULL AND Y."&amp;F9&amp;"_SIMUL IS NOT NULL ) OR (X."&amp;F9&amp;" IS NOT NULL AND Y."&amp;F9&amp;"_SIMUL IS NULL),1,0)) AS NUM_REG_DIF,'"&amp;MAX('ID1&amp;5'!K:K)+1&amp;"' AS ID_EXEC, CURRENT_TIMESTAMP() AS TIME_EXEC FROM "&amp;I9&amp;" INNER JOIN "&amp;J9&amp;" "&amp;K9,"SELECT '"&amp;UPPER(B9)&amp;"' AS TABELA, '"&amp;UPPER(C9)&amp;"' AS TIPOLOGIA_TESTE,'"&amp;D9&amp;"' AS TABELA_LT,'"&amp;E9&amp;"' AS TABELA_SIMUL,'"&amp;F9&amp;"' AS CAMPO, "&amp;"'${ref_date}' AS REF_DATE, COUNT(*) AS NUM_REG, SUM(IF(COALESCE(CAST(X."&amp;F9&amp;" AS STRING),'')&lt;&gt;COALESCE(CAST(Y."&amp;F9&amp;"_SIMUL AS STRING),'') OR (X."&amp;F9&amp;" IS NULL AND Y."&amp;F9&amp;"_SIMUL IS NOT NULL ) OR (X."&amp;F9&amp;" IS NOT NULL AND Y."&amp;F9&amp;"_SIMUL IS NULL),1,0)) AS NUM_REG_DIF,'"&amp;MAX('ID1&amp;5'!L:L)+1&amp;"' AS ID_EXEC, CURRENT_TIMESTAMP() AS TIME_EXEC FROM "&amp;I9&amp;" INNER JOIN "&amp;J9&amp;" "&amp;K9),
IF(C9="Validade",+IF(G9="Code List","SELECT '"&amp;UPPER(B9)&amp;"' AS TABELA, '"&amp;UPPER(C9)&amp;"' AS TIPOLOGIA_TESTE,'"&amp;D9&amp;"' AS TABELA_LT,'N/A' AS TABELA_SIMUL,'"&amp;F9&amp;"' AS CAMPO, "&amp;"'${ref_date}' AS REF_DATE, COUNT(*) AS NUM_REG, SUM(IF(TRIM(CAST(X."&amp;F9&amp;" AS STRING))='' OR TRIM(CAST(X."&amp;F9&amp;" AS STRING)) IS NULL OR CAST(X."&amp;F9&amp;" AS STRING) NOT "&amp;H9&amp;",1,0)) AS NUM_REG_DIF,'"&amp;MAX('ID1&amp;5'!K:K)+1&amp;"' AS ID_EXEC, CURRENT_TIMESTAMP() AS TIME_EXEC FROM "&amp;I9,"SELECT '"&amp;UPPER(B9)&amp;"' AS TABELA, '"&amp;UPPER(C9)&amp;"' AS TIPOLOGIA_TESTE,'"&amp;D9&amp;"' AS TABELA_LT,'N/A' AS TABELA_SIMUL,'"&amp;F9&amp;"' AS CAMPO, "&amp;"'${ref_date}' AS REF_DATE, COUNT(*) AS NUM_REG, SUM(IF(TRIM(CAST(X."&amp;F9&amp;" AS STRING))='' OR TRIM(CAST(X."&amp;F9&amp;" AS STRING)) IS NULL,1,0)) AS NUM_REG_DIF,'"&amp;MAX('ID1&amp;5'!K:K)+1&amp;"' AS ID_EXEC, CURRENT_TIMESTAMP() AS TIME_EXEC FROM "&amp;I9),
IF(C9="Caracteres Especiais",+"SELECT '"&amp;UPPER(B9)&amp;"' AS TABELA, '"&amp;UPPER(C9)&amp;"' AS TIPOLOGIA_TESTE,'"&amp;D9&amp;"' AS TABELA_LT,'N/A' AS TABELA_SIMUL,'"&amp;F9&amp;"' AS CAMPO, "&amp;"'${ref_date}' AS REF_DATE, COUNT(*) AS NUM_REG, SUM(IF(REGEXP_REPLACE(TRIM(CAST(X."&amp;F9&amp;" AS STRING)),'[^a-zA-Z0-9_\\s]','') &lt;&gt;TRIM(CAST(X."&amp;F9&amp;" AS STRING)),1,0)) AS NUM_REG_DIF,'"&amp;MAX('ID1&amp;5'!K:K)+1&amp;"' AS ID_EXEC, CURRENT_TIMESTAMP() AS TIME_EXEC FROM "&amp;I9,
IF(C9="Missings",+"SELECT '"&amp;UPPER(B9)&amp;"' AS TABELA, '"&amp;UPPER(C9)&amp;"' AS TIPOLOGIA_TESTE,'"&amp;D9&amp;"' AS TABELA_LT,'N/A' AS TABELA_SIMUL,'"&amp;F9&amp;"' AS CAMPO, "&amp;"'${ref_date}' AS REF_DATE, COUNT(*) AS NUM_REG, SUM(IF(TRIM(CAST(X."&amp;F9&amp;" AS STRING)) IN ('0000-00-00','0001-01-01','9999-12-31','MISS','00000','99999999999','99999999999.00','99999999999.000000'),1,0)) AS NUM_REG_DIF,'"&amp;MAX('ID1&amp;5'!K:K)+1&amp;"' AS ID_EXEC, CURRENT_TIMESTAMP() AS TIME_EXEC FROM "&amp;I9,
IF(C9="Not applicable",+"SELECT '"&amp;UPPER(B9)&amp;"' AS TABELA, '"&amp;UPPER(C9)&amp;"' AS TIPOLOGIA_TESTE,'"&amp;D9&amp;"' AS TABELA_LT,'N/A' AS TABELA_SIMUL,'"&amp;F9&amp;"' AS CAMPO, "&amp;"'${ref_date}' AS REF_DATE, COUNT(*) AS NUM_REG, SUM(IF(TRIM(CAST(X."&amp;F9&amp;" AS STRING)) IN ('N/A','11111111111','11111111111.00','11111111111.000000','1111-11-11'),1,0)) AS NUM_REG_DIF,'"&amp;MAX('ID1&amp;5'!K:K)+1&amp;"' AS ID_EXEC, CURRENT_TIMESTAMP() AS TIME_EXEC FROM "&amp;I9,
IF(C9="Valores extremos",+"SELECT '"&amp;UPPER(B9)&amp;"' AS TABELA, '"&amp;UPPER(C9)&amp;"' AS TIPOLOGIA_TESTE,'"&amp;D9&amp;"' AS TABELA_LT,'N/A' AS TABELA_SIMUL,'"&amp;F9&amp;"' AS CAMPO, "&amp;"'${ref_date}' AS REF_DATE, CAST(MIN("&amp;F9&amp;") AS STRING) AS VALOR_MIN, CAST(MAX("&amp;F9&amp;") AS STRING) AS VALOR_MAX,'"&amp;MAX('ID1&amp;5'!K:K)+1&amp;"' AS ID_EXEC, CURRENT_TIMESTAMP() AS TIME_EXEC FROM "&amp;MID(I9,1,LEN(I9)-2)&amp;" AND CAST("&amp;F9&amp;"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TABELA_SIMUL,'COD_SOC' AS CAMPO, '${ref_date}' AS REF_DATE, COUNT(*) AS NUM_REG, SUM(IF(COALESCE(CAST(X.COD_SOC AS STRING),'')&lt;&gt;COALESCE(CAST(Y.COD_SOC_SIMUL AS STRING),'') OR (X.COD_SOC IS NULL AND Y.COD_SOC_SIMUL IS NOT NULL ) OR (X.COD_SOC IS NOT NULL AND Y.COD_SOC_SIMUL IS NULL),1,0)) AS NUM_REG_DIF,'1' AS ID_EXEC, CURRENT_TIMESTAMP() AS TIME_EXEC FROM (SELECT entty_id, COD_SOC FROM CD_LOAN_TAPES_BCE.LT003_ENTITY WHERE ref_date='${ref_date}' AND nome_perimetro='Individual Corporativo' AND segmento='ESTR' AND ambito='PM' AND entidade='00100')X INNER JOIN (SELECT entty_id AS entty_id_SIMUL, COD_SOC AS COD_SOC_SIMUL FROM BU_LOANTAPE_WORK.LT003_ENTITY WHERE ref_date='${ref_date}' AND nome_perimetro='Individual Corporativo' AND segmento='ESTR' AND ambito='PM' AND entidade='00100')Y ON X.ENTTY_ID=Y.ENTTY_ID_SIMUL</v>
      </c>
      <c r="M9" s="36" t="str">
        <f t="shared" ref="M9:M60" si="0">+"UNION ALL "&amp;L9</f>
        <v>UNION ALL SELECT 'ENTITY' AS TABELA, 'COERÊNCIA' AS TIPOLOGIA_TESTE,'CD_LOAN_TAPES_BCE.LT003_ENTITY' AS TABELA_LT,'BU_LOANTAPE_WORK.LT003_ENTITY' AS TABELA_SIMUL,'COD_SOC' AS CAMPO, '${ref_date}' AS REF_DATE, COUNT(*) AS NUM_REG, SUM(IF(COALESCE(CAST(X.COD_SOC AS STRING),'')&lt;&gt;COALESCE(CAST(Y.COD_SOC_SIMUL AS STRING),'') OR (X.COD_SOC IS NULL AND Y.COD_SOC_SIMUL IS NOT NULL ) OR (X.COD_SOC IS NOT NULL AND Y.COD_SOC_SIMUL IS NULL),1,0)) AS NUM_REG_DIF,'1' AS ID_EXEC, CURRENT_TIMESTAMP() AS TIME_EXEC FROM (SELECT entty_id, COD_SOC FROM CD_LOAN_TAPES_BCE.LT003_ENTITY WHERE ref_date='${ref_date}' AND nome_perimetro='Individual Corporativo' AND segmento='ESTR' AND ambito='PM' AND entidade='00100')X INNER JOIN (SELECT entty_id AS entty_id_SIMUL, COD_SOC AS COD_SOC_SIMUL FROM BU_LOANTAPE_WORK.LT003_ENTITY WHERE ref_date='${ref_date}' AND nome_perimetro='Individual Corporativo' AND segmento='ESTR' AND ambito='PM' AND entidade='00100')Y ON X.ENTTY_ID=Y.ENTTY_ID_SIMUL</v>
      </c>
      <c r="N9" s="38" t="s">
        <v>46</v>
      </c>
    </row>
    <row r="10" spans="1:28">
      <c r="B10" s="34" t="s">
        <v>127</v>
      </c>
      <c r="C10" s="34" t="s">
        <v>5</v>
      </c>
      <c r="D10" s="34" t="str">
        <f>+UPPER('0. Instruções'!$D$35&amp;"."&amp;VLOOKUP(B10,'0. Instruções'!$C$27:$D$32,2,FALSE))</f>
        <v>CD_LOAN_TAPES_BCE.LT003_ENTITY</v>
      </c>
      <c r="E10" s="34" t="str">
        <f>+UPPER('0. Instruções'!$D$36&amp;"."&amp;VLOOKUP(B10,'0. Instruções'!$C$27:$E$32,3,FALSE))</f>
        <v>BU_LOANTAPE_WORK.LT003_ENTITY</v>
      </c>
      <c r="F10" s="34" t="s">
        <v>113</v>
      </c>
      <c r="G10" s="34"/>
      <c r="H10" s="34" t="s">
        <v>89</v>
      </c>
      <c r="I10" s="34" t="str">
        <f>"(SELECT "&amp;VLOOKUP(B10,'0. Instruções'!$C$27:$G$32,4,FALSE)&amp;", "&amp;F10&amp;" FROM "&amp;D10&amp;" WHERE "&amp;'0. Instruções'!$D$42&amp;")X"</f>
        <v>(SELECT entty_id, CNTRY FROM CD_LOAN_TAPES_BCE.LT003_ENTITY WHERE ref_date='${ref_date}' AND nome_perimetro='Individual Corporativo' AND segmento='ESTR' AND ambito='PM' AND entidade='00100')X</v>
      </c>
      <c r="J10" s="34" t="str">
        <f>"(SELECT "&amp;VLOOKUP(B10,'0. Instruções'!$C$27:$G$32,4,FALSE)&amp;" AS "&amp;VLOOKUP(B10,'0. Instruções'!$C$27:$G$32,4,FALSE)&amp;"_SIMUL, "&amp;F10&amp;" AS "&amp;F10&amp;"_SIMUL FROM "&amp;E10&amp;" WHERE "&amp;'0. Instruções'!$D$43&amp;")Y"</f>
        <v>(SELECT entty_id AS entty_id_SIMUL, CNTRY AS CNTRY_SIMUL FROM BU_LOANTAPE_WORK.LT003_ENTITY WHERE ref_date='${ref_date}' AND nome_perimetro='Individual Corporativo' AND segmento='ESTR' AND ambito='PM' AND entidade='00100')Y</v>
      </c>
      <c r="K10" s="35" t="str">
        <f>+UPPER("ON X."&amp;VLOOKUP(B10,'0. Instruções'!$C$27:$G$32,4,FALSE)&amp;"=Y."&amp;VLOOKUP(B10,'0. Instruções'!$C$27:$G$32,4,FALSE)&amp;"_SIMUL")</f>
        <v>ON X.ENTTY_ID=Y.ENTTY_ID_SIMUL</v>
      </c>
      <c r="L10" s="35" t="str">
        <f>+IF(C10="Coerência", +IF(LEFT(G10,5)="FLOAT","SELECT '"&amp;UPPER(B10)&amp;"' AS TABELA, '"&amp;UPPER(C10)&amp;"' AS TIPOLOGIA_TESTE,'"&amp;D10&amp;"' AS TABELA_LT,'"&amp;E10&amp;"' AS TABELA_SIMUL,'"&amp;F10&amp;"' AS CAMPO, "&amp;"'${ref_date}' AS REF_DATE, COUNT(*) AS NUM_REG, SUM(IF((ABS(COALESCE(CAST(X."&amp;F10&amp;" AS DECIMAL(18,6)),0)-COALESCE(CAST(Y."&amp;F10&amp;"_SIMUL AS DECIMAL(18,6)),0))&gt;0.000001) OR (X."&amp;F10&amp;" IS NULL AND Y."&amp;F10&amp;"_SIMUL IS NOT NULL ) OR (X."&amp;F10&amp;" IS NOT NULL AND Y."&amp;F10&amp;"_SIMUL IS NULL),1,0)) AS NUM_REG_DIF,'"&amp;MAX('ID1&amp;5'!K:K)+1&amp;"' AS ID_EXEC, CURRENT_TIMESTAMP() AS TIME_EXEC FROM "&amp;I10&amp;" INNER JOIN "&amp;J10&amp;" "&amp;K10,"SELECT '"&amp;UPPER(B10)&amp;"' AS TABELA, '"&amp;UPPER(C10)&amp;"' AS TIPOLOGIA_TESTE,'"&amp;D10&amp;"' AS TABELA_LT,'"&amp;E10&amp;"' AS TABELA_SIMUL,'"&amp;F10&amp;"' AS CAMPO, "&amp;"'${ref_date}' AS REF_DATE, COUNT(*) AS NUM_REG, SUM(IF(COALESCE(CAST(X."&amp;F10&amp;" AS STRING),'')&lt;&gt;COALESCE(CAST(Y."&amp;F10&amp;"_SIMUL AS STRING),'') OR (X."&amp;F10&amp;" IS NULL AND Y."&amp;F10&amp;"_SIMUL IS NOT NULL ) OR (X."&amp;F10&amp;" IS NOT NULL AND Y."&amp;F10&amp;"_SIMUL IS NULL),1,0)) AS NUM_REG_DIF,'"&amp;MAX('ID1&amp;5'!L:L)+1&amp;"' AS ID_EXEC, CURRENT_TIMESTAMP() AS TIME_EXEC FROM "&amp;I10&amp;" INNER JOIN "&amp;J10&amp;" "&amp;K10),
IF(C10="Validade",+IF(G10="Code List","SELECT '"&amp;UPPER(B10)&amp;"' AS TABELA, '"&amp;UPPER(C10)&amp;"' AS TIPOLOGIA_TESTE,'"&amp;D10&amp;"' AS TABELA_LT,'N/A' AS TABELA_SIMUL,'"&amp;F10&amp;"' AS CAMPO, "&amp;"'${ref_date}' AS REF_DATE, COUNT(*) AS NUM_REG, SUM(IF(TRIM(CAST(X."&amp;F10&amp;" AS STRING))='' OR TRIM(CAST(X."&amp;F10&amp;" AS STRING)) IS NULL OR CAST(X."&amp;F10&amp;" AS STRING) NOT "&amp;H10&amp;",1,0)) AS NUM_REG_DIF,'"&amp;MAX('ID1&amp;5'!K:K)+1&amp;"' AS ID_EXEC, CURRENT_TIMESTAMP() AS TIME_EXEC FROM "&amp;I10,"SELECT '"&amp;UPPER(B10)&amp;"' AS TABELA, '"&amp;UPPER(C10)&amp;"' AS TIPOLOGIA_TESTE,'"&amp;D10&amp;"' AS TABELA_LT,'N/A' AS TABELA_SIMUL,'"&amp;F10&amp;"' AS CAMPO, "&amp;"'${ref_date}' AS REF_DATE, COUNT(*) AS NUM_REG, SUM(IF(TRIM(CAST(X."&amp;F10&amp;" AS STRING))='' OR TRIM(CAST(X."&amp;F10&amp;" AS STRING)) IS NULL,1,0)) AS NUM_REG_DIF,'"&amp;MAX('ID1&amp;5'!K:K)+1&amp;"' AS ID_EXEC, CURRENT_TIMESTAMP() AS TIME_EXEC FROM "&amp;I10),
IF(C10="Caracteres Especiais",+"SELECT '"&amp;UPPER(B10)&amp;"' AS TABELA, '"&amp;UPPER(C10)&amp;"' AS TIPOLOGIA_TESTE,'"&amp;D10&amp;"' AS TABELA_LT,'N/A' AS TABELA_SIMUL,'"&amp;F10&amp;"' AS CAMPO, "&amp;"'${ref_date}' AS REF_DATE, COUNT(*) AS NUM_REG, SUM(IF(REGEXP_REPLACE(TRIM(CAST(X."&amp;F10&amp;" AS STRING)),'[^a-zA-Z0-9_\\s]','') &lt;&gt;TRIM(CAST(X."&amp;F10&amp;" AS STRING)),1,0)) AS NUM_REG_DIF,'"&amp;MAX('ID1&amp;5'!K:K)+1&amp;"' AS ID_EXEC, CURRENT_TIMESTAMP() AS TIME_EXEC FROM "&amp;I10,
IF(C10="Missings",+"SELECT '"&amp;UPPER(B10)&amp;"' AS TABELA, '"&amp;UPPER(C10)&amp;"' AS TIPOLOGIA_TESTE,'"&amp;D10&amp;"' AS TABELA_LT,'N/A' AS TABELA_SIMUL,'"&amp;F10&amp;"' AS CAMPO, "&amp;"'${ref_date}' AS REF_DATE, COUNT(*) AS NUM_REG, SUM(IF(TRIM(CAST(X."&amp;F10&amp;" AS STRING)) IN ('0000-00-00','0001-01-01','9999-12-31','MISS','00000','99999999999','99999999999.00','99999999999.000000'),1,0)) AS NUM_REG_DIF,'"&amp;MAX('ID1&amp;5'!K:K)+1&amp;"' AS ID_EXEC, CURRENT_TIMESTAMP() AS TIME_EXEC FROM "&amp;I10,
IF(C10="Not applicable",+"SELECT '"&amp;UPPER(B10)&amp;"' AS TABELA, '"&amp;UPPER(C10)&amp;"' AS TIPOLOGIA_TESTE,'"&amp;D10&amp;"' AS TABELA_LT,'N/A' AS TABELA_SIMUL,'"&amp;F10&amp;"' AS CAMPO, "&amp;"'${ref_date}' AS REF_DATE, COUNT(*) AS NUM_REG, SUM(IF(TRIM(CAST(X."&amp;F10&amp;" AS STRING)) IN ('N/A','11111111111','11111111111.00','11111111111.000000','1111-11-11'),1,0)) AS NUM_REG_DIF,'"&amp;MAX('ID1&amp;5'!K:K)+1&amp;"' AS ID_EXEC, CURRENT_TIMESTAMP() AS TIME_EXEC FROM "&amp;I10,
IF(C10="Valores extremos",+"SELECT '"&amp;UPPER(B10)&amp;"' AS TABELA, '"&amp;UPPER(C10)&amp;"' AS TIPOLOGIA_TESTE,'"&amp;D10&amp;"' AS TABELA_LT,'N/A' AS TABELA_SIMUL,'"&amp;F10&amp;"' AS CAMPO, "&amp;"'${ref_date}' AS REF_DATE, CAST(MIN("&amp;F10&amp;") AS STRING) AS VALOR_MIN, CAST(MAX("&amp;F10&amp;") AS STRING) AS VALOR_MAX,'"&amp;MAX('ID1&amp;5'!K:K)+1&amp;"' AS ID_EXEC, CURRENT_TIMESTAMP() AS TIME_EXEC FROM "&amp;MID(I10,1,LEN(I10)-2)&amp;" AND CAST("&amp;F10&amp;"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TABELA_SIMUL,'CNTRY' AS CAMPO, '${ref_date}' AS REF_DATE, COUNT(*) AS NUM_REG, SUM(IF(COALESCE(CAST(X.CNTRY AS STRING),'')&lt;&gt;COALESCE(CAST(Y.CNTRY_SIMUL AS STRING),'') OR (X.CNTRY IS NULL AND Y.CNTRY_SIMUL IS NOT NULL ) OR (X.CNTRY IS NOT NULL AND Y.CNTRY_SIMUL IS NULL),1,0)) AS NUM_REG_DIF,'1' AS ID_EXEC, CURRENT_TIMESTAMP() AS TIME_EXEC FROM (SELECT entty_id, CNTRY FROM CD_LOAN_TAPES_BCE.LT003_ENTITY WHERE ref_date='${ref_date}' AND nome_perimetro='Individual Corporativo' AND segmento='ESTR' AND ambito='PM' AND entidade='00100')X INNER JOIN (SELECT entty_id AS entty_id_SIMUL, CNTRY AS CNTRY_SIMUL FROM BU_LOANTAPE_WORK.LT003_ENTITY WHERE ref_date='${ref_date}' AND nome_perimetro='Individual Corporativo' AND segmento='ESTR' AND ambito='PM' AND entidade='00100')Y ON X.ENTTY_ID=Y.ENTTY_ID_SIMUL</v>
      </c>
      <c r="M10" s="36" t="str">
        <f t="shared" si="0"/>
        <v>UNION ALL SELECT 'ENTITY' AS TABELA, 'COERÊNCIA' AS TIPOLOGIA_TESTE,'CD_LOAN_TAPES_BCE.LT003_ENTITY' AS TABELA_LT,'BU_LOANTAPE_WORK.LT003_ENTITY' AS TABELA_SIMUL,'CNTRY' AS CAMPO, '${ref_date}' AS REF_DATE, COUNT(*) AS NUM_REG, SUM(IF(COALESCE(CAST(X.CNTRY AS STRING),'')&lt;&gt;COALESCE(CAST(Y.CNTRY_SIMUL AS STRING),'') OR (X.CNTRY IS NULL AND Y.CNTRY_SIMUL IS NOT NULL ) OR (X.CNTRY IS NOT NULL AND Y.CNTRY_SIMUL IS NULL),1,0)) AS NUM_REG_DIF,'1' AS ID_EXEC, CURRENT_TIMESTAMP() AS TIME_EXEC FROM (SELECT entty_id, CNTRY FROM CD_LOAN_TAPES_BCE.LT003_ENTITY WHERE ref_date='${ref_date}' AND nome_perimetro='Individual Corporativo' AND segmento='ESTR' AND ambito='PM' AND entidade='00100')X INNER JOIN (SELECT entty_id AS entty_id_SIMUL, CNTRY AS CNTRY_SIMUL FROM BU_LOANTAPE_WORK.LT003_ENTITY WHERE ref_date='${ref_date}' AND nome_perimetro='Individual Corporativo' AND segmento='ESTR' AND ambito='PM' AND entidade='00100')Y ON X.ENTTY_ID=Y.ENTTY_ID_SIMUL</v>
      </c>
      <c r="N10" s="38" t="s">
        <v>46</v>
      </c>
    </row>
    <row r="11" spans="1:28">
      <c r="B11" s="34" t="s">
        <v>127</v>
      </c>
      <c r="C11" s="34" t="s">
        <v>5</v>
      </c>
      <c r="D11" s="34" t="str">
        <f>+UPPER('0. Instruções'!$D$35&amp;"."&amp;VLOOKUP(B11,'0. Instruções'!$C$27:$D$32,2,FALSE))</f>
        <v>CD_LOAN_TAPES_BCE.LT003_ENTITY</v>
      </c>
      <c r="E11" s="34" t="str">
        <f>+UPPER('0. Instruções'!$D$36&amp;"."&amp;VLOOKUP(B11,'0. Instruções'!$C$27:$E$32,3,FALSE))</f>
        <v>BU_LOANTAPE_WORK.LT003_ENTITY</v>
      </c>
      <c r="F11" s="34" t="s">
        <v>324</v>
      </c>
      <c r="G11" s="34"/>
      <c r="H11" s="34" t="s">
        <v>645</v>
      </c>
      <c r="I11" s="34" t="str">
        <f>"(SELECT "&amp;VLOOKUP(B11,'0. Instruções'!$C$27:$G$32,4,FALSE)&amp;", "&amp;F11&amp;" FROM "&amp;D11&amp;" WHERE "&amp;'0. Instruções'!$D$42&amp;")X"</f>
        <v>(SELECT entty_id, DT_BRTH FROM CD_LOAN_TAPES_BCE.LT003_ENTITY WHERE ref_date='${ref_date}' AND nome_perimetro='Individual Corporativo' AND segmento='ESTR' AND ambito='PM' AND entidade='00100')X</v>
      </c>
      <c r="J11" s="34" t="str">
        <f>"(SELECT "&amp;VLOOKUP(B11,'0. Instruções'!$C$27:$G$32,4,FALSE)&amp;" AS "&amp;VLOOKUP(B11,'0. Instruções'!$C$27:$G$32,4,FALSE)&amp;"_SIMUL, "&amp;F11&amp;" AS "&amp;F11&amp;"_SIMUL FROM "&amp;E11&amp;" WHERE "&amp;'0. Instruções'!$D$43&amp;")Y"</f>
        <v>(SELECT entty_id AS entty_id_SIMUL, DT_BRTH AS DT_BRTH_SIMUL FROM BU_LOANTAPE_WORK.LT003_ENTITY WHERE ref_date='${ref_date}' AND nome_perimetro='Individual Corporativo' AND segmento='ESTR' AND ambito='PM' AND entidade='00100')Y</v>
      </c>
      <c r="K11" s="35" t="str">
        <f>+UPPER("ON X."&amp;VLOOKUP(B11,'0. Instruções'!$C$27:$G$32,4,FALSE)&amp;"=Y."&amp;VLOOKUP(B11,'0. Instruções'!$C$27:$G$32,4,FALSE)&amp;"_SIMUL")</f>
        <v>ON X.ENTTY_ID=Y.ENTTY_ID_SIMUL</v>
      </c>
      <c r="L11" s="35" t="str">
        <f>+IF(C11="Coerência", +IF(LEFT(G11,5)="FLOAT","SELECT '"&amp;UPPER(B11)&amp;"' AS TABELA, '"&amp;UPPER(C11)&amp;"' AS TIPOLOGIA_TESTE,'"&amp;D11&amp;"' AS TABELA_LT,'"&amp;E11&amp;"' AS TABELA_SIMUL,'"&amp;F11&amp;"' AS CAMPO, "&amp;"'${ref_date}' AS REF_DATE, COUNT(*) AS NUM_REG, SUM(IF((ABS(COALESCE(CAST(X."&amp;F11&amp;" AS DECIMAL(18,6)),0)-COALESCE(CAST(Y."&amp;F11&amp;"_SIMUL AS DECIMAL(18,6)),0))&gt;0.000001) OR (X."&amp;F11&amp;" IS NULL AND Y."&amp;F11&amp;"_SIMUL IS NOT NULL ) OR (X."&amp;F11&amp;" IS NOT NULL AND Y."&amp;F11&amp;"_SIMUL IS NULL),1,0)) AS NUM_REG_DIF,'"&amp;MAX('ID1&amp;5'!K:K)+1&amp;"' AS ID_EXEC, CURRENT_TIMESTAMP() AS TIME_EXEC FROM "&amp;I11&amp;" INNER JOIN "&amp;J11&amp;" "&amp;K11,"SELECT '"&amp;UPPER(B11)&amp;"' AS TABELA, '"&amp;UPPER(C11)&amp;"' AS TIPOLOGIA_TESTE,'"&amp;D11&amp;"' AS TABELA_LT,'"&amp;E11&amp;"' AS TABELA_SIMUL,'"&amp;F11&amp;"' AS CAMPO, "&amp;"'${ref_date}' AS REF_DATE, COUNT(*) AS NUM_REG, SUM(IF(COALESCE(CAST(X."&amp;F11&amp;" AS STRING),'')&lt;&gt;COALESCE(CAST(Y."&amp;F11&amp;"_SIMUL AS STRING),'') OR (X."&amp;F11&amp;" IS NULL AND Y."&amp;F11&amp;"_SIMUL IS NOT NULL ) OR (X."&amp;F11&amp;" IS NOT NULL AND Y."&amp;F11&amp;"_SIMUL IS NULL),1,0)) AS NUM_REG_DIF,'"&amp;MAX('ID1&amp;5'!L:L)+1&amp;"' AS ID_EXEC, CURRENT_TIMESTAMP() AS TIME_EXEC FROM "&amp;I11&amp;" INNER JOIN "&amp;J11&amp;" "&amp;K11),
IF(C11="Validade",+IF(G11="Code List","SELECT '"&amp;UPPER(B11)&amp;"' AS TABELA, '"&amp;UPPER(C11)&amp;"' AS TIPOLOGIA_TESTE,'"&amp;D11&amp;"' AS TABELA_LT,'N/A' AS TABELA_SIMUL,'"&amp;F11&amp;"' AS CAMPO, "&amp;"'${ref_date}' AS REF_DATE, COUNT(*) AS NUM_REG, SUM(IF(TRIM(CAST(X."&amp;F11&amp;" AS STRING))='' OR TRIM(CAST(X."&amp;F11&amp;" AS STRING)) IS NULL OR CAST(X."&amp;F11&amp;" AS STRING) NOT "&amp;H11&amp;",1,0)) AS NUM_REG_DIF,'"&amp;MAX('ID1&amp;5'!K:K)+1&amp;"' AS ID_EXEC, CURRENT_TIMESTAMP() AS TIME_EXEC FROM "&amp;I11,"SELECT '"&amp;UPPER(B11)&amp;"' AS TABELA, '"&amp;UPPER(C11)&amp;"' AS TIPOLOGIA_TESTE,'"&amp;D11&amp;"' AS TABELA_LT,'N/A' AS TABELA_SIMUL,'"&amp;F11&amp;"' AS CAMPO, "&amp;"'${ref_date}' AS REF_DATE, COUNT(*) AS NUM_REG, SUM(IF(TRIM(CAST(X."&amp;F11&amp;" AS STRING))='' OR TRIM(CAST(X."&amp;F11&amp;" AS STRING)) IS NULL,1,0)) AS NUM_REG_DIF,'"&amp;MAX('ID1&amp;5'!K:K)+1&amp;"' AS ID_EXEC, CURRENT_TIMESTAMP() AS TIME_EXEC FROM "&amp;I11),
IF(C11="Caracteres Especiais",+"SELECT '"&amp;UPPER(B11)&amp;"' AS TABELA, '"&amp;UPPER(C11)&amp;"' AS TIPOLOGIA_TESTE,'"&amp;D11&amp;"' AS TABELA_LT,'N/A' AS TABELA_SIMUL,'"&amp;F11&amp;"' AS CAMPO, "&amp;"'${ref_date}' AS REF_DATE, COUNT(*) AS NUM_REG, SUM(IF(REGEXP_REPLACE(TRIM(CAST(X."&amp;F11&amp;" AS STRING)),'[^a-zA-Z0-9_\\s]','') &lt;&gt;TRIM(CAST(X."&amp;F11&amp;" AS STRING)),1,0)) AS NUM_REG_DIF,'"&amp;MAX('ID1&amp;5'!K:K)+1&amp;"' AS ID_EXEC, CURRENT_TIMESTAMP() AS TIME_EXEC FROM "&amp;I11,
IF(C11="Missings",+"SELECT '"&amp;UPPER(B11)&amp;"' AS TABELA, '"&amp;UPPER(C11)&amp;"' AS TIPOLOGIA_TESTE,'"&amp;D11&amp;"' AS TABELA_LT,'N/A' AS TABELA_SIMUL,'"&amp;F11&amp;"' AS CAMPO, "&amp;"'${ref_date}' AS REF_DATE, COUNT(*) AS NUM_REG, SUM(IF(TRIM(CAST(X."&amp;F11&amp;" AS STRING)) IN ('0000-00-00','0001-01-01','9999-12-31','MISS','00000','99999999999','99999999999.00','99999999999.000000'),1,0)) AS NUM_REG_DIF,'"&amp;MAX('ID1&amp;5'!K:K)+1&amp;"' AS ID_EXEC, CURRENT_TIMESTAMP() AS TIME_EXEC FROM "&amp;I11,
IF(C11="Not applicable",+"SELECT '"&amp;UPPER(B11)&amp;"' AS TABELA, '"&amp;UPPER(C11)&amp;"' AS TIPOLOGIA_TESTE,'"&amp;D11&amp;"' AS TABELA_LT,'N/A' AS TABELA_SIMUL,'"&amp;F11&amp;"' AS CAMPO, "&amp;"'${ref_date}' AS REF_DATE, COUNT(*) AS NUM_REG, SUM(IF(TRIM(CAST(X."&amp;F11&amp;" AS STRING)) IN ('N/A','11111111111','11111111111.00','11111111111.000000','1111-11-11'),1,0)) AS NUM_REG_DIF,'"&amp;MAX('ID1&amp;5'!K:K)+1&amp;"' AS ID_EXEC, CURRENT_TIMESTAMP() AS TIME_EXEC FROM "&amp;I11,
IF(C11="Valores extremos",+"SELECT '"&amp;UPPER(B11)&amp;"' AS TABELA, '"&amp;UPPER(C11)&amp;"' AS TIPOLOGIA_TESTE,'"&amp;D11&amp;"' AS TABELA_LT,'N/A' AS TABELA_SIMUL,'"&amp;F11&amp;"' AS CAMPO, "&amp;"'${ref_date}' AS REF_DATE, CAST(MIN("&amp;F11&amp;") AS STRING) AS VALOR_MIN, CAST(MAX("&amp;F11&amp;") AS STRING) AS VALOR_MAX,'"&amp;MAX('ID1&amp;5'!K:K)+1&amp;"' AS ID_EXEC, CURRENT_TIMESTAMP() AS TIME_EXEC FROM "&amp;MID(I11,1,LEN(I11)-2)&amp;" AND CAST("&amp;F11&amp;"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TABELA_SIMUL,'DT_BRTH' AS CAMPO, '${ref_date}' AS REF_DATE, COUNT(*) AS NUM_REG, SUM(IF(COALESCE(CAST(X.DT_BRTH AS STRING),'')&lt;&gt;COALESCE(CAST(Y.DT_BRTH_SIMUL AS STRING),'') OR (X.DT_BRTH IS NULL AND Y.DT_BRTH_SIMUL IS NOT NULL ) OR (X.DT_BRTH IS NOT NULL AND Y.DT_BRTH_SIMUL IS NULL),1,0)) AS NUM_REG_DIF,'1' AS ID_EXEC, CURRENT_TIMESTAMP() AS TIME_EXEC FROM (SELECT entty_id, DT_BRTH FROM CD_LOAN_TAPES_BCE.LT003_ENTITY WHERE ref_date='${ref_date}' AND nome_perimetro='Individual Corporativo' AND segmento='ESTR' AND ambito='PM' AND entidade='00100')X INNER JOIN (SELECT entty_id AS entty_id_SIMUL, DT_BRTH AS DT_BRTH_SIMUL FROM BU_LOANTAPE_WORK.LT003_ENTITY WHERE ref_date='${ref_date}' AND nome_perimetro='Individual Corporativo' AND segmento='ESTR' AND ambito='PM' AND entidade='00100')Y ON X.ENTTY_ID=Y.ENTTY_ID_SIMUL</v>
      </c>
      <c r="M11" s="36" t="str">
        <f t="shared" si="0"/>
        <v>UNION ALL SELECT 'ENTITY' AS TABELA, 'COERÊNCIA' AS TIPOLOGIA_TESTE,'CD_LOAN_TAPES_BCE.LT003_ENTITY' AS TABELA_LT,'BU_LOANTAPE_WORK.LT003_ENTITY' AS TABELA_SIMUL,'DT_BRTH' AS CAMPO, '${ref_date}' AS REF_DATE, COUNT(*) AS NUM_REG, SUM(IF(COALESCE(CAST(X.DT_BRTH AS STRING),'')&lt;&gt;COALESCE(CAST(Y.DT_BRTH_SIMUL AS STRING),'') OR (X.DT_BRTH IS NULL AND Y.DT_BRTH_SIMUL IS NOT NULL ) OR (X.DT_BRTH IS NOT NULL AND Y.DT_BRTH_SIMUL IS NULL),1,0)) AS NUM_REG_DIF,'1' AS ID_EXEC, CURRENT_TIMESTAMP() AS TIME_EXEC FROM (SELECT entty_id, DT_BRTH FROM CD_LOAN_TAPES_BCE.LT003_ENTITY WHERE ref_date='${ref_date}' AND nome_perimetro='Individual Corporativo' AND segmento='ESTR' AND ambito='PM' AND entidade='00100')X INNER JOIN (SELECT entty_id AS entty_id_SIMUL, DT_BRTH AS DT_BRTH_SIMUL FROM BU_LOANTAPE_WORK.LT003_ENTITY WHERE ref_date='${ref_date}' AND nome_perimetro='Individual Corporativo' AND segmento='ESTR' AND ambito='PM' AND entidade='00100')Y ON X.ENTTY_ID=Y.ENTTY_ID_SIMUL</v>
      </c>
      <c r="N11" s="38" t="s">
        <v>46</v>
      </c>
    </row>
    <row r="12" spans="1:28">
      <c r="B12" s="34" t="s">
        <v>127</v>
      </c>
      <c r="C12" s="34" t="s">
        <v>5</v>
      </c>
      <c r="D12" s="34" t="str">
        <f>+UPPER('0. Instruções'!$D$35&amp;"."&amp;VLOOKUP(B12,'0. Instruções'!$C$27:$D$32,2,FALSE))</f>
        <v>CD_LOAN_TAPES_BCE.LT003_ENTITY</v>
      </c>
      <c r="E12" s="34" t="str">
        <f>+UPPER('0. Instruções'!$D$36&amp;"."&amp;VLOOKUP(B12,'0. Instruções'!$C$27:$E$32,3,FALSE))</f>
        <v>BU_LOANTAPE_WORK.LT003_ENTITY</v>
      </c>
      <c r="F12" s="34" t="s">
        <v>325</v>
      </c>
      <c r="G12" s="34"/>
      <c r="H12" s="34" t="s">
        <v>645</v>
      </c>
      <c r="I12" s="34" t="str">
        <f>"(SELECT "&amp;VLOOKUP(B12,'0. Instruções'!$C$27:$G$32,4,FALSE)&amp;", "&amp;F12&amp;" FROM "&amp;D12&amp;" WHERE "&amp;'0. Instruções'!$D$42&amp;")X"</f>
        <v>(SELECT entty_id, DT_DFLT_STTS FROM CD_LOAN_TAPES_BCE.LT003_ENTITY WHERE ref_date='${ref_date}' AND nome_perimetro='Individual Corporativo' AND segmento='ESTR' AND ambito='PM' AND entidade='00100')X</v>
      </c>
      <c r="J12" s="34" t="str">
        <f>"(SELECT "&amp;VLOOKUP(B12,'0. Instruções'!$C$27:$G$32,4,FALSE)&amp;" AS "&amp;VLOOKUP(B12,'0. Instruções'!$C$27:$G$32,4,FALSE)&amp;"_SIMUL, "&amp;F12&amp;" AS "&amp;F12&amp;"_SIMUL FROM "&amp;E12&amp;" WHERE "&amp;'0. Instruções'!$D$43&amp;")Y"</f>
        <v>(SELECT entty_id AS entty_id_SIMUL, DT_DFLT_STTS AS DT_DFLT_STTS_SIMUL FROM BU_LOANTAPE_WORK.LT003_ENTITY WHERE ref_date='${ref_date}' AND nome_perimetro='Individual Corporativo' AND segmento='ESTR' AND ambito='PM' AND entidade='00100')Y</v>
      </c>
      <c r="K12" s="35" t="str">
        <f>+UPPER("ON X."&amp;VLOOKUP(B12,'0. Instruções'!$C$27:$G$32,4,FALSE)&amp;"=Y."&amp;VLOOKUP(B12,'0. Instruções'!$C$27:$G$32,4,FALSE)&amp;"_SIMUL")</f>
        <v>ON X.ENTTY_ID=Y.ENTTY_ID_SIMUL</v>
      </c>
      <c r="L12" s="35" t="str">
        <f>+IF(C12="Coerência", +IF(LEFT(G12,5)="FLOAT","SELECT '"&amp;UPPER(B12)&amp;"' AS TABELA, '"&amp;UPPER(C12)&amp;"' AS TIPOLOGIA_TESTE,'"&amp;D12&amp;"' AS TABELA_LT,'"&amp;E12&amp;"' AS TABELA_SIMUL,'"&amp;F12&amp;"' AS CAMPO, "&amp;"'${ref_date}' AS REF_DATE, COUNT(*) AS NUM_REG, SUM(IF((ABS(COALESCE(CAST(X."&amp;F12&amp;" AS DECIMAL(18,6)),0)-COALESCE(CAST(Y."&amp;F12&amp;"_SIMUL AS DECIMAL(18,6)),0))&gt;0.000001) OR (X."&amp;F12&amp;" IS NULL AND Y."&amp;F12&amp;"_SIMUL IS NOT NULL ) OR (X."&amp;F12&amp;" IS NOT NULL AND Y."&amp;F12&amp;"_SIMUL IS NULL),1,0)) AS NUM_REG_DIF,'"&amp;MAX('ID1&amp;5'!K:K)+1&amp;"' AS ID_EXEC, CURRENT_TIMESTAMP() AS TIME_EXEC FROM "&amp;I12&amp;" INNER JOIN "&amp;J12&amp;" "&amp;K12,"SELECT '"&amp;UPPER(B12)&amp;"' AS TABELA, '"&amp;UPPER(C12)&amp;"' AS TIPOLOGIA_TESTE,'"&amp;D12&amp;"' AS TABELA_LT,'"&amp;E12&amp;"' AS TABELA_SIMUL,'"&amp;F12&amp;"' AS CAMPO, "&amp;"'${ref_date}' AS REF_DATE, COUNT(*) AS NUM_REG, SUM(IF(COALESCE(CAST(X."&amp;F12&amp;" AS STRING),'')&lt;&gt;COALESCE(CAST(Y."&amp;F12&amp;"_SIMUL AS STRING),'') OR (X."&amp;F12&amp;" IS NULL AND Y."&amp;F12&amp;"_SIMUL IS NOT NULL ) OR (X."&amp;F12&amp;" IS NOT NULL AND Y."&amp;F12&amp;"_SIMUL IS NULL),1,0)) AS NUM_REG_DIF,'"&amp;MAX('ID1&amp;5'!L:L)+1&amp;"' AS ID_EXEC, CURRENT_TIMESTAMP() AS TIME_EXEC FROM "&amp;I12&amp;" INNER JOIN "&amp;J12&amp;" "&amp;K12),
IF(C12="Validade",+IF(G12="Code List","SELECT '"&amp;UPPER(B12)&amp;"' AS TABELA, '"&amp;UPPER(C12)&amp;"' AS TIPOLOGIA_TESTE,'"&amp;D12&amp;"' AS TABELA_LT,'N/A' AS TABELA_SIMUL,'"&amp;F12&amp;"' AS CAMPO, "&amp;"'${ref_date}' AS REF_DATE, COUNT(*) AS NUM_REG, SUM(IF(TRIM(CAST(X."&amp;F12&amp;" AS STRING))='' OR TRIM(CAST(X."&amp;F12&amp;" AS STRING)) IS NULL OR CAST(X."&amp;F12&amp;" AS STRING) NOT "&amp;H12&amp;",1,0)) AS NUM_REG_DIF,'"&amp;MAX('ID1&amp;5'!K:K)+1&amp;"' AS ID_EXEC, CURRENT_TIMESTAMP() AS TIME_EXEC FROM "&amp;I12,"SELECT '"&amp;UPPER(B12)&amp;"' AS TABELA, '"&amp;UPPER(C12)&amp;"' AS TIPOLOGIA_TESTE,'"&amp;D12&amp;"' AS TABELA_LT,'N/A' AS TABELA_SIMUL,'"&amp;F12&amp;"' AS CAMPO, "&amp;"'${ref_date}' AS REF_DATE, COUNT(*) AS NUM_REG, SUM(IF(TRIM(CAST(X."&amp;F12&amp;" AS STRING))='' OR TRIM(CAST(X."&amp;F12&amp;" AS STRING)) IS NULL,1,0)) AS NUM_REG_DIF,'"&amp;MAX('ID1&amp;5'!K:K)+1&amp;"' AS ID_EXEC, CURRENT_TIMESTAMP() AS TIME_EXEC FROM "&amp;I12),
IF(C12="Caracteres Especiais",+"SELECT '"&amp;UPPER(B12)&amp;"' AS TABELA, '"&amp;UPPER(C12)&amp;"' AS TIPOLOGIA_TESTE,'"&amp;D12&amp;"' AS TABELA_LT,'N/A' AS TABELA_SIMUL,'"&amp;F12&amp;"' AS CAMPO, "&amp;"'${ref_date}' AS REF_DATE, COUNT(*) AS NUM_REG, SUM(IF(REGEXP_REPLACE(TRIM(CAST(X."&amp;F12&amp;" AS STRING)),'[^a-zA-Z0-9_\\s]','') &lt;&gt;TRIM(CAST(X."&amp;F12&amp;" AS STRING)),1,0)) AS NUM_REG_DIF,'"&amp;MAX('ID1&amp;5'!K:K)+1&amp;"' AS ID_EXEC, CURRENT_TIMESTAMP() AS TIME_EXEC FROM "&amp;I12,
IF(C12="Missings",+"SELECT '"&amp;UPPER(B12)&amp;"' AS TABELA, '"&amp;UPPER(C12)&amp;"' AS TIPOLOGIA_TESTE,'"&amp;D12&amp;"' AS TABELA_LT,'N/A' AS TABELA_SIMUL,'"&amp;F12&amp;"' AS CAMPO, "&amp;"'${ref_date}' AS REF_DATE, COUNT(*) AS NUM_REG, SUM(IF(TRIM(CAST(X."&amp;F12&amp;" AS STRING)) IN ('0000-00-00','0001-01-01','9999-12-31','MISS','00000','99999999999','99999999999.00','99999999999.000000'),1,0)) AS NUM_REG_DIF,'"&amp;MAX('ID1&amp;5'!K:K)+1&amp;"' AS ID_EXEC, CURRENT_TIMESTAMP() AS TIME_EXEC FROM "&amp;I12,
IF(C12="Not applicable",+"SELECT '"&amp;UPPER(B12)&amp;"' AS TABELA, '"&amp;UPPER(C12)&amp;"' AS TIPOLOGIA_TESTE,'"&amp;D12&amp;"' AS TABELA_LT,'N/A' AS TABELA_SIMUL,'"&amp;F12&amp;"' AS CAMPO, "&amp;"'${ref_date}' AS REF_DATE, COUNT(*) AS NUM_REG, SUM(IF(TRIM(CAST(X."&amp;F12&amp;" AS STRING)) IN ('N/A','11111111111','11111111111.00','11111111111.000000','1111-11-11'),1,0)) AS NUM_REG_DIF,'"&amp;MAX('ID1&amp;5'!K:K)+1&amp;"' AS ID_EXEC, CURRENT_TIMESTAMP() AS TIME_EXEC FROM "&amp;I12,
IF(C12="Valores extremos",+"SELECT '"&amp;UPPER(B12)&amp;"' AS TABELA, '"&amp;UPPER(C12)&amp;"' AS TIPOLOGIA_TESTE,'"&amp;D12&amp;"' AS TABELA_LT,'N/A' AS TABELA_SIMUL,'"&amp;F12&amp;"' AS CAMPO, "&amp;"'${ref_date}' AS REF_DATE, CAST(MIN("&amp;F12&amp;") AS STRING) AS VALOR_MIN, CAST(MAX("&amp;F12&amp;") AS STRING) AS VALOR_MAX,'"&amp;MAX('ID1&amp;5'!K:K)+1&amp;"' AS ID_EXEC, CURRENT_TIMESTAMP() AS TIME_EXEC FROM "&amp;MID(I12,1,LEN(I12)-2)&amp;" AND CAST("&amp;F12&amp;"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TABELA_SIMUL,'DT_DFLT_STTS' AS CAMPO, '${ref_date}' AS REF_DATE, COUNT(*) AS NUM_REG, SUM(IF(COALESCE(CAST(X.DT_DFLT_STTS AS STRING),'')&lt;&gt;COALESCE(CAST(Y.DT_DFLT_STTS_SIMUL AS STRING),'') OR (X.DT_DFLT_STTS IS NULL AND Y.DT_DFLT_STTS_SIMUL IS NOT NULL ) OR (X.DT_DFLT_STTS IS NOT NULL AND Y.DT_DFLT_STTS_SIMUL IS NULL),1,0)) AS NUM_REG_DIF,'1' AS ID_EXEC, CURRENT_TIMESTAMP() AS TIME_EXEC FROM (SELECT entty_id, DT_DFLT_STTS FROM CD_LOAN_TAPES_BCE.LT003_ENTITY WHERE ref_date='${ref_date}' AND nome_perimetro='Individual Corporativo' AND segmento='ESTR' AND ambito='PM' AND entidade='00100')X INNER JOIN (SELECT entty_id AS entty_id_SIMUL, DT_DFLT_STTS AS DT_DFLT_STTS_SIMUL FROM BU_LOANTAPE_WORK.LT003_ENTITY WHERE ref_date='${ref_date}' AND nome_perimetro='Individual Corporativo' AND segmento='ESTR' AND ambito='PM' AND entidade='00100')Y ON X.ENTTY_ID=Y.ENTTY_ID_SIMUL</v>
      </c>
      <c r="M12" s="36" t="str">
        <f t="shared" si="0"/>
        <v>UNION ALL SELECT 'ENTITY' AS TABELA, 'COERÊNCIA' AS TIPOLOGIA_TESTE,'CD_LOAN_TAPES_BCE.LT003_ENTITY' AS TABELA_LT,'BU_LOANTAPE_WORK.LT003_ENTITY' AS TABELA_SIMUL,'DT_DFLT_STTS' AS CAMPO, '${ref_date}' AS REF_DATE, COUNT(*) AS NUM_REG, SUM(IF(COALESCE(CAST(X.DT_DFLT_STTS AS STRING),'')&lt;&gt;COALESCE(CAST(Y.DT_DFLT_STTS_SIMUL AS STRING),'') OR (X.DT_DFLT_STTS IS NULL AND Y.DT_DFLT_STTS_SIMUL IS NOT NULL ) OR (X.DT_DFLT_STTS IS NOT NULL AND Y.DT_DFLT_STTS_SIMUL IS NULL),1,0)) AS NUM_REG_DIF,'1' AS ID_EXEC, CURRENT_TIMESTAMP() AS TIME_EXEC FROM (SELECT entty_id, DT_DFLT_STTS FROM CD_LOAN_TAPES_BCE.LT003_ENTITY WHERE ref_date='${ref_date}' AND nome_perimetro='Individual Corporativo' AND segmento='ESTR' AND ambito='PM' AND entidade='00100')X INNER JOIN (SELECT entty_id AS entty_id_SIMUL, DT_DFLT_STTS AS DT_DFLT_STTS_SIMUL FROM BU_LOANTAPE_WORK.LT003_ENTITY WHERE ref_date='${ref_date}' AND nome_perimetro='Individual Corporativo' AND segmento='ESTR' AND ambito='PM' AND entidade='00100')Y ON X.ENTTY_ID=Y.ENTTY_ID_SIMUL</v>
      </c>
      <c r="N12" s="38" t="s">
        <v>46</v>
      </c>
    </row>
    <row r="13" spans="1:28">
      <c r="B13" s="34" t="s">
        <v>127</v>
      </c>
      <c r="C13" s="34" t="s">
        <v>5</v>
      </c>
      <c r="D13" s="34" t="str">
        <f>+UPPER('0. Instruções'!$D$35&amp;"."&amp;VLOOKUP(B13,'0. Instruções'!$C$27:$D$32,2,FALSE))</f>
        <v>CD_LOAN_TAPES_BCE.LT003_ENTITY</v>
      </c>
      <c r="E13" s="34" t="str">
        <f>+UPPER('0. Instruções'!$D$36&amp;"."&amp;VLOOKUP(B13,'0. Instruções'!$C$27:$E$32,3,FALSE))</f>
        <v>BU_LOANTAPE_WORK.LT003_ENTITY</v>
      </c>
      <c r="F13" s="34" t="s">
        <v>326</v>
      </c>
      <c r="G13" s="34"/>
      <c r="H13" s="34" t="s">
        <v>645</v>
      </c>
      <c r="I13" s="34" t="str">
        <f>"(SELECT "&amp;VLOOKUP(B13,'0. Instruções'!$C$27:$G$32,4,FALSE)&amp;", "&amp;F13&amp;" FROM "&amp;D13&amp;" WHERE "&amp;'0. Instruções'!$D$42&amp;")X"</f>
        <v>(SELECT entty_id, DT_FNNCL_STTMTS FROM CD_LOAN_TAPES_BCE.LT003_ENTITY WHERE ref_date='${ref_date}' AND nome_perimetro='Individual Corporativo' AND segmento='ESTR' AND ambito='PM' AND entidade='00100')X</v>
      </c>
      <c r="J13" s="34" t="str">
        <f>"(SELECT "&amp;VLOOKUP(B13,'0. Instruções'!$C$27:$G$32,4,FALSE)&amp;" AS "&amp;VLOOKUP(B13,'0. Instruções'!$C$27:$G$32,4,FALSE)&amp;"_SIMUL, "&amp;F13&amp;" AS "&amp;F13&amp;"_SIMUL FROM "&amp;E13&amp;" WHERE "&amp;'0. Instruções'!$D$43&amp;")Y"</f>
        <v>(SELECT entty_id AS entty_id_SIMUL, DT_FNNCL_STTMTS AS DT_FNNCL_STTMTS_SIMUL FROM BU_LOANTAPE_WORK.LT003_ENTITY WHERE ref_date='${ref_date}' AND nome_perimetro='Individual Corporativo' AND segmento='ESTR' AND ambito='PM' AND entidade='00100')Y</v>
      </c>
      <c r="K13" s="35" t="str">
        <f>+UPPER("ON X."&amp;VLOOKUP(B13,'0. Instruções'!$C$27:$G$32,4,FALSE)&amp;"=Y."&amp;VLOOKUP(B13,'0. Instruções'!$C$27:$G$32,4,FALSE)&amp;"_SIMUL")</f>
        <v>ON X.ENTTY_ID=Y.ENTTY_ID_SIMUL</v>
      </c>
      <c r="L13" s="35" t="str">
        <f>+IF(C13="Coerência", +IF(LEFT(G13,5)="FLOAT","SELECT '"&amp;UPPER(B13)&amp;"' AS TABELA, '"&amp;UPPER(C13)&amp;"' AS TIPOLOGIA_TESTE,'"&amp;D13&amp;"' AS TABELA_LT,'"&amp;E13&amp;"' AS TABELA_SIMUL,'"&amp;F13&amp;"' AS CAMPO, "&amp;"'${ref_date}' AS REF_DATE, COUNT(*) AS NUM_REG, SUM(IF((ABS(COALESCE(CAST(X."&amp;F13&amp;" AS DECIMAL(18,6)),0)-COALESCE(CAST(Y."&amp;F13&amp;"_SIMUL AS DECIMAL(18,6)),0))&gt;0.000001) OR (X."&amp;F13&amp;" IS NULL AND Y."&amp;F13&amp;"_SIMUL IS NOT NULL ) OR (X."&amp;F13&amp;" IS NOT NULL AND Y."&amp;F13&amp;"_SIMUL IS NULL),1,0)) AS NUM_REG_DIF,'"&amp;MAX('ID1&amp;5'!K:K)+1&amp;"' AS ID_EXEC, CURRENT_TIMESTAMP() AS TIME_EXEC FROM "&amp;I13&amp;" INNER JOIN "&amp;J13&amp;" "&amp;K13,"SELECT '"&amp;UPPER(B13)&amp;"' AS TABELA, '"&amp;UPPER(C13)&amp;"' AS TIPOLOGIA_TESTE,'"&amp;D13&amp;"' AS TABELA_LT,'"&amp;E13&amp;"' AS TABELA_SIMUL,'"&amp;F13&amp;"' AS CAMPO, "&amp;"'${ref_date}' AS REF_DATE, COUNT(*) AS NUM_REG, SUM(IF(COALESCE(CAST(X."&amp;F13&amp;" AS STRING),'')&lt;&gt;COALESCE(CAST(Y."&amp;F13&amp;"_SIMUL AS STRING),'') OR (X."&amp;F13&amp;" IS NULL AND Y."&amp;F13&amp;"_SIMUL IS NOT NULL ) OR (X."&amp;F13&amp;" IS NOT NULL AND Y."&amp;F13&amp;"_SIMUL IS NULL),1,0)) AS NUM_REG_DIF,'"&amp;MAX('ID1&amp;5'!L:L)+1&amp;"' AS ID_EXEC, CURRENT_TIMESTAMP() AS TIME_EXEC FROM "&amp;I13&amp;" INNER JOIN "&amp;J13&amp;" "&amp;K13),
IF(C13="Validade",+IF(G13="Code List","SELECT '"&amp;UPPER(B13)&amp;"' AS TABELA, '"&amp;UPPER(C13)&amp;"' AS TIPOLOGIA_TESTE,'"&amp;D13&amp;"' AS TABELA_LT,'N/A' AS TABELA_SIMUL,'"&amp;F13&amp;"' AS CAMPO, "&amp;"'${ref_date}' AS REF_DATE, COUNT(*) AS NUM_REG, SUM(IF(TRIM(CAST(X."&amp;F13&amp;" AS STRING))='' OR TRIM(CAST(X."&amp;F13&amp;" AS STRING)) IS NULL OR CAST(X."&amp;F13&amp;" AS STRING) NOT "&amp;H13&amp;",1,0)) AS NUM_REG_DIF,'"&amp;MAX('ID1&amp;5'!K:K)+1&amp;"' AS ID_EXEC, CURRENT_TIMESTAMP() AS TIME_EXEC FROM "&amp;I13,"SELECT '"&amp;UPPER(B13)&amp;"' AS TABELA, '"&amp;UPPER(C13)&amp;"' AS TIPOLOGIA_TESTE,'"&amp;D13&amp;"' AS TABELA_LT,'N/A' AS TABELA_SIMUL,'"&amp;F13&amp;"' AS CAMPO, "&amp;"'${ref_date}' AS REF_DATE, COUNT(*) AS NUM_REG, SUM(IF(TRIM(CAST(X."&amp;F13&amp;" AS STRING))='' OR TRIM(CAST(X."&amp;F13&amp;" AS STRING)) IS NULL,1,0)) AS NUM_REG_DIF,'"&amp;MAX('ID1&amp;5'!K:K)+1&amp;"' AS ID_EXEC, CURRENT_TIMESTAMP() AS TIME_EXEC FROM "&amp;I13),
IF(C13="Caracteres Especiais",+"SELECT '"&amp;UPPER(B13)&amp;"' AS TABELA, '"&amp;UPPER(C13)&amp;"' AS TIPOLOGIA_TESTE,'"&amp;D13&amp;"' AS TABELA_LT,'N/A' AS TABELA_SIMUL,'"&amp;F13&amp;"' AS CAMPO, "&amp;"'${ref_date}' AS REF_DATE, COUNT(*) AS NUM_REG, SUM(IF(REGEXP_REPLACE(TRIM(CAST(X."&amp;F13&amp;" AS STRING)),'[^a-zA-Z0-9_\\s]','') &lt;&gt;TRIM(CAST(X."&amp;F13&amp;" AS STRING)),1,0)) AS NUM_REG_DIF,'"&amp;MAX('ID1&amp;5'!K:K)+1&amp;"' AS ID_EXEC, CURRENT_TIMESTAMP() AS TIME_EXEC FROM "&amp;I13,
IF(C13="Missings",+"SELECT '"&amp;UPPER(B13)&amp;"' AS TABELA, '"&amp;UPPER(C13)&amp;"' AS TIPOLOGIA_TESTE,'"&amp;D13&amp;"' AS TABELA_LT,'N/A' AS TABELA_SIMUL,'"&amp;F13&amp;"' AS CAMPO, "&amp;"'${ref_date}' AS REF_DATE, COUNT(*) AS NUM_REG, SUM(IF(TRIM(CAST(X."&amp;F13&amp;" AS STRING)) IN ('0000-00-00','0001-01-01','9999-12-31','MISS','00000','99999999999','99999999999.00','99999999999.000000'),1,0)) AS NUM_REG_DIF,'"&amp;MAX('ID1&amp;5'!K:K)+1&amp;"' AS ID_EXEC, CURRENT_TIMESTAMP() AS TIME_EXEC FROM "&amp;I13,
IF(C13="Not applicable",+"SELECT '"&amp;UPPER(B13)&amp;"' AS TABELA, '"&amp;UPPER(C13)&amp;"' AS TIPOLOGIA_TESTE,'"&amp;D13&amp;"' AS TABELA_LT,'N/A' AS TABELA_SIMUL,'"&amp;F13&amp;"' AS CAMPO, "&amp;"'${ref_date}' AS REF_DATE, COUNT(*) AS NUM_REG, SUM(IF(TRIM(CAST(X."&amp;F13&amp;" AS STRING)) IN ('N/A','11111111111','11111111111.00','11111111111.000000','1111-11-11'),1,0)) AS NUM_REG_DIF,'"&amp;MAX('ID1&amp;5'!K:K)+1&amp;"' AS ID_EXEC, CURRENT_TIMESTAMP() AS TIME_EXEC FROM "&amp;I13,
IF(C13="Valores extremos",+"SELECT '"&amp;UPPER(B13)&amp;"' AS TABELA, '"&amp;UPPER(C13)&amp;"' AS TIPOLOGIA_TESTE,'"&amp;D13&amp;"' AS TABELA_LT,'N/A' AS TABELA_SIMUL,'"&amp;F13&amp;"' AS CAMPO, "&amp;"'${ref_date}' AS REF_DATE, CAST(MIN("&amp;F13&amp;") AS STRING) AS VALOR_MIN, CAST(MAX("&amp;F13&amp;") AS STRING) AS VALOR_MAX,'"&amp;MAX('ID1&amp;5'!K:K)+1&amp;"' AS ID_EXEC, CURRENT_TIMESTAMP() AS TIME_EXEC FROM "&amp;MID(I13,1,LEN(I13)-2)&amp;" AND CAST("&amp;F13&amp;"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TABELA_SIMUL,'DT_FNNCL_STTMTS' AS CAMPO, '${ref_date}' AS REF_DATE, COUNT(*) AS NUM_REG, SUM(IF(COALESCE(CAST(X.DT_FNNCL_STTMTS AS STRING),'')&lt;&gt;COALESCE(CAST(Y.DT_FNNCL_STTMTS_SIMUL AS STRING),'') OR (X.DT_FNNCL_STTMTS IS NULL AND Y.DT_FNNCL_STTMTS_SIMUL IS NOT NULL ) OR (X.DT_FNNCL_STTMTS IS NOT NULL AND Y.DT_FNNCL_STTMTS_SIMUL IS NULL),1,0)) AS NUM_REG_DIF,'1' AS ID_EXEC, CURRENT_TIMESTAMP() AS TIME_EXEC FROM (SELECT entty_id, DT_FNNCL_STTMTS FROM CD_LOAN_TAPES_BCE.LT003_ENTITY WHERE ref_date='${ref_date}' AND nome_perimetro='Individual Corporativo' AND segmento='ESTR' AND ambito='PM' AND entidade='00100')X INNER JOIN (SELECT entty_id AS entty_id_SIMUL, DT_FNNCL_STTMTS AS DT_FNNCL_STTMTS_SIMUL FROM BU_LOANTAPE_WORK.LT003_ENTITY WHERE ref_date='${ref_date}' AND nome_perimetro='Individual Corporativo' AND segmento='ESTR' AND ambito='PM' AND entidade='00100')Y ON X.ENTTY_ID=Y.ENTTY_ID_SIMUL</v>
      </c>
      <c r="M13" s="36" t="str">
        <f t="shared" si="0"/>
        <v>UNION ALL SELECT 'ENTITY' AS TABELA, 'COERÊNCIA' AS TIPOLOGIA_TESTE,'CD_LOAN_TAPES_BCE.LT003_ENTITY' AS TABELA_LT,'BU_LOANTAPE_WORK.LT003_ENTITY' AS TABELA_SIMUL,'DT_FNNCL_STTMTS' AS CAMPO, '${ref_date}' AS REF_DATE, COUNT(*) AS NUM_REG, SUM(IF(COALESCE(CAST(X.DT_FNNCL_STTMTS AS STRING),'')&lt;&gt;COALESCE(CAST(Y.DT_FNNCL_STTMTS_SIMUL AS STRING),'') OR (X.DT_FNNCL_STTMTS IS NULL AND Y.DT_FNNCL_STTMTS_SIMUL IS NOT NULL ) OR (X.DT_FNNCL_STTMTS IS NOT NULL AND Y.DT_FNNCL_STTMTS_SIMUL IS NULL),1,0)) AS NUM_REG_DIF,'1' AS ID_EXEC, CURRENT_TIMESTAMP() AS TIME_EXEC FROM (SELECT entty_id, DT_FNNCL_STTMTS FROM CD_LOAN_TAPES_BCE.LT003_ENTITY WHERE ref_date='${ref_date}' AND nome_perimetro='Individual Corporativo' AND segmento='ESTR' AND ambito='PM' AND entidade='00100')X INNER JOIN (SELECT entty_id AS entty_id_SIMUL, DT_FNNCL_STTMTS AS DT_FNNCL_STTMTS_SIMUL FROM BU_LOANTAPE_WORK.LT003_ENTITY WHERE ref_date='${ref_date}' AND nome_perimetro='Individual Corporativo' AND segmento='ESTR' AND ambito='PM' AND entidade='00100')Y ON X.ENTTY_ID=Y.ENTTY_ID_SIMUL</v>
      </c>
      <c r="N13" s="38" t="s">
        <v>46</v>
      </c>
    </row>
    <row r="14" spans="1:28">
      <c r="B14" s="34" t="s">
        <v>127</v>
      </c>
      <c r="C14" s="34" t="s">
        <v>5</v>
      </c>
      <c r="D14" s="34" t="str">
        <f>+UPPER('0. Instruções'!$D$35&amp;"."&amp;VLOOKUP(B14,'0. Instruções'!$C$27:$D$32,2,FALSE))</f>
        <v>CD_LOAN_TAPES_BCE.LT003_ENTITY</v>
      </c>
      <c r="E14" s="34" t="str">
        <f>+UPPER('0. Instruções'!$D$36&amp;"."&amp;VLOOKUP(B14,'0. Instruções'!$C$27:$E$32,3,FALSE))</f>
        <v>BU_LOANTAPE_WORK.LT003_ENTITY</v>
      </c>
      <c r="F14" s="34" t="s">
        <v>327</v>
      </c>
      <c r="G14" s="34"/>
      <c r="H14" s="34" t="s">
        <v>645</v>
      </c>
      <c r="I14" s="34" t="str">
        <f>"(SELECT "&amp;VLOOKUP(B14,'0. Instruções'!$C$27:$G$32,4,FALSE)&amp;", "&amp;F14&amp;" FROM "&amp;D14&amp;" WHERE "&amp;'0. Instruções'!$D$42&amp;")X"</f>
        <v>(SELECT entty_id, DT_FNNCL_STTMTS_PRVS FROM CD_LOAN_TAPES_BCE.LT003_ENTITY WHERE ref_date='${ref_date}' AND nome_perimetro='Individual Corporativo' AND segmento='ESTR' AND ambito='PM' AND entidade='00100')X</v>
      </c>
      <c r="J14" s="34" t="str">
        <f>"(SELECT "&amp;VLOOKUP(B14,'0. Instruções'!$C$27:$G$32,4,FALSE)&amp;" AS "&amp;VLOOKUP(B14,'0. Instruções'!$C$27:$G$32,4,FALSE)&amp;"_SIMUL, "&amp;F14&amp;" AS "&amp;F14&amp;"_SIMUL FROM "&amp;E14&amp;" WHERE "&amp;'0. Instruções'!$D$43&amp;")Y"</f>
        <v>(SELECT entty_id AS entty_id_SIMUL, DT_FNNCL_STTMTS_PRVS AS DT_FNNCL_STTMTS_PRVS_SIMUL FROM BU_LOANTAPE_WORK.LT003_ENTITY WHERE ref_date='${ref_date}' AND nome_perimetro='Individual Corporativo' AND segmento='ESTR' AND ambito='PM' AND entidade='00100')Y</v>
      </c>
      <c r="K14" s="35" t="str">
        <f>+UPPER("ON X."&amp;VLOOKUP(B14,'0. Instruções'!$C$27:$G$32,4,FALSE)&amp;"=Y."&amp;VLOOKUP(B14,'0. Instruções'!$C$27:$G$32,4,FALSE)&amp;"_SIMUL")</f>
        <v>ON X.ENTTY_ID=Y.ENTTY_ID_SIMUL</v>
      </c>
      <c r="L14" s="35" t="str">
        <f>+IF(C14="Coerência", +IF(LEFT(G14,5)="FLOAT","SELECT '"&amp;UPPER(B14)&amp;"' AS TABELA, '"&amp;UPPER(C14)&amp;"' AS TIPOLOGIA_TESTE,'"&amp;D14&amp;"' AS TABELA_LT,'"&amp;E14&amp;"' AS TABELA_SIMUL,'"&amp;F14&amp;"' AS CAMPO, "&amp;"'${ref_date}' AS REF_DATE, COUNT(*) AS NUM_REG, SUM(IF((ABS(COALESCE(CAST(X."&amp;F14&amp;" AS DECIMAL(18,6)),0)-COALESCE(CAST(Y."&amp;F14&amp;"_SIMUL AS DECIMAL(18,6)),0))&gt;0.000001) OR (X."&amp;F14&amp;" IS NULL AND Y."&amp;F14&amp;"_SIMUL IS NOT NULL ) OR (X."&amp;F14&amp;" IS NOT NULL AND Y."&amp;F14&amp;"_SIMUL IS NULL),1,0)) AS NUM_REG_DIF,'"&amp;MAX('ID1&amp;5'!K:K)+1&amp;"' AS ID_EXEC, CURRENT_TIMESTAMP() AS TIME_EXEC FROM "&amp;I14&amp;" INNER JOIN "&amp;J14&amp;" "&amp;K14,"SELECT '"&amp;UPPER(B14)&amp;"' AS TABELA, '"&amp;UPPER(C14)&amp;"' AS TIPOLOGIA_TESTE,'"&amp;D14&amp;"' AS TABELA_LT,'"&amp;E14&amp;"' AS TABELA_SIMUL,'"&amp;F14&amp;"' AS CAMPO, "&amp;"'${ref_date}' AS REF_DATE, COUNT(*) AS NUM_REG, SUM(IF(COALESCE(CAST(X."&amp;F14&amp;" AS STRING),'')&lt;&gt;COALESCE(CAST(Y."&amp;F14&amp;"_SIMUL AS STRING),'') OR (X."&amp;F14&amp;" IS NULL AND Y."&amp;F14&amp;"_SIMUL IS NOT NULL ) OR (X."&amp;F14&amp;" IS NOT NULL AND Y."&amp;F14&amp;"_SIMUL IS NULL),1,0)) AS NUM_REG_DIF,'"&amp;MAX('ID1&amp;5'!L:L)+1&amp;"' AS ID_EXEC, CURRENT_TIMESTAMP() AS TIME_EXEC FROM "&amp;I14&amp;" INNER JOIN "&amp;J14&amp;" "&amp;K14),
IF(C14="Validade",+IF(G14="Code List","SELECT '"&amp;UPPER(B14)&amp;"' AS TABELA, '"&amp;UPPER(C14)&amp;"' AS TIPOLOGIA_TESTE,'"&amp;D14&amp;"' AS TABELA_LT,'N/A' AS TABELA_SIMUL,'"&amp;F14&amp;"' AS CAMPO, "&amp;"'${ref_date}' AS REF_DATE, COUNT(*) AS NUM_REG, SUM(IF(TRIM(CAST(X."&amp;F14&amp;" AS STRING))='' OR TRIM(CAST(X."&amp;F14&amp;" AS STRING)) IS NULL OR CAST(X."&amp;F14&amp;" AS STRING) NOT "&amp;H14&amp;",1,0)) AS NUM_REG_DIF,'"&amp;MAX('ID1&amp;5'!K:K)+1&amp;"' AS ID_EXEC, CURRENT_TIMESTAMP() AS TIME_EXEC FROM "&amp;I14,"SELECT '"&amp;UPPER(B14)&amp;"' AS TABELA, '"&amp;UPPER(C14)&amp;"' AS TIPOLOGIA_TESTE,'"&amp;D14&amp;"' AS TABELA_LT,'N/A' AS TABELA_SIMUL,'"&amp;F14&amp;"' AS CAMPO, "&amp;"'${ref_date}' AS REF_DATE, COUNT(*) AS NUM_REG, SUM(IF(TRIM(CAST(X."&amp;F14&amp;" AS STRING))='' OR TRIM(CAST(X."&amp;F14&amp;" AS STRING)) IS NULL,1,0)) AS NUM_REG_DIF,'"&amp;MAX('ID1&amp;5'!K:K)+1&amp;"' AS ID_EXEC, CURRENT_TIMESTAMP() AS TIME_EXEC FROM "&amp;I14),
IF(C14="Caracteres Especiais",+"SELECT '"&amp;UPPER(B14)&amp;"' AS TABELA, '"&amp;UPPER(C14)&amp;"' AS TIPOLOGIA_TESTE,'"&amp;D14&amp;"' AS TABELA_LT,'N/A' AS TABELA_SIMUL,'"&amp;F14&amp;"' AS CAMPO, "&amp;"'${ref_date}' AS REF_DATE, COUNT(*) AS NUM_REG, SUM(IF(REGEXP_REPLACE(TRIM(CAST(X."&amp;F14&amp;" AS STRING)),'[^a-zA-Z0-9_\\s]','') &lt;&gt;TRIM(CAST(X."&amp;F14&amp;" AS STRING)),1,0)) AS NUM_REG_DIF,'"&amp;MAX('ID1&amp;5'!K:K)+1&amp;"' AS ID_EXEC, CURRENT_TIMESTAMP() AS TIME_EXEC FROM "&amp;I14,
IF(C14="Missings",+"SELECT '"&amp;UPPER(B14)&amp;"' AS TABELA, '"&amp;UPPER(C14)&amp;"' AS TIPOLOGIA_TESTE,'"&amp;D14&amp;"' AS TABELA_LT,'N/A' AS TABELA_SIMUL,'"&amp;F14&amp;"' AS CAMPO, "&amp;"'${ref_date}' AS REF_DATE, COUNT(*) AS NUM_REG, SUM(IF(TRIM(CAST(X."&amp;F14&amp;" AS STRING)) IN ('0000-00-00','0001-01-01','9999-12-31','MISS','00000','99999999999','99999999999.00','99999999999.000000'),1,0)) AS NUM_REG_DIF,'"&amp;MAX('ID1&amp;5'!K:K)+1&amp;"' AS ID_EXEC, CURRENT_TIMESTAMP() AS TIME_EXEC FROM "&amp;I14,
IF(C14="Not applicable",+"SELECT '"&amp;UPPER(B14)&amp;"' AS TABELA, '"&amp;UPPER(C14)&amp;"' AS TIPOLOGIA_TESTE,'"&amp;D14&amp;"' AS TABELA_LT,'N/A' AS TABELA_SIMUL,'"&amp;F14&amp;"' AS CAMPO, "&amp;"'${ref_date}' AS REF_DATE, COUNT(*) AS NUM_REG, SUM(IF(TRIM(CAST(X."&amp;F14&amp;" AS STRING)) IN ('N/A','11111111111','11111111111.00','11111111111.000000','1111-11-11'),1,0)) AS NUM_REG_DIF,'"&amp;MAX('ID1&amp;5'!K:K)+1&amp;"' AS ID_EXEC, CURRENT_TIMESTAMP() AS TIME_EXEC FROM "&amp;I14,
IF(C14="Valores extremos",+"SELECT '"&amp;UPPER(B14)&amp;"' AS TABELA, '"&amp;UPPER(C14)&amp;"' AS TIPOLOGIA_TESTE,'"&amp;D14&amp;"' AS TABELA_LT,'N/A' AS TABELA_SIMUL,'"&amp;F14&amp;"' AS CAMPO, "&amp;"'${ref_date}' AS REF_DATE, CAST(MIN("&amp;F14&amp;") AS STRING) AS VALOR_MIN, CAST(MAX("&amp;F14&amp;") AS STRING) AS VALOR_MAX,'"&amp;MAX('ID1&amp;5'!K:K)+1&amp;"' AS ID_EXEC, CURRENT_TIMESTAMP() AS TIME_EXEC FROM "&amp;MID(I14,1,LEN(I14)-2)&amp;" AND CAST("&amp;F14&amp;"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TABELA_SIMUL,'DT_FNNCL_STTMTS_PRVS' AS CAMPO, '${ref_date}' AS REF_DATE, COUNT(*) AS NUM_REG, SUM(IF(COALESCE(CAST(X.DT_FNNCL_STTMTS_PRVS AS STRING),'')&lt;&gt;COALESCE(CAST(Y.DT_FNNCL_STTMTS_PRVS_SIMUL AS STRING),'') OR (X.DT_FNNCL_STTMTS_PRVS IS NULL AND Y.DT_FNNCL_STTMTS_PRVS_SIMUL IS NOT NULL ) OR (X.DT_FNNCL_STTMTS_PRVS IS NOT NULL AND Y.DT_FNNCL_STTMTS_PRVS_SIMUL IS NULL),1,0)) AS NUM_REG_DIF,'1' AS ID_EXEC, CURRENT_TIMESTAMP() AS TIME_EXEC FROM (SELECT entty_id, DT_FNNCL_STTMTS_PRVS FROM CD_LOAN_TAPES_BCE.LT003_ENTITY WHERE ref_date='${ref_date}' AND nome_perimetro='Individual Corporativo' AND segmento='ESTR' AND ambito='PM' AND entidade='00100')X INNER JOIN (SELECT entty_id AS entty_id_SIMUL, DT_FNNCL_STTMTS_PRVS AS DT_FNNCL_STTMTS_PRVS_SIMUL FROM BU_LOANTAPE_WORK.LT003_ENTITY WHERE ref_date='${ref_date}' AND nome_perimetro='Individual Corporativo' AND segmento='ESTR' AND ambito='PM' AND entidade='00100')Y ON X.ENTTY_ID=Y.ENTTY_ID_SIMUL</v>
      </c>
      <c r="M14" s="36" t="str">
        <f t="shared" si="0"/>
        <v>UNION ALL SELECT 'ENTITY' AS TABELA, 'COERÊNCIA' AS TIPOLOGIA_TESTE,'CD_LOAN_TAPES_BCE.LT003_ENTITY' AS TABELA_LT,'BU_LOANTAPE_WORK.LT003_ENTITY' AS TABELA_SIMUL,'DT_FNNCL_STTMTS_PRVS' AS CAMPO, '${ref_date}' AS REF_DATE, COUNT(*) AS NUM_REG, SUM(IF(COALESCE(CAST(X.DT_FNNCL_STTMTS_PRVS AS STRING),'')&lt;&gt;COALESCE(CAST(Y.DT_FNNCL_STTMTS_PRVS_SIMUL AS STRING),'') OR (X.DT_FNNCL_STTMTS_PRVS IS NULL AND Y.DT_FNNCL_STTMTS_PRVS_SIMUL IS NOT NULL ) OR (X.DT_FNNCL_STTMTS_PRVS IS NOT NULL AND Y.DT_FNNCL_STTMTS_PRVS_SIMUL IS NULL),1,0)) AS NUM_REG_DIF,'1' AS ID_EXEC, CURRENT_TIMESTAMP() AS TIME_EXEC FROM (SELECT entty_id, DT_FNNCL_STTMTS_PRVS FROM CD_LOAN_TAPES_BCE.LT003_ENTITY WHERE ref_date='${ref_date}' AND nome_perimetro='Individual Corporativo' AND segmento='ESTR' AND ambito='PM' AND entidade='00100')X INNER JOIN (SELECT entty_id AS entty_id_SIMUL, DT_FNNCL_STTMTS_PRVS AS DT_FNNCL_STTMTS_PRVS_SIMUL FROM BU_LOANTAPE_WORK.LT003_ENTITY WHERE ref_date='${ref_date}' AND nome_perimetro='Individual Corporativo' AND segmento='ESTR' AND ambito='PM' AND entidade='00100')Y ON X.ENTTY_ID=Y.ENTTY_ID_SIMUL</v>
      </c>
      <c r="N14" s="38" t="s">
        <v>46</v>
      </c>
    </row>
    <row r="15" spans="1:28">
      <c r="B15" s="34" t="s">
        <v>127</v>
      </c>
      <c r="C15" s="34" t="s">
        <v>5</v>
      </c>
      <c r="D15" s="34" t="str">
        <f>+UPPER('0. Instruções'!$D$35&amp;"."&amp;VLOOKUP(B15,'0. Instruções'!$C$27:$D$32,2,FALSE))</f>
        <v>CD_LOAN_TAPES_BCE.LT003_ENTITY</v>
      </c>
      <c r="E15" s="34" t="str">
        <f>+UPPER('0. Instruções'!$D$36&amp;"."&amp;VLOOKUP(B15,'0. Instruções'!$C$27:$E$32,3,FALSE))</f>
        <v>BU_LOANTAPE_WORK.LT003_ENTITY</v>
      </c>
      <c r="F15" s="34" t="s">
        <v>328</v>
      </c>
      <c r="G15" s="34"/>
      <c r="H15" s="34" t="s">
        <v>645</v>
      </c>
      <c r="I15" s="34" t="str">
        <f>"(SELECT "&amp;VLOOKUP(B15,'0. Instruções'!$C$27:$G$32,4,FALSE)&amp;", "&amp;F15&amp;" FROM "&amp;D15&amp;" WHERE "&amp;'0. Instruções'!$D$42&amp;")X"</f>
        <v>(SELECT entty_id, DT_INTTN_LGL_PRCDNGS_LE FROM CD_LOAN_TAPES_BCE.LT003_ENTITY WHERE ref_date='${ref_date}' AND nome_perimetro='Individual Corporativo' AND segmento='ESTR' AND ambito='PM' AND entidade='00100')X</v>
      </c>
      <c r="J15" s="34" t="str">
        <f>"(SELECT "&amp;VLOOKUP(B15,'0. Instruções'!$C$27:$G$32,4,FALSE)&amp;" AS "&amp;VLOOKUP(B15,'0. Instruções'!$C$27:$G$32,4,FALSE)&amp;"_SIMUL, "&amp;F15&amp;" AS "&amp;F15&amp;"_SIMUL FROM "&amp;E15&amp;" WHERE "&amp;'0. Instruções'!$D$43&amp;")Y"</f>
        <v>(SELECT entty_id AS entty_id_SIMUL, DT_INTTN_LGL_PRCDNGS_LE AS DT_INTTN_LGL_PRCDNGS_LE_SIMUL FROM BU_LOANTAPE_WORK.LT003_ENTITY WHERE ref_date='${ref_date}' AND nome_perimetro='Individual Corporativo' AND segmento='ESTR' AND ambito='PM' AND entidade='00100')Y</v>
      </c>
      <c r="K15" s="35" t="str">
        <f>+UPPER("ON X."&amp;VLOOKUP(B15,'0. Instruções'!$C$27:$G$32,4,FALSE)&amp;"=Y."&amp;VLOOKUP(B15,'0. Instruções'!$C$27:$G$32,4,FALSE)&amp;"_SIMUL")</f>
        <v>ON X.ENTTY_ID=Y.ENTTY_ID_SIMUL</v>
      </c>
      <c r="L15" s="35" t="str">
        <f>+IF(C15="Coerência", +IF(LEFT(G15,5)="FLOAT","SELECT '"&amp;UPPER(B15)&amp;"' AS TABELA, '"&amp;UPPER(C15)&amp;"' AS TIPOLOGIA_TESTE,'"&amp;D15&amp;"' AS TABELA_LT,'"&amp;E15&amp;"' AS TABELA_SIMUL,'"&amp;F15&amp;"' AS CAMPO, "&amp;"'${ref_date}' AS REF_DATE, COUNT(*) AS NUM_REG, SUM(IF((ABS(COALESCE(CAST(X."&amp;F15&amp;" AS DECIMAL(18,6)),0)-COALESCE(CAST(Y."&amp;F15&amp;"_SIMUL AS DECIMAL(18,6)),0))&gt;0.000001) OR (X."&amp;F15&amp;" IS NULL AND Y."&amp;F15&amp;"_SIMUL IS NOT NULL ) OR (X."&amp;F15&amp;" IS NOT NULL AND Y."&amp;F15&amp;"_SIMUL IS NULL),1,0)) AS NUM_REG_DIF,'"&amp;MAX('ID1&amp;5'!K:K)+1&amp;"' AS ID_EXEC, CURRENT_TIMESTAMP() AS TIME_EXEC FROM "&amp;I15&amp;" INNER JOIN "&amp;J15&amp;" "&amp;K15,"SELECT '"&amp;UPPER(B15)&amp;"' AS TABELA, '"&amp;UPPER(C15)&amp;"' AS TIPOLOGIA_TESTE,'"&amp;D15&amp;"' AS TABELA_LT,'"&amp;E15&amp;"' AS TABELA_SIMUL,'"&amp;F15&amp;"' AS CAMPO, "&amp;"'${ref_date}' AS REF_DATE, COUNT(*) AS NUM_REG, SUM(IF(COALESCE(CAST(X."&amp;F15&amp;" AS STRING),'')&lt;&gt;COALESCE(CAST(Y."&amp;F15&amp;"_SIMUL AS STRING),'') OR (X."&amp;F15&amp;" IS NULL AND Y."&amp;F15&amp;"_SIMUL IS NOT NULL ) OR (X."&amp;F15&amp;" IS NOT NULL AND Y."&amp;F15&amp;"_SIMUL IS NULL),1,0)) AS NUM_REG_DIF,'"&amp;MAX('ID1&amp;5'!L:L)+1&amp;"' AS ID_EXEC, CURRENT_TIMESTAMP() AS TIME_EXEC FROM "&amp;I15&amp;" INNER JOIN "&amp;J15&amp;" "&amp;K15),
IF(C15="Validade",+IF(G15="Code List","SELECT '"&amp;UPPER(B15)&amp;"' AS TABELA, '"&amp;UPPER(C15)&amp;"' AS TIPOLOGIA_TESTE,'"&amp;D15&amp;"' AS TABELA_LT,'N/A' AS TABELA_SIMUL,'"&amp;F15&amp;"' AS CAMPO, "&amp;"'${ref_date}' AS REF_DATE, COUNT(*) AS NUM_REG, SUM(IF(TRIM(CAST(X."&amp;F15&amp;" AS STRING))='' OR TRIM(CAST(X."&amp;F15&amp;" AS STRING)) IS NULL OR CAST(X."&amp;F15&amp;" AS STRING) NOT "&amp;H15&amp;",1,0)) AS NUM_REG_DIF,'"&amp;MAX('ID1&amp;5'!K:K)+1&amp;"' AS ID_EXEC, CURRENT_TIMESTAMP() AS TIME_EXEC FROM "&amp;I15,"SELECT '"&amp;UPPER(B15)&amp;"' AS TABELA, '"&amp;UPPER(C15)&amp;"' AS TIPOLOGIA_TESTE,'"&amp;D15&amp;"' AS TABELA_LT,'N/A' AS TABELA_SIMUL,'"&amp;F15&amp;"' AS CAMPO, "&amp;"'${ref_date}' AS REF_DATE, COUNT(*) AS NUM_REG, SUM(IF(TRIM(CAST(X."&amp;F15&amp;" AS STRING))='' OR TRIM(CAST(X."&amp;F15&amp;" AS STRING)) IS NULL,1,0)) AS NUM_REG_DIF,'"&amp;MAX('ID1&amp;5'!K:K)+1&amp;"' AS ID_EXEC, CURRENT_TIMESTAMP() AS TIME_EXEC FROM "&amp;I15),
IF(C15="Caracteres Especiais",+"SELECT '"&amp;UPPER(B15)&amp;"' AS TABELA, '"&amp;UPPER(C15)&amp;"' AS TIPOLOGIA_TESTE,'"&amp;D15&amp;"' AS TABELA_LT,'N/A' AS TABELA_SIMUL,'"&amp;F15&amp;"' AS CAMPO, "&amp;"'${ref_date}' AS REF_DATE, COUNT(*) AS NUM_REG, SUM(IF(REGEXP_REPLACE(TRIM(CAST(X."&amp;F15&amp;" AS STRING)),'[^a-zA-Z0-9_\\s]','') &lt;&gt;TRIM(CAST(X."&amp;F15&amp;" AS STRING)),1,0)) AS NUM_REG_DIF,'"&amp;MAX('ID1&amp;5'!K:K)+1&amp;"' AS ID_EXEC, CURRENT_TIMESTAMP() AS TIME_EXEC FROM "&amp;I15,
IF(C15="Missings",+"SELECT '"&amp;UPPER(B15)&amp;"' AS TABELA, '"&amp;UPPER(C15)&amp;"' AS TIPOLOGIA_TESTE,'"&amp;D15&amp;"' AS TABELA_LT,'N/A' AS TABELA_SIMUL,'"&amp;F15&amp;"' AS CAMPO, "&amp;"'${ref_date}' AS REF_DATE, COUNT(*) AS NUM_REG, SUM(IF(TRIM(CAST(X."&amp;F15&amp;" AS STRING)) IN ('0000-00-00','0001-01-01','9999-12-31','MISS','00000','99999999999','99999999999.00','99999999999.000000'),1,0)) AS NUM_REG_DIF,'"&amp;MAX('ID1&amp;5'!K:K)+1&amp;"' AS ID_EXEC, CURRENT_TIMESTAMP() AS TIME_EXEC FROM "&amp;I15,
IF(C15="Not applicable",+"SELECT '"&amp;UPPER(B15)&amp;"' AS TABELA, '"&amp;UPPER(C15)&amp;"' AS TIPOLOGIA_TESTE,'"&amp;D15&amp;"' AS TABELA_LT,'N/A' AS TABELA_SIMUL,'"&amp;F15&amp;"' AS CAMPO, "&amp;"'${ref_date}' AS REF_DATE, COUNT(*) AS NUM_REG, SUM(IF(TRIM(CAST(X."&amp;F15&amp;" AS STRING)) IN ('N/A','11111111111','11111111111.00','11111111111.000000','1111-11-11'),1,0)) AS NUM_REG_DIF,'"&amp;MAX('ID1&amp;5'!K:K)+1&amp;"' AS ID_EXEC, CURRENT_TIMESTAMP() AS TIME_EXEC FROM "&amp;I15,
IF(C15="Valores extremos",+"SELECT '"&amp;UPPER(B15)&amp;"' AS TABELA, '"&amp;UPPER(C15)&amp;"' AS TIPOLOGIA_TESTE,'"&amp;D15&amp;"' AS TABELA_LT,'N/A' AS TABELA_SIMUL,'"&amp;F15&amp;"' AS CAMPO, "&amp;"'${ref_date}' AS REF_DATE, CAST(MIN("&amp;F15&amp;") AS STRING) AS VALOR_MIN, CAST(MAX("&amp;F15&amp;") AS STRING) AS VALOR_MAX,'"&amp;MAX('ID1&amp;5'!K:K)+1&amp;"' AS ID_EXEC, CURRENT_TIMESTAMP() AS TIME_EXEC FROM "&amp;MID(I15,1,LEN(I15)-2)&amp;" AND CAST("&amp;F15&amp;"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TABELA_SIMUL,'DT_INTTN_LGL_PRCDNGS_LE' AS CAMPO, '${ref_date}' AS REF_DATE, COUNT(*) AS NUM_REG, SUM(IF(COALESCE(CAST(X.DT_INTTN_LGL_PRCDNGS_LE AS STRING),'')&lt;&gt;COALESCE(CAST(Y.DT_INTTN_LGL_PRCDNGS_LE_SIMUL AS STRING),'') OR (X.DT_INTTN_LGL_PRCDNGS_LE IS NULL AND Y.DT_INTTN_LGL_PRCDNGS_LE_SIMUL IS NOT NULL ) OR (X.DT_INTTN_LGL_PRCDNGS_LE IS NOT NULL AND Y.DT_INTTN_LGL_PRCDNGS_LE_SIMUL IS NULL),1,0)) AS NUM_REG_DIF,'1' AS ID_EXEC, CURRENT_TIMESTAMP() AS TIME_EXEC FROM (SELECT entty_id, DT_INTTN_LGL_PRCDNGS_LE FROM CD_LOAN_TAPES_BCE.LT003_ENTITY WHERE ref_date='${ref_date}' AND nome_perimetro='Individual Corporativo' AND segmento='ESTR' AND ambito='PM' AND entidade='00100')X INNER JOIN (SELECT entty_id AS entty_id_SIMUL, DT_INTTN_LGL_PRCDNGS_LE AS DT_INTTN_LGL_PRCDNGS_LE_SIMUL FROM BU_LOANTAPE_WORK.LT003_ENTITY WHERE ref_date='${ref_date}' AND nome_perimetro='Individual Corporativo' AND segmento='ESTR' AND ambito='PM' AND entidade='00100')Y ON X.ENTTY_ID=Y.ENTTY_ID_SIMUL</v>
      </c>
      <c r="M15" s="36" t="str">
        <f t="shared" si="0"/>
        <v>UNION ALL SELECT 'ENTITY' AS TABELA, 'COERÊNCIA' AS TIPOLOGIA_TESTE,'CD_LOAN_TAPES_BCE.LT003_ENTITY' AS TABELA_LT,'BU_LOANTAPE_WORK.LT003_ENTITY' AS TABELA_SIMUL,'DT_INTTN_LGL_PRCDNGS_LE' AS CAMPO, '${ref_date}' AS REF_DATE, COUNT(*) AS NUM_REG, SUM(IF(COALESCE(CAST(X.DT_INTTN_LGL_PRCDNGS_LE AS STRING),'')&lt;&gt;COALESCE(CAST(Y.DT_INTTN_LGL_PRCDNGS_LE_SIMUL AS STRING),'') OR (X.DT_INTTN_LGL_PRCDNGS_LE IS NULL AND Y.DT_INTTN_LGL_PRCDNGS_LE_SIMUL IS NOT NULL ) OR (X.DT_INTTN_LGL_PRCDNGS_LE IS NOT NULL AND Y.DT_INTTN_LGL_PRCDNGS_LE_SIMUL IS NULL),1,0)) AS NUM_REG_DIF,'1' AS ID_EXEC, CURRENT_TIMESTAMP() AS TIME_EXEC FROM (SELECT entty_id, DT_INTTN_LGL_PRCDNGS_LE FROM CD_LOAN_TAPES_BCE.LT003_ENTITY WHERE ref_date='${ref_date}' AND nome_perimetro='Individual Corporativo' AND segmento='ESTR' AND ambito='PM' AND entidade='00100')X INNER JOIN (SELECT entty_id AS entty_id_SIMUL, DT_INTTN_LGL_PRCDNGS_LE AS DT_INTTN_LGL_PRCDNGS_LE_SIMUL FROM BU_LOANTAPE_WORK.LT003_ENTITY WHERE ref_date='${ref_date}' AND nome_perimetro='Individual Corporativo' AND segmento='ESTR' AND ambito='PM' AND entidade='00100')Y ON X.ENTTY_ID=Y.ENTTY_ID_SIMUL</v>
      </c>
      <c r="N15" s="38" t="s">
        <v>46</v>
      </c>
    </row>
    <row r="16" spans="1:28">
      <c r="B16" s="34" t="s">
        <v>127</v>
      </c>
      <c r="C16" s="34" t="s">
        <v>5</v>
      </c>
      <c r="D16" s="34" t="str">
        <f>+UPPER('0. Instruções'!$D$35&amp;"."&amp;VLOOKUP(B16,'0. Instruções'!$C$27:$D$32,2,FALSE))</f>
        <v>CD_LOAN_TAPES_BCE.LT003_ENTITY</v>
      </c>
      <c r="E16" s="34" t="str">
        <f>+UPPER('0. Instruções'!$D$36&amp;"."&amp;VLOOKUP(B16,'0. Instruções'!$C$27:$E$32,3,FALSE))</f>
        <v>BU_LOANTAPE_WORK.LT003_ENTITY</v>
      </c>
      <c r="F16" s="34" t="s">
        <v>329</v>
      </c>
      <c r="G16" s="34"/>
      <c r="H16" s="34" t="s">
        <v>645</v>
      </c>
      <c r="I16" s="34" t="str">
        <f>"(SELECT "&amp;VLOOKUP(B16,'0. Instruções'!$C$27:$G$32,4,FALSE)&amp;", "&amp;F16&amp;" FROM "&amp;D16&amp;" WHERE "&amp;'0. Instruções'!$D$42&amp;")X"</f>
        <v>(SELECT entty_id, DT_PRFRMNG_STTS_LE FROM CD_LOAN_TAPES_BCE.LT003_ENTITY WHERE ref_date='${ref_date}' AND nome_perimetro='Individual Corporativo' AND segmento='ESTR' AND ambito='PM' AND entidade='00100')X</v>
      </c>
      <c r="J16" s="34" t="str">
        <f>"(SELECT "&amp;VLOOKUP(B16,'0. Instruções'!$C$27:$G$32,4,FALSE)&amp;" AS "&amp;VLOOKUP(B16,'0. Instruções'!$C$27:$G$32,4,FALSE)&amp;"_SIMUL, "&amp;F16&amp;" AS "&amp;F16&amp;"_SIMUL FROM "&amp;E16&amp;" WHERE "&amp;'0. Instruções'!$D$43&amp;")Y"</f>
        <v>(SELECT entty_id AS entty_id_SIMUL, DT_PRFRMNG_STTS_LE AS DT_PRFRMNG_STTS_LE_SIMUL FROM BU_LOANTAPE_WORK.LT003_ENTITY WHERE ref_date='${ref_date}' AND nome_perimetro='Individual Corporativo' AND segmento='ESTR' AND ambito='PM' AND entidade='00100')Y</v>
      </c>
      <c r="K16" s="35" t="str">
        <f>+UPPER("ON X."&amp;VLOOKUP(B16,'0. Instruções'!$C$27:$G$32,4,FALSE)&amp;"=Y."&amp;VLOOKUP(B16,'0. Instruções'!$C$27:$G$32,4,FALSE)&amp;"_SIMUL")</f>
        <v>ON X.ENTTY_ID=Y.ENTTY_ID_SIMUL</v>
      </c>
      <c r="L16" s="35" t="str">
        <f>+IF(C16="Coerência", +IF(LEFT(G16,5)="FLOAT","SELECT '"&amp;UPPER(B16)&amp;"' AS TABELA, '"&amp;UPPER(C16)&amp;"' AS TIPOLOGIA_TESTE,'"&amp;D16&amp;"' AS TABELA_LT,'"&amp;E16&amp;"' AS TABELA_SIMUL,'"&amp;F16&amp;"' AS CAMPO, "&amp;"'${ref_date}' AS REF_DATE, COUNT(*) AS NUM_REG, SUM(IF((ABS(COALESCE(CAST(X."&amp;F16&amp;" AS DECIMAL(18,6)),0)-COALESCE(CAST(Y."&amp;F16&amp;"_SIMUL AS DECIMAL(18,6)),0))&gt;0.000001) OR (X."&amp;F16&amp;" IS NULL AND Y."&amp;F16&amp;"_SIMUL IS NOT NULL ) OR (X."&amp;F16&amp;" IS NOT NULL AND Y."&amp;F16&amp;"_SIMUL IS NULL),1,0)) AS NUM_REG_DIF,'"&amp;MAX('ID1&amp;5'!K:K)+1&amp;"' AS ID_EXEC, CURRENT_TIMESTAMP() AS TIME_EXEC FROM "&amp;I16&amp;" INNER JOIN "&amp;J16&amp;" "&amp;K16,"SELECT '"&amp;UPPER(B16)&amp;"' AS TABELA, '"&amp;UPPER(C16)&amp;"' AS TIPOLOGIA_TESTE,'"&amp;D16&amp;"' AS TABELA_LT,'"&amp;E16&amp;"' AS TABELA_SIMUL,'"&amp;F16&amp;"' AS CAMPO, "&amp;"'${ref_date}' AS REF_DATE, COUNT(*) AS NUM_REG, SUM(IF(COALESCE(CAST(X."&amp;F16&amp;" AS STRING),'')&lt;&gt;COALESCE(CAST(Y."&amp;F16&amp;"_SIMUL AS STRING),'') OR (X."&amp;F16&amp;" IS NULL AND Y."&amp;F16&amp;"_SIMUL IS NOT NULL ) OR (X."&amp;F16&amp;" IS NOT NULL AND Y."&amp;F16&amp;"_SIMUL IS NULL),1,0)) AS NUM_REG_DIF,'"&amp;MAX('ID1&amp;5'!L:L)+1&amp;"' AS ID_EXEC, CURRENT_TIMESTAMP() AS TIME_EXEC FROM "&amp;I16&amp;" INNER JOIN "&amp;J16&amp;" "&amp;K16),
IF(C16="Validade",+IF(G16="Code List","SELECT '"&amp;UPPER(B16)&amp;"' AS TABELA, '"&amp;UPPER(C16)&amp;"' AS TIPOLOGIA_TESTE,'"&amp;D16&amp;"' AS TABELA_LT,'N/A' AS TABELA_SIMUL,'"&amp;F16&amp;"' AS CAMPO, "&amp;"'${ref_date}' AS REF_DATE, COUNT(*) AS NUM_REG, SUM(IF(TRIM(CAST(X."&amp;F16&amp;" AS STRING))='' OR TRIM(CAST(X."&amp;F16&amp;" AS STRING)) IS NULL OR CAST(X."&amp;F16&amp;" AS STRING) NOT "&amp;H16&amp;",1,0)) AS NUM_REG_DIF,'"&amp;MAX('ID1&amp;5'!K:K)+1&amp;"' AS ID_EXEC, CURRENT_TIMESTAMP() AS TIME_EXEC FROM "&amp;I16,"SELECT '"&amp;UPPER(B16)&amp;"' AS TABELA, '"&amp;UPPER(C16)&amp;"' AS TIPOLOGIA_TESTE,'"&amp;D16&amp;"' AS TABELA_LT,'N/A' AS TABELA_SIMUL,'"&amp;F16&amp;"' AS CAMPO, "&amp;"'${ref_date}' AS REF_DATE, COUNT(*) AS NUM_REG, SUM(IF(TRIM(CAST(X."&amp;F16&amp;" AS STRING))='' OR TRIM(CAST(X."&amp;F16&amp;" AS STRING)) IS NULL,1,0)) AS NUM_REG_DIF,'"&amp;MAX('ID1&amp;5'!K:K)+1&amp;"' AS ID_EXEC, CURRENT_TIMESTAMP() AS TIME_EXEC FROM "&amp;I16),
IF(C16="Caracteres Especiais",+"SELECT '"&amp;UPPER(B16)&amp;"' AS TABELA, '"&amp;UPPER(C16)&amp;"' AS TIPOLOGIA_TESTE,'"&amp;D16&amp;"' AS TABELA_LT,'N/A' AS TABELA_SIMUL,'"&amp;F16&amp;"' AS CAMPO, "&amp;"'${ref_date}' AS REF_DATE, COUNT(*) AS NUM_REG, SUM(IF(REGEXP_REPLACE(TRIM(CAST(X."&amp;F16&amp;" AS STRING)),'[^a-zA-Z0-9_\\s]','') &lt;&gt;TRIM(CAST(X."&amp;F16&amp;" AS STRING)),1,0)) AS NUM_REG_DIF,'"&amp;MAX('ID1&amp;5'!K:K)+1&amp;"' AS ID_EXEC, CURRENT_TIMESTAMP() AS TIME_EXEC FROM "&amp;I16,
IF(C16="Missings",+"SELECT '"&amp;UPPER(B16)&amp;"' AS TABELA, '"&amp;UPPER(C16)&amp;"' AS TIPOLOGIA_TESTE,'"&amp;D16&amp;"' AS TABELA_LT,'N/A' AS TABELA_SIMUL,'"&amp;F16&amp;"' AS CAMPO, "&amp;"'${ref_date}' AS REF_DATE, COUNT(*) AS NUM_REG, SUM(IF(TRIM(CAST(X."&amp;F16&amp;" AS STRING)) IN ('0000-00-00','0001-01-01','9999-12-31','MISS','00000','99999999999','99999999999.00','99999999999.000000'),1,0)) AS NUM_REG_DIF,'"&amp;MAX('ID1&amp;5'!K:K)+1&amp;"' AS ID_EXEC, CURRENT_TIMESTAMP() AS TIME_EXEC FROM "&amp;I16,
IF(C16="Not applicable",+"SELECT '"&amp;UPPER(B16)&amp;"' AS TABELA, '"&amp;UPPER(C16)&amp;"' AS TIPOLOGIA_TESTE,'"&amp;D16&amp;"' AS TABELA_LT,'N/A' AS TABELA_SIMUL,'"&amp;F16&amp;"' AS CAMPO, "&amp;"'${ref_date}' AS REF_DATE, COUNT(*) AS NUM_REG, SUM(IF(TRIM(CAST(X."&amp;F16&amp;" AS STRING)) IN ('N/A','11111111111','11111111111.00','11111111111.000000','1111-11-11'),1,0)) AS NUM_REG_DIF,'"&amp;MAX('ID1&amp;5'!K:K)+1&amp;"' AS ID_EXEC, CURRENT_TIMESTAMP() AS TIME_EXEC FROM "&amp;I16,
IF(C16="Valores extremos",+"SELECT '"&amp;UPPER(B16)&amp;"' AS TABELA, '"&amp;UPPER(C16)&amp;"' AS TIPOLOGIA_TESTE,'"&amp;D16&amp;"' AS TABELA_LT,'N/A' AS TABELA_SIMUL,'"&amp;F16&amp;"' AS CAMPO, "&amp;"'${ref_date}' AS REF_DATE, CAST(MIN("&amp;F16&amp;") AS STRING) AS VALOR_MIN, CAST(MAX("&amp;F16&amp;") AS STRING) AS VALOR_MAX,'"&amp;MAX('ID1&amp;5'!K:K)+1&amp;"' AS ID_EXEC, CURRENT_TIMESTAMP() AS TIME_EXEC FROM "&amp;MID(I16,1,LEN(I16)-2)&amp;" AND CAST("&amp;F16&amp;"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TABELA_SIMUL,'DT_PRFRMNG_STTS_LE' AS CAMPO, '${ref_date}' AS REF_DATE, COUNT(*) AS NUM_REG, SUM(IF(COALESCE(CAST(X.DT_PRFRMNG_STTS_LE AS STRING),'')&lt;&gt;COALESCE(CAST(Y.DT_PRFRMNG_STTS_LE_SIMUL AS STRING),'') OR (X.DT_PRFRMNG_STTS_LE IS NULL AND Y.DT_PRFRMNG_STTS_LE_SIMUL IS NOT NULL ) OR (X.DT_PRFRMNG_STTS_LE IS NOT NULL AND Y.DT_PRFRMNG_STTS_LE_SIMUL IS NULL),1,0)) AS NUM_REG_DIF,'1' AS ID_EXEC, CURRENT_TIMESTAMP() AS TIME_EXEC FROM (SELECT entty_id, DT_PRFRMNG_STTS_LE FROM CD_LOAN_TAPES_BCE.LT003_ENTITY WHERE ref_date='${ref_date}' AND nome_perimetro='Individual Corporativo' AND segmento='ESTR' AND ambito='PM' AND entidade='00100')X INNER JOIN (SELECT entty_id AS entty_id_SIMUL, DT_PRFRMNG_STTS_LE AS DT_PRFRMNG_STTS_LE_SIMUL FROM BU_LOANTAPE_WORK.LT003_ENTITY WHERE ref_date='${ref_date}' AND nome_perimetro='Individual Corporativo' AND segmento='ESTR' AND ambito='PM' AND entidade='00100')Y ON X.ENTTY_ID=Y.ENTTY_ID_SIMUL</v>
      </c>
      <c r="M16" s="36" t="str">
        <f t="shared" si="0"/>
        <v>UNION ALL SELECT 'ENTITY' AS TABELA, 'COERÊNCIA' AS TIPOLOGIA_TESTE,'CD_LOAN_TAPES_BCE.LT003_ENTITY' AS TABELA_LT,'BU_LOANTAPE_WORK.LT003_ENTITY' AS TABELA_SIMUL,'DT_PRFRMNG_STTS_LE' AS CAMPO, '${ref_date}' AS REF_DATE, COUNT(*) AS NUM_REG, SUM(IF(COALESCE(CAST(X.DT_PRFRMNG_STTS_LE AS STRING),'')&lt;&gt;COALESCE(CAST(Y.DT_PRFRMNG_STTS_LE_SIMUL AS STRING),'') OR (X.DT_PRFRMNG_STTS_LE IS NULL AND Y.DT_PRFRMNG_STTS_LE_SIMUL IS NOT NULL ) OR (X.DT_PRFRMNG_STTS_LE IS NOT NULL AND Y.DT_PRFRMNG_STTS_LE_SIMUL IS NULL),1,0)) AS NUM_REG_DIF,'1' AS ID_EXEC, CURRENT_TIMESTAMP() AS TIME_EXEC FROM (SELECT entty_id, DT_PRFRMNG_STTS_LE FROM CD_LOAN_TAPES_BCE.LT003_ENTITY WHERE ref_date='${ref_date}' AND nome_perimetro='Individual Corporativo' AND segmento='ESTR' AND ambito='PM' AND entidade='00100')X INNER JOIN (SELECT entty_id AS entty_id_SIMUL, DT_PRFRMNG_STTS_LE AS DT_PRFRMNG_STTS_LE_SIMUL FROM BU_LOANTAPE_WORK.LT003_ENTITY WHERE ref_date='${ref_date}' AND nome_perimetro='Individual Corporativo' AND segmento='ESTR' AND ambito='PM' AND entidade='00100')Y ON X.ENTTY_ID=Y.ENTTY_ID_SIMUL</v>
      </c>
      <c r="N16" s="38" t="s">
        <v>46</v>
      </c>
    </row>
    <row r="17" spans="2:14">
      <c r="B17" s="34" t="s">
        <v>127</v>
      </c>
      <c r="C17" s="34" t="s">
        <v>5</v>
      </c>
      <c r="D17" s="34" t="str">
        <f>+UPPER('0. Instruções'!$D$35&amp;"."&amp;VLOOKUP(B17,'0. Instruções'!$C$27:$D$32,2,FALSE))</f>
        <v>CD_LOAN_TAPES_BCE.LT003_ENTITY</v>
      </c>
      <c r="E17" s="34" t="str">
        <f>+UPPER('0. Instruções'!$D$36&amp;"."&amp;VLOOKUP(B17,'0. Instruções'!$C$27:$E$32,3,FALSE))</f>
        <v>BU_LOANTAPE_WORK.LT003_ENTITY</v>
      </c>
      <c r="F17" s="34" t="s">
        <v>330</v>
      </c>
      <c r="G17" s="34"/>
      <c r="H17" s="34" t="s">
        <v>646</v>
      </c>
      <c r="I17" s="34" t="str">
        <f>"(SELECT "&amp;VLOOKUP(B17,'0. Instruções'!$C$27:$G$32,4,FALSE)&amp;", "&amp;F17&amp;" FROM "&amp;D17&amp;" WHERE "&amp;'0. Instruções'!$D$42&amp;")X"</f>
        <v>(SELECT entty_id, GCC_PRNT_ID FROM CD_LOAN_TAPES_BCE.LT003_ENTITY WHERE ref_date='${ref_date}' AND nome_perimetro='Individual Corporativo' AND segmento='ESTR' AND ambito='PM' AND entidade='00100')X</v>
      </c>
      <c r="J17" s="34" t="str">
        <f>"(SELECT "&amp;VLOOKUP(B17,'0. Instruções'!$C$27:$G$32,4,FALSE)&amp;" AS "&amp;VLOOKUP(B17,'0. Instruções'!$C$27:$G$32,4,FALSE)&amp;"_SIMUL, "&amp;F17&amp;" AS "&amp;F17&amp;"_SIMUL FROM "&amp;E17&amp;" WHERE "&amp;'0. Instruções'!$D$43&amp;")Y"</f>
        <v>(SELECT entty_id AS entty_id_SIMUL, GCC_PRNT_ID AS GCC_PRNT_ID_SIMUL FROM BU_LOANTAPE_WORK.LT003_ENTITY WHERE ref_date='${ref_date}' AND nome_perimetro='Individual Corporativo' AND segmento='ESTR' AND ambito='PM' AND entidade='00100')Y</v>
      </c>
      <c r="K17" s="35" t="str">
        <f>+UPPER("ON X."&amp;VLOOKUP(B17,'0. Instruções'!$C$27:$G$32,4,FALSE)&amp;"=Y."&amp;VLOOKUP(B17,'0. Instruções'!$C$27:$G$32,4,FALSE)&amp;"_SIMUL")</f>
        <v>ON X.ENTTY_ID=Y.ENTTY_ID_SIMUL</v>
      </c>
      <c r="L17" s="35" t="str">
        <f>+IF(C17="Coerência", +IF(LEFT(G17,5)="FLOAT","SELECT '"&amp;UPPER(B17)&amp;"' AS TABELA, '"&amp;UPPER(C17)&amp;"' AS TIPOLOGIA_TESTE,'"&amp;D17&amp;"' AS TABELA_LT,'"&amp;E17&amp;"' AS TABELA_SIMUL,'"&amp;F17&amp;"' AS CAMPO, "&amp;"'${ref_date}' AS REF_DATE, COUNT(*) AS NUM_REG, SUM(IF((ABS(COALESCE(CAST(X."&amp;F17&amp;" AS DECIMAL(18,6)),0)-COALESCE(CAST(Y."&amp;F17&amp;"_SIMUL AS DECIMAL(18,6)),0))&gt;0.000001) OR (X."&amp;F17&amp;" IS NULL AND Y."&amp;F17&amp;"_SIMUL IS NOT NULL ) OR (X."&amp;F17&amp;" IS NOT NULL AND Y."&amp;F17&amp;"_SIMUL IS NULL),1,0)) AS NUM_REG_DIF,'"&amp;MAX('ID1&amp;5'!K:K)+1&amp;"' AS ID_EXEC, CURRENT_TIMESTAMP() AS TIME_EXEC FROM "&amp;I17&amp;" INNER JOIN "&amp;J17&amp;" "&amp;K17,"SELECT '"&amp;UPPER(B17)&amp;"' AS TABELA, '"&amp;UPPER(C17)&amp;"' AS TIPOLOGIA_TESTE,'"&amp;D17&amp;"' AS TABELA_LT,'"&amp;E17&amp;"' AS TABELA_SIMUL,'"&amp;F17&amp;"' AS CAMPO, "&amp;"'${ref_date}' AS REF_DATE, COUNT(*) AS NUM_REG, SUM(IF(COALESCE(CAST(X."&amp;F17&amp;" AS STRING),'')&lt;&gt;COALESCE(CAST(Y."&amp;F17&amp;"_SIMUL AS STRING),'') OR (X."&amp;F17&amp;" IS NULL AND Y."&amp;F17&amp;"_SIMUL IS NOT NULL ) OR (X."&amp;F17&amp;" IS NOT NULL AND Y."&amp;F17&amp;"_SIMUL IS NULL),1,0)) AS NUM_REG_DIF,'"&amp;MAX('ID1&amp;5'!L:L)+1&amp;"' AS ID_EXEC, CURRENT_TIMESTAMP() AS TIME_EXEC FROM "&amp;I17&amp;" INNER JOIN "&amp;J17&amp;" "&amp;K17),
IF(C17="Validade",+IF(G17="Code List","SELECT '"&amp;UPPER(B17)&amp;"' AS TABELA, '"&amp;UPPER(C17)&amp;"' AS TIPOLOGIA_TESTE,'"&amp;D17&amp;"' AS TABELA_LT,'N/A' AS TABELA_SIMUL,'"&amp;F17&amp;"' AS CAMPO, "&amp;"'${ref_date}' AS REF_DATE, COUNT(*) AS NUM_REG, SUM(IF(TRIM(CAST(X."&amp;F17&amp;" AS STRING))='' OR TRIM(CAST(X."&amp;F17&amp;" AS STRING)) IS NULL OR CAST(X."&amp;F17&amp;" AS STRING) NOT "&amp;H17&amp;",1,0)) AS NUM_REG_DIF,'"&amp;MAX('ID1&amp;5'!K:K)+1&amp;"' AS ID_EXEC, CURRENT_TIMESTAMP() AS TIME_EXEC FROM "&amp;I17,"SELECT '"&amp;UPPER(B17)&amp;"' AS TABELA, '"&amp;UPPER(C17)&amp;"' AS TIPOLOGIA_TESTE,'"&amp;D17&amp;"' AS TABELA_LT,'N/A' AS TABELA_SIMUL,'"&amp;F17&amp;"' AS CAMPO, "&amp;"'${ref_date}' AS REF_DATE, COUNT(*) AS NUM_REG, SUM(IF(TRIM(CAST(X."&amp;F17&amp;" AS STRING))='' OR TRIM(CAST(X."&amp;F17&amp;" AS STRING)) IS NULL,1,0)) AS NUM_REG_DIF,'"&amp;MAX('ID1&amp;5'!K:K)+1&amp;"' AS ID_EXEC, CURRENT_TIMESTAMP() AS TIME_EXEC FROM "&amp;I17),
IF(C17="Caracteres Especiais",+"SELECT '"&amp;UPPER(B17)&amp;"' AS TABELA, '"&amp;UPPER(C17)&amp;"' AS TIPOLOGIA_TESTE,'"&amp;D17&amp;"' AS TABELA_LT,'N/A' AS TABELA_SIMUL,'"&amp;F17&amp;"' AS CAMPO, "&amp;"'${ref_date}' AS REF_DATE, COUNT(*) AS NUM_REG, SUM(IF(REGEXP_REPLACE(TRIM(CAST(X."&amp;F17&amp;" AS STRING)),'[^a-zA-Z0-9_\\s]','') &lt;&gt;TRIM(CAST(X."&amp;F17&amp;" AS STRING)),1,0)) AS NUM_REG_DIF,'"&amp;MAX('ID1&amp;5'!K:K)+1&amp;"' AS ID_EXEC, CURRENT_TIMESTAMP() AS TIME_EXEC FROM "&amp;I17,
IF(C17="Missings",+"SELECT '"&amp;UPPER(B17)&amp;"' AS TABELA, '"&amp;UPPER(C17)&amp;"' AS TIPOLOGIA_TESTE,'"&amp;D17&amp;"' AS TABELA_LT,'N/A' AS TABELA_SIMUL,'"&amp;F17&amp;"' AS CAMPO, "&amp;"'${ref_date}' AS REF_DATE, COUNT(*) AS NUM_REG, SUM(IF(TRIM(CAST(X."&amp;F17&amp;" AS STRING)) IN ('0000-00-00','0001-01-01','9999-12-31','MISS','00000','99999999999','99999999999.00','99999999999.000000'),1,0)) AS NUM_REG_DIF,'"&amp;MAX('ID1&amp;5'!K:K)+1&amp;"' AS ID_EXEC, CURRENT_TIMESTAMP() AS TIME_EXEC FROM "&amp;I17,
IF(C17="Not applicable",+"SELECT '"&amp;UPPER(B17)&amp;"' AS TABELA, '"&amp;UPPER(C17)&amp;"' AS TIPOLOGIA_TESTE,'"&amp;D17&amp;"' AS TABELA_LT,'N/A' AS TABELA_SIMUL,'"&amp;F17&amp;"' AS CAMPO, "&amp;"'${ref_date}' AS REF_DATE, COUNT(*) AS NUM_REG, SUM(IF(TRIM(CAST(X."&amp;F17&amp;" AS STRING)) IN ('N/A','11111111111','11111111111.00','11111111111.000000','1111-11-11'),1,0)) AS NUM_REG_DIF,'"&amp;MAX('ID1&amp;5'!K:K)+1&amp;"' AS ID_EXEC, CURRENT_TIMESTAMP() AS TIME_EXEC FROM "&amp;I17,
IF(C17="Valores extremos",+"SELECT '"&amp;UPPER(B17)&amp;"' AS TABELA, '"&amp;UPPER(C17)&amp;"' AS TIPOLOGIA_TESTE,'"&amp;D17&amp;"' AS TABELA_LT,'N/A' AS TABELA_SIMUL,'"&amp;F17&amp;"' AS CAMPO, "&amp;"'${ref_date}' AS REF_DATE, CAST(MIN("&amp;F17&amp;") AS STRING) AS VALOR_MIN, CAST(MAX("&amp;F17&amp;") AS STRING) AS VALOR_MAX,'"&amp;MAX('ID1&amp;5'!K:K)+1&amp;"' AS ID_EXEC, CURRENT_TIMESTAMP() AS TIME_EXEC FROM "&amp;MID(I17,1,LEN(I17)-2)&amp;" AND CAST("&amp;F17&amp;"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TABELA_SIMUL,'GCC_PRNT_ID' AS CAMPO, '${ref_date}' AS REF_DATE, COUNT(*) AS NUM_REG, SUM(IF(COALESCE(CAST(X.GCC_PRNT_ID AS STRING),'')&lt;&gt;COALESCE(CAST(Y.GCC_PRNT_ID_SIMUL AS STRING),'') OR (X.GCC_PRNT_ID IS NULL AND Y.GCC_PRNT_ID_SIMUL IS NOT NULL ) OR (X.GCC_PRNT_ID IS NOT NULL AND Y.GCC_PRNT_ID_SIMUL IS NULL),1,0)) AS NUM_REG_DIF,'1' AS ID_EXEC, CURRENT_TIMESTAMP() AS TIME_EXEC FROM (SELECT entty_id, GCC_PRNT_ID FROM CD_LOAN_TAPES_BCE.LT003_ENTITY WHERE ref_date='${ref_date}' AND nome_perimetro='Individual Corporativo' AND segmento='ESTR' AND ambito='PM' AND entidade='00100')X INNER JOIN (SELECT entty_id AS entty_id_SIMUL, GCC_PRNT_ID AS GCC_PRNT_ID_SIMUL FROM BU_LOANTAPE_WORK.LT003_ENTITY WHERE ref_date='${ref_date}' AND nome_perimetro='Individual Corporativo' AND segmento='ESTR' AND ambito='PM' AND entidade='00100')Y ON X.ENTTY_ID=Y.ENTTY_ID_SIMUL</v>
      </c>
      <c r="M17" s="36" t="str">
        <f t="shared" si="0"/>
        <v>UNION ALL SELECT 'ENTITY' AS TABELA, 'COERÊNCIA' AS TIPOLOGIA_TESTE,'CD_LOAN_TAPES_BCE.LT003_ENTITY' AS TABELA_LT,'BU_LOANTAPE_WORK.LT003_ENTITY' AS TABELA_SIMUL,'GCC_PRNT_ID' AS CAMPO, '${ref_date}' AS REF_DATE, COUNT(*) AS NUM_REG, SUM(IF(COALESCE(CAST(X.GCC_PRNT_ID AS STRING),'')&lt;&gt;COALESCE(CAST(Y.GCC_PRNT_ID_SIMUL AS STRING),'') OR (X.GCC_PRNT_ID IS NULL AND Y.GCC_PRNT_ID_SIMUL IS NOT NULL ) OR (X.GCC_PRNT_ID IS NOT NULL AND Y.GCC_PRNT_ID_SIMUL IS NULL),1,0)) AS NUM_REG_DIF,'1' AS ID_EXEC, CURRENT_TIMESTAMP() AS TIME_EXEC FROM (SELECT entty_id, GCC_PRNT_ID FROM CD_LOAN_TAPES_BCE.LT003_ENTITY WHERE ref_date='${ref_date}' AND nome_perimetro='Individual Corporativo' AND segmento='ESTR' AND ambito='PM' AND entidade='00100')X INNER JOIN (SELECT entty_id AS entty_id_SIMUL, GCC_PRNT_ID AS GCC_PRNT_ID_SIMUL FROM BU_LOANTAPE_WORK.LT003_ENTITY WHERE ref_date='${ref_date}' AND nome_perimetro='Individual Corporativo' AND segmento='ESTR' AND ambito='PM' AND entidade='00100')Y ON X.ENTTY_ID=Y.ENTTY_ID_SIMUL</v>
      </c>
      <c r="N17" s="38" t="s">
        <v>46</v>
      </c>
    </row>
    <row r="18" spans="2:14">
      <c r="B18" s="34" t="s">
        <v>127</v>
      </c>
      <c r="C18" s="34" t="s">
        <v>5</v>
      </c>
      <c r="D18" s="34" t="str">
        <f>+UPPER('0. Instruções'!$D$35&amp;"."&amp;VLOOKUP(B18,'0. Instruções'!$C$27:$D$32,2,FALSE))</f>
        <v>CD_LOAN_TAPES_BCE.LT003_ENTITY</v>
      </c>
      <c r="E18" s="34" t="str">
        <f>+UPPER('0. Instruções'!$D$36&amp;"."&amp;VLOOKUP(B18,'0. Instruções'!$C$27:$E$32,3,FALSE))</f>
        <v>BU_LOANTAPE_WORK.LT003_ENTITY</v>
      </c>
      <c r="F18" s="34" t="s">
        <v>331</v>
      </c>
      <c r="G18" s="34"/>
      <c r="H18" s="34" t="s">
        <v>646</v>
      </c>
      <c r="I18" s="34" t="str">
        <f>"(SELECT "&amp;VLOOKUP(B18,'0. Instruções'!$C$27:$G$32,4,FALSE)&amp;", "&amp;F18&amp;" FROM "&amp;D18&amp;" WHERE "&amp;'0. Instruções'!$D$42&amp;")X"</f>
        <v>(SELECT entty_id, GCC_PRNT_NM FROM CD_LOAN_TAPES_BCE.LT003_ENTITY WHERE ref_date='${ref_date}' AND nome_perimetro='Individual Corporativo' AND segmento='ESTR' AND ambito='PM' AND entidade='00100')X</v>
      </c>
      <c r="J18" s="34" t="str">
        <f>"(SELECT "&amp;VLOOKUP(B18,'0. Instruções'!$C$27:$G$32,4,FALSE)&amp;" AS "&amp;VLOOKUP(B18,'0. Instruções'!$C$27:$G$32,4,FALSE)&amp;"_SIMUL, "&amp;F18&amp;" AS "&amp;F18&amp;"_SIMUL FROM "&amp;E18&amp;" WHERE "&amp;'0. Instruções'!$D$43&amp;")Y"</f>
        <v>(SELECT entty_id AS entty_id_SIMUL, GCC_PRNT_NM AS GCC_PRNT_NM_SIMUL FROM BU_LOANTAPE_WORK.LT003_ENTITY WHERE ref_date='${ref_date}' AND nome_perimetro='Individual Corporativo' AND segmento='ESTR' AND ambito='PM' AND entidade='00100')Y</v>
      </c>
      <c r="K18" s="35" t="str">
        <f>+UPPER("ON X."&amp;VLOOKUP(B18,'0. Instruções'!$C$27:$G$32,4,FALSE)&amp;"=Y."&amp;VLOOKUP(B18,'0. Instruções'!$C$27:$G$32,4,FALSE)&amp;"_SIMUL")</f>
        <v>ON X.ENTTY_ID=Y.ENTTY_ID_SIMUL</v>
      </c>
      <c r="L18" s="35" t="str">
        <f>+IF(C18="Coerência", +IF(LEFT(G18,5)="FLOAT","SELECT '"&amp;UPPER(B18)&amp;"' AS TABELA, '"&amp;UPPER(C18)&amp;"' AS TIPOLOGIA_TESTE,'"&amp;D18&amp;"' AS TABELA_LT,'"&amp;E18&amp;"' AS TABELA_SIMUL,'"&amp;F18&amp;"' AS CAMPO, "&amp;"'${ref_date}' AS REF_DATE, COUNT(*) AS NUM_REG, SUM(IF((ABS(COALESCE(CAST(X."&amp;F18&amp;" AS DECIMAL(18,6)),0)-COALESCE(CAST(Y."&amp;F18&amp;"_SIMUL AS DECIMAL(18,6)),0))&gt;0.000001) OR (X."&amp;F18&amp;" IS NULL AND Y."&amp;F18&amp;"_SIMUL IS NOT NULL ) OR (X."&amp;F18&amp;" IS NOT NULL AND Y."&amp;F18&amp;"_SIMUL IS NULL),1,0)) AS NUM_REG_DIF,'"&amp;MAX('ID1&amp;5'!K:K)+1&amp;"' AS ID_EXEC, CURRENT_TIMESTAMP() AS TIME_EXEC FROM "&amp;I18&amp;" INNER JOIN "&amp;J18&amp;" "&amp;K18,"SELECT '"&amp;UPPER(B18)&amp;"' AS TABELA, '"&amp;UPPER(C18)&amp;"' AS TIPOLOGIA_TESTE,'"&amp;D18&amp;"' AS TABELA_LT,'"&amp;E18&amp;"' AS TABELA_SIMUL,'"&amp;F18&amp;"' AS CAMPO, "&amp;"'${ref_date}' AS REF_DATE, COUNT(*) AS NUM_REG, SUM(IF(COALESCE(CAST(X."&amp;F18&amp;" AS STRING),'')&lt;&gt;COALESCE(CAST(Y."&amp;F18&amp;"_SIMUL AS STRING),'') OR (X."&amp;F18&amp;" IS NULL AND Y."&amp;F18&amp;"_SIMUL IS NOT NULL ) OR (X."&amp;F18&amp;" IS NOT NULL AND Y."&amp;F18&amp;"_SIMUL IS NULL),1,0)) AS NUM_REG_DIF,'"&amp;MAX('ID1&amp;5'!L:L)+1&amp;"' AS ID_EXEC, CURRENT_TIMESTAMP() AS TIME_EXEC FROM "&amp;I18&amp;" INNER JOIN "&amp;J18&amp;" "&amp;K18),
IF(C18="Validade",+IF(G18="Code List","SELECT '"&amp;UPPER(B18)&amp;"' AS TABELA, '"&amp;UPPER(C18)&amp;"' AS TIPOLOGIA_TESTE,'"&amp;D18&amp;"' AS TABELA_LT,'N/A' AS TABELA_SIMUL,'"&amp;F18&amp;"' AS CAMPO, "&amp;"'${ref_date}' AS REF_DATE, COUNT(*) AS NUM_REG, SUM(IF(TRIM(CAST(X."&amp;F18&amp;" AS STRING))='' OR TRIM(CAST(X."&amp;F18&amp;" AS STRING)) IS NULL OR CAST(X."&amp;F18&amp;" AS STRING) NOT "&amp;H18&amp;",1,0)) AS NUM_REG_DIF,'"&amp;MAX('ID1&amp;5'!K:K)+1&amp;"' AS ID_EXEC, CURRENT_TIMESTAMP() AS TIME_EXEC FROM "&amp;I18,"SELECT '"&amp;UPPER(B18)&amp;"' AS TABELA, '"&amp;UPPER(C18)&amp;"' AS TIPOLOGIA_TESTE,'"&amp;D18&amp;"' AS TABELA_LT,'N/A' AS TABELA_SIMUL,'"&amp;F18&amp;"' AS CAMPO, "&amp;"'${ref_date}' AS REF_DATE, COUNT(*) AS NUM_REG, SUM(IF(TRIM(CAST(X."&amp;F18&amp;" AS STRING))='' OR TRIM(CAST(X."&amp;F18&amp;" AS STRING)) IS NULL,1,0)) AS NUM_REG_DIF,'"&amp;MAX('ID1&amp;5'!K:K)+1&amp;"' AS ID_EXEC, CURRENT_TIMESTAMP() AS TIME_EXEC FROM "&amp;I18),
IF(C18="Caracteres Especiais",+"SELECT '"&amp;UPPER(B18)&amp;"' AS TABELA, '"&amp;UPPER(C18)&amp;"' AS TIPOLOGIA_TESTE,'"&amp;D18&amp;"' AS TABELA_LT,'N/A' AS TABELA_SIMUL,'"&amp;F18&amp;"' AS CAMPO, "&amp;"'${ref_date}' AS REF_DATE, COUNT(*) AS NUM_REG, SUM(IF(REGEXP_REPLACE(TRIM(CAST(X."&amp;F18&amp;" AS STRING)),'[^a-zA-Z0-9_\\s]','') &lt;&gt;TRIM(CAST(X."&amp;F18&amp;" AS STRING)),1,0)) AS NUM_REG_DIF,'"&amp;MAX('ID1&amp;5'!K:K)+1&amp;"' AS ID_EXEC, CURRENT_TIMESTAMP() AS TIME_EXEC FROM "&amp;I18,
IF(C18="Missings",+"SELECT '"&amp;UPPER(B18)&amp;"' AS TABELA, '"&amp;UPPER(C18)&amp;"' AS TIPOLOGIA_TESTE,'"&amp;D18&amp;"' AS TABELA_LT,'N/A' AS TABELA_SIMUL,'"&amp;F18&amp;"' AS CAMPO, "&amp;"'${ref_date}' AS REF_DATE, COUNT(*) AS NUM_REG, SUM(IF(TRIM(CAST(X."&amp;F18&amp;" AS STRING)) IN ('0000-00-00','0001-01-01','9999-12-31','MISS','00000','99999999999','99999999999.00','99999999999.000000'),1,0)) AS NUM_REG_DIF,'"&amp;MAX('ID1&amp;5'!K:K)+1&amp;"' AS ID_EXEC, CURRENT_TIMESTAMP() AS TIME_EXEC FROM "&amp;I18,
IF(C18="Not applicable",+"SELECT '"&amp;UPPER(B18)&amp;"' AS TABELA, '"&amp;UPPER(C18)&amp;"' AS TIPOLOGIA_TESTE,'"&amp;D18&amp;"' AS TABELA_LT,'N/A' AS TABELA_SIMUL,'"&amp;F18&amp;"' AS CAMPO, "&amp;"'${ref_date}' AS REF_DATE, COUNT(*) AS NUM_REG, SUM(IF(TRIM(CAST(X."&amp;F18&amp;" AS STRING)) IN ('N/A','11111111111','11111111111.00','11111111111.000000','1111-11-11'),1,0)) AS NUM_REG_DIF,'"&amp;MAX('ID1&amp;5'!K:K)+1&amp;"' AS ID_EXEC, CURRENT_TIMESTAMP() AS TIME_EXEC FROM "&amp;I18,
IF(C18="Valores extremos",+"SELECT '"&amp;UPPER(B18)&amp;"' AS TABELA, '"&amp;UPPER(C18)&amp;"' AS TIPOLOGIA_TESTE,'"&amp;D18&amp;"' AS TABELA_LT,'N/A' AS TABELA_SIMUL,'"&amp;F18&amp;"' AS CAMPO, "&amp;"'${ref_date}' AS REF_DATE, CAST(MIN("&amp;F18&amp;") AS STRING) AS VALOR_MIN, CAST(MAX("&amp;F18&amp;") AS STRING) AS VALOR_MAX,'"&amp;MAX('ID1&amp;5'!K:K)+1&amp;"' AS ID_EXEC, CURRENT_TIMESTAMP() AS TIME_EXEC FROM "&amp;MID(I18,1,LEN(I18)-2)&amp;" AND CAST("&amp;F18&amp;"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TABELA_SIMUL,'GCC_PRNT_NM' AS CAMPO, '${ref_date}' AS REF_DATE, COUNT(*) AS NUM_REG, SUM(IF(COALESCE(CAST(X.GCC_PRNT_NM AS STRING),'')&lt;&gt;COALESCE(CAST(Y.GCC_PRNT_NM_SIMUL AS STRING),'') OR (X.GCC_PRNT_NM IS NULL AND Y.GCC_PRNT_NM_SIMUL IS NOT NULL ) OR (X.GCC_PRNT_NM IS NOT NULL AND Y.GCC_PRNT_NM_SIMUL IS NULL),1,0)) AS NUM_REG_DIF,'1' AS ID_EXEC, CURRENT_TIMESTAMP() AS TIME_EXEC FROM (SELECT entty_id, GCC_PRNT_NM FROM CD_LOAN_TAPES_BCE.LT003_ENTITY WHERE ref_date='${ref_date}' AND nome_perimetro='Individual Corporativo' AND segmento='ESTR' AND ambito='PM' AND entidade='00100')X INNER JOIN (SELECT entty_id AS entty_id_SIMUL, GCC_PRNT_NM AS GCC_PRNT_NM_SIMUL FROM BU_LOANTAPE_WORK.LT003_ENTITY WHERE ref_date='${ref_date}' AND nome_perimetro='Individual Corporativo' AND segmento='ESTR' AND ambito='PM' AND entidade='00100')Y ON X.ENTTY_ID=Y.ENTTY_ID_SIMUL</v>
      </c>
      <c r="M18" s="36" t="str">
        <f t="shared" si="0"/>
        <v>UNION ALL SELECT 'ENTITY' AS TABELA, 'COERÊNCIA' AS TIPOLOGIA_TESTE,'CD_LOAN_TAPES_BCE.LT003_ENTITY' AS TABELA_LT,'BU_LOANTAPE_WORK.LT003_ENTITY' AS TABELA_SIMUL,'GCC_PRNT_NM' AS CAMPO, '${ref_date}' AS REF_DATE, COUNT(*) AS NUM_REG, SUM(IF(COALESCE(CAST(X.GCC_PRNT_NM AS STRING),'')&lt;&gt;COALESCE(CAST(Y.GCC_PRNT_NM_SIMUL AS STRING),'') OR (X.GCC_PRNT_NM IS NULL AND Y.GCC_PRNT_NM_SIMUL IS NOT NULL ) OR (X.GCC_PRNT_NM IS NOT NULL AND Y.GCC_PRNT_NM_SIMUL IS NULL),1,0)) AS NUM_REG_DIF,'1' AS ID_EXEC, CURRENT_TIMESTAMP() AS TIME_EXEC FROM (SELECT entty_id, GCC_PRNT_NM FROM CD_LOAN_TAPES_BCE.LT003_ENTITY WHERE ref_date='${ref_date}' AND nome_perimetro='Individual Corporativo' AND segmento='ESTR' AND ambito='PM' AND entidade='00100')X INNER JOIN (SELECT entty_id AS entty_id_SIMUL, GCC_PRNT_NM AS GCC_PRNT_NM_SIMUL FROM BU_LOANTAPE_WORK.LT003_ENTITY WHERE ref_date='${ref_date}' AND nome_perimetro='Individual Corporativo' AND segmento='ESTR' AND ambito='PM' AND entidade='00100')Y ON X.ENTTY_ID=Y.ENTTY_ID_SIMUL</v>
      </c>
      <c r="N18" s="38" t="s">
        <v>46</v>
      </c>
    </row>
    <row r="19" spans="2:14">
      <c r="B19" s="34" t="s">
        <v>127</v>
      </c>
      <c r="C19" s="34" t="s">
        <v>5</v>
      </c>
      <c r="D19" s="34" t="str">
        <f>+UPPER('0. Instruções'!$D$35&amp;"."&amp;VLOOKUP(B19,'0. Instruções'!$C$27:$D$32,2,FALSE))</f>
        <v>CD_LOAN_TAPES_BCE.LT003_ENTITY</v>
      </c>
      <c r="E19" s="34" t="str">
        <f>+UPPER('0. Instruções'!$D$36&amp;"."&amp;VLOOKUP(B19,'0. Instruções'!$C$27:$E$32,3,FALSE))</f>
        <v>BU_LOANTAPE_WORK.LT003_ENTITY</v>
      </c>
      <c r="F19" s="34" t="s">
        <v>332</v>
      </c>
      <c r="G19" s="34"/>
      <c r="H19" s="34" t="s">
        <v>646</v>
      </c>
      <c r="I19" s="34" t="str">
        <f>"(SELECT "&amp;VLOOKUP(B19,'0. Instruções'!$C$27:$G$32,4,FALSE)&amp;", "&amp;F19&amp;" FROM "&amp;D19&amp;" WHERE "&amp;'0. Instruções'!$D$42&amp;")X"</f>
        <v>(SELECT entty_id, INTRNL_SGMNT FROM CD_LOAN_TAPES_BCE.LT003_ENTITY WHERE ref_date='${ref_date}' AND nome_perimetro='Individual Corporativo' AND segmento='ESTR' AND ambito='PM' AND entidade='00100')X</v>
      </c>
      <c r="J19" s="34" t="str">
        <f>"(SELECT "&amp;VLOOKUP(B19,'0. Instruções'!$C$27:$G$32,4,FALSE)&amp;" AS "&amp;VLOOKUP(B19,'0. Instruções'!$C$27:$G$32,4,FALSE)&amp;"_SIMUL, "&amp;F19&amp;" AS "&amp;F19&amp;"_SIMUL FROM "&amp;E19&amp;" WHERE "&amp;'0. Instruções'!$D$43&amp;")Y"</f>
        <v>(SELECT entty_id AS entty_id_SIMUL, INTRNL_SGMNT AS INTRNL_SGMNT_SIMUL FROM BU_LOANTAPE_WORK.LT003_ENTITY WHERE ref_date='${ref_date}' AND nome_perimetro='Individual Corporativo' AND segmento='ESTR' AND ambito='PM' AND entidade='00100')Y</v>
      </c>
      <c r="K19" s="35" t="str">
        <f>+UPPER("ON X."&amp;VLOOKUP(B19,'0. Instruções'!$C$27:$G$32,4,FALSE)&amp;"=Y."&amp;VLOOKUP(B19,'0. Instruções'!$C$27:$G$32,4,FALSE)&amp;"_SIMUL")</f>
        <v>ON X.ENTTY_ID=Y.ENTTY_ID_SIMUL</v>
      </c>
      <c r="L19" s="35" t="str">
        <f>+IF(C19="Coerência", +IF(LEFT(G19,5)="FLOAT","SELECT '"&amp;UPPER(B19)&amp;"' AS TABELA, '"&amp;UPPER(C19)&amp;"' AS TIPOLOGIA_TESTE,'"&amp;D19&amp;"' AS TABELA_LT,'"&amp;E19&amp;"' AS TABELA_SIMUL,'"&amp;F19&amp;"' AS CAMPO, "&amp;"'${ref_date}' AS REF_DATE, COUNT(*) AS NUM_REG, SUM(IF((ABS(COALESCE(CAST(X."&amp;F19&amp;" AS DECIMAL(18,6)),0)-COALESCE(CAST(Y."&amp;F19&amp;"_SIMUL AS DECIMAL(18,6)),0))&gt;0.000001) OR (X."&amp;F19&amp;" IS NULL AND Y."&amp;F19&amp;"_SIMUL IS NOT NULL ) OR (X."&amp;F19&amp;" IS NOT NULL AND Y."&amp;F19&amp;"_SIMUL IS NULL),1,0)) AS NUM_REG_DIF,'"&amp;MAX('ID1&amp;5'!K:K)+1&amp;"' AS ID_EXEC, CURRENT_TIMESTAMP() AS TIME_EXEC FROM "&amp;I19&amp;" INNER JOIN "&amp;J19&amp;" "&amp;K19,"SELECT '"&amp;UPPER(B19)&amp;"' AS TABELA, '"&amp;UPPER(C19)&amp;"' AS TIPOLOGIA_TESTE,'"&amp;D19&amp;"' AS TABELA_LT,'"&amp;E19&amp;"' AS TABELA_SIMUL,'"&amp;F19&amp;"' AS CAMPO, "&amp;"'${ref_date}' AS REF_DATE, COUNT(*) AS NUM_REG, SUM(IF(COALESCE(CAST(X."&amp;F19&amp;" AS STRING),'')&lt;&gt;COALESCE(CAST(Y."&amp;F19&amp;"_SIMUL AS STRING),'') OR (X."&amp;F19&amp;" IS NULL AND Y."&amp;F19&amp;"_SIMUL IS NOT NULL ) OR (X."&amp;F19&amp;" IS NOT NULL AND Y."&amp;F19&amp;"_SIMUL IS NULL),1,0)) AS NUM_REG_DIF,'"&amp;MAX('ID1&amp;5'!L:L)+1&amp;"' AS ID_EXEC, CURRENT_TIMESTAMP() AS TIME_EXEC FROM "&amp;I19&amp;" INNER JOIN "&amp;J19&amp;" "&amp;K19),
IF(C19="Validade",+IF(G19="Code List","SELECT '"&amp;UPPER(B19)&amp;"' AS TABELA, '"&amp;UPPER(C19)&amp;"' AS TIPOLOGIA_TESTE,'"&amp;D19&amp;"' AS TABELA_LT,'N/A' AS TABELA_SIMUL,'"&amp;F19&amp;"' AS CAMPO, "&amp;"'${ref_date}' AS REF_DATE, COUNT(*) AS NUM_REG, SUM(IF(TRIM(CAST(X."&amp;F19&amp;" AS STRING))='' OR TRIM(CAST(X."&amp;F19&amp;" AS STRING)) IS NULL OR CAST(X."&amp;F19&amp;" AS STRING) NOT "&amp;H19&amp;",1,0)) AS NUM_REG_DIF,'"&amp;MAX('ID1&amp;5'!K:K)+1&amp;"' AS ID_EXEC, CURRENT_TIMESTAMP() AS TIME_EXEC FROM "&amp;I19,"SELECT '"&amp;UPPER(B19)&amp;"' AS TABELA, '"&amp;UPPER(C19)&amp;"' AS TIPOLOGIA_TESTE,'"&amp;D19&amp;"' AS TABELA_LT,'N/A' AS TABELA_SIMUL,'"&amp;F19&amp;"' AS CAMPO, "&amp;"'${ref_date}' AS REF_DATE, COUNT(*) AS NUM_REG, SUM(IF(TRIM(CAST(X."&amp;F19&amp;" AS STRING))='' OR TRIM(CAST(X."&amp;F19&amp;" AS STRING)) IS NULL,1,0)) AS NUM_REG_DIF,'"&amp;MAX('ID1&amp;5'!K:K)+1&amp;"' AS ID_EXEC, CURRENT_TIMESTAMP() AS TIME_EXEC FROM "&amp;I19),
IF(C19="Caracteres Especiais",+"SELECT '"&amp;UPPER(B19)&amp;"' AS TABELA, '"&amp;UPPER(C19)&amp;"' AS TIPOLOGIA_TESTE,'"&amp;D19&amp;"' AS TABELA_LT,'N/A' AS TABELA_SIMUL,'"&amp;F19&amp;"' AS CAMPO, "&amp;"'${ref_date}' AS REF_DATE, COUNT(*) AS NUM_REG, SUM(IF(REGEXP_REPLACE(TRIM(CAST(X."&amp;F19&amp;" AS STRING)),'[^a-zA-Z0-9_\\s]','') &lt;&gt;TRIM(CAST(X."&amp;F19&amp;" AS STRING)),1,0)) AS NUM_REG_DIF,'"&amp;MAX('ID1&amp;5'!K:K)+1&amp;"' AS ID_EXEC, CURRENT_TIMESTAMP() AS TIME_EXEC FROM "&amp;I19,
IF(C19="Missings",+"SELECT '"&amp;UPPER(B19)&amp;"' AS TABELA, '"&amp;UPPER(C19)&amp;"' AS TIPOLOGIA_TESTE,'"&amp;D19&amp;"' AS TABELA_LT,'N/A' AS TABELA_SIMUL,'"&amp;F19&amp;"' AS CAMPO, "&amp;"'${ref_date}' AS REF_DATE, COUNT(*) AS NUM_REG, SUM(IF(TRIM(CAST(X."&amp;F19&amp;" AS STRING)) IN ('0000-00-00','0001-01-01','9999-12-31','MISS','00000','99999999999','99999999999.00','99999999999.000000'),1,0)) AS NUM_REG_DIF,'"&amp;MAX('ID1&amp;5'!K:K)+1&amp;"' AS ID_EXEC, CURRENT_TIMESTAMP() AS TIME_EXEC FROM "&amp;I19,
IF(C19="Not applicable",+"SELECT '"&amp;UPPER(B19)&amp;"' AS TABELA, '"&amp;UPPER(C19)&amp;"' AS TIPOLOGIA_TESTE,'"&amp;D19&amp;"' AS TABELA_LT,'N/A' AS TABELA_SIMUL,'"&amp;F19&amp;"' AS CAMPO, "&amp;"'${ref_date}' AS REF_DATE, COUNT(*) AS NUM_REG, SUM(IF(TRIM(CAST(X."&amp;F19&amp;" AS STRING)) IN ('N/A','11111111111','11111111111.00','11111111111.000000','1111-11-11'),1,0)) AS NUM_REG_DIF,'"&amp;MAX('ID1&amp;5'!K:K)+1&amp;"' AS ID_EXEC, CURRENT_TIMESTAMP() AS TIME_EXEC FROM "&amp;I19,
IF(C19="Valores extremos",+"SELECT '"&amp;UPPER(B19)&amp;"' AS TABELA, '"&amp;UPPER(C19)&amp;"' AS TIPOLOGIA_TESTE,'"&amp;D19&amp;"' AS TABELA_LT,'N/A' AS TABELA_SIMUL,'"&amp;F19&amp;"' AS CAMPO, "&amp;"'${ref_date}' AS REF_DATE, CAST(MIN("&amp;F19&amp;") AS STRING) AS VALOR_MIN, CAST(MAX("&amp;F19&amp;") AS STRING) AS VALOR_MAX,'"&amp;MAX('ID1&amp;5'!K:K)+1&amp;"' AS ID_EXEC, CURRENT_TIMESTAMP() AS TIME_EXEC FROM "&amp;MID(I19,1,LEN(I19)-2)&amp;" AND CAST("&amp;F19&amp;"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TABELA_SIMUL,'INTRNL_SGMNT' AS CAMPO, '${ref_date}' AS REF_DATE, COUNT(*) AS NUM_REG, SUM(IF(COALESCE(CAST(X.INTRNL_SGMNT AS STRING),'')&lt;&gt;COALESCE(CAST(Y.INTRNL_SGMNT_SIMUL AS STRING),'') OR (X.INTRNL_SGMNT IS NULL AND Y.INTRNL_SGMNT_SIMUL IS NOT NULL ) OR (X.INTRNL_SGMNT IS NOT NULL AND Y.INTRNL_SGMNT_SIMUL IS NULL),1,0)) AS NUM_REG_DIF,'1' AS ID_EXEC, CURRENT_TIMESTAMP() AS TIME_EXEC FROM (SELECT entty_id, INTRNL_SGMNT FROM CD_LOAN_TAPES_BCE.LT003_ENTITY WHERE ref_date='${ref_date}' AND nome_perimetro='Individual Corporativo' AND segmento='ESTR' AND ambito='PM' AND entidade='00100')X INNER JOIN (SELECT entty_id AS entty_id_SIMUL, INTRNL_SGMNT AS INTRNL_SGMNT_SIMUL FROM BU_LOANTAPE_WORK.LT003_ENTITY WHERE ref_date='${ref_date}' AND nome_perimetro='Individual Corporativo' AND segmento='ESTR' AND ambito='PM' AND entidade='00100')Y ON X.ENTTY_ID=Y.ENTTY_ID_SIMUL</v>
      </c>
      <c r="M19" s="36" t="str">
        <f t="shared" si="0"/>
        <v>UNION ALL SELECT 'ENTITY' AS TABELA, 'COERÊNCIA' AS TIPOLOGIA_TESTE,'CD_LOAN_TAPES_BCE.LT003_ENTITY' AS TABELA_LT,'BU_LOANTAPE_WORK.LT003_ENTITY' AS TABELA_SIMUL,'INTRNL_SGMNT' AS CAMPO, '${ref_date}' AS REF_DATE, COUNT(*) AS NUM_REG, SUM(IF(COALESCE(CAST(X.INTRNL_SGMNT AS STRING),'')&lt;&gt;COALESCE(CAST(Y.INTRNL_SGMNT_SIMUL AS STRING),'') OR (X.INTRNL_SGMNT IS NULL AND Y.INTRNL_SGMNT_SIMUL IS NOT NULL ) OR (X.INTRNL_SGMNT IS NOT NULL AND Y.INTRNL_SGMNT_SIMUL IS NULL),1,0)) AS NUM_REG_DIF,'1' AS ID_EXEC, CURRENT_TIMESTAMP() AS TIME_EXEC FROM (SELECT entty_id, INTRNL_SGMNT FROM CD_LOAN_TAPES_BCE.LT003_ENTITY WHERE ref_date='${ref_date}' AND nome_perimetro='Individual Corporativo' AND segmento='ESTR' AND ambito='PM' AND entidade='00100')X INNER JOIN (SELECT entty_id AS entty_id_SIMUL, INTRNL_SGMNT AS INTRNL_SGMNT_SIMUL FROM BU_LOANTAPE_WORK.LT003_ENTITY WHERE ref_date='${ref_date}' AND nome_perimetro='Individual Corporativo' AND segmento='ESTR' AND ambito='PM' AND entidade='00100')Y ON X.ENTTY_ID=Y.ENTTY_ID_SIMUL</v>
      </c>
      <c r="N19" s="38" t="s">
        <v>46</v>
      </c>
    </row>
    <row r="20" spans="2:14">
      <c r="B20" s="34" t="s">
        <v>127</v>
      </c>
      <c r="C20" s="34" t="s">
        <v>5</v>
      </c>
      <c r="D20" s="34" t="str">
        <f>+UPPER('0. Instruções'!$D$35&amp;"."&amp;VLOOKUP(B20,'0. Instruções'!$C$27:$D$32,2,FALSE))</f>
        <v>CD_LOAN_TAPES_BCE.LT003_ENTITY</v>
      </c>
      <c r="E20" s="34" t="str">
        <f>+UPPER('0. Instruções'!$D$36&amp;"."&amp;VLOOKUP(B20,'0. Instruções'!$C$27:$E$32,3,FALSE))</f>
        <v>BU_LOANTAPE_WORK.LT003_ENTITY</v>
      </c>
      <c r="F20" s="34" t="s">
        <v>333</v>
      </c>
      <c r="G20" s="34"/>
      <c r="H20" s="34" t="s">
        <v>646</v>
      </c>
      <c r="I20" s="34" t="str">
        <f>"(SELECT "&amp;VLOOKUP(B20,'0. Instruções'!$C$27:$G$32,4,FALSE)&amp;", "&amp;F20&amp;" FROM "&amp;D20&amp;" WHERE "&amp;'0. Instruções'!$D$42&amp;")X"</f>
        <v>(SELECT entty_id, INTRNL_UNT FROM CD_LOAN_TAPES_BCE.LT003_ENTITY WHERE ref_date='${ref_date}' AND nome_perimetro='Individual Corporativo' AND segmento='ESTR' AND ambito='PM' AND entidade='00100')X</v>
      </c>
      <c r="J20" s="34" t="str">
        <f>"(SELECT "&amp;VLOOKUP(B20,'0. Instruções'!$C$27:$G$32,4,FALSE)&amp;" AS "&amp;VLOOKUP(B20,'0. Instruções'!$C$27:$G$32,4,FALSE)&amp;"_SIMUL, "&amp;F20&amp;" AS "&amp;F20&amp;"_SIMUL FROM "&amp;E20&amp;" WHERE "&amp;'0. Instruções'!$D$43&amp;")Y"</f>
        <v>(SELECT entty_id AS entty_id_SIMUL, INTRNL_UNT AS INTRNL_UNT_SIMUL FROM BU_LOANTAPE_WORK.LT003_ENTITY WHERE ref_date='${ref_date}' AND nome_perimetro='Individual Corporativo' AND segmento='ESTR' AND ambito='PM' AND entidade='00100')Y</v>
      </c>
      <c r="K20" s="35" t="str">
        <f>+UPPER("ON X."&amp;VLOOKUP(B20,'0. Instruções'!$C$27:$G$32,4,FALSE)&amp;"=Y."&amp;VLOOKUP(B20,'0. Instruções'!$C$27:$G$32,4,FALSE)&amp;"_SIMUL")</f>
        <v>ON X.ENTTY_ID=Y.ENTTY_ID_SIMUL</v>
      </c>
      <c r="L20" s="35" t="str">
        <f>+IF(C20="Coerência", +IF(LEFT(G20,5)="FLOAT","SELECT '"&amp;UPPER(B20)&amp;"' AS TABELA, '"&amp;UPPER(C20)&amp;"' AS TIPOLOGIA_TESTE,'"&amp;D20&amp;"' AS TABELA_LT,'"&amp;E20&amp;"' AS TABELA_SIMUL,'"&amp;F20&amp;"' AS CAMPO, "&amp;"'${ref_date}' AS REF_DATE, COUNT(*) AS NUM_REG, SUM(IF((ABS(COALESCE(CAST(X."&amp;F20&amp;" AS DECIMAL(18,6)),0)-COALESCE(CAST(Y."&amp;F20&amp;"_SIMUL AS DECIMAL(18,6)),0))&gt;0.000001) OR (X."&amp;F20&amp;" IS NULL AND Y."&amp;F20&amp;"_SIMUL IS NOT NULL ) OR (X."&amp;F20&amp;" IS NOT NULL AND Y."&amp;F20&amp;"_SIMUL IS NULL),1,0)) AS NUM_REG_DIF,'"&amp;MAX('ID1&amp;5'!K:K)+1&amp;"' AS ID_EXEC, CURRENT_TIMESTAMP() AS TIME_EXEC FROM "&amp;I20&amp;" INNER JOIN "&amp;J20&amp;" "&amp;K20,"SELECT '"&amp;UPPER(B20)&amp;"' AS TABELA, '"&amp;UPPER(C20)&amp;"' AS TIPOLOGIA_TESTE,'"&amp;D20&amp;"' AS TABELA_LT,'"&amp;E20&amp;"' AS TABELA_SIMUL,'"&amp;F20&amp;"' AS CAMPO, "&amp;"'${ref_date}' AS REF_DATE, COUNT(*) AS NUM_REG, SUM(IF(COALESCE(CAST(X."&amp;F20&amp;" AS STRING),'')&lt;&gt;COALESCE(CAST(Y."&amp;F20&amp;"_SIMUL AS STRING),'') OR (X."&amp;F20&amp;" IS NULL AND Y."&amp;F20&amp;"_SIMUL IS NOT NULL ) OR (X."&amp;F20&amp;" IS NOT NULL AND Y."&amp;F20&amp;"_SIMUL IS NULL),1,0)) AS NUM_REG_DIF,'"&amp;MAX('ID1&amp;5'!L:L)+1&amp;"' AS ID_EXEC, CURRENT_TIMESTAMP() AS TIME_EXEC FROM "&amp;I20&amp;" INNER JOIN "&amp;J20&amp;" "&amp;K20),
IF(C20="Validade",+IF(G20="Code List","SELECT '"&amp;UPPER(B20)&amp;"' AS TABELA, '"&amp;UPPER(C20)&amp;"' AS TIPOLOGIA_TESTE,'"&amp;D20&amp;"' AS TABELA_LT,'N/A' AS TABELA_SIMUL,'"&amp;F20&amp;"' AS CAMPO, "&amp;"'${ref_date}' AS REF_DATE, COUNT(*) AS NUM_REG, SUM(IF(TRIM(CAST(X."&amp;F20&amp;" AS STRING))='' OR TRIM(CAST(X."&amp;F20&amp;" AS STRING)) IS NULL OR CAST(X."&amp;F20&amp;" AS STRING) NOT "&amp;H20&amp;",1,0)) AS NUM_REG_DIF,'"&amp;MAX('ID1&amp;5'!K:K)+1&amp;"' AS ID_EXEC, CURRENT_TIMESTAMP() AS TIME_EXEC FROM "&amp;I20,"SELECT '"&amp;UPPER(B20)&amp;"' AS TABELA, '"&amp;UPPER(C20)&amp;"' AS TIPOLOGIA_TESTE,'"&amp;D20&amp;"' AS TABELA_LT,'N/A' AS TABELA_SIMUL,'"&amp;F20&amp;"' AS CAMPO, "&amp;"'${ref_date}' AS REF_DATE, COUNT(*) AS NUM_REG, SUM(IF(TRIM(CAST(X."&amp;F20&amp;" AS STRING))='' OR TRIM(CAST(X."&amp;F20&amp;" AS STRING)) IS NULL,1,0)) AS NUM_REG_DIF,'"&amp;MAX('ID1&amp;5'!K:K)+1&amp;"' AS ID_EXEC, CURRENT_TIMESTAMP() AS TIME_EXEC FROM "&amp;I20),
IF(C20="Caracteres Especiais",+"SELECT '"&amp;UPPER(B20)&amp;"' AS TABELA, '"&amp;UPPER(C20)&amp;"' AS TIPOLOGIA_TESTE,'"&amp;D20&amp;"' AS TABELA_LT,'N/A' AS TABELA_SIMUL,'"&amp;F20&amp;"' AS CAMPO, "&amp;"'${ref_date}' AS REF_DATE, COUNT(*) AS NUM_REG, SUM(IF(REGEXP_REPLACE(TRIM(CAST(X."&amp;F20&amp;" AS STRING)),'[^a-zA-Z0-9_\\s]','') &lt;&gt;TRIM(CAST(X."&amp;F20&amp;" AS STRING)),1,0)) AS NUM_REG_DIF,'"&amp;MAX('ID1&amp;5'!K:K)+1&amp;"' AS ID_EXEC, CURRENT_TIMESTAMP() AS TIME_EXEC FROM "&amp;I20,
IF(C20="Missings",+"SELECT '"&amp;UPPER(B20)&amp;"' AS TABELA, '"&amp;UPPER(C20)&amp;"' AS TIPOLOGIA_TESTE,'"&amp;D20&amp;"' AS TABELA_LT,'N/A' AS TABELA_SIMUL,'"&amp;F20&amp;"' AS CAMPO, "&amp;"'${ref_date}' AS REF_DATE, COUNT(*) AS NUM_REG, SUM(IF(TRIM(CAST(X."&amp;F20&amp;" AS STRING)) IN ('0000-00-00','0001-01-01','9999-12-31','MISS','00000','99999999999','99999999999.00','99999999999.000000'),1,0)) AS NUM_REG_DIF,'"&amp;MAX('ID1&amp;5'!K:K)+1&amp;"' AS ID_EXEC, CURRENT_TIMESTAMP() AS TIME_EXEC FROM "&amp;I20,
IF(C20="Not applicable",+"SELECT '"&amp;UPPER(B20)&amp;"' AS TABELA, '"&amp;UPPER(C20)&amp;"' AS TIPOLOGIA_TESTE,'"&amp;D20&amp;"' AS TABELA_LT,'N/A' AS TABELA_SIMUL,'"&amp;F20&amp;"' AS CAMPO, "&amp;"'${ref_date}' AS REF_DATE, COUNT(*) AS NUM_REG, SUM(IF(TRIM(CAST(X."&amp;F20&amp;" AS STRING)) IN ('N/A','11111111111','11111111111.00','11111111111.000000','1111-11-11'),1,0)) AS NUM_REG_DIF,'"&amp;MAX('ID1&amp;5'!K:K)+1&amp;"' AS ID_EXEC, CURRENT_TIMESTAMP() AS TIME_EXEC FROM "&amp;I20,
IF(C20="Valores extremos",+"SELECT '"&amp;UPPER(B20)&amp;"' AS TABELA, '"&amp;UPPER(C20)&amp;"' AS TIPOLOGIA_TESTE,'"&amp;D20&amp;"' AS TABELA_LT,'N/A' AS TABELA_SIMUL,'"&amp;F20&amp;"' AS CAMPO, "&amp;"'${ref_date}' AS REF_DATE, CAST(MIN("&amp;F20&amp;") AS STRING) AS VALOR_MIN, CAST(MAX("&amp;F20&amp;") AS STRING) AS VALOR_MAX,'"&amp;MAX('ID1&amp;5'!K:K)+1&amp;"' AS ID_EXEC, CURRENT_TIMESTAMP() AS TIME_EXEC FROM "&amp;MID(I20,1,LEN(I20)-2)&amp;" AND CAST("&amp;F20&amp;"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TABELA_SIMUL,'INTRNL_UNT' AS CAMPO, '${ref_date}' AS REF_DATE, COUNT(*) AS NUM_REG, SUM(IF(COALESCE(CAST(X.INTRNL_UNT AS STRING),'')&lt;&gt;COALESCE(CAST(Y.INTRNL_UNT_SIMUL AS STRING),'') OR (X.INTRNL_UNT IS NULL AND Y.INTRNL_UNT_SIMUL IS NOT NULL ) OR (X.INTRNL_UNT IS NOT NULL AND Y.INTRNL_UNT_SIMUL IS NULL),1,0)) AS NUM_REG_DIF,'1' AS ID_EXEC, CURRENT_TIMESTAMP() AS TIME_EXEC FROM (SELECT entty_id, INTRNL_UNT FROM CD_LOAN_TAPES_BCE.LT003_ENTITY WHERE ref_date='${ref_date}' AND nome_perimetro='Individual Corporativo' AND segmento='ESTR' AND ambito='PM' AND entidade='00100')X INNER JOIN (SELECT entty_id AS entty_id_SIMUL, INTRNL_UNT AS INTRNL_UNT_SIMUL FROM BU_LOANTAPE_WORK.LT003_ENTITY WHERE ref_date='${ref_date}' AND nome_perimetro='Individual Corporativo' AND segmento='ESTR' AND ambito='PM' AND entidade='00100')Y ON X.ENTTY_ID=Y.ENTTY_ID_SIMUL</v>
      </c>
      <c r="M20" s="36" t="str">
        <f t="shared" si="0"/>
        <v>UNION ALL SELECT 'ENTITY' AS TABELA, 'COERÊNCIA' AS TIPOLOGIA_TESTE,'CD_LOAN_TAPES_BCE.LT003_ENTITY' AS TABELA_LT,'BU_LOANTAPE_WORK.LT003_ENTITY' AS TABELA_SIMUL,'INTRNL_UNT' AS CAMPO, '${ref_date}' AS REF_DATE, COUNT(*) AS NUM_REG, SUM(IF(COALESCE(CAST(X.INTRNL_UNT AS STRING),'')&lt;&gt;COALESCE(CAST(Y.INTRNL_UNT_SIMUL AS STRING),'') OR (X.INTRNL_UNT IS NULL AND Y.INTRNL_UNT_SIMUL IS NOT NULL ) OR (X.INTRNL_UNT IS NOT NULL AND Y.INTRNL_UNT_SIMUL IS NULL),1,0)) AS NUM_REG_DIF,'1' AS ID_EXEC, CURRENT_TIMESTAMP() AS TIME_EXEC FROM (SELECT entty_id, INTRNL_UNT FROM CD_LOAN_TAPES_BCE.LT003_ENTITY WHERE ref_date='${ref_date}' AND nome_perimetro='Individual Corporativo' AND segmento='ESTR' AND ambito='PM' AND entidade='00100')X INNER JOIN (SELECT entty_id AS entty_id_SIMUL, INTRNL_UNT AS INTRNL_UNT_SIMUL FROM BU_LOANTAPE_WORK.LT003_ENTITY WHERE ref_date='${ref_date}' AND nome_perimetro='Individual Corporativo' AND segmento='ESTR' AND ambito='PM' AND entidade='00100')Y ON X.ENTTY_ID=Y.ENTTY_ID_SIMUL</v>
      </c>
      <c r="N20" s="38" t="s">
        <v>46</v>
      </c>
    </row>
    <row r="21" spans="2:14">
      <c r="B21" s="34" t="s">
        <v>127</v>
      </c>
      <c r="C21" s="34" t="s">
        <v>5</v>
      </c>
      <c r="D21" s="34" t="str">
        <f>+UPPER('0. Instruções'!$D$35&amp;"."&amp;VLOOKUP(B21,'0. Instruções'!$C$27:$D$32,2,FALSE))</f>
        <v>CD_LOAN_TAPES_BCE.LT003_ENTITY</v>
      </c>
      <c r="E21" s="34" t="str">
        <f>+UPPER('0. Instruções'!$D$36&amp;"."&amp;VLOOKUP(B21,'0. Instruções'!$C$27:$E$32,3,FALSE))</f>
        <v>BU_LOANTAPE_WORK.LT003_ENTITY</v>
      </c>
      <c r="F21" s="34" t="s">
        <v>114</v>
      </c>
      <c r="G21" s="34"/>
      <c r="H21" s="34" t="s">
        <v>647</v>
      </c>
      <c r="I21" s="34" t="str">
        <f>"(SELECT "&amp;VLOOKUP(B21,'0. Instruções'!$C$27:$G$32,4,FALSE)&amp;", "&amp;F21&amp;" FROM "&amp;D21&amp;" WHERE "&amp;'0. Instruções'!$D$42&amp;")X"</f>
        <v>(SELECT entty_id, LEI FROM CD_LOAN_TAPES_BCE.LT003_ENTITY WHERE ref_date='${ref_date}' AND nome_perimetro='Individual Corporativo' AND segmento='ESTR' AND ambito='PM' AND entidade='00100')X</v>
      </c>
      <c r="J21" s="34" t="str">
        <f>"(SELECT "&amp;VLOOKUP(B21,'0. Instruções'!$C$27:$G$32,4,FALSE)&amp;" AS "&amp;VLOOKUP(B21,'0. Instruções'!$C$27:$G$32,4,FALSE)&amp;"_SIMUL, "&amp;F21&amp;" AS "&amp;F21&amp;"_SIMUL FROM "&amp;E21&amp;" WHERE "&amp;'0. Instruções'!$D$43&amp;")Y"</f>
        <v>(SELECT entty_id AS entty_id_SIMUL, LEI AS LEI_SIMUL FROM BU_LOANTAPE_WORK.LT003_ENTITY WHERE ref_date='${ref_date}' AND nome_perimetro='Individual Corporativo' AND segmento='ESTR' AND ambito='PM' AND entidade='00100')Y</v>
      </c>
      <c r="K21" s="35" t="str">
        <f>+UPPER("ON X."&amp;VLOOKUP(B21,'0. Instruções'!$C$27:$G$32,4,FALSE)&amp;"=Y."&amp;VLOOKUP(B21,'0. Instruções'!$C$27:$G$32,4,FALSE)&amp;"_SIMUL")</f>
        <v>ON X.ENTTY_ID=Y.ENTTY_ID_SIMUL</v>
      </c>
      <c r="L21" s="35" t="str">
        <f>+IF(C21="Coerência", +IF(LEFT(G21,5)="FLOAT","SELECT '"&amp;UPPER(B21)&amp;"' AS TABELA, '"&amp;UPPER(C21)&amp;"' AS TIPOLOGIA_TESTE,'"&amp;D21&amp;"' AS TABELA_LT,'"&amp;E21&amp;"' AS TABELA_SIMUL,'"&amp;F21&amp;"' AS CAMPO, "&amp;"'${ref_date}' AS REF_DATE, COUNT(*) AS NUM_REG, SUM(IF((ABS(COALESCE(CAST(X."&amp;F21&amp;" AS DECIMAL(18,6)),0)-COALESCE(CAST(Y."&amp;F21&amp;"_SIMUL AS DECIMAL(18,6)),0))&gt;0.000001) OR (X."&amp;F21&amp;" IS NULL AND Y."&amp;F21&amp;"_SIMUL IS NOT NULL ) OR (X."&amp;F21&amp;" IS NOT NULL AND Y."&amp;F21&amp;"_SIMUL IS NULL),1,0)) AS NUM_REG_DIF,'"&amp;MAX('ID1&amp;5'!K:K)+1&amp;"' AS ID_EXEC, CURRENT_TIMESTAMP() AS TIME_EXEC FROM "&amp;I21&amp;" INNER JOIN "&amp;J21&amp;" "&amp;K21,"SELECT '"&amp;UPPER(B21)&amp;"' AS TABELA, '"&amp;UPPER(C21)&amp;"' AS TIPOLOGIA_TESTE,'"&amp;D21&amp;"' AS TABELA_LT,'"&amp;E21&amp;"' AS TABELA_SIMUL,'"&amp;F21&amp;"' AS CAMPO, "&amp;"'${ref_date}' AS REF_DATE, COUNT(*) AS NUM_REG, SUM(IF(COALESCE(CAST(X."&amp;F21&amp;" AS STRING),'')&lt;&gt;COALESCE(CAST(Y."&amp;F21&amp;"_SIMUL AS STRING),'') OR (X."&amp;F21&amp;" IS NULL AND Y."&amp;F21&amp;"_SIMUL IS NOT NULL ) OR (X."&amp;F21&amp;" IS NOT NULL AND Y."&amp;F21&amp;"_SIMUL IS NULL),1,0)) AS NUM_REG_DIF,'"&amp;MAX('ID1&amp;5'!L:L)+1&amp;"' AS ID_EXEC, CURRENT_TIMESTAMP() AS TIME_EXEC FROM "&amp;I21&amp;" INNER JOIN "&amp;J21&amp;" "&amp;K21),
IF(C21="Validade",+IF(G21="Code List","SELECT '"&amp;UPPER(B21)&amp;"' AS TABELA, '"&amp;UPPER(C21)&amp;"' AS TIPOLOGIA_TESTE,'"&amp;D21&amp;"' AS TABELA_LT,'N/A' AS TABELA_SIMUL,'"&amp;F21&amp;"' AS CAMPO, "&amp;"'${ref_date}' AS REF_DATE, COUNT(*) AS NUM_REG, SUM(IF(TRIM(CAST(X."&amp;F21&amp;" AS STRING))='' OR TRIM(CAST(X."&amp;F21&amp;" AS STRING)) IS NULL OR CAST(X."&amp;F21&amp;" AS STRING) NOT "&amp;H21&amp;",1,0)) AS NUM_REG_DIF,'"&amp;MAX('ID1&amp;5'!K:K)+1&amp;"' AS ID_EXEC, CURRENT_TIMESTAMP() AS TIME_EXEC FROM "&amp;I21,"SELECT '"&amp;UPPER(B21)&amp;"' AS TABELA, '"&amp;UPPER(C21)&amp;"' AS TIPOLOGIA_TESTE,'"&amp;D21&amp;"' AS TABELA_LT,'N/A' AS TABELA_SIMUL,'"&amp;F21&amp;"' AS CAMPO, "&amp;"'${ref_date}' AS REF_DATE, COUNT(*) AS NUM_REG, SUM(IF(TRIM(CAST(X."&amp;F21&amp;" AS STRING))='' OR TRIM(CAST(X."&amp;F21&amp;" AS STRING)) IS NULL,1,0)) AS NUM_REG_DIF,'"&amp;MAX('ID1&amp;5'!K:K)+1&amp;"' AS ID_EXEC, CURRENT_TIMESTAMP() AS TIME_EXEC FROM "&amp;I21),
IF(C21="Caracteres Especiais",+"SELECT '"&amp;UPPER(B21)&amp;"' AS TABELA, '"&amp;UPPER(C21)&amp;"' AS TIPOLOGIA_TESTE,'"&amp;D21&amp;"' AS TABELA_LT,'N/A' AS TABELA_SIMUL,'"&amp;F21&amp;"' AS CAMPO, "&amp;"'${ref_date}' AS REF_DATE, COUNT(*) AS NUM_REG, SUM(IF(REGEXP_REPLACE(TRIM(CAST(X."&amp;F21&amp;" AS STRING)),'[^a-zA-Z0-9_\\s]','') &lt;&gt;TRIM(CAST(X."&amp;F21&amp;" AS STRING)),1,0)) AS NUM_REG_DIF,'"&amp;MAX('ID1&amp;5'!K:K)+1&amp;"' AS ID_EXEC, CURRENT_TIMESTAMP() AS TIME_EXEC FROM "&amp;I21,
IF(C21="Missings",+"SELECT '"&amp;UPPER(B21)&amp;"' AS TABELA, '"&amp;UPPER(C21)&amp;"' AS TIPOLOGIA_TESTE,'"&amp;D21&amp;"' AS TABELA_LT,'N/A' AS TABELA_SIMUL,'"&amp;F21&amp;"' AS CAMPO, "&amp;"'${ref_date}' AS REF_DATE, COUNT(*) AS NUM_REG, SUM(IF(TRIM(CAST(X."&amp;F21&amp;" AS STRING)) IN ('0000-00-00','0001-01-01','9999-12-31','MISS','00000','99999999999','99999999999.00','99999999999.000000'),1,0)) AS NUM_REG_DIF,'"&amp;MAX('ID1&amp;5'!K:K)+1&amp;"' AS ID_EXEC, CURRENT_TIMESTAMP() AS TIME_EXEC FROM "&amp;I21,
IF(C21="Not applicable",+"SELECT '"&amp;UPPER(B21)&amp;"' AS TABELA, '"&amp;UPPER(C21)&amp;"' AS TIPOLOGIA_TESTE,'"&amp;D21&amp;"' AS TABELA_LT,'N/A' AS TABELA_SIMUL,'"&amp;F21&amp;"' AS CAMPO, "&amp;"'${ref_date}' AS REF_DATE, COUNT(*) AS NUM_REG, SUM(IF(TRIM(CAST(X."&amp;F21&amp;" AS STRING)) IN ('N/A','11111111111','11111111111.00','11111111111.000000','1111-11-11'),1,0)) AS NUM_REG_DIF,'"&amp;MAX('ID1&amp;5'!K:K)+1&amp;"' AS ID_EXEC, CURRENT_TIMESTAMP() AS TIME_EXEC FROM "&amp;I21,
IF(C21="Valores extremos",+"SELECT '"&amp;UPPER(B21)&amp;"' AS TABELA, '"&amp;UPPER(C21)&amp;"' AS TIPOLOGIA_TESTE,'"&amp;D21&amp;"' AS TABELA_LT,'N/A' AS TABELA_SIMUL,'"&amp;F21&amp;"' AS CAMPO, "&amp;"'${ref_date}' AS REF_DATE, CAST(MIN("&amp;F21&amp;") AS STRING) AS VALOR_MIN, CAST(MAX("&amp;F21&amp;") AS STRING) AS VALOR_MAX,'"&amp;MAX('ID1&amp;5'!K:K)+1&amp;"' AS ID_EXEC, CURRENT_TIMESTAMP() AS TIME_EXEC FROM "&amp;MID(I21,1,LEN(I21)-2)&amp;" AND CAST("&amp;F21&amp;"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TABELA_SIMUL,'LEI' AS CAMPO, '${ref_date}' AS REF_DATE, COUNT(*) AS NUM_REG, SUM(IF(COALESCE(CAST(X.LEI AS STRING),'')&lt;&gt;COALESCE(CAST(Y.LEI_SIMUL AS STRING),'') OR (X.LEI IS NULL AND Y.LEI_SIMUL IS NOT NULL ) OR (X.LEI IS NOT NULL AND Y.LEI_SIMUL IS NULL),1,0)) AS NUM_REG_DIF,'1' AS ID_EXEC, CURRENT_TIMESTAMP() AS TIME_EXEC FROM (SELECT entty_id, LEI FROM CD_LOAN_TAPES_BCE.LT003_ENTITY WHERE ref_date='${ref_date}' AND nome_perimetro='Individual Corporativo' AND segmento='ESTR' AND ambito='PM' AND entidade='00100')X INNER JOIN (SELECT entty_id AS entty_id_SIMUL, LEI AS LEI_SIMUL FROM BU_LOANTAPE_WORK.LT003_ENTITY WHERE ref_date='${ref_date}' AND nome_perimetro='Individual Corporativo' AND segmento='ESTR' AND ambito='PM' AND entidade='00100')Y ON X.ENTTY_ID=Y.ENTTY_ID_SIMUL</v>
      </c>
      <c r="M21" s="36" t="str">
        <f t="shared" si="0"/>
        <v>UNION ALL SELECT 'ENTITY' AS TABELA, 'COERÊNCIA' AS TIPOLOGIA_TESTE,'CD_LOAN_TAPES_BCE.LT003_ENTITY' AS TABELA_LT,'BU_LOANTAPE_WORK.LT003_ENTITY' AS TABELA_SIMUL,'LEI' AS CAMPO, '${ref_date}' AS REF_DATE, COUNT(*) AS NUM_REG, SUM(IF(COALESCE(CAST(X.LEI AS STRING),'')&lt;&gt;COALESCE(CAST(Y.LEI_SIMUL AS STRING),'') OR (X.LEI IS NULL AND Y.LEI_SIMUL IS NOT NULL ) OR (X.LEI IS NOT NULL AND Y.LEI_SIMUL IS NULL),1,0)) AS NUM_REG_DIF,'1' AS ID_EXEC, CURRENT_TIMESTAMP() AS TIME_EXEC FROM (SELECT entty_id, LEI FROM CD_LOAN_TAPES_BCE.LT003_ENTITY WHERE ref_date='${ref_date}' AND nome_perimetro='Individual Corporativo' AND segmento='ESTR' AND ambito='PM' AND entidade='00100')X INNER JOIN (SELECT entty_id AS entty_id_SIMUL, LEI AS LEI_SIMUL FROM BU_LOANTAPE_WORK.LT003_ENTITY WHERE ref_date='${ref_date}' AND nome_perimetro='Individual Corporativo' AND segmento='ESTR' AND ambito='PM' AND entidade='00100')Y ON X.ENTTY_ID=Y.ENTTY_ID_SIMUL</v>
      </c>
      <c r="N21" s="38" t="s">
        <v>46</v>
      </c>
    </row>
    <row r="22" spans="2:14">
      <c r="B22" s="34" t="s">
        <v>127</v>
      </c>
      <c r="C22" s="34" t="s">
        <v>5</v>
      </c>
      <c r="D22" s="34" t="str">
        <f>+UPPER('0. Instruções'!$D$35&amp;"."&amp;VLOOKUP(B22,'0. Instruções'!$C$27:$D$32,2,FALSE))</f>
        <v>CD_LOAN_TAPES_BCE.LT003_ENTITY</v>
      </c>
      <c r="E22" s="34" t="str">
        <f>+UPPER('0. Instruções'!$D$36&amp;"."&amp;VLOOKUP(B22,'0. Instruções'!$C$27:$E$32,3,FALSE))</f>
        <v>BU_LOANTAPE_WORK.LT003_ENTITY</v>
      </c>
      <c r="F22" s="34" t="s">
        <v>334</v>
      </c>
      <c r="G22" s="34"/>
      <c r="H22" s="34" t="s">
        <v>646</v>
      </c>
      <c r="I22" s="34" t="str">
        <f>"(SELECT "&amp;VLOOKUP(B22,'0. Instruções'!$C$27:$G$32,4,FALSE)&amp;", "&amp;F22&amp;" FROM "&amp;D22&amp;" WHERE "&amp;'0. Instruções'!$D$42&amp;")X"</f>
        <v>(SELECT entty_id, ENTTY_NM FROM CD_LOAN_TAPES_BCE.LT003_ENTITY WHERE ref_date='${ref_date}' AND nome_perimetro='Individual Corporativo' AND segmento='ESTR' AND ambito='PM' AND entidade='00100')X</v>
      </c>
      <c r="J22" s="34" t="str">
        <f>"(SELECT "&amp;VLOOKUP(B22,'0. Instruções'!$C$27:$G$32,4,FALSE)&amp;" AS "&amp;VLOOKUP(B22,'0. Instruções'!$C$27:$G$32,4,FALSE)&amp;"_SIMUL, "&amp;F22&amp;" AS "&amp;F22&amp;"_SIMUL FROM "&amp;E22&amp;" WHERE "&amp;'0. Instruções'!$D$43&amp;")Y"</f>
        <v>(SELECT entty_id AS entty_id_SIMUL, ENTTY_NM AS ENTTY_NM_SIMUL FROM BU_LOANTAPE_WORK.LT003_ENTITY WHERE ref_date='${ref_date}' AND nome_perimetro='Individual Corporativo' AND segmento='ESTR' AND ambito='PM' AND entidade='00100')Y</v>
      </c>
      <c r="K22" s="35" t="str">
        <f>+UPPER("ON X."&amp;VLOOKUP(B22,'0. Instruções'!$C$27:$G$32,4,FALSE)&amp;"=Y."&amp;VLOOKUP(B22,'0. Instruções'!$C$27:$G$32,4,FALSE)&amp;"_SIMUL")</f>
        <v>ON X.ENTTY_ID=Y.ENTTY_ID_SIMUL</v>
      </c>
      <c r="L22" s="35" t="str">
        <f>+IF(C22="Coerência", +IF(LEFT(G22,5)="FLOAT","SELECT '"&amp;UPPER(B22)&amp;"' AS TABELA, '"&amp;UPPER(C22)&amp;"' AS TIPOLOGIA_TESTE,'"&amp;D22&amp;"' AS TABELA_LT,'"&amp;E22&amp;"' AS TABELA_SIMUL,'"&amp;F22&amp;"' AS CAMPO, "&amp;"'${ref_date}' AS REF_DATE, COUNT(*) AS NUM_REG, SUM(IF((ABS(COALESCE(CAST(X."&amp;F22&amp;" AS DECIMAL(18,6)),0)-COALESCE(CAST(Y."&amp;F22&amp;"_SIMUL AS DECIMAL(18,6)),0))&gt;0.000001) OR (X."&amp;F22&amp;" IS NULL AND Y."&amp;F22&amp;"_SIMUL IS NOT NULL ) OR (X."&amp;F22&amp;" IS NOT NULL AND Y."&amp;F22&amp;"_SIMUL IS NULL),1,0)) AS NUM_REG_DIF,'"&amp;MAX('ID1&amp;5'!K:K)+1&amp;"' AS ID_EXEC, CURRENT_TIMESTAMP() AS TIME_EXEC FROM "&amp;I22&amp;" INNER JOIN "&amp;J22&amp;" "&amp;K22,"SELECT '"&amp;UPPER(B22)&amp;"' AS TABELA, '"&amp;UPPER(C22)&amp;"' AS TIPOLOGIA_TESTE,'"&amp;D22&amp;"' AS TABELA_LT,'"&amp;E22&amp;"' AS TABELA_SIMUL,'"&amp;F22&amp;"' AS CAMPO, "&amp;"'${ref_date}' AS REF_DATE, COUNT(*) AS NUM_REG, SUM(IF(COALESCE(CAST(X."&amp;F22&amp;" AS STRING),'')&lt;&gt;COALESCE(CAST(Y."&amp;F22&amp;"_SIMUL AS STRING),'') OR (X."&amp;F22&amp;" IS NULL AND Y."&amp;F22&amp;"_SIMUL IS NOT NULL ) OR (X."&amp;F22&amp;" IS NOT NULL AND Y."&amp;F22&amp;"_SIMUL IS NULL),1,0)) AS NUM_REG_DIF,'"&amp;MAX('ID1&amp;5'!L:L)+1&amp;"' AS ID_EXEC, CURRENT_TIMESTAMP() AS TIME_EXEC FROM "&amp;I22&amp;" INNER JOIN "&amp;J22&amp;" "&amp;K22),
IF(C22="Validade",+IF(G22="Code List","SELECT '"&amp;UPPER(B22)&amp;"' AS TABELA, '"&amp;UPPER(C22)&amp;"' AS TIPOLOGIA_TESTE,'"&amp;D22&amp;"' AS TABELA_LT,'N/A' AS TABELA_SIMUL,'"&amp;F22&amp;"' AS CAMPO, "&amp;"'${ref_date}' AS REF_DATE, COUNT(*) AS NUM_REG, SUM(IF(TRIM(CAST(X."&amp;F22&amp;" AS STRING))='' OR TRIM(CAST(X."&amp;F22&amp;" AS STRING)) IS NULL OR CAST(X."&amp;F22&amp;" AS STRING) NOT "&amp;H22&amp;",1,0)) AS NUM_REG_DIF,'"&amp;MAX('ID1&amp;5'!K:K)+1&amp;"' AS ID_EXEC, CURRENT_TIMESTAMP() AS TIME_EXEC FROM "&amp;I22,"SELECT '"&amp;UPPER(B22)&amp;"' AS TABELA, '"&amp;UPPER(C22)&amp;"' AS TIPOLOGIA_TESTE,'"&amp;D22&amp;"' AS TABELA_LT,'N/A' AS TABELA_SIMUL,'"&amp;F22&amp;"' AS CAMPO, "&amp;"'${ref_date}' AS REF_DATE, COUNT(*) AS NUM_REG, SUM(IF(TRIM(CAST(X."&amp;F22&amp;" AS STRING))='' OR TRIM(CAST(X."&amp;F22&amp;" AS STRING)) IS NULL,1,0)) AS NUM_REG_DIF,'"&amp;MAX('ID1&amp;5'!K:K)+1&amp;"' AS ID_EXEC, CURRENT_TIMESTAMP() AS TIME_EXEC FROM "&amp;I22),
IF(C22="Caracteres Especiais",+"SELECT '"&amp;UPPER(B22)&amp;"' AS TABELA, '"&amp;UPPER(C22)&amp;"' AS TIPOLOGIA_TESTE,'"&amp;D22&amp;"' AS TABELA_LT,'N/A' AS TABELA_SIMUL,'"&amp;F22&amp;"' AS CAMPO, "&amp;"'${ref_date}' AS REF_DATE, COUNT(*) AS NUM_REG, SUM(IF(REGEXP_REPLACE(TRIM(CAST(X."&amp;F22&amp;" AS STRING)),'[^a-zA-Z0-9_\\s]','') &lt;&gt;TRIM(CAST(X."&amp;F22&amp;" AS STRING)),1,0)) AS NUM_REG_DIF,'"&amp;MAX('ID1&amp;5'!K:K)+1&amp;"' AS ID_EXEC, CURRENT_TIMESTAMP() AS TIME_EXEC FROM "&amp;I22,
IF(C22="Missings",+"SELECT '"&amp;UPPER(B22)&amp;"' AS TABELA, '"&amp;UPPER(C22)&amp;"' AS TIPOLOGIA_TESTE,'"&amp;D22&amp;"' AS TABELA_LT,'N/A' AS TABELA_SIMUL,'"&amp;F22&amp;"' AS CAMPO, "&amp;"'${ref_date}' AS REF_DATE, COUNT(*) AS NUM_REG, SUM(IF(TRIM(CAST(X."&amp;F22&amp;" AS STRING)) IN ('0000-00-00','0001-01-01','9999-12-31','MISS','00000','99999999999','99999999999.00','99999999999.000000'),1,0)) AS NUM_REG_DIF,'"&amp;MAX('ID1&amp;5'!K:K)+1&amp;"' AS ID_EXEC, CURRENT_TIMESTAMP() AS TIME_EXEC FROM "&amp;I22,
IF(C22="Not applicable",+"SELECT '"&amp;UPPER(B22)&amp;"' AS TABELA, '"&amp;UPPER(C22)&amp;"' AS TIPOLOGIA_TESTE,'"&amp;D22&amp;"' AS TABELA_LT,'N/A' AS TABELA_SIMUL,'"&amp;F22&amp;"' AS CAMPO, "&amp;"'${ref_date}' AS REF_DATE, COUNT(*) AS NUM_REG, SUM(IF(TRIM(CAST(X."&amp;F22&amp;" AS STRING)) IN ('N/A','11111111111','11111111111.00','11111111111.000000','1111-11-11'),1,0)) AS NUM_REG_DIF,'"&amp;MAX('ID1&amp;5'!K:K)+1&amp;"' AS ID_EXEC, CURRENT_TIMESTAMP() AS TIME_EXEC FROM "&amp;I22,
IF(C22="Valores extremos",+"SELECT '"&amp;UPPER(B22)&amp;"' AS TABELA, '"&amp;UPPER(C22)&amp;"' AS TIPOLOGIA_TESTE,'"&amp;D22&amp;"' AS TABELA_LT,'N/A' AS TABELA_SIMUL,'"&amp;F22&amp;"' AS CAMPO, "&amp;"'${ref_date}' AS REF_DATE, CAST(MIN("&amp;F22&amp;") AS STRING) AS VALOR_MIN, CAST(MAX("&amp;F22&amp;") AS STRING) AS VALOR_MAX,'"&amp;MAX('ID1&amp;5'!K:K)+1&amp;"' AS ID_EXEC, CURRENT_TIMESTAMP() AS TIME_EXEC FROM "&amp;MID(I22,1,LEN(I22)-2)&amp;" AND CAST("&amp;F22&amp;"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TABELA_SIMUL,'ENTTY_NM' AS CAMPO, '${ref_date}' AS REF_DATE, COUNT(*) AS NUM_REG, SUM(IF(COALESCE(CAST(X.ENTTY_NM AS STRING),'')&lt;&gt;COALESCE(CAST(Y.ENTTY_NM_SIMUL AS STRING),'') OR (X.ENTTY_NM IS NULL AND Y.ENTTY_NM_SIMUL IS NOT NULL ) OR (X.ENTTY_NM IS NOT NULL AND Y.ENTTY_NM_SIMUL IS NULL),1,0)) AS NUM_REG_DIF,'1' AS ID_EXEC, CURRENT_TIMESTAMP() AS TIME_EXEC FROM (SELECT entty_id, ENTTY_NM FROM CD_LOAN_TAPES_BCE.LT003_ENTITY WHERE ref_date='${ref_date}' AND nome_perimetro='Individual Corporativo' AND segmento='ESTR' AND ambito='PM' AND entidade='00100')X INNER JOIN (SELECT entty_id AS entty_id_SIMUL, ENTTY_NM AS ENTTY_NM_SIMUL FROM BU_LOANTAPE_WORK.LT003_ENTITY WHERE ref_date='${ref_date}' AND nome_perimetro='Individual Corporativo' AND segmento='ESTR' AND ambito='PM' AND entidade='00100')Y ON X.ENTTY_ID=Y.ENTTY_ID_SIMUL</v>
      </c>
      <c r="M22" s="36" t="str">
        <f t="shared" si="0"/>
        <v>UNION ALL SELECT 'ENTITY' AS TABELA, 'COERÊNCIA' AS TIPOLOGIA_TESTE,'CD_LOAN_TAPES_BCE.LT003_ENTITY' AS TABELA_LT,'BU_LOANTAPE_WORK.LT003_ENTITY' AS TABELA_SIMUL,'ENTTY_NM' AS CAMPO, '${ref_date}' AS REF_DATE, COUNT(*) AS NUM_REG, SUM(IF(COALESCE(CAST(X.ENTTY_NM AS STRING),'')&lt;&gt;COALESCE(CAST(Y.ENTTY_NM_SIMUL AS STRING),'') OR (X.ENTTY_NM IS NULL AND Y.ENTTY_NM_SIMUL IS NOT NULL ) OR (X.ENTTY_NM IS NOT NULL AND Y.ENTTY_NM_SIMUL IS NULL),1,0)) AS NUM_REG_DIF,'1' AS ID_EXEC, CURRENT_TIMESTAMP() AS TIME_EXEC FROM (SELECT entty_id, ENTTY_NM FROM CD_LOAN_TAPES_BCE.LT003_ENTITY WHERE ref_date='${ref_date}' AND nome_perimetro='Individual Corporativo' AND segmento='ESTR' AND ambito='PM' AND entidade='00100')X INNER JOIN (SELECT entty_id AS entty_id_SIMUL, ENTTY_NM AS ENTTY_NM_SIMUL FROM BU_LOANTAPE_WORK.LT003_ENTITY WHERE ref_date='${ref_date}' AND nome_perimetro='Individual Corporativo' AND segmento='ESTR' AND ambito='PM' AND entidade='00100')Y ON X.ENTTY_ID=Y.ENTTY_ID_SIMUL</v>
      </c>
      <c r="N22" s="38" t="s">
        <v>46</v>
      </c>
    </row>
    <row r="23" spans="2:14">
      <c r="B23" s="34" t="s">
        <v>127</v>
      </c>
      <c r="C23" s="34" t="s">
        <v>5</v>
      </c>
      <c r="D23" s="34" t="str">
        <f>+UPPER('0. Instruções'!$D$35&amp;"."&amp;VLOOKUP(B23,'0. Instruções'!$C$27:$D$32,2,FALSE))</f>
        <v>CD_LOAN_TAPES_BCE.LT003_ENTITY</v>
      </c>
      <c r="E23" s="34" t="str">
        <f>+UPPER('0. Instruções'!$D$36&amp;"."&amp;VLOOKUP(B23,'0. Instruções'!$C$27:$E$32,3,FALSE))</f>
        <v>BU_LOANTAPE_WORK.LT003_ENTITY</v>
      </c>
      <c r="F23" s="34" t="s">
        <v>335</v>
      </c>
      <c r="G23" s="34"/>
      <c r="H23" s="34" t="s">
        <v>646</v>
      </c>
      <c r="I23" s="34" t="str">
        <f>"(SELECT "&amp;VLOOKUP(B23,'0. Instruções'!$C$27:$G$32,4,FALSE)&amp;", "&amp;F23&amp;" FROM "&amp;D23&amp;" WHERE "&amp;'0. Instruções'!$D$42&amp;")X"</f>
        <v>(SELECT entty_id, EXTRNL_RTNG_NM FROM CD_LOAN_TAPES_BCE.LT003_ENTITY WHERE ref_date='${ref_date}' AND nome_perimetro='Individual Corporativo' AND segmento='ESTR' AND ambito='PM' AND entidade='00100')X</v>
      </c>
      <c r="J23" s="34" t="str">
        <f>"(SELECT "&amp;VLOOKUP(B23,'0. Instruções'!$C$27:$G$32,4,FALSE)&amp;" AS "&amp;VLOOKUP(B23,'0. Instruções'!$C$27:$G$32,4,FALSE)&amp;"_SIMUL, "&amp;F23&amp;" AS "&amp;F23&amp;"_SIMUL FROM "&amp;E23&amp;" WHERE "&amp;'0. Instruções'!$D$43&amp;")Y"</f>
        <v>(SELECT entty_id AS entty_id_SIMUL, EXTRNL_RTNG_NM AS EXTRNL_RTNG_NM_SIMUL FROM BU_LOANTAPE_WORK.LT003_ENTITY WHERE ref_date='${ref_date}' AND nome_perimetro='Individual Corporativo' AND segmento='ESTR' AND ambito='PM' AND entidade='00100')Y</v>
      </c>
      <c r="K23" s="35" t="str">
        <f>+UPPER("ON X."&amp;VLOOKUP(B23,'0. Instruções'!$C$27:$G$32,4,FALSE)&amp;"=Y."&amp;VLOOKUP(B23,'0. Instruções'!$C$27:$G$32,4,FALSE)&amp;"_SIMUL")</f>
        <v>ON X.ENTTY_ID=Y.ENTTY_ID_SIMUL</v>
      </c>
      <c r="L23" s="35" t="str">
        <f>+IF(C23="Coerência", +IF(LEFT(G23,5)="FLOAT","SELECT '"&amp;UPPER(B23)&amp;"' AS TABELA, '"&amp;UPPER(C23)&amp;"' AS TIPOLOGIA_TESTE,'"&amp;D23&amp;"' AS TABELA_LT,'"&amp;E23&amp;"' AS TABELA_SIMUL,'"&amp;F23&amp;"' AS CAMPO, "&amp;"'${ref_date}' AS REF_DATE, COUNT(*) AS NUM_REG, SUM(IF((ABS(COALESCE(CAST(X."&amp;F23&amp;" AS DECIMAL(18,6)),0)-COALESCE(CAST(Y."&amp;F23&amp;"_SIMUL AS DECIMAL(18,6)),0))&gt;0.000001) OR (X."&amp;F23&amp;" IS NULL AND Y."&amp;F23&amp;"_SIMUL IS NOT NULL ) OR (X."&amp;F23&amp;" IS NOT NULL AND Y."&amp;F23&amp;"_SIMUL IS NULL),1,0)) AS NUM_REG_DIF,'"&amp;MAX('ID1&amp;5'!K:K)+1&amp;"' AS ID_EXEC, CURRENT_TIMESTAMP() AS TIME_EXEC FROM "&amp;I23&amp;" INNER JOIN "&amp;J23&amp;" "&amp;K23,"SELECT '"&amp;UPPER(B23)&amp;"' AS TABELA, '"&amp;UPPER(C23)&amp;"' AS TIPOLOGIA_TESTE,'"&amp;D23&amp;"' AS TABELA_LT,'"&amp;E23&amp;"' AS TABELA_SIMUL,'"&amp;F23&amp;"' AS CAMPO, "&amp;"'${ref_date}' AS REF_DATE, COUNT(*) AS NUM_REG, SUM(IF(COALESCE(CAST(X."&amp;F23&amp;" AS STRING),'')&lt;&gt;COALESCE(CAST(Y."&amp;F23&amp;"_SIMUL AS STRING),'') OR (X."&amp;F23&amp;" IS NULL AND Y."&amp;F23&amp;"_SIMUL IS NOT NULL ) OR (X."&amp;F23&amp;" IS NOT NULL AND Y."&amp;F23&amp;"_SIMUL IS NULL),1,0)) AS NUM_REG_DIF,'"&amp;MAX('ID1&amp;5'!L:L)+1&amp;"' AS ID_EXEC, CURRENT_TIMESTAMP() AS TIME_EXEC FROM "&amp;I23&amp;" INNER JOIN "&amp;J23&amp;" "&amp;K23),
IF(C23="Validade",+IF(G23="Code List","SELECT '"&amp;UPPER(B23)&amp;"' AS TABELA, '"&amp;UPPER(C23)&amp;"' AS TIPOLOGIA_TESTE,'"&amp;D23&amp;"' AS TABELA_LT,'N/A' AS TABELA_SIMUL,'"&amp;F23&amp;"' AS CAMPO, "&amp;"'${ref_date}' AS REF_DATE, COUNT(*) AS NUM_REG, SUM(IF(TRIM(CAST(X."&amp;F23&amp;" AS STRING))='' OR TRIM(CAST(X."&amp;F23&amp;" AS STRING)) IS NULL OR CAST(X."&amp;F23&amp;" AS STRING) NOT "&amp;H23&amp;",1,0)) AS NUM_REG_DIF,'"&amp;MAX('ID1&amp;5'!K:K)+1&amp;"' AS ID_EXEC, CURRENT_TIMESTAMP() AS TIME_EXEC FROM "&amp;I23,"SELECT '"&amp;UPPER(B23)&amp;"' AS TABELA, '"&amp;UPPER(C23)&amp;"' AS TIPOLOGIA_TESTE,'"&amp;D23&amp;"' AS TABELA_LT,'N/A' AS TABELA_SIMUL,'"&amp;F23&amp;"' AS CAMPO, "&amp;"'${ref_date}' AS REF_DATE, COUNT(*) AS NUM_REG, SUM(IF(TRIM(CAST(X."&amp;F23&amp;" AS STRING))='' OR TRIM(CAST(X."&amp;F23&amp;" AS STRING)) IS NULL,1,0)) AS NUM_REG_DIF,'"&amp;MAX('ID1&amp;5'!K:K)+1&amp;"' AS ID_EXEC, CURRENT_TIMESTAMP() AS TIME_EXEC FROM "&amp;I23),
IF(C23="Caracteres Especiais",+"SELECT '"&amp;UPPER(B23)&amp;"' AS TABELA, '"&amp;UPPER(C23)&amp;"' AS TIPOLOGIA_TESTE,'"&amp;D23&amp;"' AS TABELA_LT,'N/A' AS TABELA_SIMUL,'"&amp;F23&amp;"' AS CAMPO, "&amp;"'${ref_date}' AS REF_DATE, COUNT(*) AS NUM_REG, SUM(IF(REGEXP_REPLACE(TRIM(CAST(X."&amp;F23&amp;" AS STRING)),'[^a-zA-Z0-9_\\s]','') &lt;&gt;TRIM(CAST(X."&amp;F23&amp;" AS STRING)),1,0)) AS NUM_REG_DIF,'"&amp;MAX('ID1&amp;5'!K:K)+1&amp;"' AS ID_EXEC, CURRENT_TIMESTAMP() AS TIME_EXEC FROM "&amp;I23,
IF(C23="Missings",+"SELECT '"&amp;UPPER(B23)&amp;"' AS TABELA, '"&amp;UPPER(C23)&amp;"' AS TIPOLOGIA_TESTE,'"&amp;D23&amp;"' AS TABELA_LT,'N/A' AS TABELA_SIMUL,'"&amp;F23&amp;"' AS CAMPO, "&amp;"'${ref_date}' AS REF_DATE, COUNT(*) AS NUM_REG, SUM(IF(TRIM(CAST(X."&amp;F23&amp;" AS STRING)) IN ('0000-00-00','0001-01-01','9999-12-31','MISS','00000','99999999999','99999999999.00','99999999999.000000'),1,0)) AS NUM_REG_DIF,'"&amp;MAX('ID1&amp;5'!K:K)+1&amp;"' AS ID_EXEC, CURRENT_TIMESTAMP() AS TIME_EXEC FROM "&amp;I23,
IF(C23="Not applicable",+"SELECT '"&amp;UPPER(B23)&amp;"' AS TABELA, '"&amp;UPPER(C23)&amp;"' AS TIPOLOGIA_TESTE,'"&amp;D23&amp;"' AS TABELA_LT,'N/A' AS TABELA_SIMUL,'"&amp;F23&amp;"' AS CAMPO, "&amp;"'${ref_date}' AS REF_DATE, COUNT(*) AS NUM_REG, SUM(IF(TRIM(CAST(X."&amp;F23&amp;" AS STRING)) IN ('N/A','11111111111','11111111111.00','11111111111.000000','1111-11-11'),1,0)) AS NUM_REG_DIF,'"&amp;MAX('ID1&amp;5'!K:K)+1&amp;"' AS ID_EXEC, CURRENT_TIMESTAMP() AS TIME_EXEC FROM "&amp;I23,
IF(C23="Valores extremos",+"SELECT '"&amp;UPPER(B23)&amp;"' AS TABELA, '"&amp;UPPER(C23)&amp;"' AS TIPOLOGIA_TESTE,'"&amp;D23&amp;"' AS TABELA_LT,'N/A' AS TABELA_SIMUL,'"&amp;F23&amp;"' AS CAMPO, "&amp;"'${ref_date}' AS REF_DATE, CAST(MIN("&amp;F23&amp;") AS STRING) AS VALOR_MIN, CAST(MAX("&amp;F23&amp;") AS STRING) AS VALOR_MAX,'"&amp;MAX('ID1&amp;5'!K:K)+1&amp;"' AS ID_EXEC, CURRENT_TIMESTAMP() AS TIME_EXEC FROM "&amp;MID(I23,1,LEN(I23)-2)&amp;" AND CAST("&amp;F23&amp;"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TABELA_SIMUL,'EXTRNL_RTNG_NM' AS CAMPO, '${ref_date}' AS REF_DATE, COUNT(*) AS NUM_REG, SUM(IF(COALESCE(CAST(X.EXTRNL_RTNG_NM AS STRING),'')&lt;&gt;COALESCE(CAST(Y.EXTRNL_RTNG_NM_SIMUL AS STRING),'') OR (X.EXTRNL_RTNG_NM IS NULL AND Y.EXTRNL_RTNG_NM_SIMUL IS NOT NULL ) OR (X.EXTRNL_RTNG_NM IS NOT NULL AND Y.EXTRNL_RTNG_NM_SIMUL IS NULL),1,0)) AS NUM_REG_DIF,'1' AS ID_EXEC, CURRENT_TIMESTAMP() AS TIME_EXEC FROM (SELECT entty_id, EXTRNL_RTNG_NM FROM CD_LOAN_TAPES_BCE.LT003_ENTITY WHERE ref_date='${ref_date}' AND nome_perimetro='Individual Corporativo' AND segmento='ESTR' AND ambito='PM' AND entidade='00100')X INNER JOIN (SELECT entty_id AS entty_id_SIMUL, EXTRNL_RTNG_NM AS EXTRNL_RTNG_NM_SIMUL FROM BU_LOANTAPE_WORK.LT003_ENTITY WHERE ref_date='${ref_date}' AND nome_perimetro='Individual Corporativo' AND segmento='ESTR' AND ambito='PM' AND entidade='00100')Y ON X.ENTTY_ID=Y.ENTTY_ID_SIMUL</v>
      </c>
      <c r="M23" s="36" t="str">
        <f t="shared" si="0"/>
        <v>UNION ALL SELECT 'ENTITY' AS TABELA, 'COERÊNCIA' AS TIPOLOGIA_TESTE,'CD_LOAN_TAPES_BCE.LT003_ENTITY' AS TABELA_LT,'BU_LOANTAPE_WORK.LT003_ENTITY' AS TABELA_SIMUL,'EXTRNL_RTNG_NM' AS CAMPO, '${ref_date}' AS REF_DATE, COUNT(*) AS NUM_REG, SUM(IF(COALESCE(CAST(X.EXTRNL_RTNG_NM AS STRING),'')&lt;&gt;COALESCE(CAST(Y.EXTRNL_RTNG_NM_SIMUL AS STRING),'') OR (X.EXTRNL_RTNG_NM IS NULL AND Y.EXTRNL_RTNG_NM_SIMUL IS NOT NULL ) OR (X.EXTRNL_RTNG_NM IS NOT NULL AND Y.EXTRNL_RTNG_NM_SIMUL IS NULL),1,0)) AS NUM_REG_DIF,'1' AS ID_EXEC, CURRENT_TIMESTAMP() AS TIME_EXEC FROM (SELECT entty_id, EXTRNL_RTNG_NM FROM CD_LOAN_TAPES_BCE.LT003_ENTITY WHERE ref_date='${ref_date}' AND nome_perimetro='Individual Corporativo' AND segmento='ESTR' AND ambito='PM' AND entidade='00100')X INNER JOIN (SELECT entty_id AS entty_id_SIMUL, EXTRNL_RTNG_NM AS EXTRNL_RTNG_NM_SIMUL FROM BU_LOANTAPE_WORK.LT003_ENTITY WHERE ref_date='${ref_date}' AND nome_perimetro='Individual Corporativo' AND segmento='ESTR' AND ambito='PM' AND entidade='00100')Y ON X.ENTTY_ID=Y.ENTTY_ID_SIMUL</v>
      </c>
      <c r="N23" s="38" t="s">
        <v>46</v>
      </c>
    </row>
    <row r="24" spans="2:14">
      <c r="B24" s="34" t="s">
        <v>127</v>
      </c>
      <c r="C24" s="34" t="s">
        <v>5</v>
      </c>
      <c r="D24" s="34" t="str">
        <f>+UPPER('0. Instruções'!$D$35&amp;"."&amp;VLOOKUP(B24,'0. Instruções'!$C$27:$D$32,2,FALSE))</f>
        <v>CD_LOAN_TAPES_BCE.LT003_ENTITY</v>
      </c>
      <c r="E24" s="34" t="str">
        <f>+UPPER('0. Instruções'!$D$36&amp;"."&amp;VLOOKUP(B24,'0. Instruções'!$C$27:$E$32,3,FALSE))</f>
        <v>BU_LOANTAPE_WORK.LT003_ENTITY</v>
      </c>
      <c r="F24" s="34" t="s">
        <v>336</v>
      </c>
      <c r="G24" s="34"/>
      <c r="H24" s="34" t="s">
        <v>89</v>
      </c>
      <c r="I24" s="34" t="str">
        <f>"(SELECT "&amp;VLOOKUP(B24,'0. Instruções'!$C$27:$G$32,4,FALSE)&amp;", "&amp;F24&amp;" FROM "&amp;D24&amp;" WHERE "&amp;'0. Instruções'!$D$42&amp;")X"</f>
        <v>(SELECT entty_id, ACCNTNG_FRMWRK_SL FROM CD_LOAN_TAPES_BCE.LT003_ENTITY WHERE ref_date='${ref_date}' AND nome_perimetro='Individual Corporativo' AND segmento='ESTR' AND ambito='PM' AND entidade='00100')X</v>
      </c>
      <c r="J24" s="34" t="str">
        <f>"(SELECT "&amp;VLOOKUP(B24,'0. Instruções'!$C$27:$G$32,4,FALSE)&amp;" AS "&amp;VLOOKUP(B24,'0. Instruções'!$C$27:$G$32,4,FALSE)&amp;"_SIMUL, "&amp;F24&amp;" AS "&amp;F24&amp;"_SIMUL FROM "&amp;E24&amp;" WHERE "&amp;'0. Instruções'!$D$43&amp;")Y"</f>
        <v>(SELECT entty_id AS entty_id_SIMUL, ACCNTNG_FRMWRK_SL AS ACCNTNG_FRMWRK_SL_SIMUL FROM BU_LOANTAPE_WORK.LT003_ENTITY WHERE ref_date='${ref_date}' AND nome_perimetro='Individual Corporativo' AND segmento='ESTR' AND ambito='PM' AND entidade='00100')Y</v>
      </c>
      <c r="K24" s="35" t="str">
        <f>+UPPER("ON X."&amp;VLOOKUP(B24,'0. Instruções'!$C$27:$G$32,4,FALSE)&amp;"=Y."&amp;VLOOKUP(B24,'0. Instruções'!$C$27:$G$32,4,FALSE)&amp;"_SIMUL")</f>
        <v>ON X.ENTTY_ID=Y.ENTTY_ID_SIMUL</v>
      </c>
      <c r="L24" s="35" t="str">
        <f>+IF(C24="Coerência", +IF(LEFT(G24,5)="FLOAT","SELECT '"&amp;UPPER(B24)&amp;"' AS TABELA, '"&amp;UPPER(C24)&amp;"' AS TIPOLOGIA_TESTE,'"&amp;D24&amp;"' AS TABELA_LT,'"&amp;E24&amp;"' AS TABELA_SIMUL,'"&amp;F24&amp;"' AS CAMPO, "&amp;"'${ref_date}' AS REF_DATE, COUNT(*) AS NUM_REG, SUM(IF((ABS(COALESCE(CAST(X."&amp;F24&amp;" AS DECIMAL(18,6)),0)-COALESCE(CAST(Y."&amp;F24&amp;"_SIMUL AS DECIMAL(18,6)),0))&gt;0.000001) OR (X."&amp;F24&amp;" IS NULL AND Y."&amp;F24&amp;"_SIMUL IS NOT NULL ) OR (X."&amp;F24&amp;" IS NOT NULL AND Y."&amp;F24&amp;"_SIMUL IS NULL),1,0)) AS NUM_REG_DIF,'"&amp;MAX('ID1&amp;5'!K:K)+1&amp;"' AS ID_EXEC, CURRENT_TIMESTAMP() AS TIME_EXEC FROM "&amp;I24&amp;" INNER JOIN "&amp;J24&amp;" "&amp;K24,"SELECT '"&amp;UPPER(B24)&amp;"' AS TABELA, '"&amp;UPPER(C24)&amp;"' AS TIPOLOGIA_TESTE,'"&amp;D24&amp;"' AS TABELA_LT,'"&amp;E24&amp;"' AS TABELA_SIMUL,'"&amp;F24&amp;"' AS CAMPO, "&amp;"'${ref_date}' AS REF_DATE, COUNT(*) AS NUM_REG, SUM(IF(COALESCE(CAST(X."&amp;F24&amp;" AS STRING),'')&lt;&gt;COALESCE(CAST(Y."&amp;F24&amp;"_SIMUL AS STRING),'') OR (X."&amp;F24&amp;" IS NULL AND Y."&amp;F24&amp;"_SIMUL IS NOT NULL ) OR (X."&amp;F24&amp;" IS NOT NULL AND Y."&amp;F24&amp;"_SIMUL IS NULL),1,0)) AS NUM_REG_DIF,'"&amp;MAX('ID1&amp;5'!L:L)+1&amp;"' AS ID_EXEC, CURRENT_TIMESTAMP() AS TIME_EXEC FROM "&amp;I24&amp;" INNER JOIN "&amp;J24&amp;" "&amp;K24),
IF(C24="Validade",+IF(G24="Code List","SELECT '"&amp;UPPER(B24)&amp;"' AS TABELA, '"&amp;UPPER(C24)&amp;"' AS TIPOLOGIA_TESTE,'"&amp;D24&amp;"' AS TABELA_LT,'N/A' AS TABELA_SIMUL,'"&amp;F24&amp;"' AS CAMPO, "&amp;"'${ref_date}' AS REF_DATE, COUNT(*) AS NUM_REG, SUM(IF(TRIM(CAST(X."&amp;F24&amp;" AS STRING))='' OR TRIM(CAST(X."&amp;F24&amp;" AS STRING)) IS NULL OR CAST(X."&amp;F24&amp;" AS STRING) NOT "&amp;H24&amp;",1,0)) AS NUM_REG_DIF,'"&amp;MAX('ID1&amp;5'!K:K)+1&amp;"' AS ID_EXEC, CURRENT_TIMESTAMP() AS TIME_EXEC FROM "&amp;I24,"SELECT '"&amp;UPPER(B24)&amp;"' AS TABELA, '"&amp;UPPER(C24)&amp;"' AS TIPOLOGIA_TESTE,'"&amp;D24&amp;"' AS TABELA_LT,'N/A' AS TABELA_SIMUL,'"&amp;F24&amp;"' AS CAMPO, "&amp;"'${ref_date}' AS REF_DATE, COUNT(*) AS NUM_REG, SUM(IF(TRIM(CAST(X."&amp;F24&amp;" AS STRING))='' OR TRIM(CAST(X."&amp;F24&amp;" AS STRING)) IS NULL,1,0)) AS NUM_REG_DIF,'"&amp;MAX('ID1&amp;5'!K:K)+1&amp;"' AS ID_EXEC, CURRENT_TIMESTAMP() AS TIME_EXEC FROM "&amp;I24),
IF(C24="Caracteres Especiais",+"SELECT '"&amp;UPPER(B24)&amp;"' AS TABELA, '"&amp;UPPER(C24)&amp;"' AS TIPOLOGIA_TESTE,'"&amp;D24&amp;"' AS TABELA_LT,'N/A' AS TABELA_SIMUL,'"&amp;F24&amp;"' AS CAMPO, "&amp;"'${ref_date}' AS REF_DATE, COUNT(*) AS NUM_REG, SUM(IF(REGEXP_REPLACE(TRIM(CAST(X."&amp;F24&amp;" AS STRING)),'[^a-zA-Z0-9_\\s]','') &lt;&gt;TRIM(CAST(X."&amp;F24&amp;" AS STRING)),1,0)) AS NUM_REG_DIF,'"&amp;MAX('ID1&amp;5'!K:K)+1&amp;"' AS ID_EXEC, CURRENT_TIMESTAMP() AS TIME_EXEC FROM "&amp;I24,
IF(C24="Missings",+"SELECT '"&amp;UPPER(B24)&amp;"' AS TABELA, '"&amp;UPPER(C24)&amp;"' AS TIPOLOGIA_TESTE,'"&amp;D24&amp;"' AS TABELA_LT,'N/A' AS TABELA_SIMUL,'"&amp;F24&amp;"' AS CAMPO, "&amp;"'${ref_date}' AS REF_DATE, COUNT(*) AS NUM_REG, SUM(IF(TRIM(CAST(X."&amp;F24&amp;" AS STRING)) IN ('0000-00-00','0001-01-01','9999-12-31','MISS','00000','99999999999','99999999999.00','99999999999.000000'),1,0)) AS NUM_REG_DIF,'"&amp;MAX('ID1&amp;5'!K:K)+1&amp;"' AS ID_EXEC, CURRENT_TIMESTAMP() AS TIME_EXEC FROM "&amp;I24,
IF(C24="Not applicable",+"SELECT '"&amp;UPPER(B24)&amp;"' AS TABELA, '"&amp;UPPER(C24)&amp;"' AS TIPOLOGIA_TESTE,'"&amp;D24&amp;"' AS TABELA_LT,'N/A' AS TABELA_SIMUL,'"&amp;F24&amp;"' AS CAMPO, "&amp;"'${ref_date}' AS REF_DATE, COUNT(*) AS NUM_REG, SUM(IF(TRIM(CAST(X."&amp;F24&amp;" AS STRING)) IN ('N/A','11111111111','11111111111.00','11111111111.000000','1111-11-11'),1,0)) AS NUM_REG_DIF,'"&amp;MAX('ID1&amp;5'!K:K)+1&amp;"' AS ID_EXEC, CURRENT_TIMESTAMP() AS TIME_EXEC FROM "&amp;I24,
IF(C24="Valores extremos",+"SELECT '"&amp;UPPER(B24)&amp;"' AS TABELA, '"&amp;UPPER(C24)&amp;"' AS TIPOLOGIA_TESTE,'"&amp;D24&amp;"' AS TABELA_LT,'N/A' AS TABELA_SIMUL,'"&amp;F24&amp;"' AS CAMPO, "&amp;"'${ref_date}' AS REF_DATE, CAST(MIN("&amp;F24&amp;") AS STRING) AS VALOR_MIN, CAST(MAX("&amp;F24&amp;") AS STRING) AS VALOR_MAX,'"&amp;MAX('ID1&amp;5'!K:K)+1&amp;"' AS ID_EXEC, CURRENT_TIMESTAMP() AS TIME_EXEC FROM "&amp;MID(I24,1,LEN(I24)-2)&amp;" AND CAST("&amp;F24&amp;"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TABELA_SIMUL,'ACCNTNG_FRMWRK_SL' AS CAMPO, '${ref_date}' AS REF_DATE, COUNT(*) AS NUM_REG, SUM(IF(COALESCE(CAST(X.ACCNTNG_FRMWRK_SL AS STRING),'')&lt;&gt;COALESCE(CAST(Y.ACCNTNG_FRMWRK_SL_SIMUL AS STRING),'') OR (X.ACCNTNG_FRMWRK_SL IS NULL AND Y.ACCNTNG_FRMWRK_SL_SIMUL IS NOT NULL ) OR (X.ACCNTNG_FRMWRK_SL IS NOT NULL AND Y.ACCNTNG_FRMWRK_SL_SIMUL IS NULL),1,0)) AS NUM_REG_DIF,'1' AS ID_EXEC, CURRENT_TIMESTAMP() AS TIME_EXEC FROM (SELECT entty_id, ACCNTNG_FRMWRK_SL FROM CD_LOAN_TAPES_BCE.LT003_ENTITY WHERE ref_date='${ref_date}' AND nome_perimetro='Individual Corporativo' AND segmento='ESTR' AND ambito='PM' AND entidade='00100')X INNER JOIN (SELECT entty_id AS entty_id_SIMUL, ACCNTNG_FRMWRK_SL AS ACCNTNG_FRMWRK_SL_SIMUL FROM BU_LOANTAPE_WORK.LT003_ENTITY WHERE ref_date='${ref_date}' AND nome_perimetro='Individual Corporativo' AND segmento='ESTR' AND ambito='PM' AND entidade='00100')Y ON X.ENTTY_ID=Y.ENTTY_ID_SIMUL</v>
      </c>
      <c r="M24" s="36" t="str">
        <f t="shared" si="0"/>
        <v>UNION ALL SELECT 'ENTITY' AS TABELA, 'COERÊNCIA' AS TIPOLOGIA_TESTE,'CD_LOAN_TAPES_BCE.LT003_ENTITY' AS TABELA_LT,'BU_LOANTAPE_WORK.LT003_ENTITY' AS TABELA_SIMUL,'ACCNTNG_FRMWRK_SL' AS CAMPO, '${ref_date}' AS REF_DATE, COUNT(*) AS NUM_REG, SUM(IF(COALESCE(CAST(X.ACCNTNG_FRMWRK_SL AS STRING),'')&lt;&gt;COALESCE(CAST(Y.ACCNTNG_FRMWRK_SL_SIMUL AS STRING),'') OR (X.ACCNTNG_FRMWRK_SL IS NULL AND Y.ACCNTNG_FRMWRK_SL_SIMUL IS NOT NULL ) OR (X.ACCNTNG_FRMWRK_SL IS NOT NULL AND Y.ACCNTNG_FRMWRK_SL_SIMUL IS NULL),1,0)) AS NUM_REG_DIF,'1' AS ID_EXEC, CURRENT_TIMESTAMP() AS TIME_EXEC FROM (SELECT entty_id, ACCNTNG_FRMWRK_SL FROM CD_LOAN_TAPES_BCE.LT003_ENTITY WHERE ref_date='${ref_date}' AND nome_perimetro='Individual Corporativo' AND segmento='ESTR' AND ambito='PM' AND entidade='00100')X INNER JOIN (SELECT entty_id AS entty_id_SIMUL, ACCNTNG_FRMWRK_SL AS ACCNTNG_FRMWRK_SL_SIMUL FROM BU_LOANTAPE_WORK.LT003_ENTITY WHERE ref_date='${ref_date}' AND nome_perimetro='Individual Corporativo' AND segmento='ESTR' AND ambito='PM' AND entidade='00100')Y ON X.ENTTY_ID=Y.ENTTY_ID_SIMUL</v>
      </c>
      <c r="N24" s="38" t="s">
        <v>46</v>
      </c>
    </row>
    <row r="25" spans="2:14">
      <c r="B25" s="34" t="s">
        <v>127</v>
      </c>
      <c r="C25" s="34" t="s">
        <v>5</v>
      </c>
      <c r="D25" s="34" t="str">
        <f>+UPPER('0. Instruções'!$D$35&amp;"."&amp;VLOOKUP(B25,'0. Instruções'!$C$27:$D$32,2,FALSE))</f>
        <v>CD_LOAN_TAPES_BCE.LT003_ENTITY</v>
      </c>
      <c r="E25" s="34" t="str">
        <f>+UPPER('0. Instruções'!$D$36&amp;"."&amp;VLOOKUP(B25,'0. Instruções'!$C$27:$E$32,3,FALSE))</f>
        <v>BU_LOANTAPE_WORK.LT003_ENTITY</v>
      </c>
      <c r="F25" s="34" t="s">
        <v>337</v>
      </c>
      <c r="G25" s="34"/>
      <c r="H25" s="34" t="s">
        <v>648</v>
      </c>
      <c r="I25" s="34" t="str">
        <f>"(SELECT "&amp;VLOOKUP(B25,'0. Instruções'!$C$27:$G$32,4,FALSE)&amp;", "&amp;F25&amp;" FROM "&amp;D25&amp;" WHERE "&amp;'0. Instruções'!$D$42&amp;")X"</f>
        <v>(SELECT entty_id, CR_FLG FROM CD_LOAN_TAPES_BCE.LT003_ENTITY WHERE ref_date='${ref_date}' AND nome_perimetro='Individual Corporativo' AND segmento='ESTR' AND ambito='PM' AND entidade='00100')X</v>
      </c>
      <c r="J25" s="34" t="str">
        <f>"(SELECT "&amp;VLOOKUP(B25,'0. Instruções'!$C$27:$G$32,4,FALSE)&amp;" AS "&amp;VLOOKUP(B25,'0. Instruções'!$C$27:$G$32,4,FALSE)&amp;"_SIMUL, "&amp;F25&amp;" AS "&amp;F25&amp;"_SIMUL FROM "&amp;E25&amp;" WHERE "&amp;'0. Instruções'!$D$43&amp;")Y"</f>
        <v>(SELECT entty_id AS entty_id_SIMUL, CR_FLG AS CR_FLG_SIMUL FROM BU_LOANTAPE_WORK.LT003_ENTITY WHERE ref_date='${ref_date}' AND nome_perimetro='Individual Corporativo' AND segmento='ESTR' AND ambito='PM' AND entidade='00100')Y</v>
      </c>
      <c r="K25" s="35" t="str">
        <f>+UPPER("ON X."&amp;VLOOKUP(B25,'0. Instruções'!$C$27:$G$32,4,FALSE)&amp;"=Y."&amp;VLOOKUP(B25,'0. Instruções'!$C$27:$G$32,4,FALSE)&amp;"_SIMUL")</f>
        <v>ON X.ENTTY_ID=Y.ENTTY_ID_SIMUL</v>
      </c>
      <c r="L25" s="35" t="str">
        <f>+IF(C25="Coerência", +IF(LEFT(G25,5)="FLOAT","SELECT '"&amp;UPPER(B25)&amp;"' AS TABELA, '"&amp;UPPER(C25)&amp;"' AS TIPOLOGIA_TESTE,'"&amp;D25&amp;"' AS TABELA_LT,'"&amp;E25&amp;"' AS TABELA_SIMUL,'"&amp;F25&amp;"' AS CAMPO, "&amp;"'${ref_date}' AS REF_DATE, COUNT(*) AS NUM_REG, SUM(IF((ABS(COALESCE(CAST(X."&amp;F25&amp;" AS DECIMAL(18,6)),0)-COALESCE(CAST(Y."&amp;F25&amp;"_SIMUL AS DECIMAL(18,6)),0))&gt;0.000001) OR (X."&amp;F25&amp;" IS NULL AND Y."&amp;F25&amp;"_SIMUL IS NOT NULL ) OR (X."&amp;F25&amp;" IS NOT NULL AND Y."&amp;F25&amp;"_SIMUL IS NULL),1,0)) AS NUM_REG_DIF,'"&amp;MAX('ID1&amp;5'!K:K)+1&amp;"' AS ID_EXEC, CURRENT_TIMESTAMP() AS TIME_EXEC FROM "&amp;I25&amp;" INNER JOIN "&amp;J25&amp;" "&amp;K25,"SELECT '"&amp;UPPER(B25)&amp;"' AS TABELA, '"&amp;UPPER(C25)&amp;"' AS TIPOLOGIA_TESTE,'"&amp;D25&amp;"' AS TABELA_LT,'"&amp;E25&amp;"' AS TABELA_SIMUL,'"&amp;F25&amp;"' AS CAMPO, "&amp;"'${ref_date}' AS REF_DATE, COUNT(*) AS NUM_REG, SUM(IF(COALESCE(CAST(X."&amp;F25&amp;" AS STRING),'')&lt;&gt;COALESCE(CAST(Y."&amp;F25&amp;"_SIMUL AS STRING),'') OR (X."&amp;F25&amp;" IS NULL AND Y."&amp;F25&amp;"_SIMUL IS NOT NULL ) OR (X."&amp;F25&amp;" IS NOT NULL AND Y."&amp;F25&amp;"_SIMUL IS NULL),1,0)) AS NUM_REG_DIF,'"&amp;MAX('ID1&amp;5'!L:L)+1&amp;"' AS ID_EXEC, CURRENT_TIMESTAMP() AS TIME_EXEC FROM "&amp;I25&amp;" INNER JOIN "&amp;J25&amp;" "&amp;K25),
IF(C25="Validade",+IF(G25="Code List","SELECT '"&amp;UPPER(B25)&amp;"' AS TABELA, '"&amp;UPPER(C25)&amp;"' AS TIPOLOGIA_TESTE,'"&amp;D25&amp;"' AS TABELA_LT,'N/A' AS TABELA_SIMUL,'"&amp;F25&amp;"' AS CAMPO, "&amp;"'${ref_date}' AS REF_DATE, COUNT(*) AS NUM_REG, SUM(IF(TRIM(CAST(X."&amp;F25&amp;" AS STRING))='' OR TRIM(CAST(X."&amp;F25&amp;" AS STRING)) IS NULL OR CAST(X."&amp;F25&amp;" AS STRING) NOT "&amp;H25&amp;",1,0)) AS NUM_REG_DIF,'"&amp;MAX('ID1&amp;5'!K:K)+1&amp;"' AS ID_EXEC, CURRENT_TIMESTAMP() AS TIME_EXEC FROM "&amp;I25,"SELECT '"&amp;UPPER(B25)&amp;"' AS TABELA, '"&amp;UPPER(C25)&amp;"' AS TIPOLOGIA_TESTE,'"&amp;D25&amp;"' AS TABELA_LT,'N/A' AS TABELA_SIMUL,'"&amp;F25&amp;"' AS CAMPO, "&amp;"'${ref_date}' AS REF_DATE, COUNT(*) AS NUM_REG, SUM(IF(TRIM(CAST(X."&amp;F25&amp;" AS STRING))='' OR TRIM(CAST(X."&amp;F25&amp;" AS STRING)) IS NULL,1,0)) AS NUM_REG_DIF,'"&amp;MAX('ID1&amp;5'!K:K)+1&amp;"' AS ID_EXEC, CURRENT_TIMESTAMP() AS TIME_EXEC FROM "&amp;I25),
IF(C25="Caracteres Especiais",+"SELECT '"&amp;UPPER(B25)&amp;"' AS TABELA, '"&amp;UPPER(C25)&amp;"' AS TIPOLOGIA_TESTE,'"&amp;D25&amp;"' AS TABELA_LT,'N/A' AS TABELA_SIMUL,'"&amp;F25&amp;"' AS CAMPO, "&amp;"'${ref_date}' AS REF_DATE, COUNT(*) AS NUM_REG, SUM(IF(REGEXP_REPLACE(TRIM(CAST(X."&amp;F25&amp;" AS STRING)),'[^a-zA-Z0-9_\\s]','') &lt;&gt;TRIM(CAST(X."&amp;F25&amp;" AS STRING)),1,0)) AS NUM_REG_DIF,'"&amp;MAX('ID1&amp;5'!K:K)+1&amp;"' AS ID_EXEC, CURRENT_TIMESTAMP() AS TIME_EXEC FROM "&amp;I25,
IF(C25="Missings",+"SELECT '"&amp;UPPER(B25)&amp;"' AS TABELA, '"&amp;UPPER(C25)&amp;"' AS TIPOLOGIA_TESTE,'"&amp;D25&amp;"' AS TABELA_LT,'N/A' AS TABELA_SIMUL,'"&amp;F25&amp;"' AS CAMPO, "&amp;"'${ref_date}' AS REF_DATE, COUNT(*) AS NUM_REG, SUM(IF(TRIM(CAST(X."&amp;F25&amp;" AS STRING)) IN ('0000-00-00','0001-01-01','9999-12-31','MISS','00000','99999999999','99999999999.00','99999999999.000000'),1,0)) AS NUM_REG_DIF,'"&amp;MAX('ID1&amp;5'!K:K)+1&amp;"' AS ID_EXEC, CURRENT_TIMESTAMP() AS TIME_EXEC FROM "&amp;I25,
IF(C25="Not applicable",+"SELECT '"&amp;UPPER(B25)&amp;"' AS TABELA, '"&amp;UPPER(C25)&amp;"' AS TIPOLOGIA_TESTE,'"&amp;D25&amp;"' AS TABELA_LT,'N/A' AS TABELA_SIMUL,'"&amp;F25&amp;"' AS CAMPO, "&amp;"'${ref_date}' AS REF_DATE, COUNT(*) AS NUM_REG, SUM(IF(TRIM(CAST(X."&amp;F25&amp;" AS STRING)) IN ('N/A','11111111111','11111111111.00','11111111111.000000','1111-11-11'),1,0)) AS NUM_REG_DIF,'"&amp;MAX('ID1&amp;5'!K:K)+1&amp;"' AS ID_EXEC, CURRENT_TIMESTAMP() AS TIME_EXEC FROM "&amp;I25,
IF(C25="Valores extremos",+"SELECT '"&amp;UPPER(B25)&amp;"' AS TABELA, '"&amp;UPPER(C25)&amp;"' AS TIPOLOGIA_TESTE,'"&amp;D25&amp;"' AS TABELA_LT,'N/A' AS TABELA_SIMUL,'"&amp;F25&amp;"' AS CAMPO, "&amp;"'${ref_date}' AS REF_DATE, CAST(MIN("&amp;F25&amp;") AS STRING) AS VALOR_MIN, CAST(MAX("&amp;F25&amp;") AS STRING) AS VALOR_MAX,'"&amp;MAX('ID1&amp;5'!K:K)+1&amp;"' AS ID_EXEC, CURRENT_TIMESTAMP() AS TIME_EXEC FROM "&amp;MID(I25,1,LEN(I25)-2)&amp;" AND CAST("&amp;F25&amp;"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TABELA_SIMUL,'CR_FLG' AS CAMPO, '${ref_date}' AS REF_DATE, COUNT(*) AS NUM_REG, SUM(IF(COALESCE(CAST(X.CR_FLG AS STRING),'')&lt;&gt;COALESCE(CAST(Y.CR_FLG_SIMUL AS STRING),'') OR (X.CR_FLG IS NULL AND Y.CR_FLG_SIMUL IS NOT NULL ) OR (X.CR_FLG IS NOT NULL AND Y.CR_FLG_SIMUL IS NULL),1,0)) AS NUM_REG_DIF,'1' AS ID_EXEC, CURRENT_TIMESTAMP() AS TIME_EXEC FROM (SELECT entty_id, CR_FLG FROM CD_LOAN_TAPES_BCE.LT003_ENTITY WHERE ref_date='${ref_date}' AND nome_perimetro='Individual Corporativo' AND segmento='ESTR' AND ambito='PM' AND entidade='00100')X INNER JOIN (SELECT entty_id AS entty_id_SIMUL, CR_FLG AS CR_FLG_SIMUL FROM BU_LOANTAPE_WORK.LT003_ENTITY WHERE ref_date='${ref_date}' AND nome_perimetro='Individual Corporativo' AND segmento='ESTR' AND ambito='PM' AND entidade='00100')Y ON X.ENTTY_ID=Y.ENTTY_ID_SIMUL</v>
      </c>
      <c r="M25" s="36" t="str">
        <f t="shared" si="0"/>
        <v>UNION ALL SELECT 'ENTITY' AS TABELA, 'COERÊNCIA' AS TIPOLOGIA_TESTE,'CD_LOAN_TAPES_BCE.LT003_ENTITY' AS TABELA_LT,'BU_LOANTAPE_WORK.LT003_ENTITY' AS TABELA_SIMUL,'CR_FLG' AS CAMPO, '${ref_date}' AS REF_DATE, COUNT(*) AS NUM_REG, SUM(IF(COALESCE(CAST(X.CR_FLG AS STRING),'')&lt;&gt;COALESCE(CAST(Y.CR_FLG_SIMUL AS STRING),'') OR (X.CR_FLG IS NULL AND Y.CR_FLG_SIMUL IS NOT NULL ) OR (X.CR_FLG IS NOT NULL AND Y.CR_FLG_SIMUL IS NULL),1,0)) AS NUM_REG_DIF,'1' AS ID_EXEC, CURRENT_TIMESTAMP() AS TIME_EXEC FROM (SELECT entty_id, CR_FLG FROM CD_LOAN_TAPES_BCE.LT003_ENTITY WHERE ref_date='${ref_date}' AND nome_perimetro='Individual Corporativo' AND segmento='ESTR' AND ambito='PM' AND entidade='00100')X INNER JOIN (SELECT entty_id AS entty_id_SIMUL, CR_FLG AS CR_FLG_SIMUL FROM BU_LOANTAPE_WORK.LT003_ENTITY WHERE ref_date='${ref_date}' AND nome_perimetro='Individual Corporativo' AND segmento='ESTR' AND ambito='PM' AND entidade='00100')Y ON X.ENTTY_ID=Y.ENTTY_ID_SIMUL</v>
      </c>
      <c r="N25" s="38" t="s">
        <v>46</v>
      </c>
    </row>
    <row r="26" spans="2:14">
      <c r="B26" s="34" t="s">
        <v>127</v>
      </c>
      <c r="C26" s="34" t="s">
        <v>5</v>
      </c>
      <c r="D26" s="34" t="str">
        <f>+UPPER('0. Instruções'!$D$35&amp;"."&amp;VLOOKUP(B26,'0. Instruções'!$C$27:$D$32,2,FALSE))</f>
        <v>CD_LOAN_TAPES_BCE.LT003_ENTITY</v>
      </c>
      <c r="E26" s="34" t="str">
        <f>+UPPER('0. Instruções'!$D$36&amp;"."&amp;VLOOKUP(B26,'0. Instruções'!$C$27:$E$32,3,FALSE))</f>
        <v>BU_LOANTAPE_WORK.LT003_ENTITY</v>
      </c>
      <c r="F26" s="34" t="s">
        <v>338</v>
      </c>
      <c r="G26" s="34"/>
      <c r="H26" s="34" t="s">
        <v>648</v>
      </c>
      <c r="I26" s="34" t="str">
        <f>"(SELECT "&amp;VLOOKUP(B26,'0. Instruções'!$C$27:$G$32,4,FALSE)&amp;", "&amp;F26&amp;" FROM "&amp;D26&amp;" WHERE "&amp;'0. Instruções'!$D$42&amp;")X"</f>
        <v>(SELECT entty_id, DCSD FROM CD_LOAN_TAPES_BCE.LT003_ENTITY WHERE ref_date='${ref_date}' AND nome_perimetro='Individual Corporativo' AND segmento='ESTR' AND ambito='PM' AND entidade='00100')X</v>
      </c>
      <c r="J26" s="34" t="str">
        <f>"(SELECT "&amp;VLOOKUP(B26,'0. Instruções'!$C$27:$G$32,4,FALSE)&amp;" AS "&amp;VLOOKUP(B26,'0. Instruções'!$C$27:$G$32,4,FALSE)&amp;"_SIMUL, "&amp;F26&amp;" AS "&amp;F26&amp;"_SIMUL FROM "&amp;E26&amp;" WHERE "&amp;'0. Instruções'!$D$43&amp;")Y"</f>
        <v>(SELECT entty_id AS entty_id_SIMUL, DCSD AS DCSD_SIMUL FROM BU_LOANTAPE_WORK.LT003_ENTITY WHERE ref_date='${ref_date}' AND nome_perimetro='Individual Corporativo' AND segmento='ESTR' AND ambito='PM' AND entidade='00100')Y</v>
      </c>
      <c r="K26" s="35" t="str">
        <f>+UPPER("ON X."&amp;VLOOKUP(B26,'0. Instruções'!$C$27:$G$32,4,FALSE)&amp;"=Y."&amp;VLOOKUP(B26,'0. Instruções'!$C$27:$G$32,4,FALSE)&amp;"_SIMUL")</f>
        <v>ON X.ENTTY_ID=Y.ENTTY_ID_SIMUL</v>
      </c>
      <c r="L26" s="35" t="str">
        <f>+IF(C26="Coerência", +IF(LEFT(G26,5)="FLOAT","SELECT '"&amp;UPPER(B26)&amp;"' AS TABELA, '"&amp;UPPER(C26)&amp;"' AS TIPOLOGIA_TESTE,'"&amp;D26&amp;"' AS TABELA_LT,'"&amp;E26&amp;"' AS TABELA_SIMUL,'"&amp;F26&amp;"' AS CAMPO, "&amp;"'${ref_date}' AS REF_DATE, COUNT(*) AS NUM_REG, SUM(IF((ABS(COALESCE(CAST(X."&amp;F26&amp;" AS DECIMAL(18,6)),0)-COALESCE(CAST(Y."&amp;F26&amp;"_SIMUL AS DECIMAL(18,6)),0))&gt;0.000001) OR (X."&amp;F26&amp;" IS NULL AND Y."&amp;F26&amp;"_SIMUL IS NOT NULL ) OR (X."&amp;F26&amp;" IS NOT NULL AND Y."&amp;F26&amp;"_SIMUL IS NULL),1,0)) AS NUM_REG_DIF,'"&amp;MAX('ID1&amp;5'!K:K)+1&amp;"' AS ID_EXEC, CURRENT_TIMESTAMP() AS TIME_EXEC FROM "&amp;I26&amp;" INNER JOIN "&amp;J26&amp;" "&amp;K26,"SELECT '"&amp;UPPER(B26)&amp;"' AS TABELA, '"&amp;UPPER(C26)&amp;"' AS TIPOLOGIA_TESTE,'"&amp;D26&amp;"' AS TABELA_LT,'"&amp;E26&amp;"' AS TABELA_SIMUL,'"&amp;F26&amp;"' AS CAMPO, "&amp;"'${ref_date}' AS REF_DATE, COUNT(*) AS NUM_REG, SUM(IF(COALESCE(CAST(X."&amp;F26&amp;" AS STRING),'')&lt;&gt;COALESCE(CAST(Y."&amp;F26&amp;"_SIMUL AS STRING),'') OR (X."&amp;F26&amp;" IS NULL AND Y."&amp;F26&amp;"_SIMUL IS NOT NULL ) OR (X."&amp;F26&amp;" IS NOT NULL AND Y."&amp;F26&amp;"_SIMUL IS NULL),1,0)) AS NUM_REG_DIF,'"&amp;MAX('ID1&amp;5'!L:L)+1&amp;"' AS ID_EXEC, CURRENT_TIMESTAMP() AS TIME_EXEC FROM "&amp;I26&amp;" INNER JOIN "&amp;J26&amp;" "&amp;K26),
IF(C26="Validade",+IF(G26="Code List","SELECT '"&amp;UPPER(B26)&amp;"' AS TABELA, '"&amp;UPPER(C26)&amp;"' AS TIPOLOGIA_TESTE,'"&amp;D26&amp;"' AS TABELA_LT,'N/A' AS TABELA_SIMUL,'"&amp;F26&amp;"' AS CAMPO, "&amp;"'${ref_date}' AS REF_DATE, COUNT(*) AS NUM_REG, SUM(IF(TRIM(CAST(X."&amp;F26&amp;" AS STRING))='' OR TRIM(CAST(X."&amp;F26&amp;" AS STRING)) IS NULL OR CAST(X."&amp;F26&amp;" AS STRING) NOT "&amp;H26&amp;",1,0)) AS NUM_REG_DIF,'"&amp;MAX('ID1&amp;5'!K:K)+1&amp;"' AS ID_EXEC, CURRENT_TIMESTAMP() AS TIME_EXEC FROM "&amp;I26,"SELECT '"&amp;UPPER(B26)&amp;"' AS TABELA, '"&amp;UPPER(C26)&amp;"' AS TIPOLOGIA_TESTE,'"&amp;D26&amp;"' AS TABELA_LT,'N/A' AS TABELA_SIMUL,'"&amp;F26&amp;"' AS CAMPO, "&amp;"'${ref_date}' AS REF_DATE, COUNT(*) AS NUM_REG, SUM(IF(TRIM(CAST(X."&amp;F26&amp;" AS STRING))='' OR TRIM(CAST(X."&amp;F26&amp;" AS STRING)) IS NULL,1,0)) AS NUM_REG_DIF,'"&amp;MAX('ID1&amp;5'!K:K)+1&amp;"' AS ID_EXEC, CURRENT_TIMESTAMP() AS TIME_EXEC FROM "&amp;I26),
IF(C26="Caracteres Especiais",+"SELECT '"&amp;UPPER(B26)&amp;"' AS TABELA, '"&amp;UPPER(C26)&amp;"' AS TIPOLOGIA_TESTE,'"&amp;D26&amp;"' AS TABELA_LT,'N/A' AS TABELA_SIMUL,'"&amp;F26&amp;"' AS CAMPO, "&amp;"'${ref_date}' AS REF_DATE, COUNT(*) AS NUM_REG, SUM(IF(REGEXP_REPLACE(TRIM(CAST(X."&amp;F26&amp;" AS STRING)),'[^a-zA-Z0-9_\\s]','') &lt;&gt;TRIM(CAST(X."&amp;F26&amp;" AS STRING)),1,0)) AS NUM_REG_DIF,'"&amp;MAX('ID1&amp;5'!K:K)+1&amp;"' AS ID_EXEC, CURRENT_TIMESTAMP() AS TIME_EXEC FROM "&amp;I26,
IF(C26="Missings",+"SELECT '"&amp;UPPER(B26)&amp;"' AS TABELA, '"&amp;UPPER(C26)&amp;"' AS TIPOLOGIA_TESTE,'"&amp;D26&amp;"' AS TABELA_LT,'N/A' AS TABELA_SIMUL,'"&amp;F26&amp;"' AS CAMPO, "&amp;"'${ref_date}' AS REF_DATE, COUNT(*) AS NUM_REG, SUM(IF(TRIM(CAST(X."&amp;F26&amp;" AS STRING)) IN ('0000-00-00','0001-01-01','9999-12-31','MISS','00000','99999999999','99999999999.00','99999999999.000000'),1,0)) AS NUM_REG_DIF,'"&amp;MAX('ID1&amp;5'!K:K)+1&amp;"' AS ID_EXEC, CURRENT_TIMESTAMP() AS TIME_EXEC FROM "&amp;I26,
IF(C26="Not applicable",+"SELECT '"&amp;UPPER(B26)&amp;"' AS TABELA, '"&amp;UPPER(C26)&amp;"' AS TIPOLOGIA_TESTE,'"&amp;D26&amp;"' AS TABELA_LT,'N/A' AS TABELA_SIMUL,'"&amp;F26&amp;"' AS CAMPO, "&amp;"'${ref_date}' AS REF_DATE, COUNT(*) AS NUM_REG, SUM(IF(TRIM(CAST(X."&amp;F26&amp;" AS STRING)) IN ('N/A','11111111111','11111111111.00','11111111111.000000','1111-11-11'),1,0)) AS NUM_REG_DIF,'"&amp;MAX('ID1&amp;5'!K:K)+1&amp;"' AS ID_EXEC, CURRENT_TIMESTAMP() AS TIME_EXEC FROM "&amp;I26,
IF(C26="Valores extremos",+"SELECT '"&amp;UPPER(B26)&amp;"' AS TABELA, '"&amp;UPPER(C26)&amp;"' AS TIPOLOGIA_TESTE,'"&amp;D26&amp;"' AS TABELA_LT,'N/A' AS TABELA_SIMUL,'"&amp;F26&amp;"' AS CAMPO, "&amp;"'${ref_date}' AS REF_DATE, CAST(MIN("&amp;F26&amp;") AS STRING) AS VALOR_MIN, CAST(MAX("&amp;F26&amp;") AS STRING) AS VALOR_MAX,'"&amp;MAX('ID1&amp;5'!K:K)+1&amp;"' AS ID_EXEC, CURRENT_TIMESTAMP() AS TIME_EXEC FROM "&amp;MID(I26,1,LEN(I26)-2)&amp;" AND CAST("&amp;F26&amp;"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TABELA_SIMUL,'DCSD' AS CAMPO, '${ref_date}' AS REF_DATE, COUNT(*) AS NUM_REG, SUM(IF(COALESCE(CAST(X.DCSD AS STRING),'')&lt;&gt;COALESCE(CAST(Y.DCSD_SIMUL AS STRING),'') OR (X.DCSD IS NULL AND Y.DCSD_SIMUL IS NOT NULL ) OR (X.DCSD IS NOT NULL AND Y.DCSD_SIMUL IS NULL),1,0)) AS NUM_REG_DIF,'1' AS ID_EXEC, CURRENT_TIMESTAMP() AS TIME_EXEC FROM (SELECT entty_id, DCSD FROM CD_LOAN_TAPES_BCE.LT003_ENTITY WHERE ref_date='${ref_date}' AND nome_perimetro='Individual Corporativo' AND segmento='ESTR' AND ambito='PM' AND entidade='00100')X INNER JOIN (SELECT entty_id AS entty_id_SIMUL, DCSD AS DCSD_SIMUL FROM BU_LOANTAPE_WORK.LT003_ENTITY WHERE ref_date='${ref_date}' AND nome_perimetro='Individual Corporativo' AND segmento='ESTR' AND ambito='PM' AND entidade='00100')Y ON X.ENTTY_ID=Y.ENTTY_ID_SIMUL</v>
      </c>
      <c r="M26" s="36" t="str">
        <f t="shared" si="0"/>
        <v>UNION ALL SELECT 'ENTITY' AS TABELA, 'COERÊNCIA' AS TIPOLOGIA_TESTE,'CD_LOAN_TAPES_BCE.LT003_ENTITY' AS TABELA_LT,'BU_LOANTAPE_WORK.LT003_ENTITY' AS TABELA_SIMUL,'DCSD' AS CAMPO, '${ref_date}' AS REF_DATE, COUNT(*) AS NUM_REG, SUM(IF(COALESCE(CAST(X.DCSD AS STRING),'')&lt;&gt;COALESCE(CAST(Y.DCSD_SIMUL AS STRING),'') OR (X.DCSD IS NULL AND Y.DCSD_SIMUL IS NOT NULL ) OR (X.DCSD IS NOT NULL AND Y.DCSD_SIMUL IS NULL),1,0)) AS NUM_REG_DIF,'1' AS ID_EXEC, CURRENT_TIMESTAMP() AS TIME_EXEC FROM (SELECT entty_id, DCSD FROM CD_LOAN_TAPES_BCE.LT003_ENTITY WHERE ref_date='${ref_date}' AND nome_perimetro='Individual Corporativo' AND segmento='ESTR' AND ambito='PM' AND entidade='00100')X INNER JOIN (SELECT entty_id AS entty_id_SIMUL, DCSD AS DCSD_SIMUL FROM BU_LOANTAPE_WORK.LT003_ENTITY WHERE ref_date='${ref_date}' AND nome_perimetro='Individual Corporativo' AND segmento='ESTR' AND ambito='PM' AND entidade='00100')Y ON X.ENTTY_ID=Y.ENTTY_ID_SIMUL</v>
      </c>
      <c r="N26" s="38" t="s">
        <v>46</v>
      </c>
    </row>
    <row r="27" spans="2:14">
      <c r="B27" s="34" t="s">
        <v>127</v>
      </c>
      <c r="C27" s="34" t="s">
        <v>5</v>
      </c>
      <c r="D27" s="34" t="str">
        <f>+UPPER('0. Instruções'!$D$35&amp;"."&amp;VLOOKUP(B27,'0. Instruções'!$C$27:$D$32,2,FALSE))</f>
        <v>CD_LOAN_TAPES_BCE.LT003_ENTITY</v>
      </c>
      <c r="E27" s="34" t="str">
        <f>+UPPER('0. Instruções'!$D$36&amp;"."&amp;VLOOKUP(B27,'0. Instruções'!$C$27:$E$32,3,FALSE))</f>
        <v>BU_LOANTAPE_WORK.LT003_ENTITY</v>
      </c>
      <c r="F27" s="34" t="s">
        <v>339</v>
      </c>
      <c r="G27" s="34"/>
      <c r="H27" s="34" t="s">
        <v>89</v>
      </c>
      <c r="I27" s="34" t="str">
        <f>"(SELECT "&amp;VLOOKUP(B27,'0. Instruções'!$C$27:$G$32,4,FALSE)&amp;", "&amp;F27&amp;" FROM "&amp;D27&amp;" WHERE "&amp;'0. Instruções'!$D$42&amp;")X"</f>
        <v>(SELECT entty_id, DFLT_STTS FROM CD_LOAN_TAPES_BCE.LT003_ENTITY WHERE ref_date='${ref_date}' AND nome_perimetro='Individual Corporativo' AND segmento='ESTR' AND ambito='PM' AND entidade='00100')X</v>
      </c>
      <c r="J27" s="34" t="str">
        <f>"(SELECT "&amp;VLOOKUP(B27,'0. Instruções'!$C$27:$G$32,4,FALSE)&amp;" AS "&amp;VLOOKUP(B27,'0. Instruções'!$C$27:$G$32,4,FALSE)&amp;"_SIMUL, "&amp;F27&amp;" AS "&amp;F27&amp;"_SIMUL FROM "&amp;E27&amp;" WHERE "&amp;'0. Instruções'!$D$43&amp;")Y"</f>
        <v>(SELECT entty_id AS entty_id_SIMUL, DFLT_STTS AS DFLT_STTS_SIMUL FROM BU_LOANTAPE_WORK.LT003_ENTITY WHERE ref_date='${ref_date}' AND nome_perimetro='Individual Corporativo' AND segmento='ESTR' AND ambito='PM' AND entidade='00100')Y</v>
      </c>
      <c r="K27" s="35" t="str">
        <f>+UPPER("ON X."&amp;VLOOKUP(B27,'0. Instruções'!$C$27:$G$32,4,FALSE)&amp;"=Y."&amp;VLOOKUP(B27,'0. Instruções'!$C$27:$G$32,4,FALSE)&amp;"_SIMUL")</f>
        <v>ON X.ENTTY_ID=Y.ENTTY_ID_SIMUL</v>
      </c>
      <c r="L27" s="35" t="str">
        <f>+IF(C27="Coerência", +IF(LEFT(G27,5)="FLOAT","SELECT '"&amp;UPPER(B27)&amp;"' AS TABELA, '"&amp;UPPER(C27)&amp;"' AS TIPOLOGIA_TESTE,'"&amp;D27&amp;"' AS TABELA_LT,'"&amp;E27&amp;"' AS TABELA_SIMUL,'"&amp;F27&amp;"' AS CAMPO, "&amp;"'${ref_date}' AS REF_DATE, COUNT(*) AS NUM_REG, SUM(IF((ABS(COALESCE(CAST(X."&amp;F27&amp;" AS DECIMAL(18,6)),0)-COALESCE(CAST(Y."&amp;F27&amp;"_SIMUL AS DECIMAL(18,6)),0))&gt;0.000001) OR (X."&amp;F27&amp;" IS NULL AND Y."&amp;F27&amp;"_SIMUL IS NOT NULL ) OR (X."&amp;F27&amp;" IS NOT NULL AND Y."&amp;F27&amp;"_SIMUL IS NULL),1,0)) AS NUM_REG_DIF,'"&amp;MAX('ID1&amp;5'!K:K)+1&amp;"' AS ID_EXEC, CURRENT_TIMESTAMP() AS TIME_EXEC FROM "&amp;I27&amp;" INNER JOIN "&amp;J27&amp;" "&amp;K27,"SELECT '"&amp;UPPER(B27)&amp;"' AS TABELA, '"&amp;UPPER(C27)&amp;"' AS TIPOLOGIA_TESTE,'"&amp;D27&amp;"' AS TABELA_LT,'"&amp;E27&amp;"' AS TABELA_SIMUL,'"&amp;F27&amp;"' AS CAMPO, "&amp;"'${ref_date}' AS REF_DATE, COUNT(*) AS NUM_REG, SUM(IF(COALESCE(CAST(X."&amp;F27&amp;" AS STRING),'')&lt;&gt;COALESCE(CAST(Y."&amp;F27&amp;"_SIMUL AS STRING),'') OR (X."&amp;F27&amp;" IS NULL AND Y."&amp;F27&amp;"_SIMUL IS NOT NULL ) OR (X."&amp;F27&amp;" IS NOT NULL AND Y."&amp;F27&amp;"_SIMUL IS NULL),1,0)) AS NUM_REG_DIF,'"&amp;MAX('ID1&amp;5'!L:L)+1&amp;"' AS ID_EXEC, CURRENT_TIMESTAMP() AS TIME_EXEC FROM "&amp;I27&amp;" INNER JOIN "&amp;J27&amp;" "&amp;K27),
IF(C27="Validade",+IF(G27="Code List","SELECT '"&amp;UPPER(B27)&amp;"' AS TABELA, '"&amp;UPPER(C27)&amp;"' AS TIPOLOGIA_TESTE,'"&amp;D27&amp;"' AS TABELA_LT,'N/A' AS TABELA_SIMUL,'"&amp;F27&amp;"' AS CAMPO, "&amp;"'${ref_date}' AS REF_DATE, COUNT(*) AS NUM_REG, SUM(IF(TRIM(CAST(X."&amp;F27&amp;" AS STRING))='' OR TRIM(CAST(X."&amp;F27&amp;" AS STRING)) IS NULL OR CAST(X."&amp;F27&amp;" AS STRING) NOT "&amp;H27&amp;",1,0)) AS NUM_REG_DIF,'"&amp;MAX('ID1&amp;5'!K:K)+1&amp;"' AS ID_EXEC, CURRENT_TIMESTAMP() AS TIME_EXEC FROM "&amp;I27,"SELECT '"&amp;UPPER(B27)&amp;"' AS TABELA, '"&amp;UPPER(C27)&amp;"' AS TIPOLOGIA_TESTE,'"&amp;D27&amp;"' AS TABELA_LT,'N/A' AS TABELA_SIMUL,'"&amp;F27&amp;"' AS CAMPO, "&amp;"'${ref_date}' AS REF_DATE, COUNT(*) AS NUM_REG, SUM(IF(TRIM(CAST(X."&amp;F27&amp;" AS STRING))='' OR TRIM(CAST(X."&amp;F27&amp;" AS STRING)) IS NULL,1,0)) AS NUM_REG_DIF,'"&amp;MAX('ID1&amp;5'!K:K)+1&amp;"' AS ID_EXEC, CURRENT_TIMESTAMP() AS TIME_EXEC FROM "&amp;I27),
IF(C27="Caracteres Especiais",+"SELECT '"&amp;UPPER(B27)&amp;"' AS TABELA, '"&amp;UPPER(C27)&amp;"' AS TIPOLOGIA_TESTE,'"&amp;D27&amp;"' AS TABELA_LT,'N/A' AS TABELA_SIMUL,'"&amp;F27&amp;"' AS CAMPO, "&amp;"'${ref_date}' AS REF_DATE, COUNT(*) AS NUM_REG, SUM(IF(REGEXP_REPLACE(TRIM(CAST(X."&amp;F27&amp;" AS STRING)),'[^a-zA-Z0-9_\\s]','') &lt;&gt;TRIM(CAST(X."&amp;F27&amp;" AS STRING)),1,0)) AS NUM_REG_DIF,'"&amp;MAX('ID1&amp;5'!K:K)+1&amp;"' AS ID_EXEC, CURRENT_TIMESTAMP() AS TIME_EXEC FROM "&amp;I27,
IF(C27="Missings",+"SELECT '"&amp;UPPER(B27)&amp;"' AS TABELA, '"&amp;UPPER(C27)&amp;"' AS TIPOLOGIA_TESTE,'"&amp;D27&amp;"' AS TABELA_LT,'N/A' AS TABELA_SIMUL,'"&amp;F27&amp;"' AS CAMPO, "&amp;"'${ref_date}' AS REF_DATE, COUNT(*) AS NUM_REG, SUM(IF(TRIM(CAST(X."&amp;F27&amp;" AS STRING)) IN ('0000-00-00','0001-01-01','9999-12-31','MISS','00000','99999999999','99999999999.00','99999999999.000000'),1,0)) AS NUM_REG_DIF,'"&amp;MAX('ID1&amp;5'!K:K)+1&amp;"' AS ID_EXEC, CURRENT_TIMESTAMP() AS TIME_EXEC FROM "&amp;I27,
IF(C27="Not applicable",+"SELECT '"&amp;UPPER(B27)&amp;"' AS TABELA, '"&amp;UPPER(C27)&amp;"' AS TIPOLOGIA_TESTE,'"&amp;D27&amp;"' AS TABELA_LT,'N/A' AS TABELA_SIMUL,'"&amp;F27&amp;"' AS CAMPO, "&amp;"'${ref_date}' AS REF_DATE, COUNT(*) AS NUM_REG, SUM(IF(TRIM(CAST(X."&amp;F27&amp;" AS STRING)) IN ('N/A','11111111111','11111111111.00','11111111111.000000','1111-11-11'),1,0)) AS NUM_REG_DIF,'"&amp;MAX('ID1&amp;5'!K:K)+1&amp;"' AS ID_EXEC, CURRENT_TIMESTAMP() AS TIME_EXEC FROM "&amp;I27,
IF(C27="Valores extremos",+"SELECT '"&amp;UPPER(B27)&amp;"' AS TABELA, '"&amp;UPPER(C27)&amp;"' AS TIPOLOGIA_TESTE,'"&amp;D27&amp;"' AS TABELA_LT,'N/A' AS TABELA_SIMUL,'"&amp;F27&amp;"' AS CAMPO, "&amp;"'${ref_date}' AS REF_DATE, CAST(MIN("&amp;F27&amp;") AS STRING) AS VALOR_MIN, CAST(MAX("&amp;F27&amp;") AS STRING) AS VALOR_MAX,'"&amp;MAX('ID1&amp;5'!K:K)+1&amp;"' AS ID_EXEC, CURRENT_TIMESTAMP() AS TIME_EXEC FROM "&amp;MID(I27,1,LEN(I27)-2)&amp;" AND CAST("&amp;F27&amp;"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TABELA_SIMUL,'DFLT_STTS' AS CAMPO, '${ref_date}' AS REF_DATE, COUNT(*) AS NUM_REG, SUM(IF(COALESCE(CAST(X.DFLT_STTS AS STRING),'')&lt;&gt;COALESCE(CAST(Y.DFLT_STTS_SIMUL AS STRING),'') OR (X.DFLT_STTS IS NULL AND Y.DFLT_STTS_SIMUL IS NOT NULL ) OR (X.DFLT_STTS IS NOT NULL AND Y.DFLT_STTS_SIMUL IS NULL),1,0)) AS NUM_REG_DIF,'1' AS ID_EXEC, CURRENT_TIMESTAMP() AS TIME_EXEC FROM (SELECT entty_id, DFLT_STTS FROM CD_LOAN_TAPES_BCE.LT003_ENTITY WHERE ref_date='${ref_date}' AND nome_perimetro='Individual Corporativo' AND segmento='ESTR' AND ambito='PM' AND entidade='00100')X INNER JOIN (SELECT entty_id AS entty_id_SIMUL, DFLT_STTS AS DFLT_STTS_SIMUL FROM BU_LOANTAPE_WORK.LT003_ENTITY WHERE ref_date='${ref_date}' AND nome_perimetro='Individual Corporativo' AND segmento='ESTR' AND ambito='PM' AND entidade='00100')Y ON X.ENTTY_ID=Y.ENTTY_ID_SIMUL</v>
      </c>
      <c r="M27" s="36" t="str">
        <f t="shared" si="0"/>
        <v>UNION ALL SELECT 'ENTITY' AS TABELA, 'COERÊNCIA' AS TIPOLOGIA_TESTE,'CD_LOAN_TAPES_BCE.LT003_ENTITY' AS TABELA_LT,'BU_LOANTAPE_WORK.LT003_ENTITY' AS TABELA_SIMUL,'DFLT_STTS' AS CAMPO, '${ref_date}' AS REF_DATE, COUNT(*) AS NUM_REG, SUM(IF(COALESCE(CAST(X.DFLT_STTS AS STRING),'')&lt;&gt;COALESCE(CAST(Y.DFLT_STTS_SIMUL AS STRING),'') OR (X.DFLT_STTS IS NULL AND Y.DFLT_STTS_SIMUL IS NOT NULL ) OR (X.DFLT_STTS IS NOT NULL AND Y.DFLT_STTS_SIMUL IS NULL),1,0)) AS NUM_REG_DIF,'1' AS ID_EXEC, CURRENT_TIMESTAMP() AS TIME_EXEC FROM (SELECT entty_id, DFLT_STTS FROM CD_LOAN_TAPES_BCE.LT003_ENTITY WHERE ref_date='${ref_date}' AND nome_perimetro='Individual Corporativo' AND segmento='ESTR' AND ambito='PM' AND entidade='00100')X INNER JOIN (SELECT entty_id AS entty_id_SIMUL, DFLT_STTS AS DFLT_STTS_SIMUL FROM BU_LOANTAPE_WORK.LT003_ENTITY WHERE ref_date='${ref_date}' AND nome_perimetro='Individual Corporativo' AND segmento='ESTR' AND ambito='PM' AND entidade='00100')Y ON X.ENTTY_ID=Y.ENTTY_ID_SIMUL</v>
      </c>
      <c r="N27" s="38" t="s">
        <v>46</v>
      </c>
    </row>
    <row r="28" spans="2:14">
      <c r="B28" s="34" t="s">
        <v>127</v>
      </c>
      <c r="C28" s="34" t="s">
        <v>5</v>
      </c>
      <c r="D28" s="34" t="str">
        <f>+UPPER('0. Instruções'!$D$35&amp;"."&amp;VLOOKUP(B28,'0. Instruções'!$C$27:$D$32,2,FALSE))</f>
        <v>CD_LOAN_TAPES_BCE.LT003_ENTITY</v>
      </c>
      <c r="E28" s="34" t="str">
        <f>+UPPER('0. Instruções'!$D$36&amp;"."&amp;VLOOKUP(B28,'0. Instruções'!$C$27:$E$32,3,FALSE))</f>
        <v>BU_LOANTAPE_WORK.LT003_ENTITY</v>
      </c>
      <c r="F28" s="34" t="s">
        <v>340</v>
      </c>
      <c r="G28" s="34"/>
      <c r="H28" s="34" t="s">
        <v>645</v>
      </c>
      <c r="I28" s="34" t="str">
        <f>"(SELECT "&amp;VLOOKUP(B28,'0. Instruções'!$C$27:$G$32,4,FALSE)&amp;", "&amp;F28&amp;" FROM "&amp;D28&amp;" WHERE "&amp;'0. Instruções'!$D$42&amp;")X"</f>
        <v>(SELECT entty_id, DT_EXTRNL_RTNG FROM CD_LOAN_TAPES_BCE.LT003_ENTITY WHERE ref_date='${ref_date}' AND nome_perimetro='Individual Corporativo' AND segmento='ESTR' AND ambito='PM' AND entidade='00100')X</v>
      </c>
      <c r="J28" s="34" t="str">
        <f>"(SELECT "&amp;VLOOKUP(B28,'0. Instruções'!$C$27:$G$32,4,FALSE)&amp;" AS "&amp;VLOOKUP(B28,'0. Instruções'!$C$27:$G$32,4,FALSE)&amp;"_SIMUL, "&amp;F28&amp;" AS "&amp;F28&amp;"_SIMUL FROM "&amp;E28&amp;" WHERE "&amp;'0. Instruções'!$D$43&amp;")Y"</f>
        <v>(SELECT entty_id AS entty_id_SIMUL, DT_EXTRNL_RTNG AS DT_EXTRNL_RTNG_SIMUL FROM BU_LOANTAPE_WORK.LT003_ENTITY WHERE ref_date='${ref_date}' AND nome_perimetro='Individual Corporativo' AND segmento='ESTR' AND ambito='PM' AND entidade='00100')Y</v>
      </c>
      <c r="K28" s="35" t="str">
        <f>+UPPER("ON X."&amp;VLOOKUP(B28,'0. Instruções'!$C$27:$G$32,4,FALSE)&amp;"=Y."&amp;VLOOKUP(B28,'0. Instruções'!$C$27:$G$32,4,FALSE)&amp;"_SIMUL")</f>
        <v>ON X.ENTTY_ID=Y.ENTTY_ID_SIMUL</v>
      </c>
      <c r="L28" s="35" t="str">
        <f>+IF(C28="Coerência", +IF(LEFT(G28,5)="FLOAT","SELECT '"&amp;UPPER(B28)&amp;"' AS TABELA, '"&amp;UPPER(C28)&amp;"' AS TIPOLOGIA_TESTE,'"&amp;D28&amp;"' AS TABELA_LT,'"&amp;E28&amp;"' AS TABELA_SIMUL,'"&amp;F28&amp;"' AS CAMPO, "&amp;"'${ref_date}' AS REF_DATE, COUNT(*) AS NUM_REG, SUM(IF((ABS(COALESCE(CAST(X."&amp;F28&amp;" AS DECIMAL(18,6)),0)-COALESCE(CAST(Y."&amp;F28&amp;"_SIMUL AS DECIMAL(18,6)),0))&gt;0.000001) OR (X."&amp;F28&amp;" IS NULL AND Y."&amp;F28&amp;"_SIMUL IS NOT NULL ) OR (X."&amp;F28&amp;" IS NOT NULL AND Y."&amp;F28&amp;"_SIMUL IS NULL),1,0)) AS NUM_REG_DIF,'"&amp;MAX('ID1&amp;5'!K:K)+1&amp;"' AS ID_EXEC, CURRENT_TIMESTAMP() AS TIME_EXEC FROM "&amp;I28&amp;" INNER JOIN "&amp;J28&amp;" "&amp;K28,"SELECT '"&amp;UPPER(B28)&amp;"' AS TABELA, '"&amp;UPPER(C28)&amp;"' AS TIPOLOGIA_TESTE,'"&amp;D28&amp;"' AS TABELA_LT,'"&amp;E28&amp;"' AS TABELA_SIMUL,'"&amp;F28&amp;"' AS CAMPO, "&amp;"'${ref_date}' AS REF_DATE, COUNT(*) AS NUM_REG, SUM(IF(COALESCE(CAST(X."&amp;F28&amp;" AS STRING),'')&lt;&gt;COALESCE(CAST(Y."&amp;F28&amp;"_SIMUL AS STRING),'') OR (X."&amp;F28&amp;" IS NULL AND Y."&amp;F28&amp;"_SIMUL IS NOT NULL ) OR (X."&amp;F28&amp;" IS NOT NULL AND Y."&amp;F28&amp;"_SIMUL IS NULL),1,0)) AS NUM_REG_DIF,'"&amp;MAX('ID1&amp;5'!L:L)+1&amp;"' AS ID_EXEC, CURRENT_TIMESTAMP() AS TIME_EXEC FROM "&amp;I28&amp;" INNER JOIN "&amp;J28&amp;" "&amp;K28),
IF(C28="Validade",+IF(G28="Code List","SELECT '"&amp;UPPER(B28)&amp;"' AS TABELA, '"&amp;UPPER(C28)&amp;"' AS TIPOLOGIA_TESTE,'"&amp;D28&amp;"' AS TABELA_LT,'N/A' AS TABELA_SIMUL,'"&amp;F28&amp;"' AS CAMPO, "&amp;"'${ref_date}' AS REF_DATE, COUNT(*) AS NUM_REG, SUM(IF(TRIM(CAST(X."&amp;F28&amp;" AS STRING))='' OR TRIM(CAST(X."&amp;F28&amp;" AS STRING)) IS NULL OR CAST(X."&amp;F28&amp;" AS STRING) NOT "&amp;H28&amp;",1,0)) AS NUM_REG_DIF,'"&amp;MAX('ID1&amp;5'!K:K)+1&amp;"' AS ID_EXEC, CURRENT_TIMESTAMP() AS TIME_EXEC FROM "&amp;I28,"SELECT '"&amp;UPPER(B28)&amp;"' AS TABELA, '"&amp;UPPER(C28)&amp;"' AS TIPOLOGIA_TESTE,'"&amp;D28&amp;"' AS TABELA_LT,'N/A' AS TABELA_SIMUL,'"&amp;F28&amp;"' AS CAMPO, "&amp;"'${ref_date}' AS REF_DATE, COUNT(*) AS NUM_REG, SUM(IF(TRIM(CAST(X."&amp;F28&amp;" AS STRING))='' OR TRIM(CAST(X."&amp;F28&amp;" AS STRING)) IS NULL,1,0)) AS NUM_REG_DIF,'"&amp;MAX('ID1&amp;5'!K:K)+1&amp;"' AS ID_EXEC, CURRENT_TIMESTAMP() AS TIME_EXEC FROM "&amp;I28),
IF(C28="Caracteres Especiais",+"SELECT '"&amp;UPPER(B28)&amp;"' AS TABELA, '"&amp;UPPER(C28)&amp;"' AS TIPOLOGIA_TESTE,'"&amp;D28&amp;"' AS TABELA_LT,'N/A' AS TABELA_SIMUL,'"&amp;F28&amp;"' AS CAMPO, "&amp;"'${ref_date}' AS REF_DATE, COUNT(*) AS NUM_REG, SUM(IF(REGEXP_REPLACE(TRIM(CAST(X."&amp;F28&amp;" AS STRING)),'[^a-zA-Z0-9_\\s]','') &lt;&gt;TRIM(CAST(X."&amp;F28&amp;" AS STRING)),1,0)) AS NUM_REG_DIF,'"&amp;MAX('ID1&amp;5'!K:K)+1&amp;"' AS ID_EXEC, CURRENT_TIMESTAMP() AS TIME_EXEC FROM "&amp;I28,
IF(C28="Missings",+"SELECT '"&amp;UPPER(B28)&amp;"' AS TABELA, '"&amp;UPPER(C28)&amp;"' AS TIPOLOGIA_TESTE,'"&amp;D28&amp;"' AS TABELA_LT,'N/A' AS TABELA_SIMUL,'"&amp;F28&amp;"' AS CAMPO, "&amp;"'${ref_date}' AS REF_DATE, COUNT(*) AS NUM_REG, SUM(IF(TRIM(CAST(X."&amp;F28&amp;" AS STRING)) IN ('0000-00-00','0001-01-01','9999-12-31','MISS','00000','99999999999','99999999999.00','99999999999.000000'),1,0)) AS NUM_REG_DIF,'"&amp;MAX('ID1&amp;5'!K:K)+1&amp;"' AS ID_EXEC, CURRENT_TIMESTAMP() AS TIME_EXEC FROM "&amp;I28,
IF(C28="Not applicable",+"SELECT '"&amp;UPPER(B28)&amp;"' AS TABELA, '"&amp;UPPER(C28)&amp;"' AS TIPOLOGIA_TESTE,'"&amp;D28&amp;"' AS TABELA_LT,'N/A' AS TABELA_SIMUL,'"&amp;F28&amp;"' AS CAMPO, "&amp;"'${ref_date}' AS REF_DATE, COUNT(*) AS NUM_REG, SUM(IF(TRIM(CAST(X."&amp;F28&amp;" AS STRING)) IN ('N/A','11111111111','11111111111.00','11111111111.000000','1111-11-11'),1,0)) AS NUM_REG_DIF,'"&amp;MAX('ID1&amp;5'!K:K)+1&amp;"' AS ID_EXEC, CURRENT_TIMESTAMP() AS TIME_EXEC FROM "&amp;I28,
IF(C28="Valores extremos",+"SELECT '"&amp;UPPER(B28)&amp;"' AS TABELA, '"&amp;UPPER(C28)&amp;"' AS TIPOLOGIA_TESTE,'"&amp;D28&amp;"' AS TABELA_LT,'N/A' AS TABELA_SIMUL,'"&amp;F28&amp;"' AS CAMPO, "&amp;"'${ref_date}' AS REF_DATE, CAST(MIN("&amp;F28&amp;") AS STRING) AS VALOR_MIN, CAST(MAX("&amp;F28&amp;") AS STRING) AS VALOR_MAX,'"&amp;MAX('ID1&amp;5'!K:K)+1&amp;"' AS ID_EXEC, CURRENT_TIMESTAMP() AS TIME_EXEC FROM "&amp;MID(I28,1,LEN(I28)-2)&amp;" AND CAST("&amp;F28&amp;"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TABELA_SIMUL,'DT_EXTRNL_RTNG' AS CAMPO, '${ref_date}' AS REF_DATE, COUNT(*) AS NUM_REG, SUM(IF(COALESCE(CAST(X.DT_EXTRNL_RTNG AS STRING),'')&lt;&gt;COALESCE(CAST(Y.DT_EXTRNL_RTNG_SIMUL AS STRING),'') OR (X.DT_EXTRNL_RTNG IS NULL AND Y.DT_EXTRNL_RTNG_SIMUL IS NOT NULL ) OR (X.DT_EXTRNL_RTNG IS NOT NULL AND Y.DT_EXTRNL_RTNG_SIMUL IS NULL),1,0)) AS NUM_REG_DIF,'1' AS ID_EXEC, CURRENT_TIMESTAMP() AS TIME_EXEC FROM (SELECT entty_id, DT_EXTRNL_RTNG FROM CD_LOAN_TAPES_BCE.LT003_ENTITY WHERE ref_date='${ref_date}' AND nome_perimetro='Individual Corporativo' AND segmento='ESTR' AND ambito='PM' AND entidade='00100')X INNER JOIN (SELECT entty_id AS entty_id_SIMUL, DT_EXTRNL_RTNG AS DT_EXTRNL_RTNG_SIMUL FROM BU_LOANTAPE_WORK.LT003_ENTITY WHERE ref_date='${ref_date}' AND nome_perimetro='Individual Corporativo' AND segmento='ESTR' AND ambito='PM' AND entidade='00100')Y ON X.ENTTY_ID=Y.ENTTY_ID_SIMUL</v>
      </c>
      <c r="M28" s="36" t="str">
        <f t="shared" si="0"/>
        <v>UNION ALL SELECT 'ENTITY' AS TABELA, 'COERÊNCIA' AS TIPOLOGIA_TESTE,'CD_LOAN_TAPES_BCE.LT003_ENTITY' AS TABELA_LT,'BU_LOANTAPE_WORK.LT003_ENTITY' AS TABELA_SIMUL,'DT_EXTRNL_RTNG' AS CAMPO, '${ref_date}' AS REF_DATE, COUNT(*) AS NUM_REG, SUM(IF(COALESCE(CAST(X.DT_EXTRNL_RTNG AS STRING),'')&lt;&gt;COALESCE(CAST(Y.DT_EXTRNL_RTNG_SIMUL AS STRING),'') OR (X.DT_EXTRNL_RTNG IS NULL AND Y.DT_EXTRNL_RTNG_SIMUL IS NOT NULL ) OR (X.DT_EXTRNL_RTNG IS NOT NULL AND Y.DT_EXTRNL_RTNG_SIMUL IS NULL),1,0)) AS NUM_REG_DIF,'1' AS ID_EXEC, CURRENT_TIMESTAMP() AS TIME_EXEC FROM (SELECT entty_id, DT_EXTRNL_RTNG FROM CD_LOAN_TAPES_BCE.LT003_ENTITY WHERE ref_date='${ref_date}' AND nome_perimetro='Individual Corporativo' AND segmento='ESTR' AND ambito='PM' AND entidade='00100')X INNER JOIN (SELECT entty_id AS entty_id_SIMUL, DT_EXTRNL_RTNG AS DT_EXTRNL_RTNG_SIMUL FROM BU_LOANTAPE_WORK.LT003_ENTITY WHERE ref_date='${ref_date}' AND nome_perimetro='Individual Corporativo' AND segmento='ESTR' AND ambito='PM' AND entidade='00100')Y ON X.ENTTY_ID=Y.ENTTY_ID_SIMUL</v>
      </c>
      <c r="N28" s="38" t="s">
        <v>46</v>
      </c>
    </row>
    <row r="29" spans="2:14">
      <c r="B29" s="34" t="s">
        <v>127</v>
      </c>
      <c r="C29" s="34" t="s">
        <v>5</v>
      </c>
      <c r="D29" s="34" t="str">
        <f>+UPPER('0. Instruções'!$D$35&amp;"."&amp;VLOOKUP(B29,'0. Instruções'!$C$27:$D$32,2,FALSE))</f>
        <v>CD_LOAN_TAPES_BCE.LT003_ENTITY</v>
      </c>
      <c r="E29" s="34" t="str">
        <f>+UPPER('0. Instruções'!$D$36&amp;"."&amp;VLOOKUP(B29,'0. Instruções'!$C$27:$E$32,3,FALSE))</f>
        <v>BU_LOANTAPE_WORK.LT003_ENTITY</v>
      </c>
      <c r="F29" s="34" t="s">
        <v>341</v>
      </c>
      <c r="G29" s="34"/>
      <c r="H29" s="34" t="s">
        <v>645</v>
      </c>
      <c r="I29" s="34" t="str">
        <f>"(SELECT "&amp;VLOOKUP(B29,'0. Instruções'!$C$27:$G$32,4,FALSE)&amp;", "&amp;F29&amp;" FROM "&amp;D29&amp;" WHERE "&amp;'0. Instruções'!$D$42&amp;")X"</f>
        <v>(SELECT entty_id, DT_INTRNL_RTNG FROM CD_LOAN_TAPES_BCE.LT003_ENTITY WHERE ref_date='${ref_date}' AND nome_perimetro='Individual Corporativo' AND segmento='ESTR' AND ambito='PM' AND entidade='00100')X</v>
      </c>
      <c r="J29" s="34" t="str">
        <f>"(SELECT "&amp;VLOOKUP(B29,'0. Instruções'!$C$27:$G$32,4,FALSE)&amp;" AS "&amp;VLOOKUP(B29,'0. Instruções'!$C$27:$G$32,4,FALSE)&amp;"_SIMUL, "&amp;F29&amp;" AS "&amp;F29&amp;"_SIMUL FROM "&amp;E29&amp;" WHERE "&amp;'0. Instruções'!$D$43&amp;")Y"</f>
        <v>(SELECT entty_id AS entty_id_SIMUL, DT_INTRNL_RTNG AS DT_INTRNL_RTNG_SIMUL FROM BU_LOANTAPE_WORK.LT003_ENTITY WHERE ref_date='${ref_date}' AND nome_perimetro='Individual Corporativo' AND segmento='ESTR' AND ambito='PM' AND entidade='00100')Y</v>
      </c>
      <c r="K29" s="35" t="str">
        <f>+UPPER("ON X."&amp;VLOOKUP(B29,'0. Instruções'!$C$27:$G$32,4,FALSE)&amp;"=Y."&amp;VLOOKUP(B29,'0. Instruções'!$C$27:$G$32,4,FALSE)&amp;"_SIMUL")</f>
        <v>ON X.ENTTY_ID=Y.ENTTY_ID_SIMUL</v>
      </c>
      <c r="L29" s="35" t="str">
        <f>+IF(C29="Coerência", +IF(LEFT(G29,5)="FLOAT","SELECT '"&amp;UPPER(B29)&amp;"' AS TABELA, '"&amp;UPPER(C29)&amp;"' AS TIPOLOGIA_TESTE,'"&amp;D29&amp;"' AS TABELA_LT,'"&amp;E29&amp;"' AS TABELA_SIMUL,'"&amp;F29&amp;"' AS CAMPO, "&amp;"'${ref_date}' AS REF_DATE, COUNT(*) AS NUM_REG, SUM(IF((ABS(COALESCE(CAST(X."&amp;F29&amp;" AS DECIMAL(18,6)),0)-COALESCE(CAST(Y."&amp;F29&amp;"_SIMUL AS DECIMAL(18,6)),0))&gt;0.000001) OR (X."&amp;F29&amp;" IS NULL AND Y."&amp;F29&amp;"_SIMUL IS NOT NULL ) OR (X."&amp;F29&amp;" IS NOT NULL AND Y."&amp;F29&amp;"_SIMUL IS NULL),1,0)) AS NUM_REG_DIF,'"&amp;MAX('ID1&amp;5'!K:K)+1&amp;"' AS ID_EXEC, CURRENT_TIMESTAMP() AS TIME_EXEC FROM "&amp;I29&amp;" INNER JOIN "&amp;J29&amp;" "&amp;K29,"SELECT '"&amp;UPPER(B29)&amp;"' AS TABELA, '"&amp;UPPER(C29)&amp;"' AS TIPOLOGIA_TESTE,'"&amp;D29&amp;"' AS TABELA_LT,'"&amp;E29&amp;"' AS TABELA_SIMUL,'"&amp;F29&amp;"' AS CAMPO, "&amp;"'${ref_date}' AS REF_DATE, COUNT(*) AS NUM_REG, SUM(IF(COALESCE(CAST(X."&amp;F29&amp;" AS STRING),'')&lt;&gt;COALESCE(CAST(Y."&amp;F29&amp;"_SIMUL AS STRING),'') OR (X."&amp;F29&amp;" IS NULL AND Y."&amp;F29&amp;"_SIMUL IS NOT NULL ) OR (X."&amp;F29&amp;" IS NOT NULL AND Y."&amp;F29&amp;"_SIMUL IS NULL),1,0)) AS NUM_REG_DIF,'"&amp;MAX('ID1&amp;5'!L:L)+1&amp;"' AS ID_EXEC, CURRENT_TIMESTAMP() AS TIME_EXEC FROM "&amp;I29&amp;" INNER JOIN "&amp;J29&amp;" "&amp;K29),
IF(C29="Validade",+IF(G29="Code List","SELECT '"&amp;UPPER(B29)&amp;"' AS TABELA, '"&amp;UPPER(C29)&amp;"' AS TIPOLOGIA_TESTE,'"&amp;D29&amp;"' AS TABELA_LT,'N/A' AS TABELA_SIMUL,'"&amp;F29&amp;"' AS CAMPO, "&amp;"'${ref_date}' AS REF_DATE, COUNT(*) AS NUM_REG, SUM(IF(TRIM(CAST(X."&amp;F29&amp;" AS STRING))='' OR TRIM(CAST(X."&amp;F29&amp;" AS STRING)) IS NULL OR CAST(X."&amp;F29&amp;" AS STRING) NOT "&amp;H29&amp;",1,0)) AS NUM_REG_DIF,'"&amp;MAX('ID1&amp;5'!K:K)+1&amp;"' AS ID_EXEC, CURRENT_TIMESTAMP() AS TIME_EXEC FROM "&amp;I29,"SELECT '"&amp;UPPER(B29)&amp;"' AS TABELA, '"&amp;UPPER(C29)&amp;"' AS TIPOLOGIA_TESTE,'"&amp;D29&amp;"' AS TABELA_LT,'N/A' AS TABELA_SIMUL,'"&amp;F29&amp;"' AS CAMPO, "&amp;"'${ref_date}' AS REF_DATE, COUNT(*) AS NUM_REG, SUM(IF(TRIM(CAST(X."&amp;F29&amp;" AS STRING))='' OR TRIM(CAST(X."&amp;F29&amp;" AS STRING)) IS NULL,1,0)) AS NUM_REG_DIF,'"&amp;MAX('ID1&amp;5'!K:K)+1&amp;"' AS ID_EXEC, CURRENT_TIMESTAMP() AS TIME_EXEC FROM "&amp;I29),
IF(C29="Caracteres Especiais",+"SELECT '"&amp;UPPER(B29)&amp;"' AS TABELA, '"&amp;UPPER(C29)&amp;"' AS TIPOLOGIA_TESTE,'"&amp;D29&amp;"' AS TABELA_LT,'N/A' AS TABELA_SIMUL,'"&amp;F29&amp;"' AS CAMPO, "&amp;"'${ref_date}' AS REF_DATE, COUNT(*) AS NUM_REG, SUM(IF(REGEXP_REPLACE(TRIM(CAST(X."&amp;F29&amp;" AS STRING)),'[^a-zA-Z0-9_\\s]','') &lt;&gt;TRIM(CAST(X."&amp;F29&amp;" AS STRING)),1,0)) AS NUM_REG_DIF,'"&amp;MAX('ID1&amp;5'!K:K)+1&amp;"' AS ID_EXEC, CURRENT_TIMESTAMP() AS TIME_EXEC FROM "&amp;I29,
IF(C29="Missings",+"SELECT '"&amp;UPPER(B29)&amp;"' AS TABELA, '"&amp;UPPER(C29)&amp;"' AS TIPOLOGIA_TESTE,'"&amp;D29&amp;"' AS TABELA_LT,'N/A' AS TABELA_SIMUL,'"&amp;F29&amp;"' AS CAMPO, "&amp;"'${ref_date}' AS REF_DATE, COUNT(*) AS NUM_REG, SUM(IF(TRIM(CAST(X."&amp;F29&amp;" AS STRING)) IN ('0000-00-00','0001-01-01','9999-12-31','MISS','00000','99999999999','99999999999.00','99999999999.000000'),1,0)) AS NUM_REG_DIF,'"&amp;MAX('ID1&amp;5'!K:K)+1&amp;"' AS ID_EXEC, CURRENT_TIMESTAMP() AS TIME_EXEC FROM "&amp;I29,
IF(C29="Not applicable",+"SELECT '"&amp;UPPER(B29)&amp;"' AS TABELA, '"&amp;UPPER(C29)&amp;"' AS TIPOLOGIA_TESTE,'"&amp;D29&amp;"' AS TABELA_LT,'N/A' AS TABELA_SIMUL,'"&amp;F29&amp;"' AS CAMPO, "&amp;"'${ref_date}' AS REF_DATE, COUNT(*) AS NUM_REG, SUM(IF(TRIM(CAST(X."&amp;F29&amp;" AS STRING)) IN ('N/A','11111111111','11111111111.00','11111111111.000000','1111-11-11'),1,0)) AS NUM_REG_DIF,'"&amp;MAX('ID1&amp;5'!K:K)+1&amp;"' AS ID_EXEC, CURRENT_TIMESTAMP() AS TIME_EXEC FROM "&amp;I29,
IF(C29="Valores extremos",+"SELECT '"&amp;UPPER(B29)&amp;"' AS TABELA, '"&amp;UPPER(C29)&amp;"' AS TIPOLOGIA_TESTE,'"&amp;D29&amp;"' AS TABELA_LT,'N/A' AS TABELA_SIMUL,'"&amp;F29&amp;"' AS CAMPO, "&amp;"'${ref_date}' AS REF_DATE, CAST(MIN("&amp;F29&amp;") AS STRING) AS VALOR_MIN, CAST(MAX("&amp;F29&amp;") AS STRING) AS VALOR_MAX,'"&amp;MAX('ID1&amp;5'!K:K)+1&amp;"' AS ID_EXEC, CURRENT_TIMESTAMP() AS TIME_EXEC FROM "&amp;MID(I29,1,LEN(I29)-2)&amp;" AND CAST("&amp;F29&amp;"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TABELA_SIMUL,'DT_INTRNL_RTNG' AS CAMPO, '${ref_date}' AS REF_DATE, COUNT(*) AS NUM_REG, SUM(IF(COALESCE(CAST(X.DT_INTRNL_RTNG AS STRING),'')&lt;&gt;COALESCE(CAST(Y.DT_INTRNL_RTNG_SIMUL AS STRING),'') OR (X.DT_INTRNL_RTNG IS NULL AND Y.DT_INTRNL_RTNG_SIMUL IS NOT NULL ) OR (X.DT_INTRNL_RTNG IS NOT NULL AND Y.DT_INTRNL_RTNG_SIMUL IS NULL),1,0)) AS NUM_REG_DIF,'1' AS ID_EXEC, CURRENT_TIMESTAMP() AS TIME_EXEC FROM (SELECT entty_id, DT_INTRNL_RTNG FROM CD_LOAN_TAPES_BCE.LT003_ENTITY WHERE ref_date='${ref_date}' AND nome_perimetro='Individual Corporativo' AND segmento='ESTR' AND ambito='PM' AND entidade='00100')X INNER JOIN (SELECT entty_id AS entty_id_SIMUL, DT_INTRNL_RTNG AS DT_INTRNL_RTNG_SIMUL FROM BU_LOANTAPE_WORK.LT003_ENTITY WHERE ref_date='${ref_date}' AND nome_perimetro='Individual Corporativo' AND segmento='ESTR' AND ambito='PM' AND entidade='00100')Y ON X.ENTTY_ID=Y.ENTTY_ID_SIMUL</v>
      </c>
      <c r="M29" s="36" t="str">
        <f t="shared" si="0"/>
        <v>UNION ALL SELECT 'ENTITY' AS TABELA, 'COERÊNCIA' AS TIPOLOGIA_TESTE,'CD_LOAN_TAPES_BCE.LT003_ENTITY' AS TABELA_LT,'BU_LOANTAPE_WORK.LT003_ENTITY' AS TABELA_SIMUL,'DT_INTRNL_RTNG' AS CAMPO, '${ref_date}' AS REF_DATE, COUNT(*) AS NUM_REG, SUM(IF(COALESCE(CAST(X.DT_INTRNL_RTNG AS STRING),'')&lt;&gt;COALESCE(CAST(Y.DT_INTRNL_RTNG_SIMUL AS STRING),'') OR (X.DT_INTRNL_RTNG IS NULL AND Y.DT_INTRNL_RTNG_SIMUL IS NOT NULL ) OR (X.DT_INTRNL_RTNG IS NOT NULL AND Y.DT_INTRNL_RTNG_SIMUL IS NULL),1,0)) AS NUM_REG_DIF,'1' AS ID_EXEC, CURRENT_TIMESTAMP() AS TIME_EXEC FROM (SELECT entty_id, DT_INTRNL_RTNG FROM CD_LOAN_TAPES_BCE.LT003_ENTITY WHERE ref_date='${ref_date}' AND nome_perimetro='Individual Corporativo' AND segmento='ESTR' AND ambito='PM' AND entidade='00100')X INNER JOIN (SELECT entty_id AS entty_id_SIMUL, DT_INTRNL_RTNG AS DT_INTRNL_RTNG_SIMUL FROM BU_LOANTAPE_WORK.LT003_ENTITY WHERE ref_date='${ref_date}' AND nome_perimetro='Individual Corporativo' AND segmento='ESTR' AND ambito='PM' AND entidade='00100')Y ON X.ENTTY_ID=Y.ENTTY_ID_SIMUL</v>
      </c>
      <c r="N29" s="38" t="s">
        <v>46</v>
      </c>
    </row>
    <row r="30" spans="2:14">
      <c r="B30" s="34" t="s">
        <v>127</v>
      </c>
      <c r="C30" s="34" t="s">
        <v>5</v>
      </c>
      <c r="D30" s="34" t="str">
        <f>+UPPER('0. Instruções'!$D$35&amp;"."&amp;VLOOKUP(B30,'0. Instruções'!$C$27:$D$32,2,FALSE))</f>
        <v>CD_LOAN_TAPES_BCE.LT003_ENTITY</v>
      </c>
      <c r="E30" s="34" t="str">
        <f>+UPPER('0. Instruções'!$D$36&amp;"."&amp;VLOOKUP(B30,'0. Instruções'!$C$27:$E$32,3,FALSE))</f>
        <v>BU_LOANTAPE_WORK.LT003_ENTITY</v>
      </c>
      <c r="F30" s="34" t="s">
        <v>115</v>
      </c>
      <c r="G30" s="34"/>
      <c r="H30" s="34" t="s">
        <v>89</v>
      </c>
      <c r="I30" s="34" t="str">
        <f>"(SELECT "&amp;VLOOKUP(B30,'0. Instruções'!$C$27:$G$32,4,FALSE)&amp;", "&amp;F30&amp;" FROM "&amp;D30&amp;" WHERE "&amp;'0. Instruções'!$D$42&amp;")X"</f>
        <v>(SELECT entty_id, ECNMC_ACTVTY FROM CD_LOAN_TAPES_BCE.LT003_ENTITY WHERE ref_date='${ref_date}' AND nome_perimetro='Individual Corporativo' AND segmento='ESTR' AND ambito='PM' AND entidade='00100')X</v>
      </c>
      <c r="J30" s="34" t="str">
        <f>"(SELECT "&amp;VLOOKUP(B30,'0. Instruções'!$C$27:$G$32,4,FALSE)&amp;" AS "&amp;VLOOKUP(B30,'0. Instruções'!$C$27:$G$32,4,FALSE)&amp;"_SIMUL, "&amp;F30&amp;" AS "&amp;F30&amp;"_SIMUL FROM "&amp;E30&amp;" WHERE "&amp;'0. Instruções'!$D$43&amp;")Y"</f>
        <v>(SELECT entty_id AS entty_id_SIMUL, ECNMC_ACTVTY AS ECNMC_ACTVTY_SIMUL FROM BU_LOANTAPE_WORK.LT003_ENTITY WHERE ref_date='${ref_date}' AND nome_perimetro='Individual Corporativo' AND segmento='ESTR' AND ambito='PM' AND entidade='00100')Y</v>
      </c>
      <c r="K30" s="35" t="str">
        <f>+UPPER("ON X."&amp;VLOOKUP(B30,'0. Instruções'!$C$27:$G$32,4,FALSE)&amp;"=Y."&amp;VLOOKUP(B30,'0. Instruções'!$C$27:$G$32,4,FALSE)&amp;"_SIMUL")</f>
        <v>ON X.ENTTY_ID=Y.ENTTY_ID_SIMUL</v>
      </c>
      <c r="L30" s="35" t="str">
        <f>+IF(C30="Coerência", +IF(LEFT(G30,5)="FLOAT","SELECT '"&amp;UPPER(B30)&amp;"' AS TABELA, '"&amp;UPPER(C30)&amp;"' AS TIPOLOGIA_TESTE,'"&amp;D30&amp;"' AS TABELA_LT,'"&amp;E30&amp;"' AS TABELA_SIMUL,'"&amp;F30&amp;"' AS CAMPO, "&amp;"'${ref_date}' AS REF_DATE, COUNT(*) AS NUM_REG, SUM(IF((ABS(COALESCE(CAST(X."&amp;F30&amp;" AS DECIMAL(18,6)),0)-COALESCE(CAST(Y."&amp;F30&amp;"_SIMUL AS DECIMAL(18,6)),0))&gt;0.000001) OR (X."&amp;F30&amp;" IS NULL AND Y."&amp;F30&amp;"_SIMUL IS NOT NULL ) OR (X."&amp;F30&amp;" IS NOT NULL AND Y."&amp;F30&amp;"_SIMUL IS NULL),1,0)) AS NUM_REG_DIF,'"&amp;MAX('ID1&amp;5'!K:K)+1&amp;"' AS ID_EXEC, CURRENT_TIMESTAMP() AS TIME_EXEC FROM "&amp;I30&amp;" INNER JOIN "&amp;J30&amp;" "&amp;K30,"SELECT '"&amp;UPPER(B30)&amp;"' AS TABELA, '"&amp;UPPER(C30)&amp;"' AS TIPOLOGIA_TESTE,'"&amp;D30&amp;"' AS TABELA_LT,'"&amp;E30&amp;"' AS TABELA_SIMUL,'"&amp;F30&amp;"' AS CAMPO, "&amp;"'${ref_date}' AS REF_DATE, COUNT(*) AS NUM_REG, SUM(IF(COALESCE(CAST(X."&amp;F30&amp;" AS STRING),'')&lt;&gt;COALESCE(CAST(Y."&amp;F30&amp;"_SIMUL AS STRING),'') OR (X."&amp;F30&amp;" IS NULL AND Y."&amp;F30&amp;"_SIMUL IS NOT NULL ) OR (X."&amp;F30&amp;" IS NOT NULL AND Y."&amp;F30&amp;"_SIMUL IS NULL),1,0)) AS NUM_REG_DIF,'"&amp;MAX('ID1&amp;5'!L:L)+1&amp;"' AS ID_EXEC, CURRENT_TIMESTAMP() AS TIME_EXEC FROM "&amp;I30&amp;" INNER JOIN "&amp;J30&amp;" "&amp;K30),
IF(C30="Validade",+IF(G30="Code List","SELECT '"&amp;UPPER(B30)&amp;"' AS TABELA, '"&amp;UPPER(C30)&amp;"' AS TIPOLOGIA_TESTE,'"&amp;D30&amp;"' AS TABELA_LT,'N/A' AS TABELA_SIMUL,'"&amp;F30&amp;"' AS CAMPO, "&amp;"'${ref_date}' AS REF_DATE, COUNT(*) AS NUM_REG, SUM(IF(TRIM(CAST(X."&amp;F30&amp;" AS STRING))='' OR TRIM(CAST(X."&amp;F30&amp;" AS STRING)) IS NULL OR CAST(X."&amp;F30&amp;" AS STRING) NOT "&amp;H30&amp;",1,0)) AS NUM_REG_DIF,'"&amp;MAX('ID1&amp;5'!K:K)+1&amp;"' AS ID_EXEC, CURRENT_TIMESTAMP() AS TIME_EXEC FROM "&amp;I30,"SELECT '"&amp;UPPER(B30)&amp;"' AS TABELA, '"&amp;UPPER(C30)&amp;"' AS TIPOLOGIA_TESTE,'"&amp;D30&amp;"' AS TABELA_LT,'N/A' AS TABELA_SIMUL,'"&amp;F30&amp;"' AS CAMPO, "&amp;"'${ref_date}' AS REF_DATE, COUNT(*) AS NUM_REG, SUM(IF(TRIM(CAST(X."&amp;F30&amp;" AS STRING))='' OR TRIM(CAST(X."&amp;F30&amp;" AS STRING)) IS NULL,1,0)) AS NUM_REG_DIF,'"&amp;MAX('ID1&amp;5'!K:K)+1&amp;"' AS ID_EXEC, CURRENT_TIMESTAMP() AS TIME_EXEC FROM "&amp;I30),
IF(C30="Caracteres Especiais",+"SELECT '"&amp;UPPER(B30)&amp;"' AS TABELA, '"&amp;UPPER(C30)&amp;"' AS TIPOLOGIA_TESTE,'"&amp;D30&amp;"' AS TABELA_LT,'N/A' AS TABELA_SIMUL,'"&amp;F30&amp;"' AS CAMPO, "&amp;"'${ref_date}' AS REF_DATE, COUNT(*) AS NUM_REG, SUM(IF(REGEXP_REPLACE(TRIM(CAST(X."&amp;F30&amp;" AS STRING)),'[^a-zA-Z0-9_\\s]','') &lt;&gt;TRIM(CAST(X."&amp;F30&amp;" AS STRING)),1,0)) AS NUM_REG_DIF,'"&amp;MAX('ID1&amp;5'!K:K)+1&amp;"' AS ID_EXEC, CURRENT_TIMESTAMP() AS TIME_EXEC FROM "&amp;I30,
IF(C30="Missings",+"SELECT '"&amp;UPPER(B30)&amp;"' AS TABELA, '"&amp;UPPER(C30)&amp;"' AS TIPOLOGIA_TESTE,'"&amp;D30&amp;"' AS TABELA_LT,'N/A' AS TABELA_SIMUL,'"&amp;F30&amp;"' AS CAMPO, "&amp;"'${ref_date}' AS REF_DATE, COUNT(*) AS NUM_REG, SUM(IF(TRIM(CAST(X."&amp;F30&amp;" AS STRING)) IN ('0000-00-00','0001-01-01','9999-12-31','MISS','00000','99999999999','99999999999.00','99999999999.000000'),1,0)) AS NUM_REG_DIF,'"&amp;MAX('ID1&amp;5'!K:K)+1&amp;"' AS ID_EXEC, CURRENT_TIMESTAMP() AS TIME_EXEC FROM "&amp;I30,
IF(C30="Not applicable",+"SELECT '"&amp;UPPER(B30)&amp;"' AS TABELA, '"&amp;UPPER(C30)&amp;"' AS TIPOLOGIA_TESTE,'"&amp;D30&amp;"' AS TABELA_LT,'N/A' AS TABELA_SIMUL,'"&amp;F30&amp;"' AS CAMPO, "&amp;"'${ref_date}' AS REF_DATE, COUNT(*) AS NUM_REG, SUM(IF(TRIM(CAST(X."&amp;F30&amp;" AS STRING)) IN ('N/A','11111111111','11111111111.00','11111111111.000000','1111-11-11'),1,0)) AS NUM_REG_DIF,'"&amp;MAX('ID1&amp;5'!K:K)+1&amp;"' AS ID_EXEC, CURRENT_TIMESTAMP() AS TIME_EXEC FROM "&amp;I30,
IF(C30="Valores extremos",+"SELECT '"&amp;UPPER(B30)&amp;"' AS TABELA, '"&amp;UPPER(C30)&amp;"' AS TIPOLOGIA_TESTE,'"&amp;D30&amp;"' AS TABELA_LT,'N/A' AS TABELA_SIMUL,'"&amp;F30&amp;"' AS CAMPO, "&amp;"'${ref_date}' AS REF_DATE, CAST(MIN("&amp;F30&amp;") AS STRING) AS VALOR_MIN, CAST(MAX("&amp;F30&amp;") AS STRING) AS VALOR_MAX,'"&amp;MAX('ID1&amp;5'!K:K)+1&amp;"' AS ID_EXEC, CURRENT_TIMESTAMP() AS TIME_EXEC FROM "&amp;MID(I30,1,LEN(I30)-2)&amp;" AND CAST("&amp;F30&amp;"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TABELA_SIMUL,'ECNMC_ACTVTY' AS CAMPO, '${ref_date}' AS REF_DATE, COUNT(*) AS NUM_REG, SUM(IF(COALESCE(CAST(X.ECNMC_ACTVTY AS STRING),'')&lt;&gt;COALESCE(CAST(Y.ECNMC_ACTVTY_SIMUL AS STRING),'') OR (X.ECNMC_ACTVTY IS NULL AND Y.ECNMC_ACTVTY_SIMUL IS NOT NULL ) OR (X.ECNMC_ACTVTY IS NOT NULL AND Y.ECNMC_ACTVTY_SIMUL IS NULL),1,0)) AS NUM_REG_DIF,'1' AS ID_EXEC, CURRENT_TIMESTAMP() AS TIME_EXEC FROM (SELECT entty_id, ECNMC_ACTVTY FROM CD_LOAN_TAPES_BCE.LT003_ENTITY WHERE ref_date='${ref_date}' AND nome_perimetro='Individual Corporativo' AND segmento='ESTR' AND ambito='PM' AND entidade='00100')X INNER JOIN (SELECT entty_id AS entty_id_SIMUL, ECNMC_ACTVTY AS ECNMC_ACTVTY_SIMUL FROM BU_LOANTAPE_WORK.LT003_ENTITY WHERE ref_date='${ref_date}' AND nome_perimetro='Individual Corporativo' AND segmento='ESTR' AND ambito='PM' AND entidade='00100')Y ON X.ENTTY_ID=Y.ENTTY_ID_SIMUL</v>
      </c>
      <c r="M30" s="36" t="str">
        <f t="shared" si="0"/>
        <v>UNION ALL SELECT 'ENTITY' AS TABELA, 'COERÊNCIA' AS TIPOLOGIA_TESTE,'CD_LOAN_TAPES_BCE.LT003_ENTITY' AS TABELA_LT,'BU_LOANTAPE_WORK.LT003_ENTITY' AS TABELA_SIMUL,'ECNMC_ACTVTY' AS CAMPO, '${ref_date}' AS REF_DATE, COUNT(*) AS NUM_REG, SUM(IF(COALESCE(CAST(X.ECNMC_ACTVTY AS STRING),'')&lt;&gt;COALESCE(CAST(Y.ECNMC_ACTVTY_SIMUL AS STRING),'') OR (X.ECNMC_ACTVTY IS NULL AND Y.ECNMC_ACTVTY_SIMUL IS NOT NULL ) OR (X.ECNMC_ACTVTY IS NOT NULL AND Y.ECNMC_ACTVTY_SIMUL IS NULL),1,0)) AS NUM_REG_DIF,'1' AS ID_EXEC, CURRENT_TIMESTAMP() AS TIME_EXEC FROM (SELECT entty_id, ECNMC_ACTVTY FROM CD_LOAN_TAPES_BCE.LT003_ENTITY WHERE ref_date='${ref_date}' AND nome_perimetro='Individual Corporativo' AND segmento='ESTR' AND ambito='PM' AND entidade='00100')X INNER JOIN (SELECT entty_id AS entty_id_SIMUL, ECNMC_ACTVTY AS ECNMC_ACTVTY_SIMUL FROM BU_LOANTAPE_WORK.LT003_ENTITY WHERE ref_date='${ref_date}' AND nome_perimetro='Individual Corporativo' AND segmento='ESTR' AND ambito='PM' AND entidade='00100')Y ON X.ENTTY_ID=Y.ENTTY_ID_SIMUL</v>
      </c>
      <c r="N30" s="38" t="s">
        <v>46</v>
      </c>
    </row>
    <row r="31" spans="2:14">
      <c r="B31" s="34" t="s">
        <v>127</v>
      </c>
      <c r="C31" s="34" t="s">
        <v>5</v>
      </c>
      <c r="D31" s="34" t="str">
        <f>+UPPER('0. Instruções'!$D$35&amp;"."&amp;VLOOKUP(B31,'0. Instruções'!$C$27:$D$32,2,FALSE))</f>
        <v>CD_LOAN_TAPES_BCE.LT003_ENTITY</v>
      </c>
      <c r="E31" s="34" t="str">
        <f>+UPPER('0. Instruções'!$D$36&amp;"."&amp;VLOOKUP(B31,'0. Instruções'!$C$27:$E$32,3,FALSE))</f>
        <v>BU_LOANTAPE_WORK.LT003_ENTITY</v>
      </c>
      <c r="F31" s="34" t="s">
        <v>342</v>
      </c>
      <c r="G31" s="34"/>
      <c r="H31" s="34" t="s">
        <v>646</v>
      </c>
      <c r="I31" s="34" t="str">
        <f>"(SELECT "&amp;VLOOKUP(B31,'0. Instruções'!$C$27:$G$32,4,FALSE)&amp;", "&amp;F31&amp;" FROM "&amp;D31&amp;" WHERE "&amp;'0. Instruções'!$D$42&amp;")X"</f>
        <v>(SELECT entty_id, EMPLYMNT_STTS_INTRNL FROM CD_LOAN_TAPES_BCE.LT003_ENTITY WHERE ref_date='${ref_date}' AND nome_perimetro='Individual Corporativo' AND segmento='ESTR' AND ambito='PM' AND entidade='00100')X</v>
      </c>
      <c r="J31" s="34" t="str">
        <f>"(SELECT "&amp;VLOOKUP(B31,'0. Instruções'!$C$27:$G$32,4,FALSE)&amp;" AS "&amp;VLOOKUP(B31,'0. Instruções'!$C$27:$G$32,4,FALSE)&amp;"_SIMUL, "&amp;F31&amp;" AS "&amp;F31&amp;"_SIMUL FROM "&amp;E31&amp;" WHERE "&amp;'0. Instruções'!$D$43&amp;")Y"</f>
        <v>(SELECT entty_id AS entty_id_SIMUL, EMPLYMNT_STTS_INTRNL AS EMPLYMNT_STTS_INTRNL_SIMUL FROM BU_LOANTAPE_WORK.LT003_ENTITY WHERE ref_date='${ref_date}' AND nome_perimetro='Individual Corporativo' AND segmento='ESTR' AND ambito='PM' AND entidade='00100')Y</v>
      </c>
      <c r="K31" s="35" t="str">
        <f>+UPPER("ON X."&amp;VLOOKUP(B31,'0. Instruções'!$C$27:$G$32,4,FALSE)&amp;"=Y."&amp;VLOOKUP(B31,'0. Instruções'!$C$27:$G$32,4,FALSE)&amp;"_SIMUL")</f>
        <v>ON X.ENTTY_ID=Y.ENTTY_ID_SIMUL</v>
      </c>
      <c r="L31" s="35" t="str">
        <f>+IF(C31="Coerência", +IF(LEFT(G31,5)="FLOAT","SELECT '"&amp;UPPER(B31)&amp;"' AS TABELA, '"&amp;UPPER(C31)&amp;"' AS TIPOLOGIA_TESTE,'"&amp;D31&amp;"' AS TABELA_LT,'"&amp;E31&amp;"' AS TABELA_SIMUL,'"&amp;F31&amp;"' AS CAMPO, "&amp;"'${ref_date}' AS REF_DATE, COUNT(*) AS NUM_REG, SUM(IF((ABS(COALESCE(CAST(X."&amp;F31&amp;" AS DECIMAL(18,6)),0)-COALESCE(CAST(Y."&amp;F31&amp;"_SIMUL AS DECIMAL(18,6)),0))&gt;0.000001) OR (X."&amp;F31&amp;" IS NULL AND Y."&amp;F31&amp;"_SIMUL IS NOT NULL ) OR (X."&amp;F31&amp;" IS NOT NULL AND Y."&amp;F31&amp;"_SIMUL IS NULL),1,0)) AS NUM_REG_DIF,'"&amp;MAX('ID1&amp;5'!K:K)+1&amp;"' AS ID_EXEC, CURRENT_TIMESTAMP() AS TIME_EXEC FROM "&amp;I31&amp;" INNER JOIN "&amp;J31&amp;" "&amp;K31,"SELECT '"&amp;UPPER(B31)&amp;"' AS TABELA, '"&amp;UPPER(C31)&amp;"' AS TIPOLOGIA_TESTE,'"&amp;D31&amp;"' AS TABELA_LT,'"&amp;E31&amp;"' AS TABELA_SIMUL,'"&amp;F31&amp;"' AS CAMPO, "&amp;"'${ref_date}' AS REF_DATE, COUNT(*) AS NUM_REG, SUM(IF(COALESCE(CAST(X."&amp;F31&amp;" AS STRING),'')&lt;&gt;COALESCE(CAST(Y."&amp;F31&amp;"_SIMUL AS STRING),'') OR (X."&amp;F31&amp;" IS NULL AND Y."&amp;F31&amp;"_SIMUL IS NOT NULL ) OR (X."&amp;F31&amp;" IS NOT NULL AND Y."&amp;F31&amp;"_SIMUL IS NULL),1,0)) AS NUM_REG_DIF,'"&amp;MAX('ID1&amp;5'!L:L)+1&amp;"' AS ID_EXEC, CURRENT_TIMESTAMP() AS TIME_EXEC FROM "&amp;I31&amp;" INNER JOIN "&amp;J31&amp;" "&amp;K31),
IF(C31="Validade",+IF(G31="Code List","SELECT '"&amp;UPPER(B31)&amp;"' AS TABELA, '"&amp;UPPER(C31)&amp;"' AS TIPOLOGIA_TESTE,'"&amp;D31&amp;"' AS TABELA_LT,'N/A' AS TABELA_SIMUL,'"&amp;F31&amp;"' AS CAMPO, "&amp;"'${ref_date}' AS REF_DATE, COUNT(*) AS NUM_REG, SUM(IF(TRIM(CAST(X."&amp;F31&amp;" AS STRING))='' OR TRIM(CAST(X."&amp;F31&amp;" AS STRING)) IS NULL OR CAST(X."&amp;F31&amp;" AS STRING) NOT "&amp;H31&amp;",1,0)) AS NUM_REG_DIF,'"&amp;MAX('ID1&amp;5'!K:K)+1&amp;"' AS ID_EXEC, CURRENT_TIMESTAMP() AS TIME_EXEC FROM "&amp;I31,"SELECT '"&amp;UPPER(B31)&amp;"' AS TABELA, '"&amp;UPPER(C31)&amp;"' AS TIPOLOGIA_TESTE,'"&amp;D31&amp;"' AS TABELA_LT,'N/A' AS TABELA_SIMUL,'"&amp;F31&amp;"' AS CAMPO, "&amp;"'${ref_date}' AS REF_DATE, COUNT(*) AS NUM_REG, SUM(IF(TRIM(CAST(X."&amp;F31&amp;" AS STRING))='' OR TRIM(CAST(X."&amp;F31&amp;" AS STRING)) IS NULL,1,0)) AS NUM_REG_DIF,'"&amp;MAX('ID1&amp;5'!K:K)+1&amp;"' AS ID_EXEC, CURRENT_TIMESTAMP() AS TIME_EXEC FROM "&amp;I31),
IF(C31="Caracteres Especiais",+"SELECT '"&amp;UPPER(B31)&amp;"' AS TABELA, '"&amp;UPPER(C31)&amp;"' AS TIPOLOGIA_TESTE,'"&amp;D31&amp;"' AS TABELA_LT,'N/A' AS TABELA_SIMUL,'"&amp;F31&amp;"' AS CAMPO, "&amp;"'${ref_date}' AS REF_DATE, COUNT(*) AS NUM_REG, SUM(IF(REGEXP_REPLACE(TRIM(CAST(X."&amp;F31&amp;" AS STRING)),'[^a-zA-Z0-9_\\s]','') &lt;&gt;TRIM(CAST(X."&amp;F31&amp;" AS STRING)),1,0)) AS NUM_REG_DIF,'"&amp;MAX('ID1&amp;5'!K:K)+1&amp;"' AS ID_EXEC, CURRENT_TIMESTAMP() AS TIME_EXEC FROM "&amp;I31,
IF(C31="Missings",+"SELECT '"&amp;UPPER(B31)&amp;"' AS TABELA, '"&amp;UPPER(C31)&amp;"' AS TIPOLOGIA_TESTE,'"&amp;D31&amp;"' AS TABELA_LT,'N/A' AS TABELA_SIMUL,'"&amp;F31&amp;"' AS CAMPO, "&amp;"'${ref_date}' AS REF_DATE, COUNT(*) AS NUM_REG, SUM(IF(TRIM(CAST(X."&amp;F31&amp;" AS STRING)) IN ('0000-00-00','0001-01-01','9999-12-31','MISS','00000','99999999999','99999999999.00','99999999999.000000'),1,0)) AS NUM_REG_DIF,'"&amp;MAX('ID1&amp;5'!K:K)+1&amp;"' AS ID_EXEC, CURRENT_TIMESTAMP() AS TIME_EXEC FROM "&amp;I31,
IF(C31="Not applicable",+"SELECT '"&amp;UPPER(B31)&amp;"' AS TABELA, '"&amp;UPPER(C31)&amp;"' AS TIPOLOGIA_TESTE,'"&amp;D31&amp;"' AS TABELA_LT,'N/A' AS TABELA_SIMUL,'"&amp;F31&amp;"' AS CAMPO, "&amp;"'${ref_date}' AS REF_DATE, COUNT(*) AS NUM_REG, SUM(IF(TRIM(CAST(X."&amp;F31&amp;" AS STRING)) IN ('N/A','11111111111','11111111111.00','11111111111.000000','1111-11-11'),1,0)) AS NUM_REG_DIF,'"&amp;MAX('ID1&amp;5'!K:K)+1&amp;"' AS ID_EXEC, CURRENT_TIMESTAMP() AS TIME_EXEC FROM "&amp;I31,
IF(C31="Valores extremos",+"SELECT '"&amp;UPPER(B31)&amp;"' AS TABELA, '"&amp;UPPER(C31)&amp;"' AS TIPOLOGIA_TESTE,'"&amp;D31&amp;"' AS TABELA_LT,'N/A' AS TABELA_SIMUL,'"&amp;F31&amp;"' AS CAMPO, "&amp;"'${ref_date}' AS REF_DATE, CAST(MIN("&amp;F31&amp;") AS STRING) AS VALOR_MIN, CAST(MAX("&amp;F31&amp;") AS STRING) AS VALOR_MAX,'"&amp;MAX('ID1&amp;5'!K:K)+1&amp;"' AS ID_EXEC, CURRENT_TIMESTAMP() AS TIME_EXEC FROM "&amp;MID(I31,1,LEN(I31)-2)&amp;" AND CAST("&amp;F31&amp;"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TABELA_SIMUL,'EMPLYMNT_STTS_INTRNL' AS CAMPO, '${ref_date}' AS REF_DATE, COUNT(*) AS NUM_REG, SUM(IF(COALESCE(CAST(X.EMPLYMNT_STTS_INTRNL AS STRING),'')&lt;&gt;COALESCE(CAST(Y.EMPLYMNT_STTS_INTRNL_SIMUL AS STRING),'') OR (X.EMPLYMNT_STTS_INTRNL IS NULL AND Y.EMPLYMNT_STTS_INTRNL_SIMUL IS NOT NULL ) OR (X.EMPLYMNT_STTS_INTRNL IS NOT NULL AND Y.EMPLYMNT_STTS_INTRNL_SIMUL IS NULL),1,0)) AS NUM_REG_DIF,'1' AS ID_EXEC, CURRENT_TIMESTAMP() AS TIME_EXEC FROM (SELECT entty_id, EMPLYMNT_STTS_INTRNL FROM CD_LOAN_TAPES_BCE.LT003_ENTITY WHERE ref_date='${ref_date}' AND nome_perimetro='Individual Corporativo' AND segmento='ESTR' AND ambito='PM' AND entidade='00100')X INNER JOIN (SELECT entty_id AS entty_id_SIMUL, EMPLYMNT_STTS_INTRNL AS EMPLYMNT_STTS_INTRNL_SIMUL FROM BU_LOANTAPE_WORK.LT003_ENTITY WHERE ref_date='${ref_date}' AND nome_perimetro='Individual Corporativo' AND segmento='ESTR' AND ambito='PM' AND entidade='00100')Y ON X.ENTTY_ID=Y.ENTTY_ID_SIMUL</v>
      </c>
      <c r="M31" s="36" t="str">
        <f t="shared" si="0"/>
        <v>UNION ALL SELECT 'ENTITY' AS TABELA, 'COERÊNCIA' AS TIPOLOGIA_TESTE,'CD_LOAN_TAPES_BCE.LT003_ENTITY' AS TABELA_LT,'BU_LOANTAPE_WORK.LT003_ENTITY' AS TABELA_SIMUL,'EMPLYMNT_STTS_INTRNL' AS CAMPO, '${ref_date}' AS REF_DATE, COUNT(*) AS NUM_REG, SUM(IF(COALESCE(CAST(X.EMPLYMNT_STTS_INTRNL AS STRING),'')&lt;&gt;COALESCE(CAST(Y.EMPLYMNT_STTS_INTRNL_SIMUL AS STRING),'') OR (X.EMPLYMNT_STTS_INTRNL IS NULL AND Y.EMPLYMNT_STTS_INTRNL_SIMUL IS NOT NULL ) OR (X.EMPLYMNT_STTS_INTRNL IS NOT NULL AND Y.EMPLYMNT_STTS_INTRNL_SIMUL IS NULL),1,0)) AS NUM_REG_DIF,'1' AS ID_EXEC, CURRENT_TIMESTAMP() AS TIME_EXEC FROM (SELECT entty_id, EMPLYMNT_STTS_INTRNL FROM CD_LOAN_TAPES_BCE.LT003_ENTITY WHERE ref_date='${ref_date}' AND nome_perimetro='Individual Corporativo' AND segmento='ESTR' AND ambito='PM' AND entidade='00100')X INNER JOIN (SELECT entty_id AS entty_id_SIMUL, EMPLYMNT_STTS_INTRNL AS EMPLYMNT_STTS_INTRNL_SIMUL FROM BU_LOANTAPE_WORK.LT003_ENTITY WHERE ref_date='${ref_date}' AND nome_perimetro='Individual Corporativo' AND segmento='ESTR' AND ambito='PM' AND entidade='00100')Y ON X.ENTTY_ID=Y.ENTTY_ID_SIMUL</v>
      </c>
      <c r="N31" s="38" t="s">
        <v>46</v>
      </c>
    </row>
    <row r="32" spans="2:14">
      <c r="B32" s="34" t="s">
        <v>127</v>
      </c>
      <c r="C32" s="34" t="s">
        <v>5</v>
      </c>
      <c r="D32" s="34" t="str">
        <f>+UPPER('0. Instruções'!$D$35&amp;"."&amp;VLOOKUP(B32,'0. Instruções'!$C$27:$D$32,2,FALSE))</f>
        <v>CD_LOAN_TAPES_BCE.LT003_ENTITY</v>
      </c>
      <c r="E32" s="34" t="str">
        <f>+UPPER('0. Instruções'!$D$36&amp;"."&amp;VLOOKUP(B32,'0. Instruções'!$C$27:$E$32,3,FALSE))</f>
        <v>BU_LOANTAPE_WORK.LT003_ENTITY</v>
      </c>
      <c r="F32" s="34" t="s">
        <v>343</v>
      </c>
      <c r="G32" s="34"/>
      <c r="H32" s="34" t="s">
        <v>89</v>
      </c>
      <c r="I32" s="34" t="str">
        <f>"(SELECT "&amp;VLOOKUP(B32,'0. Instruções'!$C$27:$G$32,4,FALSE)&amp;", "&amp;F32&amp;" FROM "&amp;D32&amp;" WHERE "&amp;'0. Instruções'!$D$42&amp;")X"</f>
        <v>(SELECT entty_id, EMPLYMNT_STTS FROM CD_LOAN_TAPES_BCE.LT003_ENTITY WHERE ref_date='${ref_date}' AND nome_perimetro='Individual Corporativo' AND segmento='ESTR' AND ambito='PM' AND entidade='00100')X</v>
      </c>
      <c r="J32" s="34" t="str">
        <f>"(SELECT "&amp;VLOOKUP(B32,'0. Instruções'!$C$27:$G$32,4,FALSE)&amp;" AS "&amp;VLOOKUP(B32,'0. Instruções'!$C$27:$G$32,4,FALSE)&amp;"_SIMUL, "&amp;F32&amp;" AS "&amp;F32&amp;"_SIMUL FROM "&amp;E32&amp;" WHERE "&amp;'0. Instruções'!$D$43&amp;")Y"</f>
        <v>(SELECT entty_id AS entty_id_SIMUL, EMPLYMNT_STTS AS EMPLYMNT_STTS_SIMUL FROM BU_LOANTAPE_WORK.LT003_ENTITY WHERE ref_date='${ref_date}' AND nome_perimetro='Individual Corporativo' AND segmento='ESTR' AND ambito='PM' AND entidade='00100')Y</v>
      </c>
      <c r="K32" s="35" t="str">
        <f>+UPPER("ON X."&amp;VLOOKUP(B32,'0. Instruções'!$C$27:$G$32,4,FALSE)&amp;"=Y."&amp;VLOOKUP(B32,'0. Instruções'!$C$27:$G$32,4,FALSE)&amp;"_SIMUL")</f>
        <v>ON X.ENTTY_ID=Y.ENTTY_ID_SIMUL</v>
      </c>
      <c r="L32" s="35" t="str">
        <f>+IF(C32="Coerência", +IF(LEFT(G32,5)="FLOAT","SELECT '"&amp;UPPER(B32)&amp;"' AS TABELA, '"&amp;UPPER(C32)&amp;"' AS TIPOLOGIA_TESTE,'"&amp;D32&amp;"' AS TABELA_LT,'"&amp;E32&amp;"' AS TABELA_SIMUL,'"&amp;F32&amp;"' AS CAMPO, "&amp;"'${ref_date}' AS REF_DATE, COUNT(*) AS NUM_REG, SUM(IF((ABS(COALESCE(CAST(X."&amp;F32&amp;" AS DECIMAL(18,6)),0)-COALESCE(CAST(Y."&amp;F32&amp;"_SIMUL AS DECIMAL(18,6)),0))&gt;0.000001) OR (X."&amp;F32&amp;" IS NULL AND Y."&amp;F32&amp;"_SIMUL IS NOT NULL ) OR (X."&amp;F32&amp;" IS NOT NULL AND Y."&amp;F32&amp;"_SIMUL IS NULL),1,0)) AS NUM_REG_DIF,'"&amp;MAX('ID1&amp;5'!K:K)+1&amp;"' AS ID_EXEC, CURRENT_TIMESTAMP() AS TIME_EXEC FROM "&amp;I32&amp;" INNER JOIN "&amp;J32&amp;" "&amp;K32,"SELECT '"&amp;UPPER(B32)&amp;"' AS TABELA, '"&amp;UPPER(C32)&amp;"' AS TIPOLOGIA_TESTE,'"&amp;D32&amp;"' AS TABELA_LT,'"&amp;E32&amp;"' AS TABELA_SIMUL,'"&amp;F32&amp;"' AS CAMPO, "&amp;"'${ref_date}' AS REF_DATE, COUNT(*) AS NUM_REG, SUM(IF(COALESCE(CAST(X."&amp;F32&amp;" AS STRING),'')&lt;&gt;COALESCE(CAST(Y."&amp;F32&amp;"_SIMUL AS STRING),'') OR (X."&amp;F32&amp;" IS NULL AND Y."&amp;F32&amp;"_SIMUL IS NOT NULL ) OR (X."&amp;F32&amp;" IS NOT NULL AND Y."&amp;F32&amp;"_SIMUL IS NULL),1,0)) AS NUM_REG_DIF,'"&amp;MAX('ID1&amp;5'!L:L)+1&amp;"' AS ID_EXEC, CURRENT_TIMESTAMP() AS TIME_EXEC FROM "&amp;I32&amp;" INNER JOIN "&amp;J32&amp;" "&amp;K32),
IF(C32="Validade",+IF(G32="Code List","SELECT '"&amp;UPPER(B32)&amp;"' AS TABELA, '"&amp;UPPER(C32)&amp;"' AS TIPOLOGIA_TESTE,'"&amp;D32&amp;"' AS TABELA_LT,'N/A' AS TABELA_SIMUL,'"&amp;F32&amp;"' AS CAMPO, "&amp;"'${ref_date}' AS REF_DATE, COUNT(*) AS NUM_REG, SUM(IF(TRIM(CAST(X."&amp;F32&amp;" AS STRING))='' OR TRIM(CAST(X."&amp;F32&amp;" AS STRING)) IS NULL OR CAST(X."&amp;F32&amp;" AS STRING) NOT "&amp;H32&amp;",1,0)) AS NUM_REG_DIF,'"&amp;MAX('ID1&amp;5'!K:K)+1&amp;"' AS ID_EXEC, CURRENT_TIMESTAMP() AS TIME_EXEC FROM "&amp;I32,"SELECT '"&amp;UPPER(B32)&amp;"' AS TABELA, '"&amp;UPPER(C32)&amp;"' AS TIPOLOGIA_TESTE,'"&amp;D32&amp;"' AS TABELA_LT,'N/A' AS TABELA_SIMUL,'"&amp;F32&amp;"' AS CAMPO, "&amp;"'${ref_date}' AS REF_DATE, COUNT(*) AS NUM_REG, SUM(IF(TRIM(CAST(X."&amp;F32&amp;" AS STRING))='' OR TRIM(CAST(X."&amp;F32&amp;" AS STRING)) IS NULL,1,0)) AS NUM_REG_DIF,'"&amp;MAX('ID1&amp;5'!K:K)+1&amp;"' AS ID_EXEC, CURRENT_TIMESTAMP() AS TIME_EXEC FROM "&amp;I32),
IF(C32="Caracteres Especiais",+"SELECT '"&amp;UPPER(B32)&amp;"' AS TABELA, '"&amp;UPPER(C32)&amp;"' AS TIPOLOGIA_TESTE,'"&amp;D32&amp;"' AS TABELA_LT,'N/A' AS TABELA_SIMUL,'"&amp;F32&amp;"' AS CAMPO, "&amp;"'${ref_date}' AS REF_DATE, COUNT(*) AS NUM_REG, SUM(IF(REGEXP_REPLACE(TRIM(CAST(X."&amp;F32&amp;" AS STRING)),'[^a-zA-Z0-9_\\s]','') &lt;&gt;TRIM(CAST(X."&amp;F32&amp;" AS STRING)),1,0)) AS NUM_REG_DIF,'"&amp;MAX('ID1&amp;5'!K:K)+1&amp;"' AS ID_EXEC, CURRENT_TIMESTAMP() AS TIME_EXEC FROM "&amp;I32,
IF(C32="Missings",+"SELECT '"&amp;UPPER(B32)&amp;"' AS TABELA, '"&amp;UPPER(C32)&amp;"' AS TIPOLOGIA_TESTE,'"&amp;D32&amp;"' AS TABELA_LT,'N/A' AS TABELA_SIMUL,'"&amp;F32&amp;"' AS CAMPO, "&amp;"'${ref_date}' AS REF_DATE, COUNT(*) AS NUM_REG, SUM(IF(TRIM(CAST(X."&amp;F32&amp;" AS STRING)) IN ('0000-00-00','0001-01-01','9999-12-31','MISS','00000','99999999999','99999999999.00','99999999999.000000'),1,0)) AS NUM_REG_DIF,'"&amp;MAX('ID1&amp;5'!K:K)+1&amp;"' AS ID_EXEC, CURRENT_TIMESTAMP() AS TIME_EXEC FROM "&amp;I32,
IF(C32="Not applicable",+"SELECT '"&amp;UPPER(B32)&amp;"' AS TABELA, '"&amp;UPPER(C32)&amp;"' AS TIPOLOGIA_TESTE,'"&amp;D32&amp;"' AS TABELA_LT,'N/A' AS TABELA_SIMUL,'"&amp;F32&amp;"' AS CAMPO, "&amp;"'${ref_date}' AS REF_DATE, COUNT(*) AS NUM_REG, SUM(IF(TRIM(CAST(X."&amp;F32&amp;" AS STRING)) IN ('N/A','11111111111','11111111111.00','11111111111.000000','1111-11-11'),1,0)) AS NUM_REG_DIF,'"&amp;MAX('ID1&amp;5'!K:K)+1&amp;"' AS ID_EXEC, CURRENT_TIMESTAMP() AS TIME_EXEC FROM "&amp;I32,
IF(C32="Valores extremos",+"SELECT '"&amp;UPPER(B32)&amp;"' AS TABELA, '"&amp;UPPER(C32)&amp;"' AS TIPOLOGIA_TESTE,'"&amp;D32&amp;"' AS TABELA_LT,'N/A' AS TABELA_SIMUL,'"&amp;F32&amp;"' AS CAMPO, "&amp;"'${ref_date}' AS REF_DATE, CAST(MIN("&amp;F32&amp;") AS STRING) AS VALOR_MIN, CAST(MAX("&amp;F32&amp;") AS STRING) AS VALOR_MAX,'"&amp;MAX('ID1&amp;5'!K:K)+1&amp;"' AS ID_EXEC, CURRENT_TIMESTAMP() AS TIME_EXEC FROM "&amp;MID(I32,1,LEN(I32)-2)&amp;" AND CAST("&amp;F32&amp;"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TABELA_SIMUL,'EMPLYMNT_STTS' AS CAMPO, '${ref_date}' AS REF_DATE, COUNT(*) AS NUM_REG, SUM(IF(COALESCE(CAST(X.EMPLYMNT_STTS AS STRING),'')&lt;&gt;COALESCE(CAST(Y.EMPLYMNT_STTS_SIMUL AS STRING),'') OR (X.EMPLYMNT_STTS IS NULL AND Y.EMPLYMNT_STTS_SIMUL IS NOT NULL ) OR (X.EMPLYMNT_STTS IS NOT NULL AND Y.EMPLYMNT_STTS_SIMUL IS NULL),1,0)) AS NUM_REG_DIF,'1' AS ID_EXEC, CURRENT_TIMESTAMP() AS TIME_EXEC FROM (SELECT entty_id, EMPLYMNT_STTS FROM CD_LOAN_TAPES_BCE.LT003_ENTITY WHERE ref_date='${ref_date}' AND nome_perimetro='Individual Corporativo' AND segmento='ESTR' AND ambito='PM' AND entidade='00100')X INNER JOIN (SELECT entty_id AS entty_id_SIMUL, EMPLYMNT_STTS AS EMPLYMNT_STTS_SIMUL FROM BU_LOANTAPE_WORK.LT003_ENTITY WHERE ref_date='${ref_date}' AND nome_perimetro='Individual Corporativo' AND segmento='ESTR' AND ambito='PM' AND entidade='00100')Y ON X.ENTTY_ID=Y.ENTTY_ID_SIMUL</v>
      </c>
      <c r="M32" s="36" t="str">
        <f t="shared" si="0"/>
        <v>UNION ALL SELECT 'ENTITY' AS TABELA, 'COERÊNCIA' AS TIPOLOGIA_TESTE,'CD_LOAN_TAPES_BCE.LT003_ENTITY' AS TABELA_LT,'BU_LOANTAPE_WORK.LT003_ENTITY' AS TABELA_SIMUL,'EMPLYMNT_STTS' AS CAMPO, '${ref_date}' AS REF_DATE, COUNT(*) AS NUM_REG, SUM(IF(COALESCE(CAST(X.EMPLYMNT_STTS AS STRING),'')&lt;&gt;COALESCE(CAST(Y.EMPLYMNT_STTS_SIMUL AS STRING),'') OR (X.EMPLYMNT_STTS IS NULL AND Y.EMPLYMNT_STTS_SIMUL IS NOT NULL ) OR (X.EMPLYMNT_STTS IS NOT NULL AND Y.EMPLYMNT_STTS_SIMUL IS NULL),1,0)) AS NUM_REG_DIF,'1' AS ID_EXEC, CURRENT_TIMESTAMP() AS TIME_EXEC FROM (SELECT entty_id, EMPLYMNT_STTS FROM CD_LOAN_TAPES_BCE.LT003_ENTITY WHERE ref_date='${ref_date}' AND nome_perimetro='Individual Corporativo' AND segmento='ESTR' AND ambito='PM' AND entidade='00100')X INNER JOIN (SELECT entty_id AS entty_id_SIMUL, EMPLYMNT_STTS AS EMPLYMNT_STTS_SIMUL FROM BU_LOANTAPE_WORK.LT003_ENTITY WHERE ref_date='${ref_date}' AND nome_perimetro='Individual Corporativo' AND segmento='ESTR' AND ambito='PM' AND entidade='00100')Y ON X.ENTTY_ID=Y.ENTTY_ID_SIMUL</v>
      </c>
      <c r="N32" s="38" t="s">
        <v>46</v>
      </c>
    </row>
    <row r="33" spans="2:14">
      <c r="B33" s="34" t="s">
        <v>127</v>
      </c>
      <c r="C33" s="34" t="s">
        <v>5</v>
      </c>
      <c r="D33" s="34" t="str">
        <f>+UPPER('0. Instruções'!$D$35&amp;"."&amp;VLOOKUP(B33,'0. Instruções'!$C$27:$D$32,2,FALSE))</f>
        <v>CD_LOAN_TAPES_BCE.LT003_ENTITY</v>
      </c>
      <c r="E33" s="34" t="str">
        <f>+UPPER('0. Instruções'!$D$36&amp;"."&amp;VLOOKUP(B33,'0. Instruções'!$C$27:$E$32,3,FALSE))</f>
        <v>BU_LOANTAPE_WORK.LT003_ENTITY</v>
      </c>
      <c r="F33" s="34" t="s">
        <v>344</v>
      </c>
      <c r="G33" s="34"/>
      <c r="H33" s="34" t="s">
        <v>89</v>
      </c>
      <c r="I33" s="34" t="str">
        <f>"(SELECT "&amp;VLOOKUP(B33,'0. Instruções'!$C$27:$G$32,4,FALSE)&amp;", "&amp;F33&amp;" FROM "&amp;D33&amp;" WHERE "&amp;'0. Instruções'!$D$42&amp;")X"</f>
        <v>(SELECT entty_id, ENTRPRS_SZ_LE FROM CD_LOAN_TAPES_BCE.LT003_ENTITY WHERE ref_date='${ref_date}' AND nome_perimetro='Individual Corporativo' AND segmento='ESTR' AND ambito='PM' AND entidade='00100')X</v>
      </c>
      <c r="J33" s="34" t="str">
        <f>"(SELECT "&amp;VLOOKUP(B33,'0. Instruções'!$C$27:$G$32,4,FALSE)&amp;" AS "&amp;VLOOKUP(B33,'0. Instruções'!$C$27:$G$32,4,FALSE)&amp;"_SIMUL, "&amp;F33&amp;" AS "&amp;F33&amp;"_SIMUL FROM "&amp;E33&amp;" WHERE "&amp;'0. Instruções'!$D$43&amp;")Y"</f>
        <v>(SELECT entty_id AS entty_id_SIMUL, ENTRPRS_SZ_LE AS ENTRPRS_SZ_LE_SIMUL FROM BU_LOANTAPE_WORK.LT003_ENTITY WHERE ref_date='${ref_date}' AND nome_perimetro='Individual Corporativo' AND segmento='ESTR' AND ambito='PM' AND entidade='00100')Y</v>
      </c>
      <c r="K33" s="35" t="str">
        <f>+UPPER("ON X."&amp;VLOOKUP(B33,'0. Instruções'!$C$27:$G$32,4,FALSE)&amp;"=Y."&amp;VLOOKUP(B33,'0. Instruções'!$C$27:$G$32,4,FALSE)&amp;"_SIMUL")</f>
        <v>ON X.ENTTY_ID=Y.ENTTY_ID_SIMUL</v>
      </c>
      <c r="L33" s="35" t="str">
        <f>+IF(C33="Coerência", +IF(LEFT(G33,5)="FLOAT","SELECT '"&amp;UPPER(B33)&amp;"' AS TABELA, '"&amp;UPPER(C33)&amp;"' AS TIPOLOGIA_TESTE,'"&amp;D33&amp;"' AS TABELA_LT,'"&amp;E33&amp;"' AS TABELA_SIMUL,'"&amp;F33&amp;"' AS CAMPO, "&amp;"'${ref_date}' AS REF_DATE, COUNT(*) AS NUM_REG, SUM(IF((ABS(COALESCE(CAST(X."&amp;F33&amp;" AS DECIMAL(18,6)),0)-COALESCE(CAST(Y."&amp;F33&amp;"_SIMUL AS DECIMAL(18,6)),0))&gt;0.000001) OR (X."&amp;F33&amp;" IS NULL AND Y."&amp;F33&amp;"_SIMUL IS NOT NULL ) OR (X."&amp;F33&amp;" IS NOT NULL AND Y."&amp;F33&amp;"_SIMUL IS NULL),1,0)) AS NUM_REG_DIF,'"&amp;MAX('ID1&amp;5'!K:K)+1&amp;"' AS ID_EXEC, CURRENT_TIMESTAMP() AS TIME_EXEC FROM "&amp;I33&amp;" INNER JOIN "&amp;J33&amp;" "&amp;K33,"SELECT '"&amp;UPPER(B33)&amp;"' AS TABELA, '"&amp;UPPER(C33)&amp;"' AS TIPOLOGIA_TESTE,'"&amp;D33&amp;"' AS TABELA_LT,'"&amp;E33&amp;"' AS TABELA_SIMUL,'"&amp;F33&amp;"' AS CAMPO, "&amp;"'${ref_date}' AS REF_DATE, COUNT(*) AS NUM_REG, SUM(IF(COALESCE(CAST(X."&amp;F33&amp;" AS STRING),'')&lt;&gt;COALESCE(CAST(Y."&amp;F33&amp;"_SIMUL AS STRING),'') OR (X."&amp;F33&amp;" IS NULL AND Y."&amp;F33&amp;"_SIMUL IS NOT NULL ) OR (X."&amp;F33&amp;" IS NOT NULL AND Y."&amp;F33&amp;"_SIMUL IS NULL),1,0)) AS NUM_REG_DIF,'"&amp;MAX('ID1&amp;5'!L:L)+1&amp;"' AS ID_EXEC, CURRENT_TIMESTAMP() AS TIME_EXEC FROM "&amp;I33&amp;" INNER JOIN "&amp;J33&amp;" "&amp;K33),
IF(C33="Validade",+IF(G33="Code List","SELECT '"&amp;UPPER(B33)&amp;"' AS TABELA, '"&amp;UPPER(C33)&amp;"' AS TIPOLOGIA_TESTE,'"&amp;D33&amp;"' AS TABELA_LT,'N/A' AS TABELA_SIMUL,'"&amp;F33&amp;"' AS CAMPO, "&amp;"'${ref_date}' AS REF_DATE, COUNT(*) AS NUM_REG, SUM(IF(TRIM(CAST(X."&amp;F33&amp;" AS STRING))='' OR TRIM(CAST(X."&amp;F33&amp;" AS STRING)) IS NULL OR CAST(X."&amp;F33&amp;" AS STRING) NOT "&amp;H33&amp;",1,0)) AS NUM_REG_DIF,'"&amp;MAX('ID1&amp;5'!K:K)+1&amp;"' AS ID_EXEC, CURRENT_TIMESTAMP() AS TIME_EXEC FROM "&amp;I33,"SELECT '"&amp;UPPER(B33)&amp;"' AS TABELA, '"&amp;UPPER(C33)&amp;"' AS TIPOLOGIA_TESTE,'"&amp;D33&amp;"' AS TABELA_LT,'N/A' AS TABELA_SIMUL,'"&amp;F33&amp;"' AS CAMPO, "&amp;"'${ref_date}' AS REF_DATE, COUNT(*) AS NUM_REG, SUM(IF(TRIM(CAST(X."&amp;F33&amp;" AS STRING))='' OR TRIM(CAST(X."&amp;F33&amp;" AS STRING)) IS NULL,1,0)) AS NUM_REG_DIF,'"&amp;MAX('ID1&amp;5'!K:K)+1&amp;"' AS ID_EXEC, CURRENT_TIMESTAMP() AS TIME_EXEC FROM "&amp;I33),
IF(C33="Caracteres Especiais",+"SELECT '"&amp;UPPER(B33)&amp;"' AS TABELA, '"&amp;UPPER(C33)&amp;"' AS TIPOLOGIA_TESTE,'"&amp;D33&amp;"' AS TABELA_LT,'N/A' AS TABELA_SIMUL,'"&amp;F33&amp;"' AS CAMPO, "&amp;"'${ref_date}' AS REF_DATE, COUNT(*) AS NUM_REG, SUM(IF(REGEXP_REPLACE(TRIM(CAST(X."&amp;F33&amp;" AS STRING)),'[^a-zA-Z0-9_\\s]','') &lt;&gt;TRIM(CAST(X."&amp;F33&amp;" AS STRING)),1,0)) AS NUM_REG_DIF,'"&amp;MAX('ID1&amp;5'!K:K)+1&amp;"' AS ID_EXEC, CURRENT_TIMESTAMP() AS TIME_EXEC FROM "&amp;I33,
IF(C33="Missings",+"SELECT '"&amp;UPPER(B33)&amp;"' AS TABELA, '"&amp;UPPER(C33)&amp;"' AS TIPOLOGIA_TESTE,'"&amp;D33&amp;"' AS TABELA_LT,'N/A' AS TABELA_SIMUL,'"&amp;F33&amp;"' AS CAMPO, "&amp;"'${ref_date}' AS REF_DATE, COUNT(*) AS NUM_REG, SUM(IF(TRIM(CAST(X."&amp;F33&amp;" AS STRING)) IN ('0000-00-00','0001-01-01','9999-12-31','MISS','00000','99999999999','99999999999.00','99999999999.000000'),1,0)) AS NUM_REG_DIF,'"&amp;MAX('ID1&amp;5'!K:K)+1&amp;"' AS ID_EXEC, CURRENT_TIMESTAMP() AS TIME_EXEC FROM "&amp;I33,
IF(C33="Not applicable",+"SELECT '"&amp;UPPER(B33)&amp;"' AS TABELA, '"&amp;UPPER(C33)&amp;"' AS TIPOLOGIA_TESTE,'"&amp;D33&amp;"' AS TABELA_LT,'N/A' AS TABELA_SIMUL,'"&amp;F33&amp;"' AS CAMPO, "&amp;"'${ref_date}' AS REF_DATE, COUNT(*) AS NUM_REG, SUM(IF(TRIM(CAST(X."&amp;F33&amp;" AS STRING)) IN ('N/A','11111111111','11111111111.00','11111111111.000000','1111-11-11'),1,0)) AS NUM_REG_DIF,'"&amp;MAX('ID1&amp;5'!K:K)+1&amp;"' AS ID_EXEC, CURRENT_TIMESTAMP() AS TIME_EXEC FROM "&amp;I33,
IF(C33="Valores extremos",+"SELECT '"&amp;UPPER(B33)&amp;"' AS TABELA, '"&amp;UPPER(C33)&amp;"' AS TIPOLOGIA_TESTE,'"&amp;D33&amp;"' AS TABELA_LT,'N/A' AS TABELA_SIMUL,'"&amp;F33&amp;"' AS CAMPO, "&amp;"'${ref_date}' AS REF_DATE, CAST(MIN("&amp;F33&amp;") AS STRING) AS VALOR_MIN, CAST(MAX("&amp;F33&amp;") AS STRING) AS VALOR_MAX,'"&amp;MAX('ID1&amp;5'!K:K)+1&amp;"' AS ID_EXEC, CURRENT_TIMESTAMP() AS TIME_EXEC FROM "&amp;MID(I33,1,LEN(I33)-2)&amp;" AND CAST("&amp;F33&amp;"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TABELA_SIMUL,'ENTRPRS_SZ_LE' AS CAMPO, '${ref_date}' AS REF_DATE, COUNT(*) AS NUM_REG, SUM(IF(COALESCE(CAST(X.ENTRPRS_SZ_LE AS STRING),'')&lt;&gt;COALESCE(CAST(Y.ENTRPRS_SZ_LE_SIMUL AS STRING),'') OR (X.ENTRPRS_SZ_LE IS NULL AND Y.ENTRPRS_SZ_LE_SIMUL IS NOT NULL ) OR (X.ENTRPRS_SZ_LE IS NOT NULL AND Y.ENTRPRS_SZ_LE_SIMUL IS NULL),1,0)) AS NUM_REG_DIF,'1' AS ID_EXEC, CURRENT_TIMESTAMP() AS TIME_EXEC FROM (SELECT entty_id, ENTRPRS_SZ_LE FROM CD_LOAN_TAPES_BCE.LT003_ENTITY WHERE ref_date='${ref_date}' AND nome_perimetro='Individual Corporativo' AND segmento='ESTR' AND ambito='PM' AND entidade='00100')X INNER JOIN (SELECT entty_id AS entty_id_SIMUL, ENTRPRS_SZ_LE AS ENTRPRS_SZ_LE_SIMUL FROM BU_LOANTAPE_WORK.LT003_ENTITY WHERE ref_date='${ref_date}' AND nome_perimetro='Individual Corporativo' AND segmento='ESTR' AND ambito='PM' AND entidade='00100')Y ON X.ENTTY_ID=Y.ENTTY_ID_SIMUL</v>
      </c>
      <c r="M33" s="36" t="str">
        <f t="shared" si="0"/>
        <v>UNION ALL SELECT 'ENTITY' AS TABELA, 'COERÊNCIA' AS TIPOLOGIA_TESTE,'CD_LOAN_TAPES_BCE.LT003_ENTITY' AS TABELA_LT,'BU_LOANTAPE_WORK.LT003_ENTITY' AS TABELA_SIMUL,'ENTRPRS_SZ_LE' AS CAMPO, '${ref_date}' AS REF_DATE, COUNT(*) AS NUM_REG, SUM(IF(COALESCE(CAST(X.ENTRPRS_SZ_LE AS STRING),'')&lt;&gt;COALESCE(CAST(Y.ENTRPRS_SZ_LE_SIMUL AS STRING),'') OR (X.ENTRPRS_SZ_LE IS NULL AND Y.ENTRPRS_SZ_LE_SIMUL IS NOT NULL ) OR (X.ENTRPRS_SZ_LE IS NOT NULL AND Y.ENTRPRS_SZ_LE_SIMUL IS NULL),1,0)) AS NUM_REG_DIF,'1' AS ID_EXEC, CURRENT_TIMESTAMP() AS TIME_EXEC FROM (SELECT entty_id, ENTRPRS_SZ_LE FROM CD_LOAN_TAPES_BCE.LT003_ENTITY WHERE ref_date='${ref_date}' AND nome_perimetro='Individual Corporativo' AND segmento='ESTR' AND ambito='PM' AND entidade='00100')X INNER JOIN (SELECT entty_id AS entty_id_SIMUL, ENTRPRS_SZ_LE AS ENTRPRS_SZ_LE_SIMUL FROM BU_LOANTAPE_WORK.LT003_ENTITY WHERE ref_date='${ref_date}' AND nome_perimetro='Individual Corporativo' AND segmento='ESTR' AND ambito='PM' AND entidade='00100')Y ON X.ENTTY_ID=Y.ENTTY_ID_SIMUL</v>
      </c>
      <c r="N33" s="38" t="s">
        <v>46</v>
      </c>
    </row>
    <row r="34" spans="2:14">
      <c r="B34" s="34" t="s">
        <v>127</v>
      </c>
      <c r="C34" s="34" t="s">
        <v>5</v>
      </c>
      <c r="D34" s="34" t="str">
        <f>+UPPER('0. Instruções'!$D$35&amp;"."&amp;VLOOKUP(B34,'0. Instruções'!$C$27:$D$32,2,FALSE))</f>
        <v>CD_LOAN_TAPES_BCE.LT003_ENTITY</v>
      </c>
      <c r="E34" s="34" t="str">
        <f>+UPPER('0. Instruções'!$D$36&amp;"."&amp;VLOOKUP(B34,'0. Instruções'!$C$27:$E$32,3,FALSE))</f>
        <v>BU_LOANTAPE_WORK.LT003_ENTITY</v>
      </c>
      <c r="F34" s="34" t="s">
        <v>345</v>
      </c>
      <c r="G34" s="34"/>
      <c r="H34" s="34" t="s">
        <v>89</v>
      </c>
      <c r="I34" s="34" t="str">
        <f>"(SELECT "&amp;VLOOKUP(B34,'0. Instruções'!$C$27:$G$32,4,FALSE)&amp;", "&amp;F34&amp;" FROM "&amp;D34&amp;" WHERE "&amp;'0. Instruções'!$D$42&amp;")X"</f>
        <v>(SELECT entty_id, EXTRNL_RTNG FROM CD_LOAN_TAPES_BCE.LT003_ENTITY WHERE ref_date='${ref_date}' AND nome_perimetro='Individual Corporativo' AND segmento='ESTR' AND ambito='PM' AND entidade='00100')X</v>
      </c>
      <c r="J34" s="34" t="str">
        <f>"(SELECT "&amp;VLOOKUP(B34,'0. Instruções'!$C$27:$G$32,4,FALSE)&amp;" AS "&amp;VLOOKUP(B34,'0. Instruções'!$C$27:$G$32,4,FALSE)&amp;"_SIMUL, "&amp;F34&amp;" AS "&amp;F34&amp;"_SIMUL FROM "&amp;E34&amp;" WHERE "&amp;'0. Instruções'!$D$43&amp;")Y"</f>
        <v>(SELECT entty_id AS entty_id_SIMUL, EXTRNL_RTNG AS EXTRNL_RTNG_SIMUL FROM BU_LOANTAPE_WORK.LT003_ENTITY WHERE ref_date='${ref_date}' AND nome_perimetro='Individual Corporativo' AND segmento='ESTR' AND ambito='PM' AND entidade='00100')Y</v>
      </c>
      <c r="K34" s="35" t="str">
        <f>+UPPER("ON X."&amp;VLOOKUP(B34,'0. Instruções'!$C$27:$G$32,4,FALSE)&amp;"=Y."&amp;VLOOKUP(B34,'0. Instruções'!$C$27:$G$32,4,FALSE)&amp;"_SIMUL")</f>
        <v>ON X.ENTTY_ID=Y.ENTTY_ID_SIMUL</v>
      </c>
      <c r="L34" s="35" t="str">
        <f>+IF(C34="Coerência", +IF(LEFT(G34,5)="FLOAT","SELECT '"&amp;UPPER(B34)&amp;"' AS TABELA, '"&amp;UPPER(C34)&amp;"' AS TIPOLOGIA_TESTE,'"&amp;D34&amp;"' AS TABELA_LT,'"&amp;E34&amp;"' AS TABELA_SIMUL,'"&amp;F34&amp;"' AS CAMPO, "&amp;"'${ref_date}' AS REF_DATE, COUNT(*) AS NUM_REG, SUM(IF((ABS(COALESCE(CAST(X."&amp;F34&amp;" AS DECIMAL(18,6)),0)-COALESCE(CAST(Y."&amp;F34&amp;"_SIMUL AS DECIMAL(18,6)),0))&gt;0.000001) OR (X."&amp;F34&amp;" IS NULL AND Y."&amp;F34&amp;"_SIMUL IS NOT NULL ) OR (X."&amp;F34&amp;" IS NOT NULL AND Y."&amp;F34&amp;"_SIMUL IS NULL),1,0)) AS NUM_REG_DIF,'"&amp;MAX('ID1&amp;5'!K:K)+1&amp;"' AS ID_EXEC, CURRENT_TIMESTAMP() AS TIME_EXEC FROM "&amp;I34&amp;" INNER JOIN "&amp;J34&amp;" "&amp;K34,"SELECT '"&amp;UPPER(B34)&amp;"' AS TABELA, '"&amp;UPPER(C34)&amp;"' AS TIPOLOGIA_TESTE,'"&amp;D34&amp;"' AS TABELA_LT,'"&amp;E34&amp;"' AS TABELA_SIMUL,'"&amp;F34&amp;"' AS CAMPO, "&amp;"'${ref_date}' AS REF_DATE, COUNT(*) AS NUM_REG, SUM(IF(COALESCE(CAST(X."&amp;F34&amp;" AS STRING),'')&lt;&gt;COALESCE(CAST(Y."&amp;F34&amp;"_SIMUL AS STRING),'') OR (X."&amp;F34&amp;" IS NULL AND Y."&amp;F34&amp;"_SIMUL IS NOT NULL ) OR (X."&amp;F34&amp;" IS NOT NULL AND Y."&amp;F34&amp;"_SIMUL IS NULL),1,0)) AS NUM_REG_DIF,'"&amp;MAX('ID1&amp;5'!L:L)+1&amp;"' AS ID_EXEC, CURRENT_TIMESTAMP() AS TIME_EXEC FROM "&amp;I34&amp;" INNER JOIN "&amp;J34&amp;" "&amp;K34),
IF(C34="Validade",+IF(G34="Code List","SELECT '"&amp;UPPER(B34)&amp;"' AS TABELA, '"&amp;UPPER(C34)&amp;"' AS TIPOLOGIA_TESTE,'"&amp;D34&amp;"' AS TABELA_LT,'N/A' AS TABELA_SIMUL,'"&amp;F34&amp;"' AS CAMPO, "&amp;"'${ref_date}' AS REF_DATE, COUNT(*) AS NUM_REG, SUM(IF(TRIM(CAST(X."&amp;F34&amp;" AS STRING))='' OR TRIM(CAST(X."&amp;F34&amp;" AS STRING)) IS NULL OR CAST(X."&amp;F34&amp;" AS STRING) NOT "&amp;H34&amp;",1,0)) AS NUM_REG_DIF,'"&amp;MAX('ID1&amp;5'!K:K)+1&amp;"' AS ID_EXEC, CURRENT_TIMESTAMP() AS TIME_EXEC FROM "&amp;I34,"SELECT '"&amp;UPPER(B34)&amp;"' AS TABELA, '"&amp;UPPER(C34)&amp;"' AS TIPOLOGIA_TESTE,'"&amp;D34&amp;"' AS TABELA_LT,'N/A' AS TABELA_SIMUL,'"&amp;F34&amp;"' AS CAMPO, "&amp;"'${ref_date}' AS REF_DATE, COUNT(*) AS NUM_REG, SUM(IF(TRIM(CAST(X."&amp;F34&amp;" AS STRING))='' OR TRIM(CAST(X."&amp;F34&amp;" AS STRING)) IS NULL,1,0)) AS NUM_REG_DIF,'"&amp;MAX('ID1&amp;5'!K:K)+1&amp;"' AS ID_EXEC, CURRENT_TIMESTAMP() AS TIME_EXEC FROM "&amp;I34),
IF(C34="Caracteres Especiais",+"SELECT '"&amp;UPPER(B34)&amp;"' AS TABELA, '"&amp;UPPER(C34)&amp;"' AS TIPOLOGIA_TESTE,'"&amp;D34&amp;"' AS TABELA_LT,'N/A' AS TABELA_SIMUL,'"&amp;F34&amp;"' AS CAMPO, "&amp;"'${ref_date}' AS REF_DATE, COUNT(*) AS NUM_REG, SUM(IF(REGEXP_REPLACE(TRIM(CAST(X."&amp;F34&amp;" AS STRING)),'[^a-zA-Z0-9_\\s]','') &lt;&gt;TRIM(CAST(X."&amp;F34&amp;" AS STRING)),1,0)) AS NUM_REG_DIF,'"&amp;MAX('ID1&amp;5'!K:K)+1&amp;"' AS ID_EXEC, CURRENT_TIMESTAMP() AS TIME_EXEC FROM "&amp;I34,
IF(C34="Missings",+"SELECT '"&amp;UPPER(B34)&amp;"' AS TABELA, '"&amp;UPPER(C34)&amp;"' AS TIPOLOGIA_TESTE,'"&amp;D34&amp;"' AS TABELA_LT,'N/A' AS TABELA_SIMUL,'"&amp;F34&amp;"' AS CAMPO, "&amp;"'${ref_date}' AS REF_DATE, COUNT(*) AS NUM_REG, SUM(IF(TRIM(CAST(X."&amp;F34&amp;" AS STRING)) IN ('0000-00-00','0001-01-01','9999-12-31','MISS','00000','99999999999','99999999999.00','99999999999.000000'),1,0)) AS NUM_REG_DIF,'"&amp;MAX('ID1&amp;5'!K:K)+1&amp;"' AS ID_EXEC, CURRENT_TIMESTAMP() AS TIME_EXEC FROM "&amp;I34,
IF(C34="Not applicable",+"SELECT '"&amp;UPPER(B34)&amp;"' AS TABELA, '"&amp;UPPER(C34)&amp;"' AS TIPOLOGIA_TESTE,'"&amp;D34&amp;"' AS TABELA_LT,'N/A' AS TABELA_SIMUL,'"&amp;F34&amp;"' AS CAMPO, "&amp;"'${ref_date}' AS REF_DATE, COUNT(*) AS NUM_REG, SUM(IF(TRIM(CAST(X."&amp;F34&amp;" AS STRING)) IN ('N/A','11111111111','11111111111.00','11111111111.000000','1111-11-11'),1,0)) AS NUM_REG_DIF,'"&amp;MAX('ID1&amp;5'!K:K)+1&amp;"' AS ID_EXEC, CURRENT_TIMESTAMP() AS TIME_EXEC FROM "&amp;I34,
IF(C34="Valores extremos",+"SELECT '"&amp;UPPER(B34)&amp;"' AS TABELA, '"&amp;UPPER(C34)&amp;"' AS TIPOLOGIA_TESTE,'"&amp;D34&amp;"' AS TABELA_LT,'N/A' AS TABELA_SIMUL,'"&amp;F34&amp;"' AS CAMPO, "&amp;"'${ref_date}' AS REF_DATE, CAST(MIN("&amp;F34&amp;") AS STRING) AS VALOR_MIN, CAST(MAX("&amp;F34&amp;") AS STRING) AS VALOR_MAX,'"&amp;MAX('ID1&amp;5'!K:K)+1&amp;"' AS ID_EXEC, CURRENT_TIMESTAMP() AS TIME_EXEC FROM "&amp;MID(I34,1,LEN(I34)-2)&amp;" AND CAST("&amp;F34&amp;"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TABELA_SIMUL,'EXTRNL_RTNG' AS CAMPO, '${ref_date}' AS REF_DATE, COUNT(*) AS NUM_REG, SUM(IF(COALESCE(CAST(X.EXTRNL_RTNG AS STRING),'')&lt;&gt;COALESCE(CAST(Y.EXTRNL_RTNG_SIMUL AS STRING),'') OR (X.EXTRNL_RTNG IS NULL AND Y.EXTRNL_RTNG_SIMUL IS NOT NULL ) OR (X.EXTRNL_RTNG IS NOT NULL AND Y.EXTRNL_RTNG_SIMUL IS NULL),1,0)) AS NUM_REG_DIF,'1' AS ID_EXEC, CURRENT_TIMESTAMP() AS TIME_EXEC FROM (SELECT entty_id, EXTRNL_RTNG FROM CD_LOAN_TAPES_BCE.LT003_ENTITY WHERE ref_date='${ref_date}' AND nome_perimetro='Individual Corporativo' AND segmento='ESTR' AND ambito='PM' AND entidade='00100')X INNER JOIN (SELECT entty_id AS entty_id_SIMUL, EXTRNL_RTNG AS EXTRNL_RTNG_SIMUL FROM BU_LOANTAPE_WORK.LT003_ENTITY WHERE ref_date='${ref_date}' AND nome_perimetro='Individual Corporativo' AND segmento='ESTR' AND ambito='PM' AND entidade='00100')Y ON X.ENTTY_ID=Y.ENTTY_ID_SIMUL</v>
      </c>
      <c r="M34" s="36" t="str">
        <f t="shared" si="0"/>
        <v>UNION ALL SELECT 'ENTITY' AS TABELA, 'COERÊNCIA' AS TIPOLOGIA_TESTE,'CD_LOAN_TAPES_BCE.LT003_ENTITY' AS TABELA_LT,'BU_LOANTAPE_WORK.LT003_ENTITY' AS TABELA_SIMUL,'EXTRNL_RTNG' AS CAMPO, '${ref_date}' AS REF_DATE, COUNT(*) AS NUM_REG, SUM(IF(COALESCE(CAST(X.EXTRNL_RTNG AS STRING),'')&lt;&gt;COALESCE(CAST(Y.EXTRNL_RTNG_SIMUL AS STRING),'') OR (X.EXTRNL_RTNG IS NULL AND Y.EXTRNL_RTNG_SIMUL IS NOT NULL ) OR (X.EXTRNL_RTNG IS NOT NULL AND Y.EXTRNL_RTNG_SIMUL IS NULL),1,0)) AS NUM_REG_DIF,'1' AS ID_EXEC, CURRENT_TIMESTAMP() AS TIME_EXEC FROM (SELECT entty_id, EXTRNL_RTNG FROM CD_LOAN_TAPES_BCE.LT003_ENTITY WHERE ref_date='${ref_date}' AND nome_perimetro='Individual Corporativo' AND segmento='ESTR' AND ambito='PM' AND entidade='00100')X INNER JOIN (SELECT entty_id AS entty_id_SIMUL, EXTRNL_RTNG AS EXTRNL_RTNG_SIMUL FROM BU_LOANTAPE_WORK.LT003_ENTITY WHERE ref_date='${ref_date}' AND nome_perimetro='Individual Corporativo' AND segmento='ESTR' AND ambito='PM' AND entidade='00100')Y ON X.ENTTY_ID=Y.ENTTY_ID_SIMUL</v>
      </c>
      <c r="N34" s="38" t="s">
        <v>46</v>
      </c>
    </row>
    <row r="35" spans="2:14">
      <c r="B35" s="34" t="s">
        <v>127</v>
      </c>
      <c r="C35" s="34" t="s">
        <v>5</v>
      </c>
      <c r="D35" s="34" t="str">
        <f>+UPPER('0. Instruções'!$D$35&amp;"."&amp;VLOOKUP(B35,'0. Instruções'!$C$27:$D$32,2,FALSE))</f>
        <v>CD_LOAN_TAPES_BCE.LT003_ENTITY</v>
      </c>
      <c r="E35" s="34" t="str">
        <f>+UPPER('0. Instruções'!$D$36&amp;"."&amp;VLOOKUP(B35,'0. Instruções'!$C$27:$E$32,3,FALSE))</f>
        <v>BU_LOANTAPE_WORK.LT003_ENTITY</v>
      </c>
      <c r="F35" s="34" t="s">
        <v>346</v>
      </c>
      <c r="G35" s="34"/>
      <c r="H35" s="34" t="s">
        <v>89</v>
      </c>
      <c r="I35" s="34" t="str">
        <f>"(SELECT "&amp;VLOOKUP(B35,'0. Instruções'!$C$27:$G$32,4,FALSE)&amp;", "&amp;F35&amp;" FROM "&amp;D35&amp;" WHERE "&amp;'0. Instruções'!$D$42&amp;")X"</f>
        <v>(SELECT entty_id, EXTRNL_RTNG_PRVS FROM CD_LOAN_TAPES_BCE.LT003_ENTITY WHERE ref_date='${ref_date}' AND nome_perimetro='Individual Corporativo' AND segmento='ESTR' AND ambito='PM' AND entidade='00100')X</v>
      </c>
      <c r="J35" s="34" t="str">
        <f>"(SELECT "&amp;VLOOKUP(B35,'0. Instruções'!$C$27:$G$32,4,FALSE)&amp;" AS "&amp;VLOOKUP(B35,'0. Instruções'!$C$27:$G$32,4,FALSE)&amp;"_SIMUL, "&amp;F35&amp;" AS "&amp;F35&amp;"_SIMUL FROM "&amp;E35&amp;" WHERE "&amp;'0. Instruções'!$D$43&amp;")Y"</f>
        <v>(SELECT entty_id AS entty_id_SIMUL, EXTRNL_RTNG_PRVS AS EXTRNL_RTNG_PRVS_SIMUL FROM BU_LOANTAPE_WORK.LT003_ENTITY WHERE ref_date='${ref_date}' AND nome_perimetro='Individual Corporativo' AND segmento='ESTR' AND ambito='PM' AND entidade='00100')Y</v>
      </c>
      <c r="K35" s="35" t="str">
        <f>+UPPER("ON X."&amp;VLOOKUP(B35,'0. Instruções'!$C$27:$G$32,4,FALSE)&amp;"=Y."&amp;VLOOKUP(B35,'0. Instruções'!$C$27:$G$32,4,FALSE)&amp;"_SIMUL")</f>
        <v>ON X.ENTTY_ID=Y.ENTTY_ID_SIMUL</v>
      </c>
      <c r="L35" s="35" t="str">
        <f>+IF(C35="Coerência", +IF(LEFT(G35,5)="FLOAT","SELECT '"&amp;UPPER(B35)&amp;"' AS TABELA, '"&amp;UPPER(C35)&amp;"' AS TIPOLOGIA_TESTE,'"&amp;D35&amp;"' AS TABELA_LT,'"&amp;E35&amp;"' AS TABELA_SIMUL,'"&amp;F35&amp;"' AS CAMPO, "&amp;"'${ref_date}' AS REF_DATE, COUNT(*) AS NUM_REG, SUM(IF((ABS(COALESCE(CAST(X."&amp;F35&amp;" AS DECIMAL(18,6)),0)-COALESCE(CAST(Y."&amp;F35&amp;"_SIMUL AS DECIMAL(18,6)),0))&gt;0.000001) OR (X."&amp;F35&amp;" IS NULL AND Y."&amp;F35&amp;"_SIMUL IS NOT NULL ) OR (X."&amp;F35&amp;" IS NOT NULL AND Y."&amp;F35&amp;"_SIMUL IS NULL),1,0)) AS NUM_REG_DIF,'"&amp;MAX('ID1&amp;5'!K:K)+1&amp;"' AS ID_EXEC, CURRENT_TIMESTAMP() AS TIME_EXEC FROM "&amp;I35&amp;" INNER JOIN "&amp;J35&amp;" "&amp;K35,"SELECT '"&amp;UPPER(B35)&amp;"' AS TABELA, '"&amp;UPPER(C35)&amp;"' AS TIPOLOGIA_TESTE,'"&amp;D35&amp;"' AS TABELA_LT,'"&amp;E35&amp;"' AS TABELA_SIMUL,'"&amp;F35&amp;"' AS CAMPO, "&amp;"'${ref_date}' AS REF_DATE, COUNT(*) AS NUM_REG, SUM(IF(COALESCE(CAST(X."&amp;F35&amp;" AS STRING),'')&lt;&gt;COALESCE(CAST(Y."&amp;F35&amp;"_SIMUL AS STRING),'') OR (X."&amp;F35&amp;" IS NULL AND Y."&amp;F35&amp;"_SIMUL IS NOT NULL ) OR (X."&amp;F35&amp;" IS NOT NULL AND Y."&amp;F35&amp;"_SIMUL IS NULL),1,0)) AS NUM_REG_DIF,'"&amp;MAX('ID1&amp;5'!L:L)+1&amp;"' AS ID_EXEC, CURRENT_TIMESTAMP() AS TIME_EXEC FROM "&amp;I35&amp;" INNER JOIN "&amp;J35&amp;" "&amp;K35),
IF(C35="Validade",+IF(G35="Code List","SELECT '"&amp;UPPER(B35)&amp;"' AS TABELA, '"&amp;UPPER(C35)&amp;"' AS TIPOLOGIA_TESTE,'"&amp;D35&amp;"' AS TABELA_LT,'N/A' AS TABELA_SIMUL,'"&amp;F35&amp;"' AS CAMPO, "&amp;"'${ref_date}' AS REF_DATE, COUNT(*) AS NUM_REG, SUM(IF(TRIM(CAST(X."&amp;F35&amp;" AS STRING))='' OR TRIM(CAST(X."&amp;F35&amp;" AS STRING)) IS NULL OR CAST(X."&amp;F35&amp;" AS STRING) NOT "&amp;H35&amp;",1,0)) AS NUM_REG_DIF,'"&amp;MAX('ID1&amp;5'!K:K)+1&amp;"' AS ID_EXEC, CURRENT_TIMESTAMP() AS TIME_EXEC FROM "&amp;I35,"SELECT '"&amp;UPPER(B35)&amp;"' AS TABELA, '"&amp;UPPER(C35)&amp;"' AS TIPOLOGIA_TESTE,'"&amp;D35&amp;"' AS TABELA_LT,'N/A' AS TABELA_SIMUL,'"&amp;F35&amp;"' AS CAMPO, "&amp;"'${ref_date}' AS REF_DATE, COUNT(*) AS NUM_REG, SUM(IF(TRIM(CAST(X."&amp;F35&amp;" AS STRING))='' OR TRIM(CAST(X."&amp;F35&amp;" AS STRING)) IS NULL,1,0)) AS NUM_REG_DIF,'"&amp;MAX('ID1&amp;5'!K:K)+1&amp;"' AS ID_EXEC, CURRENT_TIMESTAMP() AS TIME_EXEC FROM "&amp;I35),
IF(C35="Caracteres Especiais",+"SELECT '"&amp;UPPER(B35)&amp;"' AS TABELA, '"&amp;UPPER(C35)&amp;"' AS TIPOLOGIA_TESTE,'"&amp;D35&amp;"' AS TABELA_LT,'N/A' AS TABELA_SIMUL,'"&amp;F35&amp;"' AS CAMPO, "&amp;"'${ref_date}' AS REF_DATE, COUNT(*) AS NUM_REG, SUM(IF(REGEXP_REPLACE(TRIM(CAST(X."&amp;F35&amp;" AS STRING)),'[^a-zA-Z0-9_\\s]','') &lt;&gt;TRIM(CAST(X."&amp;F35&amp;" AS STRING)),1,0)) AS NUM_REG_DIF,'"&amp;MAX('ID1&amp;5'!K:K)+1&amp;"' AS ID_EXEC, CURRENT_TIMESTAMP() AS TIME_EXEC FROM "&amp;I35,
IF(C35="Missings",+"SELECT '"&amp;UPPER(B35)&amp;"' AS TABELA, '"&amp;UPPER(C35)&amp;"' AS TIPOLOGIA_TESTE,'"&amp;D35&amp;"' AS TABELA_LT,'N/A' AS TABELA_SIMUL,'"&amp;F35&amp;"' AS CAMPO, "&amp;"'${ref_date}' AS REF_DATE, COUNT(*) AS NUM_REG, SUM(IF(TRIM(CAST(X."&amp;F35&amp;" AS STRING)) IN ('0000-00-00','0001-01-01','9999-12-31','MISS','00000','99999999999','99999999999.00','99999999999.000000'),1,0)) AS NUM_REG_DIF,'"&amp;MAX('ID1&amp;5'!K:K)+1&amp;"' AS ID_EXEC, CURRENT_TIMESTAMP() AS TIME_EXEC FROM "&amp;I35,
IF(C35="Not applicable",+"SELECT '"&amp;UPPER(B35)&amp;"' AS TABELA, '"&amp;UPPER(C35)&amp;"' AS TIPOLOGIA_TESTE,'"&amp;D35&amp;"' AS TABELA_LT,'N/A' AS TABELA_SIMUL,'"&amp;F35&amp;"' AS CAMPO, "&amp;"'${ref_date}' AS REF_DATE, COUNT(*) AS NUM_REG, SUM(IF(TRIM(CAST(X."&amp;F35&amp;" AS STRING)) IN ('N/A','11111111111','11111111111.00','11111111111.000000','1111-11-11'),1,0)) AS NUM_REG_DIF,'"&amp;MAX('ID1&amp;5'!K:K)+1&amp;"' AS ID_EXEC, CURRENT_TIMESTAMP() AS TIME_EXEC FROM "&amp;I35,
IF(C35="Valores extremos",+"SELECT '"&amp;UPPER(B35)&amp;"' AS TABELA, '"&amp;UPPER(C35)&amp;"' AS TIPOLOGIA_TESTE,'"&amp;D35&amp;"' AS TABELA_LT,'N/A' AS TABELA_SIMUL,'"&amp;F35&amp;"' AS CAMPO, "&amp;"'${ref_date}' AS REF_DATE, CAST(MIN("&amp;F35&amp;") AS STRING) AS VALOR_MIN, CAST(MAX("&amp;F35&amp;") AS STRING) AS VALOR_MAX,'"&amp;MAX('ID1&amp;5'!K:K)+1&amp;"' AS ID_EXEC, CURRENT_TIMESTAMP() AS TIME_EXEC FROM "&amp;MID(I35,1,LEN(I35)-2)&amp;" AND CAST("&amp;F35&amp;"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TABELA_SIMUL,'EXTRNL_RTNG_PRVS' AS CAMPO, '${ref_date}' AS REF_DATE, COUNT(*) AS NUM_REG, SUM(IF(COALESCE(CAST(X.EXTRNL_RTNG_PRVS AS STRING),'')&lt;&gt;COALESCE(CAST(Y.EXTRNL_RTNG_PRVS_SIMUL AS STRING),'') OR (X.EXTRNL_RTNG_PRVS IS NULL AND Y.EXTRNL_RTNG_PRVS_SIMUL IS NOT NULL ) OR (X.EXTRNL_RTNG_PRVS IS NOT NULL AND Y.EXTRNL_RTNG_PRVS_SIMUL IS NULL),1,0)) AS NUM_REG_DIF,'1' AS ID_EXEC, CURRENT_TIMESTAMP() AS TIME_EXEC FROM (SELECT entty_id, EXTRNL_RTNG_PRVS FROM CD_LOAN_TAPES_BCE.LT003_ENTITY WHERE ref_date='${ref_date}' AND nome_perimetro='Individual Corporativo' AND segmento='ESTR' AND ambito='PM' AND entidade='00100')X INNER JOIN (SELECT entty_id AS entty_id_SIMUL, EXTRNL_RTNG_PRVS AS EXTRNL_RTNG_PRVS_SIMUL FROM BU_LOANTAPE_WORK.LT003_ENTITY WHERE ref_date='${ref_date}' AND nome_perimetro='Individual Corporativo' AND segmento='ESTR' AND ambito='PM' AND entidade='00100')Y ON X.ENTTY_ID=Y.ENTTY_ID_SIMUL</v>
      </c>
      <c r="M35" s="36" t="str">
        <f t="shared" si="0"/>
        <v>UNION ALL SELECT 'ENTITY' AS TABELA, 'COERÊNCIA' AS TIPOLOGIA_TESTE,'CD_LOAN_TAPES_BCE.LT003_ENTITY' AS TABELA_LT,'BU_LOANTAPE_WORK.LT003_ENTITY' AS TABELA_SIMUL,'EXTRNL_RTNG_PRVS' AS CAMPO, '${ref_date}' AS REF_DATE, COUNT(*) AS NUM_REG, SUM(IF(COALESCE(CAST(X.EXTRNL_RTNG_PRVS AS STRING),'')&lt;&gt;COALESCE(CAST(Y.EXTRNL_RTNG_PRVS_SIMUL AS STRING),'') OR (X.EXTRNL_RTNG_PRVS IS NULL AND Y.EXTRNL_RTNG_PRVS_SIMUL IS NOT NULL ) OR (X.EXTRNL_RTNG_PRVS IS NOT NULL AND Y.EXTRNL_RTNG_PRVS_SIMUL IS NULL),1,0)) AS NUM_REG_DIF,'1' AS ID_EXEC, CURRENT_TIMESTAMP() AS TIME_EXEC FROM (SELECT entty_id, EXTRNL_RTNG_PRVS FROM CD_LOAN_TAPES_BCE.LT003_ENTITY WHERE ref_date='${ref_date}' AND nome_perimetro='Individual Corporativo' AND segmento='ESTR' AND ambito='PM' AND entidade='00100')X INNER JOIN (SELECT entty_id AS entty_id_SIMUL, EXTRNL_RTNG_PRVS AS EXTRNL_RTNG_PRVS_SIMUL FROM BU_LOANTAPE_WORK.LT003_ENTITY WHERE ref_date='${ref_date}' AND nome_perimetro='Individual Corporativo' AND segmento='ESTR' AND ambito='PM' AND entidade='00100')Y ON X.ENTTY_ID=Y.ENTTY_ID_SIMUL</v>
      </c>
      <c r="N35" s="38" t="s">
        <v>46</v>
      </c>
    </row>
    <row r="36" spans="2:14">
      <c r="B36" s="34" t="s">
        <v>127</v>
      </c>
      <c r="C36" s="34" t="s">
        <v>5</v>
      </c>
      <c r="D36" s="34" t="str">
        <f>+UPPER('0. Instruções'!$D$35&amp;"."&amp;VLOOKUP(B36,'0. Instruções'!$C$27:$D$32,2,FALSE))</f>
        <v>CD_LOAN_TAPES_BCE.LT003_ENTITY</v>
      </c>
      <c r="E36" s="34" t="str">
        <f>+UPPER('0. Instruções'!$D$36&amp;"."&amp;VLOOKUP(B36,'0. Instruções'!$C$27:$E$32,3,FALSE))</f>
        <v>BU_LOANTAPE_WORK.LT003_ENTITY</v>
      </c>
      <c r="F36" s="34" t="s">
        <v>347</v>
      </c>
      <c r="G36" s="34"/>
      <c r="H36" s="34" t="s">
        <v>648</v>
      </c>
      <c r="I36" s="34" t="str">
        <f>"(SELECT "&amp;VLOOKUP(B36,'0. Instruções'!$C$27:$G$32,4,FALSE)&amp;", "&amp;F36&amp;" FROM "&amp;D36&amp;" WHERE "&amp;'0. Instruções'!$D$42&amp;")X"</f>
        <v>(SELECT entty_id, FLG_BNKRPTCY_IN_GRP FROM CD_LOAN_TAPES_BCE.LT003_ENTITY WHERE ref_date='${ref_date}' AND nome_perimetro='Individual Corporativo' AND segmento='ESTR' AND ambito='PM' AND entidade='00100')X</v>
      </c>
      <c r="J36" s="34" t="str">
        <f>"(SELECT "&amp;VLOOKUP(B36,'0. Instruções'!$C$27:$G$32,4,FALSE)&amp;" AS "&amp;VLOOKUP(B36,'0. Instruções'!$C$27:$G$32,4,FALSE)&amp;"_SIMUL, "&amp;F36&amp;" AS "&amp;F36&amp;"_SIMUL FROM "&amp;E36&amp;" WHERE "&amp;'0. Instruções'!$D$43&amp;")Y"</f>
        <v>(SELECT entty_id AS entty_id_SIMUL, FLG_BNKRPTCY_IN_GRP AS FLG_BNKRPTCY_IN_GRP_SIMUL FROM BU_LOANTAPE_WORK.LT003_ENTITY WHERE ref_date='${ref_date}' AND nome_perimetro='Individual Corporativo' AND segmento='ESTR' AND ambito='PM' AND entidade='00100')Y</v>
      </c>
      <c r="K36" s="35" t="str">
        <f>+UPPER("ON X."&amp;VLOOKUP(B36,'0. Instruções'!$C$27:$G$32,4,FALSE)&amp;"=Y."&amp;VLOOKUP(B36,'0. Instruções'!$C$27:$G$32,4,FALSE)&amp;"_SIMUL")</f>
        <v>ON X.ENTTY_ID=Y.ENTTY_ID_SIMUL</v>
      </c>
      <c r="L36" s="35" t="str">
        <f>+IF(C36="Coerência", +IF(LEFT(G36,5)="FLOAT","SELECT '"&amp;UPPER(B36)&amp;"' AS TABELA, '"&amp;UPPER(C36)&amp;"' AS TIPOLOGIA_TESTE,'"&amp;D36&amp;"' AS TABELA_LT,'"&amp;E36&amp;"' AS TABELA_SIMUL,'"&amp;F36&amp;"' AS CAMPO, "&amp;"'${ref_date}' AS REF_DATE, COUNT(*) AS NUM_REG, SUM(IF((ABS(COALESCE(CAST(X."&amp;F36&amp;" AS DECIMAL(18,6)),0)-COALESCE(CAST(Y."&amp;F36&amp;"_SIMUL AS DECIMAL(18,6)),0))&gt;0.000001) OR (X."&amp;F36&amp;" IS NULL AND Y."&amp;F36&amp;"_SIMUL IS NOT NULL ) OR (X."&amp;F36&amp;" IS NOT NULL AND Y."&amp;F36&amp;"_SIMUL IS NULL),1,0)) AS NUM_REG_DIF,'"&amp;MAX('ID1&amp;5'!K:K)+1&amp;"' AS ID_EXEC, CURRENT_TIMESTAMP() AS TIME_EXEC FROM "&amp;I36&amp;" INNER JOIN "&amp;J36&amp;" "&amp;K36,"SELECT '"&amp;UPPER(B36)&amp;"' AS TABELA, '"&amp;UPPER(C36)&amp;"' AS TIPOLOGIA_TESTE,'"&amp;D36&amp;"' AS TABELA_LT,'"&amp;E36&amp;"' AS TABELA_SIMUL,'"&amp;F36&amp;"' AS CAMPO, "&amp;"'${ref_date}' AS REF_DATE, COUNT(*) AS NUM_REG, SUM(IF(COALESCE(CAST(X."&amp;F36&amp;" AS STRING),'')&lt;&gt;COALESCE(CAST(Y."&amp;F36&amp;"_SIMUL AS STRING),'') OR (X."&amp;F36&amp;" IS NULL AND Y."&amp;F36&amp;"_SIMUL IS NOT NULL ) OR (X."&amp;F36&amp;" IS NOT NULL AND Y."&amp;F36&amp;"_SIMUL IS NULL),1,0)) AS NUM_REG_DIF,'"&amp;MAX('ID1&amp;5'!L:L)+1&amp;"' AS ID_EXEC, CURRENT_TIMESTAMP() AS TIME_EXEC FROM "&amp;I36&amp;" INNER JOIN "&amp;J36&amp;" "&amp;K36),
IF(C36="Validade",+IF(G36="Code List","SELECT '"&amp;UPPER(B36)&amp;"' AS TABELA, '"&amp;UPPER(C36)&amp;"' AS TIPOLOGIA_TESTE,'"&amp;D36&amp;"' AS TABELA_LT,'N/A' AS TABELA_SIMUL,'"&amp;F36&amp;"' AS CAMPO, "&amp;"'${ref_date}' AS REF_DATE, COUNT(*) AS NUM_REG, SUM(IF(TRIM(CAST(X."&amp;F36&amp;" AS STRING))='' OR TRIM(CAST(X."&amp;F36&amp;" AS STRING)) IS NULL OR CAST(X."&amp;F36&amp;" AS STRING) NOT "&amp;H36&amp;",1,0)) AS NUM_REG_DIF,'"&amp;MAX('ID1&amp;5'!K:K)+1&amp;"' AS ID_EXEC, CURRENT_TIMESTAMP() AS TIME_EXEC FROM "&amp;I36,"SELECT '"&amp;UPPER(B36)&amp;"' AS TABELA, '"&amp;UPPER(C36)&amp;"' AS TIPOLOGIA_TESTE,'"&amp;D36&amp;"' AS TABELA_LT,'N/A' AS TABELA_SIMUL,'"&amp;F36&amp;"' AS CAMPO, "&amp;"'${ref_date}' AS REF_DATE, COUNT(*) AS NUM_REG, SUM(IF(TRIM(CAST(X."&amp;F36&amp;" AS STRING))='' OR TRIM(CAST(X."&amp;F36&amp;" AS STRING)) IS NULL,1,0)) AS NUM_REG_DIF,'"&amp;MAX('ID1&amp;5'!K:K)+1&amp;"' AS ID_EXEC, CURRENT_TIMESTAMP() AS TIME_EXEC FROM "&amp;I36),
IF(C36="Caracteres Especiais",+"SELECT '"&amp;UPPER(B36)&amp;"' AS TABELA, '"&amp;UPPER(C36)&amp;"' AS TIPOLOGIA_TESTE,'"&amp;D36&amp;"' AS TABELA_LT,'N/A' AS TABELA_SIMUL,'"&amp;F36&amp;"' AS CAMPO, "&amp;"'${ref_date}' AS REF_DATE, COUNT(*) AS NUM_REG, SUM(IF(REGEXP_REPLACE(TRIM(CAST(X."&amp;F36&amp;" AS STRING)),'[^a-zA-Z0-9_\\s]','') &lt;&gt;TRIM(CAST(X."&amp;F36&amp;" AS STRING)),1,0)) AS NUM_REG_DIF,'"&amp;MAX('ID1&amp;5'!K:K)+1&amp;"' AS ID_EXEC, CURRENT_TIMESTAMP() AS TIME_EXEC FROM "&amp;I36,
IF(C36="Missings",+"SELECT '"&amp;UPPER(B36)&amp;"' AS TABELA, '"&amp;UPPER(C36)&amp;"' AS TIPOLOGIA_TESTE,'"&amp;D36&amp;"' AS TABELA_LT,'N/A' AS TABELA_SIMUL,'"&amp;F36&amp;"' AS CAMPO, "&amp;"'${ref_date}' AS REF_DATE, COUNT(*) AS NUM_REG, SUM(IF(TRIM(CAST(X."&amp;F36&amp;" AS STRING)) IN ('0000-00-00','0001-01-01','9999-12-31','MISS','00000','99999999999','99999999999.00','99999999999.000000'),1,0)) AS NUM_REG_DIF,'"&amp;MAX('ID1&amp;5'!K:K)+1&amp;"' AS ID_EXEC, CURRENT_TIMESTAMP() AS TIME_EXEC FROM "&amp;I36,
IF(C36="Not applicable",+"SELECT '"&amp;UPPER(B36)&amp;"' AS TABELA, '"&amp;UPPER(C36)&amp;"' AS TIPOLOGIA_TESTE,'"&amp;D36&amp;"' AS TABELA_LT,'N/A' AS TABELA_SIMUL,'"&amp;F36&amp;"' AS CAMPO, "&amp;"'${ref_date}' AS REF_DATE, COUNT(*) AS NUM_REG, SUM(IF(TRIM(CAST(X."&amp;F36&amp;" AS STRING)) IN ('N/A','11111111111','11111111111.00','11111111111.000000','1111-11-11'),1,0)) AS NUM_REG_DIF,'"&amp;MAX('ID1&amp;5'!K:K)+1&amp;"' AS ID_EXEC, CURRENT_TIMESTAMP() AS TIME_EXEC FROM "&amp;I36,
IF(C36="Valores extremos",+"SELECT '"&amp;UPPER(B36)&amp;"' AS TABELA, '"&amp;UPPER(C36)&amp;"' AS TIPOLOGIA_TESTE,'"&amp;D36&amp;"' AS TABELA_LT,'N/A' AS TABELA_SIMUL,'"&amp;F36&amp;"' AS CAMPO, "&amp;"'${ref_date}' AS REF_DATE, CAST(MIN("&amp;F36&amp;") AS STRING) AS VALOR_MIN, CAST(MAX("&amp;F36&amp;") AS STRING) AS VALOR_MAX,'"&amp;MAX('ID1&amp;5'!K:K)+1&amp;"' AS ID_EXEC, CURRENT_TIMESTAMP() AS TIME_EXEC FROM "&amp;MID(I36,1,LEN(I36)-2)&amp;" AND CAST("&amp;F36&amp;"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TABELA_SIMUL,'FLG_BNKRPTCY_IN_GRP' AS CAMPO, '${ref_date}' AS REF_DATE, COUNT(*) AS NUM_REG, SUM(IF(COALESCE(CAST(X.FLG_BNKRPTCY_IN_GRP AS STRING),'')&lt;&gt;COALESCE(CAST(Y.FLG_BNKRPTCY_IN_GRP_SIMUL AS STRING),'') OR (X.FLG_BNKRPTCY_IN_GRP IS NULL AND Y.FLG_BNKRPTCY_IN_GRP_SIMUL IS NOT NULL ) OR (X.FLG_BNKRPTCY_IN_GRP IS NOT NULL AND Y.FLG_BNKRPTCY_IN_GRP_SIMUL IS NULL),1,0)) AS NUM_REG_DIF,'1' AS ID_EXEC, CURRENT_TIMESTAMP() AS TIME_EXEC FROM (SELECT entty_id, FLG_BNKRPTCY_IN_GRP FROM CD_LOAN_TAPES_BCE.LT003_ENTITY WHERE ref_date='${ref_date}' AND nome_perimetro='Individual Corporativo' AND segmento='ESTR' AND ambito='PM' AND entidade='00100')X INNER JOIN (SELECT entty_id AS entty_id_SIMUL, FLG_BNKRPTCY_IN_GRP AS FLG_BNKRPTCY_IN_GRP_SIMUL FROM BU_LOANTAPE_WORK.LT003_ENTITY WHERE ref_date='${ref_date}' AND nome_perimetro='Individual Corporativo' AND segmento='ESTR' AND ambito='PM' AND entidade='00100')Y ON X.ENTTY_ID=Y.ENTTY_ID_SIMUL</v>
      </c>
      <c r="M36" s="36" t="str">
        <f t="shared" si="0"/>
        <v>UNION ALL SELECT 'ENTITY' AS TABELA, 'COERÊNCIA' AS TIPOLOGIA_TESTE,'CD_LOAN_TAPES_BCE.LT003_ENTITY' AS TABELA_LT,'BU_LOANTAPE_WORK.LT003_ENTITY' AS TABELA_SIMUL,'FLG_BNKRPTCY_IN_GRP' AS CAMPO, '${ref_date}' AS REF_DATE, COUNT(*) AS NUM_REG, SUM(IF(COALESCE(CAST(X.FLG_BNKRPTCY_IN_GRP AS STRING),'')&lt;&gt;COALESCE(CAST(Y.FLG_BNKRPTCY_IN_GRP_SIMUL AS STRING),'') OR (X.FLG_BNKRPTCY_IN_GRP IS NULL AND Y.FLG_BNKRPTCY_IN_GRP_SIMUL IS NOT NULL ) OR (X.FLG_BNKRPTCY_IN_GRP IS NOT NULL AND Y.FLG_BNKRPTCY_IN_GRP_SIMUL IS NULL),1,0)) AS NUM_REG_DIF,'1' AS ID_EXEC, CURRENT_TIMESTAMP() AS TIME_EXEC FROM (SELECT entty_id, FLG_BNKRPTCY_IN_GRP FROM CD_LOAN_TAPES_BCE.LT003_ENTITY WHERE ref_date='${ref_date}' AND nome_perimetro='Individual Corporativo' AND segmento='ESTR' AND ambito='PM' AND entidade='00100')X INNER JOIN (SELECT entty_id AS entty_id_SIMUL, FLG_BNKRPTCY_IN_GRP AS FLG_BNKRPTCY_IN_GRP_SIMUL FROM BU_LOANTAPE_WORK.LT003_ENTITY WHERE ref_date='${ref_date}' AND nome_perimetro='Individual Corporativo' AND segmento='ESTR' AND ambito='PM' AND entidade='00100')Y ON X.ENTTY_ID=Y.ENTTY_ID_SIMUL</v>
      </c>
      <c r="N36" s="38" t="s">
        <v>46</v>
      </c>
    </row>
    <row r="37" spans="2:14">
      <c r="B37" s="34" t="s">
        <v>127</v>
      </c>
      <c r="C37" s="34" t="s">
        <v>5</v>
      </c>
      <c r="D37" s="34" t="str">
        <f>+UPPER('0. Instruções'!$D$35&amp;"."&amp;VLOOKUP(B37,'0. Instruções'!$C$27:$D$32,2,FALSE))</f>
        <v>CD_LOAN_TAPES_BCE.LT003_ENTITY</v>
      </c>
      <c r="E37" s="34" t="str">
        <f>+UPPER('0. Instruções'!$D$36&amp;"."&amp;VLOOKUP(B37,'0. Instruções'!$C$27:$E$32,3,FALSE))</f>
        <v>BU_LOANTAPE_WORK.LT003_ENTITY</v>
      </c>
      <c r="F37" s="34" t="s">
        <v>348</v>
      </c>
      <c r="G37" s="34"/>
      <c r="H37" s="34" t="s">
        <v>648</v>
      </c>
      <c r="I37" s="34" t="str">
        <f>"(SELECT "&amp;VLOOKUP(B37,'0. Instruções'!$C$27:$G$32,4,FALSE)&amp;", "&amp;F37&amp;" FROM "&amp;D37&amp;" WHERE "&amp;'0. Instruções'!$D$42&amp;")X"</f>
        <v>(SELECT entty_id, FLG_HGH_CDS FROM CD_LOAN_TAPES_BCE.LT003_ENTITY WHERE ref_date='${ref_date}' AND nome_perimetro='Individual Corporativo' AND segmento='ESTR' AND ambito='PM' AND entidade='00100')X</v>
      </c>
      <c r="J37" s="34" t="str">
        <f>"(SELECT "&amp;VLOOKUP(B37,'0. Instruções'!$C$27:$G$32,4,FALSE)&amp;" AS "&amp;VLOOKUP(B37,'0. Instruções'!$C$27:$G$32,4,FALSE)&amp;"_SIMUL, "&amp;F37&amp;" AS "&amp;F37&amp;"_SIMUL FROM "&amp;E37&amp;" WHERE "&amp;'0. Instruções'!$D$43&amp;")Y"</f>
        <v>(SELECT entty_id AS entty_id_SIMUL, FLG_HGH_CDS AS FLG_HGH_CDS_SIMUL FROM BU_LOANTAPE_WORK.LT003_ENTITY WHERE ref_date='${ref_date}' AND nome_perimetro='Individual Corporativo' AND segmento='ESTR' AND ambito='PM' AND entidade='00100')Y</v>
      </c>
      <c r="K37" s="35" t="str">
        <f>+UPPER("ON X."&amp;VLOOKUP(B37,'0. Instruções'!$C$27:$G$32,4,FALSE)&amp;"=Y."&amp;VLOOKUP(B37,'0. Instruções'!$C$27:$G$32,4,FALSE)&amp;"_SIMUL")</f>
        <v>ON X.ENTTY_ID=Y.ENTTY_ID_SIMUL</v>
      </c>
      <c r="L37" s="35" t="str">
        <f>+IF(C37="Coerência", +IF(LEFT(G37,5)="FLOAT","SELECT '"&amp;UPPER(B37)&amp;"' AS TABELA, '"&amp;UPPER(C37)&amp;"' AS TIPOLOGIA_TESTE,'"&amp;D37&amp;"' AS TABELA_LT,'"&amp;E37&amp;"' AS TABELA_SIMUL,'"&amp;F37&amp;"' AS CAMPO, "&amp;"'${ref_date}' AS REF_DATE, COUNT(*) AS NUM_REG, SUM(IF((ABS(COALESCE(CAST(X."&amp;F37&amp;" AS DECIMAL(18,6)),0)-COALESCE(CAST(Y."&amp;F37&amp;"_SIMUL AS DECIMAL(18,6)),0))&gt;0.000001) OR (X."&amp;F37&amp;" IS NULL AND Y."&amp;F37&amp;"_SIMUL IS NOT NULL ) OR (X."&amp;F37&amp;" IS NOT NULL AND Y."&amp;F37&amp;"_SIMUL IS NULL),1,0)) AS NUM_REG_DIF,'"&amp;MAX('ID1&amp;5'!K:K)+1&amp;"' AS ID_EXEC, CURRENT_TIMESTAMP() AS TIME_EXEC FROM "&amp;I37&amp;" INNER JOIN "&amp;J37&amp;" "&amp;K37,"SELECT '"&amp;UPPER(B37)&amp;"' AS TABELA, '"&amp;UPPER(C37)&amp;"' AS TIPOLOGIA_TESTE,'"&amp;D37&amp;"' AS TABELA_LT,'"&amp;E37&amp;"' AS TABELA_SIMUL,'"&amp;F37&amp;"' AS CAMPO, "&amp;"'${ref_date}' AS REF_DATE, COUNT(*) AS NUM_REG, SUM(IF(COALESCE(CAST(X."&amp;F37&amp;" AS STRING),'')&lt;&gt;COALESCE(CAST(Y."&amp;F37&amp;"_SIMUL AS STRING),'') OR (X."&amp;F37&amp;" IS NULL AND Y."&amp;F37&amp;"_SIMUL IS NOT NULL ) OR (X."&amp;F37&amp;" IS NOT NULL AND Y."&amp;F37&amp;"_SIMUL IS NULL),1,0)) AS NUM_REG_DIF,'"&amp;MAX('ID1&amp;5'!L:L)+1&amp;"' AS ID_EXEC, CURRENT_TIMESTAMP() AS TIME_EXEC FROM "&amp;I37&amp;" INNER JOIN "&amp;J37&amp;" "&amp;K37),
IF(C37="Validade",+IF(G37="Code List","SELECT '"&amp;UPPER(B37)&amp;"' AS TABELA, '"&amp;UPPER(C37)&amp;"' AS TIPOLOGIA_TESTE,'"&amp;D37&amp;"' AS TABELA_LT,'N/A' AS TABELA_SIMUL,'"&amp;F37&amp;"' AS CAMPO, "&amp;"'${ref_date}' AS REF_DATE, COUNT(*) AS NUM_REG, SUM(IF(TRIM(CAST(X."&amp;F37&amp;" AS STRING))='' OR TRIM(CAST(X."&amp;F37&amp;" AS STRING)) IS NULL OR CAST(X."&amp;F37&amp;" AS STRING) NOT "&amp;H37&amp;",1,0)) AS NUM_REG_DIF,'"&amp;MAX('ID1&amp;5'!K:K)+1&amp;"' AS ID_EXEC, CURRENT_TIMESTAMP() AS TIME_EXEC FROM "&amp;I37,"SELECT '"&amp;UPPER(B37)&amp;"' AS TABELA, '"&amp;UPPER(C37)&amp;"' AS TIPOLOGIA_TESTE,'"&amp;D37&amp;"' AS TABELA_LT,'N/A' AS TABELA_SIMUL,'"&amp;F37&amp;"' AS CAMPO, "&amp;"'${ref_date}' AS REF_DATE, COUNT(*) AS NUM_REG, SUM(IF(TRIM(CAST(X."&amp;F37&amp;" AS STRING))='' OR TRIM(CAST(X."&amp;F37&amp;" AS STRING)) IS NULL,1,0)) AS NUM_REG_DIF,'"&amp;MAX('ID1&amp;5'!K:K)+1&amp;"' AS ID_EXEC, CURRENT_TIMESTAMP() AS TIME_EXEC FROM "&amp;I37),
IF(C37="Caracteres Especiais",+"SELECT '"&amp;UPPER(B37)&amp;"' AS TABELA, '"&amp;UPPER(C37)&amp;"' AS TIPOLOGIA_TESTE,'"&amp;D37&amp;"' AS TABELA_LT,'N/A' AS TABELA_SIMUL,'"&amp;F37&amp;"' AS CAMPO, "&amp;"'${ref_date}' AS REF_DATE, COUNT(*) AS NUM_REG, SUM(IF(REGEXP_REPLACE(TRIM(CAST(X."&amp;F37&amp;" AS STRING)),'[^a-zA-Z0-9_\\s]','') &lt;&gt;TRIM(CAST(X."&amp;F37&amp;" AS STRING)),1,0)) AS NUM_REG_DIF,'"&amp;MAX('ID1&amp;5'!K:K)+1&amp;"' AS ID_EXEC, CURRENT_TIMESTAMP() AS TIME_EXEC FROM "&amp;I37,
IF(C37="Missings",+"SELECT '"&amp;UPPER(B37)&amp;"' AS TABELA, '"&amp;UPPER(C37)&amp;"' AS TIPOLOGIA_TESTE,'"&amp;D37&amp;"' AS TABELA_LT,'N/A' AS TABELA_SIMUL,'"&amp;F37&amp;"' AS CAMPO, "&amp;"'${ref_date}' AS REF_DATE, COUNT(*) AS NUM_REG, SUM(IF(TRIM(CAST(X."&amp;F37&amp;" AS STRING)) IN ('0000-00-00','0001-01-01','9999-12-31','MISS','00000','99999999999','99999999999.00','99999999999.000000'),1,0)) AS NUM_REG_DIF,'"&amp;MAX('ID1&amp;5'!K:K)+1&amp;"' AS ID_EXEC, CURRENT_TIMESTAMP() AS TIME_EXEC FROM "&amp;I37,
IF(C37="Not applicable",+"SELECT '"&amp;UPPER(B37)&amp;"' AS TABELA, '"&amp;UPPER(C37)&amp;"' AS TIPOLOGIA_TESTE,'"&amp;D37&amp;"' AS TABELA_LT,'N/A' AS TABELA_SIMUL,'"&amp;F37&amp;"' AS CAMPO, "&amp;"'${ref_date}' AS REF_DATE, COUNT(*) AS NUM_REG, SUM(IF(TRIM(CAST(X."&amp;F37&amp;" AS STRING)) IN ('N/A','11111111111','11111111111.00','11111111111.000000','1111-11-11'),1,0)) AS NUM_REG_DIF,'"&amp;MAX('ID1&amp;5'!K:K)+1&amp;"' AS ID_EXEC, CURRENT_TIMESTAMP() AS TIME_EXEC FROM "&amp;I37,
IF(C37="Valores extremos",+"SELECT '"&amp;UPPER(B37)&amp;"' AS TABELA, '"&amp;UPPER(C37)&amp;"' AS TIPOLOGIA_TESTE,'"&amp;D37&amp;"' AS TABELA_LT,'N/A' AS TABELA_SIMUL,'"&amp;F37&amp;"' AS CAMPO, "&amp;"'${ref_date}' AS REF_DATE, CAST(MIN("&amp;F37&amp;") AS STRING) AS VALOR_MIN, CAST(MAX("&amp;F37&amp;") AS STRING) AS VALOR_MAX,'"&amp;MAX('ID1&amp;5'!K:K)+1&amp;"' AS ID_EXEC, CURRENT_TIMESTAMP() AS TIME_EXEC FROM "&amp;MID(I37,1,LEN(I37)-2)&amp;" AND CAST("&amp;F37&amp;"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TABELA_SIMUL,'FLG_HGH_CDS' AS CAMPO, '${ref_date}' AS REF_DATE, COUNT(*) AS NUM_REG, SUM(IF(COALESCE(CAST(X.FLG_HGH_CDS AS STRING),'')&lt;&gt;COALESCE(CAST(Y.FLG_HGH_CDS_SIMUL AS STRING),'') OR (X.FLG_HGH_CDS IS NULL AND Y.FLG_HGH_CDS_SIMUL IS NOT NULL ) OR (X.FLG_HGH_CDS IS NOT NULL AND Y.FLG_HGH_CDS_SIMUL IS NULL),1,0)) AS NUM_REG_DIF,'1' AS ID_EXEC, CURRENT_TIMESTAMP() AS TIME_EXEC FROM (SELECT entty_id, FLG_HGH_CDS FROM CD_LOAN_TAPES_BCE.LT003_ENTITY WHERE ref_date='${ref_date}' AND nome_perimetro='Individual Corporativo' AND segmento='ESTR' AND ambito='PM' AND entidade='00100')X INNER JOIN (SELECT entty_id AS entty_id_SIMUL, FLG_HGH_CDS AS FLG_HGH_CDS_SIMUL FROM BU_LOANTAPE_WORK.LT003_ENTITY WHERE ref_date='${ref_date}' AND nome_perimetro='Individual Corporativo' AND segmento='ESTR' AND ambito='PM' AND entidade='00100')Y ON X.ENTTY_ID=Y.ENTTY_ID_SIMUL</v>
      </c>
      <c r="M37" s="36" t="str">
        <f t="shared" si="0"/>
        <v>UNION ALL SELECT 'ENTITY' AS TABELA, 'COERÊNCIA' AS TIPOLOGIA_TESTE,'CD_LOAN_TAPES_BCE.LT003_ENTITY' AS TABELA_LT,'BU_LOANTAPE_WORK.LT003_ENTITY' AS TABELA_SIMUL,'FLG_HGH_CDS' AS CAMPO, '${ref_date}' AS REF_DATE, COUNT(*) AS NUM_REG, SUM(IF(COALESCE(CAST(X.FLG_HGH_CDS AS STRING),'')&lt;&gt;COALESCE(CAST(Y.FLG_HGH_CDS_SIMUL AS STRING),'') OR (X.FLG_HGH_CDS IS NULL AND Y.FLG_HGH_CDS_SIMUL IS NOT NULL ) OR (X.FLG_HGH_CDS IS NOT NULL AND Y.FLG_HGH_CDS_SIMUL IS NULL),1,0)) AS NUM_REG_DIF,'1' AS ID_EXEC, CURRENT_TIMESTAMP() AS TIME_EXEC FROM (SELECT entty_id, FLG_HGH_CDS FROM CD_LOAN_TAPES_BCE.LT003_ENTITY WHERE ref_date='${ref_date}' AND nome_perimetro='Individual Corporativo' AND segmento='ESTR' AND ambito='PM' AND entidade='00100')X INNER JOIN (SELECT entty_id AS entty_id_SIMUL, FLG_HGH_CDS AS FLG_HGH_CDS_SIMUL FROM BU_LOANTAPE_WORK.LT003_ENTITY WHERE ref_date='${ref_date}' AND nome_perimetro='Individual Corporativo' AND segmento='ESTR' AND ambito='PM' AND entidade='00100')Y ON X.ENTTY_ID=Y.ENTTY_ID_SIMUL</v>
      </c>
      <c r="N37" s="38" t="s">
        <v>46</v>
      </c>
    </row>
    <row r="38" spans="2:14">
      <c r="B38" s="34" t="s">
        <v>127</v>
      </c>
      <c r="C38" s="34" t="s">
        <v>5</v>
      </c>
      <c r="D38" s="34" t="str">
        <f>+UPPER('0. Instruções'!$D$35&amp;"."&amp;VLOOKUP(B38,'0. Instruções'!$C$27:$D$32,2,FALSE))</f>
        <v>CD_LOAN_TAPES_BCE.LT003_ENTITY</v>
      </c>
      <c r="E38" s="34" t="str">
        <f>+UPPER('0. Instruções'!$D$36&amp;"."&amp;VLOOKUP(B38,'0. Instruções'!$C$27:$E$32,3,FALSE))</f>
        <v>BU_LOANTAPE_WORK.LT003_ENTITY</v>
      </c>
      <c r="F38" s="34" t="s">
        <v>349</v>
      </c>
      <c r="G38" s="34"/>
      <c r="H38" s="34" t="s">
        <v>648</v>
      </c>
      <c r="I38" s="34" t="str">
        <f>"(SELECT "&amp;VLOOKUP(B38,'0. Instruções'!$C$27:$G$32,4,FALSE)&amp;", "&amp;F38&amp;" FROM "&amp;D38&amp;" WHERE "&amp;'0. Instruções'!$D$42&amp;")X"</f>
        <v>(SELECT entty_id, FLG_ISDA_CRDT_EVNT FROM CD_LOAN_TAPES_BCE.LT003_ENTITY WHERE ref_date='${ref_date}' AND nome_perimetro='Individual Corporativo' AND segmento='ESTR' AND ambito='PM' AND entidade='00100')X</v>
      </c>
      <c r="J38" s="34" t="str">
        <f>"(SELECT "&amp;VLOOKUP(B38,'0. Instruções'!$C$27:$G$32,4,FALSE)&amp;" AS "&amp;VLOOKUP(B38,'0. Instruções'!$C$27:$G$32,4,FALSE)&amp;"_SIMUL, "&amp;F38&amp;" AS "&amp;F38&amp;"_SIMUL FROM "&amp;E38&amp;" WHERE "&amp;'0. Instruções'!$D$43&amp;")Y"</f>
        <v>(SELECT entty_id AS entty_id_SIMUL, FLG_ISDA_CRDT_EVNT AS FLG_ISDA_CRDT_EVNT_SIMUL FROM BU_LOANTAPE_WORK.LT003_ENTITY WHERE ref_date='${ref_date}' AND nome_perimetro='Individual Corporativo' AND segmento='ESTR' AND ambito='PM' AND entidade='00100')Y</v>
      </c>
      <c r="K38" s="35" t="str">
        <f>+UPPER("ON X."&amp;VLOOKUP(B38,'0. Instruções'!$C$27:$G$32,4,FALSE)&amp;"=Y."&amp;VLOOKUP(B38,'0. Instruções'!$C$27:$G$32,4,FALSE)&amp;"_SIMUL")</f>
        <v>ON X.ENTTY_ID=Y.ENTTY_ID_SIMUL</v>
      </c>
      <c r="L38" s="35" t="str">
        <f>+IF(C38="Coerência", +IF(LEFT(G38,5)="FLOAT","SELECT '"&amp;UPPER(B38)&amp;"' AS TABELA, '"&amp;UPPER(C38)&amp;"' AS TIPOLOGIA_TESTE,'"&amp;D38&amp;"' AS TABELA_LT,'"&amp;E38&amp;"' AS TABELA_SIMUL,'"&amp;F38&amp;"' AS CAMPO, "&amp;"'${ref_date}' AS REF_DATE, COUNT(*) AS NUM_REG, SUM(IF((ABS(COALESCE(CAST(X."&amp;F38&amp;" AS DECIMAL(18,6)),0)-COALESCE(CAST(Y."&amp;F38&amp;"_SIMUL AS DECIMAL(18,6)),0))&gt;0.000001) OR (X."&amp;F38&amp;" IS NULL AND Y."&amp;F38&amp;"_SIMUL IS NOT NULL ) OR (X."&amp;F38&amp;" IS NOT NULL AND Y."&amp;F38&amp;"_SIMUL IS NULL),1,0)) AS NUM_REG_DIF,'"&amp;MAX('ID1&amp;5'!K:K)+1&amp;"' AS ID_EXEC, CURRENT_TIMESTAMP() AS TIME_EXEC FROM "&amp;I38&amp;" INNER JOIN "&amp;J38&amp;" "&amp;K38,"SELECT '"&amp;UPPER(B38)&amp;"' AS TABELA, '"&amp;UPPER(C38)&amp;"' AS TIPOLOGIA_TESTE,'"&amp;D38&amp;"' AS TABELA_LT,'"&amp;E38&amp;"' AS TABELA_SIMUL,'"&amp;F38&amp;"' AS CAMPO, "&amp;"'${ref_date}' AS REF_DATE, COUNT(*) AS NUM_REG, SUM(IF(COALESCE(CAST(X."&amp;F38&amp;" AS STRING),'')&lt;&gt;COALESCE(CAST(Y."&amp;F38&amp;"_SIMUL AS STRING),'') OR (X."&amp;F38&amp;" IS NULL AND Y."&amp;F38&amp;"_SIMUL IS NOT NULL ) OR (X."&amp;F38&amp;" IS NOT NULL AND Y."&amp;F38&amp;"_SIMUL IS NULL),1,0)) AS NUM_REG_DIF,'"&amp;MAX('ID1&amp;5'!L:L)+1&amp;"' AS ID_EXEC, CURRENT_TIMESTAMP() AS TIME_EXEC FROM "&amp;I38&amp;" INNER JOIN "&amp;J38&amp;" "&amp;K38),
IF(C38="Validade",+IF(G38="Code List","SELECT '"&amp;UPPER(B38)&amp;"' AS TABELA, '"&amp;UPPER(C38)&amp;"' AS TIPOLOGIA_TESTE,'"&amp;D38&amp;"' AS TABELA_LT,'N/A' AS TABELA_SIMUL,'"&amp;F38&amp;"' AS CAMPO, "&amp;"'${ref_date}' AS REF_DATE, COUNT(*) AS NUM_REG, SUM(IF(TRIM(CAST(X."&amp;F38&amp;" AS STRING))='' OR TRIM(CAST(X."&amp;F38&amp;" AS STRING)) IS NULL OR CAST(X."&amp;F38&amp;" AS STRING) NOT "&amp;H38&amp;",1,0)) AS NUM_REG_DIF,'"&amp;MAX('ID1&amp;5'!K:K)+1&amp;"' AS ID_EXEC, CURRENT_TIMESTAMP() AS TIME_EXEC FROM "&amp;I38,"SELECT '"&amp;UPPER(B38)&amp;"' AS TABELA, '"&amp;UPPER(C38)&amp;"' AS TIPOLOGIA_TESTE,'"&amp;D38&amp;"' AS TABELA_LT,'N/A' AS TABELA_SIMUL,'"&amp;F38&amp;"' AS CAMPO, "&amp;"'${ref_date}' AS REF_DATE, COUNT(*) AS NUM_REG, SUM(IF(TRIM(CAST(X."&amp;F38&amp;" AS STRING))='' OR TRIM(CAST(X."&amp;F38&amp;" AS STRING)) IS NULL,1,0)) AS NUM_REG_DIF,'"&amp;MAX('ID1&amp;5'!K:K)+1&amp;"' AS ID_EXEC, CURRENT_TIMESTAMP() AS TIME_EXEC FROM "&amp;I38),
IF(C38="Caracteres Especiais",+"SELECT '"&amp;UPPER(B38)&amp;"' AS TABELA, '"&amp;UPPER(C38)&amp;"' AS TIPOLOGIA_TESTE,'"&amp;D38&amp;"' AS TABELA_LT,'N/A' AS TABELA_SIMUL,'"&amp;F38&amp;"' AS CAMPO, "&amp;"'${ref_date}' AS REF_DATE, COUNT(*) AS NUM_REG, SUM(IF(REGEXP_REPLACE(TRIM(CAST(X."&amp;F38&amp;" AS STRING)),'[^a-zA-Z0-9_\\s]','') &lt;&gt;TRIM(CAST(X."&amp;F38&amp;" AS STRING)),1,0)) AS NUM_REG_DIF,'"&amp;MAX('ID1&amp;5'!K:K)+1&amp;"' AS ID_EXEC, CURRENT_TIMESTAMP() AS TIME_EXEC FROM "&amp;I38,
IF(C38="Missings",+"SELECT '"&amp;UPPER(B38)&amp;"' AS TABELA, '"&amp;UPPER(C38)&amp;"' AS TIPOLOGIA_TESTE,'"&amp;D38&amp;"' AS TABELA_LT,'N/A' AS TABELA_SIMUL,'"&amp;F38&amp;"' AS CAMPO, "&amp;"'${ref_date}' AS REF_DATE, COUNT(*) AS NUM_REG, SUM(IF(TRIM(CAST(X."&amp;F38&amp;" AS STRING)) IN ('0000-00-00','0001-01-01','9999-12-31','MISS','00000','99999999999','99999999999.00','99999999999.000000'),1,0)) AS NUM_REG_DIF,'"&amp;MAX('ID1&amp;5'!K:K)+1&amp;"' AS ID_EXEC, CURRENT_TIMESTAMP() AS TIME_EXEC FROM "&amp;I38,
IF(C38="Not applicable",+"SELECT '"&amp;UPPER(B38)&amp;"' AS TABELA, '"&amp;UPPER(C38)&amp;"' AS TIPOLOGIA_TESTE,'"&amp;D38&amp;"' AS TABELA_LT,'N/A' AS TABELA_SIMUL,'"&amp;F38&amp;"' AS CAMPO, "&amp;"'${ref_date}' AS REF_DATE, COUNT(*) AS NUM_REG, SUM(IF(TRIM(CAST(X."&amp;F38&amp;" AS STRING)) IN ('N/A','11111111111','11111111111.00','11111111111.000000','1111-11-11'),1,0)) AS NUM_REG_DIF,'"&amp;MAX('ID1&amp;5'!K:K)+1&amp;"' AS ID_EXEC, CURRENT_TIMESTAMP() AS TIME_EXEC FROM "&amp;I38,
IF(C38="Valores extremos",+"SELECT '"&amp;UPPER(B38)&amp;"' AS TABELA, '"&amp;UPPER(C38)&amp;"' AS TIPOLOGIA_TESTE,'"&amp;D38&amp;"' AS TABELA_LT,'N/A' AS TABELA_SIMUL,'"&amp;F38&amp;"' AS CAMPO, "&amp;"'${ref_date}' AS REF_DATE, CAST(MIN("&amp;F38&amp;") AS STRING) AS VALOR_MIN, CAST(MAX("&amp;F38&amp;") AS STRING) AS VALOR_MAX,'"&amp;MAX('ID1&amp;5'!K:K)+1&amp;"' AS ID_EXEC, CURRENT_TIMESTAMP() AS TIME_EXEC FROM "&amp;MID(I38,1,LEN(I38)-2)&amp;" AND CAST("&amp;F38&amp;"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TABELA_SIMUL,'FLG_ISDA_CRDT_EVNT' AS CAMPO, '${ref_date}' AS REF_DATE, COUNT(*) AS NUM_REG, SUM(IF(COALESCE(CAST(X.FLG_ISDA_CRDT_EVNT AS STRING),'')&lt;&gt;COALESCE(CAST(Y.FLG_ISDA_CRDT_EVNT_SIMUL AS STRING),'') OR (X.FLG_ISDA_CRDT_EVNT IS NULL AND Y.FLG_ISDA_CRDT_EVNT_SIMUL IS NOT NULL ) OR (X.FLG_ISDA_CRDT_EVNT IS NOT NULL AND Y.FLG_ISDA_CRDT_EVNT_SIMUL IS NULL),1,0)) AS NUM_REG_DIF,'1' AS ID_EXEC, CURRENT_TIMESTAMP() AS TIME_EXEC FROM (SELECT entty_id, FLG_ISDA_CRDT_EVNT FROM CD_LOAN_TAPES_BCE.LT003_ENTITY WHERE ref_date='${ref_date}' AND nome_perimetro='Individual Corporativo' AND segmento='ESTR' AND ambito='PM' AND entidade='00100')X INNER JOIN (SELECT entty_id AS entty_id_SIMUL, FLG_ISDA_CRDT_EVNT AS FLG_ISDA_CRDT_EVNT_SIMUL FROM BU_LOANTAPE_WORK.LT003_ENTITY WHERE ref_date='${ref_date}' AND nome_perimetro='Individual Corporativo' AND segmento='ESTR' AND ambito='PM' AND entidade='00100')Y ON X.ENTTY_ID=Y.ENTTY_ID_SIMUL</v>
      </c>
      <c r="M38" s="36" t="str">
        <f t="shared" si="0"/>
        <v>UNION ALL SELECT 'ENTITY' AS TABELA, 'COERÊNCIA' AS TIPOLOGIA_TESTE,'CD_LOAN_TAPES_BCE.LT003_ENTITY' AS TABELA_LT,'BU_LOANTAPE_WORK.LT003_ENTITY' AS TABELA_SIMUL,'FLG_ISDA_CRDT_EVNT' AS CAMPO, '${ref_date}' AS REF_DATE, COUNT(*) AS NUM_REG, SUM(IF(COALESCE(CAST(X.FLG_ISDA_CRDT_EVNT AS STRING),'')&lt;&gt;COALESCE(CAST(Y.FLG_ISDA_CRDT_EVNT_SIMUL AS STRING),'') OR (X.FLG_ISDA_CRDT_EVNT IS NULL AND Y.FLG_ISDA_CRDT_EVNT_SIMUL IS NOT NULL ) OR (X.FLG_ISDA_CRDT_EVNT IS NOT NULL AND Y.FLG_ISDA_CRDT_EVNT_SIMUL IS NULL),1,0)) AS NUM_REG_DIF,'1' AS ID_EXEC, CURRENT_TIMESTAMP() AS TIME_EXEC FROM (SELECT entty_id, FLG_ISDA_CRDT_EVNT FROM CD_LOAN_TAPES_BCE.LT003_ENTITY WHERE ref_date='${ref_date}' AND nome_perimetro='Individual Corporativo' AND segmento='ESTR' AND ambito='PM' AND entidade='00100')X INNER JOIN (SELECT entty_id AS entty_id_SIMUL, FLG_ISDA_CRDT_EVNT AS FLG_ISDA_CRDT_EVNT_SIMUL FROM BU_LOANTAPE_WORK.LT003_ENTITY WHERE ref_date='${ref_date}' AND nome_perimetro='Individual Corporativo' AND segmento='ESTR' AND ambito='PM' AND entidade='00100')Y ON X.ENTTY_ID=Y.ENTTY_ID_SIMUL</v>
      </c>
      <c r="N38" s="38" t="s">
        <v>46</v>
      </c>
    </row>
    <row r="39" spans="2:14">
      <c r="B39" s="34" t="s">
        <v>127</v>
      </c>
      <c r="C39" s="34" t="s">
        <v>5</v>
      </c>
      <c r="D39" s="34" t="str">
        <f>+UPPER('0. Instruções'!$D$35&amp;"."&amp;VLOOKUP(B39,'0. Instruções'!$C$27:$D$32,2,FALSE))</f>
        <v>CD_LOAN_TAPES_BCE.LT003_ENTITY</v>
      </c>
      <c r="E39" s="34" t="str">
        <f>+UPPER('0. Instruções'!$D$36&amp;"."&amp;VLOOKUP(B39,'0. Instruções'!$C$27:$E$32,3,FALSE))</f>
        <v>BU_LOANTAPE_WORK.LT003_ENTITY</v>
      </c>
      <c r="F39" s="34" t="s">
        <v>350</v>
      </c>
      <c r="G39" s="34"/>
      <c r="H39" s="34" t="s">
        <v>648</v>
      </c>
      <c r="I39" s="34" t="str">
        <f>"(SELECT "&amp;VLOOKUP(B39,'0. Instruções'!$C$27:$G$32,4,FALSE)&amp;", "&amp;F39&amp;" FROM "&amp;D39&amp;" WHERE "&amp;'0. Instruções'!$D$42&amp;")X"</f>
        <v>(SELECT entty_id, FLG_NN_ACCRL FROM CD_LOAN_TAPES_BCE.LT003_ENTITY WHERE ref_date='${ref_date}' AND nome_perimetro='Individual Corporativo' AND segmento='ESTR' AND ambito='PM' AND entidade='00100')X</v>
      </c>
      <c r="J39" s="34" t="str">
        <f>"(SELECT "&amp;VLOOKUP(B39,'0. Instruções'!$C$27:$G$32,4,FALSE)&amp;" AS "&amp;VLOOKUP(B39,'0. Instruções'!$C$27:$G$32,4,FALSE)&amp;"_SIMUL, "&amp;F39&amp;" AS "&amp;F39&amp;"_SIMUL FROM "&amp;E39&amp;" WHERE "&amp;'0. Instruções'!$D$43&amp;")Y"</f>
        <v>(SELECT entty_id AS entty_id_SIMUL, FLG_NN_ACCRL AS FLG_NN_ACCRL_SIMUL FROM BU_LOANTAPE_WORK.LT003_ENTITY WHERE ref_date='${ref_date}' AND nome_perimetro='Individual Corporativo' AND segmento='ESTR' AND ambito='PM' AND entidade='00100')Y</v>
      </c>
      <c r="K39" s="35" t="str">
        <f>+UPPER("ON X."&amp;VLOOKUP(B39,'0. Instruções'!$C$27:$G$32,4,FALSE)&amp;"=Y."&amp;VLOOKUP(B39,'0. Instruções'!$C$27:$G$32,4,FALSE)&amp;"_SIMUL")</f>
        <v>ON X.ENTTY_ID=Y.ENTTY_ID_SIMUL</v>
      </c>
      <c r="L39" s="35" t="str">
        <f>+IF(C39="Coerência", +IF(LEFT(G39,5)="FLOAT","SELECT '"&amp;UPPER(B39)&amp;"' AS TABELA, '"&amp;UPPER(C39)&amp;"' AS TIPOLOGIA_TESTE,'"&amp;D39&amp;"' AS TABELA_LT,'"&amp;E39&amp;"' AS TABELA_SIMUL,'"&amp;F39&amp;"' AS CAMPO, "&amp;"'${ref_date}' AS REF_DATE, COUNT(*) AS NUM_REG, SUM(IF((ABS(COALESCE(CAST(X."&amp;F39&amp;" AS DECIMAL(18,6)),0)-COALESCE(CAST(Y."&amp;F39&amp;"_SIMUL AS DECIMAL(18,6)),0))&gt;0.000001) OR (X."&amp;F39&amp;" IS NULL AND Y."&amp;F39&amp;"_SIMUL IS NOT NULL ) OR (X."&amp;F39&amp;" IS NOT NULL AND Y."&amp;F39&amp;"_SIMUL IS NULL),1,0)) AS NUM_REG_DIF,'"&amp;MAX('ID1&amp;5'!K:K)+1&amp;"' AS ID_EXEC, CURRENT_TIMESTAMP() AS TIME_EXEC FROM "&amp;I39&amp;" INNER JOIN "&amp;J39&amp;" "&amp;K39,"SELECT '"&amp;UPPER(B39)&amp;"' AS TABELA, '"&amp;UPPER(C39)&amp;"' AS TIPOLOGIA_TESTE,'"&amp;D39&amp;"' AS TABELA_LT,'"&amp;E39&amp;"' AS TABELA_SIMUL,'"&amp;F39&amp;"' AS CAMPO, "&amp;"'${ref_date}' AS REF_DATE, COUNT(*) AS NUM_REG, SUM(IF(COALESCE(CAST(X."&amp;F39&amp;" AS STRING),'')&lt;&gt;COALESCE(CAST(Y."&amp;F39&amp;"_SIMUL AS STRING),'') OR (X."&amp;F39&amp;" IS NULL AND Y."&amp;F39&amp;"_SIMUL IS NOT NULL ) OR (X."&amp;F39&amp;" IS NOT NULL AND Y."&amp;F39&amp;"_SIMUL IS NULL),1,0)) AS NUM_REG_DIF,'"&amp;MAX('ID1&amp;5'!L:L)+1&amp;"' AS ID_EXEC, CURRENT_TIMESTAMP() AS TIME_EXEC FROM "&amp;I39&amp;" INNER JOIN "&amp;J39&amp;" "&amp;K39),
IF(C39="Validade",+IF(G39="Code List","SELECT '"&amp;UPPER(B39)&amp;"' AS TABELA, '"&amp;UPPER(C39)&amp;"' AS TIPOLOGIA_TESTE,'"&amp;D39&amp;"' AS TABELA_LT,'N/A' AS TABELA_SIMUL,'"&amp;F39&amp;"' AS CAMPO, "&amp;"'${ref_date}' AS REF_DATE, COUNT(*) AS NUM_REG, SUM(IF(TRIM(CAST(X."&amp;F39&amp;" AS STRING))='' OR TRIM(CAST(X."&amp;F39&amp;" AS STRING)) IS NULL OR CAST(X."&amp;F39&amp;" AS STRING) NOT "&amp;H39&amp;",1,0)) AS NUM_REG_DIF,'"&amp;MAX('ID1&amp;5'!K:K)+1&amp;"' AS ID_EXEC, CURRENT_TIMESTAMP() AS TIME_EXEC FROM "&amp;I39,"SELECT '"&amp;UPPER(B39)&amp;"' AS TABELA, '"&amp;UPPER(C39)&amp;"' AS TIPOLOGIA_TESTE,'"&amp;D39&amp;"' AS TABELA_LT,'N/A' AS TABELA_SIMUL,'"&amp;F39&amp;"' AS CAMPO, "&amp;"'${ref_date}' AS REF_DATE, COUNT(*) AS NUM_REG, SUM(IF(TRIM(CAST(X."&amp;F39&amp;" AS STRING))='' OR TRIM(CAST(X."&amp;F39&amp;" AS STRING)) IS NULL,1,0)) AS NUM_REG_DIF,'"&amp;MAX('ID1&amp;5'!K:K)+1&amp;"' AS ID_EXEC, CURRENT_TIMESTAMP() AS TIME_EXEC FROM "&amp;I39),
IF(C39="Caracteres Especiais",+"SELECT '"&amp;UPPER(B39)&amp;"' AS TABELA, '"&amp;UPPER(C39)&amp;"' AS TIPOLOGIA_TESTE,'"&amp;D39&amp;"' AS TABELA_LT,'N/A' AS TABELA_SIMUL,'"&amp;F39&amp;"' AS CAMPO, "&amp;"'${ref_date}' AS REF_DATE, COUNT(*) AS NUM_REG, SUM(IF(REGEXP_REPLACE(TRIM(CAST(X."&amp;F39&amp;" AS STRING)),'[^a-zA-Z0-9_\\s]','') &lt;&gt;TRIM(CAST(X."&amp;F39&amp;" AS STRING)),1,0)) AS NUM_REG_DIF,'"&amp;MAX('ID1&amp;5'!K:K)+1&amp;"' AS ID_EXEC, CURRENT_TIMESTAMP() AS TIME_EXEC FROM "&amp;I39,
IF(C39="Missings",+"SELECT '"&amp;UPPER(B39)&amp;"' AS TABELA, '"&amp;UPPER(C39)&amp;"' AS TIPOLOGIA_TESTE,'"&amp;D39&amp;"' AS TABELA_LT,'N/A' AS TABELA_SIMUL,'"&amp;F39&amp;"' AS CAMPO, "&amp;"'${ref_date}' AS REF_DATE, COUNT(*) AS NUM_REG, SUM(IF(TRIM(CAST(X."&amp;F39&amp;" AS STRING)) IN ('0000-00-00','0001-01-01','9999-12-31','MISS','00000','99999999999','99999999999.00','99999999999.000000'),1,0)) AS NUM_REG_DIF,'"&amp;MAX('ID1&amp;5'!K:K)+1&amp;"' AS ID_EXEC, CURRENT_TIMESTAMP() AS TIME_EXEC FROM "&amp;I39,
IF(C39="Not applicable",+"SELECT '"&amp;UPPER(B39)&amp;"' AS TABELA, '"&amp;UPPER(C39)&amp;"' AS TIPOLOGIA_TESTE,'"&amp;D39&amp;"' AS TABELA_LT,'N/A' AS TABELA_SIMUL,'"&amp;F39&amp;"' AS CAMPO, "&amp;"'${ref_date}' AS REF_DATE, COUNT(*) AS NUM_REG, SUM(IF(TRIM(CAST(X."&amp;F39&amp;" AS STRING)) IN ('N/A','11111111111','11111111111.00','11111111111.000000','1111-11-11'),1,0)) AS NUM_REG_DIF,'"&amp;MAX('ID1&amp;5'!K:K)+1&amp;"' AS ID_EXEC, CURRENT_TIMESTAMP() AS TIME_EXEC FROM "&amp;I39,
IF(C39="Valores extremos",+"SELECT '"&amp;UPPER(B39)&amp;"' AS TABELA, '"&amp;UPPER(C39)&amp;"' AS TIPOLOGIA_TESTE,'"&amp;D39&amp;"' AS TABELA_LT,'N/A' AS TABELA_SIMUL,'"&amp;F39&amp;"' AS CAMPO, "&amp;"'${ref_date}' AS REF_DATE, CAST(MIN("&amp;F39&amp;") AS STRING) AS VALOR_MIN, CAST(MAX("&amp;F39&amp;") AS STRING) AS VALOR_MAX,'"&amp;MAX('ID1&amp;5'!K:K)+1&amp;"' AS ID_EXEC, CURRENT_TIMESTAMP() AS TIME_EXEC FROM "&amp;MID(I39,1,LEN(I39)-2)&amp;" AND CAST("&amp;F39&amp;"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TABELA_SIMUL,'FLG_NN_ACCRL' AS CAMPO, '${ref_date}' AS REF_DATE, COUNT(*) AS NUM_REG, SUM(IF(COALESCE(CAST(X.FLG_NN_ACCRL AS STRING),'')&lt;&gt;COALESCE(CAST(Y.FLG_NN_ACCRL_SIMUL AS STRING),'') OR (X.FLG_NN_ACCRL IS NULL AND Y.FLG_NN_ACCRL_SIMUL IS NOT NULL ) OR (X.FLG_NN_ACCRL IS NOT NULL AND Y.FLG_NN_ACCRL_SIMUL IS NULL),1,0)) AS NUM_REG_DIF,'1' AS ID_EXEC, CURRENT_TIMESTAMP() AS TIME_EXEC FROM (SELECT entty_id, FLG_NN_ACCRL FROM CD_LOAN_TAPES_BCE.LT003_ENTITY WHERE ref_date='${ref_date}' AND nome_perimetro='Individual Corporativo' AND segmento='ESTR' AND ambito='PM' AND entidade='00100')X INNER JOIN (SELECT entty_id AS entty_id_SIMUL, FLG_NN_ACCRL AS FLG_NN_ACCRL_SIMUL FROM BU_LOANTAPE_WORK.LT003_ENTITY WHERE ref_date='${ref_date}' AND nome_perimetro='Individual Corporativo' AND segmento='ESTR' AND ambito='PM' AND entidade='00100')Y ON X.ENTTY_ID=Y.ENTTY_ID_SIMUL</v>
      </c>
      <c r="M39" s="36" t="str">
        <f t="shared" si="0"/>
        <v>UNION ALL SELECT 'ENTITY' AS TABELA, 'COERÊNCIA' AS TIPOLOGIA_TESTE,'CD_LOAN_TAPES_BCE.LT003_ENTITY' AS TABELA_LT,'BU_LOANTAPE_WORK.LT003_ENTITY' AS TABELA_SIMUL,'FLG_NN_ACCRL' AS CAMPO, '${ref_date}' AS REF_DATE, COUNT(*) AS NUM_REG, SUM(IF(COALESCE(CAST(X.FLG_NN_ACCRL AS STRING),'')&lt;&gt;COALESCE(CAST(Y.FLG_NN_ACCRL_SIMUL AS STRING),'') OR (X.FLG_NN_ACCRL IS NULL AND Y.FLG_NN_ACCRL_SIMUL IS NOT NULL ) OR (X.FLG_NN_ACCRL IS NOT NULL AND Y.FLG_NN_ACCRL_SIMUL IS NULL),1,0)) AS NUM_REG_DIF,'1' AS ID_EXEC, CURRENT_TIMESTAMP() AS TIME_EXEC FROM (SELECT entty_id, FLG_NN_ACCRL FROM CD_LOAN_TAPES_BCE.LT003_ENTITY WHERE ref_date='${ref_date}' AND nome_perimetro='Individual Corporativo' AND segmento='ESTR' AND ambito='PM' AND entidade='00100')X INNER JOIN (SELECT entty_id AS entty_id_SIMUL, FLG_NN_ACCRL AS FLG_NN_ACCRL_SIMUL FROM BU_LOANTAPE_WORK.LT003_ENTITY WHERE ref_date='${ref_date}' AND nome_perimetro='Individual Corporativo' AND segmento='ESTR' AND ambito='PM' AND entidade='00100')Y ON X.ENTTY_ID=Y.ENTTY_ID_SIMUL</v>
      </c>
      <c r="N39" s="38" t="s">
        <v>46</v>
      </c>
    </row>
    <row r="40" spans="2:14">
      <c r="B40" s="34" t="s">
        <v>127</v>
      </c>
      <c r="C40" s="34" t="s">
        <v>5</v>
      </c>
      <c r="D40" s="34" t="str">
        <f>+UPPER('0. Instruções'!$D$35&amp;"."&amp;VLOOKUP(B40,'0. Instruções'!$C$27:$D$32,2,FALSE))</f>
        <v>CD_LOAN_TAPES_BCE.LT003_ENTITY</v>
      </c>
      <c r="E40" s="34" t="str">
        <f>+UPPER('0. Instruções'!$D$36&amp;"."&amp;VLOOKUP(B40,'0. Instruções'!$C$27:$E$32,3,FALSE))</f>
        <v>BU_LOANTAPE_WORK.LT003_ENTITY</v>
      </c>
      <c r="F40" s="34" t="s">
        <v>351</v>
      </c>
      <c r="G40" s="34"/>
      <c r="H40" s="34" t="s">
        <v>648</v>
      </c>
      <c r="I40" s="34" t="str">
        <f>"(SELECT "&amp;VLOOKUP(B40,'0. Instruções'!$C$27:$G$32,4,FALSE)&amp;", "&amp;F40&amp;" FROM "&amp;D40&amp;" WHERE "&amp;'0. Instruções'!$D$42&amp;")X"</f>
        <v>(SELECT entty_id, FLG_RQST_BNKRPTCY FROM CD_LOAN_TAPES_BCE.LT003_ENTITY WHERE ref_date='${ref_date}' AND nome_perimetro='Individual Corporativo' AND segmento='ESTR' AND ambito='PM' AND entidade='00100')X</v>
      </c>
      <c r="J40" s="34" t="str">
        <f>"(SELECT "&amp;VLOOKUP(B40,'0. Instruções'!$C$27:$G$32,4,FALSE)&amp;" AS "&amp;VLOOKUP(B40,'0. Instruções'!$C$27:$G$32,4,FALSE)&amp;"_SIMUL, "&amp;F40&amp;" AS "&amp;F40&amp;"_SIMUL FROM "&amp;E40&amp;" WHERE "&amp;'0. Instruções'!$D$43&amp;")Y"</f>
        <v>(SELECT entty_id AS entty_id_SIMUL, FLG_RQST_BNKRPTCY AS FLG_RQST_BNKRPTCY_SIMUL FROM BU_LOANTAPE_WORK.LT003_ENTITY WHERE ref_date='${ref_date}' AND nome_perimetro='Individual Corporativo' AND segmento='ESTR' AND ambito='PM' AND entidade='00100')Y</v>
      </c>
      <c r="K40" s="35" t="str">
        <f>+UPPER("ON X."&amp;VLOOKUP(B40,'0. Instruções'!$C$27:$G$32,4,FALSE)&amp;"=Y."&amp;VLOOKUP(B40,'0. Instruções'!$C$27:$G$32,4,FALSE)&amp;"_SIMUL")</f>
        <v>ON X.ENTTY_ID=Y.ENTTY_ID_SIMUL</v>
      </c>
      <c r="L40" s="35" t="str">
        <f>+IF(C40="Coerência", +IF(LEFT(G40,5)="FLOAT","SELECT '"&amp;UPPER(B40)&amp;"' AS TABELA, '"&amp;UPPER(C40)&amp;"' AS TIPOLOGIA_TESTE,'"&amp;D40&amp;"' AS TABELA_LT,'"&amp;E40&amp;"' AS TABELA_SIMUL,'"&amp;F40&amp;"' AS CAMPO, "&amp;"'${ref_date}' AS REF_DATE, COUNT(*) AS NUM_REG, SUM(IF((ABS(COALESCE(CAST(X."&amp;F40&amp;" AS DECIMAL(18,6)),0)-COALESCE(CAST(Y."&amp;F40&amp;"_SIMUL AS DECIMAL(18,6)),0))&gt;0.000001) OR (X."&amp;F40&amp;" IS NULL AND Y."&amp;F40&amp;"_SIMUL IS NOT NULL ) OR (X."&amp;F40&amp;" IS NOT NULL AND Y."&amp;F40&amp;"_SIMUL IS NULL),1,0)) AS NUM_REG_DIF,'"&amp;MAX('ID1&amp;5'!K:K)+1&amp;"' AS ID_EXEC, CURRENT_TIMESTAMP() AS TIME_EXEC FROM "&amp;I40&amp;" INNER JOIN "&amp;J40&amp;" "&amp;K40,"SELECT '"&amp;UPPER(B40)&amp;"' AS TABELA, '"&amp;UPPER(C40)&amp;"' AS TIPOLOGIA_TESTE,'"&amp;D40&amp;"' AS TABELA_LT,'"&amp;E40&amp;"' AS TABELA_SIMUL,'"&amp;F40&amp;"' AS CAMPO, "&amp;"'${ref_date}' AS REF_DATE, COUNT(*) AS NUM_REG, SUM(IF(COALESCE(CAST(X."&amp;F40&amp;" AS STRING),'')&lt;&gt;COALESCE(CAST(Y."&amp;F40&amp;"_SIMUL AS STRING),'') OR (X."&amp;F40&amp;" IS NULL AND Y."&amp;F40&amp;"_SIMUL IS NOT NULL ) OR (X."&amp;F40&amp;" IS NOT NULL AND Y."&amp;F40&amp;"_SIMUL IS NULL),1,0)) AS NUM_REG_DIF,'"&amp;MAX('ID1&amp;5'!L:L)+1&amp;"' AS ID_EXEC, CURRENT_TIMESTAMP() AS TIME_EXEC FROM "&amp;I40&amp;" INNER JOIN "&amp;J40&amp;" "&amp;K40),
IF(C40="Validade",+IF(G40="Code List","SELECT '"&amp;UPPER(B40)&amp;"' AS TABELA, '"&amp;UPPER(C40)&amp;"' AS TIPOLOGIA_TESTE,'"&amp;D40&amp;"' AS TABELA_LT,'N/A' AS TABELA_SIMUL,'"&amp;F40&amp;"' AS CAMPO, "&amp;"'${ref_date}' AS REF_DATE, COUNT(*) AS NUM_REG, SUM(IF(TRIM(CAST(X."&amp;F40&amp;" AS STRING))='' OR TRIM(CAST(X."&amp;F40&amp;" AS STRING)) IS NULL OR CAST(X."&amp;F40&amp;" AS STRING) NOT "&amp;H40&amp;",1,0)) AS NUM_REG_DIF,'"&amp;MAX('ID1&amp;5'!K:K)+1&amp;"' AS ID_EXEC, CURRENT_TIMESTAMP() AS TIME_EXEC FROM "&amp;I40,"SELECT '"&amp;UPPER(B40)&amp;"' AS TABELA, '"&amp;UPPER(C40)&amp;"' AS TIPOLOGIA_TESTE,'"&amp;D40&amp;"' AS TABELA_LT,'N/A' AS TABELA_SIMUL,'"&amp;F40&amp;"' AS CAMPO, "&amp;"'${ref_date}' AS REF_DATE, COUNT(*) AS NUM_REG, SUM(IF(TRIM(CAST(X."&amp;F40&amp;" AS STRING))='' OR TRIM(CAST(X."&amp;F40&amp;" AS STRING)) IS NULL,1,0)) AS NUM_REG_DIF,'"&amp;MAX('ID1&amp;5'!K:K)+1&amp;"' AS ID_EXEC, CURRENT_TIMESTAMP() AS TIME_EXEC FROM "&amp;I40),
IF(C40="Caracteres Especiais",+"SELECT '"&amp;UPPER(B40)&amp;"' AS TABELA, '"&amp;UPPER(C40)&amp;"' AS TIPOLOGIA_TESTE,'"&amp;D40&amp;"' AS TABELA_LT,'N/A' AS TABELA_SIMUL,'"&amp;F40&amp;"' AS CAMPO, "&amp;"'${ref_date}' AS REF_DATE, COUNT(*) AS NUM_REG, SUM(IF(REGEXP_REPLACE(TRIM(CAST(X."&amp;F40&amp;" AS STRING)),'[^a-zA-Z0-9_\\s]','') &lt;&gt;TRIM(CAST(X."&amp;F40&amp;" AS STRING)),1,0)) AS NUM_REG_DIF,'"&amp;MAX('ID1&amp;5'!K:K)+1&amp;"' AS ID_EXEC, CURRENT_TIMESTAMP() AS TIME_EXEC FROM "&amp;I40,
IF(C40="Missings",+"SELECT '"&amp;UPPER(B40)&amp;"' AS TABELA, '"&amp;UPPER(C40)&amp;"' AS TIPOLOGIA_TESTE,'"&amp;D40&amp;"' AS TABELA_LT,'N/A' AS TABELA_SIMUL,'"&amp;F40&amp;"' AS CAMPO, "&amp;"'${ref_date}' AS REF_DATE, COUNT(*) AS NUM_REG, SUM(IF(TRIM(CAST(X."&amp;F40&amp;" AS STRING)) IN ('0000-00-00','0001-01-01','9999-12-31','MISS','00000','99999999999','99999999999.00','99999999999.000000'),1,0)) AS NUM_REG_DIF,'"&amp;MAX('ID1&amp;5'!K:K)+1&amp;"' AS ID_EXEC, CURRENT_TIMESTAMP() AS TIME_EXEC FROM "&amp;I40,
IF(C40="Not applicable",+"SELECT '"&amp;UPPER(B40)&amp;"' AS TABELA, '"&amp;UPPER(C40)&amp;"' AS TIPOLOGIA_TESTE,'"&amp;D40&amp;"' AS TABELA_LT,'N/A' AS TABELA_SIMUL,'"&amp;F40&amp;"' AS CAMPO, "&amp;"'${ref_date}' AS REF_DATE, COUNT(*) AS NUM_REG, SUM(IF(TRIM(CAST(X."&amp;F40&amp;" AS STRING)) IN ('N/A','11111111111','11111111111.00','11111111111.000000','1111-11-11'),1,0)) AS NUM_REG_DIF,'"&amp;MAX('ID1&amp;5'!K:K)+1&amp;"' AS ID_EXEC, CURRENT_TIMESTAMP() AS TIME_EXEC FROM "&amp;I40,
IF(C40="Valores extremos",+"SELECT '"&amp;UPPER(B40)&amp;"' AS TABELA, '"&amp;UPPER(C40)&amp;"' AS TIPOLOGIA_TESTE,'"&amp;D40&amp;"' AS TABELA_LT,'N/A' AS TABELA_SIMUL,'"&amp;F40&amp;"' AS CAMPO, "&amp;"'${ref_date}' AS REF_DATE, CAST(MIN("&amp;F40&amp;") AS STRING) AS VALOR_MIN, CAST(MAX("&amp;F40&amp;") AS STRING) AS VALOR_MAX,'"&amp;MAX('ID1&amp;5'!K:K)+1&amp;"' AS ID_EXEC, CURRENT_TIMESTAMP() AS TIME_EXEC FROM "&amp;MID(I40,1,LEN(I40)-2)&amp;" AND CAST("&amp;F40&amp;"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TABELA_SIMUL,'FLG_RQST_BNKRPTCY' AS CAMPO, '${ref_date}' AS REF_DATE, COUNT(*) AS NUM_REG, SUM(IF(COALESCE(CAST(X.FLG_RQST_BNKRPTCY AS STRING),'')&lt;&gt;COALESCE(CAST(Y.FLG_RQST_BNKRPTCY_SIMUL AS STRING),'') OR (X.FLG_RQST_BNKRPTCY IS NULL AND Y.FLG_RQST_BNKRPTCY_SIMUL IS NOT NULL ) OR (X.FLG_RQST_BNKRPTCY IS NOT NULL AND Y.FLG_RQST_BNKRPTCY_SIMUL IS NULL),1,0)) AS NUM_REG_DIF,'1' AS ID_EXEC, CURRENT_TIMESTAMP() AS TIME_EXEC FROM (SELECT entty_id, FLG_RQST_BNKRPTCY FROM CD_LOAN_TAPES_BCE.LT003_ENTITY WHERE ref_date='${ref_date}' AND nome_perimetro='Individual Corporativo' AND segmento='ESTR' AND ambito='PM' AND entidade='00100')X INNER JOIN (SELECT entty_id AS entty_id_SIMUL, FLG_RQST_BNKRPTCY AS FLG_RQST_BNKRPTCY_SIMUL FROM BU_LOANTAPE_WORK.LT003_ENTITY WHERE ref_date='${ref_date}' AND nome_perimetro='Individual Corporativo' AND segmento='ESTR' AND ambito='PM' AND entidade='00100')Y ON X.ENTTY_ID=Y.ENTTY_ID_SIMUL</v>
      </c>
      <c r="M40" s="36" t="str">
        <f t="shared" si="0"/>
        <v>UNION ALL SELECT 'ENTITY' AS TABELA, 'COERÊNCIA' AS TIPOLOGIA_TESTE,'CD_LOAN_TAPES_BCE.LT003_ENTITY' AS TABELA_LT,'BU_LOANTAPE_WORK.LT003_ENTITY' AS TABELA_SIMUL,'FLG_RQST_BNKRPTCY' AS CAMPO, '${ref_date}' AS REF_DATE, COUNT(*) AS NUM_REG, SUM(IF(COALESCE(CAST(X.FLG_RQST_BNKRPTCY AS STRING),'')&lt;&gt;COALESCE(CAST(Y.FLG_RQST_BNKRPTCY_SIMUL AS STRING),'') OR (X.FLG_RQST_BNKRPTCY IS NULL AND Y.FLG_RQST_BNKRPTCY_SIMUL IS NOT NULL ) OR (X.FLG_RQST_BNKRPTCY IS NOT NULL AND Y.FLG_RQST_BNKRPTCY_SIMUL IS NULL),1,0)) AS NUM_REG_DIF,'1' AS ID_EXEC, CURRENT_TIMESTAMP() AS TIME_EXEC FROM (SELECT entty_id, FLG_RQST_BNKRPTCY FROM CD_LOAN_TAPES_BCE.LT003_ENTITY WHERE ref_date='${ref_date}' AND nome_perimetro='Individual Corporativo' AND segmento='ESTR' AND ambito='PM' AND entidade='00100')X INNER JOIN (SELECT entty_id AS entty_id_SIMUL, FLG_RQST_BNKRPTCY AS FLG_RQST_BNKRPTCY_SIMUL FROM BU_LOANTAPE_WORK.LT003_ENTITY WHERE ref_date='${ref_date}' AND nome_perimetro='Individual Corporativo' AND segmento='ESTR' AND ambito='PM' AND entidade='00100')Y ON X.ENTTY_ID=Y.ENTTY_ID_SIMUL</v>
      </c>
      <c r="N40" s="38" t="s">
        <v>46</v>
      </c>
    </row>
    <row r="41" spans="2:14">
      <c r="B41" s="34" t="s">
        <v>127</v>
      </c>
      <c r="C41" s="34" t="s">
        <v>5</v>
      </c>
      <c r="D41" s="34" t="str">
        <f>+UPPER('0. Instruções'!$D$35&amp;"."&amp;VLOOKUP(B41,'0. Instruções'!$C$27:$D$32,2,FALSE))</f>
        <v>CD_LOAN_TAPES_BCE.LT003_ENTITY</v>
      </c>
      <c r="E41" s="34" t="str">
        <f>+UPPER('0. Instruções'!$D$36&amp;"."&amp;VLOOKUP(B41,'0. Instruções'!$C$27:$E$32,3,FALSE))</f>
        <v>BU_LOANTAPE_WORK.LT003_ENTITY</v>
      </c>
      <c r="F41" s="34" t="s">
        <v>352</v>
      </c>
      <c r="G41" s="34"/>
      <c r="H41" s="34" t="s">
        <v>648</v>
      </c>
      <c r="I41" s="34" t="str">
        <f>"(SELECT "&amp;VLOOKUP(B41,'0. Instruções'!$C$27:$G$32,4,FALSE)&amp;", "&amp;F41&amp;" FROM "&amp;D41&amp;" WHERE "&amp;'0. Instruções'!$D$42&amp;")X"</f>
        <v>(SELECT entty_id, FLG_RQST_DSTRSSD_RSTRCTRNG FROM CD_LOAN_TAPES_BCE.LT003_ENTITY WHERE ref_date='${ref_date}' AND nome_perimetro='Individual Corporativo' AND segmento='ESTR' AND ambito='PM' AND entidade='00100')X</v>
      </c>
      <c r="J41" s="34" t="str">
        <f>"(SELECT "&amp;VLOOKUP(B41,'0. Instruções'!$C$27:$G$32,4,FALSE)&amp;" AS "&amp;VLOOKUP(B41,'0. Instruções'!$C$27:$G$32,4,FALSE)&amp;"_SIMUL, "&amp;F41&amp;" AS "&amp;F41&amp;"_SIMUL FROM "&amp;E41&amp;" WHERE "&amp;'0. Instruções'!$D$43&amp;")Y"</f>
        <v>(SELECT entty_id AS entty_id_SIMUL, FLG_RQST_DSTRSSD_RSTRCTRNG AS FLG_RQST_DSTRSSD_RSTRCTRNG_SIMUL FROM BU_LOANTAPE_WORK.LT003_ENTITY WHERE ref_date='${ref_date}' AND nome_perimetro='Individual Corporativo' AND segmento='ESTR' AND ambito='PM' AND entidade='00100')Y</v>
      </c>
      <c r="K41" s="35" t="str">
        <f>+UPPER("ON X."&amp;VLOOKUP(B41,'0. Instruções'!$C$27:$G$32,4,FALSE)&amp;"=Y."&amp;VLOOKUP(B41,'0. Instruções'!$C$27:$G$32,4,FALSE)&amp;"_SIMUL")</f>
        <v>ON X.ENTTY_ID=Y.ENTTY_ID_SIMUL</v>
      </c>
      <c r="L41" s="35" t="str">
        <f>+IF(C41="Coerência", +IF(LEFT(G41,5)="FLOAT","SELECT '"&amp;UPPER(B41)&amp;"' AS TABELA, '"&amp;UPPER(C41)&amp;"' AS TIPOLOGIA_TESTE,'"&amp;D41&amp;"' AS TABELA_LT,'"&amp;E41&amp;"' AS TABELA_SIMUL,'"&amp;F41&amp;"' AS CAMPO, "&amp;"'${ref_date}' AS REF_DATE, COUNT(*) AS NUM_REG, SUM(IF((ABS(COALESCE(CAST(X."&amp;F41&amp;" AS DECIMAL(18,6)),0)-COALESCE(CAST(Y."&amp;F41&amp;"_SIMUL AS DECIMAL(18,6)),0))&gt;0.000001) OR (X."&amp;F41&amp;" IS NULL AND Y."&amp;F41&amp;"_SIMUL IS NOT NULL ) OR (X."&amp;F41&amp;" IS NOT NULL AND Y."&amp;F41&amp;"_SIMUL IS NULL),1,0)) AS NUM_REG_DIF,'"&amp;MAX('ID1&amp;5'!K:K)+1&amp;"' AS ID_EXEC, CURRENT_TIMESTAMP() AS TIME_EXEC FROM "&amp;I41&amp;" INNER JOIN "&amp;J41&amp;" "&amp;K41,"SELECT '"&amp;UPPER(B41)&amp;"' AS TABELA, '"&amp;UPPER(C41)&amp;"' AS TIPOLOGIA_TESTE,'"&amp;D41&amp;"' AS TABELA_LT,'"&amp;E41&amp;"' AS TABELA_SIMUL,'"&amp;F41&amp;"' AS CAMPO, "&amp;"'${ref_date}' AS REF_DATE, COUNT(*) AS NUM_REG, SUM(IF(COALESCE(CAST(X."&amp;F41&amp;" AS STRING),'')&lt;&gt;COALESCE(CAST(Y."&amp;F41&amp;"_SIMUL AS STRING),'') OR (X."&amp;F41&amp;" IS NULL AND Y."&amp;F41&amp;"_SIMUL IS NOT NULL ) OR (X."&amp;F41&amp;" IS NOT NULL AND Y."&amp;F41&amp;"_SIMUL IS NULL),1,0)) AS NUM_REG_DIF,'"&amp;MAX('ID1&amp;5'!L:L)+1&amp;"' AS ID_EXEC, CURRENT_TIMESTAMP() AS TIME_EXEC FROM "&amp;I41&amp;" INNER JOIN "&amp;J41&amp;" "&amp;K41),
IF(C41="Validade",+IF(G41="Code List","SELECT '"&amp;UPPER(B41)&amp;"' AS TABELA, '"&amp;UPPER(C41)&amp;"' AS TIPOLOGIA_TESTE,'"&amp;D41&amp;"' AS TABELA_LT,'N/A' AS TABELA_SIMUL,'"&amp;F41&amp;"' AS CAMPO, "&amp;"'${ref_date}' AS REF_DATE, COUNT(*) AS NUM_REG, SUM(IF(TRIM(CAST(X."&amp;F41&amp;" AS STRING))='' OR TRIM(CAST(X."&amp;F41&amp;" AS STRING)) IS NULL OR CAST(X."&amp;F41&amp;" AS STRING) NOT "&amp;H41&amp;",1,0)) AS NUM_REG_DIF,'"&amp;MAX('ID1&amp;5'!K:K)+1&amp;"' AS ID_EXEC, CURRENT_TIMESTAMP() AS TIME_EXEC FROM "&amp;I41,"SELECT '"&amp;UPPER(B41)&amp;"' AS TABELA, '"&amp;UPPER(C41)&amp;"' AS TIPOLOGIA_TESTE,'"&amp;D41&amp;"' AS TABELA_LT,'N/A' AS TABELA_SIMUL,'"&amp;F41&amp;"' AS CAMPO, "&amp;"'${ref_date}' AS REF_DATE, COUNT(*) AS NUM_REG, SUM(IF(TRIM(CAST(X."&amp;F41&amp;" AS STRING))='' OR TRIM(CAST(X."&amp;F41&amp;" AS STRING)) IS NULL,1,0)) AS NUM_REG_DIF,'"&amp;MAX('ID1&amp;5'!K:K)+1&amp;"' AS ID_EXEC, CURRENT_TIMESTAMP() AS TIME_EXEC FROM "&amp;I41),
IF(C41="Caracteres Especiais",+"SELECT '"&amp;UPPER(B41)&amp;"' AS TABELA, '"&amp;UPPER(C41)&amp;"' AS TIPOLOGIA_TESTE,'"&amp;D41&amp;"' AS TABELA_LT,'N/A' AS TABELA_SIMUL,'"&amp;F41&amp;"' AS CAMPO, "&amp;"'${ref_date}' AS REF_DATE, COUNT(*) AS NUM_REG, SUM(IF(REGEXP_REPLACE(TRIM(CAST(X."&amp;F41&amp;" AS STRING)),'[^a-zA-Z0-9_\\s]','') &lt;&gt;TRIM(CAST(X."&amp;F41&amp;" AS STRING)),1,0)) AS NUM_REG_DIF,'"&amp;MAX('ID1&amp;5'!K:K)+1&amp;"' AS ID_EXEC, CURRENT_TIMESTAMP() AS TIME_EXEC FROM "&amp;I41,
IF(C41="Missings",+"SELECT '"&amp;UPPER(B41)&amp;"' AS TABELA, '"&amp;UPPER(C41)&amp;"' AS TIPOLOGIA_TESTE,'"&amp;D41&amp;"' AS TABELA_LT,'N/A' AS TABELA_SIMUL,'"&amp;F41&amp;"' AS CAMPO, "&amp;"'${ref_date}' AS REF_DATE, COUNT(*) AS NUM_REG, SUM(IF(TRIM(CAST(X."&amp;F41&amp;" AS STRING)) IN ('0000-00-00','0001-01-01','9999-12-31','MISS','00000','99999999999','99999999999.00','99999999999.000000'),1,0)) AS NUM_REG_DIF,'"&amp;MAX('ID1&amp;5'!K:K)+1&amp;"' AS ID_EXEC, CURRENT_TIMESTAMP() AS TIME_EXEC FROM "&amp;I41,
IF(C41="Not applicable",+"SELECT '"&amp;UPPER(B41)&amp;"' AS TABELA, '"&amp;UPPER(C41)&amp;"' AS TIPOLOGIA_TESTE,'"&amp;D41&amp;"' AS TABELA_LT,'N/A' AS TABELA_SIMUL,'"&amp;F41&amp;"' AS CAMPO, "&amp;"'${ref_date}' AS REF_DATE, COUNT(*) AS NUM_REG, SUM(IF(TRIM(CAST(X."&amp;F41&amp;" AS STRING)) IN ('N/A','11111111111','11111111111.00','11111111111.000000','1111-11-11'),1,0)) AS NUM_REG_DIF,'"&amp;MAX('ID1&amp;5'!K:K)+1&amp;"' AS ID_EXEC, CURRENT_TIMESTAMP() AS TIME_EXEC FROM "&amp;I41,
IF(C41="Valores extremos",+"SELECT '"&amp;UPPER(B41)&amp;"' AS TABELA, '"&amp;UPPER(C41)&amp;"' AS TIPOLOGIA_TESTE,'"&amp;D41&amp;"' AS TABELA_LT,'N/A' AS TABELA_SIMUL,'"&amp;F41&amp;"' AS CAMPO, "&amp;"'${ref_date}' AS REF_DATE, CAST(MIN("&amp;F41&amp;") AS STRING) AS VALOR_MIN, CAST(MAX("&amp;F41&amp;") AS STRING) AS VALOR_MAX,'"&amp;MAX('ID1&amp;5'!K:K)+1&amp;"' AS ID_EXEC, CURRENT_TIMESTAMP() AS TIME_EXEC FROM "&amp;MID(I41,1,LEN(I41)-2)&amp;" AND CAST("&amp;F41&amp;"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TABELA_SIMUL,'FLG_RQST_DSTRSSD_RSTRCTRNG' AS CAMPO, '${ref_date}' AS REF_DATE, COUNT(*) AS NUM_REG, SUM(IF(COALESCE(CAST(X.FLG_RQST_DSTRSSD_RSTRCTRNG AS STRING),'')&lt;&gt;COALESCE(CAST(Y.FLG_RQST_DSTRSSD_RSTRCTRNG_SIMUL AS STRING),'') OR (X.FLG_RQST_DSTRSSD_RSTRCTRNG IS NULL AND Y.FLG_RQST_DSTRSSD_RSTRCTRNG_SIMUL IS NOT NULL ) OR (X.FLG_RQST_DSTRSSD_RSTRCTRNG IS NOT NULL AND Y.FLG_RQST_DSTRSSD_RSTRCTRNG_SIMUL IS NULL),1,0)) AS NUM_REG_DIF,'1' AS ID_EXEC, CURRENT_TIMESTAMP() AS TIME_EXEC FROM (SELECT entty_id, FLG_RQST_DSTRSSD_RSTRCTRNG FROM CD_LOAN_TAPES_BCE.LT003_ENTITY WHERE ref_date='${ref_date}' AND nome_perimetro='Individual Corporativo' AND segmento='ESTR' AND ambito='PM' AND entidade='00100')X INNER JOIN (SELECT entty_id AS entty_id_SIMUL, FLG_RQST_DSTRSSD_RSTRCTRNG AS FLG_RQST_DSTRSSD_RSTRCTRNG_SIMUL FROM BU_LOANTAPE_WORK.LT003_ENTITY WHERE ref_date='${ref_date}' AND nome_perimetro='Individual Corporativo' AND segmento='ESTR' AND ambito='PM' AND entidade='00100')Y ON X.ENTTY_ID=Y.ENTTY_ID_SIMUL</v>
      </c>
      <c r="M41" s="36" t="str">
        <f t="shared" si="0"/>
        <v>UNION ALL SELECT 'ENTITY' AS TABELA, 'COERÊNCIA' AS TIPOLOGIA_TESTE,'CD_LOAN_TAPES_BCE.LT003_ENTITY' AS TABELA_LT,'BU_LOANTAPE_WORK.LT003_ENTITY' AS TABELA_SIMUL,'FLG_RQST_DSTRSSD_RSTRCTRNG' AS CAMPO, '${ref_date}' AS REF_DATE, COUNT(*) AS NUM_REG, SUM(IF(COALESCE(CAST(X.FLG_RQST_DSTRSSD_RSTRCTRNG AS STRING),'')&lt;&gt;COALESCE(CAST(Y.FLG_RQST_DSTRSSD_RSTRCTRNG_SIMUL AS STRING),'') OR (X.FLG_RQST_DSTRSSD_RSTRCTRNG IS NULL AND Y.FLG_RQST_DSTRSSD_RSTRCTRNG_SIMUL IS NOT NULL ) OR (X.FLG_RQST_DSTRSSD_RSTRCTRNG IS NOT NULL AND Y.FLG_RQST_DSTRSSD_RSTRCTRNG_SIMUL IS NULL),1,0)) AS NUM_REG_DIF,'1' AS ID_EXEC, CURRENT_TIMESTAMP() AS TIME_EXEC FROM (SELECT entty_id, FLG_RQST_DSTRSSD_RSTRCTRNG FROM CD_LOAN_TAPES_BCE.LT003_ENTITY WHERE ref_date='${ref_date}' AND nome_perimetro='Individual Corporativo' AND segmento='ESTR' AND ambito='PM' AND entidade='00100')X INNER JOIN (SELECT entty_id AS entty_id_SIMUL, FLG_RQST_DSTRSSD_RSTRCTRNG AS FLG_RQST_DSTRSSD_RSTRCTRNG_SIMUL FROM BU_LOANTAPE_WORK.LT003_ENTITY WHERE ref_date='${ref_date}' AND nome_perimetro='Individual Corporativo' AND segmento='ESTR' AND ambito='PM' AND entidade='00100')Y ON X.ENTTY_ID=Y.ENTTY_ID_SIMUL</v>
      </c>
      <c r="N41" s="38" t="s">
        <v>46</v>
      </c>
    </row>
    <row r="42" spans="2:14">
      <c r="B42" s="34" t="s">
        <v>127</v>
      </c>
      <c r="C42" s="34" t="s">
        <v>5</v>
      </c>
      <c r="D42" s="34" t="str">
        <f>+UPPER('0. Instruções'!$D$35&amp;"."&amp;VLOOKUP(B42,'0. Instruções'!$C$27:$D$32,2,FALSE))</f>
        <v>CD_LOAN_TAPES_BCE.LT003_ENTITY</v>
      </c>
      <c r="E42" s="34" t="str">
        <f>+UPPER('0. Instruções'!$D$36&amp;"."&amp;VLOOKUP(B42,'0. Instruções'!$C$27:$E$32,3,FALSE))</f>
        <v>BU_LOANTAPE_WORK.LT003_ENTITY</v>
      </c>
      <c r="F42" s="34" t="s">
        <v>353</v>
      </c>
      <c r="G42" s="34"/>
      <c r="H42" s="34" t="s">
        <v>648</v>
      </c>
      <c r="I42" s="34" t="str">
        <f>"(SELECT "&amp;VLOOKUP(B42,'0. Instruções'!$C$27:$G$32,4,FALSE)&amp;", "&amp;F42&amp;" FROM "&amp;D42&amp;" WHERE "&amp;'0. Instruções'!$D$42&amp;")X"</f>
        <v>(SELECT entty_id, FLG_RQST_EMRGNCY_FNDNG FROM CD_LOAN_TAPES_BCE.LT003_ENTITY WHERE ref_date='${ref_date}' AND nome_perimetro='Individual Corporativo' AND segmento='ESTR' AND ambito='PM' AND entidade='00100')X</v>
      </c>
      <c r="J42" s="34" t="str">
        <f>"(SELECT "&amp;VLOOKUP(B42,'0. Instruções'!$C$27:$G$32,4,FALSE)&amp;" AS "&amp;VLOOKUP(B42,'0. Instruções'!$C$27:$G$32,4,FALSE)&amp;"_SIMUL, "&amp;F42&amp;" AS "&amp;F42&amp;"_SIMUL FROM "&amp;E42&amp;" WHERE "&amp;'0. Instruções'!$D$43&amp;")Y"</f>
        <v>(SELECT entty_id AS entty_id_SIMUL, FLG_RQST_EMRGNCY_FNDNG AS FLG_RQST_EMRGNCY_FNDNG_SIMUL FROM BU_LOANTAPE_WORK.LT003_ENTITY WHERE ref_date='${ref_date}' AND nome_perimetro='Individual Corporativo' AND segmento='ESTR' AND ambito='PM' AND entidade='00100')Y</v>
      </c>
      <c r="K42" s="35" t="str">
        <f>+UPPER("ON X."&amp;VLOOKUP(B42,'0. Instruções'!$C$27:$G$32,4,FALSE)&amp;"=Y."&amp;VLOOKUP(B42,'0. Instruções'!$C$27:$G$32,4,FALSE)&amp;"_SIMUL")</f>
        <v>ON X.ENTTY_ID=Y.ENTTY_ID_SIMUL</v>
      </c>
      <c r="L42" s="35" t="str">
        <f>+IF(C42="Coerência", +IF(LEFT(G42,5)="FLOAT","SELECT '"&amp;UPPER(B42)&amp;"' AS TABELA, '"&amp;UPPER(C42)&amp;"' AS TIPOLOGIA_TESTE,'"&amp;D42&amp;"' AS TABELA_LT,'"&amp;E42&amp;"' AS TABELA_SIMUL,'"&amp;F42&amp;"' AS CAMPO, "&amp;"'${ref_date}' AS REF_DATE, COUNT(*) AS NUM_REG, SUM(IF((ABS(COALESCE(CAST(X."&amp;F42&amp;" AS DECIMAL(18,6)),0)-COALESCE(CAST(Y."&amp;F42&amp;"_SIMUL AS DECIMAL(18,6)),0))&gt;0.000001) OR (X."&amp;F42&amp;" IS NULL AND Y."&amp;F42&amp;"_SIMUL IS NOT NULL ) OR (X."&amp;F42&amp;" IS NOT NULL AND Y."&amp;F42&amp;"_SIMUL IS NULL),1,0)) AS NUM_REG_DIF,'"&amp;MAX('ID1&amp;5'!K:K)+1&amp;"' AS ID_EXEC, CURRENT_TIMESTAMP() AS TIME_EXEC FROM "&amp;I42&amp;" INNER JOIN "&amp;J42&amp;" "&amp;K42,"SELECT '"&amp;UPPER(B42)&amp;"' AS TABELA, '"&amp;UPPER(C42)&amp;"' AS TIPOLOGIA_TESTE,'"&amp;D42&amp;"' AS TABELA_LT,'"&amp;E42&amp;"' AS TABELA_SIMUL,'"&amp;F42&amp;"' AS CAMPO, "&amp;"'${ref_date}' AS REF_DATE, COUNT(*) AS NUM_REG, SUM(IF(COALESCE(CAST(X."&amp;F42&amp;" AS STRING),'')&lt;&gt;COALESCE(CAST(Y."&amp;F42&amp;"_SIMUL AS STRING),'') OR (X."&amp;F42&amp;" IS NULL AND Y."&amp;F42&amp;"_SIMUL IS NOT NULL ) OR (X."&amp;F42&amp;" IS NOT NULL AND Y."&amp;F42&amp;"_SIMUL IS NULL),1,0)) AS NUM_REG_DIF,'"&amp;MAX('ID1&amp;5'!L:L)+1&amp;"' AS ID_EXEC, CURRENT_TIMESTAMP() AS TIME_EXEC FROM "&amp;I42&amp;" INNER JOIN "&amp;J42&amp;" "&amp;K42),
IF(C42="Validade",+IF(G42="Code List","SELECT '"&amp;UPPER(B42)&amp;"' AS TABELA, '"&amp;UPPER(C42)&amp;"' AS TIPOLOGIA_TESTE,'"&amp;D42&amp;"' AS TABELA_LT,'N/A' AS TABELA_SIMUL,'"&amp;F42&amp;"' AS CAMPO, "&amp;"'${ref_date}' AS REF_DATE, COUNT(*) AS NUM_REG, SUM(IF(TRIM(CAST(X."&amp;F42&amp;" AS STRING))='' OR TRIM(CAST(X."&amp;F42&amp;" AS STRING)) IS NULL OR CAST(X."&amp;F42&amp;" AS STRING) NOT "&amp;H42&amp;",1,0)) AS NUM_REG_DIF,'"&amp;MAX('ID1&amp;5'!K:K)+1&amp;"' AS ID_EXEC, CURRENT_TIMESTAMP() AS TIME_EXEC FROM "&amp;I42,"SELECT '"&amp;UPPER(B42)&amp;"' AS TABELA, '"&amp;UPPER(C42)&amp;"' AS TIPOLOGIA_TESTE,'"&amp;D42&amp;"' AS TABELA_LT,'N/A' AS TABELA_SIMUL,'"&amp;F42&amp;"' AS CAMPO, "&amp;"'${ref_date}' AS REF_DATE, COUNT(*) AS NUM_REG, SUM(IF(TRIM(CAST(X."&amp;F42&amp;" AS STRING))='' OR TRIM(CAST(X."&amp;F42&amp;" AS STRING)) IS NULL,1,0)) AS NUM_REG_DIF,'"&amp;MAX('ID1&amp;5'!K:K)+1&amp;"' AS ID_EXEC, CURRENT_TIMESTAMP() AS TIME_EXEC FROM "&amp;I42),
IF(C42="Caracteres Especiais",+"SELECT '"&amp;UPPER(B42)&amp;"' AS TABELA, '"&amp;UPPER(C42)&amp;"' AS TIPOLOGIA_TESTE,'"&amp;D42&amp;"' AS TABELA_LT,'N/A' AS TABELA_SIMUL,'"&amp;F42&amp;"' AS CAMPO, "&amp;"'${ref_date}' AS REF_DATE, COUNT(*) AS NUM_REG, SUM(IF(REGEXP_REPLACE(TRIM(CAST(X."&amp;F42&amp;" AS STRING)),'[^a-zA-Z0-9_\\s]','') &lt;&gt;TRIM(CAST(X."&amp;F42&amp;" AS STRING)),1,0)) AS NUM_REG_DIF,'"&amp;MAX('ID1&amp;5'!K:K)+1&amp;"' AS ID_EXEC, CURRENT_TIMESTAMP() AS TIME_EXEC FROM "&amp;I42,
IF(C42="Missings",+"SELECT '"&amp;UPPER(B42)&amp;"' AS TABELA, '"&amp;UPPER(C42)&amp;"' AS TIPOLOGIA_TESTE,'"&amp;D42&amp;"' AS TABELA_LT,'N/A' AS TABELA_SIMUL,'"&amp;F42&amp;"' AS CAMPO, "&amp;"'${ref_date}' AS REF_DATE, COUNT(*) AS NUM_REG, SUM(IF(TRIM(CAST(X."&amp;F42&amp;" AS STRING)) IN ('0000-00-00','0001-01-01','9999-12-31','MISS','00000','99999999999','99999999999.00','99999999999.000000'),1,0)) AS NUM_REG_DIF,'"&amp;MAX('ID1&amp;5'!K:K)+1&amp;"' AS ID_EXEC, CURRENT_TIMESTAMP() AS TIME_EXEC FROM "&amp;I42,
IF(C42="Not applicable",+"SELECT '"&amp;UPPER(B42)&amp;"' AS TABELA, '"&amp;UPPER(C42)&amp;"' AS TIPOLOGIA_TESTE,'"&amp;D42&amp;"' AS TABELA_LT,'N/A' AS TABELA_SIMUL,'"&amp;F42&amp;"' AS CAMPO, "&amp;"'${ref_date}' AS REF_DATE, COUNT(*) AS NUM_REG, SUM(IF(TRIM(CAST(X."&amp;F42&amp;" AS STRING)) IN ('N/A','11111111111','11111111111.00','11111111111.000000','1111-11-11'),1,0)) AS NUM_REG_DIF,'"&amp;MAX('ID1&amp;5'!K:K)+1&amp;"' AS ID_EXEC, CURRENT_TIMESTAMP() AS TIME_EXEC FROM "&amp;I42,
IF(C42="Valores extremos",+"SELECT '"&amp;UPPER(B42)&amp;"' AS TABELA, '"&amp;UPPER(C42)&amp;"' AS TIPOLOGIA_TESTE,'"&amp;D42&amp;"' AS TABELA_LT,'N/A' AS TABELA_SIMUL,'"&amp;F42&amp;"' AS CAMPO, "&amp;"'${ref_date}' AS REF_DATE, CAST(MIN("&amp;F42&amp;") AS STRING) AS VALOR_MIN, CAST(MAX("&amp;F42&amp;") AS STRING) AS VALOR_MAX,'"&amp;MAX('ID1&amp;5'!K:K)+1&amp;"' AS ID_EXEC, CURRENT_TIMESTAMP() AS TIME_EXEC FROM "&amp;MID(I42,1,LEN(I42)-2)&amp;" AND CAST("&amp;F42&amp;"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TABELA_SIMUL,'FLG_RQST_EMRGNCY_FNDNG' AS CAMPO, '${ref_date}' AS REF_DATE, COUNT(*) AS NUM_REG, SUM(IF(COALESCE(CAST(X.FLG_RQST_EMRGNCY_FNDNG AS STRING),'')&lt;&gt;COALESCE(CAST(Y.FLG_RQST_EMRGNCY_FNDNG_SIMUL AS STRING),'') OR (X.FLG_RQST_EMRGNCY_FNDNG IS NULL AND Y.FLG_RQST_EMRGNCY_FNDNG_SIMUL IS NOT NULL ) OR (X.FLG_RQST_EMRGNCY_FNDNG IS NOT NULL AND Y.FLG_RQST_EMRGNCY_FNDNG_SIMUL IS NULL),1,0)) AS NUM_REG_DIF,'1' AS ID_EXEC, CURRENT_TIMESTAMP() AS TIME_EXEC FROM (SELECT entty_id, FLG_RQST_EMRGNCY_FNDNG FROM CD_LOAN_TAPES_BCE.LT003_ENTITY WHERE ref_date='${ref_date}' AND nome_perimetro='Individual Corporativo' AND segmento='ESTR' AND ambito='PM' AND entidade='00100')X INNER JOIN (SELECT entty_id AS entty_id_SIMUL, FLG_RQST_EMRGNCY_FNDNG AS FLG_RQST_EMRGNCY_FNDNG_SIMUL FROM BU_LOANTAPE_WORK.LT003_ENTITY WHERE ref_date='${ref_date}' AND nome_perimetro='Individual Corporativo' AND segmento='ESTR' AND ambito='PM' AND entidade='00100')Y ON X.ENTTY_ID=Y.ENTTY_ID_SIMUL</v>
      </c>
      <c r="M42" s="36" t="str">
        <f t="shared" si="0"/>
        <v>UNION ALL SELECT 'ENTITY' AS TABELA, 'COERÊNCIA' AS TIPOLOGIA_TESTE,'CD_LOAN_TAPES_BCE.LT003_ENTITY' AS TABELA_LT,'BU_LOANTAPE_WORK.LT003_ENTITY' AS TABELA_SIMUL,'FLG_RQST_EMRGNCY_FNDNG' AS CAMPO, '${ref_date}' AS REF_DATE, COUNT(*) AS NUM_REG, SUM(IF(COALESCE(CAST(X.FLG_RQST_EMRGNCY_FNDNG AS STRING),'')&lt;&gt;COALESCE(CAST(Y.FLG_RQST_EMRGNCY_FNDNG_SIMUL AS STRING),'') OR (X.FLG_RQST_EMRGNCY_FNDNG IS NULL AND Y.FLG_RQST_EMRGNCY_FNDNG_SIMUL IS NOT NULL ) OR (X.FLG_RQST_EMRGNCY_FNDNG IS NOT NULL AND Y.FLG_RQST_EMRGNCY_FNDNG_SIMUL IS NULL),1,0)) AS NUM_REG_DIF,'1' AS ID_EXEC, CURRENT_TIMESTAMP() AS TIME_EXEC FROM (SELECT entty_id, FLG_RQST_EMRGNCY_FNDNG FROM CD_LOAN_TAPES_BCE.LT003_ENTITY WHERE ref_date='${ref_date}' AND nome_perimetro='Individual Corporativo' AND segmento='ESTR' AND ambito='PM' AND entidade='00100')X INNER JOIN (SELECT entty_id AS entty_id_SIMUL, FLG_RQST_EMRGNCY_FNDNG AS FLG_RQST_EMRGNCY_FNDNG_SIMUL FROM BU_LOANTAPE_WORK.LT003_ENTITY WHERE ref_date='${ref_date}' AND nome_perimetro='Individual Corporativo' AND segmento='ESTR' AND ambito='PM' AND entidade='00100')Y ON X.ENTTY_ID=Y.ENTTY_ID_SIMUL</v>
      </c>
      <c r="N42" s="38" t="s">
        <v>46</v>
      </c>
    </row>
    <row r="43" spans="2:14">
      <c r="B43" s="34" t="s">
        <v>127</v>
      </c>
      <c r="C43" s="34" t="s">
        <v>5</v>
      </c>
      <c r="D43" s="34" t="str">
        <f>+UPPER('0. Instruções'!$D$35&amp;"."&amp;VLOOKUP(B43,'0. Instruções'!$C$27:$D$32,2,FALSE))</f>
        <v>CD_LOAN_TAPES_BCE.LT003_ENTITY</v>
      </c>
      <c r="E43" s="34" t="str">
        <f>+UPPER('0. Instruções'!$D$36&amp;"."&amp;VLOOKUP(B43,'0. Instruções'!$C$27:$E$32,3,FALSE))</f>
        <v>BU_LOANTAPE_WORK.LT003_ENTITY</v>
      </c>
      <c r="F43" s="34" t="s">
        <v>354</v>
      </c>
      <c r="G43" s="34"/>
      <c r="H43" s="34" t="s">
        <v>648</v>
      </c>
      <c r="I43" s="34" t="str">
        <f>"(SELECT "&amp;VLOOKUP(B43,'0. Instruções'!$C$27:$G$32,4,FALSE)&amp;", "&amp;F43&amp;" FROM "&amp;D43&amp;" WHERE "&amp;'0. Instruções'!$D$42&amp;")X"</f>
        <v>(SELECT entty_id, FLG_SLL_WTH_LSS FROM CD_LOAN_TAPES_BCE.LT003_ENTITY WHERE ref_date='${ref_date}' AND nome_perimetro='Individual Corporativo' AND segmento='ESTR' AND ambito='PM' AND entidade='00100')X</v>
      </c>
      <c r="J43" s="34" t="str">
        <f>"(SELECT "&amp;VLOOKUP(B43,'0. Instruções'!$C$27:$G$32,4,FALSE)&amp;" AS "&amp;VLOOKUP(B43,'0. Instruções'!$C$27:$G$32,4,FALSE)&amp;"_SIMUL, "&amp;F43&amp;" AS "&amp;F43&amp;"_SIMUL FROM "&amp;E43&amp;" WHERE "&amp;'0. Instruções'!$D$43&amp;")Y"</f>
        <v>(SELECT entty_id AS entty_id_SIMUL, FLG_SLL_WTH_LSS AS FLG_SLL_WTH_LSS_SIMUL FROM BU_LOANTAPE_WORK.LT003_ENTITY WHERE ref_date='${ref_date}' AND nome_perimetro='Individual Corporativo' AND segmento='ESTR' AND ambito='PM' AND entidade='00100')Y</v>
      </c>
      <c r="K43" s="35" t="str">
        <f>+UPPER("ON X."&amp;VLOOKUP(B43,'0. Instruções'!$C$27:$G$32,4,FALSE)&amp;"=Y."&amp;VLOOKUP(B43,'0. Instruções'!$C$27:$G$32,4,FALSE)&amp;"_SIMUL")</f>
        <v>ON X.ENTTY_ID=Y.ENTTY_ID_SIMUL</v>
      </c>
      <c r="L43" s="35" t="str">
        <f>+IF(C43="Coerência", +IF(LEFT(G43,5)="FLOAT","SELECT '"&amp;UPPER(B43)&amp;"' AS TABELA, '"&amp;UPPER(C43)&amp;"' AS TIPOLOGIA_TESTE,'"&amp;D43&amp;"' AS TABELA_LT,'"&amp;E43&amp;"' AS TABELA_SIMUL,'"&amp;F43&amp;"' AS CAMPO, "&amp;"'${ref_date}' AS REF_DATE, COUNT(*) AS NUM_REG, SUM(IF((ABS(COALESCE(CAST(X."&amp;F43&amp;" AS DECIMAL(18,6)),0)-COALESCE(CAST(Y."&amp;F43&amp;"_SIMUL AS DECIMAL(18,6)),0))&gt;0.000001) OR (X."&amp;F43&amp;" IS NULL AND Y."&amp;F43&amp;"_SIMUL IS NOT NULL ) OR (X."&amp;F43&amp;" IS NOT NULL AND Y."&amp;F43&amp;"_SIMUL IS NULL),1,0)) AS NUM_REG_DIF,'"&amp;MAX('ID1&amp;5'!K:K)+1&amp;"' AS ID_EXEC, CURRENT_TIMESTAMP() AS TIME_EXEC FROM "&amp;I43&amp;" INNER JOIN "&amp;J43&amp;" "&amp;K43,"SELECT '"&amp;UPPER(B43)&amp;"' AS TABELA, '"&amp;UPPER(C43)&amp;"' AS TIPOLOGIA_TESTE,'"&amp;D43&amp;"' AS TABELA_LT,'"&amp;E43&amp;"' AS TABELA_SIMUL,'"&amp;F43&amp;"' AS CAMPO, "&amp;"'${ref_date}' AS REF_DATE, COUNT(*) AS NUM_REG, SUM(IF(COALESCE(CAST(X."&amp;F43&amp;" AS STRING),'')&lt;&gt;COALESCE(CAST(Y."&amp;F43&amp;"_SIMUL AS STRING),'') OR (X."&amp;F43&amp;" IS NULL AND Y."&amp;F43&amp;"_SIMUL IS NOT NULL ) OR (X."&amp;F43&amp;" IS NOT NULL AND Y."&amp;F43&amp;"_SIMUL IS NULL),1,0)) AS NUM_REG_DIF,'"&amp;MAX('ID1&amp;5'!L:L)+1&amp;"' AS ID_EXEC, CURRENT_TIMESTAMP() AS TIME_EXEC FROM "&amp;I43&amp;" INNER JOIN "&amp;J43&amp;" "&amp;K43),
IF(C43="Validade",+IF(G43="Code List","SELECT '"&amp;UPPER(B43)&amp;"' AS TABELA, '"&amp;UPPER(C43)&amp;"' AS TIPOLOGIA_TESTE,'"&amp;D43&amp;"' AS TABELA_LT,'N/A' AS TABELA_SIMUL,'"&amp;F43&amp;"' AS CAMPO, "&amp;"'${ref_date}' AS REF_DATE, COUNT(*) AS NUM_REG, SUM(IF(TRIM(CAST(X."&amp;F43&amp;" AS STRING))='' OR TRIM(CAST(X."&amp;F43&amp;" AS STRING)) IS NULL OR CAST(X."&amp;F43&amp;" AS STRING) NOT "&amp;H43&amp;",1,0)) AS NUM_REG_DIF,'"&amp;MAX('ID1&amp;5'!K:K)+1&amp;"' AS ID_EXEC, CURRENT_TIMESTAMP() AS TIME_EXEC FROM "&amp;I43,"SELECT '"&amp;UPPER(B43)&amp;"' AS TABELA, '"&amp;UPPER(C43)&amp;"' AS TIPOLOGIA_TESTE,'"&amp;D43&amp;"' AS TABELA_LT,'N/A' AS TABELA_SIMUL,'"&amp;F43&amp;"' AS CAMPO, "&amp;"'${ref_date}' AS REF_DATE, COUNT(*) AS NUM_REG, SUM(IF(TRIM(CAST(X."&amp;F43&amp;" AS STRING))='' OR TRIM(CAST(X."&amp;F43&amp;" AS STRING)) IS NULL,1,0)) AS NUM_REG_DIF,'"&amp;MAX('ID1&amp;5'!K:K)+1&amp;"' AS ID_EXEC, CURRENT_TIMESTAMP() AS TIME_EXEC FROM "&amp;I43),
IF(C43="Caracteres Especiais",+"SELECT '"&amp;UPPER(B43)&amp;"' AS TABELA, '"&amp;UPPER(C43)&amp;"' AS TIPOLOGIA_TESTE,'"&amp;D43&amp;"' AS TABELA_LT,'N/A' AS TABELA_SIMUL,'"&amp;F43&amp;"' AS CAMPO, "&amp;"'${ref_date}' AS REF_DATE, COUNT(*) AS NUM_REG, SUM(IF(REGEXP_REPLACE(TRIM(CAST(X."&amp;F43&amp;" AS STRING)),'[^a-zA-Z0-9_\\s]','') &lt;&gt;TRIM(CAST(X."&amp;F43&amp;" AS STRING)),1,0)) AS NUM_REG_DIF,'"&amp;MAX('ID1&amp;5'!K:K)+1&amp;"' AS ID_EXEC, CURRENT_TIMESTAMP() AS TIME_EXEC FROM "&amp;I43,
IF(C43="Missings",+"SELECT '"&amp;UPPER(B43)&amp;"' AS TABELA, '"&amp;UPPER(C43)&amp;"' AS TIPOLOGIA_TESTE,'"&amp;D43&amp;"' AS TABELA_LT,'N/A' AS TABELA_SIMUL,'"&amp;F43&amp;"' AS CAMPO, "&amp;"'${ref_date}' AS REF_DATE, COUNT(*) AS NUM_REG, SUM(IF(TRIM(CAST(X."&amp;F43&amp;" AS STRING)) IN ('0000-00-00','0001-01-01','9999-12-31','MISS','00000','99999999999','99999999999.00','99999999999.000000'),1,0)) AS NUM_REG_DIF,'"&amp;MAX('ID1&amp;5'!K:K)+1&amp;"' AS ID_EXEC, CURRENT_TIMESTAMP() AS TIME_EXEC FROM "&amp;I43,
IF(C43="Not applicable",+"SELECT '"&amp;UPPER(B43)&amp;"' AS TABELA, '"&amp;UPPER(C43)&amp;"' AS TIPOLOGIA_TESTE,'"&amp;D43&amp;"' AS TABELA_LT,'N/A' AS TABELA_SIMUL,'"&amp;F43&amp;"' AS CAMPO, "&amp;"'${ref_date}' AS REF_DATE, COUNT(*) AS NUM_REG, SUM(IF(TRIM(CAST(X."&amp;F43&amp;" AS STRING)) IN ('N/A','11111111111','11111111111.00','11111111111.000000','1111-11-11'),1,0)) AS NUM_REG_DIF,'"&amp;MAX('ID1&amp;5'!K:K)+1&amp;"' AS ID_EXEC, CURRENT_TIMESTAMP() AS TIME_EXEC FROM "&amp;I43,
IF(C43="Valores extremos",+"SELECT '"&amp;UPPER(B43)&amp;"' AS TABELA, '"&amp;UPPER(C43)&amp;"' AS TIPOLOGIA_TESTE,'"&amp;D43&amp;"' AS TABELA_LT,'N/A' AS TABELA_SIMUL,'"&amp;F43&amp;"' AS CAMPO, "&amp;"'${ref_date}' AS REF_DATE, CAST(MIN("&amp;F43&amp;") AS STRING) AS VALOR_MIN, CAST(MAX("&amp;F43&amp;") AS STRING) AS VALOR_MAX,'"&amp;MAX('ID1&amp;5'!K:K)+1&amp;"' AS ID_EXEC, CURRENT_TIMESTAMP() AS TIME_EXEC FROM "&amp;MID(I43,1,LEN(I43)-2)&amp;" AND CAST("&amp;F43&amp;"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TABELA_SIMUL,'FLG_SLL_WTH_LSS' AS CAMPO, '${ref_date}' AS REF_DATE, COUNT(*) AS NUM_REG, SUM(IF(COALESCE(CAST(X.FLG_SLL_WTH_LSS AS STRING),'')&lt;&gt;COALESCE(CAST(Y.FLG_SLL_WTH_LSS_SIMUL AS STRING),'') OR (X.FLG_SLL_WTH_LSS IS NULL AND Y.FLG_SLL_WTH_LSS_SIMUL IS NOT NULL ) OR (X.FLG_SLL_WTH_LSS IS NOT NULL AND Y.FLG_SLL_WTH_LSS_SIMUL IS NULL),1,0)) AS NUM_REG_DIF,'1' AS ID_EXEC, CURRENT_TIMESTAMP() AS TIME_EXEC FROM (SELECT entty_id, FLG_SLL_WTH_LSS FROM CD_LOAN_TAPES_BCE.LT003_ENTITY WHERE ref_date='${ref_date}' AND nome_perimetro='Individual Corporativo' AND segmento='ESTR' AND ambito='PM' AND entidade='00100')X INNER JOIN (SELECT entty_id AS entty_id_SIMUL, FLG_SLL_WTH_LSS AS FLG_SLL_WTH_LSS_SIMUL FROM BU_LOANTAPE_WORK.LT003_ENTITY WHERE ref_date='${ref_date}' AND nome_perimetro='Individual Corporativo' AND segmento='ESTR' AND ambito='PM' AND entidade='00100')Y ON X.ENTTY_ID=Y.ENTTY_ID_SIMUL</v>
      </c>
      <c r="M43" s="36" t="str">
        <f t="shared" si="0"/>
        <v>UNION ALL SELECT 'ENTITY' AS TABELA, 'COERÊNCIA' AS TIPOLOGIA_TESTE,'CD_LOAN_TAPES_BCE.LT003_ENTITY' AS TABELA_LT,'BU_LOANTAPE_WORK.LT003_ENTITY' AS TABELA_SIMUL,'FLG_SLL_WTH_LSS' AS CAMPO, '${ref_date}' AS REF_DATE, COUNT(*) AS NUM_REG, SUM(IF(COALESCE(CAST(X.FLG_SLL_WTH_LSS AS STRING),'')&lt;&gt;COALESCE(CAST(Y.FLG_SLL_WTH_LSS_SIMUL AS STRING),'') OR (X.FLG_SLL_WTH_LSS IS NULL AND Y.FLG_SLL_WTH_LSS_SIMUL IS NOT NULL ) OR (X.FLG_SLL_WTH_LSS IS NOT NULL AND Y.FLG_SLL_WTH_LSS_SIMUL IS NULL),1,0)) AS NUM_REG_DIF,'1' AS ID_EXEC, CURRENT_TIMESTAMP() AS TIME_EXEC FROM (SELECT entty_id, FLG_SLL_WTH_LSS FROM CD_LOAN_TAPES_BCE.LT003_ENTITY WHERE ref_date='${ref_date}' AND nome_perimetro='Individual Corporativo' AND segmento='ESTR' AND ambito='PM' AND entidade='00100')X INNER JOIN (SELECT entty_id AS entty_id_SIMUL, FLG_SLL_WTH_LSS AS FLG_SLL_WTH_LSS_SIMUL FROM BU_LOANTAPE_WORK.LT003_ENTITY WHERE ref_date='${ref_date}' AND nome_perimetro='Individual Corporativo' AND segmento='ESTR' AND ambito='PM' AND entidade='00100')Y ON X.ENTTY_ID=Y.ENTTY_ID_SIMUL</v>
      </c>
      <c r="N43" s="38" t="s">
        <v>46</v>
      </c>
    </row>
    <row r="44" spans="2:14">
      <c r="B44" s="34" t="s">
        <v>127</v>
      </c>
      <c r="C44" s="34" t="s">
        <v>5</v>
      </c>
      <c r="D44" s="34" t="str">
        <f>+UPPER('0. Instruções'!$D$35&amp;"."&amp;VLOOKUP(B44,'0. Instruções'!$C$27:$D$32,2,FALSE))</f>
        <v>CD_LOAN_TAPES_BCE.LT003_ENTITY</v>
      </c>
      <c r="E44" s="34" t="str">
        <f>+UPPER('0. Instruções'!$D$36&amp;"."&amp;VLOOKUP(B44,'0. Instruções'!$C$27:$E$32,3,FALSE))</f>
        <v>BU_LOANTAPE_WORK.LT003_ENTITY</v>
      </c>
      <c r="F44" s="34" t="s">
        <v>355</v>
      </c>
      <c r="G44" s="34"/>
      <c r="H44" s="34" t="s">
        <v>648</v>
      </c>
      <c r="I44" s="34" t="str">
        <f>"(SELECT "&amp;VLOOKUP(B44,'0. Instruções'!$C$27:$G$32,4,FALSE)&amp;", "&amp;F44&amp;" FROM "&amp;D44&amp;" WHERE "&amp;'0. Instruções'!$D$42&amp;")X"</f>
        <v>(SELECT entty_id, INCM_SC FROM CD_LOAN_TAPES_BCE.LT003_ENTITY WHERE ref_date='${ref_date}' AND nome_perimetro='Individual Corporativo' AND segmento='ESTR' AND ambito='PM' AND entidade='00100')X</v>
      </c>
      <c r="J44" s="34" t="str">
        <f>"(SELECT "&amp;VLOOKUP(B44,'0. Instruções'!$C$27:$G$32,4,FALSE)&amp;" AS "&amp;VLOOKUP(B44,'0. Instruções'!$C$27:$G$32,4,FALSE)&amp;"_SIMUL, "&amp;F44&amp;" AS "&amp;F44&amp;"_SIMUL FROM "&amp;E44&amp;" WHERE "&amp;'0. Instruções'!$D$43&amp;")Y"</f>
        <v>(SELECT entty_id AS entty_id_SIMUL, INCM_SC AS INCM_SC_SIMUL FROM BU_LOANTAPE_WORK.LT003_ENTITY WHERE ref_date='${ref_date}' AND nome_perimetro='Individual Corporativo' AND segmento='ESTR' AND ambito='PM' AND entidade='00100')Y</v>
      </c>
      <c r="K44" s="35" t="str">
        <f>+UPPER("ON X."&amp;VLOOKUP(B44,'0. Instruções'!$C$27:$G$32,4,FALSE)&amp;"=Y."&amp;VLOOKUP(B44,'0. Instruções'!$C$27:$G$32,4,FALSE)&amp;"_SIMUL")</f>
        <v>ON X.ENTTY_ID=Y.ENTTY_ID_SIMUL</v>
      </c>
      <c r="L44" s="35" t="str">
        <f>+IF(C44="Coerência", +IF(LEFT(G44,5)="FLOAT","SELECT '"&amp;UPPER(B44)&amp;"' AS TABELA, '"&amp;UPPER(C44)&amp;"' AS TIPOLOGIA_TESTE,'"&amp;D44&amp;"' AS TABELA_LT,'"&amp;E44&amp;"' AS TABELA_SIMUL,'"&amp;F44&amp;"' AS CAMPO, "&amp;"'${ref_date}' AS REF_DATE, COUNT(*) AS NUM_REG, SUM(IF((ABS(COALESCE(CAST(X."&amp;F44&amp;" AS DECIMAL(18,6)),0)-COALESCE(CAST(Y."&amp;F44&amp;"_SIMUL AS DECIMAL(18,6)),0))&gt;0.000001) OR (X."&amp;F44&amp;" IS NULL AND Y."&amp;F44&amp;"_SIMUL IS NOT NULL ) OR (X."&amp;F44&amp;" IS NOT NULL AND Y."&amp;F44&amp;"_SIMUL IS NULL),1,0)) AS NUM_REG_DIF,'"&amp;MAX('ID1&amp;5'!K:K)+1&amp;"' AS ID_EXEC, CURRENT_TIMESTAMP() AS TIME_EXEC FROM "&amp;I44&amp;" INNER JOIN "&amp;J44&amp;" "&amp;K44,"SELECT '"&amp;UPPER(B44)&amp;"' AS TABELA, '"&amp;UPPER(C44)&amp;"' AS TIPOLOGIA_TESTE,'"&amp;D44&amp;"' AS TABELA_LT,'"&amp;E44&amp;"' AS TABELA_SIMUL,'"&amp;F44&amp;"' AS CAMPO, "&amp;"'${ref_date}' AS REF_DATE, COUNT(*) AS NUM_REG, SUM(IF(COALESCE(CAST(X."&amp;F44&amp;" AS STRING),'')&lt;&gt;COALESCE(CAST(Y."&amp;F44&amp;"_SIMUL AS STRING),'') OR (X."&amp;F44&amp;" IS NULL AND Y."&amp;F44&amp;"_SIMUL IS NOT NULL ) OR (X."&amp;F44&amp;" IS NOT NULL AND Y."&amp;F44&amp;"_SIMUL IS NULL),1,0)) AS NUM_REG_DIF,'"&amp;MAX('ID1&amp;5'!L:L)+1&amp;"' AS ID_EXEC, CURRENT_TIMESTAMP() AS TIME_EXEC FROM "&amp;I44&amp;" INNER JOIN "&amp;J44&amp;" "&amp;K44),
IF(C44="Validade",+IF(G44="Code List","SELECT '"&amp;UPPER(B44)&amp;"' AS TABELA, '"&amp;UPPER(C44)&amp;"' AS TIPOLOGIA_TESTE,'"&amp;D44&amp;"' AS TABELA_LT,'N/A' AS TABELA_SIMUL,'"&amp;F44&amp;"' AS CAMPO, "&amp;"'${ref_date}' AS REF_DATE, COUNT(*) AS NUM_REG, SUM(IF(TRIM(CAST(X."&amp;F44&amp;" AS STRING))='' OR TRIM(CAST(X."&amp;F44&amp;" AS STRING)) IS NULL OR CAST(X."&amp;F44&amp;" AS STRING) NOT "&amp;H44&amp;",1,0)) AS NUM_REG_DIF,'"&amp;MAX('ID1&amp;5'!K:K)+1&amp;"' AS ID_EXEC, CURRENT_TIMESTAMP() AS TIME_EXEC FROM "&amp;I44,"SELECT '"&amp;UPPER(B44)&amp;"' AS TABELA, '"&amp;UPPER(C44)&amp;"' AS TIPOLOGIA_TESTE,'"&amp;D44&amp;"' AS TABELA_LT,'N/A' AS TABELA_SIMUL,'"&amp;F44&amp;"' AS CAMPO, "&amp;"'${ref_date}' AS REF_DATE, COUNT(*) AS NUM_REG, SUM(IF(TRIM(CAST(X."&amp;F44&amp;" AS STRING))='' OR TRIM(CAST(X."&amp;F44&amp;" AS STRING)) IS NULL,1,0)) AS NUM_REG_DIF,'"&amp;MAX('ID1&amp;5'!K:K)+1&amp;"' AS ID_EXEC, CURRENT_TIMESTAMP() AS TIME_EXEC FROM "&amp;I44),
IF(C44="Caracteres Especiais",+"SELECT '"&amp;UPPER(B44)&amp;"' AS TABELA, '"&amp;UPPER(C44)&amp;"' AS TIPOLOGIA_TESTE,'"&amp;D44&amp;"' AS TABELA_LT,'N/A' AS TABELA_SIMUL,'"&amp;F44&amp;"' AS CAMPO, "&amp;"'${ref_date}' AS REF_DATE, COUNT(*) AS NUM_REG, SUM(IF(REGEXP_REPLACE(TRIM(CAST(X."&amp;F44&amp;" AS STRING)),'[^a-zA-Z0-9_\\s]','') &lt;&gt;TRIM(CAST(X."&amp;F44&amp;" AS STRING)),1,0)) AS NUM_REG_DIF,'"&amp;MAX('ID1&amp;5'!K:K)+1&amp;"' AS ID_EXEC, CURRENT_TIMESTAMP() AS TIME_EXEC FROM "&amp;I44,
IF(C44="Missings",+"SELECT '"&amp;UPPER(B44)&amp;"' AS TABELA, '"&amp;UPPER(C44)&amp;"' AS TIPOLOGIA_TESTE,'"&amp;D44&amp;"' AS TABELA_LT,'N/A' AS TABELA_SIMUL,'"&amp;F44&amp;"' AS CAMPO, "&amp;"'${ref_date}' AS REF_DATE, COUNT(*) AS NUM_REG, SUM(IF(TRIM(CAST(X."&amp;F44&amp;" AS STRING)) IN ('0000-00-00','0001-01-01','9999-12-31','MISS','00000','99999999999','99999999999.00','99999999999.000000'),1,0)) AS NUM_REG_DIF,'"&amp;MAX('ID1&amp;5'!K:K)+1&amp;"' AS ID_EXEC, CURRENT_TIMESTAMP() AS TIME_EXEC FROM "&amp;I44,
IF(C44="Not applicable",+"SELECT '"&amp;UPPER(B44)&amp;"' AS TABELA, '"&amp;UPPER(C44)&amp;"' AS TIPOLOGIA_TESTE,'"&amp;D44&amp;"' AS TABELA_LT,'N/A' AS TABELA_SIMUL,'"&amp;F44&amp;"' AS CAMPO, "&amp;"'${ref_date}' AS REF_DATE, COUNT(*) AS NUM_REG, SUM(IF(TRIM(CAST(X."&amp;F44&amp;" AS STRING)) IN ('N/A','11111111111','11111111111.00','11111111111.000000','1111-11-11'),1,0)) AS NUM_REG_DIF,'"&amp;MAX('ID1&amp;5'!K:K)+1&amp;"' AS ID_EXEC, CURRENT_TIMESTAMP() AS TIME_EXEC FROM "&amp;I44,
IF(C44="Valores extremos",+"SELECT '"&amp;UPPER(B44)&amp;"' AS TABELA, '"&amp;UPPER(C44)&amp;"' AS TIPOLOGIA_TESTE,'"&amp;D44&amp;"' AS TABELA_LT,'N/A' AS TABELA_SIMUL,'"&amp;F44&amp;"' AS CAMPO, "&amp;"'${ref_date}' AS REF_DATE, CAST(MIN("&amp;F44&amp;") AS STRING) AS VALOR_MIN, CAST(MAX("&amp;F44&amp;") AS STRING) AS VALOR_MAX,'"&amp;MAX('ID1&amp;5'!K:K)+1&amp;"' AS ID_EXEC, CURRENT_TIMESTAMP() AS TIME_EXEC FROM "&amp;MID(I44,1,LEN(I44)-2)&amp;" AND CAST("&amp;F44&amp;"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TABELA_SIMUL,'INCM_SC' AS CAMPO, '${ref_date}' AS REF_DATE, COUNT(*) AS NUM_REG, SUM(IF(COALESCE(CAST(X.INCM_SC AS STRING),'')&lt;&gt;COALESCE(CAST(Y.INCM_SC_SIMUL AS STRING),'') OR (X.INCM_SC IS NULL AND Y.INCM_SC_SIMUL IS NOT NULL ) OR (X.INCM_SC IS NOT NULL AND Y.INCM_SC_SIMUL IS NULL),1,0)) AS NUM_REG_DIF,'1' AS ID_EXEC, CURRENT_TIMESTAMP() AS TIME_EXEC FROM (SELECT entty_id, INCM_SC FROM CD_LOAN_TAPES_BCE.LT003_ENTITY WHERE ref_date='${ref_date}' AND nome_perimetro='Individual Corporativo' AND segmento='ESTR' AND ambito='PM' AND entidade='00100')X INNER JOIN (SELECT entty_id AS entty_id_SIMUL, INCM_SC AS INCM_SC_SIMUL FROM BU_LOANTAPE_WORK.LT003_ENTITY WHERE ref_date='${ref_date}' AND nome_perimetro='Individual Corporativo' AND segmento='ESTR' AND ambito='PM' AND entidade='00100')Y ON X.ENTTY_ID=Y.ENTTY_ID_SIMUL</v>
      </c>
      <c r="M44" s="36" t="str">
        <f t="shared" si="0"/>
        <v>UNION ALL SELECT 'ENTITY' AS TABELA, 'COERÊNCIA' AS TIPOLOGIA_TESTE,'CD_LOAN_TAPES_BCE.LT003_ENTITY' AS TABELA_LT,'BU_LOANTAPE_WORK.LT003_ENTITY' AS TABELA_SIMUL,'INCM_SC' AS CAMPO, '${ref_date}' AS REF_DATE, COUNT(*) AS NUM_REG, SUM(IF(COALESCE(CAST(X.INCM_SC AS STRING),'')&lt;&gt;COALESCE(CAST(Y.INCM_SC_SIMUL AS STRING),'') OR (X.INCM_SC IS NULL AND Y.INCM_SC_SIMUL IS NOT NULL ) OR (X.INCM_SC IS NOT NULL AND Y.INCM_SC_SIMUL IS NULL),1,0)) AS NUM_REG_DIF,'1' AS ID_EXEC, CURRENT_TIMESTAMP() AS TIME_EXEC FROM (SELECT entty_id, INCM_SC FROM CD_LOAN_TAPES_BCE.LT003_ENTITY WHERE ref_date='${ref_date}' AND nome_perimetro='Individual Corporativo' AND segmento='ESTR' AND ambito='PM' AND entidade='00100')X INNER JOIN (SELECT entty_id AS entty_id_SIMUL, INCM_SC AS INCM_SC_SIMUL FROM BU_LOANTAPE_WORK.LT003_ENTITY WHERE ref_date='${ref_date}' AND nome_perimetro='Individual Corporativo' AND segmento='ESTR' AND ambito='PM' AND entidade='00100')Y ON X.ENTTY_ID=Y.ENTTY_ID_SIMUL</v>
      </c>
      <c r="N44" s="38" t="s">
        <v>46</v>
      </c>
    </row>
    <row r="45" spans="2:14">
      <c r="B45" s="34" t="s">
        <v>127</v>
      </c>
      <c r="C45" s="34" t="s">
        <v>5</v>
      </c>
      <c r="D45" s="34" t="str">
        <f>+UPPER('0. Instruções'!$D$35&amp;"."&amp;VLOOKUP(B45,'0. Instruções'!$C$27:$D$32,2,FALSE))</f>
        <v>CD_LOAN_TAPES_BCE.LT003_ENTITY</v>
      </c>
      <c r="E45" s="34" t="str">
        <f>+UPPER('0. Instruções'!$D$36&amp;"."&amp;VLOOKUP(B45,'0. Instruções'!$C$27:$E$32,3,FALSE))</f>
        <v>BU_LOANTAPE_WORK.LT003_ENTITY</v>
      </c>
      <c r="F45" s="34" t="s">
        <v>356</v>
      </c>
      <c r="G45" s="34"/>
      <c r="H45" s="34" t="s">
        <v>89</v>
      </c>
      <c r="I45" s="34" t="str">
        <f>"(SELECT "&amp;VLOOKUP(B45,'0. Instruções'!$C$27:$G$32,4,FALSE)&amp;", "&amp;F45&amp;" FROM "&amp;D45&amp;" WHERE "&amp;'0. Instruções'!$D$42&amp;")X"</f>
        <v>(SELECT entty_id, INTRNL_RTNG FROM CD_LOAN_TAPES_BCE.LT003_ENTITY WHERE ref_date='${ref_date}' AND nome_perimetro='Individual Corporativo' AND segmento='ESTR' AND ambito='PM' AND entidade='00100')X</v>
      </c>
      <c r="J45" s="34" t="str">
        <f>"(SELECT "&amp;VLOOKUP(B45,'0. Instruções'!$C$27:$G$32,4,FALSE)&amp;" AS "&amp;VLOOKUP(B45,'0. Instruções'!$C$27:$G$32,4,FALSE)&amp;"_SIMUL, "&amp;F45&amp;" AS "&amp;F45&amp;"_SIMUL FROM "&amp;E45&amp;" WHERE "&amp;'0. Instruções'!$D$43&amp;")Y"</f>
        <v>(SELECT entty_id AS entty_id_SIMUL, INTRNL_RTNG AS INTRNL_RTNG_SIMUL FROM BU_LOANTAPE_WORK.LT003_ENTITY WHERE ref_date='${ref_date}' AND nome_perimetro='Individual Corporativo' AND segmento='ESTR' AND ambito='PM' AND entidade='00100')Y</v>
      </c>
      <c r="K45" s="35" t="str">
        <f>+UPPER("ON X."&amp;VLOOKUP(B45,'0. Instruções'!$C$27:$G$32,4,FALSE)&amp;"=Y."&amp;VLOOKUP(B45,'0. Instruções'!$C$27:$G$32,4,FALSE)&amp;"_SIMUL")</f>
        <v>ON X.ENTTY_ID=Y.ENTTY_ID_SIMUL</v>
      </c>
      <c r="L45" s="35" t="str">
        <f>+IF(C45="Coerência", +IF(LEFT(G45,5)="FLOAT","SELECT '"&amp;UPPER(B45)&amp;"' AS TABELA, '"&amp;UPPER(C45)&amp;"' AS TIPOLOGIA_TESTE,'"&amp;D45&amp;"' AS TABELA_LT,'"&amp;E45&amp;"' AS TABELA_SIMUL,'"&amp;F45&amp;"' AS CAMPO, "&amp;"'${ref_date}' AS REF_DATE, COUNT(*) AS NUM_REG, SUM(IF((ABS(COALESCE(CAST(X."&amp;F45&amp;" AS DECIMAL(18,6)),0)-COALESCE(CAST(Y."&amp;F45&amp;"_SIMUL AS DECIMAL(18,6)),0))&gt;0.000001) OR (X."&amp;F45&amp;" IS NULL AND Y."&amp;F45&amp;"_SIMUL IS NOT NULL ) OR (X."&amp;F45&amp;" IS NOT NULL AND Y."&amp;F45&amp;"_SIMUL IS NULL),1,0)) AS NUM_REG_DIF,'"&amp;MAX('ID1&amp;5'!K:K)+1&amp;"' AS ID_EXEC, CURRENT_TIMESTAMP() AS TIME_EXEC FROM "&amp;I45&amp;" INNER JOIN "&amp;J45&amp;" "&amp;K45,"SELECT '"&amp;UPPER(B45)&amp;"' AS TABELA, '"&amp;UPPER(C45)&amp;"' AS TIPOLOGIA_TESTE,'"&amp;D45&amp;"' AS TABELA_LT,'"&amp;E45&amp;"' AS TABELA_SIMUL,'"&amp;F45&amp;"' AS CAMPO, "&amp;"'${ref_date}' AS REF_DATE, COUNT(*) AS NUM_REG, SUM(IF(COALESCE(CAST(X."&amp;F45&amp;" AS STRING),'')&lt;&gt;COALESCE(CAST(Y."&amp;F45&amp;"_SIMUL AS STRING),'') OR (X."&amp;F45&amp;" IS NULL AND Y."&amp;F45&amp;"_SIMUL IS NOT NULL ) OR (X."&amp;F45&amp;" IS NOT NULL AND Y."&amp;F45&amp;"_SIMUL IS NULL),1,0)) AS NUM_REG_DIF,'"&amp;MAX('ID1&amp;5'!L:L)+1&amp;"' AS ID_EXEC, CURRENT_TIMESTAMP() AS TIME_EXEC FROM "&amp;I45&amp;" INNER JOIN "&amp;J45&amp;" "&amp;K45),
IF(C45="Validade",+IF(G45="Code List","SELECT '"&amp;UPPER(B45)&amp;"' AS TABELA, '"&amp;UPPER(C45)&amp;"' AS TIPOLOGIA_TESTE,'"&amp;D45&amp;"' AS TABELA_LT,'N/A' AS TABELA_SIMUL,'"&amp;F45&amp;"' AS CAMPO, "&amp;"'${ref_date}' AS REF_DATE, COUNT(*) AS NUM_REG, SUM(IF(TRIM(CAST(X."&amp;F45&amp;" AS STRING))='' OR TRIM(CAST(X."&amp;F45&amp;" AS STRING)) IS NULL OR CAST(X."&amp;F45&amp;" AS STRING) NOT "&amp;H45&amp;",1,0)) AS NUM_REG_DIF,'"&amp;MAX('ID1&amp;5'!K:K)+1&amp;"' AS ID_EXEC, CURRENT_TIMESTAMP() AS TIME_EXEC FROM "&amp;I45,"SELECT '"&amp;UPPER(B45)&amp;"' AS TABELA, '"&amp;UPPER(C45)&amp;"' AS TIPOLOGIA_TESTE,'"&amp;D45&amp;"' AS TABELA_LT,'N/A' AS TABELA_SIMUL,'"&amp;F45&amp;"' AS CAMPO, "&amp;"'${ref_date}' AS REF_DATE, COUNT(*) AS NUM_REG, SUM(IF(TRIM(CAST(X."&amp;F45&amp;" AS STRING))='' OR TRIM(CAST(X."&amp;F45&amp;" AS STRING)) IS NULL,1,0)) AS NUM_REG_DIF,'"&amp;MAX('ID1&amp;5'!K:K)+1&amp;"' AS ID_EXEC, CURRENT_TIMESTAMP() AS TIME_EXEC FROM "&amp;I45),
IF(C45="Caracteres Especiais",+"SELECT '"&amp;UPPER(B45)&amp;"' AS TABELA, '"&amp;UPPER(C45)&amp;"' AS TIPOLOGIA_TESTE,'"&amp;D45&amp;"' AS TABELA_LT,'N/A' AS TABELA_SIMUL,'"&amp;F45&amp;"' AS CAMPO, "&amp;"'${ref_date}' AS REF_DATE, COUNT(*) AS NUM_REG, SUM(IF(REGEXP_REPLACE(TRIM(CAST(X."&amp;F45&amp;" AS STRING)),'[^a-zA-Z0-9_\\s]','') &lt;&gt;TRIM(CAST(X."&amp;F45&amp;" AS STRING)),1,0)) AS NUM_REG_DIF,'"&amp;MAX('ID1&amp;5'!K:K)+1&amp;"' AS ID_EXEC, CURRENT_TIMESTAMP() AS TIME_EXEC FROM "&amp;I45,
IF(C45="Missings",+"SELECT '"&amp;UPPER(B45)&amp;"' AS TABELA, '"&amp;UPPER(C45)&amp;"' AS TIPOLOGIA_TESTE,'"&amp;D45&amp;"' AS TABELA_LT,'N/A' AS TABELA_SIMUL,'"&amp;F45&amp;"' AS CAMPO, "&amp;"'${ref_date}' AS REF_DATE, COUNT(*) AS NUM_REG, SUM(IF(TRIM(CAST(X."&amp;F45&amp;" AS STRING)) IN ('0000-00-00','0001-01-01','9999-12-31','MISS','00000','99999999999','99999999999.00','99999999999.000000'),1,0)) AS NUM_REG_DIF,'"&amp;MAX('ID1&amp;5'!K:K)+1&amp;"' AS ID_EXEC, CURRENT_TIMESTAMP() AS TIME_EXEC FROM "&amp;I45,
IF(C45="Not applicable",+"SELECT '"&amp;UPPER(B45)&amp;"' AS TABELA, '"&amp;UPPER(C45)&amp;"' AS TIPOLOGIA_TESTE,'"&amp;D45&amp;"' AS TABELA_LT,'N/A' AS TABELA_SIMUL,'"&amp;F45&amp;"' AS CAMPO, "&amp;"'${ref_date}' AS REF_DATE, COUNT(*) AS NUM_REG, SUM(IF(TRIM(CAST(X."&amp;F45&amp;" AS STRING)) IN ('N/A','11111111111','11111111111.00','11111111111.000000','1111-11-11'),1,0)) AS NUM_REG_DIF,'"&amp;MAX('ID1&amp;5'!K:K)+1&amp;"' AS ID_EXEC, CURRENT_TIMESTAMP() AS TIME_EXEC FROM "&amp;I45,
IF(C45="Valores extremos",+"SELECT '"&amp;UPPER(B45)&amp;"' AS TABELA, '"&amp;UPPER(C45)&amp;"' AS TIPOLOGIA_TESTE,'"&amp;D45&amp;"' AS TABELA_LT,'N/A' AS TABELA_SIMUL,'"&amp;F45&amp;"' AS CAMPO, "&amp;"'${ref_date}' AS REF_DATE, CAST(MIN("&amp;F45&amp;") AS STRING) AS VALOR_MIN, CAST(MAX("&amp;F45&amp;") AS STRING) AS VALOR_MAX,'"&amp;MAX('ID1&amp;5'!K:K)+1&amp;"' AS ID_EXEC, CURRENT_TIMESTAMP() AS TIME_EXEC FROM "&amp;MID(I45,1,LEN(I45)-2)&amp;" AND CAST("&amp;F45&amp;"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TABELA_SIMUL,'INTRNL_RTNG' AS CAMPO, '${ref_date}' AS REF_DATE, COUNT(*) AS NUM_REG, SUM(IF(COALESCE(CAST(X.INTRNL_RTNG AS STRING),'')&lt;&gt;COALESCE(CAST(Y.INTRNL_RTNG_SIMUL AS STRING),'') OR (X.INTRNL_RTNG IS NULL AND Y.INTRNL_RTNG_SIMUL IS NOT NULL ) OR (X.INTRNL_RTNG IS NOT NULL AND Y.INTRNL_RTNG_SIMUL IS NULL),1,0)) AS NUM_REG_DIF,'1' AS ID_EXEC, CURRENT_TIMESTAMP() AS TIME_EXEC FROM (SELECT entty_id, INTRNL_RTNG FROM CD_LOAN_TAPES_BCE.LT003_ENTITY WHERE ref_date='${ref_date}' AND nome_perimetro='Individual Corporativo' AND segmento='ESTR' AND ambito='PM' AND entidade='00100')X INNER JOIN (SELECT entty_id AS entty_id_SIMUL, INTRNL_RTNG AS INTRNL_RTNG_SIMUL FROM BU_LOANTAPE_WORK.LT003_ENTITY WHERE ref_date='${ref_date}' AND nome_perimetro='Individual Corporativo' AND segmento='ESTR' AND ambito='PM' AND entidade='00100')Y ON X.ENTTY_ID=Y.ENTTY_ID_SIMUL</v>
      </c>
      <c r="M45" s="36" t="str">
        <f t="shared" si="0"/>
        <v>UNION ALL SELECT 'ENTITY' AS TABELA, 'COERÊNCIA' AS TIPOLOGIA_TESTE,'CD_LOAN_TAPES_BCE.LT003_ENTITY' AS TABELA_LT,'BU_LOANTAPE_WORK.LT003_ENTITY' AS TABELA_SIMUL,'INTRNL_RTNG' AS CAMPO, '${ref_date}' AS REF_DATE, COUNT(*) AS NUM_REG, SUM(IF(COALESCE(CAST(X.INTRNL_RTNG AS STRING),'')&lt;&gt;COALESCE(CAST(Y.INTRNL_RTNG_SIMUL AS STRING),'') OR (X.INTRNL_RTNG IS NULL AND Y.INTRNL_RTNG_SIMUL IS NOT NULL ) OR (X.INTRNL_RTNG IS NOT NULL AND Y.INTRNL_RTNG_SIMUL IS NULL),1,0)) AS NUM_REG_DIF,'1' AS ID_EXEC, CURRENT_TIMESTAMP() AS TIME_EXEC FROM (SELECT entty_id, INTRNL_RTNG FROM CD_LOAN_TAPES_BCE.LT003_ENTITY WHERE ref_date='${ref_date}' AND nome_perimetro='Individual Corporativo' AND segmento='ESTR' AND ambito='PM' AND entidade='00100')X INNER JOIN (SELECT entty_id AS entty_id_SIMUL, INTRNL_RTNG AS INTRNL_RTNG_SIMUL FROM BU_LOANTAPE_WORK.LT003_ENTITY WHERE ref_date='${ref_date}' AND nome_perimetro='Individual Corporativo' AND segmento='ESTR' AND ambito='PM' AND entidade='00100')Y ON X.ENTTY_ID=Y.ENTTY_ID_SIMUL</v>
      </c>
      <c r="N45" s="38" t="s">
        <v>46</v>
      </c>
    </row>
    <row r="46" spans="2:14">
      <c r="B46" s="34" t="s">
        <v>127</v>
      </c>
      <c r="C46" s="34" t="s">
        <v>5</v>
      </c>
      <c r="D46" s="34" t="str">
        <f>+UPPER('0. Instruções'!$D$35&amp;"."&amp;VLOOKUP(B46,'0. Instruções'!$C$27:$D$32,2,FALSE))</f>
        <v>CD_LOAN_TAPES_BCE.LT003_ENTITY</v>
      </c>
      <c r="E46" s="34" t="str">
        <f>+UPPER('0. Instruções'!$D$36&amp;"."&amp;VLOOKUP(B46,'0. Instruções'!$C$27:$E$32,3,FALSE))</f>
        <v>BU_LOANTAPE_WORK.LT003_ENTITY</v>
      </c>
      <c r="F46" s="34" t="s">
        <v>357</v>
      </c>
      <c r="G46" s="34"/>
      <c r="H46" s="34" t="s">
        <v>89</v>
      </c>
      <c r="I46" s="34" t="str">
        <f>"(SELECT "&amp;VLOOKUP(B46,'0. Instruções'!$C$27:$G$32,4,FALSE)&amp;", "&amp;F46&amp;" FROM "&amp;D46&amp;" WHERE "&amp;'0. Instruções'!$D$42&amp;")X"</f>
        <v>(SELECT entty_id, INTRNL_RTNG_PRVS FROM CD_LOAN_TAPES_BCE.LT003_ENTITY WHERE ref_date='${ref_date}' AND nome_perimetro='Individual Corporativo' AND segmento='ESTR' AND ambito='PM' AND entidade='00100')X</v>
      </c>
      <c r="J46" s="34" t="str">
        <f>"(SELECT "&amp;VLOOKUP(B46,'0. Instruções'!$C$27:$G$32,4,FALSE)&amp;" AS "&amp;VLOOKUP(B46,'0. Instruções'!$C$27:$G$32,4,FALSE)&amp;"_SIMUL, "&amp;F46&amp;" AS "&amp;F46&amp;"_SIMUL FROM "&amp;E46&amp;" WHERE "&amp;'0. Instruções'!$D$43&amp;")Y"</f>
        <v>(SELECT entty_id AS entty_id_SIMUL, INTRNL_RTNG_PRVS AS INTRNL_RTNG_PRVS_SIMUL FROM BU_LOANTAPE_WORK.LT003_ENTITY WHERE ref_date='${ref_date}' AND nome_perimetro='Individual Corporativo' AND segmento='ESTR' AND ambito='PM' AND entidade='00100')Y</v>
      </c>
      <c r="K46" s="35" t="str">
        <f>+UPPER("ON X."&amp;VLOOKUP(B46,'0. Instruções'!$C$27:$G$32,4,FALSE)&amp;"=Y."&amp;VLOOKUP(B46,'0. Instruções'!$C$27:$G$32,4,FALSE)&amp;"_SIMUL")</f>
        <v>ON X.ENTTY_ID=Y.ENTTY_ID_SIMUL</v>
      </c>
      <c r="L46" s="35" t="str">
        <f>+IF(C46="Coerência", +IF(LEFT(G46,5)="FLOAT","SELECT '"&amp;UPPER(B46)&amp;"' AS TABELA, '"&amp;UPPER(C46)&amp;"' AS TIPOLOGIA_TESTE,'"&amp;D46&amp;"' AS TABELA_LT,'"&amp;E46&amp;"' AS TABELA_SIMUL,'"&amp;F46&amp;"' AS CAMPO, "&amp;"'${ref_date}' AS REF_DATE, COUNT(*) AS NUM_REG, SUM(IF((ABS(COALESCE(CAST(X."&amp;F46&amp;" AS DECIMAL(18,6)),0)-COALESCE(CAST(Y."&amp;F46&amp;"_SIMUL AS DECIMAL(18,6)),0))&gt;0.000001) OR (X."&amp;F46&amp;" IS NULL AND Y."&amp;F46&amp;"_SIMUL IS NOT NULL ) OR (X."&amp;F46&amp;" IS NOT NULL AND Y."&amp;F46&amp;"_SIMUL IS NULL),1,0)) AS NUM_REG_DIF,'"&amp;MAX('ID1&amp;5'!K:K)+1&amp;"' AS ID_EXEC, CURRENT_TIMESTAMP() AS TIME_EXEC FROM "&amp;I46&amp;" INNER JOIN "&amp;J46&amp;" "&amp;K46,"SELECT '"&amp;UPPER(B46)&amp;"' AS TABELA, '"&amp;UPPER(C46)&amp;"' AS TIPOLOGIA_TESTE,'"&amp;D46&amp;"' AS TABELA_LT,'"&amp;E46&amp;"' AS TABELA_SIMUL,'"&amp;F46&amp;"' AS CAMPO, "&amp;"'${ref_date}' AS REF_DATE, COUNT(*) AS NUM_REG, SUM(IF(COALESCE(CAST(X."&amp;F46&amp;" AS STRING),'')&lt;&gt;COALESCE(CAST(Y."&amp;F46&amp;"_SIMUL AS STRING),'') OR (X."&amp;F46&amp;" IS NULL AND Y."&amp;F46&amp;"_SIMUL IS NOT NULL ) OR (X."&amp;F46&amp;" IS NOT NULL AND Y."&amp;F46&amp;"_SIMUL IS NULL),1,0)) AS NUM_REG_DIF,'"&amp;MAX('ID1&amp;5'!L:L)+1&amp;"' AS ID_EXEC, CURRENT_TIMESTAMP() AS TIME_EXEC FROM "&amp;I46&amp;" INNER JOIN "&amp;J46&amp;" "&amp;K46),
IF(C46="Validade",+IF(G46="Code List","SELECT '"&amp;UPPER(B46)&amp;"' AS TABELA, '"&amp;UPPER(C46)&amp;"' AS TIPOLOGIA_TESTE,'"&amp;D46&amp;"' AS TABELA_LT,'N/A' AS TABELA_SIMUL,'"&amp;F46&amp;"' AS CAMPO, "&amp;"'${ref_date}' AS REF_DATE, COUNT(*) AS NUM_REG, SUM(IF(TRIM(CAST(X."&amp;F46&amp;" AS STRING))='' OR TRIM(CAST(X."&amp;F46&amp;" AS STRING)) IS NULL OR CAST(X."&amp;F46&amp;" AS STRING) NOT "&amp;H46&amp;",1,0)) AS NUM_REG_DIF,'"&amp;MAX('ID1&amp;5'!K:K)+1&amp;"' AS ID_EXEC, CURRENT_TIMESTAMP() AS TIME_EXEC FROM "&amp;I46,"SELECT '"&amp;UPPER(B46)&amp;"' AS TABELA, '"&amp;UPPER(C46)&amp;"' AS TIPOLOGIA_TESTE,'"&amp;D46&amp;"' AS TABELA_LT,'N/A' AS TABELA_SIMUL,'"&amp;F46&amp;"' AS CAMPO, "&amp;"'${ref_date}' AS REF_DATE, COUNT(*) AS NUM_REG, SUM(IF(TRIM(CAST(X."&amp;F46&amp;" AS STRING))='' OR TRIM(CAST(X."&amp;F46&amp;" AS STRING)) IS NULL,1,0)) AS NUM_REG_DIF,'"&amp;MAX('ID1&amp;5'!K:K)+1&amp;"' AS ID_EXEC, CURRENT_TIMESTAMP() AS TIME_EXEC FROM "&amp;I46),
IF(C46="Caracteres Especiais",+"SELECT '"&amp;UPPER(B46)&amp;"' AS TABELA, '"&amp;UPPER(C46)&amp;"' AS TIPOLOGIA_TESTE,'"&amp;D46&amp;"' AS TABELA_LT,'N/A' AS TABELA_SIMUL,'"&amp;F46&amp;"' AS CAMPO, "&amp;"'${ref_date}' AS REF_DATE, COUNT(*) AS NUM_REG, SUM(IF(REGEXP_REPLACE(TRIM(CAST(X."&amp;F46&amp;" AS STRING)),'[^a-zA-Z0-9_\\s]','') &lt;&gt;TRIM(CAST(X."&amp;F46&amp;" AS STRING)),1,0)) AS NUM_REG_DIF,'"&amp;MAX('ID1&amp;5'!K:K)+1&amp;"' AS ID_EXEC, CURRENT_TIMESTAMP() AS TIME_EXEC FROM "&amp;I46,
IF(C46="Missings",+"SELECT '"&amp;UPPER(B46)&amp;"' AS TABELA, '"&amp;UPPER(C46)&amp;"' AS TIPOLOGIA_TESTE,'"&amp;D46&amp;"' AS TABELA_LT,'N/A' AS TABELA_SIMUL,'"&amp;F46&amp;"' AS CAMPO, "&amp;"'${ref_date}' AS REF_DATE, COUNT(*) AS NUM_REG, SUM(IF(TRIM(CAST(X."&amp;F46&amp;" AS STRING)) IN ('0000-00-00','0001-01-01','9999-12-31','MISS','00000','99999999999','99999999999.00','99999999999.000000'),1,0)) AS NUM_REG_DIF,'"&amp;MAX('ID1&amp;5'!K:K)+1&amp;"' AS ID_EXEC, CURRENT_TIMESTAMP() AS TIME_EXEC FROM "&amp;I46,
IF(C46="Not applicable",+"SELECT '"&amp;UPPER(B46)&amp;"' AS TABELA, '"&amp;UPPER(C46)&amp;"' AS TIPOLOGIA_TESTE,'"&amp;D46&amp;"' AS TABELA_LT,'N/A' AS TABELA_SIMUL,'"&amp;F46&amp;"' AS CAMPO, "&amp;"'${ref_date}' AS REF_DATE, COUNT(*) AS NUM_REG, SUM(IF(TRIM(CAST(X."&amp;F46&amp;" AS STRING)) IN ('N/A','11111111111','11111111111.00','11111111111.000000','1111-11-11'),1,0)) AS NUM_REG_DIF,'"&amp;MAX('ID1&amp;5'!K:K)+1&amp;"' AS ID_EXEC, CURRENT_TIMESTAMP() AS TIME_EXEC FROM "&amp;I46,
IF(C46="Valores extremos",+"SELECT '"&amp;UPPER(B46)&amp;"' AS TABELA, '"&amp;UPPER(C46)&amp;"' AS TIPOLOGIA_TESTE,'"&amp;D46&amp;"' AS TABELA_LT,'N/A' AS TABELA_SIMUL,'"&amp;F46&amp;"' AS CAMPO, "&amp;"'${ref_date}' AS REF_DATE, CAST(MIN("&amp;F46&amp;") AS STRING) AS VALOR_MIN, CAST(MAX("&amp;F46&amp;") AS STRING) AS VALOR_MAX,'"&amp;MAX('ID1&amp;5'!K:K)+1&amp;"' AS ID_EXEC, CURRENT_TIMESTAMP() AS TIME_EXEC FROM "&amp;MID(I46,1,LEN(I46)-2)&amp;" AND CAST("&amp;F46&amp;"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TABELA_SIMUL,'INTRNL_RTNG_PRVS' AS CAMPO, '${ref_date}' AS REF_DATE, COUNT(*) AS NUM_REG, SUM(IF(COALESCE(CAST(X.INTRNL_RTNG_PRVS AS STRING),'')&lt;&gt;COALESCE(CAST(Y.INTRNL_RTNG_PRVS_SIMUL AS STRING),'') OR (X.INTRNL_RTNG_PRVS IS NULL AND Y.INTRNL_RTNG_PRVS_SIMUL IS NOT NULL ) OR (X.INTRNL_RTNG_PRVS IS NOT NULL AND Y.INTRNL_RTNG_PRVS_SIMUL IS NULL),1,0)) AS NUM_REG_DIF,'1' AS ID_EXEC, CURRENT_TIMESTAMP() AS TIME_EXEC FROM (SELECT entty_id, INTRNL_RTNG_PRVS FROM CD_LOAN_TAPES_BCE.LT003_ENTITY WHERE ref_date='${ref_date}' AND nome_perimetro='Individual Corporativo' AND segmento='ESTR' AND ambito='PM' AND entidade='00100')X INNER JOIN (SELECT entty_id AS entty_id_SIMUL, INTRNL_RTNG_PRVS AS INTRNL_RTNG_PRVS_SIMUL FROM BU_LOANTAPE_WORK.LT003_ENTITY WHERE ref_date='${ref_date}' AND nome_perimetro='Individual Corporativo' AND segmento='ESTR' AND ambito='PM' AND entidade='00100')Y ON X.ENTTY_ID=Y.ENTTY_ID_SIMUL</v>
      </c>
      <c r="M46" s="36" t="str">
        <f t="shared" si="0"/>
        <v>UNION ALL SELECT 'ENTITY' AS TABELA, 'COERÊNCIA' AS TIPOLOGIA_TESTE,'CD_LOAN_TAPES_BCE.LT003_ENTITY' AS TABELA_LT,'BU_LOANTAPE_WORK.LT003_ENTITY' AS TABELA_SIMUL,'INTRNL_RTNG_PRVS' AS CAMPO, '${ref_date}' AS REF_DATE, COUNT(*) AS NUM_REG, SUM(IF(COALESCE(CAST(X.INTRNL_RTNG_PRVS AS STRING),'')&lt;&gt;COALESCE(CAST(Y.INTRNL_RTNG_PRVS_SIMUL AS STRING),'') OR (X.INTRNL_RTNG_PRVS IS NULL AND Y.INTRNL_RTNG_PRVS_SIMUL IS NOT NULL ) OR (X.INTRNL_RTNG_PRVS IS NOT NULL AND Y.INTRNL_RTNG_PRVS_SIMUL IS NULL),1,0)) AS NUM_REG_DIF,'1' AS ID_EXEC, CURRENT_TIMESTAMP() AS TIME_EXEC FROM (SELECT entty_id, INTRNL_RTNG_PRVS FROM CD_LOAN_TAPES_BCE.LT003_ENTITY WHERE ref_date='${ref_date}' AND nome_perimetro='Individual Corporativo' AND segmento='ESTR' AND ambito='PM' AND entidade='00100')X INNER JOIN (SELECT entty_id AS entty_id_SIMUL, INTRNL_RTNG_PRVS AS INTRNL_RTNG_PRVS_SIMUL FROM BU_LOANTAPE_WORK.LT003_ENTITY WHERE ref_date='${ref_date}' AND nome_perimetro='Individual Corporativo' AND segmento='ESTR' AND ambito='PM' AND entidade='00100')Y ON X.ENTTY_ID=Y.ENTTY_ID_SIMUL</v>
      </c>
      <c r="N46" s="38" t="s">
        <v>46</v>
      </c>
    </row>
    <row r="47" spans="2:14">
      <c r="B47" s="34" t="s">
        <v>127</v>
      </c>
      <c r="C47" s="34" t="s">
        <v>5</v>
      </c>
      <c r="D47" s="34" t="str">
        <f>+UPPER('0. Instruções'!$D$35&amp;"."&amp;VLOOKUP(B47,'0. Instruções'!$C$27:$D$32,2,FALSE))</f>
        <v>CD_LOAN_TAPES_BCE.LT003_ENTITY</v>
      </c>
      <c r="E47" s="34" t="str">
        <f>+UPPER('0. Instruções'!$D$36&amp;"."&amp;VLOOKUP(B47,'0. Instruções'!$C$27:$E$32,3,FALSE))</f>
        <v>BU_LOANTAPE_WORK.LT003_ENTITY</v>
      </c>
      <c r="F47" s="34" t="s">
        <v>358</v>
      </c>
      <c r="G47" s="34"/>
      <c r="H47" s="34" t="s">
        <v>89</v>
      </c>
      <c r="I47" s="34" t="str">
        <f>"(SELECT "&amp;VLOOKUP(B47,'0. Instruções'!$C$27:$G$32,4,FALSE)&amp;", "&amp;F47&amp;" FROM "&amp;D47&amp;" WHERE "&amp;'0. Instruções'!$D$42&amp;")X"</f>
        <v>(SELECT entty_id, LGL_PRCDNG_STTS_LE FROM CD_LOAN_TAPES_BCE.LT003_ENTITY WHERE ref_date='${ref_date}' AND nome_perimetro='Individual Corporativo' AND segmento='ESTR' AND ambito='PM' AND entidade='00100')X</v>
      </c>
      <c r="J47" s="34" t="str">
        <f>"(SELECT "&amp;VLOOKUP(B47,'0. Instruções'!$C$27:$G$32,4,FALSE)&amp;" AS "&amp;VLOOKUP(B47,'0. Instruções'!$C$27:$G$32,4,FALSE)&amp;"_SIMUL, "&amp;F47&amp;" AS "&amp;F47&amp;"_SIMUL FROM "&amp;E47&amp;" WHERE "&amp;'0. Instruções'!$D$43&amp;")Y"</f>
        <v>(SELECT entty_id AS entty_id_SIMUL, LGL_PRCDNG_STTS_LE AS LGL_PRCDNG_STTS_LE_SIMUL FROM BU_LOANTAPE_WORK.LT003_ENTITY WHERE ref_date='${ref_date}' AND nome_perimetro='Individual Corporativo' AND segmento='ESTR' AND ambito='PM' AND entidade='00100')Y</v>
      </c>
      <c r="K47" s="35" t="str">
        <f>+UPPER("ON X."&amp;VLOOKUP(B47,'0. Instruções'!$C$27:$G$32,4,FALSE)&amp;"=Y."&amp;VLOOKUP(B47,'0. Instruções'!$C$27:$G$32,4,FALSE)&amp;"_SIMUL")</f>
        <v>ON X.ENTTY_ID=Y.ENTTY_ID_SIMUL</v>
      </c>
      <c r="L47" s="35" t="str">
        <f>+IF(C47="Coerência", +IF(LEFT(G47,5)="FLOAT","SELECT '"&amp;UPPER(B47)&amp;"' AS TABELA, '"&amp;UPPER(C47)&amp;"' AS TIPOLOGIA_TESTE,'"&amp;D47&amp;"' AS TABELA_LT,'"&amp;E47&amp;"' AS TABELA_SIMUL,'"&amp;F47&amp;"' AS CAMPO, "&amp;"'${ref_date}' AS REF_DATE, COUNT(*) AS NUM_REG, SUM(IF((ABS(COALESCE(CAST(X."&amp;F47&amp;" AS DECIMAL(18,6)),0)-COALESCE(CAST(Y."&amp;F47&amp;"_SIMUL AS DECIMAL(18,6)),0))&gt;0.000001) OR (X."&amp;F47&amp;" IS NULL AND Y."&amp;F47&amp;"_SIMUL IS NOT NULL ) OR (X."&amp;F47&amp;" IS NOT NULL AND Y."&amp;F47&amp;"_SIMUL IS NULL),1,0)) AS NUM_REG_DIF,'"&amp;MAX('ID1&amp;5'!K:K)+1&amp;"' AS ID_EXEC, CURRENT_TIMESTAMP() AS TIME_EXEC FROM "&amp;I47&amp;" INNER JOIN "&amp;J47&amp;" "&amp;K47,"SELECT '"&amp;UPPER(B47)&amp;"' AS TABELA, '"&amp;UPPER(C47)&amp;"' AS TIPOLOGIA_TESTE,'"&amp;D47&amp;"' AS TABELA_LT,'"&amp;E47&amp;"' AS TABELA_SIMUL,'"&amp;F47&amp;"' AS CAMPO, "&amp;"'${ref_date}' AS REF_DATE, COUNT(*) AS NUM_REG, SUM(IF(COALESCE(CAST(X."&amp;F47&amp;" AS STRING),'')&lt;&gt;COALESCE(CAST(Y."&amp;F47&amp;"_SIMUL AS STRING),'') OR (X."&amp;F47&amp;" IS NULL AND Y."&amp;F47&amp;"_SIMUL IS NOT NULL ) OR (X."&amp;F47&amp;" IS NOT NULL AND Y."&amp;F47&amp;"_SIMUL IS NULL),1,0)) AS NUM_REG_DIF,'"&amp;MAX('ID1&amp;5'!L:L)+1&amp;"' AS ID_EXEC, CURRENT_TIMESTAMP() AS TIME_EXEC FROM "&amp;I47&amp;" INNER JOIN "&amp;J47&amp;" "&amp;K47),
IF(C47="Validade",+IF(G47="Code List","SELECT '"&amp;UPPER(B47)&amp;"' AS TABELA, '"&amp;UPPER(C47)&amp;"' AS TIPOLOGIA_TESTE,'"&amp;D47&amp;"' AS TABELA_LT,'N/A' AS TABELA_SIMUL,'"&amp;F47&amp;"' AS CAMPO, "&amp;"'${ref_date}' AS REF_DATE, COUNT(*) AS NUM_REG, SUM(IF(TRIM(CAST(X."&amp;F47&amp;" AS STRING))='' OR TRIM(CAST(X."&amp;F47&amp;" AS STRING)) IS NULL OR CAST(X."&amp;F47&amp;" AS STRING) NOT "&amp;H47&amp;",1,0)) AS NUM_REG_DIF,'"&amp;MAX('ID1&amp;5'!K:K)+1&amp;"' AS ID_EXEC, CURRENT_TIMESTAMP() AS TIME_EXEC FROM "&amp;I47,"SELECT '"&amp;UPPER(B47)&amp;"' AS TABELA, '"&amp;UPPER(C47)&amp;"' AS TIPOLOGIA_TESTE,'"&amp;D47&amp;"' AS TABELA_LT,'N/A' AS TABELA_SIMUL,'"&amp;F47&amp;"' AS CAMPO, "&amp;"'${ref_date}' AS REF_DATE, COUNT(*) AS NUM_REG, SUM(IF(TRIM(CAST(X."&amp;F47&amp;" AS STRING))='' OR TRIM(CAST(X."&amp;F47&amp;" AS STRING)) IS NULL,1,0)) AS NUM_REG_DIF,'"&amp;MAX('ID1&amp;5'!K:K)+1&amp;"' AS ID_EXEC, CURRENT_TIMESTAMP() AS TIME_EXEC FROM "&amp;I47),
IF(C47="Caracteres Especiais",+"SELECT '"&amp;UPPER(B47)&amp;"' AS TABELA, '"&amp;UPPER(C47)&amp;"' AS TIPOLOGIA_TESTE,'"&amp;D47&amp;"' AS TABELA_LT,'N/A' AS TABELA_SIMUL,'"&amp;F47&amp;"' AS CAMPO, "&amp;"'${ref_date}' AS REF_DATE, COUNT(*) AS NUM_REG, SUM(IF(REGEXP_REPLACE(TRIM(CAST(X."&amp;F47&amp;" AS STRING)),'[^a-zA-Z0-9_\\s]','') &lt;&gt;TRIM(CAST(X."&amp;F47&amp;" AS STRING)),1,0)) AS NUM_REG_DIF,'"&amp;MAX('ID1&amp;5'!K:K)+1&amp;"' AS ID_EXEC, CURRENT_TIMESTAMP() AS TIME_EXEC FROM "&amp;I47,
IF(C47="Missings",+"SELECT '"&amp;UPPER(B47)&amp;"' AS TABELA, '"&amp;UPPER(C47)&amp;"' AS TIPOLOGIA_TESTE,'"&amp;D47&amp;"' AS TABELA_LT,'N/A' AS TABELA_SIMUL,'"&amp;F47&amp;"' AS CAMPO, "&amp;"'${ref_date}' AS REF_DATE, COUNT(*) AS NUM_REG, SUM(IF(TRIM(CAST(X."&amp;F47&amp;" AS STRING)) IN ('0000-00-00','0001-01-01','9999-12-31','MISS','00000','99999999999','99999999999.00','99999999999.000000'),1,0)) AS NUM_REG_DIF,'"&amp;MAX('ID1&amp;5'!K:K)+1&amp;"' AS ID_EXEC, CURRENT_TIMESTAMP() AS TIME_EXEC FROM "&amp;I47,
IF(C47="Not applicable",+"SELECT '"&amp;UPPER(B47)&amp;"' AS TABELA, '"&amp;UPPER(C47)&amp;"' AS TIPOLOGIA_TESTE,'"&amp;D47&amp;"' AS TABELA_LT,'N/A' AS TABELA_SIMUL,'"&amp;F47&amp;"' AS CAMPO, "&amp;"'${ref_date}' AS REF_DATE, COUNT(*) AS NUM_REG, SUM(IF(TRIM(CAST(X."&amp;F47&amp;" AS STRING)) IN ('N/A','11111111111','11111111111.00','11111111111.000000','1111-11-11'),1,0)) AS NUM_REG_DIF,'"&amp;MAX('ID1&amp;5'!K:K)+1&amp;"' AS ID_EXEC, CURRENT_TIMESTAMP() AS TIME_EXEC FROM "&amp;I47,
IF(C47="Valores extremos",+"SELECT '"&amp;UPPER(B47)&amp;"' AS TABELA, '"&amp;UPPER(C47)&amp;"' AS TIPOLOGIA_TESTE,'"&amp;D47&amp;"' AS TABELA_LT,'N/A' AS TABELA_SIMUL,'"&amp;F47&amp;"' AS CAMPO, "&amp;"'${ref_date}' AS REF_DATE, CAST(MIN("&amp;F47&amp;") AS STRING) AS VALOR_MIN, CAST(MAX("&amp;F47&amp;") AS STRING) AS VALOR_MAX,'"&amp;MAX('ID1&amp;5'!K:K)+1&amp;"' AS ID_EXEC, CURRENT_TIMESTAMP() AS TIME_EXEC FROM "&amp;MID(I47,1,LEN(I47)-2)&amp;" AND CAST("&amp;F47&amp;"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TABELA_SIMUL,'LGL_PRCDNG_STTS_LE' AS CAMPO, '${ref_date}' AS REF_DATE, COUNT(*) AS NUM_REG, SUM(IF(COALESCE(CAST(X.LGL_PRCDNG_STTS_LE AS STRING),'')&lt;&gt;COALESCE(CAST(Y.LGL_PRCDNG_STTS_LE_SIMUL AS STRING),'') OR (X.LGL_PRCDNG_STTS_LE IS NULL AND Y.LGL_PRCDNG_STTS_LE_SIMUL IS NOT NULL ) OR (X.LGL_PRCDNG_STTS_LE IS NOT NULL AND Y.LGL_PRCDNG_STTS_LE_SIMUL IS NULL),1,0)) AS NUM_REG_DIF,'1' AS ID_EXEC, CURRENT_TIMESTAMP() AS TIME_EXEC FROM (SELECT entty_id, LGL_PRCDNG_STTS_LE FROM CD_LOAN_TAPES_BCE.LT003_ENTITY WHERE ref_date='${ref_date}' AND nome_perimetro='Individual Corporativo' AND segmento='ESTR' AND ambito='PM' AND entidade='00100')X INNER JOIN (SELECT entty_id AS entty_id_SIMUL, LGL_PRCDNG_STTS_LE AS LGL_PRCDNG_STTS_LE_SIMUL FROM BU_LOANTAPE_WORK.LT003_ENTITY WHERE ref_date='${ref_date}' AND nome_perimetro='Individual Corporativo' AND segmento='ESTR' AND ambito='PM' AND entidade='00100')Y ON X.ENTTY_ID=Y.ENTTY_ID_SIMUL</v>
      </c>
      <c r="M47" s="36" t="str">
        <f t="shared" si="0"/>
        <v>UNION ALL SELECT 'ENTITY' AS TABELA, 'COERÊNCIA' AS TIPOLOGIA_TESTE,'CD_LOAN_TAPES_BCE.LT003_ENTITY' AS TABELA_LT,'BU_LOANTAPE_WORK.LT003_ENTITY' AS TABELA_SIMUL,'LGL_PRCDNG_STTS_LE' AS CAMPO, '${ref_date}' AS REF_DATE, COUNT(*) AS NUM_REG, SUM(IF(COALESCE(CAST(X.LGL_PRCDNG_STTS_LE AS STRING),'')&lt;&gt;COALESCE(CAST(Y.LGL_PRCDNG_STTS_LE_SIMUL AS STRING),'') OR (X.LGL_PRCDNG_STTS_LE IS NULL AND Y.LGL_PRCDNG_STTS_LE_SIMUL IS NOT NULL ) OR (X.LGL_PRCDNG_STTS_LE IS NOT NULL AND Y.LGL_PRCDNG_STTS_LE_SIMUL IS NULL),1,0)) AS NUM_REG_DIF,'1' AS ID_EXEC, CURRENT_TIMESTAMP() AS TIME_EXEC FROM (SELECT entty_id, LGL_PRCDNG_STTS_LE FROM CD_LOAN_TAPES_BCE.LT003_ENTITY WHERE ref_date='${ref_date}' AND nome_perimetro='Individual Corporativo' AND segmento='ESTR' AND ambito='PM' AND entidade='00100')X INNER JOIN (SELECT entty_id AS entty_id_SIMUL, LGL_PRCDNG_STTS_LE AS LGL_PRCDNG_STTS_LE_SIMUL FROM BU_LOANTAPE_WORK.LT003_ENTITY WHERE ref_date='${ref_date}' AND nome_perimetro='Individual Corporativo' AND segmento='ESTR' AND ambito='PM' AND entidade='00100')Y ON X.ENTTY_ID=Y.ENTTY_ID_SIMUL</v>
      </c>
      <c r="N47" s="38" t="s">
        <v>46</v>
      </c>
    </row>
    <row r="48" spans="2:14">
      <c r="B48" s="34" t="s">
        <v>127</v>
      </c>
      <c r="C48" s="34" t="s">
        <v>5</v>
      </c>
      <c r="D48" s="34" t="str">
        <f>+UPPER('0. Instruções'!$D$35&amp;"."&amp;VLOOKUP(B48,'0. Instruções'!$C$27:$D$32,2,FALSE))</f>
        <v>CD_LOAN_TAPES_BCE.LT003_ENTITY</v>
      </c>
      <c r="E48" s="34" t="str">
        <f>+UPPER('0. Instruções'!$D$36&amp;"."&amp;VLOOKUP(B48,'0. Instruções'!$C$27:$E$32,3,FALSE))</f>
        <v>BU_LOANTAPE_WORK.LT003_ENTITY</v>
      </c>
      <c r="F48" s="34" t="s">
        <v>359</v>
      </c>
      <c r="G48" s="34"/>
      <c r="H48" s="34" t="s">
        <v>648</v>
      </c>
      <c r="I48" s="34" t="str">
        <f>"(SELECT "&amp;VLOOKUP(B48,'0. Instruções'!$C$27:$G$32,4,FALSE)&amp;", "&amp;F48&amp;" FROM "&amp;D48&amp;" WHERE "&amp;'0. Instruções'!$D$42&amp;")X"</f>
        <v>(SELECT entty_id, OWND_BY_SPNSR FROM CD_LOAN_TAPES_BCE.LT003_ENTITY WHERE ref_date='${ref_date}' AND nome_perimetro='Individual Corporativo' AND segmento='ESTR' AND ambito='PM' AND entidade='00100')X</v>
      </c>
      <c r="J48" s="34" t="str">
        <f>"(SELECT "&amp;VLOOKUP(B48,'0. Instruções'!$C$27:$G$32,4,FALSE)&amp;" AS "&amp;VLOOKUP(B48,'0. Instruções'!$C$27:$G$32,4,FALSE)&amp;"_SIMUL, "&amp;F48&amp;" AS "&amp;F48&amp;"_SIMUL FROM "&amp;E48&amp;" WHERE "&amp;'0. Instruções'!$D$43&amp;")Y"</f>
        <v>(SELECT entty_id AS entty_id_SIMUL, OWND_BY_SPNSR AS OWND_BY_SPNSR_SIMUL FROM BU_LOANTAPE_WORK.LT003_ENTITY WHERE ref_date='${ref_date}' AND nome_perimetro='Individual Corporativo' AND segmento='ESTR' AND ambito='PM' AND entidade='00100')Y</v>
      </c>
      <c r="K48" s="35" t="str">
        <f>+UPPER("ON X."&amp;VLOOKUP(B48,'0. Instruções'!$C$27:$G$32,4,FALSE)&amp;"=Y."&amp;VLOOKUP(B48,'0. Instruções'!$C$27:$G$32,4,FALSE)&amp;"_SIMUL")</f>
        <v>ON X.ENTTY_ID=Y.ENTTY_ID_SIMUL</v>
      </c>
      <c r="L48" s="35" t="str">
        <f>+IF(C48="Coerência", +IF(LEFT(G48,5)="FLOAT","SELECT '"&amp;UPPER(B48)&amp;"' AS TABELA, '"&amp;UPPER(C48)&amp;"' AS TIPOLOGIA_TESTE,'"&amp;D48&amp;"' AS TABELA_LT,'"&amp;E48&amp;"' AS TABELA_SIMUL,'"&amp;F48&amp;"' AS CAMPO, "&amp;"'${ref_date}' AS REF_DATE, COUNT(*) AS NUM_REG, SUM(IF((ABS(COALESCE(CAST(X."&amp;F48&amp;" AS DECIMAL(18,6)),0)-COALESCE(CAST(Y."&amp;F48&amp;"_SIMUL AS DECIMAL(18,6)),0))&gt;0.000001) OR (X."&amp;F48&amp;" IS NULL AND Y."&amp;F48&amp;"_SIMUL IS NOT NULL ) OR (X."&amp;F48&amp;" IS NOT NULL AND Y."&amp;F48&amp;"_SIMUL IS NULL),1,0)) AS NUM_REG_DIF,'"&amp;MAX('ID1&amp;5'!K:K)+1&amp;"' AS ID_EXEC, CURRENT_TIMESTAMP() AS TIME_EXEC FROM "&amp;I48&amp;" INNER JOIN "&amp;J48&amp;" "&amp;K48,"SELECT '"&amp;UPPER(B48)&amp;"' AS TABELA, '"&amp;UPPER(C48)&amp;"' AS TIPOLOGIA_TESTE,'"&amp;D48&amp;"' AS TABELA_LT,'"&amp;E48&amp;"' AS TABELA_SIMUL,'"&amp;F48&amp;"' AS CAMPO, "&amp;"'${ref_date}' AS REF_DATE, COUNT(*) AS NUM_REG, SUM(IF(COALESCE(CAST(X."&amp;F48&amp;" AS STRING),'')&lt;&gt;COALESCE(CAST(Y."&amp;F48&amp;"_SIMUL AS STRING),'') OR (X."&amp;F48&amp;" IS NULL AND Y."&amp;F48&amp;"_SIMUL IS NOT NULL ) OR (X."&amp;F48&amp;" IS NOT NULL AND Y."&amp;F48&amp;"_SIMUL IS NULL),1,0)) AS NUM_REG_DIF,'"&amp;MAX('ID1&amp;5'!L:L)+1&amp;"' AS ID_EXEC, CURRENT_TIMESTAMP() AS TIME_EXEC FROM "&amp;I48&amp;" INNER JOIN "&amp;J48&amp;" "&amp;K48),
IF(C48="Validade",+IF(G48="Code List","SELECT '"&amp;UPPER(B48)&amp;"' AS TABELA, '"&amp;UPPER(C48)&amp;"' AS TIPOLOGIA_TESTE,'"&amp;D48&amp;"' AS TABELA_LT,'N/A' AS TABELA_SIMUL,'"&amp;F48&amp;"' AS CAMPO, "&amp;"'${ref_date}' AS REF_DATE, COUNT(*) AS NUM_REG, SUM(IF(TRIM(CAST(X."&amp;F48&amp;" AS STRING))='' OR TRIM(CAST(X."&amp;F48&amp;" AS STRING)) IS NULL OR CAST(X."&amp;F48&amp;" AS STRING) NOT "&amp;H48&amp;",1,0)) AS NUM_REG_DIF,'"&amp;MAX('ID1&amp;5'!K:K)+1&amp;"' AS ID_EXEC, CURRENT_TIMESTAMP() AS TIME_EXEC FROM "&amp;I48,"SELECT '"&amp;UPPER(B48)&amp;"' AS TABELA, '"&amp;UPPER(C48)&amp;"' AS TIPOLOGIA_TESTE,'"&amp;D48&amp;"' AS TABELA_LT,'N/A' AS TABELA_SIMUL,'"&amp;F48&amp;"' AS CAMPO, "&amp;"'${ref_date}' AS REF_DATE, COUNT(*) AS NUM_REG, SUM(IF(TRIM(CAST(X."&amp;F48&amp;" AS STRING))='' OR TRIM(CAST(X."&amp;F48&amp;" AS STRING)) IS NULL,1,0)) AS NUM_REG_DIF,'"&amp;MAX('ID1&amp;5'!K:K)+1&amp;"' AS ID_EXEC, CURRENT_TIMESTAMP() AS TIME_EXEC FROM "&amp;I48),
IF(C48="Caracteres Especiais",+"SELECT '"&amp;UPPER(B48)&amp;"' AS TABELA, '"&amp;UPPER(C48)&amp;"' AS TIPOLOGIA_TESTE,'"&amp;D48&amp;"' AS TABELA_LT,'N/A' AS TABELA_SIMUL,'"&amp;F48&amp;"' AS CAMPO, "&amp;"'${ref_date}' AS REF_DATE, COUNT(*) AS NUM_REG, SUM(IF(REGEXP_REPLACE(TRIM(CAST(X."&amp;F48&amp;" AS STRING)),'[^a-zA-Z0-9_\\s]','') &lt;&gt;TRIM(CAST(X."&amp;F48&amp;" AS STRING)),1,0)) AS NUM_REG_DIF,'"&amp;MAX('ID1&amp;5'!K:K)+1&amp;"' AS ID_EXEC, CURRENT_TIMESTAMP() AS TIME_EXEC FROM "&amp;I48,
IF(C48="Missings",+"SELECT '"&amp;UPPER(B48)&amp;"' AS TABELA, '"&amp;UPPER(C48)&amp;"' AS TIPOLOGIA_TESTE,'"&amp;D48&amp;"' AS TABELA_LT,'N/A' AS TABELA_SIMUL,'"&amp;F48&amp;"' AS CAMPO, "&amp;"'${ref_date}' AS REF_DATE, COUNT(*) AS NUM_REG, SUM(IF(TRIM(CAST(X."&amp;F48&amp;" AS STRING)) IN ('0000-00-00','0001-01-01','9999-12-31','MISS','00000','99999999999','99999999999.00','99999999999.000000'),1,0)) AS NUM_REG_DIF,'"&amp;MAX('ID1&amp;5'!K:K)+1&amp;"' AS ID_EXEC, CURRENT_TIMESTAMP() AS TIME_EXEC FROM "&amp;I48,
IF(C48="Not applicable",+"SELECT '"&amp;UPPER(B48)&amp;"' AS TABELA, '"&amp;UPPER(C48)&amp;"' AS TIPOLOGIA_TESTE,'"&amp;D48&amp;"' AS TABELA_LT,'N/A' AS TABELA_SIMUL,'"&amp;F48&amp;"' AS CAMPO, "&amp;"'${ref_date}' AS REF_DATE, COUNT(*) AS NUM_REG, SUM(IF(TRIM(CAST(X."&amp;F48&amp;" AS STRING)) IN ('N/A','11111111111','11111111111.00','11111111111.000000','1111-11-11'),1,0)) AS NUM_REG_DIF,'"&amp;MAX('ID1&amp;5'!K:K)+1&amp;"' AS ID_EXEC, CURRENT_TIMESTAMP() AS TIME_EXEC FROM "&amp;I48,
IF(C48="Valores extremos",+"SELECT '"&amp;UPPER(B48)&amp;"' AS TABELA, '"&amp;UPPER(C48)&amp;"' AS TIPOLOGIA_TESTE,'"&amp;D48&amp;"' AS TABELA_LT,'N/A' AS TABELA_SIMUL,'"&amp;F48&amp;"' AS CAMPO, "&amp;"'${ref_date}' AS REF_DATE, CAST(MIN("&amp;F48&amp;") AS STRING) AS VALOR_MIN, CAST(MAX("&amp;F48&amp;") AS STRING) AS VALOR_MAX,'"&amp;MAX('ID1&amp;5'!K:K)+1&amp;"' AS ID_EXEC, CURRENT_TIMESTAMP() AS TIME_EXEC FROM "&amp;MID(I48,1,LEN(I48)-2)&amp;" AND CAST("&amp;F48&amp;"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TABELA_SIMUL,'OWND_BY_SPNSR' AS CAMPO, '${ref_date}' AS REF_DATE, COUNT(*) AS NUM_REG, SUM(IF(COALESCE(CAST(X.OWND_BY_SPNSR AS STRING),'')&lt;&gt;COALESCE(CAST(Y.OWND_BY_SPNSR_SIMUL AS STRING),'') OR (X.OWND_BY_SPNSR IS NULL AND Y.OWND_BY_SPNSR_SIMUL IS NOT NULL ) OR (X.OWND_BY_SPNSR IS NOT NULL AND Y.OWND_BY_SPNSR_SIMUL IS NULL),1,0)) AS NUM_REG_DIF,'1' AS ID_EXEC, CURRENT_TIMESTAMP() AS TIME_EXEC FROM (SELECT entty_id, OWND_BY_SPNSR FROM CD_LOAN_TAPES_BCE.LT003_ENTITY WHERE ref_date='${ref_date}' AND nome_perimetro='Individual Corporativo' AND segmento='ESTR' AND ambito='PM' AND entidade='00100')X INNER JOIN (SELECT entty_id AS entty_id_SIMUL, OWND_BY_SPNSR AS OWND_BY_SPNSR_SIMUL FROM BU_LOANTAPE_WORK.LT003_ENTITY WHERE ref_date='${ref_date}' AND nome_perimetro='Individual Corporativo' AND segmento='ESTR' AND ambito='PM' AND entidade='00100')Y ON X.ENTTY_ID=Y.ENTTY_ID_SIMUL</v>
      </c>
      <c r="M48" s="36" t="str">
        <f t="shared" si="0"/>
        <v>UNION ALL SELECT 'ENTITY' AS TABELA, 'COERÊNCIA' AS TIPOLOGIA_TESTE,'CD_LOAN_TAPES_BCE.LT003_ENTITY' AS TABELA_LT,'BU_LOANTAPE_WORK.LT003_ENTITY' AS TABELA_SIMUL,'OWND_BY_SPNSR' AS CAMPO, '${ref_date}' AS REF_DATE, COUNT(*) AS NUM_REG, SUM(IF(COALESCE(CAST(X.OWND_BY_SPNSR AS STRING),'')&lt;&gt;COALESCE(CAST(Y.OWND_BY_SPNSR_SIMUL AS STRING),'') OR (X.OWND_BY_SPNSR IS NULL AND Y.OWND_BY_SPNSR_SIMUL IS NOT NULL ) OR (X.OWND_BY_SPNSR IS NOT NULL AND Y.OWND_BY_SPNSR_SIMUL IS NULL),1,0)) AS NUM_REG_DIF,'1' AS ID_EXEC, CURRENT_TIMESTAMP() AS TIME_EXEC FROM (SELECT entty_id, OWND_BY_SPNSR FROM CD_LOAN_TAPES_BCE.LT003_ENTITY WHERE ref_date='${ref_date}' AND nome_perimetro='Individual Corporativo' AND segmento='ESTR' AND ambito='PM' AND entidade='00100')X INNER JOIN (SELECT entty_id AS entty_id_SIMUL, OWND_BY_SPNSR AS OWND_BY_SPNSR_SIMUL FROM BU_LOANTAPE_WORK.LT003_ENTITY WHERE ref_date='${ref_date}' AND nome_perimetro='Individual Corporativo' AND segmento='ESTR' AND ambito='PM' AND entidade='00100')Y ON X.ENTTY_ID=Y.ENTTY_ID_SIMUL</v>
      </c>
      <c r="N48" s="38" t="s">
        <v>46</v>
      </c>
    </row>
    <row r="49" spans="2:14">
      <c r="B49" s="34" t="s">
        <v>127</v>
      </c>
      <c r="C49" s="34" t="s">
        <v>5</v>
      </c>
      <c r="D49" s="34" t="str">
        <f>+UPPER('0. Instruções'!$D$35&amp;"."&amp;VLOOKUP(B49,'0. Instruções'!$C$27:$D$32,2,FALSE))</f>
        <v>CD_LOAN_TAPES_BCE.LT003_ENTITY</v>
      </c>
      <c r="E49" s="34" t="str">
        <f>+UPPER('0. Instruções'!$D$36&amp;"."&amp;VLOOKUP(B49,'0. Instruções'!$C$27:$E$32,3,FALSE))</f>
        <v>BU_LOANTAPE_WORK.LT003_ENTITY</v>
      </c>
      <c r="F49" s="34" t="s">
        <v>360</v>
      </c>
      <c r="G49" s="34"/>
      <c r="H49" s="34" t="s">
        <v>89</v>
      </c>
      <c r="I49" s="34" t="str">
        <f>"(SELECT "&amp;VLOOKUP(B49,'0. Instruções'!$C$27:$G$32,4,FALSE)&amp;", "&amp;F49&amp;" FROM "&amp;D49&amp;" WHERE "&amp;'0. Instruções'!$D$42&amp;")X"</f>
        <v>(SELECT entty_id, PRFRMNG_STTS_LE FROM CD_LOAN_TAPES_BCE.LT003_ENTITY WHERE ref_date='${ref_date}' AND nome_perimetro='Individual Corporativo' AND segmento='ESTR' AND ambito='PM' AND entidade='00100')X</v>
      </c>
      <c r="J49" s="34" t="str">
        <f>"(SELECT "&amp;VLOOKUP(B49,'0. Instruções'!$C$27:$G$32,4,FALSE)&amp;" AS "&amp;VLOOKUP(B49,'0. Instruções'!$C$27:$G$32,4,FALSE)&amp;"_SIMUL, "&amp;F49&amp;" AS "&amp;F49&amp;"_SIMUL FROM "&amp;E49&amp;" WHERE "&amp;'0. Instruções'!$D$43&amp;")Y"</f>
        <v>(SELECT entty_id AS entty_id_SIMUL, PRFRMNG_STTS_LE AS PRFRMNG_STTS_LE_SIMUL FROM BU_LOANTAPE_WORK.LT003_ENTITY WHERE ref_date='${ref_date}' AND nome_perimetro='Individual Corporativo' AND segmento='ESTR' AND ambito='PM' AND entidade='00100')Y</v>
      </c>
      <c r="K49" s="35" t="str">
        <f>+UPPER("ON X."&amp;VLOOKUP(B49,'0. Instruções'!$C$27:$G$32,4,FALSE)&amp;"=Y."&amp;VLOOKUP(B49,'0. Instruções'!$C$27:$G$32,4,FALSE)&amp;"_SIMUL")</f>
        <v>ON X.ENTTY_ID=Y.ENTTY_ID_SIMUL</v>
      </c>
      <c r="L49" s="35" t="str">
        <f>+IF(C49="Coerência", +IF(LEFT(G49,5)="FLOAT","SELECT '"&amp;UPPER(B49)&amp;"' AS TABELA, '"&amp;UPPER(C49)&amp;"' AS TIPOLOGIA_TESTE,'"&amp;D49&amp;"' AS TABELA_LT,'"&amp;E49&amp;"' AS TABELA_SIMUL,'"&amp;F49&amp;"' AS CAMPO, "&amp;"'${ref_date}' AS REF_DATE, COUNT(*) AS NUM_REG, SUM(IF((ABS(COALESCE(CAST(X."&amp;F49&amp;" AS DECIMAL(18,6)),0)-COALESCE(CAST(Y."&amp;F49&amp;"_SIMUL AS DECIMAL(18,6)),0))&gt;0.000001) OR (X."&amp;F49&amp;" IS NULL AND Y."&amp;F49&amp;"_SIMUL IS NOT NULL ) OR (X."&amp;F49&amp;" IS NOT NULL AND Y."&amp;F49&amp;"_SIMUL IS NULL),1,0)) AS NUM_REG_DIF,'"&amp;MAX('ID1&amp;5'!K:K)+1&amp;"' AS ID_EXEC, CURRENT_TIMESTAMP() AS TIME_EXEC FROM "&amp;I49&amp;" INNER JOIN "&amp;J49&amp;" "&amp;K49,"SELECT '"&amp;UPPER(B49)&amp;"' AS TABELA, '"&amp;UPPER(C49)&amp;"' AS TIPOLOGIA_TESTE,'"&amp;D49&amp;"' AS TABELA_LT,'"&amp;E49&amp;"' AS TABELA_SIMUL,'"&amp;F49&amp;"' AS CAMPO, "&amp;"'${ref_date}' AS REF_DATE, COUNT(*) AS NUM_REG, SUM(IF(COALESCE(CAST(X."&amp;F49&amp;" AS STRING),'')&lt;&gt;COALESCE(CAST(Y."&amp;F49&amp;"_SIMUL AS STRING),'') OR (X."&amp;F49&amp;" IS NULL AND Y."&amp;F49&amp;"_SIMUL IS NOT NULL ) OR (X."&amp;F49&amp;" IS NOT NULL AND Y."&amp;F49&amp;"_SIMUL IS NULL),1,0)) AS NUM_REG_DIF,'"&amp;MAX('ID1&amp;5'!L:L)+1&amp;"' AS ID_EXEC, CURRENT_TIMESTAMP() AS TIME_EXEC FROM "&amp;I49&amp;" INNER JOIN "&amp;J49&amp;" "&amp;K49),
IF(C49="Validade",+IF(G49="Code List","SELECT '"&amp;UPPER(B49)&amp;"' AS TABELA, '"&amp;UPPER(C49)&amp;"' AS TIPOLOGIA_TESTE,'"&amp;D49&amp;"' AS TABELA_LT,'N/A' AS TABELA_SIMUL,'"&amp;F49&amp;"' AS CAMPO, "&amp;"'${ref_date}' AS REF_DATE, COUNT(*) AS NUM_REG, SUM(IF(TRIM(CAST(X."&amp;F49&amp;" AS STRING))='' OR TRIM(CAST(X."&amp;F49&amp;" AS STRING)) IS NULL OR CAST(X."&amp;F49&amp;" AS STRING) NOT "&amp;H49&amp;",1,0)) AS NUM_REG_DIF,'"&amp;MAX('ID1&amp;5'!K:K)+1&amp;"' AS ID_EXEC, CURRENT_TIMESTAMP() AS TIME_EXEC FROM "&amp;I49,"SELECT '"&amp;UPPER(B49)&amp;"' AS TABELA, '"&amp;UPPER(C49)&amp;"' AS TIPOLOGIA_TESTE,'"&amp;D49&amp;"' AS TABELA_LT,'N/A' AS TABELA_SIMUL,'"&amp;F49&amp;"' AS CAMPO, "&amp;"'${ref_date}' AS REF_DATE, COUNT(*) AS NUM_REG, SUM(IF(TRIM(CAST(X."&amp;F49&amp;" AS STRING))='' OR TRIM(CAST(X."&amp;F49&amp;" AS STRING)) IS NULL,1,0)) AS NUM_REG_DIF,'"&amp;MAX('ID1&amp;5'!K:K)+1&amp;"' AS ID_EXEC, CURRENT_TIMESTAMP() AS TIME_EXEC FROM "&amp;I49),
IF(C49="Caracteres Especiais",+"SELECT '"&amp;UPPER(B49)&amp;"' AS TABELA, '"&amp;UPPER(C49)&amp;"' AS TIPOLOGIA_TESTE,'"&amp;D49&amp;"' AS TABELA_LT,'N/A' AS TABELA_SIMUL,'"&amp;F49&amp;"' AS CAMPO, "&amp;"'${ref_date}' AS REF_DATE, COUNT(*) AS NUM_REG, SUM(IF(REGEXP_REPLACE(TRIM(CAST(X."&amp;F49&amp;" AS STRING)),'[^a-zA-Z0-9_\\s]','') &lt;&gt;TRIM(CAST(X."&amp;F49&amp;" AS STRING)),1,0)) AS NUM_REG_DIF,'"&amp;MAX('ID1&amp;5'!K:K)+1&amp;"' AS ID_EXEC, CURRENT_TIMESTAMP() AS TIME_EXEC FROM "&amp;I49,
IF(C49="Missings",+"SELECT '"&amp;UPPER(B49)&amp;"' AS TABELA, '"&amp;UPPER(C49)&amp;"' AS TIPOLOGIA_TESTE,'"&amp;D49&amp;"' AS TABELA_LT,'N/A' AS TABELA_SIMUL,'"&amp;F49&amp;"' AS CAMPO, "&amp;"'${ref_date}' AS REF_DATE, COUNT(*) AS NUM_REG, SUM(IF(TRIM(CAST(X."&amp;F49&amp;" AS STRING)) IN ('0000-00-00','0001-01-01','9999-12-31','MISS','00000','99999999999','99999999999.00','99999999999.000000'),1,0)) AS NUM_REG_DIF,'"&amp;MAX('ID1&amp;5'!K:K)+1&amp;"' AS ID_EXEC, CURRENT_TIMESTAMP() AS TIME_EXEC FROM "&amp;I49,
IF(C49="Not applicable",+"SELECT '"&amp;UPPER(B49)&amp;"' AS TABELA, '"&amp;UPPER(C49)&amp;"' AS TIPOLOGIA_TESTE,'"&amp;D49&amp;"' AS TABELA_LT,'N/A' AS TABELA_SIMUL,'"&amp;F49&amp;"' AS CAMPO, "&amp;"'${ref_date}' AS REF_DATE, COUNT(*) AS NUM_REG, SUM(IF(TRIM(CAST(X."&amp;F49&amp;" AS STRING)) IN ('N/A','11111111111','11111111111.00','11111111111.000000','1111-11-11'),1,0)) AS NUM_REG_DIF,'"&amp;MAX('ID1&amp;5'!K:K)+1&amp;"' AS ID_EXEC, CURRENT_TIMESTAMP() AS TIME_EXEC FROM "&amp;I49,
IF(C49="Valores extremos",+"SELECT '"&amp;UPPER(B49)&amp;"' AS TABELA, '"&amp;UPPER(C49)&amp;"' AS TIPOLOGIA_TESTE,'"&amp;D49&amp;"' AS TABELA_LT,'N/A' AS TABELA_SIMUL,'"&amp;F49&amp;"' AS CAMPO, "&amp;"'${ref_date}' AS REF_DATE, CAST(MIN("&amp;F49&amp;") AS STRING) AS VALOR_MIN, CAST(MAX("&amp;F49&amp;") AS STRING) AS VALOR_MAX,'"&amp;MAX('ID1&amp;5'!K:K)+1&amp;"' AS ID_EXEC, CURRENT_TIMESTAMP() AS TIME_EXEC FROM "&amp;MID(I49,1,LEN(I49)-2)&amp;" AND CAST("&amp;F49&amp;"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TABELA_SIMUL,'PRFRMNG_STTS_LE' AS CAMPO, '${ref_date}' AS REF_DATE, COUNT(*) AS NUM_REG, SUM(IF(COALESCE(CAST(X.PRFRMNG_STTS_LE AS STRING),'')&lt;&gt;COALESCE(CAST(Y.PRFRMNG_STTS_LE_SIMUL AS STRING),'') OR (X.PRFRMNG_STTS_LE IS NULL AND Y.PRFRMNG_STTS_LE_SIMUL IS NOT NULL ) OR (X.PRFRMNG_STTS_LE IS NOT NULL AND Y.PRFRMNG_STTS_LE_SIMUL IS NULL),1,0)) AS NUM_REG_DIF,'1' AS ID_EXEC, CURRENT_TIMESTAMP() AS TIME_EXEC FROM (SELECT entty_id, PRFRMNG_STTS_LE FROM CD_LOAN_TAPES_BCE.LT003_ENTITY WHERE ref_date='${ref_date}' AND nome_perimetro='Individual Corporativo' AND segmento='ESTR' AND ambito='PM' AND entidade='00100')X INNER JOIN (SELECT entty_id AS entty_id_SIMUL, PRFRMNG_STTS_LE AS PRFRMNG_STTS_LE_SIMUL FROM BU_LOANTAPE_WORK.LT003_ENTITY WHERE ref_date='${ref_date}' AND nome_perimetro='Individual Corporativo' AND segmento='ESTR' AND ambito='PM' AND entidade='00100')Y ON X.ENTTY_ID=Y.ENTTY_ID_SIMUL</v>
      </c>
      <c r="M49" s="36" t="str">
        <f t="shared" si="0"/>
        <v>UNION ALL SELECT 'ENTITY' AS TABELA, 'COERÊNCIA' AS TIPOLOGIA_TESTE,'CD_LOAN_TAPES_BCE.LT003_ENTITY' AS TABELA_LT,'BU_LOANTAPE_WORK.LT003_ENTITY' AS TABELA_SIMUL,'PRFRMNG_STTS_LE' AS CAMPO, '${ref_date}' AS REF_DATE, COUNT(*) AS NUM_REG, SUM(IF(COALESCE(CAST(X.PRFRMNG_STTS_LE AS STRING),'')&lt;&gt;COALESCE(CAST(Y.PRFRMNG_STTS_LE_SIMUL AS STRING),'') OR (X.PRFRMNG_STTS_LE IS NULL AND Y.PRFRMNG_STTS_LE_SIMUL IS NOT NULL ) OR (X.PRFRMNG_STTS_LE IS NOT NULL AND Y.PRFRMNG_STTS_LE_SIMUL IS NULL),1,0)) AS NUM_REG_DIF,'1' AS ID_EXEC, CURRENT_TIMESTAMP() AS TIME_EXEC FROM (SELECT entty_id, PRFRMNG_STTS_LE FROM CD_LOAN_TAPES_BCE.LT003_ENTITY WHERE ref_date='${ref_date}' AND nome_perimetro='Individual Corporativo' AND segmento='ESTR' AND ambito='PM' AND entidade='00100')X INNER JOIN (SELECT entty_id AS entty_id_SIMUL, PRFRMNG_STTS_LE AS PRFRMNG_STTS_LE_SIMUL FROM BU_LOANTAPE_WORK.LT003_ENTITY WHERE ref_date='${ref_date}' AND nome_perimetro='Individual Corporativo' AND segmento='ESTR' AND ambito='PM' AND entidade='00100')Y ON X.ENTTY_ID=Y.ENTTY_ID_SIMUL</v>
      </c>
      <c r="N49" s="38" t="s">
        <v>46</v>
      </c>
    </row>
    <row r="50" spans="2:14">
      <c r="B50" s="34" t="s">
        <v>127</v>
      </c>
      <c r="C50" s="34" t="s">
        <v>5</v>
      </c>
      <c r="D50" s="34" t="str">
        <f>+UPPER('0. Instruções'!$D$35&amp;"."&amp;VLOOKUP(B50,'0. Instruções'!$C$27:$D$32,2,FALSE))</f>
        <v>CD_LOAN_TAPES_BCE.LT003_ENTITY</v>
      </c>
      <c r="E50" s="34" t="str">
        <f>+UPPER('0. Instruções'!$D$36&amp;"."&amp;VLOOKUP(B50,'0. Instruções'!$C$27:$E$32,3,FALSE))</f>
        <v>BU_LOANTAPE_WORK.LT003_ENTITY</v>
      </c>
      <c r="F50" s="34" t="s">
        <v>361</v>
      </c>
      <c r="G50" s="34"/>
      <c r="H50" s="34" t="s">
        <v>89</v>
      </c>
      <c r="I50" s="34" t="str">
        <f>"(SELECT "&amp;VLOOKUP(B50,'0. Instruções'!$C$27:$G$32,4,FALSE)&amp;", "&amp;F50&amp;" FROM "&amp;D50&amp;" WHERE "&amp;'0. Instruções'!$D$42&amp;")X"</f>
        <v>(SELECT entty_id, RTNG_MTHD FROM CD_LOAN_TAPES_BCE.LT003_ENTITY WHERE ref_date='${ref_date}' AND nome_perimetro='Individual Corporativo' AND segmento='ESTR' AND ambito='PM' AND entidade='00100')X</v>
      </c>
      <c r="J50" s="34" t="str">
        <f>"(SELECT "&amp;VLOOKUP(B50,'0. Instruções'!$C$27:$G$32,4,FALSE)&amp;" AS "&amp;VLOOKUP(B50,'0. Instruções'!$C$27:$G$32,4,FALSE)&amp;"_SIMUL, "&amp;F50&amp;" AS "&amp;F50&amp;"_SIMUL FROM "&amp;E50&amp;" WHERE "&amp;'0. Instruções'!$D$43&amp;")Y"</f>
        <v>(SELECT entty_id AS entty_id_SIMUL, RTNG_MTHD AS RTNG_MTHD_SIMUL FROM BU_LOANTAPE_WORK.LT003_ENTITY WHERE ref_date='${ref_date}' AND nome_perimetro='Individual Corporativo' AND segmento='ESTR' AND ambito='PM' AND entidade='00100')Y</v>
      </c>
      <c r="K50" s="35" t="str">
        <f>+UPPER("ON X."&amp;VLOOKUP(B50,'0. Instruções'!$C$27:$G$32,4,FALSE)&amp;"=Y."&amp;VLOOKUP(B50,'0. Instruções'!$C$27:$G$32,4,FALSE)&amp;"_SIMUL")</f>
        <v>ON X.ENTTY_ID=Y.ENTTY_ID_SIMUL</v>
      </c>
      <c r="L50" s="35" t="str">
        <f>+IF(C50="Coerência", +IF(LEFT(G50,5)="FLOAT","SELECT '"&amp;UPPER(B50)&amp;"' AS TABELA, '"&amp;UPPER(C50)&amp;"' AS TIPOLOGIA_TESTE,'"&amp;D50&amp;"' AS TABELA_LT,'"&amp;E50&amp;"' AS TABELA_SIMUL,'"&amp;F50&amp;"' AS CAMPO, "&amp;"'${ref_date}' AS REF_DATE, COUNT(*) AS NUM_REG, SUM(IF((ABS(COALESCE(CAST(X."&amp;F50&amp;" AS DECIMAL(18,6)),0)-COALESCE(CAST(Y."&amp;F50&amp;"_SIMUL AS DECIMAL(18,6)),0))&gt;0.000001) OR (X."&amp;F50&amp;" IS NULL AND Y."&amp;F50&amp;"_SIMUL IS NOT NULL ) OR (X."&amp;F50&amp;" IS NOT NULL AND Y."&amp;F50&amp;"_SIMUL IS NULL),1,0)) AS NUM_REG_DIF,'"&amp;MAX('ID1&amp;5'!K:K)+1&amp;"' AS ID_EXEC, CURRENT_TIMESTAMP() AS TIME_EXEC FROM "&amp;I50&amp;" INNER JOIN "&amp;J50&amp;" "&amp;K50,"SELECT '"&amp;UPPER(B50)&amp;"' AS TABELA, '"&amp;UPPER(C50)&amp;"' AS TIPOLOGIA_TESTE,'"&amp;D50&amp;"' AS TABELA_LT,'"&amp;E50&amp;"' AS TABELA_SIMUL,'"&amp;F50&amp;"' AS CAMPO, "&amp;"'${ref_date}' AS REF_DATE, COUNT(*) AS NUM_REG, SUM(IF(COALESCE(CAST(X."&amp;F50&amp;" AS STRING),'')&lt;&gt;COALESCE(CAST(Y."&amp;F50&amp;"_SIMUL AS STRING),'') OR (X."&amp;F50&amp;" IS NULL AND Y."&amp;F50&amp;"_SIMUL IS NOT NULL ) OR (X."&amp;F50&amp;" IS NOT NULL AND Y."&amp;F50&amp;"_SIMUL IS NULL),1,0)) AS NUM_REG_DIF,'"&amp;MAX('ID1&amp;5'!L:L)+1&amp;"' AS ID_EXEC, CURRENT_TIMESTAMP() AS TIME_EXEC FROM "&amp;I50&amp;" INNER JOIN "&amp;J50&amp;" "&amp;K50),
IF(C50="Validade",+IF(G50="Code List","SELECT '"&amp;UPPER(B50)&amp;"' AS TABELA, '"&amp;UPPER(C50)&amp;"' AS TIPOLOGIA_TESTE,'"&amp;D50&amp;"' AS TABELA_LT,'N/A' AS TABELA_SIMUL,'"&amp;F50&amp;"' AS CAMPO, "&amp;"'${ref_date}' AS REF_DATE, COUNT(*) AS NUM_REG, SUM(IF(TRIM(CAST(X."&amp;F50&amp;" AS STRING))='' OR TRIM(CAST(X."&amp;F50&amp;" AS STRING)) IS NULL OR CAST(X."&amp;F50&amp;" AS STRING) NOT "&amp;H50&amp;",1,0)) AS NUM_REG_DIF,'"&amp;MAX('ID1&amp;5'!K:K)+1&amp;"' AS ID_EXEC, CURRENT_TIMESTAMP() AS TIME_EXEC FROM "&amp;I50,"SELECT '"&amp;UPPER(B50)&amp;"' AS TABELA, '"&amp;UPPER(C50)&amp;"' AS TIPOLOGIA_TESTE,'"&amp;D50&amp;"' AS TABELA_LT,'N/A' AS TABELA_SIMUL,'"&amp;F50&amp;"' AS CAMPO, "&amp;"'${ref_date}' AS REF_DATE, COUNT(*) AS NUM_REG, SUM(IF(TRIM(CAST(X."&amp;F50&amp;" AS STRING))='' OR TRIM(CAST(X."&amp;F50&amp;" AS STRING)) IS NULL,1,0)) AS NUM_REG_DIF,'"&amp;MAX('ID1&amp;5'!K:K)+1&amp;"' AS ID_EXEC, CURRENT_TIMESTAMP() AS TIME_EXEC FROM "&amp;I50),
IF(C50="Caracteres Especiais",+"SELECT '"&amp;UPPER(B50)&amp;"' AS TABELA, '"&amp;UPPER(C50)&amp;"' AS TIPOLOGIA_TESTE,'"&amp;D50&amp;"' AS TABELA_LT,'N/A' AS TABELA_SIMUL,'"&amp;F50&amp;"' AS CAMPO, "&amp;"'${ref_date}' AS REF_DATE, COUNT(*) AS NUM_REG, SUM(IF(REGEXP_REPLACE(TRIM(CAST(X."&amp;F50&amp;" AS STRING)),'[^a-zA-Z0-9_\\s]','') &lt;&gt;TRIM(CAST(X."&amp;F50&amp;" AS STRING)),1,0)) AS NUM_REG_DIF,'"&amp;MAX('ID1&amp;5'!K:K)+1&amp;"' AS ID_EXEC, CURRENT_TIMESTAMP() AS TIME_EXEC FROM "&amp;I50,
IF(C50="Missings",+"SELECT '"&amp;UPPER(B50)&amp;"' AS TABELA, '"&amp;UPPER(C50)&amp;"' AS TIPOLOGIA_TESTE,'"&amp;D50&amp;"' AS TABELA_LT,'N/A' AS TABELA_SIMUL,'"&amp;F50&amp;"' AS CAMPO, "&amp;"'${ref_date}' AS REF_DATE, COUNT(*) AS NUM_REG, SUM(IF(TRIM(CAST(X."&amp;F50&amp;" AS STRING)) IN ('0000-00-00','0001-01-01','9999-12-31','MISS','00000','99999999999','99999999999.00','99999999999.000000'),1,0)) AS NUM_REG_DIF,'"&amp;MAX('ID1&amp;5'!K:K)+1&amp;"' AS ID_EXEC, CURRENT_TIMESTAMP() AS TIME_EXEC FROM "&amp;I50,
IF(C50="Not applicable",+"SELECT '"&amp;UPPER(B50)&amp;"' AS TABELA, '"&amp;UPPER(C50)&amp;"' AS TIPOLOGIA_TESTE,'"&amp;D50&amp;"' AS TABELA_LT,'N/A' AS TABELA_SIMUL,'"&amp;F50&amp;"' AS CAMPO, "&amp;"'${ref_date}' AS REF_DATE, COUNT(*) AS NUM_REG, SUM(IF(TRIM(CAST(X."&amp;F50&amp;" AS STRING)) IN ('N/A','11111111111','11111111111.00','11111111111.000000','1111-11-11'),1,0)) AS NUM_REG_DIF,'"&amp;MAX('ID1&amp;5'!K:K)+1&amp;"' AS ID_EXEC, CURRENT_TIMESTAMP() AS TIME_EXEC FROM "&amp;I50,
IF(C50="Valores extremos",+"SELECT '"&amp;UPPER(B50)&amp;"' AS TABELA, '"&amp;UPPER(C50)&amp;"' AS TIPOLOGIA_TESTE,'"&amp;D50&amp;"' AS TABELA_LT,'N/A' AS TABELA_SIMUL,'"&amp;F50&amp;"' AS CAMPO, "&amp;"'${ref_date}' AS REF_DATE, CAST(MIN("&amp;F50&amp;") AS STRING) AS VALOR_MIN, CAST(MAX("&amp;F50&amp;") AS STRING) AS VALOR_MAX,'"&amp;MAX('ID1&amp;5'!K:K)+1&amp;"' AS ID_EXEC, CURRENT_TIMESTAMP() AS TIME_EXEC FROM "&amp;MID(I50,1,LEN(I50)-2)&amp;" AND CAST("&amp;F50&amp;"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TABELA_SIMUL,'RTNG_MTHD' AS CAMPO, '${ref_date}' AS REF_DATE, COUNT(*) AS NUM_REG, SUM(IF(COALESCE(CAST(X.RTNG_MTHD AS STRING),'')&lt;&gt;COALESCE(CAST(Y.RTNG_MTHD_SIMUL AS STRING),'') OR (X.RTNG_MTHD IS NULL AND Y.RTNG_MTHD_SIMUL IS NOT NULL ) OR (X.RTNG_MTHD IS NOT NULL AND Y.RTNG_MTHD_SIMUL IS NULL),1,0)) AS NUM_REG_DIF,'1' AS ID_EXEC, CURRENT_TIMESTAMP() AS TIME_EXEC FROM (SELECT entty_id, RTNG_MTHD FROM CD_LOAN_TAPES_BCE.LT003_ENTITY WHERE ref_date='${ref_date}' AND nome_perimetro='Individual Corporativo' AND segmento='ESTR' AND ambito='PM' AND entidade='00100')X INNER JOIN (SELECT entty_id AS entty_id_SIMUL, RTNG_MTHD AS RTNG_MTHD_SIMUL FROM BU_LOANTAPE_WORK.LT003_ENTITY WHERE ref_date='${ref_date}' AND nome_perimetro='Individual Corporativo' AND segmento='ESTR' AND ambito='PM' AND entidade='00100')Y ON X.ENTTY_ID=Y.ENTTY_ID_SIMUL</v>
      </c>
      <c r="M50" s="36" t="str">
        <f t="shared" si="0"/>
        <v>UNION ALL SELECT 'ENTITY' AS TABELA, 'COERÊNCIA' AS TIPOLOGIA_TESTE,'CD_LOAN_TAPES_BCE.LT003_ENTITY' AS TABELA_LT,'BU_LOANTAPE_WORK.LT003_ENTITY' AS TABELA_SIMUL,'RTNG_MTHD' AS CAMPO, '${ref_date}' AS REF_DATE, COUNT(*) AS NUM_REG, SUM(IF(COALESCE(CAST(X.RTNG_MTHD AS STRING),'')&lt;&gt;COALESCE(CAST(Y.RTNG_MTHD_SIMUL AS STRING),'') OR (X.RTNG_MTHD IS NULL AND Y.RTNG_MTHD_SIMUL IS NOT NULL ) OR (X.RTNG_MTHD IS NOT NULL AND Y.RTNG_MTHD_SIMUL IS NULL),1,0)) AS NUM_REG_DIF,'1' AS ID_EXEC, CURRENT_TIMESTAMP() AS TIME_EXEC FROM (SELECT entty_id, RTNG_MTHD FROM CD_LOAN_TAPES_BCE.LT003_ENTITY WHERE ref_date='${ref_date}' AND nome_perimetro='Individual Corporativo' AND segmento='ESTR' AND ambito='PM' AND entidade='00100')X INNER JOIN (SELECT entty_id AS entty_id_SIMUL, RTNG_MTHD AS RTNG_MTHD_SIMUL FROM BU_LOANTAPE_WORK.LT003_ENTITY WHERE ref_date='${ref_date}' AND nome_perimetro='Individual Corporativo' AND segmento='ESTR' AND ambito='PM' AND entidade='00100')Y ON X.ENTTY_ID=Y.ENTTY_ID_SIMUL</v>
      </c>
      <c r="N50" s="38" t="s">
        <v>46</v>
      </c>
    </row>
    <row r="51" spans="2:14">
      <c r="B51" s="34" t="s">
        <v>127</v>
      </c>
      <c r="C51" s="34" t="s">
        <v>5</v>
      </c>
      <c r="D51" s="34" t="str">
        <f>+UPPER('0. Instruções'!$D$35&amp;"."&amp;VLOOKUP(B51,'0. Instruções'!$C$27:$D$32,2,FALSE))</f>
        <v>CD_LOAN_TAPES_BCE.LT003_ENTITY</v>
      </c>
      <c r="E51" s="34" t="str">
        <f>+UPPER('0. Instruções'!$D$36&amp;"."&amp;VLOOKUP(B51,'0. Instruções'!$C$27:$E$32,3,FALSE))</f>
        <v>BU_LOANTAPE_WORK.LT003_ENTITY</v>
      </c>
      <c r="F51" s="34" t="s">
        <v>362</v>
      </c>
      <c r="G51" s="34"/>
      <c r="H51" s="34" t="s">
        <v>89</v>
      </c>
      <c r="I51" s="34" t="str">
        <f>"(SELECT "&amp;VLOOKUP(B51,'0. Instruções'!$C$27:$G$32,4,FALSE)&amp;", "&amp;F51&amp;" FROM "&amp;D51&amp;" WHERE "&amp;'0. Instruções'!$D$42&amp;")X"</f>
        <v>(SELECT entty_id, RTNG_SCL FROM CD_LOAN_TAPES_BCE.LT003_ENTITY WHERE ref_date='${ref_date}' AND nome_perimetro='Individual Corporativo' AND segmento='ESTR' AND ambito='PM' AND entidade='00100')X</v>
      </c>
      <c r="J51" s="34" t="str">
        <f>"(SELECT "&amp;VLOOKUP(B51,'0. Instruções'!$C$27:$G$32,4,FALSE)&amp;" AS "&amp;VLOOKUP(B51,'0. Instruções'!$C$27:$G$32,4,FALSE)&amp;"_SIMUL, "&amp;F51&amp;" AS "&amp;F51&amp;"_SIMUL FROM "&amp;E51&amp;" WHERE "&amp;'0. Instruções'!$D$43&amp;")Y"</f>
        <v>(SELECT entty_id AS entty_id_SIMUL, RTNG_SCL AS RTNG_SCL_SIMUL FROM BU_LOANTAPE_WORK.LT003_ENTITY WHERE ref_date='${ref_date}' AND nome_perimetro='Individual Corporativo' AND segmento='ESTR' AND ambito='PM' AND entidade='00100')Y</v>
      </c>
      <c r="K51" s="35" t="str">
        <f>+UPPER("ON X."&amp;VLOOKUP(B51,'0. Instruções'!$C$27:$G$32,4,FALSE)&amp;"=Y."&amp;VLOOKUP(B51,'0. Instruções'!$C$27:$G$32,4,FALSE)&amp;"_SIMUL")</f>
        <v>ON X.ENTTY_ID=Y.ENTTY_ID_SIMUL</v>
      </c>
      <c r="L51" s="35" t="str">
        <f>+IF(C51="Coerência", +IF(LEFT(G51,5)="FLOAT","SELECT '"&amp;UPPER(B51)&amp;"' AS TABELA, '"&amp;UPPER(C51)&amp;"' AS TIPOLOGIA_TESTE,'"&amp;D51&amp;"' AS TABELA_LT,'"&amp;E51&amp;"' AS TABELA_SIMUL,'"&amp;F51&amp;"' AS CAMPO, "&amp;"'${ref_date}' AS REF_DATE, COUNT(*) AS NUM_REG, SUM(IF((ABS(COALESCE(CAST(X."&amp;F51&amp;" AS DECIMAL(18,6)),0)-COALESCE(CAST(Y."&amp;F51&amp;"_SIMUL AS DECIMAL(18,6)),0))&gt;0.000001) OR (X."&amp;F51&amp;" IS NULL AND Y."&amp;F51&amp;"_SIMUL IS NOT NULL ) OR (X."&amp;F51&amp;" IS NOT NULL AND Y."&amp;F51&amp;"_SIMUL IS NULL),1,0)) AS NUM_REG_DIF,'"&amp;MAX('ID1&amp;5'!K:K)+1&amp;"' AS ID_EXEC, CURRENT_TIMESTAMP() AS TIME_EXEC FROM "&amp;I51&amp;" INNER JOIN "&amp;J51&amp;" "&amp;K51,"SELECT '"&amp;UPPER(B51)&amp;"' AS TABELA, '"&amp;UPPER(C51)&amp;"' AS TIPOLOGIA_TESTE,'"&amp;D51&amp;"' AS TABELA_LT,'"&amp;E51&amp;"' AS TABELA_SIMUL,'"&amp;F51&amp;"' AS CAMPO, "&amp;"'${ref_date}' AS REF_DATE, COUNT(*) AS NUM_REG, SUM(IF(COALESCE(CAST(X."&amp;F51&amp;" AS STRING),'')&lt;&gt;COALESCE(CAST(Y."&amp;F51&amp;"_SIMUL AS STRING),'') OR (X."&amp;F51&amp;" IS NULL AND Y."&amp;F51&amp;"_SIMUL IS NOT NULL ) OR (X."&amp;F51&amp;" IS NOT NULL AND Y."&amp;F51&amp;"_SIMUL IS NULL),1,0)) AS NUM_REG_DIF,'"&amp;MAX('ID1&amp;5'!L:L)+1&amp;"' AS ID_EXEC, CURRENT_TIMESTAMP() AS TIME_EXEC FROM "&amp;I51&amp;" INNER JOIN "&amp;J51&amp;" "&amp;K51),
IF(C51="Validade",+IF(G51="Code List","SELECT '"&amp;UPPER(B51)&amp;"' AS TABELA, '"&amp;UPPER(C51)&amp;"' AS TIPOLOGIA_TESTE,'"&amp;D51&amp;"' AS TABELA_LT,'N/A' AS TABELA_SIMUL,'"&amp;F51&amp;"' AS CAMPO, "&amp;"'${ref_date}' AS REF_DATE, COUNT(*) AS NUM_REG, SUM(IF(TRIM(CAST(X."&amp;F51&amp;" AS STRING))='' OR TRIM(CAST(X."&amp;F51&amp;" AS STRING)) IS NULL OR CAST(X."&amp;F51&amp;" AS STRING) NOT "&amp;H51&amp;",1,0)) AS NUM_REG_DIF,'"&amp;MAX('ID1&amp;5'!K:K)+1&amp;"' AS ID_EXEC, CURRENT_TIMESTAMP() AS TIME_EXEC FROM "&amp;I51,"SELECT '"&amp;UPPER(B51)&amp;"' AS TABELA, '"&amp;UPPER(C51)&amp;"' AS TIPOLOGIA_TESTE,'"&amp;D51&amp;"' AS TABELA_LT,'N/A' AS TABELA_SIMUL,'"&amp;F51&amp;"' AS CAMPO, "&amp;"'${ref_date}' AS REF_DATE, COUNT(*) AS NUM_REG, SUM(IF(TRIM(CAST(X."&amp;F51&amp;" AS STRING))='' OR TRIM(CAST(X."&amp;F51&amp;" AS STRING)) IS NULL,1,0)) AS NUM_REG_DIF,'"&amp;MAX('ID1&amp;5'!K:K)+1&amp;"' AS ID_EXEC, CURRENT_TIMESTAMP() AS TIME_EXEC FROM "&amp;I51),
IF(C51="Caracteres Especiais",+"SELECT '"&amp;UPPER(B51)&amp;"' AS TABELA, '"&amp;UPPER(C51)&amp;"' AS TIPOLOGIA_TESTE,'"&amp;D51&amp;"' AS TABELA_LT,'N/A' AS TABELA_SIMUL,'"&amp;F51&amp;"' AS CAMPO, "&amp;"'${ref_date}' AS REF_DATE, COUNT(*) AS NUM_REG, SUM(IF(REGEXP_REPLACE(TRIM(CAST(X."&amp;F51&amp;" AS STRING)),'[^a-zA-Z0-9_\\s]','') &lt;&gt;TRIM(CAST(X."&amp;F51&amp;" AS STRING)),1,0)) AS NUM_REG_DIF,'"&amp;MAX('ID1&amp;5'!K:K)+1&amp;"' AS ID_EXEC, CURRENT_TIMESTAMP() AS TIME_EXEC FROM "&amp;I51,
IF(C51="Missings",+"SELECT '"&amp;UPPER(B51)&amp;"' AS TABELA, '"&amp;UPPER(C51)&amp;"' AS TIPOLOGIA_TESTE,'"&amp;D51&amp;"' AS TABELA_LT,'N/A' AS TABELA_SIMUL,'"&amp;F51&amp;"' AS CAMPO, "&amp;"'${ref_date}' AS REF_DATE, COUNT(*) AS NUM_REG, SUM(IF(TRIM(CAST(X."&amp;F51&amp;" AS STRING)) IN ('0000-00-00','0001-01-01','9999-12-31','MISS','00000','99999999999','99999999999.00','99999999999.000000'),1,0)) AS NUM_REG_DIF,'"&amp;MAX('ID1&amp;5'!K:K)+1&amp;"' AS ID_EXEC, CURRENT_TIMESTAMP() AS TIME_EXEC FROM "&amp;I51,
IF(C51="Not applicable",+"SELECT '"&amp;UPPER(B51)&amp;"' AS TABELA, '"&amp;UPPER(C51)&amp;"' AS TIPOLOGIA_TESTE,'"&amp;D51&amp;"' AS TABELA_LT,'N/A' AS TABELA_SIMUL,'"&amp;F51&amp;"' AS CAMPO, "&amp;"'${ref_date}' AS REF_DATE, COUNT(*) AS NUM_REG, SUM(IF(TRIM(CAST(X."&amp;F51&amp;" AS STRING)) IN ('N/A','11111111111','11111111111.00','11111111111.000000','1111-11-11'),1,0)) AS NUM_REG_DIF,'"&amp;MAX('ID1&amp;5'!K:K)+1&amp;"' AS ID_EXEC, CURRENT_TIMESTAMP() AS TIME_EXEC FROM "&amp;I51,
IF(C51="Valores extremos",+"SELECT '"&amp;UPPER(B51)&amp;"' AS TABELA, '"&amp;UPPER(C51)&amp;"' AS TIPOLOGIA_TESTE,'"&amp;D51&amp;"' AS TABELA_LT,'N/A' AS TABELA_SIMUL,'"&amp;F51&amp;"' AS CAMPO, "&amp;"'${ref_date}' AS REF_DATE, CAST(MIN("&amp;F51&amp;") AS STRING) AS VALOR_MIN, CAST(MAX("&amp;F51&amp;") AS STRING) AS VALOR_MAX,'"&amp;MAX('ID1&amp;5'!K:K)+1&amp;"' AS ID_EXEC, CURRENT_TIMESTAMP() AS TIME_EXEC FROM "&amp;MID(I51,1,LEN(I51)-2)&amp;" AND CAST("&amp;F51&amp;"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TABELA_SIMUL,'RTNG_SCL' AS CAMPO, '${ref_date}' AS REF_DATE, COUNT(*) AS NUM_REG, SUM(IF(COALESCE(CAST(X.RTNG_SCL AS STRING),'')&lt;&gt;COALESCE(CAST(Y.RTNG_SCL_SIMUL AS STRING),'') OR (X.RTNG_SCL IS NULL AND Y.RTNG_SCL_SIMUL IS NOT NULL ) OR (X.RTNG_SCL IS NOT NULL AND Y.RTNG_SCL_SIMUL IS NULL),1,0)) AS NUM_REG_DIF,'1' AS ID_EXEC, CURRENT_TIMESTAMP() AS TIME_EXEC FROM (SELECT entty_id, RTNG_SCL FROM CD_LOAN_TAPES_BCE.LT003_ENTITY WHERE ref_date='${ref_date}' AND nome_perimetro='Individual Corporativo' AND segmento='ESTR' AND ambito='PM' AND entidade='00100')X INNER JOIN (SELECT entty_id AS entty_id_SIMUL, RTNG_SCL AS RTNG_SCL_SIMUL FROM BU_LOANTAPE_WORK.LT003_ENTITY WHERE ref_date='${ref_date}' AND nome_perimetro='Individual Corporativo' AND segmento='ESTR' AND ambito='PM' AND entidade='00100')Y ON X.ENTTY_ID=Y.ENTTY_ID_SIMUL</v>
      </c>
      <c r="M51" s="36" t="str">
        <f t="shared" si="0"/>
        <v>UNION ALL SELECT 'ENTITY' AS TABELA, 'COERÊNCIA' AS TIPOLOGIA_TESTE,'CD_LOAN_TAPES_BCE.LT003_ENTITY' AS TABELA_LT,'BU_LOANTAPE_WORK.LT003_ENTITY' AS TABELA_SIMUL,'RTNG_SCL' AS CAMPO, '${ref_date}' AS REF_DATE, COUNT(*) AS NUM_REG, SUM(IF(COALESCE(CAST(X.RTNG_SCL AS STRING),'')&lt;&gt;COALESCE(CAST(Y.RTNG_SCL_SIMUL AS STRING),'') OR (X.RTNG_SCL IS NULL AND Y.RTNG_SCL_SIMUL IS NOT NULL ) OR (X.RTNG_SCL IS NOT NULL AND Y.RTNG_SCL_SIMUL IS NULL),1,0)) AS NUM_REG_DIF,'1' AS ID_EXEC, CURRENT_TIMESTAMP() AS TIME_EXEC FROM (SELECT entty_id, RTNG_SCL FROM CD_LOAN_TAPES_BCE.LT003_ENTITY WHERE ref_date='${ref_date}' AND nome_perimetro='Individual Corporativo' AND segmento='ESTR' AND ambito='PM' AND entidade='00100')X INNER JOIN (SELECT entty_id AS entty_id_SIMUL, RTNG_SCL AS RTNG_SCL_SIMUL FROM BU_LOANTAPE_WORK.LT003_ENTITY WHERE ref_date='${ref_date}' AND nome_perimetro='Individual Corporativo' AND segmento='ESTR' AND ambito='PM' AND entidade='00100')Y ON X.ENTTY_ID=Y.ENTTY_ID_SIMUL</v>
      </c>
      <c r="N51" s="38" t="s">
        <v>46</v>
      </c>
    </row>
    <row r="52" spans="2:14">
      <c r="B52" s="34" t="s">
        <v>127</v>
      </c>
      <c r="C52" s="34" t="s">
        <v>5</v>
      </c>
      <c r="D52" s="34" t="str">
        <f>+UPPER('0. Instruções'!$D$35&amp;"."&amp;VLOOKUP(B52,'0. Instruções'!$C$27:$D$32,2,FALSE))</f>
        <v>CD_LOAN_TAPES_BCE.LT003_ENTITY</v>
      </c>
      <c r="E52" s="34" t="str">
        <f>+UPPER('0. Instruções'!$D$36&amp;"."&amp;VLOOKUP(B52,'0. Instruções'!$C$27:$E$32,3,FALSE))</f>
        <v>BU_LOANTAPE_WORK.LT003_ENTITY</v>
      </c>
      <c r="F52" s="34" t="s">
        <v>363</v>
      </c>
      <c r="G52" s="34"/>
      <c r="H52" s="34" t="s">
        <v>648</v>
      </c>
      <c r="I52" s="34" t="str">
        <f>"(SELECT "&amp;VLOOKUP(B52,'0. Instruções'!$C$27:$G$32,4,FALSE)&amp;", "&amp;F52&amp;" FROM "&amp;D52&amp;" WHERE "&amp;'0. Instruções'!$D$42&amp;")X"</f>
        <v>(SELECT entty_id, WTCH_LST FROM CD_LOAN_TAPES_BCE.LT003_ENTITY WHERE ref_date='${ref_date}' AND nome_perimetro='Individual Corporativo' AND segmento='ESTR' AND ambito='PM' AND entidade='00100')X</v>
      </c>
      <c r="J52" s="34" t="str">
        <f>"(SELECT "&amp;VLOOKUP(B52,'0. Instruções'!$C$27:$G$32,4,FALSE)&amp;" AS "&amp;VLOOKUP(B52,'0. Instruções'!$C$27:$G$32,4,FALSE)&amp;"_SIMUL, "&amp;F52&amp;" AS "&amp;F52&amp;"_SIMUL FROM "&amp;E52&amp;" WHERE "&amp;'0. Instruções'!$D$43&amp;")Y"</f>
        <v>(SELECT entty_id AS entty_id_SIMUL, WTCH_LST AS WTCH_LST_SIMUL FROM BU_LOANTAPE_WORK.LT003_ENTITY WHERE ref_date='${ref_date}' AND nome_perimetro='Individual Corporativo' AND segmento='ESTR' AND ambito='PM' AND entidade='00100')Y</v>
      </c>
      <c r="K52" s="35" t="str">
        <f>+UPPER("ON X."&amp;VLOOKUP(B52,'0. Instruções'!$C$27:$G$32,4,FALSE)&amp;"=Y."&amp;VLOOKUP(B52,'0. Instruções'!$C$27:$G$32,4,FALSE)&amp;"_SIMUL")</f>
        <v>ON X.ENTTY_ID=Y.ENTTY_ID_SIMUL</v>
      </c>
      <c r="L52" s="35" t="str">
        <f>+IF(C52="Coerência", +IF(LEFT(G52,5)="FLOAT","SELECT '"&amp;UPPER(B52)&amp;"' AS TABELA, '"&amp;UPPER(C52)&amp;"' AS TIPOLOGIA_TESTE,'"&amp;D52&amp;"' AS TABELA_LT,'"&amp;E52&amp;"' AS TABELA_SIMUL,'"&amp;F52&amp;"' AS CAMPO, "&amp;"'${ref_date}' AS REF_DATE, COUNT(*) AS NUM_REG, SUM(IF((ABS(COALESCE(CAST(X."&amp;F52&amp;" AS DECIMAL(18,6)),0)-COALESCE(CAST(Y."&amp;F52&amp;"_SIMUL AS DECIMAL(18,6)),0))&gt;0.000001) OR (X."&amp;F52&amp;" IS NULL AND Y."&amp;F52&amp;"_SIMUL IS NOT NULL ) OR (X."&amp;F52&amp;" IS NOT NULL AND Y."&amp;F52&amp;"_SIMUL IS NULL),1,0)) AS NUM_REG_DIF,'"&amp;MAX('ID1&amp;5'!K:K)+1&amp;"' AS ID_EXEC, CURRENT_TIMESTAMP() AS TIME_EXEC FROM "&amp;I52&amp;" INNER JOIN "&amp;J52&amp;" "&amp;K52,"SELECT '"&amp;UPPER(B52)&amp;"' AS TABELA, '"&amp;UPPER(C52)&amp;"' AS TIPOLOGIA_TESTE,'"&amp;D52&amp;"' AS TABELA_LT,'"&amp;E52&amp;"' AS TABELA_SIMUL,'"&amp;F52&amp;"' AS CAMPO, "&amp;"'${ref_date}' AS REF_DATE, COUNT(*) AS NUM_REG, SUM(IF(COALESCE(CAST(X."&amp;F52&amp;" AS STRING),'')&lt;&gt;COALESCE(CAST(Y."&amp;F52&amp;"_SIMUL AS STRING),'') OR (X."&amp;F52&amp;" IS NULL AND Y."&amp;F52&amp;"_SIMUL IS NOT NULL ) OR (X."&amp;F52&amp;" IS NOT NULL AND Y."&amp;F52&amp;"_SIMUL IS NULL),1,0)) AS NUM_REG_DIF,'"&amp;MAX('ID1&amp;5'!L:L)+1&amp;"' AS ID_EXEC, CURRENT_TIMESTAMP() AS TIME_EXEC FROM "&amp;I52&amp;" INNER JOIN "&amp;J52&amp;" "&amp;K52),
IF(C52="Validade",+IF(G52="Code List","SELECT '"&amp;UPPER(B52)&amp;"' AS TABELA, '"&amp;UPPER(C52)&amp;"' AS TIPOLOGIA_TESTE,'"&amp;D52&amp;"' AS TABELA_LT,'N/A' AS TABELA_SIMUL,'"&amp;F52&amp;"' AS CAMPO, "&amp;"'${ref_date}' AS REF_DATE, COUNT(*) AS NUM_REG, SUM(IF(TRIM(CAST(X."&amp;F52&amp;" AS STRING))='' OR TRIM(CAST(X."&amp;F52&amp;" AS STRING)) IS NULL OR CAST(X."&amp;F52&amp;" AS STRING) NOT "&amp;H52&amp;",1,0)) AS NUM_REG_DIF,'"&amp;MAX('ID1&amp;5'!K:K)+1&amp;"' AS ID_EXEC, CURRENT_TIMESTAMP() AS TIME_EXEC FROM "&amp;I52,"SELECT '"&amp;UPPER(B52)&amp;"' AS TABELA, '"&amp;UPPER(C52)&amp;"' AS TIPOLOGIA_TESTE,'"&amp;D52&amp;"' AS TABELA_LT,'N/A' AS TABELA_SIMUL,'"&amp;F52&amp;"' AS CAMPO, "&amp;"'${ref_date}' AS REF_DATE, COUNT(*) AS NUM_REG, SUM(IF(TRIM(CAST(X."&amp;F52&amp;" AS STRING))='' OR TRIM(CAST(X."&amp;F52&amp;" AS STRING)) IS NULL,1,0)) AS NUM_REG_DIF,'"&amp;MAX('ID1&amp;5'!K:K)+1&amp;"' AS ID_EXEC, CURRENT_TIMESTAMP() AS TIME_EXEC FROM "&amp;I52),
IF(C52="Caracteres Especiais",+"SELECT '"&amp;UPPER(B52)&amp;"' AS TABELA, '"&amp;UPPER(C52)&amp;"' AS TIPOLOGIA_TESTE,'"&amp;D52&amp;"' AS TABELA_LT,'N/A' AS TABELA_SIMUL,'"&amp;F52&amp;"' AS CAMPO, "&amp;"'${ref_date}' AS REF_DATE, COUNT(*) AS NUM_REG, SUM(IF(REGEXP_REPLACE(TRIM(CAST(X."&amp;F52&amp;" AS STRING)),'[^a-zA-Z0-9_\\s]','') &lt;&gt;TRIM(CAST(X."&amp;F52&amp;" AS STRING)),1,0)) AS NUM_REG_DIF,'"&amp;MAX('ID1&amp;5'!K:K)+1&amp;"' AS ID_EXEC, CURRENT_TIMESTAMP() AS TIME_EXEC FROM "&amp;I52,
IF(C52="Missings",+"SELECT '"&amp;UPPER(B52)&amp;"' AS TABELA, '"&amp;UPPER(C52)&amp;"' AS TIPOLOGIA_TESTE,'"&amp;D52&amp;"' AS TABELA_LT,'N/A' AS TABELA_SIMUL,'"&amp;F52&amp;"' AS CAMPO, "&amp;"'${ref_date}' AS REF_DATE, COUNT(*) AS NUM_REG, SUM(IF(TRIM(CAST(X."&amp;F52&amp;" AS STRING)) IN ('0000-00-00','0001-01-01','9999-12-31','MISS','00000','99999999999','99999999999.00','99999999999.000000'),1,0)) AS NUM_REG_DIF,'"&amp;MAX('ID1&amp;5'!K:K)+1&amp;"' AS ID_EXEC, CURRENT_TIMESTAMP() AS TIME_EXEC FROM "&amp;I52,
IF(C52="Not applicable",+"SELECT '"&amp;UPPER(B52)&amp;"' AS TABELA, '"&amp;UPPER(C52)&amp;"' AS TIPOLOGIA_TESTE,'"&amp;D52&amp;"' AS TABELA_LT,'N/A' AS TABELA_SIMUL,'"&amp;F52&amp;"' AS CAMPO, "&amp;"'${ref_date}' AS REF_DATE, COUNT(*) AS NUM_REG, SUM(IF(TRIM(CAST(X."&amp;F52&amp;" AS STRING)) IN ('N/A','11111111111','11111111111.00','11111111111.000000','1111-11-11'),1,0)) AS NUM_REG_DIF,'"&amp;MAX('ID1&amp;5'!K:K)+1&amp;"' AS ID_EXEC, CURRENT_TIMESTAMP() AS TIME_EXEC FROM "&amp;I52,
IF(C52="Valores extremos",+"SELECT '"&amp;UPPER(B52)&amp;"' AS TABELA, '"&amp;UPPER(C52)&amp;"' AS TIPOLOGIA_TESTE,'"&amp;D52&amp;"' AS TABELA_LT,'N/A' AS TABELA_SIMUL,'"&amp;F52&amp;"' AS CAMPO, "&amp;"'${ref_date}' AS REF_DATE, CAST(MIN("&amp;F52&amp;") AS STRING) AS VALOR_MIN, CAST(MAX("&amp;F52&amp;") AS STRING) AS VALOR_MAX,'"&amp;MAX('ID1&amp;5'!K:K)+1&amp;"' AS ID_EXEC, CURRENT_TIMESTAMP() AS TIME_EXEC FROM "&amp;MID(I52,1,LEN(I52)-2)&amp;" AND CAST("&amp;F52&amp;"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TABELA_SIMUL,'WTCH_LST' AS CAMPO, '${ref_date}' AS REF_DATE, COUNT(*) AS NUM_REG, SUM(IF(COALESCE(CAST(X.WTCH_LST AS STRING),'')&lt;&gt;COALESCE(CAST(Y.WTCH_LST_SIMUL AS STRING),'') OR (X.WTCH_LST IS NULL AND Y.WTCH_LST_SIMUL IS NOT NULL ) OR (X.WTCH_LST IS NOT NULL AND Y.WTCH_LST_SIMUL IS NULL),1,0)) AS NUM_REG_DIF,'1' AS ID_EXEC, CURRENT_TIMESTAMP() AS TIME_EXEC FROM (SELECT entty_id, WTCH_LST FROM CD_LOAN_TAPES_BCE.LT003_ENTITY WHERE ref_date='${ref_date}' AND nome_perimetro='Individual Corporativo' AND segmento='ESTR' AND ambito='PM' AND entidade='00100')X INNER JOIN (SELECT entty_id AS entty_id_SIMUL, WTCH_LST AS WTCH_LST_SIMUL FROM BU_LOANTAPE_WORK.LT003_ENTITY WHERE ref_date='${ref_date}' AND nome_perimetro='Individual Corporativo' AND segmento='ESTR' AND ambito='PM' AND entidade='00100')Y ON X.ENTTY_ID=Y.ENTTY_ID_SIMUL</v>
      </c>
      <c r="M52" s="36" t="str">
        <f t="shared" si="0"/>
        <v>UNION ALL SELECT 'ENTITY' AS TABELA, 'COERÊNCIA' AS TIPOLOGIA_TESTE,'CD_LOAN_TAPES_BCE.LT003_ENTITY' AS TABELA_LT,'BU_LOANTAPE_WORK.LT003_ENTITY' AS TABELA_SIMUL,'WTCH_LST' AS CAMPO, '${ref_date}' AS REF_DATE, COUNT(*) AS NUM_REG, SUM(IF(COALESCE(CAST(X.WTCH_LST AS STRING),'')&lt;&gt;COALESCE(CAST(Y.WTCH_LST_SIMUL AS STRING),'') OR (X.WTCH_LST IS NULL AND Y.WTCH_LST_SIMUL IS NOT NULL ) OR (X.WTCH_LST IS NOT NULL AND Y.WTCH_LST_SIMUL IS NULL),1,0)) AS NUM_REG_DIF,'1' AS ID_EXEC, CURRENT_TIMESTAMP() AS TIME_EXEC FROM (SELECT entty_id, WTCH_LST FROM CD_LOAN_TAPES_BCE.LT003_ENTITY WHERE ref_date='${ref_date}' AND nome_perimetro='Individual Corporativo' AND segmento='ESTR' AND ambito='PM' AND entidade='00100')X INNER JOIN (SELECT entty_id AS entty_id_SIMUL, WTCH_LST AS WTCH_LST_SIMUL FROM BU_LOANTAPE_WORK.LT003_ENTITY WHERE ref_date='${ref_date}' AND nome_perimetro='Individual Corporativo' AND segmento='ESTR' AND ambito='PM' AND entidade='00100')Y ON X.ENTTY_ID=Y.ENTTY_ID_SIMUL</v>
      </c>
      <c r="N52" s="38" t="s">
        <v>46</v>
      </c>
    </row>
    <row r="53" spans="2:14">
      <c r="B53" s="34" t="s">
        <v>127</v>
      </c>
      <c r="C53" s="34" t="s">
        <v>5</v>
      </c>
      <c r="D53" s="34" t="str">
        <f>+UPPER('0. Instruções'!$D$35&amp;"."&amp;VLOOKUP(B53,'0. Instruções'!$C$27:$D$32,2,FALSE))</f>
        <v>CD_LOAN_TAPES_BCE.LT003_ENTITY</v>
      </c>
      <c r="E53" s="34" t="str">
        <f>+UPPER('0. Instruções'!$D$36&amp;"."&amp;VLOOKUP(B53,'0. Instruções'!$C$27:$E$32,3,FALSE))</f>
        <v>BU_LOANTAPE_WORK.LT003_ENTITY</v>
      </c>
      <c r="F53" s="34" t="s">
        <v>364</v>
      </c>
      <c r="G53" s="34"/>
      <c r="H53" s="34" t="s">
        <v>89</v>
      </c>
      <c r="I53" s="34" t="str">
        <f>"(SELECT "&amp;VLOOKUP(B53,'0. Instruções'!$C$27:$G$32,4,FALSE)&amp;", "&amp;F53&amp;" FROM "&amp;D53&amp;" WHERE "&amp;'0. Instruções'!$D$42&amp;")X"</f>
        <v>(SELECT entty_id, SNGL_PRPS_VHCL FROM CD_LOAN_TAPES_BCE.LT003_ENTITY WHERE ref_date='${ref_date}' AND nome_perimetro='Individual Corporativo' AND segmento='ESTR' AND ambito='PM' AND entidade='00100')X</v>
      </c>
      <c r="J53" s="34" t="str">
        <f>"(SELECT "&amp;VLOOKUP(B53,'0. Instruções'!$C$27:$G$32,4,FALSE)&amp;" AS "&amp;VLOOKUP(B53,'0. Instruções'!$C$27:$G$32,4,FALSE)&amp;"_SIMUL, "&amp;F53&amp;" AS "&amp;F53&amp;"_SIMUL FROM "&amp;E53&amp;" WHERE "&amp;'0. Instruções'!$D$43&amp;")Y"</f>
        <v>(SELECT entty_id AS entty_id_SIMUL, SNGL_PRPS_VHCL AS SNGL_PRPS_VHCL_SIMUL FROM BU_LOANTAPE_WORK.LT003_ENTITY WHERE ref_date='${ref_date}' AND nome_perimetro='Individual Corporativo' AND segmento='ESTR' AND ambito='PM' AND entidade='00100')Y</v>
      </c>
      <c r="K53" s="35" t="str">
        <f>+UPPER("ON X."&amp;VLOOKUP(B53,'0. Instruções'!$C$27:$G$32,4,FALSE)&amp;"=Y."&amp;VLOOKUP(B53,'0. Instruções'!$C$27:$G$32,4,FALSE)&amp;"_SIMUL")</f>
        <v>ON X.ENTTY_ID=Y.ENTTY_ID_SIMUL</v>
      </c>
      <c r="L53" s="35" t="str">
        <f>+IF(C53="Coerência", +IF(LEFT(G53,5)="FLOAT","SELECT '"&amp;UPPER(B53)&amp;"' AS TABELA, '"&amp;UPPER(C53)&amp;"' AS TIPOLOGIA_TESTE,'"&amp;D53&amp;"' AS TABELA_LT,'"&amp;E53&amp;"' AS TABELA_SIMUL,'"&amp;F53&amp;"' AS CAMPO, "&amp;"'${ref_date}' AS REF_DATE, COUNT(*) AS NUM_REG, SUM(IF((ABS(COALESCE(CAST(X."&amp;F53&amp;" AS DECIMAL(18,6)),0)-COALESCE(CAST(Y."&amp;F53&amp;"_SIMUL AS DECIMAL(18,6)),0))&gt;0.000001) OR (X."&amp;F53&amp;" IS NULL AND Y."&amp;F53&amp;"_SIMUL IS NOT NULL ) OR (X."&amp;F53&amp;" IS NOT NULL AND Y."&amp;F53&amp;"_SIMUL IS NULL),1,0)) AS NUM_REG_DIF,'"&amp;MAX('ID1&amp;5'!K:K)+1&amp;"' AS ID_EXEC, CURRENT_TIMESTAMP() AS TIME_EXEC FROM "&amp;I53&amp;" INNER JOIN "&amp;J53&amp;" "&amp;K53,"SELECT '"&amp;UPPER(B53)&amp;"' AS TABELA, '"&amp;UPPER(C53)&amp;"' AS TIPOLOGIA_TESTE,'"&amp;D53&amp;"' AS TABELA_LT,'"&amp;E53&amp;"' AS TABELA_SIMUL,'"&amp;F53&amp;"' AS CAMPO, "&amp;"'${ref_date}' AS REF_DATE, COUNT(*) AS NUM_REG, SUM(IF(COALESCE(CAST(X."&amp;F53&amp;" AS STRING),'')&lt;&gt;COALESCE(CAST(Y."&amp;F53&amp;"_SIMUL AS STRING),'') OR (X."&amp;F53&amp;" IS NULL AND Y."&amp;F53&amp;"_SIMUL IS NOT NULL ) OR (X."&amp;F53&amp;" IS NOT NULL AND Y."&amp;F53&amp;"_SIMUL IS NULL),1,0)) AS NUM_REG_DIF,'"&amp;MAX('ID1&amp;5'!L:L)+1&amp;"' AS ID_EXEC, CURRENT_TIMESTAMP() AS TIME_EXEC FROM "&amp;I53&amp;" INNER JOIN "&amp;J53&amp;" "&amp;K53),
IF(C53="Validade",+IF(G53="Code List","SELECT '"&amp;UPPER(B53)&amp;"' AS TABELA, '"&amp;UPPER(C53)&amp;"' AS TIPOLOGIA_TESTE,'"&amp;D53&amp;"' AS TABELA_LT,'N/A' AS TABELA_SIMUL,'"&amp;F53&amp;"' AS CAMPO, "&amp;"'${ref_date}' AS REF_DATE, COUNT(*) AS NUM_REG, SUM(IF(TRIM(CAST(X."&amp;F53&amp;" AS STRING))='' OR TRIM(CAST(X."&amp;F53&amp;" AS STRING)) IS NULL OR CAST(X."&amp;F53&amp;" AS STRING) NOT "&amp;H53&amp;",1,0)) AS NUM_REG_DIF,'"&amp;MAX('ID1&amp;5'!K:K)+1&amp;"' AS ID_EXEC, CURRENT_TIMESTAMP() AS TIME_EXEC FROM "&amp;I53,"SELECT '"&amp;UPPER(B53)&amp;"' AS TABELA, '"&amp;UPPER(C53)&amp;"' AS TIPOLOGIA_TESTE,'"&amp;D53&amp;"' AS TABELA_LT,'N/A' AS TABELA_SIMUL,'"&amp;F53&amp;"' AS CAMPO, "&amp;"'${ref_date}' AS REF_DATE, COUNT(*) AS NUM_REG, SUM(IF(TRIM(CAST(X."&amp;F53&amp;" AS STRING))='' OR TRIM(CAST(X."&amp;F53&amp;" AS STRING)) IS NULL,1,0)) AS NUM_REG_DIF,'"&amp;MAX('ID1&amp;5'!K:K)+1&amp;"' AS ID_EXEC, CURRENT_TIMESTAMP() AS TIME_EXEC FROM "&amp;I53),
IF(C53="Caracteres Especiais",+"SELECT '"&amp;UPPER(B53)&amp;"' AS TABELA, '"&amp;UPPER(C53)&amp;"' AS TIPOLOGIA_TESTE,'"&amp;D53&amp;"' AS TABELA_LT,'N/A' AS TABELA_SIMUL,'"&amp;F53&amp;"' AS CAMPO, "&amp;"'${ref_date}' AS REF_DATE, COUNT(*) AS NUM_REG, SUM(IF(REGEXP_REPLACE(TRIM(CAST(X."&amp;F53&amp;" AS STRING)),'[^a-zA-Z0-9_\\s]','') &lt;&gt;TRIM(CAST(X."&amp;F53&amp;" AS STRING)),1,0)) AS NUM_REG_DIF,'"&amp;MAX('ID1&amp;5'!K:K)+1&amp;"' AS ID_EXEC, CURRENT_TIMESTAMP() AS TIME_EXEC FROM "&amp;I53,
IF(C53="Missings",+"SELECT '"&amp;UPPER(B53)&amp;"' AS TABELA, '"&amp;UPPER(C53)&amp;"' AS TIPOLOGIA_TESTE,'"&amp;D53&amp;"' AS TABELA_LT,'N/A' AS TABELA_SIMUL,'"&amp;F53&amp;"' AS CAMPO, "&amp;"'${ref_date}' AS REF_DATE, COUNT(*) AS NUM_REG, SUM(IF(TRIM(CAST(X."&amp;F53&amp;" AS STRING)) IN ('0000-00-00','0001-01-01','9999-12-31','MISS','00000','99999999999','99999999999.00','99999999999.000000'),1,0)) AS NUM_REG_DIF,'"&amp;MAX('ID1&amp;5'!K:K)+1&amp;"' AS ID_EXEC, CURRENT_TIMESTAMP() AS TIME_EXEC FROM "&amp;I53,
IF(C53="Not applicable",+"SELECT '"&amp;UPPER(B53)&amp;"' AS TABELA, '"&amp;UPPER(C53)&amp;"' AS TIPOLOGIA_TESTE,'"&amp;D53&amp;"' AS TABELA_LT,'N/A' AS TABELA_SIMUL,'"&amp;F53&amp;"' AS CAMPO, "&amp;"'${ref_date}' AS REF_DATE, COUNT(*) AS NUM_REG, SUM(IF(TRIM(CAST(X."&amp;F53&amp;" AS STRING)) IN ('N/A','11111111111','11111111111.00','11111111111.000000','1111-11-11'),1,0)) AS NUM_REG_DIF,'"&amp;MAX('ID1&amp;5'!K:K)+1&amp;"' AS ID_EXEC, CURRENT_TIMESTAMP() AS TIME_EXEC FROM "&amp;I53,
IF(C53="Valores extremos",+"SELECT '"&amp;UPPER(B53)&amp;"' AS TABELA, '"&amp;UPPER(C53)&amp;"' AS TIPOLOGIA_TESTE,'"&amp;D53&amp;"' AS TABELA_LT,'N/A' AS TABELA_SIMUL,'"&amp;F53&amp;"' AS CAMPO, "&amp;"'${ref_date}' AS REF_DATE, CAST(MIN("&amp;F53&amp;") AS STRING) AS VALOR_MIN, CAST(MAX("&amp;F53&amp;") AS STRING) AS VALOR_MAX,'"&amp;MAX('ID1&amp;5'!K:K)+1&amp;"' AS ID_EXEC, CURRENT_TIMESTAMP() AS TIME_EXEC FROM "&amp;MID(I53,1,LEN(I53)-2)&amp;" AND CAST("&amp;F53&amp;"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TABELA_SIMUL,'SNGL_PRPS_VHCL' AS CAMPO, '${ref_date}' AS REF_DATE, COUNT(*) AS NUM_REG, SUM(IF(COALESCE(CAST(X.SNGL_PRPS_VHCL AS STRING),'')&lt;&gt;COALESCE(CAST(Y.SNGL_PRPS_VHCL_SIMUL AS STRING),'') OR (X.SNGL_PRPS_VHCL IS NULL AND Y.SNGL_PRPS_VHCL_SIMUL IS NOT NULL ) OR (X.SNGL_PRPS_VHCL IS NOT NULL AND Y.SNGL_PRPS_VHCL_SIMUL IS NULL),1,0)) AS NUM_REG_DIF,'1' AS ID_EXEC, CURRENT_TIMESTAMP() AS TIME_EXEC FROM (SELECT entty_id, SNGL_PRPS_VHCL FROM CD_LOAN_TAPES_BCE.LT003_ENTITY WHERE ref_date='${ref_date}' AND nome_perimetro='Individual Corporativo' AND segmento='ESTR' AND ambito='PM' AND entidade='00100')X INNER JOIN (SELECT entty_id AS entty_id_SIMUL, SNGL_PRPS_VHCL AS SNGL_PRPS_VHCL_SIMUL FROM BU_LOANTAPE_WORK.LT003_ENTITY WHERE ref_date='${ref_date}' AND nome_perimetro='Individual Corporativo' AND segmento='ESTR' AND ambito='PM' AND entidade='00100')Y ON X.ENTTY_ID=Y.ENTTY_ID_SIMUL</v>
      </c>
      <c r="M53" s="36" t="str">
        <f t="shared" si="0"/>
        <v>UNION ALL SELECT 'ENTITY' AS TABELA, 'COERÊNCIA' AS TIPOLOGIA_TESTE,'CD_LOAN_TAPES_BCE.LT003_ENTITY' AS TABELA_LT,'BU_LOANTAPE_WORK.LT003_ENTITY' AS TABELA_SIMUL,'SNGL_PRPS_VHCL' AS CAMPO, '${ref_date}' AS REF_DATE, COUNT(*) AS NUM_REG, SUM(IF(COALESCE(CAST(X.SNGL_PRPS_VHCL AS STRING),'')&lt;&gt;COALESCE(CAST(Y.SNGL_PRPS_VHCL_SIMUL AS STRING),'') OR (X.SNGL_PRPS_VHCL IS NULL AND Y.SNGL_PRPS_VHCL_SIMUL IS NOT NULL ) OR (X.SNGL_PRPS_VHCL IS NOT NULL AND Y.SNGL_PRPS_VHCL_SIMUL IS NULL),1,0)) AS NUM_REG_DIF,'1' AS ID_EXEC, CURRENT_TIMESTAMP() AS TIME_EXEC FROM (SELECT entty_id, SNGL_PRPS_VHCL FROM CD_LOAN_TAPES_BCE.LT003_ENTITY WHERE ref_date='${ref_date}' AND nome_perimetro='Individual Corporativo' AND segmento='ESTR' AND ambito='PM' AND entidade='00100')X INNER JOIN (SELECT entty_id AS entty_id_SIMUL, SNGL_PRPS_VHCL AS SNGL_PRPS_VHCL_SIMUL FROM BU_LOANTAPE_WORK.LT003_ENTITY WHERE ref_date='${ref_date}' AND nome_perimetro='Individual Corporativo' AND segmento='ESTR' AND ambito='PM' AND entidade='00100')Y ON X.ENTTY_ID=Y.ENTTY_ID_SIMUL</v>
      </c>
      <c r="N53" s="38" t="s">
        <v>46</v>
      </c>
    </row>
    <row r="54" spans="2:14">
      <c r="B54" s="34" t="s">
        <v>127</v>
      </c>
      <c r="C54" s="34" t="s">
        <v>5</v>
      </c>
      <c r="D54" s="34" t="str">
        <f>+UPPER('0. Instruções'!$D$35&amp;"."&amp;VLOOKUP(B54,'0. Instruções'!$C$27:$D$32,2,FALSE))</f>
        <v>CD_LOAN_TAPES_BCE.LT003_ENTITY</v>
      </c>
      <c r="E54" s="34" t="str">
        <f>+UPPER('0. Instruções'!$D$36&amp;"."&amp;VLOOKUP(B54,'0. Instruções'!$C$27:$E$32,3,FALSE))</f>
        <v>BU_LOANTAPE_WORK.LT003_ENTITY</v>
      </c>
      <c r="F54" s="34" t="s">
        <v>365</v>
      </c>
      <c r="G54" s="34"/>
      <c r="H54" s="34" t="s">
        <v>92</v>
      </c>
      <c r="I54" s="34" t="str">
        <f>"(SELECT "&amp;VLOOKUP(B54,'0. Instruções'!$C$27:$G$32,4,FALSE)&amp;", "&amp;F54&amp;" FROM "&amp;D54&amp;" WHERE "&amp;'0. Instruções'!$D$42&amp;")X"</f>
        <v>(SELECT entty_id, GRP_EBITDA FROM CD_LOAN_TAPES_BCE.LT003_ENTITY WHERE ref_date='${ref_date}' AND nome_perimetro='Individual Corporativo' AND segmento='ESTR' AND ambito='PM' AND entidade='00100')X</v>
      </c>
      <c r="J54" s="34" t="str">
        <f>"(SELECT "&amp;VLOOKUP(B54,'0. Instruções'!$C$27:$G$32,4,FALSE)&amp;" AS "&amp;VLOOKUP(B54,'0. Instruções'!$C$27:$G$32,4,FALSE)&amp;"_SIMUL, "&amp;F54&amp;" AS "&amp;F54&amp;"_SIMUL FROM "&amp;E54&amp;" WHERE "&amp;'0. Instruções'!$D$43&amp;")Y"</f>
        <v>(SELECT entty_id AS entty_id_SIMUL, GRP_EBITDA AS GRP_EBITDA_SIMUL FROM BU_LOANTAPE_WORK.LT003_ENTITY WHERE ref_date='${ref_date}' AND nome_perimetro='Individual Corporativo' AND segmento='ESTR' AND ambito='PM' AND entidade='00100')Y</v>
      </c>
      <c r="K54" s="35" t="str">
        <f>+UPPER("ON X."&amp;VLOOKUP(B54,'0. Instruções'!$C$27:$G$32,4,FALSE)&amp;"=Y."&amp;VLOOKUP(B54,'0. Instruções'!$C$27:$G$32,4,FALSE)&amp;"_SIMUL")</f>
        <v>ON X.ENTTY_ID=Y.ENTTY_ID_SIMUL</v>
      </c>
      <c r="L54" s="35" t="str">
        <f>+IF(C54="Coerência", +IF(LEFT(G54,5)="FLOAT","SELECT '"&amp;UPPER(B54)&amp;"' AS TABELA, '"&amp;UPPER(C54)&amp;"' AS TIPOLOGIA_TESTE,'"&amp;D54&amp;"' AS TABELA_LT,'"&amp;E54&amp;"' AS TABELA_SIMUL,'"&amp;F54&amp;"' AS CAMPO, "&amp;"'${ref_date}' AS REF_DATE, COUNT(*) AS NUM_REG, SUM(IF((ABS(COALESCE(CAST(X."&amp;F54&amp;" AS DECIMAL(18,6)),0)-COALESCE(CAST(Y."&amp;F54&amp;"_SIMUL AS DECIMAL(18,6)),0))&gt;0.000001) OR (X."&amp;F54&amp;" IS NULL AND Y."&amp;F54&amp;"_SIMUL IS NOT NULL ) OR (X."&amp;F54&amp;" IS NOT NULL AND Y."&amp;F54&amp;"_SIMUL IS NULL),1,0)) AS NUM_REG_DIF,'"&amp;MAX('ID1&amp;5'!K:K)+1&amp;"' AS ID_EXEC, CURRENT_TIMESTAMP() AS TIME_EXEC FROM "&amp;I54&amp;" INNER JOIN "&amp;J54&amp;" "&amp;K54,"SELECT '"&amp;UPPER(B54)&amp;"' AS TABELA, '"&amp;UPPER(C54)&amp;"' AS TIPOLOGIA_TESTE,'"&amp;D54&amp;"' AS TABELA_LT,'"&amp;E54&amp;"' AS TABELA_SIMUL,'"&amp;F54&amp;"' AS CAMPO, "&amp;"'${ref_date}' AS REF_DATE, COUNT(*) AS NUM_REG, SUM(IF(COALESCE(CAST(X."&amp;F54&amp;" AS STRING),'')&lt;&gt;COALESCE(CAST(Y."&amp;F54&amp;"_SIMUL AS STRING),'') OR (X."&amp;F54&amp;" IS NULL AND Y."&amp;F54&amp;"_SIMUL IS NOT NULL ) OR (X."&amp;F54&amp;" IS NOT NULL AND Y."&amp;F54&amp;"_SIMUL IS NULL),1,0)) AS NUM_REG_DIF,'"&amp;MAX('ID1&amp;5'!L:L)+1&amp;"' AS ID_EXEC, CURRENT_TIMESTAMP() AS TIME_EXEC FROM "&amp;I54&amp;" INNER JOIN "&amp;J54&amp;" "&amp;K54),
IF(C54="Validade",+IF(G54="Code List","SELECT '"&amp;UPPER(B54)&amp;"' AS TABELA, '"&amp;UPPER(C54)&amp;"' AS TIPOLOGIA_TESTE,'"&amp;D54&amp;"' AS TABELA_LT,'N/A' AS TABELA_SIMUL,'"&amp;F54&amp;"' AS CAMPO, "&amp;"'${ref_date}' AS REF_DATE, COUNT(*) AS NUM_REG, SUM(IF(TRIM(CAST(X."&amp;F54&amp;" AS STRING))='' OR TRIM(CAST(X."&amp;F54&amp;" AS STRING)) IS NULL OR CAST(X."&amp;F54&amp;" AS STRING) NOT "&amp;H54&amp;",1,0)) AS NUM_REG_DIF,'"&amp;MAX('ID1&amp;5'!K:K)+1&amp;"' AS ID_EXEC, CURRENT_TIMESTAMP() AS TIME_EXEC FROM "&amp;I54,"SELECT '"&amp;UPPER(B54)&amp;"' AS TABELA, '"&amp;UPPER(C54)&amp;"' AS TIPOLOGIA_TESTE,'"&amp;D54&amp;"' AS TABELA_LT,'N/A' AS TABELA_SIMUL,'"&amp;F54&amp;"' AS CAMPO, "&amp;"'${ref_date}' AS REF_DATE, COUNT(*) AS NUM_REG, SUM(IF(TRIM(CAST(X."&amp;F54&amp;" AS STRING))='' OR TRIM(CAST(X."&amp;F54&amp;" AS STRING)) IS NULL,1,0)) AS NUM_REG_DIF,'"&amp;MAX('ID1&amp;5'!K:K)+1&amp;"' AS ID_EXEC, CURRENT_TIMESTAMP() AS TIME_EXEC FROM "&amp;I54),
IF(C54="Caracteres Especiais",+"SELECT '"&amp;UPPER(B54)&amp;"' AS TABELA, '"&amp;UPPER(C54)&amp;"' AS TIPOLOGIA_TESTE,'"&amp;D54&amp;"' AS TABELA_LT,'N/A' AS TABELA_SIMUL,'"&amp;F54&amp;"' AS CAMPO, "&amp;"'${ref_date}' AS REF_DATE, COUNT(*) AS NUM_REG, SUM(IF(REGEXP_REPLACE(TRIM(CAST(X."&amp;F54&amp;" AS STRING)),'[^a-zA-Z0-9_\\s]','') &lt;&gt;TRIM(CAST(X."&amp;F54&amp;" AS STRING)),1,0)) AS NUM_REG_DIF,'"&amp;MAX('ID1&amp;5'!K:K)+1&amp;"' AS ID_EXEC, CURRENT_TIMESTAMP() AS TIME_EXEC FROM "&amp;I54,
IF(C54="Missings",+"SELECT '"&amp;UPPER(B54)&amp;"' AS TABELA, '"&amp;UPPER(C54)&amp;"' AS TIPOLOGIA_TESTE,'"&amp;D54&amp;"' AS TABELA_LT,'N/A' AS TABELA_SIMUL,'"&amp;F54&amp;"' AS CAMPO, "&amp;"'${ref_date}' AS REF_DATE, COUNT(*) AS NUM_REG, SUM(IF(TRIM(CAST(X."&amp;F54&amp;" AS STRING)) IN ('0000-00-00','0001-01-01','9999-12-31','MISS','00000','99999999999','99999999999.00','99999999999.000000'),1,0)) AS NUM_REG_DIF,'"&amp;MAX('ID1&amp;5'!K:K)+1&amp;"' AS ID_EXEC, CURRENT_TIMESTAMP() AS TIME_EXEC FROM "&amp;I54,
IF(C54="Not applicable",+"SELECT '"&amp;UPPER(B54)&amp;"' AS TABELA, '"&amp;UPPER(C54)&amp;"' AS TIPOLOGIA_TESTE,'"&amp;D54&amp;"' AS TABELA_LT,'N/A' AS TABELA_SIMUL,'"&amp;F54&amp;"' AS CAMPO, "&amp;"'${ref_date}' AS REF_DATE, COUNT(*) AS NUM_REG, SUM(IF(TRIM(CAST(X."&amp;F54&amp;" AS STRING)) IN ('N/A','11111111111','11111111111.00','11111111111.000000','1111-11-11'),1,0)) AS NUM_REG_DIF,'"&amp;MAX('ID1&amp;5'!K:K)+1&amp;"' AS ID_EXEC, CURRENT_TIMESTAMP() AS TIME_EXEC FROM "&amp;I54,
IF(C54="Valores extremos",+"SELECT '"&amp;UPPER(B54)&amp;"' AS TABELA, '"&amp;UPPER(C54)&amp;"' AS TIPOLOGIA_TESTE,'"&amp;D54&amp;"' AS TABELA_LT,'N/A' AS TABELA_SIMUL,'"&amp;F54&amp;"' AS CAMPO, "&amp;"'${ref_date}' AS REF_DATE, CAST(MIN("&amp;F54&amp;") AS STRING) AS VALOR_MIN, CAST(MAX("&amp;F54&amp;") AS STRING) AS VALOR_MAX,'"&amp;MAX('ID1&amp;5'!K:K)+1&amp;"' AS ID_EXEC, CURRENT_TIMESTAMP() AS TIME_EXEC FROM "&amp;MID(I54,1,LEN(I54)-2)&amp;" AND CAST("&amp;F54&amp;"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TABELA_SIMUL,'GRP_EBITDA' AS CAMPO, '${ref_date}' AS REF_DATE, COUNT(*) AS NUM_REG, SUM(IF(COALESCE(CAST(X.GRP_EBITDA AS STRING),'')&lt;&gt;COALESCE(CAST(Y.GRP_EBITDA_SIMUL AS STRING),'') OR (X.GRP_EBITDA IS NULL AND Y.GRP_EBITDA_SIMUL IS NOT NULL ) OR (X.GRP_EBITDA IS NOT NULL AND Y.GRP_EBITDA_SIMUL IS NULL),1,0)) AS NUM_REG_DIF,'1' AS ID_EXEC, CURRENT_TIMESTAMP() AS TIME_EXEC FROM (SELECT entty_id, GRP_EBITDA FROM CD_LOAN_TAPES_BCE.LT003_ENTITY WHERE ref_date='${ref_date}' AND nome_perimetro='Individual Corporativo' AND segmento='ESTR' AND ambito='PM' AND entidade='00100')X INNER JOIN (SELECT entty_id AS entty_id_SIMUL, GRP_EBITDA AS GRP_EBITDA_SIMUL FROM BU_LOANTAPE_WORK.LT003_ENTITY WHERE ref_date='${ref_date}' AND nome_perimetro='Individual Corporativo' AND segmento='ESTR' AND ambito='PM' AND entidade='00100')Y ON X.ENTTY_ID=Y.ENTTY_ID_SIMUL</v>
      </c>
      <c r="M54" s="36" t="str">
        <f t="shared" si="0"/>
        <v>UNION ALL SELECT 'ENTITY' AS TABELA, 'COERÊNCIA' AS TIPOLOGIA_TESTE,'CD_LOAN_TAPES_BCE.LT003_ENTITY' AS TABELA_LT,'BU_LOANTAPE_WORK.LT003_ENTITY' AS TABELA_SIMUL,'GRP_EBITDA' AS CAMPO, '${ref_date}' AS REF_DATE, COUNT(*) AS NUM_REG, SUM(IF(COALESCE(CAST(X.GRP_EBITDA AS STRING),'')&lt;&gt;COALESCE(CAST(Y.GRP_EBITDA_SIMUL AS STRING),'') OR (X.GRP_EBITDA IS NULL AND Y.GRP_EBITDA_SIMUL IS NOT NULL ) OR (X.GRP_EBITDA IS NOT NULL AND Y.GRP_EBITDA_SIMUL IS NULL),1,0)) AS NUM_REG_DIF,'1' AS ID_EXEC, CURRENT_TIMESTAMP() AS TIME_EXEC FROM (SELECT entty_id, GRP_EBITDA FROM CD_LOAN_TAPES_BCE.LT003_ENTITY WHERE ref_date='${ref_date}' AND nome_perimetro='Individual Corporativo' AND segmento='ESTR' AND ambito='PM' AND entidade='00100')X INNER JOIN (SELECT entty_id AS entty_id_SIMUL, GRP_EBITDA AS GRP_EBITDA_SIMUL FROM BU_LOANTAPE_WORK.LT003_ENTITY WHERE ref_date='${ref_date}' AND nome_perimetro='Individual Corporativo' AND segmento='ESTR' AND ambito='PM' AND entidade='00100')Y ON X.ENTTY_ID=Y.ENTTY_ID_SIMUL</v>
      </c>
      <c r="N54" s="38" t="s">
        <v>46</v>
      </c>
    </row>
    <row r="55" spans="2:14">
      <c r="B55" s="34" t="s">
        <v>127</v>
      </c>
      <c r="C55" s="34" t="s">
        <v>5</v>
      </c>
      <c r="D55" s="34" t="str">
        <f>+UPPER('0. Instruções'!$D$35&amp;"."&amp;VLOOKUP(B55,'0. Instruções'!$C$27:$D$32,2,FALSE))</f>
        <v>CD_LOAN_TAPES_BCE.LT003_ENTITY</v>
      </c>
      <c r="E55" s="34" t="str">
        <f>+UPPER('0. Instruções'!$D$36&amp;"."&amp;VLOOKUP(B55,'0. Instruções'!$C$27:$E$32,3,FALSE))</f>
        <v>BU_LOANTAPE_WORK.LT003_ENTITY</v>
      </c>
      <c r="F55" s="34" t="s">
        <v>116</v>
      </c>
      <c r="G55" s="34"/>
      <c r="H55" s="34" t="s">
        <v>92</v>
      </c>
      <c r="I55" s="34" t="str">
        <f>"(SELECT "&amp;VLOOKUP(B55,'0. Instruções'!$C$27:$G$32,4,FALSE)&amp;", "&amp;F55&amp;" FROM "&amp;D55&amp;" WHERE "&amp;'0. Instruções'!$D$42&amp;")X"</f>
        <v>(SELECT entty_id, GRP_EQTY FROM CD_LOAN_TAPES_BCE.LT003_ENTITY WHERE ref_date='${ref_date}' AND nome_perimetro='Individual Corporativo' AND segmento='ESTR' AND ambito='PM' AND entidade='00100')X</v>
      </c>
      <c r="J55" s="34" t="str">
        <f>"(SELECT "&amp;VLOOKUP(B55,'0. Instruções'!$C$27:$G$32,4,FALSE)&amp;" AS "&amp;VLOOKUP(B55,'0. Instruções'!$C$27:$G$32,4,FALSE)&amp;"_SIMUL, "&amp;F55&amp;" AS "&amp;F55&amp;"_SIMUL FROM "&amp;E55&amp;" WHERE "&amp;'0. Instruções'!$D$43&amp;")Y"</f>
        <v>(SELECT entty_id AS entty_id_SIMUL, GRP_EQTY AS GRP_EQTY_SIMUL FROM BU_LOANTAPE_WORK.LT003_ENTITY WHERE ref_date='${ref_date}' AND nome_perimetro='Individual Corporativo' AND segmento='ESTR' AND ambito='PM' AND entidade='00100')Y</v>
      </c>
      <c r="K55" s="35" t="str">
        <f>+UPPER("ON X."&amp;VLOOKUP(B55,'0. Instruções'!$C$27:$G$32,4,FALSE)&amp;"=Y."&amp;VLOOKUP(B55,'0. Instruções'!$C$27:$G$32,4,FALSE)&amp;"_SIMUL")</f>
        <v>ON X.ENTTY_ID=Y.ENTTY_ID_SIMUL</v>
      </c>
      <c r="L55" s="35" t="str">
        <f>+IF(C55="Coerência", +IF(LEFT(G55,5)="FLOAT","SELECT '"&amp;UPPER(B55)&amp;"' AS TABELA, '"&amp;UPPER(C55)&amp;"' AS TIPOLOGIA_TESTE,'"&amp;D55&amp;"' AS TABELA_LT,'"&amp;E55&amp;"' AS TABELA_SIMUL,'"&amp;F55&amp;"' AS CAMPO, "&amp;"'${ref_date}' AS REF_DATE, COUNT(*) AS NUM_REG, SUM(IF((ABS(COALESCE(CAST(X."&amp;F55&amp;" AS DECIMAL(18,6)),0)-COALESCE(CAST(Y."&amp;F55&amp;"_SIMUL AS DECIMAL(18,6)),0))&gt;0.000001) OR (X."&amp;F55&amp;" IS NULL AND Y."&amp;F55&amp;"_SIMUL IS NOT NULL ) OR (X."&amp;F55&amp;" IS NOT NULL AND Y."&amp;F55&amp;"_SIMUL IS NULL),1,0)) AS NUM_REG_DIF,'"&amp;MAX('ID1&amp;5'!K:K)+1&amp;"' AS ID_EXEC, CURRENT_TIMESTAMP() AS TIME_EXEC FROM "&amp;I55&amp;" INNER JOIN "&amp;J55&amp;" "&amp;K55,"SELECT '"&amp;UPPER(B55)&amp;"' AS TABELA, '"&amp;UPPER(C55)&amp;"' AS TIPOLOGIA_TESTE,'"&amp;D55&amp;"' AS TABELA_LT,'"&amp;E55&amp;"' AS TABELA_SIMUL,'"&amp;F55&amp;"' AS CAMPO, "&amp;"'${ref_date}' AS REF_DATE, COUNT(*) AS NUM_REG, SUM(IF(COALESCE(CAST(X."&amp;F55&amp;" AS STRING),'')&lt;&gt;COALESCE(CAST(Y."&amp;F55&amp;"_SIMUL AS STRING),'') OR (X."&amp;F55&amp;" IS NULL AND Y."&amp;F55&amp;"_SIMUL IS NOT NULL ) OR (X."&amp;F55&amp;" IS NOT NULL AND Y."&amp;F55&amp;"_SIMUL IS NULL),1,0)) AS NUM_REG_DIF,'"&amp;MAX('ID1&amp;5'!L:L)+1&amp;"' AS ID_EXEC, CURRENT_TIMESTAMP() AS TIME_EXEC FROM "&amp;I55&amp;" INNER JOIN "&amp;J55&amp;" "&amp;K55),
IF(C55="Validade",+IF(G55="Code List","SELECT '"&amp;UPPER(B55)&amp;"' AS TABELA, '"&amp;UPPER(C55)&amp;"' AS TIPOLOGIA_TESTE,'"&amp;D55&amp;"' AS TABELA_LT,'N/A' AS TABELA_SIMUL,'"&amp;F55&amp;"' AS CAMPO, "&amp;"'${ref_date}' AS REF_DATE, COUNT(*) AS NUM_REG, SUM(IF(TRIM(CAST(X."&amp;F55&amp;" AS STRING))='' OR TRIM(CAST(X."&amp;F55&amp;" AS STRING)) IS NULL OR CAST(X."&amp;F55&amp;" AS STRING) NOT "&amp;H55&amp;",1,0)) AS NUM_REG_DIF,'"&amp;MAX('ID1&amp;5'!K:K)+1&amp;"' AS ID_EXEC, CURRENT_TIMESTAMP() AS TIME_EXEC FROM "&amp;I55,"SELECT '"&amp;UPPER(B55)&amp;"' AS TABELA, '"&amp;UPPER(C55)&amp;"' AS TIPOLOGIA_TESTE,'"&amp;D55&amp;"' AS TABELA_LT,'N/A' AS TABELA_SIMUL,'"&amp;F55&amp;"' AS CAMPO, "&amp;"'${ref_date}' AS REF_DATE, COUNT(*) AS NUM_REG, SUM(IF(TRIM(CAST(X."&amp;F55&amp;" AS STRING))='' OR TRIM(CAST(X."&amp;F55&amp;" AS STRING)) IS NULL,1,0)) AS NUM_REG_DIF,'"&amp;MAX('ID1&amp;5'!K:K)+1&amp;"' AS ID_EXEC, CURRENT_TIMESTAMP() AS TIME_EXEC FROM "&amp;I55),
IF(C55="Caracteres Especiais",+"SELECT '"&amp;UPPER(B55)&amp;"' AS TABELA, '"&amp;UPPER(C55)&amp;"' AS TIPOLOGIA_TESTE,'"&amp;D55&amp;"' AS TABELA_LT,'N/A' AS TABELA_SIMUL,'"&amp;F55&amp;"' AS CAMPO, "&amp;"'${ref_date}' AS REF_DATE, COUNT(*) AS NUM_REG, SUM(IF(REGEXP_REPLACE(TRIM(CAST(X."&amp;F55&amp;" AS STRING)),'[^a-zA-Z0-9_\\s]','') &lt;&gt;TRIM(CAST(X."&amp;F55&amp;" AS STRING)),1,0)) AS NUM_REG_DIF,'"&amp;MAX('ID1&amp;5'!K:K)+1&amp;"' AS ID_EXEC, CURRENT_TIMESTAMP() AS TIME_EXEC FROM "&amp;I55,
IF(C55="Missings",+"SELECT '"&amp;UPPER(B55)&amp;"' AS TABELA, '"&amp;UPPER(C55)&amp;"' AS TIPOLOGIA_TESTE,'"&amp;D55&amp;"' AS TABELA_LT,'N/A' AS TABELA_SIMUL,'"&amp;F55&amp;"' AS CAMPO, "&amp;"'${ref_date}' AS REF_DATE, COUNT(*) AS NUM_REG, SUM(IF(TRIM(CAST(X."&amp;F55&amp;" AS STRING)) IN ('0000-00-00','0001-01-01','9999-12-31','MISS','00000','99999999999','99999999999.00','99999999999.000000'),1,0)) AS NUM_REG_DIF,'"&amp;MAX('ID1&amp;5'!K:K)+1&amp;"' AS ID_EXEC, CURRENT_TIMESTAMP() AS TIME_EXEC FROM "&amp;I55,
IF(C55="Not applicable",+"SELECT '"&amp;UPPER(B55)&amp;"' AS TABELA, '"&amp;UPPER(C55)&amp;"' AS TIPOLOGIA_TESTE,'"&amp;D55&amp;"' AS TABELA_LT,'N/A' AS TABELA_SIMUL,'"&amp;F55&amp;"' AS CAMPO, "&amp;"'${ref_date}' AS REF_DATE, COUNT(*) AS NUM_REG, SUM(IF(TRIM(CAST(X."&amp;F55&amp;" AS STRING)) IN ('N/A','11111111111','11111111111.00','11111111111.000000','1111-11-11'),1,0)) AS NUM_REG_DIF,'"&amp;MAX('ID1&amp;5'!K:K)+1&amp;"' AS ID_EXEC, CURRENT_TIMESTAMP() AS TIME_EXEC FROM "&amp;I55,
IF(C55="Valores extremos",+"SELECT '"&amp;UPPER(B55)&amp;"' AS TABELA, '"&amp;UPPER(C55)&amp;"' AS TIPOLOGIA_TESTE,'"&amp;D55&amp;"' AS TABELA_LT,'N/A' AS TABELA_SIMUL,'"&amp;F55&amp;"' AS CAMPO, "&amp;"'${ref_date}' AS REF_DATE, CAST(MIN("&amp;F55&amp;") AS STRING) AS VALOR_MIN, CAST(MAX("&amp;F55&amp;") AS STRING) AS VALOR_MAX,'"&amp;MAX('ID1&amp;5'!K:K)+1&amp;"' AS ID_EXEC, CURRENT_TIMESTAMP() AS TIME_EXEC FROM "&amp;MID(I55,1,LEN(I55)-2)&amp;" AND CAST("&amp;F55&amp;"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TABELA_SIMUL,'GRP_EQTY' AS CAMPO, '${ref_date}' AS REF_DATE, COUNT(*) AS NUM_REG, SUM(IF(COALESCE(CAST(X.GRP_EQTY AS STRING),'')&lt;&gt;COALESCE(CAST(Y.GRP_EQTY_SIMUL AS STRING),'') OR (X.GRP_EQTY IS NULL AND Y.GRP_EQTY_SIMUL IS NOT NULL ) OR (X.GRP_EQTY IS NOT NULL AND Y.GRP_EQTY_SIMUL IS NULL),1,0)) AS NUM_REG_DIF,'1' AS ID_EXEC, CURRENT_TIMESTAMP() AS TIME_EXEC FROM (SELECT entty_id, GRP_EQTY FROM CD_LOAN_TAPES_BCE.LT003_ENTITY WHERE ref_date='${ref_date}' AND nome_perimetro='Individual Corporativo' AND segmento='ESTR' AND ambito='PM' AND entidade='00100')X INNER JOIN (SELECT entty_id AS entty_id_SIMUL, GRP_EQTY AS GRP_EQTY_SIMUL FROM BU_LOANTAPE_WORK.LT003_ENTITY WHERE ref_date='${ref_date}' AND nome_perimetro='Individual Corporativo' AND segmento='ESTR' AND ambito='PM' AND entidade='00100')Y ON X.ENTTY_ID=Y.ENTTY_ID_SIMUL</v>
      </c>
      <c r="M55" s="36" t="str">
        <f t="shared" si="0"/>
        <v>UNION ALL SELECT 'ENTITY' AS TABELA, 'COERÊNCIA' AS TIPOLOGIA_TESTE,'CD_LOAN_TAPES_BCE.LT003_ENTITY' AS TABELA_LT,'BU_LOANTAPE_WORK.LT003_ENTITY' AS TABELA_SIMUL,'GRP_EQTY' AS CAMPO, '${ref_date}' AS REF_DATE, COUNT(*) AS NUM_REG, SUM(IF(COALESCE(CAST(X.GRP_EQTY AS STRING),'')&lt;&gt;COALESCE(CAST(Y.GRP_EQTY_SIMUL AS STRING),'') OR (X.GRP_EQTY IS NULL AND Y.GRP_EQTY_SIMUL IS NOT NULL ) OR (X.GRP_EQTY IS NOT NULL AND Y.GRP_EQTY_SIMUL IS NULL),1,0)) AS NUM_REG_DIF,'1' AS ID_EXEC, CURRENT_TIMESTAMP() AS TIME_EXEC FROM (SELECT entty_id, GRP_EQTY FROM CD_LOAN_TAPES_BCE.LT003_ENTITY WHERE ref_date='${ref_date}' AND nome_perimetro='Individual Corporativo' AND segmento='ESTR' AND ambito='PM' AND entidade='00100')X INNER JOIN (SELECT entty_id AS entty_id_SIMUL, GRP_EQTY AS GRP_EQTY_SIMUL FROM BU_LOANTAPE_WORK.LT003_ENTITY WHERE ref_date='${ref_date}' AND nome_perimetro='Individual Corporativo' AND segmento='ESTR' AND ambito='PM' AND entidade='00100')Y ON X.ENTTY_ID=Y.ENTTY_ID_SIMUL</v>
      </c>
      <c r="N55" s="38" t="s">
        <v>46</v>
      </c>
    </row>
    <row r="56" spans="2:14">
      <c r="B56" s="34" t="s">
        <v>127</v>
      </c>
      <c r="C56" s="34" t="s">
        <v>5</v>
      </c>
      <c r="D56" s="34" t="str">
        <f>+UPPER('0. Instruções'!$D$35&amp;"."&amp;VLOOKUP(B56,'0. Instruções'!$C$27:$D$32,2,FALSE))</f>
        <v>CD_LOAN_TAPES_BCE.LT003_ENTITY</v>
      </c>
      <c r="E56" s="34" t="str">
        <f>+UPPER('0. Instruções'!$D$36&amp;"."&amp;VLOOKUP(B56,'0. Instruções'!$C$27:$E$32,3,FALSE))</f>
        <v>BU_LOANTAPE_WORK.LT003_ENTITY</v>
      </c>
      <c r="F56" s="34" t="s">
        <v>366</v>
      </c>
      <c r="G56" s="34"/>
      <c r="H56" s="34" t="s">
        <v>92</v>
      </c>
      <c r="I56" s="34" t="str">
        <f>"(SELECT "&amp;VLOOKUP(B56,'0. Instruções'!$C$27:$G$32,4,FALSE)&amp;", "&amp;F56&amp;" FROM "&amp;D56&amp;" WHERE "&amp;'0. Instruções'!$D$42&amp;")X"</f>
        <v>(SELECT entty_id, GRP_NT_DBT FROM CD_LOAN_TAPES_BCE.LT003_ENTITY WHERE ref_date='${ref_date}' AND nome_perimetro='Individual Corporativo' AND segmento='ESTR' AND ambito='PM' AND entidade='00100')X</v>
      </c>
      <c r="J56" s="34" t="str">
        <f>"(SELECT "&amp;VLOOKUP(B56,'0. Instruções'!$C$27:$G$32,4,FALSE)&amp;" AS "&amp;VLOOKUP(B56,'0. Instruções'!$C$27:$G$32,4,FALSE)&amp;"_SIMUL, "&amp;F56&amp;" AS "&amp;F56&amp;"_SIMUL FROM "&amp;E56&amp;" WHERE "&amp;'0. Instruções'!$D$43&amp;")Y"</f>
        <v>(SELECT entty_id AS entty_id_SIMUL, GRP_NT_DBT AS GRP_NT_DBT_SIMUL FROM BU_LOANTAPE_WORK.LT003_ENTITY WHERE ref_date='${ref_date}' AND nome_perimetro='Individual Corporativo' AND segmento='ESTR' AND ambito='PM' AND entidade='00100')Y</v>
      </c>
      <c r="K56" s="35" t="str">
        <f>+UPPER("ON X."&amp;VLOOKUP(B56,'0. Instruções'!$C$27:$G$32,4,FALSE)&amp;"=Y."&amp;VLOOKUP(B56,'0. Instruções'!$C$27:$G$32,4,FALSE)&amp;"_SIMUL")</f>
        <v>ON X.ENTTY_ID=Y.ENTTY_ID_SIMUL</v>
      </c>
      <c r="L56" s="35" t="str">
        <f>+IF(C56="Coerência", +IF(LEFT(G56,5)="FLOAT","SELECT '"&amp;UPPER(B56)&amp;"' AS TABELA, '"&amp;UPPER(C56)&amp;"' AS TIPOLOGIA_TESTE,'"&amp;D56&amp;"' AS TABELA_LT,'"&amp;E56&amp;"' AS TABELA_SIMUL,'"&amp;F56&amp;"' AS CAMPO, "&amp;"'${ref_date}' AS REF_DATE, COUNT(*) AS NUM_REG, SUM(IF((ABS(COALESCE(CAST(X."&amp;F56&amp;" AS DECIMAL(18,6)),0)-COALESCE(CAST(Y."&amp;F56&amp;"_SIMUL AS DECIMAL(18,6)),0))&gt;0.000001) OR (X."&amp;F56&amp;" IS NULL AND Y."&amp;F56&amp;"_SIMUL IS NOT NULL ) OR (X."&amp;F56&amp;" IS NOT NULL AND Y."&amp;F56&amp;"_SIMUL IS NULL),1,0)) AS NUM_REG_DIF,'"&amp;MAX('ID1&amp;5'!K:K)+1&amp;"' AS ID_EXEC, CURRENT_TIMESTAMP() AS TIME_EXEC FROM "&amp;I56&amp;" INNER JOIN "&amp;J56&amp;" "&amp;K56,"SELECT '"&amp;UPPER(B56)&amp;"' AS TABELA, '"&amp;UPPER(C56)&amp;"' AS TIPOLOGIA_TESTE,'"&amp;D56&amp;"' AS TABELA_LT,'"&amp;E56&amp;"' AS TABELA_SIMUL,'"&amp;F56&amp;"' AS CAMPO, "&amp;"'${ref_date}' AS REF_DATE, COUNT(*) AS NUM_REG, SUM(IF(COALESCE(CAST(X."&amp;F56&amp;" AS STRING),'')&lt;&gt;COALESCE(CAST(Y."&amp;F56&amp;"_SIMUL AS STRING),'') OR (X."&amp;F56&amp;" IS NULL AND Y."&amp;F56&amp;"_SIMUL IS NOT NULL ) OR (X."&amp;F56&amp;" IS NOT NULL AND Y."&amp;F56&amp;"_SIMUL IS NULL),1,0)) AS NUM_REG_DIF,'"&amp;MAX('ID1&amp;5'!L:L)+1&amp;"' AS ID_EXEC, CURRENT_TIMESTAMP() AS TIME_EXEC FROM "&amp;I56&amp;" INNER JOIN "&amp;J56&amp;" "&amp;K56),
IF(C56="Validade",+IF(G56="Code List","SELECT '"&amp;UPPER(B56)&amp;"' AS TABELA, '"&amp;UPPER(C56)&amp;"' AS TIPOLOGIA_TESTE,'"&amp;D56&amp;"' AS TABELA_LT,'N/A' AS TABELA_SIMUL,'"&amp;F56&amp;"' AS CAMPO, "&amp;"'${ref_date}' AS REF_DATE, COUNT(*) AS NUM_REG, SUM(IF(TRIM(CAST(X."&amp;F56&amp;" AS STRING))='' OR TRIM(CAST(X."&amp;F56&amp;" AS STRING)) IS NULL OR CAST(X."&amp;F56&amp;" AS STRING) NOT "&amp;H56&amp;",1,0)) AS NUM_REG_DIF,'"&amp;MAX('ID1&amp;5'!K:K)+1&amp;"' AS ID_EXEC, CURRENT_TIMESTAMP() AS TIME_EXEC FROM "&amp;I56,"SELECT '"&amp;UPPER(B56)&amp;"' AS TABELA, '"&amp;UPPER(C56)&amp;"' AS TIPOLOGIA_TESTE,'"&amp;D56&amp;"' AS TABELA_LT,'N/A' AS TABELA_SIMUL,'"&amp;F56&amp;"' AS CAMPO, "&amp;"'${ref_date}' AS REF_DATE, COUNT(*) AS NUM_REG, SUM(IF(TRIM(CAST(X."&amp;F56&amp;" AS STRING))='' OR TRIM(CAST(X."&amp;F56&amp;" AS STRING)) IS NULL,1,0)) AS NUM_REG_DIF,'"&amp;MAX('ID1&amp;5'!K:K)+1&amp;"' AS ID_EXEC, CURRENT_TIMESTAMP() AS TIME_EXEC FROM "&amp;I56),
IF(C56="Caracteres Especiais",+"SELECT '"&amp;UPPER(B56)&amp;"' AS TABELA, '"&amp;UPPER(C56)&amp;"' AS TIPOLOGIA_TESTE,'"&amp;D56&amp;"' AS TABELA_LT,'N/A' AS TABELA_SIMUL,'"&amp;F56&amp;"' AS CAMPO, "&amp;"'${ref_date}' AS REF_DATE, COUNT(*) AS NUM_REG, SUM(IF(REGEXP_REPLACE(TRIM(CAST(X."&amp;F56&amp;" AS STRING)),'[^a-zA-Z0-9_\\s]','') &lt;&gt;TRIM(CAST(X."&amp;F56&amp;" AS STRING)),1,0)) AS NUM_REG_DIF,'"&amp;MAX('ID1&amp;5'!K:K)+1&amp;"' AS ID_EXEC, CURRENT_TIMESTAMP() AS TIME_EXEC FROM "&amp;I56,
IF(C56="Missings",+"SELECT '"&amp;UPPER(B56)&amp;"' AS TABELA, '"&amp;UPPER(C56)&amp;"' AS TIPOLOGIA_TESTE,'"&amp;D56&amp;"' AS TABELA_LT,'N/A' AS TABELA_SIMUL,'"&amp;F56&amp;"' AS CAMPO, "&amp;"'${ref_date}' AS REF_DATE, COUNT(*) AS NUM_REG, SUM(IF(TRIM(CAST(X."&amp;F56&amp;" AS STRING)) IN ('0000-00-00','0001-01-01','9999-12-31','MISS','00000','99999999999','99999999999.00','99999999999.000000'),1,0)) AS NUM_REG_DIF,'"&amp;MAX('ID1&amp;5'!K:K)+1&amp;"' AS ID_EXEC, CURRENT_TIMESTAMP() AS TIME_EXEC FROM "&amp;I56,
IF(C56="Not applicable",+"SELECT '"&amp;UPPER(B56)&amp;"' AS TABELA, '"&amp;UPPER(C56)&amp;"' AS TIPOLOGIA_TESTE,'"&amp;D56&amp;"' AS TABELA_LT,'N/A' AS TABELA_SIMUL,'"&amp;F56&amp;"' AS CAMPO, "&amp;"'${ref_date}' AS REF_DATE, COUNT(*) AS NUM_REG, SUM(IF(TRIM(CAST(X."&amp;F56&amp;" AS STRING)) IN ('N/A','11111111111','11111111111.00','11111111111.000000','1111-11-11'),1,0)) AS NUM_REG_DIF,'"&amp;MAX('ID1&amp;5'!K:K)+1&amp;"' AS ID_EXEC, CURRENT_TIMESTAMP() AS TIME_EXEC FROM "&amp;I56,
IF(C56="Valores extremos",+"SELECT '"&amp;UPPER(B56)&amp;"' AS TABELA, '"&amp;UPPER(C56)&amp;"' AS TIPOLOGIA_TESTE,'"&amp;D56&amp;"' AS TABELA_LT,'N/A' AS TABELA_SIMUL,'"&amp;F56&amp;"' AS CAMPO, "&amp;"'${ref_date}' AS REF_DATE, CAST(MIN("&amp;F56&amp;") AS STRING) AS VALOR_MIN, CAST(MAX("&amp;F56&amp;") AS STRING) AS VALOR_MAX,'"&amp;MAX('ID1&amp;5'!K:K)+1&amp;"' AS ID_EXEC, CURRENT_TIMESTAMP() AS TIME_EXEC FROM "&amp;MID(I56,1,LEN(I56)-2)&amp;" AND CAST("&amp;F56&amp;"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TABELA_SIMUL,'GRP_NT_DBT' AS CAMPO, '${ref_date}' AS REF_DATE, COUNT(*) AS NUM_REG, SUM(IF(COALESCE(CAST(X.GRP_NT_DBT AS STRING),'')&lt;&gt;COALESCE(CAST(Y.GRP_NT_DBT_SIMUL AS STRING),'') OR (X.GRP_NT_DBT IS NULL AND Y.GRP_NT_DBT_SIMUL IS NOT NULL ) OR (X.GRP_NT_DBT IS NOT NULL AND Y.GRP_NT_DBT_SIMUL IS NULL),1,0)) AS NUM_REG_DIF,'1' AS ID_EXEC, CURRENT_TIMESTAMP() AS TIME_EXEC FROM (SELECT entty_id, GRP_NT_DBT FROM CD_LOAN_TAPES_BCE.LT003_ENTITY WHERE ref_date='${ref_date}' AND nome_perimetro='Individual Corporativo' AND segmento='ESTR' AND ambito='PM' AND entidade='00100')X INNER JOIN (SELECT entty_id AS entty_id_SIMUL, GRP_NT_DBT AS GRP_NT_DBT_SIMUL FROM BU_LOANTAPE_WORK.LT003_ENTITY WHERE ref_date='${ref_date}' AND nome_perimetro='Individual Corporativo' AND segmento='ESTR' AND ambito='PM' AND entidade='00100')Y ON X.ENTTY_ID=Y.ENTTY_ID_SIMUL</v>
      </c>
      <c r="M56" s="36" t="str">
        <f t="shared" si="0"/>
        <v>UNION ALL SELECT 'ENTITY' AS TABELA, 'COERÊNCIA' AS TIPOLOGIA_TESTE,'CD_LOAN_TAPES_BCE.LT003_ENTITY' AS TABELA_LT,'BU_LOANTAPE_WORK.LT003_ENTITY' AS TABELA_SIMUL,'GRP_NT_DBT' AS CAMPO, '${ref_date}' AS REF_DATE, COUNT(*) AS NUM_REG, SUM(IF(COALESCE(CAST(X.GRP_NT_DBT AS STRING),'')&lt;&gt;COALESCE(CAST(Y.GRP_NT_DBT_SIMUL AS STRING),'') OR (X.GRP_NT_DBT IS NULL AND Y.GRP_NT_DBT_SIMUL IS NOT NULL ) OR (X.GRP_NT_DBT IS NOT NULL AND Y.GRP_NT_DBT_SIMUL IS NULL),1,0)) AS NUM_REG_DIF,'1' AS ID_EXEC, CURRENT_TIMESTAMP() AS TIME_EXEC FROM (SELECT entty_id, GRP_NT_DBT FROM CD_LOAN_TAPES_BCE.LT003_ENTITY WHERE ref_date='${ref_date}' AND nome_perimetro='Individual Corporativo' AND segmento='ESTR' AND ambito='PM' AND entidade='00100')X INNER JOIN (SELECT entty_id AS entty_id_SIMUL, GRP_NT_DBT AS GRP_NT_DBT_SIMUL FROM BU_LOANTAPE_WORK.LT003_ENTITY WHERE ref_date='${ref_date}' AND nome_perimetro='Individual Corporativo' AND segmento='ESTR' AND ambito='PM' AND entidade='00100')Y ON X.ENTTY_ID=Y.ENTTY_ID_SIMUL</v>
      </c>
      <c r="N56" s="38" t="s">
        <v>46</v>
      </c>
    </row>
    <row r="57" spans="2:14">
      <c r="B57" s="34" t="s">
        <v>127</v>
      </c>
      <c r="C57" s="34" t="s">
        <v>5</v>
      </c>
      <c r="D57" s="34" t="str">
        <f>+UPPER('0. Instruções'!$D$35&amp;"."&amp;VLOOKUP(B57,'0. Instruções'!$C$27:$D$32,2,FALSE))</f>
        <v>CD_LOAN_TAPES_BCE.LT003_ENTITY</v>
      </c>
      <c r="E57" s="34" t="str">
        <f>+UPPER('0. Instruções'!$D$36&amp;"."&amp;VLOOKUP(B57,'0. Instruções'!$C$27:$E$32,3,FALSE))</f>
        <v>BU_LOANTAPE_WORK.LT003_ENTITY</v>
      </c>
      <c r="F57" s="34" t="s">
        <v>117</v>
      </c>
      <c r="G57" s="34"/>
      <c r="H57" s="34" t="s">
        <v>92</v>
      </c>
      <c r="I57" s="34" t="str">
        <f>"(SELECT "&amp;VLOOKUP(B57,'0. Instruções'!$C$27:$G$32,4,FALSE)&amp;", "&amp;F57&amp;" FROM "&amp;D57&amp;" WHERE "&amp;'0. Instruções'!$D$42&amp;")X"</f>
        <v>(SELECT entty_id, ANNL_TRNVR_LE FROM CD_LOAN_TAPES_BCE.LT003_ENTITY WHERE ref_date='${ref_date}' AND nome_perimetro='Individual Corporativo' AND segmento='ESTR' AND ambito='PM' AND entidade='00100')X</v>
      </c>
      <c r="J57" s="34" t="str">
        <f>"(SELECT "&amp;VLOOKUP(B57,'0. Instruções'!$C$27:$G$32,4,FALSE)&amp;" AS "&amp;VLOOKUP(B57,'0. Instruções'!$C$27:$G$32,4,FALSE)&amp;"_SIMUL, "&amp;F57&amp;" AS "&amp;F57&amp;"_SIMUL FROM "&amp;E57&amp;" WHERE "&amp;'0. Instruções'!$D$43&amp;")Y"</f>
        <v>(SELECT entty_id AS entty_id_SIMUL, ANNL_TRNVR_LE AS ANNL_TRNVR_LE_SIMUL FROM BU_LOANTAPE_WORK.LT003_ENTITY WHERE ref_date='${ref_date}' AND nome_perimetro='Individual Corporativo' AND segmento='ESTR' AND ambito='PM' AND entidade='00100')Y</v>
      </c>
      <c r="K57" s="35" t="str">
        <f>+UPPER("ON X."&amp;VLOOKUP(B57,'0. Instruções'!$C$27:$G$32,4,FALSE)&amp;"=Y."&amp;VLOOKUP(B57,'0. Instruções'!$C$27:$G$32,4,FALSE)&amp;"_SIMUL")</f>
        <v>ON X.ENTTY_ID=Y.ENTTY_ID_SIMUL</v>
      </c>
      <c r="L57" s="35" t="str">
        <f>+IF(C57="Coerência", +IF(LEFT(G57,5)="FLOAT","SELECT '"&amp;UPPER(B57)&amp;"' AS TABELA, '"&amp;UPPER(C57)&amp;"' AS TIPOLOGIA_TESTE,'"&amp;D57&amp;"' AS TABELA_LT,'"&amp;E57&amp;"' AS TABELA_SIMUL,'"&amp;F57&amp;"' AS CAMPO, "&amp;"'${ref_date}' AS REF_DATE, COUNT(*) AS NUM_REG, SUM(IF((ABS(COALESCE(CAST(X."&amp;F57&amp;" AS DECIMAL(18,6)),0)-COALESCE(CAST(Y."&amp;F57&amp;"_SIMUL AS DECIMAL(18,6)),0))&gt;0.000001) OR (X."&amp;F57&amp;" IS NULL AND Y."&amp;F57&amp;"_SIMUL IS NOT NULL ) OR (X."&amp;F57&amp;" IS NOT NULL AND Y."&amp;F57&amp;"_SIMUL IS NULL),1,0)) AS NUM_REG_DIF,'"&amp;MAX('ID1&amp;5'!K:K)+1&amp;"' AS ID_EXEC, CURRENT_TIMESTAMP() AS TIME_EXEC FROM "&amp;I57&amp;" INNER JOIN "&amp;J57&amp;" "&amp;K57,"SELECT '"&amp;UPPER(B57)&amp;"' AS TABELA, '"&amp;UPPER(C57)&amp;"' AS TIPOLOGIA_TESTE,'"&amp;D57&amp;"' AS TABELA_LT,'"&amp;E57&amp;"' AS TABELA_SIMUL,'"&amp;F57&amp;"' AS CAMPO, "&amp;"'${ref_date}' AS REF_DATE, COUNT(*) AS NUM_REG, SUM(IF(COALESCE(CAST(X."&amp;F57&amp;" AS STRING),'')&lt;&gt;COALESCE(CAST(Y."&amp;F57&amp;"_SIMUL AS STRING),'') OR (X."&amp;F57&amp;" IS NULL AND Y."&amp;F57&amp;"_SIMUL IS NOT NULL ) OR (X."&amp;F57&amp;" IS NOT NULL AND Y."&amp;F57&amp;"_SIMUL IS NULL),1,0)) AS NUM_REG_DIF,'"&amp;MAX('ID1&amp;5'!L:L)+1&amp;"' AS ID_EXEC, CURRENT_TIMESTAMP() AS TIME_EXEC FROM "&amp;I57&amp;" INNER JOIN "&amp;J57&amp;" "&amp;K57),
IF(C57="Validade",+IF(G57="Code List","SELECT '"&amp;UPPER(B57)&amp;"' AS TABELA, '"&amp;UPPER(C57)&amp;"' AS TIPOLOGIA_TESTE,'"&amp;D57&amp;"' AS TABELA_LT,'N/A' AS TABELA_SIMUL,'"&amp;F57&amp;"' AS CAMPO, "&amp;"'${ref_date}' AS REF_DATE, COUNT(*) AS NUM_REG, SUM(IF(TRIM(CAST(X."&amp;F57&amp;" AS STRING))='' OR TRIM(CAST(X."&amp;F57&amp;" AS STRING)) IS NULL OR CAST(X."&amp;F57&amp;" AS STRING) NOT "&amp;H57&amp;",1,0)) AS NUM_REG_DIF,'"&amp;MAX('ID1&amp;5'!K:K)+1&amp;"' AS ID_EXEC, CURRENT_TIMESTAMP() AS TIME_EXEC FROM "&amp;I57,"SELECT '"&amp;UPPER(B57)&amp;"' AS TABELA, '"&amp;UPPER(C57)&amp;"' AS TIPOLOGIA_TESTE,'"&amp;D57&amp;"' AS TABELA_LT,'N/A' AS TABELA_SIMUL,'"&amp;F57&amp;"' AS CAMPO, "&amp;"'${ref_date}' AS REF_DATE, COUNT(*) AS NUM_REG, SUM(IF(TRIM(CAST(X."&amp;F57&amp;" AS STRING))='' OR TRIM(CAST(X."&amp;F57&amp;" AS STRING)) IS NULL,1,0)) AS NUM_REG_DIF,'"&amp;MAX('ID1&amp;5'!K:K)+1&amp;"' AS ID_EXEC, CURRENT_TIMESTAMP() AS TIME_EXEC FROM "&amp;I57),
IF(C57="Caracteres Especiais",+"SELECT '"&amp;UPPER(B57)&amp;"' AS TABELA, '"&amp;UPPER(C57)&amp;"' AS TIPOLOGIA_TESTE,'"&amp;D57&amp;"' AS TABELA_LT,'N/A' AS TABELA_SIMUL,'"&amp;F57&amp;"' AS CAMPO, "&amp;"'${ref_date}' AS REF_DATE, COUNT(*) AS NUM_REG, SUM(IF(REGEXP_REPLACE(TRIM(CAST(X."&amp;F57&amp;" AS STRING)),'[^a-zA-Z0-9_\\s]','') &lt;&gt;TRIM(CAST(X."&amp;F57&amp;" AS STRING)),1,0)) AS NUM_REG_DIF,'"&amp;MAX('ID1&amp;5'!K:K)+1&amp;"' AS ID_EXEC, CURRENT_TIMESTAMP() AS TIME_EXEC FROM "&amp;I57,
IF(C57="Missings",+"SELECT '"&amp;UPPER(B57)&amp;"' AS TABELA, '"&amp;UPPER(C57)&amp;"' AS TIPOLOGIA_TESTE,'"&amp;D57&amp;"' AS TABELA_LT,'N/A' AS TABELA_SIMUL,'"&amp;F57&amp;"' AS CAMPO, "&amp;"'${ref_date}' AS REF_DATE, COUNT(*) AS NUM_REG, SUM(IF(TRIM(CAST(X."&amp;F57&amp;" AS STRING)) IN ('0000-00-00','0001-01-01','9999-12-31','MISS','00000','99999999999','99999999999.00','99999999999.000000'),1,0)) AS NUM_REG_DIF,'"&amp;MAX('ID1&amp;5'!K:K)+1&amp;"' AS ID_EXEC, CURRENT_TIMESTAMP() AS TIME_EXEC FROM "&amp;I57,
IF(C57="Not applicable",+"SELECT '"&amp;UPPER(B57)&amp;"' AS TABELA, '"&amp;UPPER(C57)&amp;"' AS TIPOLOGIA_TESTE,'"&amp;D57&amp;"' AS TABELA_LT,'N/A' AS TABELA_SIMUL,'"&amp;F57&amp;"' AS CAMPO, "&amp;"'${ref_date}' AS REF_DATE, COUNT(*) AS NUM_REG, SUM(IF(TRIM(CAST(X."&amp;F57&amp;" AS STRING)) IN ('N/A','11111111111','11111111111.00','11111111111.000000','1111-11-11'),1,0)) AS NUM_REG_DIF,'"&amp;MAX('ID1&amp;5'!K:K)+1&amp;"' AS ID_EXEC, CURRENT_TIMESTAMP() AS TIME_EXEC FROM "&amp;I57,
IF(C57="Valores extremos",+"SELECT '"&amp;UPPER(B57)&amp;"' AS TABELA, '"&amp;UPPER(C57)&amp;"' AS TIPOLOGIA_TESTE,'"&amp;D57&amp;"' AS TABELA_LT,'N/A' AS TABELA_SIMUL,'"&amp;F57&amp;"' AS CAMPO, "&amp;"'${ref_date}' AS REF_DATE, CAST(MIN("&amp;F57&amp;") AS STRING) AS VALOR_MIN, CAST(MAX("&amp;F57&amp;") AS STRING) AS VALOR_MAX,'"&amp;MAX('ID1&amp;5'!K:K)+1&amp;"' AS ID_EXEC, CURRENT_TIMESTAMP() AS TIME_EXEC FROM "&amp;MID(I57,1,LEN(I57)-2)&amp;" AND CAST("&amp;F57&amp;"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TABELA_SIMUL,'ANNL_TRNVR_LE' AS CAMPO, '${ref_date}' AS REF_DATE, COUNT(*) AS NUM_REG, SUM(IF(COALESCE(CAST(X.ANNL_TRNVR_LE AS STRING),'')&lt;&gt;COALESCE(CAST(Y.ANNL_TRNVR_LE_SIMUL AS STRING),'') OR (X.ANNL_TRNVR_LE IS NULL AND Y.ANNL_TRNVR_LE_SIMUL IS NOT NULL ) OR (X.ANNL_TRNVR_LE IS NOT NULL AND Y.ANNL_TRNVR_LE_SIMUL IS NULL),1,0)) AS NUM_REG_DIF,'1' AS ID_EXEC, CURRENT_TIMESTAMP() AS TIME_EXEC FROM (SELECT entty_id, ANNL_TRNVR_LE FROM CD_LOAN_TAPES_BCE.LT003_ENTITY WHERE ref_date='${ref_date}' AND nome_perimetro='Individual Corporativo' AND segmento='ESTR' AND ambito='PM' AND entidade='00100')X INNER JOIN (SELECT entty_id AS entty_id_SIMUL, ANNL_TRNVR_LE AS ANNL_TRNVR_LE_SIMUL FROM BU_LOANTAPE_WORK.LT003_ENTITY WHERE ref_date='${ref_date}' AND nome_perimetro='Individual Corporativo' AND segmento='ESTR' AND ambito='PM' AND entidade='00100')Y ON X.ENTTY_ID=Y.ENTTY_ID_SIMUL</v>
      </c>
      <c r="M57" s="36" t="str">
        <f t="shared" si="0"/>
        <v>UNION ALL SELECT 'ENTITY' AS TABELA, 'COERÊNCIA' AS TIPOLOGIA_TESTE,'CD_LOAN_TAPES_BCE.LT003_ENTITY' AS TABELA_LT,'BU_LOANTAPE_WORK.LT003_ENTITY' AS TABELA_SIMUL,'ANNL_TRNVR_LE' AS CAMPO, '${ref_date}' AS REF_DATE, COUNT(*) AS NUM_REG, SUM(IF(COALESCE(CAST(X.ANNL_TRNVR_LE AS STRING),'')&lt;&gt;COALESCE(CAST(Y.ANNL_TRNVR_LE_SIMUL AS STRING),'') OR (X.ANNL_TRNVR_LE IS NULL AND Y.ANNL_TRNVR_LE_SIMUL IS NOT NULL ) OR (X.ANNL_TRNVR_LE IS NOT NULL AND Y.ANNL_TRNVR_LE_SIMUL IS NULL),1,0)) AS NUM_REG_DIF,'1' AS ID_EXEC, CURRENT_TIMESTAMP() AS TIME_EXEC FROM (SELECT entty_id, ANNL_TRNVR_LE FROM CD_LOAN_TAPES_BCE.LT003_ENTITY WHERE ref_date='${ref_date}' AND nome_perimetro='Individual Corporativo' AND segmento='ESTR' AND ambito='PM' AND entidade='00100')X INNER JOIN (SELECT entty_id AS entty_id_SIMUL, ANNL_TRNVR_LE AS ANNL_TRNVR_LE_SIMUL FROM BU_LOANTAPE_WORK.LT003_ENTITY WHERE ref_date='${ref_date}' AND nome_perimetro='Individual Corporativo' AND segmento='ESTR' AND ambito='PM' AND entidade='00100')Y ON X.ENTTY_ID=Y.ENTTY_ID_SIMUL</v>
      </c>
      <c r="N57" s="38" t="s">
        <v>46</v>
      </c>
    </row>
    <row r="58" spans="2:14">
      <c r="B58" s="34" t="s">
        <v>127</v>
      </c>
      <c r="C58" s="34" t="s">
        <v>5</v>
      </c>
      <c r="D58" s="34" t="str">
        <f>+UPPER('0. Instruções'!$D$35&amp;"."&amp;VLOOKUP(B58,'0. Instruções'!$C$27:$D$32,2,FALSE))</f>
        <v>CD_LOAN_TAPES_BCE.LT003_ENTITY</v>
      </c>
      <c r="E58" s="34" t="str">
        <f>+UPPER('0. Instruções'!$D$36&amp;"."&amp;VLOOKUP(B58,'0. Instruções'!$C$27:$E$32,3,FALSE))</f>
        <v>BU_LOANTAPE_WORK.LT003_ENTITY</v>
      </c>
      <c r="F58" s="34" t="s">
        <v>367</v>
      </c>
      <c r="G58" s="34"/>
      <c r="H58" s="34" t="s">
        <v>92</v>
      </c>
      <c r="I58" s="34" t="str">
        <f>"(SELECT "&amp;VLOOKUP(B58,'0. Instruções'!$C$27:$G$32,4,FALSE)&amp;", "&amp;F58&amp;" FROM "&amp;D58&amp;" WHERE "&amp;'0. Instruções'!$D$42&amp;")X"</f>
        <v>(SELECT entty_id, ANNL_TRNVR_PRVS FROM CD_LOAN_TAPES_BCE.LT003_ENTITY WHERE ref_date='${ref_date}' AND nome_perimetro='Individual Corporativo' AND segmento='ESTR' AND ambito='PM' AND entidade='00100')X</v>
      </c>
      <c r="J58" s="34" t="str">
        <f>"(SELECT "&amp;VLOOKUP(B58,'0. Instruções'!$C$27:$G$32,4,FALSE)&amp;" AS "&amp;VLOOKUP(B58,'0. Instruções'!$C$27:$G$32,4,FALSE)&amp;"_SIMUL, "&amp;F58&amp;" AS "&amp;F58&amp;"_SIMUL FROM "&amp;E58&amp;" WHERE "&amp;'0. Instruções'!$D$43&amp;")Y"</f>
        <v>(SELECT entty_id AS entty_id_SIMUL, ANNL_TRNVR_PRVS AS ANNL_TRNVR_PRVS_SIMUL FROM BU_LOANTAPE_WORK.LT003_ENTITY WHERE ref_date='${ref_date}' AND nome_perimetro='Individual Corporativo' AND segmento='ESTR' AND ambito='PM' AND entidade='00100')Y</v>
      </c>
      <c r="K58" s="35" t="str">
        <f>+UPPER("ON X."&amp;VLOOKUP(B58,'0. Instruções'!$C$27:$G$32,4,FALSE)&amp;"=Y."&amp;VLOOKUP(B58,'0. Instruções'!$C$27:$G$32,4,FALSE)&amp;"_SIMUL")</f>
        <v>ON X.ENTTY_ID=Y.ENTTY_ID_SIMUL</v>
      </c>
      <c r="L58" s="35" t="str">
        <f>+IF(C58="Coerência", +IF(LEFT(G58,5)="FLOAT","SELECT '"&amp;UPPER(B58)&amp;"' AS TABELA, '"&amp;UPPER(C58)&amp;"' AS TIPOLOGIA_TESTE,'"&amp;D58&amp;"' AS TABELA_LT,'"&amp;E58&amp;"' AS TABELA_SIMUL,'"&amp;F58&amp;"' AS CAMPO, "&amp;"'${ref_date}' AS REF_DATE, COUNT(*) AS NUM_REG, SUM(IF((ABS(COALESCE(CAST(X."&amp;F58&amp;" AS DECIMAL(18,6)),0)-COALESCE(CAST(Y."&amp;F58&amp;"_SIMUL AS DECIMAL(18,6)),0))&gt;0.000001) OR (X."&amp;F58&amp;" IS NULL AND Y."&amp;F58&amp;"_SIMUL IS NOT NULL ) OR (X."&amp;F58&amp;" IS NOT NULL AND Y."&amp;F58&amp;"_SIMUL IS NULL),1,0)) AS NUM_REG_DIF,'"&amp;MAX('ID1&amp;5'!K:K)+1&amp;"' AS ID_EXEC, CURRENT_TIMESTAMP() AS TIME_EXEC FROM "&amp;I58&amp;" INNER JOIN "&amp;J58&amp;" "&amp;K58,"SELECT '"&amp;UPPER(B58)&amp;"' AS TABELA, '"&amp;UPPER(C58)&amp;"' AS TIPOLOGIA_TESTE,'"&amp;D58&amp;"' AS TABELA_LT,'"&amp;E58&amp;"' AS TABELA_SIMUL,'"&amp;F58&amp;"' AS CAMPO, "&amp;"'${ref_date}' AS REF_DATE, COUNT(*) AS NUM_REG, SUM(IF(COALESCE(CAST(X."&amp;F58&amp;" AS STRING),'')&lt;&gt;COALESCE(CAST(Y."&amp;F58&amp;"_SIMUL AS STRING),'') OR (X."&amp;F58&amp;" IS NULL AND Y."&amp;F58&amp;"_SIMUL IS NOT NULL ) OR (X."&amp;F58&amp;" IS NOT NULL AND Y."&amp;F58&amp;"_SIMUL IS NULL),1,0)) AS NUM_REG_DIF,'"&amp;MAX('ID1&amp;5'!L:L)+1&amp;"' AS ID_EXEC, CURRENT_TIMESTAMP() AS TIME_EXEC FROM "&amp;I58&amp;" INNER JOIN "&amp;J58&amp;" "&amp;K58),
IF(C58="Validade",+IF(G58="Code List","SELECT '"&amp;UPPER(B58)&amp;"' AS TABELA, '"&amp;UPPER(C58)&amp;"' AS TIPOLOGIA_TESTE,'"&amp;D58&amp;"' AS TABELA_LT,'N/A' AS TABELA_SIMUL,'"&amp;F58&amp;"' AS CAMPO, "&amp;"'${ref_date}' AS REF_DATE, COUNT(*) AS NUM_REG, SUM(IF(TRIM(CAST(X."&amp;F58&amp;" AS STRING))='' OR TRIM(CAST(X."&amp;F58&amp;" AS STRING)) IS NULL OR CAST(X."&amp;F58&amp;" AS STRING) NOT "&amp;H58&amp;",1,0)) AS NUM_REG_DIF,'"&amp;MAX('ID1&amp;5'!K:K)+1&amp;"' AS ID_EXEC, CURRENT_TIMESTAMP() AS TIME_EXEC FROM "&amp;I58,"SELECT '"&amp;UPPER(B58)&amp;"' AS TABELA, '"&amp;UPPER(C58)&amp;"' AS TIPOLOGIA_TESTE,'"&amp;D58&amp;"' AS TABELA_LT,'N/A' AS TABELA_SIMUL,'"&amp;F58&amp;"' AS CAMPO, "&amp;"'${ref_date}' AS REF_DATE, COUNT(*) AS NUM_REG, SUM(IF(TRIM(CAST(X."&amp;F58&amp;" AS STRING))='' OR TRIM(CAST(X."&amp;F58&amp;" AS STRING)) IS NULL,1,0)) AS NUM_REG_DIF,'"&amp;MAX('ID1&amp;5'!K:K)+1&amp;"' AS ID_EXEC, CURRENT_TIMESTAMP() AS TIME_EXEC FROM "&amp;I58),
IF(C58="Caracteres Especiais",+"SELECT '"&amp;UPPER(B58)&amp;"' AS TABELA, '"&amp;UPPER(C58)&amp;"' AS TIPOLOGIA_TESTE,'"&amp;D58&amp;"' AS TABELA_LT,'N/A' AS TABELA_SIMUL,'"&amp;F58&amp;"' AS CAMPO, "&amp;"'${ref_date}' AS REF_DATE, COUNT(*) AS NUM_REG, SUM(IF(REGEXP_REPLACE(TRIM(CAST(X."&amp;F58&amp;" AS STRING)),'[^a-zA-Z0-9_\\s]','') &lt;&gt;TRIM(CAST(X."&amp;F58&amp;" AS STRING)),1,0)) AS NUM_REG_DIF,'"&amp;MAX('ID1&amp;5'!K:K)+1&amp;"' AS ID_EXEC, CURRENT_TIMESTAMP() AS TIME_EXEC FROM "&amp;I58,
IF(C58="Missings",+"SELECT '"&amp;UPPER(B58)&amp;"' AS TABELA, '"&amp;UPPER(C58)&amp;"' AS TIPOLOGIA_TESTE,'"&amp;D58&amp;"' AS TABELA_LT,'N/A' AS TABELA_SIMUL,'"&amp;F58&amp;"' AS CAMPO, "&amp;"'${ref_date}' AS REF_DATE, COUNT(*) AS NUM_REG, SUM(IF(TRIM(CAST(X."&amp;F58&amp;" AS STRING)) IN ('0000-00-00','0001-01-01','9999-12-31','MISS','00000','99999999999','99999999999.00','99999999999.000000'),1,0)) AS NUM_REG_DIF,'"&amp;MAX('ID1&amp;5'!K:K)+1&amp;"' AS ID_EXEC, CURRENT_TIMESTAMP() AS TIME_EXEC FROM "&amp;I58,
IF(C58="Not applicable",+"SELECT '"&amp;UPPER(B58)&amp;"' AS TABELA, '"&amp;UPPER(C58)&amp;"' AS TIPOLOGIA_TESTE,'"&amp;D58&amp;"' AS TABELA_LT,'N/A' AS TABELA_SIMUL,'"&amp;F58&amp;"' AS CAMPO, "&amp;"'${ref_date}' AS REF_DATE, COUNT(*) AS NUM_REG, SUM(IF(TRIM(CAST(X."&amp;F58&amp;" AS STRING)) IN ('N/A','11111111111','11111111111.00','11111111111.000000','1111-11-11'),1,0)) AS NUM_REG_DIF,'"&amp;MAX('ID1&amp;5'!K:K)+1&amp;"' AS ID_EXEC, CURRENT_TIMESTAMP() AS TIME_EXEC FROM "&amp;I58,
IF(C58="Valores extremos",+"SELECT '"&amp;UPPER(B58)&amp;"' AS TABELA, '"&amp;UPPER(C58)&amp;"' AS TIPOLOGIA_TESTE,'"&amp;D58&amp;"' AS TABELA_LT,'N/A' AS TABELA_SIMUL,'"&amp;F58&amp;"' AS CAMPO, "&amp;"'${ref_date}' AS REF_DATE, CAST(MIN("&amp;F58&amp;") AS STRING) AS VALOR_MIN, CAST(MAX("&amp;F58&amp;") AS STRING) AS VALOR_MAX,'"&amp;MAX('ID1&amp;5'!K:K)+1&amp;"' AS ID_EXEC, CURRENT_TIMESTAMP() AS TIME_EXEC FROM "&amp;MID(I58,1,LEN(I58)-2)&amp;" AND CAST("&amp;F58&amp;"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TABELA_SIMUL,'ANNL_TRNVR_PRVS' AS CAMPO, '${ref_date}' AS REF_DATE, COUNT(*) AS NUM_REG, SUM(IF(COALESCE(CAST(X.ANNL_TRNVR_PRVS AS STRING),'')&lt;&gt;COALESCE(CAST(Y.ANNL_TRNVR_PRVS_SIMUL AS STRING),'') OR (X.ANNL_TRNVR_PRVS IS NULL AND Y.ANNL_TRNVR_PRVS_SIMUL IS NOT NULL ) OR (X.ANNL_TRNVR_PRVS IS NOT NULL AND Y.ANNL_TRNVR_PRVS_SIMUL IS NULL),1,0)) AS NUM_REG_DIF,'1' AS ID_EXEC, CURRENT_TIMESTAMP() AS TIME_EXEC FROM (SELECT entty_id, ANNL_TRNVR_PRVS FROM CD_LOAN_TAPES_BCE.LT003_ENTITY WHERE ref_date='${ref_date}' AND nome_perimetro='Individual Corporativo' AND segmento='ESTR' AND ambito='PM' AND entidade='00100')X INNER JOIN (SELECT entty_id AS entty_id_SIMUL, ANNL_TRNVR_PRVS AS ANNL_TRNVR_PRVS_SIMUL FROM BU_LOANTAPE_WORK.LT003_ENTITY WHERE ref_date='${ref_date}' AND nome_perimetro='Individual Corporativo' AND segmento='ESTR' AND ambito='PM' AND entidade='00100')Y ON X.ENTTY_ID=Y.ENTTY_ID_SIMUL</v>
      </c>
      <c r="M58" s="36" t="str">
        <f t="shared" si="0"/>
        <v>UNION ALL SELECT 'ENTITY' AS TABELA, 'COERÊNCIA' AS TIPOLOGIA_TESTE,'CD_LOAN_TAPES_BCE.LT003_ENTITY' AS TABELA_LT,'BU_LOANTAPE_WORK.LT003_ENTITY' AS TABELA_SIMUL,'ANNL_TRNVR_PRVS' AS CAMPO, '${ref_date}' AS REF_DATE, COUNT(*) AS NUM_REG, SUM(IF(COALESCE(CAST(X.ANNL_TRNVR_PRVS AS STRING),'')&lt;&gt;COALESCE(CAST(Y.ANNL_TRNVR_PRVS_SIMUL AS STRING),'') OR (X.ANNL_TRNVR_PRVS IS NULL AND Y.ANNL_TRNVR_PRVS_SIMUL IS NOT NULL ) OR (X.ANNL_TRNVR_PRVS IS NOT NULL AND Y.ANNL_TRNVR_PRVS_SIMUL IS NULL),1,0)) AS NUM_REG_DIF,'1' AS ID_EXEC, CURRENT_TIMESTAMP() AS TIME_EXEC FROM (SELECT entty_id, ANNL_TRNVR_PRVS FROM CD_LOAN_TAPES_BCE.LT003_ENTITY WHERE ref_date='${ref_date}' AND nome_perimetro='Individual Corporativo' AND segmento='ESTR' AND ambito='PM' AND entidade='00100')X INNER JOIN (SELECT entty_id AS entty_id_SIMUL, ANNL_TRNVR_PRVS AS ANNL_TRNVR_PRVS_SIMUL FROM BU_LOANTAPE_WORK.LT003_ENTITY WHERE ref_date='${ref_date}' AND nome_perimetro='Individual Corporativo' AND segmento='ESTR' AND ambito='PM' AND entidade='00100')Y ON X.ENTTY_ID=Y.ENTTY_ID_SIMUL</v>
      </c>
      <c r="N58" s="38" t="s">
        <v>46</v>
      </c>
    </row>
    <row r="59" spans="2:14">
      <c r="B59" s="34" t="s">
        <v>127</v>
      </c>
      <c r="C59" s="34" t="s">
        <v>5</v>
      </c>
      <c r="D59" s="34" t="str">
        <f>+UPPER('0. Instruções'!$D$35&amp;"."&amp;VLOOKUP(B59,'0. Instruções'!$C$27:$D$32,2,FALSE))</f>
        <v>CD_LOAN_TAPES_BCE.LT003_ENTITY</v>
      </c>
      <c r="E59" s="34" t="str">
        <f>+UPPER('0. Instruções'!$D$36&amp;"."&amp;VLOOKUP(B59,'0. Instruções'!$C$27:$E$32,3,FALSE))</f>
        <v>BU_LOANTAPE_WORK.LT003_ENTITY</v>
      </c>
      <c r="F59" s="34" t="s">
        <v>368</v>
      </c>
      <c r="G59" s="34"/>
      <c r="H59" s="34" t="s">
        <v>92</v>
      </c>
      <c r="I59" s="34" t="str">
        <f>"(SELECT "&amp;VLOOKUP(B59,'0. Instruções'!$C$27:$G$32,4,FALSE)&amp;", "&amp;F59&amp;" FROM "&amp;D59&amp;" WHERE "&amp;'0. Instruções'!$D$42&amp;")X"</f>
        <v>(SELECT entty_id, CAPEX FROM CD_LOAN_TAPES_BCE.LT003_ENTITY WHERE ref_date='${ref_date}' AND nome_perimetro='Individual Corporativo' AND segmento='ESTR' AND ambito='PM' AND entidade='00100')X</v>
      </c>
      <c r="J59" s="34" t="str">
        <f>"(SELECT "&amp;VLOOKUP(B59,'0. Instruções'!$C$27:$G$32,4,FALSE)&amp;" AS "&amp;VLOOKUP(B59,'0. Instruções'!$C$27:$G$32,4,FALSE)&amp;"_SIMUL, "&amp;F59&amp;" AS "&amp;F59&amp;"_SIMUL FROM "&amp;E59&amp;" WHERE "&amp;'0. Instruções'!$D$43&amp;")Y"</f>
        <v>(SELECT entty_id AS entty_id_SIMUL, CAPEX AS CAPEX_SIMUL FROM BU_LOANTAPE_WORK.LT003_ENTITY WHERE ref_date='${ref_date}' AND nome_perimetro='Individual Corporativo' AND segmento='ESTR' AND ambito='PM' AND entidade='00100')Y</v>
      </c>
      <c r="K59" s="35" t="str">
        <f>+UPPER("ON X."&amp;VLOOKUP(B59,'0. Instruções'!$C$27:$G$32,4,FALSE)&amp;"=Y."&amp;VLOOKUP(B59,'0. Instruções'!$C$27:$G$32,4,FALSE)&amp;"_SIMUL")</f>
        <v>ON X.ENTTY_ID=Y.ENTTY_ID_SIMUL</v>
      </c>
      <c r="L59" s="35" t="str">
        <f>+IF(C59="Coerência", +IF(LEFT(G59,5)="FLOAT","SELECT '"&amp;UPPER(B59)&amp;"' AS TABELA, '"&amp;UPPER(C59)&amp;"' AS TIPOLOGIA_TESTE,'"&amp;D59&amp;"' AS TABELA_LT,'"&amp;E59&amp;"' AS TABELA_SIMUL,'"&amp;F59&amp;"' AS CAMPO, "&amp;"'${ref_date}' AS REF_DATE, COUNT(*) AS NUM_REG, SUM(IF((ABS(COALESCE(CAST(X."&amp;F59&amp;" AS DECIMAL(18,6)),0)-COALESCE(CAST(Y."&amp;F59&amp;"_SIMUL AS DECIMAL(18,6)),0))&gt;0.000001) OR (X."&amp;F59&amp;" IS NULL AND Y."&amp;F59&amp;"_SIMUL IS NOT NULL ) OR (X."&amp;F59&amp;" IS NOT NULL AND Y."&amp;F59&amp;"_SIMUL IS NULL),1,0)) AS NUM_REG_DIF,'"&amp;MAX('ID1&amp;5'!K:K)+1&amp;"' AS ID_EXEC, CURRENT_TIMESTAMP() AS TIME_EXEC FROM "&amp;I59&amp;" INNER JOIN "&amp;J59&amp;" "&amp;K59,"SELECT '"&amp;UPPER(B59)&amp;"' AS TABELA, '"&amp;UPPER(C59)&amp;"' AS TIPOLOGIA_TESTE,'"&amp;D59&amp;"' AS TABELA_LT,'"&amp;E59&amp;"' AS TABELA_SIMUL,'"&amp;F59&amp;"' AS CAMPO, "&amp;"'${ref_date}' AS REF_DATE, COUNT(*) AS NUM_REG, SUM(IF(COALESCE(CAST(X."&amp;F59&amp;" AS STRING),'')&lt;&gt;COALESCE(CAST(Y."&amp;F59&amp;"_SIMUL AS STRING),'') OR (X."&amp;F59&amp;" IS NULL AND Y."&amp;F59&amp;"_SIMUL IS NOT NULL ) OR (X."&amp;F59&amp;" IS NOT NULL AND Y."&amp;F59&amp;"_SIMUL IS NULL),1,0)) AS NUM_REG_DIF,'"&amp;MAX('ID1&amp;5'!L:L)+1&amp;"' AS ID_EXEC, CURRENT_TIMESTAMP() AS TIME_EXEC FROM "&amp;I59&amp;" INNER JOIN "&amp;J59&amp;" "&amp;K59),
IF(C59="Validade",+IF(G59="Code List","SELECT '"&amp;UPPER(B59)&amp;"' AS TABELA, '"&amp;UPPER(C59)&amp;"' AS TIPOLOGIA_TESTE,'"&amp;D59&amp;"' AS TABELA_LT,'N/A' AS TABELA_SIMUL,'"&amp;F59&amp;"' AS CAMPO, "&amp;"'${ref_date}' AS REF_DATE, COUNT(*) AS NUM_REG, SUM(IF(TRIM(CAST(X."&amp;F59&amp;" AS STRING))='' OR TRIM(CAST(X."&amp;F59&amp;" AS STRING)) IS NULL OR CAST(X."&amp;F59&amp;" AS STRING) NOT "&amp;H59&amp;",1,0)) AS NUM_REG_DIF,'"&amp;MAX('ID1&amp;5'!K:K)+1&amp;"' AS ID_EXEC, CURRENT_TIMESTAMP() AS TIME_EXEC FROM "&amp;I59,"SELECT '"&amp;UPPER(B59)&amp;"' AS TABELA, '"&amp;UPPER(C59)&amp;"' AS TIPOLOGIA_TESTE,'"&amp;D59&amp;"' AS TABELA_LT,'N/A' AS TABELA_SIMUL,'"&amp;F59&amp;"' AS CAMPO, "&amp;"'${ref_date}' AS REF_DATE, COUNT(*) AS NUM_REG, SUM(IF(TRIM(CAST(X."&amp;F59&amp;" AS STRING))='' OR TRIM(CAST(X."&amp;F59&amp;" AS STRING)) IS NULL,1,0)) AS NUM_REG_DIF,'"&amp;MAX('ID1&amp;5'!K:K)+1&amp;"' AS ID_EXEC, CURRENT_TIMESTAMP() AS TIME_EXEC FROM "&amp;I59),
IF(C59="Caracteres Especiais",+"SELECT '"&amp;UPPER(B59)&amp;"' AS TABELA, '"&amp;UPPER(C59)&amp;"' AS TIPOLOGIA_TESTE,'"&amp;D59&amp;"' AS TABELA_LT,'N/A' AS TABELA_SIMUL,'"&amp;F59&amp;"' AS CAMPO, "&amp;"'${ref_date}' AS REF_DATE, COUNT(*) AS NUM_REG, SUM(IF(REGEXP_REPLACE(TRIM(CAST(X."&amp;F59&amp;" AS STRING)),'[^a-zA-Z0-9_\\s]','') &lt;&gt;TRIM(CAST(X."&amp;F59&amp;" AS STRING)),1,0)) AS NUM_REG_DIF,'"&amp;MAX('ID1&amp;5'!K:K)+1&amp;"' AS ID_EXEC, CURRENT_TIMESTAMP() AS TIME_EXEC FROM "&amp;I59,
IF(C59="Missings",+"SELECT '"&amp;UPPER(B59)&amp;"' AS TABELA, '"&amp;UPPER(C59)&amp;"' AS TIPOLOGIA_TESTE,'"&amp;D59&amp;"' AS TABELA_LT,'N/A' AS TABELA_SIMUL,'"&amp;F59&amp;"' AS CAMPO, "&amp;"'${ref_date}' AS REF_DATE, COUNT(*) AS NUM_REG, SUM(IF(TRIM(CAST(X."&amp;F59&amp;" AS STRING)) IN ('0000-00-00','0001-01-01','9999-12-31','MISS','00000','99999999999','99999999999.00','99999999999.000000'),1,0)) AS NUM_REG_DIF,'"&amp;MAX('ID1&amp;5'!K:K)+1&amp;"' AS ID_EXEC, CURRENT_TIMESTAMP() AS TIME_EXEC FROM "&amp;I59,
IF(C59="Not applicable",+"SELECT '"&amp;UPPER(B59)&amp;"' AS TABELA, '"&amp;UPPER(C59)&amp;"' AS TIPOLOGIA_TESTE,'"&amp;D59&amp;"' AS TABELA_LT,'N/A' AS TABELA_SIMUL,'"&amp;F59&amp;"' AS CAMPO, "&amp;"'${ref_date}' AS REF_DATE, COUNT(*) AS NUM_REG, SUM(IF(TRIM(CAST(X."&amp;F59&amp;" AS STRING)) IN ('N/A','11111111111','11111111111.00','11111111111.000000','1111-11-11'),1,0)) AS NUM_REG_DIF,'"&amp;MAX('ID1&amp;5'!K:K)+1&amp;"' AS ID_EXEC, CURRENT_TIMESTAMP() AS TIME_EXEC FROM "&amp;I59,
IF(C59="Valores extremos",+"SELECT '"&amp;UPPER(B59)&amp;"' AS TABELA, '"&amp;UPPER(C59)&amp;"' AS TIPOLOGIA_TESTE,'"&amp;D59&amp;"' AS TABELA_LT,'N/A' AS TABELA_SIMUL,'"&amp;F59&amp;"' AS CAMPO, "&amp;"'${ref_date}' AS REF_DATE, CAST(MIN("&amp;F59&amp;") AS STRING) AS VALOR_MIN, CAST(MAX("&amp;F59&amp;") AS STRING) AS VALOR_MAX,'"&amp;MAX('ID1&amp;5'!K:K)+1&amp;"' AS ID_EXEC, CURRENT_TIMESTAMP() AS TIME_EXEC FROM "&amp;MID(I59,1,LEN(I59)-2)&amp;" AND CAST("&amp;F59&amp;"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TABELA_SIMUL,'CAPEX' AS CAMPO, '${ref_date}' AS REF_DATE, COUNT(*) AS NUM_REG, SUM(IF(COALESCE(CAST(X.CAPEX AS STRING),'')&lt;&gt;COALESCE(CAST(Y.CAPEX_SIMUL AS STRING),'') OR (X.CAPEX IS NULL AND Y.CAPEX_SIMUL IS NOT NULL ) OR (X.CAPEX IS NOT NULL AND Y.CAPEX_SIMUL IS NULL),1,0)) AS NUM_REG_DIF,'1' AS ID_EXEC, CURRENT_TIMESTAMP() AS TIME_EXEC FROM (SELECT entty_id, CAPEX FROM CD_LOAN_TAPES_BCE.LT003_ENTITY WHERE ref_date='${ref_date}' AND nome_perimetro='Individual Corporativo' AND segmento='ESTR' AND ambito='PM' AND entidade='00100')X INNER JOIN (SELECT entty_id AS entty_id_SIMUL, CAPEX AS CAPEX_SIMUL FROM BU_LOANTAPE_WORK.LT003_ENTITY WHERE ref_date='${ref_date}' AND nome_perimetro='Individual Corporativo' AND segmento='ESTR' AND ambito='PM' AND entidade='00100')Y ON X.ENTTY_ID=Y.ENTTY_ID_SIMUL</v>
      </c>
      <c r="M59" s="36" t="str">
        <f t="shared" si="0"/>
        <v>UNION ALL SELECT 'ENTITY' AS TABELA, 'COERÊNCIA' AS TIPOLOGIA_TESTE,'CD_LOAN_TAPES_BCE.LT003_ENTITY' AS TABELA_LT,'BU_LOANTAPE_WORK.LT003_ENTITY' AS TABELA_SIMUL,'CAPEX' AS CAMPO, '${ref_date}' AS REF_DATE, COUNT(*) AS NUM_REG, SUM(IF(COALESCE(CAST(X.CAPEX AS STRING),'')&lt;&gt;COALESCE(CAST(Y.CAPEX_SIMUL AS STRING),'') OR (X.CAPEX IS NULL AND Y.CAPEX_SIMUL IS NOT NULL ) OR (X.CAPEX IS NOT NULL AND Y.CAPEX_SIMUL IS NULL),1,0)) AS NUM_REG_DIF,'1' AS ID_EXEC, CURRENT_TIMESTAMP() AS TIME_EXEC FROM (SELECT entty_id, CAPEX FROM CD_LOAN_TAPES_BCE.LT003_ENTITY WHERE ref_date='${ref_date}' AND nome_perimetro='Individual Corporativo' AND segmento='ESTR' AND ambito='PM' AND entidade='00100')X INNER JOIN (SELECT entty_id AS entty_id_SIMUL, CAPEX AS CAPEX_SIMUL FROM BU_LOANTAPE_WORK.LT003_ENTITY WHERE ref_date='${ref_date}' AND nome_perimetro='Individual Corporativo' AND segmento='ESTR' AND ambito='PM' AND entidade='00100')Y ON X.ENTTY_ID=Y.ENTTY_ID_SIMUL</v>
      </c>
      <c r="N59" s="38" t="s">
        <v>46</v>
      </c>
    </row>
    <row r="60" spans="2:14">
      <c r="B60" s="34" t="s">
        <v>127</v>
      </c>
      <c r="C60" s="34" t="s">
        <v>5</v>
      </c>
      <c r="D60" s="34" t="str">
        <f>+UPPER('0. Instruções'!$D$35&amp;"."&amp;VLOOKUP(B60,'0. Instruções'!$C$27:$D$32,2,FALSE))</f>
        <v>CD_LOAN_TAPES_BCE.LT003_ENTITY</v>
      </c>
      <c r="E60" s="34" t="str">
        <f>+UPPER('0. Instruções'!$D$36&amp;"."&amp;VLOOKUP(B60,'0. Instruções'!$C$27:$E$32,3,FALSE))</f>
        <v>BU_LOANTAPE_WORK.LT003_ENTITY</v>
      </c>
      <c r="F60" s="34" t="s">
        <v>369</v>
      </c>
      <c r="G60" s="34"/>
      <c r="H60" s="34" t="s">
        <v>92</v>
      </c>
      <c r="I60" s="34" t="str">
        <f>"(SELECT "&amp;VLOOKUP(B60,'0. Instruções'!$C$27:$G$32,4,FALSE)&amp;", "&amp;F60&amp;" FROM "&amp;D60&amp;" WHERE "&amp;'0. Instruções'!$D$42&amp;")X"</f>
        <v>(SELECT entty_id, CAPEX_PRVS FROM CD_LOAN_TAPES_BCE.LT003_ENTITY WHERE ref_date='${ref_date}' AND nome_perimetro='Individual Corporativo' AND segmento='ESTR' AND ambito='PM' AND entidade='00100')X</v>
      </c>
      <c r="J60" s="34" t="str">
        <f>"(SELECT "&amp;VLOOKUP(B60,'0. Instruções'!$C$27:$G$32,4,FALSE)&amp;" AS "&amp;VLOOKUP(B60,'0. Instruções'!$C$27:$G$32,4,FALSE)&amp;"_SIMUL, "&amp;F60&amp;" AS "&amp;F60&amp;"_SIMUL FROM "&amp;E60&amp;" WHERE "&amp;'0. Instruções'!$D$43&amp;")Y"</f>
        <v>(SELECT entty_id AS entty_id_SIMUL, CAPEX_PRVS AS CAPEX_PRVS_SIMUL FROM BU_LOANTAPE_WORK.LT003_ENTITY WHERE ref_date='${ref_date}' AND nome_perimetro='Individual Corporativo' AND segmento='ESTR' AND ambito='PM' AND entidade='00100')Y</v>
      </c>
      <c r="K60" s="35" t="str">
        <f>+UPPER("ON X."&amp;VLOOKUP(B60,'0. Instruções'!$C$27:$G$32,4,FALSE)&amp;"=Y."&amp;VLOOKUP(B60,'0. Instruções'!$C$27:$G$32,4,FALSE)&amp;"_SIMUL")</f>
        <v>ON X.ENTTY_ID=Y.ENTTY_ID_SIMUL</v>
      </c>
      <c r="L60" s="35" t="str">
        <f>+IF(C60="Coerência", +IF(LEFT(G60,5)="FLOAT","SELECT '"&amp;UPPER(B60)&amp;"' AS TABELA, '"&amp;UPPER(C60)&amp;"' AS TIPOLOGIA_TESTE,'"&amp;D60&amp;"' AS TABELA_LT,'"&amp;E60&amp;"' AS TABELA_SIMUL,'"&amp;F60&amp;"' AS CAMPO, "&amp;"'${ref_date}' AS REF_DATE, COUNT(*) AS NUM_REG, SUM(IF((ABS(COALESCE(CAST(X."&amp;F60&amp;" AS DECIMAL(18,6)),0)-COALESCE(CAST(Y."&amp;F60&amp;"_SIMUL AS DECIMAL(18,6)),0))&gt;0.000001) OR (X."&amp;F60&amp;" IS NULL AND Y."&amp;F60&amp;"_SIMUL IS NOT NULL ) OR (X."&amp;F60&amp;" IS NOT NULL AND Y."&amp;F60&amp;"_SIMUL IS NULL),1,0)) AS NUM_REG_DIF,'"&amp;MAX('ID1&amp;5'!K:K)+1&amp;"' AS ID_EXEC, CURRENT_TIMESTAMP() AS TIME_EXEC FROM "&amp;I60&amp;" INNER JOIN "&amp;J60&amp;" "&amp;K60,"SELECT '"&amp;UPPER(B60)&amp;"' AS TABELA, '"&amp;UPPER(C60)&amp;"' AS TIPOLOGIA_TESTE,'"&amp;D60&amp;"' AS TABELA_LT,'"&amp;E60&amp;"' AS TABELA_SIMUL,'"&amp;F60&amp;"' AS CAMPO, "&amp;"'${ref_date}' AS REF_DATE, COUNT(*) AS NUM_REG, SUM(IF(COALESCE(CAST(X."&amp;F60&amp;" AS STRING),'')&lt;&gt;COALESCE(CAST(Y."&amp;F60&amp;"_SIMUL AS STRING),'') OR (X."&amp;F60&amp;" IS NULL AND Y."&amp;F60&amp;"_SIMUL IS NOT NULL ) OR (X."&amp;F60&amp;" IS NOT NULL AND Y."&amp;F60&amp;"_SIMUL IS NULL),1,0)) AS NUM_REG_DIF,'"&amp;MAX('ID1&amp;5'!L:L)+1&amp;"' AS ID_EXEC, CURRENT_TIMESTAMP() AS TIME_EXEC FROM "&amp;I60&amp;" INNER JOIN "&amp;J60&amp;" "&amp;K60),
IF(C60="Validade",+IF(G60="Code List","SELECT '"&amp;UPPER(B60)&amp;"' AS TABELA, '"&amp;UPPER(C60)&amp;"' AS TIPOLOGIA_TESTE,'"&amp;D60&amp;"' AS TABELA_LT,'N/A' AS TABELA_SIMUL,'"&amp;F60&amp;"' AS CAMPO, "&amp;"'${ref_date}' AS REF_DATE, COUNT(*) AS NUM_REG, SUM(IF(TRIM(CAST(X."&amp;F60&amp;" AS STRING))='' OR TRIM(CAST(X."&amp;F60&amp;" AS STRING)) IS NULL OR CAST(X."&amp;F60&amp;" AS STRING) NOT "&amp;H60&amp;",1,0)) AS NUM_REG_DIF,'"&amp;MAX('ID1&amp;5'!K:K)+1&amp;"' AS ID_EXEC, CURRENT_TIMESTAMP() AS TIME_EXEC FROM "&amp;I60,"SELECT '"&amp;UPPER(B60)&amp;"' AS TABELA, '"&amp;UPPER(C60)&amp;"' AS TIPOLOGIA_TESTE,'"&amp;D60&amp;"' AS TABELA_LT,'N/A' AS TABELA_SIMUL,'"&amp;F60&amp;"' AS CAMPO, "&amp;"'${ref_date}' AS REF_DATE, COUNT(*) AS NUM_REG, SUM(IF(TRIM(CAST(X."&amp;F60&amp;" AS STRING))='' OR TRIM(CAST(X."&amp;F60&amp;" AS STRING)) IS NULL,1,0)) AS NUM_REG_DIF,'"&amp;MAX('ID1&amp;5'!K:K)+1&amp;"' AS ID_EXEC, CURRENT_TIMESTAMP() AS TIME_EXEC FROM "&amp;I60),
IF(C60="Caracteres Especiais",+"SELECT '"&amp;UPPER(B60)&amp;"' AS TABELA, '"&amp;UPPER(C60)&amp;"' AS TIPOLOGIA_TESTE,'"&amp;D60&amp;"' AS TABELA_LT,'N/A' AS TABELA_SIMUL,'"&amp;F60&amp;"' AS CAMPO, "&amp;"'${ref_date}' AS REF_DATE, COUNT(*) AS NUM_REG, SUM(IF(REGEXP_REPLACE(TRIM(CAST(X."&amp;F60&amp;" AS STRING)),'[^a-zA-Z0-9_\\s]','') &lt;&gt;TRIM(CAST(X."&amp;F60&amp;" AS STRING)),1,0)) AS NUM_REG_DIF,'"&amp;MAX('ID1&amp;5'!K:K)+1&amp;"' AS ID_EXEC, CURRENT_TIMESTAMP() AS TIME_EXEC FROM "&amp;I60,
IF(C60="Missings",+"SELECT '"&amp;UPPER(B60)&amp;"' AS TABELA, '"&amp;UPPER(C60)&amp;"' AS TIPOLOGIA_TESTE,'"&amp;D60&amp;"' AS TABELA_LT,'N/A' AS TABELA_SIMUL,'"&amp;F60&amp;"' AS CAMPO, "&amp;"'${ref_date}' AS REF_DATE, COUNT(*) AS NUM_REG, SUM(IF(TRIM(CAST(X."&amp;F60&amp;" AS STRING)) IN ('0000-00-00','0001-01-01','9999-12-31','MISS','00000','99999999999','99999999999.00','99999999999.000000'),1,0)) AS NUM_REG_DIF,'"&amp;MAX('ID1&amp;5'!K:K)+1&amp;"' AS ID_EXEC, CURRENT_TIMESTAMP() AS TIME_EXEC FROM "&amp;I60,
IF(C60="Not applicable",+"SELECT '"&amp;UPPER(B60)&amp;"' AS TABELA, '"&amp;UPPER(C60)&amp;"' AS TIPOLOGIA_TESTE,'"&amp;D60&amp;"' AS TABELA_LT,'N/A' AS TABELA_SIMUL,'"&amp;F60&amp;"' AS CAMPO, "&amp;"'${ref_date}' AS REF_DATE, COUNT(*) AS NUM_REG, SUM(IF(TRIM(CAST(X."&amp;F60&amp;" AS STRING)) IN ('N/A','11111111111','11111111111.00','11111111111.000000','1111-11-11'),1,0)) AS NUM_REG_DIF,'"&amp;MAX('ID1&amp;5'!K:K)+1&amp;"' AS ID_EXEC, CURRENT_TIMESTAMP() AS TIME_EXEC FROM "&amp;I60,
IF(C60="Valores extremos",+"SELECT '"&amp;UPPER(B60)&amp;"' AS TABELA, '"&amp;UPPER(C60)&amp;"' AS TIPOLOGIA_TESTE,'"&amp;D60&amp;"' AS TABELA_LT,'N/A' AS TABELA_SIMUL,'"&amp;F60&amp;"' AS CAMPO, "&amp;"'${ref_date}' AS REF_DATE, CAST(MIN("&amp;F60&amp;") AS STRING) AS VALOR_MIN, CAST(MAX("&amp;F60&amp;") AS STRING) AS VALOR_MAX,'"&amp;MAX('ID1&amp;5'!K:K)+1&amp;"' AS ID_EXEC, CURRENT_TIMESTAMP() AS TIME_EXEC FROM "&amp;MID(I60,1,LEN(I60)-2)&amp;" AND CAST("&amp;F60&amp;"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TABELA_SIMUL,'CAPEX_PRVS' AS CAMPO, '${ref_date}' AS REF_DATE, COUNT(*) AS NUM_REG, SUM(IF(COALESCE(CAST(X.CAPEX_PRVS AS STRING),'')&lt;&gt;COALESCE(CAST(Y.CAPEX_PRVS_SIMUL AS STRING),'') OR (X.CAPEX_PRVS IS NULL AND Y.CAPEX_PRVS_SIMUL IS NOT NULL ) OR (X.CAPEX_PRVS IS NOT NULL AND Y.CAPEX_PRVS_SIMUL IS NULL),1,0)) AS NUM_REG_DIF,'1' AS ID_EXEC, CURRENT_TIMESTAMP() AS TIME_EXEC FROM (SELECT entty_id, CAPEX_PRVS FROM CD_LOAN_TAPES_BCE.LT003_ENTITY WHERE ref_date='${ref_date}' AND nome_perimetro='Individual Corporativo' AND segmento='ESTR' AND ambito='PM' AND entidade='00100')X INNER JOIN (SELECT entty_id AS entty_id_SIMUL, CAPEX_PRVS AS CAPEX_PRVS_SIMUL FROM BU_LOANTAPE_WORK.LT003_ENTITY WHERE ref_date='${ref_date}' AND nome_perimetro='Individual Corporativo' AND segmento='ESTR' AND ambito='PM' AND entidade='00100')Y ON X.ENTTY_ID=Y.ENTTY_ID_SIMUL</v>
      </c>
      <c r="M60" s="36" t="str">
        <f t="shared" si="0"/>
        <v>UNION ALL SELECT 'ENTITY' AS TABELA, 'COERÊNCIA' AS TIPOLOGIA_TESTE,'CD_LOAN_TAPES_BCE.LT003_ENTITY' AS TABELA_LT,'BU_LOANTAPE_WORK.LT003_ENTITY' AS TABELA_SIMUL,'CAPEX_PRVS' AS CAMPO, '${ref_date}' AS REF_DATE, COUNT(*) AS NUM_REG, SUM(IF(COALESCE(CAST(X.CAPEX_PRVS AS STRING),'')&lt;&gt;COALESCE(CAST(Y.CAPEX_PRVS_SIMUL AS STRING),'') OR (X.CAPEX_PRVS IS NULL AND Y.CAPEX_PRVS_SIMUL IS NOT NULL ) OR (X.CAPEX_PRVS IS NOT NULL AND Y.CAPEX_PRVS_SIMUL IS NULL),1,0)) AS NUM_REG_DIF,'1' AS ID_EXEC, CURRENT_TIMESTAMP() AS TIME_EXEC FROM (SELECT entty_id, CAPEX_PRVS FROM CD_LOAN_TAPES_BCE.LT003_ENTITY WHERE ref_date='${ref_date}' AND nome_perimetro='Individual Corporativo' AND segmento='ESTR' AND ambito='PM' AND entidade='00100')X INNER JOIN (SELECT entty_id AS entty_id_SIMUL, CAPEX_PRVS AS CAPEX_PRVS_SIMUL FROM BU_LOANTAPE_WORK.LT003_ENTITY WHERE ref_date='${ref_date}' AND nome_perimetro='Individual Corporativo' AND segmento='ESTR' AND ambito='PM' AND entidade='00100')Y ON X.ENTTY_ID=Y.ENTTY_ID_SIMUL</v>
      </c>
      <c r="N60" s="38" t="s">
        <v>46</v>
      </c>
    </row>
    <row r="61" spans="2:14">
      <c r="B61" s="34" t="s">
        <v>127</v>
      </c>
      <c r="C61" s="34" t="s">
        <v>5</v>
      </c>
      <c r="D61" s="34" t="str">
        <f>+UPPER('0. Instruções'!$D$35&amp;"."&amp;VLOOKUP(B61,'0. Instruções'!$C$27:$D$32,2,FALSE))</f>
        <v>CD_LOAN_TAPES_BCE.LT003_ENTITY</v>
      </c>
      <c r="E61" s="34" t="str">
        <f>+UPPER('0. Instruções'!$D$36&amp;"."&amp;VLOOKUP(B61,'0. Instruções'!$C$27:$E$32,3,FALSE))</f>
        <v>BU_LOANTAPE_WORK.LT003_ENTITY</v>
      </c>
      <c r="F61" s="34" t="s">
        <v>370</v>
      </c>
      <c r="G61" s="34"/>
      <c r="H61" s="34" t="s">
        <v>89</v>
      </c>
      <c r="I61" s="34" t="str">
        <f>"(SELECT "&amp;VLOOKUP(B61,'0. Instruções'!$C$27:$G$32,4,FALSE)&amp;", "&amp;F61&amp;" FROM "&amp;D61&amp;" WHERE "&amp;'0. Instruções'!$D$42&amp;")X"</f>
        <v>(SELECT entty_id, CLLCTN_MD FROM CD_LOAN_TAPES_BCE.LT003_ENTITY WHERE ref_date='${ref_date}' AND nome_perimetro='Individual Corporativo' AND segmento='ESTR' AND ambito='PM' AND entidade='00100')X</v>
      </c>
      <c r="J61" s="34" t="str">
        <f>"(SELECT "&amp;VLOOKUP(B61,'0. Instruções'!$C$27:$G$32,4,FALSE)&amp;" AS "&amp;VLOOKUP(B61,'0. Instruções'!$C$27:$G$32,4,FALSE)&amp;"_SIMUL, "&amp;F61&amp;" AS "&amp;F61&amp;"_SIMUL FROM "&amp;E61&amp;" WHERE "&amp;'0. Instruções'!$D$43&amp;")Y"</f>
        <v>(SELECT entty_id AS entty_id_SIMUL, CLLCTN_MD AS CLLCTN_MD_SIMUL FROM BU_LOANTAPE_WORK.LT003_ENTITY WHERE ref_date='${ref_date}' AND nome_perimetro='Individual Corporativo' AND segmento='ESTR' AND ambito='PM' AND entidade='00100')Y</v>
      </c>
      <c r="K61" s="35" t="str">
        <f>+UPPER("ON X."&amp;VLOOKUP(B61,'0. Instruções'!$C$27:$G$32,4,FALSE)&amp;"=Y."&amp;VLOOKUP(B61,'0. Instruções'!$C$27:$G$32,4,FALSE)&amp;"_SIMUL")</f>
        <v>ON X.ENTTY_ID=Y.ENTTY_ID_SIMUL</v>
      </c>
      <c r="L61" s="35" t="str">
        <f>+IF(C61="Coerência", +IF(LEFT(G61,5)="FLOAT","SELECT '"&amp;UPPER(B61)&amp;"' AS TABELA, '"&amp;UPPER(C61)&amp;"' AS TIPOLOGIA_TESTE,'"&amp;D61&amp;"' AS TABELA_LT,'"&amp;E61&amp;"' AS TABELA_SIMUL,'"&amp;F61&amp;"' AS CAMPO, "&amp;"'${ref_date}' AS REF_DATE, COUNT(*) AS NUM_REG, SUM(IF((ABS(COALESCE(CAST(X."&amp;F61&amp;" AS DECIMAL(18,6)),0)-COALESCE(CAST(Y."&amp;F61&amp;"_SIMUL AS DECIMAL(18,6)),0))&gt;0.000001) OR (X."&amp;F61&amp;" IS NULL AND Y."&amp;F61&amp;"_SIMUL IS NOT NULL ) OR (X."&amp;F61&amp;" IS NOT NULL AND Y."&amp;F61&amp;"_SIMUL IS NULL),1,0)) AS NUM_REG_DIF,'"&amp;MAX('ID1&amp;5'!K:K)+1&amp;"' AS ID_EXEC, CURRENT_TIMESTAMP() AS TIME_EXEC FROM "&amp;I61&amp;" INNER JOIN "&amp;J61&amp;" "&amp;K61,"SELECT '"&amp;UPPER(B61)&amp;"' AS TABELA, '"&amp;UPPER(C61)&amp;"' AS TIPOLOGIA_TESTE,'"&amp;D61&amp;"' AS TABELA_LT,'"&amp;E61&amp;"' AS TABELA_SIMUL,'"&amp;F61&amp;"' AS CAMPO, "&amp;"'${ref_date}' AS REF_DATE, COUNT(*) AS NUM_REG, SUM(IF(COALESCE(CAST(X."&amp;F61&amp;" AS STRING),'')&lt;&gt;COALESCE(CAST(Y."&amp;F61&amp;"_SIMUL AS STRING),'') OR (X."&amp;F61&amp;" IS NULL AND Y."&amp;F61&amp;"_SIMUL IS NOT NULL ) OR (X."&amp;F61&amp;" IS NOT NULL AND Y."&amp;F61&amp;"_SIMUL IS NULL),1,0)) AS NUM_REG_DIF,'"&amp;MAX('ID1&amp;5'!L:L)+1&amp;"' AS ID_EXEC, CURRENT_TIMESTAMP() AS TIME_EXEC FROM "&amp;I61&amp;" INNER JOIN "&amp;J61&amp;" "&amp;K61),
IF(C61="Validade",+IF(G61="Code List","SELECT '"&amp;UPPER(B61)&amp;"' AS TABELA, '"&amp;UPPER(C61)&amp;"' AS TIPOLOGIA_TESTE,'"&amp;D61&amp;"' AS TABELA_LT,'N/A' AS TABELA_SIMUL,'"&amp;F61&amp;"' AS CAMPO, "&amp;"'${ref_date}' AS REF_DATE, COUNT(*) AS NUM_REG, SUM(IF(TRIM(CAST(X."&amp;F61&amp;" AS STRING))='' OR TRIM(CAST(X."&amp;F61&amp;" AS STRING)) IS NULL OR CAST(X."&amp;F61&amp;" AS STRING) NOT "&amp;H61&amp;",1,0)) AS NUM_REG_DIF,'"&amp;MAX('ID1&amp;5'!K:K)+1&amp;"' AS ID_EXEC, CURRENT_TIMESTAMP() AS TIME_EXEC FROM "&amp;I61,"SELECT '"&amp;UPPER(B61)&amp;"' AS TABELA, '"&amp;UPPER(C61)&amp;"' AS TIPOLOGIA_TESTE,'"&amp;D61&amp;"' AS TABELA_LT,'N/A' AS TABELA_SIMUL,'"&amp;F61&amp;"' AS CAMPO, "&amp;"'${ref_date}' AS REF_DATE, COUNT(*) AS NUM_REG, SUM(IF(TRIM(CAST(X."&amp;F61&amp;" AS STRING))='' OR TRIM(CAST(X."&amp;F61&amp;" AS STRING)) IS NULL,1,0)) AS NUM_REG_DIF,'"&amp;MAX('ID1&amp;5'!K:K)+1&amp;"' AS ID_EXEC, CURRENT_TIMESTAMP() AS TIME_EXEC FROM "&amp;I61),
IF(C61="Caracteres Especiais",+"SELECT '"&amp;UPPER(B61)&amp;"' AS TABELA, '"&amp;UPPER(C61)&amp;"' AS TIPOLOGIA_TESTE,'"&amp;D61&amp;"' AS TABELA_LT,'N/A' AS TABELA_SIMUL,'"&amp;F61&amp;"' AS CAMPO, "&amp;"'${ref_date}' AS REF_DATE, COUNT(*) AS NUM_REG, SUM(IF(REGEXP_REPLACE(TRIM(CAST(X."&amp;F61&amp;" AS STRING)),'[^a-zA-Z0-9_\\s]','') &lt;&gt;TRIM(CAST(X."&amp;F61&amp;" AS STRING)),1,0)) AS NUM_REG_DIF,'"&amp;MAX('ID1&amp;5'!K:K)+1&amp;"' AS ID_EXEC, CURRENT_TIMESTAMP() AS TIME_EXEC FROM "&amp;I61,
IF(C61="Missings",+"SELECT '"&amp;UPPER(B61)&amp;"' AS TABELA, '"&amp;UPPER(C61)&amp;"' AS TIPOLOGIA_TESTE,'"&amp;D61&amp;"' AS TABELA_LT,'N/A' AS TABELA_SIMUL,'"&amp;F61&amp;"' AS CAMPO, "&amp;"'${ref_date}' AS REF_DATE, COUNT(*) AS NUM_REG, SUM(IF(TRIM(CAST(X."&amp;F61&amp;" AS STRING)) IN ('0000-00-00','0001-01-01','9999-12-31','MISS','00000','99999999999','99999999999.00','99999999999.000000'),1,0)) AS NUM_REG_DIF,'"&amp;MAX('ID1&amp;5'!K:K)+1&amp;"' AS ID_EXEC, CURRENT_TIMESTAMP() AS TIME_EXEC FROM "&amp;I61,
IF(C61="Not applicable",+"SELECT '"&amp;UPPER(B61)&amp;"' AS TABELA, '"&amp;UPPER(C61)&amp;"' AS TIPOLOGIA_TESTE,'"&amp;D61&amp;"' AS TABELA_LT,'N/A' AS TABELA_SIMUL,'"&amp;F61&amp;"' AS CAMPO, "&amp;"'${ref_date}' AS REF_DATE, COUNT(*) AS NUM_REG, SUM(IF(TRIM(CAST(X."&amp;F61&amp;" AS STRING)) IN ('N/A','11111111111','11111111111.00','11111111111.000000','1111-11-11'),1,0)) AS NUM_REG_DIF,'"&amp;MAX('ID1&amp;5'!K:K)+1&amp;"' AS ID_EXEC, CURRENT_TIMESTAMP() AS TIME_EXEC FROM "&amp;I61,
IF(C61="Valores extremos",+"SELECT '"&amp;UPPER(B61)&amp;"' AS TABELA, '"&amp;UPPER(C61)&amp;"' AS TIPOLOGIA_TESTE,'"&amp;D61&amp;"' AS TABELA_LT,'N/A' AS TABELA_SIMUL,'"&amp;F61&amp;"' AS CAMPO, "&amp;"'${ref_date}' AS REF_DATE, CAST(MIN("&amp;F61&amp;") AS STRING) AS VALOR_MIN, CAST(MAX("&amp;F61&amp;") AS STRING) AS VALOR_MAX,'"&amp;MAX('ID1&amp;5'!K:K)+1&amp;"' AS ID_EXEC, CURRENT_TIMESTAMP() AS TIME_EXEC FROM "&amp;MID(I61,1,LEN(I61)-2)&amp;" AND CAST("&amp;F61&amp;"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TABELA_SIMUL,'CLLCTN_MD' AS CAMPO, '${ref_date}' AS REF_DATE, COUNT(*) AS NUM_REG, SUM(IF(COALESCE(CAST(X.CLLCTN_MD AS STRING),'')&lt;&gt;COALESCE(CAST(Y.CLLCTN_MD_SIMUL AS STRING),'') OR (X.CLLCTN_MD IS NULL AND Y.CLLCTN_MD_SIMUL IS NOT NULL ) OR (X.CLLCTN_MD IS NOT NULL AND Y.CLLCTN_MD_SIMUL IS NULL),1,0)) AS NUM_REG_DIF,'1' AS ID_EXEC, CURRENT_TIMESTAMP() AS TIME_EXEC FROM (SELECT entty_id, CLLCTN_MD FROM CD_LOAN_TAPES_BCE.LT003_ENTITY WHERE ref_date='${ref_date}' AND nome_perimetro='Individual Corporativo' AND segmento='ESTR' AND ambito='PM' AND entidade='00100')X INNER JOIN (SELECT entty_id AS entty_id_SIMUL, CLLCTN_MD AS CLLCTN_MD_SIMUL FROM BU_LOANTAPE_WORK.LT003_ENTITY WHERE ref_date='${ref_date}' AND nome_perimetro='Individual Corporativo' AND segmento='ESTR' AND ambito='PM' AND entidade='00100')Y ON X.ENTTY_ID=Y.ENTTY_ID_SIMUL</v>
      </c>
      <c r="M61" s="36" t="str">
        <f t="shared" ref="M61:M115" si="1">+"UNION ALL "&amp;L61</f>
        <v>UNION ALL SELECT 'ENTITY' AS TABELA, 'COERÊNCIA' AS TIPOLOGIA_TESTE,'CD_LOAN_TAPES_BCE.LT003_ENTITY' AS TABELA_LT,'BU_LOANTAPE_WORK.LT003_ENTITY' AS TABELA_SIMUL,'CLLCTN_MD' AS CAMPO, '${ref_date}' AS REF_DATE, COUNT(*) AS NUM_REG, SUM(IF(COALESCE(CAST(X.CLLCTN_MD AS STRING),'')&lt;&gt;COALESCE(CAST(Y.CLLCTN_MD_SIMUL AS STRING),'') OR (X.CLLCTN_MD IS NULL AND Y.CLLCTN_MD_SIMUL IS NOT NULL ) OR (X.CLLCTN_MD IS NOT NULL AND Y.CLLCTN_MD_SIMUL IS NULL),1,0)) AS NUM_REG_DIF,'1' AS ID_EXEC, CURRENT_TIMESTAMP() AS TIME_EXEC FROM (SELECT entty_id, CLLCTN_MD FROM CD_LOAN_TAPES_BCE.LT003_ENTITY WHERE ref_date='${ref_date}' AND nome_perimetro='Individual Corporativo' AND segmento='ESTR' AND ambito='PM' AND entidade='00100')X INNER JOIN (SELECT entty_id AS entty_id_SIMUL, CLLCTN_MD AS CLLCTN_MD_SIMUL FROM BU_LOANTAPE_WORK.LT003_ENTITY WHERE ref_date='${ref_date}' AND nome_perimetro='Individual Corporativo' AND segmento='ESTR' AND ambito='PM' AND entidade='00100')Y ON X.ENTTY_ID=Y.ENTTY_ID_SIMUL</v>
      </c>
      <c r="N61" s="38" t="s">
        <v>46</v>
      </c>
    </row>
    <row r="62" spans="2:14">
      <c r="B62" s="34" t="s">
        <v>127</v>
      </c>
      <c r="C62" s="34" t="s">
        <v>5</v>
      </c>
      <c r="D62" s="34" t="str">
        <f>+UPPER('0. Instruções'!$D$35&amp;"."&amp;VLOOKUP(B62,'0. Instruções'!$C$27:$D$32,2,FALSE))</f>
        <v>CD_LOAN_TAPES_BCE.LT003_ENTITY</v>
      </c>
      <c r="E62" s="34" t="str">
        <f>+UPPER('0. Instruções'!$D$36&amp;"."&amp;VLOOKUP(B62,'0. Instruções'!$C$27:$E$32,3,FALSE))</f>
        <v>BU_LOANTAPE_WORK.LT003_ENTITY</v>
      </c>
      <c r="F62" s="34" t="s">
        <v>371</v>
      </c>
      <c r="G62" s="34"/>
      <c r="H62" s="34" t="s">
        <v>92</v>
      </c>
      <c r="I62" s="34" t="str">
        <f>"(SELECT "&amp;VLOOKUP(B62,'0. Instruções'!$C$27:$G$32,4,FALSE)&amp;", "&amp;F62&amp;" FROM "&amp;D62&amp;" WHERE "&amp;'0. Instruções'!$D$42&amp;")X"</f>
        <v>(SELECT entty_id, CSH FROM CD_LOAN_TAPES_BCE.LT003_ENTITY WHERE ref_date='${ref_date}' AND nome_perimetro='Individual Corporativo' AND segmento='ESTR' AND ambito='PM' AND entidade='00100')X</v>
      </c>
      <c r="J62" s="34" t="str">
        <f>"(SELECT "&amp;VLOOKUP(B62,'0. Instruções'!$C$27:$G$32,4,FALSE)&amp;" AS "&amp;VLOOKUP(B62,'0. Instruções'!$C$27:$G$32,4,FALSE)&amp;"_SIMUL, "&amp;F62&amp;" AS "&amp;F62&amp;"_SIMUL FROM "&amp;E62&amp;" WHERE "&amp;'0. Instruções'!$D$43&amp;")Y"</f>
        <v>(SELECT entty_id AS entty_id_SIMUL, CSH AS CSH_SIMUL FROM BU_LOANTAPE_WORK.LT003_ENTITY WHERE ref_date='${ref_date}' AND nome_perimetro='Individual Corporativo' AND segmento='ESTR' AND ambito='PM' AND entidade='00100')Y</v>
      </c>
      <c r="K62" s="35" t="str">
        <f>+UPPER("ON X."&amp;VLOOKUP(B62,'0. Instruções'!$C$27:$G$32,4,FALSE)&amp;"=Y."&amp;VLOOKUP(B62,'0. Instruções'!$C$27:$G$32,4,FALSE)&amp;"_SIMUL")</f>
        <v>ON X.ENTTY_ID=Y.ENTTY_ID_SIMUL</v>
      </c>
      <c r="L62" s="35" t="str">
        <f>+IF(C62="Coerência", +IF(LEFT(G62,5)="FLOAT","SELECT '"&amp;UPPER(B62)&amp;"' AS TABELA, '"&amp;UPPER(C62)&amp;"' AS TIPOLOGIA_TESTE,'"&amp;D62&amp;"' AS TABELA_LT,'"&amp;E62&amp;"' AS TABELA_SIMUL,'"&amp;F62&amp;"' AS CAMPO, "&amp;"'${ref_date}' AS REF_DATE, COUNT(*) AS NUM_REG, SUM(IF((ABS(COALESCE(CAST(X."&amp;F62&amp;" AS DECIMAL(18,6)),0)-COALESCE(CAST(Y."&amp;F62&amp;"_SIMUL AS DECIMAL(18,6)),0))&gt;0.000001) OR (X."&amp;F62&amp;" IS NULL AND Y."&amp;F62&amp;"_SIMUL IS NOT NULL ) OR (X."&amp;F62&amp;" IS NOT NULL AND Y."&amp;F62&amp;"_SIMUL IS NULL),1,0)) AS NUM_REG_DIF,'"&amp;MAX('ID1&amp;5'!K:K)+1&amp;"' AS ID_EXEC, CURRENT_TIMESTAMP() AS TIME_EXEC FROM "&amp;I62&amp;" INNER JOIN "&amp;J62&amp;" "&amp;K62,"SELECT '"&amp;UPPER(B62)&amp;"' AS TABELA, '"&amp;UPPER(C62)&amp;"' AS TIPOLOGIA_TESTE,'"&amp;D62&amp;"' AS TABELA_LT,'"&amp;E62&amp;"' AS TABELA_SIMUL,'"&amp;F62&amp;"' AS CAMPO, "&amp;"'${ref_date}' AS REF_DATE, COUNT(*) AS NUM_REG, SUM(IF(COALESCE(CAST(X."&amp;F62&amp;" AS STRING),'')&lt;&gt;COALESCE(CAST(Y."&amp;F62&amp;"_SIMUL AS STRING),'') OR (X."&amp;F62&amp;" IS NULL AND Y."&amp;F62&amp;"_SIMUL IS NOT NULL ) OR (X."&amp;F62&amp;" IS NOT NULL AND Y."&amp;F62&amp;"_SIMUL IS NULL),1,0)) AS NUM_REG_DIF,'"&amp;MAX('ID1&amp;5'!L:L)+1&amp;"' AS ID_EXEC, CURRENT_TIMESTAMP() AS TIME_EXEC FROM "&amp;I62&amp;" INNER JOIN "&amp;J62&amp;" "&amp;K62),
IF(C62="Validade",+IF(G62="Code List","SELECT '"&amp;UPPER(B62)&amp;"' AS TABELA, '"&amp;UPPER(C62)&amp;"' AS TIPOLOGIA_TESTE,'"&amp;D62&amp;"' AS TABELA_LT,'N/A' AS TABELA_SIMUL,'"&amp;F62&amp;"' AS CAMPO, "&amp;"'${ref_date}' AS REF_DATE, COUNT(*) AS NUM_REG, SUM(IF(TRIM(CAST(X."&amp;F62&amp;" AS STRING))='' OR TRIM(CAST(X."&amp;F62&amp;" AS STRING)) IS NULL OR CAST(X."&amp;F62&amp;" AS STRING) NOT "&amp;H62&amp;",1,0)) AS NUM_REG_DIF,'"&amp;MAX('ID1&amp;5'!K:K)+1&amp;"' AS ID_EXEC, CURRENT_TIMESTAMP() AS TIME_EXEC FROM "&amp;I62,"SELECT '"&amp;UPPER(B62)&amp;"' AS TABELA, '"&amp;UPPER(C62)&amp;"' AS TIPOLOGIA_TESTE,'"&amp;D62&amp;"' AS TABELA_LT,'N/A' AS TABELA_SIMUL,'"&amp;F62&amp;"' AS CAMPO, "&amp;"'${ref_date}' AS REF_DATE, COUNT(*) AS NUM_REG, SUM(IF(TRIM(CAST(X."&amp;F62&amp;" AS STRING))='' OR TRIM(CAST(X."&amp;F62&amp;" AS STRING)) IS NULL,1,0)) AS NUM_REG_DIF,'"&amp;MAX('ID1&amp;5'!K:K)+1&amp;"' AS ID_EXEC, CURRENT_TIMESTAMP() AS TIME_EXEC FROM "&amp;I62),
IF(C62="Caracteres Especiais",+"SELECT '"&amp;UPPER(B62)&amp;"' AS TABELA, '"&amp;UPPER(C62)&amp;"' AS TIPOLOGIA_TESTE,'"&amp;D62&amp;"' AS TABELA_LT,'N/A' AS TABELA_SIMUL,'"&amp;F62&amp;"' AS CAMPO, "&amp;"'${ref_date}' AS REF_DATE, COUNT(*) AS NUM_REG, SUM(IF(REGEXP_REPLACE(TRIM(CAST(X."&amp;F62&amp;" AS STRING)),'[^a-zA-Z0-9_\\s]','') &lt;&gt;TRIM(CAST(X."&amp;F62&amp;" AS STRING)),1,0)) AS NUM_REG_DIF,'"&amp;MAX('ID1&amp;5'!K:K)+1&amp;"' AS ID_EXEC, CURRENT_TIMESTAMP() AS TIME_EXEC FROM "&amp;I62,
IF(C62="Missings",+"SELECT '"&amp;UPPER(B62)&amp;"' AS TABELA, '"&amp;UPPER(C62)&amp;"' AS TIPOLOGIA_TESTE,'"&amp;D62&amp;"' AS TABELA_LT,'N/A' AS TABELA_SIMUL,'"&amp;F62&amp;"' AS CAMPO, "&amp;"'${ref_date}' AS REF_DATE, COUNT(*) AS NUM_REG, SUM(IF(TRIM(CAST(X."&amp;F62&amp;" AS STRING)) IN ('0000-00-00','0001-01-01','9999-12-31','MISS','00000','99999999999','99999999999.00','99999999999.000000'),1,0)) AS NUM_REG_DIF,'"&amp;MAX('ID1&amp;5'!K:K)+1&amp;"' AS ID_EXEC, CURRENT_TIMESTAMP() AS TIME_EXEC FROM "&amp;I62,
IF(C62="Not applicable",+"SELECT '"&amp;UPPER(B62)&amp;"' AS TABELA, '"&amp;UPPER(C62)&amp;"' AS TIPOLOGIA_TESTE,'"&amp;D62&amp;"' AS TABELA_LT,'N/A' AS TABELA_SIMUL,'"&amp;F62&amp;"' AS CAMPO, "&amp;"'${ref_date}' AS REF_DATE, COUNT(*) AS NUM_REG, SUM(IF(TRIM(CAST(X."&amp;F62&amp;" AS STRING)) IN ('N/A','11111111111','11111111111.00','11111111111.000000','1111-11-11'),1,0)) AS NUM_REG_DIF,'"&amp;MAX('ID1&amp;5'!K:K)+1&amp;"' AS ID_EXEC, CURRENT_TIMESTAMP() AS TIME_EXEC FROM "&amp;I62,
IF(C62="Valores extremos",+"SELECT '"&amp;UPPER(B62)&amp;"' AS TABELA, '"&amp;UPPER(C62)&amp;"' AS TIPOLOGIA_TESTE,'"&amp;D62&amp;"' AS TABELA_LT,'N/A' AS TABELA_SIMUL,'"&amp;F62&amp;"' AS CAMPO, "&amp;"'${ref_date}' AS REF_DATE, CAST(MIN("&amp;F62&amp;") AS STRING) AS VALOR_MIN, CAST(MAX("&amp;F62&amp;") AS STRING) AS VALOR_MAX,'"&amp;MAX('ID1&amp;5'!K:K)+1&amp;"' AS ID_EXEC, CURRENT_TIMESTAMP() AS TIME_EXEC FROM "&amp;MID(I62,1,LEN(I62)-2)&amp;" AND CAST("&amp;F62&amp;"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TABELA_SIMUL,'CSH' AS CAMPO, '${ref_date}' AS REF_DATE, COUNT(*) AS NUM_REG, SUM(IF(COALESCE(CAST(X.CSH AS STRING),'')&lt;&gt;COALESCE(CAST(Y.CSH_SIMUL AS STRING),'') OR (X.CSH IS NULL AND Y.CSH_SIMUL IS NOT NULL ) OR (X.CSH IS NOT NULL AND Y.CSH_SIMUL IS NULL),1,0)) AS NUM_REG_DIF,'1' AS ID_EXEC, CURRENT_TIMESTAMP() AS TIME_EXEC FROM (SELECT entty_id, CSH FROM CD_LOAN_TAPES_BCE.LT003_ENTITY WHERE ref_date='${ref_date}' AND nome_perimetro='Individual Corporativo' AND segmento='ESTR' AND ambito='PM' AND entidade='00100')X INNER JOIN (SELECT entty_id AS entty_id_SIMUL, CSH AS CSH_SIMUL FROM BU_LOANTAPE_WORK.LT003_ENTITY WHERE ref_date='${ref_date}' AND nome_perimetro='Individual Corporativo' AND segmento='ESTR' AND ambito='PM' AND entidade='00100')Y ON X.ENTTY_ID=Y.ENTTY_ID_SIMUL</v>
      </c>
      <c r="M62" s="36" t="str">
        <f t="shared" si="1"/>
        <v>UNION ALL SELECT 'ENTITY' AS TABELA, 'COERÊNCIA' AS TIPOLOGIA_TESTE,'CD_LOAN_TAPES_BCE.LT003_ENTITY' AS TABELA_LT,'BU_LOANTAPE_WORK.LT003_ENTITY' AS TABELA_SIMUL,'CSH' AS CAMPO, '${ref_date}' AS REF_DATE, COUNT(*) AS NUM_REG, SUM(IF(COALESCE(CAST(X.CSH AS STRING),'')&lt;&gt;COALESCE(CAST(Y.CSH_SIMUL AS STRING),'') OR (X.CSH IS NULL AND Y.CSH_SIMUL IS NOT NULL ) OR (X.CSH IS NOT NULL AND Y.CSH_SIMUL IS NULL),1,0)) AS NUM_REG_DIF,'1' AS ID_EXEC, CURRENT_TIMESTAMP() AS TIME_EXEC FROM (SELECT entty_id, CSH FROM CD_LOAN_TAPES_BCE.LT003_ENTITY WHERE ref_date='${ref_date}' AND nome_perimetro='Individual Corporativo' AND segmento='ESTR' AND ambito='PM' AND entidade='00100')X INNER JOIN (SELECT entty_id AS entty_id_SIMUL, CSH AS CSH_SIMUL FROM BU_LOANTAPE_WORK.LT003_ENTITY WHERE ref_date='${ref_date}' AND nome_perimetro='Individual Corporativo' AND segmento='ESTR' AND ambito='PM' AND entidade='00100')Y ON X.ENTTY_ID=Y.ENTTY_ID_SIMUL</v>
      </c>
      <c r="N62" s="38" t="s">
        <v>46</v>
      </c>
    </row>
    <row r="63" spans="2:14">
      <c r="B63" s="34" t="s">
        <v>127</v>
      </c>
      <c r="C63" s="34" t="s">
        <v>5</v>
      </c>
      <c r="D63" s="34" t="str">
        <f>+UPPER('0. Instruções'!$D$35&amp;"."&amp;VLOOKUP(B63,'0. Instruções'!$C$27:$D$32,2,FALSE))</f>
        <v>CD_LOAN_TAPES_BCE.LT003_ENTITY</v>
      </c>
      <c r="E63" s="34" t="str">
        <f>+UPPER('0. Instruções'!$D$36&amp;"."&amp;VLOOKUP(B63,'0. Instruções'!$C$27:$E$32,3,FALSE))</f>
        <v>BU_LOANTAPE_WORK.LT003_ENTITY</v>
      </c>
      <c r="F63" s="34" t="s">
        <v>372</v>
      </c>
      <c r="G63" s="34"/>
      <c r="H63" s="34" t="s">
        <v>92</v>
      </c>
      <c r="I63" s="34" t="str">
        <f>"(SELECT "&amp;VLOOKUP(B63,'0. Instruções'!$C$27:$G$32,4,FALSE)&amp;", "&amp;F63&amp;" FROM "&amp;D63&amp;" WHERE "&amp;'0. Instruções'!$D$42&amp;")X"</f>
        <v>(SELECT entty_id, CSH_PRVS FROM CD_LOAN_TAPES_BCE.LT003_ENTITY WHERE ref_date='${ref_date}' AND nome_perimetro='Individual Corporativo' AND segmento='ESTR' AND ambito='PM' AND entidade='00100')X</v>
      </c>
      <c r="J63" s="34" t="str">
        <f>"(SELECT "&amp;VLOOKUP(B63,'0. Instruções'!$C$27:$G$32,4,FALSE)&amp;" AS "&amp;VLOOKUP(B63,'0. Instruções'!$C$27:$G$32,4,FALSE)&amp;"_SIMUL, "&amp;F63&amp;" AS "&amp;F63&amp;"_SIMUL FROM "&amp;E63&amp;" WHERE "&amp;'0. Instruções'!$D$43&amp;")Y"</f>
        <v>(SELECT entty_id AS entty_id_SIMUL, CSH_PRVS AS CSH_PRVS_SIMUL FROM BU_LOANTAPE_WORK.LT003_ENTITY WHERE ref_date='${ref_date}' AND nome_perimetro='Individual Corporativo' AND segmento='ESTR' AND ambito='PM' AND entidade='00100')Y</v>
      </c>
      <c r="K63" s="35" t="str">
        <f>+UPPER("ON X."&amp;VLOOKUP(B63,'0. Instruções'!$C$27:$G$32,4,FALSE)&amp;"=Y."&amp;VLOOKUP(B63,'0. Instruções'!$C$27:$G$32,4,FALSE)&amp;"_SIMUL")</f>
        <v>ON X.ENTTY_ID=Y.ENTTY_ID_SIMUL</v>
      </c>
      <c r="L63" s="35" t="str">
        <f>+IF(C63="Coerência", +IF(LEFT(G63,5)="FLOAT","SELECT '"&amp;UPPER(B63)&amp;"' AS TABELA, '"&amp;UPPER(C63)&amp;"' AS TIPOLOGIA_TESTE,'"&amp;D63&amp;"' AS TABELA_LT,'"&amp;E63&amp;"' AS TABELA_SIMUL,'"&amp;F63&amp;"' AS CAMPO, "&amp;"'${ref_date}' AS REF_DATE, COUNT(*) AS NUM_REG, SUM(IF((ABS(COALESCE(CAST(X."&amp;F63&amp;" AS DECIMAL(18,6)),0)-COALESCE(CAST(Y."&amp;F63&amp;"_SIMUL AS DECIMAL(18,6)),0))&gt;0.000001) OR (X."&amp;F63&amp;" IS NULL AND Y."&amp;F63&amp;"_SIMUL IS NOT NULL ) OR (X."&amp;F63&amp;" IS NOT NULL AND Y."&amp;F63&amp;"_SIMUL IS NULL),1,0)) AS NUM_REG_DIF,'"&amp;MAX('ID1&amp;5'!K:K)+1&amp;"' AS ID_EXEC, CURRENT_TIMESTAMP() AS TIME_EXEC FROM "&amp;I63&amp;" INNER JOIN "&amp;J63&amp;" "&amp;K63,"SELECT '"&amp;UPPER(B63)&amp;"' AS TABELA, '"&amp;UPPER(C63)&amp;"' AS TIPOLOGIA_TESTE,'"&amp;D63&amp;"' AS TABELA_LT,'"&amp;E63&amp;"' AS TABELA_SIMUL,'"&amp;F63&amp;"' AS CAMPO, "&amp;"'${ref_date}' AS REF_DATE, COUNT(*) AS NUM_REG, SUM(IF(COALESCE(CAST(X."&amp;F63&amp;" AS STRING),'')&lt;&gt;COALESCE(CAST(Y."&amp;F63&amp;"_SIMUL AS STRING),'') OR (X."&amp;F63&amp;" IS NULL AND Y."&amp;F63&amp;"_SIMUL IS NOT NULL ) OR (X."&amp;F63&amp;" IS NOT NULL AND Y."&amp;F63&amp;"_SIMUL IS NULL),1,0)) AS NUM_REG_DIF,'"&amp;MAX('ID1&amp;5'!L:L)+1&amp;"' AS ID_EXEC, CURRENT_TIMESTAMP() AS TIME_EXEC FROM "&amp;I63&amp;" INNER JOIN "&amp;J63&amp;" "&amp;K63),
IF(C63="Validade",+IF(G63="Code List","SELECT '"&amp;UPPER(B63)&amp;"' AS TABELA, '"&amp;UPPER(C63)&amp;"' AS TIPOLOGIA_TESTE,'"&amp;D63&amp;"' AS TABELA_LT,'N/A' AS TABELA_SIMUL,'"&amp;F63&amp;"' AS CAMPO, "&amp;"'${ref_date}' AS REF_DATE, COUNT(*) AS NUM_REG, SUM(IF(TRIM(CAST(X."&amp;F63&amp;" AS STRING))='' OR TRIM(CAST(X."&amp;F63&amp;" AS STRING)) IS NULL OR CAST(X."&amp;F63&amp;" AS STRING) NOT "&amp;H63&amp;",1,0)) AS NUM_REG_DIF,'"&amp;MAX('ID1&amp;5'!K:K)+1&amp;"' AS ID_EXEC, CURRENT_TIMESTAMP() AS TIME_EXEC FROM "&amp;I63,"SELECT '"&amp;UPPER(B63)&amp;"' AS TABELA, '"&amp;UPPER(C63)&amp;"' AS TIPOLOGIA_TESTE,'"&amp;D63&amp;"' AS TABELA_LT,'N/A' AS TABELA_SIMUL,'"&amp;F63&amp;"' AS CAMPO, "&amp;"'${ref_date}' AS REF_DATE, COUNT(*) AS NUM_REG, SUM(IF(TRIM(CAST(X."&amp;F63&amp;" AS STRING))='' OR TRIM(CAST(X."&amp;F63&amp;" AS STRING)) IS NULL,1,0)) AS NUM_REG_DIF,'"&amp;MAX('ID1&amp;5'!K:K)+1&amp;"' AS ID_EXEC, CURRENT_TIMESTAMP() AS TIME_EXEC FROM "&amp;I63),
IF(C63="Caracteres Especiais",+"SELECT '"&amp;UPPER(B63)&amp;"' AS TABELA, '"&amp;UPPER(C63)&amp;"' AS TIPOLOGIA_TESTE,'"&amp;D63&amp;"' AS TABELA_LT,'N/A' AS TABELA_SIMUL,'"&amp;F63&amp;"' AS CAMPO, "&amp;"'${ref_date}' AS REF_DATE, COUNT(*) AS NUM_REG, SUM(IF(REGEXP_REPLACE(TRIM(CAST(X."&amp;F63&amp;" AS STRING)),'[^a-zA-Z0-9_\\s]','') &lt;&gt;TRIM(CAST(X."&amp;F63&amp;" AS STRING)),1,0)) AS NUM_REG_DIF,'"&amp;MAX('ID1&amp;5'!K:K)+1&amp;"' AS ID_EXEC, CURRENT_TIMESTAMP() AS TIME_EXEC FROM "&amp;I63,
IF(C63="Missings",+"SELECT '"&amp;UPPER(B63)&amp;"' AS TABELA, '"&amp;UPPER(C63)&amp;"' AS TIPOLOGIA_TESTE,'"&amp;D63&amp;"' AS TABELA_LT,'N/A' AS TABELA_SIMUL,'"&amp;F63&amp;"' AS CAMPO, "&amp;"'${ref_date}' AS REF_DATE, COUNT(*) AS NUM_REG, SUM(IF(TRIM(CAST(X."&amp;F63&amp;" AS STRING)) IN ('0000-00-00','0001-01-01','9999-12-31','MISS','00000','99999999999','99999999999.00','99999999999.000000'),1,0)) AS NUM_REG_DIF,'"&amp;MAX('ID1&amp;5'!K:K)+1&amp;"' AS ID_EXEC, CURRENT_TIMESTAMP() AS TIME_EXEC FROM "&amp;I63,
IF(C63="Not applicable",+"SELECT '"&amp;UPPER(B63)&amp;"' AS TABELA, '"&amp;UPPER(C63)&amp;"' AS TIPOLOGIA_TESTE,'"&amp;D63&amp;"' AS TABELA_LT,'N/A' AS TABELA_SIMUL,'"&amp;F63&amp;"' AS CAMPO, "&amp;"'${ref_date}' AS REF_DATE, COUNT(*) AS NUM_REG, SUM(IF(TRIM(CAST(X."&amp;F63&amp;" AS STRING)) IN ('N/A','11111111111','11111111111.00','11111111111.000000','1111-11-11'),1,0)) AS NUM_REG_DIF,'"&amp;MAX('ID1&amp;5'!K:K)+1&amp;"' AS ID_EXEC, CURRENT_TIMESTAMP() AS TIME_EXEC FROM "&amp;I63,
IF(C63="Valores extremos",+"SELECT '"&amp;UPPER(B63)&amp;"' AS TABELA, '"&amp;UPPER(C63)&amp;"' AS TIPOLOGIA_TESTE,'"&amp;D63&amp;"' AS TABELA_LT,'N/A' AS TABELA_SIMUL,'"&amp;F63&amp;"' AS CAMPO, "&amp;"'${ref_date}' AS REF_DATE, CAST(MIN("&amp;F63&amp;") AS STRING) AS VALOR_MIN, CAST(MAX("&amp;F63&amp;") AS STRING) AS VALOR_MAX,'"&amp;MAX('ID1&amp;5'!K:K)+1&amp;"' AS ID_EXEC, CURRENT_TIMESTAMP() AS TIME_EXEC FROM "&amp;MID(I63,1,LEN(I63)-2)&amp;" AND CAST("&amp;F63&amp;"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TABELA_SIMUL,'CSH_PRVS' AS CAMPO, '${ref_date}' AS REF_DATE, COUNT(*) AS NUM_REG, SUM(IF(COALESCE(CAST(X.CSH_PRVS AS STRING),'')&lt;&gt;COALESCE(CAST(Y.CSH_PRVS_SIMUL AS STRING),'') OR (X.CSH_PRVS IS NULL AND Y.CSH_PRVS_SIMUL IS NOT NULL ) OR (X.CSH_PRVS IS NOT NULL AND Y.CSH_PRVS_SIMUL IS NULL),1,0)) AS NUM_REG_DIF,'1' AS ID_EXEC, CURRENT_TIMESTAMP() AS TIME_EXEC FROM (SELECT entty_id, CSH_PRVS FROM CD_LOAN_TAPES_BCE.LT003_ENTITY WHERE ref_date='${ref_date}' AND nome_perimetro='Individual Corporativo' AND segmento='ESTR' AND ambito='PM' AND entidade='00100')X INNER JOIN (SELECT entty_id AS entty_id_SIMUL, CSH_PRVS AS CSH_PRVS_SIMUL FROM BU_LOANTAPE_WORK.LT003_ENTITY WHERE ref_date='${ref_date}' AND nome_perimetro='Individual Corporativo' AND segmento='ESTR' AND ambito='PM' AND entidade='00100')Y ON X.ENTTY_ID=Y.ENTTY_ID_SIMUL</v>
      </c>
      <c r="M63" s="36" t="str">
        <f t="shared" si="1"/>
        <v>UNION ALL SELECT 'ENTITY' AS TABELA, 'COERÊNCIA' AS TIPOLOGIA_TESTE,'CD_LOAN_TAPES_BCE.LT003_ENTITY' AS TABELA_LT,'BU_LOANTAPE_WORK.LT003_ENTITY' AS TABELA_SIMUL,'CSH_PRVS' AS CAMPO, '${ref_date}' AS REF_DATE, COUNT(*) AS NUM_REG, SUM(IF(COALESCE(CAST(X.CSH_PRVS AS STRING),'')&lt;&gt;COALESCE(CAST(Y.CSH_PRVS_SIMUL AS STRING),'') OR (X.CSH_PRVS IS NULL AND Y.CSH_PRVS_SIMUL IS NOT NULL ) OR (X.CSH_PRVS IS NOT NULL AND Y.CSH_PRVS_SIMUL IS NULL),1,0)) AS NUM_REG_DIF,'1' AS ID_EXEC, CURRENT_TIMESTAMP() AS TIME_EXEC FROM (SELECT entty_id, CSH_PRVS FROM CD_LOAN_TAPES_BCE.LT003_ENTITY WHERE ref_date='${ref_date}' AND nome_perimetro='Individual Corporativo' AND segmento='ESTR' AND ambito='PM' AND entidade='00100')X INNER JOIN (SELECT entty_id AS entty_id_SIMUL, CSH_PRVS AS CSH_PRVS_SIMUL FROM BU_LOANTAPE_WORK.LT003_ENTITY WHERE ref_date='${ref_date}' AND nome_perimetro='Individual Corporativo' AND segmento='ESTR' AND ambito='PM' AND entidade='00100')Y ON X.ENTTY_ID=Y.ENTTY_ID_SIMUL</v>
      </c>
      <c r="N63" s="38" t="s">
        <v>46</v>
      </c>
    </row>
    <row r="64" spans="2:14">
      <c r="B64" s="34" t="s">
        <v>127</v>
      </c>
      <c r="C64" s="34" t="s">
        <v>5</v>
      </c>
      <c r="D64" s="34" t="str">
        <f>+UPPER('0. Instruções'!$D$35&amp;"."&amp;VLOOKUP(B64,'0. Instruções'!$C$27:$D$32,2,FALSE))</f>
        <v>CD_LOAN_TAPES_BCE.LT003_ENTITY</v>
      </c>
      <c r="E64" s="34" t="str">
        <f>+UPPER('0. Instruções'!$D$36&amp;"."&amp;VLOOKUP(B64,'0. Instruções'!$C$27:$E$32,3,FALSE))</f>
        <v>BU_LOANTAPE_WORK.LT003_ENTITY</v>
      </c>
      <c r="F64" s="34" t="s">
        <v>373</v>
      </c>
      <c r="G64" s="34"/>
      <c r="H64" s="34" t="s">
        <v>92</v>
      </c>
      <c r="I64" s="34" t="str">
        <f>"(SELECT "&amp;VLOOKUP(B64,'0. Instruções'!$C$27:$G$32,4,FALSE)&amp;", "&amp;F64&amp;" FROM "&amp;D64&amp;" WHERE "&amp;'0. Instruções'!$D$42&amp;")X"</f>
        <v>(SELECT entty_id, EBITDA FROM CD_LOAN_TAPES_BCE.LT003_ENTITY WHERE ref_date='${ref_date}' AND nome_perimetro='Individual Corporativo' AND segmento='ESTR' AND ambito='PM' AND entidade='00100')X</v>
      </c>
      <c r="J64" s="34" t="str">
        <f>"(SELECT "&amp;VLOOKUP(B64,'0. Instruções'!$C$27:$G$32,4,FALSE)&amp;" AS "&amp;VLOOKUP(B64,'0. Instruções'!$C$27:$G$32,4,FALSE)&amp;"_SIMUL, "&amp;F64&amp;" AS "&amp;F64&amp;"_SIMUL FROM "&amp;E64&amp;" WHERE "&amp;'0. Instruções'!$D$43&amp;")Y"</f>
        <v>(SELECT entty_id AS entty_id_SIMUL, EBITDA AS EBITDA_SIMUL FROM BU_LOANTAPE_WORK.LT003_ENTITY WHERE ref_date='${ref_date}' AND nome_perimetro='Individual Corporativo' AND segmento='ESTR' AND ambito='PM' AND entidade='00100')Y</v>
      </c>
      <c r="K64" s="35" t="str">
        <f>+UPPER("ON X."&amp;VLOOKUP(B64,'0. Instruções'!$C$27:$G$32,4,FALSE)&amp;"=Y."&amp;VLOOKUP(B64,'0. Instruções'!$C$27:$G$32,4,FALSE)&amp;"_SIMUL")</f>
        <v>ON X.ENTTY_ID=Y.ENTTY_ID_SIMUL</v>
      </c>
      <c r="L64" s="35" t="str">
        <f>+IF(C64="Coerência", +IF(LEFT(G64,5)="FLOAT","SELECT '"&amp;UPPER(B64)&amp;"' AS TABELA, '"&amp;UPPER(C64)&amp;"' AS TIPOLOGIA_TESTE,'"&amp;D64&amp;"' AS TABELA_LT,'"&amp;E64&amp;"' AS TABELA_SIMUL,'"&amp;F64&amp;"' AS CAMPO, "&amp;"'${ref_date}' AS REF_DATE, COUNT(*) AS NUM_REG, SUM(IF((ABS(COALESCE(CAST(X."&amp;F64&amp;" AS DECIMAL(18,6)),0)-COALESCE(CAST(Y."&amp;F64&amp;"_SIMUL AS DECIMAL(18,6)),0))&gt;0.000001) OR (X."&amp;F64&amp;" IS NULL AND Y."&amp;F64&amp;"_SIMUL IS NOT NULL ) OR (X."&amp;F64&amp;" IS NOT NULL AND Y."&amp;F64&amp;"_SIMUL IS NULL),1,0)) AS NUM_REG_DIF,'"&amp;MAX('ID1&amp;5'!K:K)+1&amp;"' AS ID_EXEC, CURRENT_TIMESTAMP() AS TIME_EXEC FROM "&amp;I64&amp;" INNER JOIN "&amp;J64&amp;" "&amp;K64,"SELECT '"&amp;UPPER(B64)&amp;"' AS TABELA, '"&amp;UPPER(C64)&amp;"' AS TIPOLOGIA_TESTE,'"&amp;D64&amp;"' AS TABELA_LT,'"&amp;E64&amp;"' AS TABELA_SIMUL,'"&amp;F64&amp;"' AS CAMPO, "&amp;"'${ref_date}' AS REF_DATE, COUNT(*) AS NUM_REG, SUM(IF(COALESCE(CAST(X."&amp;F64&amp;" AS STRING),'')&lt;&gt;COALESCE(CAST(Y."&amp;F64&amp;"_SIMUL AS STRING),'') OR (X."&amp;F64&amp;" IS NULL AND Y."&amp;F64&amp;"_SIMUL IS NOT NULL ) OR (X."&amp;F64&amp;" IS NOT NULL AND Y."&amp;F64&amp;"_SIMUL IS NULL),1,0)) AS NUM_REG_DIF,'"&amp;MAX('ID1&amp;5'!L:L)+1&amp;"' AS ID_EXEC, CURRENT_TIMESTAMP() AS TIME_EXEC FROM "&amp;I64&amp;" INNER JOIN "&amp;J64&amp;" "&amp;K64),
IF(C64="Validade",+IF(G64="Code List","SELECT '"&amp;UPPER(B64)&amp;"' AS TABELA, '"&amp;UPPER(C64)&amp;"' AS TIPOLOGIA_TESTE,'"&amp;D64&amp;"' AS TABELA_LT,'N/A' AS TABELA_SIMUL,'"&amp;F64&amp;"' AS CAMPO, "&amp;"'${ref_date}' AS REF_DATE, COUNT(*) AS NUM_REG, SUM(IF(TRIM(CAST(X."&amp;F64&amp;" AS STRING))='' OR TRIM(CAST(X."&amp;F64&amp;" AS STRING)) IS NULL OR CAST(X."&amp;F64&amp;" AS STRING) NOT "&amp;H64&amp;",1,0)) AS NUM_REG_DIF,'"&amp;MAX('ID1&amp;5'!K:K)+1&amp;"' AS ID_EXEC, CURRENT_TIMESTAMP() AS TIME_EXEC FROM "&amp;I64,"SELECT '"&amp;UPPER(B64)&amp;"' AS TABELA, '"&amp;UPPER(C64)&amp;"' AS TIPOLOGIA_TESTE,'"&amp;D64&amp;"' AS TABELA_LT,'N/A' AS TABELA_SIMUL,'"&amp;F64&amp;"' AS CAMPO, "&amp;"'${ref_date}' AS REF_DATE, COUNT(*) AS NUM_REG, SUM(IF(TRIM(CAST(X."&amp;F64&amp;" AS STRING))='' OR TRIM(CAST(X."&amp;F64&amp;" AS STRING)) IS NULL,1,0)) AS NUM_REG_DIF,'"&amp;MAX('ID1&amp;5'!K:K)+1&amp;"' AS ID_EXEC, CURRENT_TIMESTAMP() AS TIME_EXEC FROM "&amp;I64),
IF(C64="Caracteres Especiais",+"SELECT '"&amp;UPPER(B64)&amp;"' AS TABELA, '"&amp;UPPER(C64)&amp;"' AS TIPOLOGIA_TESTE,'"&amp;D64&amp;"' AS TABELA_LT,'N/A' AS TABELA_SIMUL,'"&amp;F64&amp;"' AS CAMPO, "&amp;"'${ref_date}' AS REF_DATE, COUNT(*) AS NUM_REG, SUM(IF(REGEXP_REPLACE(TRIM(CAST(X."&amp;F64&amp;" AS STRING)),'[^a-zA-Z0-9_\\s]','') &lt;&gt;TRIM(CAST(X."&amp;F64&amp;" AS STRING)),1,0)) AS NUM_REG_DIF,'"&amp;MAX('ID1&amp;5'!K:K)+1&amp;"' AS ID_EXEC, CURRENT_TIMESTAMP() AS TIME_EXEC FROM "&amp;I64,
IF(C64="Missings",+"SELECT '"&amp;UPPER(B64)&amp;"' AS TABELA, '"&amp;UPPER(C64)&amp;"' AS TIPOLOGIA_TESTE,'"&amp;D64&amp;"' AS TABELA_LT,'N/A' AS TABELA_SIMUL,'"&amp;F64&amp;"' AS CAMPO, "&amp;"'${ref_date}' AS REF_DATE, COUNT(*) AS NUM_REG, SUM(IF(TRIM(CAST(X."&amp;F64&amp;" AS STRING)) IN ('0000-00-00','0001-01-01','9999-12-31','MISS','00000','99999999999','99999999999.00','99999999999.000000'),1,0)) AS NUM_REG_DIF,'"&amp;MAX('ID1&amp;5'!K:K)+1&amp;"' AS ID_EXEC, CURRENT_TIMESTAMP() AS TIME_EXEC FROM "&amp;I64,
IF(C64="Not applicable",+"SELECT '"&amp;UPPER(B64)&amp;"' AS TABELA, '"&amp;UPPER(C64)&amp;"' AS TIPOLOGIA_TESTE,'"&amp;D64&amp;"' AS TABELA_LT,'N/A' AS TABELA_SIMUL,'"&amp;F64&amp;"' AS CAMPO, "&amp;"'${ref_date}' AS REF_DATE, COUNT(*) AS NUM_REG, SUM(IF(TRIM(CAST(X."&amp;F64&amp;" AS STRING)) IN ('N/A','11111111111','11111111111.00','11111111111.000000','1111-11-11'),1,0)) AS NUM_REG_DIF,'"&amp;MAX('ID1&amp;5'!K:K)+1&amp;"' AS ID_EXEC, CURRENT_TIMESTAMP() AS TIME_EXEC FROM "&amp;I64,
IF(C64="Valores extremos",+"SELECT '"&amp;UPPER(B64)&amp;"' AS TABELA, '"&amp;UPPER(C64)&amp;"' AS TIPOLOGIA_TESTE,'"&amp;D64&amp;"' AS TABELA_LT,'N/A' AS TABELA_SIMUL,'"&amp;F64&amp;"' AS CAMPO, "&amp;"'${ref_date}' AS REF_DATE, CAST(MIN("&amp;F64&amp;") AS STRING) AS VALOR_MIN, CAST(MAX("&amp;F64&amp;") AS STRING) AS VALOR_MAX,'"&amp;MAX('ID1&amp;5'!K:K)+1&amp;"' AS ID_EXEC, CURRENT_TIMESTAMP() AS TIME_EXEC FROM "&amp;MID(I64,1,LEN(I64)-2)&amp;" AND CAST("&amp;F64&amp;"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TABELA_SIMUL,'EBITDA' AS CAMPO, '${ref_date}' AS REF_DATE, COUNT(*) AS NUM_REG, SUM(IF(COALESCE(CAST(X.EBITDA AS STRING),'')&lt;&gt;COALESCE(CAST(Y.EBITDA_SIMUL AS STRING),'') OR (X.EBITDA IS NULL AND Y.EBITDA_SIMUL IS NOT NULL ) OR (X.EBITDA IS NOT NULL AND Y.EBITDA_SIMUL IS NULL),1,0)) AS NUM_REG_DIF,'1' AS ID_EXEC, CURRENT_TIMESTAMP() AS TIME_EXEC FROM (SELECT entty_id, EBITDA FROM CD_LOAN_TAPES_BCE.LT003_ENTITY WHERE ref_date='${ref_date}' AND nome_perimetro='Individual Corporativo' AND segmento='ESTR' AND ambito='PM' AND entidade='00100')X INNER JOIN (SELECT entty_id AS entty_id_SIMUL, EBITDA AS EBITDA_SIMUL FROM BU_LOANTAPE_WORK.LT003_ENTITY WHERE ref_date='${ref_date}' AND nome_perimetro='Individual Corporativo' AND segmento='ESTR' AND ambito='PM' AND entidade='00100')Y ON X.ENTTY_ID=Y.ENTTY_ID_SIMUL</v>
      </c>
      <c r="M64" s="36" t="str">
        <f t="shared" si="1"/>
        <v>UNION ALL SELECT 'ENTITY' AS TABELA, 'COERÊNCIA' AS TIPOLOGIA_TESTE,'CD_LOAN_TAPES_BCE.LT003_ENTITY' AS TABELA_LT,'BU_LOANTAPE_WORK.LT003_ENTITY' AS TABELA_SIMUL,'EBITDA' AS CAMPO, '${ref_date}' AS REF_DATE, COUNT(*) AS NUM_REG, SUM(IF(COALESCE(CAST(X.EBITDA AS STRING),'')&lt;&gt;COALESCE(CAST(Y.EBITDA_SIMUL AS STRING),'') OR (X.EBITDA IS NULL AND Y.EBITDA_SIMUL IS NOT NULL ) OR (X.EBITDA IS NOT NULL AND Y.EBITDA_SIMUL IS NULL),1,0)) AS NUM_REG_DIF,'1' AS ID_EXEC, CURRENT_TIMESTAMP() AS TIME_EXEC FROM (SELECT entty_id, EBITDA FROM CD_LOAN_TAPES_BCE.LT003_ENTITY WHERE ref_date='${ref_date}' AND nome_perimetro='Individual Corporativo' AND segmento='ESTR' AND ambito='PM' AND entidade='00100')X INNER JOIN (SELECT entty_id AS entty_id_SIMUL, EBITDA AS EBITDA_SIMUL FROM BU_LOANTAPE_WORK.LT003_ENTITY WHERE ref_date='${ref_date}' AND nome_perimetro='Individual Corporativo' AND segmento='ESTR' AND ambito='PM' AND entidade='00100')Y ON X.ENTTY_ID=Y.ENTTY_ID_SIMUL</v>
      </c>
      <c r="N64" s="38" t="s">
        <v>46</v>
      </c>
    </row>
    <row r="65" spans="2:14">
      <c r="B65" s="34" t="s">
        <v>127</v>
      </c>
      <c r="C65" s="34" t="s">
        <v>5</v>
      </c>
      <c r="D65" s="34" t="str">
        <f>+UPPER('0. Instruções'!$D$35&amp;"."&amp;VLOOKUP(B65,'0. Instruções'!$C$27:$D$32,2,FALSE))</f>
        <v>CD_LOAN_TAPES_BCE.LT003_ENTITY</v>
      </c>
      <c r="E65" s="34" t="str">
        <f>+UPPER('0. Instruções'!$D$36&amp;"."&amp;VLOOKUP(B65,'0. Instruções'!$C$27:$E$32,3,FALSE))</f>
        <v>BU_LOANTAPE_WORK.LT003_ENTITY</v>
      </c>
      <c r="F65" s="34" t="s">
        <v>374</v>
      </c>
      <c r="G65" s="34"/>
      <c r="H65" s="34" t="s">
        <v>92</v>
      </c>
      <c r="I65" s="34" t="str">
        <f>"(SELECT "&amp;VLOOKUP(B65,'0. Instruções'!$C$27:$G$32,4,FALSE)&amp;", "&amp;F65&amp;" FROM "&amp;D65&amp;" WHERE "&amp;'0. Instruções'!$D$42&amp;")X"</f>
        <v>(SELECT entty_id, EBITDA_PRVS FROM CD_LOAN_TAPES_BCE.LT003_ENTITY WHERE ref_date='${ref_date}' AND nome_perimetro='Individual Corporativo' AND segmento='ESTR' AND ambito='PM' AND entidade='00100')X</v>
      </c>
      <c r="J65" s="34" t="str">
        <f>"(SELECT "&amp;VLOOKUP(B65,'0. Instruções'!$C$27:$G$32,4,FALSE)&amp;" AS "&amp;VLOOKUP(B65,'0. Instruções'!$C$27:$G$32,4,FALSE)&amp;"_SIMUL, "&amp;F65&amp;" AS "&amp;F65&amp;"_SIMUL FROM "&amp;E65&amp;" WHERE "&amp;'0. Instruções'!$D$43&amp;")Y"</f>
        <v>(SELECT entty_id AS entty_id_SIMUL, EBITDA_PRVS AS EBITDA_PRVS_SIMUL FROM BU_LOANTAPE_WORK.LT003_ENTITY WHERE ref_date='${ref_date}' AND nome_perimetro='Individual Corporativo' AND segmento='ESTR' AND ambito='PM' AND entidade='00100')Y</v>
      </c>
      <c r="K65" s="35" t="str">
        <f>+UPPER("ON X."&amp;VLOOKUP(B65,'0. Instruções'!$C$27:$G$32,4,FALSE)&amp;"=Y."&amp;VLOOKUP(B65,'0. Instruções'!$C$27:$G$32,4,FALSE)&amp;"_SIMUL")</f>
        <v>ON X.ENTTY_ID=Y.ENTTY_ID_SIMUL</v>
      </c>
      <c r="L65" s="35" t="str">
        <f>+IF(C65="Coerência", +IF(LEFT(G65,5)="FLOAT","SELECT '"&amp;UPPER(B65)&amp;"' AS TABELA, '"&amp;UPPER(C65)&amp;"' AS TIPOLOGIA_TESTE,'"&amp;D65&amp;"' AS TABELA_LT,'"&amp;E65&amp;"' AS TABELA_SIMUL,'"&amp;F65&amp;"' AS CAMPO, "&amp;"'${ref_date}' AS REF_DATE, COUNT(*) AS NUM_REG, SUM(IF((ABS(COALESCE(CAST(X."&amp;F65&amp;" AS DECIMAL(18,6)),0)-COALESCE(CAST(Y."&amp;F65&amp;"_SIMUL AS DECIMAL(18,6)),0))&gt;0.000001) OR (X."&amp;F65&amp;" IS NULL AND Y."&amp;F65&amp;"_SIMUL IS NOT NULL ) OR (X."&amp;F65&amp;" IS NOT NULL AND Y."&amp;F65&amp;"_SIMUL IS NULL),1,0)) AS NUM_REG_DIF,'"&amp;MAX('ID1&amp;5'!K:K)+1&amp;"' AS ID_EXEC, CURRENT_TIMESTAMP() AS TIME_EXEC FROM "&amp;I65&amp;" INNER JOIN "&amp;J65&amp;" "&amp;K65,"SELECT '"&amp;UPPER(B65)&amp;"' AS TABELA, '"&amp;UPPER(C65)&amp;"' AS TIPOLOGIA_TESTE,'"&amp;D65&amp;"' AS TABELA_LT,'"&amp;E65&amp;"' AS TABELA_SIMUL,'"&amp;F65&amp;"' AS CAMPO, "&amp;"'${ref_date}' AS REF_DATE, COUNT(*) AS NUM_REG, SUM(IF(COALESCE(CAST(X."&amp;F65&amp;" AS STRING),'')&lt;&gt;COALESCE(CAST(Y."&amp;F65&amp;"_SIMUL AS STRING),'') OR (X."&amp;F65&amp;" IS NULL AND Y."&amp;F65&amp;"_SIMUL IS NOT NULL ) OR (X."&amp;F65&amp;" IS NOT NULL AND Y."&amp;F65&amp;"_SIMUL IS NULL),1,0)) AS NUM_REG_DIF,'"&amp;MAX('ID1&amp;5'!L:L)+1&amp;"' AS ID_EXEC, CURRENT_TIMESTAMP() AS TIME_EXEC FROM "&amp;I65&amp;" INNER JOIN "&amp;J65&amp;" "&amp;K65),
IF(C65="Validade",+IF(G65="Code List","SELECT '"&amp;UPPER(B65)&amp;"' AS TABELA, '"&amp;UPPER(C65)&amp;"' AS TIPOLOGIA_TESTE,'"&amp;D65&amp;"' AS TABELA_LT,'N/A' AS TABELA_SIMUL,'"&amp;F65&amp;"' AS CAMPO, "&amp;"'${ref_date}' AS REF_DATE, COUNT(*) AS NUM_REG, SUM(IF(TRIM(CAST(X."&amp;F65&amp;" AS STRING))='' OR TRIM(CAST(X."&amp;F65&amp;" AS STRING)) IS NULL OR CAST(X."&amp;F65&amp;" AS STRING) NOT "&amp;H65&amp;",1,0)) AS NUM_REG_DIF,'"&amp;MAX('ID1&amp;5'!K:K)+1&amp;"' AS ID_EXEC, CURRENT_TIMESTAMP() AS TIME_EXEC FROM "&amp;I65,"SELECT '"&amp;UPPER(B65)&amp;"' AS TABELA, '"&amp;UPPER(C65)&amp;"' AS TIPOLOGIA_TESTE,'"&amp;D65&amp;"' AS TABELA_LT,'N/A' AS TABELA_SIMUL,'"&amp;F65&amp;"' AS CAMPO, "&amp;"'${ref_date}' AS REF_DATE, COUNT(*) AS NUM_REG, SUM(IF(TRIM(CAST(X."&amp;F65&amp;" AS STRING))='' OR TRIM(CAST(X."&amp;F65&amp;" AS STRING)) IS NULL,1,0)) AS NUM_REG_DIF,'"&amp;MAX('ID1&amp;5'!K:K)+1&amp;"' AS ID_EXEC, CURRENT_TIMESTAMP() AS TIME_EXEC FROM "&amp;I65),
IF(C65="Caracteres Especiais",+"SELECT '"&amp;UPPER(B65)&amp;"' AS TABELA, '"&amp;UPPER(C65)&amp;"' AS TIPOLOGIA_TESTE,'"&amp;D65&amp;"' AS TABELA_LT,'N/A' AS TABELA_SIMUL,'"&amp;F65&amp;"' AS CAMPO, "&amp;"'${ref_date}' AS REF_DATE, COUNT(*) AS NUM_REG, SUM(IF(REGEXP_REPLACE(TRIM(CAST(X."&amp;F65&amp;" AS STRING)),'[^a-zA-Z0-9_\\s]','') &lt;&gt;TRIM(CAST(X."&amp;F65&amp;" AS STRING)),1,0)) AS NUM_REG_DIF,'"&amp;MAX('ID1&amp;5'!K:K)+1&amp;"' AS ID_EXEC, CURRENT_TIMESTAMP() AS TIME_EXEC FROM "&amp;I65,
IF(C65="Missings",+"SELECT '"&amp;UPPER(B65)&amp;"' AS TABELA, '"&amp;UPPER(C65)&amp;"' AS TIPOLOGIA_TESTE,'"&amp;D65&amp;"' AS TABELA_LT,'N/A' AS TABELA_SIMUL,'"&amp;F65&amp;"' AS CAMPO, "&amp;"'${ref_date}' AS REF_DATE, COUNT(*) AS NUM_REG, SUM(IF(TRIM(CAST(X."&amp;F65&amp;" AS STRING)) IN ('0000-00-00','0001-01-01','9999-12-31','MISS','00000','99999999999','99999999999.00','99999999999.000000'),1,0)) AS NUM_REG_DIF,'"&amp;MAX('ID1&amp;5'!K:K)+1&amp;"' AS ID_EXEC, CURRENT_TIMESTAMP() AS TIME_EXEC FROM "&amp;I65,
IF(C65="Not applicable",+"SELECT '"&amp;UPPER(B65)&amp;"' AS TABELA, '"&amp;UPPER(C65)&amp;"' AS TIPOLOGIA_TESTE,'"&amp;D65&amp;"' AS TABELA_LT,'N/A' AS TABELA_SIMUL,'"&amp;F65&amp;"' AS CAMPO, "&amp;"'${ref_date}' AS REF_DATE, COUNT(*) AS NUM_REG, SUM(IF(TRIM(CAST(X."&amp;F65&amp;" AS STRING)) IN ('N/A','11111111111','11111111111.00','11111111111.000000','1111-11-11'),1,0)) AS NUM_REG_DIF,'"&amp;MAX('ID1&amp;5'!K:K)+1&amp;"' AS ID_EXEC, CURRENT_TIMESTAMP() AS TIME_EXEC FROM "&amp;I65,
IF(C65="Valores extremos",+"SELECT '"&amp;UPPER(B65)&amp;"' AS TABELA, '"&amp;UPPER(C65)&amp;"' AS TIPOLOGIA_TESTE,'"&amp;D65&amp;"' AS TABELA_LT,'N/A' AS TABELA_SIMUL,'"&amp;F65&amp;"' AS CAMPO, "&amp;"'${ref_date}' AS REF_DATE, CAST(MIN("&amp;F65&amp;") AS STRING) AS VALOR_MIN, CAST(MAX("&amp;F65&amp;") AS STRING) AS VALOR_MAX,'"&amp;MAX('ID1&amp;5'!K:K)+1&amp;"' AS ID_EXEC, CURRENT_TIMESTAMP() AS TIME_EXEC FROM "&amp;MID(I65,1,LEN(I65)-2)&amp;" AND CAST("&amp;F65&amp;"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TABELA_SIMUL,'EBITDA_PRVS' AS CAMPO, '${ref_date}' AS REF_DATE, COUNT(*) AS NUM_REG, SUM(IF(COALESCE(CAST(X.EBITDA_PRVS AS STRING),'')&lt;&gt;COALESCE(CAST(Y.EBITDA_PRVS_SIMUL AS STRING),'') OR (X.EBITDA_PRVS IS NULL AND Y.EBITDA_PRVS_SIMUL IS NOT NULL ) OR (X.EBITDA_PRVS IS NOT NULL AND Y.EBITDA_PRVS_SIMUL IS NULL),1,0)) AS NUM_REG_DIF,'1' AS ID_EXEC, CURRENT_TIMESTAMP() AS TIME_EXEC FROM (SELECT entty_id, EBITDA_PRVS FROM CD_LOAN_TAPES_BCE.LT003_ENTITY WHERE ref_date='${ref_date}' AND nome_perimetro='Individual Corporativo' AND segmento='ESTR' AND ambito='PM' AND entidade='00100')X INNER JOIN (SELECT entty_id AS entty_id_SIMUL, EBITDA_PRVS AS EBITDA_PRVS_SIMUL FROM BU_LOANTAPE_WORK.LT003_ENTITY WHERE ref_date='${ref_date}' AND nome_perimetro='Individual Corporativo' AND segmento='ESTR' AND ambito='PM' AND entidade='00100')Y ON X.ENTTY_ID=Y.ENTTY_ID_SIMUL</v>
      </c>
      <c r="M65" s="36" t="str">
        <f t="shared" si="1"/>
        <v>UNION ALL SELECT 'ENTITY' AS TABELA, 'COERÊNCIA' AS TIPOLOGIA_TESTE,'CD_LOAN_TAPES_BCE.LT003_ENTITY' AS TABELA_LT,'BU_LOANTAPE_WORK.LT003_ENTITY' AS TABELA_SIMUL,'EBITDA_PRVS' AS CAMPO, '${ref_date}' AS REF_DATE, COUNT(*) AS NUM_REG, SUM(IF(COALESCE(CAST(X.EBITDA_PRVS AS STRING),'')&lt;&gt;COALESCE(CAST(Y.EBITDA_PRVS_SIMUL AS STRING),'') OR (X.EBITDA_PRVS IS NULL AND Y.EBITDA_PRVS_SIMUL IS NOT NULL ) OR (X.EBITDA_PRVS IS NOT NULL AND Y.EBITDA_PRVS_SIMUL IS NULL),1,0)) AS NUM_REG_DIF,'1' AS ID_EXEC, CURRENT_TIMESTAMP() AS TIME_EXEC FROM (SELECT entty_id, EBITDA_PRVS FROM CD_LOAN_TAPES_BCE.LT003_ENTITY WHERE ref_date='${ref_date}' AND nome_perimetro='Individual Corporativo' AND segmento='ESTR' AND ambito='PM' AND entidade='00100')X INNER JOIN (SELECT entty_id AS entty_id_SIMUL, EBITDA_PRVS AS EBITDA_PRVS_SIMUL FROM BU_LOANTAPE_WORK.LT003_ENTITY WHERE ref_date='${ref_date}' AND nome_perimetro='Individual Corporativo' AND segmento='ESTR' AND ambito='PM' AND entidade='00100')Y ON X.ENTTY_ID=Y.ENTTY_ID_SIMUL</v>
      </c>
      <c r="N65" s="38" t="s">
        <v>46</v>
      </c>
    </row>
    <row r="66" spans="2:14">
      <c r="B66" s="34" t="s">
        <v>127</v>
      </c>
      <c r="C66" s="34" t="s">
        <v>5</v>
      </c>
      <c r="D66" s="34" t="str">
        <f>+UPPER('0. Instruções'!$D$35&amp;"."&amp;VLOOKUP(B66,'0. Instruções'!$C$27:$D$32,2,FALSE))</f>
        <v>CD_LOAN_TAPES_BCE.LT003_ENTITY</v>
      </c>
      <c r="E66" s="34" t="str">
        <f>+UPPER('0. Instruções'!$D$36&amp;"."&amp;VLOOKUP(B66,'0. Instruções'!$C$27:$E$32,3,FALSE))</f>
        <v>BU_LOANTAPE_WORK.LT003_ENTITY</v>
      </c>
      <c r="F66" s="34" t="s">
        <v>118</v>
      </c>
      <c r="G66" s="34"/>
      <c r="H66" s="34" t="s">
        <v>92</v>
      </c>
      <c r="I66" s="34" t="str">
        <f>"(SELECT "&amp;VLOOKUP(B66,'0. Instruções'!$C$27:$G$32,4,FALSE)&amp;", "&amp;F66&amp;" FROM "&amp;D66&amp;" WHERE "&amp;'0. Instruções'!$D$42&amp;")X"</f>
        <v>(SELECT entty_id, EQTY FROM CD_LOAN_TAPES_BCE.LT003_ENTITY WHERE ref_date='${ref_date}' AND nome_perimetro='Individual Corporativo' AND segmento='ESTR' AND ambito='PM' AND entidade='00100')X</v>
      </c>
      <c r="J66" s="34" t="str">
        <f>"(SELECT "&amp;VLOOKUP(B66,'0. Instruções'!$C$27:$G$32,4,FALSE)&amp;" AS "&amp;VLOOKUP(B66,'0. Instruções'!$C$27:$G$32,4,FALSE)&amp;"_SIMUL, "&amp;F66&amp;" AS "&amp;F66&amp;"_SIMUL FROM "&amp;E66&amp;" WHERE "&amp;'0. Instruções'!$D$43&amp;")Y"</f>
        <v>(SELECT entty_id AS entty_id_SIMUL, EQTY AS EQTY_SIMUL FROM BU_LOANTAPE_WORK.LT003_ENTITY WHERE ref_date='${ref_date}' AND nome_perimetro='Individual Corporativo' AND segmento='ESTR' AND ambito='PM' AND entidade='00100')Y</v>
      </c>
      <c r="K66" s="35" t="str">
        <f>+UPPER("ON X."&amp;VLOOKUP(B66,'0. Instruções'!$C$27:$G$32,4,FALSE)&amp;"=Y."&amp;VLOOKUP(B66,'0. Instruções'!$C$27:$G$32,4,FALSE)&amp;"_SIMUL")</f>
        <v>ON X.ENTTY_ID=Y.ENTTY_ID_SIMUL</v>
      </c>
      <c r="L66" s="35" t="str">
        <f>+IF(C66="Coerência", +IF(LEFT(G66,5)="FLOAT","SELECT '"&amp;UPPER(B66)&amp;"' AS TABELA, '"&amp;UPPER(C66)&amp;"' AS TIPOLOGIA_TESTE,'"&amp;D66&amp;"' AS TABELA_LT,'"&amp;E66&amp;"' AS TABELA_SIMUL,'"&amp;F66&amp;"' AS CAMPO, "&amp;"'${ref_date}' AS REF_DATE, COUNT(*) AS NUM_REG, SUM(IF((ABS(COALESCE(CAST(X."&amp;F66&amp;" AS DECIMAL(18,6)),0)-COALESCE(CAST(Y."&amp;F66&amp;"_SIMUL AS DECIMAL(18,6)),0))&gt;0.000001) OR (X."&amp;F66&amp;" IS NULL AND Y."&amp;F66&amp;"_SIMUL IS NOT NULL ) OR (X."&amp;F66&amp;" IS NOT NULL AND Y."&amp;F66&amp;"_SIMUL IS NULL),1,0)) AS NUM_REG_DIF,'"&amp;MAX('ID1&amp;5'!K:K)+1&amp;"' AS ID_EXEC, CURRENT_TIMESTAMP() AS TIME_EXEC FROM "&amp;I66&amp;" INNER JOIN "&amp;J66&amp;" "&amp;K66,"SELECT '"&amp;UPPER(B66)&amp;"' AS TABELA, '"&amp;UPPER(C66)&amp;"' AS TIPOLOGIA_TESTE,'"&amp;D66&amp;"' AS TABELA_LT,'"&amp;E66&amp;"' AS TABELA_SIMUL,'"&amp;F66&amp;"' AS CAMPO, "&amp;"'${ref_date}' AS REF_DATE, COUNT(*) AS NUM_REG, SUM(IF(COALESCE(CAST(X."&amp;F66&amp;" AS STRING),'')&lt;&gt;COALESCE(CAST(Y."&amp;F66&amp;"_SIMUL AS STRING),'') OR (X."&amp;F66&amp;" IS NULL AND Y."&amp;F66&amp;"_SIMUL IS NOT NULL ) OR (X."&amp;F66&amp;" IS NOT NULL AND Y."&amp;F66&amp;"_SIMUL IS NULL),1,0)) AS NUM_REG_DIF,'"&amp;MAX('ID1&amp;5'!L:L)+1&amp;"' AS ID_EXEC, CURRENT_TIMESTAMP() AS TIME_EXEC FROM "&amp;I66&amp;" INNER JOIN "&amp;J66&amp;" "&amp;K66),
IF(C66="Validade",+IF(G66="Code List","SELECT '"&amp;UPPER(B66)&amp;"' AS TABELA, '"&amp;UPPER(C66)&amp;"' AS TIPOLOGIA_TESTE,'"&amp;D66&amp;"' AS TABELA_LT,'N/A' AS TABELA_SIMUL,'"&amp;F66&amp;"' AS CAMPO, "&amp;"'${ref_date}' AS REF_DATE, COUNT(*) AS NUM_REG, SUM(IF(TRIM(CAST(X."&amp;F66&amp;" AS STRING))='' OR TRIM(CAST(X."&amp;F66&amp;" AS STRING)) IS NULL OR CAST(X."&amp;F66&amp;" AS STRING) NOT "&amp;H66&amp;",1,0)) AS NUM_REG_DIF,'"&amp;MAX('ID1&amp;5'!K:K)+1&amp;"' AS ID_EXEC, CURRENT_TIMESTAMP() AS TIME_EXEC FROM "&amp;I66,"SELECT '"&amp;UPPER(B66)&amp;"' AS TABELA, '"&amp;UPPER(C66)&amp;"' AS TIPOLOGIA_TESTE,'"&amp;D66&amp;"' AS TABELA_LT,'N/A' AS TABELA_SIMUL,'"&amp;F66&amp;"' AS CAMPO, "&amp;"'${ref_date}' AS REF_DATE, COUNT(*) AS NUM_REG, SUM(IF(TRIM(CAST(X."&amp;F66&amp;" AS STRING))='' OR TRIM(CAST(X."&amp;F66&amp;" AS STRING)) IS NULL,1,0)) AS NUM_REG_DIF,'"&amp;MAX('ID1&amp;5'!K:K)+1&amp;"' AS ID_EXEC, CURRENT_TIMESTAMP() AS TIME_EXEC FROM "&amp;I66),
IF(C66="Caracteres Especiais",+"SELECT '"&amp;UPPER(B66)&amp;"' AS TABELA, '"&amp;UPPER(C66)&amp;"' AS TIPOLOGIA_TESTE,'"&amp;D66&amp;"' AS TABELA_LT,'N/A' AS TABELA_SIMUL,'"&amp;F66&amp;"' AS CAMPO, "&amp;"'${ref_date}' AS REF_DATE, COUNT(*) AS NUM_REG, SUM(IF(REGEXP_REPLACE(TRIM(CAST(X."&amp;F66&amp;" AS STRING)),'[^a-zA-Z0-9_\\s]','') &lt;&gt;TRIM(CAST(X."&amp;F66&amp;" AS STRING)),1,0)) AS NUM_REG_DIF,'"&amp;MAX('ID1&amp;5'!K:K)+1&amp;"' AS ID_EXEC, CURRENT_TIMESTAMP() AS TIME_EXEC FROM "&amp;I66,
IF(C66="Missings",+"SELECT '"&amp;UPPER(B66)&amp;"' AS TABELA, '"&amp;UPPER(C66)&amp;"' AS TIPOLOGIA_TESTE,'"&amp;D66&amp;"' AS TABELA_LT,'N/A' AS TABELA_SIMUL,'"&amp;F66&amp;"' AS CAMPO, "&amp;"'${ref_date}' AS REF_DATE, COUNT(*) AS NUM_REG, SUM(IF(TRIM(CAST(X."&amp;F66&amp;" AS STRING)) IN ('0000-00-00','0001-01-01','9999-12-31','MISS','00000','99999999999','99999999999.00','99999999999.000000'),1,0)) AS NUM_REG_DIF,'"&amp;MAX('ID1&amp;5'!K:K)+1&amp;"' AS ID_EXEC, CURRENT_TIMESTAMP() AS TIME_EXEC FROM "&amp;I66,
IF(C66="Not applicable",+"SELECT '"&amp;UPPER(B66)&amp;"' AS TABELA, '"&amp;UPPER(C66)&amp;"' AS TIPOLOGIA_TESTE,'"&amp;D66&amp;"' AS TABELA_LT,'N/A' AS TABELA_SIMUL,'"&amp;F66&amp;"' AS CAMPO, "&amp;"'${ref_date}' AS REF_DATE, COUNT(*) AS NUM_REG, SUM(IF(TRIM(CAST(X."&amp;F66&amp;" AS STRING)) IN ('N/A','11111111111','11111111111.00','11111111111.000000','1111-11-11'),1,0)) AS NUM_REG_DIF,'"&amp;MAX('ID1&amp;5'!K:K)+1&amp;"' AS ID_EXEC, CURRENT_TIMESTAMP() AS TIME_EXEC FROM "&amp;I66,
IF(C66="Valores extremos",+"SELECT '"&amp;UPPER(B66)&amp;"' AS TABELA, '"&amp;UPPER(C66)&amp;"' AS TIPOLOGIA_TESTE,'"&amp;D66&amp;"' AS TABELA_LT,'N/A' AS TABELA_SIMUL,'"&amp;F66&amp;"' AS CAMPO, "&amp;"'${ref_date}' AS REF_DATE, CAST(MIN("&amp;F66&amp;") AS STRING) AS VALOR_MIN, CAST(MAX("&amp;F66&amp;") AS STRING) AS VALOR_MAX,'"&amp;MAX('ID1&amp;5'!K:K)+1&amp;"' AS ID_EXEC, CURRENT_TIMESTAMP() AS TIME_EXEC FROM "&amp;MID(I66,1,LEN(I66)-2)&amp;" AND CAST("&amp;F66&amp;"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TABELA_SIMUL,'EQTY' AS CAMPO, '${ref_date}' AS REF_DATE, COUNT(*) AS NUM_REG, SUM(IF(COALESCE(CAST(X.EQTY AS STRING),'')&lt;&gt;COALESCE(CAST(Y.EQTY_SIMUL AS STRING),'') OR (X.EQTY IS NULL AND Y.EQTY_SIMUL IS NOT NULL ) OR (X.EQTY IS NOT NULL AND Y.EQTY_SIMUL IS NULL),1,0)) AS NUM_REG_DIF,'1' AS ID_EXEC, CURRENT_TIMESTAMP() AS TIME_EXEC FROM (SELECT entty_id, EQTY FROM CD_LOAN_TAPES_BCE.LT003_ENTITY WHERE ref_date='${ref_date}' AND nome_perimetro='Individual Corporativo' AND segmento='ESTR' AND ambito='PM' AND entidade='00100')X INNER JOIN (SELECT entty_id AS entty_id_SIMUL, EQTY AS EQTY_SIMUL FROM BU_LOANTAPE_WORK.LT003_ENTITY WHERE ref_date='${ref_date}' AND nome_perimetro='Individual Corporativo' AND segmento='ESTR' AND ambito='PM' AND entidade='00100')Y ON X.ENTTY_ID=Y.ENTTY_ID_SIMUL</v>
      </c>
      <c r="M66" s="36" t="str">
        <f t="shared" si="1"/>
        <v>UNION ALL SELECT 'ENTITY' AS TABELA, 'COERÊNCIA' AS TIPOLOGIA_TESTE,'CD_LOAN_TAPES_BCE.LT003_ENTITY' AS TABELA_LT,'BU_LOANTAPE_WORK.LT003_ENTITY' AS TABELA_SIMUL,'EQTY' AS CAMPO, '${ref_date}' AS REF_DATE, COUNT(*) AS NUM_REG, SUM(IF(COALESCE(CAST(X.EQTY AS STRING),'')&lt;&gt;COALESCE(CAST(Y.EQTY_SIMUL AS STRING),'') OR (X.EQTY IS NULL AND Y.EQTY_SIMUL IS NOT NULL ) OR (X.EQTY IS NOT NULL AND Y.EQTY_SIMUL IS NULL),1,0)) AS NUM_REG_DIF,'1' AS ID_EXEC, CURRENT_TIMESTAMP() AS TIME_EXEC FROM (SELECT entty_id, EQTY FROM CD_LOAN_TAPES_BCE.LT003_ENTITY WHERE ref_date='${ref_date}' AND nome_perimetro='Individual Corporativo' AND segmento='ESTR' AND ambito='PM' AND entidade='00100')X INNER JOIN (SELECT entty_id AS entty_id_SIMUL, EQTY AS EQTY_SIMUL FROM BU_LOANTAPE_WORK.LT003_ENTITY WHERE ref_date='${ref_date}' AND nome_perimetro='Individual Corporativo' AND segmento='ESTR' AND ambito='PM' AND entidade='00100')Y ON X.ENTTY_ID=Y.ENTTY_ID_SIMUL</v>
      </c>
      <c r="N66" s="38" t="s">
        <v>46</v>
      </c>
    </row>
    <row r="67" spans="2:14">
      <c r="B67" s="34" t="s">
        <v>127</v>
      </c>
      <c r="C67" s="34" t="s">
        <v>5</v>
      </c>
      <c r="D67" s="34" t="str">
        <f>+UPPER('0. Instruções'!$D$35&amp;"."&amp;VLOOKUP(B67,'0. Instruções'!$C$27:$D$32,2,FALSE))</f>
        <v>CD_LOAN_TAPES_BCE.LT003_ENTITY</v>
      </c>
      <c r="E67" s="34" t="str">
        <f>+UPPER('0. Instruções'!$D$36&amp;"."&amp;VLOOKUP(B67,'0. Instruções'!$C$27:$E$32,3,FALSE))</f>
        <v>BU_LOANTAPE_WORK.LT003_ENTITY</v>
      </c>
      <c r="F67" s="34" t="s">
        <v>375</v>
      </c>
      <c r="G67" s="34"/>
      <c r="H67" s="34" t="s">
        <v>92</v>
      </c>
      <c r="I67" s="34" t="str">
        <f>"(SELECT "&amp;VLOOKUP(B67,'0. Instruções'!$C$27:$G$32,4,FALSE)&amp;", "&amp;F67&amp;" FROM "&amp;D67&amp;" WHERE "&amp;'0. Instruções'!$D$42&amp;")X"</f>
        <v>(SELECT entty_id, EQTY_PRVS FROM CD_LOAN_TAPES_BCE.LT003_ENTITY WHERE ref_date='${ref_date}' AND nome_perimetro='Individual Corporativo' AND segmento='ESTR' AND ambito='PM' AND entidade='00100')X</v>
      </c>
      <c r="J67" s="34" t="str">
        <f>"(SELECT "&amp;VLOOKUP(B67,'0. Instruções'!$C$27:$G$32,4,FALSE)&amp;" AS "&amp;VLOOKUP(B67,'0. Instruções'!$C$27:$G$32,4,FALSE)&amp;"_SIMUL, "&amp;F67&amp;" AS "&amp;F67&amp;"_SIMUL FROM "&amp;E67&amp;" WHERE "&amp;'0. Instruções'!$D$43&amp;")Y"</f>
        <v>(SELECT entty_id AS entty_id_SIMUL, EQTY_PRVS AS EQTY_PRVS_SIMUL FROM BU_LOANTAPE_WORK.LT003_ENTITY WHERE ref_date='${ref_date}' AND nome_perimetro='Individual Corporativo' AND segmento='ESTR' AND ambito='PM' AND entidade='00100')Y</v>
      </c>
      <c r="K67" s="35" t="str">
        <f>+UPPER("ON X."&amp;VLOOKUP(B67,'0. Instruções'!$C$27:$G$32,4,FALSE)&amp;"=Y."&amp;VLOOKUP(B67,'0. Instruções'!$C$27:$G$32,4,FALSE)&amp;"_SIMUL")</f>
        <v>ON X.ENTTY_ID=Y.ENTTY_ID_SIMUL</v>
      </c>
      <c r="L67" s="35" t="str">
        <f>+IF(C67="Coerência", +IF(LEFT(G67,5)="FLOAT","SELECT '"&amp;UPPER(B67)&amp;"' AS TABELA, '"&amp;UPPER(C67)&amp;"' AS TIPOLOGIA_TESTE,'"&amp;D67&amp;"' AS TABELA_LT,'"&amp;E67&amp;"' AS TABELA_SIMUL,'"&amp;F67&amp;"' AS CAMPO, "&amp;"'${ref_date}' AS REF_DATE, COUNT(*) AS NUM_REG, SUM(IF((ABS(COALESCE(CAST(X."&amp;F67&amp;" AS DECIMAL(18,6)),0)-COALESCE(CAST(Y."&amp;F67&amp;"_SIMUL AS DECIMAL(18,6)),0))&gt;0.000001) OR (X."&amp;F67&amp;" IS NULL AND Y."&amp;F67&amp;"_SIMUL IS NOT NULL ) OR (X."&amp;F67&amp;" IS NOT NULL AND Y."&amp;F67&amp;"_SIMUL IS NULL),1,0)) AS NUM_REG_DIF,'"&amp;MAX('ID1&amp;5'!K:K)+1&amp;"' AS ID_EXEC, CURRENT_TIMESTAMP() AS TIME_EXEC FROM "&amp;I67&amp;" INNER JOIN "&amp;J67&amp;" "&amp;K67,"SELECT '"&amp;UPPER(B67)&amp;"' AS TABELA, '"&amp;UPPER(C67)&amp;"' AS TIPOLOGIA_TESTE,'"&amp;D67&amp;"' AS TABELA_LT,'"&amp;E67&amp;"' AS TABELA_SIMUL,'"&amp;F67&amp;"' AS CAMPO, "&amp;"'${ref_date}' AS REF_DATE, COUNT(*) AS NUM_REG, SUM(IF(COALESCE(CAST(X."&amp;F67&amp;" AS STRING),'')&lt;&gt;COALESCE(CAST(Y."&amp;F67&amp;"_SIMUL AS STRING),'') OR (X."&amp;F67&amp;" IS NULL AND Y."&amp;F67&amp;"_SIMUL IS NOT NULL ) OR (X."&amp;F67&amp;" IS NOT NULL AND Y."&amp;F67&amp;"_SIMUL IS NULL),1,0)) AS NUM_REG_DIF,'"&amp;MAX('ID1&amp;5'!L:L)+1&amp;"' AS ID_EXEC, CURRENT_TIMESTAMP() AS TIME_EXEC FROM "&amp;I67&amp;" INNER JOIN "&amp;J67&amp;" "&amp;K67),
IF(C67="Validade",+IF(G67="Code List","SELECT '"&amp;UPPER(B67)&amp;"' AS TABELA, '"&amp;UPPER(C67)&amp;"' AS TIPOLOGIA_TESTE,'"&amp;D67&amp;"' AS TABELA_LT,'N/A' AS TABELA_SIMUL,'"&amp;F67&amp;"' AS CAMPO, "&amp;"'${ref_date}' AS REF_DATE, COUNT(*) AS NUM_REG, SUM(IF(TRIM(CAST(X."&amp;F67&amp;" AS STRING))='' OR TRIM(CAST(X."&amp;F67&amp;" AS STRING)) IS NULL OR CAST(X."&amp;F67&amp;" AS STRING) NOT "&amp;H67&amp;",1,0)) AS NUM_REG_DIF,'"&amp;MAX('ID1&amp;5'!K:K)+1&amp;"' AS ID_EXEC, CURRENT_TIMESTAMP() AS TIME_EXEC FROM "&amp;I67,"SELECT '"&amp;UPPER(B67)&amp;"' AS TABELA, '"&amp;UPPER(C67)&amp;"' AS TIPOLOGIA_TESTE,'"&amp;D67&amp;"' AS TABELA_LT,'N/A' AS TABELA_SIMUL,'"&amp;F67&amp;"' AS CAMPO, "&amp;"'${ref_date}' AS REF_DATE, COUNT(*) AS NUM_REG, SUM(IF(TRIM(CAST(X."&amp;F67&amp;" AS STRING))='' OR TRIM(CAST(X."&amp;F67&amp;" AS STRING)) IS NULL,1,0)) AS NUM_REG_DIF,'"&amp;MAX('ID1&amp;5'!K:K)+1&amp;"' AS ID_EXEC, CURRENT_TIMESTAMP() AS TIME_EXEC FROM "&amp;I67),
IF(C67="Caracteres Especiais",+"SELECT '"&amp;UPPER(B67)&amp;"' AS TABELA, '"&amp;UPPER(C67)&amp;"' AS TIPOLOGIA_TESTE,'"&amp;D67&amp;"' AS TABELA_LT,'N/A' AS TABELA_SIMUL,'"&amp;F67&amp;"' AS CAMPO, "&amp;"'${ref_date}' AS REF_DATE, COUNT(*) AS NUM_REG, SUM(IF(REGEXP_REPLACE(TRIM(CAST(X."&amp;F67&amp;" AS STRING)),'[^a-zA-Z0-9_\\s]','') &lt;&gt;TRIM(CAST(X."&amp;F67&amp;" AS STRING)),1,0)) AS NUM_REG_DIF,'"&amp;MAX('ID1&amp;5'!K:K)+1&amp;"' AS ID_EXEC, CURRENT_TIMESTAMP() AS TIME_EXEC FROM "&amp;I67,
IF(C67="Missings",+"SELECT '"&amp;UPPER(B67)&amp;"' AS TABELA, '"&amp;UPPER(C67)&amp;"' AS TIPOLOGIA_TESTE,'"&amp;D67&amp;"' AS TABELA_LT,'N/A' AS TABELA_SIMUL,'"&amp;F67&amp;"' AS CAMPO, "&amp;"'${ref_date}' AS REF_DATE, COUNT(*) AS NUM_REG, SUM(IF(TRIM(CAST(X."&amp;F67&amp;" AS STRING)) IN ('0000-00-00','0001-01-01','9999-12-31','MISS','00000','99999999999','99999999999.00','99999999999.000000'),1,0)) AS NUM_REG_DIF,'"&amp;MAX('ID1&amp;5'!K:K)+1&amp;"' AS ID_EXEC, CURRENT_TIMESTAMP() AS TIME_EXEC FROM "&amp;I67,
IF(C67="Not applicable",+"SELECT '"&amp;UPPER(B67)&amp;"' AS TABELA, '"&amp;UPPER(C67)&amp;"' AS TIPOLOGIA_TESTE,'"&amp;D67&amp;"' AS TABELA_LT,'N/A' AS TABELA_SIMUL,'"&amp;F67&amp;"' AS CAMPO, "&amp;"'${ref_date}' AS REF_DATE, COUNT(*) AS NUM_REG, SUM(IF(TRIM(CAST(X."&amp;F67&amp;" AS STRING)) IN ('N/A','11111111111','11111111111.00','11111111111.000000','1111-11-11'),1,0)) AS NUM_REG_DIF,'"&amp;MAX('ID1&amp;5'!K:K)+1&amp;"' AS ID_EXEC, CURRENT_TIMESTAMP() AS TIME_EXEC FROM "&amp;I67,
IF(C67="Valores extremos",+"SELECT '"&amp;UPPER(B67)&amp;"' AS TABELA, '"&amp;UPPER(C67)&amp;"' AS TIPOLOGIA_TESTE,'"&amp;D67&amp;"' AS TABELA_LT,'N/A' AS TABELA_SIMUL,'"&amp;F67&amp;"' AS CAMPO, "&amp;"'${ref_date}' AS REF_DATE, CAST(MIN("&amp;F67&amp;") AS STRING) AS VALOR_MIN, CAST(MAX("&amp;F67&amp;") AS STRING) AS VALOR_MAX,'"&amp;MAX('ID1&amp;5'!K:K)+1&amp;"' AS ID_EXEC, CURRENT_TIMESTAMP() AS TIME_EXEC FROM "&amp;MID(I67,1,LEN(I67)-2)&amp;" AND CAST("&amp;F67&amp;"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TABELA_SIMUL,'EQTY_PRVS' AS CAMPO, '${ref_date}' AS REF_DATE, COUNT(*) AS NUM_REG, SUM(IF(COALESCE(CAST(X.EQTY_PRVS AS STRING),'')&lt;&gt;COALESCE(CAST(Y.EQTY_PRVS_SIMUL AS STRING),'') OR (X.EQTY_PRVS IS NULL AND Y.EQTY_PRVS_SIMUL IS NOT NULL ) OR (X.EQTY_PRVS IS NOT NULL AND Y.EQTY_PRVS_SIMUL IS NULL),1,0)) AS NUM_REG_DIF,'1' AS ID_EXEC, CURRENT_TIMESTAMP() AS TIME_EXEC FROM (SELECT entty_id, EQTY_PRVS FROM CD_LOAN_TAPES_BCE.LT003_ENTITY WHERE ref_date='${ref_date}' AND nome_perimetro='Individual Corporativo' AND segmento='ESTR' AND ambito='PM' AND entidade='00100')X INNER JOIN (SELECT entty_id AS entty_id_SIMUL, EQTY_PRVS AS EQTY_PRVS_SIMUL FROM BU_LOANTAPE_WORK.LT003_ENTITY WHERE ref_date='${ref_date}' AND nome_perimetro='Individual Corporativo' AND segmento='ESTR' AND ambito='PM' AND entidade='00100')Y ON X.ENTTY_ID=Y.ENTTY_ID_SIMUL</v>
      </c>
      <c r="M67" s="36" t="str">
        <f t="shared" si="1"/>
        <v>UNION ALL SELECT 'ENTITY' AS TABELA, 'COERÊNCIA' AS TIPOLOGIA_TESTE,'CD_LOAN_TAPES_BCE.LT003_ENTITY' AS TABELA_LT,'BU_LOANTAPE_WORK.LT003_ENTITY' AS TABELA_SIMUL,'EQTY_PRVS' AS CAMPO, '${ref_date}' AS REF_DATE, COUNT(*) AS NUM_REG, SUM(IF(COALESCE(CAST(X.EQTY_PRVS AS STRING),'')&lt;&gt;COALESCE(CAST(Y.EQTY_PRVS_SIMUL AS STRING),'') OR (X.EQTY_PRVS IS NULL AND Y.EQTY_PRVS_SIMUL IS NOT NULL ) OR (X.EQTY_PRVS IS NOT NULL AND Y.EQTY_PRVS_SIMUL IS NULL),1,0)) AS NUM_REG_DIF,'1' AS ID_EXEC, CURRENT_TIMESTAMP() AS TIME_EXEC FROM (SELECT entty_id, EQTY_PRVS FROM CD_LOAN_TAPES_BCE.LT003_ENTITY WHERE ref_date='${ref_date}' AND nome_perimetro='Individual Corporativo' AND segmento='ESTR' AND ambito='PM' AND entidade='00100')X INNER JOIN (SELECT entty_id AS entty_id_SIMUL, EQTY_PRVS AS EQTY_PRVS_SIMUL FROM BU_LOANTAPE_WORK.LT003_ENTITY WHERE ref_date='${ref_date}' AND nome_perimetro='Individual Corporativo' AND segmento='ESTR' AND ambito='PM' AND entidade='00100')Y ON X.ENTTY_ID=Y.ENTTY_ID_SIMUL</v>
      </c>
      <c r="N67" s="38" t="s">
        <v>46</v>
      </c>
    </row>
    <row r="68" spans="2:14">
      <c r="B68" s="34" t="s">
        <v>127</v>
      </c>
      <c r="C68" s="34" t="s">
        <v>5</v>
      </c>
      <c r="D68" s="34" t="str">
        <f>+UPPER('0. Instruções'!$D$35&amp;"."&amp;VLOOKUP(B68,'0. Instruções'!$C$27:$D$32,2,FALSE))</f>
        <v>CD_LOAN_TAPES_BCE.LT003_ENTITY</v>
      </c>
      <c r="E68" s="34" t="str">
        <f>+UPPER('0. Instruções'!$D$36&amp;"."&amp;VLOOKUP(B68,'0. Instruções'!$C$27:$E$32,3,FALSE))</f>
        <v>BU_LOANTAPE_WORK.LT003_ENTITY</v>
      </c>
      <c r="F68" s="34" t="s">
        <v>119</v>
      </c>
      <c r="G68" s="34"/>
      <c r="H68" s="34" t="s">
        <v>92</v>
      </c>
      <c r="I68" s="34" t="str">
        <f>"(SELECT "&amp;VLOOKUP(B68,'0. Instruções'!$C$27:$G$32,4,FALSE)&amp;", "&amp;F68&amp;" FROM "&amp;D68&amp;" WHERE "&amp;'0. Instruções'!$D$42&amp;")X"</f>
        <v>(SELECT entty_id, GRP_TTL_DBT FROM CD_LOAN_TAPES_BCE.LT003_ENTITY WHERE ref_date='${ref_date}' AND nome_perimetro='Individual Corporativo' AND segmento='ESTR' AND ambito='PM' AND entidade='00100')X</v>
      </c>
      <c r="J68" s="34" t="str">
        <f>"(SELECT "&amp;VLOOKUP(B68,'0. Instruções'!$C$27:$G$32,4,FALSE)&amp;" AS "&amp;VLOOKUP(B68,'0. Instruções'!$C$27:$G$32,4,FALSE)&amp;"_SIMUL, "&amp;F68&amp;" AS "&amp;F68&amp;"_SIMUL FROM "&amp;E68&amp;" WHERE "&amp;'0. Instruções'!$D$43&amp;")Y"</f>
        <v>(SELECT entty_id AS entty_id_SIMUL, GRP_TTL_DBT AS GRP_TTL_DBT_SIMUL FROM BU_LOANTAPE_WORK.LT003_ENTITY WHERE ref_date='${ref_date}' AND nome_perimetro='Individual Corporativo' AND segmento='ESTR' AND ambito='PM' AND entidade='00100')Y</v>
      </c>
      <c r="K68" s="35" t="str">
        <f>+UPPER("ON X."&amp;VLOOKUP(B68,'0. Instruções'!$C$27:$G$32,4,FALSE)&amp;"=Y."&amp;VLOOKUP(B68,'0. Instruções'!$C$27:$G$32,4,FALSE)&amp;"_SIMUL")</f>
        <v>ON X.ENTTY_ID=Y.ENTTY_ID_SIMUL</v>
      </c>
      <c r="L68" s="35" t="str">
        <f>+IF(C68="Coerência", +IF(LEFT(G68,5)="FLOAT","SELECT '"&amp;UPPER(B68)&amp;"' AS TABELA, '"&amp;UPPER(C68)&amp;"' AS TIPOLOGIA_TESTE,'"&amp;D68&amp;"' AS TABELA_LT,'"&amp;E68&amp;"' AS TABELA_SIMUL,'"&amp;F68&amp;"' AS CAMPO, "&amp;"'${ref_date}' AS REF_DATE, COUNT(*) AS NUM_REG, SUM(IF((ABS(COALESCE(CAST(X."&amp;F68&amp;" AS DECIMAL(18,6)),0)-COALESCE(CAST(Y."&amp;F68&amp;"_SIMUL AS DECIMAL(18,6)),0))&gt;0.000001) OR (X."&amp;F68&amp;" IS NULL AND Y."&amp;F68&amp;"_SIMUL IS NOT NULL ) OR (X."&amp;F68&amp;" IS NOT NULL AND Y."&amp;F68&amp;"_SIMUL IS NULL),1,0)) AS NUM_REG_DIF,'"&amp;MAX('ID1&amp;5'!K:K)+1&amp;"' AS ID_EXEC, CURRENT_TIMESTAMP() AS TIME_EXEC FROM "&amp;I68&amp;" INNER JOIN "&amp;J68&amp;" "&amp;K68,"SELECT '"&amp;UPPER(B68)&amp;"' AS TABELA, '"&amp;UPPER(C68)&amp;"' AS TIPOLOGIA_TESTE,'"&amp;D68&amp;"' AS TABELA_LT,'"&amp;E68&amp;"' AS TABELA_SIMUL,'"&amp;F68&amp;"' AS CAMPO, "&amp;"'${ref_date}' AS REF_DATE, COUNT(*) AS NUM_REG, SUM(IF(COALESCE(CAST(X."&amp;F68&amp;" AS STRING),'')&lt;&gt;COALESCE(CAST(Y."&amp;F68&amp;"_SIMUL AS STRING),'') OR (X."&amp;F68&amp;" IS NULL AND Y."&amp;F68&amp;"_SIMUL IS NOT NULL ) OR (X."&amp;F68&amp;" IS NOT NULL AND Y."&amp;F68&amp;"_SIMUL IS NULL),1,0)) AS NUM_REG_DIF,'"&amp;MAX('ID1&amp;5'!L:L)+1&amp;"' AS ID_EXEC, CURRENT_TIMESTAMP() AS TIME_EXEC FROM "&amp;I68&amp;" INNER JOIN "&amp;J68&amp;" "&amp;K68),
IF(C68="Validade",+IF(G68="Code List","SELECT '"&amp;UPPER(B68)&amp;"' AS TABELA, '"&amp;UPPER(C68)&amp;"' AS TIPOLOGIA_TESTE,'"&amp;D68&amp;"' AS TABELA_LT,'N/A' AS TABELA_SIMUL,'"&amp;F68&amp;"' AS CAMPO, "&amp;"'${ref_date}' AS REF_DATE, COUNT(*) AS NUM_REG, SUM(IF(TRIM(CAST(X."&amp;F68&amp;" AS STRING))='' OR TRIM(CAST(X."&amp;F68&amp;" AS STRING)) IS NULL OR CAST(X."&amp;F68&amp;" AS STRING) NOT "&amp;H68&amp;",1,0)) AS NUM_REG_DIF,'"&amp;MAX('ID1&amp;5'!K:K)+1&amp;"' AS ID_EXEC, CURRENT_TIMESTAMP() AS TIME_EXEC FROM "&amp;I68,"SELECT '"&amp;UPPER(B68)&amp;"' AS TABELA, '"&amp;UPPER(C68)&amp;"' AS TIPOLOGIA_TESTE,'"&amp;D68&amp;"' AS TABELA_LT,'N/A' AS TABELA_SIMUL,'"&amp;F68&amp;"' AS CAMPO, "&amp;"'${ref_date}' AS REF_DATE, COUNT(*) AS NUM_REG, SUM(IF(TRIM(CAST(X."&amp;F68&amp;" AS STRING))='' OR TRIM(CAST(X."&amp;F68&amp;" AS STRING)) IS NULL,1,0)) AS NUM_REG_DIF,'"&amp;MAX('ID1&amp;5'!K:K)+1&amp;"' AS ID_EXEC, CURRENT_TIMESTAMP() AS TIME_EXEC FROM "&amp;I68),
IF(C68="Caracteres Especiais",+"SELECT '"&amp;UPPER(B68)&amp;"' AS TABELA, '"&amp;UPPER(C68)&amp;"' AS TIPOLOGIA_TESTE,'"&amp;D68&amp;"' AS TABELA_LT,'N/A' AS TABELA_SIMUL,'"&amp;F68&amp;"' AS CAMPO, "&amp;"'${ref_date}' AS REF_DATE, COUNT(*) AS NUM_REG, SUM(IF(REGEXP_REPLACE(TRIM(CAST(X."&amp;F68&amp;" AS STRING)),'[^a-zA-Z0-9_\\s]','') &lt;&gt;TRIM(CAST(X."&amp;F68&amp;" AS STRING)),1,0)) AS NUM_REG_DIF,'"&amp;MAX('ID1&amp;5'!K:K)+1&amp;"' AS ID_EXEC, CURRENT_TIMESTAMP() AS TIME_EXEC FROM "&amp;I68,
IF(C68="Missings",+"SELECT '"&amp;UPPER(B68)&amp;"' AS TABELA, '"&amp;UPPER(C68)&amp;"' AS TIPOLOGIA_TESTE,'"&amp;D68&amp;"' AS TABELA_LT,'N/A' AS TABELA_SIMUL,'"&amp;F68&amp;"' AS CAMPO, "&amp;"'${ref_date}' AS REF_DATE, COUNT(*) AS NUM_REG, SUM(IF(TRIM(CAST(X."&amp;F68&amp;" AS STRING)) IN ('0000-00-00','0001-01-01','9999-12-31','MISS','00000','99999999999','99999999999.00','99999999999.000000'),1,0)) AS NUM_REG_DIF,'"&amp;MAX('ID1&amp;5'!K:K)+1&amp;"' AS ID_EXEC, CURRENT_TIMESTAMP() AS TIME_EXEC FROM "&amp;I68,
IF(C68="Not applicable",+"SELECT '"&amp;UPPER(B68)&amp;"' AS TABELA, '"&amp;UPPER(C68)&amp;"' AS TIPOLOGIA_TESTE,'"&amp;D68&amp;"' AS TABELA_LT,'N/A' AS TABELA_SIMUL,'"&amp;F68&amp;"' AS CAMPO, "&amp;"'${ref_date}' AS REF_DATE, COUNT(*) AS NUM_REG, SUM(IF(TRIM(CAST(X."&amp;F68&amp;" AS STRING)) IN ('N/A','11111111111','11111111111.00','11111111111.000000','1111-11-11'),1,0)) AS NUM_REG_DIF,'"&amp;MAX('ID1&amp;5'!K:K)+1&amp;"' AS ID_EXEC, CURRENT_TIMESTAMP() AS TIME_EXEC FROM "&amp;I68,
IF(C68="Valores extremos",+"SELECT '"&amp;UPPER(B68)&amp;"' AS TABELA, '"&amp;UPPER(C68)&amp;"' AS TIPOLOGIA_TESTE,'"&amp;D68&amp;"' AS TABELA_LT,'N/A' AS TABELA_SIMUL,'"&amp;F68&amp;"' AS CAMPO, "&amp;"'${ref_date}' AS REF_DATE, CAST(MIN("&amp;F68&amp;") AS STRING) AS VALOR_MIN, CAST(MAX("&amp;F68&amp;") AS STRING) AS VALOR_MAX,'"&amp;MAX('ID1&amp;5'!K:K)+1&amp;"' AS ID_EXEC, CURRENT_TIMESTAMP() AS TIME_EXEC FROM "&amp;MID(I68,1,LEN(I68)-2)&amp;" AND CAST("&amp;F68&amp;"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TABELA_SIMUL,'GRP_TTL_DBT' AS CAMPO, '${ref_date}' AS REF_DATE, COUNT(*) AS NUM_REG, SUM(IF(COALESCE(CAST(X.GRP_TTL_DBT AS STRING),'')&lt;&gt;COALESCE(CAST(Y.GRP_TTL_DBT_SIMUL AS STRING),'') OR (X.GRP_TTL_DBT IS NULL AND Y.GRP_TTL_DBT_SIMUL IS NOT NULL ) OR (X.GRP_TTL_DBT IS NOT NULL AND Y.GRP_TTL_DBT_SIMUL IS NULL),1,0)) AS NUM_REG_DIF,'1' AS ID_EXEC, CURRENT_TIMESTAMP() AS TIME_EXEC FROM (SELECT entty_id, GRP_TTL_DBT FROM CD_LOAN_TAPES_BCE.LT003_ENTITY WHERE ref_date='${ref_date}' AND nome_perimetro='Individual Corporativo' AND segmento='ESTR' AND ambito='PM' AND entidade='00100')X INNER JOIN (SELECT entty_id AS entty_id_SIMUL, GRP_TTL_DBT AS GRP_TTL_DBT_SIMUL FROM BU_LOANTAPE_WORK.LT003_ENTITY WHERE ref_date='${ref_date}' AND nome_perimetro='Individual Corporativo' AND segmento='ESTR' AND ambito='PM' AND entidade='00100')Y ON X.ENTTY_ID=Y.ENTTY_ID_SIMUL</v>
      </c>
      <c r="M68" s="36" t="str">
        <f t="shared" si="1"/>
        <v>UNION ALL SELECT 'ENTITY' AS TABELA, 'COERÊNCIA' AS TIPOLOGIA_TESTE,'CD_LOAN_TAPES_BCE.LT003_ENTITY' AS TABELA_LT,'BU_LOANTAPE_WORK.LT003_ENTITY' AS TABELA_SIMUL,'GRP_TTL_DBT' AS CAMPO, '${ref_date}' AS REF_DATE, COUNT(*) AS NUM_REG, SUM(IF(COALESCE(CAST(X.GRP_TTL_DBT AS STRING),'')&lt;&gt;COALESCE(CAST(Y.GRP_TTL_DBT_SIMUL AS STRING),'') OR (X.GRP_TTL_DBT IS NULL AND Y.GRP_TTL_DBT_SIMUL IS NOT NULL ) OR (X.GRP_TTL_DBT IS NOT NULL AND Y.GRP_TTL_DBT_SIMUL IS NULL),1,0)) AS NUM_REG_DIF,'1' AS ID_EXEC, CURRENT_TIMESTAMP() AS TIME_EXEC FROM (SELECT entty_id, GRP_TTL_DBT FROM CD_LOAN_TAPES_BCE.LT003_ENTITY WHERE ref_date='${ref_date}' AND nome_perimetro='Individual Corporativo' AND segmento='ESTR' AND ambito='PM' AND entidade='00100')X INNER JOIN (SELECT entty_id AS entty_id_SIMUL, GRP_TTL_DBT AS GRP_TTL_DBT_SIMUL FROM BU_LOANTAPE_WORK.LT003_ENTITY WHERE ref_date='${ref_date}' AND nome_perimetro='Individual Corporativo' AND segmento='ESTR' AND ambito='PM' AND entidade='00100')Y ON X.ENTTY_ID=Y.ENTTY_ID_SIMUL</v>
      </c>
      <c r="N68" s="38" t="s">
        <v>46</v>
      </c>
    </row>
    <row r="69" spans="2:14">
      <c r="B69" s="34" t="s">
        <v>127</v>
      </c>
      <c r="C69" s="34" t="s">
        <v>5</v>
      </c>
      <c r="D69" s="34" t="str">
        <f>+UPPER('0. Instruções'!$D$35&amp;"."&amp;VLOOKUP(B69,'0. Instruções'!$C$27:$D$32,2,FALSE))</f>
        <v>CD_LOAN_TAPES_BCE.LT003_ENTITY</v>
      </c>
      <c r="E69" s="34" t="str">
        <f>+UPPER('0. Instruções'!$D$36&amp;"."&amp;VLOOKUP(B69,'0. Instruções'!$C$27:$E$32,3,FALSE))</f>
        <v>BU_LOANTAPE_WORK.LT003_ENTITY</v>
      </c>
      <c r="F69" s="34" t="s">
        <v>376</v>
      </c>
      <c r="G69" s="34"/>
      <c r="H69" s="34" t="s">
        <v>92</v>
      </c>
      <c r="I69" s="34" t="str">
        <f>"(SELECT "&amp;VLOOKUP(B69,'0. Instruções'!$C$27:$G$32,4,FALSE)&amp;", "&amp;F69&amp;" FROM "&amp;D69&amp;" WHERE "&amp;'0. Instruções'!$D$42&amp;")X"</f>
        <v>(SELECT entty_id, GDWILL FROM CD_LOAN_TAPES_BCE.LT003_ENTITY WHERE ref_date='${ref_date}' AND nome_perimetro='Individual Corporativo' AND segmento='ESTR' AND ambito='PM' AND entidade='00100')X</v>
      </c>
      <c r="J69" s="34" t="str">
        <f>"(SELECT "&amp;VLOOKUP(B69,'0. Instruções'!$C$27:$G$32,4,FALSE)&amp;" AS "&amp;VLOOKUP(B69,'0. Instruções'!$C$27:$G$32,4,FALSE)&amp;"_SIMUL, "&amp;F69&amp;" AS "&amp;F69&amp;"_SIMUL FROM "&amp;E69&amp;" WHERE "&amp;'0. Instruções'!$D$43&amp;")Y"</f>
        <v>(SELECT entty_id AS entty_id_SIMUL, GDWILL AS GDWILL_SIMUL FROM BU_LOANTAPE_WORK.LT003_ENTITY WHERE ref_date='${ref_date}' AND nome_perimetro='Individual Corporativo' AND segmento='ESTR' AND ambito='PM' AND entidade='00100')Y</v>
      </c>
      <c r="K69" s="35" t="str">
        <f>+UPPER("ON X."&amp;VLOOKUP(B69,'0. Instruções'!$C$27:$G$32,4,FALSE)&amp;"=Y."&amp;VLOOKUP(B69,'0. Instruções'!$C$27:$G$32,4,FALSE)&amp;"_SIMUL")</f>
        <v>ON X.ENTTY_ID=Y.ENTTY_ID_SIMUL</v>
      </c>
      <c r="L69" s="35" t="str">
        <f>+IF(C69="Coerência", +IF(LEFT(G69,5)="FLOAT","SELECT '"&amp;UPPER(B69)&amp;"' AS TABELA, '"&amp;UPPER(C69)&amp;"' AS TIPOLOGIA_TESTE,'"&amp;D69&amp;"' AS TABELA_LT,'"&amp;E69&amp;"' AS TABELA_SIMUL,'"&amp;F69&amp;"' AS CAMPO, "&amp;"'${ref_date}' AS REF_DATE, COUNT(*) AS NUM_REG, SUM(IF((ABS(COALESCE(CAST(X."&amp;F69&amp;" AS DECIMAL(18,6)),0)-COALESCE(CAST(Y."&amp;F69&amp;"_SIMUL AS DECIMAL(18,6)),0))&gt;0.000001) OR (X."&amp;F69&amp;" IS NULL AND Y."&amp;F69&amp;"_SIMUL IS NOT NULL ) OR (X."&amp;F69&amp;" IS NOT NULL AND Y."&amp;F69&amp;"_SIMUL IS NULL),1,0)) AS NUM_REG_DIF,'"&amp;MAX('ID1&amp;5'!K:K)+1&amp;"' AS ID_EXEC, CURRENT_TIMESTAMP() AS TIME_EXEC FROM "&amp;I69&amp;" INNER JOIN "&amp;J69&amp;" "&amp;K69,"SELECT '"&amp;UPPER(B69)&amp;"' AS TABELA, '"&amp;UPPER(C69)&amp;"' AS TIPOLOGIA_TESTE,'"&amp;D69&amp;"' AS TABELA_LT,'"&amp;E69&amp;"' AS TABELA_SIMUL,'"&amp;F69&amp;"' AS CAMPO, "&amp;"'${ref_date}' AS REF_DATE, COUNT(*) AS NUM_REG, SUM(IF(COALESCE(CAST(X."&amp;F69&amp;" AS STRING),'')&lt;&gt;COALESCE(CAST(Y."&amp;F69&amp;"_SIMUL AS STRING),'') OR (X."&amp;F69&amp;" IS NULL AND Y."&amp;F69&amp;"_SIMUL IS NOT NULL ) OR (X."&amp;F69&amp;" IS NOT NULL AND Y."&amp;F69&amp;"_SIMUL IS NULL),1,0)) AS NUM_REG_DIF,'"&amp;MAX('ID1&amp;5'!L:L)+1&amp;"' AS ID_EXEC, CURRENT_TIMESTAMP() AS TIME_EXEC FROM "&amp;I69&amp;" INNER JOIN "&amp;J69&amp;" "&amp;K69),
IF(C69="Validade",+IF(G69="Code List","SELECT '"&amp;UPPER(B69)&amp;"' AS TABELA, '"&amp;UPPER(C69)&amp;"' AS TIPOLOGIA_TESTE,'"&amp;D69&amp;"' AS TABELA_LT,'N/A' AS TABELA_SIMUL,'"&amp;F69&amp;"' AS CAMPO, "&amp;"'${ref_date}' AS REF_DATE, COUNT(*) AS NUM_REG, SUM(IF(TRIM(CAST(X."&amp;F69&amp;" AS STRING))='' OR TRIM(CAST(X."&amp;F69&amp;" AS STRING)) IS NULL OR CAST(X."&amp;F69&amp;" AS STRING) NOT "&amp;H69&amp;",1,0)) AS NUM_REG_DIF,'"&amp;MAX('ID1&amp;5'!K:K)+1&amp;"' AS ID_EXEC, CURRENT_TIMESTAMP() AS TIME_EXEC FROM "&amp;I69,"SELECT '"&amp;UPPER(B69)&amp;"' AS TABELA, '"&amp;UPPER(C69)&amp;"' AS TIPOLOGIA_TESTE,'"&amp;D69&amp;"' AS TABELA_LT,'N/A' AS TABELA_SIMUL,'"&amp;F69&amp;"' AS CAMPO, "&amp;"'${ref_date}' AS REF_DATE, COUNT(*) AS NUM_REG, SUM(IF(TRIM(CAST(X."&amp;F69&amp;" AS STRING))='' OR TRIM(CAST(X."&amp;F69&amp;" AS STRING)) IS NULL,1,0)) AS NUM_REG_DIF,'"&amp;MAX('ID1&amp;5'!K:K)+1&amp;"' AS ID_EXEC, CURRENT_TIMESTAMP() AS TIME_EXEC FROM "&amp;I69),
IF(C69="Caracteres Especiais",+"SELECT '"&amp;UPPER(B69)&amp;"' AS TABELA, '"&amp;UPPER(C69)&amp;"' AS TIPOLOGIA_TESTE,'"&amp;D69&amp;"' AS TABELA_LT,'N/A' AS TABELA_SIMUL,'"&amp;F69&amp;"' AS CAMPO, "&amp;"'${ref_date}' AS REF_DATE, COUNT(*) AS NUM_REG, SUM(IF(REGEXP_REPLACE(TRIM(CAST(X."&amp;F69&amp;" AS STRING)),'[^a-zA-Z0-9_\\s]','') &lt;&gt;TRIM(CAST(X."&amp;F69&amp;" AS STRING)),1,0)) AS NUM_REG_DIF,'"&amp;MAX('ID1&amp;5'!K:K)+1&amp;"' AS ID_EXEC, CURRENT_TIMESTAMP() AS TIME_EXEC FROM "&amp;I69,
IF(C69="Missings",+"SELECT '"&amp;UPPER(B69)&amp;"' AS TABELA, '"&amp;UPPER(C69)&amp;"' AS TIPOLOGIA_TESTE,'"&amp;D69&amp;"' AS TABELA_LT,'N/A' AS TABELA_SIMUL,'"&amp;F69&amp;"' AS CAMPO, "&amp;"'${ref_date}' AS REF_DATE, COUNT(*) AS NUM_REG, SUM(IF(TRIM(CAST(X."&amp;F69&amp;" AS STRING)) IN ('0000-00-00','0001-01-01','9999-12-31','MISS','00000','99999999999','99999999999.00','99999999999.000000'),1,0)) AS NUM_REG_DIF,'"&amp;MAX('ID1&amp;5'!K:K)+1&amp;"' AS ID_EXEC, CURRENT_TIMESTAMP() AS TIME_EXEC FROM "&amp;I69,
IF(C69="Not applicable",+"SELECT '"&amp;UPPER(B69)&amp;"' AS TABELA, '"&amp;UPPER(C69)&amp;"' AS TIPOLOGIA_TESTE,'"&amp;D69&amp;"' AS TABELA_LT,'N/A' AS TABELA_SIMUL,'"&amp;F69&amp;"' AS CAMPO, "&amp;"'${ref_date}' AS REF_DATE, COUNT(*) AS NUM_REG, SUM(IF(TRIM(CAST(X."&amp;F69&amp;" AS STRING)) IN ('N/A','11111111111','11111111111.00','11111111111.000000','1111-11-11'),1,0)) AS NUM_REG_DIF,'"&amp;MAX('ID1&amp;5'!K:K)+1&amp;"' AS ID_EXEC, CURRENT_TIMESTAMP() AS TIME_EXEC FROM "&amp;I69,
IF(C69="Valores extremos",+"SELECT '"&amp;UPPER(B69)&amp;"' AS TABELA, '"&amp;UPPER(C69)&amp;"' AS TIPOLOGIA_TESTE,'"&amp;D69&amp;"' AS TABELA_LT,'N/A' AS TABELA_SIMUL,'"&amp;F69&amp;"' AS CAMPO, "&amp;"'${ref_date}' AS REF_DATE, CAST(MIN("&amp;F69&amp;") AS STRING) AS VALOR_MIN, CAST(MAX("&amp;F69&amp;") AS STRING) AS VALOR_MAX,'"&amp;MAX('ID1&amp;5'!K:K)+1&amp;"' AS ID_EXEC, CURRENT_TIMESTAMP() AS TIME_EXEC FROM "&amp;MID(I69,1,LEN(I69)-2)&amp;" AND CAST("&amp;F69&amp;"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TABELA_SIMUL,'GDWILL' AS CAMPO, '${ref_date}' AS REF_DATE, COUNT(*) AS NUM_REG, SUM(IF(COALESCE(CAST(X.GDWILL AS STRING),'')&lt;&gt;COALESCE(CAST(Y.GDWILL_SIMUL AS STRING),'') OR (X.GDWILL IS NULL AND Y.GDWILL_SIMUL IS NOT NULL ) OR (X.GDWILL IS NOT NULL AND Y.GDWILL_SIMUL IS NULL),1,0)) AS NUM_REG_DIF,'1' AS ID_EXEC, CURRENT_TIMESTAMP() AS TIME_EXEC FROM (SELECT entty_id, GDWILL FROM CD_LOAN_TAPES_BCE.LT003_ENTITY WHERE ref_date='${ref_date}' AND nome_perimetro='Individual Corporativo' AND segmento='ESTR' AND ambito='PM' AND entidade='00100')X INNER JOIN (SELECT entty_id AS entty_id_SIMUL, GDWILL AS GDWILL_SIMUL FROM BU_LOANTAPE_WORK.LT003_ENTITY WHERE ref_date='${ref_date}' AND nome_perimetro='Individual Corporativo' AND segmento='ESTR' AND ambito='PM' AND entidade='00100')Y ON X.ENTTY_ID=Y.ENTTY_ID_SIMUL</v>
      </c>
      <c r="M69" s="36" t="str">
        <f t="shared" si="1"/>
        <v>UNION ALL SELECT 'ENTITY' AS TABELA, 'COERÊNCIA' AS TIPOLOGIA_TESTE,'CD_LOAN_TAPES_BCE.LT003_ENTITY' AS TABELA_LT,'BU_LOANTAPE_WORK.LT003_ENTITY' AS TABELA_SIMUL,'GDWILL' AS CAMPO, '${ref_date}' AS REF_DATE, COUNT(*) AS NUM_REG, SUM(IF(COALESCE(CAST(X.GDWILL AS STRING),'')&lt;&gt;COALESCE(CAST(Y.GDWILL_SIMUL AS STRING),'') OR (X.GDWILL IS NULL AND Y.GDWILL_SIMUL IS NOT NULL ) OR (X.GDWILL IS NOT NULL AND Y.GDWILL_SIMUL IS NULL),1,0)) AS NUM_REG_DIF,'1' AS ID_EXEC, CURRENT_TIMESTAMP() AS TIME_EXEC FROM (SELECT entty_id, GDWILL FROM CD_LOAN_TAPES_BCE.LT003_ENTITY WHERE ref_date='${ref_date}' AND nome_perimetro='Individual Corporativo' AND segmento='ESTR' AND ambito='PM' AND entidade='00100')X INNER JOIN (SELECT entty_id AS entty_id_SIMUL, GDWILL AS GDWILL_SIMUL FROM BU_LOANTAPE_WORK.LT003_ENTITY WHERE ref_date='${ref_date}' AND nome_perimetro='Individual Corporativo' AND segmento='ESTR' AND ambito='PM' AND entidade='00100')Y ON X.ENTTY_ID=Y.ENTTY_ID_SIMUL</v>
      </c>
      <c r="N69" s="38" t="s">
        <v>46</v>
      </c>
    </row>
    <row r="70" spans="2:14">
      <c r="B70" s="34" t="s">
        <v>127</v>
      </c>
      <c r="C70" s="34" t="s">
        <v>5</v>
      </c>
      <c r="D70" s="34" t="str">
        <f>+UPPER('0. Instruções'!$D$35&amp;"."&amp;VLOOKUP(B70,'0. Instruções'!$C$27:$D$32,2,FALSE))</f>
        <v>CD_LOAN_TAPES_BCE.LT003_ENTITY</v>
      </c>
      <c r="E70" s="34" t="str">
        <f>+UPPER('0. Instruções'!$D$36&amp;"."&amp;VLOOKUP(B70,'0. Instruções'!$C$27:$E$32,3,FALSE))</f>
        <v>BU_LOANTAPE_WORK.LT003_ENTITY</v>
      </c>
      <c r="F70" s="34" t="s">
        <v>377</v>
      </c>
      <c r="G70" s="34"/>
      <c r="H70" s="34" t="s">
        <v>92</v>
      </c>
      <c r="I70" s="34" t="str">
        <f>"(SELECT "&amp;VLOOKUP(B70,'0. Instruções'!$C$27:$G$32,4,FALSE)&amp;", "&amp;F70&amp;" FROM "&amp;D70&amp;" WHERE "&amp;'0. Instruções'!$D$42&amp;")X"</f>
        <v>(SELECT entty_id, GDWILL_PRVS FROM CD_LOAN_TAPES_BCE.LT003_ENTITY WHERE ref_date='${ref_date}' AND nome_perimetro='Individual Corporativo' AND segmento='ESTR' AND ambito='PM' AND entidade='00100')X</v>
      </c>
      <c r="J70" s="34" t="str">
        <f>"(SELECT "&amp;VLOOKUP(B70,'0. Instruções'!$C$27:$G$32,4,FALSE)&amp;" AS "&amp;VLOOKUP(B70,'0. Instruções'!$C$27:$G$32,4,FALSE)&amp;"_SIMUL, "&amp;F70&amp;" AS "&amp;F70&amp;"_SIMUL FROM "&amp;E70&amp;" WHERE "&amp;'0. Instruções'!$D$43&amp;")Y"</f>
        <v>(SELECT entty_id AS entty_id_SIMUL, GDWILL_PRVS AS GDWILL_PRVS_SIMUL FROM BU_LOANTAPE_WORK.LT003_ENTITY WHERE ref_date='${ref_date}' AND nome_perimetro='Individual Corporativo' AND segmento='ESTR' AND ambito='PM' AND entidade='00100')Y</v>
      </c>
      <c r="K70" s="35" t="str">
        <f>+UPPER("ON X."&amp;VLOOKUP(B70,'0. Instruções'!$C$27:$G$32,4,FALSE)&amp;"=Y."&amp;VLOOKUP(B70,'0. Instruções'!$C$27:$G$32,4,FALSE)&amp;"_SIMUL")</f>
        <v>ON X.ENTTY_ID=Y.ENTTY_ID_SIMUL</v>
      </c>
      <c r="L70" s="35" t="str">
        <f>+IF(C70="Coerência", +IF(LEFT(G70,5)="FLOAT","SELECT '"&amp;UPPER(B70)&amp;"' AS TABELA, '"&amp;UPPER(C70)&amp;"' AS TIPOLOGIA_TESTE,'"&amp;D70&amp;"' AS TABELA_LT,'"&amp;E70&amp;"' AS TABELA_SIMUL,'"&amp;F70&amp;"' AS CAMPO, "&amp;"'${ref_date}' AS REF_DATE, COUNT(*) AS NUM_REG, SUM(IF((ABS(COALESCE(CAST(X."&amp;F70&amp;" AS DECIMAL(18,6)),0)-COALESCE(CAST(Y."&amp;F70&amp;"_SIMUL AS DECIMAL(18,6)),0))&gt;0.000001) OR (X."&amp;F70&amp;" IS NULL AND Y."&amp;F70&amp;"_SIMUL IS NOT NULL ) OR (X."&amp;F70&amp;" IS NOT NULL AND Y."&amp;F70&amp;"_SIMUL IS NULL),1,0)) AS NUM_REG_DIF,'"&amp;MAX('ID1&amp;5'!K:K)+1&amp;"' AS ID_EXEC, CURRENT_TIMESTAMP() AS TIME_EXEC FROM "&amp;I70&amp;" INNER JOIN "&amp;J70&amp;" "&amp;K70,"SELECT '"&amp;UPPER(B70)&amp;"' AS TABELA, '"&amp;UPPER(C70)&amp;"' AS TIPOLOGIA_TESTE,'"&amp;D70&amp;"' AS TABELA_LT,'"&amp;E70&amp;"' AS TABELA_SIMUL,'"&amp;F70&amp;"' AS CAMPO, "&amp;"'${ref_date}' AS REF_DATE, COUNT(*) AS NUM_REG, SUM(IF(COALESCE(CAST(X."&amp;F70&amp;" AS STRING),'')&lt;&gt;COALESCE(CAST(Y."&amp;F70&amp;"_SIMUL AS STRING),'') OR (X."&amp;F70&amp;" IS NULL AND Y."&amp;F70&amp;"_SIMUL IS NOT NULL ) OR (X."&amp;F70&amp;" IS NOT NULL AND Y."&amp;F70&amp;"_SIMUL IS NULL),1,0)) AS NUM_REG_DIF,'"&amp;MAX('ID1&amp;5'!L:L)+1&amp;"' AS ID_EXEC, CURRENT_TIMESTAMP() AS TIME_EXEC FROM "&amp;I70&amp;" INNER JOIN "&amp;J70&amp;" "&amp;K70),
IF(C70="Validade",+IF(G70="Code List","SELECT '"&amp;UPPER(B70)&amp;"' AS TABELA, '"&amp;UPPER(C70)&amp;"' AS TIPOLOGIA_TESTE,'"&amp;D70&amp;"' AS TABELA_LT,'N/A' AS TABELA_SIMUL,'"&amp;F70&amp;"' AS CAMPO, "&amp;"'${ref_date}' AS REF_DATE, COUNT(*) AS NUM_REG, SUM(IF(TRIM(CAST(X."&amp;F70&amp;" AS STRING))='' OR TRIM(CAST(X."&amp;F70&amp;" AS STRING)) IS NULL OR CAST(X."&amp;F70&amp;" AS STRING) NOT "&amp;H70&amp;",1,0)) AS NUM_REG_DIF,'"&amp;MAX('ID1&amp;5'!K:K)+1&amp;"' AS ID_EXEC, CURRENT_TIMESTAMP() AS TIME_EXEC FROM "&amp;I70,"SELECT '"&amp;UPPER(B70)&amp;"' AS TABELA, '"&amp;UPPER(C70)&amp;"' AS TIPOLOGIA_TESTE,'"&amp;D70&amp;"' AS TABELA_LT,'N/A' AS TABELA_SIMUL,'"&amp;F70&amp;"' AS CAMPO, "&amp;"'${ref_date}' AS REF_DATE, COUNT(*) AS NUM_REG, SUM(IF(TRIM(CAST(X."&amp;F70&amp;" AS STRING))='' OR TRIM(CAST(X."&amp;F70&amp;" AS STRING)) IS NULL,1,0)) AS NUM_REG_DIF,'"&amp;MAX('ID1&amp;5'!K:K)+1&amp;"' AS ID_EXEC, CURRENT_TIMESTAMP() AS TIME_EXEC FROM "&amp;I70),
IF(C70="Caracteres Especiais",+"SELECT '"&amp;UPPER(B70)&amp;"' AS TABELA, '"&amp;UPPER(C70)&amp;"' AS TIPOLOGIA_TESTE,'"&amp;D70&amp;"' AS TABELA_LT,'N/A' AS TABELA_SIMUL,'"&amp;F70&amp;"' AS CAMPO, "&amp;"'${ref_date}' AS REF_DATE, COUNT(*) AS NUM_REG, SUM(IF(REGEXP_REPLACE(TRIM(CAST(X."&amp;F70&amp;" AS STRING)),'[^a-zA-Z0-9_\\s]','') &lt;&gt;TRIM(CAST(X."&amp;F70&amp;" AS STRING)),1,0)) AS NUM_REG_DIF,'"&amp;MAX('ID1&amp;5'!K:K)+1&amp;"' AS ID_EXEC, CURRENT_TIMESTAMP() AS TIME_EXEC FROM "&amp;I70,
IF(C70="Missings",+"SELECT '"&amp;UPPER(B70)&amp;"' AS TABELA, '"&amp;UPPER(C70)&amp;"' AS TIPOLOGIA_TESTE,'"&amp;D70&amp;"' AS TABELA_LT,'N/A' AS TABELA_SIMUL,'"&amp;F70&amp;"' AS CAMPO, "&amp;"'${ref_date}' AS REF_DATE, COUNT(*) AS NUM_REG, SUM(IF(TRIM(CAST(X."&amp;F70&amp;" AS STRING)) IN ('0000-00-00','0001-01-01','9999-12-31','MISS','00000','99999999999','99999999999.00','99999999999.000000'),1,0)) AS NUM_REG_DIF,'"&amp;MAX('ID1&amp;5'!K:K)+1&amp;"' AS ID_EXEC, CURRENT_TIMESTAMP() AS TIME_EXEC FROM "&amp;I70,
IF(C70="Not applicable",+"SELECT '"&amp;UPPER(B70)&amp;"' AS TABELA, '"&amp;UPPER(C70)&amp;"' AS TIPOLOGIA_TESTE,'"&amp;D70&amp;"' AS TABELA_LT,'N/A' AS TABELA_SIMUL,'"&amp;F70&amp;"' AS CAMPO, "&amp;"'${ref_date}' AS REF_DATE, COUNT(*) AS NUM_REG, SUM(IF(TRIM(CAST(X."&amp;F70&amp;" AS STRING)) IN ('N/A','11111111111','11111111111.00','11111111111.000000','1111-11-11'),1,0)) AS NUM_REG_DIF,'"&amp;MAX('ID1&amp;5'!K:K)+1&amp;"' AS ID_EXEC, CURRENT_TIMESTAMP() AS TIME_EXEC FROM "&amp;I70,
IF(C70="Valores extremos",+"SELECT '"&amp;UPPER(B70)&amp;"' AS TABELA, '"&amp;UPPER(C70)&amp;"' AS TIPOLOGIA_TESTE,'"&amp;D70&amp;"' AS TABELA_LT,'N/A' AS TABELA_SIMUL,'"&amp;F70&amp;"' AS CAMPO, "&amp;"'${ref_date}' AS REF_DATE, CAST(MIN("&amp;F70&amp;") AS STRING) AS VALOR_MIN, CAST(MAX("&amp;F70&amp;") AS STRING) AS VALOR_MAX,'"&amp;MAX('ID1&amp;5'!K:K)+1&amp;"' AS ID_EXEC, CURRENT_TIMESTAMP() AS TIME_EXEC FROM "&amp;MID(I70,1,LEN(I70)-2)&amp;" AND CAST("&amp;F70&amp;"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TABELA_SIMUL,'GDWILL_PRVS' AS CAMPO, '${ref_date}' AS REF_DATE, COUNT(*) AS NUM_REG, SUM(IF(COALESCE(CAST(X.GDWILL_PRVS AS STRING),'')&lt;&gt;COALESCE(CAST(Y.GDWILL_PRVS_SIMUL AS STRING),'') OR (X.GDWILL_PRVS IS NULL AND Y.GDWILL_PRVS_SIMUL IS NOT NULL ) OR (X.GDWILL_PRVS IS NOT NULL AND Y.GDWILL_PRVS_SIMUL IS NULL),1,0)) AS NUM_REG_DIF,'1' AS ID_EXEC, CURRENT_TIMESTAMP() AS TIME_EXEC FROM (SELECT entty_id, GDWILL_PRVS FROM CD_LOAN_TAPES_BCE.LT003_ENTITY WHERE ref_date='${ref_date}' AND nome_perimetro='Individual Corporativo' AND segmento='ESTR' AND ambito='PM' AND entidade='00100')X INNER JOIN (SELECT entty_id AS entty_id_SIMUL, GDWILL_PRVS AS GDWILL_PRVS_SIMUL FROM BU_LOANTAPE_WORK.LT003_ENTITY WHERE ref_date='${ref_date}' AND nome_perimetro='Individual Corporativo' AND segmento='ESTR' AND ambito='PM' AND entidade='00100')Y ON X.ENTTY_ID=Y.ENTTY_ID_SIMUL</v>
      </c>
      <c r="M70" s="36" t="str">
        <f t="shared" si="1"/>
        <v>UNION ALL SELECT 'ENTITY' AS TABELA, 'COERÊNCIA' AS TIPOLOGIA_TESTE,'CD_LOAN_TAPES_BCE.LT003_ENTITY' AS TABELA_LT,'BU_LOANTAPE_WORK.LT003_ENTITY' AS TABELA_SIMUL,'GDWILL_PRVS' AS CAMPO, '${ref_date}' AS REF_DATE, COUNT(*) AS NUM_REG, SUM(IF(COALESCE(CAST(X.GDWILL_PRVS AS STRING),'')&lt;&gt;COALESCE(CAST(Y.GDWILL_PRVS_SIMUL AS STRING),'') OR (X.GDWILL_PRVS IS NULL AND Y.GDWILL_PRVS_SIMUL IS NOT NULL ) OR (X.GDWILL_PRVS IS NOT NULL AND Y.GDWILL_PRVS_SIMUL IS NULL),1,0)) AS NUM_REG_DIF,'1' AS ID_EXEC, CURRENT_TIMESTAMP() AS TIME_EXEC FROM (SELECT entty_id, GDWILL_PRVS FROM CD_LOAN_TAPES_BCE.LT003_ENTITY WHERE ref_date='${ref_date}' AND nome_perimetro='Individual Corporativo' AND segmento='ESTR' AND ambito='PM' AND entidade='00100')X INNER JOIN (SELECT entty_id AS entty_id_SIMUL, GDWILL_PRVS AS GDWILL_PRVS_SIMUL FROM BU_LOANTAPE_WORK.LT003_ENTITY WHERE ref_date='${ref_date}' AND nome_perimetro='Individual Corporativo' AND segmento='ESTR' AND ambito='PM' AND entidade='00100')Y ON X.ENTTY_ID=Y.ENTTY_ID_SIMUL</v>
      </c>
      <c r="N70" s="38" t="s">
        <v>46</v>
      </c>
    </row>
    <row r="71" spans="2:14">
      <c r="B71" s="34" t="s">
        <v>127</v>
      </c>
      <c r="C71" s="34" t="s">
        <v>5</v>
      </c>
      <c r="D71" s="34" t="str">
        <f>+UPPER('0. Instruções'!$D$35&amp;"."&amp;VLOOKUP(B71,'0. Instruções'!$C$27:$D$32,2,FALSE))</f>
        <v>CD_LOAN_TAPES_BCE.LT003_ENTITY</v>
      </c>
      <c r="E71" s="34" t="str">
        <f>+UPPER('0. Instruções'!$D$36&amp;"."&amp;VLOOKUP(B71,'0. Instruções'!$C$27:$E$32,3,FALSE))</f>
        <v>BU_LOANTAPE_WORK.LT003_ENTITY</v>
      </c>
      <c r="F71" s="34" t="s">
        <v>378</v>
      </c>
      <c r="G71" s="34"/>
      <c r="H71" s="34" t="s">
        <v>91</v>
      </c>
      <c r="I71" s="34" t="str">
        <f>"(SELECT "&amp;VLOOKUP(B71,'0. Instruções'!$C$27:$G$32,4,FALSE)&amp;", "&amp;F71&amp;" FROM "&amp;D71&amp;" WHERE "&amp;'0. Instruções'!$D$42&amp;")X"</f>
        <v>(SELECT entty_id, LTI FROM CD_LOAN_TAPES_BCE.LT003_ENTITY WHERE ref_date='${ref_date}' AND nome_perimetro='Individual Corporativo' AND segmento='ESTR' AND ambito='PM' AND entidade='00100')X</v>
      </c>
      <c r="J71" s="34" t="str">
        <f>"(SELECT "&amp;VLOOKUP(B71,'0. Instruções'!$C$27:$G$32,4,FALSE)&amp;" AS "&amp;VLOOKUP(B71,'0. Instruções'!$C$27:$G$32,4,FALSE)&amp;"_SIMUL, "&amp;F71&amp;" AS "&amp;F71&amp;"_SIMUL FROM "&amp;E71&amp;" WHERE "&amp;'0. Instruções'!$D$43&amp;")Y"</f>
        <v>(SELECT entty_id AS entty_id_SIMUL, LTI AS LTI_SIMUL FROM BU_LOANTAPE_WORK.LT003_ENTITY WHERE ref_date='${ref_date}' AND nome_perimetro='Individual Corporativo' AND segmento='ESTR' AND ambito='PM' AND entidade='00100')Y</v>
      </c>
      <c r="K71" s="35" t="str">
        <f>+UPPER("ON X."&amp;VLOOKUP(B71,'0. Instruções'!$C$27:$G$32,4,FALSE)&amp;"=Y."&amp;VLOOKUP(B71,'0. Instruções'!$C$27:$G$32,4,FALSE)&amp;"_SIMUL")</f>
        <v>ON X.ENTTY_ID=Y.ENTTY_ID_SIMUL</v>
      </c>
      <c r="L71" s="35" t="str">
        <f>+IF(C71="Coerência", +IF(LEFT(G71,5)="FLOAT","SELECT '"&amp;UPPER(B71)&amp;"' AS TABELA, '"&amp;UPPER(C71)&amp;"' AS TIPOLOGIA_TESTE,'"&amp;D71&amp;"' AS TABELA_LT,'"&amp;E71&amp;"' AS TABELA_SIMUL,'"&amp;F71&amp;"' AS CAMPO, "&amp;"'${ref_date}' AS REF_DATE, COUNT(*) AS NUM_REG, SUM(IF((ABS(COALESCE(CAST(X."&amp;F71&amp;" AS DECIMAL(18,6)),0)-COALESCE(CAST(Y."&amp;F71&amp;"_SIMUL AS DECIMAL(18,6)),0))&gt;0.000001) OR (X."&amp;F71&amp;" IS NULL AND Y."&amp;F71&amp;"_SIMUL IS NOT NULL ) OR (X."&amp;F71&amp;" IS NOT NULL AND Y."&amp;F71&amp;"_SIMUL IS NULL),1,0)) AS NUM_REG_DIF,'"&amp;MAX('ID1&amp;5'!K:K)+1&amp;"' AS ID_EXEC, CURRENT_TIMESTAMP() AS TIME_EXEC FROM "&amp;I71&amp;" INNER JOIN "&amp;J71&amp;" "&amp;K71,"SELECT '"&amp;UPPER(B71)&amp;"' AS TABELA, '"&amp;UPPER(C71)&amp;"' AS TIPOLOGIA_TESTE,'"&amp;D71&amp;"' AS TABELA_LT,'"&amp;E71&amp;"' AS TABELA_SIMUL,'"&amp;F71&amp;"' AS CAMPO, "&amp;"'${ref_date}' AS REF_DATE, COUNT(*) AS NUM_REG, SUM(IF(COALESCE(CAST(X."&amp;F71&amp;" AS STRING),'')&lt;&gt;COALESCE(CAST(Y."&amp;F71&amp;"_SIMUL AS STRING),'') OR (X."&amp;F71&amp;" IS NULL AND Y."&amp;F71&amp;"_SIMUL IS NOT NULL ) OR (X."&amp;F71&amp;" IS NOT NULL AND Y."&amp;F71&amp;"_SIMUL IS NULL),1,0)) AS NUM_REG_DIF,'"&amp;MAX('ID1&amp;5'!L:L)+1&amp;"' AS ID_EXEC, CURRENT_TIMESTAMP() AS TIME_EXEC FROM "&amp;I71&amp;" INNER JOIN "&amp;J71&amp;" "&amp;K71),
IF(C71="Validade",+IF(G71="Code List","SELECT '"&amp;UPPER(B71)&amp;"' AS TABELA, '"&amp;UPPER(C71)&amp;"' AS TIPOLOGIA_TESTE,'"&amp;D71&amp;"' AS TABELA_LT,'N/A' AS TABELA_SIMUL,'"&amp;F71&amp;"' AS CAMPO, "&amp;"'${ref_date}' AS REF_DATE, COUNT(*) AS NUM_REG, SUM(IF(TRIM(CAST(X."&amp;F71&amp;" AS STRING))='' OR TRIM(CAST(X."&amp;F71&amp;" AS STRING)) IS NULL OR CAST(X."&amp;F71&amp;" AS STRING) NOT "&amp;H71&amp;",1,0)) AS NUM_REG_DIF,'"&amp;MAX('ID1&amp;5'!K:K)+1&amp;"' AS ID_EXEC, CURRENT_TIMESTAMP() AS TIME_EXEC FROM "&amp;I71,"SELECT '"&amp;UPPER(B71)&amp;"' AS TABELA, '"&amp;UPPER(C71)&amp;"' AS TIPOLOGIA_TESTE,'"&amp;D71&amp;"' AS TABELA_LT,'N/A' AS TABELA_SIMUL,'"&amp;F71&amp;"' AS CAMPO, "&amp;"'${ref_date}' AS REF_DATE, COUNT(*) AS NUM_REG, SUM(IF(TRIM(CAST(X."&amp;F71&amp;" AS STRING))='' OR TRIM(CAST(X."&amp;F71&amp;" AS STRING)) IS NULL,1,0)) AS NUM_REG_DIF,'"&amp;MAX('ID1&amp;5'!K:K)+1&amp;"' AS ID_EXEC, CURRENT_TIMESTAMP() AS TIME_EXEC FROM "&amp;I71),
IF(C71="Caracteres Especiais",+"SELECT '"&amp;UPPER(B71)&amp;"' AS TABELA, '"&amp;UPPER(C71)&amp;"' AS TIPOLOGIA_TESTE,'"&amp;D71&amp;"' AS TABELA_LT,'N/A' AS TABELA_SIMUL,'"&amp;F71&amp;"' AS CAMPO, "&amp;"'${ref_date}' AS REF_DATE, COUNT(*) AS NUM_REG, SUM(IF(REGEXP_REPLACE(TRIM(CAST(X."&amp;F71&amp;" AS STRING)),'[^a-zA-Z0-9_\\s]','') &lt;&gt;TRIM(CAST(X."&amp;F71&amp;" AS STRING)),1,0)) AS NUM_REG_DIF,'"&amp;MAX('ID1&amp;5'!K:K)+1&amp;"' AS ID_EXEC, CURRENT_TIMESTAMP() AS TIME_EXEC FROM "&amp;I71,
IF(C71="Missings",+"SELECT '"&amp;UPPER(B71)&amp;"' AS TABELA, '"&amp;UPPER(C71)&amp;"' AS TIPOLOGIA_TESTE,'"&amp;D71&amp;"' AS TABELA_LT,'N/A' AS TABELA_SIMUL,'"&amp;F71&amp;"' AS CAMPO, "&amp;"'${ref_date}' AS REF_DATE, COUNT(*) AS NUM_REG, SUM(IF(TRIM(CAST(X."&amp;F71&amp;" AS STRING)) IN ('0000-00-00','0001-01-01','9999-12-31','MISS','00000','99999999999','99999999999.00','99999999999.000000'),1,0)) AS NUM_REG_DIF,'"&amp;MAX('ID1&amp;5'!K:K)+1&amp;"' AS ID_EXEC, CURRENT_TIMESTAMP() AS TIME_EXEC FROM "&amp;I71,
IF(C71="Not applicable",+"SELECT '"&amp;UPPER(B71)&amp;"' AS TABELA, '"&amp;UPPER(C71)&amp;"' AS TIPOLOGIA_TESTE,'"&amp;D71&amp;"' AS TABELA_LT,'N/A' AS TABELA_SIMUL,'"&amp;F71&amp;"' AS CAMPO, "&amp;"'${ref_date}' AS REF_DATE, COUNT(*) AS NUM_REG, SUM(IF(TRIM(CAST(X."&amp;F71&amp;" AS STRING)) IN ('N/A','11111111111','11111111111.00','11111111111.000000','1111-11-11'),1,0)) AS NUM_REG_DIF,'"&amp;MAX('ID1&amp;5'!K:K)+1&amp;"' AS ID_EXEC, CURRENT_TIMESTAMP() AS TIME_EXEC FROM "&amp;I71,
IF(C71="Valores extremos",+"SELECT '"&amp;UPPER(B71)&amp;"' AS TABELA, '"&amp;UPPER(C71)&amp;"' AS TIPOLOGIA_TESTE,'"&amp;D71&amp;"' AS TABELA_LT,'N/A' AS TABELA_SIMUL,'"&amp;F71&amp;"' AS CAMPO, "&amp;"'${ref_date}' AS REF_DATE, CAST(MIN("&amp;F71&amp;") AS STRING) AS VALOR_MIN, CAST(MAX("&amp;F71&amp;") AS STRING) AS VALOR_MAX,'"&amp;MAX('ID1&amp;5'!K:K)+1&amp;"' AS ID_EXEC, CURRENT_TIMESTAMP() AS TIME_EXEC FROM "&amp;MID(I71,1,LEN(I71)-2)&amp;" AND CAST("&amp;F71&amp;"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TABELA_SIMUL,'LTI' AS CAMPO, '${ref_date}' AS REF_DATE, COUNT(*) AS NUM_REG, SUM(IF(COALESCE(CAST(X.LTI AS STRING),'')&lt;&gt;COALESCE(CAST(Y.LTI_SIMUL AS STRING),'') OR (X.LTI IS NULL AND Y.LTI_SIMUL IS NOT NULL ) OR (X.LTI IS NOT NULL AND Y.LTI_SIMUL IS NULL),1,0)) AS NUM_REG_DIF,'1' AS ID_EXEC, CURRENT_TIMESTAMP() AS TIME_EXEC FROM (SELECT entty_id, LTI FROM CD_LOAN_TAPES_BCE.LT003_ENTITY WHERE ref_date='${ref_date}' AND nome_perimetro='Individual Corporativo' AND segmento='ESTR' AND ambito='PM' AND entidade='00100')X INNER JOIN (SELECT entty_id AS entty_id_SIMUL, LTI AS LTI_SIMUL FROM BU_LOANTAPE_WORK.LT003_ENTITY WHERE ref_date='${ref_date}' AND nome_perimetro='Individual Corporativo' AND segmento='ESTR' AND ambito='PM' AND entidade='00100')Y ON X.ENTTY_ID=Y.ENTTY_ID_SIMUL</v>
      </c>
      <c r="M71" s="36" t="str">
        <f t="shared" si="1"/>
        <v>UNION ALL SELECT 'ENTITY' AS TABELA, 'COERÊNCIA' AS TIPOLOGIA_TESTE,'CD_LOAN_TAPES_BCE.LT003_ENTITY' AS TABELA_LT,'BU_LOANTAPE_WORK.LT003_ENTITY' AS TABELA_SIMUL,'LTI' AS CAMPO, '${ref_date}' AS REF_DATE, COUNT(*) AS NUM_REG, SUM(IF(COALESCE(CAST(X.LTI AS STRING),'')&lt;&gt;COALESCE(CAST(Y.LTI_SIMUL AS STRING),'') OR (X.LTI IS NULL AND Y.LTI_SIMUL IS NOT NULL ) OR (X.LTI IS NOT NULL AND Y.LTI_SIMUL IS NULL),1,0)) AS NUM_REG_DIF,'1' AS ID_EXEC, CURRENT_TIMESTAMP() AS TIME_EXEC FROM (SELECT entty_id, LTI FROM CD_LOAN_TAPES_BCE.LT003_ENTITY WHERE ref_date='${ref_date}' AND nome_perimetro='Individual Corporativo' AND segmento='ESTR' AND ambito='PM' AND entidade='00100')X INNER JOIN (SELECT entty_id AS entty_id_SIMUL, LTI AS LTI_SIMUL FROM BU_LOANTAPE_WORK.LT003_ENTITY WHERE ref_date='${ref_date}' AND nome_perimetro='Individual Corporativo' AND segmento='ESTR' AND ambito='PM' AND entidade='00100')Y ON X.ENTTY_ID=Y.ENTTY_ID_SIMUL</v>
      </c>
      <c r="N71" s="38" t="s">
        <v>46</v>
      </c>
    </row>
    <row r="72" spans="2:14">
      <c r="B72" s="34" t="s">
        <v>127</v>
      </c>
      <c r="C72" s="34" t="s">
        <v>5</v>
      </c>
      <c r="D72" s="34" t="str">
        <f>+UPPER('0. Instruções'!$D$35&amp;"."&amp;VLOOKUP(B72,'0. Instruções'!$C$27:$D$32,2,FALSE))</f>
        <v>CD_LOAN_TAPES_BCE.LT003_ENTITY</v>
      </c>
      <c r="E72" s="34" t="str">
        <f>+UPPER('0. Instruções'!$D$36&amp;"."&amp;VLOOKUP(B72,'0. Instruções'!$C$27:$E$32,3,FALSE))</f>
        <v>BU_LOANTAPE_WORK.LT003_ENTITY</v>
      </c>
      <c r="F72" s="34" t="s">
        <v>379</v>
      </c>
      <c r="G72" s="34"/>
      <c r="H72" s="34" t="s">
        <v>91</v>
      </c>
      <c r="I72" s="34" t="str">
        <f>"(SELECT "&amp;VLOOKUP(B72,'0. Instruções'!$C$27:$G$32,4,FALSE)&amp;", "&amp;F72&amp;" FROM "&amp;D72&amp;" WHERE "&amp;'0. Instruções'!$D$42&amp;")X"</f>
        <v>(SELECT entty_id, LVRG FROM CD_LOAN_TAPES_BCE.LT003_ENTITY WHERE ref_date='${ref_date}' AND nome_perimetro='Individual Corporativo' AND segmento='ESTR' AND ambito='PM' AND entidade='00100')X</v>
      </c>
      <c r="J72" s="34" t="str">
        <f>"(SELECT "&amp;VLOOKUP(B72,'0. Instruções'!$C$27:$G$32,4,FALSE)&amp;" AS "&amp;VLOOKUP(B72,'0. Instruções'!$C$27:$G$32,4,FALSE)&amp;"_SIMUL, "&amp;F72&amp;" AS "&amp;F72&amp;"_SIMUL FROM "&amp;E72&amp;" WHERE "&amp;'0. Instruções'!$D$43&amp;")Y"</f>
        <v>(SELECT entty_id AS entty_id_SIMUL, LVRG AS LVRG_SIMUL FROM BU_LOANTAPE_WORK.LT003_ENTITY WHERE ref_date='${ref_date}' AND nome_perimetro='Individual Corporativo' AND segmento='ESTR' AND ambito='PM' AND entidade='00100')Y</v>
      </c>
      <c r="K72" s="35" t="str">
        <f>+UPPER("ON X."&amp;VLOOKUP(B72,'0. Instruções'!$C$27:$G$32,4,FALSE)&amp;"=Y."&amp;VLOOKUP(B72,'0. Instruções'!$C$27:$G$32,4,FALSE)&amp;"_SIMUL")</f>
        <v>ON X.ENTTY_ID=Y.ENTTY_ID_SIMUL</v>
      </c>
      <c r="L72" s="35" t="str">
        <f>+IF(C72="Coerência", +IF(LEFT(G72,5)="FLOAT","SELECT '"&amp;UPPER(B72)&amp;"' AS TABELA, '"&amp;UPPER(C72)&amp;"' AS TIPOLOGIA_TESTE,'"&amp;D72&amp;"' AS TABELA_LT,'"&amp;E72&amp;"' AS TABELA_SIMUL,'"&amp;F72&amp;"' AS CAMPO, "&amp;"'${ref_date}' AS REF_DATE, COUNT(*) AS NUM_REG, SUM(IF((ABS(COALESCE(CAST(X."&amp;F72&amp;" AS DECIMAL(18,6)),0)-COALESCE(CAST(Y."&amp;F72&amp;"_SIMUL AS DECIMAL(18,6)),0))&gt;0.000001) OR (X."&amp;F72&amp;" IS NULL AND Y."&amp;F72&amp;"_SIMUL IS NOT NULL ) OR (X."&amp;F72&amp;" IS NOT NULL AND Y."&amp;F72&amp;"_SIMUL IS NULL),1,0)) AS NUM_REG_DIF,'"&amp;MAX('ID1&amp;5'!K:K)+1&amp;"' AS ID_EXEC, CURRENT_TIMESTAMP() AS TIME_EXEC FROM "&amp;I72&amp;" INNER JOIN "&amp;J72&amp;" "&amp;K72,"SELECT '"&amp;UPPER(B72)&amp;"' AS TABELA, '"&amp;UPPER(C72)&amp;"' AS TIPOLOGIA_TESTE,'"&amp;D72&amp;"' AS TABELA_LT,'"&amp;E72&amp;"' AS TABELA_SIMUL,'"&amp;F72&amp;"' AS CAMPO, "&amp;"'${ref_date}' AS REF_DATE, COUNT(*) AS NUM_REG, SUM(IF(COALESCE(CAST(X."&amp;F72&amp;" AS STRING),'')&lt;&gt;COALESCE(CAST(Y."&amp;F72&amp;"_SIMUL AS STRING),'') OR (X."&amp;F72&amp;" IS NULL AND Y."&amp;F72&amp;"_SIMUL IS NOT NULL ) OR (X."&amp;F72&amp;" IS NOT NULL AND Y."&amp;F72&amp;"_SIMUL IS NULL),1,0)) AS NUM_REG_DIF,'"&amp;MAX('ID1&amp;5'!L:L)+1&amp;"' AS ID_EXEC, CURRENT_TIMESTAMP() AS TIME_EXEC FROM "&amp;I72&amp;" INNER JOIN "&amp;J72&amp;" "&amp;K72),
IF(C72="Validade",+IF(G72="Code List","SELECT '"&amp;UPPER(B72)&amp;"' AS TABELA, '"&amp;UPPER(C72)&amp;"' AS TIPOLOGIA_TESTE,'"&amp;D72&amp;"' AS TABELA_LT,'N/A' AS TABELA_SIMUL,'"&amp;F72&amp;"' AS CAMPO, "&amp;"'${ref_date}' AS REF_DATE, COUNT(*) AS NUM_REG, SUM(IF(TRIM(CAST(X."&amp;F72&amp;" AS STRING))='' OR TRIM(CAST(X."&amp;F72&amp;" AS STRING)) IS NULL OR CAST(X."&amp;F72&amp;" AS STRING) NOT "&amp;H72&amp;",1,0)) AS NUM_REG_DIF,'"&amp;MAX('ID1&amp;5'!K:K)+1&amp;"' AS ID_EXEC, CURRENT_TIMESTAMP() AS TIME_EXEC FROM "&amp;I72,"SELECT '"&amp;UPPER(B72)&amp;"' AS TABELA, '"&amp;UPPER(C72)&amp;"' AS TIPOLOGIA_TESTE,'"&amp;D72&amp;"' AS TABELA_LT,'N/A' AS TABELA_SIMUL,'"&amp;F72&amp;"' AS CAMPO, "&amp;"'${ref_date}' AS REF_DATE, COUNT(*) AS NUM_REG, SUM(IF(TRIM(CAST(X."&amp;F72&amp;" AS STRING))='' OR TRIM(CAST(X."&amp;F72&amp;" AS STRING)) IS NULL,1,0)) AS NUM_REG_DIF,'"&amp;MAX('ID1&amp;5'!K:K)+1&amp;"' AS ID_EXEC, CURRENT_TIMESTAMP() AS TIME_EXEC FROM "&amp;I72),
IF(C72="Caracteres Especiais",+"SELECT '"&amp;UPPER(B72)&amp;"' AS TABELA, '"&amp;UPPER(C72)&amp;"' AS TIPOLOGIA_TESTE,'"&amp;D72&amp;"' AS TABELA_LT,'N/A' AS TABELA_SIMUL,'"&amp;F72&amp;"' AS CAMPO, "&amp;"'${ref_date}' AS REF_DATE, COUNT(*) AS NUM_REG, SUM(IF(REGEXP_REPLACE(TRIM(CAST(X."&amp;F72&amp;" AS STRING)),'[^a-zA-Z0-9_\\s]','') &lt;&gt;TRIM(CAST(X."&amp;F72&amp;" AS STRING)),1,0)) AS NUM_REG_DIF,'"&amp;MAX('ID1&amp;5'!K:K)+1&amp;"' AS ID_EXEC, CURRENT_TIMESTAMP() AS TIME_EXEC FROM "&amp;I72,
IF(C72="Missings",+"SELECT '"&amp;UPPER(B72)&amp;"' AS TABELA, '"&amp;UPPER(C72)&amp;"' AS TIPOLOGIA_TESTE,'"&amp;D72&amp;"' AS TABELA_LT,'N/A' AS TABELA_SIMUL,'"&amp;F72&amp;"' AS CAMPO, "&amp;"'${ref_date}' AS REF_DATE, COUNT(*) AS NUM_REG, SUM(IF(TRIM(CAST(X."&amp;F72&amp;" AS STRING)) IN ('0000-00-00','0001-01-01','9999-12-31','MISS','00000','99999999999','99999999999.00','99999999999.000000'),1,0)) AS NUM_REG_DIF,'"&amp;MAX('ID1&amp;5'!K:K)+1&amp;"' AS ID_EXEC, CURRENT_TIMESTAMP() AS TIME_EXEC FROM "&amp;I72,
IF(C72="Not applicable",+"SELECT '"&amp;UPPER(B72)&amp;"' AS TABELA, '"&amp;UPPER(C72)&amp;"' AS TIPOLOGIA_TESTE,'"&amp;D72&amp;"' AS TABELA_LT,'N/A' AS TABELA_SIMUL,'"&amp;F72&amp;"' AS CAMPO, "&amp;"'${ref_date}' AS REF_DATE, COUNT(*) AS NUM_REG, SUM(IF(TRIM(CAST(X."&amp;F72&amp;" AS STRING)) IN ('N/A','11111111111','11111111111.00','11111111111.000000','1111-11-11'),1,0)) AS NUM_REG_DIF,'"&amp;MAX('ID1&amp;5'!K:K)+1&amp;"' AS ID_EXEC, CURRENT_TIMESTAMP() AS TIME_EXEC FROM "&amp;I72,
IF(C72="Valores extremos",+"SELECT '"&amp;UPPER(B72)&amp;"' AS TABELA, '"&amp;UPPER(C72)&amp;"' AS TIPOLOGIA_TESTE,'"&amp;D72&amp;"' AS TABELA_LT,'N/A' AS TABELA_SIMUL,'"&amp;F72&amp;"' AS CAMPO, "&amp;"'${ref_date}' AS REF_DATE, CAST(MIN("&amp;F72&amp;") AS STRING) AS VALOR_MIN, CAST(MAX("&amp;F72&amp;") AS STRING) AS VALOR_MAX,'"&amp;MAX('ID1&amp;5'!K:K)+1&amp;"' AS ID_EXEC, CURRENT_TIMESTAMP() AS TIME_EXEC FROM "&amp;MID(I72,1,LEN(I72)-2)&amp;" AND CAST("&amp;F72&amp;"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TABELA_SIMUL,'LVRG' AS CAMPO, '${ref_date}' AS REF_DATE, COUNT(*) AS NUM_REG, SUM(IF(COALESCE(CAST(X.LVRG AS STRING),'')&lt;&gt;COALESCE(CAST(Y.LVRG_SIMUL AS STRING),'') OR (X.LVRG IS NULL AND Y.LVRG_SIMUL IS NOT NULL ) OR (X.LVRG IS NOT NULL AND Y.LVRG_SIMUL IS NULL),1,0)) AS NUM_REG_DIF,'1' AS ID_EXEC, CURRENT_TIMESTAMP() AS TIME_EXEC FROM (SELECT entty_id, LVRG FROM CD_LOAN_TAPES_BCE.LT003_ENTITY WHERE ref_date='${ref_date}' AND nome_perimetro='Individual Corporativo' AND segmento='ESTR' AND ambito='PM' AND entidade='00100')X INNER JOIN (SELECT entty_id AS entty_id_SIMUL, LVRG AS LVRG_SIMUL FROM BU_LOANTAPE_WORK.LT003_ENTITY WHERE ref_date='${ref_date}' AND nome_perimetro='Individual Corporativo' AND segmento='ESTR' AND ambito='PM' AND entidade='00100')Y ON X.ENTTY_ID=Y.ENTTY_ID_SIMUL</v>
      </c>
      <c r="M72" s="36" t="str">
        <f t="shared" si="1"/>
        <v>UNION ALL SELECT 'ENTITY' AS TABELA, 'COERÊNCIA' AS TIPOLOGIA_TESTE,'CD_LOAN_TAPES_BCE.LT003_ENTITY' AS TABELA_LT,'BU_LOANTAPE_WORK.LT003_ENTITY' AS TABELA_SIMUL,'LVRG' AS CAMPO, '${ref_date}' AS REF_DATE, COUNT(*) AS NUM_REG, SUM(IF(COALESCE(CAST(X.LVRG AS STRING),'')&lt;&gt;COALESCE(CAST(Y.LVRG_SIMUL AS STRING),'') OR (X.LVRG IS NULL AND Y.LVRG_SIMUL IS NOT NULL ) OR (X.LVRG IS NOT NULL AND Y.LVRG_SIMUL IS NULL),1,0)) AS NUM_REG_DIF,'1' AS ID_EXEC, CURRENT_TIMESTAMP() AS TIME_EXEC FROM (SELECT entty_id, LVRG FROM CD_LOAN_TAPES_BCE.LT003_ENTITY WHERE ref_date='${ref_date}' AND nome_perimetro='Individual Corporativo' AND segmento='ESTR' AND ambito='PM' AND entidade='00100')X INNER JOIN (SELECT entty_id AS entty_id_SIMUL, LVRG AS LVRG_SIMUL FROM BU_LOANTAPE_WORK.LT003_ENTITY WHERE ref_date='${ref_date}' AND nome_perimetro='Individual Corporativo' AND segmento='ESTR' AND ambito='PM' AND entidade='00100')Y ON X.ENTTY_ID=Y.ENTTY_ID_SIMUL</v>
      </c>
      <c r="N72" s="38" t="s">
        <v>46</v>
      </c>
    </row>
    <row r="73" spans="2:14">
      <c r="B73" s="34" t="s">
        <v>127</v>
      </c>
      <c r="C73" s="34" t="s">
        <v>5</v>
      </c>
      <c r="D73" s="34" t="str">
        <f>+UPPER('0. Instruções'!$D$35&amp;"."&amp;VLOOKUP(B73,'0. Instruções'!$C$27:$D$32,2,FALSE))</f>
        <v>CD_LOAN_TAPES_BCE.LT003_ENTITY</v>
      </c>
      <c r="E73" s="34" t="str">
        <f>+UPPER('0. Instruções'!$D$36&amp;"."&amp;VLOOKUP(B73,'0. Instruções'!$C$27:$E$32,3,FALSE))</f>
        <v>BU_LOANTAPE_WORK.LT003_ENTITY</v>
      </c>
      <c r="F73" s="34" t="s">
        <v>380</v>
      </c>
      <c r="G73" s="34"/>
      <c r="H73" s="34" t="s">
        <v>91</v>
      </c>
      <c r="I73" s="34" t="str">
        <f>"(SELECT "&amp;VLOOKUP(B73,'0. Instruções'!$C$27:$G$32,4,FALSE)&amp;", "&amp;F73&amp;" FROM "&amp;D73&amp;" WHERE "&amp;'0. Instruções'!$D$42&amp;")X"</f>
        <v>(SELECT entty_id, LVRG_PRVS FROM CD_LOAN_TAPES_BCE.LT003_ENTITY WHERE ref_date='${ref_date}' AND nome_perimetro='Individual Corporativo' AND segmento='ESTR' AND ambito='PM' AND entidade='00100')X</v>
      </c>
      <c r="J73" s="34" t="str">
        <f>"(SELECT "&amp;VLOOKUP(B73,'0. Instruções'!$C$27:$G$32,4,FALSE)&amp;" AS "&amp;VLOOKUP(B73,'0. Instruções'!$C$27:$G$32,4,FALSE)&amp;"_SIMUL, "&amp;F73&amp;" AS "&amp;F73&amp;"_SIMUL FROM "&amp;E73&amp;" WHERE "&amp;'0. Instruções'!$D$43&amp;")Y"</f>
        <v>(SELECT entty_id AS entty_id_SIMUL, LVRG_PRVS AS LVRG_PRVS_SIMUL FROM BU_LOANTAPE_WORK.LT003_ENTITY WHERE ref_date='${ref_date}' AND nome_perimetro='Individual Corporativo' AND segmento='ESTR' AND ambito='PM' AND entidade='00100')Y</v>
      </c>
      <c r="K73" s="35" t="str">
        <f>+UPPER("ON X."&amp;VLOOKUP(B73,'0. Instruções'!$C$27:$G$32,4,FALSE)&amp;"=Y."&amp;VLOOKUP(B73,'0. Instruções'!$C$27:$G$32,4,FALSE)&amp;"_SIMUL")</f>
        <v>ON X.ENTTY_ID=Y.ENTTY_ID_SIMUL</v>
      </c>
      <c r="L73" s="35" t="str">
        <f>+IF(C73="Coerência", +IF(LEFT(G73,5)="FLOAT","SELECT '"&amp;UPPER(B73)&amp;"' AS TABELA, '"&amp;UPPER(C73)&amp;"' AS TIPOLOGIA_TESTE,'"&amp;D73&amp;"' AS TABELA_LT,'"&amp;E73&amp;"' AS TABELA_SIMUL,'"&amp;F73&amp;"' AS CAMPO, "&amp;"'${ref_date}' AS REF_DATE, COUNT(*) AS NUM_REG, SUM(IF((ABS(COALESCE(CAST(X."&amp;F73&amp;" AS DECIMAL(18,6)),0)-COALESCE(CAST(Y."&amp;F73&amp;"_SIMUL AS DECIMAL(18,6)),0))&gt;0.000001) OR (X."&amp;F73&amp;" IS NULL AND Y."&amp;F73&amp;"_SIMUL IS NOT NULL ) OR (X."&amp;F73&amp;" IS NOT NULL AND Y."&amp;F73&amp;"_SIMUL IS NULL),1,0)) AS NUM_REG_DIF,'"&amp;MAX('ID1&amp;5'!K:K)+1&amp;"' AS ID_EXEC, CURRENT_TIMESTAMP() AS TIME_EXEC FROM "&amp;I73&amp;" INNER JOIN "&amp;J73&amp;" "&amp;K73,"SELECT '"&amp;UPPER(B73)&amp;"' AS TABELA, '"&amp;UPPER(C73)&amp;"' AS TIPOLOGIA_TESTE,'"&amp;D73&amp;"' AS TABELA_LT,'"&amp;E73&amp;"' AS TABELA_SIMUL,'"&amp;F73&amp;"' AS CAMPO, "&amp;"'${ref_date}' AS REF_DATE, COUNT(*) AS NUM_REG, SUM(IF(COALESCE(CAST(X."&amp;F73&amp;" AS STRING),'')&lt;&gt;COALESCE(CAST(Y."&amp;F73&amp;"_SIMUL AS STRING),'') OR (X."&amp;F73&amp;" IS NULL AND Y."&amp;F73&amp;"_SIMUL IS NOT NULL ) OR (X."&amp;F73&amp;" IS NOT NULL AND Y."&amp;F73&amp;"_SIMUL IS NULL),1,0)) AS NUM_REG_DIF,'"&amp;MAX('ID1&amp;5'!L:L)+1&amp;"' AS ID_EXEC, CURRENT_TIMESTAMP() AS TIME_EXEC FROM "&amp;I73&amp;" INNER JOIN "&amp;J73&amp;" "&amp;K73),
IF(C73="Validade",+IF(G73="Code List","SELECT '"&amp;UPPER(B73)&amp;"' AS TABELA, '"&amp;UPPER(C73)&amp;"' AS TIPOLOGIA_TESTE,'"&amp;D73&amp;"' AS TABELA_LT,'N/A' AS TABELA_SIMUL,'"&amp;F73&amp;"' AS CAMPO, "&amp;"'${ref_date}' AS REF_DATE, COUNT(*) AS NUM_REG, SUM(IF(TRIM(CAST(X."&amp;F73&amp;" AS STRING))='' OR TRIM(CAST(X."&amp;F73&amp;" AS STRING)) IS NULL OR CAST(X."&amp;F73&amp;" AS STRING) NOT "&amp;H73&amp;",1,0)) AS NUM_REG_DIF,'"&amp;MAX('ID1&amp;5'!K:K)+1&amp;"' AS ID_EXEC, CURRENT_TIMESTAMP() AS TIME_EXEC FROM "&amp;I73,"SELECT '"&amp;UPPER(B73)&amp;"' AS TABELA, '"&amp;UPPER(C73)&amp;"' AS TIPOLOGIA_TESTE,'"&amp;D73&amp;"' AS TABELA_LT,'N/A' AS TABELA_SIMUL,'"&amp;F73&amp;"' AS CAMPO, "&amp;"'${ref_date}' AS REF_DATE, COUNT(*) AS NUM_REG, SUM(IF(TRIM(CAST(X."&amp;F73&amp;" AS STRING))='' OR TRIM(CAST(X."&amp;F73&amp;" AS STRING)) IS NULL,1,0)) AS NUM_REG_DIF,'"&amp;MAX('ID1&amp;5'!K:K)+1&amp;"' AS ID_EXEC, CURRENT_TIMESTAMP() AS TIME_EXEC FROM "&amp;I73),
IF(C73="Caracteres Especiais",+"SELECT '"&amp;UPPER(B73)&amp;"' AS TABELA, '"&amp;UPPER(C73)&amp;"' AS TIPOLOGIA_TESTE,'"&amp;D73&amp;"' AS TABELA_LT,'N/A' AS TABELA_SIMUL,'"&amp;F73&amp;"' AS CAMPO, "&amp;"'${ref_date}' AS REF_DATE, COUNT(*) AS NUM_REG, SUM(IF(REGEXP_REPLACE(TRIM(CAST(X."&amp;F73&amp;" AS STRING)),'[^a-zA-Z0-9_\\s]','') &lt;&gt;TRIM(CAST(X."&amp;F73&amp;" AS STRING)),1,0)) AS NUM_REG_DIF,'"&amp;MAX('ID1&amp;5'!K:K)+1&amp;"' AS ID_EXEC, CURRENT_TIMESTAMP() AS TIME_EXEC FROM "&amp;I73,
IF(C73="Missings",+"SELECT '"&amp;UPPER(B73)&amp;"' AS TABELA, '"&amp;UPPER(C73)&amp;"' AS TIPOLOGIA_TESTE,'"&amp;D73&amp;"' AS TABELA_LT,'N/A' AS TABELA_SIMUL,'"&amp;F73&amp;"' AS CAMPO, "&amp;"'${ref_date}' AS REF_DATE, COUNT(*) AS NUM_REG, SUM(IF(TRIM(CAST(X."&amp;F73&amp;" AS STRING)) IN ('0000-00-00','0001-01-01','9999-12-31','MISS','00000','99999999999','99999999999.00','99999999999.000000'),1,0)) AS NUM_REG_DIF,'"&amp;MAX('ID1&amp;5'!K:K)+1&amp;"' AS ID_EXEC, CURRENT_TIMESTAMP() AS TIME_EXEC FROM "&amp;I73,
IF(C73="Not applicable",+"SELECT '"&amp;UPPER(B73)&amp;"' AS TABELA, '"&amp;UPPER(C73)&amp;"' AS TIPOLOGIA_TESTE,'"&amp;D73&amp;"' AS TABELA_LT,'N/A' AS TABELA_SIMUL,'"&amp;F73&amp;"' AS CAMPO, "&amp;"'${ref_date}' AS REF_DATE, COUNT(*) AS NUM_REG, SUM(IF(TRIM(CAST(X."&amp;F73&amp;" AS STRING)) IN ('N/A','11111111111','11111111111.00','11111111111.000000','1111-11-11'),1,0)) AS NUM_REG_DIF,'"&amp;MAX('ID1&amp;5'!K:K)+1&amp;"' AS ID_EXEC, CURRENT_TIMESTAMP() AS TIME_EXEC FROM "&amp;I73,
IF(C73="Valores extremos",+"SELECT '"&amp;UPPER(B73)&amp;"' AS TABELA, '"&amp;UPPER(C73)&amp;"' AS TIPOLOGIA_TESTE,'"&amp;D73&amp;"' AS TABELA_LT,'N/A' AS TABELA_SIMUL,'"&amp;F73&amp;"' AS CAMPO, "&amp;"'${ref_date}' AS REF_DATE, CAST(MIN("&amp;F73&amp;") AS STRING) AS VALOR_MIN, CAST(MAX("&amp;F73&amp;") AS STRING) AS VALOR_MAX,'"&amp;MAX('ID1&amp;5'!K:K)+1&amp;"' AS ID_EXEC, CURRENT_TIMESTAMP() AS TIME_EXEC FROM "&amp;MID(I73,1,LEN(I73)-2)&amp;" AND CAST("&amp;F73&amp;"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TABELA_SIMUL,'LVRG_PRVS' AS CAMPO, '${ref_date}' AS REF_DATE, COUNT(*) AS NUM_REG, SUM(IF(COALESCE(CAST(X.LVRG_PRVS AS STRING),'')&lt;&gt;COALESCE(CAST(Y.LVRG_PRVS_SIMUL AS STRING),'') OR (X.LVRG_PRVS IS NULL AND Y.LVRG_PRVS_SIMUL IS NOT NULL ) OR (X.LVRG_PRVS IS NOT NULL AND Y.LVRG_PRVS_SIMUL IS NULL),1,0)) AS NUM_REG_DIF,'1' AS ID_EXEC, CURRENT_TIMESTAMP() AS TIME_EXEC FROM (SELECT entty_id, LVRG_PRVS FROM CD_LOAN_TAPES_BCE.LT003_ENTITY WHERE ref_date='${ref_date}' AND nome_perimetro='Individual Corporativo' AND segmento='ESTR' AND ambito='PM' AND entidade='00100')X INNER JOIN (SELECT entty_id AS entty_id_SIMUL, LVRG_PRVS AS LVRG_PRVS_SIMUL FROM BU_LOANTAPE_WORK.LT003_ENTITY WHERE ref_date='${ref_date}' AND nome_perimetro='Individual Corporativo' AND segmento='ESTR' AND ambito='PM' AND entidade='00100')Y ON X.ENTTY_ID=Y.ENTTY_ID_SIMUL</v>
      </c>
      <c r="M73" s="36" t="str">
        <f t="shared" si="1"/>
        <v>UNION ALL SELECT 'ENTITY' AS TABELA, 'COERÊNCIA' AS TIPOLOGIA_TESTE,'CD_LOAN_TAPES_BCE.LT003_ENTITY' AS TABELA_LT,'BU_LOANTAPE_WORK.LT003_ENTITY' AS TABELA_SIMUL,'LVRG_PRVS' AS CAMPO, '${ref_date}' AS REF_DATE, COUNT(*) AS NUM_REG, SUM(IF(COALESCE(CAST(X.LVRG_PRVS AS STRING),'')&lt;&gt;COALESCE(CAST(Y.LVRG_PRVS_SIMUL AS STRING),'') OR (X.LVRG_PRVS IS NULL AND Y.LVRG_PRVS_SIMUL IS NOT NULL ) OR (X.LVRG_PRVS IS NOT NULL AND Y.LVRG_PRVS_SIMUL IS NULL),1,0)) AS NUM_REG_DIF,'1' AS ID_EXEC, CURRENT_TIMESTAMP() AS TIME_EXEC FROM (SELECT entty_id, LVRG_PRVS FROM CD_LOAN_TAPES_BCE.LT003_ENTITY WHERE ref_date='${ref_date}' AND nome_perimetro='Individual Corporativo' AND segmento='ESTR' AND ambito='PM' AND entidade='00100')X INNER JOIN (SELECT entty_id AS entty_id_SIMUL, LVRG_PRVS AS LVRG_PRVS_SIMUL FROM BU_LOANTAPE_WORK.LT003_ENTITY WHERE ref_date='${ref_date}' AND nome_perimetro='Individual Corporativo' AND segmento='ESTR' AND ambito='PM' AND entidade='00100')Y ON X.ENTTY_ID=Y.ENTTY_ID_SIMUL</v>
      </c>
      <c r="N73" s="38" t="s">
        <v>46</v>
      </c>
    </row>
    <row r="74" spans="2:14">
      <c r="B74" s="34" t="s">
        <v>127</v>
      </c>
      <c r="C74" s="34" t="s">
        <v>5</v>
      </c>
      <c r="D74" s="34" t="str">
        <f>+UPPER('0. Instruções'!$D$35&amp;"."&amp;VLOOKUP(B74,'0. Instruções'!$C$27:$D$32,2,FALSE))</f>
        <v>CD_LOAN_TAPES_BCE.LT003_ENTITY</v>
      </c>
      <c r="E74" s="34" t="str">
        <f>+UPPER('0. Instruções'!$D$36&amp;"."&amp;VLOOKUP(B74,'0. Instruções'!$C$27:$E$32,3,FALSE))</f>
        <v>BU_LOANTAPE_WORK.LT003_ENTITY</v>
      </c>
      <c r="F74" s="34" t="s">
        <v>381</v>
      </c>
      <c r="G74" s="34"/>
      <c r="H74" s="34" t="s">
        <v>92</v>
      </c>
      <c r="I74" s="34" t="str">
        <f>"(SELECT "&amp;VLOOKUP(B74,'0. Instruções'!$C$27:$G$32,4,FALSE)&amp;", "&amp;F74&amp;" FROM "&amp;D74&amp;" WHERE "&amp;'0. Instruções'!$D$42&amp;")X"</f>
        <v>(SELECT entty_id, MNTHL_INCM FROM CD_LOAN_TAPES_BCE.LT003_ENTITY WHERE ref_date='${ref_date}' AND nome_perimetro='Individual Corporativo' AND segmento='ESTR' AND ambito='PM' AND entidade='00100')X</v>
      </c>
      <c r="J74" s="34" t="str">
        <f>"(SELECT "&amp;VLOOKUP(B74,'0. Instruções'!$C$27:$G$32,4,FALSE)&amp;" AS "&amp;VLOOKUP(B74,'0. Instruções'!$C$27:$G$32,4,FALSE)&amp;"_SIMUL, "&amp;F74&amp;" AS "&amp;F74&amp;"_SIMUL FROM "&amp;E74&amp;" WHERE "&amp;'0. Instruções'!$D$43&amp;")Y"</f>
        <v>(SELECT entty_id AS entty_id_SIMUL, MNTHL_INCM AS MNTHL_INCM_SIMUL FROM BU_LOANTAPE_WORK.LT003_ENTITY WHERE ref_date='${ref_date}' AND nome_perimetro='Individual Corporativo' AND segmento='ESTR' AND ambito='PM' AND entidade='00100')Y</v>
      </c>
      <c r="K74" s="35" t="str">
        <f>+UPPER("ON X."&amp;VLOOKUP(B74,'0. Instruções'!$C$27:$G$32,4,FALSE)&amp;"=Y."&amp;VLOOKUP(B74,'0. Instruções'!$C$27:$G$32,4,FALSE)&amp;"_SIMUL")</f>
        <v>ON X.ENTTY_ID=Y.ENTTY_ID_SIMUL</v>
      </c>
      <c r="L74" s="35" t="str">
        <f>+IF(C74="Coerência", +IF(LEFT(G74,5)="FLOAT","SELECT '"&amp;UPPER(B74)&amp;"' AS TABELA, '"&amp;UPPER(C74)&amp;"' AS TIPOLOGIA_TESTE,'"&amp;D74&amp;"' AS TABELA_LT,'"&amp;E74&amp;"' AS TABELA_SIMUL,'"&amp;F74&amp;"' AS CAMPO, "&amp;"'${ref_date}' AS REF_DATE, COUNT(*) AS NUM_REG, SUM(IF((ABS(COALESCE(CAST(X."&amp;F74&amp;" AS DECIMAL(18,6)),0)-COALESCE(CAST(Y."&amp;F74&amp;"_SIMUL AS DECIMAL(18,6)),0))&gt;0.000001) OR (X."&amp;F74&amp;" IS NULL AND Y."&amp;F74&amp;"_SIMUL IS NOT NULL ) OR (X."&amp;F74&amp;" IS NOT NULL AND Y."&amp;F74&amp;"_SIMUL IS NULL),1,0)) AS NUM_REG_DIF,'"&amp;MAX('ID1&amp;5'!K:K)+1&amp;"' AS ID_EXEC, CURRENT_TIMESTAMP() AS TIME_EXEC FROM "&amp;I74&amp;" INNER JOIN "&amp;J74&amp;" "&amp;K74,"SELECT '"&amp;UPPER(B74)&amp;"' AS TABELA, '"&amp;UPPER(C74)&amp;"' AS TIPOLOGIA_TESTE,'"&amp;D74&amp;"' AS TABELA_LT,'"&amp;E74&amp;"' AS TABELA_SIMUL,'"&amp;F74&amp;"' AS CAMPO, "&amp;"'${ref_date}' AS REF_DATE, COUNT(*) AS NUM_REG, SUM(IF(COALESCE(CAST(X."&amp;F74&amp;" AS STRING),'')&lt;&gt;COALESCE(CAST(Y."&amp;F74&amp;"_SIMUL AS STRING),'') OR (X."&amp;F74&amp;" IS NULL AND Y."&amp;F74&amp;"_SIMUL IS NOT NULL ) OR (X."&amp;F74&amp;" IS NOT NULL AND Y."&amp;F74&amp;"_SIMUL IS NULL),1,0)) AS NUM_REG_DIF,'"&amp;MAX('ID1&amp;5'!L:L)+1&amp;"' AS ID_EXEC, CURRENT_TIMESTAMP() AS TIME_EXEC FROM "&amp;I74&amp;" INNER JOIN "&amp;J74&amp;" "&amp;K74),
IF(C74="Validade",+IF(G74="Code List","SELECT '"&amp;UPPER(B74)&amp;"' AS TABELA, '"&amp;UPPER(C74)&amp;"' AS TIPOLOGIA_TESTE,'"&amp;D74&amp;"' AS TABELA_LT,'N/A' AS TABELA_SIMUL,'"&amp;F74&amp;"' AS CAMPO, "&amp;"'${ref_date}' AS REF_DATE, COUNT(*) AS NUM_REG, SUM(IF(TRIM(CAST(X."&amp;F74&amp;" AS STRING))='' OR TRIM(CAST(X."&amp;F74&amp;" AS STRING)) IS NULL OR CAST(X."&amp;F74&amp;" AS STRING) NOT "&amp;H74&amp;",1,0)) AS NUM_REG_DIF,'"&amp;MAX('ID1&amp;5'!K:K)+1&amp;"' AS ID_EXEC, CURRENT_TIMESTAMP() AS TIME_EXEC FROM "&amp;I74,"SELECT '"&amp;UPPER(B74)&amp;"' AS TABELA, '"&amp;UPPER(C74)&amp;"' AS TIPOLOGIA_TESTE,'"&amp;D74&amp;"' AS TABELA_LT,'N/A' AS TABELA_SIMUL,'"&amp;F74&amp;"' AS CAMPO, "&amp;"'${ref_date}' AS REF_DATE, COUNT(*) AS NUM_REG, SUM(IF(TRIM(CAST(X."&amp;F74&amp;" AS STRING))='' OR TRIM(CAST(X."&amp;F74&amp;" AS STRING)) IS NULL,1,0)) AS NUM_REG_DIF,'"&amp;MAX('ID1&amp;5'!K:K)+1&amp;"' AS ID_EXEC, CURRENT_TIMESTAMP() AS TIME_EXEC FROM "&amp;I74),
IF(C74="Caracteres Especiais",+"SELECT '"&amp;UPPER(B74)&amp;"' AS TABELA, '"&amp;UPPER(C74)&amp;"' AS TIPOLOGIA_TESTE,'"&amp;D74&amp;"' AS TABELA_LT,'N/A' AS TABELA_SIMUL,'"&amp;F74&amp;"' AS CAMPO, "&amp;"'${ref_date}' AS REF_DATE, COUNT(*) AS NUM_REG, SUM(IF(REGEXP_REPLACE(TRIM(CAST(X."&amp;F74&amp;" AS STRING)),'[^a-zA-Z0-9_\\s]','') &lt;&gt;TRIM(CAST(X."&amp;F74&amp;" AS STRING)),1,0)) AS NUM_REG_DIF,'"&amp;MAX('ID1&amp;5'!K:K)+1&amp;"' AS ID_EXEC, CURRENT_TIMESTAMP() AS TIME_EXEC FROM "&amp;I74,
IF(C74="Missings",+"SELECT '"&amp;UPPER(B74)&amp;"' AS TABELA, '"&amp;UPPER(C74)&amp;"' AS TIPOLOGIA_TESTE,'"&amp;D74&amp;"' AS TABELA_LT,'N/A' AS TABELA_SIMUL,'"&amp;F74&amp;"' AS CAMPO, "&amp;"'${ref_date}' AS REF_DATE, COUNT(*) AS NUM_REG, SUM(IF(TRIM(CAST(X."&amp;F74&amp;" AS STRING)) IN ('0000-00-00','0001-01-01','9999-12-31','MISS','00000','99999999999','99999999999.00','99999999999.000000'),1,0)) AS NUM_REG_DIF,'"&amp;MAX('ID1&amp;5'!K:K)+1&amp;"' AS ID_EXEC, CURRENT_TIMESTAMP() AS TIME_EXEC FROM "&amp;I74,
IF(C74="Not applicable",+"SELECT '"&amp;UPPER(B74)&amp;"' AS TABELA, '"&amp;UPPER(C74)&amp;"' AS TIPOLOGIA_TESTE,'"&amp;D74&amp;"' AS TABELA_LT,'N/A' AS TABELA_SIMUL,'"&amp;F74&amp;"' AS CAMPO, "&amp;"'${ref_date}' AS REF_DATE, COUNT(*) AS NUM_REG, SUM(IF(TRIM(CAST(X."&amp;F74&amp;" AS STRING)) IN ('N/A','11111111111','11111111111.00','11111111111.000000','1111-11-11'),1,0)) AS NUM_REG_DIF,'"&amp;MAX('ID1&amp;5'!K:K)+1&amp;"' AS ID_EXEC, CURRENT_TIMESTAMP() AS TIME_EXEC FROM "&amp;I74,
IF(C74="Valores extremos",+"SELECT '"&amp;UPPER(B74)&amp;"' AS TABELA, '"&amp;UPPER(C74)&amp;"' AS TIPOLOGIA_TESTE,'"&amp;D74&amp;"' AS TABELA_LT,'N/A' AS TABELA_SIMUL,'"&amp;F74&amp;"' AS CAMPO, "&amp;"'${ref_date}' AS REF_DATE, CAST(MIN("&amp;F74&amp;") AS STRING) AS VALOR_MIN, CAST(MAX("&amp;F74&amp;") AS STRING) AS VALOR_MAX,'"&amp;MAX('ID1&amp;5'!K:K)+1&amp;"' AS ID_EXEC, CURRENT_TIMESTAMP() AS TIME_EXEC FROM "&amp;MID(I74,1,LEN(I74)-2)&amp;" AND CAST("&amp;F74&amp;"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TABELA_SIMUL,'MNTHL_INCM' AS CAMPO, '${ref_date}' AS REF_DATE, COUNT(*) AS NUM_REG, SUM(IF(COALESCE(CAST(X.MNTHL_INCM AS STRING),'')&lt;&gt;COALESCE(CAST(Y.MNTHL_INCM_SIMUL AS STRING),'') OR (X.MNTHL_INCM IS NULL AND Y.MNTHL_INCM_SIMUL IS NOT NULL ) OR (X.MNTHL_INCM IS NOT NULL AND Y.MNTHL_INCM_SIMUL IS NULL),1,0)) AS NUM_REG_DIF,'1' AS ID_EXEC, CURRENT_TIMESTAMP() AS TIME_EXEC FROM (SELECT entty_id, MNTHL_INCM FROM CD_LOAN_TAPES_BCE.LT003_ENTITY WHERE ref_date='${ref_date}' AND nome_perimetro='Individual Corporativo' AND segmento='ESTR' AND ambito='PM' AND entidade='00100')X INNER JOIN (SELECT entty_id AS entty_id_SIMUL, MNTHL_INCM AS MNTHL_INCM_SIMUL FROM BU_LOANTAPE_WORK.LT003_ENTITY WHERE ref_date='${ref_date}' AND nome_perimetro='Individual Corporativo' AND segmento='ESTR' AND ambito='PM' AND entidade='00100')Y ON X.ENTTY_ID=Y.ENTTY_ID_SIMUL</v>
      </c>
      <c r="M74" s="36" t="str">
        <f t="shared" si="1"/>
        <v>UNION ALL SELECT 'ENTITY' AS TABELA, 'COERÊNCIA' AS TIPOLOGIA_TESTE,'CD_LOAN_TAPES_BCE.LT003_ENTITY' AS TABELA_LT,'BU_LOANTAPE_WORK.LT003_ENTITY' AS TABELA_SIMUL,'MNTHL_INCM' AS CAMPO, '${ref_date}' AS REF_DATE, COUNT(*) AS NUM_REG, SUM(IF(COALESCE(CAST(X.MNTHL_INCM AS STRING),'')&lt;&gt;COALESCE(CAST(Y.MNTHL_INCM_SIMUL AS STRING),'') OR (X.MNTHL_INCM IS NULL AND Y.MNTHL_INCM_SIMUL IS NOT NULL ) OR (X.MNTHL_INCM IS NOT NULL AND Y.MNTHL_INCM_SIMUL IS NULL),1,0)) AS NUM_REG_DIF,'1' AS ID_EXEC, CURRENT_TIMESTAMP() AS TIME_EXEC FROM (SELECT entty_id, MNTHL_INCM FROM CD_LOAN_TAPES_BCE.LT003_ENTITY WHERE ref_date='${ref_date}' AND nome_perimetro='Individual Corporativo' AND segmento='ESTR' AND ambito='PM' AND entidade='00100')X INNER JOIN (SELECT entty_id AS entty_id_SIMUL, MNTHL_INCM AS MNTHL_INCM_SIMUL FROM BU_LOANTAPE_WORK.LT003_ENTITY WHERE ref_date='${ref_date}' AND nome_perimetro='Individual Corporativo' AND segmento='ESTR' AND ambito='PM' AND entidade='00100')Y ON X.ENTTY_ID=Y.ENTTY_ID_SIMUL</v>
      </c>
      <c r="N74" s="38" t="s">
        <v>46</v>
      </c>
    </row>
    <row r="75" spans="2:14">
      <c r="B75" s="34" t="s">
        <v>127</v>
      </c>
      <c r="C75" s="34" t="s">
        <v>5</v>
      </c>
      <c r="D75" s="34" t="str">
        <f>+UPPER('0. Instruções'!$D$35&amp;"."&amp;VLOOKUP(B75,'0. Instruções'!$C$27:$D$32,2,FALSE))</f>
        <v>CD_LOAN_TAPES_BCE.LT003_ENTITY</v>
      </c>
      <c r="E75" s="34" t="str">
        <f>+UPPER('0. Instruções'!$D$36&amp;"."&amp;VLOOKUP(B75,'0. Instruções'!$C$27:$E$32,3,FALSE))</f>
        <v>BU_LOANTAPE_WORK.LT003_ENTITY</v>
      </c>
      <c r="F75" s="34" t="s">
        <v>382</v>
      </c>
      <c r="G75" s="34"/>
      <c r="H75" s="34" t="s">
        <v>92</v>
      </c>
      <c r="I75" s="34" t="str">
        <f>"(SELECT "&amp;VLOOKUP(B75,'0. Instruções'!$C$27:$G$32,4,FALSE)&amp;", "&amp;F75&amp;" FROM "&amp;D75&amp;" WHERE "&amp;'0. Instruções'!$D$42&amp;")X"</f>
        <v>(SELECT entty_id, MNTHL_INCM_SLR FROM CD_LOAN_TAPES_BCE.LT003_ENTITY WHERE ref_date='${ref_date}' AND nome_perimetro='Individual Corporativo' AND segmento='ESTR' AND ambito='PM' AND entidade='00100')X</v>
      </c>
      <c r="J75" s="34" t="str">
        <f>"(SELECT "&amp;VLOOKUP(B75,'0. Instruções'!$C$27:$G$32,4,FALSE)&amp;" AS "&amp;VLOOKUP(B75,'0. Instruções'!$C$27:$G$32,4,FALSE)&amp;"_SIMUL, "&amp;F75&amp;" AS "&amp;F75&amp;"_SIMUL FROM "&amp;E75&amp;" WHERE "&amp;'0. Instruções'!$D$43&amp;")Y"</f>
        <v>(SELECT entty_id AS entty_id_SIMUL, MNTHL_INCM_SLR AS MNTHL_INCM_SLR_SIMUL FROM BU_LOANTAPE_WORK.LT003_ENTITY WHERE ref_date='${ref_date}' AND nome_perimetro='Individual Corporativo' AND segmento='ESTR' AND ambito='PM' AND entidade='00100')Y</v>
      </c>
      <c r="K75" s="35" t="str">
        <f>+UPPER("ON X."&amp;VLOOKUP(B75,'0. Instruções'!$C$27:$G$32,4,FALSE)&amp;"=Y."&amp;VLOOKUP(B75,'0. Instruções'!$C$27:$G$32,4,FALSE)&amp;"_SIMUL")</f>
        <v>ON X.ENTTY_ID=Y.ENTTY_ID_SIMUL</v>
      </c>
      <c r="L75" s="35" t="str">
        <f>+IF(C75="Coerência", +IF(LEFT(G75,5)="FLOAT","SELECT '"&amp;UPPER(B75)&amp;"' AS TABELA, '"&amp;UPPER(C75)&amp;"' AS TIPOLOGIA_TESTE,'"&amp;D75&amp;"' AS TABELA_LT,'"&amp;E75&amp;"' AS TABELA_SIMUL,'"&amp;F75&amp;"' AS CAMPO, "&amp;"'${ref_date}' AS REF_DATE, COUNT(*) AS NUM_REG, SUM(IF((ABS(COALESCE(CAST(X."&amp;F75&amp;" AS DECIMAL(18,6)),0)-COALESCE(CAST(Y."&amp;F75&amp;"_SIMUL AS DECIMAL(18,6)),0))&gt;0.000001) OR (X."&amp;F75&amp;" IS NULL AND Y."&amp;F75&amp;"_SIMUL IS NOT NULL ) OR (X."&amp;F75&amp;" IS NOT NULL AND Y."&amp;F75&amp;"_SIMUL IS NULL),1,0)) AS NUM_REG_DIF,'"&amp;MAX('ID1&amp;5'!K:K)+1&amp;"' AS ID_EXEC, CURRENT_TIMESTAMP() AS TIME_EXEC FROM "&amp;I75&amp;" INNER JOIN "&amp;J75&amp;" "&amp;K75,"SELECT '"&amp;UPPER(B75)&amp;"' AS TABELA, '"&amp;UPPER(C75)&amp;"' AS TIPOLOGIA_TESTE,'"&amp;D75&amp;"' AS TABELA_LT,'"&amp;E75&amp;"' AS TABELA_SIMUL,'"&amp;F75&amp;"' AS CAMPO, "&amp;"'${ref_date}' AS REF_DATE, COUNT(*) AS NUM_REG, SUM(IF(COALESCE(CAST(X."&amp;F75&amp;" AS STRING),'')&lt;&gt;COALESCE(CAST(Y."&amp;F75&amp;"_SIMUL AS STRING),'') OR (X."&amp;F75&amp;" IS NULL AND Y."&amp;F75&amp;"_SIMUL IS NOT NULL ) OR (X."&amp;F75&amp;" IS NOT NULL AND Y."&amp;F75&amp;"_SIMUL IS NULL),1,0)) AS NUM_REG_DIF,'"&amp;MAX('ID1&amp;5'!L:L)+1&amp;"' AS ID_EXEC, CURRENT_TIMESTAMP() AS TIME_EXEC FROM "&amp;I75&amp;" INNER JOIN "&amp;J75&amp;" "&amp;K75),
IF(C75="Validade",+IF(G75="Code List","SELECT '"&amp;UPPER(B75)&amp;"' AS TABELA, '"&amp;UPPER(C75)&amp;"' AS TIPOLOGIA_TESTE,'"&amp;D75&amp;"' AS TABELA_LT,'N/A' AS TABELA_SIMUL,'"&amp;F75&amp;"' AS CAMPO, "&amp;"'${ref_date}' AS REF_DATE, COUNT(*) AS NUM_REG, SUM(IF(TRIM(CAST(X."&amp;F75&amp;" AS STRING))='' OR TRIM(CAST(X."&amp;F75&amp;" AS STRING)) IS NULL OR CAST(X."&amp;F75&amp;" AS STRING) NOT "&amp;H75&amp;",1,0)) AS NUM_REG_DIF,'"&amp;MAX('ID1&amp;5'!K:K)+1&amp;"' AS ID_EXEC, CURRENT_TIMESTAMP() AS TIME_EXEC FROM "&amp;I75,"SELECT '"&amp;UPPER(B75)&amp;"' AS TABELA, '"&amp;UPPER(C75)&amp;"' AS TIPOLOGIA_TESTE,'"&amp;D75&amp;"' AS TABELA_LT,'N/A' AS TABELA_SIMUL,'"&amp;F75&amp;"' AS CAMPO, "&amp;"'${ref_date}' AS REF_DATE, COUNT(*) AS NUM_REG, SUM(IF(TRIM(CAST(X."&amp;F75&amp;" AS STRING))='' OR TRIM(CAST(X."&amp;F75&amp;" AS STRING)) IS NULL,1,0)) AS NUM_REG_DIF,'"&amp;MAX('ID1&amp;5'!K:K)+1&amp;"' AS ID_EXEC, CURRENT_TIMESTAMP() AS TIME_EXEC FROM "&amp;I75),
IF(C75="Caracteres Especiais",+"SELECT '"&amp;UPPER(B75)&amp;"' AS TABELA, '"&amp;UPPER(C75)&amp;"' AS TIPOLOGIA_TESTE,'"&amp;D75&amp;"' AS TABELA_LT,'N/A' AS TABELA_SIMUL,'"&amp;F75&amp;"' AS CAMPO, "&amp;"'${ref_date}' AS REF_DATE, COUNT(*) AS NUM_REG, SUM(IF(REGEXP_REPLACE(TRIM(CAST(X."&amp;F75&amp;" AS STRING)),'[^a-zA-Z0-9_\\s]','') &lt;&gt;TRIM(CAST(X."&amp;F75&amp;" AS STRING)),1,0)) AS NUM_REG_DIF,'"&amp;MAX('ID1&amp;5'!K:K)+1&amp;"' AS ID_EXEC, CURRENT_TIMESTAMP() AS TIME_EXEC FROM "&amp;I75,
IF(C75="Missings",+"SELECT '"&amp;UPPER(B75)&amp;"' AS TABELA, '"&amp;UPPER(C75)&amp;"' AS TIPOLOGIA_TESTE,'"&amp;D75&amp;"' AS TABELA_LT,'N/A' AS TABELA_SIMUL,'"&amp;F75&amp;"' AS CAMPO, "&amp;"'${ref_date}' AS REF_DATE, COUNT(*) AS NUM_REG, SUM(IF(TRIM(CAST(X."&amp;F75&amp;" AS STRING)) IN ('0000-00-00','0001-01-01','9999-12-31','MISS','00000','99999999999','99999999999.00','99999999999.000000'),1,0)) AS NUM_REG_DIF,'"&amp;MAX('ID1&amp;5'!K:K)+1&amp;"' AS ID_EXEC, CURRENT_TIMESTAMP() AS TIME_EXEC FROM "&amp;I75,
IF(C75="Not applicable",+"SELECT '"&amp;UPPER(B75)&amp;"' AS TABELA, '"&amp;UPPER(C75)&amp;"' AS TIPOLOGIA_TESTE,'"&amp;D75&amp;"' AS TABELA_LT,'N/A' AS TABELA_SIMUL,'"&amp;F75&amp;"' AS CAMPO, "&amp;"'${ref_date}' AS REF_DATE, COUNT(*) AS NUM_REG, SUM(IF(TRIM(CAST(X."&amp;F75&amp;" AS STRING)) IN ('N/A','11111111111','11111111111.00','11111111111.000000','1111-11-11'),1,0)) AS NUM_REG_DIF,'"&amp;MAX('ID1&amp;5'!K:K)+1&amp;"' AS ID_EXEC, CURRENT_TIMESTAMP() AS TIME_EXEC FROM "&amp;I75,
IF(C75="Valores extremos",+"SELECT '"&amp;UPPER(B75)&amp;"' AS TABELA, '"&amp;UPPER(C75)&amp;"' AS TIPOLOGIA_TESTE,'"&amp;D75&amp;"' AS TABELA_LT,'N/A' AS TABELA_SIMUL,'"&amp;F75&amp;"' AS CAMPO, "&amp;"'${ref_date}' AS REF_DATE, CAST(MIN("&amp;F75&amp;") AS STRING) AS VALOR_MIN, CAST(MAX("&amp;F75&amp;") AS STRING) AS VALOR_MAX,'"&amp;MAX('ID1&amp;5'!K:K)+1&amp;"' AS ID_EXEC, CURRENT_TIMESTAMP() AS TIME_EXEC FROM "&amp;MID(I75,1,LEN(I75)-2)&amp;" AND CAST("&amp;F75&amp;"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TABELA_SIMUL,'MNTHL_INCM_SLR' AS CAMPO, '${ref_date}' AS REF_DATE, COUNT(*) AS NUM_REG, SUM(IF(COALESCE(CAST(X.MNTHL_INCM_SLR AS STRING),'')&lt;&gt;COALESCE(CAST(Y.MNTHL_INCM_SLR_SIMUL AS STRING),'') OR (X.MNTHL_INCM_SLR IS NULL AND Y.MNTHL_INCM_SLR_SIMUL IS NOT NULL ) OR (X.MNTHL_INCM_SLR IS NOT NULL AND Y.MNTHL_INCM_SLR_SIMUL IS NULL),1,0)) AS NUM_REG_DIF,'1' AS ID_EXEC, CURRENT_TIMESTAMP() AS TIME_EXEC FROM (SELECT entty_id, MNTHL_INCM_SLR FROM CD_LOAN_TAPES_BCE.LT003_ENTITY WHERE ref_date='${ref_date}' AND nome_perimetro='Individual Corporativo' AND segmento='ESTR' AND ambito='PM' AND entidade='00100')X INNER JOIN (SELECT entty_id AS entty_id_SIMUL, MNTHL_INCM_SLR AS MNTHL_INCM_SLR_SIMUL FROM BU_LOANTAPE_WORK.LT003_ENTITY WHERE ref_date='${ref_date}' AND nome_perimetro='Individual Corporativo' AND segmento='ESTR' AND ambito='PM' AND entidade='00100')Y ON X.ENTTY_ID=Y.ENTTY_ID_SIMUL</v>
      </c>
      <c r="M75" s="36" t="str">
        <f t="shared" si="1"/>
        <v>UNION ALL SELECT 'ENTITY' AS TABELA, 'COERÊNCIA' AS TIPOLOGIA_TESTE,'CD_LOAN_TAPES_BCE.LT003_ENTITY' AS TABELA_LT,'BU_LOANTAPE_WORK.LT003_ENTITY' AS TABELA_SIMUL,'MNTHL_INCM_SLR' AS CAMPO, '${ref_date}' AS REF_DATE, COUNT(*) AS NUM_REG, SUM(IF(COALESCE(CAST(X.MNTHL_INCM_SLR AS STRING),'')&lt;&gt;COALESCE(CAST(Y.MNTHL_INCM_SLR_SIMUL AS STRING),'') OR (X.MNTHL_INCM_SLR IS NULL AND Y.MNTHL_INCM_SLR_SIMUL IS NOT NULL ) OR (X.MNTHL_INCM_SLR IS NOT NULL AND Y.MNTHL_INCM_SLR_SIMUL IS NULL),1,0)) AS NUM_REG_DIF,'1' AS ID_EXEC, CURRENT_TIMESTAMP() AS TIME_EXEC FROM (SELECT entty_id, MNTHL_INCM_SLR FROM CD_LOAN_TAPES_BCE.LT003_ENTITY WHERE ref_date='${ref_date}' AND nome_perimetro='Individual Corporativo' AND segmento='ESTR' AND ambito='PM' AND entidade='00100')X INNER JOIN (SELECT entty_id AS entty_id_SIMUL, MNTHL_INCM_SLR AS MNTHL_INCM_SLR_SIMUL FROM BU_LOANTAPE_WORK.LT003_ENTITY WHERE ref_date='${ref_date}' AND nome_perimetro='Individual Corporativo' AND segmento='ESTR' AND ambito='PM' AND entidade='00100')Y ON X.ENTTY_ID=Y.ENTTY_ID_SIMUL</v>
      </c>
      <c r="N75" s="38" t="s">
        <v>46</v>
      </c>
    </row>
    <row r="76" spans="2:14">
      <c r="B76" s="34" t="s">
        <v>127</v>
      </c>
      <c r="C76" s="34" t="s">
        <v>5</v>
      </c>
      <c r="D76" s="34" t="str">
        <f>+UPPER('0. Instruções'!$D$35&amp;"."&amp;VLOOKUP(B76,'0. Instruções'!$C$27:$D$32,2,FALSE))</f>
        <v>CD_LOAN_TAPES_BCE.LT003_ENTITY</v>
      </c>
      <c r="E76" s="34" t="str">
        <f>+UPPER('0. Instruções'!$D$36&amp;"."&amp;VLOOKUP(B76,'0. Instruções'!$C$27:$E$32,3,FALSE))</f>
        <v>BU_LOANTAPE_WORK.LT003_ENTITY</v>
      </c>
      <c r="F76" s="34" t="s">
        <v>383</v>
      </c>
      <c r="G76" s="34"/>
      <c r="H76" s="34" t="s">
        <v>92</v>
      </c>
      <c r="I76" s="34" t="str">
        <f>"(SELECT "&amp;VLOOKUP(B76,'0. Instruções'!$C$27:$G$32,4,FALSE)&amp;", "&amp;F76&amp;" FROM "&amp;D76&amp;" WHERE "&amp;'0. Instruções'!$D$42&amp;")X"</f>
        <v>(SELECT entty_id, MNTHL_TRNVR FROM CD_LOAN_TAPES_BCE.LT003_ENTITY WHERE ref_date='${ref_date}' AND nome_perimetro='Individual Corporativo' AND segmento='ESTR' AND ambito='PM' AND entidade='00100')X</v>
      </c>
      <c r="J76" s="34" t="str">
        <f>"(SELECT "&amp;VLOOKUP(B76,'0. Instruções'!$C$27:$G$32,4,FALSE)&amp;" AS "&amp;VLOOKUP(B76,'0. Instruções'!$C$27:$G$32,4,FALSE)&amp;"_SIMUL, "&amp;F76&amp;" AS "&amp;F76&amp;"_SIMUL FROM "&amp;E76&amp;" WHERE "&amp;'0. Instruções'!$D$43&amp;")Y"</f>
        <v>(SELECT entty_id AS entty_id_SIMUL, MNTHL_TRNVR AS MNTHL_TRNVR_SIMUL FROM BU_LOANTAPE_WORK.LT003_ENTITY WHERE ref_date='${ref_date}' AND nome_perimetro='Individual Corporativo' AND segmento='ESTR' AND ambito='PM' AND entidade='00100')Y</v>
      </c>
      <c r="K76" s="35" t="str">
        <f>+UPPER("ON X."&amp;VLOOKUP(B76,'0. Instruções'!$C$27:$G$32,4,FALSE)&amp;"=Y."&amp;VLOOKUP(B76,'0. Instruções'!$C$27:$G$32,4,FALSE)&amp;"_SIMUL")</f>
        <v>ON X.ENTTY_ID=Y.ENTTY_ID_SIMUL</v>
      </c>
      <c r="L76" s="35" t="str">
        <f>+IF(C76="Coerência", +IF(LEFT(G76,5)="FLOAT","SELECT '"&amp;UPPER(B76)&amp;"' AS TABELA, '"&amp;UPPER(C76)&amp;"' AS TIPOLOGIA_TESTE,'"&amp;D76&amp;"' AS TABELA_LT,'"&amp;E76&amp;"' AS TABELA_SIMUL,'"&amp;F76&amp;"' AS CAMPO, "&amp;"'${ref_date}' AS REF_DATE, COUNT(*) AS NUM_REG, SUM(IF((ABS(COALESCE(CAST(X."&amp;F76&amp;" AS DECIMAL(18,6)),0)-COALESCE(CAST(Y."&amp;F76&amp;"_SIMUL AS DECIMAL(18,6)),0))&gt;0.000001) OR (X."&amp;F76&amp;" IS NULL AND Y."&amp;F76&amp;"_SIMUL IS NOT NULL ) OR (X."&amp;F76&amp;" IS NOT NULL AND Y."&amp;F76&amp;"_SIMUL IS NULL),1,0)) AS NUM_REG_DIF,'"&amp;MAX('ID1&amp;5'!K:K)+1&amp;"' AS ID_EXEC, CURRENT_TIMESTAMP() AS TIME_EXEC FROM "&amp;I76&amp;" INNER JOIN "&amp;J76&amp;" "&amp;K76,"SELECT '"&amp;UPPER(B76)&amp;"' AS TABELA, '"&amp;UPPER(C76)&amp;"' AS TIPOLOGIA_TESTE,'"&amp;D76&amp;"' AS TABELA_LT,'"&amp;E76&amp;"' AS TABELA_SIMUL,'"&amp;F76&amp;"' AS CAMPO, "&amp;"'${ref_date}' AS REF_DATE, COUNT(*) AS NUM_REG, SUM(IF(COALESCE(CAST(X."&amp;F76&amp;" AS STRING),'')&lt;&gt;COALESCE(CAST(Y."&amp;F76&amp;"_SIMUL AS STRING),'') OR (X."&amp;F76&amp;" IS NULL AND Y."&amp;F76&amp;"_SIMUL IS NOT NULL ) OR (X."&amp;F76&amp;" IS NOT NULL AND Y."&amp;F76&amp;"_SIMUL IS NULL),1,0)) AS NUM_REG_DIF,'"&amp;MAX('ID1&amp;5'!L:L)+1&amp;"' AS ID_EXEC, CURRENT_TIMESTAMP() AS TIME_EXEC FROM "&amp;I76&amp;" INNER JOIN "&amp;J76&amp;" "&amp;K76),
IF(C76="Validade",+IF(G76="Code List","SELECT '"&amp;UPPER(B76)&amp;"' AS TABELA, '"&amp;UPPER(C76)&amp;"' AS TIPOLOGIA_TESTE,'"&amp;D76&amp;"' AS TABELA_LT,'N/A' AS TABELA_SIMUL,'"&amp;F76&amp;"' AS CAMPO, "&amp;"'${ref_date}' AS REF_DATE, COUNT(*) AS NUM_REG, SUM(IF(TRIM(CAST(X."&amp;F76&amp;" AS STRING))='' OR TRIM(CAST(X."&amp;F76&amp;" AS STRING)) IS NULL OR CAST(X."&amp;F76&amp;" AS STRING) NOT "&amp;H76&amp;",1,0)) AS NUM_REG_DIF,'"&amp;MAX('ID1&amp;5'!K:K)+1&amp;"' AS ID_EXEC, CURRENT_TIMESTAMP() AS TIME_EXEC FROM "&amp;I76,"SELECT '"&amp;UPPER(B76)&amp;"' AS TABELA, '"&amp;UPPER(C76)&amp;"' AS TIPOLOGIA_TESTE,'"&amp;D76&amp;"' AS TABELA_LT,'N/A' AS TABELA_SIMUL,'"&amp;F76&amp;"' AS CAMPO, "&amp;"'${ref_date}' AS REF_DATE, COUNT(*) AS NUM_REG, SUM(IF(TRIM(CAST(X."&amp;F76&amp;" AS STRING))='' OR TRIM(CAST(X."&amp;F76&amp;" AS STRING)) IS NULL,1,0)) AS NUM_REG_DIF,'"&amp;MAX('ID1&amp;5'!K:K)+1&amp;"' AS ID_EXEC, CURRENT_TIMESTAMP() AS TIME_EXEC FROM "&amp;I76),
IF(C76="Caracteres Especiais",+"SELECT '"&amp;UPPER(B76)&amp;"' AS TABELA, '"&amp;UPPER(C76)&amp;"' AS TIPOLOGIA_TESTE,'"&amp;D76&amp;"' AS TABELA_LT,'N/A' AS TABELA_SIMUL,'"&amp;F76&amp;"' AS CAMPO, "&amp;"'${ref_date}' AS REF_DATE, COUNT(*) AS NUM_REG, SUM(IF(REGEXP_REPLACE(TRIM(CAST(X."&amp;F76&amp;" AS STRING)),'[^a-zA-Z0-9_\\s]','') &lt;&gt;TRIM(CAST(X."&amp;F76&amp;" AS STRING)),1,0)) AS NUM_REG_DIF,'"&amp;MAX('ID1&amp;5'!K:K)+1&amp;"' AS ID_EXEC, CURRENT_TIMESTAMP() AS TIME_EXEC FROM "&amp;I76,
IF(C76="Missings",+"SELECT '"&amp;UPPER(B76)&amp;"' AS TABELA, '"&amp;UPPER(C76)&amp;"' AS TIPOLOGIA_TESTE,'"&amp;D76&amp;"' AS TABELA_LT,'N/A' AS TABELA_SIMUL,'"&amp;F76&amp;"' AS CAMPO, "&amp;"'${ref_date}' AS REF_DATE, COUNT(*) AS NUM_REG, SUM(IF(TRIM(CAST(X."&amp;F76&amp;" AS STRING)) IN ('0000-00-00','0001-01-01','9999-12-31','MISS','00000','99999999999','99999999999.00','99999999999.000000'),1,0)) AS NUM_REG_DIF,'"&amp;MAX('ID1&amp;5'!K:K)+1&amp;"' AS ID_EXEC, CURRENT_TIMESTAMP() AS TIME_EXEC FROM "&amp;I76,
IF(C76="Not applicable",+"SELECT '"&amp;UPPER(B76)&amp;"' AS TABELA, '"&amp;UPPER(C76)&amp;"' AS TIPOLOGIA_TESTE,'"&amp;D76&amp;"' AS TABELA_LT,'N/A' AS TABELA_SIMUL,'"&amp;F76&amp;"' AS CAMPO, "&amp;"'${ref_date}' AS REF_DATE, COUNT(*) AS NUM_REG, SUM(IF(TRIM(CAST(X."&amp;F76&amp;" AS STRING)) IN ('N/A','11111111111','11111111111.00','11111111111.000000','1111-11-11'),1,0)) AS NUM_REG_DIF,'"&amp;MAX('ID1&amp;5'!K:K)+1&amp;"' AS ID_EXEC, CURRENT_TIMESTAMP() AS TIME_EXEC FROM "&amp;I76,
IF(C76="Valores extremos",+"SELECT '"&amp;UPPER(B76)&amp;"' AS TABELA, '"&amp;UPPER(C76)&amp;"' AS TIPOLOGIA_TESTE,'"&amp;D76&amp;"' AS TABELA_LT,'N/A' AS TABELA_SIMUL,'"&amp;F76&amp;"' AS CAMPO, "&amp;"'${ref_date}' AS REF_DATE, CAST(MIN("&amp;F76&amp;") AS STRING) AS VALOR_MIN, CAST(MAX("&amp;F76&amp;") AS STRING) AS VALOR_MAX,'"&amp;MAX('ID1&amp;5'!K:K)+1&amp;"' AS ID_EXEC, CURRENT_TIMESTAMP() AS TIME_EXEC FROM "&amp;MID(I76,1,LEN(I76)-2)&amp;" AND CAST("&amp;F76&amp;"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TABELA_SIMUL,'MNTHL_TRNVR' AS CAMPO, '${ref_date}' AS REF_DATE, COUNT(*) AS NUM_REG, SUM(IF(COALESCE(CAST(X.MNTHL_TRNVR AS STRING),'')&lt;&gt;COALESCE(CAST(Y.MNTHL_TRNVR_SIMUL AS STRING),'') OR (X.MNTHL_TRNVR IS NULL AND Y.MNTHL_TRNVR_SIMUL IS NOT NULL ) OR (X.MNTHL_TRNVR IS NOT NULL AND Y.MNTHL_TRNVR_SIMUL IS NULL),1,0)) AS NUM_REG_DIF,'1' AS ID_EXEC, CURRENT_TIMESTAMP() AS TIME_EXEC FROM (SELECT entty_id, MNTHL_TRNVR FROM CD_LOAN_TAPES_BCE.LT003_ENTITY WHERE ref_date='${ref_date}' AND nome_perimetro='Individual Corporativo' AND segmento='ESTR' AND ambito='PM' AND entidade='00100')X INNER JOIN (SELECT entty_id AS entty_id_SIMUL, MNTHL_TRNVR AS MNTHL_TRNVR_SIMUL FROM BU_LOANTAPE_WORK.LT003_ENTITY WHERE ref_date='${ref_date}' AND nome_perimetro='Individual Corporativo' AND segmento='ESTR' AND ambito='PM' AND entidade='00100')Y ON X.ENTTY_ID=Y.ENTTY_ID_SIMUL</v>
      </c>
      <c r="M76" s="36" t="str">
        <f t="shared" si="1"/>
        <v>UNION ALL SELECT 'ENTITY' AS TABELA, 'COERÊNCIA' AS TIPOLOGIA_TESTE,'CD_LOAN_TAPES_BCE.LT003_ENTITY' AS TABELA_LT,'BU_LOANTAPE_WORK.LT003_ENTITY' AS TABELA_SIMUL,'MNTHL_TRNVR' AS CAMPO, '${ref_date}' AS REF_DATE, COUNT(*) AS NUM_REG, SUM(IF(COALESCE(CAST(X.MNTHL_TRNVR AS STRING),'')&lt;&gt;COALESCE(CAST(Y.MNTHL_TRNVR_SIMUL AS STRING),'') OR (X.MNTHL_TRNVR IS NULL AND Y.MNTHL_TRNVR_SIMUL IS NOT NULL ) OR (X.MNTHL_TRNVR IS NOT NULL AND Y.MNTHL_TRNVR_SIMUL IS NULL),1,0)) AS NUM_REG_DIF,'1' AS ID_EXEC, CURRENT_TIMESTAMP() AS TIME_EXEC FROM (SELECT entty_id, MNTHL_TRNVR FROM CD_LOAN_TAPES_BCE.LT003_ENTITY WHERE ref_date='${ref_date}' AND nome_perimetro='Individual Corporativo' AND segmento='ESTR' AND ambito='PM' AND entidade='00100')X INNER JOIN (SELECT entty_id AS entty_id_SIMUL, MNTHL_TRNVR AS MNTHL_TRNVR_SIMUL FROM BU_LOANTAPE_WORK.LT003_ENTITY WHERE ref_date='${ref_date}' AND nome_perimetro='Individual Corporativo' AND segmento='ESTR' AND ambito='PM' AND entidade='00100')Y ON X.ENTTY_ID=Y.ENTTY_ID_SIMUL</v>
      </c>
      <c r="N76" s="38" t="s">
        <v>46</v>
      </c>
    </row>
    <row r="77" spans="2:14">
      <c r="B77" s="34" t="s">
        <v>127</v>
      </c>
      <c r="C77" s="34" t="s">
        <v>5</v>
      </c>
      <c r="D77" s="34" t="str">
        <f>+UPPER('0. Instruções'!$D$35&amp;"."&amp;VLOOKUP(B77,'0. Instruções'!$C$27:$D$32,2,FALSE))</f>
        <v>CD_LOAN_TAPES_BCE.LT003_ENTITY</v>
      </c>
      <c r="E77" s="34" t="str">
        <f>+UPPER('0. Instruções'!$D$36&amp;"."&amp;VLOOKUP(B77,'0. Instruções'!$C$27:$E$32,3,FALSE))</f>
        <v>BU_LOANTAPE_WORK.LT003_ENTITY</v>
      </c>
      <c r="F77" s="34" t="s">
        <v>384</v>
      </c>
      <c r="G77" s="34"/>
      <c r="H77" s="34" t="s">
        <v>92</v>
      </c>
      <c r="I77" s="34" t="str">
        <f>"(SELECT "&amp;VLOOKUP(B77,'0. Instruções'!$C$27:$G$32,4,FALSE)&amp;", "&amp;F77&amp;" FROM "&amp;D77&amp;" WHERE "&amp;'0. Instruções'!$D$42&amp;")X"</f>
        <v>(SELECT entty_id, NT_INCM FROM CD_LOAN_TAPES_BCE.LT003_ENTITY WHERE ref_date='${ref_date}' AND nome_perimetro='Individual Corporativo' AND segmento='ESTR' AND ambito='PM' AND entidade='00100')X</v>
      </c>
      <c r="J77" s="34" t="str">
        <f>"(SELECT "&amp;VLOOKUP(B77,'0. Instruções'!$C$27:$G$32,4,FALSE)&amp;" AS "&amp;VLOOKUP(B77,'0. Instruções'!$C$27:$G$32,4,FALSE)&amp;"_SIMUL, "&amp;F77&amp;" AS "&amp;F77&amp;"_SIMUL FROM "&amp;E77&amp;" WHERE "&amp;'0. Instruções'!$D$43&amp;")Y"</f>
        <v>(SELECT entty_id AS entty_id_SIMUL, NT_INCM AS NT_INCM_SIMUL FROM BU_LOANTAPE_WORK.LT003_ENTITY WHERE ref_date='${ref_date}' AND nome_perimetro='Individual Corporativo' AND segmento='ESTR' AND ambito='PM' AND entidade='00100')Y</v>
      </c>
      <c r="K77" s="35" t="str">
        <f>+UPPER("ON X."&amp;VLOOKUP(B77,'0. Instruções'!$C$27:$G$32,4,FALSE)&amp;"=Y."&amp;VLOOKUP(B77,'0. Instruções'!$C$27:$G$32,4,FALSE)&amp;"_SIMUL")</f>
        <v>ON X.ENTTY_ID=Y.ENTTY_ID_SIMUL</v>
      </c>
      <c r="L77" s="35" t="str">
        <f>+IF(C77="Coerência", +IF(LEFT(G77,5)="FLOAT","SELECT '"&amp;UPPER(B77)&amp;"' AS TABELA, '"&amp;UPPER(C77)&amp;"' AS TIPOLOGIA_TESTE,'"&amp;D77&amp;"' AS TABELA_LT,'"&amp;E77&amp;"' AS TABELA_SIMUL,'"&amp;F77&amp;"' AS CAMPO, "&amp;"'${ref_date}' AS REF_DATE, COUNT(*) AS NUM_REG, SUM(IF((ABS(COALESCE(CAST(X."&amp;F77&amp;" AS DECIMAL(18,6)),0)-COALESCE(CAST(Y."&amp;F77&amp;"_SIMUL AS DECIMAL(18,6)),0))&gt;0.000001) OR (X."&amp;F77&amp;" IS NULL AND Y."&amp;F77&amp;"_SIMUL IS NOT NULL ) OR (X."&amp;F77&amp;" IS NOT NULL AND Y."&amp;F77&amp;"_SIMUL IS NULL),1,0)) AS NUM_REG_DIF,'"&amp;MAX('ID1&amp;5'!K:K)+1&amp;"' AS ID_EXEC, CURRENT_TIMESTAMP() AS TIME_EXEC FROM "&amp;I77&amp;" INNER JOIN "&amp;J77&amp;" "&amp;K77,"SELECT '"&amp;UPPER(B77)&amp;"' AS TABELA, '"&amp;UPPER(C77)&amp;"' AS TIPOLOGIA_TESTE,'"&amp;D77&amp;"' AS TABELA_LT,'"&amp;E77&amp;"' AS TABELA_SIMUL,'"&amp;F77&amp;"' AS CAMPO, "&amp;"'${ref_date}' AS REF_DATE, COUNT(*) AS NUM_REG, SUM(IF(COALESCE(CAST(X."&amp;F77&amp;" AS STRING),'')&lt;&gt;COALESCE(CAST(Y."&amp;F77&amp;"_SIMUL AS STRING),'') OR (X."&amp;F77&amp;" IS NULL AND Y."&amp;F77&amp;"_SIMUL IS NOT NULL ) OR (X."&amp;F77&amp;" IS NOT NULL AND Y."&amp;F77&amp;"_SIMUL IS NULL),1,0)) AS NUM_REG_DIF,'"&amp;MAX('ID1&amp;5'!L:L)+1&amp;"' AS ID_EXEC, CURRENT_TIMESTAMP() AS TIME_EXEC FROM "&amp;I77&amp;" INNER JOIN "&amp;J77&amp;" "&amp;K77),
IF(C77="Validade",+IF(G77="Code List","SELECT '"&amp;UPPER(B77)&amp;"' AS TABELA, '"&amp;UPPER(C77)&amp;"' AS TIPOLOGIA_TESTE,'"&amp;D77&amp;"' AS TABELA_LT,'N/A' AS TABELA_SIMUL,'"&amp;F77&amp;"' AS CAMPO, "&amp;"'${ref_date}' AS REF_DATE, COUNT(*) AS NUM_REG, SUM(IF(TRIM(CAST(X."&amp;F77&amp;" AS STRING))='' OR TRIM(CAST(X."&amp;F77&amp;" AS STRING)) IS NULL OR CAST(X."&amp;F77&amp;" AS STRING) NOT "&amp;H77&amp;",1,0)) AS NUM_REG_DIF,'"&amp;MAX('ID1&amp;5'!K:K)+1&amp;"' AS ID_EXEC, CURRENT_TIMESTAMP() AS TIME_EXEC FROM "&amp;I77,"SELECT '"&amp;UPPER(B77)&amp;"' AS TABELA, '"&amp;UPPER(C77)&amp;"' AS TIPOLOGIA_TESTE,'"&amp;D77&amp;"' AS TABELA_LT,'N/A' AS TABELA_SIMUL,'"&amp;F77&amp;"' AS CAMPO, "&amp;"'${ref_date}' AS REF_DATE, COUNT(*) AS NUM_REG, SUM(IF(TRIM(CAST(X."&amp;F77&amp;" AS STRING))='' OR TRIM(CAST(X."&amp;F77&amp;" AS STRING)) IS NULL,1,0)) AS NUM_REG_DIF,'"&amp;MAX('ID1&amp;5'!K:K)+1&amp;"' AS ID_EXEC, CURRENT_TIMESTAMP() AS TIME_EXEC FROM "&amp;I77),
IF(C77="Caracteres Especiais",+"SELECT '"&amp;UPPER(B77)&amp;"' AS TABELA, '"&amp;UPPER(C77)&amp;"' AS TIPOLOGIA_TESTE,'"&amp;D77&amp;"' AS TABELA_LT,'N/A' AS TABELA_SIMUL,'"&amp;F77&amp;"' AS CAMPO, "&amp;"'${ref_date}' AS REF_DATE, COUNT(*) AS NUM_REG, SUM(IF(REGEXP_REPLACE(TRIM(CAST(X."&amp;F77&amp;" AS STRING)),'[^a-zA-Z0-9_\\s]','') &lt;&gt;TRIM(CAST(X."&amp;F77&amp;" AS STRING)),1,0)) AS NUM_REG_DIF,'"&amp;MAX('ID1&amp;5'!K:K)+1&amp;"' AS ID_EXEC, CURRENT_TIMESTAMP() AS TIME_EXEC FROM "&amp;I77,
IF(C77="Missings",+"SELECT '"&amp;UPPER(B77)&amp;"' AS TABELA, '"&amp;UPPER(C77)&amp;"' AS TIPOLOGIA_TESTE,'"&amp;D77&amp;"' AS TABELA_LT,'N/A' AS TABELA_SIMUL,'"&amp;F77&amp;"' AS CAMPO, "&amp;"'${ref_date}' AS REF_DATE, COUNT(*) AS NUM_REG, SUM(IF(TRIM(CAST(X."&amp;F77&amp;" AS STRING)) IN ('0000-00-00','0001-01-01','9999-12-31','MISS','00000','99999999999','99999999999.00','99999999999.000000'),1,0)) AS NUM_REG_DIF,'"&amp;MAX('ID1&amp;5'!K:K)+1&amp;"' AS ID_EXEC, CURRENT_TIMESTAMP() AS TIME_EXEC FROM "&amp;I77,
IF(C77="Not applicable",+"SELECT '"&amp;UPPER(B77)&amp;"' AS TABELA, '"&amp;UPPER(C77)&amp;"' AS TIPOLOGIA_TESTE,'"&amp;D77&amp;"' AS TABELA_LT,'N/A' AS TABELA_SIMUL,'"&amp;F77&amp;"' AS CAMPO, "&amp;"'${ref_date}' AS REF_DATE, COUNT(*) AS NUM_REG, SUM(IF(TRIM(CAST(X."&amp;F77&amp;" AS STRING)) IN ('N/A','11111111111','11111111111.00','11111111111.000000','1111-11-11'),1,0)) AS NUM_REG_DIF,'"&amp;MAX('ID1&amp;5'!K:K)+1&amp;"' AS ID_EXEC, CURRENT_TIMESTAMP() AS TIME_EXEC FROM "&amp;I77,
IF(C77="Valores extremos",+"SELECT '"&amp;UPPER(B77)&amp;"' AS TABELA, '"&amp;UPPER(C77)&amp;"' AS TIPOLOGIA_TESTE,'"&amp;D77&amp;"' AS TABELA_LT,'N/A' AS TABELA_SIMUL,'"&amp;F77&amp;"' AS CAMPO, "&amp;"'${ref_date}' AS REF_DATE, CAST(MIN("&amp;F77&amp;") AS STRING) AS VALOR_MIN, CAST(MAX("&amp;F77&amp;") AS STRING) AS VALOR_MAX,'"&amp;MAX('ID1&amp;5'!K:K)+1&amp;"' AS ID_EXEC, CURRENT_TIMESTAMP() AS TIME_EXEC FROM "&amp;MID(I77,1,LEN(I77)-2)&amp;" AND CAST("&amp;F77&amp;"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TABELA_SIMUL,'NT_INCM' AS CAMPO, '${ref_date}' AS REF_DATE, COUNT(*) AS NUM_REG, SUM(IF(COALESCE(CAST(X.NT_INCM AS STRING),'')&lt;&gt;COALESCE(CAST(Y.NT_INCM_SIMUL AS STRING),'') OR (X.NT_INCM IS NULL AND Y.NT_INCM_SIMUL IS NOT NULL ) OR (X.NT_INCM IS NOT NULL AND Y.NT_INCM_SIMUL IS NULL),1,0)) AS NUM_REG_DIF,'1' AS ID_EXEC, CURRENT_TIMESTAMP() AS TIME_EXEC FROM (SELECT entty_id, NT_INCM FROM CD_LOAN_TAPES_BCE.LT003_ENTITY WHERE ref_date='${ref_date}' AND nome_perimetro='Individual Corporativo' AND segmento='ESTR' AND ambito='PM' AND entidade='00100')X INNER JOIN (SELECT entty_id AS entty_id_SIMUL, NT_INCM AS NT_INCM_SIMUL FROM BU_LOANTAPE_WORK.LT003_ENTITY WHERE ref_date='${ref_date}' AND nome_perimetro='Individual Corporativo' AND segmento='ESTR' AND ambito='PM' AND entidade='00100')Y ON X.ENTTY_ID=Y.ENTTY_ID_SIMUL</v>
      </c>
      <c r="M77" s="36" t="str">
        <f t="shared" si="1"/>
        <v>UNION ALL SELECT 'ENTITY' AS TABELA, 'COERÊNCIA' AS TIPOLOGIA_TESTE,'CD_LOAN_TAPES_BCE.LT003_ENTITY' AS TABELA_LT,'BU_LOANTAPE_WORK.LT003_ENTITY' AS TABELA_SIMUL,'NT_INCM' AS CAMPO, '${ref_date}' AS REF_DATE, COUNT(*) AS NUM_REG, SUM(IF(COALESCE(CAST(X.NT_INCM AS STRING),'')&lt;&gt;COALESCE(CAST(Y.NT_INCM_SIMUL AS STRING),'') OR (X.NT_INCM IS NULL AND Y.NT_INCM_SIMUL IS NOT NULL ) OR (X.NT_INCM IS NOT NULL AND Y.NT_INCM_SIMUL IS NULL),1,0)) AS NUM_REG_DIF,'1' AS ID_EXEC, CURRENT_TIMESTAMP() AS TIME_EXEC FROM (SELECT entty_id, NT_INCM FROM CD_LOAN_TAPES_BCE.LT003_ENTITY WHERE ref_date='${ref_date}' AND nome_perimetro='Individual Corporativo' AND segmento='ESTR' AND ambito='PM' AND entidade='00100')X INNER JOIN (SELECT entty_id AS entty_id_SIMUL, NT_INCM AS NT_INCM_SIMUL FROM BU_LOANTAPE_WORK.LT003_ENTITY WHERE ref_date='${ref_date}' AND nome_perimetro='Individual Corporativo' AND segmento='ESTR' AND ambito='PM' AND entidade='00100')Y ON X.ENTTY_ID=Y.ENTTY_ID_SIMUL</v>
      </c>
      <c r="N77" s="38" t="s">
        <v>46</v>
      </c>
    </row>
    <row r="78" spans="2:14">
      <c r="B78" s="34" t="s">
        <v>127</v>
      </c>
      <c r="C78" s="34" t="s">
        <v>5</v>
      </c>
      <c r="D78" s="34" t="str">
        <f>+UPPER('0. Instruções'!$D$35&amp;"."&amp;VLOOKUP(B78,'0. Instruções'!$C$27:$D$32,2,FALSE))</f>
        <v>CD_LOAN_TAPES_BCE.LT003_ENTITY</v>
      </c>
      <c r="E78" s="34" t="str">
        <f>+UPPER('0. Instruções'!$D$36&amp;"."&amp;VLOOKUP(B78,'0. Instruções'!$C$27:$E$32,3,FALSE))</f>
        <v>BU_LOANTAPE_WORK.LT003_ENTITY</v>
      </c>
      <c r="F78" s="34" t="s">
        <v>385</v>
      </c>
      <c r="G78" s="34"/>
      <c r="H78" s="34" t="s">
        <v>92</v>
      </c>
      <c r="I78" s="34" t="str">
        <f>"(SELECT "&amp;VLOOKUP(B78,'0. Instruções'!$C$27:$G$32,4,FALSE)&amp;", "&amp;F78&amp;" FROM "&amp;D78&amp;" WHERE "&amp;'0. Instruções'!$D$42&amp;")X"</f>
        <v>(SELECT entty_id, NT_INCM_PRVS FROM CD_LOAN_TAPES_BCE.LT003_ENTITY WHERE ref_date='${ref_date}' AND nome_perimetro='Individual Corporativo' AND segmento='ESTR' AND ambito='PM' AND entidade='00100')X</v>
      </c>
      <c r="J78" s="34" t="str">
        <f>"(SELECT "&amp;VLOOKUP(B78,'0. Instruções'!$C$27:$G$32,4,FALSE)&amp;" AS "&amp;VLOOKUP(B78,'0. Instruções'!$C$27:$G$32,4,FALSE)&amp;"_SIMUL, "&amp;F78&amp;" AS "&amp;F78&amp;"_SIMUL FROM "&amp;E78&amp;" WHERE "&amp;'0. Instruções'!$D$43&amp;")Y"</f>
        <v>(SELECT entty_id AS entty_id_SIMUL, NT_INCM_PRVS AS NT_INCM_PRVS_SIMUL FROM BU_LOANTAPE_WORK.LT003_ENTITY WHERE ref_date='${ref_date}' AND nome_perimetro='Individual Corporativo' AND segmento='ESTR' AND ambito='PM' AND entidade='00100')Y</v>
      </c>
      <c r="K78" s="35" t="str">
        <f>+UPPER("ON X."&amp;VLOOKUP(B78,'0. Instruções'!$C$27:$G$32,4,FALSE)&amp;"=Y."&amp;VLOOKUP(B78,'0. Instruções'!$C$27:$G$32,4,FALSE)&amp;"_SIMUL")</f>
        <v>ON X.ENTTY_ID=Y.ENTTY_ID_SIMUL</v>
      </c>
      <c r="L78" s="35" t="str">
        <f>+IF(C78="Coerência", +IF(LEFT(G78,5)="FLOAT","SELECT '"&amp;UPPER(B78)&amp;"' AS TABELA, '"&amp;UPPER(C78)&amp;"' AS TIPOLOGIA_TESTE,'"&amp;D78&amp;"' AS TABELA_LT,'"&amp;E78&amp;"' AS TABELA_SIMUL,'"&amp;F78&amp;"' AS CAMPO, "&amp;"'${ref_date}' AS REF_DATE, COUNT(*) AS NUM_REG, SUM(IF((ABS(COALESCE(CAST(X."&amp;F78&amp;" AS DECIMAL(18,6)),0)-COALESCE(CAST(Y."&amp;F78&amp;"_SIMUL AS DECIMAL(18,6)),0))&gt;0.000001) OR (X."&amp;F78&amp;" IS NULL AND Y."&amp;F78&amp;"_SIMUL IS NOT NULL ) OR (X."&amp;F78&amp;" IS NOT NULL AND Y."&amp;F78&amp;"_SIMUL IS NULL),1,0)) AS NUM_REG_DIF,'"&amp;MAX('ID1&amp;5'!K:K)+1&amp;"' AS ID_EXEC, CURRENT_TIMESTAMP() AS TIME_EXEC FROM "&amp;I78&amp;" INNER JOIN "&amp;J78&amp;" "&amp;K78,"SELECT '"&amp;UPPER(B78)&amp;"' AS TABELA, '"&amp;UPPER(C78)&amp;"' AS TIPOLOGIA_TESTE,'"&amp;D78&amp;"' AS TABELA_LT,'"&amp;E78&amp;"' AS TABELA_SIMUL,'"&amp;F78&amp;"' AS CAMPO, "&amp;"'${ref_date}' AS REF_DATE, COUNT(*) AS NUM_REG, SUM(IF(COALESCE(CAST(X."&amp;F78&amp;" AS STRING),'')&lt;&gt;COALESCE(CAST(Y."&amp;F78&amp;"_SIMUL AS STRING),'') OR (X."&amp;F78&amp;" IS NULL AND Y."&amp;F78&amp;"_SIMUL IS NOT NULL ) OR (X."&amp;F78&amp;" IS NOT NULL AND Y."&amp;F78&amp;"_SIMUL IS NULL),1,0)) AS NUM_REG_DIF,'"&amp;MAX('ID1&amp;5'!L:L)+1&amp;"' AS ID_EXEC, CURRENT_TIMESTAMP() AS TIME_EXEC FROM "&amp;I78&amp;" INNER JOIN "&amp;J78&amp;" "&amp;K78),
IF(C78="Validade",+IF(G78="Code List","SELECT '"&amp;UPPER(B78)&amp;"' AS TABELA, '"&amp;UPPER(C78)&amp;"' AS TIPOLOGIA_TESTE,'"&amp;D78&amp;"' AS TABELA_LT,'N/A' AS TABELA_SIMUL,'"&amp;F78&amp;"' AS CAMPO, "&amp;"'${ref_date}' AS REF_DATE, COUNT(*) AS NUM_REG, SUM(IF(TRIM(CAST(X."&amp;F78&amp;" AS STRING))='' OR TRIM(CAST(X."&amp;F78&amp;" AS STRING)) IS NULL OR CAST(X."&amp;F78&amp;" AS STRING) NOT "&amp;H78&amp;",1,0)) AS NUM_REG_DIF,'"&amp;MAX('ID1&amp;5'!K:K)+1&amp;"' AS ID_EXEC, CURRENT_TIMESTAMP() AS TIME_EXEC FROM "&amp;I78,"SELECT '"&amp;UPPER(B78)&amp;"' AS TABELA, '"&amp;UPPER(C78)&amp;"' AS TIPOLOGIA_TESTE,'"&amp;D78&amp;"' AS TABELA_LT,'N/A' AS TABELA_SIMUL,'"&amp;F78&amp;"' AS CAMPO, "&amp;"'${ref_date}' AS REF_DATE, COUNT(*) AS NUM_REG, SUM(IF(TRIM(CAST(X."&amp;F78&amp;" AS STRING))='' OR TRIM(CAST(X."&amp;F78&amp;" AS STRING)) IS NULL,1,0)) AS NUM_REG_DIF,'"&amp;MAX('ID1&amp;5'!K:K)+1&amp;"' AS ID_EXEC, CURRENT_TIMESTAMP() AS TIME_EXEC FROM "&amp;I78),
IF(C78="Caracteres Especiais",+"SELECT '"&amp;UPPER(B78)&amp;"' AS TABELA, '"&amp;UPPER(C78)&amp;"' AS TIPOLOGIA_TESTE,'"&amp;D78&amp;"' AS TABELA_LT,'N/A' AS TABELA_SIMUL,'"&amp;F78&amp;"' AS CAMPO, "&amp;"'${ref_date}' AS REF_DATE, COUNT(*) AS NUM_REG, SUM(IF(REGEXP_REPLACE(TRIM(CAST(X."&amp;F78&amp;" AS STRING)),'[^a-zA-Z0-9_\\s]','') &lt;&gt;TRIM(CAST(X."&amp;F78&amp;" AS STRING)),1,0)) AS NUM_REG_DIF,'"&amp;MAX('ID1&amp;5'!K:K)+1&amp;"' AS ID_EXEC, CURRENT_TIMESTAMP() AS TIME_EXEC FROM "&amp;I78,
IF(C78="Missings",+"SELECT '"&amp;UPPER(B78)&amp;"' AS TABELA, '"&amp;UPPER(C78)&amp;"' AS TIPOLOGIA_TESTE,'"&amp;D78&amp;"' AS TABELA_LT,'N/A' AS TABELA_SIMUL,'"&amp;F78&amp;"' AS CAMPO, "&amp;"'${ref_date}' AS REF_DATE, COUNT(*) AS NUM_REG, SUM(IF(TRIM(CAST(X."&amp;F78&amp;" AS STRING)) IN ('0000-00-00','0001-01-01','9999-12-31','MISS','00000','99999999999','99999999999.00','99999999999.000000'),1,0)) AS NUM_REG_DIF,'"&amp;MAX('ID1&amp;5'!K:K)+1&amp;"' AS ID_EXEC, CURRENT_TIMESTAMP() AS TIME_EXEC FROM "&amp;I78,
IF(C78="Not applicable",+"SELECT '"&amp;UPPER(B78)&amp;"' AS TABELA, '"&amp;UPPER(C78)&amp;"' AS TIPOLOGIA_TESTE,'"&amp;D78&amp;"' AS TABELA_LT,'N/A' AS TABELA_SIMUL,'"&amp;F78&amp;"' AS CAMPO, "&amp;"'${ref_date}' AS REF_DATE, COUNT(*) AS NUM_REG, SUM(IF(TRIM(CAST(X."&amp;F78&amp;" AS STRING)) IN ('N/A','11111111111','11111111111.00','11111111111.000000','1111-11-11'),1,0)) AS NUM_REG_DIF,'"&amp;MAX('ID1&amp;5'!K:K)+1&amp;"' AS ID_EXEC, CURRENT_TIMESTAMP() AS TIME_EXEC FROM "&amp;I78,
IF(C78="Valores extremos",+"SELECT '"&amp;UPPER(B78)&amp;"' AS TABELA, '"&amp;UPPER(C78)&amp;"' AS TIPOLOGIA_TESTE,'"&amp;D78&amp;"' AS TABELA_LT,'N/A' AS TABELA_SIMUL,'"&amp;F78&amp;"' AS CAMPO, "&amp;"'${ref_date}' AS REF_DATE, CAST(MIN("&amp;F78&amp;") AS STRING) AS VALOR_MIN, CAST(MAX("&amp;F78&amp;") AS STRING) AS VALOR_MAX,'"&amp;MAX('ID1&amp;5'!K:K)+1&amp;"' AS ID_EXEC, CURRENT_TIMESTAMP() AS TIME_EXEC FROM "&amp;MID(I78,1,LEN(I78)-2)&amp;" AND CAST("&amp;F78&amp;"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TABELA_SIMUL,'NT_INCM_PRVS' AS CAMPO, '${ref_date}' AS REF_DATE, COUNT(*) AS NUM_REG, SUM(IF(COALESCE(CAST(X.NT_INCM_PRVS AS STRING),'')&lt;&gt;COALESCE(CAST(Y.NT_INCM_PRVS_SIMUL AS STRING),'') OR (X.NT_INCM_PRVS IS NULL AND Y.NT_INCM_PRVS_SIMUL IS NOT NULL ) OR (X.NT_INCM_PRVS IS NOT NULL AND Y.NT_INCM_PRVS_SIMUL IS NULL),1,0)) AS NUM_REG_DIF,'1' AS ID_EXEC, CURRENT_TIMESTAMP() AS TIME_EXEC FROM (SELECT entty_id, NT_INCM_PRVS FROM CD_LOAN_TAPES_BCE.LT003_ENTITY WHERE ref_date='${ref_date}' AND nome_perimetro='Individual Corporativo' AND segmento='ESTR' AND ambito='PM' AND entidade='00100')X INNER JOIN (SELECT entty_id AS entty_id_SIMUL, NT_INCM_PRVS AS NT_INCM_PRVS_SIMUL FROM BU_LOANTAPE_WORK.LT003_ENTITY WHERE ref_date='${ref_date}' AND nome_perimetro='Individual Corporativo' AND segmento='ESTR' AND ambito='PM' AND entidade='00100')Y ON X.ENTTY_ID=Y.ENTTY_ID_SIMUL</v>
      </c>
      <c r="M78" s="36" t="str">
        <f t="shared" si="1"/>
        <v>UNION ALL SELECT 'ENTITY' AS TABELA, 'COERÊNCIA' AS TIPOLOGIA_TESTE,'CD_LOAN_TAPES_BCE.LT003_ENTITY' AS TABELA_LT,'BU_LOANTAPE_WORK.LT003_ENTITY' AS TABELA_SIMUL,'NT_INCM_PRVS' AS CAMPO, '${ref_date}' AS REF_DATE, COUNT(*) AS NUM_REG, SUM(IF(COALESCE(CAST(X.NT_INCM_PRVS AS STRING),'')&lt;&gt;COALESCE(CAST(Y.NT_INCM_PRVS_SIMUL AS STRING),'') OR (X.NT_INCM_PRVS IS NULL AND Y.NT_INCM_PRVS_SIMUL IS NOT NULL ) OR (X.NT_INCM_PRVS IS NOT NULL AND Y.NT_INCM_PRVS_SIMUL IS NULL),1,0)) AS NUM_REG_DIF,'1' AS ID_EXEC, CURRENT_TIMESTAMP() AS TIME_EXEC FROM (SELECT entty_id, NT_INCM_PRVS FROM CD_LOAN_TAPES_BCE.LT003_ENTITY WHERE ref_date='${ref_date}' AND nome_perimetro='Individual Corporativo' AND segmento='ESTR' AND ambito='PM' AND entidade='00100')X INNER JOIN (SELECT entty_id AS entty_id_SIMUL, NT_INCM_PRVS AS NT_INCM_PRVS_SIMUL FROM BU_LOANTAPE_WORK.LT003_ENTITY WHERE ref_date='${ref_date}' AND nome_perimetro='Individual Corporativo' AND segmento='ESTR' AND ambito='PM' AND entidade='00100')Y ON X.ENTTY_ID=Y.ENTTY_ID_SIMUL</v>
      </c>
      <c r="N78" s="38" t="s">
        <v>46</v>
      </c>
    </row>
    <row r="79" spans="2:14">
      <c r="B79" s="34" t="s">
        <v>127</v>
      </c>
      <c r="C79" s="34" t="s">
        <v>5</v>
      </c>
      <c r="D79" s="34" t="str">
        <f>+UPPER('0. Instruções'!$D$35&amp;"."&amp;VLOOKUP(B79,'0. Instruções'!$C$27:$D$32,2,FALSE))</f>
        <v>CD_LOAN_TAPES_BCE.LT003_ENTITY</v>
      </c>
      <c r="E79" s="34" t="str">
        <f>+UPPER('0. Instruções'!$D$36&amp;"."&amp;VLOOKUP(B79,'0. Instruções'!$C$27:$E$32,3,FALSE))</f>
        <v>BU_LOANTAPE_WORK.LT003_ENTITY</v>
      </c>
      <c r="F79" s="34" t="s">
        <v>120</v>
      </c>
      <c r="G79" s="34"/>
      <c r="H79" s="34" t="s">
        <v>92</v>
      </c>
      <c r="I79" s="34" t="str">
        <f>"(SELECT "&amp;VLOOKUP(B79,'0. Instruções'!$C$27:$G$32,4,FALSE)&amp;", "&amp;F79&amp;" FROM "&amp;D79&amp;" WHERE "&amp;'0. Instruções'!$D$42&amp;")X"</f>
        <v>(SELECT entty_id, TTL_DBT FROM CD_LOAN_TAPES_BCE.LT003_ENTITY WHERE ref_date='${ref_date}' AND nome_perimetro='Individual Corporativo' AND segmento='ESTR' AND ambito='PM' AND entidade='00100')X</v>
      </c>
      <c r="J79" s="34" t="str">
        <f>"(SELECT "&amp;VLOOKUP(B79,'0. Instruções'!$C$27:$G$32,4,FALSE)&amp;" AS "&amp;VLOOKUP(B79,'0. Instruções'!$C$27:$G$32,4,FALSE)&amp;"_SIMUL, "&amp;F79&amp;" AS "&amp;F79&amp;"_SIMUL FROM "&amp;E79&amp;" WHERE "&amp;'0. Instruções'!$D$43&amp;")Y"</f>
        <v>(SELECT entty_id AS entty_id_SIMUL, TTL_DBT AS TTL_DBT_SIMUL FROM BU_LOANTAPE_WORK.LT003_ENTITY WHERE ref_date='${ref_date}' AND nome_perimetro='Individual Corporativo' AND segmento='ESTR' AND ambito='PM' AND entidade='00100')Y</v>
      </c>
      <c r="K79" s="35" t="str">
        <f>+UPPER("ON X."&amp;VLOOKUP(B79,'0. Instruções'!$C$27:$G$32,4,FALSE)&amp;"=Y."&amp;VLOOKUP(B79,'0. Instruções'!$C$27:$G$32,4,FALSE)&amp;"_SIMUL")</f>
        <v>ON X.ENTTY_ID=Y.ENTTY_ID_SIMUL</v>
      </c>
      <c r="L79" s="35" t="str">
        <f>+IF(C79="Coerência", +IF(LEFT(G79,5)="FLOAT","SELECT '"&amp;UPPER(B79)&amp;"' AS TABELA, '"&amp;UPPER(C79)&amp;"' AS TIPOLOGIA_TESTE,'"&amp;D79&amp;"' AS TABELA_LT,'"&amp;E79&amp;"' AS TABELA_SIMUL,'"&amp;F79&amp;"' AS CAMPO, "&amp;"'${ref_date}' AS REF_DATE, COUNT(*) AS NUM_REG, SUM(IF((ABS(COALESCE(CAST(X."&amp;F79&amp;" AS DECIMAL(18,6)),0)-COALESCE(CAST(Y."&amp;F79&amp;"_SIMUL AS DECIMAL(18,6)),0))&gt;0.000001) OR (X."&amp;F79&amp;" IS NULL AND Y."&amp;F79&amp;"_SIMUL IS NOT NULL ) OR (X."&amp;F79&amp;" IS NOT NULL AND Y."&amp;F79&amp;"_SIMUL IS NULL),1,0)) AS NUM_REG_DIF,'"&amp;MAX('ID1&amp;5'!K:K)+1&amp;"' AS ID_EXEC, CURRENT_TIMESTAMP() AS TIME_EXEC FROM "&amp;I79&amp;" INNER JOIN "&amp;J79&amp;" "&amp;K79,"SELECT '"&amp;UPPER(B79)&amp;"' AS TABELA, '"&amp;UPPER(C79)&amp;"' AS TIPOLOGIA_TESTE,'"&amp;D79&amp;"' AS TABELA_LT,'"&amp;E79&amp;"' AS TABELA_SIMUL,'"&amp;F79&amp;"' AS CAMPO, "&amp;"'${ref_date}' AS REF_DATE, COUNT(*) AS NUM_REG, SUM(IF(COALESCE(CAST(X."&amp;F79&amp;" AS STRING),'')&lt;&gt;COALESCE(CAST(Y."&amp;F79&amp;"_SIMUL AS STRING),'') OR (X."&amp;F79&amp;" IS NULL AND Y."&amp;F79&amp;"_SIMUL IS NOT NULL ) OR (X."&amp;F79&amp;" IS NOT NULL AND Y."&amp;F79&amp;"_SIMUL IS NULL),1,0)) AS NUM_REG_DIF,'"&amp;MAX('ID1&amp;5'!L:L)+1&amp;"' AS ID_EXEC, CURRENT_TIMESTAMP() AS TIME_EXEC FROM "&amp;I79&amp;" INNER JOIN "&amp;J79&amp;" "&amp;K79),
IF(C79="Validade",+IF(G79="Code List","SELECT '"&amp;UPPER(B79)&amp;"' AS TABELA, '"&amp;UPPER(C79)&amp;"' AS TIPOLOGIA_TESTE,'"&amp;D79&amp;"' AS TABELA_LT,'N/A' AS TABELA_SIMUL,'"&amp;F79&amp;"' AS CAMPO, "&amp;"'${ref_date}' AS REF_DATE, COUNT(*) AS NUM_REG, SUM(IF(TRIM(CAST(X."&amp;F79&amp;" AS STRING))='' OR TRIM(CAST(X."&amp;F79&amp;" AS STRING)) IS NULL OR CAST(X."&amp;F79&amp;" AS STRING) NOT "&amp;H79&amp;",1,0)) AS NUM_REG_DIF,'"&amp;MAX('ID1&amp;5'!K:K)+1&amp;"' AS ID_EXEC, CURRENT_TIMESTAMP() AS TIME_EXEC FROM "&amp;I79,"SELECT '"&amp;UPPER(B79)&amp;"' AS TABELA, '"&amp;UPPER(C79)&amp;"' AS TIPOLOGIA_TESTE,'"&amp;D79&amp;"' AS TABELA_LT,'N/A' AS TABELA_SIMUL,'"&amp;F79&amp;"' AS CAMPO, "&amp;"'${ref_date}' AS REF_DATE, COUNT(*) AS NUM_REG, SUM(IF(TRIM(CAST(X."&amp;F79&amp;" AS STRING))='' OR TRIM(CAST(X."&amp;F79&amp;" AS STRING)) IS NULL,1,0)) AS NUM_REG_DIF,'"&amp;MAX('ID1&amp;5'!K:K)+1&amp;"' AS ID_EXEC, CURRENT_TIMESTAMP() AS TIME_EXEC FROM "&amp;I79),
IF(C79="Caracteres Especiais",+"SELECT '"&amp;UPPER(B79)&amp;"' AS TABELA, '"&amp;UPPER(C79)&amp;"' AS TIPOLOGIA_TESTE,'"&amp;D79&amp;"' AS TABELA_LT,'N/A' AS TABELA_SIMUL,'"&amp;F79&amp;"' AS CAMPO, "&amp;"'${ref_date}' AS REF_DATE, COUNT(*) AS NUM_REG, SUM(IF(REGEXP_REPLACE(TRIM(CAST(X."&amp;F79&amp;" AS STRING)),'[^a-zA-Z0-9_\\s]','') &lt;&gt;TRIM(CAST(X."&amp;F79&amp;" AS STRING)),1,0)) AS NUM_REG_DIF,'"&amp;MAX('ID1&amp;5'!K:K)+1&amp;"' AS ID_EXEC, CURRENT_TIMESTAMP() AS TIME_EXEC FROM "&amp;I79,
IF(C79="Missings",+"SELECT '"&amp;UPPER(B79)&amp;"' AS TABELA, '"&amp;UPPER(C79)&amp;"' AS TIPOLOGIA_TESTE,'"&amp;D79&amp;"' AS TABELA_LT,'N/A' AS TABELA_SIMUL,'"&amp;F79&amp;"' AS CAMPO, "&amp;"'${ref_date}' AS REF_DATE, COUNT(*) AS NUM_REG, SUM(IF(TRIM(CAST(X."&amp;F79&amp;" AS STRING)) IN ('0000-00-00','0001-01-01','9999-12-31','MISS','00000','99999999999','99999999999.00','99999999999.000000'),1,0)) AS NUM_REG_DIF,'"&amp;MAX('ID1&amp;5'!K:K)+1&amp;"' AS ID_EXEC, CURRENT_TIMESTAMP() AS TIME_EXEC FROM "&amp;I79,
IF(C79="Not applicable",+"SELECT '"&amp;UPPER(B79)&amp;"' AS TABELA, '"&amp;UPPER(C79)&amp;"' AS TIPOLOGIA_TESTE,'"&amp;D79&amp;"' AS TABELA_LT,'N/A' AS TABELA_SIMUL,'"&amp;F79&amp;"' AS CAMPO, "&amp;"'${ref_date}' AS REF_DATE, COUNT(*) AS NUM_REG, SUM(IF(TRIM(CAST(X."&amp;F79&amp;" AS STRING)) IN ('N/A','11111111111','11111111111.00','11111111111.000000','1111-11-11'),1,0)) AS NUM_REG_DIF,'"&amp;MAX('ID1&amp;5'!K:K)+1&amp;"' AS ID_EXEC, CURRENT_TIMESTAMP() AS TIME_EXEC FROM "&amp;I79,
IF(C79="Valores extremos",+"SELECT '"&amp;UPPER(B79)&amp;"' AS TABELA, '"&amp;UPPER(C79)&amp;"' AS TIPOLOGIA_TESTE,'"&amp;D79&amp;"' AS TABELA_LT,'N/A' AS TABELA_SIMUL,'"&amp;F79&amp;"' AS CAMPO, "&amp;"'${ref_date}' AS REF_DATE, CAST(MIN("&amp;F79&amp;") AS STRING) AS VALOR_MIN, CAST(MAX("&amp;F79&amp;") AS STRING) AS VALOR_MAX,'"&amp;MAX('ID1&amp;5'!K:K)+1&amp;"' AS ID_EXEC, CURRENT_TIMESTAMP() AS TIME_EXEC FROM "&amp;MID(I79,1,LEN(I79)-2)&amp;" AND CAST("&amp;F79&amp;"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TABELA_SIMUL,'TTL_DBT' AS CAMPO, '${ref_date}' AS REF_DATE, COUNT(*) AS NUM_REG, SUM(IF(COALESCE(CAST(X.TTL_DBT AS STRING),'')&lt;&gt;COALESCE(CAST(Y.TTL_DBT_SIMUL AS STRING),'') OR (X.TTL_DBT IS NULL AND Y.TTL_DBT_SIMUL IS NOT NULL ) OR (X.TTL_DBT IS NOT NULL AND Y.TTL_DBT_SIMUL IS NULL),1,0)) AS NUM_REG_DIF,'1' AS ID_EXEC, CURRENT_TIMESTAMP() AS TIME_EXEC FROM (SELECT entty_id, TTL_DBT FROM CD_LOAN_TAPES_BCE.LT003_ENTITY WHERE ref_date='${ref_date}' AND nome_perimetro='Individual Corporativo' AND segmento='ESTR' AND ambito='PM' AND entidade='00100')X INNER JOIN (SELECT entty_id AS entty_id_SIMUL, TTL_DBT AS TTL_DBT_SIMUL FROM BU_LOANTAPE_WORK.LT003_ENTITY WHERE ref_date='${ref_date}' AND nome_perimetro='Individual Corporativo' AND segmento='ESTR' AND ambito='PM' AND entidade='00100')Y ON X.ENTTY_ID=Y.ENTTY_ID_SIMUL</v>
      </c>
      <c r="M79" s="36" t="str">
        <f t="shared" si="1"/>
        <v>UNION ALL SELECT 'ENTITY' AS TABELA, 'COERÊNCIA' AS TIPOLOGIA_TESTE,'CD_LOAN_TAPES_BCE.LT003_ENTITY' AS TABELA_LT,'BU_LOANTAPE_WORK.LT003_ENTITY' AS TABELA_SIMUL,'TTL_DBT' AS CAMPO, '${ref_date}' AS REF_DATE, COUNT(*) AS NUM_REG, SUM(IF(COALESCE(CAST(X.TTL_DBT AS STRING),'')&lt;&gt;COALESCE(CAST(Y.TTL_DBT_SIMUL AS STRING),'') OR (X.TTL_DBT IS NULL AND Y.TTL_DBT_SIMUL IS NOT NULL ) OR (X.TTL_DBT IS NOT NULL AND Y.TTL_DBT_SIMUL IS NULL),1,0)) AS NUM_REG_DIF,'1' AS ID_EXEC, CURRENT_TIMESTAMP() AS TIME_EXEC FROM (SELECT entty_id, TTL_DBT FROM CD_LOAN_TAPES_BCE.LT003_ENTITY WHERE ref_date='${ref_date}' AND nome_perimetro='Individual Corporativo' AND segmento='ESTR' AND ambito='PM' AND entidade='00100')X INNER JOIN (SELECT entty_id AS entty_id_SIMUL, TTL_DBT AS TTL_DBT_SIMUL FROM BU_LOANTAPE_WORK.LT003_ENTITY WHERE ref_date='${ref_date}' AND nome_perimetro='Individual Corporativo' AND segmento='ESTR' AND ambito='PM' AND entidade='00100')Y ON X.ENTTY_ID=Y.ENTTY_ID_SIMUL</v>
      </c>
      <c r="N79" s="38" t="s">
        <v>46</v>
      </c>
    </row>
    <row r="80" spans="2:14">
      <c r="B80" s="34" t="s">
        <v>127</v>
      </c>
      <c r="C80" s="34" t="s">
        <v>5</v>
      </c>
      <c r="D80" s="34" t="str">
        <f>+UPPER('0. Instruções'!$D$35&amp;"."&amp;VLOOKUP(B80,'0. Instruções'!$C$27:$D$32,2,FALSE))</f>
        <v>CD_LOAN_TAPES_BCE.LT003_ENTITY</v>
      </c>
      <c r="E80" s="34" t="str">
        <f>+UPPER('0. Instruções'!$D$36&amp;"."&amp;VLOOKUP(B80,'0. Instruções'!$C$27:$E$32,3,FALSE))</f>
        <v>BU_LOANTAPE_WORK.LT003_ENTITY</v>
      </c>
      <c r="F80" s="34" t="s">
        <v>386</v>
      </c>
      <c r="G80" s="34"/>
      <c r="H80" s="34" t="s">
        <v>92</v>
      </c>
      <c r="I80" s="34" t="str">
        <f>"(SELECT "&amp;VLOOKUP(B80,'0. Instruções'!$C$27:$G$32,4,FALSE)&amp;", "&amp;F80&amp;" FROM "&amp;D80&amp;" WHERE "&amp;'0. Instruções'!$D$42&amp;")X"</f>
        <v>(SELECT entty_id, TTL_DBT_PRVS FROM CD_LOAN_TAPES_BCE.LT003_ENTITY WHERE ref_date='${ref_date}' AND nome_perimetro='Individual Corporativo' AND segmento='ESTR' AND ambito='PM' AND entidade='00100')X</v>
      </c>
      <c r="J80" s="34" t="str">
        <f>"(SELECT "&amp;VLOOKUP(B80,'0. Instruções'!$C$27:$G$32,4,FALSE)&amp;" AS "&amp;VLOOKUP(B80,'0. Instruções'!$C$27:$G$32,4,FALSE)&amp;"_SIMUL, "&amp;F80&amp;" AS "&amp;F80&amp;"_SIMUL FROM "&amp;E80&amp;" WHERE "&amp;'0. Instruções'!$D$43&amp;")Y"</f>
        <v>(SELECT entty_id AS entty_id_SIMUL, TTL_DBT_PRVS AS TTL_DBT_PRVS_SIMUL FROM BU_LOANTAPE_WORK.LT003_ENTITY WHERE ref_date='${ref_date}' AND nome_perimetro='Individual Corporativo' AND segmento='ESTR' AND ambito='PM' AND entidade='00100')Y</v>
      </c>
      <c r="K80" s="35" t="str">
        <f>+UPPER("ON X."&amp;VLOOKUP(B80,'0. Instruções'!$C$27:$G$32,4,FALSE)&amp;"=Y."&amp;VLOOKUP(B80,'0. Instruções'!$C$27:$G$32,4,FALSE)&amp;"_SIMUL")</f>
        <v>ON X.ENTTY_ID=Y.ENTTY_ID_SIMUL</v>
      </c>
      <c r="L80" s="35" t="str">
        <f>+IF(C80="Coerência", +IF(LEFT(G80,5)="FLOAT","SELECT '"&amp;UPPER(B80)&amp;"' AS TABELA, '"&amp;UPPER(C80)&amp;"' AS TIPOLOGIA_TESTE,'"&amp;D80&amp;"' AS TABELA_LT,'"&amp;E80&amp;"' AS TABELA_SIMUL,'"&amp;F80&amp;"' AS CAMPO, "&amp;"'${ref_date}' AS REF_DATE, COUNT(*) AS NUM_REG, SUM(IF((ABS(COALESCE(CAST(X."&amp;F80&amp;" AS DECIMAL(18,6)),0)-COALESCE(CAST(Y."&amp;F80&amp;"_SIMUL AS DECIMAL(18,6)),0))&gt;0.000001) OR (X."&amp;F80&amp;" IS NULL AND Y."&amp;F80&amp;"_SIMUL IS NOT NULL ) OR (X."&amp;F80&amp;" IS NOT NULL AND Y."&amp;F80&amp;"_SIMUL IS NULL),1,0)) AS NUM_REG_DIF,'"&amp;MAX('ID1&amp;5'!K:K)+1&amp;"' AS ID_EXEC, CURRENT_TIMESTAMP() AS TIME_EXEC FROM "&amp;I80&amp;" INNER JOIN "&amp;J80&amp;" "&amp;K80,"SELECT '"&amp;UPPER(B80)&amp;"' AS TABELA, '"&amp;UPPER(C80)&amp;"' AS TIPOLOGIA_TESTE,'"&amp;D80&amp;"' AS TABELA_LT,'"&amp;E80&amp;"' AS TABELA_SIMUL,'"&amp;F80&amp;"' AS CAMPO, "&amp;"'${ref_date}' AS REF_DATE, COUNT(*) AS NUM_REG, SUM(IF(COALESCE(CAST(X."&amp;F80&amp;" AS STRING),'')&lt;&gt;COALESCE(CAST(Y."&amp;F80&amp;"_SIMUL AS STRING),'') OR (X."&amp;F80&amp;" IS NULL AND Y."&amp;F80&amp;"_SIMUL IS NOT NULL ) OR (X."&amp;F80&amp;" IS NOT NULL AND Y."&amp;F80&amp;"_SIMUL IS NULL),1,0)) AS NUM_REG_DIF,'"&amp;MAX('ID1&amp;5'!L:L)+1&amp;"' AS ID_EXEC, CURRENT_TIMESTAMP() AS TIME_EXEC FROM "&amp;I80&amp;" INNER JOIN "&amp;J80&amp;" "&amp;K80),
IF(C80="Validade",+IF(G80="Code List","SELECT '"&amp;UPPER(B80)&amp;"' AS TABELA, '"&amp;UPPER(C80)&amp;"' AS TIPOLOGIA_TESTE,'"&amp;D80&amp;"' AS TABELA_LT,'N/A' AS TABELA_SIMUL,'"&amp;F80&amp;"' AS CAMPO, "&amp;"'${ref_date}' AS REF_DATE, COUNT(*) AS NUM_REG, SUM(IF(TRIM(CAST(X."&amp;F80&amp;" AS STRING))='' OR TRIM(CAST(X."&amp;F80&amp;" AS STRING)) IS NULL OR CAST(X."&amp;F80&amp;" AS STRING) NOT "&amp;H80&amp;",1,0)) AS NUM_REG_DIF,'"&amp;MAX('ID1&amp;5'!K:K)+1&amp;"' AS ID_EXEC, CURRENT_TIMESTAMP() AS TIME_EXEC FROM "&amp;I80,"SELECT '"&amp;UPPER(B80)&amp;"' AS TABELA, '"&amp;UPPER(C80)&amp;"' AS TIPOLOGIA_TESTE,'"&amp;D80&amp;"' AS TABELA_LT,'N/A' AS TABELA_SIMUL,'"&amp;F80&amp;"' AS CAMPO, "&amp;"'${ref_date}' AS REF_DATE, COUNT(*) AS NUM_REG, SUM(IF(TRIM(CAST(X."&amp;F80&amp;" AS STRING))='' OR TRIM(CAST(X."&amp;F80&amp;" AS STRING)) IS NULL,1,0)) AS NUM_REG_DIF,'"&amp;MAX('ID1&amp;5'!K:K)+1&amp;"' AS ID_EXEC, CURRENT_TIMESTAMP() AS TIME_EXEC FROM "&amp;I80),
IF(C80="Caracteres Especiais",+"SELECT '"&amp;UPPER(B80)&amp;"' AS TABELA, '"&amp;UPPER(C80)&amp;"' AS TIPOLOGIA_TESTE,'"&amp;D80&amp;"' AS TABELA_LT,'N/A' AS TABELA_SIMUL,'"&amp;F80&amp;"' AS CAMPO, "&amp;"'${ref_date}' AS REF_DATE, COUNT(*) AS NUM_REG, SUM(IF(REGEXP_REPLACE(TRIM(CAST(X."&amp;F80&amp;" AS STRING)),'[^a-zA-Z0-9_\\s]','') &lt;&gt;TRIM(CAST(X."&amp;F80&amp;" AS STRING)),1,0)) AS NUM_REG_DIF,'"&amp;MAX('ID1&amp;5'!K:K)+1&amp;"' AS ID_EXEC, CURRENT_TIMESTAMP() AS TIME_EXEC FROM "&amp;I80,
IF(C80="Missings",+"SELECT '"&amp;UPPER(B80)&amp;"' AS TABELA, '"&amp;UPPER(C80)&amp;"' AS TIPOLOGIA_TESTE,'"&amp;D80&amp;"' AS TABELA_LT,'N/A' AS TABELA_SIMUL,'"&amp;F80&amp;"' AS CAMPO, "&amp;"'${ref_date}' AS REF_DATE, COUNT(*) AS NUM_REG, SUM(IF(TRIM(CAST(X."&amp;F80&amp;" AS STRING)) IN ('0000-00-00','0001-01-01','9999-12-31','MISS','00000','99999999999','99999999999.00','99999999999.000000'),1,0)) AS NUM_REG_DIF,'"&amp;MAX('ID1&amp;5'!K:K)+1&amp;"' AS ID_EXEC, CURRENT_TIMESTAMP() AS TIME_EXEC FROM "&amp;I80,
IF(C80="Not applicable",+"SELECT '"&amp;UPPER(B80)&amp;"' AS TABELA, '"&amp;UPPER(C80)&amp;"' AS TIPOLOGIA_TESTE,'"&amp;D80&amp;"' AS TABELA_LT,'N/A' AS TABELA_SIMUL,'"&amp;F80&amp;"' AS CAMPO, "&amp;"'${ref_date}' AS REF_DATE, COUNT(*) AS NUM_REG, SUM(IF(TRIM(CAST(X."&amp;F80&amp;" AS STRING)) IN ('N/A','11111111111','11111111111.00','11111111111.000000','1111-11-11'),1,0)) AS NUM_REG_DIF,'"&amp;MAX('ID1&amp;5'!K:K)+1&amp;"' AS ID_EXEC, CURRENT_TIMESTAMP() AS TIME_EXEC FROM "&amp;I80,
IF(C80="Valores extremos",+"SELECT '"&amp;UPPER(B80)&amp;"' AS TABELA, '"&amp;UPPER(C80)&amp;"' AS TIPOLOGIA_TESTE,'"&amp;D80&amp;"' AS TABELA_LT,'N/A' AS TABELA_SIMUL,'"&amp;F80&amp;"' AS CAMPO, "&amp;"'${ref_date}' AS REF_DATE, CAST(MIN("&amp;F80&amp;") AS STRING) AS VALOR_MIN, CAST(MAX("&amp;F80&amp;") AS STRING) AS VALOR_MAX,'"&amp;MAX('ID1&amp;5'!K:K)+1&amp;"' AS ID_EXEC, CURRENT_TIMESTAMP() AS TIME_EXEC FROM "&amp;MID(I80,1,LEN(I80)-2)&amp;" AND CAST("&amp;F80&amp;"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TABELA_SIMUL,'TTL_DBT_PRVS' AS CAMPO, '${ref_date}' AS REF_DATE, COUNT(*) AS NUM_REG, SUM(IF(COALESCE(CAST(X.TTL_DBT_PRVS AS STRING),'')&lt;&gt;COALESCE(CAST(Y.TTL_DBT_PRVS_SIMUL AS STRING),'') OR (X.TTL_DBT_PRVS IS NULL AND Y.TTL_DBT_PRVS_SIMUL IS NOT NULL ) OR (X.TTL_DBT_PRVS IS NOT NULL AND Y.TTL_DBT_PRVS_SIMUL IS NULL),1,0)) AS NUM_REG_DIF,'1' AS ID_EXEC, CURRENT_TIMESTAMP() AS TIME_EXEC FROM (SELECT entty_id, TTL_DBT_PRVS FROM CD_LOAN_TAPES_BCE.LT003_ENTITY WHERE ref_date='${ref_date}' AND nome_perimetro='Individual Corporativo' AND segmento='ESTR' AND ambito='PM' AND entidade='00100')X INNER JOIN (SELECT entty_id AS entty_id_SIMUL, TTL_DBT_PRVS AS TTL_DBT_PRVS_SIMUL FROM BU_LOANTAPE_WORK.LT003_ENTITY WHERE ref_date='${ref_date}' AND nome_perimetro='Individual Corporativo' AND segmento='ESTR' AND ambito='PM' AND entidade='00100')Y ON X.ENTTY_ID=Y.ENTTY_ID_SIMUL</v>
      </c>
      <c r="M80" s="36" t="str">
        <f t="shared" si="1"/>
        <v>UNION ALL SELECT 'ENTITY' AS TABELA, 'COERÊNCIA' AS TIPOLOGIA_TESTE,'CD_LOAN_TAPES_BCE.LT003_ENTITY' AS TABELA_LT,'BU_LOANTAPE_WORK.LT003_ENTITY' AS TABELA_SIMUL,'TTL_DBT_PRVS' AS CAMPO, '${ref_date}' AS REF_DATE, COUNT(*) AS NUM_REG, SUM(IF(COALESCE(CAST(X.TTL_DBT_PRVS AS STRING),'')&lt;&gt;COALESCE(CAST(Y.TTL_DBT_PRVS_SIMUL AS STRING),'') OR (X.TTL_DBT_PRVS IS NULL AND Y.TTL_DBT_PRVS_SIMUL IS NOT NULL ) OR (X.TTL_DBT_PRVS IS NOT NULL AND Y.TTL_DBT_PRVS_SIMUL IS NULL),1,0)) AS NUM_REG_DIF,'1' AS ID_EXEC, CURRENT_TIMESTAMP() AS TIME_EXEC FROM (SELECT entty_id, TTL_DBT_PRVS FROM CD_LOAN_TAPES_BCE.LT003_ENTITY WHERE ref_date='${ref_date}' AND nome_perimetro='Individual Corporativo' AND segmento='ESTR' AND ambito='PM' AND entidade='00100')X INNER JOIN (SELECT entty_id AS entty_id_SIMUL, TTL_DBT_PRVS AS TTL_DBT_PRVS_SIMUL FROM BU_LOANTAPE_WORK.LT003_ENTITY WHERE ref_date='${ref_date}' AND nome_perimetro='Individual Corporativo' AND segmento='ESTR' AND ambito='PM' AND entidade='00100')Y ON X.ENTTY_ID=Y.ENTTY_ID_SIMUL</v>
      </c>
      <c r="N80" s="38" t="s">
        <v>46</v>
      </c>
    </row>
    <row r="81" spans="2:14">
      <c r="B81" s="34" t="s">
        <v>127</v>
      </c>
      <c r="C81" s="34" t="s">
        <v>5</v>
      </c>
      <c r="D81" s="34" t="str">
        <f>+UPPER('0. Instruções'!$D$35&amp;"."&amp;VLOOKUP(B81,'0. Instruções'!$C$27:$D$32,2,FALSE))</f>
        <v>CD_LOAN_TAPES_BCE.LT003_ENTITY</v>
      </c>
      <c r="E81" s="34" t="str">
        <f>+UPPER('0. Instruções'!$D$36&amp;"."&amp;VLOOKUP(B81,'0. Instruções'!$C$27:$E$32,3,FALSE))</f>
        <v>BU_LOANTAPE_WORK.LT003_ENTITY</v>
      </c>
      <c r="F81" s="34" t="s">
        <v>387</v>
      </c>
      <c r="G81" s="34"/>
      <c r="H81" s="34" t="s">
        <v>92</v>
      </c>
      <c r="I81" s="34" t="str">
        <f>"(SELECT "&amp;VLOOKUP(B81,'0. Instruções'!$C$27:$G$32,4,FALSE)&amp;", "&amp;F81&amp;" FROM "&amp;D81&amp;" WHERE "&amp;'0. Instruções'!$D$42&amp;")X"</f>
        <v>(SELECT entty_id, TTL_INTRST_PD FROM CD_LOAN_TAPES_BCE.LT003_ENTITY WHERE ref_date='${ref_date}' AND nome_perimetro='Individual Corporativo' AND segmento='ESTR' AND ambito='PM' AND entidade='00100')X</v>
      </c>
      <c r="J81" s="34" t="str">
        <f>"(SELECT "&amp;VLOOKUP(B81,'0. Instruções'!$C$27:$G$32,4,FALSE)&amp;" AS "&amp;VLOOKUP(B81,'0. Instruções'!$C$27:$G$32,4,FALSE)&amp;"_SIMUL, "&amp;F81&amp;" AS "&amp;F81&amp;"_SIMUL FROM "&amp;E81&amp;" WHERE "&amp;'0. Instruções'!$D$43&amp;")Y"</f>
        <v>(SELECT entty_id AS entty_id_SIMUL, TTL_INTRST_PD AS TTL_INTRST_PD_SIMUL FROM BU_LOANTAPE_WORK.LT003_ENTITY WHERE ref_date='${ref_date}' AND nome_perimetro='Individual Corporativo' AND segmento='ESTR' AND ambito='PM' AND entidade='00100')Y</v>
      </c>
      <c r="K81" s="35" t="str">
        <f>+UPPER("ON X."&amp;VLOOKUP(B81,'0. Instruções'!$C$27:$G$32,4,FALSE)&amp;"=Y."&amp;VLOOKUP(B81,'0. Instruções'!$C$27:$G$32,4,FALSE)&amp;"_SIMUL")</f>
        <v>ON X.ENTTY_ID=Y.ENTTY_ID_SIMUL</v>
      </c>
      <c r="L81" s="35" t="str">
        <f>+IF(C81="Coerência", +IF(LEFT(G81,5)="FLOAT","SELECT '"&amp;UPPER(B81)&amp;"' AS TABELA, '"&amp;UPPER(C81)&amp;"' AS TIPOLOGIA_TESTE,'"&amp;D81&amp;"' AS TABELA_LT,'"&amp;E81&amp;"' AS TABELA_SIMUL,'"&amp;F81&amp;"' AS CAMPO, "&amp;"'${ref_date}' AS REF_DATE, COUNT(*) AS NUM_REG, SUM(IF((ABS(COALESCE(CAST(X."&amp;F81&amp;" AS DECIMAL(18,6)),0)-COALESCE(CAST(Y."&amp;F81&amp;"_SIMUL AS DECIMAL(18,6)),0))&gt;0.000001) OR (X."&amp;F81&amp;" IS NULL AND Y."&amp;F81&amp;"_SIMUL IS NOT NULL ) OR (X."&amp;F81&amp;" IS NOT NULL AND Y."&amp;F81&amp;"_SIMUL IS NULL),1,0)) AS NUM_REG_DIF,'"&amp;MAX('ID1&amp;5'!K:K)+1&amp;"' AS ID_EXEC, CURRENT_TIMESTAMP() AS TIME_EXEC FROM "&amp;I81&amp;" INNER JOIN "&amp;J81&amp;" "&amp;K81,"SELECT '"&amp;UPPER(B81)&amp;"' AS TABELA, '"&amp;UPPER(C81)&amp;"' AS TIPOLOGIA_TESTE,'"&amp;D81&amp;"' AS TABELA_LT,'"&amp;E81&amp;"' AS TABELA_SIMUL,'"&amp;F81&amp;"' AS CAMPO, "&amp;"'${ref_date}' AS REF_DATE, COUNT(*) AS NUM_REG, SUM(IF(COALESCE(CAST(X."&amp;F81&amp;" AS STRING),'')&lt;&gt;COALESCE(CAST(Y."&amp;F81&amp;"_SIMUL AS STRING),'') OR (X."&amp;F81&amp;" IS NULL AND Y."&amp;F81&amp;"_SIMUL IS NOT NULL ) OR (X."&amp;F81&amp;" IS NOT NULL AND Y."&amp;F81&amp;"_SIMUL IS NULL),1,0)) AS NUM_REG_DIF,'"&amp;MAX('ID1&amp;5'!L:L)+1&amp;"' AS ID_EXEC, CURRENT_TIMESTAMP() AS TIME_EXEC FROM "&amp;I81&amp;" INNER JOIN "&amp;J81&amp;" "&amp;K81),
IF(C81="Validade",+IF(G81="Code List","SELECT '"&amp;UPPER(B81)&amp;"' AS TABELA, '"&amp;UPPER(C81)&amp;"' AS TIPOLOGIA_TESTE,'"&amp;D81&amp;"' AS TABELA_LT,'N/A' AS TABELA_SIMUL,'"&amp;F81&amp;"' AS CAMPO, "&amp;"'${ref_date}' AS REF_DATE, COUNT(*) AS NUM_REG, SUM(IF(TRIM(CAST(X."&amp;F81&amp;" AS STRING))='' OR TRIM(CAST(X."&amp;F81&amp;" AS STRING)) IS NULL OR CAST(X."&amp;F81&amp;" AS STRING) NOT "&amp;H81&amp;",1,0)) AS NUM_REG_DIF,'"&amp;MAX('ID1&amp;5'!K:K)+1&amp;"' AS ID_EXEC, CURRENT_TIMESTAMP() AS TIME_EXEC FROM "&amp;I81,"SELECT '"&amp;UPPER(B81)&amp;"' AS TABELA, '"&amp;UPPER(C81)&amp;"' AS TIPOLOGIA_TESTE,'"&amp;D81&amp;"' AS TABELA_LT,'N/A' AS TABELA_SIMUL,'"&amp;F81&amp;"' AS CAMPO, "&amp;"'${ref_date}' AS REF_DATE, COUNT(*) AS NUM_REG, SUM(IF(TRIM(CAST(X."&amp;F81&amp;" AS STRING))='' OR TRIM(CAST(X."&amp;F81&amp;" AS STRING)) IS NULL,1,0)) AS NUM_REG_DIF,'"&amp;MAX('ID1&amp;5'!K:K)+1&amp;"' AS ID_EXEC, CURRENT_TIMESTAMP() AS TIME_EXEC FROM "&amp;I81),
IF(C81="Caracteres Especiais",+"SELECT '"&amp;UPPER(B81)&amp;"' AS TABELA, '"&amp;UPPER(C81)&amp;"' AS TIPOLOGIA_TESTE,'"&amp;D81&amp;"' AS TABELA_LT,'N/A' AS TABELA_SIMUL,'"&amp;F81&amp;"' AS CAMPO, "&amp;"'${ref_date}' AS REF_DATE, COUNT(*) AS NUM_REG, SUM(IF(REGEXP_REPLACE(TRIM(CAST(X."&amp;F81&amp;" AS STRING)),'[^a-zA-Z0-9_\\s]','') &lt;&gt;TRIM(CAST(X."&amp;F81&amp;" AS STRING)),1,0)) AS NUM_REG_DIF,'"&amp;MAX('ID1&amp;5'!K:K)+1&amp;"' AS ID_EXEC, CURRENT_TIMESTAMP() AS TIME_EXEC FROM "&amp;I81,
IF(C81="Missings",+"SELECT '"&amp;UPPER(B81)&amp;"' AS TABELA, '"&amp;UPPER(C81)&amp;"' AS TIPOLOGIA_TESTE,'"&amp;D81&amp;"' AS TABELA_LT,'N/A' AS TABELA_SIMUL,'"&amp;F81&amp;"' AS CAMPO, "&amp;"'${ref_date}' AS REF_DATE, COUNT(*) AS NUM_REG, SUM(IF(TRIM(CAST(X."&amp;F81&amp;" AS STRING)) IN ('0000-00-00','0001-01-01','9999-12-31','MISS','00000','99999999999','99999999999.00','99999999999.000000'),1,0)) AS NUM_REG_DIF,'"&amp;MAX('ID1&amp;5'!K:K)+1&amp;"' AS ID_EXEC, CURRENT_TIMESTAMP() AS TIME_EXEC FROM "&amp;I81,
IF(C81="Not applicable",+"SELECT '"&amp;UPPER(B81)&amp;"' AS TABELA, '"&amp;UPPER(C81)&amp;"' AS TIPOLOGIA_TESTE,'"&amp;D81&amp;"' AS TABELA_LT,'N/A' AS TABELA_SIMUL,'"&amp;F81&amp;"' AS CAMPO, "&amp;"'${ref_date}' AS REF_DATE, COUNT(*) AS NUM_REG, SUM(IF(TRIM(CAST(X."&amp;F81&amp;" AS STRING)) IN ('N/A','11111111111','11111111111.00','11111111111.000000','1111-11-11'),1,0)) AS NUM_REG_DIF,'"&amp;MAX('ID1&amp;5'!K:K)+1&amp;"' AS ID_EXEC, CURRENT_TIMESTAMP() AS TIME_EXEC FROM "&amp;I81,
IF(C81="Valores extremos",+"SELECT '"&amp;UPPER(B81)&amp;"' AS TABELA, '"&amp;UPPER(C81)&amp;"' AS TIPOLOGIA_TESTE,'"&amp;D81&amp;"' AS TABELA_LT,'N/A' AS TABELA_SIMUL,'"&amp;F81&amp;"' AS CAMPO, "&amp;"'${ref_date}' AS REF_DATE, CAST(MIN("&amp;F81&amp;") AS STRING) AS VALOR_MIN, CAST(MAX("&amp;F81&amp;") AS STRING) AS VALOR_MAX,'"&amp;MAX('ID1&amp;5'!K:K)+1&amp;"' AS ID_EXEC, CURRENT_TIMESTAMP() AS TIME_EXEC FROM "&amp;MID(I81,1,LEN(I81)-2)&amp;" AND CAST("&amp;F81&amp;"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TABELA_SIMUL,'TTL_INTRST_PD' AS CAMPO, '${ref_date}' AS REF_DATE, COUNT(*) AS NUM_REG, SUM(IF(COALESCE(CAST(X.TTL_INTRST_PD AS STRING),'')&lt;&gt;COALESCE(CAST(Y.TTL_INTRST_PD_SIMUL AS STRING),'') OR (X.TTL_INTRST_PD IS NULL AND Y.TTL_INTRST_PD_SIMUL IS NOT NULL ) OR (X.TTL_INTRST_PD IS NOT NULL AND Y.TTL_INTRST_PD_SIMUL IS NULL),1,0)) AS NUM_REG_DIF,'1' AS ID_EXEC, CURRENT_TIMESTAMP() AS TIME_EXEC FROM (SELECT entty_id, TTL_INTRST_PD FROM CD_LOAN_TAPES_BCE.LT003_ENTITY WHERE ref_date='${ref_date}' AND nome_perimetro='Individual Corporativo' AND segmento='ESTR' AND ambito='PM' AND entidade='00100')X INNER JOIN (SELECT entty_id AS entty_id_SIMUL, TTL_INTRST_PD AS TTL_INTRST_PD_SIMUL FROM BU_LOANTAPE_WORK.LT003_ENTITY WHERE ref_date='${ref_date}' AND nome_perimetro='Individual Corporativo' AND segmento='ESTR' AND ambito='PM' AND entidade='00100')Y ON X.ENTTY_ID=Y.ENTTY_ID_SIMUL</v>
      </c>
      <c r="M81" s="36" t="str">
        <f t="shared" si="1"/>
        <v>UNION ALL SELECT 'ENTITY' AS TABELA, 'COERÊNCIA' AS TIPOLOGIA_TESTE,'CD_LOAN_TAPES_BCE.LT003_ENTITY' AS TABELA_LT,'BU_LOANTAPE_WORK.LT003_ENTITY' AS TABELA_SIMUL,'TTL_INTRST_PD' AS CAMPO, '${ref_date}' AS REF_DATE, COUNT(*) AS NUM_REG, SUM(IF(COALESCE(CAST(X.TTL_INTRST_PD AS STRING),'')&lt;&gt;COALESCE(CAST(Y.TTL_INTRST_PD_SIMUL AS STRING),'') OR (X.TTL_INTRST_PD IS NULL AND Y.TTL_INTRST_PD_SIMUL IS NOT NULL ) OR (X.TTL_INTRST_PD IS NOT NULL AND Y.TTL_INTRST_PD_SIMUL IS NULL),1,0)) AS NUM_REG_DIF,'1' AS ID_EXEC, CURRENT_TIMESTAMP() AS TIME_EXEC FROM (SELECT entty_id, TTL_INTRST_PD FROM CD_LOAN_TAPES_BCE.LT003_ENTITY WHERE ref_date='${ref_date}' AND nome_perimetro='Individual Corporativo' AND segmento='ESTR' AND ambito='PM' AND entidade='00100')X INNER JOIN (SELECT entty_id AS entty_id_SIMUL, TTL_INTRST_PD AS TTL_INTRST_PD_SIMUL FROM BU_LOANTAPE_WORK.LT003_ENTITY WHERE ref_date='${ref_date}' AND nome_perimetro='Individual Corporativo' AND segmento='ESTR' AND ambito='PM' AND entidade='00100')Y ON X.ENTTY_ID=Y.ENTTY_ID_SIMUL</v>
      </c>
      <c r="N81" s="38" t="s">
        <v>46</v>
      </c>
    </row>
    <row r="82" spans="2:14">
      <c r="B82" s="34" t="s">
        <v>127</v>
      </c>
      <c r="C82" s="34" t="s">
        <v>5</v>
      </c>
      <c r="D82" s="34" t="str">
        <f>+UPPER('0. Instruções'!$D$35&amp;"."&amp;VLOOKUP(B82,'0. Instruções'!$C$27:$D$32,2,FALSE))</f>
        <v>CD_LOAN_TAPES_BCE.LT003_ENTITY</v>
      </c>
      <c r="E82" s="34" t="str">
        <f>+UPPER('0. Instruções'!$D$36&amp;"."&amp;VLOOKUP(B82,'0. Instruções'!$C$27:$E$32,3,FALSE))</f>
        <v>BU_LOANTAPE_WORK.LT003_ENTITY</v>
      </c>
      <c r="F82" s="34" t="s">
        <v>388</v>
      </c>
      <c r="G82" s="34"/>
      <c r="H82" s="34" t="s">
        <v>91</v>
      </c>
      <c r="I82" s="34" t="str">
        <f>"(SELECT "&amp;VLOOKUP(B82,'0. Instruções'!$C$27:$G$32,4,FALSE)&amp;", "&amp;F82&amp;" FROM "&amp;D82&amp;" WHERE "&amp;'0. Instruções'!$D$42&amp;")X"</f>
        <v>(SELECT entty_id, TTL_LVRG_RT FROM CD_LOAN_TAPES_BCE.LT003_ENTITY WHERE ref_date='${ref_date}' AND nome_perimetro='Individual Corporativo' AND segmento='ESTR' AND ambito='PM' AND entidade='00100')X</v>
      </c>
      <c r="J82" s="34" t="str">
        <f>"(SELECT "&amp;VLOOKUP(B82,'0. Instruções'!$C$27:$G$32,4,FALSE)&amp;" AS "&amp;VLOOKUP(B82,'0. Instruções'!$C$27:$G$32,4,FALSE)&amp;"_SIMUL, "&amp;F82&amp;" AS "&amp;F82&amp;"_SIMUL FROM "&amp;E82&amp;" WHERE "&amp;'0. Instruções'!$D$43&amp;")Y"</f>
        <v>(SELECT entty_id AS entty_id_SIMUL, TTL_LVRG_RT AS TTL_LVRG_RT_SIMUL FROM BU_LOANTAPE_WORK.LT003_ENTITY WHERE ref_date='${ref_date}' AND nome_perimetro='Individual Corporativo' AND segmento='ESTR' AND ambito='PM' AND entidade='00100')Y</v>
      </c>
      <c r="K82" s="35" t="str">
        <f>+UPPER("ON X."&amp;VLOOKUP(B82,'0. Instruções'!$C$27:$G$32,4,FALSE)&amp;"=Y."&amp;VLOOKUP(B82,'0. Instruções'!$C$27:$G$32,4,FALSE)&amp;"_SIMUL")</f>
        <v>ON X.ENTTY_ID=Y.ENTTY_ID_SIMUL</v>
      </c>
      <c r="L82" s="35" t="str">
        <f>+IF(C82="Coerência", +IF(LEFT(G82,5)="FLOAT","SELECT '"&amp;UPPER(B82)&amp;"' AS TABELA, '"&amp;UPPER(C82)&amp;"' AS TIPOLOGIA_TESTE,'"&amp;D82&amp;"' AS TABELA_LT,'"&amp;E82&amp;"' AS TABELA_SIMUL,'"&amp;F82&amp;"' AS CAMPO, "&amp;"'${ref_date}' AS REF_DATE, COUNT(*) AS NUM_REG, SUM(IF((ABS(COALESCE(CAST(X."&amp;F82&amp;" AS DECIMAL(18,6)),0)-COALESCE(CAST(Y."&amp;F82&amp;"_SIMUL AS DECIMAL(18,6)),0))&gt;0.000001) OR (X."&amp;F82&amp;" IS NULL AND Y."&amp;F82&amp;"_SIMUL IS NOT NULL ) OR (X."&amp;F82&amp;" IS NOT NULL AND Y."&amp;F82&amp;"_SIMUL IS NULL),1,0)) AS NUM_REG_DIF,'"&amp;MAX('ID1&amp;5'!K:K)+1&amp;"' AS ID_EXEC, CURRENT_TIMESTAMP() AS TIME_EXEC FROM "&amp;I82&amp;" INNER JOIN "&amp;J82&amp;" "&amp;K82,"SELECT '"&amp;UPPER(B82)&amp;"' AS TABELA, '"&amp;UPPER(C82)&amp;"' AS TIPOLOGIA_TESTE,'"&amp;D82&amp;"' AS TABELA_LT,'"&amp;E82&amp;"' AS TABELA_SIMUL,'"&amp;F82&amp;"' AS CAMPO, "&amp;"'${ref_date}' AS REF_DATE, COUNT(*) AS NUM_REG, SUM(IF(COALESCE(CAST(X."&amp;F82&amp;" AS STRING),'')&lt;&gt;COALESCE(CAST(Y."&amp;F82&amp;"_SIMUL AS STRING),'') OR (X."&amp;F82&amp;" IS NULL AND Y."&amp;F82&amp;"_SIMUL IS NOT NULL ) OR (X."&amp;F82&amp;" IS NOT NULL AND Y."&amp;F82&amp;"_SIMUL IS NULL),1,0)) AS NUM_REG_DIF,'"&amp;MAX('ID1&amp;5'!L:L)+1&amp;"' AS ID_EXEC, CURRENT_TIMESTAMP() AS TIME_EXEC FROM "&amp;I82&amp;" INNER JOIN "&amp;J82&amp;" "&amp;K82),
IF(C82="Validade",+IF(G82="Code List","SELECT '"&amp;UPPER(B82)&amp;"' AS TABELA, '"&amp;UPPER(C82)&amp;"' AS TIPOLOGIA_TESTE,'"&amp;D82&amp;"' AS TABELA_LT,'N/A' AS TABELA_SIMUL,'"&amp;F82&amp;"' AS CAMPO, "&amp;"'${ref_date}' AS REF_DATE, COUNT(*) AS NUM_REG, SUM(IF(TRIM(CAST(X."&amp;F82&amp;" AS STRING))='' OR TRIM(CAST(X."&amp;F82&amp;" AS STRING)) IS NULL OR CAST(X."&amp;F82&amp;" AS STRING) NOT "&amp;H82&amp;",1,0)) AS NUM_REG_DIF,'"&amp;MAX('ID1&amp;5'!K:K)+1&amp;"' AS ID_EXEC, CURRENT_TIMESTAMP() AS TIME_EXEC FROM "&amp;I82,"SELECT '"&amp;UPPER(B82)&amp;"' AS TABELA, '"&amp;UPPER(C82)&amp;"' AS TIPOLOGIA_TESTE,'"&amp;D82&amp;"' AS TABELA_LT,'N/A' AS TABELA_SIMUL,'"&amp;F82&amp;"' AS CAMPO, "&amp;"'${ref_date}' AS REF_DATE, COUNT(*) AS NUM_REG, SUM(IF(TRIM(CAST(X."&amp;F82&amp;" AS STRING))='' OR TRIM(CAST(X."&amp;F82&amp;" AS STRING)) IS NULL,1,0)) AS NUM_REG_DIF,'"&amp;MAX('ID1&amp;5'!K:K)+1&amp;"' AS ID_EXEC, CURRENT_TIMESTAMP() AS TIME_EXEC FROM "&amp;I82),
IF(C82="Caracteres Especiais",+"SELECT '"&amp;UPPER(B82)&amp;"' AS TABELA, '"&amp;UPPER(C82)&amp;"' AS TIPOLOGIA_TESTE,'"&amp;D82&amp;"' AS TABELA_LT,'N/A' AS TABELA_SIMUL,'"&amp;F82&amp;"' AS CAMPO, "&amp;"'${ref_date}' AS REF_DATE, COUNT(*) AS NUM_REG, SUM(IF(REGEXP_REPLACE(TRIM(CAST(X."&amp;F82&amp;" AS STRING)),'[^a-zA-Z0-9_\\s]','') &lt;&gt;TRIM(CAST(X."&amp;F82&amp;" AS STRING)),1,0)) AS NUM_REG_DIF,'"&amp;MAX('ID1&amp;5'!K:K)+1&amp;"' AS ID_EXEC, CURRENT_TIMESTAMP() AS TIME_EXEC FROM "&amp;I82,
IF(C82="Missings",+"SELECT '"&amp;UPPER(B82)&amp;"' AS TABELA, '"&amp;UPPER(C82)&amp;"' AS TIPOLOGIA_TESTE,'"&amp;D82&amp;"' AS TABELA_LT,'N/A' AS TABELA_SIMUL,'"&amp;F82&amp;"' AS CAMPO, "&amp;"'${ref_date}' AS REF_DATE, COUNT(*) AS NUM_REG, SUM(IF(TRIM(CAST(X."&amp;F82&amp;" AS STRING)) IN ('0000-00-00','0001-01-01','9999-12-31','MISS','00000','99999999999','99999999999.00','99999999999.000000'),1,0)) AS NUM_REG_DIF,'"&amp;MAX('ID1&amp;5'!K:K)+1&amp;"' AS ID_EXEC, CURRENT_TIMESTAMP() AS TIME_EXEC FROM "&amp;I82,
IF(C82="Not applicable",+"SELECT '"&amp;UPPER(B82)&amp;"' AS TABELA, '"&amp;UPPER(C82)&amp;"' AS TIPOLOGIA_TESTE,'"&amp;D82&amp;"' AS TABELA_LT,'N/A' AS TABELA_SIMUL,'"&amp;F82&amp;"' AS CAMPO, "&amp;"'${ref_date}' AS REF_DATE, COUNT(*) AS NUM_REG, SUM(IF(TRIM(CAST(X."&amp;F82&amp;" AS STRING)) IN ('N/A','11111111111','11111111111.00','11111111111.000000','1111-11-11'),1,0)) AS NUM_REG_DIF,'"&amp;MAX('ID1&amp;5'!K:K)+1&amp;"' AS ID_EXEC, CURRENT_TIMESTAMP() AS TIME_EXEC FROM "&amp;I82,
IF(C82="Valores extremos",+"SELECT '"&amp;UPPER(B82)&amp;"' AS TABELA, '"&amp;UPPER(C82)&amp;"' AS TIPOLOGIA_TESTE,'"&amp;D82&amp;"' AS TABELA_LT,'N/A' AS TABELA_SIMUL,'"&amp;F82&amp;"' AS CAMPO, "&amp;"'${ref_date}' AS REF_DATE, CAST(MIN("&amp;F82&amp;") AS STRING) AS VALOR_MIN, CAST(MAX("&amp;F82&amp;") AS STRING) AS VALOR_MAX,'"&amp;MAX('ID1&amp;5'!K:K)+1&amp;"' AS ID_EXEC, CURRENT_TIMESTAMP() AS TIME_EXEC FROM "&amp;MID(I82,1,LEN(I82)-2)&amp;" AND CAST("&amp;F82&amp;"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TABELA_SIMUL,'TTL_LVRG_RT' AS CAMPO, '${ref_date}' AS REF_DATE, COUNT(*) AS NUM_REG, SUM(IF(COALESCE(CAST(X.TTL_LVRG_RT AS STRING),'')&lt;&gt;COALESCE(CAST(Y.TTL_LVRG_RT_SIMUL AS STRING),'') OR (X.TTL_LVRG_RT IS NULL AND Y.TTL_LVRG_RT_SIMUL IS NOT NULL ) OR (X.TTL_LVRG_RT IS NOT NULL AND Y.TTL_LVRG_RT_SIMUL IS NULL),1,0)) AS NUM_REG_DIF,'1' AS ID_EXEC, CURRENT_TIMESTAMP() AS TIME_EXEC FROM (SELECT entty_id, TTL_LVRG_RT FROM CD_LOAN_TAPES_BCE.LT003_ENTITY WHERE ref_date='${ref_date}' AND nome_perimetro='Individual Corporativo' AND segmento='ESTR' AND ambito='PM' AND entidade='00100')X INNER JOIN (SELECT entty_id AS entty_id_SIMUL, TTL_LVRG_RT AS TTL_LVRG_RT_SIMUL FROM BU_LOANTAPE_WORK.LT003_ENTITY WHERE ref_date='${ref_date}' AND nome_perimetro='Individual Corporativo' AND segmento='ESTR' AND ambito='PM' AND entidade='00100')Y ON X.ENTTY_ID=Y.ENTTY_ID_SIMUL</v>
      </c>
      <c r="M82" s="36" t="str">
        <f t="shared" si="1"/>
        <v>UNION ALL SELECT 'ENTITY' AS TABELA, 'COERÊNCIA' AS TIPOLOGIA_TESTE,'CD_LOAN_TAPES_BCE.LT003_ENTITY' AS TABELA_LT,'BU_LOANTAPE_WORK.LT003_ENTITY' AS TABELA_SIMUL,'TTL_LVRG_RT' AS CAMPO, '${ref_date}' AS REF_DATE, COUNT(*) AS NUM_REG, SUM(IF(COALESCE(CAST(X.TTL_LVRG_RT AS STRING),'')&lt;&gt;COALESCE(CAST(Y.TTL_LVRG_RT_SIMUL AS STRING),'') OR (X.TTL_LVRG_RT IS NULL AND Y.TTL_LVRG_RT_SIMUL IS NOT NULL ) OR (X.TTL_LVRG_RT IS NOT NULL AND Y.TTL_LVRG_RT_SIMUL IS NULL),1,0)) AS NUM_REG_DIF,'1' AS ID_EXEC, CURRENT_TIMESTAMP() AS TIME_EXEC FROM (SELECT entty_id, TTL_LVRG_RT FROM CD_LOAN_TAPES_BCE.LT003_ENTITY WHERE ref_date='${ref_date}' AND nome_perimetro='Individual Corporativo' AND segmento='ESTR' AND ambito='PM' AND entidade='00100')X INNER JOIN (SELECT entty_id AS entty_id_SIMUL, TTL_LVRG_RT AS TTL_LVRG_RT_SIMUL FROM BU_LOANTAPE_WORK.LT003_ENTITY WHERE ref_date='${ref_date}' AND nome_perimetro='Individual Corporativo' AND segmento='ESTR' AND ambito='PM' AND entidade='00100')Y ON X.ENTTY_ID=Y.ENTTY_ID_SIMUL</v>
      </c>
      <c r="N82" s="38" t="s">
        <v>46</v>
      </c>
    </row>
    <row r="83" spans="2:14">
      <c r="B83" s="34" t="s">
        <v>127</v>
      </c>
      <c r="C83" s="34" t="s">
        <v>5</v>
      </c>
      <c r="D83" s="34" t="str">
        <f>+UPPER('0. Instruções'!$D$35&amp;"."&amp;VLOOKUP(B83,'0. Instruções'!$C$27:$D$32,2,FALSE))</f>
        <v>CD_LOAN_TAPES_BCE.LT003_ENTITY</v>
      </c>
      <c r="E83" s="34" t="str">
        <f>+UPPER('0. Instruções'!$D$36&amp;"."&amp;VLOOKUP(B83,'0. Instruções'!$C$27:$E$32,3,FALSE))</f>
        <v>BU_LOANTAPE_WORK.LT003_ENTITY</v>
      </c>
      <c r="F83" s="34" t="s">
        <v>389</v>
      </c>
      <c r="G83" s="34"/>
      <c r="H83" s="34" t="s">
        <v>91</v>
      </c>
      <c r="I83" s="34" t="str">
        <f>"(SELECT "&amp;VLOOKUP(B83,'0. Instruções'!$C$27:$G$32,4,FALSE)&amp;", "&amp;F83&amp;" FROM "&amp;D83&amp;" WHERE "&amp;'0. Instruções'!$D$42&amp;")X"</f>
        <v>(SELECT entty_id, TTL_LVRG_RT_PRVS FROM CD_LOAN_TAPES_BCE.LT003_ENTITY WHERE ref_date='${ref_date}' AND nome_perimetro='Individual Corporativo' AND segmento='ESTR' AND ambito='PM' AND entidade='00100')X</v>
      </c>
      <c r="J83" s="34" t="str">
        <f>"(SELECT "&amp;VLOOKUP(B83,'0. Instruções'!$C$27:$G$32,4,FALSE)&amp;" AS "&amp;VLOOKUP(B83,'0. Instruções'!$C$27:$G$32,4,FALSE)&amp;"_SIMUL, "&amp;F83&amp;" AS "&amp;F83&amp;"_SIMUL FROM "&amp;E83&amp;" WHERE "&amp;'0. Instruções'!$D$43&amp;")Y"</f>
        <v>(SELECT entty_id AS entty_id_SIMUL, TTL_LVRG_RT_PRVS AS TTL_LVRG_RT_PRVS_SIMUL FROM BU_LOANTAPE_WORK.LT003_ENTITY WHERE ref_date='${ref_date}' AND nome_perimetro='Individual Corporativo' AND segmento='ESTR' AND ambito='PM' AND entidade='00100')Y</v>
      </c>
      <c r="K83" s="35" t="str">
        <f>+UPPER("ON X."&amp;VLOOKUP(B83,'0. Instruções'!$C$27:$G$32,4,FALSE)&amp;"=Y."&amp;VLOOKUP(B83,'0. Instruções'!$C$27:$G$32,4,FALSE)&amp;"_SIMUL")</f>
        <v>ON X.ENTTY_ID=Y.ENTTY_ID_SIMUL</v>
      </c>
      <c r="L83" s="35" t="str">
        <f>+IF(C83="Coerência", +IF(LEFT(G83,5)="FLOAT","SELECT '"&amp;UPPER(B83)&amp;"' AS TABELA, '"&amp;UPPER(C83)&amp;"' AS TIPOLOGIA_TESTE,'"&amp;D83&amp;"' AS TABELA_LT,'"&amp;E83&amp;"' AS TABELA_SIMUL,'"&amp;F83&amp;"' AS CAMPO, "&amp;"'${ref_date}' AS REF_DATE, COUNT(*) AS NUM_REG, SUM(IF((ABS(COALESCE(CAST(X."&amp;F83&amp;" AS DECIMAL(18,6)),0)-COALESCE(CAST(Y."&amp;F83&amp;"_SIMUL AS DECIMAL(18,6)),0))&gt;0.000001) OR (X."&amp;F83&amp;" IS NULL AND Y."&amp;F83&amp;"_SIMUL IS NOT NULL ) OR (X."&amp;F83&amp;" IS NOT NULL AND Y."&amp;F83&amp;"_SIMUL IS NULL),1,0)) AS NUM_REG_DIF,'"&amp;MAX('ID1&amp;5'!K:K)+1&amp;"' AS ID_EXEC, CURRENT_TIMESTAMP() AS TIME_EXEC FROM "&amp;I83&amp;" INNER JOIN "&amp;J83&amp;" "&amp;K83,"SELECT '"&amp;UPPER(B83)&amp;"' AS TABELA, '"&amp;UPPER(C83)&amp;"' AS TIPOLOGIA_TESTE,'"&amp;D83&amp;"' AS TABELA_LT,'"&amp;E83&amp;"' AS TABELA_SIMUL,'"&amp;F83&amp;"' AS CAMPO, "&amp;"'${ref_date}' AS REF_DATE, COUNT(*) AS NUM_REG, SUM(IF(COALESCE(CAST(X."&amp;F83&amp;" AS STRING),'')&lt;&gt;COALESCE(CAST(Y."&amp;F83&amp;"_SIMUL AS STRING),'') OR (X."&amp;F83&amp;" IS NULL AND Y."&amp;F83&amp;"_SIMUL IS NOT NULL ) OR (X."&amp;F83&amp;" IS NOT NULL AND Y."&amp;F83&amp;"_SIMUL IS NULL),1,0)) AS NUM_REG_DIF,'"&amp;MAX('ID1&amp;5'!L:L)+1&amp;"' AS ID_EXEC, CURRENT_TIMESTAMP() AS TIME_EXEC FROM "&amp;I83&amp;" INNER JOIN "&amp;J83&amp;" "&amp;K83),
IF(C83="Validade",+IF(G83="Code List","SELECT '"&amp;UPPER(B83)&amp;"' AS TABELA, '"&amp;UPPER(C83)&amp;"' AS TIPOLOGIA_TESTE,'"&amp;D83&amp;"' AS TABELA_LT,'N/A' AS TABELA_SIMUL,'"&amp;F83&amp;"' AS CAMPO, "&amp;"'${ref_date}' AS REF_DATE, COUNT(*) AS NUM_REG, SUM(IF(TRIM(CAST(X."&amp;F83&amp;" AS STRING))='' OR TRIM(CAST(X."&amp;F83&amp;" AS STRING)) IS NULL OR CAST(X."&amp;F83&amp;" AS STRING) NOT "&amp;H83&amp;",1,0)) AS NUM_REG_DIF,'"&amp;MAX('ID1&amp;5'!K:K)+1&amp;"' AS ID_EXEC, CURRENT_TIMESTAMP() AS TIME_EXEC FROM "&amp;I83,"SELECT '"&amp;UPPER(B83)&amp;"' AS TABELA, '"&amp;UPPER(C83)&amp;"' AS TIPOLOGIA_TESTE,'"&amp;D83&amp;"' AS TABELA_LT,'N/A' AS TABELA_SIMUL,'"&amp;F83&amp;"' AS CAMPO, "&amp;"'${ref_date}' AS REF_DATE, COUNT(*) AS NUM_REG, SUM(IF(TRIM(CAST(X."&amp;F83&amp;" AS STRING))='' OR TRIM(CAST(X."&amp;F83&amp;" AS STRING)) IS NULL,1,0)) AS NUM_REG_DIF,'"&amp;MAX('ID1&amp;5'!K:K)+1&amp;"' AS ID_EXEC, CURRENT_TIMESTAMP() AS TIME_EXEC FROM "&amp;I83),
IF(C83="Caracteres Especiais",+"SELECT '"&amp;UPPER(B83)&amp;"' AS TABELA, '"&amp;UPPER(C83)&amp;"' AS TIPOLOGIA_TESTE,'"&amp;D83&amp;"' AS TABELA_LT,'N/A' AS TABELA_SIMUL,'"&amp;F83&amp;"' AS CAMPO, "&amp;"'${ref_date}' AS REF_DATE, COUNT(*) AS NUM_REG, SUM(IF(REGEXP_REPLACE(TRIM(CAST(X."&amp;F83&amp;" AS STRING)),'[^a-zA-Z0-9_\\s]','') &lt;&gt;TRIM(CAST(X."&amp;F83&amp;" AS STRING)),1,0)) AS NUM_REG_DIF,'"&amp;MAX('ID1&amp;5'!K:K)+1&amp;"' AS ID_EXEC, CURRENT_TIMESTAMP() AS TIME_EXEC FROM "&amp;I83,
IF(C83="Missings",+"SELECT '"&amp;UPPER(B83)&amp;"' AS TABELA, '"&amp;UPPER(C83)&amp;"' AS TIPOLOGIA_TESTE,'"&amp;D83&amp;"' AS TABELA_LT,'N/A' AS TABELA_SIMUL,'"&amp;F83&amp;"' AS CAMPO, "&amp;"'${ref_date}' AS REF_DATE, COUNT(*) AS NUM_REG, SUM(IF(TRIM(CAST(X."&amp;F83&amp;" AS STRING)) IN ('0000-00-00','0001-01-01','9999-12-31','MISS','00000','99999999999','99999999999.00','99999999999.000000'),1,0)) AS NUM_REG_DIF,'"&amp;MAX('ID1&amp;5'!K:K)+1&amp;"' AS ID_EXEC, CURRENT_TIMESTAMP() AS TIME_EXEC FROM "&amp;I83,
IF(C83="Not applicable",+"SELECT '"&amp;UPPER(B83)&amp;"' AS TABELA, '"&amp;UPPER(C83)&amp;"' AS TIPOLOGIA_TESTE,'"&amp;D83&amp;"' AS TABELA_LT,'N/A' AS TABELA_SIMUL,'"&amp;F83&amp;"' AS CAMPO, "&amp;"'${ref_date}' AS REF_DATE, COUNT(*) AS NUM_REG, SUM(IF(TRIM(CAST(X."&amp;F83&amp;" AS STRING)) IN ('N/A','11111111111','11111111111.00','11111111111.000000','1111-11-11'),1,0)) AS NUM_REG_DIF,'"&amp;MAX('ID1&amp;5'!K:K)+1&amp;"' AS ID_EXEC, CURRENT_TIMESTAMP() AS TIME_EXEC FROM "&amp;I83,
IF(C83="Valores extremos",+"SELECT '"&amp;UPPER(B83)&amp;"' AS TABELA, '"&amp;UPPER(C83)&amp;"' AS TIPOLOGIA_TESTE,'"&amp;D83&amp;"' AS TABELA_LT,'N/A' AS TABELA_SIMUL,'"&amp;F83&amp;"' AS CAMPO, "&amp;"'${ref_date}' AS REF_DATE, CAST(MIN("&amp;F83&amp;") AS STRING) AS VALOR_MIN, CAST(MAX("&amp;F83&amp;") AS STRING) AS VALOR_MAX,'"&amp;MAX('ID1&amp;5'!K:K)+1&amp;"' AS ID_EXEC, CURRENT_TIMESTAMP() AS TIME_EXEC FROM "&amp;MID(I83,1,LEN(I83)-2)&amp;" AND CAST("&amp;F83&amp;"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TABELA_SIMUL,'TTL_LVRG_RT_PRVS' AS CAMPO, '${ref_date}' AS REF_DATE, COUNT(*) AS NUM_REG, SUM(IF(COALESCE(CAST(X.TTL_LVRG_RT_PRVS AS STRING),'')&lt;&gt;COALESCE(CAST(Y.TTL_LVRG_RT_PRVS_SIMUL AS STRING),'') OR (X.TTL_LVRG_RT_PRVS IS NULL AND Y.TTL_LVRG_RT_PRVS_SIMUL IS NOT NULL ) OR (X.TTL_LVRG_RT_PRVS IS NOT NULL AND Y.TTL_LVRG_RT_PRVS_SIMUL IS NULL),1,0)) AS NUM_REG_DIF,'1' AS ID_EXEC, CURRENT_TIMESTAMP() AS TIME_EXEC FROM (SELECT entty_id, TTL_LVRG_RT_PRVS FROM CD_LOAN_TAPES_BCE.LT003_ENTITY WHERE ref_date='${ref_date}' AND nome_perimetro='Individual Corporativo' AND segmento='ESTR' AND ambito='PM' AND entidade='00100')X INNER JOIN (SELECT entty_id AS entty_id_SIMUL, TTL_LVRG_RT_PRVS AS TTL_LVRG_RT_PRVS_SIMUL FROM BU_LOANTAPE_WORK.LT003_ENTITY WHERE ref_date='${ref_date}' AND nome_perimetro='Individual Corporativo' AND segmento='ESTR' AND ambito='PM' AND entidade='00100')Y ON X.ENTTY_ID=Y.ENTTY_ID_SIMUL</v>
      </c>
      <c r="M83" s="36" t="str">
        <f t="shared" si="1"/>
        <v>UNION ALL SELECT 'ENTITY' AS TABELA, 'COERÊNCIA' AS TIPOLOGIA_TESTE,'CD_LOAN_TAPES_BCE.LT003_ENTITY' AS TABELA_LT,'BU_LOANTAPE_WORK.LT003_ENTITY' AS TABELA_SIMUL,'TTL_LVRG_RT_PRVS' AS CAMPO, '${ref_date}' AS REF_DATE, COUNT(*) AS NUM_REG, SUM(IF(COALESCE(CAST(X.TTL_LVRG_RT_PRVS AS STRING),'')&lt;&gt;COALESCE(CAST(Y.TTL_LVRG_RT_PRVS_SIMUL AS STRING),'') OR (X.TTL_LVRG_RT_PRVS IS NULL AND Y.TTL_LVRG_RT_PRVS_SIMUL IS NOT NULL ) OR (X.TTL_LVRG_RT_PRVS IS NOT NULL AND Y.TTL_LVRG_RT_PRVS_SIMUL IS NULL),1,0)) AS NUM_REG_DIF,'1' AS ID_EXEC, CURRENT_TIMESTAMP() AS TIME_EXEC FROM (SELECT entty_id, TTL_LVRG_RT_PRVS FROM CD_LOAN_TAPES_BCE.LT003_ENTITY WHERE ref_date='${ref_date}' AND nome_perimetro='Individual Corporativo' AND segmento='ESTR' AND ambito='PM' AND entidade='00100')X INNER JOIN (SELECT entty_id AS entty_id_SIMUL, TTL_LVRG_RT_PRVS AS TTL_LVRG_RT_PRVS_SIMUL FROM BU_LOANTAPE_WORK.LT003_ENTITY WHERE ref_date='${ref_date}' AND nome_perimetro='Individual Corporativo' AND segmento='ESTR' AND ambito='PM' AND entidade='00100')Y ON X.ENTTY_ID=Y.ENTTY_ID_SIMUL</v>
      </c>
      <c r="N83" s="38" t="s">
        <v>46</v>
      </c>
    </row>
    <row r="84" spans="2:14">
      <c r="B84" s="34" t="s">
        <v>127</v>
      </c>
      <c r="C84" s="34" t="s">
        <v>5</v>
      </c>
      <c r="D84" s="34" t="str">
        <f>+UPPER('0. Instruções'!$D$35&amp;"."&amp;VLOOKUP(B84,'0. Instruções'!$C$27:$D$32,2,FALSE))</f>
        <v>CD_LOAN_TAPES_BCE.LT003_ENTITY</v>
      </c>
      <c r="E84" s="34" t="str">
        <f>+UPPER('0. Instruções'!$D$36&amp;"."&amp;VLOOKUP(B84,'0. Instruções'!$C$27:$E$32,3,FALSE))</f>
        <v>BU_LOANTAPE_WORK.LT003_ENTITY</v>
      </c>
      <c r="F84" s="34" t="s">
        <v>390</v>
      </c>
      <c r="G84" s="34"/>
      <c r="H84" s="34" t="s">
        <v>91</v>
      </c>
      <c r="I84" s="34" t="str">
        <f>"(SELECT "&amp;VLOOKUP(B84,'0. Instruções'!$C$27:$G$32,4,FALSE)&amp;", "&amp;F84&amp;" FROM "&amp;D84&amp;" WHERE "&amp;'0. Instruções'!$D$42&amp;")X"</f>
        <v>(SELECT entty_id, DBT_RPYMNT_CPCTY_SNR_DBT FROM CD_LOAN_TAPES_BCE.LT003_ENTITY WHERE ref_date='${ref_date}' AND nome_perimetro='Individual Corporativo' AND segmento='ESTR' AND ambito='PM' AND entidade='00100')X</v>
      </c>
      <c r="J84" s="34" t="str">
        <f>"(SELECT "&amp;VLOOKUP(B84,'0. Instruções'!$C$27:$G$32,4,FALSE)&amp;" AS "&amp;VLOOKUP(B84,'0. Instruções'!$C$27:$G$32,4,FALSE)&amp;"_SIMUL, "&amp;F84&amp;" AS "&amp;F84&amp;"_SIMUL FROM "&amp;E84&amp;" WHERE "&amp;'0. Instruções'!$D$43&amp;")Y"</f>
        <v>(SELECT entty_id AS entty_id_SIMUL, DBT_RPYMNT_CPCTY_SNR_DBT AS DBT_RPYMNT_CPCTY_SNR_DBT_SIMUL FROM BU_LOANTAPE_WORK.LT003_ENTITY WHERE ref_date='${ref_date}' AND nome_perimetro='Individual Corporativo' AND segmento='ESTR' AND ambito='PM' AND entidade='00100')Y</v>
      </c>
      <c r="K84" s="35" t="str">
        <f>+UPPER("ON X."&amp;VLOOKUP(B84,'0. Instruções'!$C$27:$G$32,4,FALSE)&amp;"=Y."&amp;VLOOKUP(B84,'0. Instruções'!$C$27:$G$32,4,FALSE)&amp;"_SIMUL")</f>
        <v>ON X.ENTTY_ID=Y.ENTTY_ID_SIMUL</v>
      </c>
      <c r="L84" s="35" t="str">
        <f>+IF(C84="Coerência", +IF(LEFT(G84,5)="FLOAT","SELECT '"&amp;UPPER(B84)&amp;"' AS TABELA, '"&amp;UPPER(C84)&amp;"' AS TIPOLOGIA_TESTE,'"&amp;D84&amp;"' AS TABELA_LT,'"&amp;E84&amp;"' AS TABELA_SIMUL,'"&amp;F84&amp;"' AS CAMPO, "&amp;"'${ref_date}' AS REF_DATE, COUNT(*) AS NUM_REG, SUM(IF((ABS(COALESCE(CAST(X."&amp;F84&amp;" AS DECIMAL(18,6)),0)-COALESCE(CAST(Y."&amp;F84&amp;"_SIMUL AS DECIMAL(18,6)),0))&gt;0.000001) OR (X."&amp;F84&amp;" IS NULL AND Y."&amp;F84&amp;"_SIMUL IS NOT NULL ) OR (X."&amp;F84&amp;" IS NOT NULL AND Y."&amp;F84&amp;"_SIMUL IS NULL),1,0)) AS NUM_REG_DIF,'"&amp;MAX('ID1&amp;5'!K:K)+1&amp;"' AS ID_EXEC, CURRENT_TIMESTAMP() AS TIME_EXEC FROM "&amp;I84&amp;" INNER JOIN "&amp;J84&amp;" "&amp;K84,"SELECT '"&amp;UPPER(B84)&amp;"' AS TABELA, '"&amp;UPPER(C84)&amp;"' AS TIPOLOGIA_TESTE,'"&amp;D84&amp;"' AS TABELA_LT,'"&amp;E84&amp;"' AS TABELA_SIMUL,'"&amp;F84&amp;"' AS CAMPO, "&amp;"'${ref_date}' AS REF_DATE, COUNT(*) AS NUM_REG, SUM(IF(COALESCE(CAST(X."&amp;F84&amp;" AS STRING),'')&lt;&gt;COALESCE(CAST(Y."&amp;F84&amp;"_SIMUL AS STRING),'') OR (X."&amp;F84&amp;" IS NULL AND Y."&amp;F84&amp;"_SIMUL IS NOT NULL ) OR (X."&amp;F84&amp;" IS NOT NULL AND Y."&amp;F84&amp;"_SIMUL IS NULL),1,0)) AS NUM_REG_DIF,'"&amp;MAX('ID1&amp;5'!L:L)+1&amp;"' AS ID_EXEC, CURRENT_TIMESTAMP() AS TIME_EXEC FROM "&amp;I84&amp;" INNER JOIN "&amp;J84&amp;" "&amp;K84),
IF(C84="Validade",+IF(G84="Code List","SELECT '"&amp;UPPER(B84)&amp;"' AS TABELA, '"&amp;UPPER(C84)&amp;"' AS TIPOLOGIA_TESTE,'"&amp;D84&amp;"' AS TABELA_LT,'N/A' AS TABELA_SIMUL,'"&amp;F84&amp;"' AS CAMPO, "&amp;"'${ref_date}' AS REF_DATE, COUNT(*) AS NUM_REG, SUM(IF(TRIM(CAST(X."&amp;F84&amp;" AS STRING))='' OR TRIM(CAST(X."&amp;F84&amp;" AS STRING)) IS NULL OR CAST(X."&amp;F84&amp;" AS STRING) NOT "&amp;H84&amp;",1,0)) AS NUM_REG_DIF,'"&amp;MAX('ID1&amp;5'!K:K)+1&amp;"' AS ID_EXEC, CURRENT_TIMESTAMP() AS TIME_EXEC FROM "&amp;I84,"SELECT '"&amp;UPPER(B84)&amp;"' AS TABELA, '"&amp;UPPER(C84)&amp;"' AS TIPOLOGIA_TESTE,'"&amp;D84&amp;"' AS TABELA_LT,'N/A' AS TABELA_SIMUL,'"&amp;F84&amp;"' AS CAMPO, "&amp;"'${ref_date}' AS REF_DATE, COUNT(*) AS NUM_REG, SUM(IF(TRIM(CAST(X."&amp;F84&amp;" AS STRING))='' OR TRIM(CAST(X."&amp;F84&amp;" AS STRING)) IS NULL,1,0)) AS NUM_REG_DIF,'"&amp;MAX('ID1&amp;5'!K:K)+1&amp;"' AS ID_EXEC, CURRENT_TIMESTAMP() AS TIME_EXEC FROM "&amp;I84),
IF(C84="Caracteres Especiais",+"SELECT '"&amp;UPPER(B84)&amp;"' AS TABELA, '"&amp;UPPER(C84)&amp;"' AS TIPOLOGIA_TESTE,'"&amp;D84&amp;"' AS TABELA_LT,'N/A' AS TABELA_SIMUL,'"&amp;F84&amp;"' AS CAMPO, "&amp;"'${ref_date}' AS REF_DATE, COUNT(*) AS NUM_REG, SUM(IF(REGEXP_REPLACE(TRIM(CAST(X."&amp;F84&amp;" AS STRING)),'[^a-zA-Z0-9_\\s]','') &lt;&gt;TRIM(CAST(X."&amp;F84&amp;" AS STRING)),1,0)) AS NUM_REG_DIF,'"&amp;MAX('ID1&amp;5'!K:K)+1&amp;"' AS ID_EXEC, CURRENT_TIMESTAMP() AS TIME_EXEC FROM "&amp;I84,
IF(C84="Missings",+"SELECT '"&amp;UPPER(B84)&amp;"' AS TABELA, '"&amp;UPPER(C84)&amp;"' AS TIPOLOGIA_TESTE,'"&amp;D84&amp;"' AS TABELA_LT,'N/A' AS TABELA_SIMUL,'"&amp;F84&amp;"' AS CAMPO, "&amp;"'${ref_date}' AS REF_DATE, COUNT(*) AS NUM_REG, SUM(IF(TRIM(CAST(X."&amp;F84&amp;" AS STRING)) IN ('0000-00-00','0001-01-01','9999-12-31','MISS','00000','99999999999','99999999999.00','99999999999.000000'),1,0)) AS NUM_REG_DIF,'"&amp;MAX('ID1&amp;5'!K:K)+1&amp;"' AS ID_EXEC, CURRENT_TIMESTAMP() AS TIME_EXEC FROM "&amp;I84,
IF(C84="Not applicable",+"SELECT '"&amp;UPPER(B84)&amp;"' AS TABELA, '"&amp;UPPER(C84)&amp;"' AS TIPOLOGIA_TESTE,'"&amp;D84&amp;"' AS TABELA_LT,'N/A' AS TABELA_SIMUL,'"&amp;F84&amp;"' AS CAMPO, "&amp;"'${ref_date}' AS REF_DATE, COUNT(*) AS NUM_REG, SUM(IF(TRIM(CAST(X."&amp;F84&amp;" AS STRING)) IN ('N/A','11111111111','11111111111.00','11111111111.000000','1111-11-11'),1,0)) AS NUM_REG_DIF,'"&amp;MAX('ID1&amp;5'!K:K)+1&amp;"' AS ID_EXEC, CURRENT_TIMESTAMP() AS TIME_EXEC FROM "&amp;I84,
IF(C84="Valores extremos",+"SELECT '"&amp;UPPER(B84)&amp;"' AS TABELA, '"&amp;UPPER(C84)&amp;"' AS TIPOLOGIA_TESTE,'"&amp;D84&amp;"' AS TABELA_LT,'N/A' AS TABELA_SIMUL,'"&amp;F84&amp;"' AS CAMPO, "&amp;"'${ref_date}' AS REF_DATE, CAST(MIN("&amp;F84&amp;") AS STRING) AS VALOR_MIN, CAST(MAX("&amp;F84&amp;") AS STRING) AS VALOR_MAX,'"&amp;MAX('ID1&amp;5'!K:K)+1&amp;"' AS ID_EXEC, CURRENT_TIMESTAMP() AS TIME_EXEC FROM "&amp;MID(I84,1,LEN(I84)-2)&amp;" AND CAST("&amp;F84&amp;"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TABELA_SIMUL,'DBT_RPYMNT_CPCTY_SNR_DBT' AS CAMPO, '${ref_date}' AS REF_DATE, COUNT(*) AS NUM_REG, SUM(IF(COALESCE(CAST(X.DBT_RPYMNT_CPCTY_SNR_DBT AS STRING),'')&lt;&gt;COALESCE(CAST(Y.DBT_RPYMNT_CPCTY_SNR_DBT_SIMUL AS STRING),'') OR (X.DBT_RPYMNT_CPCTY_SNR_DBT IS NULL AND Y.DBT_RPYMNT_CPCTY_SNR_DBT_SIMUL IS NOT NULL ) OR (X.DBT_RPYMNT_CPCTY_SNR_DBT IS NOT NULL AND Y.DBT_RPYMNT_CPCTY_SNR_DBT_SIMUL IS NULL),1,0)) AS NUM_REG_DIF,'1' AS ID_EXEC, CURRENT_TIMESTAMP() AS TIME_EXEC FROM (SELECT entty_id, DBT_RPYMNT_CPCTY_SNR_DBT FROM CD_LOAN_TAPES_BCE.LT003_ENTITY WHERE ref_date='${ref_date}' AND nome_perimetro='Individual Corporativo' AND segmento='ESTR' AND ambito='PM' AND entidade='00100')X INNER JOIN (SELECT entty_id AS entty_id_SIMUL, DBT_RPYMNT_CPCTY_SNR_DBT AS DBT_RPYMNT_CPCTY_SNR_DBT_SIMUL FROM BU_LOANTAPE_WORK.LT003_ENTITY WHERE ref_date='${ref_date}' AND nome_perimetro='Individual Corporativo' AND segmento='ESTR' AND ambito='PM' AND entidade='00100')Y ON X.ENTTY_ID=Y.ENTTY_ID_SIMUL</v>
      </c>
      <c r="M84" s="36" t="str">
        <f t="shared" si="1"/>
        <v>UNION ALL SELECT 'ENTITY' AS TABELA, 'COERÊNCIA' AS TIPOLOGIA_TESTE,'CD_LOAN_TAPES_BCE.LT003_ENTITY' AS TABELA_LT,'BU_LOANTAPE_WORK.LT003_ENTITY' AS TABELA_SIMUL,'DBT_RPYMNT_CPCTY_SNR_DBT' AS CAMPO, '${ref_date}' AS REF_DATE, COUNT(*) AS NUM_REG, SUM(IF(COALESCE(CAST(X.DBT_RPYMNT_CPCTY_SNR_DBT AS STRING),'')&lt;&gt;COALESCE(CAST(Y.DBT_RPYMNT_CPCTY_SNR_DBT_SIMUL AS STRING),'') OR (X.DBT_RPYMNT_CPCTY_SNR_DBT IS NULL AND Y.DBT_RPYMNT_CPCTY_SNR_DBT_SIMUL IS NOT NULL ) OR (X.DBT_RPYMNT_CPCTY_SNR_DBT IS NOT NULL AND Y.DBT_RPYMNT_CPCTY_SNR_DBT_SIMUL IS NULL),1,0)) AS NUM_REG_DIF,'1' AS ID_EXEC, CURRENT_TIMESTAMP() AS TIME_EXEC FROM (SELECT entty_id, DBT_RPYMNT_CPCTY_SNR_DBT FROM CD_LOAN_TAPES_BCE.LT003_ENTITY WHERE ref_date='${ref_date}' AND nome_perimetro='Individual Corporativo' AND segmento='ESTR' AND ambito='PM' AND entidade='00100')X INNER JOIN (SELECT entty_id AS entty_id_SIMUL, DBT_RPYMNT_CPCTY_SNR_DBT AS DBT_RPYMNT_CPCTY_SNR_DBT_SIMUL FROM BU_LOANTAPE_WORK.LT003_ENTITY WHERE ref_date='${ref_date}' AND nome_perimetro='Individual Corporativo' AND segmento='ESTR' AND ambito='PM' AND entidade='00100')Y ON X.ENTTY_ID=Y.ENTTY_ID_SIMUL</v>
      </c>
      <c r="N84" s="38" t="s">
        <v>46</v>
      </c>
    </row>
    <row r="85" spans="2:14">
      <c r="B85" s="34" t="s">
        <v>127</v>
      </c>
      <c r="C85" s="34" t="s">
        <v>5</v>
      </c>
      <c r="D85" s="34" t="str">
        <f>+UPPER('0. Instruções'!$D$35&amp;"."&amp;VLOOKUP(B85,'0. Instruções'!$C$27:$D$32,2,FALSE))</f>
        <v>CD_LOAN_TAPES_BCE.LT003_ENTITY</v>
      </c>
      <c r="E85" s="34" t="str">
        <f>+UPPER('0. Instruções'!$D$36&amp;"."&amp;VLOOKUP(B85,'0. Instruções'!$C$27:$E$32,3,FALSE))</f>
        <v>BU_LOANTAPE_WORK.LT003_ENTITY</v>
      </c>
      <c r="F85" s="34" t="s">
        <v>391</v>
      </c>
      <c r="G85" s="34"/>
      <c r="H85" s="34" t="s">
        <v>91</v>
      </c>
      <c r="I85" s="34" t="str">
        <f>"(SELECT "&amp;VLOOKUP(B85,'0. Instruções'!$C$27:$G$32,4,FALSE)&amp;", "&amp;F85&amp;" FROM "&amp;D85&amp;" WHERE "&amp;'0. Instruções'!$D$42&amp;")X"</f>
        <v>(SELECT entty_id, DBT_RPYMNT_CPCTY_TTL FROM CD_LOAN_TAPES_BCE.LT003_ENTITY WHERE ref_date='${ref_date}' AND nome_perimetro='Individual Corporativo' AND segmento='ESTR' AND ambito='PM' AND entidade='00100')X</v>
      </c>
      <c r="J85" s="34" t="str">
        <f>"(SELECT "&amp;VLOOKUP(B85,'0. Instruções'!$C$27:$G$32,4,FALSE)&amp;" AS "&amp;VLOOKUP(B85,'0. Instruções'!$C$27:$G$32,4,FALSE)&amp;"_SIMUL, "&amp;F85&amp;" AS "&amp;F85&amp;"_SIMUL FROM "&amp;E85&amp;" WHERE "&amp;'0. Instruções'!$D$43&amp;")Y"</f>
        <v>(SELECT entty_id AS entty_id_SIMUL, DBT_RPYMNT_CPCTY_TTL AS DBT_RPYMNT_CPCTY_TTL_SIMUL FROM BU_LOANTAPE_WORK.LT003_ENTITY WHERE ref_date='${ref_date}' AND nome_perimetro='Individual Corporativo' AND segmento='ESTR' AND ambito='PM' AND entidade='00100')Y</v>
      </c>
      <c r="K85" s="35" t="str">
        <f>+UPPER("ON X."&amp;VLOOKUP(B85,'0. Instruções'!$C$27:$G$32,4,FALSE)&amp;"=Y."&amp;VLOOKUP(B85,'0. Instruções'!$C$27:$G$32,4,FALSE)&amp;"_SIMUL")</f>
        <v>ON X.ENTTY_ID=Y.ENTTY_ID_SIMUL</v>
      </c>
      <c r="L85" s="35" t="str">
        <f>+IF(C85="Coerência", +IF(LEFT(G85,5)="FLOAT","SELECT '"&amp;UPPER(B85)&amp;"' AS TABELA, '"&amp;UPPER(C85)&amp;"' AS TIPOLOGIA_TESTE,'"&amp;D85&amp;"' AS TABELA_LT,'"&amp;E85&amp;"' AS TABELA_SIMUL,'"&amp;F85&amp;"' AS CAMPO, "&amp;"'${ref_date}' AS REF_DATE, COUNT(*) AS NUM_REG, SUM(IF((ABS(COALESCE(CAST(X."&amp;F85&amp;" AS DECIMAL(18,6)),0)-COALESCE(CAST(Y."&amp;F85&amp;"_SIMUL AS DECIMAL(18,6)),0))&gt;0.000001) OR (X."&amp;F85&amp;" IS NULL AND Y."&amp;F85&amp;"_SIMUL IS NOT NULL ) OR (X."&amp;F85&amp;" IS NOT NULL AND Y."&amp;F85&amp;"_SIMUL IS NULL),1,0)) AS NUM_REG_DIF,'"&amp;MAX('ID1&amp;5'!K:K)+1&amp;"' AS ID_EXEC, CURRENT_TIMESTAMP() AS TIME_EXEC FROM "&amp;I85&amp;" INNER JOIN "&amp;J85&amp;" "&amp;K85,"SELECT '"&amp;UPPER(B85)&amp;"' AS TABELA, '"&amp;UPPER(C85)&amp;"' AS TIPOLOGIA_TESTE,'"&amp;D85&amp;"' AS TABELA_LT,'"&amp;E85&amp;"' AS TABELA_SIMUL,'"&amp;F85&amp;"' AS CAMPO, "&amp;"'${ref_date}' AS REF_DATE, COUNT(*) AS NUM_REG, SUM(IF(COALESCE(CAST(X."&amp;F85&amp;" AS STRING),'')&lt;&gt;COALESCE(CAST(Y."&amp;F85&amp;"_SIMUL AS STRING),'') OR (X."&amp;F85&amp;" IS NULL AND Y."&amp;F85&amp;"_SIMUL IS NOT NULL ) OR (X."&amp;F85&amp;" IS NOT NULL AND Y."&amp;F85&amp;"_SIMUL IS NULL),1,0)) AS NUM_REG_DIF,'"&amp;MAX('ID1&amp;5'!L:L)+1&amp;"' AS ID_EXEC, CURRENT_TIMESTAMP() AS TIME_EXEC FROM "&amp;I85&amp;" INNER JOIN "&amp;J85&amp;" "&amp;K85),
IF(C85="Validade",+IF(G85="Code List","SELECT '"&amp;UPPER(B85)&amp;"' AS TABELA, '"&amp;UPPER(C85)&amp;"' AS TIPOLOGIA_TESTE,'"&amp;D85&amp;"' AS TABELA_LT,'N/A' AS TABELA_SIMUL,'"&amp;F85&amp;"' AS CAMPO, "&amp;"'${ref_date}' AS REF_DATE, COUNT(*) AS NUM_REG, SUM(IF(TRIM(CAST(X."&amp;F85&amp;" AS STRING))='' OR TRIM(CAST(X."&amp;F85&amp;" AS STRING)) IS NULL OR CAST(X."&amp;F85&amp;" AS STRING) NOT "&amp;H85&amp;",1,0)) AS NUM_REG_DIF,'"&amp;MAX('ID1&amp;5'!K:K)+1&amp;"' AS ID_EXEC, CURRENT_TIMESTAMP() AS TIME_EXEC FROM "&amp;I85,"SELECT '"&amp;UPPER(B85)&amp;"' AS TABELA, '"&amp;UPPER(C85)&amp;"' AS TIPOLOGIA_TESTE,'"&amp;D85&amp;"' AS TABELA_LT,'N/A' AS TABELA_SIMUL,'"&amp;F85&amp;"' AS CAMPO, "&amp;"'${ref_date}' AS REF_DATE, COUNT(*) AS NUM_REG, SUM(IF(TRIM(CAST(X."&amp;F85&amp;" AS STRING))='' OR TRIM(CAST(X."&amp;F85&amp;" AS STRING)) IS NULL,1,0)) AS NUM_REG_DIF,'"&amp;MAX('ID1&amp;5'!K:K)+1&amp;"' AS ID_EXEC, CURRENT_TIMESTAMP() AS TIME_EXEC FROM "&amp;I85),
IF(C85="Caracteres Especiais",+"SELECT '"&amp;UPPER(B85)&amp;"' AS TABELA, '"&amp;UPPER(C85)&amp;"' AS TIPOLOGIA_TESTE,'"&amp;D85&amp;"' AS TABELA_LT,'N/A' AS TABELA_SIMUL,'"&amp;F85&amp;"' AS CAMPO, "&amp;"'${ref_date}' AS REF_DATE, COUNT(*) AS NUM_REG, SUM(IF(REGEXP_REPLACE(TRIM(CAST(X."&amp;F85&amp;" AS STRING)),'[^a-zA-Z0-9_\\s]','') &lt;&gt;TRIM(CAST(X."&amp;F85&amp;" AS STRING)),1,0)) AS NUM_REG_DIF,'"&amp;MAX('ID1&amp;5'!K:K)+1&amp;"' AS ID_EXEC, CURRENT_TIMESTAMP() AS TIME_EXEC FROM "&amp;I85,
IF(C85="Missings",+"SELECT '"&amp;UPPER(B85)&amp;"' AS TABELA, '"&amp;UPPER(C85)&amp;"' AS TIPOLOGIA_TESTE,'"&amp;D85&amp;"' AS TABELA_LT,'N/A' AS TABELA_SIMUL,'"&amp;F85&amp;"' AS CAMPO, "&amp;"'${ref_date}' AS REF_DATE, COUNT(*) AS NUM_REG, SUM(IF(TRIM(CAST(X."&amp;F85&amp;" AS STRING)) IN ('0000-00-00','0001-01-01','9999-12-31','MISS','00000','99999999999','99999999999.00','99999999999.000000'),1,0)) AS NUM_REG_DIF,'"&amp;MAX('ID1&amp;5'!K:K)+1&amp;"' AS ID_EXEC, CURRENT_TIMESTAMP() AS TIME_EXEC FROM "&amp;I85,
IF(C85="Not applicable",+"SELECT '"&amp;UPPER(B85)&amp;"' AS TABELA, '"&amp;UPPER(C85)&amp;"' AS TIPOLOGIA_TESTE,'"&amp;D85&amp;"' AS TABELA_LT,'N/A' AS TABELA_SIMUL,'"&amp;F85&amp;"' AS CAMPO, "&amp;"'${ref_date}' AS REF_DATE, COUNT(*) AS NUM_REG, SUM(IF(TRIM(CAST(X."&amp;F85&amp;" AS STRING)) IN ('N/A','11111111111','11111111111.00','11111111111.000000','1111-11-11'),1,0)) AS NUM_REG_DIF,'"&amp;MAX('ID1&amp;5'!K:K)+1&amp;"' AS ID_EXEC, CURRENT_TIMESTAMP() AS TIME_EXEC FROM "&amp;I85,
IF(C85="Valores extremos",+"SELECT '"&amp;UPPER(B85)&amp;"' AS TABELA, '"&amp;UPPER(C85)&amp;"' AS TIPOLOGIA_TESTE,'"&amp;D85&amp;"' AS TABELA_LT,'N/A' AS TABELA_SIMUL,'"&amp;F85&amp;"' AS CAMPO, "&amp;"'${ref_date}' AS REF_DATE, CAST(MIN("&amp;F85&amp;") AS STRING) AS VALOR_MIN, CAST(MAX("&amp;F85&amp;") AS STRING) AS VALOR_MAX,'"&amp;MAX('ID1&amp;5'!K:K)+1&amp;"' AS ID_EXEC, CURRENT_TIMESTAMP() AS TIME_EXEC FROM "&amp;MID(I85,1,LEN(I85)-2)&amp;" AND CAST("&amp;F85&amp;"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TABELA_SIMUL,'DBT_RPYMNT_CPCTY_TTL' AS CAMPO, '${ref_date}' AS REF_DATE, COUNT(*) AS NUM_REG, SUM(IF(COALESCE(CAST(X.DBT_RPYMNT_CPCTY_TTL AS STRING),'')&lt;&gt;COALESCE(CAST(Y.DBT_RPYMNT_CPCTY_TTL_SIMUL AS STRING),'') OR (X.DBT_RPYMNT_CPCTY_TTL IS NULL AND Y.DBT_RPYMNT_CPCTY_TTL_SIMUL IS NOT NULL ) OR (X.DBT_RPYMNT_CPCTY_TTL IS NOT NULL AND Y.DBT_RPYMNT_CPCTY_TTL_SIMUL IS NULL),1,0)) AS NUM_REG_DIF,'1' AS ID_EXEC, CURRENT_TIMESTAMP() AS TIME_EXEC FROM (SELECT entty_id, DBT_RPYMNT_CPCTY_TTL FROM CD_LOAN_TAPES_BCE.LT003_ENTITY WHERE ref_date='${ref_date}' AND nome_perimetro='Individual Corporativo' AND segmento='ESTR' AND ambito='PM' AND entidade='00100')X INNER JOIN (SELECT entty_id AS entty_id_SIMUL, DBT_RPYMNT_CPCTY_TTL AS DBT_RPYMNT_CPCTY_TTL_SIMUL FROM BU_LOANTAPE_WORK.LT003_ENTITY WHERE ref_date='${ref_date}' AND nome_perimetro='Individual Corporativo' AND segmento='ESTR' AND ambito='PM' AND entidade='00100')Y ON X.ENTTY_ID=Y.ENTTY_ID_SIMUL</v>
      </c>
      <c r="M85" s="36" t="str">
        <f t="shared" si="1"/>
        <v>UNION ALL SELECT 'ENTITY' AS TABELA, 'COERÊNCIA' AS TIPOLOGIA_TESTE,'CD_LOAN_TAPES_BCE.LT003_ENTITY' AS TABELA_LT,'BU_LOANTAPE_WORK.LT003_ENTITY' AS TABELA_SIMUL,'DBT_RPYMNT_CPCTY_TTL' AS CAMPO, '${ref_date}' AS REF_DATE, COUNT(*) AS NUM_REG, SUM(IF(COALESCE(CAST(X.DBT_RPYMNT_CPCTY_TTL AS STRING),'')&lt;&gt;COALESCE(CAST(Y.DBT_RPYMNT_CPCTY_TTL_SIMUL AS STRING),'') OR (X.DBT_RPYMNT_CPCTY_TTL IS NULL AND Y.DBT_RPYMNT_CPCTY_TTL_SIMUL IS NOT NULL ) OR (X.DBT_RPYMNT_CPCTY_TTL IS NOT NULL AND Y.DBT_RPYMNT_CPCTY_TTL_SIMUL IS NULL),1,0)) AS NUM_REG_DIF,'1' AS ID_EXEC, CURRENT_TIMESTAMP() AS TIME_EXEC FROM (SELECT entty_id, DBT_RPYMNT_CPCTY_TTL FROM CD_LOAN_TAPES_BCE.LT003_ENTITY WHERE ref_date='${ref_date}' AND nome_perimetro='Individual Corporativo' AND segmento='ESTR' AND ambito='PM' AND entidade='00100')X INNER JOIN (SELECT entty_id AS entty_id_SIMUL, DBT_RPYMNT_CPCTY_TTL AS DBT_RPYMNT_CPCTY_TTL_SIMUL FROM BU_LOANTAPE_WORK.LT003_ENTITY WHERE ref_date='${ref_date}' AND nome_perimetro='Individual Corporativo' AND segmento='ESTR' AND ambito='PM' AND entidade='00100')Y ON X.ENTTY_ID=Y.ENTTY_ID_SIMUL</v>
      </c>
      <c r="N85" s="38" t="s">
        <v>46</v>
      </c>
    </row>
    <row r="86" spans="2:14">
      <c r="B86" s="34" t="s">
        <v>127</v>
      </c>
      <c r="C86" s="34" t="s">
        <v>5</v>
      </c>
      <c r="D86" s="34" t="str">
        <f>+UPPER('0. Instruções'!$D$35&amp;"."&amp;VLOOKUP(B86,'0. Instruções'!$C$27:$D$32,2,FALSE))</f>
        <v>CD_LOAN_TAPES_BCE.LT003_ENTITY</v>
      </c>
      <c r="E86" s="34" t="str">
        <f>+UPPER('0. Instruções'!$D$36&amp;"."&amp;VLOOKUP(B86,'0. Instruções'!$C$27:$E$32,3,FALSE))</f>
        <v>BU_LOANTAPE_WORK.LT003_ENTITY</v>
      </c>
      <c r="F86" s="34" t="s">
        <v>392</v>
      </c>
      <c r="G86" s="34"/>
      <c r="H86" s="34" t="s">
        <v>91</v>
      </c>
      <c r="I86" s="34" t="str">
        <f>"(SELECT "&amp;VLOOKUP(B86,'0. Instruções'!$C$27:$G$32,4,FALSE)&amp;", "&amp;F86&amp;" FROM "&amp;D86&amp;" WHERE "&amp;'0. Instruções'!$D$42&amp;")X"</f>
        <v>(SELECT entty_id, DBT_SRVC_RT FROM CD_LOAN_TAPES_BCE.LT003_ENTITY WHERE ref_date='${ref_date}' AND nome_perimetro='Individual Corporativo' AND segmento='ESTR' AND ambito='PM' AND entidade='00100')X</v>
      </c>
      <c r="J86" s="34" t="str">
        <f>"(SELECT "&amp;VLOOKUP(B86,'0. Instruções'!$C$27:$G$32,4,FALSE)&amp;" AS "&amp;VLOOKUP(B86,'0. Instruções'!$C$27:$G$32,4,FALSE)&amp;"_SIMUL, "&amp;F86&amp;" AS "&amp;F86&amp;"_SIMUL FROM "&amp;E86&amp;" WHERE "&amp;'0. Instruções'!$D$43&amp;")Y"</f>
        <v>(SELECT entty_id AS entty_id_SIMUL, DBT_SRVC_RT AS DBT_SRVC_RT_SIMUL FROM BU_LOANTAPE_WORK.LT003_ENTITY WHERE ref_date='${ref_date}' AND nome_perimetro='Individual Corporativo' AND segmento='ESTR' AND ambito='PM' AND entidade='00100')Y</v>
      </c>
      <c r="K86" s="35" t="str">
        <f>+UPPER("ON X."&amp;VLOOKUP(B86,'0. Instruções'!$C$27:$G$32,4,FALSE)&amp;"=Y."&amp;VLOOKUP(B86,'0. Instruções'!$C$27:$G$32,4,FALSE)&amp;"_SIMUL")</f>
        <v>ON X.ENTTY_ID=Y.ENTTY_ID_SIMUL</v>
      </c>
      <c r="L86" s="35" t="str">
        <f>+IF(C86="Coerência", +IF(LEFT(G86,5)="FLOAT","SELECT '"&amp;UPPER(B86)&amp;"' AS TABELA, '"&amp;UPPER(C86)&amp;"' AS TIPOLOGIA_TESTE,'"&amp;D86&amp;"' AS TABELA_LT,'"&amp;E86&amp;"' AS TABELA_SIMUL,'"&amp;F86&amp;"' AS CAMPO, "&amp;"'${ref_date}' AS REF_DATE, COUNT(*) AS NUM_REG, SUM(IF((ABS(COALESCE(CAST(X."&amp;F86&amp;" AS DECIMAL(18,6)),0)-COALESCE(CAST(Y."&amp;F86&amp;"_SIMUL AS DECIMAL(18,6)),0))&gt;0.000001) OR (X."&amp;F86&amp;" IS NULL AND Y."&amp;F86&amp;"_SIMUL IS NOT NULL ) OR (X."&amp;F86&amp;" IS NOT NULL AND Y."&amp;F86&amp;"_SIMUL IS NULL),1,0)) AS NUM_REG_DIF,'"&amp;MAX('ID1&amp;5'!K:K)+1&amp;"' AS ID_EXEC, CURRENT_TIMESTAMP() AS TIME_EXEC FROM "&amp;I86&amp;" INNER JOIN "&amp;J86&amp;" "&amp;K86,"SELECT '"&amp;UPPER(B86)&amp;"' AS TABELA, '"&amp;UPPER(C86)&amp;"' AS TIPOLOGIA_TESTE,'"&amp;D86&amp;"' AS TABELA_LT,'"&amp;E86&amp;"' AS TABELA_SIMUL,'"&amp;F86&amp;"' AS CAMPO, "&amp;"'${ref_date}' AS REF_DATE, COUNT(*) AS NUM_REG, SUM(IF(COALESCE(CAST(X."&amp;F86&amp;" AS STRING),'')&lt;&gt;COALESCE(CAST(Y."&amp;F86&amp;"_SIMUL AS STRING),'') OR (X."&amp;F86&amp;" IS NULL AND Y."&amp;F86&amp;"_SIMUL IS NOT NULL ) OR (X."&amp;F86&amp;" IS NOT NULL AND Y."&amp;F86&amp;"_SIMUL IS NULL),1,0)) AS NUM_REG_DIF,'"&amp;MAX('ID1&amp;5'!L:L)+1&amp;"' AS ID_EXEC, CURRENT_TIMESTAMP() AS TIME_EXEC FROM "&amp;I86&amp;" INNER JOIN "&amp;J86&amp;" "&amp;K86),
IF(C86="Validade",+IF(G86="Code List","SELECT '"&amp;UPPER(B86)&amp;"' AS TABELA, '"&amp;UPPER(C86)&amp;"' AS TIPOLOGIA_TESTE,'"&amp;D86&amp;"' AS TABELA_LT,'N/A' AS TABELA_SIMUL,'"&amp;F86&amp;"' AS CAMPO, "&amp;"'${ref_date}' AS REF_DATE, COUNT(*) AS NUM_REG, SUM(IF(TRIM(CAST(X."&amp;F86&amp;" AS STRING))='' OR TRIM(CAST(X."&amp;F86&amp;" AS STRING)) IS NULL OR CAST(X."&amp;F86&amp;" AS STRING) NOT "&amp;H86&amp;",1,0)) AS NUM_REG_DIF,'"&amp;MAX('ID1&amp;5'!K:K)+1&amp;"' AS ID_EXEC, CURRENT_TIMESTAMP() AS TIME_EXEC FROM "&amp;I86,"SELECT '"&amp;UPPER(B86)&amp;"' AS TABELA, '"&amp;UPPER(C86)&amp;"' AS TIPOLOGIA_TESTE,'"&amp;D86&amp;"' AS TABELA_LT,'N/A' AS TABELA_SIMUL,'"&amp;F86&amp;"' AS CAMPO, "&amp;"'${ref_date}' AS REF_DATE, COUNT(*) AS NUM_REG, SUM(IF(TRIM(CAST(X."&amp;F86&amp;" AS STRING))='' OR TRIM(CAST(X."&amp;F86&amp;" AS STRING)) IS NULL,1,0)) AS NUM_REG_DIF,'"&amp;MAX('ID1&amp;5'!K:K)+1&amp;"' AS ID_EXEC, CURRENT_TIMESTAMP() AS TIME_EXEC FROM "&amp;I86),
IF(C86="Caracteres Especiais",+"SELECT '"&amp;UPPER(B86)&amp;"' AS TABELA, '"&amp;UPPER(C86)&amp;"' AS TIPOLOGIA_TESTE,'"&amp;D86&amp;"' AS TABELA_LT,'N/A' AS TABELA_SIMUL,'"&amp;F86&amp;"' AS CAMPO, "&amp;"'${ref_date}' AS REF_DATE, COUNT(*) AS NUM_REG, SUM(IF(REGEXP_REPLACE(TRIM(CAST(X."&amp;F86&amp;" AS STRING)),'[^a-zA-Z0-9_\\s]','') &lt;&gt;TRIM(CAST(X."&amp;F86&amp;" AS STRING)),1,0)) AS NUM_REG_DIF,'"&amp;MAX('ID1&amp;5'!K:K)+1&amp;"' AS ID_EXEC, CURRENT_TIMESTAMP() AS TIME_EXEC FROM "&amp;I86,
IF(C86="Missings",+"SELECT '"&amp;UPPER(B86)&amp;"' AS TABELA, '"&amp;UPPER(C86)&amp;"' AS TIPOLOGIA_TESTE,'"&amp;D86&amp;"' AS TABELA_LT,'N/A' AS TABELA_SIMUL,'"&amp;F86&amp;"' AS CAMPO, "&amp;"'${ref_date}' AS REF_DATE, COUNT(*) AS NUM_REG, SUM(IF(TRIM(CAST(X."&amp;F86&amp;" AS STRING)) IN ('0000-00-00','0001-01-01','9999-12-31','MISS','00000','99999999999','99999999999.00','99999999999.000000'),1,0)) AS NUM_REG_DIF,'"&amp;MAX('ID1&amp;5'!K:K)+1&amp;"' AS ID_EXEC, CURRENT_TIMESTAMP() AS TIME_EXEC FROM "&amp;I86,
IF(C86="Not applicable",+"SELECT '"&amp;UPPER(B86)&amp;"' AS TABELA, '"&amp;UPPER(C86)&amp;"' AS TIPOLOGIA_TESTE,'"&amp;D86&amp;"' AS TABELA_LT,'N/A' AS TABELA_SIMUL,'"&amp;F86&amp;"' AS CAMPO, "&amp;"'${ref_date}' AS REF_DATE, COUNT(*) AS NUM_REG, SUM(IF(TRIM(CAST(X."&amp;F86&amp;" AS STRING)) IN ('N/A','11111111111','11111111111.00','11111111111.000000','1111-11-11'),1,0)) AS NUM_REG_DIF,'"&amp;MAX('ID1&amp;5'!K:K)+1&amp;"' AS ID_EXEC, CURRENT_TIMESTAMP() AS TIME_EXEC FROM "&amp;I86,
IF(C86="Valores extremos",+"SELECT '"&amp;UPPER(B86)&amp;"' AS TABELA, '"&amp;UPPER(C86)&amp;"' AS TIPOLOGIA_TESTE,'"&amp;D86&amp;"' AS TABELA_LT,'N/A' AS TABELA_SIMUL,'"&amp;F86&amp;"' AS CAMPO, "&amp;"'${ref_date}' AS REF_DATE, CAST(MIN("&amp;F86&amp;") AS STRING) AS VALOR_MIN, CAST(MAX("&amp;F86&amp;") AS STRING) AS VALOR_MAX,'"&amp;MAX('ID1&amp;5'!K:K)+1&amp;"' AS ID_EXEC, CURRENT_TIMESTAMP() AS TIME_EXEC FROM "&amp;MID(I86,1,LEN(I86)-2)&amp;" AND CAST("&amp;F86&amp;"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TABELA_SIMUL,'DBT_SRVC_RT' AS CAMPO, '${ref_date}' AS REF_DATE, COUNT(*) AS NUM_REG, SUM(IF(COALESCE(CAST(X.DBT_SRVC_RT AS STRING),'')&lt;&gt;COALESCE(CAST(Y.DBT_SRVC_RT_SIMUL AS STRING),'') OR (X.DBT_SRVC_RT IS NULL AND Y.DBT_SRVC_RT_SIMUL IS NOT NULL ) OR (X.DBT_SRVC_RT IS NOT NULL AND Y.DBT_SRVC_RT_SIMUL IS NULL),1,0)) AS NUM_REG_DIF,'1' AS ID_EXEC, CURRENT_TIMESTAMP() AS TIME_EXEC FROM (SELECT entty_id, DBT_SRVC_RT FROM CD_LOAN_TAPES_BCE.LT003_ENTITY WHERE ref_date='${ref_date}' AND nome_perimetro='Individual Corporativo' AND segmento='ESTR' AND ambito='PM' AND entidade='00100')X INNER JOIN (SELECT entty_id AS entty_id_SIMUL, DBT_SRVC_RT AS DBT_SRVC_RT_SIMUL FROM BU_LOANTAPE_WORK.LT003_ENTITY WHERE ref_date='${ref_date}' AND nome_perimetro='Individual Corporativo' AND segmento='ESTR' AND ambito='PM' AND entidade='00100')Y ON X.ENTTY_ID=Y.ENTTY_ID_SIMUL</v>
      </c>
      <c r="M86" s="36" t="str">
        <f t="shared" si="1"/>
        <v>UNION ALL SELECT 'ENTITY' AS TABELA, 'COERÊNCIA' AS TIPOLOGIA_TESTE,'CD_LOAN_TAPES_BCE.LT003_ENTITY' AS TABELA_LT,'BU_LOANTAPE_WORK.LT003_ENTITY' AS TABELA_SIMUL,'DBT_SRVC_RT' AS CAMPO, '${ref_date}' AS REF_DATE, COUNT(*) AS NUM_REG, SUM(IF(COALESCE(CAST(X.DBT_SRVC_RT AS STRING),'')&lt;&gt;COALESCE(CAST(Y.DBT_SRVC_RT_SIMUL AS STRING),'') OR (X.DBT_SRVC_RT IS NULL AND Y.DBT_SRVC_RT_SIMUL IS NOT NULL ) OR (X.DBT_SRVC_RT IS NOT NULL AND Y.DBT_SRVC_RT_SIMUL IS NULL),1,0)) AS NUM_REG_DIF,'1' AS ID_EXEC, CURRENT_TIMESTAMP() AS TIME_EXEC FROM (SELECT entty_id, DBT_SRVC_RT FROM CD_LOAN_TAPES_BCE.LT003_ENTITY WHERE ref_date='${ref_date}' AND nome_perimetro='Individual Corporativo' AND segmento='ESTR' AND ambito='PM' AND entidade='00100')X INNER JOIN (SELECT entty_id AS entty_id_SIMUL, DBT_SRVC_RT AS DBT_SRVC_RT_SIMUL FROM BU_LOANTAPE_WORK.LT003_ENTITY WHERE ref_date='${ref_date}' AND nome_perimetro='Individual Corporativo' AND segmento='ESTR' AND ambito='PM' AND entidade='00100')Y ON X.ENTTY_ID=Y.ENTTY_ID_SIMUL</v>
      </c>
      <c r="N86" s="38" t="s">
        <v>46</v>
      </c>
    </row>
    <row r="87" spans="2:14">
      <c r="B87" s="34" t="s">
        <v>127</v>
      </c>
      <c r="C87" s="34" t="s">
        <v>5</v>
      </c>
      <c r="D87" s="34" t="str">
        <f>+UPPER('0. Instruções'!$D$35&amp;"."&amp;VLOOKUP(B87,'0. Instruções'!$C$27:$D$32,2,FALSE))</f>
        <v>CD_LOAN_TAPES_BCE.LT003_ENTITY</v>
      </c>
      <c r="E87" s="34" t="str">
        <f>+UPPER('0. Instruções'!$D$36&amp;"."&amp;VLOOKUP(B87,'0. Instruções'!$C$27:$E$32,3,FALSE))</f>
        <v>BU_LOANTAPE_WORK.LT003_ENTITY</v>
      </c>
      <c r="F87" s="34" t="s">
        <v>393</v>
      </c>
      <c r="G87" s="34"/>
      <c r="H87" s="34" t="s">
        <v>91</v>
      </c>
      <c r="I87" s="34" t="str">
        <f>"(SELECT "&amp;VLOOKUP(B87,'0. Instruções'!$C$27:$G$32,4,FALSE)&amp;", "&amp;F87&amp;" FROM "&amp;D87&amp;" WHERE "&amp;'0. Instruções'!$D$42&amp;")X"</f>
        <v>(SELECT entty_id, DBT_SRVC_RT_12M FROM CD_LOAN_TAPES_BCE.LT003_ENTITY WHERE ref_date='${ref_date}' AND nome_perimetro='Individual Corporativo' AND segmento='ESTR' AND ambito='PM' AND entidade='00100')X</v>
      </c>
      <c r="J87" s="34" t="str">
        <f>"(SELECT "&amp;VLOOKUP(B87,'0. Instruções'!$C$27:$G$32,4,FALSE)&amp;" AS "&amp;VLOOKUP(B87,'0. Instruções'!$C$27:$G$32,4,FALSE)&amp;"_SIMUL, "&amp;F87&amp;" AS "&amp;F87&amp;"_SIMUL FROM "&amp;E87&amp;" WHERE "&amp;'0. Instruções'!$D$43&amp;")Y"</f>
        <v>(SELECT entty_id AS entty_id_SIMUL, DBT_SRVC_RT_12M AS DBT_SRVC_RT_12M_SIMUL FROM BU_LOANTAPE_WORK.LT003_ENTITY WHERE ref_date='${ref_date}' AND nome_perimetro='Individual Corporativo' AND segmento='ESTR' AND ambito='PM' AND entidade='00100')Y</v>
      </c>
      <c r="K87" s="35" t="str">
        <f>+UPPER("ON X."&amp;VLOOKUP(B87,'0. Instruções'!$C$27:$G$32,4,FALSE)&amp;"=Y."&amp;VLOOKUP(B87,'0. Instruções'!$C$27:$G$32,4,FALSE)&amp;"_SIMUL")</f>
        <v>ON X.ENTTY_ID=Y.ENTTY_ID_SIMUL</v>
      </c>
      <c r="L87" s="35" t="str">
        <f>+IF(C87="Coerência", +IF(LEFT(G87,5)="FLOAT","SELECT '"&amp;UPPER(B87)&amp;"' AS TABELA, '"&amp;UPPER(C87)&amp;"' AS TIPOLOGIA_TESTE,'"&amp;D87&amp;"' AS TABELA_LT,'"&amp;E87&amp;"' AS TABELA_SIMUL,'"&amp;F87&amp;"' AS CAMPO, "&amp;"'${ref_date}' AS REF_DATE, COUNT(*) AS NUM_REG, SUM(IF((ABS(COALESCE(CAST(X."&amp;F87&amp;" AS DECIMAL(18,6)),0)-COALESCE(CAST(Y."&amp;F87&amp;"_SIMUL AS DECIMAL(18,6)),0))&gt;0.000001) OR (X."&amp;F87&amp;" IS NULL AND Y."&amp;F87&amp;"_SIMUL IS NOT NULL ) OR (X."&amp;F87&amp;" IS NOT NULL AND Y."&amp;F87&amp;"_SIMUL IS NULL),1,0)) AS NUM_REG_DIF,'"&amp;MAX('ID1&amp;5'!K:K)+1&amp;"' AS ID_EXEC, CURRENT_TIMESTAMP() AS TIME_EXEC FROM "&amp;I87&amp;" INNER JOIN "&amp;J87&amp;" "&amp;K87,"SELECT '"&amp;UPPER(B87)&amp;"' AS TABELA, '"&amp;UPPER(C87)&amp;"' AS TIPOLOGIA_TESTE,'"&amp;D87&amp;"' AS TABELA_LT,'"&amp;E87&amp;"' AS TABELA_SIMUL,'"&amp;F87&amp;"' AS CAMPO, "&amp;"'${ref_date}' AS REF_DATE, COUNT(*) AS NUM_REG, SUM(IF(COALESCE(CAST(X."&amp;F87&amp;" AS STRING),'')&lt;&gt;COALESCE(CAST(Y."&amp;F87&amp;"_SIMUL AS STRING),'') OR (X."&amp;F87&amp;" IS NULL AND Y."&amp;F87&amp;"_SIMUL IS NOT NULL ) OR (X."&amp;F87&amp;" IS NOT NULL AND Y."&amp;F87&amp;"_SIMUL IS NULL),1,0)) AS NUM_REG_DIF,'"&amp;MAX('ID1&amp;5'!L:L)+1&amp;"' AS ID_EXEC, CURRENT_TIMESTAMP() AS TIME_EXEC FROM "&amp;I87&amp;" INNER JOIN "&amp;J87&amp;" "&amp;K87),
IF(C87="Validade",+IF(G87="Code List","SELECT '"&amp;UPPER(B87)&amp;"' AS TABELA, '"&amp;UPPER(C87)&amp;"' AS TIPOLOGIA_TESTE,'"&amp;D87&amp;"' AS TABELA_LT,'N/A' AS TABELA_SIMUL,'"&amp;F87&amp;"' AS CAMPO, "&amp;"'${ref_date}' AS REF_DATE, COUNT(*) AS NUM_REG, SUM(IF(TRIM(CAST(X."&amp;F87&amp;" AS STRING))='' OR TRIM(CAST(X."&amp;F87&amp;" AS STRING)) IS NULL OR CAST(X."&amp;F87&amp;" AS STRING) NOT "&amp;H87&amp;",1,0)) AS NUM_REG_DIF,'"&amp;MAX('ID1&amp;5'!K:K)+1&amp;"' AS ID_EXEC, CURRENT_TIMESTAMP() AS TIME_EXEC FROM "&amp;I87,"SELECT '"&amp;UPPER(B87)&amp;"' AS TABELA, '"&amp;UPPER(C87)&amp;"' AS TIPOLOGIA_TESTE,'"&amp;D87&amp;"' AS TABELA_LT,'N/A' AS TABELA_SIMUL,'"&amp;F87&amp;"' AS CAMPO, "&amp;"'${ref_date}' AS REF_DATE, COUNT(*) AS NUM_REG, SUM(IF(TRIM(CAST(X."&amp;F87&amp;" AS STRING))='' OR TRIM(CAST(X."&amp;F87&amp;" AS STRING)) IS NULL,1,0)) AS NUM_REG_DIF,'"&amp;MAX('ID1&amp;5'!K:K)+1&amp;"' AS ID_EXEC, CURRENT_TIMESTAMP() AS TIME_EXEC FROM "&amp;I87),
IF(C87="Caracteres Especiais",+"SELECT '"&amp;UPPER(B87)&amp;"' AS TABELA, '"&amp;UPPER(C87)&amp;"' AS TIPOLOGIA_TESTE,'"&amp;D87&amp;"' AS TABELA_LT,'N/A' AS TABELA_SIMUL,'"&amp;F87&amp;"' AS CAMPO, "&amp;"'${ref_date}' AS REF_DATE, COUNT(*) AS NUM_REG, SUM(IF(REGEXP_REPLACE(TRIM(CAST(X."&amp;F87&amp;" AS STRING)),'[^a-zA-Z0-9_\\s]','') &lt;&gt;TRIM(CAST(X."&amp;F87&amp;" AS STRING)),1,0)) AS NUM_REG_DIF,'"&amp;MAX('ID1&amp;5'!K:K)+1&amp;"' AS ID_EXEC, CURRENT_TIMESTAMP() AS TIME_EXEC FROM "&amp;I87,
IF(C87="Missings",+"SELECT '"&amp;UPPER(B87)&amp;"' AS TABELA, '"&amp;UPPER(C87)&amp;"' AS TIPOLOGIA_TESTE,'"&amp;D87&amp;"' AS TABELA_LT,'N/A' AS TABELA_SIMUL,'"&amp;F87&amp;"' AS CAMPO, "&amp;"'${ref_date}' AS REF_DATE, COUNT(*) AS NUM_REG, SUM(IF(TRIM(CAST(X."&amp;F87&amp;" AS STRING)) IN ('0000-00-00','0001-01-01','9999-12-31','MISS','00000','99999999999','99999999999.00','99999999999.000000'),1,0)) AS NUM_REG_DIF,'"&amp;MAX('ID1&amp;5'!K:K)+1&amp;"' AS ID_EXEC, CURRENT_TIMESTAMP() AS TIME_EXEC FROM "&amp;I87,
IF(C87="Not applicable",+"SELECT '"&amp;UPPER(B87)&amp;"' AS TABELA, '"&amp;UPPER(C87)&amp;"' AS TIPOLOGIA_TESTE,'"&amp;D87&amp;"' AS TABELA_LT,'N/A' AS TABELA_SIMUL,'"&amp;F87&amp;"' AS CAMPO, "&amp;"'${ref_date}' AS REF_DATE, COUNT(*) AS NUM_REG, SUM(IF(TRIM(CAST(X."&amp;F87&amp;" AS STRING)) IN ('N/A','11111111111','11111111111.00','11111111111.000000','1111-11-11'),1,0)) AS NUM_REG_DIF,'"&amp;MAX('ID1&amp;5'!K:K)+1&amp;"' AS ID_EXEC, CURRENT_TIMESTAMP() AS TIME_EXEC FROM "&amp;I87,
IF(C87="Valores extremos",+"SELECT '"&amp;UPPER(B87)&amp;"' AS TABELA, '"&amp;UPPER(C87)&amp;"' AS TIPOLOGIA_TESTE,'"&amp;D87&amp;"' AS TABELA_LT,'N/A' AS TABELA_SIMUL,'"&amp;F87&amp;"' AS CAMPO, "&amp;"'${ref_date}' AS REF_DATE, CAST(MIN("&amp;F87&amp;") AS STRING) AS VALOR_MIN, CAST(MAX("&amp;F87&amp;") AS STRING) AS VALOR_MAX,'"&amp;MAX('ID1&amp;5'!K:K)+1&amp;"' AS ID_EXEC, CURRENT_TIMESTAMP() AS TIME_EXEC FROM "&amp;MID(I87,1,LEN(I87)-2)&amp;" AND CAST("&amp;F87&amp;"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TABELA_SIMUL,'DBT_SRVC_RT_12M' AS CAMPO, '${ref_date}' AS REF_DATE, COUNT(*) AS NUM_REG, SUM(IF(COALESCE(CAST(X.DBT_SRVC_RT_12M AS STRING),'')&lt;&gt;COALESCE(CAST(Y.DBT_SRVC_RT_12M_SIMUL AS STRING),'') OR (X.DBT_SRVC_RT_12M IS NULL AND Y.DBT_SRVC_RT_12M_SIMUL IS NOT NULL ) OR (X.DBT_SRVC_RT_12M IS NOT NULL AND Y.DBT_SRVC_RT_12M_SIMUL IS NULL),1,0)) AS NUM_REG_DIF,'1' AS ID_EXEC, CURRENT_TIMESTAMP() AS TIME_EXEC FROM (SELECT entty_id, DBT_SRVC_RT_12M FROM CD_LOAN_TAPES_BCE.LT003_ENTITY WHERE ref_date='${ref_date}' AND nome_perimetro='Individual Corporativo' AND segmento='ESTR' AND ambito='PM' AND entidade='00100')X INNER JOIN (SELECT entty_id AS entty_id_SIMUL, DBT_SRVC_RT_12M AS DBT_SRVC_RT_12M_SIMUL FROM BU_LOANTAPE_WORK.LT003_ENTITY WHERE ref_date='${ref_date}' AND nome_perimetro='Individual Corporativo' AND segmento='ESTR' AND ambito='PM' AND entidade='00100')Y ON X.ENTTY_ID=Y.ENTTY_ID_SIMUL</v>
      </c>
      <c r="M87" s="36" t="str">
        <f t="shared" si="1"/>
        <v>UNION ALL SELECT 'ENTITY' AS TABELA, 'COERÊNCIA' AS TIPOLOGIA_TESTE,'CD_LOAN_TAPES_BCE.LT003_ENTITY' AS TABELA_LT,'BU_LOANTAPE_WORK.LT003_ENTITY' AS TABELA_SIMUL,'DBT_SRVC_RT_12M' AS CAMPO, '${ref_date}' AS REF_DATE, COUNT(*) AS NUM_REG, SUM(IF(COALESCE(CAST(X.DBT_SRVC_RT_12M AS STRING),'')&lt;&gt;COALESCE(CAST(Y.DBT_SRVC_RT_12M_SIMUL AS STRING),'') OR (X.DBT_SRVC_RT_12M IS NULL AND Y.DBT_SRVC_RT_12M_SIMUL IS NOT NULL ) OR (X.DBT_SRVC_RT_12M IS NOT NULL AND Y.DBT_SRVC_RT_12M_SIMUL IS NULL),1,0)) AS NUM_REG_DIF,'1' AS ID_EXEC, CURRENT_TIMESTAMP() AS TIME_EXEC FROM (SELECT entty_id, DBT_SRVC_RT_12M FROM CD_LOAN_TAPES_BCE.LT003_ENTITY WHERE ref_date='${ref_date}' AND nome_perimetro='Individual Corporativo' AND segmento='ESTR' AND ambito='PM' AND entidade='00100')X INNER JOIN (SELECT entty_id AS entty_id_SIMUL, DBT_SRVC_RT_12M AS DBT_SRVC_RT_12M_SIMUL FROM BU_LOANTAPE_WORK.LT003_ENTITY WHERE ref_date='${ref_date}' AND nome_perimetro='Individual Corporativo' AND segmento='ESTR' AND ambito='PM' AND entidade='00100')Y ON X.ENTTY_ID=Y.ENTTY_ID_SIMUL</v>
      </c>
      <c r="N87" s="38" t="s">
        <v>46</v>
      </c>
    </row>
    <row r="88" spans="2:14">
      <c r="B88" s="34" t="s">
        <v>127</v>
      </c>
      <c r="C88" s="34" t="s">
        <v>5</v>
      </c>
      <c r="D88" s="34" t="str">
        <f>+UPPER('0. Instruções'!$D$35&amp;"."&amp;VLOOKUP(B88,'0. Instruções'!$C$27:$D$32,2,FALSE))</f>
        <v>CD_LOAN_TAPES_BCE.LT003_ENTITY</v>
      </c>
      <c r="E88" s="34" t="str">
        <f>+UPPER('0. Instruções'!$D$36&amp;"."&amp;VLOOKUP(B88,'0. Instruções'!$C$27:$E$32,3,FALSE))</f>
        <v>BU_LOANTAPE_WORK.LT003_ENTITY</v>
      </c>
      <c r="F88" s="34" t="s">
        <v>394</v>
      </c>
      <c r="G88" s="34"/>
      <c r="H88" s="34" t="s">
        <v>91</v>
      </c>
      <c r="I88" s="34" t="str">
        <f>"(SELECT "&amp;VLOOKUP(B88,'0. Instruções'!$C$27:$G$32,4,FALSE)&amp;", "&amp;F88&amp;" FROM "&amp;D88&amp;" WHERE "&amp;'0. Instruções'!$D$42&amp;")X"</f>
        <v>(SELECT entty_id, PD_CRR_RD FROM CD_LOAN_TAPES_BCE.LT003_ENTITY WHERE ref_date='${ref_date}' AND nome_perimetro='Individual Corporativo' AND segmento='ESTR' AND ambito='PM' AND entidade='00100')X</v>
      </c>
      <c r="J88" s="34" t="str">
        <f>"(SELECT "&amp;VLOOKUP(B88,'0. Instruções'!$C$27:$G$32,4,FALSE)&amp;" AS "&amp;VLOOKUP(B88,'0. Instruções'!$C$27:$G$32,4,FALSE)&amp;"_SIMUL, "&amp;F88&amp;" AS "&amp;F88&amp;"_SIMUL FROM "&amp;E88&amp;" WHERE "&amp;'0. Instruções'!$D$43&amp;")Y"</f>
        <v>(SELECT entty_id AS entty_id_SIMUL, PD_CRR_RD AS PD_CRR_RD_SIMUL FROM BU_LOANTAPE_WORK.LT003_ENTITY WHERE ref_date='${ref_date}' AND nome_perimetro='Individual Corporativo' AND segmento='ESTR' AND ambito='PM' AND entidade='00100')Y</v>
      </c>
      <c r="K88" s="35" t="str">
        <f>+UPPER("ON X."&amp;VLOOKUP(B88,'0. Instruções'!$C$27:$G$32,4,FALSE)&amp;"=Y."&amp;VLOOKUP(B88,'0. Instruções'!$C$27:$G$32,4,FALSE)&amp;"_SIMUL")</f>
        <v>ON X.ENTTY_ID=Y.ENTTY_ID_SIMUL</v>
      </c>
      <c r="L88" s="35" t="str">
        <f>+IF(C88="Coerência", +IF(LEFT(G88,5)="FLOAT","SELECT '"&amp;UPPER(B88)&amp;"' AS TABELA, '"&amp;UPPER(C88)&amp;"' AS TIPOLOGIA_TESTE,'"&amp;D88&amp;"' AS TABELA_LT,'"&amp;E88&amp;"' AS TABELA_SIMUL,'"&amp;F88&amp;"' AS CAMPO, "&amp;"'${ref_date}' AS REF_DATE, COUNT(*) AS NUM_REG, SUM(IF((ABS(COALESCE(CAST(X."&amp;F88&amp;" AS DECIMAL(18,6)),0)-COALESCE(CAST(Y."&amp;F88&amp;"_SIMUL AS DECIMAL(18,6)),0))&gt;0.000001) OR (X."&amp;F88&amp;" IS NULL AND Y."&amp;F88&amp;"_SIMUL IS NOT NULL ) OR (X."&amp;F88&amp;" IS NOT NULL AND Y."&amp;F88&amp;"_SIMUL IS NULL),1,0)) AS NUM_REG_DIF,'"&amp;MAX('ID1&amp;5'!K:K)+1&amp;"' AS ID_EXEC, CURRENT_TIMESTAMP() AS TIME_EXEC FROM "&amp;I88&amp;" INNER JOIN "&amp;J88&amp;" "&amp;K88,"SELECT '"&amp;UPPER(B88)&amp;"' AS TABELA, '"&amp;UPPER(C88)&amp;"' AS TIPOLOGIA_TESTE,'"&amp;D88&amp;"' AS TABELA_LT,'"&amp;E88&amp;"' AS TABELA_SIMUL,'"&amp;F88&amp;"' AS CAMPO, "&amp;"'${ref_date}' AS REF_DATE, COUNT(*) AS NUM_REG, SUM(IF(COALESCE(CAST(X."&amp;F88&amp;" AS STRING),'')&lt;&gt;COALESCE(CAST(Y."&amp;F88&amp;"_SIMUL AS STRING),'') OR (X."&amp;F88&amp;" IS NULL AND Y."&amp;F88&amp;"_SIMUL IS NOT NULL ) OR (X."&amp;F88&amp;" IS NOT NULL AND Y."&amp;F88&amp;"_SIMUL IS NULL),1,0)) AS NUM_REG_DIF,'"&amp;MAX('ID1&amp;5'!L:L)+1&amp;"' AS ID_EXEC, CURRENT_TIMESTAMP() AS TIME_EXEC FROM "&amp;I88&amp;" INNER JOIN "&amp;J88&amp;" "&amp;K88),
IF(C88="Validade",+IF(G88="Code List","SELECT '"&amp;UPPER(B88)&amp;"' AS TABELA, '"&amp;UPPER(C88)&amp;"' AS TIPOLOGIA_TESTE,'"&amp;D88&amp;"' AS TABELA_LT,'N/A' AS TABELA_SIMUL,'"&amp;F88&amp;"' AS CAMPO, "&amp;"'${ref_date}' AS REF_DATE, COUNT(*) AS NUM_REG, SUM(IF(TRIM(CAST(X."&amp;F88&amp;" AS STRING))='' OR TRIM(CAST(X."&amp;F88&amp;" AS STRING)) IS NULL OR CAST(X."&amp;F88&amp;" AS STRING) NOT "&amp;H88&amp;",1,0)) AS NUM_REG_DIF,'"&amp;MAX('ID1&amp;5'!K:K)+1&amp;"' AS ID_EXEC, CURRENT_TIMESTAMP() AS TIME_EXEC FROM "&amp;I88,"SELECT '"&amp;UPPER(B88)&amp;"' AS TABELA, '"&amp;UPPER(C88)&amp;"' AS TIPOLOGIA_TESTE,'"&amp;D88&amp;"' AS TABELA_LT,'N/A' AS TABELA_SIMUL,'"&amp;F88&amp;"' AS CAMPO, "&amp;"'${ref_date}' AS REF_DATE, COUNT(*) AS NUM_REG, SUM(IF(TRIM(CAST(X."&amp;F88&amp;" AS STRING))='' OR TRIM(CAST(X."&amp;F88&amp;" AS STRING)) IS NULL,1,0)) AS NUM_REG_DIF,'"&amp;MAX('ID1&amp;5'!K:K)+1&amp;"' AS ID_EXEC, CURRENT_TIMESTAMP() AS TIME_EXEC FROM "&amp;I88),
IF(C88="Caracteres Especiais",+"SELECT '"&amp;UPPER(B88)&amp;"' AS TABELA, '"&amp;UPPER(C88)&amp;"' AS TIPOLOGIA_TESTE,'"&amp;D88&amp;"' AS TABELA_LT,'N/A' AS TABELA_SIMUL,'"&amp;F88&amp;"' AS CAMPO, "&amp;"'${ref_date}' AS REF_DATE, COUNT(*) AS NUM_REG, SUM(IF(REGEXP_REPLACE(TRIM(CAST(X."&amp;F88&amp;" AS STRING)),'[^a-zA-Z0-9_\\s]','') &lt;&gt;TRIM(CAST(X."&amp;F88&amp;" AS STRING)),1,0)) AS NUM_REG_DIF,'"&amp;MAX('ID1&amp;5'!K:K)+1&amp;"' AS ID_EXEC, CURRENT_TIMESTAMP() AS TIME_EXEC FROM "&amp;I88,
IF(C88="Missings",+"SELECT '"&amp;UPPER(B88)&amp;"' AS TABELA, '"&amp;UPPER(C88)&amp;"' AS TIPOLOGIA_TESTE,'"&amp;D88&amp;"' AS TABELA_LT,'N/A' AS TABELA_SIMUL,'"&amp;F88&amp;"' AS CAMPO, "&amp;"'${ref_date}' AS REF_DATE, COUNT(*) AS NUM_REG, SUM(IF(TRIM(CAST(X."&amp;F88&amp;" AS STRING)) IN ('0000-00-00','0001-01-01','9999-12-31','MISS','00000','99999999999','99999999999.00','99999999999.000000'),1,0)) AS NUM_REG_DIF,'"&amp;MAX('ID1&amp;5'!K:K)+1&amp;"' AS ID_EXEC, CURRENT_TIMESTAMP() AS TIME_EXEC FROM "&amp;I88,
IF(C88="Not applicable",+"SELECT '"&amp;UPPER(B88)&amp;"' AS TABELA, '"&amp;UPPER(C88)&amp;"' AS TIPOLOGIA_TESTE,'"&amp;D88&amp;"' AS TABELA_LT,'N/A' AS TABELA_SIMUL,'"&amp;F88&amp;"' AS CAMPO, "&amp;"'${ref_date}' AS REF_DATE, COUNT(*) AS NUM_REG, SUM(IF(TRIM(CAST(X."&amp;F88&amp;" AS STRING)) IN ('N/A','11111111111','11111111111.00','11111111111.000000','1111-11-11'),1,0)) AS NUM_REG_DIF,'"&amp;MAX('ID1&amp;5'!K:K)+1&amp;"' AS ID_EXEC, CURRENT_TIMESTAMP() AS TIME_EXEC FROM "&amp;I88,
IF(C88="Valores extremos",+"SELECT '"&amp;UPPER(B88)&amp;"' AS TABELA, '"&amp;UPPER(C88)&amp;"' AS TIPOLOGIA_TESTE,'"&amp;D88&amp;"' AS TABELA_LT,'N/A' AS TABELA_SIMUL,'"&amp;F88&amp;"' AS CAMPO, "&amp;"'${ref_date}' AS REF_DATE, CAST(MIN("&amp;F88&amp;") AS STRING) AS VALOR_MIN, CAST(MAX("&amp;F88&amp;") AS STRING) AS VALOR_MAX,'"&amp;MAX('ID1&amp;5'!K:K)+1&amp;"' AS ID_EXEC, CURRENT_TIMESTAMP() AS TIME_EXEC FROM "&amp;MID(I88,1,LEN(I88)-2)&amp;" AND CAST("&amp;F88&amp;"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TABELA_SIMUL,'PD_CRR_RD' AS CAMPO, '${ref_date}' AS REF_DATE, COUNT(*) AS NUM_REG, SUM(IF(COALESCE(CAST(X.PD_CRR_RD AS STRING),'')&lt;&gt;COALESCE(CAST(Y.PD_CRR_RD_SIMUL AS STRING),'') OR (X.PD_CRR_RD IS NULL AND Y.PD_CRR_RD_SIMUL IS NOT NULL ) OR (X.PD_CRR_RD IS NOT NULL AND Y.PD_CRR_RD_SIMUL IS NULL),1,0)) AS NUM_REG_DIF,'1' AS ID_EXEC, CURRENT_TIMESTAMP() AS TIME_EXEC FROM (SELECT entty_id, PD_CRR_RD FROM CD_LOAN_TAPES_BCE.LT003_ENTITY WHERE ref_date='${ref_date}' AND nome_perimetro='Individual Corporativo' AND segmento='ESTR' AND ambito='PM' AND entidade='00100')X INNER JOIN (SELECT entty_id AS entty_id_SIMUL, PD_CRR_RD AS PD_CRR_RD_SIMUL FROM BU_LOANTAPE_WORK.LT003_ENTITY WHERE ref_date='${ref_date}' AND nome_perimetro='Individual Corporativo' AND segmento='ESTR' AND ambito='PM' AND entidade='00100')Y ON X.ENTTY_ID=Y.ENTTY_ID_SIMUL</v>
      </c>
      <c r="M88" s="36" t="str">
        <f t="shared" si="1"/>
        <v>UNION ALL SELECT 'ENTITY' AS TABELA, 'COERÊNCIA' AS TIPOLOGIA_TESTE,'CD_LOAN_TAPES_BCE.LT003_ENTITY' AS TABELA_LT,'BU_LOANTAPE_WORK.LT003_ENTITY' AS TABELA_SIMUL,'PD_CRR_RD' AS CAMPO, '${ref_date}' AS REF_DATE, COUNT(*) AS NUM_REG, SUM(IF(COALESCE(CAST(X.PD_CRR_RD AS STRING),'')&lt;&gt;COALESCE(CAST(Y.PD_CRR_RD_SIMUL AS STRING),'') OR (X.PD_CRR_RD IS NULL AND Y.PD_CRR_RD_SIMUL IS NOT NULL ) OR (X.PD_CRR_RD IS NOT NULL AND Y.PD_CRR_RD_SIMUL IS NULL),1,0)) AS NUM_REG_DIF,'1' AS ID_EXEC, CURRENT_TIMESTAMP() AS TIME_EXEC FROM (SELECT entty_id, PD_CRR_RD FROM CD_LOAN_TAPES_BCE.LT003_ENTITY WHERE ref_date='${ref_date}' AND nome_perimetro='Individual Corporativo' AND segmento='ESTR' AND ambito='PM' AND entidade='00100')X INNER JOIN (SELECT entty_id AS entty_id_SIMUL, PD_CRR_RD AS PD_CRR_RD_SIMUL FROM BU_LOANTAPE_WORK.LT003_ENTITY WHERE ref_date='${ref_date}' AND nome_perimetro='Individual Corporativo' AND segmento='ESTR' AND ambito='PM' AND entidade='00100')Y ON X.ENTTY_ID=Y.ENTTY_ID_SIMUL</v>
      </c>
      <c r="N88" s="38" t="s">
        <v>46</v>
      </c>
    </row>
    <row r="89" spans="2:14">
      <c r="B89" s="34" t="s">
        <v>127</v>
      </c>
      <c r="C89" s="34" t="s">
        <v>5</v>
      </c>
      <c r="D89" s="34" t="str">
        <f>+UPPER('0. Instruções'!$D$35&amp;"."&amp;VLOOKUP(B89,'0. Instruções'!$C$27:$D$32,2,FALSE))</f>
        <v>CD_LOAN_TAPES_BCE.LT003_ENTITY</v>
      </c>
      <c r="E89" s="34" t="str">
        <f>+UPPER('0. Instruções'!$D$36&amp;"."&amp;VLOOKUP(B89,'0. Instruções'!$C$27:$E$32,3,FALSE))</f>
        <v>BU_LOANTAPE_WORK.LT003_ENTITY</v>
      </c>
      <c r="F89" s="34" t="s">
        <v>395</v>
      </c>
      <c r="G89" s="34"/>
      <c r="H89" s="34" t="s">
        <v>91</v>
      </c>
      <c r="I89" s="34" t="str">
        <f>"(SELECT "&amp;VLOOKUP(B89,'0. Instruções'!$C$27:$G$32,4,FALSE)&amp;", "&amp;F89&amp;" FROM "&amp;D89&amp;" WHERE "&amp;'0. Instruções'!$D$42&amp;")X"</f>
        <v>(SELECT entty_id, PD_IFRS9_12M_RD FROM CD_LOAN_TAPES_BCE.LT003_ENTITY WHERE ref_date='${ref_date}' AND nome_perimetro='Individual Corporativo' AND segmento='ESTR' AND ambito='PM' AND entidade='00100')X</v>
      </c>
      <c r="J89" s="34" t="str">
        <f>"(SELECT "&amp;VLOOKUP(B89,'0. Instruções'!$C$27:$G$32,4,FALSE)&amp;" AS "&amp;VLOOKUP(B89,'0. Instruções'!$C$27:$G$32,4,FALSE)&amp;"_SIMUL, "&amp;F89&amp;" AS "&amp;F89&amp;"_SIMUL FROM "&amp;E89&amp;" WHERE "&amp;'0. Instruções'!$D$43&amp;")Y"</f>
        <v>(SELECT entty_id AS entty_id_SIMUL, PD_IFRS9_12M_RD AS PD_IFRS9_12M_RD_SIMUL FROM BU_LOANTAPE_WORK.LT003_ENTITY WHERE ref_date='${ref_date}' AND nome_perimetro='Individual Corporativo' AND segmento='ESTR' AND ambito='PM' AND entidade='00100')Y</v>
      </c>
      <c r="K89" s="35" t="str">
        <f>+UPPER("ON X."&amp;VLOOKUP(B89,'0. Instruções'!$C$27:$G$32,4,FALSE)&amp;"=Y."&amp;VLOOKUP(B89,'0. Instruções'!$C$27:$G$32,4,FALSE)&amp;"_SIMUL")</f>
        <v>ON X.ENTTY_ID=Y.ENTTY_ID_SIMUL</v>
      </c>
      <c r="L89" s="35" t="str">
        <f>+IF(C89="Coerência", +IF(LEFT(G89,5)="FLOAT","SELECT '"&amp;UPPER(B89)&amp;"' AS TABELA, '"&amp;UPPER(C89)&amp;"' AS TIPOLOGIA_TESTE,'"&amp;D89&amp;"' AS TABELA_LT,'"&amp;E89&amp;"' AS TABELA_SIMUL,'"&amp;F89&amp;"' AS CAMPO, "&amp;"'${ref_date}' AS REF_DATE, COUNT(*) AS NUM_REG, SUM(IF((ABS(COALESCE(CAST(X."&amp;F89&amp;" AS DECIMAL(18,6)),0)-COALESCE(CAST(Y."&amp;F89&amp;"_SIMUL AS DECIMAL(18,6)),0))&gt;0.000001) OR (X."&amp;F89&amp;" IS NULL AND Y."&amp;F89&amp;"_SIMUL IS NOT NULL ) OR (X."&amp;F89&amp;" IS NOT NULL AND Y."&amp;F89&amp;"_SIMUL IS NULL),1,0)) AS NUM_REG_DIF,'"&amp;MAX('ID1&amp;5'!K:K)+1&amp;"' AS ID_EXEC, CURRENT_TIMESTAMP() AS TIME_EXEC FROM "&amp;I89&amp;" INNER JOIN "&amp;J89&amp;" "&amp;K89,"SELECT '"&amp;UPPER(B89)&amp;"' AS TABELA, '"&amp;UPPER(C89)&amp;"' AS TIPOLOGIA_TESTE,'"&amp;D89&amp;"' AS TABELA_LT,'"&amp;E89&amp;"' AS TABELA_SIMUL,'"&amp;F89&amp;"' AS CAMPO, "&amp;"'${ref_date}' AS REF_DATE, COUNT(*) AS NUM_REG, SUM(IF(COALESCE(CAST(X."&amp;F89&amp;" AS STRING),'')&lt;&gt;COALESCE(CAST(Y."&amp;F89&amp;"_SIMUL AS STRING),'') OR (X."&amp;F89&amp;" IS NULL AND Y."&amp;F89&amp;"_SIMUL IS NOT NULL ) OR (X."&amp;F89&amp;" IS NOT NULL AND Y."&amp;F89&amp;"_SIMUL IS NULL),1,0)) AS NUM_REG_DIF,'"&amp;MAX('ID1&amp;5'!L:L)+1&amp;"' AS ID_EXEC, CURRENT_TIMESTAMP() AS TIME_EXEC FROM "&amp;I89&amp;" INNER JOIN "&amp;J89&amp;" "&amp;K89),
IF(C89="Validade",+IF(G89="Code List","SELECT '"&amp;UPPER(B89)&amp;"' AS TABELA, '"&amp;UPPER(C89)&amp;"' AS TIPOLOGIA_TESTE,'"&amp;D89&amp;"' AS TABELA_LT,'N/A' AS TABELA_SIMUL,'"&amp;F89&amp;"' AS CAMPO, "&amp;"'${ref_date}' AS REF_DATE, COUNT(*) AS NUM_REG, SUM(IF(TRIM(CAST(X."&amp;F89&amp;" AS STRING))='' OR TRIM(CAST(X."&amp;F89&amp;" AS STRING)) IS NULL OR CAST(X."&amp;F89&amp;" AS STRING) NOT "&amp;H89&amp;",1,0)) AS NUM_REG_DIF,'"&amp;MAX('ID1&amp;5'!K:K)+1&amp;"' AS ID_EXEC, CURRENT_TIMESTAMP() AS TIME_EXEC FROM "&amp;I89,"SELECT '"&amp;UPPER(B89)&amp;"' AS TABELA, '"&amp;UPPER(C89)&amp;"' AS TIPOLOGIA_TESTE,'"&amp;D89&amp;"' AS TABELA_LT,'N/A' AS TABELA_SIMUL,'"&amp;F89&amp;"' AS CAMPO, "&amp;"'${ref_date}' AS REF_DATE, COUNT(*) AS NUM_REG, SUM(IF(TRIM(CAST(X."&amp;F89&amp;" AS STRING))='' OR TRIM(CAST(X."&amp;F89&amp;" AS STRING)) IS NULL,1,0)) AS NUM_REG_DIF,'"&amp;MAX('ID1&amp;5'!K:K)+1&amp;"' AS ID_EXEC, CURRENT_TIMESTAMP() AS TIME_EXEC FROM "&amp;I89),
IF(C89="Caracteres Especiais",+"SELECT '"&amp;UPPER(B89)&amp;"' AS TABELA, '"&amp;UPPER(C89)&amp;"' AS TIPOLOGIA_TESTE,'"&amp;D89&amp;"' AS TABELA_LT,'N/A' AS TABELA_SIMUL,'"&amp;F89&amp;"' AS CAMPO, "&amp;"'${ref_date}' AS REF_DATE, COUNT(*) AS NUM_REG, SUM(IF(REGEXP_REPLACE(TRIM(CAST(X."&amp;F89&amp;" AS STRING)),'[^a-zA-Z0-9_\\s]','') &lt;&gt;TRIM(CAST(X."&amp;F89&amp;" AS STRING)),1,0)) AS NUM_REG_DIF,'"&amp;MAX('ID1&amp;5'!K:K)+1&amp;"' AS ID_EXEC, CURRENT_TIMESTAMP() AS TIME_EXEC FROM "&amp;I89,
IF(C89="Missings",+"SELECT '"&amp;UPPER(B89)&amp;"' AS TABELA, '"&amp;UPPER(C89)&amp;"' AS TIPOLOGIA_TESTE,'"&amp;D89&amp;"' AS TABELA_LT,'N/A' AS TABELA_SIMUL,'"&amp;F89&amp;"' AS CAMPO, "&amp;"'${ref_date}' AS REF_DATE, COUNT(*) AS NUM_REG, SUM(IF(TRIM(CAST(X."&amp;F89&amp;" AS STRING)) IN ('0000-00-00','0001-01-01','9999-12-31','MISS','00000','99999999999','99999999999.00','99999999999.000000'),1,0)) AS NUM_REG_DIF,'"&amp;MAX('ID1&amp;5'!K:K)+1&amp;"' AS ID_EXEC, CURRENT_TIMESTAMP() AS TIME_EXEC FROM "&amp;I89,
IF(C89="Not applicable",+"SELECT '"&amp;UPPER(B89)&amp;"' AS TABELA, '"&amp;UPPER(C89)&amp;"' AS TIPOLOGIA_TESTE,'"&amp;D89&amp;"' AS TABELA_LT,'N/A' AS TABELA_SIMUL,'"&amp;F89&amp;"' AS CAMPO, "&amp;"'${ref_date}' AS REF_DATE, COUNT(*) AS NUM_REG, SUM(IF(TRIM(CAST(X."&amp;F89&amp;" AS STRING)) IN ('N/A','11111111111','11111111111.00','11111111111.000000','1111-11-11'),1,0)) AS NUM_REG_DIF,'"&amp;MAX('ID1&amp;5'!K:K)+1&amp;"' AS ID_EXEC, CURRENT_TIMESTAMP() AS TIME_EXEC FROM "&amp;I89,
IF(C89="Valores extremos",+"SELECT '"&amp;UPPER(B89)&amp;"' AS TABELA, '"&amp;UPPER(C89)&amp;"' AS TIPOLOGIA_TESTE,'"&amp;D89&amp;"' AS TABELA_LT,'N/A' AS TABELA_SIMUL,'"&amp;F89&amp;"' AS CAMPO, "&amp;"'${ref_date}' AS REF_DATE, CAST(MIN("&amp;F89&amp;") AS STRING) AS VALOR_MIN, CAST(MAX("&amp;F89&amp;") AS STRING) AS VALOR_MAX,'"&amp;MAX('ID1&amp;5'!K:K)+1&amp;"' AS ID_EXEC, CURRENT_TIMESTAMP() AS TIME_EXEC FROM "&amp;MID(I89,1,LEN(I89)-2)&amp;" AND CAST("&amp;F89&amp;"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TABELA_SIMUL,'PD_IFRS9_12M_RD' AS CAMPO, '${ref_date}' AS REF_DATE, COUNT(*) AS NUM_REG, SUM(IF(COALESCE(CAST(X.PD_IFRS9_12M_RD AS STRING),'')&lt;&gt;COALESCE(CAST(Y.PD_IFRS9_12M_RD_SIMUL AS STRING),'') OR (X.PD_IFRS9_12M_RD IS NULL AND Y.PD_IFRS9_12M_RD_SIMUL IS NOT NULL ) OR (X.PD_IFRS9_12M_RD IS NOT NULL AND Y.PD_IFRS9_12M_RD_SIMUL IS NULL),1,0)) AS NUM_REG_DIF,'1' AS ID_EXEC, CURRENT_TIMESTAMP() AS TIME_EXEC FROM (SELECT entty_id, PD_IFRS9_12M_RD FROM CD_LOAN_TAPES_BCE.LT003_ENTITY WHERE ref_date='${ref_date}' AND nome_perimetro='Individual Corporativo' AND segmento='ESTR' AND ambito='PM' AND entidade='00100')X INNER JOIN (SELECT entty_id AS entty_id_SIMUL, PD_IFRS9_12M_RD AS PD_IFRS9_12M_RD_SIMUL FROM BU_LOANTAPE_WORK.LT003_ENTITY WHERE ref_date='${ref_date}' AND nome_perimetro='Individual Corporativo' AND segmento='ESTR' AND ambito='PM' AND entidade='00100')Y ON X.ENTTY_ID=Y.ENTTY_ID_SIMUL</v>
      </c>
      <c r="M89" s="36" t="str">
        <f t="shared" si="1"/>
        <v>UNION ALL SELECT 'ENTITY' AS TABELA, 'COERÊNCIA' AS TIPOLOGIA_TESTE,'CD_LOAN_TAPES_BCE.LT003_ENTITY' AS TABELA_LT,'BU_LOANTAPE_WORK.LT003_ENTITY' AS TABELA_SIMUL,'PD_IFRS9_12M_RD' AS CAMPO, '${ref_date}' AS REF_DATE, COUNT(*) AS NUM_REG, SUM(IF(COALESCE(CAST(X.PD_IFRS9_12M_RD AS STRING),'')&lt;&gt;COALESCE(CAST(Y.PD_IFRS9_12M_RD_SIMUL AS STRING),'') OR (X.PD_IFRS9_12M_RD IS NULL AND Y.PD_IFRS9_12M_RD_SIMUL IS NOT NULL ) OR (X.PD_IFRS9_12M_RD IS NOT NULL AND Y.PD_IFRS9_12M_RD_SIMUL IS NULL),1,0)) AS NUM_REG_DIF,'1' AS ID_EXEC, CURRENT_TIMESTAMP() AS TIME_EXEC FROM (SELECT entty_id, PD_IFRS9_12M_RD FROM CD_LOAN_TAPES_BCE.LT003_ENTITY WHERE ref_date='${ref_date}' AND nome_perimetro='Individual Corporativo' AND segmento='ESTR' AND ambito='PM' AND entidade='00100')X INNER JOIN (SELECT entty_id AS entty_id_SIMUL, PD_IFRS9_12M_RD AS PD_IFRS9_12M_RD_SIMUL FROM BU_LOANTAPE_WORK.LT003_ENTITY WHERE ref_date='${ref_date}' AND nome_perimetro='Individual Corporativo' AND segmento='ESTR' AND ambito='PM' AND entidade='00100')Y ON X.ENTTY_ID=Y.ENTTY_ID_SIMUL</v>
      </c>
      <c r="N89" s="38" t="s">
        <v>46</v>
      </c>
    </row>
    <row r="90" spans="2:14">
      <c r="B90" s="34" t="s">
        <v>127</v>
      </c>
      <c r="C90" s="34" t="s">
        <v>5</v>
      </c>
      <c r="D90" s="34" t="str">
        <f>+UPPER('0. Instruções'!$D$35&amp;"."&amp;VLOOKUP(B90,'0. Instruções'!$C$27:$D$32,2,FALSE))</f>
        <v>CD_LOAN_TAPES_BCE.LT003_ENTITY</v>
      </c>
      <c r="E90" s="34" t="str">
        <f>+UPPER('0. Instruções'!$D$36&amp;"."&amp;VLOOKUP(B90,'0. Instruções'!$C$27:$E$32,3,FALSE))</f>
        <v>BU_LOANTAPE_WORK.LT003_ENTITY</v>
      </c>
      <c r="F90" s="34" t="s">
        <v>396</v>
      </c>
      <c r="G90" s="34"/>
      <c r="H90" s="34" t="s">
        <v>91</v>
      </c>
      <c r="I90" s="34" t="str">
        <f>"(SELECT "&amp;VLOOKUP(B90,'0. Instruções'!$C$27:$G$32,4,FALSE)&amp;", "&amp;F90&amp;" FROM "&amp;D90&amp;" WHERE "&amp;'0. Instruções'!$D$42&amp;")X"</f>
        <v>(SELECT entty_id, PD_IFRS9_12M_RD_T1 FROM CD_LOAN_TAPES_BCE.LT003_ENTITY WHERE ref_date='${ref_date}' AND nome_perimetro='Individual Corporativo' AND segmento='ESTR' AND ambito='PM' AND entidade='00100')X</v>
      </c>
      <c r="J90" s="34" t="str">
        <f>"(SELECT "&amp;VLOOKUP(B90,'0. Instruções'!$C$27:$G$32,4,FALSE)&amp;" AS "&amp;VLOOKUP(B90,'0. Instruções'!$C$27:$G$32,4,FALSE)&amp;"_SIMUL, "&amp;F90&amp;" AS "&amp;F90&amp;"_SIMUL FROM "&amp;E90&amp;" WHERE "&amp;'0. Instruções'!$D$43&amp;")Y"</f>
        <v>(SELECT entty_id AS entty_id_SIMUL, PD_IFRS9_12M_RD_T1 AS PD_IFRS9_12M_RD_T1_SIMUL FROM BU_LOANTAPE_WORK.LT003_ENTITY WHERE ref_date='${ref_date}' AND nome_perimetro='Individual Corporativo' AND segmento='ESTR' AND ambito='PM' AND entidade='00100')Y</v>
      </c>
      <c r="K90" s="35" t="str">
        <f>+UPPER("ON X."&amp;VLOOKUP(B90,'0. Instruções'!$C$27:$G$32,4,FALSE)&amp;"=Y."&amp;VLOOKUP(B90,'0. Instruções'!$C$27:$G$32,4,FALSE)&amp;"_SIMUL")</f>
        <v>ON X.ENTTY_ID=Y.ENTTY_ID_SIMUL</v>
      </c>
      <c r="L90" s="35" t="str">
        <f>+IF(C90="Coerência", +IF(LEFT(G90,5)="FLOAT","SELECT '"&amp;UPPER(B90)&amp;"' AS TABELA, '"&amp;UPPER(C90)&amp;"' AS TIPOLOGIA_TESTE,'"&amp;D90&amp;"' AS TABELA_LT,'"&amp;E90&amp;"' AS TABELA_SIMUL,'"&amp;F90&amp;"' AS CAMPO, "&amp;"'${ref_date}' AS REF_DATE, COUNT(*) AS NUM_REG, SUM(IF((ABS(COALESCE(CAST(X."&amp;F90&amp;" AS DECIMAL(18,6)),0)-COALESCE(CAST(Y."&amp;F90&amp;"_SIMUL AS DECIMAL(18,6)),0))&gt;0.000001) OR (X."&amp;F90&amp;" IS NULL AND Y."&amp;F90&amp;"_SIMUL IS NOT NULL ) OR (X."&amp;F90&amp;" IS NOT NULL AND Y."&amp;F90&amp;"_SIMUL IS NULL),1,0)) AS NUM_REG_DIF,'"&amp;MAX('ID1&amp;5'!K:K)+1&amp;"' AS ID_EXEC, CURRENT_TIMESTAMP() AS TIME_EXEC FROM "&amp;I90&amp;" INNER JOIN "&amp;J90&amp;" "&amp;K90,"SELECT '"&amp;UPPER(B90)&amp;"' AS TABELA, '"&amp;UPPER(C90)&amp;"' AS TIPOLOGIA_TESTE,'"&amp;D90&amp;"' AS TABELA_LT,'"&amp;E90&amp;"' AS TABELA_SIMUL,'"&amp;F90&amp;"' AS CAMPO, "&amp;"'${ref_date}' AS REF_DATE, COUNT(*) AS NUM_REG, SUM(IF(COALESCE(CAST(X."&amp;F90&amp;" AS STRING),'')&lt;&gt;COALESCE(CAST(Y."&amp;F90&amp;"_SIMUL AS STRING),'') OR (X."&amp;F90&amp;" IS NULL AND Y."&amp;F90&amp;"_SIMUL IS NOT NULL ) OR (X."&amp;F90&amp;" IS NOT NULL AND Y."&amp;F90&amp;"_SIMUL IS NULL),1,0)) AS NUM_REG_DIF,'"&amp;MAX('ID1&amp;5'!L:L)+1&amp;"' AS ID_EXEC, CURRENT_TIMESTAMP() AS TIME_EXEC FROM "&amp;I90&amp;" INNER JOIN "&amp;J90&amp;" "&amp;K90),
IF(C90="Validade",+IF(G90="Code List","SELECT '"&amp;UPPER(B90)&amp;"' AS TABELA, '"&amp;UPPER(C90)&amp;"' AS TIPOLOGIA_TESTE,'"&amp;D90&amp;"' AS TABELA_LT,'N/A' AS TABELA_SIMUL,'"&amp;F90&amp;"' AS CAMPO, "&amp;"'${ref_date}' AS REF_DATE, COUNT(*) AS NUM_REG, SUM(IF(TRIM(CAST(X."&amp;F90&amp;" AS STRING))='' OR TRIM(CAST(X."&amp;F90&amp;" AS STRING)) IS NULL OR CAST(X."&amp;F90&amp;" AS STRING) NOT "&amp;H90&amp;",1,0)) AS NUM_REG_DIF,'"&amp;MAX('ID1&amp;5'!K:K)+1&amp;"' AS ID_EXEC, CURRENT_TIMESTAMP() AS TIME_EXEC FROM "&amp;I90,"SELECT '"&amp;UPPER(B90)&amp;"' AS TABELA, '"&amp;UPPER(C90)&amp;"' AS TIPOLOGIA_TESTE,'"&amp;D90&amp;"' AS TABELA_LT,'N/A' AS TABELA_SIMUL,'"&amp;F90&amp;"' AS CAMPO, "&amp;"'${ref_date}' AS REF_DATE, COUNT(*) AS NUM_REG, SUM(IF(TRIM(CAST(X."&amp;F90&amp;" AS STRING))='' OR TRIM(CAST(X."&amp;F90&amp;" AS STRING)) IS NULL,1,0)) AS NUM_REG_DIF,'"&amp;MAX('ID1&amp;5'!K:K)+1&amp;"' AS ID_EXEC, CURRENT_TIMESTAMP() AS TIME_EXEC FROM "&amp;I90),
IF(C90="Caracteres Especiais",+"SELECT '"&amp;UPPER(B90)&amp;"' AS TABELA, '"&amp;UPPER(C90)&amp;"' AS TIPOLOGIA_TESTE,'"&amp;D90&amp;"' AS TABELA_LT,'N/A' AS TABELA_SIMUL,'"&amp;F90&amp;"' AS CAMPO, "&amp;"'${ref_date}' AS REF_DATE, COUNT(*) AS NUM_REG, SUM(IF(REGEXP_REPLACE(TRIM(CAST(X."&amp;F90&amp;" AS STRING)),'[^a-zA-Z0-9_\\s]','') &lt;&gt;TRIM(CAST(X."&amp;F90&amp;" AS STRING)),1,0)) AS NUM_REG_DIF,'"&amp;MAX('ID1&amp;5'!K:K)+1&amp;"' AS ID_EXEC, CURRENT_TIMESTAMP() AS TIME_EXEC FROM "&amp;I90,
IF(C90="Missings",+"SELECT '"&amp;UPPER(B90)&amp;"' AS TABELA, '"&amp;UPPER(C90)&amp;"' AS TIPOLOGIA_TESTE,'"&amp;D90&amp;"' AS TABELA_LT,'N/A' AS TABELA_SIMUL,'"&amp;F90&amp;"' AS CAMPO, "&amp;"'${ref_date}' AS REF_DATE, COUNT(*) AS NUM_REG, SUM(IF(TRIM(CAST(X."&amp;F90&amp;" AS STRING)) IN ('0000-00-00','0001-01-01','9999-12-31','MISS','00000','99999999999','99999999999.00','99999999999.000000'),1,0)) AS NUM_REG_DIF,'"&amp;MAX('ID1&amp;5'!K:K)+1&amp;"' AS ID_EXEC, CURRENT_TIMESTAMP() AS TIME_EXEC FROM "&amp;I90,
IF(C90="Not applicable",+"SELECT '"&amp;UPPER(B90)&amp;"' AS TABELA, '"&amp;UPPER(C90)&amp;"' AS TIPOLOGIA_TESTE,'"&amp;D90&amp;"' AS TABELA_LT,'N/A' AS TABELA_SIMUL,'"&amp;F90&amp;"' AS CAMPO, "&amp;"'${ref_date}' AS REF_DATE, COUNT(*) AS NUM_REG, SUM(IF(TRIM(CAST(X."&amp;F90&amp;" AS STRING)) IN ('N/A','11111111111','11111111111.00','11111111111.000000','1111-11-11'),1,0)) AS NUM_REG_DIF,'"&amp;MAX('ID1&amp;5'!K:K)+1&amp;"' AS ID_EXEC, CURRENT_TIMESTAMP() AS TIME_EXEC FROM "&amp;I90,
IF(C90="Valores extremos",+"SELECT '"&amp;UPPER(B90)&amp;"' AS TABELA, '"&amp;UPPER(C90)&amp;"' AS TIPOLOGIA_TESTE,'"&amp;D90&amp;"' AS TABELA_LT,'N/A' AS TABELA_SIMUL,'"&amp;F90&amp;"' AS CAMPO, "&amp;"'${ref_date}' AS REF_DATE, CAST(MIN("&amp;F90&amp;") AS STRING) AS VALOR_MIN, CAST(MAX("&amp;F90&amp;") AS STRING) AS VALOR_MAX,'"&amp;MAX('ID1&amp;5'!K:K)+1&amp;"' AS ID_EXEC, CURRENT_TIMESTAMP() AS TIME_EXEC FROM "&amp;MID(I90,1,LEN(I90)-2)&amp;" AND CAST("&amp;F90&amp;"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TABELA_SIMUL,'PD_IFRS9_12M_RD_T1' AS CAMPO, '${ref_date}' AS REF_DATE, COUNT(*) AS NUM_REG, SUM(IF(COALESCE(CAST(X.PD_IFRS9_12M_RD_T1 AS STRING),'')&lt;&gt;COALESCE(CAST(Y.PD_IFRS9_12M_RD_T1_SIMUL AS STRING),'') OR (X.PD_IFRS9_12M_RD_T1 IS NULL AND Y.PD_IFRS9_12M_RD_T1_SIMUL IS NOT NULL ) OR (X.PD_IFRS9_12M_RD_T1 IS NOT NULL AND Y.PD_IFRS9_12M_RD_T1_SIMUL IS NULL),1,0)) AS NUM_REG_DIF,'1' AS ID_EXEC, CURRENT_TIMESTAMP() AS TIME_EXEC FROM (SELECT entty_id, PD_IFRS9_12M_RD_T1 FROM CD_LOAN_TAPES_BCE.LT003_ENTITY WHERE ref_date='${ref_date}' AND nome_perimetro='Individual Corporativo' AND segmento='ESTR' AND ambito='PM' AND entidade='00100')X INNER JOIN (SELECT entty_id AS entty_id_SIMUL, PD_IFRS9_12M_RD_T1 AS PD_IFRS9_12M_RD_T1_SIMUL FROM BU_LOANTAPE_WORK.LT003_ENTITY WHERE ref_date='${ref_date}' AND nome_perimetro='Individual Corporativo' AND segmento='ESTR' AND ambito='PM' AND entidade='00100')Y ON X.ENTTY_ID=Y.ENTTY_ID_SIMUL</v>
      </c>
      <c r="M90" s="36" t="str">
        <f t="shared" si="1"/>
        <v>UNION ALL SELECT 'ENTITY' AS TABELA, 'COERÊNCIA' AS TIPOLOGIA_TESTE,'CD_LOAN_TAPES_BCE.LT003_ENTITY' AS TABELA_LT,'BU_LOANTAPE_WORK.LT003_ENTITY' AS TABELA_SIMUL,'PD_IFRS9_12M_RD_T1' AS CAMPO, '${ref_date}' AS REF_DATE, COUNT(*) AS NUM_REG, SUM(IF(COALESCE(CAST(X.PD_IFRS9_12M_RD_T1 AS STRING),'')&lt;&gt;COALESCE(CAST(Y.PD_IFRS9_12M_RD_T1_SIMUL AS STRING),'') OR (X.PD_IFRS9_12M_RD_T1 IS NULL AND Y.PD_IFRS9_12M_RD_T1_SIMUL IS NOT NULL ) OR (X.PD_IFRS9_12M_RD_T1 IS NOT NULL AND Y.PD_IFRS9_12M_RD_T1_SIMUL IS NULL),1,0)) AS NUM_REG_DIF,'1' AS ID_EXEC, CURRENT_TIMESTAMP() AS TIME_EXEC FROM (SELECT entty_id, PD_IFRS9_12M_RD_T1 FROM CD_LOAN_TAPES_BCE.LT003_ENTITY WHERE ref_date='${ref_date}' AND nome_perimetro='Individual Corporativo' AND segmento='ESTR' AND ambito='PM' AND entidade='00100')X INNER JOIN (SELECT entty_id AS entty_id_SIMUL, PD_IFRS9_12M_RD_T1 AS PD_IFRS9_12M_RD_T1_SIMUL FROM BU_LOANTAPE_WORK.LT003_ENTITY WHERE ref_date='${ref_date}' AND nome_perimetro='Individual Corporativo' AND segmento='ESTR' AND ambito='PM' AND entidade='00100')Y ON X.ENTTY_ID=Y.ENTTY_ID_SIMUL</v>
      </c>
      <c r="N90" s="38" t="s">
        <v>46</v>
      </c>
    </row>
    <row r="91" spans="2:14">
      <c r="B91" s="34" t="s">
        <v>127</v>
      </c>
      <c r="C91" s="34" t="s">
        <v>5</v>
      </c>
      <c r="D91" s="34" t="str">
        <f>+UPPER('0. Instruções'!$D$35&amp;"."&amp;VLOOKUP(B91,'0. Instruções'!$C$27:$D$32,2,FALSE))</f>
        <v>CD_LOAN_TAPES_BCE.LT003_ENTITY</v>
      </c>
      <c r="E91" s="34" t="str">
        <f>+UPPER('0. Instruções'!$D$36&amp;"."&amp;VLOOKUP(B91,'0. Instruções'!$C$27:$E$32,3,FALSE))</f>
        <v>BU_LOANTAPE_WORK.LT003_ENTITY</v>
      </c>
      <c r="F91" s="34" t="s">
        <v>397</v>
      </c>
      <c r="G91" s="34"/>
      <c r="H91" s="34" t="s">
        <v>646</v>
      </c>
      <c r="I91" s="34" t="str">
        <f>"(SELECT "&amp;VLOOKUP(B91,'0. Instruções'!$C$27:$G$32,4,FALSE)&amp;", "&amp;F91&amp;" FROM "&amp;D91&amp;" WHERE "&amp;'0. Instruções'!$D$42&amp;")X"</f>
        <v>(SELECT entty_id, TAX_ID FROM CD_LOAN_TAPES_BCE.LT003_ENTITY WHERE ref_date='${ref_date}' AND nome_perimetro='Individual Corporativo' AND segmento='ESTR' AND ambito='PM' AND entidade='00100')X</v>
      </c>
      <c r="J91" s="34" t="str">
        <f>"(SELECT "&amp;VLOOKUP(B91,'0. Instruções'!$C$27:$G$32,4,FALSE)&amp;" AS "&amp;VLOOKUP(B91,'0. Instruções'!$C$27:$G$32,4,FALSE)&amp;"_SIMUL, "&amp;F91&amp;" AS "&amp;F91&amp;"_SIMUL FROM "&amp;E91&amp;" WHERE "&amp;'0. Instruções'!$D$43&amp;")Y"</f>
        <v>(SELECT entty_id AS entty_id_SIMUL, TAX_ID AS TAX_ID_SIMUL FROM BU_LOANTAPE_WORK.LT003_ENTITY WHERE ref_date='${ref_date}' AND nome_perimetro='Individual Corporativo' AND segmento='ESTR' AND ambito='PM' AND entidade='00100')Y</v>
      </c>
      <c r="K91" s="35" t="str">
        <f>+UPPER("ON X."&amp;VLOOKUP(B91,'0. Instruções'!$C$27:$G$32,4,FALSE)&amp;"=Y."&amp;VLOOKUP(B91,'0. Instruções'!$C$27:$G$32,4,FALSE)&amp;"_SIMUL")</f>
        <v>ON X.ENTTY_ID=Y.ENTTY_ID_SIMUL</v>
      </c>
      <c r="L91" s="35" t="str">
        <f>+IF(C91="Coerência", +IF(LEFT(G91,5)="FLOAT","SELECT '"&amp;UPPER(B91)&amp;"' AS TABELA, '"&amp;UPPER(C91)&amp;"' AS TIPOLOGIA_TESTE,'"&amp;D91&amp;"' AS TABELA_LT,'"&amp;E91&amp;"' AS TABELA_SIMUL,'"&amp;F91&amp;"' AS CAMPO, "&amp;"'${ref_date}' AS REF_DATE, COUNT(*) AS NUM_REG, SUM(IF((ABS(COALESCE(CAST(X."&amp;F91&amp;" AS DECIMAL(18,6)),0)-COALESCE(CAST(Y."&amp;F91&amp;"_SIMUL AS DECIMAL(18,6)),0))&gt;0.000001) OR (X."&amp;F91&amp;" IS NULL AND Y."&amp;F91&amp;"_SIMUL IS NOT NULL ) OR (X."&amp;F91&amp;" IS NOT NULL AND Y."&amp;F91&amp;"_SIMUL IS NULL),1,0)) AS NUM_REG_DIF,'"&amp;MAX('ID1&amp;5'!K:K)+1&amp;"' AS ID_EXEC, CURRENT_TIMESTAMP() AS TIME_EXEC FROM "&amp;I91&amp;" INNER JOIN "&amp;J91&amp;" "&amp;K91,"SELECT '"&amp;UPPER(B91)&amp;"' AS TABELA, '"&amp;UPPER(C91)&amp;"' AS TIPOLOGIA_TESTE,'"&amp;D91&amp;"' AS TABELA_LT,'"&amp;E91&amp;"' AS TABELA_SIMUL,'"&amp;F91&amp;"' AS CAMPO, "&amp;"'${ref_date}' AS REF_DATE, COUNT(*) AS NUM_REG, SUM(IF(COALESCE(CAST(X."&amp;F91&amp;" AS STRING),'')&lt;&gt;COALESCE(CAST(Y."&amp;F91&amp;"_SIMUL AS STRING),'') OR (X."&amp;F91&amp;" IS NULL AND Y."&amp;F91&amp;"_SIMUL IS NOT NULL ) OR (X."&amp;F91&amp;" IS NOT NULL AND Y."&amp;F91&amp;"_SIMUL IS NULL),1,0)) AS NUM_REG_DIF,'"&amp;MAX('ID1&amp;5'!L:L)+1&amp;"' AS ID_EXEC, CURRENT_TIMESTAMP() AS TIME_EXEC FROM "&amp;I91&amp;" INNER JOIN "&amp;J91&amp;" "&amp;K91),
IF(C91="Validade",+IF(G91="Code List","SELECT '"&amp;UPPER(B91)&amp;"' AS TABELA, '"&amp;UPPER(C91)&amp;"' AS TIPOLOGIA_TESTE,'"&amp;D91&amp;"' AS TABELA_LT,'N/A' AS TABELA_SIMUL,'"&amp;F91&amp;"' AS CAMPO, "&amp;"'${ref_date}' AS REF_DATE, COUNT(*) AS NUM_REG, SUM(IF(TRIM(CAST(X."&amp;F91&amp;" AS STRING))='' OR TRIM(CAST(X."&amp;F91&amp;" AS STRING)) IS NULL OR CAST(X."&amp;F91&amp;" AS STRING) NOT "&amp;H91&amp;",1,0)) AS NUM_REG_DIF,'"&amp;MAX('ID1&amp;5'!K:K)+1&amp;"' AS ID_EXEC, CURRENT_TIMESTAMP() AS TIME_EXEC FROM "&amp;I91,"SELECT '"&amp;UPPER(B91)&amp;"' AS TABELA, '"&amp;UPPER(C91)&amp;"' AS TIPOLOGIA_TESTE,'"&amp;D91&amp;"' AS TABELA_LT,'N/A' AS TABELA_SIMUL,'"&amp;F91&amp;"' AS CAMPO, "&amp;"'${ref_date}' AS REF_DATE, COUNT(*) AS NUM_REG, SUM(IF(TRIM(CAST(X."&amp;F91&amp;" AS STRING))='' OR TRIM(CAST(X."&amp;F91&amp;" AS STRING)) IS NULL,1,0)) AS NUM_REG_DIF,'"&amp;MAX('ID1&amp;5'!K:K)+1&amp;"' AS ID_EXEC, CURRENT_TIMESTAMP() AS TIME_EXEC FROM "&amp;I91),
IF(C91="Caracteres Especiais",+"SELECT '"&amp;UPPER(B91)&amp;"' AS TABELA, '"&amp;UPPER(C91)&amp;"' AS TIPOLOGIA_TESTE,'"&amp;D91&amp;"' AS TABELA_LT,'N/A' AS TABELA_SIMUL,'"&amp;F91&amp;"' AS CAMPO, "&amp;"'${ref_date}' AS REF_DATE, COUNT(*) AS NUM_REG, SUM(IF(REGEXP_REPLACE(TRIM(CAST(X."&amp;F91&amp;" AS STRING)),'[^a-zA-Z0-9_\\s]','') &lt;&gt;TRIM(CAST(X."&amp;F91&amp;" AS STRING)),1,0)) AS NUM_REG_DIF,'"&amp;MAX('ID1&amp;5'!K:K)+1&amp;"' AS ID_EXEC, CURRENT_TIMESTAMP() AS TIME_EXEC FROM "&amp;I91,
IF(C91="Missings",+"SELECT '"&amp;UPPER(B91)&amp;"' AS TABELA, '"&amp;UPPER(C91)&amp;"' AS TIPOLOGIA_TESTE,'"&amp;D91&amp;"' AS TABELA_LT,'N/A' AS TABELA_SIMUL,'"&amp;F91&amp;"' AS CAMPO, "&amp;"'${ref_date}' AS REF_DATE, COUNT(*) AS NUM_REG, SUM(IF(TRIM(CAST(X."&amp;F91&amp;" AS STRING)) IN ('0000-00-00','0001-01-01','9999-12-31','MISS','00000','99999999999','99999999999.00','99999999999.000000'),1,0)) AS NUM_REG_DIF,'"&amp;MAX('ID1&amp;5'!K:K)+1&amp;"' AS ID_EXEC, CURRENT_TIMESTAMP() AS TIME_EXEC FROM "&amp;I91,
IF(C91="Not applicable",+"SELECT '"&amp;UPPER(B91)&amp;"' AS TABELA, '"&amp;UPPER(C91)&amp;"' AS TIPOLOGIA_TESTE,'"&amp;D91&amp;"' AS TABELA_LT,'N/A' AS TABELA_SIMUL,'"&amp;F91&amp;"' AS CAMPO, "&amp;"'${ref_date}' AS REF_DATE, COUNT(*) AS NUM_REG, SUM(IF(TRIM(CAST(X."&amp;F91&amp;" AS STRING)) IN ('N/A','11111111111','11111111111.00','11111111111.000000','1111-11-11'),1,0)) AS NUM_REG_DIF,'"&amp;MAX('ID1&amp;5'!K:K)+1&amp;"' AS ID_EXEC, CURRENT_TIMESTAMP() AS TIME_EXEC FROM "&amp;I91,
IF(C91="Valores extremos",+"SELECT '"&amp;UPPER(B91)&amp;"' AS TABELA, '"&amp;UPPER(C91)&amp;"' AS TIPOLOGIA_TESTE,'"&amp;D91&amp;"' AS TABELA_LT,'N/A' AS TABELA_SIMUL,'"&amp;F91&amp;"' AS CAMPO, "&amp;"'${ref_date}' AS REF_DATE, CAST(MIN("&amp;F91&amp;") AS STRING) AS VALOR_MIN, CAST(MAX("&amp;F91&amp;") AS STRING) AS VALOR_MAX,'"&amp;MAX('ID1&amp;5'!K:K)+1&amp;"' AS ID_EXEC, CURRENT_TIMESTAMP() AS TIME_EXEC FROM "&amp;MID(I91,1,LEN(I91)-2)&amp;" AND CAST("&amp;F91&amp;"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TABELA_SIMUL,'TAX_ID' AS CAMPO, '${ref_date}' AS REF_DATE, COUNT(*) AS NUM_REG, SUM(IF(COALESCE(CAST(X.TAX_ID AS STRING),'')&lt;&gt;COALESCE(CAST(Y.TAX_ID_SIMUL AS STRING),'') OR (X.TAX_ID IS NULL AND Y.TAX_ID_SIMUL IS NOT NULL ) OR (X.TAX_ID IS NOT NULL AND Y.TAX_ID_SIMUL IS NULL),1,0)) AS NUM_REG_DIF,'1' AS ID_EXEC, CURRENT_TIMESTAMP() AS TIME_EXEC FROM (SELECT entty_id, TAX_ID FROM CD_LOAN_TAPES_BCE.LT003_ENTITY WHERE ref_date='${ref_date}' AND nome_perimetro='Individual Corporativo' AND segmento='ESTR' AND ambito='PM' AND entidade='00100')X INNER JOIN (SELECT entty_id AS entty_id_SIMUL, TAX_ID AS TAX_ID_SIMUL FROM BU_LOANTAPE_WORK.LT003_ENTITY WHERE ref_date='${ref_date}' AND nome_perimetro='Individual Corporativo' AND segmento='ESTR' AND ambito='PM' AND entidade='00100')Y ON X.ENTTY_ID=Y.ENTTY_ID_SIMUL</v>
      </c>
      <c r="M91" s="36" t="str">
        <f t="shared" si="1"/>
        <v>UNION ALL SELECT 'ENTITY' AS TABELA, 'COERÊNCIA' AS TIPOLOGIA_TESTE,'CD_LOAN_TAPES_BCE.LT003_ENTITY' AS TABELA_LT,'BU_LOANTAPE_WORK.LT003_ENTITY' AS TABELA_SIMUL,'TAX_ID' AS CAMPO, '${ref_date}' AS REF_DATE, COUNT(*) AS NUM_REG, SUM(IF(COALESCE(CAST(X.TAX_ID AS STRING),'')&lt;&gt;COALESCE(CAST(Y.TAX_ID_SIMUL AS STRING),'') OR (X.TAX_ID IS NULL AND Y.TAX_ID_SIMUL IS NOT NULL ) OR (X.TAX_ID IS NOT NULL AND Y.TAX_ID_SIMUL IS NULL),1,0)) AS NUM_REG_DIF,'1' AS ID_EXEC, CURRENT_TIMESTAMP() AS TIME_EXEC FROM (SELECT entty_id, TAX_ID FROM CD_LOAN_TAPES_BCE.LT003_ENTITY WHERE ref_date='${ref_date}' AND nome_perimetro='Individual Corporativo' AND segmento='ESTR' AND ambito='PM' AND entidade='00100')X INNER JOIN (SELECT entty_id AS entty_id_SIMUL, TAX_ID AS TAX_ID_SIMUL FROM BU_LOANTAPE_WORK.LT003_ENTITY WHERE ref_date='${ref_date}' AND nome_perimetro='Individual Corporativo' AND segmento='ESTR' AND ambito='PM' AND entidade='00100')Y ON X.ENTTY_ID=Y.ENTTY_ID_SIMUL</v>
      </c>
      <c r="N91" s="38" t="s">
        <v>46</v>
      </c>
    </row>
    <row r="92" spans="2:14">
      <c r="B92" s="34" t="s">
        <v>127</v>
      </c>
      <c r="C92" s="34" t="s">
        <v>5</v>
      </c>
      <c r="D92" s="34" t="str">
        <f>+UPPER('0. Instruções'!$D$35&amp;"."&amp;VLOOKUP(B92,'0. Instruções'!$C$27:$D$32,2,FALSE))</f>
        <v>CD_LOAN_TAPES_BCE.LT003_ENTITY</v>
      </c>
      <c r="E92" s="34" t="str">
        <f>+UPPER('0. Instruções'!$D$36&amp;"."&amp;VLOOKUP(B92,'0. Instruções'!$C$27:$E$32,3,FALSE))</f>
        <v>BU_LOANTAPE_WORK.LT003_ENTITY</v>
      </c>
      <c r="F92" s="34" t="s">
        <v>398</v>
      </c>
      <c r="G92" s="34"/>
      <c r="H92" s="34" t="s">
        <v>92</v>
      </c>
      <c r="I92" s="34" t="str">
        <f>"(SELECT "&amp;VLOOKUP(B92,'0. Instruções'!$C$27:$G$32,4,FALSE)&amp;", "&amp;F92&amp;" FROM "&amp;D92&amp;" WHERE "&amp;'0. Instruções'!$D$42&amp;")X"</f>
        <v>(SELECT entty_id, ANNL_TRNVR_LE_BDR FROM CD_LOAN_TAPES_BCE.LT003_ENTITY WHERE ref_date='${ref_date}' AND nome_perimetro='Individual Corporativo' AND segmento='ESTR' AND ambito='PM' AND entidade='00100')X</v>
      </c>
      <c r="J92" s="34" t="str">
        <f>"(SELECT "&amp;VLOOKUP(B92,'0. Instruções'!$C$27:$G$32,4,FALSE)&amp;" AS "&amp;VLOOKUP(B92,'0. Instruções'!$C$27:$G$32,4,FALSE)&amp;"_SIMUL, "&amp;F92&amp;" AS "&amp;F92&amp;"_SIMUL FROM "&amp;E92&amp;" WHERE "&amp;'0. Instruções'!$D$43&amp;")Y"</f>
        <v>(SELECT entty_id AS entty_id_SIMUL, ANNL_TRNVR_LE_BDR AS ANNL_TRNVR_LE_BDR_SIMUL FROM BU_LOANTAPE_WORK.LT003_ENTITY WHERE ref_date='${ref_date}' AND nome_perimetro='Individual Corporativo' AND segmento='ESTR' AND ambito='PM' AND entidade='00100')Y</v>
      </c>
      <c r="K92" s="35" t="str">
        <f>+UPPER("ON X."&amp;VLOOKUP(B92,'0. Instruções'!$C$27:$G$32,4,FALSE)&amp;"=Y."&amp;VLOOKUP(B92,'0. Instruções'!$C$27:$G$32,4,FALSE)&amp;"_SIMUL")</f>
        <v>ON X.ENTTY_ID=Y.ENTTY_ID_SIMUL</v>
      </c>
      <c r="L92" s="35" t="str">
        <f>+IF(C92="Coerência", +IF(LEFT(G92,5)="FLOAT","SELECT '"&amp;UPPER(B92)&amp;"' AS TABELA, '"&amp;UPPER(C92)&amp;"' AS TIPOLOGIA_TESTE,'"&amp;D92&amp;"' AS TABELA_LT,'"&amp;E92&amp;"' AS TABELA_SIMUL,'"&amp;F92&amp;"' AS CAMPO, "&amp;"'${ref_date}' AS REF_DATE, COUNT(*) AS NUM_REG, SUM(IF((ABS(COALESCE(CAST(X."&amp;F92&amp;" AS DECIMAL(18,6)),0)-COALESCE(CAST(Y."&amp;F92&amp;"_SIMUL AS DECIMAL(18,6)),0))&gt;0.000001) OR (X."&amp;F92&amp;" IS NULL AND Y."&amp;F92&amp;"_SIMUL IS NOT NULL ) OR (X."&amp;F92&amp;" IS NOT NULL AND Y."&amp;F92&amp;"_SIMUL IS NULL),1,0)) AS NUM_REG_DIF,'"&amp;MAX('ID1&amp;5'!K:K)+1&amp;"' AS ID_EXEC, CURRENT_TIMESTAMP() AS TIME_EXEC FROM "&amp;I92&amp;" INNER JOIN "&amp;J92&amp;" "&amp;K92,"SELECT '"&amp;UPPER(B92)&amp;"' AS TABELA, '"&amp;UPPER(C92)&amp;"' AS TIPOLOGIA_TESTE,'"&amp;D92&amp;"' AS TABELA_LT,'"&amp;E92&amp;"' AS TABELA_SIMUL,'"&amp;F92&amp;"' AS CAMPO, "&amp;"'${ref_date}' AS REF_DATE, COUNT(*) AS NUM_REG, SUM(IF(COALESCE(CAST(X."&amp;F92&amp;" AS STRING),'')&lt;&gt;COALESCE(CAST(Y."&amp;F92&amp;"_SIMUL AS STRING),'') OR (X."&amp;F92&amp;" IS NULL AND Y."&amp;F92&amp;"_SIMUL IS NOT NULL ) OR (X."&amp;F92&amp;" IS NOT NULL AND Y."&amp;F92&amp;"_SIMUL IS NULL),1,0)) AS NUM_REG_DIF,'"&amp;MAX('ID1&amp;5'!L:L)+1&amp;"' AS ID_EXEC, CURRENT_TIMESTAMP() AS TIME_EXEC FROM "&amp;I92&amp;" INNER JOIN "&amp;J92&amp;" "&amp;K92),
IF(C92="Validade",+IF(G92="Code List","SELECT '"&amp;UPPER(B92)&amp;"' AS TABELA, '"&amp;UPPER(C92)&amp;"' AS TIPOLOGIA_TESTE,'"&amp;D92&amp;"' AS TABELA_LT,'N/A' AS TABELA_SIMUL,'"&amp;F92&amp;"' AS CAMPO, "&amp;"'${ref_date}' AS REF_DATE, COUNT(*) AS NUM_REG, SUM(IF(TRIM(CAST(X."&amp;F92&amp;" AS STRING))='' OR TRIM(CAST(X."&amp;F92&amp;" AS STRING)) IS NULL OR CAST(X."&amp;F92&amp;" AS STRING) NOT "&amp;H92&amp;",1,0)) AS NUM_REG_DIF,'"&amp;MAX('ID1&amp;5'!K:K)+1&amp;"' AS ID_EXEC, CURRENT_TIMESTAMP() AS TIME_EXEC FROM "&amp;I92,"SELECT '"&amp;UPPER(B92)&amp;"' AS TABELA, '"&amp;UPPER(C92)&amp;"' AS TIPOLOGIA_TESTE,'"&amp;D92&amp;"' AS TABELA_LT,'N/A' AS TABELA_SIMUL,'"&amp;F92&amp;"' AS CAMPO, "&amp;"'${ref_date}' AS REF_DATE, COUNT(*) AS NUM_REG, SUM(IF(TRIM(CAST(X."&amp;F92&amp;" AS STRING))='' OR TRIM(CAST(X."&amp;F92&amp;" AS STRING)) IS NULL,1,0)) AS NUM_REG_DIF,'"&amp;MAX('ID1&amp;5'!K:K)+1&amp;"' AS ID_EXEC, CURRENT_TIMESTAMP() AS TIME_EXEC FROM "&amp;I92),
IF(C92="Caracteres Especiais",+"SELECT '"&amp;UPPER(B92)&amp;"' AS TABELA, '"&amp;UPPER(C92)&amp;"' AS TIPOLOGIA_TESTE,'"&amp;D92&amp;"' AS TABELA_LT,'N/A' AS TABELA_SIMUL,'"&amp;F92&amp;"' AS CAMPO, "&amp;"'${ref_date}' AS REF_DATE, COUNT(*) AS NUM_REG, SUM(IF(REGEXP_REPLACE(TRIM(CAST(X."&amp;F92&amp;" AS STRING)),'[^a-zA-Z0-9_\\s]','') &lt;&gt;TRIM(CAST(X."&amp;F92&amp;" AS STRING)),1,0)) AS NUM_REG_DIF,'"&amp;MAX('ID1&amp;5'!K:K)+1&amp;"' AS ID_EXEC, CURRENT_TIMESTAMP() AS TIME_EXEC FROM "&amp;I92,
IF(C92="Missings",+"SELECT '"&amp;UPPER(B92)&amp;"' AS TABELA, '"&amp;UPPER(C92)&amp;"' AS TIPOLOGIA_TESTE,'"&amp;D92&amp;"' AS TABELA_LT,'N/A' AS TABELA_SIMUL,'"&amp;F92&amp;"' AS CAMPO, "&amp;"'${ref_date}' AS REF_DATE, COUNT(*) AS NUM_REG, SUM(IF(TRIM(CAST(X."&amp;F92&amp;" AS STRING)) IN ('0000-00-00','0001-01-01','9999-12-31','MISS','00000','99999999999','99999999999.00','99999999999.000000'),1,0)) AS NUM_REG_DIF,'"&amp;MAX('ID1&amp;5'!K:K)+1&amp;"' AS ID_EXEC, CURRENT_TIMESTAMP() AS TIME_EXEC FROM "&amp;I92,
IF(C92="Not applicable",+"SELECT '"&amp;UPPER(B92)&amp;"' AS TABELA, '"&amp;UPPER(C92)&amp;"' AS TIPOLOGIA_TESTE,'"&amp;D92&amp;"' AS TABELA_LT,'N/A' AS TABELA_SIMUL,'"&amp;F92&amp;"' AS CAMPO, "&amp;"'${ref_date}' AS REF_DATE, COUNT(*) AS NUM_REG, SUM(IF(TRIM(CAST(X."&amp;F92&amp;" AS STRING)) IN ('N/A','11111111111','11111111111.00','11111111111.000000','1111-11-11'),1,0)) AS NUM_REG_DIF,'"&amp;MAX('ID1&amp;5'!K:K)+1&amp;"' AS ID_EXEC, CURRENT_TIMESTAMP() AS TIME_EXEC FROM "&amp;I92,
IF(C92="Valores extremos",+"SELECT '"&amp;UPPER(B92)&amp;"' AS TABELA, '"&amp;UPPER(C92)&amp;"' AS TIPOLOGIA_TESTE,'"&amp;D92&amp;"' AS TABELA_LT,'N/A' AS TABELA_SIMUL,'"&amp;F92&amp;"' AS CAMPO, "&amp;"'${ref_date}' AS REF_DATE, CAST(MIN("&amp;F92&amp;") AS STRING) AS VALOR_MIN, CAST(MAX("&amp;F92&amp;") AS STRING) AS VALOR_MAX,'"&amp;MAX('ID1&amp;5'!K:K)+1&amp;"' AS ID_EXEC, CURRENT_TIMESTAMP() AS TIME_EXEC FROM "&amp;MID(I92,1,LEN(I92)-2)&amp;" AND CAST("&amp;F92&amp;"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TABELA_SIMUL,'ANNL_TRNVR_LE_BDR' AS CAMPO, '${ref_date}' AS REF_DATE, COUNT(*) AS NUM_REG, SUM(IF(COALESCE(CAST(X.ANNL_TRNVR_LE_BDR AS STRING),'')&lt;&gt;COALESCE(CAST(Y.ANNL_TRNVR_LE_BDR_SIMUL AS STRING),'') OR (X.ANNL_TRNVR_LE_BDR IS NULL AND Y.ANNL_TRNVR_LE_BDR_SIMUL IS NOT NULL ) OR (X.ANNL_TRNVR_LE_BDR IS NOT NULL AND Y.ANNL_TRNVR_LE_BDR_SIMUL IS NULL),1,0)) AS NUM_REG_DIF,'1' AS ID_EXEC, CURRENT_TIMESTAMP() AS TIME_EXEC FROM (SELECT entty_id, ANNL_TRNVR_LE_BDR FROM CD_LOAN_TAPES_BCE.LT003_ENTITY WHERE ref_date='${ref_date}' AND nome_perimetro='Individual Corporativo' AND segmento='ESTR' AND ambito='PM' AND entidade='00100')X INNER JOIN (SELECT entty_id AS entty_id_SIMUL, ANNL_TRNVR_LE_BDR AS ANNL_TRNVR_LE_BDR_SIMUL FROM BU_LOANTAPE_WORK.LT003_ENTITY WHERE ref_date='${ref_date}' AND nome_perimetro='Individual Corporativo' AND segmento='ESTR' AND ambito='PM' AND entidade='00100')Y ON X.ENTTY_ID=Y.ENTTY_ID_SIMUL</v>
      </c>
      <c r="M92" s="36" t="str">
        <f t="shared" si="1"/>
        <v>UNION ALL SELECT 'ENTITY' AS TABELA, 'COERÊNCIA' AS TIPOLOGIA_TESTE,'CD_LOAN_TAPES_BCE.LT003_ENTITY' AS TABELA_LT,'BU_LOANTAPE_WORK.LT003_ENTITY' AS TABELA_SIMUL,'ANNL_TRNVR_LE_BDR' AS CAMPO, '${ref_date}' AS REF_DATE, COUNT(*) AS NUM_REG, SUM(IF(COALESCE(CAST(X.ANNL_TRNVR_LE_BDR AS STRING),'')&lt;&gt;COALESCE(CAST(Y.ANNL_TRNVR_LE_BDR_SIMUL AS STRING),'') OR (X.ANNL_TRNVR_LE_BDR IS NULL AND Y.ANNL_TRNVR_LE_BDR_SIMUL IS NOT NULL ) OR (X.ANNL_TRNVR_LE_BDR IS NOT NULL AND Y.ANNL_TRNVR_LE_BDR_SIMUL IS NULL),1,0)) AS NUM_REG_DIF,'1' AS ID_EXEC, CURRENT_TIMESTAMP() AS TIME_EXEC FROM (SELECT entty_id, ANNL_TRNVR_LE_BDR FROM CD_LOAN_TAPES_BCE.LT003_ENTITY WHERE ref_date='${ref_date}' AND nome_perimetro='Individual Corporativo' AND segmento='ESTR' AND ambito='PM' AND entidade='00100')X INNER JOIN (SELECT entty_id AS entty_id_SIMUL, ANNL_TRNVR_LE_BDR AS ANNL_TRNVR_LE_BDR_SIMUL FROM BU_LOANTAPE_WORK.LT003_ENTITY WHERE ref_date='${ref_date}' AND nome_perimetro='Individual Corporativo' AND segmento='ESTR' AND ambito='PM' AND entidade='00100')Y ON X.ENTTY_ID=Y.ENTTY_ID_SIMUL</v>
      </c>
      <c r="N92" s="38" t="s">
        <v>46</v>
      </c>
    </row>
    <row r="93" spans="2:14">
      <c r="B93" s="34" t="s">
        <v>127</v>
      </c>
      <c r="C93" s="34" t="s">
        <v>5</v>
      </c>
      <c r="D93" s="34" t="str">
        <f>+UPPER('0. Instruções'!$D$35&amp;"."&amp;VLOOKUP(B93,'0. Instruções'!$C$27:$D$32,2,FALSE))</f>
        <v>CD_LOAN_TAPES_BCE.LT003_ENTITY</v>
      </c>
      <c r="E93" s="34" t="str">
        <f>+UPPER('0. Instruções'!$D$36&amp;"."&amp;VLOOKUP(B93,'0. Instruções'!$C$27:$E$32,3,FALSE))</f>
        <v>BU_LOANTAPE_WORK.LT003_ENTITY</v>
      </c>
      <c r="F93" s="34" t="s">
        <v>399</v>
      </c>
      <c r="G93" s="34"/>
      <c r="H93" s="34" t="s">
        <v>92</v>
      </c>
      <c r="I93" s="34" t="str">
        <f>"(SELECT "&amp;VLOOKUP(B93,'0. Instruções'!$C$27:$G$32,4,FALSE)&amp;", "&amp;F93&amp;" FROM "&amp;D93&amp;" WHERE "&amp;'0. Instruções'!$D$42&amp;")X"</f>
        <v>(SELECT entty_id, ANNL_TRNVR_PRVS_BDR FROM CD_LOAN_TAPES_BCE.LT003_ENTITY WHERE ref_date='${ref_date}' AND nome_perimetro='Individual Corporativo' AND segmento='ESTR' AND ambito='PM' AND entidade='00100')X</v>
      </c>
      <c r="J93" s="34" t="str">
        <f>"(SELECT "&amp;VLOOKUP(B93,'0. Instruções'!$C$27:$G$32,4,FALSE)&amp;" AS "&amp;VLOOKUP(B93,'0. Instruções'!$C$27:$G$32,4,FALSE)&amp;"_SIMUL, "&amp;F93&amp;" AS "&amp;F93&amp;"_SIMUL FROM "&amp;E93&amp;" WHERE "&amp;'0. Instruções'!$D$43&amp;")Y"</f>
        <v>(SELECT entty_id AS entty_id_SIMUL, ANNL_TRNVR_PRVS_BDR AS ANNL_TRNVR_PRVS_BDR_SIMUL FROM BU_LOANTAPE_WORK.LT003_ENTITY WHERE ref_date='${ref_date}' AND nome_perimetro='Individual Corporativo' AND segmento='ESTR' AND ambito='PM' AND entidade='00100')Y</v>
      </c>
      <c r="K93" s="35" t="str">
        <f>+UPPER("ON X."&amp;VLOOKUP(B93,'0. Instruções'!$C$27:$G$32,4,FALSE)&amp;"=Y."&amp;VLOOKUP(B93,'0. Instruções'!$C$27:$G$32,4,FALSE)&amp;"_SIMUL")</f>
        <v>ON X.ENTTY_ID=Y.ENTTY_ID_SIMUL</v>
      </c>
      <c r="L93" s="35" t="str">
        <f>+IF(C93="Coerência", +IF(LEFT(G93,5)="FLOAT","SELECT '"&amp;UPPER(B93)&amp;"' AS TABELA, '"&amp;UPPER(C93)&amp;"' AS TIPOLOGIA_TESTE,'"&amp;D93&amp;"' AS TABELA_LT,'"&amp;E93&amp;"' AS TABELA_SIMUL,'"&amp;F93&amp;"' AS CAMPO, "&amp;"'${ref_date}' AS REF_DATE, COUNT(*) AS NUM_REG, SUM(IF((ABS(COALESCE(CAST(X."&amp;F93&amp;" AS DECIMAL(18,6)),0)-COALESCE(CAST(Y."&amp;F93&amp;"_SIMUL AS DECIMAL(18,6)),0))&gt;0.000001) OR (X."&amp;F93&amp;" IS NULL AND Y."&amp;F93&amp;"_SIMUL IS NOT NULL ) OR (X."&amp;F93&amp;" IS NOT NULL AND Y."&amp;F93&amp;"_SIMUL IS NULL),1,0)) AS NUM_REG_DIF,'"&amp;MAX('ID1&amp;5'!K:K)+1&amp;"' AS ID_EXEC, CURRENT_TIMESTAMP() AS TIME_EXEC FROM "&amp;I93&amp;" INNER JOIN "&amp;J93&amp;" "&amp;K93,"SELECT '"&amp;UPPER(B93)&amp;"' AS TABELA, '"&amp;UPPER(C93)&amp;"' AS TIPOLOGIA_TESTE,'"&amp;D93&amp;"' AS TABELA_LT,'"&amp;E93&amp;"' AS TABELA_SIMUL,'"&amp;F93&amp;"' AS CAMPO, "&amp;"'${ref_date}' AS REF_DATE, COUNT(*) AS NUM_REG, SUM(IF(COALESCE(CAST(X."&amp;F93&amp;" AS STRING),'')&lt;&gt;COALESCE(CAST(Y."&amp;F93&amp;"_SIMUL AS STRING),'') OR (X."&amp;F93&amp;" IS NULL AND Y."&amp;F93&amp;"_SIMUL IS NOT NULL ) OR (X."&amp;F93&amp;" IS NOT NULL AND Y."&amp;F93&amp;"_SIMUL IS NULL),1,0)) AS NUM_REG_DIF,'"&amp;MAX('ID1&amp;5'!L:L)+1&amp;"' AS ID_EXEC, CURRENT_TIMESTAMP() AS TIME_EXEC FROM "&amp;I93&amp;" INNER JOIN "&amp;J93&amp;" "&amp;K93),
IF(C93="Validade",+IF(G93="Code List","SELECT '"&amp;UPPER(B93)&amp;"' AS TABELA, '"&amp;UPPER(C93)&amp;"' AS TIPOLOGIA_TESTE,'"&amp;D93&amp;"' AS TABELA_LT,'N/A' AS TABELA_SIMUL,'"&amp;F93&amp;"' AS CAMPO, "&amp;"'${ref_date}' AS REF_DATE, COUNT(*) AS NUM_REG, SUM(IF(TRIM(CAST(X."&amp;F93&amp;" AS STRING))='' OR TRIM(CAST(X."&amp;F93&amp;" AS STRING)) IS NULL OR CAST(X."&amp;F93&amp;" AS STRING) NOT "&amp;H93&amp;",1,0)) AS NUM_REG_DIF,'"&amp;MAX('ID1&amp;5'!K:K)+1&amp;"' AS ID_EXEC, CURRENT_TIMESTAMP() AS TIME_EXEC FROM "&amp;I93,"SELECT '"&amp;UPPER(B93)&amp;"' AS TABELA, '"&amp;UPPER(C93)&amp;"' AS TIPOLOGIA_TESTE,'"&amp;D93&amp;"' AS TABELA_LT,'N/A' AS TABELA_SIMUL,'"&amp;F93&amp;"' AS CAMPO, "&amp;"'${ref_date}' AS REF_DATE, COUNT(*) AS NUM_REG, SUM(IF(TRIM(CAST(X."&amp;F93&amp;" AS STRING))='' OR TRIM(CAST(X."&amp;F93&amp;" AS STRING)) IS NULL,1,0)) AS NUM_REG_DIF,'"&amp;MAX('ID1&amp;5'!K:K)+1&amp;"' AS ID_EXEC, CURRENT_TIMESTAMP() AS TIME_EXEC FROM "&amp;I93),
IF(C93="Caracteres Especiais",+"SELECT '"&amp;UPPER(B93)&amp;"' AS TABELA, '"&amp;UPPER(C93)&amp;"' AS TIPOLOGIA_TESTE,'"&amp;D93&amp;"' AS TABELA_LT,'N/A' AS TABELA_SIMUL,'"&amp;F93&amp;"' AS CAMPO, "&amp;"'${ref_date}' AS REF_DATE, COUNT(*) AS NUM_REG, SUM(IF(REGEXP_REPLACE(TRIM(CAST(X."&amp;F93&amp;" AS STRING)),'[^a-zA-Z0-9_\\s]','') &lt;&gt;TRIM(CAST(X."&amp;F93&amp;" AS STRING)),1,0)) AS NUM_REG_DIF,'"&amp;MAX('ID1&amp;5'!K:K)+1&amp;"' AS ID_EXEC, CURRENT_TIMESTAMP() AS TIME_EXEC FROM "&amp;I93,
IF(C93="Missings",+"SELECT '"&amp;UPPER(B93)&amp;"' AS TABELA, '"&amp;UPPER(C93)&amp;"' AS TIPOLOGIA_TESTE,'"&amp;D93&amp;"' AS TABELA_LT,'N/A' AS TABELA_SIMUL,'"&amp;F93&amp;"' AS CAMPO, "&amp;"'${ref_date}' AS REF_DATE, COUNT(*) AS NUM_REG, SUM(IF(TRIM(CAST(X."&amp;F93&amp;" AS STRING)) IN ('0000-00-00','0001-01-01','9999-12-31','MISS','00000','99999999999','99999999999.00','99999999999.000000'),1,0)) AS NUM_REG_DIF,'"&amp;MAX('ID1&amp;5'!K:K)+1&amp;"' AS ID_EXEC, CURRENT_TIMESTAMP() AS TIME_EXEC FROM "&amp;I93,
IF(C93="Not applicable",+"SELECT '"&amp;UPPER(B93)&amp;"' AS TABELA, '"&amp;UPPER(C93)&amp;"' AS TIPOLOGIA_TESTE,'"&amp;D93&amp;"' AS TABELA_LT,'N/A' AS TABELA_SIMUL,'"&amp;F93&amp;"' AS CAMPO, "&amp;"'${ref_date}' AS REF_DATE, COUNT(*) AS NUM_REG, SUM(IF(TRIM(CAST(X."&amp;F93&amp;" AS STRING)) IN ('N/A','11111111111','11111111111.00','11111111111.000000','1111-11-11'),1,0)) AS NUM_REG_DIF,'"&amp;MAX('ID1&amp;5'!K:K)+1&amp;"' AS ID_EXEC, CURRENT_TIMESTAMP() AS TIME_EXEC FROM "&amp;I93,
IF(C93="Valores extremos",+"SELECT '"&amp;UPPER(B93)&amp;"' AS TABELA, '"&amp;UPPER(C93)&amp;"' AS TIPOLOGIA_TESTE,'"&amp;D93&amp;"' AS TABELA_LT,'N/A' AS TABELA_SIMUL,'"&amp;F93&amp;"' AS CAMPO, "&amp;"'${ref_date}' AS REF_DATE, CAST(MIN("&amp;F93&amp;") AS STRING) AS VALOR_MIN, CAST(MAX("&amp;F93&amp;") AS STRING) AS VALOR_MAX,'"&amp;MAX('ID1&amp;5'!K:K)+1&amp;"' AS ID_EXEC, CURRENT_TIMESTAMP() AS TIME_EXEC FROM "&amp;MID(I93,1,LEN(I93)-2)&amp;" AND CAST("&amp;F93&amp;"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TABELA_SIMUL,'ANNL_TRNVR_PRVS_BDR' AS CAMPO, '${ref_date}' AS REF_DATE, COUNT(*) AS NUM_REG, SUM(IF(COALESCE(CAST(X.ANNL_TRNVR_PRVS_BDR AS STRING),'')&lt;&gt;COALESCE(CAST(Y.ANNL_TRNVR_PRVS_BDR_SIMUL AS STRING),'') OR (X.ANNL_TRNVR_PRVS_BDR IS NULL AND Y.ANNL_TRNVR_PRVS_BDR_SIMUL IS NOT NULL ) OR (X.ANNL_TRNVR_PRVS_BDR IS NOT NULL AND Y.ANNL_TRNVR_PRVS_BDR_SIMUL IS NULL),1,0)) AS NUM_REG_DIF,'1' AS ID_EXEC, CURRENT_TIMESTAMP() AS TIME_EXEC FROM (SELECT entty_id, ANNL_TRNVR_PRVS_BDR FROM CD_LOAN_TAPES_BCE.LT003_ENTITY WHERE ref_date='${ref_date}' AND nome_perimetro='Individual Corporativo' AND segmento='ESTR' AND ambito='PM' AND entidade='00100')X INNER JOIN (SELECT entty_id AS entty_id_SIMUL, ANNL_TRNVR_PRVS_BDR AS ANNL_TRNVR_PRVS_BDR_SIMUL FROM BU_LOANTAPE_WORK.LT003_ENTITY WHERE ref_date='${ref_date}' AND nome_perimetro='Individual Corporativo' AND segmento='ESTR' AND ambito='PM' AND entidade='00100')Y ON X.ENTTY_ID=Y.ENTTY_ID_SIMUL</v>
      </c>
      <c r="M93" s="36" t="str">
        <f t="shared" si="1"/>
        <v>UNION ALL SELECT 'ENTITY' AS TABELA, 'COERÊNCIA' AS TIPOLOGIA_TESTE,'CD_LOAN_TAPES_BCE.LT003_ENTITY' AS TABELA_LT,'BU_LOANTAPE_WORK.LT003_ENTITY' AS TABELA_SIMUL,'ANNL_TRNVR_PRVS_BDR' AS CAMPO, '${ref_date}' AS REF_DATE, COUNT(*) AS NUM_REG, SUM(IF(COALESCE(CAST(X.ANNL_TRNVR_PRVS_BDR AS STRING),'')&lt;&gt;COALESCE(CAST(Y.ANNL_TRNVR_PRVS_BDR_SIMUL AS STRING),'') OR (X.ANNL_TRNVR_PRVS_BDR IS NULL AND Y.ANNL_TRNVR_PRVS_BDR_SIMUL IS NOT NULL ) OR (X.ANNL_TRNVR_PRVS_BDR IS NOT NULL AND Y.ANNL_TRNVR_PRVS_BDR_SIMUL IS NULL),1,0)) AS NUM_REG_DIF,'1' AS ID_EXEC, CURRENT_TIMESTAMP() AS TIME_EXEC FROM (SELECT entty_id, ANNL_TRNVR_PRVS_BDR FROM CD_LOAN_TAPES_BCE.LT003_ENTITY WHERE ref_date='${ref_date}' AND nome_perimetro='Individual Corporativo' AND segmento='ESTR' AND ambito='PM' AND entidade='00100')X INNER JOIN (SELECT entty_id AS entty_id_SIMUL, ANNL_TRNVR_PRVS_BDR AS ANNL_TRNVR_PRVS_BDR_SIMUL FROM BU_LOANTAPE_WORK.LT003_ENTITY WHERE ref_date='${ref_date}' AND nome_perimetro='Individual Corporativo' AND segmento='ESTR' AND ambito='PM' AND entidade='00100')Y ON X.ENTTY_ID=Y.ENTTY_ID_SIMUL</v>
      </c>
      <c r="N93" s="38" t="s">
        <v>46</v>
      </c>
    </row>
    <row r="94" spans="2:14">
      <c r="B94" s="34" t="s">
        <v>127</v>
      </c>
      <c r="C94" s="34" t="s">
        <v>5</v>
      </c>
      <c r="D94" s="34" t="str">
        <f>+UPPER('0. Instruções'!$D$35&amp;"."&amp;VLOOKUP(B94,'0. Instruções'!$C$27:$D$32,2,FALSE))</f>
        <v>CD_LOAN_TAPES_BCE.LT003_ENTITY</v>
      </c>
      <c r="E94" s="34" t="str">
        <f>+UPPER('0. Instruções'!$D$36&amp;"."&amp;VLOOKUP(B94,'0. Instruções'!$C$27:$E$32,3,FALSE))</f>
        <v>BU_LOANTAPE_WORK.LT003_ENTITY</v>
      </c>
      <c r="F94" s="34" t="s">
        <v>400</v>
      </c>
      <c r="G94" s="34"/>
      <c r="H94" s="34" t="s">
        <v>646</v>
      </c>
      <c r="I94" s="34" t="str">
        <f>"(SELECT "&amp;VLOOKUP(B94,'0. Instruções'!$C$27:$G$32,4,FALSE)&amp;", "&amp;F94&amp;" FROM "&amp;D94&amp;" WHERE "&amp;'0. Instruções'!$D$42&amp;")X"</f>
        <v>(SELECT entty_id, OSI_ID FROM CD_LOAN_TAPES_BCE.LT003_ENTITY WHERE ref_date='${ref_date}' AND nome_perimetro='Individual Corporativo' AND segmento='ESTR' AND ambito='PM' AND entidade='00100')X</v>
      </c>
      <c r="J94" s="34" t="str">
        <f>"(SELECT "&amp;VLOOKUP(B94,'0. Instruções'!$C$27:$G$32,4,FALSE)&amp;" AS "&amp;VLOOKUP(B94,'0. Instruções'!$C$27:$G$32,4,FALSE)&amp;"_SIMUL, "&amp;F94&amp;" AS "&amp;F94&amp;"_SIMUL FROM "&amp;E94&amp;" WHERE "&amp;'0. Instruções'!$D$43&amp;")Y"</f>
        <v>(SELECT entty_id AS entty_id_SIMUL, OSI_ID AS OSI_ID_SIMUL FROM BU_LOANTAPE_WORK.LT003_ENTITY WHERE ref_date='${ref_date}' AND nome_perimetro='Individual Corporativo' AND segmento='ESTR' AND ambito='PM' AND entidade='00100')Y</v>
      </c>
      <c r="K94" s="35" t="str">
        <f>+UPPER("ON X."&amp;VLOOKUP(B94,'0. Instruções'!$C$27:$G$32,4,FALSE)&amp;"=Y."&amp;VLOOKUP(B94,'0. Instruções'!$C$27:$G$32,4,FALSE)&amp;"_SIMUL")</f>
        <v>ON X.ENTTY_ID=Y.ENTTY_ID_SIMUL</v>
      </c>
      <c r="L94" s="35" t="str">
        <f>+IF(C94="Coerência", +IF(LEFT(G94,5)="FLOAT","SELECT '"&amp;UPPER(B94)&amp;"' AS TABELA, '"&amp;UPPER(C94)&amp;"' AS TIPOLOGIA_TESTE,'"&amp;D94&amp;"' AS TABELA_LT,'"&amp;E94&amp;"' AS TABELA_SIMUL,'"&amp;F94&amp;"' AS CAMPO, "&amp;"'${ref_date}' AS REF_DATE, COUNT(*) AS NUM_REG, SUM(IF((ABS(COALESCE(CAST(X."&amp;F94&amp;" AS DECIMAL(18,6)),0)-COALESCE(CAST(Y."&amp;F94&amp;"_SIMUL AS DECIMAL(18,6)),0))&gt;0.000001) OR (X."&amp;F94&amp;" IS NULL AND Y."&amp;F94&amp;"_SIMUL IS NOT NULL ) OR (X."&amp;F94&amp;" IS NOT NULL AND Y."&amp;F94&amp;"_SIMUL IS NULL),1,0)) AS NUM_REG_DIF,'"&amp;MAX('ID1&amp;5'!K:K)+1&amp;"' AS ID_EXEC, CURRENT_TIMESTAMP() AS TIME_EXEC FROM "&amp;I94&amp;" INNER JOIN "&amp;J94&amp;" "&amp;K94,"SELECT '"&amp;UPPER(B94)&amp;"' AS TABELA, '"&amp;UPPER(C94)&amp;"' AS TIPOLOGIA_TESTE,'"&amp;D94&amp;"' AS TABELA_LT,'"&amp;E94&amp;"' AS TABELA_SIMUL,'"&amp;F94&amp;"' AS CAMPO, "&amp;"'${ref_date}' AS REF_DATE, COUNT(*) AS NUM_REG, SUM(IF(COALESCE(CAST(X."&amp;F94&amp;" AS STRING),'')&lt;&gt;COALESCE(CAST(Y."&amp;F94&amp;"_SIMUL AS STRING),'') OR (X."&amp;F94&amp;" IS NULL AND Y."&amp;F94&amp;"_SIMUL IS NOT NULL ) OR (X."&amp;F94&amp;" IS NOT NULL AND Y."&amp;F94&amp;"_SIMUL IS NULL),1,0)) AS NUM_REG_DIF,'"&amp;MAX('ID1&amp;5'!L:L)+1&amp;"' AS ID_EXEC, CURRENT_TIMESTAMP() AS TIME_EXEC FROM "&amp;I94&amp;" INNER JOIN "&amp;J94&amp;" "&amp;K94),
IF(C94="Validade",+IF(G94="Code List","SELECT '"&amp;UPPER(B94)&amp;"' AS TABELA, '"&amp;UPPER(C94)&amp;"' AS TIPOLOGIA_TESTE,'"&amp;D94&amp;"' AS TABELA_LT,'N/A' AS TABELA_SIMUL,'"&amp;F94&amp;"' AS CAMPO, "&amp;"'${ref_date}' AS REF_DATE, COUNT(*) AS NUM_REG, SUM(IF(TRIM(CAST(X."&amp;F94&amp;" AS STRING))='' OR TRIM(CAST(X."&amp;F94&amp;" AS STRING)) IS NULL OR CAST(X."&amp;F94&amp;" AS STRING) NOT "&amp;H94&amp;",1,0)) AS NUM_REG_DIF,'"&amp;MAX('ID1&amp;5'!K:K)+1&amp;"' AS ID_EXEC, CURRENT_TIMESTAMP() AS TIME_EXEC FROM "&amp;I94,"SELECT '"&amp;UPPER(B94)&amp;"' AS TABELA, '"&amp;UPPER(C94)&amp;"' AS TIPOLOGIA_TESTE,'"&amp;D94&amp;"' AS TABELA_LT,'N/A' AS TABELA_SIMUL,'"&amp;F94&amp;"' AS CAMPO, "&amp;"'${ref_date}' AS REF_DATE, COUNT(*) AS NUM_REG, SUM(IF(TRIM(CAST(X."&amp;F94&amp;" AS STRING))='' OR TRIM(CAST(X."&amp;F94&amp;" AS STRING)) IS NULL,1,0)) AS NUM_REG_DIF,'"&amp;MAX('ID1&amp;5'!K:K)+1&amp;"' AS ID_EXEC, CURRENT_TIMESTAMP() AS TIME_EXEC FROM "&amp;I94),
IF(C94="Caracteres Especiais",+"SELECT '"&amp;UPPER(B94)&amp;"' AS TABELA, '"&amp;UPPER(C94)&amp;"' AS TIPOLOGIA_TESTE,'"&amp;D94&amp;"' AS TABELA_LT,'N/A' AS TABELA_SIMUL,'"&amp;F94&amp;"' AS CAMPO, "&amp;"'${ref_date}' AS REF_DATE, COUNT(*) AS NUM_REG, SUM(IF(REGEXP_REPLACE(TRIM(CAST(X."&amp;F94&amp;" AS STRING)),'[^a-zA-Z0-9_\\s]','') &lt;&gt;TRIM(CAST(X."&amp;F94&amp;" AS STRING)),1,0)) AS NUM_REG_DIF,'"&amp;MAX('ID1&amp;5'!K:K)+1&amp;"' AS ID_EXEC, CURRENT_TIMESTAMP() AS TIME_EXEC FROM "&amp;I94,
IF(C94="Missings",+"SELECT '"&amp;UPPER(B94)&amp;"' AS TABELA, '"&amp;UPPER(C94)&amp;"' AS TIPOLOGIA_TESTE,'"&amp;D94&amp;"' AS TABELA_LT,'N/A' AS TABELA_SIMUL,'"&amp;F94&amp;"' AS CAMPO, "&amp;"'${ref_date}' AS REF_DATE, COUNT(*) AS NUM_REG, SUM(IF(TRIM(CAST(X."&amp;F94&amp;" AS STRING)) IN ('0000-00-00','0001-01-01','9999-12-31','MISS','00000','99999999999','99999999999.00','99999999999.000000'),1,0)) AS NUM_REG_DIF,'"&amp;MAX('ID1&amp;5'!K:K)+1&amp;"' AS ID_EXEC, CURRENT_TIMESTAMP() AS TIME_EXEC FROM "&amp;I94,
IF(C94="Not applicable",+"SELECT '"&amp;UPPER(B94)&amp;"' AS TABELA, '"&amp;UPPER(C94)&amp;"' AS TIPOLOGIA_TESTE,'"&amp;D94&amp;"' AS TABELA_LT,'N/A' AS TABELA_SIMUL,'"&amp;F94&amp;"' AS CAMPO, "&amp;"'${ref_date}' AS REF_DATE, COUNT(*) AS NUM_REG, SUM(IF(TRIM(CAST(X."&amp;F94&amp;" AS STRING)) IN ('N/A','11111111111','11111111111.00','11111111111.000000','1111-11-11'),1,0)) AS NUM_REG_DIF,'"&amp;MAX('ID1&amp;5'!K:K)+1&amp;"' AS ID_EXEC, CURRENT_TIMESTAMP() AS TIME_EXEC FROM "&amp;I94,
IF(C94="Valores extremos",+"SELECT '"&amp;UPPER(B94)&amp;"' AS TABELA, '"&amp;UPPER(C94)&amp;"' AS TIPOLOGIA_TESTE,'"&amp;D94&amp;"' AS TABELA_LT,'N/A' AS TABELA_SIMUL,'"&amp;F94&amp;"' AS CAMPO, "&amp;"'${ref_date}' AS REF_DATE, CAST(MIN("&amp;F94&amp;") AS STRING) AS VALOR_MIN, CAST(MAX("&amp;F94&amp;") AS STRING) AS VALOR_MAX,'"&amp;MAX('ID1&amp;5'!K:K)+1&amp;"' AS ID_EXEC, CURRENT_TIMESTAMP() AS TIME_EXEC FROM "&amp;MID(I94,1,LEN(I94)-2)&amp;" AND CAST("&amp;F94&amp;"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TABELA_SIMUL,'OSI_ID' AS CAMPO, '${ref_date}' AS REF_DATE, COUNT(*) AS NUM_REG, SUM(IF(COALESCE(CAST(X.OSI_ID AS STRING),'')&lt;&gt;COALESCE(CAST(Y.OSI_ID_SIMUL AS STRING),'') OR (X.OSI_ID IS NULL AND Y.OSI_ID_SIMUL IS NOT NULL ) OR (X.OSI_ID IS NOT NULL AND Y.OSI_ID_SIMUL IS NULL),1,0)) AS NUM_REG_DIF,'1' AS ID_EXEC, CURRENT_TIMESTAMP() AS TIME_EXEC FROM (SELECT entty_id, OSI_ID FROM CD_LOAN_TAPES_BCE.LT003_ENTITY WHERE ref_date='${ref_date}' AND nome_perimetro='Individual Corporativo' AND segmento='ESTR' AND ambito='PM' AND entidade='00100')X INNER JOIN (SELECT entty_id AS entty_id_SIMUL, OSI_ID AS OSI_ID_SIMUL FROM BU_LOANTAPE_WORK.LT003_ENTITY WHERE ref_date='${ref_date}' AND nome_perimetro='Individual Corporativo' AND segmento='ESTR' AND ambito='PM' AND entidade='00100')Y ON X.ENTTY_ID=Y.ENTTY_ID_SIMUL</v>
      </c>
      <c r="M94" s="36" t="str">
        <f t="shared" si="1"/>
        <v>UNION ALL SELECT 'ENTITY' AS TABELA, 'COERÊNCIA' AS TIPOLOGIA_TESTE,'CD_LOAN_TAPES_BCE.LT003_ENTITY' AS TABELA_LT,'BU_LOANTAPE_WORK.LT003_ENTITY' AS TABELA_SIMUL,'OSI_ID' AS CAMPO, '${ref_date}' AS REF_DATE, COUNT(*) AS NUM_REG, SUM(IF(COALESCE(CAST(X.OSI_ID AS STRING),'')&lt;&gt;COALESCE(CAST(Y.OSI_ID_SIMUL AS STRING),'') OR (X.OSI_ID IS NULL AND Y.OSI_ID_SIMUL IS NOT NULL ) OR (X.OSI_ID IS NOT NULL AND Y.OSI_ID_SIMUL IS NULL),1,0)) AS NUM_REG_DIF,'1' AS ID_EXEC, CURRENT_TIMESTAMP() AS TIME_EXEC FROM (SELECT entty_id, OSI_ID FROM CD_LOAN_TAPES_BCE.LT003_ENTITY WHERE ref_date='${ref_date}' AND nome_perimetro='Individual Corporativo' AND segmento='ESTR' AND ambito='PM' AND entidade='00100')X INNER JOIN (SELECT entty_id AS entty_id_SIMUL, OSI_ID AS OSI_ID_SIMUL FROM BU_LOANTAPE_WORK.LT003_ENTITY WHERE ref_date='${ref_date}' AND nome_perimetro='Individual Corporativo' AND segmento='ESTR' AND ambito='PM' AND entidade='00100')Y ON X.ENTTY_ID=Y.ENTTY_ID_SIMUL</v>
      </c>
      <c r="N94" s="38" t="s">
        <v>46</v>
      </c>
    </row>
    <row r="95" spans="2:14">
      <c r="B95" s="34" t="s">
        <v>127</v>
      </c>
      <c r="C95" s="34" t="s">
        <v>5</v>
      </c>
      <c r="D95" s="34" t="str">
        <f>+UPPER('0. Instruções'!$D$35&amp;"."&amp;VLOOKUP(B95,'0. Instruções'!$C$27:$D$32,2,FALSE))</f>
        <v>CD_LOAN_TAPES_BCE.LT003_ENTITY</v>
      </c>
      <c r="E95" s="34" t="str">
        <f>+UPPER('0. Instruções'!$D$36&amp;"."&amp;VLOOKUP(B95,'0. Instruções'!$C$27:$E$32,3,FALSE))</f>
        <v>BU_LOANTAPE_WORK.LT003_ENTITY</v>
      </c>
      <c r="F95" s="34" t="s">
        <v>401</v>
      </c>
      <c r="G95" s="34"/>
      <c r="H95" s="35" t="s">
        <v>91</v>
      </c>
      <c r="I95" s="34" t="str">
        <f>"(SELECT "&amp;VLOOKUP(B95,'0. Instruções'!$C$27:$G$32,4,FALSE)&amp;", "&amp;F95&amp;" FROM "&amp;D95&amp;" WHERE "&amp;'0. Instruções'!$D$42&amp;")X"</f>
        <v>(SELECT entty_id, PD_CRR_RD_T1 FROM CD_LOAN_TAPES_BCE.LT003_ENTITY WHERE ref_date='${ref_date}' AND nome_perimetro='Individual Corporativo' AND segmento='ESTR' AND ambito='PM' AND entidade='00100')X</v>
      </c>
      <c r="J95" s="34" t="str">
        <f>"(SELECT "&amp;VLOOKUP(B95,'0. Instruções'!$C$27:$G$32,4,FALSE)&amp;" AS "&amp;VLOOKUP(B95,'0. Instruções'!$C$27:$G$32,4,FALSE)&amp;"_SIMUL, "&amp;F95&amp;" AS "&amp;F95&amp;"_SIMUL FROM "&amp;E95&amp;" WHERE "&amp;'0. Instruções'!$D$43&amp;")Y"</f>
        <v>(SELECT entty_id AS entty_id_SIMUL, PD_CRR_RD_T1 AS PD_CRR_RD_T1_SIMUL FROM BU_LOANTAPE_WORK.LT003_ENTITY WHERE ref_date='${ref_date}' AND nome_perimetro='Individual Corporativo' AND segmento='ESTR' AND ambito='PM' AND entidade='00100')Y</v>
      </c>
      <c r="K95" s="35" t="str">
        <f>+UPPER("ON X."&amp;VLOOKUP(B95,'0. Instruções'!$C$27:$G$32,4,FALSE)&amp;"=Y."&amp;VLOOKUP(B95,'0. Instruções'!$C$27:$G$32,4,FALSE)&amp;"_SIMUL")</f>
        <v>ON X.ENTTY_ID=Y.ENTTY_ID_SIMUL</v>
      </c>
      <c r="L95" s="35" t="str">
        <f>+IF(C95="Coerência", +IF(LEFT(G95,5)="FLOAT","SELECT '"&amp;UPPER(B95)&amp;"' AS TABELA, '"&amp;UPPER(C95)&amp;"' AS TIPOLOGIA_TESTE,'"&amp;D95&amp;"' AS TABELA_LT,'"&amp;E95&amp;"' AS TABELA_SIMUL,'"&amp;F95&amp;"' AS CAMPO, "&amp;"'${ref_date}' AS REF_DATE, COUNT(*) AS NUM_REG, SUM(IF((ABS(COALESCE(CAST(X."&amp;F95&amp;" AS DECIMAL(18,6)),0)-COALESCE(CAST(Y."&amp;F95&amp;"_SIMUL AS DECIMAL(18,6)),0))&gt;0.000001) OR (X."&amp;F95&amp;" IS NULL AND Y."&amp;F95&amp;"_SIMUL IS NOT NULL ) OR (X."&amp;F95&amp;" IS NOT NULL AND Y."&amp;F95&amp;"_SIMUL IS NULL),1,0)) AS NUM_REG_DIF,'"&amp;MAX('ID1&amp;5'!K:K)+1&amp;"' AS ID_EXEC, CURRENT_TIMESTAMP() AS TIME_EXEC FROM "&amp;I95&amp;" INNER JOIN "&amp;J95&amp;" "&amp;K95,"SELECT '"&amp;UPPER(B95)&amp;"' AS TABELA, '"&amp;UPPER(C95)&amp;"' AS TIPOLOGIA_TESTE,'"&amp;D95&amp;"' AS TABELA_LT,'"&amp;E95&amp;"' AS TABELA_SIMUL,'"&amp;F95&amp;"' AS CAMPO, "&amp;"'${ref_date}' AS REF_DATE, COUNT(*) AS NUM_REG, SUM(IF(COALESCE(CAST(X."&amp;F95&amp;" AS STRING),'')&lt;&gt;COALESCE(CAST(Y."&amp;F95&amp;"_SIMUL AS STRING),'') OR (X."&amp;F95&amp;" IS NULL AND Y."&amp;F95&amp;"_SIMUL IS NOT NULL ) OR (X."&amp;F95&amp;" IS NOT NULL AND Y."&amp;F95&amp;"_SIMUL IS NULL),1,0)) AS NUM_REG_DIF,'"&amp;MAX('ID1&amp;5'!L:L)+1&amp;"' AS ID_EXEC, CURRENT_TIMESTAMP() AS TIME_EXEC FROM "&amp;I95&amp;" INNER JOIN "&amp;J95&amp;" "&amp;K95),
IF(C95="Validade",+IF(G95="Code List","SELECT '"&amp;UPPER(B95)&amp;"' AS TABELA, '"&amp;UPPER(C95)&amp;"' AS TIPOLOGIA_TESTE,'"&amp;D95&amp;"' AS TABELA_LT,'N/A' AS TABELA_SIMUL,'"&amp;F95&amp;"' AS CAMPO, "&amp;"'${ref_date}' AS REF_DATE, COUNT(*) AS NUM_REG, SUM(IF(TRIM(CAST(X."&amp;F95&amp;" AS STRING))='' OR TRIM(CAST(X."&amp;F95&amp;" AS STRING)) IS NULL OR CAST(X."&amp;F95&amp;" AS STRING) NOT "&amp;H95&amp;",1,0)) AS NUM_REG_DIF,'"&amp;MAX('ID1&amp;5'!K:K)+1&amp;"' AS ID_EXEC, CURRENT_TIMESTAMP() AS TIME_EXEC FROM "&amp;I95,"SELECT '"&amp;UPPER(B95)&amp;"' AS TABELA, '"&amp;UPPER(C95)&amp;"' AS TIPOLOGIA_TESTE,'"&amp;D95&amp;"' AS TABELA_LT,'N/A' AS TABELA_SIMUL,'"&amp;F95&amp;"' AS CAMPO, "&amp;"'${ref_date}' AS REF_DATE, COUNT(*) AS NUM_REG, SUM(IF(TRIM(CAST(X."&amp;F95&amp;" AS STRING))='' OR TRIM(CAST(X."&amp;F95&amp;" AS STRING)) IS NULL,1,0)) AS NUM_REG_DIF,'"&amp;MAX('ID1&amp;5'!K:K)+1&amp;"' AS ID_EXEC, CURRENT_TIMESTAMP() AS TIME_EXEC FROM "&amp;I95),
IF(C95="Caracteres Especiais",+"SELECT '"&amp;UPPER(B95)&amp;"' AS TABELA, '"&amp;UPPER(C95)&amp;"' AS TIPOLOGIA_TESTE,'"&amp;D95&amp;"' AS TABELA_LT,'N/A' AS TABELA_SIMUL,'"&amp;F95&amp;"' AS CAMPO, "&amp;"'${ref_date}' AS REF_DATE, COUNT(*) AS NUM_REG, SUM(IF(REGEXP_REPLACE(TRIM(CAST(X."&amp;F95&amp;" AS STRING)),'[^a-zA-Z0-9_\\s]','') &lt;&gt;TRIM(CAST(X."&amp;F95&amp;" AS STRING)),1,0)) AS NUM_REG_DIF,'"&amp;MAX('ID1&amp;5'!K:K)+1&amp;"' AS ID_EXEC, CURRENT_TIMESTAMP() AS TIME_EXEC FROM "&amp;I95,
IF(C95="Missings",+"SELECT '"&amp;UPPER(B95)&amp;"' AS TABELA, '"&amp;UPPER(C95)&amp;"' AS TIPOLOGIA_TESTE,'"&amp;D95&amp;"' AS TABELA_LT,'N/A' AS TABELA_SIMUL,'"&amp;F95&amp;"' AS CAMPO, "&amp;"'${ref_date}' AS REF_DATE, COUNT(*) AS NUM_REG, SUM(IF(TRIM(CAST(X."&amp;F95&amp;" AS STRING)) IN ('0000-00-00','0001-01-01','9999-12-31','MISS','00000','99999999999','99999999999.00','99999999999.000000'),1,0)) AS NUM_REG_DIF,'"&amp;MAX('ID1&amp;5'!K:K)+1&amp;"' AS ID_EXEC, CURRENT_TIMESTAMP() AS TIME_EXEC FROM "&amp;I95,
IF(C95="Not applicable",+"SELECT '"&amp;UPPER(B95)&amp;"' AS TABELA, '"&amp;UPPER(C95)&amp;"' AS TIPOLOGIA_TESTE,'"&amp;D95&amp;"' AS TABELA_LT,'N/A' AS TABELA_SIMUL,'"&amp;F95&amp;"' AS CAMPO, "&amp;"'${ref_date}' AS REF_DATE, COUNT(*) AS NUM_REG, SUM(IF(TRIM(CAST(X."&amp;F95&amp;" AS STRING)) IN ('N/A','11111111111','11111111111.00','11111111111.000000','1111-11-11'),1,0)) AS NUM_REG_DIF,'"&amp;MAX('ID1&amp;5'!K:K)+1&amp;"' AS ID_EXEC, CURRENT_TIMESTAMP() AS TIME_EXEC FROM "&amp;I95,
IF(C95="Valores extremos",+"SELECT '"&amp;UPPER(B95)&amp;"' AS TABELA, '"&amp;UPPER(C95)&amp;"' AS TIPOLOGIA_TESTE,'"&amp;D95&amp;"' AS TABELA_LT,'N/A' AS TABELA_SIMUL,'"&amp;F95&amp;"' AS CAMPO, "&amp;"'${ref_date}' AS REF_DATE, CAST(MIN("&amp;F95&amp;") AS STRING) AS VALOR_MIN, CAST(MAX("&amp;F95&amp;") AS STRING) AS VALOR_MAX,'"&amp;MAX('ID1&amp;5'!K:K)+1&amp;"' AS ID_EXEC, CURRENT_TIMESTAMP() AS TIME_EXEC FROM "&amp;MID(I95,1,LEN(I95)-2)&amp;" AND CAST("&amp;F95&amp;"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TABELA_SIMUL,'PD_CRR_RD_T1' AS CAMPO, '${ref_date}' AS REF_DATE, COUNT(*) AS NUM_REG, SUM(IF(COALESCE(CAST(X.PD_CRR_RD_T1 AS STRING),'')&lt;&gt;COALESCE(CAST(Y.PD_CRR_RD_T1_SIMUL AS STRING),'') OR (X.PD_CRR_RD_T1 IS NULL AND Y.PD_CRR_RD_T1_SIMUL IS NOT NULL ) OR (X.PD_CRR_RD_T1 IS NOT NULL AND Y.PD_CRR_RD_T1_SIMUL IS NULL),1,0)) AS NUM_REG_DIF,'1' AS ID_EXEC, CURRENT_TIMESTAMP() AS TIME_EXEC FROM (SELECT entty_id, PD_CRR_RD_T1 FROM CD_LOAN_TAPES_BCE.LT003_ENTITY WHERE ref_date='${ref_date}' AND nome_perimetro='Individual Corporativo' AND segmento='ESTR' AND ambito='PM' AND entidade='00100')X INNER JOIN (SELECT entty_id AS entty_id_SIMUL, PD_CRR_RD_T1 AS PD_CRR_RD_T1_SIMUL FROM BU_LOANTAPE_WORK.LT003_ENTITY WHERE ref_date='${ref_date}' AND nome_perimetro='Individual Corporativo' AND segmento='ESTR' AND ambito='PM' AND entidade='00100')Y ON X.ENTTY_ID=Y.ENTTY_ID_SIMUL</v>
      </c>
      <c r="M95" s="36" t="str">
        <f t="shared" si="1"/>
        <v>UNION ALL SELECT 'ENTITY' AS TABELA, 'COERÊNCIA' AS TIPOLOGIA_TESTE,'CD_LOAN_TAPES_BCE.LT003_ENTITY' AS TABELA_LT,'BU_LOANTAPE_WORK.LT003_ENTITY' AS TABELA_SIMUL,'PD_CRR_RD_T1' AS CAMPO, '${ref_date}' AS REF_DATE, COUNT(*) AS NUM_REG, SUM(IF(COALESCE(CAST(X.PD_CRR_RD_T1 AS STRING),'')&lt;&gt;COALESCE(CAST(Y.PD_CRR_RD_T1_SIMUL AS STRING),'') OR (X.PD_CRR_RD_T1 IS NULL AND Y.PD_CRR_RD_T1_SIMUL IS NOT NULL ) OR (X.PD_CRR_RD_T1 IS NOT NULL AND Y.PD_CRR_RD_T1_SIMUL IS NULL),1,0)) AS NUM_REG_DIF,'1' AS ID_EXEC, CURRENT_TIMESTAMP() AS TIME_EXEC FROM (SELECT entty_id, PD_CRR_RD_T1 FROM CD_LOAN_TAPES_BCE.LT003_ENTITY WHERE ref_date='${ref_date}' AND nome_perimetro='Individual Corporativo' AND segmento='ESTR' AND ambito='PM' AND entidade='00100')X INNER JOIN (SELECT entty_id AS entty_id_SIMUL, PD_CRR_RD_T1 AS PD_CRR_RD_T1_SIMUL FROM BU_LOANTAPE_WORK.LT003_ENTITY WHERE ref_date='${ref_date}' AND nome_perimetro='Individual Corporativo' AND segmento='ESTR' AND ambito='PM' AND entidade='00100')Y ON X.ENTTY_ID=Y.ENTTY_ID_SIMUL</v>
      </c>
      <c r="N95" s="38" t="s">
        <v>46</v>
      </c>
    </row>
    <row r="96" spans="2:14">
      <c r="B96" s="34" t="s">
        <v>127</v>
      </c>
      <c r="C96" s="34" t="s">
        <v>5</v>
      </c>
      <c r="D96" s="34" t="str">
        <f>+UPPER('0. Instruções'!$D$35&amp;"."&amp;VLOOKUP(B96,'0. Instruções'!$C$27:$D$32,2,FALSE))</f>
        <v>CD_LOAN_TAPES_BCE.LT003_ENTITY</v>
      </c>
      <c r="E96" s="34" t="str">
        <f>+UPPER('0. Instruções'!$D$36&amp;"."&amp;VLOOKUP(B96,'0. Instruções'!$C$27:$E$32,3,FALSE))</f>
        <v>BU_LOANTAPE_WORK.LT003_ENTITY</v>
      </c>
      <c r="F96" s="34" t="s">
        <v>402</v>
      </c>
      <c r="G96" s="34"/>
      <c r="H96" s="35" t="s">
        <v>646</v>
      </c>
      <c r="I96" s="34" t="str">
        <f>"(SELECT "&amp;VLOOKUP(B96,'0. Instruções'!$C$27:$G$32,4,FALSE)&amp;", "&amp;F96&amp;" FROM "&amp;D96&amp;" WHERE "&amp;'0. Instruções'!$D$42&amp;")X"</f>
        <v>(SELECT entty_id, EC_GRP_ID FROM CD_LOAN_TAPES_BCE.LT003_ENTITY WHERE ref_date='${ref_date}' AND nome_perimetro='Individual Corporativo' AND segmento='ESTR' AND ambito='PM' AND entidade='00100')X</v>
      </c>
      <c r="J96" s="34" t="str">
        <f>"(SELECT "&amp;VLOOKUP(B96,'0. Instruções'!$C$27:$G$32,4,FALSE)&amp;" AS "&amp;VLOOKUP(B96,'0. Instruções'!$C$27:$G$32,4,FALSE)&amp;"_SIMUL, "&amp;F96&amp;" AS "&amp;F96&amp;"_SIMUL FROM "&amp;E96&amp;" WHERE "&amp;'0. Instruções'!$D$43&amp;")Y"</f>
        <v>(SELECT entty_id AS entty_id_SIMUL, EC_GRP_ID AS EC_GRP_ID_SIMUL FROM BU_LOANTAPE_WORK.LT003_ENTITY WHERE ref_date='${ref_date}' AND nome_perimetro='Individual Corporativo' AND segmento='ESTR' AND ambito='PM' AND entidade='00100')Y</v>
      </c>
      <c r="K96" s="35" t="str">
        <f>+UPPER("ON X."&amp;VLOOKUP(B96,'0. Instruções'!$C$27:$G$32,4,FALSE)&amp;"=Y."&amp;VLOOKUP(B96,'0. Instruções'!$C$27:$G$32,4,FALSE)&amp;"_SIMUL")</f>
        <v>ON X.ENTTY_ID=Y.ENTTY_ID_SIMUL</v>
      </c>
      <c r="L96" s="35" t="str">
        <f>+IF(C96="Coerência", +IF(LEFT(G96,5)="FLOAT","SELECT '"&amp;UPPER(B96)&amp;"' AS TABELA, '"&amp;UPPER(C96)&amp;"' AS TIPOLOGIA_TESTE,'"&amp;D96&amp;"' AS TABELA_LT,'"&amp;E96&amp;"' AS TABELA_SIMUL,'"&amp;F96&amp;"' AS CAMPO, "&amp;"'${ref_date}' AS REF_DATE, COUNT(*) AS NUM_REG, SUM(IF((ABS(COALESCE(CAST(X."&amp;F96&amp;" AS DECIMAL(18,6)),0)-COALESCE(CAST(Y."&amp;F96&amp;"_SIMUL AS DECIMAL(18,6)),0))&gt;0.000001) OR (X."&amp;F96&amp;" IS NULL AND Y."&amp;F96&amp;"_SIMUL IS NOT NULL ) OR (X."&amp;F96&amp;" IS NOT NULL AND Y."&amp;F96&amp;"_SIMUL IS NULL),1,0)) AS NUM_REG_DIF,'"&amp;MAX('ID1&amp;5'!K:K)+1&amp;"' AS ID_EXEC, CURRENT_TIMESTAMP() AS TIME_EXEC FROM "&amp;I96&amp;" INNER JOIN "&amp;J96&amp;" "&amp;K96,"SELECT '"&amp;UPPER(B96)&amp;"' AS TABELA, '"&amp;UPPER(C96)&amp;"' AS TIPOLOGIA_TESTE,'"&amp;D96&amp;"' AS TABELA_LT,'"&amp;E96&amp;"' AS TABELA_SIMUL,'"&amp;F96&amp;"' AS CAMPO, "&amp;"'${ref_date}' AS REF_DATE, COUNT(*) AS NUM_REG, SUM(IF(COALESCE(CAST(X."&amp;F96&amp;" AS STRING),'')&lt;&gt;COALESCE(CAST(Y."&amp;F96&amp;"_SIMUL AS STRING),'') OR (X."&amp;F96&amp;" IS NULL AND Y."&amp;F96&amp;"_SIMUL IS NOT NULL ) OR (X."&amp;F96&amp;" IS NOT NULL AND Y."&amp;F96&amp;"_SIMUL IS NULL),1,0)) AS NUM_REG_DIF,'"&amp;MAX('ID1&amp;5'!L:L)+1&amp;"' AS ID_EXEC, CURRENT_TIMESTAMP() AS TIME_EXEC FROM "&amp;I96&amp;" INNER JOIN "&amp;J96&amp;" "&amp;K96),
IF(C96="Validade",+IF(G96="Code List","SELECT '"&amp;UPPER(B96)&amp;"' AS TABELA, '"&amp;UPPER(C96)&amp;"' AS TIPOLOGIA_TESTE,'"&amp;D96&amp;"' AS TABELA_LT,'N/A' AS TABELA_SIMUL,'"&amp;F96&amp;"' AS CAMPO, "&amp;"'${ref_date}' AS REF_DATE, COUNT(*) AS NUM_REG, SUM(IF(TRIM(CAST(X."&amp;F96&amp;" AS STRING))='' OR TRIM(CAST(X."&amp;F96&amp;" AS STRING)) IS NULL OR CAST(X."&amp;F96&amp;" AS STRING) NOT "&amp;H96&amp;",1,0)) AS NUM_REG_DIF,'"&amp;MAX('ID1&amp;5'!K:K)+1&amp;"' AS ID_EXEC, CURRENT_TIMESTAMP() AS TIME_EXEC FROM "&amp;I96,"SELECT '"&amp;UPPER(B96)&amp;"' AS TABELA, '"&amp;UPPER(C96)&amp;"' AS TIPOLOGIA_TESTE,'"&amp;D96&amp;"' AS TABELA_LT,'N/A' AS TABELA_SIMUL,'"&amp;F96&amp;"' AS CAMPO, "&amp;"'${ref_date}' AS REF_DATE, COUNT(*) AS NUM_REG, SUM(IF(TRIM(CAST(X."&amp;F96&amp;" AS STRING))='' OR TRIM(CAST(X."&amp;F96&amp;" AS STRING)) IS NULL,1,0)) AS NUM_REG_DIF,'"&amp;MAX('ID1&amp;5'!K:K)+1&amp;"' AS ID_EXEC, CURRENT_TIMESTAMP() AS TIME_EXEC FROM "&amp;I96),
IF(C96="Caracteres Especiais",+"SELECT '"&amp;UPPER(B96)&amp;"' AS TABELA, '"&amp;UPPER(C96)&amp;"' AS TIPOLOGIA_TESTE,'"&amp;D96&amp;"' AS TABELA_LT,'N/A' AS TABELA_SIMUL,'"&amp;F96&amp;"' AS CAMPO, "&amp;"'${ref_date}' AS REF_DATE, COUNT(*) AS NUM_REG, SUM(IF(REGEXP_REPLACE(TRIM(CAST(X."&amp;F96&amp;" AS STRING)),'[^a-zA-Z0-9_\\s]','') &lt;&gt;TRIM(CAST(X."&amp;F96&amp;" AS STRING)),1,0)) AS NUM_REG_DIF,'"&amp;MAX('ID1&amp;5'!K:K)+1&amp;"' AS ID_EXEC, CURRENT_TIMESTAMP() AS TIME_EXEC FROM "&amp;I96,
IF(C96="Missings",+"SELECT '"&amp;UPPER(B96)&amp;"' AS TABELA, '"&amp;UPPER(C96)&amp;"' AS TIPOLOGIA_TESTE,'"&amp;D96&amp;"' AS TABELA_LT,'N/A' AS TABELA_SIMUL,'"&amp;F96&amp;"' AS CAMPO, "&amp;"'${ref_date}' AS REF_DATE, COUNT(*) AS NUM_REG, SUM(IF(TRIM(CAST(X."&amp;F96&amp;" AS STRING)) IN ('0000-00-00','0001-01-01','9999-12-31','MISS','00000','99999999999','99999999999.00','99999999999.000000'),1,0)) AS NUM_REG_DIF,'"&amp;MAX('ID1&amp;5'!K:K)+1&amp;"' AS ID_EXEC, CURRENT_TIMESTAMP() AS TIME_EXEC FROM "&amp;I96,
IF(C96="Not applicable",+"SELECT '"&amp;UPPER(B96)&amp;"' AS TABELA, '"&amp;UPPER(C96)&amp;"' AS TIPOLOGIA_TESTE,'"&amp;D96&amp;"' AS TABELA_LT,'N/A' AS TABELA_SIMUL,'"&amp;F96&amp;"' AS CAMPO, "&amp;"'${ref_date}' AS REF_DATE, COUNT(*) AS NUM_REG, SUM(IF(TRIM(CAST(X."&amp;F96&amp;" AS STRING)) IN ('N/A','11111111111','11111111111.00','11111111111.000000','1111-11-11'),1,0)) AS NUM_REG_DIF,'"&amp;MAX('ID1&amp;5'!K:K)+1&amp;"' AS ID_EXEC, CURRENT_TIMESTAMP() AS TIME_EXEC FROM "&amp;I96,
IF(C96="Valores extremos",+"SELECT '"&amp;UPPER(B96)&amp;"' AS TABELA, '"&amp;UPPER(C96)&amp;"' AS TIPOLOGIA_TESTE,'"&amp;D96&amp;"' AS TABELA_LT,'N/A' AS TABELA_SIMUL,'"&amp;F96&amp;"' AS CAMPO, "&amp;"'${ref_date}' AS REF_DATE, CAST(MIN("&amp;F96&amp;") AS STRING) AS VALOR_MIN, CAST(MAX("&amp;F96&amp;") AS STRING) AS VALOR_MAX,'"&amp;MAX('ID1&amp;5'!K:K)+1&amp;"' AS ID_EXEC, CURRENT_TIMESTAMP() AS TIME_EXEC FROM "&amp;MID(I96,1,LEN(I96)-2)&amp;" AND CAST("&amp;F96&amp;"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TABELA_SIMUL,'EC_GRP_ID' AS CAMPO, '${ref_date}' AS REF_DATE, COUNT(*) AS NUM_REG, SUM(IF(COALESCE(CAST(X.EC_GRP_ID AS STRING),'')&lt;&gt;COALESCE(CAST(Y.EC_GRP_ID_SIMUL AS STRING),'') OR (X.EC_GRP_ID IS NULL AND Y.EC_GRP_ID_SIMUL IS NOT NULL ) OR (X.EC_GRP_ID IS NOT NULL AND Y.EC_GRP_ID_SIMUL IS NULL),1,0)) AS NUM_REG_DIF,'1' AS ID_EXEC, CURRENT_TIMESTAMP() AS TIME_EXEC FROM (SELECT entty_id, EC_GRP_ID FROM CD_LOAN_TAPES_BCE.LT003_ENTITY WHERE ref_date='${ref_date}' AND nome_perimetro='Individual Corporativo' AND segmento='ESTR' AND ambito='PM' AND entidade='00100')X INNER JOIN (SELECT entty_id AS entty_id_SIMUL, EC_GRP_ID AS EC_GRP_ID_SIMUL FROM BU_LOANTAPE_WORK.LT003_ENTITY WHERE ref_date='${ref_date}' AND nome_perimetro='Individual Corporativo' AND segmento='ESTR' AND ambito='PM' AND entidade='00100')Y ON X.ENTTY_ID=Y.ENTTY_ID_SIMUL</v>
      </c>
      <c r="M96" s="36" t="str">
        <f t="shared" si="1"/>
        <v>UNION ALL SELECT 'ENTITY' AS TABELA, 'COERÊNCIA' AS TIPOLOGIA_TESTE,'CD_LOAN_TAPES_BCE.LT003_ENTITY' AS TABELA_LT,'BU_LOANTAPE_WORK.LT003_ENTITY' AS TABELA_SIMUL,'EC_GRP_ID' AS CAMPO, '${ref_date}' AS REF_DATE, COUNT(*) AS NUM_REG, SUM(IF(COALESCE(CAST(X.EC_GRP_ID AS STRING),'')&lt;&gt;COALESCE(CAST(Y.EC_GRP_ID_SIMUL AS STRING),'') OR (X.EC_GRP_ID IS NULL AND Y.EC_GRP_ID_SIMUL IS NOT NULL ) OR (X.EC_GRP_ID IS NOT NULL AND Y.EC_GRP_ID_SIMUL IS NULL),1,0)) AS NUM_REG_DIF,'1' AS ID_EXEC, CURRENT_TIMESTAMP() AS TIME_EXEC FROM (SELECT entty_id, EC_GRP_ID FROM CD_LOAN_TAPES_BCE.LT003_ENTITY WHERE ref_date='${ref_date}' AND nome_perimetro='Individual Corporativo' AND segmento='ESTR' AND ambito='PM' AND entidade='00100')X INNER JOIN (SELECT entty_id AS entty_id_SIMUL, EC_GRP_ID AS EC_GRP_ID_SIMUL FROM BU_LOANTAPE_WORK.LT003_ENTITY WHERE ref_date='${ref_date}' AND nome_perimetro='Individual Corporativo' AND segmento='ESTR' AND ambito='PM' AND entidade='00100')Y ON X.ENTTY_ID=Y.ENTTY_ID_SIMUL</v>
      </c>
      <c r="N96" s="38" t="s">
        <v>46</v>
      </c>
    </row>
    <row r="97" spans="2:14">
      <c r="B97" s="34" t="s">
        <v>127</v>
      </c>
      <c r="C97" s="34" t="s">
        <v>5</v>
      </c>
      <c r="D97" s="34" t="str">
        <f>+UPPER('0. Instruções'!$D$35&amp;"."&amp;VLOOKUP(B97,'0. Instruções'!$C$27:$D$32,2,FALSE))</f>
        <v>CD_LOAN_TAPES_BCE.LT003_ENTITY</v>
      </c>
      <c r="E97" s="34" t="str">
        <f>+UPPER('0. Instruções'!$D$36&amp;"."&amp;VLOOKUP(B97,'0. Instruções'!$C$27:$E$32,3,FALSE))</f>
        <v>BU_LOANTAPE_WORK.LT003_ENTITY</v>
      </c>
      <c r="F97" s="34" t="s">
        <v>403</v>
      </c>
      <c r="G97" s="34"/>
      <c r="H97" s="35" t="s">
        <v>646</v>
      </c>
      <c r="I97" s="34" t="str">
        <f>"(SELECT "&amp;VLOOKUP(B97,'0. Instruções'!$C$27:$G$32,4,FALSE)&amp;", "&amp;F97&amp;" FROM "&amp;D97&amp;" WHERE "&amp;'0. Instruções'!$D$42&amp;")X"</f>
        <v>(SELECT entty_id, EC_GRP_NM FROM CD_LOAN_TAPES_BCE.LT003_ENTITY WHERE ref_date='${ref_date}' AND nome_perimetro='Individual Corporativo' AND segmento='ESTR' AND ambito='PM' AND entidade='00100')X</v>
      </c>
      <c r="J97" s="34" t="str">
        <f>"(SELECT "&amp;VLOOKUP(B97,'0. Instruções'!$C$27:$G$32,4,FALSE)&amp;" AS "&amp;VLOOKUP(B97,'0. Instruções'!$C$27:$G$32,4,FALSE)&amp;"_SIMUL, "&amp;F97&amp;" AS "&amp;F97&amp;"_SIMUL FROM "&amp;E97&amp;" WHERE "&amp;'0. Instruções'!$D$43&amp;")Y"</f>
        <v>(SELECT entty_id AS entty_id_SIMUL, EC_GRP_NM AS EC_GRP_NM_SIMUL FROM BU_LOANTAPE_WORK.LT003_ENTITY WHERE ref_date='${ref_date}' AND nome_perimetro='Individual Corporativo' AND segmento='ESTR' AND ambito='PM' AND entidade='00100')Y</v>
      </c>
      <c r="K97" s="35" t="str">
        <f>+UPPER("ON X."&amp;VLOOKUP(B97,'0. Instruções'!$C$27:$G$32,4,FALSE)&amp;"=Y."&amp;VLOOKUP(B97,'0. Instruções'!$C$27:$G$32,4,FALSE)&amp;"_SIMUL")</f>
        <v>ON X.ENTTY_ID=Y.ENTTY_ID_SIMUL</v>
      </c>
      <c r="L97" s="35" t="str">
        <f>+IF(C97="Coerência", +IF(LEFT(G97,5)="FLOAT","SELECT '"&amp;UPPER(B97)&amp;"' AS TABELA, '"&amp;UPPER(C97)&amp;"' AS TIPOLOGIA_TESTE,'"&amp;D97&amp;"' AS TABELA_LT,'"&amp;E97&amp;"' AS TABELA_SIMUL,'"&amp;F97&amp;"' AS CAMPO, "&amp;"'${ref_date}' AS REF_DATE, COUNT(*) AS NUM_REG, SUM(IF((ABS(COALESCE(CAST(X."&amp;F97&amp;" AS DECIMAL(18,6)),0)-COALESCE(CAST(Y."&amp;F97&amp;"_SIMUL AS DECIMAL(18,6)),0))&gt;0.000001) OR (X."&amp;F97&amp;" IS NULL AND Y."&amp;F97&amp;"_SIMUL IS NOT NULL ) OR (X."&amp;F97&amp;" IS NOT NULL AND Y."&amp;F97&amp;"_SIMUL IS NULL),1,0)) AS NUM_REG_DIF,'"&amp;MAX('ID1&amp;5'!K:K)+1&amp;"' AS ID_EXEC, CURRENT_TIMESTAMP() AS TIME_EXEC FROM "&amp;I97&amp;" INNER JOIN "&amp;J97&amp;" "&amp;K97,"SELECT '"&amp;UPPER(B97)&amp;"' AS TABELA, '"&amp;UPPER(C97)&amp;"' AS TIPOLOGIA_TESTE,'"&amp;D97&amp;"' AS TABELA_LT,'"&amp;E97&amp;"' AS TABELA_SIMUL,'"&amp;F97&amp;"' AS CAMPO, "&amp;"'${ref_date}' AS REF_DATE, COUNT(*) AS NUM_REG, SUM(IF(COALESCE(CAST(X."&amp;F97&amp;" AS STRING),'')&lt;&gt;COALESCE(CAST(Y."&amp;F97&amp;"_SIMUL AS STRING),'') OR (X."&amp;F97&amp;" IS NULL AND Y."&amp;F97&amp;"_SIMUL IS NOT NULL ) OR (X."&amp;F97&amp;" IS NOT NULL AND Y."&amp;F97&amp;"_SIMUL IS NULL),1,0)) AS NUM_REG_DIF,'"&amp;MAX('ID1&amp;5'!L:L)+1&amp;"' AS ID_EXEC, CURRENT_TIMESTAMP() AS TIME_EXEC FROM "&amp;I97&amp;" INNER JOIN "&amp;J97&amp;" "&amp;K97),
IF(C97="Validade",+IF(G97="Code List","SELECT '"&amp;UPPER(B97)&amp;"' AS TABELA, '"&amp;UPPER(C97)&amp;"' AS TIPOLOGIA_TESTE,'"&amp;D97&amp;"' AS TABELA_LT,'N/A' AS TABELA_SIMUL,'"&amp;F97&amp;"' AS CAMPO, "&amp;"'${ref_date}' AS REF_DATE, COUNT(*) AS NUM_REG, SUM(IF(TRIM(CAST(X."&amp;F97&amp;" AS STRING))='' OR TRIM(CAST(X."&amp;F97&amp;" AS STRING)) IS NULL OR CAST(X."&amp;F97&amp;" AS STRING) NOT "&amp;H97&amp;",1,0)) AS NUM_REG_DIF,'"&amp;MAX('ID1&amp;5'!K:K)+1&amp;"' AS ID_EXEC, CURRENT_TIMESTAMP() AS TIME_EXEC FROM "&amp;I97,"SELECT '"&amp;UPPER(B97)&amp;"' AS TABELA, '"&amp;UPPER(C97)&amp;"' AS TIPOLOGIA_TESTE,'"&amp;D97&amp;"' AS TABELA_LT,'N/A' AS TABELA_SIMUL,'"&amp;F97&amp;"' AS CAMPO, "&amp;"'${ref_date}' AS REF_DATE, COUNT(*) AS NUM_REG, SUM(IF(TRIM(CAST(X."&amp;F97&amp;" AS STRING))='' OR TRIM(CAST(X."&amp;F97&amp;" AS STRING)) IS NULL,1,0)) AS NUM_REG_DIF,'"&amp;MAX('ID1&amp;5'!K:K)+1&amp;"' AS ID_EXEC, CURRENT_TIMESTAMP() AS TIME_EXEC FROM "&amp;I97),
IF(C97="Caracteres Especiais",+"SELECT '"&amp;UPPER(B97)&amp;"' AS TABELA, '"&amp;UPPER(C97)&amp;"' AS TIPOLOGIA_TESTE,'"&amp;D97&amp;"' AS TABELA_LT,'N/A' AS TABELA_SIMUL,'"&amp;F97&amp;"' AS CAMPO, "&amp;"'${ref_date}' AS REF_DATE, COUNT(*) AS NUM_REG, SUM(IF(REGEXP_REPLACE(TRIM(CAST(X."&amp;F97&amp;" AS STRING)),'[^a-zA-Z0-9_\\s]','') &lt;&gt;TRIM(CAST(X."&amp;F97&amp;" AS STRING)),1,0)) AS NUM_REG_DIF,'"&amp;MAX('ID1&amp;5'!K:K)+1&amp;"' AS ID_EXEC, CURRENT_TIMESTAMP() AS TIME_EXEC FROM "&amp;I97,
IF(C97="Missings",+"SELECT '"&amp;UPPER(B97)&amp;"' AS TABELA, '"&amp;UPPER(C97)&amp;"' AS TIPOLOGIA_TESTE,'"&amp;D97&amp;"' AS TABELA_LT,'N/A' AS TABELA_SIMUL,'"&amp;F97&amp;"' AS CAMPO, "&amp;"'${ref_date}' AS REF_DATE, COUNT(*) AS NUM_REG, SUM(IF(TRIM(CAST(X."&amp;F97&amp;" AS STRING)) IN ('0000-00-00','0001-01-01','9999-12-31','MISS','00000','99999999999','99999999999.00','99999999999.000000'),1,0)) AS NUM_REG_DIF,'"&amp;MAX('ID1&amp;5'!K:K)+1&amp;"' AS ID_EXEC, CURRENT_TIMESTAMP() AS TIME_EXEC FROM "&amp;I97,
IF(C97="Not applicable",+"SELECT '"&amp;UPPER(B97)&amp;"' AS TABELA, '"&amp;UPPER(C97)&amp;"' AS TIPOLOGIA_TESTE,'"&amp;D97&amp;"' AS TABELA_LT,'N/A' AS TABELA_SIMUL,'"&amp;F97&amp;"' AS CAMPO, "&amp;"'${ref_date}' AS REF_DATE, COUNT(*) AS NUM_REG, SUM(IF(TRIM(CAST(X."&amp;F97&amp;" AS STRING)) IN ('N/A','11111111111','11111111111.00','11111111111.000000','1111-11-11'),1,0)) AS NUM_REG_DIF,'"&amp;MAX('ID1&amp;5'!K:K)+1&amp;"' AS ID_EXEC, CURRENT_TIMESTAMP() AS TIME_EXEC FROM "&amp;I97,
IF(C97="Valores extremos",+"SELECT '"&amp;UPPER(B97)&amp;"' AS TABELA, '"&amp;UPPER(C97)&amp;"' AS TIPOLOGIA_TESTE,'"&amp;D97&amp;"' AS TABELA_LT,'N/A' AS TABELA_SIMUL,'"&amp;F97&amp;"' AS CAMPO, "&amp;"'${ref_date}' AS REF_DATE, CAST(MIN("&amp;F97&amp;") AS STRING) AS VALOR_MIN, CAST(MAX("&amp;F97&amp;") AS STRING) AS VALOR_MAX,'"&amp;MAX('ID1&amp;5'!K:K)+1&amp;"' AS ID_EXEC, CURRENT_TIMESTAMP() AS TIME_EXEC FROM "&amp;MID(I97,1,LEN(I97)-2)&amp;" AND CAST("&amp;F97&amp;"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TABELA_SIMUL,'EC_GRP_NM' AS CAMPO, '${ref_date}' AS REF_DATE, COUNT(*) AS NUM_REG, SUM(IF(COALESCE(CAST(X.EC_GRP_NM AS STRING),'')&lt;&gt;COALESCE(CAST(Y.EC_GRP_NM_SIMUL AS STRING),'') OR (X.EC_GRP_NM IS NULL AND Y.EC_GRP_NM_SIMUL IS NOT NULL ) OR (X.EC_GRP_NM IS NOT NULL AND Y.EC_GRP_NM_SIMUL IS NULL),1,0)) AS NUM_REG_DIF,'1' AS ID_EXEC, CURRENT_TIMESTAMP() AS TIME_EXEC FROM (SELECT entty_id, EC_GRP_NM FROM CD_LOAN_TAPES_BCE.LT003_ENTITY WHERE ref_date='${ref_date}' AND nome_perimetro='Individual Corporativo' AND segmento='ESTR' AND ambito='PM' AND entidade='00100')X INNER JOIN (SELECT entty_id AS entty_id_SIMUL, EC_GRP_NM AS EC_GRP_NM_SIMUL FROM BU_LOANTAPE_WORK.LT003_ENTITY WHERE ref_date='${ref_date}' AND nome_perimetro='Individual Corporativo' AND segmento='ESTR' AND ambito='PM' AND entidade='00100')Y ON X.ENTTY_ID=Y.ENTTY_ID_SIMUL</v>
      </c>
      <c r="M97" s="36" t="str">
        <f t="shared" si="1"/>
        <v>UNION ALL SELECT 'ENTITY' AS TABELA, 'COERÊNCIA' AS TIPOLOGIA_TESTE,'CD_LOAN_TAPES_BCE.LT003_ENTITY' AS TABELA_LT,'BU_LOANTAPE_WORK.LT003_ENTITY' AS TABELA_SIMUL,'EC_GRP_NM' AS CAMPO, '${ref_date}' AS REF_DATE, COUNT(*) AS NUM_REG, SUM(IF(COALESCE(CAST(X.EC_GRP_NM AS STRING),'')&lt;&gt;COALESCE(CAST(Y.EC_GRP_NM_SIMUL AS STRING),'') OR (X.EC_GRP_NM IS NULL AND Y.EC_GRP_NM_SIMUL IS NOT NULL ) OR (X.EC_GRP_NM IS NOT NULL AND Y.EC_GRP_NM_SIMUL IS NULL),1,0)) AS NUM_REG_DIF,'1' AS ID_EXEC, CURRENT_TIMESTAMP() AS TIME_EXEC FROM (SELECT entty_id, EC_GRP_NM FROM CD_LOAN_TAPES_BCE.LT003_ENTITY WHERE ref_date='${ref_date}' AND nome_perimetro='Individual Corporativo' AND segmento='ESTR' AND ambito='PM' AND entidade='00100')X INNER JOIN (SELECT entty_id AS entty_id_SIMUL, EC_GRP_NM AS EC_GRP_NM_SIMUL FROM BU_LOANTAPE_WORK.LT003_ENTITY WHERE ref_date='${ref_date}' AND nome_perimetro='Individual Corporativo' AND segmento='ESTR' AND ambito='PM' AND entidade='00100')Y ON X.ENTTY_ID=Y.ENTTY_ID_SIMUL</v>
      </c>
      <c r="N97" s="38" t="s">
        <v>46</v>
      </c>
    </row>
    <row r="98" spans="2:14">
      <c r="B98" s="34" t="s">
        <v>127</v>
      </c>
      <c r="C98" s="34" t="s">
        <v>5</v>
      </c>
      <c r="D98" s="34" t="str">
        <f>+UPPER('0. Instruções'!$D$35&amp;"."&amp;VLOOKUP(B98,'0. Instruções'!$C$27:$D$32,2,FALSE))</f>
        <v>CD_LOAN_TAPES_BCE.LT003_ENTITY</v>
      </c>
      <c r="E98" s="34" t="str">
        <f>+UPPER('0. Instruções'!$D$36&amp;"."&amp;VLOOKUP(B98,'0. Instruções'!$C$27:$E$32,3,FALSE))</f>
        <v>BU_LOANTAPE_WORK.LT003_ENTITY</v>
      </c>
      <c r="F98" s="34" t="s">
        <v>404</v>
      </c>
      <c r="G98" s="34"/>
      <c r="H98" s="35" t="s">
        <v>89</v>
      </c>
      <c r="I98" s="34" t="str">
        <f>"(SELECT "&amp;VLOOKUP(B98,'0. Instruções'!$C$27:$G$32,4,FALSE)&amp;", "&amp;F98&amp;" FROM "&amp;D98&amp;" WHERE "&amp;'0. Instruções'!$D$42&amp;")X"</f>
        <v>(SELECT entty_id, PRSN_TYP FROM CD_LOAN_TAPES_BCE.LT003_ENTITY WHERE ref_date='${ref_date}' AND nome_perimetro='Individual Corporativo' AND segmento='ESTR' AND ambito='PM' AND entidade='00100')X</v>
      </c>
      <c r="J98" s="34" t="str">
        <f>"(SELECT "&amp;VLOOKUP(B98,'0. Instruções'!$C$27:$G$32,4,FALSE)&amp;" AS "&amp;VLOOKUP(B98,'0. Instruções'!$C$27:$G$32,4,FALSE)&amp;"_SIMUL, "&amp;F98&amp;" AS "&amp;F98&amp;"_SIMUL FROM "&amp;E98&amp;" WHERE "&amp;'0. Instruções'!$D$43&amp;")Y"</f>
        <v>(SELECT entty_id AS entty_id_SIMUL, PRSN_TYP AS PRSN_TYP_SIMUL FROM BU_LOANTAPE_WORK.LT003_ENTITY WHERE ref_date='${ref_date}' AND nome_perimetro='Individual Corporativo' AND segmento='ESTR' AND ambito='PM' AND entidade='00100')Y</v>
      </c>
      <c r="K98" s="35" t="str">
        <f>+UPPER("ON X."&amp;VLOOKUP(B98,'0. Instruções'!$C$27:$G$32,4,FALSE)&amp;"=Y."&amp;VLOOKUP(B98,'0. Instruções'!$C$27:$G$32,4,FALSE)&amp;"_SIMUL")</f>
        <v>ON X.ENTTY_ID=Y.ENTTY_ID_SIMUL</v>
      </c>
      <c r="L98" s="35" t="str">
        <f>+IF(C98="Coerência", +IF(LEFT(G98,5)="FLOAT","SELECT '"&amp;UPPER(B98)&amp;"' AS TABELA, '"&amp;UPPER(C98)&amp;"' AS TIPOLOGIA_TESTE,'"&amp;D98&amp;"' AS TABELA_LT,'"&amp;E98&amp;"' AS TABELA_SIMUL,'"&amp;F98&amp;"' AS CAMPO, "&amp;"'${ref_date}' AS REF_DATE, COUNT(*) AS NUM_REG, SUM(IF((ABS(COALESCE(CAST(X."&amp;F98&amp;" AS DECIMAL(18,6)),0)-COALESCE(CAST(Y."&amp;F98&amp;"_SIMUL AS DECIMAL(18,6)),0))&gt;0.000001) OR (X."&amp;F98&amp;" IS NULL AND Y."&amp;F98&amp;"_SIMUL IS NOT NULL ) OR (X."&amp;F98&amp;" IS NOT NULL AND Y."&amp;F98&amp;"_SIMUL IS NULL),1,0)) AS NUM_REG_DIF,'"&amp;MAX('ID1&amp;5'!K:K)+1&amp;"' AS ID_EXEC, CURRENT_TIMESTAMP() AS TIME_EXEC FROM "&amp;I98&amp;" INNER JOIN "&amp;J98&amp;" "&amp;K98,"SELECT '"&amp;UPPER(B98)&amp;"' AS TABELA, '"&amp;UPPER(C98)&amp;"' AS TIPOLOGIA_TESTE,'"&amp;D98&amp;"' AS TABELA_LT,'"&amp;E98&amp;"' AS TABELA_SIMUL,'"&amp;F98&amp;"' AS CAMPO, "&amp;"'${ref_date}' AS REF_DATE, COUNT(*) AS NUM_REG, SUM(IF(COALESCE(CAST(X."&amp;F98&amp;" AS STRING),'')&lt;&gt;COALESCE(CAST(Y."&amp;F98&amp;"_SIMUL AS STRING),'') OR (X."&amp;F98&amp;" IS NULL AND Y."&amp;F98&amp;"_SIMUL IS NOT NULL ) OR (X."&amp;F98&amp;" IS NOT NULL AND Y."&amp;F98&amp;"_SIMUL IS NULL),1,0)) AS NUM_REG_DIF,'"&amp;MAX('ID1&amp;5'!L:L)+1&amp;"' AS ID_EXEC, CURRENT_TIMESTAMP() AS TIME_EXEC FROM "&amp;I98&amp;" INNER JOIN "&amp;J98&amp;" "&amp;K98),
IF(C98="Validade",+IF(G98="Code List","SELECT '"&amp;UPPER(B98)&amp;"' AS TABELA, '"&amp;UPPER(C98)&amp;"' AS TIPOLOGIA_TESTE,'"&amp;D98&amp;"' AS TABELA_LT,'N/A' AS TABELA_SIMUL,'"&amp;F98&amp;"' AS CAMPO, "&amp;"'${ref_date}' AS REF_DATE, COUNT(*) AS NUM_REG, SUM(IF(TRIM(CAST(X."&amp;F98&amp;" AS STRING))='' OR TRIM(CAST(X."&amp;F98&amp;" AS STRING)) IS NULL OR CAST(X."&amp;F98&amp;" AS STRING) NOT "&amp;H98&amp;",1,0)) AS NUM_REG_DIF,'"&amp;MAX('ID1&amp;5'!K:K)+1&amp;"' AS ID_EXEC, CURRENT_TIMESTAMP() AS TIME_EXEC FROM "&amp;I98,"SELECT '"&amp;UPPER(B98)&amp;"' AS TABELA, '"&amp;UPPER(C98)&amp;"' AS TIPOLOGIA_TESTE,'"&amp;D98&amp;"' AS TABELA_LT,'N/A' AS TABELA_SIMUL,'"&amp;F98&amp;"' AS CAMPO, "&amp;"'${ref_date}' AS REF_DATE, COUNT(*) AS NUM_REG, SUM(IF(TRIM(CAST(X."&amp;F98&amp;" AS STRING))='' OR TRIM(CAST(X."&amp;F98&amp;" AS STRING)) IS NULL,1,0)) AS NUM_REG_DIF,'"&amp;MAX('ID1&amp;5'!K:K)+1&amp;"' AS ID_EXEC, CURRENT_TIMESTAMP() AS TIME_EXEC FROM "&amp;I98),
IF(C98="Caracteres Especiais",+"SELECT '"&amp;UPPER(B98)&amp;"' AS TABELA, '"&amp;UPPER(C98)&amp;"' AS TIPOLOGIA_TESTE,'"&amp;D98&amp;"' AS TABELA_LT,'N/A' AS TABELA_SIMUL,'"&amp;F98&amp;"' AS CAMPO, "&amp;"'${ref_date}' AS REF_DATE, COUNT(*) AS NUM_REG, SUM(IF(REGEXP_REPLACE(TRIM(CAST(X."&amp;F98&amp;" AS STRING)),'[^a-zA-Z0-9_\\s]','') &lt;&gt;TRIM(CAST(X."&amp;F98&amp;" AS STRING)),1,0)) AS NUM_REG_DIF,'"&amp;MAX('ID1&amp;5'!K:K)+1&amp;"' AS ID_EXEC, CURRENT_TIMESTAMP() AS TIME_EXEC FROM "&amp;I98,
IF(C98="Missings",+"SELECT '"&amp;UPPER(B98)&amp;"' AS TABELA, '"&amp;UPPER(C98)&amp;"' AS TIPOLOGIA_TESTE,'"&amp;D98&amp;"' AS TABELA_LT,'N/A' AS TABELA_SIMUL,'"&amp;F98&amp;"' AS CAMPO, "&amp;"'${ref_date}' AS REF_DATE, COUNT(*) AS NUM_REG, SUM(IF(TRIM(CAST(X."&amp;F98&amp;" AS STRING)) IN ('0000-00-00','0001-01-01','9999-12-31','MISS','00000','99999999999','99999999999.00','99999999999.000000'),1,0)) AS NUM_REG_DIF,'"&amp;MAX('ID1&amp;5'!K:K)+1&amp;"' AS ID_EXEC, CURRENT_TIMESTAMP() AS TIME_EXEC FROM "&amp;I98,
IF(C98="Not applicable",+"SELECT '"&amp;UPPER(B98)&amp;"' AS TABELA, '"&amp;UPPER(C98)&amp;"' AS TIPOLOGIA_TESTE,'"&amp;D98&amp;"' AS TABELA_LT,'N/A' AS TABELA_SIMUL,'"&amp;F98&amp;"' AS CAMPO, "&amp;"'${ref_date}' AS REF_DATE, COUNT(*) AS NUM_REG, SUM(IF(TRIM(CAST(X."&amp;F98&amp;" AS STRING)) IN ('N/A','11111111111','11111111111.00','11111111111.000000','1111-11-11'),1,0)) AS NUM_REG_DIF,'"&amp;MAX('ID1&amp;5'!K:K)+1&amp;"' AS ID_EXEC, CURRENT_TIMESTAMP() AS TIME_EXEC FROM "&amp;I98,
IF(C98="Valores extremos",+"SELECT '"&amp;UPPER(B98)&amp;"' AS TABELA, '"&amp;UPPER(C98)&amp;"' AS TIPOLOGIA_TESTE,'"&amp;D98&amp;"' AS TABELA_LT,'N/A' AS TABELA_SIMUL,'"&amp;F98&amp;"' AS CAMPO, "&amp;"'${ref_date}' AS REF_DATE, CAST(MIN("&amp;F98&amp;") AS STRING) AS VALOR_MIN, CAST(MAX("&amp;F98&amp;") AS STRING) AS VALOR_MAX,'"&amp;MAX('ID1&amp;5'!K:K)+1&amp;"' AS ID_EXEC, CURRENT_TIMESTAMP() AS TIME_EXEC FROM "&amp;MID(I98,1,LEN(I98)-2)&amp;" AND CAST("&amp;F98&amp;"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TABELA_SIMUL,'PRSN_TYP' AS CAMPO, '${ref_date}' AS REF_DATE, COUNT(*) AS NUM_REG, SUM(IF(COALESCE(CAST(X.PRSN_TYP AS STRING),'')&lt;&gt;COALESCE(CAST(Y.PRSN_TYP_SIMUL AS STRING),'') OR (X.PRSN_TYP IS NULL AND Y.PRSN_TYP_SIMUL IS NOT NULL ) OR (X.PRSN_TYP IS NOT NULL AND Y.PRSN_TYP_SIMUL IS NULL),1,0)) AS NUM_REG_DIF,'1' AS ID_EXEC, CURRENT_TIMESTAMP() AS TIME_EXEC FROM (SELECT entty_id, PRSN_TYP FROM CD_LOAN_TAPES_BCE.LT003_ENTITY WHERE ref_date='${ref_date}' AND nome_perimetro='Individual Corporativo' AND segmento='ESTR' AND ambito='PM' AND entidade='00100')X INNER JOIN (SELECT entty_id AS entty_id_SIMUL, PRSN_TYP AS PRSN_TYP_SIMUL FROM BU_LOANTAPE_WORK.LT003_ENTITY WHERE ref_date='${ref_date}' AND nome_perimetro='Individual Corporativo' AND segmento='ESTR' AND ambito='PM' AND entidade='00100')Y ON X.ENTTY_ID=Y.ENTTY_ID_SIMUL</v>
      </c>
      <c r="M98" s="36" t="str">
        <f t="shared" si="1"/>
        <v>UNION ALL SELECT 'ENTITY' AS TABELA, 'COERÊNCIA' AS TIPOLOGIA_TESTE,'CD_LOAN_TAPES_BCE.LT003_ENTITY' AS TABELA_LT,'BU_LOANTAPE_WORK.LT003_ENTITY' AS TABELA_SIMUL,'PRSN_TYP' AS CAMPO, '${ref_date}' AS REF_DATE, COUNT(*) AS NUM_REG, SUM(IF(COALESCE(CAST(X.PRSN_TYP AS STRING),'')&lt;&gt;COALESCE(CAST(Y.PRSN_TYP_SIMUL AS STRING),'') OR (X.PRSN_TYP IS NULL AND Y.PRSN_TYP_SIMUL IS NOT NULL ) OR (X.PRSN_TYP IS NOT NULL AND Y.PRSN_TYP_SIMUL IS NULL),1,0)) AS NUM_REG_DIF,'1' AS ID_EXEC, CURRENT_TIMESTAMP() AS TIME_EXEC FROM (SELECT entty_id, PRSN_TYP FROM CD_LOAN_TAPES_BCE.LT003_ENTITY WHERE ref_date='${ref_date}' AND nome_perimetro='Individual Corporativo' AND segmento='ESTR' AND ambito='PM' AND entidade='00100')X INNER JOIN (SELECT entty_id AS entty_id_SIMUL, PRSN_TYP AS PRSN_TYP_SIMUL FROM BU_LOANTAPE_WORK.LT003_ENTITY WHERE ref_date='${ref_date}' AND nome_perimetro='Individual Corporativo' AND segmento='ESTR' AND ambito='PM' AND entidade='00100')Y ON X.ENTTY_ID=Y.ENTTY_ID_SIMUL</v>
      </c>
      <c r="N98" s="38" t="s">
        <v>46</v>
      </c>
    </row>
    <row r="99" spans="2:14">
      <c r="B99" s="34" t="s">
        <v>127</v>
      </c>
      <c r="C99" s="34" t="s">
        <v>5</v>
      </c>
      <c r="D99" s="34" t="str">
        <f>+UPPER('0. Instruções'!$D$35&amp;"."&amp;VLOOKUP(B99,'0. Instruções'!$C$27:$D$32,2,FALSE))</f>
        <v>CD_LOAN_TAPES_BCE.LT003_ENTITY</v>
      </c>
      <c r="E99" s="34" t="str">
        <f>+UPPER('0. Instruções'!$D$36&amp;"."&amp;VLOOKUP(B99,'0. Instruções'!$C$27:$E$32,3,FALSE))</f>
        <v>BU_LOANTAPE_WORK.LT003_ENTITY</v>
      </c>
      <c r="F99" s="34" t="s">
        <v>405</v>
      </c>
      <c r="G99" s="34"/>
      <c r="H99" s="35" t="s">
        <v>92</v>
      </c>
      <c r="I99" s="34" t="str">
        <f>"(SELECT "&amp;VLOOKUP(B99,'0. Instruções'!$C$27:$G$32,4,FALSE)&amp;", "&amp;F99&amp;" FROM "&amp;D99&amp;" WHERE "&amp;'0. Instruções'!$D$42&amp;")X"</f>
        <v>(SELECT entty_id, FR_CSH_FLW FROM CD_LOAN_TAPES_BCE.LT003_ENTITY WHERE ref_date='${ref_date}' AND nome_perimetro='Individual Corporativo' AND segmento='ESTR' AND ambito='PM' AND entidade='00100')X</v>
      </c>
      <c r="J99" s="34" t="str">
        <f>"(SELECT "&amp;VLOOKUP(B99,'0. Instruções'!$C$27:$G$32,4,FALSE)&amp;" AS "&amp;VLOOKUP(B99,'0. Instruções'!$C$27:$G$32,4,FALSE)&amp;"_SIMUL, "&amp;F99&amp;" AS "&amp;F99&amp;"_SIMUL FROM "&amp;E99&amp;" WHERE "&amp;'0. Instruções'!$D$43&amp;")Y"</f>
        <v>(SELECT entty_id AS entty_id_SIMUL, FR_CSH_FLW AS FR_CSH_FLW_SIMUL FROM BU_LOANTAPE_WORK.LT003_ENTITY WHERE ref_date='${ref_date}' AND nome_perimetro='Individual Corporativo' AND segmento='ESTR' AND ambito='PM' AND entidade='00100')Y</v>
      </c>
      <c r="K99" s="35" t="str">
        <f>+UPPER("ON X."&amp;VLOOKUP(B99,'0. Instruções'!$C$27:$G$32,4,FALSE)&amp;"=Y."&amp;VLOOKUP(B99,'0. Instruções'!$C$27:$G$32,4,FALSE)&amp;"_SIMUL")</f>
        <v>ON X.ENTTY_ID=Y.ENTTY_ID_SIMUL</v>
      </c>
      <c r="L99" s="35" t="str">
        <f>+IF(C99="Coerência", +IF(LEFT(G99,5)="FLOAT","SELECT '"&amp;UPPER(B99)&amp;"' AS TABELA, '"&amp;UPPER(C99)&amp;"' AS TIPOLOGIA_TESTE,'"&amp;D99&amp;"' AS TABELA_LT,'"&amp;E99&amp;"' AS TABELA_SIMUL,'"&amp;F99&amp;"' AS CAMPO, "&amp;"'${ref_date}' AS REF_DATE, COUNT(*) AS NUM_REG, SUM(IF((ABS(COALESCE(CAST(X."&amp;F99&amp;" AS DECIMAL(18,6)),0)-COALESCE(CAST(Y."&amp;F99&amp;"_SIMUL AS DECIMAL(18,6)),0))&gt;0.000001) OR (X."&amp;F99&amp;" IS NULL AND Y."&amp;F99&amp;"_SIMUL IS NOT NULL ) OR (X."&amp;F99&amp;" IS NOT NULL AND Y."&amp;F99&amp;"_SIMUL IS NULL),1,0)) AS NUM_REG_DIF,'"&amp;MAX('ID1&amp;5'!K:K)+1&amp;"' AS ID_EXEC, CURRENT_TIMESTAMP() AS TIME_EXEC FROM "&amp;I99&amp;" INNER JOIN "&amp;J99&amp;" "&amp;K99,"SELECT '"&amp;UPPER(B99)&amp;"' AS TABELA, '"&amp;UPPER(C99)&amp;"' AS TIPOLOGIA_TESTE,'"&amp;D99&amp;"' AS TABELA_LT,'"&amp;E99&amp;"' AS TABELA_SIMUL,'"&amp;F99&amp;"' AS CAMPO, "&amp;"'${ref_date}' AS REF_DATE, COUNT(*) AS NUM_REG, SUM(IF(COALESCE(CAST(X."&amp;F99&amp;" AS STRING),'')&lt;&gt;COALESCE(CAST(Y."&amp;F99&amp;"_SIMUL AS STRING),'') OR (X."&amp;F99&amp;" IS NULL AND Y."&amp;F99&amp;"_SIMUL IS NOT NULL ) OR (X."&amp;F99&amp;" IS NOT NULL AND Y."&amp;F99&amp;"_SIMUL IS NULL),1,0)) AS NUM_REG_DIF,'"&amp;MAX('ID1&amp;5'!L:L)+1&amp;"' AS ID_EXEC, CURRENT_TIMESTAMP() AS TIME_EXEC FROM "&amp;I99&amp;" INNER JOIN "&amp;J99&amp;" "&amp;K99),
IF(C99="Validade",+IF(G99="Code List","SELECT '"&amp;UPPER(B99)&amp;"' AS TABELA, '"&amp;UPPER(C99)&amp;"' AS TIPOLOGIA_TESTE,'"&amp;D99&amp;"' AS TABELA_LT,'N/A' AS TABELA_SIMUL,'"&amp;F99&amp;"' AS CAMPO, "&amp;"'${ref_date}' AS REF_DATE, COUNT(*) AS NUM_REG, SUM(IF(TRIM(CAST(X."&amp;F99&amp;" AS STRING))='' OR TRIM(CAST(X."&amp;F99&amp;" AS STRING)) IS NULL OR CAST(X."&amp;F99&amp;" AS STRING) NOT "&amp;H99&amp;",1,0)) AS NUM_REG_DIF,'"&amp;MAX('ID1&amp;5'!K:K)+1&amp;"' AS ID_EXEC, CURRENT_TIMESTAMP() AS TIME_EXEC FROM "&amp;I99,"SELECT '"&amp;UPPER(B99)&amp;"' AS TABELA, '"&amp;UPPER(C99)&amp;"' AS TIPOLOGIA_TESTE,'"&amp;D99&amp;"' AS TABELA_LT,'N/A' AS TABELA_SIMUL,'"&amp;F99&amp;"' AS CAMPO, "&amp;"'${ref_date}' AS REF_DATE, COUNT(*) AS NUM_REG, SUM(IF(TRIM(CAST(X."&amp;F99&amp;" AS STRING))='' OR TRIM(CAST(X."&amp;F99&amp;" AS STRING)) IS NULL,1,0)) AS NUM_REG_DIF,'"&amp;MAX('ID1&amp;5'!K:K)+1&amp;"' AS ID_EXEC, CURRENT_TIMESTAMP() AS TIME_EXEC FROM "&amp;I99),
IF(C99="Caracteres Especiais",+"SELECT '"&amp;UPPER(B99)&amp;"' AS TABELA, '"&amp;UPPER(C99)&amp;"' AS TIPOLOGIA_TESTE,'"&amp;D99&amp;"' AS TABELA_LT,'N/A' AS TABELA_SIMUL,'"&amp;F99&amp;"' AS CAMPO, "&amp;"'${ref_date}' AS REF_DATE, COUNT(*) AS NUM_REG, SUM(IF(REGEXP_REPLACE(TRIM(CAST(X."&amp;F99&amp;" AS STRING)),'[^a-zA-Z0-9_\\s]','') &lt;&gt;TRIM(CAST(X."&amp;F99&amp;" AS STRING)),1,0)) AS NUM_REG_DIF,'"&amp;MAX('ID1&amp;5'!K:K)+1&amp;"' AS ID_EXEC, CURRENT_TIMESTAMP() AS TIME_EXEC FROM "&amp;I99,
IF(C99="Missings",+"SELECT '"&amp;UPPER(B99)&amp;"' AS TABELA, '"&amp;UPPER(C99)&amp;"' AS TIPOLOGIA_TESTE,'"&amp;D99&amp;"' AS TABELA_LT,'N/A' AS TABELA_SIMUL,'"&amp;F99&amp;"' AS CAMPO, "&amp;"'${ref_date}' AS REF_DATE, COUNT(*) AS NUM_REG, SUM(IF(TRIM(CAST(X."&amp;F99&amp;" AS STRING)) IN ('0000-00-00','0001-01-01','9999-12-31','MISS','00000','99999999999','99999999999.00','99999999999.000000'),1,0)) AS NUM_REG_DIF,'"&amp;MAX('ID1&amp;5'!K:K)+1&amp;"' AS ID_EXEC, CURRENT_TIMESTAMP() AS TIME_EXEC FROM "&amp;I99,
IF(C99="Not applicable",+"SELECT '"&amp;UPPER(B99)&amp;"' AS TABELA, '"&amp;UPPER(C99)&amp;"' AS TIPOLOGIA_TESTE,'"&amp;D99&amp;"' AS TABELA_LT,'N/A' AS TABELA_SIMUL,'"&amp;F99&amp;"' AS CAMPO, "&amp;"'${ref_date}' AS REF_DATE, COUNT(*) AS NUM_REG, SUM(IF(TRIM(CAST(X."&amp;F99&amp;" AS STRING)) IN ('N/A','11111111111','11111111111.00','11111111111.000000','1111-11-11'),1,0)) AS NUM_REG_DIF,'"&amp;MAX('ID1&amp;5'!K:K)+1&amp;"' AS ID_EXEC, CURRENT_TIMESTAMP() AS TIME_EXEC FROM "&amp;I99,
IF(C99="Valores extremos",+"SELECT '"&amp;UPPER(B99)&amp;"' AS TABELA, '"&amp;UPPER(C99)&amp;"' AS TIPOLOGIA_TESTE,'"&amp;D99&amp;"' AS TABELA_LT,'N/A' AS TABELA_SIMUL,'"&amp;F99&amp;"' AS CAMPO, "&amp;"'${ref_date}' AS REF_DATE, CAST(MIN("&amp;F99&amp;") AS STRING) AS VALOR_MIN, CAST(MAX("&amp;F99&amp;") AS STRING) AS VALOR_MAX,'"&amp;MAX('ID1&amp;5'!K:K)+1&amp;"' AS ID_EXEC, CURRENT_TIMESTAMP() AS TIME_EXEC FROM "&amp;MID(I99,1,LEN(I99)-2)&amp;" AND CAST("&amp;F99&amp;"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TABELA_SIMUL,'FR_CSH_FLW' AS CAMPO, '${ref_date}' AS REF_DATE, COUNT(*) AS NUM_REG, SUM(IF(COALESCE(CAST(X.FR_CSH_FLW AS STRING),'')&lt;&gt;COALESCE(CAST(Y.FR_CSH_FLW_SIMUL AS STRING),'') OR (X.FR_CSH_FLW IS NULL AND Y.FR_CSH_FLW_SIMUL IS NOT NULL ) OR (X.FR_CSH_FLW IS NOT NULL AND Y.FR_CSH_FLW_SIMUL IS NULL),1,0)) AS NUM_REG_DIF,'1' AS ID_EXEC, CURRENT_TIMESTAMP() AS TIME_EXEC FROM (SELECT entty_id, FR_CSH_FLW FROM CD_LOAN_TAPES_BCE.LT003_ENTITY WHERE ref_date='${ref_date}' AND nome_perimetro='Individual Corporativo' AND segmento='ESTR' AND ambito='PM' AND entidade='00100')X INNER JOIN (SELECT entty_id AS entty_id_SIMUL, FR_CSH_FLW AS FR_CSH_FLW_SIMUL FROM BU_LOANTAPE_WORK.LT003_ENTITY WHERE ref_date='${ref_date}' AND nome_perimetro='Individual Corporativo' AND segmento='ESTR' AND ambito='PM' AND entidade='00100')Y ON X.ENTTY_ID=Y.ENTTY_ID_SIMUL</v>
      </c>
      <c r="M99" s="36" t="str">
        <f t="shared" si="1"/>
        <v>UNION ALL SELECT 'ENTITY' AS TABELA, 'COERÊNCIA' AS TIPOLOGIA_TESTE,'CD_LOAN_TAPES_BCE.LT003_ENTITY' AS TABELA_LT,'BU_LOANTAPE_WORK.LT003_ENTITY' AS TABELA_SIMUL,'FR_CSH_FLW' AS CAMPO, '${ref_date}' AS REF_DATE, COUNT(*) AS NUM_REG, SUM(IF(COALESCE(CAST(X.FR_CSH_FLW AS STRING),'')&lt;&gt;COALESCE(CAST(Y.FR_CSH_FLW_SIMUL AS STRING),'') OR (X.FR_CSH_FLW IS NULL AND Y.FR_CSH_FLW_SIMUL IS NOT NULL ) OR (X.FR_CSH_FLW IS NOT NULL AND Y.FR_CSH_FLW_SIMUL IS NULL),1,0)) AS NUM_REG_DIF,'1' AS ID_EXEC, CURRENT_TIMESTAMP() AS TIME_EXEC FROM (SELECT entty_id, FR_CSH_FLW FROM CD_LOAN_TAPES_BCE.LT003_ENTITY WHERE ref_date='${ref_date}' AND nome_perimetro='Individual Corporativo' AND segmento='ESTR' AND ambito='PM' AND entidade='00100')X INNER JOIN (SELECT entty_id AS entty_id_SIMUL, FR_CSH_FLW AS FR_CSH_FLW_SIMUL FROM BU_LOANTAPE_WORK.LT003_ENTITY WHERE ref_date='${ref_date}' AND nome_perimetro='Individual Corporativo' AND segmento='ESTR' AND ambito='PM' AND entidade='00100')Y ON X.ENTTY_ID=Y.ENTTY_ID_SIMUL</v>
      </c>
      <c r="N99" s="38" t="s">
        <v>46</v>
      </c>
    </row>
    <row r="100" spans="2:14">
      <c r="B100" s="34" t="s">
        <v>127</v>
      </c>
      <c r="C100" s="34" t="s">
        <v>5</v>
      </c>
      <c r="D100" s="34" t="str">
        <f>+UPPER('0. Instruções'!$D$35&amp;"."&amp;VLOOKUP(B100,'0. Instruções'!$C$27:$D$32,2,FALSE))</f>
        <v>CD_LOAN_TAPES_BCE.LT003_ENTITY</v>
      </c>
      <c r="E100" s="34" t="str">
        <f>+UPPER('0. Instruções'!$D$36&amp;"."&amp;VLOOKUP(B100,'0. Instruções'!$C$27:$E$32,3,FALSE))</f>
        <v>BU_LOANTAPE_WORK.LT003_ENTITY</v>
      </c>
      <c r="F100" s="34" t="s">
        <v>406</v>
      </c>
      <c r="G100" s="34"/>
      <c r="H100" s="35" t="s">
        <v>92</v>
      </c>
      <c r="I100" s="34" t="str">
        <f>"(SELECT "&amp;VLOOKUP(B100,'0. Instruções'!$C$27:$G$32,4,FALSE)&amp;", "&amp;F100&amp;" FROM "&amp;D100&amp;" WHERE "&amp;'0. Instruções'!$D$42&amp;")X"</f>
        <v>(SELECT entty_id, FR_CSH_FLW_T1 FROM CD_LOAN_TAPES_BCE.LT003_ENTITY WHERE ref_date='${ref_date}' AND nome_perimetro='Individual Corporativo' AND segmento='ESTR' AND ambito='PM' AND entidade='00100')X</v>
      </c>
      <c r="J100" s="34" t="str">
        <f>"(SELECT "&amp;VLOOKUP(B100,'0. Instruções'!$C$27:$G$32,4,FALSE)&amp;" AS "&amp;VLOOKUP(B100,'0. Instruções'!$C$27:$G$32,4,FALSE)&amp;"_SIMUL, "&amp;F100&amp;" AS "&amp;F100&amp;"_SIMUL FROM "&amp;E100&amp;" WHERE "&amp;'0. Instruções'!$D$43&amp;")Y"</f>
        <v>(SELECT entty_id AS entty_id_SIMUL, FR_CSH_FLW_T1 AS FR_CSH_FLW_T1_SIMUL FROM BU_LOANTAPE_WORK.LT003_ENTITY WHERE ref_date='${ref_date}' AND nome_perimetro='Individual Corporativo' AND segmento='ESTR' AND ambito='PM' AND entidade='00100')Y</v>
      </c>
      <c r="K100" s="35" t="str">
        <f>+UPPER("ON X."&amp;VLOOKUP(B100,'0. Instruções'!$C$27:$G$32,4,FALSE)&amp;"=Y."&amp;VLOOKUP(B100,'0. Instruções'!$C$27:$G$32,4,FALSE)&amp;"_SIMUL")</f>
        <v>ON X.ENTTY_ID=Y.ENTTY_ID_SIMUL</v>
      </c>
      <c r="L100" s="35" t="str">
        <f>+IF(C100="Coerência", +IF(LEFT(G100,5)="FLOAT","SELECT '"&amp;UPPER(B100)&amp;"' AS TABELA, '"&amp;UPPER(C100)&amp;"' AS TIPOLOGIA_TESTE,'"&amp;D100&amp;"' AS TABELA_LT,'"&amp;E100&amp;"' AS TABELA_SIMUL,'"&amp;F100&amp;"' AS CAMPO, "&amp;"'${ref_date}' AS REF_DATE, COUNT(*) AS NUM_REG, SUM(IF((ABS(COALESCE(CAST(X."&amp;F100&amp;" AS DECIMAL(18,6)),0)-COALESCE(CAST(Y."&amp;F100&amp;"_SIMUL AS DECIMAL(18,6)),0))&gt;0.000001) OR (X."&amp;F100&amp;" IS NULL AND Y."&amp;F100&amp;"_SIMUL IS NOT NULL ) OR (X."&amp;F100&amp;" IS NOT NULL AND Y."&amp;F100&amp;"_SIMUL IS NULL),1,0)) AS NUM_REG_DIF,'"&amp;MAX('ID1&amp;5'!K:K)+1&amp;"' AS ID_EXEC, CURRENT_TIMESTAMP() AS TIME_EXEC FROM "&amp;I100&amp;" INNER JOIN "&amp;J100&amp;" "&amp;K100,"SELECT '"&amp;UPPER(B100)&amp;"' AS TABELA, '"&amp;UPPER(C100)&amp;"' AS TIPOLOGIA_TESTE,'"&amp;D100&amp;"' AS TABELA_LT,'"&amp;E100&amp;"' AS TABELA_SIMUL,'"&amp;F100&amp;"' AS CAMPO, "&amp;"'${ref_date}' AS REF_DATE, COUNT(*) AS NUM_REG, SUM(IF(COALESCE(CAST(X."&amp;F100&amp;" AS STRING),'')&lt;&gt;COALESCE(CAST(Y."&amp;F100&amp;"_SIMUL AS STRING),'') OR (X."&amp;F100&amp;" IS NULL AND Y."&amp;F100&amp;"_SIMUL IS NOT NULL ) OR (X."&amp;F100&amp;" IS NOT NULL AND Y."&amp;F100&amp;"_SIMUL IS NULL),1,0)) AS NUM_REG_DIF,'"&amp;MAX('ID1&amp;5'!L:L)+1&amp;"' AS ID_EXEC, CURRENT_TIMESTAMP() AS TIME_EXEC FROM "&amp;I100&amp;" INNER JOIN "&amp;J100&amp;" "&amp;K100),
IF(C100="Validade",+IF(G100="Code List","SELECT '"&amp;UPPER(B100)&amp;"' AS TABELA, '"&amp;UPPER(C100)&amp;"' AS TIPOLOGIA_TESTE,'"&amp;D100&amp;"' AS TABELA_LT,'N/A' AS TABELA_SIMUL,'"&amp;F100&amp;"' AS CAMPO, "&amp;"'${ref_date}' AS REF_DATE, COUNT(*) AS NUM_REG, SUM(IF(TRIM(CAST(X."&amp;F100&amp;" AS STRING))='' OR TRIM(CAST(X."&amp;F100&amp;" AS STRING)) IS NULL OR CAST(X."&amp;F100&amp;" AS STRING) NOT "&amp;H100&amp;",1,0)) AS NUM_REG_DIF,'"&amp;MAX('ID1&amp;5'!K:K)+1&amp;"' AS ID_EXEC, CURRENT_TIMESTAMP() AS TIME_EXEC FROM "&amp;I100,"SELECT '"&amp;UPPER(B100)&amp;"' AS TABELA, '"&amp;UPPER(C100)&amp;"' AS TIPOLOGIA_TESTE,'"&amp;D100&amp;"' AS TABELA_LT,'N/A' AS TABELA_SIMUL,'"&amp;F100&amp;"' AS CAMPO, "&amp;"'${ref_date}' AS REF_DATE, COUNT(*) AS NUM_REG, SUM(IF(TRIM(CAST(X."&amp;F100&amp;" AS STRING))='' OR TRIM(CAST(X."&amp;F100&amp;" AS STRING)) IS NULL,1,0)) AS NUM_REG_DIF,'"&amp;MAX('ID1&amp;5'!K:K)+1&amp;"' AS ID_EXEC, CURRENT_TIMESTAMP() AS TIME_EXEC FROM "&amp;I100),
IF(C100="Caracteres Especiais",+"SELECT '"&amp;UPPER(B100)&amp;"' AS TABELA, '"&amp;UPPER(C100)&amp;"' AS TIPOLOGIA_TESTE,'"&amp;D100&amp;"' AS TABELA_LT,'N/A' AS TABELA_SIMUL,'"&amp;F100&amp;"' AS CAMPO, "&amp;"'${ref_date}' AS REF_DATE, COUNT(*) AS NUM_REG, SUM(IF(REGEXP_REPLACE(TRIM(CAST(X."&amp;F100&amp;" AS STRING)),'[^a-zA-Z0-9_\\s]','') &lt;&gt;TRIM(CAST(X."&amp;F100&amp;" AS STRING)),1,0)) AS NUM_REG_DIF,'"&amp;MAX('ID1&amp;5'!K:K)+1&amp;"' AS ID_EXEC, CURRENT_TIMESTAMP() AS TIME_EXEC FROM "&amp;I100,
IF(C100="Missings",+"SELECT '"&amp;UPPER(B100)&amp;"' AS TABELA, '"&amp;UPPER(C100)&amp;"' AS TIPOLOGIA_TESTE,'"&amp;D100&amp;"' AS TABELA_LT,'N/A' AS TABELA_SIMUL,'"&amp;F100&amp;"' AS CAMPO, "&amp;"'${ref_date}' AS REF_DATE, COUNT(*) AS NUM_REG, SUM(IF(TRIM(CAST(X."&amp;F100&amp;" AS STRING)) IN ('0000-00-00','0001-01-01','9999-12-31','MISS','00000','99999999999','99999999999.00','99999999999.000000'),1,0)) AS NUM_REG_DIF,'"&amp;MAX('ID1&amp;5'!K:K)+1&amp;"' AS ID_EXEC, CURRENT_TIMESTAMP() AS TIME_EXEC FROM "&amp;I100,
IF(C100="Not applicable",+"SELECT '"&amp;UPPER(B100)&amp;"' AS TABELA, '"&amp;UPPER(C100)&amp;"' AS TIPOLOGIA_TESTE,'"&amp;D100&amp;"' AS TABELA_LT,'N/A' AS TABELA_SIMUL,'"&amp;F100&amp;"' AS CAMPO, "&amp;"'${ref_date}' AS REF_DATE, COUNT(*) AS NUM_REG, SUM(IF(TRIM(CAST(X."&amp;F100&amp;" AS STRING)) IN ('N/A','11111111111','11111111111.00','11111111111.000000','1111-11-11'),1,0)) AS NUM_REG_DIF,'"&amp;MAX('ID1&amp;5'!K:K)+1&amp;"' AS ID_EXEC, CURRENT_TIMESTAMP() AS TIME_EXEC FROM "&amp;I100,
IF(C100="Valores extremos",+"SELECT '"&amp;UPPER(B100)&amp;"' AS TABELA, '"&amp;UPPER(C100)&amp;"' AS TIPOLOGIA_TESTE,'"&amp;D100&amp;"' AS TABELA_LT,'N/A' AS TABELA_SIMUL,'"&amp;F100&amp;"' AS CAMPO, "&amp;"'${ref_date}' AS REF_DATE, CAST(MIN("&amp;F100&amp;") AS STRING) AS VALOR_MIN, CAST(MAX("&amp;F100&amp;") AS STRING) AS VALOR_MAX,'"&amp;MAX('ID1&amp;5'!K:K)+1&amp;"' AS ID_EXEC, CURRENT_TIMESTAMP() AS TIME_EXEC FROM "&amp;MID(I100,1,LEN(I100)-2)&amp;" AND CAST("&amp;F100&amp;"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TABELA_SIMUL,'FR_CSH_FLW_T1' AS CAMPO, '${ref_date}' AS REF_DATE, COUNT(*) AS NUM_REG, SUM(IF(COALESCE(CAST(X.FR_CSH_FLW_T1 AS STRING),'')&lt;&gt;COALESCE(CAST(Y.FR_CSH_FLW_T1_SIMUL AS STRING),'') OR (X.FR_CSH_FLW_T1 IS NULL AND Y.FR_CSH_FLW_T1_SIMUL IS NOT NULL ) OR (X.FR_CSH_FLW_T1 IS NOT NULL AND Y.FR_CSH_FLW_T1_SIMUL IS NULL),1,0)) AS NUM_REG_DIF,'1' AS ID_EXEC, CURRENT_TIMESTAMP() AS TIME_EXEC FROM (SELECT entty_id, FR_CSH_FLW_T1 FROM CD_LOAN_TAPES_BCE.LT003_ENTITY WHERE ref_date='${ref_date}' AND nome_perimetro='Individual Corporativo' AND segmento='ESTR' AND ambito='PM' AND entidade='00100')X INNER JOIN (SELECT entty_id AS entty_id_SIMUL, FR_CSH_FLW_T1 AS FR_CSH_FLW_T1_SIMUL FROM BU_LOANTAPE_WORK.LT003_ENTITY WHERE ref_date='${ref_date}' AND nome_perimetro='Individual Corporativo' AND segmento='ESTR' AND ambito='PM' AND entidade='00100')Y ON X.ENTTY_ID=Y.ENTTY_ID_SIMUL</v>
      </c>
      <c r="M100" s="36" t="str">
        <f t="shared" si="1"/>
        <v>UNION ALL SELECT 'ENTITY' AS TABELA, 'COERÊNCIA' AS TIPOLOGIA_TESTE,'CD_LOAN_TAPES_BCE.LT003_ENTITY' AS TABELA_LT,'BU_LOANTAPE_WORK.LT003_ENTITY' AS TABELA_SIMUL,'FR_CSH_FLW_T1' AS CAMPO, '${ref_date}' AS REF_DATE, COUNT(*) AS NUM_REG, SUM(IF(COALESCE(CAST(X.FR_CSH_FLW_T1 AS STRING),'')&lt;&gt;COALESCE(CAST(Y.FR_CSH_FLW_T1_SIMUL AS STRING),'') OR (X.FR_CSH_FLW_T1 IS NULL AND Y.FR_CSH_FLW_T1_SIMUL IS NOT NULL ) OR (X.FR_CSH_FLW_T1 IS NOT NULL AND Y.FR_CSH_FLW_T1_SIMUL IS NULL),1,0)) AS NUM_REG_DIF,'1' AS ID_EXEC, CURRENT_TIMESTAMP() AS TIME_EXEC FROM (SELECT entty_id, FR_CSH_FLW_T1 FROM CD_LOAN_TAPES_BCE.LT003_ENTITY WHERE ref_date='${ref_date}' AND nome_perimetro='Individual Corporativo' AND segmento='ESTR' AND ambito='PM' AND entidade='00100')X INNER JOIN (SELECT entty_id AS entty_id_SIMUL, FR_CSH_FLW_T1 AS FR_CSH_FLW_T1_SIMUL FROM BU_LOANTAPE_WORK.LT003_ENTITY WHERE ref_date='${ref_date}' AND nome_perimetro='Individual Corporativo' AND segmento='ESTR' AND ambito='PM' AND entidade='00100')Y ON X.ENTTY_ID=Y.ENTTY_ID_SIMUL</v>
      </c>
      <c r="N100" s="38" t="s">
        <v>46</v>
      </c>
    </row>
    <row r="101" spans="2:14">
      <c r="B101" s="34" t="s">
        <v>127</v>
      </c>
      <c r="C101" s="34" t="s">
        <v>5</v>
      </c>
      <c r="D101" s="34" t="str">
        <f>+UPPER('0. Instruções'!$D$35&amp;"."&amp;VLOOKUP(B101,'0. Instruções'!$C$27:$D$32,2,FALSE))</f>
        <v>CD_LOAN_TAPES_BCE.LT003_ENTITY</v>
      </c>
      <c r="E101" s="34" t="str">
        <f>+UPPER('0. Instruções'!$D$36&amp;"."&amp;VLOOKUP(B101,'0. Instruções'!$C$27:$E$32,3,FALSE))</f>
        <v>BU_LOANTAPE_WORK.LT003_ENTITY</v>
      </c>
      <c r="F101" s="34" t="s">
        <v>407</v>
      </c>
      <c r="G101" s="34"/>
      <c r="H101" s="34" t="s">
        <v>92</v>
      </c>
      <c r="I101" s="34" t="str">
        <f>"(SELECT "&amp;VLOOKUP(B101,'0. Instruções'!$C$27:$G$32,4,FALSE)&amp;", "&amp;F101&amp;" FROM "&amp;D101&amp;" WHERE "&amp;'0. Instruções'!$D$42&amp;")X"</f>
        <v>(SELECT entty_id, FR_CSH_FLW_T2 FROM CD_LOAN_TAPES_BCE.LT003_ENTITY WHERE ref_date='${ref_date}' AND nome_perimetro='Individual Corporativo' AND segmento='ESTR' AND ambito='PM' AND entidade='00100')X</v>
      </c>
      <c r="J101" s="34" t="str">
        <f>"(SELECT "&amp;VLOOKUP(B101,'0. Instruções'!$C$27:$G$32,4,FALSE)&amp;" AS "&amp;VLOOKUP(B101,'0. Instruções'!$C$27:$G$32,4,FALSE)&amp;"_SIMUL, "&amp;F101&amp;" AS "&amp;F101&amp;"_SIMUL FROM "&amp;E101&amp;" WHERE "&amp;'0. Instruções'!$D$43&amp;")Y"</f>
        <v>(SELECT entty_id AS entty_id_SIMUL, FR_CSH_FLW_T2 AS FR_CSH_FLW_T2_SIMUL FROM BU_LOANTAPE_WORK.LT003_ENTITY WHERE ref_date='${ref_date}' AND nome_perimetro='Individual Corporativo' AND segmento='ESTR' AND ambito='PM' AND entidade='00100')Y</v>
      </c>
      <c r="K101" s="35" t="str">
        <f>+UPPER("ON X."&amp;VLOOKUP(B101,'0. Instruções'!$C$27:$G$32,4,FALSE)&amp;"=Y."&amp;VLOOKUP(B101,'0. Instruções'!$C$27:$G$32,4,FALSE)&amp;"_SIMUL")</f>
        <v>ON X.ENTTY_ID=Y.ENTTY_ID_SIMUL</v>
      </c>
      <c r="L101" s="35" t="str">
        <f>+IF(C101="Coerência", +IF(LEFT(G101,5)="FLOAT","SELECT '"&amp;UPPER(B101)&amp;"' AS TABELA, '"&amp;UPPER(C101)&amp;"' AS TIPOLOGIA_TESTE,'"&amp;D101&amp;"' AS TABELA_LT,'"&amp;E101&amp;"' AS TABELA_SIMUL,'"&amp;F101&amp;"' AS CAMPO, "&amp;"'${ref_date}' AS REF_DATE, COUNT(*) AS NUM_REG, SUM(IF((ABS(COALESCE(CAST(X."&amp;F101&amp;" AS DECIMAL(18,6)),0)-COALESCE(CAST(Y."&amp;F101&amp;"_SIMUL AS DECIMAL(18,6)),0))&gt;0.000001) OR (X."&amp;F101&amp;" IS NULL AND Y."&amp;F101&amp;"_SIMUL IS NOT NULL ) OR (X."&amp;F101&amp;" IS NOT NULL AND Y."&amp;F101&amp;"_SIMUL IS NULL),1,0)) AS NUM_REG_DIF,'"&amp;MAX('ID1&amp;5'!K:K)+1&amp;"' AS ID_EXEC, CURRENT_TIMESTAMP() AS TIME_EXEC FROM "&amp;I101&amp;" INNER JOIN "&amp;J101&amp;" "&amp;K101,"SELECT '"&amp;UPPER(B101)&amp;"' AS TABELA, '"&amp;UPPER(C101)&amp;"' AS TIPOLOGIA_TESTE,'"&amp;D101&amp;"' AS TABELA_LT,'"&amp;E101&amp;"' AS TABELA_SIMUL,'"&amp;F101&amp;"' AS CAMPO, "&amp;"'${ref_date}' AS REF_DATE, COUNT(*) AS NUM_REG, SUM(IF(COALESCE(CAST(X."&amp;F101&amp;" AS STRING),'')&lt;&gt;COALESCE(CAST(Y."&amp;F101&amp;"_SIMUL AS STRING),'') OR (X."&amp;F101&amp;" IS NULL AND Y."&amp;F101&amp;"_SIMUL IS NOT NULL ) OR (X."&amp;F101&amp;" IS NOT NULL AND Y."&amp;F101&amp;"_SIMUL IS NULL),1,0)) AS NUM_REG_DIF,'"&amp;MAX('ID1&amp;5'!L:L)+1&amp;"' AS ID_EXEC, CURRENT_TIMESTAMP() AS TIME_EXEC FROM "&amp;I101&amp;" INNER JOIN "&amp;J101&amp;" "&amp;K101),
IF(C101="Validade",+IF(G101="Code List","SELECT '"&amp;UPPER(B101)&amp;"' AS TABELA, '"&amp;UPPER(C101)&amp;"' AS TIPOLOGIA_TESTE,'"&amp;D101&amp;"' AS TABELA_LT,'N/A' AS TABELA_SIMUL,'"&amp;F101&amp;"' AS CAMPO, "&amp;"'${ref_date}' AS REF_DATE, COUNT(*) AS NUM_REG, SUM(IF(TRIM(CAST(X."&amp;F101&amp;" AS STRING))='' OR TRIM(CAST(X."&amp;F101&amp;" AS STRING)) IS NULL OR CAST(X."&amp;F101&amp;" AS STRING) NOT "&amp;H101&amp;",1,0)) AS NUM_REG_DIF,'"&amp;MAX('ID1&amp;5'!K:K)+1&amp;"' AS ID_EXEC, CURRENT_TIMESTAMP() AS TIME_EXEC FROM "&amp;I101,"SELECT '"&amp;UPPER(B101)&amp;"' AS TABELA, '"&amp;UPPER(C101)&amp;"' AS TIPOLOGIA_TESTE,'"&amp;D101&amp;"' AS TABELA_LT,'N/A' AS TABELA_SIMUL,'"&amp;F101&amp;"' AS CAMPO, "&amp;"'${ref_date}' AS REF_DATE, COUNT(*) AS NUM_REG, SUM(IF(TRIM(CAST(X."&amp;F101&amp;" AS STRING))='' OR TRIM(CAST(X."&amp;F101&amp;" AS STRING)) IS NULL,1,0)) AS NUM_REG_DIF,'"&amp;MAX('ID1&amp;5'!K:K)+1&amp;"' AS ID_EXEC, CURRENT_TIMESTAMP() AS TIME_EXEC FROM "&amp;I101),
IF(C101="Caracteres Especiais",+"SELECT '"&amp;UPPER(B101)&amp;"' AS TABELA, '"&amp;UPPER(C101)&amp;"' AS TIPOLOGIA_TESTE,'"&amp;D101&amp;"' AS TABELA_LT,'N/A' AS TABELA_SIMUL,'"&amp;F101&amp;"' AS CAMPO, "&amp;"'${ref_date}' AS REF_DATE, COUNT(*) AS NUM_REG, SUM(IF(REGEXP_REPLACE(TRIM(CAST(X."&amp;F101&amp;" AS STRING)),'[^a-zA-Z0-9_\\s]','') &lt;&gt;TRIM(CAST(X."&amp;F101&amp;" AS STRING)),1,0)) AS NUM_REG_DIF,'"&amp;MAX('ID1&amp;5'!K:K)+1&amp;"' AS ID_EXEC, CURRENT_TIMESTAMP() AS TIME_EXEC FROM "&amp;I101,
IF(C101="Missings",+"SELECT '"&amp;UPPER(B101)&amp;"' AS TABELA, '"&amp;UPPER(C101)&amp;"' AS TIPOLOGIA_TESTE,'"&amp;D101&amp;"' AS TABELA_LT,'N/A' AS TABELA_SIMUL,'"&amp;F101&amp;"' AS CAMPO, "&amp;"'${ref_date}' AS REF_DATE, COUNT(*) AS NUM_REG, SUM(IF(TRIM(CAST(X."&amp;F101&amp;" AS STRING)) IN ('0000-00-00','0001-01-01','9999-12-31','MISS','00000','99999999999','99999999999.00','99999999999.000000'),1,0)) AS NUM_REG_DIF,'"&amp;MAX('ID1&amp;5'!K:K)+1&amp;"' AS ID_EXEC, CURRENT_TIMESTAMP() AS TIME_EXEC FROM "&amp;I101,
IF(C101="Not applicable",+"SELECT '"&amp;UPPER(B101)&amp;"' AS TABELA, '"&amp;UPPER(C101)&amp;"' AS TIPOLOGIA_TESTE,'"&amp;D101&amp;"' AS TABELA_LT,'N/A' AS TABELA_SIMUL,'"&amp;F101&amp;"' AS CAMPO, "&amp;"'${ref_date}' AS REF_DATE, COUNT(*) AS NUM_REG, SUM(IF(TRIM(CAST(X."&amp;F101&amp;" AS STRING)) IN ('N/A','11111111111','11111111111.00','11111111111.000000','1111-11-11'),1,0)) AS NUM_REG_DIF,'"&amp;MAX('ID1&amp;5'!K:K)+1&amp;"' AS ID_EXEC, CURRENT_TIMESTAMP() AS TIME_EXEC FROM "&amp;I101,
IF(C101="Valores extremos",+"SELECT '"&amp;UPPER(B101)&amp;"' AS TABELA, '"&amp;UPPER(C101)&amp;"' AS TIPOLOGIA_TESTE,'"&amp;D101&amp;"' AS TABELA_LT,'N/A' AS TABELA_SIMUL,'"&amp;F101&amp;"' AS CAMPO, "&amp;"'${ref_date}' AS REF_DATE, CAST(MIN("&amp;F101&amp;") AS STRING) AS VALOR_MIN, CAST(MAX("&amp;F101&amp;") AS STRING) AS VALOR_MAX,'"&amp;MAX('ID1&amp;5'!K:K)+1&amp;"' AS ID_EXEC, CURRENT_TIMESTAMP() AS TIME_EXEC FROM "&amp;MID(I101,1,LEN(I101)-2)&amp;" AND CAST("&amp;F101&amp;"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TABELA_SIMUL,'FR_CSH_FLW_T2' AS CAMPO, '${ref_date}' AS REF_DATE, COUNT(*) AS NUM_REG, SUM(IF(COALESCE(CAST(X.FR_CSH_FLW_T2 AS STRING),'')&lt;&gt;COALESCE(CAST(Y.FR_CSH_FLW_T2_SIMUL AS STRING),'') OR (X.FR_CSH_FLW_T2 IS NULL AND Y.FR_CSH_FLW_T2_SIMUL IS NOT NULL ) OR (X.FR_CSH_FLW_T2 IS NOT NULL AND Y.FR_CSH_FLW_T2_SIMUL IS NULL),1,0)) AS NUM_REG_DIF,'1' AS ID_EXEC, CURRENT_TIMESTAMP() AS TIME_EXEC FROM (SELECT entty_id, FR_CSH_FLW_T2 FROM CD_LOAN_TAPES_BCE.LT003_ENTITY WHERE ref_date='${ref_date}' AND nome_perimetro='Individual Corporativo' AND segmento='ESTR' AND ambito='PM' AND entidade='00100')X INNER JOIN (SELECT entty_id AS entty_id_SIMUL, FR_CSH_FLW_T2 AS FR_CSH_FLW_T2_SIMUL FROM BU_LOANTAPE_WORK.LT003_ENTITY WHERE ref_date='${ref_date}' AND nome_perimetro='Individual Corporativo' AND segmento='ESTR' AND ambito='PM' AND entidade='00100')Y ON X.ENTTY_ID=Y.ENTTY_ID_SIMUL</v>
      </c>
      <c r="M101" s="36" t="str">
        <f t="shared" si="1"/>
        <v>UNION ALL SELECT 'ENTITY' AS TABELA, 'COERÊNCIA' AS TIPOLOGIA_TESTE,'CD_LOAN_TAPES_BCE.LT003_ENTITY' AS TABELA_LT,'BU_LOANTAPE_WORK.LT003_ENTITY' AS TABELA_SIMUL,'FR_CSH_FLW_T2' AS CAMPO, '${ref_date}' AS REF_DATE, COUNT(*) AS NUM_REG, SUM(IF(COALESCE(CAST(X.FR_CSH_FLW_T2 AS STRING),'')&lt;&gt;COALESCE(CAST(Y.FR_CSH_FLW_T2_SIMUL AS STRING),'') OR (X.FR_CSH_FLW_T2 IS NULL AND Y.FR_CSH_FLW_T2_SIMUL IS NOT NULL ) OR (X.FR_CSH_FLW_T2 IS NOT NULL AND Y.FR_CSH_FLW_T2_SIMUL IS NULL),1,0)) AS NUM_REG_DIF,'1' AS ID_EXEC, CURRENT_TIMESTAMP() AS TIME_EXEC FROM (SELECT entty_id, FR_CSH_FLW_T2 FROM CD_LOAN_TAPES_BCE.LT003_ENTITY WHERE ref_date='${ref_date}' AND nome_perimetro='Individual Corporativo' AND segmento='ESTR' AND ambito='PM' AND entidade='00100')X INNER JOIN (SELECT entty_id AS entty_id_SIMUL, FR_CSH_FLW_T2 AS FR_CSH_FLW_T2_SIMUL FROM BU_LOANTAPE_WORK.LT003_ENTITY WHERE ref_date='${ref_date}' AND nome_perimetro='Individual Corporativo' AND segmento='ESTR' AND ambito='PM' AND entidade='00100')Y ON X.ENTTY_ID=Y.ENTTY_ID_SIMUL</v>
      </c>
      <c r="N101" s="38" t="s">
        <v>46</v>
      </c>
    </row>
    <row r="102" spans="2:14">
      <c r="B102" s="34" t="s">
        <v>127</v>
      </c>
      <c r="C102" s="34" t="s">
        <v>5</v>
      </c>
      <c r="D102" s="34" t="str">
        <f>+UPPER('0. Instruções'!$D$35&amp;"."&amp;VLOOKUP(B102,'0. Instruções'!$C$27:$D$32,2,FALSE))</f>
        <v>CD_LOAN_TAPES_BCE.LT003_ENTITY</v>
      </c>
      <c r="E102" s="34" t="str">
        <f>+UPPER('0. Instruções'!$D$36&amp;"."&amp;VLOOKUP(B102,'0. Instruções'!$C$27:$E$32,3,FALSE))</f>
        <v>BU_LOANTAPE_WORK.LT003_ENTITY</v>
      </c>
      <c r="F102" s="34" t="s">
        <v>408</v>
      </c>
      <c r="G102" s="34"/>
      <c r="H102" s="34" t="s">
        <v>92</v>
      </c>
      <c r="I102" s="34" t="str">
        <f>"(SELECT "&amp;VLOOKUP(B102,'0. Instruções'!$C$27:$G$32,4,FALSE)&amp;", "&amp;F102&amp;" FROM "&amp;D102&amp;" WHERE "&amp;'0. Instruções'!$D$42&amp;")X"</f>
        <v>(SELECT entty_id, FR_CSH_FLW_T3 FROM CD_LOAN_TAPES_BCE.LT003_ENTITY WHERE ref_date='${ref_date}' AND nome_perimetro='Individual Corporativo' AND segmento='ESTR' AND ambito='PM' AND entidade='00100')X</v>
      </c>
      <c r="J102" s="34" t="str">
        <f>"(SELECT "&amp;VLOOKUP(B102,'0. Instruções'!$C$27:$G$32,4,FALSE)&amp;" AS "&amp;VLOOKUP(B102,'0. Instruções'!$C$27:$G$32,4,FALSE)&amp;"_SIMUL, "&amp;F102&amp;" AS "&amp;F102&amp;"_SIMUL FROM "&amp;E102&amp;" WHERE "&amp;'0. Instruções'!$D$43&amp;")Y"</f>
        <v>(SELECT entty_id AS entty_id_SIMUL, FR_CSH_FLW_T3 AS FR_CSH_FLW_T3_SIMUL FROM BU_LOANTAPE_WORK.LT003_ENTITY WHERE ref_date='${ref_date}' AND nome_perimetro='Individual Corporativo' AND segmento='ESTR' AND ambito='PM' AND entidade='00100')Y</v>
      </c>
      <c r="K102" s="35" t="str">
        <f>+UPPER("ON X."&amp;VLOOKUP(B102,'0. Instruções'!$C$27:$G$32,4,FALSE)&amp;"=Y."&amp;VLOOKUP(B102,'0. Instruções'!$C$27:$G$32,4,FALSE)&amp;"_SIMUL")</f>
        <v>ON X.ENTTY_ID=Y.ENTTY_ID_SIMUL</v>
      </c>
      <c r="L102" s="35" t="str">
        <f>+IF(C102="Coerência", +IF(LEFT(G102,5)="FLOAT","SELECT '"&amp;UPPER(B102)&amp;"' AS TABELA, '"&amp;UPPER(C102)&amp;"' AS TIPOLOGIA_TESTE,'"&amp;D102&amp;"' AS TABELA_LT,'"&amp;E102&amp;"' AS TABELA_SIMUL,'"&amp;F102&amp;"' AS CAMPO, "&amp;"'${ref_date}' AS REF_DATE, COUNT(*) AS NUM_REG, SUM(IF((ABS(COALESCE(CAST(X."&amp;F102&amp;" AS DECIMAL(18,6)),0)-COALESCE(CAST(Y."&amp;F102&amp;"_SIMUL AS DECIMAL(18,6)),0))&gt;0.000001) OR (X."&amp;F102&amp;" IS NULL AND Y."&amp;F102&amp;"_SIMUL IS NOT NULL ) OR (X."&amp;F102&amp;" IS NOT NULL AND Y."&amp;F102&amp;"_SIMUL IS NULL),1,0)) AS NUM_REG_DIF,'"&amp;MAX('ID1&amp;5'!K:K)+1&amp;"' AS ID_EXEC, CURRENT_TIMESTAMP() AS TIME_EXEC FROM "&amp;I102&amp;" INNER JOIN "&amp;J102&amp;" "&amp;K102,"SELECT '"&amp;UPPER(B102)&amp;"' AS TABELA, '"&amp;UPPER(C102)&amp;"' AS TIPOLOGIA_TESTE,'"&amp;D102&amp;"' AS TABELA_LT,'"&amp;E102&amp;"' AS TABELA_SIMUL,'"&amp;F102&amp;"' AS CAMPO, "&amp;"'${ref_date}' AS REF_DATE, COUNT(*) AS NUM_REG, SUM(IF(COALESCE(CAST(X."&amp;F102&amp;" AS STRING),'')&lt;&gt;COALESCE(CAST(Y."&amp;F102&amp;"_SIMUL AS STRING),'') OR (X."&amp;F102&amp;" IS NULL AND Y."&amp;F102&amp;"_SIMUL IS NOT NULL ) OR (X."&amp;F102&amp;" IS NOT NULL AND Y."&amp;F102&amp;"_SIMUL IS NULL),1,0)) AS NUM_REG_DIF,'"&amp;MAX('ID1&amp;5'!L:L)+1&amp;"' AS ID_EXEC, CURRENT_TIMESTAMP() AS TIME_EXEC FROM "&amp;I102&amp;" INNER JOIN "&amp;J102&amp;" "&amp;K102),
IF(C102="Validade",+IF(G102="Code List","SELECT '"&amp;UPPER(B102)&amp;"' AS TABELA, '"&amp;UPPER(C102)&amp;"' AS TIPOLOGIA_TESTE,'"&amp;D102&amp;"' AS TABELA_LT,'N/A' AS TABELA_SIMUL,'"&amp;F102&amp;"' AS CAMPO, "&amp;"'${ref_date}' AS REF_DATE, COUNT(*) AS NUM_REG, SUM(IF(TRIM(CAST(X."&amp;F102&amp;" AS STRING))='' OR TRIM(CAST(X."&amp;F102&amp;" AS STRING)) IS NULL OR CAST(X."&amp;F102&amp;" AS STRING) NOT "&amp;H102&amp;",1,0)) AS NUM_REG_DIF,'"&amp;MAX('ID1&amp;5'!K:K)+1&amp;"' AS ID_EXEC, CURRENT_TIMESTAMP() AS TIME_EXEC FROM "&amp;I102,"SELECT '"&amp;UPPER(B102)&amp;"' AS TABELA, '"&amp;UPPER(C102)&amp;"' AS TIPOLOGIA_TESTE,'"&amp;D102&amp;"' AS TABELA_LT,'N/A' AS TABELA_SIMUL,'"&amp;F102&amp;"' AS CAMPO, "&amp;"'${ref_date}' AS REF_DATE, COUNT(*) AS NUM_REG, SUM(IF(TRIM(CAST(X."&amp;F102&amp;" AS STRING))='' OR TRIM(CAST(X."&amp;F102&amp;" AS STRING)) IS NULL,1,0)) AS NUM_REG_DIF,'"&amp;MAX('ID1&amp;5'!K:K)+1&amp;"' AS ID_EXEC, CURRENT_TIMESTAMP() AS TIME_EXEC FROM "&amp;I102),
IF(C102="Caracteres Especiais",+"SELECT '"&amp;UPPER(B102)&amp;"' AS TABELA, '"&amp;UPPER(C102)&amp;"' AS TIPOLOGIA_TESTE,'"&amp;D102&amp;"' AS TABELA_LT,'N/A' AS TABELA_SIMUL,'"&amp;F102&amp;"' AS CAMPO, "&amp;"'${ref_date}' AS REF_DATE, COUNT(*) AS NUM_REG, SUM(IF(REGEXP_REPLACE(TRIM(CAST(X."&amp;F102&amp;" AS STRING)),'[^a-zA-Z0-9_\\s]','') &lt;&gt;TRIM(CAST(X."&amp;F102&amp;" AS STRING)),1,0)) AS NUM_REG_DIF,'"&amp;MAX('ID1&amp;5'!K:K)+1&amp;"' AS ID_EXEC, CURRENT_TIMESTAMP() AS TIME_EXEC FROM "&amp;I102,
IF(C102="Missings",+"SELECT '"&amp;UPPER(B102)&amp;"' AS TABELA, '"&amp;UPPER(C102)&amp;"' AS TIPOLOGIA_TESTE,'"&amp;D102&amp;"' AS TABELA_LT,'N/A' AS TABELA_SIMUL,'"&amp;F102&amp;"' AS CAMPO, "&amp;"'${ref_date}' AS REF_DATE, COUNT(*) AS NUM_REG, SUM(IF(TRIM(CAST(X."&amp;F102&amp;" AS STRING)) IN ('0000-00-00','0001-01-01','9999-12-31','MISS','00000','99999999999','99999999999.00','99999999999.000000'),1,0)) AS NUM_REG_DIF,'"&amp;MAX('ID1&amp;5'!K:K)+1&amp;"' AS ID_EXEC, CURRENT_TIMESTAMP() AS TIME_EXEC FROM "&amp;I102,
IF(C102="Not applicable",+"SELECT '"&amp;UPPER(B102)&amp;"' AS TABELA, '"&amp;UPPER(C102)&amp;"' AS TIPOLOGIA_TESTE,'"&amp;D102&amp;"' AS TABELA_LT,'N/A' AS TABELA_SIMUL,'"&amp;F102&amp;"' AS CAMPO, "&amp;"'${ref_date}' AS REF_DATE, COUNT(*) AS NUM_REG, SUM(IF(TRIM(CAST(X."&amp;F102&amp;" AS STRING)) IN ('N/A','11111111111','11111111111.00','11111111111.000000','1111-11-11'),1,0)) AS NUM_REG_DIF,'"&amp;MAX('ID1&amp;5'!K:K)+1&amp;"' AS ID_EXEC, CURRENT_TIMESTAMP() AS TIME_EXEC FROM "&amp;I102,
IF(C102="Valores extremos",+"SELECT '"&amp;UPPER(B102)&amp;"' AS TABELA, '"&amp;UPPER(C102)&amp;"' AS TIPOLOGIA_TESTE,'"&amp;D102&amp;"' AS TABELA_LT,'N/A' AS TABELA_SIMUL,'"&amp;F102&amp;"' AS CAMPO, "&amp;"'${ref_date}' AS REF_DATE, CAST(MIN("&amp;F102&amp;") AS STRING) AS VALOR_MIN, CAST(MAX("&amp;F102&amp;") AS STRING) AS VALOR_MAX,'"&amp;MAX('ID1&amp;5'!K:K)+1&amp;"' AS ID_EXEC, CURRENT_TIMESTAMP() AS TIME_EXEC FROM "&amp;MID(I102,1,LEN(I102)-2)&amp;" AND CAST("&amp;F102&amp;"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TABELA_SIMUL,'FR_CSH_FLW_T3' AS CAMPO, '${ref_date}' AS REF_DATE, COUNT(*) AS NUM_REG, SUM(IF(COALESCE(CAST(X.FR_CSH_FLW_T3 AS STRING),'')&lt;&gt;COALESCE(CAST(Y.FR_CSH_FLW_T3_SIMUL AS STRING),'') OR (X.FR_CSH_FLW_T3 IS NULL AND Y.FR_CSH_FLW_T3_SIMUL IS NOT NULL ) OR (X.FR_CSH_FLW_T3 IS NOT NULL AND Y.FR_CSH_FLW_T3_SIMUL IS NULL),1,0)) AS NUM_REG_DIF,'1' AS ID_EXEC, CURRENT_TIMESTAMP() AS TIME_EXEC FROM (SELECT entty_id, FR_CSH_FLW_T3 FROM CD_LOAN_TAPES_BCE.LT003_ENTITY WHERE ref_date='${ref_date}' AND nome_perimetro='Individual Corporativo' AND segmento='ESTR' AND ambito='PM' AND entidade='00100')X INNER JOIN (SELECT entty_id AS entty_id_SIMUL, FR_CSH_FLW_T3 AS FR_CSH_FLW_T3_SIMUL FROM BU_LOANTAPE_WORK.LT003_ENTITY WHERE ref_date='${ref_date}' AND nome_perimetro='Individual Corporativo' AND segmento='ESTR' AND ambito='PM' AND entidade='00100')Y ON X.ENTTY_ID=Y.ENTTY_ID_SIMUL</v>
      </c>
      <c r="M102" s="36" t="str">
        <f t="shared" si="1"/>
        <v>UNION ALL SELECT 'ENTITY' AS TABELA, 'COERÊNCIA' AS TIPOLOGIA_TESTE,'CD_LOAN_TAPES_BCE.LT003_ENTITY' AS TABELA_LT,'BU_LOANTAPE_WORK.LT003_ENTITY' AS TABELA_SIMUL,'FR_CSH_FLW_T3' AS CAMPO, '${ref_date}' AS REF_DATE, COUNT(*) AS NUM_REG, SUM(IF(COALESCE(CAST(X.FR_CSH_FLW_T3 AS STRING),'')&lt;&gt;COALESCE(CAST(Y.FR_CSH_FLW_T3_SIMUL AS STRING),'') OR (X.FR_CSH_FLW_T3 IS NULL AND Y.FR_CSH_FLW_T3_SIMUL IS NOT NULL ) OR (X.FR_CSH_FLW_T3 IS NOT NULL AND Y.FR_CSH_FLW_T3_SIMUL IS NULL),1,0)) AS NUM_REG_DIF,'1' AS ID_EXEC, CURRENT_TIMESTAMP() AS TIME_EXEC FROM (SELECT entty_id, FR_CSH_FLW_T3 FROM CD_LOAN_TAPES_BCE.LT003_ENTITY WHERE ref_date='${ref_date}' AND nome_perimetro='Individual Corporativo' AND segmento='ESTR' AND ambito='PM' AND entidade='00100')X INNER JOIN (SELECT entty_id AS entty_id_SIMUL, FR_CSH_FLW_T3 AS FR_CSH_FLW_T3_SIMUL FROM BU_LOANTAPE_WORK.LT003_ENTITY WHERE ref_date='${ref_date}' AND nome_perimetro='Individual Corporativo' AND segmento='ESTR' AND ambito='PM' AND entidade='00100')Y ON X.ENTTY_ID=Y.ENTTY_ID_SIMUL</v>
      </c>
      <c r="N102" s="38" t="s">
        <v>46</v>
      </c>
    </row>
    <row r="103" spans="2:14">
      <c r="B103" s="34" t="s">
        <v>127</v>
      </c>
      <c r="C103" s="34" t="s">
        <v>5</v>
      </c>
      <c r="D103" s="34" t="str">
        <f>+UPPER('0. Instruções'!$D$35&amp;"."&amp;VLOOKUP(B103,'0. Instruções'!$C$27:$D$32,2,FALSE))</f>
        <v>CD_LOAN_TAPES_BCE.LT003_ENTITY</v>
      </c>
      <c r="E103" s="34" t="str">
        <f>+UPPER('0. Instruções'!$D$36&amp;"."&amp;VLOOKUP(B103,'0. Instruções'!$C$27:$E$32,3,FALSE))</f>
        <v>BU_LOANTAPE_WORK.LT003_ENTITY</v>
      </c>
      <c r="F103" s="92" t="s">
        <v>409</v>
      </c>
      <c r="G103" s="34"/>
      <c r="H103" s="34" t="s">
        <v>646</v>
      </c>
      <c r="I103" s="34" t="str">
        <f>"(SELECT "&amp;VLOOKUP(B103,'0. Instruções'!$C$27:$G$32,4,FALSE)&amp;", "&amp;F103&amp;" FROM "&amp;D103&amp;" WHERE "&amp;'0. Instruções'!$D$42&amp;")X"</f>
        <v>(SELECT entty_id, ADDRSS_CTY FROM CD_LOAN_TAPES_BCE.LT003_ENTITY WHERE ref_date='${ref_date}' AND nome_perimetro='Individual Corporativo' AND segmento='ESTR' AND ambito='PM' AND entidade='00100')X</v>
      </c>
      <c r="J103" s="34" t="str">
        <f>"(SELECT "&amp;VLOOKUP(B103,'0. Instruções'!$C$27:$G$32,4,FALSE)&amp;" AS "&amp;VLOOKUP(B103,'0. Instruções'!$C$27:$G$32,4,FALSE)&amp;"_SIMUL, "&amp;F103&amp;" AS "&amp;F103&amp;"_SIMUL FROM "&amp;E103&amp;" WHERE "&amp;'0. Instruções'!$D$43&amp;")Y"</f>
        <v>(SELECT entty_id AS entty_id_SIMUL, ADDRSS_CTY AS ADDRSS_CTY_SIMUL FROM BU_LOANTAPE_WORK.LT003_ENTITY WHERE ref_date='${ref_date}' AND nome_perimetro='Individual Corporativo' AND segmento='ESTR' AND ambito='PM' AND entidade='00100')Y</v>
      </c>
      <c r="K103" s="35" t="str">
        <f>+UPPER("ON X."&amp;VLOOKUP(B103,'0. Instruções'!$C$27:$G$32,4,FALSE)&amp;"=Y."&amp;VLOOKUP(B103,'0. Instruções'!$C$27:$G$32,4,FALSE)&amp;"_SIMUL")</f>
        <v>ON X.ENTTY_ID=Y.ENTTY_ID_SIMUL</v>
      </c>
      <c r="L103" s="35" t="str">
        <f>+IF(C103="Coerência", +IF(LEFT(G103,5)="FLOAT","SELECT '"&amp;UPPER(B103)&amp;"' AS TABELA, '"&amp;UPPER(C103)&amp;"' AS TIPOLOGIA_TESTE,'"&amp;D103&amp;"' AS TABELA_LT,'"&amp;E103&amp;"' AS TABELA_SIMUL,'"&amp;F103&amp;"' AS CAMPO, "&amp;"'${ref_date}' AS REF_DATE, COUNT(*) AS NUM_REG, SUM(IF((ABS(COALESCE(CAST(X."&amp;F103&amp;" AS DECIMAL(18,6)),0)-COALESCE(CAST(Y."&amp;F103&amp;"_SIMUL AS DECIMAL(18,6)),0))&gt;0.000001) OR (X."&amp;F103&amp;" IS NULL AND Y."&amp;F103&amp;"_SIMUL IS NOT NULL ) OR (X."&amp;F103&amp;" IS NOT NULL AND Y."&amp;F103&amp;"_SIMUL IS NULL),1,0)) AS NUM_REG_DIF,'"&amp;MAX('ID1&amp;5'!K:K)+1&amp;"' AS ID_EXEC, CURRENT_TIMESTAMP() AS TIME_EXEC FROM "&amp;I103&amp;" INNER JOIN "&amp;J103&amp;" "&amp;K103,"SELECT '"&amp;UPPER(B103)&amp;"' AS TABELA, '"&amp;UPPER(C103)&amp;"' AS TIPOLOGIA_TESTE,'"&amp;D103&amp;"' AS TABELA_LT,'"&amp;E103&amp;"' AS TABELA_SIMUL,'"&amp;F103&amp;"' AS CAMPO, "&amp;"'${ref_date}' AS REF_DATE, COUNT(*) AS NUM_REG, SUM(IF(COALESCE(CAST(X."&amp;F103&amp;" AS STRING),'')&lt;&gt;COALESCE(CAST(Y."&amp;F103&amp;"_SIMUL AS STRING),'') OR (X."&amp;F103&amp;" IS NULL AND Y."&amp;F103&amp;"_SIMUL IS NOT NULL ) OR (X."&amp;F103&amp;" IS NOT NULL AND Y."&amp;F103&amp;"_SIMUL IS NULL),1,0)) AS NUM_REG_DIF,'"&amp;MAX('ID1&amp;5'!L:L)+1&amp;"' AS ID_EXEC, CURRENT_TIMESTAMP() AS TIME_EXEC FROM "&amp;I103&amp;" INNER JOIN "&amp;J103&amp;" "&amp;K103),
IF(C103="Validade",+IF(G103="Code List","SELECT '"&amp;UPPER(B103)&amp;"' AS TABELA, '"&amp;UPPER(C103)&amp;"' AS TIPOLOGIA_TESTE,'"&amp;D103&amp;"' AS TABELA_LT,'N/A' AS TABELA_SIMUL,'"&amp;F103&amp;"' AS CAMPO, "&amp;"'${ref_date}' AS REF_DATE, COUNT(*) AS NUM_REG, SUM(IF(TRIM(CAST(X."&amp;F103&amp;" AS STRING))='' OR TRIM(CAST(X."&amp;F103&amp;" AS STRING)) IS NULL OR CAST(X."&amp;F103&amp;" AS STRING) NOT "&amp;H103&amp;",1,0)) AS NUM_REG_DIF,'"&amp;MAX('ID1&amp;5'!K:K)+1&amp;"' AS ID_EXEC, CURRENT_TIMESTAMP() AS TIME_EXEC FROM "&amp;I103,"SELECT '"&amp;UPPER(B103)&amp;"' AS TABELA, '"&amp;UPPER(C103)&amp;"' AS TIPOLOGIA_TESTE,'"&amp;D103&amp;"' AS TABELA_LT,'N/A' AS TABELA_SIMUL,'"&amp;F103&amp;"' AS CAMPO, "&amp;"'${ref_date}' AS REF_DATE, COUNT(*) AS NUM_REG, SUM(IF(TRIM(CAST(X."&amp;F103&amp;" AS STRING))='' OR TRIM(CAST(X."&amp;F103&amp;" AS STRING)) IS NULL,1,0)) AS NUM_REG_DIF,'"&amp;MAX('ID1&amp;5'!K:K)+1&amp;"' AS ID_EXEC, CURRENT_TIMESTAMP() AS TIME_EXEC FROM "&amp;I103),
IF(C103="Caracteres Especiais",+"SELECT '"&amp;UPPER(B103)&amp;"' AS TABELA, '"&amp;UPPER(C103)&amp;"' AS TIPOLOGIA_TESTE,'"&amp;D103&amp;"' AS TABELA_LT,'N/A' AS TABELA_SIMUL,'"&amp;F103&amp;"' AS CAMPO, "&amp;"'${ref_date}' AS REF_DATE, COUNT(*) AS NUM_REG, SUM(IF(REGEXP_REPLACE(TRIM(CAST(X."&amp;F103&amp;" AS STRING)),'[^a-zA-Z0-9_\\s]','') &lt;&gt;TRIM(CAST(X."&amp;F103&amp;" AS STRING)),1,0)) AS NUM_REG_DIF,'"&amp;MAX('ID1&amp;5'!K:K)+1&amp;"' AS ID_EXEC, CURRENT_TIMESTAMP() AS TIME_EXEC FROM "&amp;I103,
IF(C103="Missings",+"SELECT '"&amp;UPPER(B103)&amp;"' AS TABELA, '"&amp;UPPER(C103)&amp;"' AS TIPOLOGIA_TESTE,'"&amp;D103&amp;"' AS TABELA_LT,'N/A' AS TABELA_SIMUL,'"&amp;F103&amp;"' AS CAMPO, "&amp;"'${ref_date}' AS REF_DATE, COUNT(*) AS NUM_REG, SUM(IF(TRIM(CAST(X."&amp;F103&amp;" AS STRING)) IN ('0000-00-00','0001-01-01','9999-12-31','MISS','00000','99999999999','99999999999.00','99999999999.000000'),1,0)) AS NUM_REG_DIF,'"&amp;MAX('ID1&amp;5'!K:K)+1&amp;"' AS ID_EXEC, CURRENT_TIMESTAMP() AS TIME_EXEC FROM "&amp;I103,
IF(C103="Not applicable",+"SELECT '"&amp;UPPER(B103)&amp;"' AS TABELA, '"&amp;UPPER(C103)&amp;"' AS TIPOLOGIA_TESTE,'"&amp;D103&amp;"' AS TABELA_LT,'N/A' AS TABELA_SIMUL,'"&amp;F103&amp;"' AS CAMPO, "&amp;"'${ref_date}' AS REF_DATE, COUNT(*) AS NUM_REG, SUM(IF(TRIM(CAST(X."&amp;F103&amp;" AS STRING)) IN ('N/A','11111111111','11111111111.00','11111111111.000000','1111-11-11'),1,0)) AS NUM_REG_DIF,'"&amp;MAX('ID1&amp;5'!K:K)+1&amp;"' AS ID_EXEC, CURRENT_TIMESTAMP() AS TIME_EXEC FROM "&amp;I103,
IF(C103="Valores extremos",+"SELECT '"&amp;UPPER(B103)&amp;"' AS TABELA, '"&amp;UPPER(C103)&amp;"' AS TIPOLOGIA_TESTE,'"&amp;D103&amp;"' AS TABELA_LT,'N/A' AS TABELA_SIMUL,'"&amp;F103&amp;"' AS CAMPO, "&amp;"'${ref_date}' AS REF_DATE, CAST(MIN("&amp;F103&amp;") AS STRING) AS VALOR_MIN, CAST(MAX("&amp;F103&amp;") AS STRING) AS VALOR_MAX,'"&amp;MAX('ID1&amp;5'!K:K)+1&amp;"' AS ID_EXEC, CURRENT_TIMESTAMP() AS TIME_EXEC FROM "&amp;MID(I103,1,LEN(I103)-2)&amp;" AND CAST("&amp;F103&amp;"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TABELA_SIMUL,'ADDRSS_CTY' AS CAMPO, '${ref_date}' AS REF_DATE, COUNT(*) AS NUM_REG, SUM(IF(COALESCE(CAST(X.ADDRSS_CTY AS STRING),'')&lt;&gt;COALESCE(CAST(Y.ADDRSS_CTY_SIMUL AS STRING),'') OR (X.ADDRSS_CTY IS NULL AND Y.ADDRSS_CTY_SIMUL IS NOT NULL ) OR (X.ADDRSS_CTY IS NOT NULL AND Y.ADDRSS_CTY_SIMUL IS NULL),1,0)) AS NUM_REG_DIF,'1' AS ID_EXEC, CURRENT_TIMESTAMP() AS TIME_EXEC FROM (SELECT entty_id, ADDRSS_CTY FROM CD_LOAN_TAPES_BCE.LT003_ENTITY WHERE ref_date='${ref_date}' AND nome_perimetro='Individual Corporativo' AND segmento='ESTR' AND ambito='PM' AND entidade='00100')X INNER JOIN (SELECT entty_id AS entty_id_SIMUL, ADDRSS_CTY AS ADDRSS_CTY_SIMUL FROM BU_LOANTAPE_WORK.LT003_ENTITY WHERE ref_date='${ref_date}' AND nome_perimetro='Individual Corporativo' AND segmento='ESTR' AND ambito='PM' AND entidade='00100')Y ON X.ENTTY_ID=Y.ENTTY_ID_SIMUL</v>
      </c>
      <c r="M103" s="36" t="str">
        <f t="shared" si="1"/>
        <v>UNION ALL SELECT 'ENTITY' AS TABELA, 'COERÊNCIA' AS TIPOLOGIA_TESTE,'CD_LOAN_TAPES_BCE.LT003_ENTITY' AS TABELA_LT,'BU_LOANTAPE_WORK.LT003_ENTITY' AS TABELA_SIMUL,'ADDRSS_CTY' AS CAMPO, '${ref_date}' AS REF_DATE, COUNT(*) AS NUM_REG, SUM(IF(COALESCE(CAST(X.ADDRSS_CTY AS STRING),'')&lt;&gt;COALESCE(CAST(Y.ADDRSS_CTY_SIMUL AS STRING),'') OR (X.ADDRSS_CTY IS NULL AND Y.ADDRSS_CTY_SIMUL IS NOT NULL ) OR (X.ADDRSS_CTY IS NOT NULL AND Y.ADDRSS_CTY_SIMUL IS NULL),1,0)) AS NUM_REG_DIF,'1' AS ID_EXEC, CURRENT_TIMESTAMP() AS TIME_EXEC FROM (SELECT entty_id, ADDRSS_CTY FROM CD_LOAN_TAPES_BCE.LT003_ENTITY WHERE ref_date='${ref_date}' AND nome_perimetro='Individual Corporativo' AND segmento='ESTR' AND ambito='PM' AND entidade='00100')X INNER JOIN (SELECT entty_id AS entty_id_SIMUL, ADDRSS_CTY AS ADDRSS_CTY_SIMUL FROM BU_LOANTAPE_WORK.LT003_ENTITY WHERE ref_date='${ref_date}' AND nome_perimetro='Individual Corporativo' AND segmento='ESTR' AND ambito='PM' AND entidade='00100')Y ON X.ENTTY_ID=Y.ENTTY_ID_SIMUL</v>
      </c>
      <c r="N103" s="38" t="s">
        <v>46</v>
      </c>
    </row>
    <row r="104" spans="2:14">
      <c r="B104" s="34" t="s">
        <v>127</v>
      </c>
      <c r="C104" s="34" t="s">
        <v>5</v>
      </c>
      <c r="D104" s="34" t="str">
        <f>+UPPER('0. Instruções'!$D$35&amp;"."&amp;VLOOKUP(B104,'0. Instruções'!$C$27:$D$32,2,FALSE))</f>
        <v>CD_LOAN_TAPES_BCE.LT003_ENTITY</v>
      </c>
      <c r="E104" s="34" t="str">
        <f>+UPPER('0. Instruções'!$D$36&amp;"."&amp;VLOOKUP(B104,'0. Instruções'!$C$27:$E$32,3,FALSE))</f>
        <v>BU_LOANTAPE_WORK.LT003_ENTITY</v>
      </c>
      <c r="F104" s="92" t="s">
        <v>410</v>
      </c>
      <c r="G104" s="34"/>
      <c r="H104" s="34" t="s">
        <v>646</v>
      </c>
      <c r="I104" s="34" t="str">
        <f>"(SELECT "&amp;VLOOKUP(B104,'0. Instruções'!$C$27:$G$32,4,FALSE)&amp;", "&amp;F104&amp;" FROM "&amp;D104&amp;" WHERE "&amp;'0. Instruções'!$D$42&amp;")X"</f>
        <v>(SELECT entty_id, ADDRSS_STRT FROM CD_LOAN_TAPES_BCE.LT003_ENTITY WHERE ref_date='${ref_date}' AND nome_perimetro='Individual Corporativo' AND segmento='ESTR' AND ambito='PM' AND entidade='00100')X</v>
      </c>
      <c r="J104" s="34" t="str">
        <f>"(SELECT "&amp;VLOOKUP(B104,'0. Instruções'!$C$27:$G$32,4,FALSE)&amp;" AS "&amp;VLOOKUP(B104,'0. Instruções'!$C$27:$G$32,4,FALSE)&amp;"_SIMUL, "&amp;F104&amp;" AS "&amp;F104&amp;"_SIMUL FROM "&amp;E104&amp;" WHERE "&amp;'0. Instruções'!$D$43&amp;")Y"</f>
        <v>(SELECT entty_id AS entty_id_SIMUL, ADDRSS_STRT AS ADDRSS_STRT_SIMUL FROM BU_LOANTAPE_WORK.LT003_ENTITY WHERE ref_date='${ref_date}' AND nome_perimetro='Individual Corporativo' AND segmento='ESTR' AND ambito='PM' AND entidade='00100')Y</v>
      </c>
      <c r="K104" s="35" t="str">
        <f>+UPPER("ON X."&amp;VLOOKUP(B104,'0. Instruções'!$C$27:$G$32,4,FALSE)&amp;"=Y."&amp;VLOOKUP(B104,'0. Instruções'!$C$27:$G$32,4,FALSE)&amp;"_SIMUL")</f>
        <v>ON X.ENTTY_ID=Y.ENTTY_ID_SIMUL</v>
      </c>
      <c r="L104" s="35" t="str">
        <f>+IF(C104="Coerência", +IF(LEFT(G104,5)="FLOAT","SELECT '"&amp;UPPER(B104)&amp;"' AS TABELA, '"&amp;UPPER(C104)&amp;"' AS TIPOLOGIA_TESTE,'"&amp;D104&amp;"' AS TABELA_LT,'"&amp;E104&amp;"' AS TABELA_SIMUL,'"&amp;F104&amp;"' AS CAMPO, "&amp;"'${ref_date}' AS REF_DATE, COUNT(*) AS NUM_REG, SUM(IF((ABS(COALESCE(CAST(X."&amp;F104&amp;" AS DECIMAL(18,6)),0)-COALESCE(CAST(Y."&amp;F104&amp;"_SIMUL AS DECIMAL(18,6)),0))&gt;0.000001) OR (X."&amp;F104&amp;" IS NULL AND Y."&amp;F104&amp;"_SIMUL IS NOT NULL ) OR (X."&amp;F104&amp;" IS NOT NULL AND Y."&amp;F104&amp;"_SIMUL IS NULL),1,0)) AS NUM_REG_DIF,'"&amp;MAX('ID1&amp;5'!K:K)+1&amp;"' AS ID_EXEC, CURRENT_TIMESTAMP() AS TIME_EXEC FROM "&amp;I104&amp;" INNER JOIN "&amp;J104&amp;" "&amp;K104,"SELECT '"&amp;UPPER(B104)&amp;"' AS TABELA, '"&amp;UPPER(C104)&amp;"' AS TIPOLOGIA_TESTE,'"&amp;D104&amp;"' AS TABELA_LT,'"&amp;E104&amp;"' AS TABELA_SIMUL,'"&amp;F104&amp;"' AS CAMPO, "&amp;"'${ref_date}' AS REF_DATE, COUNT(*) AS NUM_REG, SUM(IF(COALESCE(CAST(X."&amp;F104&amp;" AS STRING),'')&lt;&gt;COALESCE(CAST(Y."&amp;F104&amp;"_SIMUL AS STRING),'') OR (X."&amp;F104&amp;" IS NULL AND Y."&amp;F104&amp;"_SIMUL IS NOT NULL ) OR (X."&amp;F104&amp;" IS NOT NULL AND Y."&amp;F104&amp;"_SIMUL IS NULL),1,0)) AS NUM_REG_DIF,'"&amp;MAX('ID1&amp;5'!L:L)+1&amp;"' AS ID_EXEC, CURRENT_TIMESTAMP() AS TIME_EXEC FROM "&amp;I104&amp;" INNER JOIN "&amp;J104&amp;" "&amp;K104),
IF(C104="Validade",+IF(G104="Code List","SELECT '"&amp;UPPER(B104)&amp;"' AS TABELA, '"&amp;UPPER(C104)&amp;"' AS TIPOLOGIA_TESTE,'"&amp;D104&amp;"' AS TABELA_LT,'N/A' AS TABELA_SIMUL,'"&amp;F104&amp;"' AS CAMPO, "&amp;"'${ref_date}' AS REF_DATE, COUNT(*) AS NUM_REG, SUM(IF(TRIM(CAST(X."&amp;F104&amp;" AS STRING))='' OR TRIM(CAST(X."&amp;F104&amp;" AS STRING)) IS NULL OR CAST(X."&amp;F104&amp;" AS STRING) NOT "&amp;H104&amp;",1,0)) AS NUM_REG_DIF,'"&amp;MAX('ID1&amp;5'!K:K)+1&amp;"' AS ID_EXEC, CURRENT_TIMESTAMP() AS TIME_EXEC FROM "&amp;I104,"SELECT '"&amp;UPPER(B104)&amp;"' AS TABELA, '"&amp;UPPER(C104)&amp;"' AS TIPOLOGIA_TESTE,'"&amp;D104&amp;"' AS TABELA_LT,'N/A' AS TABELA_SIMUL,'"&amp;F104&amp;"' AS CAMPO, "&amp;"'${ref_date}' AS REF_DATE, COUNT(*) AS NUM_REG, SUM(IF(TRIM(CAST(X."&amp;F104&amp;" AS STRING))='' OR TRIM(CAST(X."&amp;F104&amp;" AS STRING)) IS NULL,1,0)) AS NUM_REG_DIF,'"&amp;MAX('ID1&amp;5'!K:K)+1&amp;"' AS ID_EXEC, CURRENT_TIMESTAMP() AS TIME_EXEC FROM "&amp;I104),
IF(C104="Caracteres Especiais",+"SELECT '"&amp;UPPER(B104)&amp;"' AS TABELA, '"&amp;UPPER(C104)&amp;"' AS TIPOLOGIA_TESTE,'"&amp;D104&amp;"' AS TABELA_LT,'N/A' AS TABELA_SIMUL,'"&amp;F104&amp;"' AS CAMPO, "&amp;"'${ref_date}' AS REF_DATE, COUNT(*) AS NUM_REG, SUM(IF(REGEXP_REPLACE(TRIM(CAST(X."&amp;F104&amp;" AS STRING)),'[^a-zA-Z0-9_\\s]','') &lt;&gt;TRIM(CAST(X."&amp;F104&amp;" AS STRING)),1,0)) AS NUM_REG_DIF,'"&amp;MAX('ID1&amp;5'!K:K)+1&amp;"' AS ID_EXEC, CURRENT_TIMESTAMP() AS TIME_EXEC FROM "&amp;I104,
IF(C104="Missings",+"SELECT '"&amp;UPPER(B104)&amp;"' AS TABELA, '"&amp;UPPER(C104)&amp;"' AS TIPOLOGIA_TESTE,'"&amp;D104&amp;"' AS TABELA_LT,'N/A' AS TABELA_SIMUL,'"&amp;F104&amp;"' AS CAMPO, "&amp;"'${ref_date}' AS REF_DATE, COUNT(*) AS NUM_REG, SUM(IF(TRIM(CAST(X."&amp;F104&amp;" AS STRING)) IN ('0000-00-00','0001-01-01','9999-12-31','MISS','00000','99999999999','99999999999.00','99999999999.000000'),1,0)) AS NUM_REG_DIF,'"&amp;MAX('ID1&amp;5'!K:K)+1&amp;"' AS ID_EXEC, CURRENT_TIMESTAMP() AS TIME_EXEC FROM "&amp;I104,
IF(C104="Not applicable",+"SELECT '"&amp;UPPER(B104)&amp;"' AS TABELA, '"&amp;UPPER(C104)&amp;"' AS TIPOLOGIA_TESTE,'"&amp;D104&amp;"' AS TABELA_LT,'N/A' AS TABELA_SIMUL,'"&amp;F104&amp;"' AS CAMPO, "&amp;"'${ref_date}' AS REF_DATE, COUNT(*) AS NUM_REG, SUM(IF(TRIM(CAST(X."&amp;F104&amp;" AS STRING)) IN ('N/A','11111111111','11111111111.00','11111111111.000000','1111-11-11'),1,0)) AS NUM_REG_DIF,'"&amp;MAX('ID1&amp;5'!K:K)+1&amp;"' AS ID_EXEC, CURRENT_TIMESTAMP() AS TIME_EXEC FROM "&amp;I104,
IF(C104="Valores extremos",+"SELECT '"&amp;UPPER(B104)&amp;"' AS TABELA, '"&amp;UPPER(C104)&amp;"' AS TIPOLOGIA_TESTE,'"&amp;D104&amp;"' AS TABELA_LT,'N/A' AS TABELA_SIMUL,'"&amp;F104&amp;"' AS CAMPO, "&amp;"'${ref_date}' AS REF_DATE, CAST(MIN("&amp;F104&amp;") AS STRING) AS VALOR_MIN, CAST(MAX("&amp;F104&amp;") AS STRING) AS VALOR_MAX,'"&amp;MAX('ID1&amp;5'!K:K)+1&amp;"' AS ID_EXEC, CURRENT_TIMESTAMP() AS TIME_EXEC FROM "&amp;MID(I104,1,LEN(I104)-2)&amp;" AND CAST("&amp;F104&amp;"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TABELA_SIMUL,'ADDRSS_STRT' AS CAMPO, '${ref_date}' AS REF_DATE, COUNT(*) AS NUM_REG, SUM(IF(COALESCE(CAST(X.ADDRSS_STRT AS STRING),'')&lt;&gt;COALESCE(CAST(Y.ADDRSS_STRT_SIMUL AS STRING),'') OR (X.ADDRSS_STRT IS NULL AND Y.ADDRSS_STRT_SIMUL IS NOT NULL ) OR (X.ADDRSS_STRT IS NOT NULL AND Y.ADDRSS_STRT_SIMUL IS NULL),1,0)) AS NUM_REG_DIF,'1' AS ID_EXEC, CURRENT_TIMESTAMP() AS TIME_EXEC FROM (SELECT entty_id, ADDRSS_STRT FROM CD_LOAN_TAPES_BCE.LT003_ENTITY WHERE ref_date='${ref_date}' AND nome_perimetro='Individual Corporativo' AND segmento='ESTR' AND ambito='PM' AND entidade='00100')X INNER JOIN (SELECT entty_id AS entty_id_SIMUL, ADDRSS_STRT AS ADDRSS_STRT_SIMUL FROM BU_LOANTAPE_WORK.LT003_ENTITY WHERE ref_date='${ref_date}' AND nome_perimetro='Individual Corporativo' AND segmento='ESTR' AND ambito='PM' AND entidade='00100')Y ON X.ENTTY_ID=Y.ENTTY_ID_SIMUL</v>
      </c>
      <c r="M104" s="36" t="str">
        <f t="shared" si="1"/>
        <v>UNION ALL SELECT 'ENTITY' AS TABELA, 'COERÊNCIA' AS TIPOLOGIA_TESTE,'CD_LOAN_TAPES_BCE.LT003_ENTITY' AS TABELA_LT,'BU_LOANTAPE_WORK.LT003_ENTITY' AS TABELA_SIMUL,'ADDRSS_STRT' AS CAMPO, '${ref_date}' AS REF_DATE, COUNT(*) AS NUM_REG, SUM(IF(COALESCE(CAST(X.ADDRSS_STRT AS STRING),'')&lt;&gt;COALESCE(CAST(Y.ADDRSS_STRT_SIMUL AS STRING),'') OR (X.ADDRSS_STRT IS NULL AND Y.ADDRSS_STRT_SIMUL IS NOT NULL ) OR (X.ADDRSS_STRT IS NOT NULL AND Y.ADDRSS_STRT_SIMUL IS NULL),1,0)) AS NUM_REG_DIF,'1' AS ID_EXEC, CURRENT_TIMESTAMP() AS TIME_EXEC FROM (SELECT entty_id, ADDRSS_STRT FROM CD_LOAN_TAPES_BCE.LT003_ENTITY WHERE ref_date='${ref_date}' AND nome_perimetro='Individual Corporativo' AND segmento='ESTR' AND ambito='PM' AND entidade='00100')X INNER JOIN (SELECT entty_id AS entty_id_SIMUL, ADDRSS_STRT AS ADDRSS_STRT_SIMUL FROM BU_LOANTAPE_WORK.LT003_ENTITY WHERE ref_date='${ref_date}' AND nome_perimetro='Individual Corporativo' AND segmento='ESTR' AND ambito='PM' AND entidade='00100')Y ON X.ENTTY_ID=Y.ENTTY_ID_SIMUL</v>
      </c>
      <c r="N104" s="38" t="s">
        <v>46</v>
      </c>
    </row>
    <row r="105" spans="2:14">
      <c r="B105" s="34" t="s">
        <v>127</v>
      </c>
      <c r="C105" s="34" t="s">
        <v>5</v>
      </c>
      <c r="D105" s="34" t="str">
        <f>+UPPER('0. Instruções'!$D$35&amp;"."&amp;VLOOKUP(B105,'0. Instruções'!$C$27:$D$32,2,FALSE))</f>
        <v>CD_LOAN_TAPES_BCE.LT003_ENTITY</v>
      </c>
      <c r="E105" s="34" t="str">
        <f>+UPPER('0. Instruções'!$D$36&amp;"."&amp;VLOOKUP(B105,'0. Instruções'!$C$27:$E$32,3,FALSE))</f>
        <v>BU_LOANTAPE_WORK.LT003_ENTITY</v>
      </c>
      <c r="F105" s="92" t="s">
        <v>411</v>
      </c>
      <c r="G105" s="34"/>
      <c r="H105" s="34" t="s">
        <v>645</v>
      </c>
      <c r="I105" s="34" t="str">
        <f>"(SELECT "&amp;VLOOKUP(B105,'0. Instruções'!$C$27:$G$32,4,FALSE)&amp;", "&amp;F105&amp;" FROM "&amp;D105&amp;" WHERE "&amp;'0. Instruções'!$D$42&amp;")X"</f>
        <v>(SELECT entty_id, DT_ENTRPRS_SZ FROM CD_LOAN_TAPES_BCE.LT003_ENTITY WHERE ref_date='${ref_date}' AND nome_perimetro='Individual Corporativo' AND segmento='ESTR' AND ambito='PM' AND entidade='00100')X</v>
      </c>
      <c r="J105" s="34" t="str">
        <f>"(SELECT "&amp;VLOOKUP(B105,'0. Instruções'!$C$27:$G$32,4,FALSE)&amp;" AS "&amp;VLOOKUP(B105,'0. Instruções'!$C$27:$G$32,4,FALSE)&amp;"_SIMUL, "&amp;F105&amp;" AS "&amp;F105&amp;"_SIMUL FROM "&amp;E105&amp;" WHERE "&amp;'0. Instruções'!$D$43&amp;")Y"</f>
        <v>(SELECT entty_id AS entty_id_SIMUL, DT_ENTRPRS_SZ AS DT_ENTRPRS_SZ_SIMUL FROM BU_LOANTAPE_WORK.LT003_ENTITY WHERE ref_date='${ref_date}' AND nome_perimetro='Individual Corporativo' AND segmento='ESTR' AND ambito='PM' AND entidade='00100')Y</v>
      </c>
      <c r="K105" s="35" t="str">
        <f>+UPPER("ON X."&amp;VLOOKUP(B105,'0. Instruções'!$C$27:$G$32,4,FALSE)&amp;"=Y."&amp;VLOOKUP(B105,'0. Instruções'!$C$27:$G$32,4,FALSE)&amp;"_SIMUL")</f>
        <v>ON X.ENTTY_ID=Y.ENTTY_ID_SIMUL</v>
      </c>
      <c r="L105" s="35" t="str">
        <f>+IF(C105="Coerência", +IF(LEFT(G105,5)="FLOAT","SELECT '"&amp;UPPER(B105)&amp;"' AS TABELA, '"&amp;UPPER(C105)&amp;"' AS TIPOLOGIA_TESTE,'"&amp;D105&amp;"' AS TABELA_LT,'"&amp;E105&amp;"' AS TABELA_SIMUL,'"&amp;F105&amp;"' AS CAMPO, "&amp;"'${ref_date}' AS REF_DATE, COUNT(*) AS NUM_REG, SUM(IF((ABS(COALESCE(CAST(X."&amp;F105&amp;" AS DECIMAL(18,6)),0)-COALESCE(CAST(Y."&amp;F105&amp;"_SIMUL AS DECIMAL(18,6)),0))&gt;0.000001) OR (X."&amp;F105&amp;" IS NULL AND Y."&amp;F105&amp;"_SIMUL IS NOT NULL ) OR (X."&amp;F105&amp;" IS NOT NULL AND Y."&amp;F105&amp;"_SIMUL IS NULL),1,0)) AS NUM_REG_DIF,'"&amp;MAX('ID1&amp;5'!K:K)+1&amp;"' AS ID_EXEC, CURRENT_TIMESTAMP() AS TIME_EXEC FROM "&amp;I105&amp;" INNER JOIN "&amp;J105&amp;" "&amp;K105,"SELECT '"&amp;UPPER(B105)&amp;"' AS TABELA, '"&amp;UPPER(C105)&amp;"' AS TIPOLOGIA_TESTE,'"&amp;D105&amp;"' AS TABELA_LT,'"&amp;E105&amp;"' AS TABELA_SIMUL,'"&amp;F105&amp;"' AS CAMPO, "&amp;"'${ref_date}' AS REF_DATE, COUNT(*) AS NUM_REG, SUM(IF(COALESCE(CAST(X."&amp;F105&amp;" AS STRING),'')&lt;&gt;COALESCE(CAST(Y."&amp;F105&amp;"_SIMUL AS STRING),'') OR (X."&amp;F105&amp;" IS NULL AND Y."&amp;F105&amp;"_SIMUL IS NOT NULL ) OR (X."&amp;F105&amp;" IS NOT NULL AND Y."&amp;F105&amp;"_SIMUL IS NULL),1,0)) AS NUM_REG_DIF,'"&amp;MAX('ID1&amp;5'!L:L)+1&amp;"' AS ID_EXEC, CURRENT_TIMESTAMP() AS TIME_EXEC FROM "&amp;I105&amp;" INNER JOIN "&amp;J105&amp;" "&amp;K105),
IF(C105="Validade",+IF(G105="Code List","SELECT '"&amp;UPPER(B105)&amp;"' AS TABELA, '"&amp;UPPER(C105)&amp;"' AS TIPOLOGIA_TESTE,'"&amp;D105&amp;"' AS TABELA_LT,'N/A' AS TABELA_SIMUL,'"&amp;F105&amp;"' AS CAMPO, "&amp;"'${ref_date}' AS REF_DATE, COUNT(*) AS NUM_REG, SUM(IF(TRIM(CAST(X."&amp;F105&amp;" AS STRING))='' OR TRIM(CAST(X."&amp;F105&amp;" AS STRING)) IS NULL OR CAST(X."&amp;F105&amp;" AS STRING) NOT "&amp;H105&amp;",1,0)) AS NUM_REG_DIF,'"&amp;MAX('ID1&amp;5'!K:K)+1&amp;"' AS ID_EXEC, CURRENT_TIMESTAMP() AS TIME_EXEC FROM "&amp;I105,"SELECT '"&amp;UPPER(B105)&amp;"' AS TABELA, '"&amp;UPPER(C105)&amp;"' AS TIPOLOGIA_TESTE,'"&amp;D105&amp;"' AS TABELA_LT,'N/A' AS TABELA_SIMUL,'"&amp;F105&amp;"' AS CAMPO, "&amp;"'${ref_date}' AS REF_DATE, COUNT(*) AS NUM_REG, SUM(IF(TRIM(CAST(X."&amp;F105&amp;" AS STRING))='' OR TRIM(CAST(X."&amp;F105&amp;" AS STRING)) IS NULL,1,0)) AS NUM_REG_DIF,'"&amp;MAX('ID1&amp;5'!K:K)+1&amp;"' AS ID_EXEC, CURRENT_TIMESTAMP() AS TIME_EXEC FROM "&amp;I105),
IF(C105="Caracteres Especiais",+"SELECT '"&amp;UPPER(B105)&amp;"' AS TABELA, '"&amp;UPPER(C105)&amp;"' AS TIPOLOGIA_TESTE,'"&amp;D105&amp;"' AS TABELA_LT,'N/A' AS TABELA_SIMUL,'"&amp;F105&amp;"' AS CAMPO, "&amp;"'${ref_date}' AS REF_DATE, COUNT(*) AS NUM_REG, SUM(IF(REGEXP_REPLACE(TRIM(CAST(X."&amp;F105&amp;" AS STRING)),'[^a-zA-Z0-9_\\s]','') &lt;&gt;TRIM(CAST(X."&amp;F105&amp;" AS STRING)),1,0)) AS NUM_REG_DIF,'"&amp;MAX('ID1&amp;5'!K:K)+1&amp;"' AS ID_EXEC, CURRENT_TIMESTAMP() AS TIME_EXEC FROM "&amp;I105,
IF(C105="Missings",+"SELECT '"&amp;UPPER(B105)&amp;"' AS TABELA, '"&amp;UPPER(C105)&amp;"' AS TIPOLOGIA_TESTE,'"&amp;D105&amp;"' AS TABELA_LT,'N/A' AS TABELA_SIMUL,'"&amp;F105&amp;"' AS CAMPO, "&amp;"'${ref_date}' AS REF_DATE, COUNT(*) AS NUM_REG, SUM(IF(TRIM(CAST(X."&amp;F105&amp;" AS STRING)) IN ('0000-00-00','0001-01-01','9999-12-31','MISS','00000','99999999999','99999999999.00','99999999999.000000'),1,0)) AS NUM_REG_DIF,'"&amp;MAX('ID1&amp;5'!K:K)+1&amp;"' AS ID_EXEC, CURRENT_TIMESTAMP() AS TIME_EXEC FROM "&amp;I105,
IF(C105="Not applicable",+"SELECT '"&amp;UPPER(B105)&amp;"' AS TABELA, '"&amp;UPPER(C105)&amp;"' AS TIPOLOGIA_TESTE,'"&amp;D105&amp;"' AS TABELA_LT,'N/A' AS TABELA_SIMUL,'"&amp;F105&amp;"' AS CAMPO, "&amp;"'${ref_date}' AS REF_DATE, COUNT(*) AS NUM_REG, SUM(IF(TRIM(CAST(X."&amp;F105&amp;" AS STRING)) IN ('N/A','11111111111','11111111111.00','11111111111.000000','1111-11-11'),1,0)) AS NUM_REG_DIF,'"&amp;MAX('ID1&amp;5'!K:K)+1&amp;"' AS ID_EXEC, CURRENT_TIMESTAMP() AS TIME_EXEC FROM "&amp;I105,
IF(C105="Valores extremos",+"SELECT '"&amp;UPPER(B105)&amp;"' AS TABELA, '"&amp;UPPER(C105)&amp;"' AS TIPOLOGIA_TESTE,'"&amp;D105&amp;"' AS TABELA_LT,'N/A' AS TABELA_SIMUL,'"&amp;F105&amp;"' AS CAMPO, "&amp;"'${ref_date}' AS REF_DATE, CAST(MIN("&amp;F105&amp;") AS STRING) AS VALOR_MIN, CAST(MAX("&amp;F105&amp;") AS STRING) AS VALOR_MAX,'"&amp;MAX('ID1&amp;5'!K:K)+1&amp;"' AS ID_EXEC, CURRENT_TIMESTAMP() AS TIME_EXEC FROM "&amp;MID(I105,1,LEN(I105)-2)&amp;" AND CAST("&amp;F105&amp;"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TABELA_SIMUL,'DT_ENTRPRS_SZ' AS CAMPO, '${ref_date}' AS REF_DATE, COUNT(*) AS NUM_REG, SUM(IF(COALESCE(CAST(X.DT_ENTRPRS_SZ AS STRING),'')&lt;&gt;COALESCE(CAST(Y.DT_ENTRPRS_SZ_SIMUL AS STRING),'') OR (X.DT_ENTRPRS_SZ IS NULL AND Y.DT_ENTRPRS_SZ_SIMUL IS NOT NULL ) OR (X.DT_ENTRPRS_SZ IS NOT NULL AND Y.DT_ENTRPRS_SZ_SIMUL IS NULL),1,0)) AS NUM_REG_DIF,'1' AS ID_EXEC, CURRENT_TIMESTAMP() AS TIME_EXEC FROM (SELECT entty_id, DT_ENTRPRS_SZ FROM CD_LOAN_TAPES_BCE.LT003_ENTITY WHERE ref_date='${ref_date}' AND nome_perimetro='Individual Corporativo' AND segmento='ESTR' AND ambito='PM' AND entidade='00100')X INNER JOIN (SELECT entty_id AS entty_id_SIMUL, DT_ENTRPRS_SZ AS DT_ENTRPRS_SZ_SIMUL FROM BU_LOANTAPE_WORK.LT003_ENTITY WHERE ref_date='${ref_date}' AND nome_perimetro='Individual Corporativo' AND segmento='ESTR' AND ambito='PM' AND entidade='00100')Y ON X.ENTTY_ID=Y.ENTTY_ID_SIMUL</v>
      </c>
      <c r="M105" s="36" t="str">
        <f t="shared" si="1"/>
        <v>UNION ALL SELECT 'ENTITY' AS TABELA, 'COERÊNCIA' AS TIPOLOGIA_TESTE,'CD_LOAN_TAPES_BCE.LT003_ENTITY' AS TABELA_LT,'BU_LOANTAPE_WORK.LT003_ENTITY' AS TABELA_SIMUL,'DT_ENTRPRS_SZ' AS CAMPO, '${ref_date}' AS REF_DATE, COUNT(*) AS NUM_REG, SUM(IF(COALESCE(CAST(X.DT_ENTRPRS_SZ AS STRING),'')&lt;&gt;COALESCE(CAST(Y.DT_ENTRPRS_SZ_SIMUL AS STRING),'') OR (X.DT_ENTRPRS_SZ IS NULL AND Y.DT_ENTRPRS_SZ_SIMUL IS NOT NULL ) OR (X.DT_ENTRPRS_SZ IS NOT NULL AND Y.DT_ENTRPRS_SZ_SIMUL IS NULL),1,0)) AS NUM_REG_DIF,'1' AS ID_EXEC, CURRENT_TIMESTAMP() AS TIME_EXEC FROM (SELECT entty_id, DT_ENTRPRS_SZ FROM CD_LOAN_TAPES_BCE.LT003_ENTITY WHERE ref_date='${ref_date}' AND nome_perimetro='Individual Corporativo' AND segmento='ESTR' AND ambito='PM' AND entidade='00100')X INNER JOIN (SELECT entty_id AS entty_id_SIMUL, DT_ENTRPRS_SZ AS DT_ENTRPRS_SZ_SIMUL FROM BU_LOANTAPE_WORK.LT003_ENTITY WHERE ref_date='${ref_date}' AND nome_perimetro='Individual Corporativo' AND segmento='ESTR' AND ambito='PM' AND entidade='00100')Y ON X.ENTTY_ID=Y.ENTTY_ID_SIMUL</v>
      </c>
      <c r="N105" s="38" t="s">
        <v>46</v>
      </c>
    </row>
    <row r="106" spans="2:14">
      <c r="B106" s="34" t="s">
        <v>127</v>
      </c>
      <c r="C106" s="34" t="s">
        <v>5</v>
      </c>
      <c r="D106" s="34" t="str">
        <f>+UPPER('0. Instruções'!$D$35&amp;"."&amp;VLOOKUP(B106,'0. Instruções'!$C$27:$D$32,2,FALSE))</f>
        <v>CD_LOAN_TAPES_BCE.LT003_ENTITY</v>
      </c>
      <c r="E106" s="34" t="str">
        <f>+UPPER('0. Instruções'!$D$36&amp;"."&amp;VLOOKUP(B106,'0. Instruções'!$C$27:$E$32,3,FALSE))</f>
        <v>BU_LOANTAPE_WORK.LT003_ENTITY</v>
      </c>
      <c r="F106" s="92" t="s">
        <v>412</v>
      </c>
      <c r="G106" s="34"/>
      <c r="H106" s="34" t="s">
        <v>649</v>
      </c>
      <c r="I106" s="34" t="str">
        <f>"(SELECT "&amp;VLOOKUP(B106,'0. Instruções'!$C$27:$G$32,4,FALSE)&amp;", "&amp;F106&amp;" FROM "&amp;D106&amp;" WHERE "&amp;'0. Instruções'!$D$42&amp;")X"</f>
        <v>(SELECT entty_id, NMBR_EMPLYS FROM CD_LOAN_TAPES_BCE.LT003_ENTITY WHERE ref_date='${ref_date}' AND nome_perimetro='Individual Corporativo' AND segmento='ESTR' AND ambito='PM' AND entidade='00100')X</v>
      </c>
      <c r="J106" s="34" t="str">
        <f>"(SELECT "&amp;VLOOKUP(B106,'0. Instruções'!$C$27:$G$32,4,FALSE)&amp;" AS "&amp;VLOOKUP(B106,'0. Instruções'!$C$27:$G$32,4,FALSE)&amp;"_SIMUL, "&amp;F106&amp;" AS "&amp;F106&amp;"_SIMUL FROM "&amp;E106&amp;" WHERE "&amp;'0. Instruções'!$D$43&amp;")Y"</f>
        <v>(SELECT entty_id AS entty_id_SIMUL, NMBR_EMPLYS AS NMBR_EMPLYS_SIMUL FROM BU_LOANTAPE_WORK.LT003_ENTITY WHERE ref_date='${ref_date}' AND nome_perimetro='Individual Corporativo' AND segmento='ESTR' AND ambito='PM' AND entidade='00100')Y</v>
      </c>
      <c r="K106" s="35" t="str">
        <f>+UPPER("ON X."&amp;VLOOKUP(B106,'0. Instruções'!$C$27:$G$32,4,FALSE)&amp;"=Y."&amp;VLOOKUP(B106,'0. Instruções'!$C$27:$G$32,4,FALSE)&amp;"_SIMUL")</f>
        <v>ON X.ENTTY_ID=Y.ENTTY_ID_SIMUL</v>
      </c>
      <c r="L106" s="35" t="str">
        <f>+IF(C106="Coerência", +IF(LEFT(G106,5)="FLOAT","SELECT '"&amp;UPPER(B106)&amp;"' AS TABELA, '"&amp;UPPER(C106)&amp;"' AS TIPOLOGIA_TESTE,'"&amp;D106&amp;"' AS TABELA_LT,'"&amp;E106&amp;"' AS TABELA_SIMUL,'"&amp;F106&amp;"' AS CAMPO, "&amp;"'${ref_date}' AS REF_DATE, COUNT(*) AS NUM_REG, SUM(IF((ABS(COALESCE(CAST(X."&amp;F106&amp;" AS DECIMAL(18,6)),0)-COALESCE(CAST(Y."&amp;F106&amp;"_SIMUL AS DECIMAL(18,6)),0))&gt;0.000001) OR (X."&amp;F106&amp;" IS NULL AND Y."&amp;F106&amp;"_SIMUL IS NOT NULL ) OR (X."&amp;F106&amp;" IS NOT NULL AND Y."&amp;F106&amp;"_SIMUL IS NULL),1,0)) AS NUM_REG_DIF,'"&amp;MAX('ID1&amp;5'!K:K)+1&amp;"' AS ID_EXEC, CURRENT_TIMESTAMP() AS TIME_EXEC FROM "&amp;I106&amp;" INNER JOIN "&amp;J106&amp;" "&amp;K106,"SELECT '"&amp;UPPER(B106)&amp;"' AS TABELA, '"&amp;UPPER(C106)&amp;"' AS TIPOLOGIA_TESTE,'"&amp;D106&amp;"' AS TABELA_LT,'"&amp;E106&amp;"' AS TABELA_SIMUL,'"&amp;F106&amp;"' AS CAMPO, "&amp;"'${ref_date}' AS REF_DATE, COUNT(*) AS NUM_REG, SUM(IF(COALESCE(CAST(X."&amp;F106&amp;" AS STRING),'')&lt;&gt;COALESCE(CAST(Y."&amp;F106&amp;"_SIMUL AS STRING),'') OR (X."&amp;F106&amp;" IS NULL AND Y."&amp;F106&amp;"_SIMUL IS NOT NULL ) OR (X."&amp;F106&amp;" IS NOT NULL AND Y."&amp;F106&amp;"_SIMUL IS NULL),1,0)) AS NUM_REG_DIF,'"&amp;MAX('ID1&amp;5'!L:L)+1&amp;"' AS ID_EXEC, CURRENT_TIMESTAMP() AS TIME_EXEC FROM "&amp;I106&amp;" INNER JOIN "&amp;J106&amp;" "&amp;K106),
IF(C106="Validade",+IF(G106="Code List","SELECT '"&amp;UPPER(B106)&amp;"' AS TABELA, '"&amp;UPPER(C106)&amp;"' AS TIPOLOGIA_TESTE,'"&amp;D106&amp;"' AS TABELA_LT,'N/A' AS TABELA_SIMUL,'"&amp;F106&amp;"' AS CAMPO, "&amp;"'${ref_date}' AS REF_DATE, COUNT(*) AS NUM_REG, SUM(IF(TRIM(CAST(X."&amp;F106&amp;" AS STRING))='' OR TRIM(CAST(X."&amp;F106&amp;" AS STRING)) IS NULL OR CAST(X."&amp;F106&amp;" AS STRING) NOT "&amp;H106&amp;",1,0)) AS NUM_REG_DIF,'"&amp;MAX('ID1&amp;5'!K:K)+1&amp;"' AS ID_EXEC, CURRENT_TIMESTAMP() AS TIME_EXEC FROM "&amp;I106,"SELECT '"&amp;UPPER(B106)&amp;"' AS TABELA, '"&amp;UPPER(C106)&amp;"' AS TIPOLOGIA_TESTE,'"&amp;D106&amp;"' AS TABELA_LT,'N/A' AS TABELA_SIMUL,'"&amp;F106&amp;"' AS CAMPO, "&amp;"'${ref_date}' AS REF_DATE, COUNT(*) AS NUM_REG, SUM(IF(TRIM(CAST(X."&amp;F106&amp;" AS STRING))='' OR TRIM(CAST(X."&amp;F106&amp;" AS STRING)) IS NULL,1,0)) AS NUM_REG_DIF,'"&amp;MAX('ID1&amp;5'!K:K)+1&amp;"' AS ID_EXEC, CURRENT_TIMESTAMP() AS TIME_EXEC FROM "&amp;I106),
IF(C106="Caracteres Especiais",+"SELECT '"&amp;UPPER(B106)&amp;"' AS TABELA, '"&amp;UPPER(C106)&amp;"' AS TIPOLOGIA_TESTE,'"&amp;D106&amp;"' AS TABELA_LT,'N/A' AS TABELA_SIMUL,'"&amp;F106&amp;"' AS CAMPO, "&amp;"'${ref_date}' AS REF_DATE, COUNT(*) AS NUM_REG, SUM(IF(REGEXP_REPLACE(TRIM(CAST(X."&amp;F106&amp;" AS STRING)),'[^a-zA-Z0-9_\\s]','') &lt;&gt;TRIM(CAST(X."&amp;F106&amp;" AS STRING)),1,0)) AS NUM_REG_DIF,'"&amp;MAX('ID1&amp;5'!K:K)+1&amp;"' AS ID_EXEC, CURRENT_TIMESTAMP() AS TIME_EXEC FROM "&amp;I106,
IF(C106="Missings",+"SELECT '"&amp;UPPER(B106)&amp;"' AS TABELA, '"&amp;UPPER(C106)&amp;"' AS TIPOLOGIA_TESTE,'"&amp;D106&amp;"' AS TABELA_LT,'N/A' AS TABELA_SIMUL,'"&amp;F106&amp;"' AS CAMPO, "&amp;"'${ref_date}' AS REF_DATE, COUNT(*) AS NUM_REG, SUM(IF(TRIM(CAST(X."&amp;F106&amp;" AS STRING)) IN ('0000-00-00','0001-01-01','9999-12-31','MISS','00000','99999999999','99999999999.00','99999999999.000000'),1,0)) AS NUM_REG_DIF,'"&amp;MAX('ID1&amp;5'!K:K)+1&amp;"' AS ID_EXEC, CURRENT_TIMESTAMP() AS TIME_EXEC FROM "&amp;I106,
IF(C106="Not applicable",+"SELECT '"&amp;UPPER(B106)&amp;"' AS TABELA, '"&amp;UPPER(C106)&amp;"' AS TIPOLOGIA_TESTE,'"&amp;D106&amp;"' AS TABELA_LT,'N/A' AS TABELA_SIMUL,'"&amp;F106&amp;"' AS CAMPO, "&amp;"'${ref_date}' AS REF_DATE, COUNT(*) AS NUM_REG, SUM(IF(TRIM(CAST(X."&amp;F106&amp;" AS STRING)) IN ('N/A','11111111111','11111111111.00','11111111111.000000','1111-11-11'),1,0)) AS NUM_REG_DIF,'"&amp;MAX('ID1&amp;5'!K:K)+1&amp;"' AS ID_EXEC, CURRENT_TIMESTAMP() AS TIME_EXEC FROM "&amp;I106,
IF(C106="Valores extremos",+"SELECT '"&amp;UPPER(B106)&amp;"' AS TABELA, '"&amp;UPPER(C106)&amp;"' AS TIPOLOGIA_TESTE,'"&amp;D106&amp;"' AS TABELA_LT,'N/A' AS TABELA_SIMUL,'"&amp;F106&amp;"' AS CAMPO, "&amp;"'${ref_date}' AS REF_DATE, CAST(MIN("&amp;F106&amp;") AS STRING) AS VALOR_MIN, CAST(MAX("&amp;F106&amp;") AS STRING) AS VALOR_MAX,'"&amp;MAX('ID1&amp;5'!K:K)+1&amp;"' AS ID_EXEC, CURRENT_TIMESTAMP() AS TIME_EXEC FROM "&amp;MID(I106,1,LEN(I106)-2)&amp;" AND CAST("&amp;F106&amp;"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TABELA_SIMUL,'NMBR_EMPLYS' AS CAMPO, '${ref_date}' AS REF_DATE, COUNT(*) AS NUM_REG, SUM(IF(COALESCE(CAST(X.NMBR_EMPLYS AS STRING),'')&lt;&gt;COALESCE(CAST(Y.NMBR_EMPLYS_SIMUL AS STRING),'') OR (X.NMBR_EMPLYS IS NULL AND Y.NMBR_EMPLYS_SIMUL IS NOT NULL ) OR (X.NMBR_EMPLYS IS NOT NULL AND Y.NMBR_EMPLYS_SIMUL IS NULL),1,0)) AS NUM_REG_DIF,'1' AS ID_EXEC, CURRENT_TIMESTAMP() AS TIME_EXEC FROM (SELECT entty_id, NMBR_EMPLYS FROM CD_LOAN_TAPES_BCE.LT003_ENTITY WHERE ref_date='${ref_date}' AND nome_perimetro='Individual Corporativo' AND segmento='ESTR' AND ambito='PM' AND entidade='00100')X INNER JOIN (SELECT entty_id AS entty_id_SIMUL, NMBR_EMPLYS AS NMBR_EMPLYS_SIMUL FROM BU_LOANTAPE_WORK.LT003_ENTITY WHERE ref_date='${ref_date}' AND nome_perimetro='Individual Corporativo' AND segmento='ESTR' AND ambito='PM' AND entidade='00100')Y ON X.ENTTY_ID=Y.ENTTY_ID_SIMUL</v>
      </c>
      <c r="M106" s="36" t="str">
        <f t="shared" si="1"/>
        <v>UNION ALL SELECT 'ENTITY' AS TABELA, 'COERÊNCIA' AS TIPOLOGIA_TESTE,'CD_LOAN_TAPES_BCE.LT003_ENTITY' AS TABELA_LT,'BU_LOANTAPE_WORK.LT003_ENTITY' AS TABELA_SIMUL,'NMBR_EMPLYS' AS CAMPO, '${ref_date}' AS REF_DATE, COUNT(*) AS NUM_REG, SUM(IF(COALESCE(CAST(X.NMBR_EMPLYS AS STRING),'')&lt;&gt;COALESCE(CAST(Y.NMBR_EMPLYS_SIMUL AS STRING),'') OR (X.NMBR_EMPLYS IS NULL AND Y.NMBR_EMPLYS_SIMUL IS NOT NULL ) OR (X.NMBR_EMPLYS IS NOT NULL AND Y.NMBR_EMPLYS_SIMUL IS NULL),1,0)) AS NUM_REG_DIF,'1' AS ID_EXEC, CURRENT_TIMESTAMP() AS TIME_EXEC FROM (SELECT entty_id, NMBR_EMPLYS FROM CD_LOAN_TAPES_BCE.LT003_ENTITY WHERE ref_date='${ref_date}' AND nome_perimetro='Individual Corporativo' AND segmento='ESTR' AND ambito='PM' AND entidade='00100')X INNER JOIN (SELECT entty_id AS entty_id_SIMUL, NMBR_EMPLYS AS NMBR_EMPLYS_SIMUL FROM BU_LOANTAPE_WORK.LT003_ENTITY WHERE ref_date='${ref_date}' AND nome_perimetro='Individual Corporativo' AND segmento='ESTR' AND ambito='PM' AND entidade='00100')Y ON X.ENTTY_ID=Y.ENTTY_ID_SIMUL</v>
      </c>
      <c r="N106" s="38" t="s">
        <v>46</v>
      </c>
    </row>
    <row r="107" spans="2:14">
      <c r="B107" s="34" t="s">
        <v>127</v>
      </c>
      <c r="C107" s="34" t="s">
        <v>5</v>
      </c>
      <c r="D107" s="34" t="str">
        <f>+UPPER('0. Instruções'!$D$35&amp;"."&amp;VLOOKUP(B107,'0. Instruções'!$C$27:$D$32,2,FALSE))</f>
        <v>CD_LOAN_TAPES_BCE.LT003_ENTITY</v>
      </c>
      <c r="E107" s="34" t="str">
        <f>+UPPER('0. Instruções'!$D$36&amp;"."&amp;VLOOKUP(B107,'0. Instruções'!$C$27:$E$32,3,FALSE))</f>
        <v>BU_LOANTAPE_WORK.LT003_ENTITY</v>
      </c>
      <c r="F107" s="92" t="s">
        <v>413</v>
      </c>
      <c r="G107" s="34"/>
      <c r="H107" s="34" t="s">
        <v>646</v>
      </c>
      <c r="I107" s="34" t="str">
        <f>"(SELECT "&amp;VLOOKUP(B107,'0. Instruções'!$C$27:$G$32,4,FALSE)&amp;", "&amp;F107&amp;" FROM "&amp;D107&amp;" WHERE "&amp;'0. Instruções'!$D$42&amp;")X"</f>
        <v>(SELECT entty_id, LGL_FRM FROM CD_LOAN_TAPES_BCE.LT003_ENTITY WHERE ref_date='${ref_date}' AND nome_perimetro='Individual Corporativo' AND segmento='ESTR' AND ambito='PM' AND entidade='00100')X</v>
      </c>
      <c r="J107" s="34" t="str">
        <f>"(SELECT "&amp;VLOOKUP(B107,'0. Instruções'!$C$27:$G$32,4,FALSE)&amp;" AS "&amp;VLOOKUP(B107,'0. Instruções'!$C$27:$G$32,4,FALSE)&amp;"_SIMUL, "&amp;F107&amp;" AS "&amp;F107&amp;"_SIMUL FROM "&amp;E107&amp;" WHERE "&amp;'0. Instruções'!$D$43&amp;")Y"</f>
        <v>(SELECT entty_id AS entty_id_SIMUL, LGL_FRM AS LGL_FRM_SIMUL FROM BU_LOANTAPE_WORK.LT003_ENTITY WHERE ref_date='${ref_date}' AND nome_perimetro='Individual Corporativo' AND segmento='ESTR' AND ambito='PM' AND entidade='00100')Y</v>
      </c>
      <c r="K107" s="35" t="str">
        <f>+UPPER("ON X."&amp;VLOOKUP(B107,'0. Instruções'!$C$27:$G$32,4,FALSE)&amp;"=Y."&amp;VLOOKUP(B107,'0. Instruções'!$C$27:$G$32,4,FALSE)&amp;"_SIMUL")</f>
        <v>ON X.ENTTY_ID=Y.ENTTY_ID_SIMUL</v>
      </c>
      <c r="L107" s="35" t="str">
        <f>+IF(C107="Coerência", +IF(LEFT(G107,5)="FLOAT","SELECT '"&amp;UPPER(B107)&amp;"' AS TABELA, '"&amp;UPPER(C107)&amp;"' AS TIPOLOGIA_TESTE,'"&amp;D107&amp;"' AS TABELA_LT,'"&amp;E107&amp;"' AS TABELA_SIMUL,'"&amp;F107&amp;"' AS CAMPO, "&amp;"'${ref_date}' AS REF_DATE, COUNT(*) AS NUM_REG, SUM(IF((ABS(COALESCE(CAST(X."&amp;F107&amp;" AS DECIMAL(18,6)),0)-COALESCE(CAST(Y."&amp;F107&amp;"_SIMUL AS DECIMAL(18,6)),0))&gt;0.000001) OR (X."&amp;F107&amp;" IS NULL AND Y."&amp;F107&amp;"_SIMUL IS NOT NULL ) OR (X."&amp;F107&amp;" IS NOT NULL AND Y."&amp;F107&amp;"_SIMUL IS NULL),1,0)) AS NUM_REG_DIF,'"&amp;MAX('ID1&amp;5'!K:K)+1&amp;"' AS ID_EXEC, CURRENT_TIMESTAMP() AS TIME_EXEC FROM "&amp;I107&amp;" INNER JOIN "&amp;J107&amp;" "&amp;K107,"SELECT '"&amp;UPPER(B107)&amp;"' AS TABELA, '"&amp;UPPER(C107)&amp;"' AS TIPOLOGIA_TESTE,'"&amp;D107&amp;"' AS TABELA_LT,'"&amp;E107&amp;"' AS TABELA_SIMUL,'"&amp;F107&amp;"' AS CAMPO, "&amp;"'${ref_date}' AS REF_DATE, COUNT(*) AS NUM_REG, SUM(IF(COALESCE(CAST(X."&amp;F107&amp;" AS STRING),'')&lt;&gt;COALESCE(CAST(Y."&amp;F107&amp;"_SIMUL AS STRING),'') OR (X."&amp;F107&amp;" IS NULL AND Y."&amp;F107&amp;"_SIMUL IS NOT NULL ) OR (X."&amp;F107&amp;" IS NOT NULL AND Y."&amp;F107&amp;"_SIMUL IS NULL),1,0)) AS NUM_REG_DIF,'"&amp;MAX('ID1&amp;5'!L:L)+1&amp;"' AS ID_EXEC, CURRENT_TIMESTAMP() AS TIME_EXEC FROM "&amp;I107&amp;" INNER JOIN "&amp;J107&amp;" "&amp;K107),
IF(C107="Validade",+IF(G107="Code List","SELECT '"&amp;UPPER(B107)&amp;"' AS TABELA, '"&amp;UPPER(C107)&amp;"' AS TIPOLOGIA_TESTE,'"&amp;D107&amp;"' AS TABELA_LT,'N/A' AS TABELA_SIMUL,'"&amp;F107&amp;"' AS CAMPO, "&amp;"'${ref_date}' AS REF_DATE, COUNT(*) AS NUM_REG, SUM(IF(TRIM(CAST(X."&amp;F107&amp;" AS STRING))='' OR TRIM(CAST(X."&amp;F107&amp;" AS STRING)) IS NULL OR CAST(X."&amp;F107&amp;" AS STRING) NOT "&amp;H107&amp;",1,0)) AS NUM_REG_DIF,'"&amp;MAX('ID1&amp;5'!K:K)+1&amp;"' AS ID_EXEC, CURRENT_TIMESTAMP() AS TIME_EXEC FROM "&amp;I107,"SELECT '"&amp;UPPER(B107)&amp;"' AS TABELA, '"&amp;UPPER(C107)&amp;"' AS TIPOLOGIA_TESTE,'"&amp;D107&amp;"' AS TABELA_LT,'N/A' AS TABELA_SIMUL,'"&amp;F107&amp;"' AS CAMPO, "&amp;"'${ref_date}' AS REF_DATE, COUNT(*) AS NUM_REG, SUM(IF(TRIM(CAST(X."&amp;F107&amp;" AS STRING))='' OR TRIM(CAST(X."&amp;F107&amp;" AS STRING)) IS NULL,1,0)) AS NUM_REG_DIF,'"&amp;MAX('ID1&amp;5'!K:K)+1&amp;"' AS ID_EXEC, CURRENT_TIMESTAMP() AS TIME_EXEC FROM "&amp;I107),
IF(C107="Caracteres Especiais",+"SELECT '"&amp;UPPER(B107)&amp;"' AS TABELA, '"&amp;UPPER(C107)&amp;"' AS TIPOLOGIA_TESTE,'"&amp;D107&amp;"' AS TABELA_LT,'N/A' AS TABELA_SIMUL,'"&amp;F107&amp;"' AS CAMPO, "&amp;"'${ref_date}' AS REF_DATE, COUNT(*) AS NUM_REG, SUM(IF(REGEXP_REPLACE(TRIM(CAST(X."&amp;F107&amp;" AS STRING)),'[^a-zA-Z0-9_\\s]','') &lt;&gt;TRIM(CAST(X."&amp;F107&amp;" AS STRING)),1,0)) AS NUM_REG_DIF,'"&amp;MAX('ID1&amp;5'!K:K)+1&amp;"' AS ID_EXEC, CURRENT_TIMESTAMP() AS TIME_EXEC FROM "&amp;I107,
IF(C107="Missings",+"SELECT '"&amp;UPPER(B107)&amp;"' AS TABELA, '"&amp;UPPER(C107)&amp;"' AS TIPOLOGIA_TESTE,'"&amp;D107&amp;"' AS TABELA_LT,'N/A' AS TABELA_SIMUL,'"&amp;F107&amp;"' AS CAMPO, "&amp;"'${ref_date}' AS REF_DATE, COUNT(*) AS NUM_REG, SUM(IF(TRIM(CAST(X."&amp;F107&amp;" AS STRING)) IN ('0000-00-00','0001-01-01','9999-12-31','MISS','00000','99999999999','99999999999.00','99999999999.000000'),1,0)) AS NUM_REG_DIF,'"&amp;MAX('ID1&amp;5'!K:K)+1&amp;"' AS ID_EXEC, CURRENT_TIMESTAMP() AS TIME_EXEC FROM "&amp;I107,
IF(C107="Not applicable",+"SELECT '"&amp;UPPER(B107)&amp;"' AS TABELA, '"&amp;UPPER(C107)&amp;"' AS TIPOLOGIA_TESTE,'"&amp;D107&amp;"' AS TABELA_LT,'N/A' AS TABELA_SIMUL,'"&amp;F107&amp;"' AS CAMPO, "&amp;"'${ref_date}' AS REF_DATE, COUNT(*) AS NUM_REG, SUM(IF(TRIM(CAST(X."&amp;F107&amp;" AS STRING)) IN ('N/A','11111111111','11111111111.00','11111111111.000000','1111-11-11'),1,0)) AS NUM_REG_DIF,'"&amp;MAX('ID1&amp;5'!K:K)+1&amp;"' AS ID_EXEC, CURRENT_TIMESTAMP() AS TIME_EXEC FROM "&amp;I107,
IF(C107="Valores extremos",+"SELECT '"&amp;UPPER(B107)&amp;"' AS TABELA, '"&amp;UPPER(C107)&amp;"' AS TIPOLOGIA_TESTE,'"&amp;D107&amp;"' AS TABELA_LT,'N/A' AS TABELA_SIMUL,'"&amp;F107&amp;"' AS CAMPO, "&amp;"'${ref_date}' AS REF_DATE, CAST(MIN("&amp;F107&amp;") AS STRING) AS VALOR_MIN, CAST(MAX("&amp;F107&amp;") AS STRING) AS VALOR_MAX,'"&amp;MAX('ID1&amp;5'!K:K)+1&amp;"' AS ID_EXEC, CURRENT_TIMESTAMP() AS TIME_EXEC FROM "&amp;MID(I107,1,LEN(I107)-2)&amp;" AND CAST("&amp;F107&amp;"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TABELA_SIMUL,'LGL_FRM' AS CAMPO, '${ref_date}' AS REF_DATE, COUNT(*) AS NUM_REG, SUM(IF(COALESCE(CAST(X.LGL_FRM AS STRING),'')&lt;&gt;COALESCE(CAST(Y.LGL_FRM_SIMUL AS STRING),'') OR (X.LGL_FRM IS NULL AND Y.LGL_FRM_SIMUL IS NOT NULL ) OR (X.LGL_FRM IS NOT NULL AND Y.LGL_FRM_SIMUL IS NULL),1,0)) AS NUM_REG_DIF,'1' AS ID_EXEC, CURRENT_TIMESTAMP() AS TIME_EXEC FROM (SELECT entty_id, LGL_FRM FROM CD_LOAN_TAPES_BCE.LT003_ENTITY WHERE ref_date='${ref_date}' AND nome_perimetro='Individual Corporativo' AND segmento='ESTR' AND ambito='PM' AND entidade='00100')X INNER JOIN (SELECT entty_id AS entty_id_SIMUL, LGL_FRM AS LGL_FRM_SIMUL FROM BU_LOANTAPE_WORK.LT003_ENTITY WHERE ref_date='${ref_date}' AND nome_perimetro='Individual Corporativo' AND segmento='ESTR' AND ambito='PM' AND entidade='00100')Y ON X.ENTTY_ID=Y.ENTTY_ID_SIMUL</v>
      </c>
      <c r="M107" s="36" t="str">
        <f t="shared" si="1"/>
        <v>UNION ALL SELECT 'ENTITY' AS TABELA, 'COERÊNCIA' AS TIPOLOGIA_TESTE,'CD_LOAN_TAPES_BCE.LT003_ENTITY' AS TABELA_LT,'BU_LOANTAPE_WORK.LT003_ENTITY' AS TABELA_SIMUL,'LGL_FRM' AS CAMPO, '${ref_date}' AS REF_DATE, COUNT(*) AS NUM_REG, SUM(IF(COALESCE(CAST(X.LGL_FRM AS STRING),'')&lt;&gt;COALESCE(CAST(Y.LGL_FRM_SIMUL AS STRING),'') OR (X.LGL_FRM IS NULL AND Y.LGL_FRM_SIMUL IS NOT NULL ) OR (X.LGL_FRM IS NOT NULL AND Y.LGL_FRM_SIMUL IS NULL),1,0)) AS NUM_REG_DIF,'1' AS ID_EXEC, CURRENT_TIMESTAMP() AS TIME_EXEC FROM (SELECT entty_id, LGL_FRM FROM CD_LOAN_TAPES_BCE.LT003_ENTITY WHERE ref_date='${ref_date}' AND nome_perimetro='Individual Corporativo' AND segmento='ESTR' AND ambito='PM' AND entidade='00100')X INNER JOIN (SELECT entty_id AS entty_id_SIMUL, LGL_FRM AS LGL_FRM_SIMUL FROM BU_LOANTAPE_WORK.LT003_ENTITY WHERE ref_date='${ref_date}' AND nome_perimetro='Individual Corporativo' AND segmento='ESTR' AND ambito='PM' AND entidade='00100')Y ON X.ENTTY_ID=Y.ENTTY_ID_SIMUL</v>
      </c>
      <c r="N107" s="38" t="s">
        <v>46</v>
      </c>
    </row>
    <row r="108" spans="2:14">
      <c r="B108" s="34" t="s">
        <v>127</v>
      </c>
      <c r="C108" s="34" t="s">
        <v>5</v>
      </c>
      <c r="D108" s="34" t="str">
        <f>+UPPER('0. Instruções'!$D$35&amp;"."&amp;VLOOKUP(B108,'0. Instruções'!$C$27:$D$32,2,FALSE))</f>
        <v>CD_LOAN_TAPES_BCE.LT003_ENTITY</v>
      </c>
      <c r="E108" s="34" t="str">
        <f>+UPPER('0. Instruções'!$D$36&amp;"."&amp;VLOOKUP(B108,'0. Instruções'!$C$27:$E$32,3,FALSE))</f>
        <v>BU_LOANTAPE_WORK.LT003_ENTITY</v>
      </c>
      <c r="F108" s="92" t="s">
        <v>414</v>
      </c>
      <c r="G108" s="34"/>
      <c r="H108" s="34" t="s">
        <v>646</v>
      </c>
      <c r="I108" s="34" t="str">
        <f>"(SELECT "&amp;VLOOKUP(B108,'0. Instruções'!$C$27:$G$32,4,FALSE)&amp;", "&amp;F108&amp;" FROM "&amp;D108&amp;" WHERE "&amp;'0. Instruções'!$D$42&amp;")X"</f>
        <v>(SELECT entty_id, HD_OFFC_UNDRTKNG_ID FROM CD_LOAN_TAPES_BCE.LT003_ENTITY WHERE ref_date='${ref_date}' AND nome_perimetro='Individual Corporativo' AND segmento='ESTR' AND ambito='PM' AND entidade='00100')X</v>
      </c>
      <c r="J108" s="34" t="str">
        <f>"(SELECT "&amp;VLOOKUP(B108,'0. Instruções'!$C$27:$G$32,4,FALSE)&amp;" AS "&amp;VLOOKUP(B108,'0. Instruções'!$C$27:$G$32,4,FALSE)&amp;"_SIMUL, "&amp;F108&amp;" AS "&amp;F108&amp;"_SIMUL FROM "&amp;E108&amp;" WHERE "&amp;'0. Instruções'!$D$43&amp;")Y"</f>
        <v>(SELECT entty_id AS entty_id_SIMUL, HD_OFFC_UNDRTKNG_ID AS HD_OFFC_UNDRTKNG_ID_SIMUL FROM BU_LOANTAPE_WORK.LT003_ENTITY WHERE ref_date='${ref_date}' AND nome_perimetro='Individual Corporativo' AND segmento='ESTR' AND ambito='PM' AND entidade='00100')Y</v>
      </c>
      <c r="K108" s="35" t="str">
        <f>+UPPER("ON X."&amp;VLOOKUP(B108,'0. Instruções'!$C$27:$G$32,4,FALSE)&amp;"=Y."&amp;VLOOKUP(B108,'0. Instruções'!$C$27:$G$32,4,FALSE)&amp;"_SIMUL")</f>
        <v>ON X.ENTTY_ID=Y.ENTTY_ID_SIMUL</v>
      </c>
      <c r="L108" s="35" t="str">
        <f>+IF(C108="Coerência", +IF(LEFT(G108,5)="FLOAT","SELECT '"&amp;UPPER(B108)&amp;"' AS TABELA, '"&amp;UPPER(C108)&amp;"' AS TIPOLOGIA_TESTE,'"&amp;D108&amp;"' AS TABELA_LT,'"&amp;E108&amp;"' AS TABELA_SIMUL,'"&amp;F108&amp;"' AS CAMPO, "&amp;"'${ref_date}' AS REF_DATE, COUNT(*) AS NUM_REG, SUM(IF((ABS(COALESCE(CAST(X."&amp;F108&amp;" AS DECIMAL(18,6)),0)-COALESCE(CAST(Y."&amp;F108&amp;"_SIMUL AS DECIMAL(18,6)),0))&gt;0.000001) OR (X."&amp;F108&amp;" IS NULL AND Y."&amp;F108&amp;"_SIMUL IS NOT NULL ) OR (X."&amp;F108&amp;" IS NOT NULL AND Y."&amp;F108&amp;"_SIMUL IS NULL),1,0)) AS NUM_REG_DIF,'"&amp;MAX('ID1&amp;5'!K:K)+1&amp;"' AS ID_EXEC, CURRENT_TIMESTAMP() AS TIME_EXEC FROM "&amp;I108&amp;" INNER JOIN "&amp;J108&amp;" "&amp;K108,"SELECT '"&amp;UPPER(B108)&amp;"' AS TABELA, '"&amp;UPPER(C108)&amp;"' AS TIPOLOGIA_TESTE,'"&amp;D108&amp;"' AS TABELA_LT,'"&amp;E108&amp;"' AS TABELA_SIMUL,'"&amp;F108&amp;"' AS CAMPO, "&amp;"'${ref_date}' AS REF_DATE, COUNT(*) AS NUM_REG, SUM(IF(COALESCE(CAST(X."&amp;F108&amp;" AS STRING),'')&lt;&gt;COALESCE(CAST(Y."&amp;F108&amp;"_SIMUL AS STRING),'') OR (X."&amp;F108&amp;" IS NULL AND Y."&amp;F108&amp;"_SIMUL IS NOT NULL ) OR (X."&amp;F108&amp;" IS NOT NULL AND Y."&amp;F108&amp;"_SIMUL IS NULL),1,0)) AS NUM_REG_DIF,'"&amp;MAX('ID1&amp;5'!L:L)+1&amp;"' AS ID_EXEC, CURRENT_TIMESTAMP() AS TIME_EXEC FROM "&amp;I108&amp;" INNER JOIN "&amp;J108&amp;" "&amp;K108),
IF(C108="Validade",+IF(G108="Code List","SELECT '"&amp;UPPER(B108)&amp;"' AS TABELA, '"&amp;UPPER(C108)&amp;"' AS TIPOLOGIA_TESTE,'"&amp;D108&amp;"' AS TABELA_LT,'N/A' AS TABELA_SIMUL,'"&amp;F108&amp;"' AS CAMPO, "&amp;"'${ref_date}' AS REF_DATE, COUNT(*) AS NUM_REG, SUM(IF(TRIM(CAST(X."&amp;F108&amp;" AS STRING))='' OR TRIM(CAST(X."&amp;F108&amp;" AS STRING)) IS NULL OR CAST(X."&amp;F108&amp;" AS STRING) NOT "&amp;H108&amp;",1,0)) AS NUM_REG_DIF,'"&amp;MAX('ID1&amp;5'!K:K)+1&amp;"' AS ID_EXEC, CURRENT_TIMESTAMP() AS TIME_EXEC FROM "&amp;I108,"SELECT '"&amp;UPPER(B108)&amp;"' AS TABELA, '"&amp;UPPER(C108)&amp;"' AS TIPOLOGIA_TESTE,'"&amp;D108&amp;"' AS TABELA_LT,'N/A' AS TABELA_SIMUL,'"&amp;F108&amp;"' AS CAMPO, "&amp;"'${ref_date}' AS REF_DATE, COUNT(*) AS NUM_REG, SUM(IF(TRIM(CAST(X."&amp;F108&amp;" AS STRING))='' OR TRIM(CAST(X."&amp;F108&amp;" AS STRING)) IS NULL,1,0)) AS NUM_REG_DIF,'"&amp;MAX('ID1&amp;5'!K:K)+1&amp;"' AS ID_EXEC, CURRENT_TIMESTAMP() AS TIME_EXEC FROM "&amp;I108),
IF(C108="Caracteres Especiais",+"SELECT '"&amp;UPPER(B108)&amp;"' AS TABELA, '"&amp;UPPER(C108)&amp;"' AS TIPOLOGIA_TESTE,'"&amp;D108&amp;"' AS TABELA_LT,'N/A' AS TABELA_SIMUL,'"&amp;F108&amp;"' AS CAMPO, "&amp;"'${ref_date}' AS REF_DATE, COUNT(*) AS NUM_REG, SUM(IF(REGEXP_REPLACE(TRIM(CAST(X."&amp;F108&amp;" AS STRING)),'[^a-zA-Z0-9_\\s]','') &lt;&gt;TRIM(CAST(X."&amp;F108&amp;" AS STRING)),1,0)) AS NUM_REG_DIF,'"&amp;MAX('ID1&amp;5'!K:K)+1&amp;"' AS ID_EXEC, CURRENT_TIMESTAMP() AS TIME_EXEC FROM "&amp;I108,
IF(C108="Missings",+"SELECT '"&amp;UPPER(B108)&amp;"' AS TABELA, '"&amp;UPPER(C108)&amp;"' AS TIPOLOGIA_TESTE,'"&amp;D108&amp;"' AS TABELA_LT,'N/A' AS TABELA_SIMUL,'"&amp;F108&amp;"' AS CAMPO, "&amp;"'${ref_date}' AS REF_DATE, COUNT(*) AS NUM_REG, SUM(IF(TRIM(CAST(X."&amp;F108&amp;" AS STRING)) IN ('0000-00-00','0001-01-01','9999-12-31','MISS','00000','99999999999','99999999999.00','99999999999.000000'),1,0)) AS NUM_REG_DIF,'"&amp;MAX('ID1&amp;5'!K:K)+1&amp;"' AS ID_EXEC, CURRENT_TIMESTAMP() AS TIME_EXEC FROM "&amp;I108,
IF(C108="Not applicable",+"SELECT '"&amp;UPPER(B108)&amp;"' AS TABELA, '"&amp;UPPER(C108)&amp;"' AS TIPOLOGIA_TESTE,'"&amp;D108&amp;"' AS TABELA_LT,'N/A' AS TABELA_SIMUL,'"&amp;F108&amp;"' AS CAMPO, "&amp;"'${ref_date}' AS REF_DATE, COUNT(*) AS NUM_REG, SUM(IF(TRIM(CAST(X."&amp;F108&amp;" AS STRING)) IN ('N/A','11111111111','11111111111.00','11111111111.000000','1111-11-11'),1,0)) AS NUM_REG_DIF,'"&amp;MAX('ID1&amp;5'!K:K)+1&amp;"' AS ID_EXEC, CURRENT_TIMESTAMP() AS TIME_EXEC FROM "&amp;I108,
IF(C108="Valores extremos",+"SELECT '"&amp;UPPER(B108)&amp;"' AS TABELA, '"&amp;UPPER(C108)&amp;"' AS TIPOLOGIA_TESTE,'"&amp;D108&amp;"' AS TABELA_LT,'N/A' AS TABELA_SIMUL,'"&amp;F108&amp;"' AS CAMPO, "&amp;"'${ref_date}' AS REF_DATE, CAST(MIN("&amp;F108&amp;") AS STRING) AS VALOR_MIN, CAST(MAX("&amp;F108&amp;") AS STRING) AS VALOR_MAX,'"&amp;MAX('ID1&amp;5'!K:K)+1&amp;"' AS ID_EXEC, CURRENT_TIMESTAMP() AS TIME_EXEC FROM "&amp;MID(I108,1,LEN(I108)-2)&amp;" AND CAST("&amp;F108&amp;"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TABELA_SIMUL,'HD_OFFC_UNDRTKNG_ID' AS CAMPO, '${ref_date}' AS REF_DATE, COUNT(*) AS NUM_REG, SUM(IF(COALESCE(CAST(X.HD_OFFC_UNDRTKNG_ID AS STRING),'')&lt;&gt;COALESCE(CAST(Y.HD_OFFC_UNDRTKNG_ID_SIMUL AS STRING),'') OR (X.HD_OFFC_UNDRTKNG_ID IS NULL AND Y.HD_OFFC_UNDRTKNG_ID_SIMUL IS NOT NULL ) OR (X.HD_OFFC_UNDRTKNG_ID IS NOT NULL AND Y.HD_OFFC_UNDRTKNG_ID_SIMUL IS NULL),1,0)) AS NUM_REG_DIF,'1' AS ID_EXEC, CURRENT_TIMESTAMP() AS TIME_EXEC FROM (SELECT entty_id, HD_OFFC_UNDRTKNG_ID FROM CD_LOAN_TAPES_BCE.LT003_ENTITY WHERE ref_date='${ref_date}' AND nome_perimetro='Individual Corporativo' AND segmento='ESTR' AND ambito='PM' AND entidade='00100')X INNER JOIN (SELECT entty_id AS entty_id_SIMUL, HD_OFFC_UNDRTKNG_ID AS HD_OFFC_UNDRTKNG_ID_SIMUL FROM BU_LOANTAPE_WORK.LT003_ENTITY WHERE ref_date='${ref_date}' AND nome_perimetro='Individual Corporativo' AND segmento='ESTR' AND ambito='PM' AND entidade='00100')Y ON X.ENTTY_ID=Y.ENTTY_ID_SIMUL</v>
      </c>
      <c r="M108" s="36" t="str">
        <f t="shared" si="1"/>
        <v>UNION ALL SELECT 'ENTITY' AS TABELA, 'COERÊNCIA' AS TIPOLOGIA_TESTE,'CD_LOAN_TAPES_BCE.LT003_ENTITY' AS TABELA_LT,'BU_LOANTAPE_WORK.LT003_ENTITY' AS TABELA_SIMUL,'HD_OFFC_UNDRTKNG_ID' AS CAMPO, '${ref_date}' AS REF_DATE, COUNT(*) AS NUM_REG, SUM(IF(COALESCE(CAST(X.HD_OFFC_UNDRTKNG_ID AS STRING),'')&lt;&gt;COALESCE(CAST(Y.HD_OFFC_UNDRTKNG_ID_SIMUL AS STRING),'') OR (X.HD_OFFC_UNDRTKNG_ID IS NULL AND Y.HD_OFFC_UNDRTKNG_ID_SIMUL IS NOT NULL ) OR (X.HD_OFFC_UNDRTKNG_ID IS NOT NULL AND Y.HD_OFFC_UNDRTKNG_ID_SIMUL IS NULL),1,0)) AS NUM_REG_DIF,'1' AS ID_EXEC, CURRENT_TIMESTAMP() AS TIME_EXEC FROM (SELECT entty_id, HD_OFFC_UNDRTKNG_ID FROM CD_LOAN_TAPES_BCE.LT003_ENTITY WHERE ref_date='${ref_date}' AND nome_perimetro='Individual Corporativo' AND segmento='ESTR' AND ambito='PM' AND entidade='00100')X INNER JOIN (SELECT entty_id AS entty_id_SIMUL, HD_OFFC_UNDRTKNG_ID AS HD_OFFC_UNDRTKNG_ID_SIMUL FROM BU_LOANTAPE_WORK.LT003_ENTITY WHERE ref_date='${ref_date}' AND nome_perimetro='Individual Corporativo' AND segmento='ESTR' AND ambito='PM' AND entidade='00100')Y ON X.ENTTY_ID=Y.ENTTY_ID_SIMUL</v>
      </c>
      <c r="N108" s="38" t="s">
        <v>46</v>
      </c>
    </row>
    <row r="109" spans="2:14">
      <c r="B109" s="34" t="s">
        <v>127</v>
      </c>
      <c r="C109" s="34" t="s">
        <v>5</v>
      </c>
      <c r="D109" s="34" t="str">
        <f>+UPPER('0. Instruções'!$D$35&amp;"."&amp;VLOOKUP(B109,'0. Instruções'!$C$27:$D$32,2,FALSE))</f>
        <v>CD_LOAN_TAPES_BCE.LT003_ENTITY</v>
      </c>
      <c r="E109" s="34" t="str">
        <f>+UPPER('0. Instruções'!$D$36&amp;"."&amp;VLOOKUP(B109,'0. Instruções'!$C$27:$E$32,3,FALSE))</f>
        <v>BU_LOANTAPE_WORK.LT003_ENTITY</v>
      </c>
      <c r="F109" s="92" t="s">
        <v>415</v>
      </c>
      <c r="G109" s="34"/>
      <c r="H109" s="34" t="s">
        <v>646</v>
      </c>
      <c r="I109" s="34" t="str">
        <f>"(SELECT "&amp;VLOOKUP(B109,'0. Instruções'!$C$27:$G$32,4,FALSE)&amp;", "&amp;F109&amp;" FROM "&amp;D109&amp;" WHERE "&amp;'0. Instruções'!$D$42&amp;")X"</f>
        <v>(SELECT entty_id, IMMDT_PRNT_UNDRTKNG_ID FROM CD_LOAN_TAPES_BCE.LT003_ENTITY WHERE ref_date='${ref_date}' AND nome_perimetro='Individual Corporativo' AND segmento='ESTR' AND ambito='PM' AND entidade='00100')X</v>
      </c>
      <c r="J109" s="34" t="str">
        <f>"(SELECT "&amp;VLOOKUP(B109,'0. Instruções'!$C$27:$G$32,4,FALSE)&amp;" AS "&amp;VLOOKUP(B109,'0. Instruções'!$C$27:$G$32,4,FALSE)&amp;"_SIMUL, "&amp;F109&amp;" AS "&amp;F109&amp;"_SIMUL FROM "&amp;E109&amp;" WHERE "&amp;'0. Instruções'!$D$43&amp;")Y"</f>
        <v>(SELECT entty_id AS entty_id_SIMUL, IMMDT_PRNT_UNDRTKNG_ID AS IMMDT_PRNT_UNDRTKNG_ID_SIMUL FROM BU_LOANTAPE_WORK.LT003_ENTITY WHERE ref_date='${ref_date}' AND nome_perimetro='Individual Corporativo' AND segmento='ESTR' AND ambito='PM' AND entidade='00100')Y</v>
      </c>
      <c r="K109" s="35" t="str">
        <f>+UPPER("ON X."&amp;VLOOKUP(B109,'0. Instruções'!$C$27:$G$32,4,FALSE)&amp;"=Y."&amp;VLOOKUP(B109,'0. Instruções'!$C$27:$G$32,4,FALSE)&amp;"_SIMUL")</f>
        <v>ON X.ENTTY_ID=Y.ENTTY_ID_SIMUL</v>
      </c>
      <c r="L109" s="35" t="str">
        <f>+IF(C109="Coerência", +IF(LEFT(G109,5)="FLOAT","SELECT '"&amp;UPPER(B109)&amp;"' AS TABELA, '"&amp;UPPER(C109)&amp;"' AS TIPOLOGIA_TESTE,'"&amp;D109&amp;"' AS TABELA_LT,'"&amp;E109&amp;"' AS TABELA_SIMUL,'"&amp;F109&amp;"' AS CAMPO, "&amp;"'${ref_date}' AS REF_DATE, COUNT(*) AS NUM_REG, SUM(IF((ABS(COALESCE(CAST(X."&amp;F109&amp;" AS DECIMAL(18,6)),0)-COALESCE(CAST(Y."&amp;F109&amp;"_SIMUL AS DECIMAL(18,6)),0))&gt;0.000001) OR (X."&amp;F109&amp;" IS NULL AND Y."&amp;F109&amp;"_SIMUL IS NOT NULL ) OR (X."&amp;F109&amp;" IS NOT NULL AND Y."&amp;F109&amp;"_SIMUL IS NULL),1,0)) AS NUM_REG_DIF,'"&amp;MAX('ID1&amp;5'!K:K)+1&amp;"' AS ID_EXEC, CURRENT_TIMESTAMP() AS TIME_EXEC FROM "&amp;I109&amp;" INNER JOIN "&amp;J109&amp;" "&amp;K109,"SELECT '"&amp;UPPER(B109)&amp;"' AS TABELA, '"&amp;UPPER(C109)&amp;"' AS TIPOLOGIA_TESTE,'"&amp;D109&amp;"' AS TABELA_LT,'"&amp;E109&amp;"' AS TABELA_SIMUL,'"&amp;F109&amp;"' AS CAMPO, "&amp;"'${ref_date}' AS REF_DATE, COUNT(*) AS NUM_REG, SUM(IF(COALESCE(CAST(X."&amp;F109&amp;" AS STRING),'')&lt;&gt;COALESCE(CAST(Y."&amp;F109&amp;"_SIMUL AS STRING),'') OR (X."&amp;F109&amp;" IS NULL AND Y."&amp;F109&amp;"_SIMUL IS NOT NULL ) OR (X."&amp;F109&amp;" IS NOT NULL AND Y."&amp;F109&amp;"_SIMUL IS NULL),1,0)) AS NUM_REG_DIF,'"&amp;MAX('ID1&amp;5'!L:L)+1&amp;"' AS ID_EXEC, CURRENT_TIMESTAMP() AS TIME_EXEC FROM "&amp;I109&amp;" INNER JOIN "&amp;J109&amp;" "&amp;K109),
IF(C109="Validade",+IF(G109="Code List","SELECT '"&amp;UPPER(B109)&amp;"' AS TABELA, '"&amp;UPPER(C109)&amp;"' AS TIPOLOGIA_TESTE,'"&amp;D109&amp;"' AS TABELA_LT,'N/A' AS TABELA_SIMUL,'"&amp;F109&amp;"' AS CAMPO, "&amp;"'${ref_date}' AS REF_DATE, COUNT(*) AS NUM_REG, SUM(IF(TRIM(CAST(X."&amp;F109&amp;" AS STRING))='' OR TRIM(CAST(X."&amp;F109&amp;" AS STRING)) IS NULL OR CAST(X."&amp;F109&amp;" AS STRING) NOT "&amp;H109&amp;",1,0)) AS NUM_REG_DIF,'"&amp;MAX('ID1&amp;5'!K:K)+1&amp;"' AS ID_EXEC, CURRENT_TIMESTAMP() AS TIME_EXEC FROM "&amp;I109,"SELECT '"&amp;UPPER(B109)&amp;"' AS TABELA, '"&amp;UPPER(C109)&amp;"' AS TIPOLOGIA_TESTE,'"&amp;D109&amp;"' AS TABELA_LT,'N/A' AS TABELA_SIMUL,'"&amp;F109&amp;"' AS CAMPO, "&amp;"'${ref_date}' AS REF_DATE, COUNT(*) AS NUM_REG, SUM(IF(TRIM(CAST(X."&amp;F109&amp;" AS STRING))='' OR TRIM(CAST(X."&amp;F109&amp;" AS STRING)) IS NULL,1,0)) AS NUM_REG_DIF,'"&amp;MAX('ID1&amp;5'!K:K)+1&amp;"' AS ID_EXEC, CURRENT_TIMESTAMP() AS TIME_EXEC FROM "&amp;I109),
IF(C109="Caracteres Especiais",+"SELECT '"&amp;UPPER(B109)&amp;"' AS TABELA, '"&amp;UPPER(C109)&amp;"' AS TIPOLOGIA_TESTE,'"&amp;D109&amp;"' AS TABELA_LT,'N/A' AS TABELA_SIMUL,'"&amp;F109&amp;"' AS CAMPO, "&amp;"'${ref_date}' AS REF_DATE, COUNT(*) AS NUM_REG, SUM(IF(REGEXP_REPLACE(TRIM(CAST(X."&amp;F109&amp;" AS STRING)),'[^a-zA-Z0-9_\\s]','') &lt;&gt;TRIM(CAST(X."&amp;F109&amp;" AS STRING)),1,0)) AS NUM_REG_DIF,'"&amp;MAX('ID1&amp;5'!K:K)+1&amp;"' AS ID_EXEC, CURRENT_TIMESTAMP() AS TIME_EXEC FROM "&amp;I109,
IF(C109="Missings",+"SELECT '"&amp;UPPER(B109)&amp;"' AS TABELA, '"&amp;UPPER(C109)&amp;"' AS TIPOLOGIA_TESTE,'"&amp;D109&amp;"' AS TABELA_LT,'N/A' AS TABELA_SIMUL,'"&amp;F109&amp;"' AS CAMPO, "&amp;"'${ref_date}' AS REF_DATE, COUNT(*) AS NUM_REG, SUM(IF(TRIM(CAST(X."&amp;F109&amp;" AS STRING)) IN ('0000-00-00','0001-01-01','9999-12-31','MISS','00000','99999999999','99999999999.00','99999999999.000000'),1,0)) AS NUM_REG_DIF,'"&amp;MAX('ID1&amp;5'!K:K)+1&amp;"' AS ID_EXEC, CURRENT_TIMESTAMP() AS TIME_EXEC FROM "&amp;I109,
IF(C109="Not applicable",+"SELECT '"&amp;UPPER(B109)&amp;"' AS TABELA, '"&amp;UPPER(C109)&amp;"' AS TIPOLOGIA_TESTE,'"&amp;D109&amp;"' AS TABELA_LT,'N/A' AS TABELA_SIMUL,'"&amp;F109&amp;"' AS CAMPO, "&amp;"'${ref_date}' AS REF_DATE, COUNT(*) AS NUM_REG, SUM(IF(TRIM(CAST(X."&amp;F109&amp;" AS STRING)) IN ('N/A','11111111111','11111111111.00','11111111111.000000','1111-11-11'),1,0)) AS NUM_REG_DIF,'"&amp;MAX('ID1&amp;5'!K:K)+1&amp;"' AS ID_EXEC, CURRENT_TIMESTAMP() AS TIME_EXEC FROM "&amp;I109,
IF(C109="Valores extremos",+"SELECT '"&amp;UPPER(B109)&amp;"' AS TABELA, '"&amp;UPPER(C109)&amp;"' AS TIPOLOGIA_TESTE,'"&amp;D109&amp;"' AS TABELA_LT,'N/A' AS TABELA_SIMUL,'"&amp;F109&amp;"' AS CAMPO, "&amp;"'${ref_date}' AS REF_DATE, CAST(MIN("&amp;F109&amp;") AS STRING) AS VALOR_MIN, CAST(MAX("&amp;F109&amp;") AS STRING) AS VALOR_MAX,'"&amp;MAX('ID1&amp;5'!K:K)+1&amp;"' AS ID_EXEC, CURRENT_TIMESTAMP() AS TIME_EXEC FROM "&amp;MID(I109,1,LEN(I109)-2)&amp;" AND CAST("&amp;F109&amp;"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TABELA_SIMUL,'IMMDT_PRNT_UNDRTKNG_ID' AS CAMPO, '${ref_date}' AS REF_DATE, COUNT(*) AS NUM_REG, SUM(IF(COALESCE(CAST(X.IMMDT_PRNT_UNDRTKNG_ID AS STRING),'')&lt;&gt;COALESCE(CAST(Y.IMMDT_PRNT_UNDRTKNG_ID_SIMUL AS STRING),'') OR (X.IMMDT_PRNT_UNDRTKNG_ID IS NULL AND Y.IMMDT_PRNT_UNDRTKNG_ID_SIMUL IS NOT NULL ) OR (X.IMMDT_PRNT_UNDRTKNG_ID IS NOT NULL AND Y.IMMDT_PRNT_UNDRTKNG_ID_SIMUL IS NULL),1,0)) AS NUM_REG_DIF,'1' AS ID_EXEC, CURRENT_TIMESTAMP() AS TIME_EXEC FROM (SELECT entty_id, IMMDT_PRNT_UNDRTKNG_ID FROM CD_LOAN_TAPES_BCE.LT003_ENTITY WHERE ref_date='${ref_date}' AND nome_perimetro='Individual Corporativo' AND segmento='ESTR' AND ambito='PM' AND entidade='00100')X INNER JOIN (SELECT entty_id AS entty_id_SIMUL, IMMDT_PRNT_UNDRTKNG_ID AS IMMDT_PRNT_UNDRTKNG_ID_SIMUL FROM BU_LOANTAPE_WORK.LT003_ENTITY WHERE ref_date='${ref_date}' AND nome_perimetro='Individual Corporativo' AND segmento='ESTR' AND ambito='PM' AND entidade='00100')Y ON X.ENTTY_ID=Y.ENTTY_ID_SIMUL</v>
      </c>
      <c r="M109" s="36" t="str">
        <f t="shared" si="1"/>
        <v>UNION ALL SELECT 'ENTITY' AS TABELA, 'COERÊNCIA' AS TIPOLOGIA_TESTE,'CD_LOAN_TAPES_BCE.LT003_ENTITY' AS TABELA_LT,'BU_LOANTAPE_WORK.LT003_ENTITY' AS TABELA_SIMUL,'IMMDT_PRNT_UNDRTKNG_ID' AS CAMPO, '${ref_date}' AS REF_DATE, COUNT(*) AS NUM_REG, SUM(IF(COALESCE(CAST(X.IMMDT_PRNT_UNDRTKNG_ID AS STRING),'')&lt;&gt;COALESCE(CAST(Y.IMMDT_PRNT_UNDRTKNG_ID_SIMUL AS STRING),'') OR (X.IMMDT_PRNT_UNDRTKNG_ID IS NULL AND Y.IMMDT_PRNT_UNDRTKNG_ID_SIMUL IS NOT NULL ) OR (X.IMMDT_PRNT_UNDRTKNG_ID IS NOT NULL AND Y.IMMDT_PRNT_UNDRTKNG_ID_SIMUL IS NULL),1,0)) AS NUM_REG_DIF,'1' AS ID_EXEC, CURRENT_TIMESTAMP() AS TIME_EXEC FROM (SELECT entty_id, IMMDT_PRNT_UNDRTKNG_ID FROM CD_LOAN_TAPES_BCE.LT003_ENTITY WHERE ref_date='${ref_date}' AND nome_perimetro='Individual Corporativo' AND segmento='ESTR' AND ambito='PM' AND entidade='00100')X INNER JOIN (SELECT entty_id AS entty_id_SIMUL, IMMDT_PRNT_UNDRTKNG_ID AS IMMDT_PRNT_UNDRTKNG_ID_SIMUL FROM BU_LOANTAPE_WORK.LT003_ENTITY WHERE ref_date='${ref_date}' AND nome_perimetro='Individual Corporativo' AND segmento='ESTR' AND ambito='PM' AND entidade='00100')Y ON X.ENTTY_ID=Y.ENTTY_ID_SIMUL</v>
      </c>
      <c r="N109" s="38" t="s">
        <v>46</v>
      </c>
    </row>
    <row r="110" spans="2:14">
      <c r="B110" s="34" t="s">
        <v>127</v>
      </c>
      <c r="C110" s="34" t="s">
        <v>5</v>
      </c>
      <c r="D110" s="34" t="str">
        <f>+UPPER('0. Instruções'!$D$35&amp;"."&amp;VLOOKUP(B110,'0. Instruções'!$C$27:$D$32,2,FALSE))</f>
        <v>CD_LOAN_TAPES_BCE.LT003_ENTITY</v>
      </c>
      <c r="E110" s="34" t="str">
        <f>+UPPER('0. Instruções'!$D$36&amp;"."&amp;VLOOKUP(B110,'0. Instruções'!$C$27:$E$32,3,FALSE))</f>
        <v>BU_LOANTAPE_WORK.LT003_ENTITY</v>
      </c>
      <c r="F110" s="92" t="s">
        <v>416</v>
      </c>
      <c r="G110" s="34"/>
      <c r="H110" s="34" t="s">
        <v>646</v>
      </c>
      <c r="I110" s="34" t="str">
        <f>"(SELECT "&amp;VLOOKUP(B110,'0. Instruções'!$C$27:$G$32,4,FALSE)&amp;", "&amp;F110&amp;" FROM "&amp;D110&amp;" WHERE "&amp;'0. Instruções'!$D$42&amp;")X"</f>
        <v>(SELECT entty_id, ULTMT_PRNT_UNDRTKNG_ID FROM CD_LOAN_TAPES_BCE.LT003_ENTITY WHERE ref_date='${ref_date}' AND nome_perimetro='Individual Corporativo' AND segmento='ESTR' AND ambito='PM' AND entidade='00100')X</v>
      </c>
      <c r="J110" s="34" t="str">
        <f>"(SELECT "&amp;VLOOKUP(B110,'0. Instruções'!$C$27:$G$32,4,FALSE)&amp;" AS "&amp;VLOOKUP(B110,'0. Instruções'!$C$27:$G$32,4,FALSE)&amp;"_SIMUL, "&amp;F110&amp;" AS "&amp;F110&amp;"_SIMUL FROM "&amp;E110&amp;" WHERE "&amp;'0. Instruções'!$D$43&amp;")Y"</f>
        <v>(SELECT entty_id AS entty_id_SIMUL, ULTMT_PRNT_UNDRTKNG_ID AS ULTMT_PRNT_UNDRTKNG_ID_SIMUL FROM BU_LOANTAPE_WORK.LT003_ENTITY WHERE ref_date='${ref_date}' AND nome_perimetro='Individual Corporativo' AND segmento='ESTR' AND ambito='PM' AND entidade='00100')Y</v>
      </c>
      <c r="K110" s="35" t="str">
        <f>+UPPER("ON X."&amp;VLOOKUP(B110,'0. Instruções'!$C$27:$G$32,4,FALSE)&amp;"=Y."&amp;VLOOKUP(B110,'0. Instruções'!$C$27:$G$32,4,FALSE)&amp;"_SIMUL")</f>
        <v>ON X.ENTTY_ID=Y.ENTTY_ID_SIMUL</v>
      </c>
      <c r="L110" s="35" t="str">
        <f>+IF(C110="Coerência", +IF(LEFT(G110,5)="FLOAT","SELECT '"&amp;UPPER(B110)&amp;"' AS TABELA, '"&amp;UPPER(C110)&amp;"' AS TIPOLOGIA_TESTE,'"&amp;D110&amp;"' AS TABELA_LT,'"&amp;E110&amp;"' AS TABELA_SIMUL,'"&amp;F110&amp;"' AS CAMPO, "&amp;"'${ref_date}' AS REF_DATE, COUNT(*) AS NUM_REG, SUM(IF((ABS(COALESCE(CAST(X."&amp;F110&amp;" AS DECIMAL(18,6)),0)-COALESCE(CAST(Y."&amp;F110&amp;"_SIMUL AS DECIMAL(18,6)),0))&gt;0.000001) OR (X."&amp;F110&amp;" IS NULL AND Y."&amp;F110&amp;"_SIMUL IS NOT NULL ) OR (X."&amp;F110&amp;" IS NOT NULL AND Y."&amp;F110&amp;"_SIMUL IS NULL),1,0)) AS NUM_REG_DIF,'"&amp;MAX('ID1&amp;5'!K:K)+1&amp;"' AS ID_EXEC, CURRENT_TIMESTAMP() AS TIME_EXEC FROM "&amp;I110&amp;" INNER JOIN "&amp;J110&amp;" "&amp;K110,"SELECT '"&amp;UPPER(B110)&amp;"' AS TABELA, '"&amp;UPPER(C110)&amp;"' AS TIPOLOGIA_TESTE,'"&amp;D110&amp;"' AS TABELA_LT,'"&amp;E110&amp;"' AS TABELA_SIMUL,'"&amp;F110&amp;"' AS CAMPO, "&amp;"'${ref_date}' AS REF_DATE, COUNT(*) AS NUM_REG, SUM(IF(COALESCE(CAST(X."&amp;F110&amp;" AS STRING),'')&lt;&gt;COALESCE(CAST(Y."&amp;F110&amp;"_SIMUL AS STRING),'') OR (X."&amp;F110&amp;" IS NULL AND Y."&amp;F110&amp;"_SIMUL IS NOT NULL ) OR (X."&amp;F110&amp;" IS NOT NULL AND Y."&amp;F110&amp;"_SIMUL IS NULL),1,0)) AS NUM_REG_DIF,'"&amp;MAX('ID1&amp;5'!L:L)+1&amp;"' AS ID_EXEC, CURRENT_TIMESTAMP() AS TIME_EXEC FROM "&amp;I110&amp;" INNER JOIN "&amp;J110&amp;" "&amp;K110),
IF(C110="Validade",+IF(G110="Code List","SELECT '"&amp;UPPER(B110)&amp;"' AS TABELA, '"&amp;UPPER(C110)&amp;"' AS TIPOLOGIA_TESTE,'"&amp;D110&amp;"' AS TABELA_LT,'N/A' AS TABELA_SIMUL,'"&amp;F110&amp;"' AS CAMPO, "&amp;"'${ref_date}' AS REF_DATE, COUNT(*) AS NUM_REG, SUM(IF(TRIM(CAST(X."&amp;F110&amp;" AS STRING))='' OR TRIM(CAST(X."&amp;F110&amp;" AS STRING)) IS NULL OR CAST(X."&amp;F110&amp;" AS STRING) NOT "&amp;H110&amp;",1,0)) AS NUM_REG_DIF,'"&amp;MAX('ID1&amp;5'!K:K)+1&amp;"' AS ID_EXEC, CURRENT_TIMESTAMP() AS TIME_EXEC FROM "&amp;I110,"SELECT '"&amp;UPPER(B110)&amp;"' AS TABELA, '"&amp;UPPER(C110)&amp;"' AS TIPOLOGIA_TESTE,'"&amp;D110&amp;"' AS TABELA_LT,'N/A' AS TABELA_SIMUL,'"&amp;F110&amp;"' AS CAMPO, "&amp;"'${ref_date}' AS REF_DATE, COUNT(*) AS NUM_REG, SUM(IF(TRIM(CAST(X."&amp;F110&amp;" AS STRING))='' OR TRIM(CAST(X."&amp;F110&amp;" AS STRING)) IS NULL,1,0)) AS NUM_REG_DIF,'"&amp;MAX('ID1&amp;5'!K:K)+1&amp;"' AS ID_EXEC, CURRENT_TIMESTAMP() AS TIME_EXEC FROM "&amp;I110),
IF(C110="Caracteres Especiais",+"SELECT '"&amp;UPPER(B110)&amp;"' AS TABELA, '"&amp;UPPER(C110)&amp;"' AS TIPOLOGIA_TESTE,'"&amp;D110&amp;"' AS TABELA_LT,'N/A' AS TABELA_SIMUL,'"&amp;F110&amp;"' AS CAMPO, "&amp;"'${ref_date}' AS REF_DATE, COUNT(*) AS NUM_REG, SUM(IF(REGEXP_REPLACE(TRIM(CAST(X."&amp;F110&amp;" AS STRING)),'[^a-zA-Z0-9_\\s]','') &lt;&gt;TRIM(CAST(X."&amp;F110&amp;" AS STRING)),1,0)) AS NUM_REG_DIF,'"&amp;MAX('ID1&amp;5'!K:K)+1&amp;"' AS ID_EXEC, CURRENT_TIMESTAMP() AS TIME_EXEC FROM "&amp;I110,
IF(C110="Missings",+"SELECT '"&amp;UPPER(B110)&amp;"' AS TABELA, '"&amp;UPPER(C110)&amp;"' AS TIPOLOGIA_TESTE,'"&amp;D110&amp;"' AS TABELA_LT,'N/A' AS TABELA_SIMUL,'"&amp;F110&amp;"' AS CAMPO, "&amp;"'${ref_date}' AS REF_DATE, COUNT(*) AS NUM_REG, SUM(IF(TRIM(CAST(X."&amp;F110&amp;" AS STRING)) IN ('0000-00-00','0001-01-01','9999-12-31','MISS','00000','99999999999','99999999999.00','99999999999.000000'),1,0)) AS NUM_REG_DIF,'"&amp;MAX('ID1&amp;5'!K:K)+1&amp;"' AS ID_EXEC, CURRENT_TIMESTAMP() AS TIME_EXEC FROM "&amp;I110,
IF(C110="Not applicable",+"SELECT '"&amp;UPPER(B110)&amp;"' AS TABELA, '"&amp;UPPER(C110)&amp;"' AS TIPOLOGIA_TESTE,'"&amp;D110&amp;"' AS TABELA_LT,'N/A' AS TABELA_SIMUL,'"&amp;F110&amp;"' AS CAMPO, "&amp;"'${ref_date}' AS REF_DATE, COUNT(*) AS NUM_REG, SUM(IF(TRIM(CAST(X."&amp;F110&amp;" AS STRING)) IN ('N/A','11111111111','11111111111.00','11111111111.000000','1111-11-11'),1,0)) AS NUM_REG_DIF,'"&amp;MAX('ID1&amp;5'!K:K)+1&amp;"' AS ID_EXEC, CURRENT_TIMESTAMP() AS TIME_EXEC FROM "&amp;I110,
IF(C110="Valores extremos",+"SELECT '"&amp;UPPER(B110)&amp;"' AS TABELA, '"&amp;UPPER(C110)&amp;"' AS TIPOLOGIA_TESTE,'"&amp;D110&amp;"' AS TABELA_LT,'N/A' AS TABELA_SIMUL,'"&amp;F110&amp;"' AS CAMPO, "&amp;"'${ref_date}' AS REF_DATE, CAST(MIN("&amp;F110&amp;") AS STRING) AS VALOR_MIN, CAST(MAX("&amp;F110&amp;") AS STRING) AS VALOR_MAX,'"&amp;MAX('ID1&amp;5'!K:K)+1&amp;"' AS ID_EXEC, CURRENT_TIMESTAMP() AS TIME_EXEC FROM "&amp;MID(I110,1,LEN(I110)-2)&amp;" AND CAST("&amp;F110&amp;"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TABELA_SIMUL,'ULTMT_PRNT_UNDRTKNG_ID' AS CAMPO, '${ref_date}' AS REF_DATE, COUNT(*) AS NUM_REG, SUM(IF(COALESCE(CAST(X.ULTMT_PRNT_UNDRTKNG_ID AS STRING),'')&lt;&gt;COALESCE(CAST(Y.ULTMT_PRNT_UNDRTKNG_ID_SIMUL AS STRING),'') OR (X.ULTMT_PRNT_UNDRTKNG_ID IS NULL AND Y.ULTMT_PRNT_UNDRTKNG_ID_SIMUL IS NOT NULL ) OR (X.ULTMT_PRNT_UNDRTKNG_ID IS NOT NULL AND Y.ULTMT_PRNT_UNDRTKNG_ID_SIMUL IS NULL),1,0)) AS NUM_REG_DIF,'1' AS ID_EXEC, CURRENT_TIMESTAMP() AS TIME_EXEC FROM (SELECT entty_id, ULTMT_PRNT_UNDRTKNG_ID FROM CD_LOAN_TAPES_BCE.LT003_ENTITY WHERE ref_date='${ref_date}' AND nome_perimetro='Individual Corporativo' AND segmento='ESTR' AND ambito='PM' AND entidade='00100')X INNER JOIN (SELECT entty_id AS entty_id_SIMUL, ULTMT_PRNT_UNDRTKNG_ID AS ULTMT_PRNT_UNDRTKNG_ID_SIMUL FROM BU_LOANTAPE_WORK.LT003_ENTITY WHERE ref_date='${ref_date}' AND nome_perimetro='Individual Corporativo' AND segmento='ESTR' AND ambito='PM' AND entidade='00100')Y ON X.ENTTY_ID=Y.ENTTY_ID_SIMUL</v>
      </c>
      <c r="M110" s="36" t="str">
        <f t="shared" si="1"/>
        <v>UNION ALL SELECT 'ENTITY' AS TABELA, 'COERÊNCIA' AS TIPOLOGIA_TESTE,'CD_LOAN_TAPES_BCE.LT003_ENTITY' AS TABELA_LT,'BU_LOANTAPE_WORK.LT003_ENTITY' AS TABELA_SIMUL,'ULTMT_PRNT_UNDRTKNG_ID' AS CAMPO, '${ref_date}' AS REF_DATE, COUNT(*) AS NUM_REG, SUM(IF(COALESCE(CAST(X.ULTMT_PRNT_UNDRTKNG_ID AS STRING),'')&lt;&gt;COALESCE(CAST(Y.ULTMT_PRNT_UNDRTKNG_ID_SIMUL AS STRING),'') OR (X.ULTMT_PRNT_UNDRTKNG_ID IS NULL AND Y.ULTMT_PRNT_UNDRTKNG_ID_SIMUL IS NOT NULL ) OR (X.ULTMT_PRNT_UNDRTKNG_ID IS NOT NULL AND Y.ULTMT_PRNT_UNDRTKNG_ID_SIMUL IS NULL),1,0)) AS NUM_REG_DIF,'1' AS ID_EXEC, CURRENT_TIMESTAMP() AS TIME_EXEC FROM (SELECT entty_id, ULTMT_PRNT_UNDRTKNG_ID FROM CD_LOAN_TAPES_BCE.LT003_ENTITY WHERE ref_date='${ref_date}' AND nome_perimetro='Individual Corporativo' AND segmento='ESTR' AND ambito='PM' AND entidade='00100')X INNER JOIN (SELECT entty_id AS entty_id_SIMUL, ULTMT_PRNT_UNDRTKNG_ID AS ULTMT_PRNT_UNDRTKNG_ID_SIMUL FROM BU_LOANTAPE_WORK.LT003_ENTITY WHERE ref_date='${ref_date}' AND nome_perimetro='Individual Corporativo' AND segmento='ESTR' AND ambito='PM' AND entidade='00100')Y ON X.ENTTY_ID=Y.ENTTY_ID_SIMUL</v>
      </c>
      <c r="N110" s="38" t="s">
        <v>46</v>
      </c>
    </row>
    <row r="111" spans="2:14">
      <c r="B111" s="34" t="s">
        <v>127</v>
      </c>
      <c r="C111" s="34" t="s">
        <v>5</v>
      </c>
      <c r="D111" s="34" t="str">
        <f>+UPPER('0. Instruções'!$D$35&amp;"."&amp;VLOOKUP(B111,'0. Instruções'!$C$27:$D$32,2,FALSE))</f>
        <v>CD_LOAN_TAPES_BCE.LT003_ENTITY</v>
      </c>
      <c r="E111" s="34" t="str">
        <f>+UPPER('0. Instruções'!$D$36&amp;"."&amp;VLOOKUP(B111,'0. Instruções'!$C$27:$E$32,3,FALSE))</f>
        <v>BU_LOANTAPE_WORK.LT003_ENTITY</v>
      </c>
      <c r="F111" s="92" t="s">
        <v>417</v>
      </c>
      <c r="G111" s="34"/>
      <c r="H111" s="34" t="s">
        <v>92</v>
      </c>
      <c r="I111" s="34" t="str">
        <f>"(SELECT "&amp;VLOOKUP(B111,'0. Instruções'!$C$27:$G$32,4,FALSE)&amp;", "&amp;F111&amp;" FROM "&amp;D111&amp;" WHERE "&amp;'0. Instruções'!$D$42&amp;")X"</f>
        <v>(SELECT entty_id, TTL_ASSTS FROM CD_LOAN_TAPES_BCE.LT003_ENTITY WHERE ref_date='${ref_date}' AND nome_perimetro='Individual Corporativo' AND segmento='ESTR' AND ambito='PM' AND entidade='00100')X</v>
      </c>
      <c r="J111" s="34" t="str">
        <f>"(SELECT "&amp;VLOOKUP(B111,'0. Instruções'!$C$27:$G$32,4,FALSE)&amp;" AS "&amp;VLOOKUP(B111,'0. Instruções'!$C$27:$G$32,4,FALSE)&amp;"_SIMUL, "&amp;F111&amp;" AS "&amp;F111&amp;"_SIMUL FROM "&amp;E111&amp;" WHERE "&amp;'0. Instruções'!$D$43&amp;")Y"</f>
        <v>(SELECT entty_id AS entty_id_SIMUL, TTL_ASSTS AS TTL_ASSTS_SIMUL FROM BU_LOANTAPE_WORK.LT003_ENTITY WHERE ref_date='${ref_date}' AND nome_perimetro='Individual Corporativo' AND segmento='ESTR' AND ambito='PM' AND entidade='00100')Y</v>
      </c>
      <c r="K111" s="35" t="str">
        <f>+UPPER("ON X."&amp;VLOOKUP(B111,'0. Instruções'!$C$27:$G$32,4,FALSE)&amp;"=Y."&amp;VLOOKUP(B111,'0. Instruções'!$C$27:$G$32,4,FALSE)&amp;"_SIMUL")</f>
        <v>ON X.ENTTY_ID=Y.ENTTY_ID_SIMUL</v>
      </c>
      <c r="L111" s="35" t="str">
        <f>+IF(C111="Coerência", +IF(LEFT(G111,5)="FLOAT","SELECT '"&amp;UPPER(B111)&amp;"' AS TABELA, '"&amp;UPPER(C111)&amp;"' AS TIPOLOGIA_TESTE,'"&amp;D111&amp;"' AS TABELA_LT,'"&amp;E111&amp;"' AS TABELA_SIMUL,'"&amp;F111&amp;"' AS CAMPO, "&amp;"'${ref_date}' AS REF_DATE, COUNT(*) AS NUM_REG, SUM(IF((ABS(COALESCE(CAST(X."&amp;F111&amp;" AS DECIMAL(18,6)),0)-COALESCE(CAST(Y."&amp;F111&amp;"_SIMUL AS DECIMAL(18,6)),0))&gt;0.000001) OR (X."&amp;F111&amp;" IS NULL AND Y."&amp;F111&amp;"_SIMUL IS NOT NULL ) OR (X."&amp;F111&amp;" IS NOT NULL AND Y."&amp;F111&amp;"_SIMUL IS NULL),1,0)) AS NUM_REG_DIF,'"&amp;MAX('ID1&amp;5'!K:K)+1&amp;"' AS ID_EXEC, CURRENT_TIMESTAMP() AS TIME_EXEC FROM "&amp;I111&amp;" INNER JOIN "&amp;J111&amp;" "&amp;K111,"SELECT '"&amp;UPPER(B111)&amp;"' AS TABELA, '"&amp;UPPER(C111)&amp;"' AS TIPOLOGIA_TESTE,'"&amp;D111&amp;"' AS TABELA_LT,'"&amp;E111&amp;"' AS TABELA_SIMUL,'"&amp;F111&amp;"' AS CAMPO, "&amp;"'${ref_date}' AS REF_DATE, COUNT(*) AS NUM_REG, SUM(IF(COALESCE(CAST(X."&amp;F111&amp;" AS STRING),'')&lt;&gt;COALESCE(CAST(Y."&amp;F111&amp;"_SIMUL AS STRING),'') OR (X."&amp;F111&amp;" IS NULL AND Y."&amp;F111&amp;"_SIMUL IS NOT NULL ) OR (X."&amp;F111&amp;" IS NOT NULL AND Y."&amp;F111&amp;"_SIMUL IS NULL),1,0)) AS NUM_REG_DIF,'"&amp;MAX('ID1&amp;5'!L:L)+1&amp;"' AS ID_EXEC, CURRENT_TIMESTAMP() AS TIME_EXEC FROM "&amp;I111&amp;" INNER JOIN "&amp;J111&amp;" "&amp;K111),
IF(C111="Validade",+IF(G111="Code List","SELECT '"&amp;UPPER(B111)&amp;"' AS TABELA, '"&amp;UPPER(C111)&amp;"' AS TIPOLOGIA_TESTE,'"&amp;D111&amp;"' AS TABELA_LT,'N/A' AS TABELA_SIMUL,'"&amp;F111&amp;"' AS CAMPO, "&amp;"'${ref_date}' AS REF_DATE, COUNT(*) AS NUM_REG, SUM(IF(TRIM(CAST(X."&amp;F111&amp;" AS STRING))='' OR TRIM(CAST(X."&amp;F111&amp;" AS STRING)) IS NULL OR CAST(X."&amp;F111&amp;" AS STRING) NOT "&amp;H111&amp;",1,0)) AS NUM_REG_DIF,'"&amp;MAX('ID1&amp;5'!K:K)+1&amp;"' AS ID_EXEC, CURRENT_TIMESTAMP() AS TIME_EXEC FROM "&amp;I111,"SELECT '"&amp;UPPER(B111)&amp;"' AS TABELA, '"&amp;UPPER(C111)&amp;"' AS TIPOLOGIA_TESTE,'"&amp;D111&amp;"' AS TABELA_LT,'N/A' AS TABELA_SIMUL,'"&amp;F111&amp;"' AS CAMPO, "&amp;"'${ref_date}' AS REF_DATE, COUNT(*) AS NUM_REG, SUM(IF(TRIM(CAST(X."&amp;F111&amp;" AS STRING))='' OR TRIM(CAST(X."&amp;F111&amp;" AS STRING)) IS NULL,1,0)) AS NUM_REG_DIF,'"&amp;MAX('ID1&amp;5'!K:K)+1&amp;"' AS ID_EXEC, CURRENT_TIMESTAMP() AS TIME_EXEC FROM "&amp;I111),
IF(C111="Caracteres Especiais",+"SELECT '"&amp;UPPER(B111)&amp;"' AS TABELA, '"&amp;UPPER(C111)&amp;"' AS TIPOLOGIA_TESTE,'"&amp;D111&amp;"' AS TABELA_LT,'N/A' AS TABELA_SIMUL,'"&amp;F111&amp;"' AS CAMPO, "&amp;"'${ref_date}' AS REF_DATE, COUNT(*) AS NUM_REG, SUM(IF(REGEXP_REPLACE(TRIM(CAST(X."&amp;F111&amp;" AS STRING)),'[^a-zA-Z0-9_\\s]','') &lt;&gt;TRIM(CAST(X."&amp;F111&amp;" AS STRING)),1,0)) AS NUM_REG_DIF,'"&amp;MAX('ID1&amp;5'!K:K)+1&amp;"' AS ID_EXEC, CURRENT_TIMESTAMP() AS TIME_EXEC FROM "&amp;I111,
IF(C111="Missings",+"SELECT '"&amp;UPPER(B111)&amp;"' AS TABELA, '"&amp;UPPER(C111)&amp;"' AS TIPOLOGIA_TESTE,'"&amp;D111&amp;"' AS TABELA_LT,'N/A' AS TABELA_SIMUL,'"&amp;F111&amp;"' AS CAMPO, "&amp;"'${ref_date}' AS REF_DATE, COUNT(*) AS NUM_REG, SUM(IF(TRIM(CAST(X."&amp;F111&amp;" AS STRING)) IN ('0000-00-00','0001-01-01','9999-12-31','MISS','00000','99999999999','99999999999.00','99999999999.000000'),1,0)) AS NUM_REG_DIF,'"&amp;MAX('ID1&amp;5'!K:K)+1&amp;"' AS ID_EXEC, CURRENT_TIMESTAMP() AS TIME_EXEC FROM "&amp;I111,
IF(C111="Not applicable",+"SELECT '"&amp;UPPER(B111)&amp;"' AS TABELA, '"&amp;UPPER(C111)&amp;"' AS TIPOLOGIA_TESTE,'"&amp;D111&amp;"' AS TABELA_LT,'N/A' AS TABELA_SIMUL,'"&amp;F111&amp;"' AS CAMPO, "&amp;"'${ref_date}' AS REF_DATE, COUNT(*) AS NUM_REG, SUM(IF(TRIM(CAST(X."&amp;F111&amp;" AS STRING)) IN ('N/A','11111111111','11111111111.00','11111111111.000000','1111-11-11'),1,0)) AS NUM_REG_DIF,'"&amp;MAX('ID1&amp;5'!K:K)+1&amp;"' AS ID_EXEC, CURRENT_TIMESTAMP() AS TIME_EXEC FROM "&amp;I111,
IF(C111="Valores extremos",+"SELECT '"&amp;UPPER(B111)&amp;"' AS TABELA, '"&amp;UPPER(C111)&amp;"' AS TIPOLOGIA_TESTE,'"&amp;D111&amp;"' AS TABELA_LT,'N/A' AS TABELA_SIMUL,'"&amp;F111&amp;"' AS CAMPO, "&amp;"'${ref_date}' AS REF_DATE, CAST(MIN("&amp;F111&amp;") AS STRING) AS VALOR_MIN, CAST(MAX("&amp;F111&amp;") AS STRING) AS VALOR_MAX,'"&amp;MAX('ID1&amp;5'!K:K)+1&amp;"' AS ID_EXEC, CURRENT_TIMESTAMP() AS TIME_EXEC FROM "&amp;MID(I111,1,LEN(I111)-2)&amp;" AND CAST("&amp;F111&amp;"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TABELA_SIMUL,'TTL_ASSTS' AS CAMPO, '${ref_date}' AS REF_DATE, COUNT(*) AS NUM_REG, SUM(IF(COALESCE(CAST(X.TTL_ASSTS AS STRING),'')&lt;&gt;COALESCE(CAST(Y.TTL_ASSTS_SIMUL AS STRING),'') OR (X.TTL_ASSTS IS NULL AND Y.TTL_ASSTS_SIMUL IS NOT NULL ) OR (X.TTL_ASSTS IS NOT NULL AND Y.TTL_ASSTS_SIMUL IS NULL),1,0)) AS NUM_REG_DIF,'1' AS ID_EXEC, CURRENT_TIMESTAMP() AS TIME_EXEC FROM (SELECT entty_id, TTL_ASSTS FROM CD_LOAN_TAPES_BCE.LT003_ENTITY WHERE ref_date='${ref_date}' AND nome_perimetro='Individual Corporativo' AND segmento='ESTR' AND ambito='PM' AND entidade='00100')X INNER JOIN (SELECT entty_id AS entty_id_SIMUL, TTL_ASSTS AS TTL_ASSTS_SIMUL FROM BU_LOANTAPE_WORK.LT003_ENTITY WHERE ref_date='${ref_date}' AND nome_perimetro='Individual Corporativo' AND segmento='ESTR' AND ambito='PM' AND entidade='00100')Y ON X.ENTTY_ID=Y.ENTTY_ID_SIMUL</v>
      </c>
      <c r="M111" s="36" t="str">
        <f t="shared" si="1"/>
        <v>UNION ALL SELECT 'ENTITY' AS TABELA, 'COERÊNCIA' AS TIPOLOGIA_TESTE,'CD_LOAN_TAPES_BCE.LT003_ENTITY' AS TABELA_LT,'BU_LOANTAPE_WORK.LT003_ENTITY' AS TABELA_SIMUL,'TTL_ASSTS' AS CAMPO, '${ref_date}' AS REF_DATE, COUNT(*) AS NUM_REG, SUM(IF(COALESCE(CAST(X.TTL_ASSTS AS STRING),'')&lt;&gt;COALESCE(CAST(Y.TTL_ASSTS_SIMUL AS STRING),'') OR (X.TTL_ASSTS IS NULL AND Y.TTL_ASSTS_SIMUL IS NOT NULL ) OR (X.TTL_ASSTS IS NOT NULL AND Y.TTL_ASSTS_SIMUL IS NULL),1,0)) AS NUM_REG_DIF,'1' AS ID_EXEC, CURRENT_TIMESTAMP() AS TIME_EXEC FROM (SELECT entty_id, TTL_ASSTS FROM CD_LOAN_TAPES_BCE.LT003_ENTITY WHERE ref_date='${ref_date}' AND nome_perimetro='Individual Corporativo' AND segmento='ESTR' AND ambito='PM' AND entidade='00100')X INNER JOIN (SELECT entty_id AS entty_id_SIMUL, TTL_ASSTS AS TTL_ASSTS_SIMUL FROM BU_LOANTAPE_WORK.LT003_ENTITY WHERE ref_date='${ref_date}' AND nome_perimetro='Individual Corporativo' AND segmento='ESTR' AND ambito='PM' AND entidade='00100')Y ON X.ENTTY_ID=Y.ENTTY_ID_SIMUL</v>
      </c>
      <c r="N111" s="38" t="s">
        <v>46</v>
      </c>
    </row>
    <row r="112" spans="2:14">
      <c r="B112" s="34" t="s">
        <v>127</v>
      </c>
      <c r="C112" s="34" t="s">
        <v>5</v>
      </c>
      <c r="D112" s="34" t="str">
        <f>+UPPER('0. Instruções'!$D$35&amp;"."&amp;VLOOKUP(B112,'0. Instruções'!$C$27:$D$32,2,FALSE))</f>
        <v>CD_LOAN_TAPES_BCE.LT003_ENTITY</v>
      </c>
      <c r="E112" s="34" t="str">
        <f>+UPPER('0. Instruções'!$D$36&amp;"."&amp;VLOOKUP(B112,'0. Instruções'!$C$27:$E$32,3,FALSE))</f>
        <v>BU_LOANTAPE_WORK.LT003_ENTITY</v>
      </c>
      <c r="F112" s="92" t="s">
        <v>418</v>
      </c>
      <c r="G112" s="34"/>
      <c r="H112" s="34" t="s">
        <v>650</v>
      </c>
      <c r="I112" s="34" t="str">
        <f>"(SELECT "&amp;VLOOKUP(B112,'0. Instruções'!$C$27:$G$32,4,FALSE)&amp;", "&amp;F112&amp;" FROM "&amp;D112&amp;" WHERE "&amp;'0. Instruções'!$D$42&amp;")X"</f>
        <v>(SELECT entty_id, ENTTY_ID_BDR FROM CD_LOAN_TAPES_BCE.LT003_ENTITY WHERE ref_date='${ref_date}' AND nome_perimetro='Individual Corporativo' AND segmento='ESTR' AND ambito='PM' AND entidade='00100')X</v>
      </c>
      <c r="J112" s="34" t="str">
        <f>"(SELECT "&amp;VLOOKUP(B112,'0. Instruções'!$C$27:$G$32,4,FALSE)&amp;" AS "&amp;VLOOKUP(B112,'0. Instruções'!$C$27:$G$32,4,FALSE)&amp;"_SIMUL, "&amp;F112&amp;" AS "&amp;F112&amp;"_SIMUL FROM "&amp;E112&amp;" WHERE "&amp;'0. Instruções'!$D$43&amp;")Y"</f>
        <v>(SELECT entty_id AS entty_id_SIMUL, ENTTY_ID_BDR AS ENTTY_ID_BDR_SIMUL FROM BU_LOANTAPE_WORK.LT003_ENTITY WHERE ref_date='${ref_date}' AND nome_perimetro='Individual Corporativo' AND segmento='ESTR' AND ambito='PM' AND entidade='00100')Y</v>
      </c>
      <c r="K112" s="35" t="str">
        <f>+UPPER("ON X."&amp;VLOOKUP(B112,'0. Instruções'!$C$27:$G$32,4,FALSE)&amp;"=Y."&amp;VLOOKUP(B112,'0. Instruções'!$C$27:$G$32,4,FALSE)&amp;"_SIMUL")</f>
        <v>ON X.ENTTY_ID=Y.ENTTY_ID_SIMUL</v>
      </c>
      <c r="L112" s="35" t="str">
        <f>+IF(C112="Coerência", +IF(LEFT(G112,5)="FLOAT","SELECT '"&amp;UPPER(B112)&amp;"' AS TABELA, '"&amp;UPPER(C112)&amp;"' AS TIPOLOGIA_TESTE,'"&amp;D112&amp;"' AS TABELA_LT,'"&amp;E112&amp;"' AS TABELA_SIMUL,'"&amp;F112&amp;"' AS CAMPO, "&amp;"'${ref_date}' AS REF_DATE, COUNT(*) AS NUM_REG, SUM(IF((ABS(COALESCE(CAST(X."&amp;F112&amp;" AS DECIMAL(18,6)),0)-COALESCE(CAST(Y."&amp;F112&amp;"_SIMUL AS DECIMAL(18,6)),0))&gt;0.000001) OR (X."&amp;F112&amp;" IS NULL AND Y."&amp;F112&amp;"_SIMUL IS NOT NULL ) OR (X."&amp;F112&amp;" IS NOT NULL AND Y."&amp;F112&amp;"_SIMUL IS NULL),1,0)) AS NUM_REG_DIF,'"&amp;MAX('ID1&amp;5'!K:K)+1&amp;"' AS ID_EXEC, CURRENT_TIMESTAMP() AS TIME_EXEC FROM "&amp;I112&amp;" INNER JOIN "&amp;J112&amp;" "&amp;K112,"SELECT '"&amp;UPPER(B112)&amp;"' AS TABELA, '"&amp;UPPER(C112)&amp;"' AS TIPOLOGIA_TESTE,'"&amp;D112&amp;"' AS TABELA_LT,'"&amp;E112&amp;"' AS TABELA_SIMUL,'"&amp;F112&amp;"' AS CAMPO, "&amp;"'${ref_date}' AS REF_DATE, COUNT(*) AS NUM_REG, SUM(IF(COALESCE(CAST(X."&amp;F112&amp;" AS STRING),'')&lt;&gt;COALESCE(CAST(Y."&amp;F112&amp;"_SIMUL AS STRING),'') OR (X."&amp;F112&amp;" IS NULL AND Y."&amp;F112&amp;"_SIMUL IS NOT NULL ) OR (X."&amp;F112&amp;" IS NOT NULL AND Y."&amp;F112&amp;"_SIMUL IS NULL),1,0)) AS NUM_REG_DIF,'"&amp;MAX('ID1&amp;5'!L:L)+1&amp;"' AS ID_EXEC, CURRENT_TIMESTAMP() AS TIME_EXEC FROM "&amp;I112&amp;" INNER JOIN "&amp;J112&amp;" "&amp;K112),
IF(C112="Validade",+IF(G112="Code List","SELECT '"&amp;UPPER(B112)&amp;"' AS TABELA, '"&amp;UPPER(C112)&amp;"' AS TIPOLOGIA_TESTE,'"&amp;D112&amp;"' AS TABELA_LT,'N/A' AS TABELA_SIMUL,'"&amp;F112&amp;"' AS CAMPO, "&amp;"'${ref_date}' AS REF_DATE, COUNT(*) AS NUM_REG, SUM(IF(TRIM(CAST(X."&amp;F112&amp;" AS STRING))='' OR TRIM(CAST(X."&amp;F112&amp;" AS STRING)) IS NULL OR CAST(X."&amp;F112&amp;" AS STRING) NOT "&amp;H112&amp;",1,0)) AS NUM_REG_DIF,'"&amp;MAX('ID1&amp;5'!K:K)+1&amp;"' AS ID_EXEC, CURRENT_TIMESTAMP() AS TIME_EXEC FROM "&amp;I112,"SELECT '"&amp;UPPER(B112)&amp;"' AS TABELA, '"&amp;UPPER(C112)&amp;"' AS TIPOLOGIA_TESTE,'"&amp;D112&amp;"' AS TABELA_LT,'N/A' AS TABELA_SIMUL,'"&amp;F112&amp;"' AS CAMPO, "&amp;"'${ref_date}' AS REF_DATE, COUNT(*) AS NUM_REG, SUM(IF(TRIM(CAST(X."&amp;F112&amp;" AS STRING))='' OR TRIM(CAST(X."&amp;F112&amp;" AS STRING)) IS NULL,1,0)) AS NUM_REG_DIF,'"&amp;MAX('ID1&amp;5'!K:K)+1&amp;"' AS ID_EXEC, CURRENT_TIMESTAMP() AS TIME_EXEC FROM "&amp;I112),
IF(C112="Caracteres Especiais",+"SELECT '"&amp;UPPER(B112)&amp;"' AS TABELA, '"&amp;UPPER(C112)&amp;"' AS TIPOLOGIA_TESTE,'"&amp;D112&amp;"' AS TABELA_LT,'N/A' AS TABELA_SIMUL,'"&amp;F112&amp;"' AS CAMPO, "&amp;"'${ref_date}' AS REF_DATE, COUNT(*) AS NUM_REG, SUM(IF(REGEXP_REPLACE(TRIM(CAST(X."&amp;F112&amp;" AS STRING)),'[^a-zA-Z0-9_\\s]','') &lt;&gt;TRIM(CAST(X."&amp;F112&amp;" AS STRING)),1,0)) AS NUM_REG_DIF,'"&amp;MAX('ID1&amp;5'!K:K)+1&amp;"' AS ID_EXEC, CURRENT_TIMESTAMP() AS TIME_EXEC FROM "&amp;I112,
IF(C112="Missings",+"SELECT '"&amp;UPPER(B112)&amp;"' AS TABELA, '"&amp;UPPER(C112)&amp;"' AS TIPOLOGIA_TESTE,'"&amp;D112&amp;"' AS TABELA_LT,'N/A' AS TABELA_SIMUL,'"&amp;F112&amp;"' AS CAMPO, "&amp;"'${ref_date}' AS REF_DATE, COUNT(*) AS NUM_REG, SUM(IF(TRIM(CAST(X."&amp;F112&amp;" AS STRING)) IN ('0000-00-00','0001-01-01','9999-12-31','MISS','00000','99999999999','99999999999.00','99999999999.000000'),1,0)) AS NUM_REG_DIF,'"&amp;MAX('ID1&amp;5'!K:K)+1&amp;"' AS ID_EXEC, CURRENT_TIMESTAMP() AS TIME_EXEC FROM "&amp;I112,
IF(C112="Not applicable",+"SELECT '"&amp;UPPER(B112)&amp;"' AS TABELA, '"&amp;UPPER(C112)&amp;"' AS TIPOLOGIA_TESTE,'"&amp;D112&amp;"' AS TABELA_LT,'N/A' AS TABELA_SIMUL,'"&amp;F112&amp;"' AS CAMPO, "&amp;"'${ref_date}' AS REF_DATE, COUNT(*) AS NUM_REG, SUM(IF(TRIM(CAST(X."&amp;F112&amp;" AS STRING)) IN ('N/A','11111111111','11111111111.00','11111111111.000000','1111-11-11'),1,0)) AS NUM_REG_DIF,'"&amp;MAX('ID1&amp;5'!K:K)+1&amp;"' AS ID_EXEC, CURRENT_TIMESTAMP() AS TIME_EXEC FROM "&amp;I112,
IF(C112="Valores extremos",+"SELECT '"&amp;UPPER(B112)&amp;"' AS TABELA, '"&amp;UPPER(C112)&amp;"' AS TIPOLOGIA_TESTE,'"&amp;D112&amp;"' AS TABELA_LT,'N/A' AS TABELA_SIMUL,'"&amp;F112&amp;"' AS CAMPO, "&amp;"'${ref_date}' AS REF_DATE, CAST(MIN("&amp;F112&amp;") AS STRING) AS VALOR_MIN, CAST(MAX("&amp;F112&amp;") AS STRING) AS VALOR_MAX,'"&amp;MAX('ID1&amp;5'!K:K)+1&amp;"' AS ID_EXEC, CURRENT_TIMESTAMP() AS TIME_EXEC FROM "&amp;MID(I112,1,LEN(I112)-2)&amp;" AND CAST("&amp;F112&amp;" AS STRING) NOT IN ('0000-00-00','0001-01-01','9999-12-31','MISS','00000','99999999999','99999999999.00','99999999999.000000','N/A','11111111111','11111111111.00','11111111111.000000','1111-11-11'))X"))))))</f>
        <v>SELECT 'ENTITY' AS TABELA, 'COERÊNCIA' AS TIPOLOGIA_TESTE,'CD_LOAN_TAPES_BCE.LT003_ENTITY' AS TABELA_LT,'BU_LOANTAPE_WORK.LT003_ENTITY' AS TABELA_SIMUL,'ENTTY_ID_BDR' AS CAMPO, '${ref_date}' AS REF_DATE, COUNT(*) AS NUM_REG, SUM(IF(COALESCE(CAST(X.ENTTY_ID_BDR AS STRING),'')&lt;&gt;COALESCE(CAST(Y.ENTTY_ID_BDR_SIMUL AS STRING),'') OR (X.ENTTY_ID_BDR IS NULL AND Y.ENTTY_ID_BDR_SIMUL IS NOT NULL ) OR (X.ENTTY_ID_BDR IS NOT NULL AND Y.ENTTY_ID_BDR_SIMUL IS NULL),1,0)) AS NUM_REG_DIF,'1' AS ID_EXEC, CURRENT_TIMESTAMP() AS TIME_EXEC FROM (SELECT entty_id, ENTTY_ID_BDR FROM CD_LOAN_TAPES_BCE.LT003_ENTITY WHERE ref_date='${ref_date}' AND nome_perimetro='Individual Corporativo' AND segmento='ESTR' AND ambito='PM' AND entidade='00100')X INNER JOIN (SELECT entty_id AS entty_id_SIMUL, ENTTY_ID_BDR AS ENTTY_ID_BDR_SIMUL FROM BU_LOANTAPE_WORK.LT003_ENTITY WHERE ref_date='${ref_date}' AND nome_perimetro='Individual Corporativo' AND segmento='ESTR' AND ambito='PM' AND entidade='00100')Y ON X.ENTTY_ID=Y.ENTTY_ID_SIMUL</v>
      </c>
      <c r="M112" s="36" t="str">
        <f t="shared" si="1"/>
        <v>UNION ALL SELECT 'ENTITY' AS TABELA, 'COERÊNCIA' AS TIPOLOGIA_TESTE,'CD_LOAN_TAPES_BCE.LT003_ENTITY' AS TABELA_LT,'BU_LOANTAPE_WORK.LT003_ENTITY' AS TABELA_SIMUL,'ENTTY_ID_BDR' AS CAMPO, '${ref_date}' AS REF_DATE, COUNT(*) AS NUM_REG, SUM(IF(COALESCE(CAST(X.ENTTY_ID_BDR AS STRING),'')&lt;&gt;COALESCE(CAST(Y.ENTTY_ID_BDR_SIMUL AS STRING),'') OR (X.ENTTY_ID_BDR IS NULL AND Y.ENTTY_ID_BDR_SIMUL IS NOT NULL ) OR (X.ENTTY_ID_BDR IS NOT NULL AND Y.ENTTY_ID_BDR_SIMUL IS NULL),1,0)) AS NUM_REG_DIF,'1' AS ID_EXEC, CURRENT_TIMESTAMP() AS TIME_EXEC FROM (SELECT entty_id, ENTTY_ID_BDR FROM CD_LOAN_TAPES_BCE.LT003_ENTITY WHERE ref_date='${ref_date}' AND nome_perimetro='Individual Corporativo' AND segmento='ESTR' AND ambito='PM' AND entidade='00100')X INNER JOIN (SELECT entty_id AS entty_id_SIMUL, ENTTY_ID_BDR AS ENTTY_ID_BDR_SIMUL FROM BU_LOANTAPE_WORK.LT003_ENTITY WHERE ref_date='${ref_date}' AND nome_perimetro='Individual Corporativo' AND segmento='ESTR' AND ambito='PM' AND entidade='00100')Y ON X.ENTTY_ID=Y.ENTTY_ID_SIMUL</v>
      </c>
      <c r="N112" s="38" t="s">
        <v>46</v>
      </c>
    </row>
    <row r="113" spans="2:14" hidden="1">
      <c r="B113" s="34" t="s">
        <v>321</v>
      </c>
      <c r="C113" s="34" t="s">
        <v>5</v>
      </c>
      <c r="D113" s="34" t="str">
        <f>+UPPER('0. Instruções'!$D$35&amp;"."&amp;VLOOKUP(B113,'0. Instruções'!$C$27:$D$32,2,FALSE))</f>
        <v>CD_LOAN_TAPES_BCE.LT005_INSTR_ENT</v>
      </c>
      <c r="E113" s="34" t="str">
        <f>+UPPER('0. Instruções'!$D$36&amp;"."&amp;VLOOKUP(B113,'0. Instruções'!$C$27:$E$32,3,FALSE))</f>
        <v>BU_LOANTAPE_WORK.LT005_INSTR_ENT</v>
      </c>
      <c r="F113" s="34" t="s">
        <v>109</v>
      </c>
      <c r="G113" s="34"/>
      <c r="H113" s="34" t="s">
        <v>644</v>
      </c>
      <c r="I113" s="34" t="str">
        <f>"(SELECT "&amp;VLOOKUP(B113,'0. Instruções'!$C$27:$G$32,4,FALSE)&amp;", "&amp;F113&amp;" FROM "&amp;D113&amp;" WHERE "&amp;'0. Instruções'!$D$42&amp;")X"</f>
        <v>(SELECT instrmnt_id, COD_SOC FROM CD_LOAN_TAPES_BCE.LT005_INSTR_ENT WHERE ref_date='${ref_date}' AND nome_perimetro='Individual Corporativo' AND segmento='ESTR' AND ambito='PM' AND entidade='00100')X</v>
      </c>
      <c r="J113" s="34" t="str">
        <f>"(SELECT "&amp;VLOOKUP(B113,'0. Instruções'!$C$27:$G$32,4,FALSE)&amp;" AS "&amp;VLOOKUP(B113,'0. Instruções'!$C$27:$G$32,4,FALSE)&amp;"_SIMUL, "&amp;F113&amp;" AS "&amp;F113&amp;"_SIMUL FROM "&amp;E113&amp;" WHERE "&amp;'0. Instruções'!$D$43&amp;")Y"</f>
        <v>(SELECT instrmnt_id AS instrmnt_id_SIMUL, COD_SOC AS COD_SOC_SIMUL FROM BU_LOANTAPE_WORK.LT005_INSTR_ENT WHERE ref_date='${ref_date}' AND nome_perimetro='Individual Corporativo' AND segmento='ESTR' AND ambito='PM' AND entidade='00100')Y</v>
      </c>
      <c r="K113" s="35" t="s">
        <v>659</v>
      </c>
      <c r="L113" s="35" t="str">
        <f>+IF(C113="Coerência", +IF(LEFT(G113,5)="FLOAT","SELECT '"&amp;UPPER(B113)&amp;"' AS TABELA, '"&amp;UPPER(C113)&amp;"' AS TIPOLOGIA_TESTE,'"&amp;D113&amp;"' AS TABELA_LT,'"&amp;E113&amp;"' AS TABELA_SIMUL,'"&amp;F113&amp;"' AS CAMPO, "&amp;"'${ref_date}' AS REF_DATE, COUNT(*) AS NUM_REG, SUM(IF((ABS(COALESCE(CAST(X."&amp;F113&amp;" AS DECIMAL(18,6)),0)-COALESCE(CAST(Y."&amp;F113&amp;"_SIMUL AS DECIMAL(18,6)),0))&gt;0.000001) OR (X."&amp;F113&amp;" IS NULL AND Y."&amp;F113&amp;"_SIMUL IS NOT NULL ) OR (X."&amp;F113&amp;" IS NOT NULL AND Y."&amp;F113&amp;"_SIMUL IS NULL),1,0)) AS NUM_REG_DIF,'"&amp;MAX('ID1&amp;5'!K:K)+1&amp;"' AS ID_EXEC, CURRENT_TIMESTAMP() AS TIME_EXEC FROM "&amp;I113&amp;" INNER JOIN "&amp;J113&amp;" "&amp;K113,"SELECT '"&amp;UPPER(B113)&amp;"' AS TABELA, '"&amp;UPPER(C113)&amp;"' AS TIPOLOGIA_TESTE,'"&amp;D113&amp;"' AS TABELA_LT,'"&amp;E113&amp;"' AS TABELA_SIMUL,'"&amp;F113&amp;"' AS CAMPO, "&amp;"'${ref_date}' AS REF_DATE, COUNT(*) AS NUM_REG, SUM(IF(COALESCE(CAST(X."&amp;F113&amp;" AS STRING),'')&lt;&gt;COALESCE(CAST(Y."&amp;F113&amp;"_SIMUL AS STRING),'') OR (X."&amp;F113&amp;" IS NULL AND Y."&amp;F113&amp;"_SIMUL IS NOT NULL ) OR (X."&amp;F113&amp;" IS NOT NULL AND Y."&amp;F113&amp;"_SIMUL IS NULL),1,0)) AS NUM_REG_DIF,'"&amp;MAX('ID1&amp;5'!L:L)+1&amp;"' AS ID_EXEC, CURRENT_TIMESTAMP() AS TIME_EXEC FROM "&amp;I113&amp;" INNER JOIN "&amp;J113&amp;" "&amp;K113),
IF(C113="Validade",+IF(G113="Code List","SELECT '"&amp;UPPER(B113)&amp;"' AS TABELA, '"&amp;UPPER(C113)&amp;"' AS TIPOLOGIA_TESTE,'"&amp;D113&amp;"' AS TABELA_LT,'N/A' AS TABELA_SIMUL,'"&amp;F113&amp;"' AS CAMPO, "&amp;"'${ref_date}' AS REF_DATE, COUNT(*) AS NUM_REG, SUM(IF(TRIM(CAST(X."&amp;F113&amp;" AS STRING))='' OR TRIM(CAST(X."&amp;F113&amp;" AS STRING)) IS NULL OR CAST(X."&amp;F113&amp;" AS STRING) NOT "&amp;H113&amp;",1,0)) AS NUM_REG_DIF,'"&amp;MAX('ID1&amp;5'!K:K)+1&amp;"' AS ID_EXEC, CURRENT_TIMESTAMP() AS TIME_EXEC FROM "&amp;I113,"SELECT '"&amp;UPPER(B113)&amp;"' AS TABELA, '"&amp;UPPER(C113)&amp;"' AS TIPOLOGIA_TESTE,'"&amp;D113&amp;"' AS TABELA_LT,'N/A' AS TABELA_SIMUL,'"&amp;F113&amp;"' AS CAMPO, "&amp;"'${ref_date}' AS REF_DATE, COUNT(*) AS NUM_REG, SUM(IF(TRIM(CAST(X."&amp;F113&amp;" AS STRING))='' OR TRIM(CAST(X."&amp;F113&amp;" AS STRING)) IS NULL,1,0)) AS NUM_REG_DIF,'"&amp;MAX('ID1&amp;5'!K:K)+1&amp;"' AS ID_EXEC, CURRENT_TIMESTAMP() AS TIME_EXEC FROM "&amp;I113),
IF(C113="Caracteres Especiais",+"SELECT '"&amp;UPPER(B113)&amp;"' AS TABELA, '"&amp;UPPER(C113)&amp;"' AS TIPOLOGIA_TESTE,'"&amp;D113&amp;"' AS TABELA_LT,'N/A' AS TABELA_SIMUL,'"&amp;F113&amp;"' AS CAMPO, "&amp;"'${ref_date}' AS REF_DATE, COUNT(*) AS NUM_REG, SUM(IF(REGEXP_REPLACE(TRIM(CAST(X."&amp;F113&amp;" AS STRING)),'[^a-zA-Z0-9_\\s]','') &lt;&gt;TRIM(CAST(X."&amp;F113&amp;" AS STRING)),1,0)) AS NUM_REG_DIF,'"&amp;MAX('ID1&amp;5'!K:K)+1&amp;"' AS ID_EXEC, CURRENT_TIMESTAMP() AS TIME_EXEC FROM "&amp;I113,
IF(C113="Missings",+"SELECT '"&amp;UPPER(B113)&amp;"' AS TABELA, '"&amp;UPPER(C113)&amp;"' AS TIPOLOGIA_TESTE,'"&amp;D113&amp;"' AS TABELA_LT,'N/A' AS TABELA_SIMUL,'"&amp;F113&amp;"' AS CAMPO, "&amp;"'${ref_date}' AS REF_DATE, COUNT(*) AS NUM_REG, SUM(IF(TRIM(CAST(X."&amp;F113&amp;" AS STRING)) IN ('0000-00-00','0001-01-01','9999-12-31','MISS','00000','99999999999','99999999999.00','99999999999.000000'),1,0)) AS NUM_REG_DIF,'"&amp;MAX('ID1&amp;5'!K:K)+1&amp;"' AS ID_EXEC, CURRENT_TIMESTAMP() AS TIME_EXEC FROM "&amp;I113,
IF(C113="Not applicable",+"SELECT '"&amp;UPPER(B113)&amp;"' AS TABELA, '"&amp;UPPER(C113)&amp;"' AS TIPOLOGIA_TESTE,'"&amp;D113&amp;"' AS TABELA_LT,'N/A' AS TABELA_SIMUL,'"&amp;F113&amp;"' AS CAMPO, "&amp;"'${ref_date}' AS REF_DATE, COUNT(*) AS NUM_REG, SUM(IF(TRIM(CAST(X."&amp;F113&amp;" AS STRING)) IN ('N/A','11111111111','11111111111.00','11111111111.000000','1111-11-11'),1,0)) AS NUM_REG_DIF,'"&amp;MAX('ID1&amp;5'!K:K)+1&amp;"' AS ID_EXEC, CURRENT_TIMESTAMP() AS TIME_EXEC FROM "&amp;I113,
IF(C113="Valores extremos",+"SELECT '"&amp;UPPER(B113)&amp;"' AS TABELA, '"&amp;UPPER(C113)&amp;"' AS TIPOLOGIA_TESTE,'"&amp;D113&amp;"' AS TABELA_LT,'N/A' AS TABELA_SIMUL,'"&amp;F113&amp;"' AS CAMPO, "&amp;"'${ref_date}' AS REF_DATE, CAST(MIN("&amp;F113&amp;") AS STRING) AS VALOR_MIN, CAST(MAX("&amp;F113&amp;") AS STRING) AS VALOR_MAX,'"&amp;MAX('ID1&amp;5'!K:K)+1&amp;"' AS ID_EXEC, CURRENT_TIMESTAMP() AS TIME_EXEC FROM "&amp;MID(I113,1,LEN(I113)-2)&amp;" AND CAST("&amp;F113&amp;" AS STRING) NOT IN ('0000-00-00','0001-01-01','9999-12-31','MISS','00000','99999999999','99999999999.00','99999999999.000000','N/A','11111111111','11111111111.00','11111111111.000000','1111-11-11'))X"))))))</f>
        <v>SELECT 'INSTR_ENTITY' AS TABELA, 'COERÊNCIA' AS TIPOLOGIA_TESTE,'CD_LOAN_TAPES_BCE.LT005_INSTR_ENT' AS TABELA_LT,'BU_LOANTAPE_WORK.LT005_INSTR_ENT' AS TABELA_SIMUL,'COD_SOC' AS CAMPO, '${ref_date}' AS REF_DATE, COUNT(*) AS NUM_REG, SUM(IF(COALESCE(CAST(X.COD_SOC AS STRING),'')&lt;&gt;COALESCE(CAST(Y.COD_SOC_SIMUL AS STRING),'') OR (X.COD_SOC IS NULL AND Y.COD_SOC_SIMUL IS NOT NULL ) OR (X.COD_SOC IS NOT NULL AND Y.COD_SOC_SIMUL IS NULL),1,0)) AS NUM_REG_DIF,'1' AS ID_EXEC, CURRENT_TIMESTAMP() AS TIME_EXEC FROM (SELECT instrmnt_id, COD_SOC FROM CD_LOAN_TAPES_BCE.LT005_INSTR_ENT WHERE ref_date='${ref_date}' AND nome_perimetro='Individual Corporativo' AND segmento='ESTR' AND ambito='PM' AND entidade='00100')X INNER JOIN (SELECT instrmnt_id AS instrmnt_id_SIMUL, COD_SOC AS COD_SOC_SIMUL FROM BU_LOANTAPE_WORK.LT005_INSTR_ENT WHERE ref_date='${ref_date}' AND nome_perimetro='Individual Corporativo' AND segmento='ESTR' AND ambito='PM' AND entidade='00100')Y ON X.INSTRMNT_ID=Y.INSTRMNT_ID_SIMUL AND X.entty_id=Y.entty_id_SIMUL</v>
      </c>
      <c r="M113" s="36" t="str">
        <f t="shared" si="1"/>
        <v>UNION ALL SELECT 'INSTR_ENTITY' AS TABELA, 'COERÊNCIA' AS TIPOLOGIA_TESTE,'CD_LOAN_TAPES_BCE.LT005_INSTR_ENT' AS TABELA_LT,'BU_LOANTAPE_WORK.LT005_INSTR_ENT' AS TABELA_SIMUL,'COD_SOC' AS CAMPO, '${ref_date}' AS REF_DATE, COUNT(*) AS NUM_REG, SUM(IF(COALESCE(CAST(X.COD_SOC AS STRING),'')&lt;&gt;COALESCE(CAST(Y.COD_SOC_SIMUL AS STRING),'') OR (X.COD_SOC IS NULL AND Y.COD_SOC_SIMUL IS NOT NULL ) OR (X.COD_SOC IS NOT NULL AND Y.COD_SOC_SIMUL IS NULL),1,0)) AS NUM_REG_DIF,'1' AS ID_EXEC, CURRENT_TIMESTAMP() AS TIME_EXEC FROM (SELECT instrmnt_id, COD_SOC FROM CD_LOAN_TAPES_BCE.LT005_INSTR_ENT WHERE ref_date='${ref_date}' AND nome_perimetro='Individual Corporativo' AND segmento='ESTR' AND ambito='PM' AND entidade='00100')X INNER JOIN (SELECT instrmnt_id AS instrmnt_id_SIMUL, COD_SOC AS COD_SOC_SIMUL FROM BU_LOANTAPE_WORK.LT005_INSTR_ENT WHERE ref_date='${ref_date}' AND nome_perimetro='Individual Corporativo' AND segmento='ESTR' AND ambito='PM' AND entidade='00100')Y ON X.INSTRMNT_ID=Y.INSTRMNT_ID_SIMUL AND X.entty_id=Y.entty_id_SIMUL</v>
      </c>
      <c r="N113" s="38" t="s">
        <v>46</v>
      </c>
    </row>
    <row r="114" spans="2:14" hidden="1">
      <c r="B114" s="34" t="s">
        <v>321</v>
      </c>
      <c r="C114" s="34" t="s">
        <v>5</v>
      </c>
      <c r="D114" s="34" t="str">
        <f>+UPPER('0. Instruções'!$D$35&amp;"."&amp;VLOOKUP(B114,'0. Instruções'!$C$27:$D$32,2,FALSE))</f>
        <v>CD_LOAN_TAPES_BCE.LT005_INSTR_ENT</v>
      </c>
      <c r="E114" s="34" t="str">
        <f>+UPPER('0. Instruções'!$D$36&amp;"."&amp;VLOOKUP(B114,'0. Instruções'!$C$27:$E$32,3,FALSE))</f>
        <v>BU_LOANTAPE_WORK.LT005_INSTR_ENT</v>
      </c>
      <c r="F114" s="34" t="s">
        <v>419</v>
      </c>
      <c r="G114" s="34"/>
      <c r="H114" s="34" t="s">
        <v>92</v>
      </c>
      <c r="I114" s="34" t="str">
        <f>"(SELECT "&amp;VLOOKUP(B114,'0. Instruções'!$C$27:$G$32,4,FALSE)&amp;", "&amp;F114&amp;" FROM "&amp;D114&amp;" WHERE "&amp;'0. Instruções'!$D$42&amp;")X"</f>
        <v>(SELECT instrmnt_id, JNT_LBLTY_AMNT FROM CD_LOAN_TAPES_BCE.LT005_INSTR_ENT WHERE ref_date='${ref_date}' AND nome_perimetro='Individual Corporativo' AND segmento='ESTR' AND ambito='PM' AND entidade='00100')X</v>
      </c>
      <c r="J114" s="34" t="str">
        <f>"(SELECT "&amp;VLOOKUP(B114,'0. Instruções'!$C$27:$G$32,4,FALSE)&amp;" AS "&amp;VLOOKUP(B114,'0. Instruções'!$C$27:$G$32,4,FALSE)&amp;"_SIMUL, "&amp;F114&amp;" AS "&amp;F114&amp;"_SIMUL FROM "&amp;E114&amp;" WHERE "&amp;'0. Instruções'!$D$43&amp;")Y"</f>
        <v>(SELECT instrmnt_id AS instrmnt_id_SIMUL, JNT_LBLTY_AMNT AS JNT_LBLTY_AMNT_SIMUL FROM BU_LOANTAPE_WORK.LT005_INSTR_ENT WHERE ref_date='${ref_date}' AND nome_perimetro='Individual Corporativo' AND segmento='ESTR' AND ambito='PM' AND entidade='00100')Y</v>
      </c>
      <c r="K114" s="35" t="s">
        <v>659</v>
      </c>
      <c r="L114" s="35" t="str">
        <f>+IF(C114="Coerência", +IF(LEFT(G114,5)="FLOAT","SELECT '"&amp;UPPER(B114)&amp;"' AS TABELA, '"&amp;UPPER(C114)&amp;"' AS TIPOLOGIA_TESTE,'"&amp;D114&amp;"' AS TABELA_LT,'"&amp;E114&amp;"' AS TABELA_SIMUL,'"&amp;F114&amp;"' AS CAMPO, "&amp;"'${ref_date}' AS REF_DATE, COUNT(*) AS NUM_REG, SUM(IF((ABS(COALESCE(CAST(X."&amp;F114&amp;" AS DECIMAL(18,6)),0)-COALESCE(CAST(Y."&amp;F114&amp;"_SIMUL AS DECIMAL(18,6)),0))&gt;0.000001) OR (X."&amp;F114&amp;" IS NULL AND Y."&amp;F114&amp;"_SIMUL IS NOT NULL ) OR (X."&amp;F114&amp;" IS NOT NULL AND Y."&amp;F114&amp;"_SIMUL IS NULL),1,0)) AS NUM_REG_DIF,'"&amp;MAX('ID1&amp;5'!K:K)+1&amp;"' AS ID_EXEC, CURRENT_TIMESTAMP() AS TIME_EXEC FROM "&amp;I114&amp;" INNER JOIN "&amp;J114&amp;" "&amp;K114,"SELECT '"&amp;UPPER(B114)&amp;"' AS TABELA, '"&amp;UPPER(C114)&amp;"' AS TIPOLOGIA_TESTE,'"&amp;D114&amp;"' AS TABELA_LT,'"&amp;E114&amp;"' AS TABELA_SIMUL,'"&amp;F114&amp;"' AS CAMPO, "&amp;"'${ref_date}' AS REF_DATE, COUNT(*) AS NUM_REG, SUM(IF(COALESCE(CAST(X."&amp;F114&amp;" AS STRING),'')&lt;&gt;COALESCE(CAST(Y."&amp;F114&amp;"_SIMUL AS STRING),'') OR (X."&amp;F114&amp;" IS NULL AND Y."&amp;F114&amp;"_SIMUL IS NOT NULL ) OR (X."&amp;F114&amp;" IS NOT NULL AND Y."&amp;F114&amp;"_SIMUL IS NULL),1,0)) AS NUM_REG_DIF,'"&amp;MAX('ID1&amp;5'!L:L)+1&amp;"' AS ID_EXEC, CURRENT_TIMESTAMP() AS TIME_EXEC FROM "&amp;I114&amp;" INNER JOIN "&amp;J114&amp;" "&amp;K114),
IF(C114="Validade",+IF(G114="Code List","SELECT '"&amp;UPPER(B114)&amp;"' AS TABELA, '"&amp;UPPER(C114)&amp;"' AS TIPOLOGIA_TESTE,'"&amp;D114&amp;"' AS TABELA_LT,'N/A' AS TABELA_SIMUL,'"&amp;F114&amp;"' AS CAMPO, "&amp;"'${ref_date}' AS REF_DATE, COUNT(*) AS NUM_REG, SUM(IF(TRIM(CAST(X."&amp;F114&amp;" AS STRING))='' OR TRIM(CAST(X."&amp;F114&amp;" AS STRING)) IS NULL OR CAST(X."&amp;F114&amp;" AS STRING) NOT "&amp;H114&amp;",1,0)) AS NUM_REG_DIF,'"&amp;MAX('ID1&amp;5'!K:K)+1&amp;"' AS ID_EXEC, CURRENT_TIMESTAMP() AS TIME_EXEC FROM "&amp;I114,"SELECT '"&amp;UPPER(B114)&amp;"' AS TABELA, '"&amp;UPPER(C114)&amp;"' AS TIPOLOGIA_TESTE,'"&amp;D114&amp;"' AS TABELA_LT,'N/A' AS TABELA_SIMUL,'"&amp;F114&amp;"' AS CAMPO, "&amp;"'${ref_date}' AS REF_DATE, COUNT(*) AS NUM_REG, SUM(IF(TRIM(CAST(X."&amp;F114&amp;" AS STRING))='' OR TRIM(CAST(X."&amp;F114&amp;" AS STRING)) IS NULL,1,0)) AS NUM_REG_DIF,'"&amp;MAX('ID1&amp;5'!K:K)+1&amp;"' AS ID_EXEC, CURRENT_TIMESTAMP() AS TIME_EXEC FROM "&amp;I114),
IF(C114="Caracteres Especiais",+"SELECT '"&amp;UPPER(B114)&amp;"' AS TABELA, '"&amp;UPPER(C114)&amp;"' AS TIPOLOGIA_TESTE,'"&amp;D114&amp;"' AS TABELA_LT,'N/A' AS TABELA_SIMUL,'"&amp;F114&amp;"' AS CAMPO, "&amp;"'${ref_date}' AS REF_DATE, COUNT(*) AS NUM_REG, SUM(IF(REGEXP_REPLACE(TRIM(CAST(X."&amp;F114&amp;" AS STRING)),'[^a-zA-Z0-9_\\s]','') &lt;&gt;TRIM(CAST(X."&amp;F114&amp;" AS STRING)),1,0)) AS NUM_REG_DIF,'"&amp;MAX('ID1&amp;5'!K:K)+1&amp;"' AS ID_EXEC, CURRENT_TIMESTAMP() AS TIME_EXEC FROM "&amp;I114,
IF(C114="Missings",+"SELECT '"&amp;UPPER(B114)&amp;"' AS TABELA, '"&amp;UPPER(C114)&amp;"' AS TIPOLOGIA_TESTE,'"&amp;D114&amp;"' AS TABELA_LT,'N/A' AS TABELA_SIMUL,'"&amp;F114&amp;"' AS CAMPO, "&amp;"'${ref_date}' AS REF_DATE, COUNT(*) AS NUM_REG, SUM(IF(TRIM(CAST(X."&amp;F114&amp;" AS STRING)) IN ('0000-00-00','0001-01-01','9999-12-31','MISS','00000','99999999999','99999999999.00','99999999999.000000'),1,0)) AS NUM_REG_DIF,'"&amp;MAX('ID1&amp;5'!K:K)+1&amp;"' AS ID_EXEC, CURRENT_TIMESTAMP() AS TIME_EXEC FROM "&amp;I114,
IF(C114="Not applicable",+"SELECT '"&amp;UPPER(B114)&amp;"' AS TABELA, '"&amp;UPPER(C114)&amp;"' AS TIPOLOGIA_TESTE,'"&amp;D114&amp;"' AS TABELA_LT,'N/A' AS TABELA_SIMUL,'"&amp;F114&amp;"' AS CAMPO, "&amp;"'${ref_date}' AS REF_DATE, COUNT(*) AS NUM_REG, SUM(IF(TRIM(CAST(X."&amp;F114&amp;" AS STRING)) IN ('N/A','11111111111','11111111111.00','11111111111.000000','1111-11-11'),1,0)) AS NUM_REG_DIF,'"&amp;MAX('ID1&amp;5'!K:K)+1&amp;"' AS ID_EXEC, CURRENT_TIMESTAMP() AS TIME_EXEC FROM "&amp;I114,
IF(C114="Valores extremos",+"SELECT '"&amp;UPPER(B114)&amp;"' AS TABELA, '"&amp;UPPER(C114)&amp;"' AS TIPOLOGIA_TESTE,'"&amp;D114&amp;"' AS TABELA_LT,'N/A' AS TABELA_SIMUL,'"&amp;F114&amp;"' AS CAMPO, "&amp;"'${ref_date}' AS REF_DATE, CAST(MIN("&amp;F114&amp;") AS STRING) AS VALOR_MIN, CAST(MAX("&amp;F114&amp;") AS STRING) AS VALOR_MAX,'"&amp;MAX('ID1&amp;5'!K:K)+1&amp;"' AS ID_EXEC, CURRENT_TIMESTAMP() AS TIME_EXEC FROM "&amp;MID(I114,1,LEN(I114)-2)&amp;" AND CAST("&amp;F114&amp;" AS STRING) NOT IN ('0000-00-00','0001-01-01','9999-12-31','MISS','00000','99999999999','99999999999.00','99999999999.000000','N/A','11111111111','11111111111.00','11111111111.000000','1111-11-11'))X"))))))</f>
        <v>SELECT 'INSTR_ENTITY' AS TABELA, 'COERÊNCIA' AS TIPOLOGIA_TESTE,'CD_LOAN_TAPES_BCE.LT005_INSTR_ENT' AS TABELA_LT,'BU_LOANTAPE_WORK.LT005_INSTR_ENT' AS TABELA_SIMUL,'JNT_LBLTY_AMNT' AS CAMPO, '${ref_date}' AS REF_DATE, COUNT(*) AS NUM_REG, SUM(IF(COALESCE(CAST(X.JNT_LBLTY_AMNT AS STRING),'')&lt;&gt;COALESCE(CAST(Y.JNT_LBLTY_AMNT_SIMUL AS STRING),'') OR (X.JNT_LBLTY_AMNT IS NULL AND Y.JNT_LBLTY_AMNT_SIMUL IS NOT NULL ) OR (X.JNT_LBLTY_AMNT IS NOT NULL AND Y.JNT_LBLTY_AMNT_SIMUL IS NULL),1,0)) AS NUM_REG_DIF,'1' AS ID_EXEC, CURRENT_TIMESTAMP() AS TIME_EXEC FROM (SELECT instrmnt_id, JNT_LBLTY_AMNT FROM CD_LOAN_TAPES_BCE.LT005_INSTR_ENT WHERE ref_date='${ref_date}' AND nome_perimetro='Individual Corporativo' AND segmento='ESTR' AND ambito='PM' AND entidade='00100')X INNER JOIN (SELECT instrmnt_id AS instrmnt_id_SIMUL, JNT_LBLTY_AMNT AS JNT_LBLTY_AMNT_SIMUL FROM BU_LOANTAPE_WORK.LT005_INSTR_ENT WHERE ref_date='${ref_date}' AND nome_perimetro='Individual Corporativo' AND segmento='ESTR' AND ambito='PM' AND entidade='00100')Y ON X.INSTRMNT_ID=Y.INSTRMNT_ID_SIMUL AND X.entty_id=Y.entty_id_SIMUL</v>
      </c>
      <c r="M114" s="36" t="str">
        <f t="shared" si="1"/>
        <v>UNION ALL SELECT 'INSTR_ENTITY' AS TABELA, 'COERÊNCIA' AS TIPOLOGIA_TESTE,'CD_LOAN_TAPES_BCE.LT005_INSTR_ENT' AS TABELA_LT,'BU_LOANTAPE_WORK.LT005_INSTR_ENT' AS TABELA_SIMUL,'JNT_LBLTY_AMNT' AS CAMPO, '${ref_date}' AS REF_DATE, COUNT(*) AS NUM_REG, SUM(IF(COALESCE(CAST(X.JNT_LBLTY_AMNT AS STRING),'')&lt;&gt;COALESCE(CAST(Y.JNT_LBLTY_AMNT_SIMUL AS STRING),'') OR (X.JNT_LBLTY_AMNT IS NULL AND Y.JNT_LBLTY_AMNT_SIMUL IS NOT NULL ) OR (X.JNT_LBLTY_AMNT IS NOT NULL AND Y.JNT_LBLTY_AMNT_SIMUL IS NULL),1,0)) AS NUM_REG_DIF,'1' AS ID_EXEC, CURRENT_TIMESTAMP() AS TIME_EXEC FROM (SELECT instrmnt_id, JNT_LBLTY_AMNT FROM CD_LOAN_TAPES_BCE.LT005_INSTR_ENT WHERE ref_date='${ref_date}' AND nome_perimetro='Individual Corporativo' AND segmento='ESTR' AND ambito='PM' AND entidade='00100')X INNER JOIN (SELECT instrmnt_id AS instrmnt_id_SIMUL, JNT_LBLTY_AMNT AS JNT_LBLTY_AMNT_SIMUL FROM BU_LOANTAPE_WORK.LT005_INSTR_ENT WHERE ref_date='${ref_date}' AND nome_perimetro='Individual Corporativo' AND segmento='ESTR' AND ambito='PM' AND entidade='00100')Y ON X.INSTRMNT_ID=Y.INSTRMNT_ID_SIMUL AND X.entty_id=Y.entty_id_SIMUL</v>
      </c>
      <c r="N114" s="38" t="s">
        <v>46</v>
      </c>
    </row>
    <row r="115" spans="2:14" hidden="1">
      <c r="B115" s="34" t="s">
        <v>321</v>
      </c>
      <c r="C115" s="34" t="s">
        <v>5</v>
      </c>
      <c r="D115" s="34" t="str">
        <f>+UPPER('0. Instruções'!$D$35&amp;"."&amp;VLOOKUP(B115,'0. Instruções'!$C$27:$D$32,2,FALSE))</f>
        <v>CD_LOAN_TAPES_BCE.LT005_INSTR_ENT</v>
      </c>
      <c r="E115" s="34" t="str">
        <f>+UPPER('0. Instruções'!$D$36&amp;"."&amp;VLOOKUP(B115,'0. Instruções'!$C$27:$E$32,3,FALSE))</f>
        <v>BU_LOANTAPE_WORK.LT005_INSTR_ENT</v>
      </c>
      <c r="F115" s="34" t="s">
        <v>420</v>
      </c>
      <c r="G115" s="34"/>
      <c r="H115" s="34" t="s">
        <v>648</v>
      </c>
      <c r="I115" s="34" t="str">
        <f>"(SELECT "&amp;VLOOKUP(B115,'0. Instruções'!$C$27:$G$32,4,FALSE)&amp;", "&amp;F115&amp;" FROM "&amp;D115&amp;" WHERE "&amp;'0. Instruções'!$D$42&amp;")X"</f>
        <v>(SELECT instrmnt_id, MN_ENTTY_ID FROM CD_LOAN_TAPES_BCE.LT005_INSTR_ENT WHERE ref_date='${ref_date}' AND nome_perimetro='Individual Corporativo' AND segmento='ESTR' AND ambito='PM' AND entidade='00100')X</v>
      </c>
      <c r="J115" s="34" t="str">
        <f>"(SELECT "&amp;VLOOKUP(B115,'0. Instruções'!$C$27:$G$32,4,FALSE)&amp;" AS "&amp;VLOOKUP(B115,'0. Instruções'!$C$27:$G$32,4,FALSE)&amp;"_SIMUL, "&amp;F115&amp;" AS "&amp;F115&amp;"_SIMUL FROM "&amp;E115&amp;" WHERE "&amp;'0. Instruções'!$D$43&amp;")Y"</f>
        <v>(SELECT instrmnt_id AS instrmnt_id_SIMUL, MN_ENTTY_ID AS MN_ENTTY_ID_SIMUL FROM BU_LOANTAPE_WORK.LT005_INSTR_ENT WHERE ref_date='${ref_date}' AND nome_perimetro='Individual Corporativo' AND segmento='ESTR' AND ambito='PM' AND entidade='00100')Y</v>
      </c>
      <c r="K115" s="35" t="s">
        <v>659</v>
      </c>
      <c r="L115" s="35" t="str">
        <f>+IF(C115="Coerência", +IF(LEFT(G115,5)="FLOAT","SELECT '"&amp;UPPER(B115)&amp;"' AS TABELA, '"&amp;UPPER(C115)&amp;"' AS TIPOLOGIA_TESTE,'"&amp;D115&amp;"' AS TABELA_LT,'"&amp;E115&amp;"' AS TABELA_SIMUL,'"&amp;F115&amp;"' AS CAMPO, "&amp;"'${ref_date}' AS REF_DATE, COUNT(*) AS NUM_REG, SUM(IF((ABS(COALESCE(CAST(X."&amp;F115&amp;" AS DECIMAL(18,6)),0)-COALESCE(CAST(Y."&amp;F115&amp;"_SIMUL AS DECIMAL(18,6)),0))&gt;0.000001) OR (X."&amp;F115&amp;" IS NULL AND Y."&amp;F115&amp;"_SIMUL IS NOT NULL ) OR (X."&amp;F115&amp;" IS NOT NULL AND Y."&amp;F115&amp;"_SIMUL IS NULL),1,0)) AS NUM_REG_DIF,'"&amp;MAX('ID1&amp;5'!K:K)+1&amp;"' AS ID_EXEC, CURRENT_TIMESTAMP() AS TIME_EXEC FROM "&amp;I115&amp;" INNER JOIN "&amp;J115&amp;" "&amp;K115,"SELECT '"&amp;UPPER(B115)&amp;"' AS TABELA, '"&amp;UPPER(C115)&amp;"' AS TIPOLOGIA_TESTE,'"&amp;D115&amp;"' AS TABELA_LT,'"&amp;E115&amp;"' AS TABELA_SIMUL,'"&amp;F115&amp;"' AS CAMPO, "&amp;"'${ref_date}' AS REF_DATE, COUNT(*) AS NUM_REG, SUM(IF(COALESCE(CAST(X."&amp;F115&amp;" AS STRING),'')&lt;&gt;COALESCE(CAST(Y."&amp;F115&amp;"_SIMUL AS STRING),'') OR (X."&amp;F115&amp;" IS NULL AND Y."&amp;F115&amp;"_SIMUL IS NOT NULL ) OR (X."&amp;F115&amp;" IS NOT NULL AND Y."&amp;F115&amp;"_SIMUL IS NULL),1,0)) AS NUM_REG_DIF,'"&amp;MAX('ID1&amp;5'!L:L)+1&amp;"' AS ID_EXEC, CURRENT_TIMESTAMP() AS TIME_EXEC FROM "&amp;I115&amp;" INNER JOIN "&amp;J115&amp;" "&amp;K115),
IF(C115="Validade",+IF(G115="Code List","SELECT '"&amp;UPPER(B115)&amp;"' AS TABELA, '"&amp;UPPER(C115)&amp;"' AS TIPOLOGIA_TESTE,'"&amp;D115&amp;"' AS TABELA_LT,'N/A' AS TABELA_SIMUL,'"&amp;F115&amp;"' AS CAMPO, "&amp;"'${ref_date}' AS REF_DATE, COUNT(*) AS NUM_REG, SUM(IF(TRIM(CAST(X."&amp;F115&amp;" AS STRING))='' OR TRIM(CAST(X."&amp;F115&amp;" AS STRING)) IS NULL OR CAST(X."&amp;F115&amp;" AS STRING) NOT "&amp;H115&amp;",1,0)) AS NUM_REG_DIF,'"&amp;MAX('ID1&amp;5'!K:K)+1&amp;"' AS ID_EXEC, CURRENT_TIMESTAMP() AS TIME_EXEC FROM "&amp;I115,"SELECT '"&amp;UPPER(B115)&amp;"' AS TABELA, '"&amp;UPPER(C115)&amp;"' AS TIPOLOGIA_TESTE,'"&amp;D115&amp;"' AS TABELA_LT,'N/A' AS TABELA_SIMUL,'"&amp;F115&amp;"' AS CAMPO, "&amp;"'${ref_date}' AS REF_DATE, COUNT(*) AS NUM_REG, SUM(IF(TRIM(CAST(X."&amp;F115&amp;" AS STRING))='' OR TRIM(CAST(X."&amp;F115&amp;" AS STRING)) IS NULL,1,0)) AS NUM_REG_DIF,'"&amp;MAX('ID1&amp;5'!K:K)+1&amp;"' AS ID_EXEC, CURRENT_TIMESTAMP() AS TIME_EXEC FROM "&amp;I115),
IF(C115="Caracteres Especiais",+"SELECT '"&amp;UPPER(B115)&amp;"' AS TABELA, '"&amp;UPPER(C115)&amp;"' AS TIPOLOGIA_TESTE,'"&amp;D115&amp;"' AS TABELA_LT,'N/A' AS TABELA_SIMUL,'"&amp;F115&amp;"' AS CAMPO, "&amp;"'${ref_date}' AS REF_DATE, COUNT(*) AS NUM_REG, SUM(IF(REGEXP_REPLACE(TRIM(CAST(X."&amp;F115&amp;" AS STRING)),'[^a-zA-Z0-9_\\s]','') &lt;&gt;TRIM(CAST(X."&amp;F115&amp;" AS STRING)),1,0)) AS NUM_REG_DIF,'"&amp;MAX('ID1&amp;5'!K:K)+1&amp;"' AS ID_EXEC, CURRENT_TIMESTAMP() AS TIME_EXEC FROM "&amp;I115,
IF(C115="Missings",+"SELECT '"&amp;UPPER(B115)&amp;"' AS TABELA, '"&amp;UPPER(C115)&amp;"' AS TIPOLOGIA_TESTE,'"&amp;D115&amp;"' AS TABELA_LT,'N/A' AS TABELA_SIMUL,'"&amp;F115&amp;"' AS CAMPO, "&amp;"'${ref_date}' AS REF_DATE, COUNT(*) AS NUM_REG, SUM(IF(TRIM(CAST(X."&amp;F115&amp;" AS STRING)) IN ('0000-00-00','0001-01-01','9999-12-31','MISS','00000','99999999999','99999999999.00','99999999999.000000'),1,0)) AS NUM_REG_DIF,'"&amp;MAX('ID1&amp;5'!K:K)+1&amp;"' AS ID_EXEC, CURRENT_TIMESTAMP() AS TIME_EXEC FROM "&amp;I115,
IF(C115="Not applicable",+"SELECT '"&amp;UPPER(B115)&amp;"' AS TABELA, '"&amp;UPPER(C115)&amp;"' AS TIPOLOGIA_TESTE,'"&amp;D115&amp;"' AS TABELA_LT,'N/A' AS TABELA_SIMUL,'"&amp;F115&amp;"' AS CAMPO, "&amp;"'${ref_date}' AS REF_DATE, COUNT(*) AS NUM_REG, SUM(IF(TRIM(CAST(X."&amp;F115&amp;" AS STRING)) IN ('N/A','11111111111','11111111111.00','11111111111.000000','1111-11-11'),1,0)) AS NUM_REG_DIF,'"&amp;MAX('ID1&amp;5'!K:K)+1&amp;"' AS ID_EXEC, CURRENT_TIMESTAMP() AS TIME_EXEC FROM "&amp;I115,
IF(C115="Valores extremos",+"SELECT '"&amp;UPPER(B115)&amp;"' AS TABELA, '"&amp;UPPER(C115)&amp;"' AS TIPOLOGIA_TESTE,'"&amp;D115&amp;"' AS TABELA_LT,'N/A' AS TABELA_SIMUL,'"&amp;F115&amp;"' AS CAMPO, "&amp;"'${ref_date}' AS REF_DATE, CAST(MIN("&amp;F115&amp;") AS STRING) AS VALOR_MIN, CAST(MAX("&amp;F115&amp;") AS STRING) AS VALOR_MAX,'"&amp;MAX('ID1&amp;5'!K:K)+1&amp;"' AS ID_EXEC, CURRENT_TIMESTAMP() AS TIME_EXEC FROM "&amp;MID(I115,1,LEN(I115)-2)&amp;" AND CAST("&amp;F115&amp;" AS STRING) NOT IN ('0000-00-00','0001-01-01','9999-12-31','MISS','00000','99999999999','99999999999.00','99999999999.000000','N/A','11111111111','11111111111.00','11111111111.000000','1111-11-11'))X"))))))</f>
        <v>SELECT 'INSTR_ENTITY' AS TABELA, 'COERÊNCIA' AS TIPOLOGIA_TESTE,'CD_LOAN_TAPES_BCE.LT005_INSTR_ENT' AS TABELA_LT,'BU_LOANTAPE_WORK.LT005_INSTR_ENT' AS TABELA_SIMUL,'MN_ENTTY_ID' AS CAMPO, '${ref_date}' AS REF_DATE, COUNT(*) AS NUM_REG, SUM(IF(COALESCE(CAST(X.MN_ENTTY_ID AS STRING),'')&lt;&gt;COALESCE(CAST(Y.MN_ENTTY_ID_SIMUL AS STRING),'') OR (X.MN_ENTTY_ID IS NULL AND Y.MN_ENTTY_ID_SIMUL IS NOT NULL ) OR (X.MN_ENTTY_ID IS NOT NULL AND Y.MN_ENTTY_ID_SIMUL IS NULL),1,0)) AS NUM_REG_DIF,'1' AS ID_EXEC, CURRENT_TIMESTAMP() AS TIME_EXEC FROM (SELECT instrmnt_id, MN_ENTTY_ID FROM CD_LOAN_TAPES_BCE.LT005_INSTR_ENT WHERE ref_date='${ref_date}' AND nome_perimetro='Individual Corporativo' AND segmento='ESTR' AND ambito='PM' AND entidade='00100')X INNER JOIN (SELECT instrmnt_id AS instrmnt_id_SIMUL, MN_ENTTY_ID AS MN_ENTTY_ID_SIMUL FROM BU_LOANTAPE_WORK.LT005_INSTR_ENT WHERE ref_date='${ref_date}' AND nome_perimetro='Individual Corporativo' AND segmento='ESTR' AND ambito='PM' AND entidade='00100')Y ON X.INSTRMNT_ID=Y.INSTRMNT_ID_SIMUL AND X.entty_id=Y.entty_id_SIMUL</v>
      </c>
      <c r="M115" s="36" t="str">
        <f t="shared" si="1"/>
        <v>UNION ALL SELECT 'INSTR_ENTITY' AS TABELA, 'COERÊNCIA' AS TIPOLOGIA_TESTE,'CD_LOAN_TAPES_BCE.LT005_INSTR_ENT' AS TABELA_LT,'BU_LOANTAPE_WORK.LT005_INSTR_ENT' AS TABELA_SIMUL,'MN_ENTTY_ID' AS CAMPO, '${ref_date}' AS REF_DATE, COUNT(*) AS NUM_REG, SUM(IF(COALESCE(CAST(X.MN_ENTTY_ID AS STRING),'')&lt;&gt;COALESCE(CAST(Y.MN_ENTTY_ID_SIMUL AS STRING),'') OR (X.MN_ENTTY_ID IS NULL AND Y.MN_ENTTY_ID_SIMUL IS NOT NULL ) OR (X.MN_ENTTY_ID IS NOT NULL AND Y.MN_ENTTY_ID_SIMUL IS NULL),1,0)) AS NUM_REG_DIF,'1' AS ID_EXEC, CURRENT_TIMESTAMP() AS TIME_EXEC FROM (SELECT instrmnt_id, MN_ENTTY_ID FROM CD_LOAN_TAPES_BCE.LT005_INSTR_ENT WHERE ref_date='${ref_date}' AND nome_perimetro='Individual Corporativo' AND segmento='ESTR' AND ambito='PM' AND entidade='00100')X INNER JOIN (SELECT instrmnt_id AS instrmnt_id_SIMUL, MN_ENTTY_ID AS MN_ENTTY_ID_SIMUL FROM BU_LOANTAPE_WORK.LT005_INSTR_ENT WHERE ref_date='${ref_date}' AND nome_perimetro='Individual Corporativo' AND segmento='ESTR' AND ambito='PM' AND entidade='00100')Y ON X.INSTRMNT_ID=Y.INSTRMNT_ID_SIMUL AND X.entty_id=Y.entty_id_SIMUL</v>
      </c>
      <c r="N115" s="38" t="s">
        <v>46</v>
      </c>
    </row>
    <row r="116" spans="2:14" hidden="1">
      <c r="B116" s="34" t="s">
        <v>126</v>
      </c>
      <c r="C116" s="34" t="s">
        <v>5</v>
      </c>
      <c r="D116" s="34" t="str">
        <f>+UPPER('0. Instruções'!$D$35&amp;"."&amp;VLOOKUP(B116,'0. Instruções'!$C$27:$D$32,2,FALSE))</f>
        <v>CD_LOAN_TAPES_BCE.LT002_INSTRUMENT</v>
      </c>
      <c r="E116" s="34" t="str">
        <f>+UPPER('0. Instruções'!$D$36&amp;"."&amp;VLOOKUP(B116,'0. Instruções'!$C$27:$E$32,3,FALSE))</f>
        <v>BU_LOANTAPE_WORK.LT002_INSTRUMENT</v>
      </c>
      <c r="F116" s="34" t="s">
        <v>109</v>
      </c>
      <c r="G116" s="34"/>
      <c r="H116" s="34" t="s">
        <v>644</v>
      </c>
      <c r="I116" s="34" t="str">
        <f>"(SELECT "&amp;VLOOKUP(B116,'0. Instruções'!$C$27:$G$32,4,FALSE)&amp;", "&amp;F116&amp;" FROM "&amp;D116&amp;" WHERE "&amp;'0. Instruções'!$D$42&amp;")X"</f>
        <v>(SELECT instrmnt_id, COD_SOC FROM CD_LOAN_TAPES_BCE.LT002_INSTRUMENT WHERE ref_date='${ref_date}' AND nome_perimetro='Individual Corporativo' AND segmento='ESTR' AND ambito='PM' AND entidade='00100')X</v>
      </c>
      <c r="J116" s="34" t="str">
        <f>"(SELECT "&amp;VLOOKUP(B116,'0. Instruções'!$C$27:$G$32,4,FALSE)&amp;" AS "&amp;VLOOKUP(B116,'0. Instruções'!$C$27:$G$32,4,FALSE)&amp;"_SIMUL, "&amp;F116&amp;" AS "&amp;F116&amp;"_SIMUL FROM "&amp;E116&amp;" WHERE "&amp;'0. Instruções'!$D$43&amp;")Y"</f>
        <v>(SELECT instrmnt_id AS instrmnt_id_SIMUL, COD_SOC AS COD_SOC_SIMUL FROM BU_LOANTAPE_WORK.LT002_INSTRUMENT WHERE ref_date='${ref_date}' AND nome_perimetro='Individual Corporativo' AND segmento='ESTR' AND ambito='PM' AND entidade='00100')Y</v>
      </c>
      <c r="K116" s="35" t="str">
        <f>+UPPER("ON X."&amp;VLOOKUP(B116,'0. Instruções'!$C$27:$G$32,4,FALSE)&amp;"=Y."&amp;VLOOKUP(B116,'0. Instruções'!$C$27:$G$32,4,FALSE)&amp;"_SIMUL")</f>
        <v>ON X.INSTRMNT_ID=Y.INSTRMNT_ID_SIMUL</v>
      </c>
      <c r="L116" s="35" t="str">
        <f>+IF(C116="Coerência", +IF(LEFT(G116,5)="FLOAT","SELECT '"&amp;UPPER(B116)&amp;"' AS TABELA, '"&amp;UPPER(C116)&amp;"' AS TIPOLOGIA_TESTE,'"&amp;D116&amp;"' AS TABELA_LT,'"&amp;E116&amp;"' AS TABELA_SIMUL,'"&amp;F116&amp;"' AS CAMPO, "&amp;"'${ref_date}' AS REF_DATE, COUNT(*) AS NUM_REG, SUM(IF((ABS(COALESCE(CAST(X."&amp;F116&amp;" AS DECIMAL(18,6)),0)-COALESCE(CAST(Y."&amp;F116&amp;"_SIMUL AS DECIMAL(18,6)),0))&gt;0.000001) OR (X."&amp;F116&amp;" IS NULL AND Y."&amp;F116&amp;"_SIMUL IS NOT NULL ) OR (X."&amp;F116&amp;" IS NOT NULL AND Y."&amp;F116&amp;"_SIMUL IS NULL),1,0)) AS NUM_REG_DIF,'"&amp;MAX('ID1&amp;5'!K:K)+1&amp;"' AS ID_EXEC, CURRENT_TIMESTAMP() AS TIME_EXEC FROM "&amp;I116&amp;" INNER JOIN "&amp;J116&amp;" "&amp;K116,"SELECT '"&amp;UPPER(B116)&amp;"' AS TABELA, '"&amp;UPPER(C116)&amp;"' AS TIPOLOGIA_TESTE,'"&amp;D116&amp;"' AS TABELA_LT,'"&amp;E116&amp;"' AS TABELA_SIMUL,'"&amp;F116&amp;"' AS CAMPO, "&amp;"'${ref_date}' AS REF_DATE, COUNT(*) AS NUM_REG, SUM(IF(COALESCE(CAST(X."&amp;F116&amp;" AS STRING),'')&lt;&gt;COALESCE(CAST(Y."&amp;F116&amp;"_SIMUL AS STRING),'') OR (X."&amp;F116&amp;" IS NULL AND Y."&amp;F116&amp;"_SIMUL IS NOT NULL ) OR (X."&amp;F116&amp;" IS NOT NULL AND Y."&amp;F116&amp;"_SIMUL IS NULL),1,0)) AS NUM_REG_DIF,'"&amp;MAX('ID1&amp;5'!L:L)+1&amp;"' AS ID_EXEC, CURRENT_TIMESTAMP() AS TIME_EXEC FROM "&amp;I116&amp;" INNER JOIN "&amp;J116&amp;" "&amp;K116),
IF(C116="Validade",+IF(G116="Code List","SELECT '"&amp;UPPER(B116)&amp;"' AS TABELA, '"&amp;UPPER(C116)&amp;"' AS TIPOLOGIA_TESTE,'"&amp;D116&amp;"' AS TABELA_LT,'N/A' AS TABELA_SIMUL,'"&amp;F116&amp;"' AS CAMPO, "&amp;"'${ref_date}' AS REF_DATE, COUNT(*) AS NUM_REG, SUM(IF(TRIM(CAST(X."&amp;F116&amp;" AS STRING))='' OR TRIM(CAST(X."&amp;F116&amp;" AS STRING)) IS NULL OR CAST(X."&amp;F116&amp;" AS STRING) NOT "&amp;H116&amp;",1,0)) AS NUM_REG_DIF,'"&amp;MAX('ID1&amp;5'!K:K)+1&amp;"' AS ID_EXEC, CURRENT_TIMESTAMP() AS TIME_EXEC FROM "&amp;I116,"SELECT '"&amp;UPPER(B116)&amp;"' AS TABELA, '"&amp;UPPER(C116)&amp;"' AS TIPOLOGIA_TESTE,'"&amp;D116&amp;"' AS TABELA_LT,'N/A' AS TABELA_SIMUL,'"&amp;F116&amp;"' AS CAMPO, "&amp;"'${ref_date}' AS REF_DATE, COUNT(*) AS NUM_REG, SUM(IF(TRIM(CAST(X."&amp;F116&amp;" AS STRING))='' OR TRIM(CAST(X."&amp;F116&amp;" AS STRING)) IS NULL,1,0)) AS NUM_REG_DIF,'"&amp;MAX('ID1&amp;5'!K:K)+1&amp;"' AS ID_EXEC, CURRENT_TIMESTAMP() AS TIME_EXEC FROM "&amp;I116),
IF(C116="Caracteres Especiais",+"SELECT '"&amp;UPPER(B116)&amp;"' AS TABELA, '"&amp;UPPER(C116)&amp;"' AS TIPOLOGIA_TESTE,'"&amp;D116&amp;"' AS TABELA_LT,'N/A' AS TABELA_SIMUL,'"&amp;F116&amp;"' AS CAMPO, "&amp;"'${ref_date}' AS REF_DATE, COUNT(*) AS NUM_REG, SUM(IF(REGEXP_REPLACE(TRIM(CAST(X."&amp;F116&amp;" AS STRING)),'[^a-zA-Z0-9_\\s]','') &lt;&gt;TRIM(CAST(X."&amp;F116&amp;" AS STRING)),1,0)) AS NUM_REG_DIF,'"&amp;MAX('ID1&amp;5'!K:K)+1&amp;"' AS ID_EXEC, CURRENT_TIMESTAMP() AS TIME_EXEC FROM "&amp;I116,
IF(C116="Missings",+"SELECT '"&amp;UPPER(B116)&amp;"' AS TABELA, '"&amp;UPPER(C116)&amp;"' AS TIPOLOGIA_TESTE,'"&amp;D116&amp;"' AS TABELA_LT,'N/A' AS TABELA_SIMUL,'"&amp;F116&amp;"' AS CAMPO, "&amp;"'${ref_date}' AS REF_DATE, COUNT(*) AS NUM_REG, SUM(IF(TRIM(CAST(X."&amp;F116&amp;" AS STRING)) IN ('0000-00-00','0001-01-01','9999-12-31','MISS','00000','99999999999','99999999999.00','99999999999.000000'),1,0)) AS NUM_REG_DIF,'"&amp;MAX('ID1&amp;5'!K:K)+1&amp;"' AS ID_EXEC, CURRENT_TIMESTAMP() AS TIME_EXEC FROM "&amp;I116,
IF(C116="Not applicable",+"SELECT '"&amp;UPPER(B116)&amp;"' AS TABELA, '"&amp;UPPER(C116)&amp;"' AS TIPOLOGIA_TESTE,'"&amp;D116&amp;"' AS TABELA_LT,'N/A' AS TABELA_SIMUL,'"&amp;F116&amp;"' AS CAMPO, "&amp;"'${ref_date}' AS REF_DATE, COUNT(*) AS NUM_REG, SUM(IF(TRIM(CAST(X."&amp;F116&amp;" AS STRING)) IN ('N/A','11111111111','11111111111.00','11111111111.000000','1111-11-11'),1,0)) AS NUM_REG_DIF,'"&amp;MAX('ID1&amp;5'!K:K)+1&amp;"' AS ID_EXEC, CURRENT_TIMESTAMP() AS TIME_EXEC FROM "&amp;I116,
IF(C116="Valores extremos",+"SELECT '"&amp;UPPER(B116)&amp;"' AS TABELA, '"&amp;UPPER(C116)&amp;"' AS TIPOLOGIA_TESTE,'"&amp;D116&amp;"' AS TABELA_LT,'N/A' AS TABELA_SIMUL,'"&amp;F116&amp;"' AS CAMPO, "&amp;"'${ref_date}' AS REF_DATE, CAST(MIN("&amp;F116&amp;") AS STRING) AS VALOR_MIN, CAST(MAX("&amp;F116&amp;") AS STRING) AS VALOR_MAX,'"&amp;MAX('ID1&amp;5'!K:K)+1&amp;"' AS ID_EXEC, CURRENT_TIMESTAMP() AS TIME_EXEC FROM "&amp;MID(I116,1,LEN(I116)-2)&amp;" AND CAST("&amp;F116&amp;"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TABELA_SIMUL,'COD_SOC' AS CAMPO, '${ref_date}' AS REF_DATE, COUNT(*) AS NUM_REG, SUM(IF(COALESCE(CAST(X.COD_SOC AS STRING),'')&lt;&gt;COALESCE(CAST(Y.COD_SOC_SIMUL AS STRING),'') OR (X.COD_SOC IS NULL AND Y.COD_SOC_SIMUL IS NOT NULL ) OR (X.COD_SOC IS NOT NULL AND Y.COD_SOC_SIMUL IS NULL),1,0)) AS NUM_REG_DIF,'1' AS ID_EXEC, CURRENT_TIMESTAMP() AS TIME_EXEC FROM (SELECT instrmnt_id, COD_SOC FROM CD_LOAN_TAPES_BCE.LT002_INSTRUMENT WHERE ref_date='${ref_date}' AND nome_perimetro='Individual Corporativo' AND segmento='ESTR' AND ambito='PM' AND entidade='00100')X INNER JOIN (SELECT instrmnt_id AS instrmnt_id_SIMUL, COD_SOC AS COD_SOC_SIMUL FROM BU_LOANTAPE_WORK.LT002_INSTRUMENT WHERE ref_date='${ref_date}' AND nome_perimetro='Individual Corporativo' AND segmento='ESTR' AND ambito='PM' AND entidade='00100')Y ON X.INSTRMNT_ID=Y.INSTRMNT_ID_SIMUL</v>
      </c>
      <c r="M116" s="36" t="str">
        <f t="shared" ref="M116:M179" si="2">+"UNION ALL "&amp;L116</f>
        <v>UNION ALL SELECT 'INSTRUMENT' AS TABELA, 'COERÊNCIA' AS TIPOLOGIA_TESTE,'CD_LOAN_TAPES_BCE.LT002_INSTRUMENT' AS TABELA_LT,'BU_LOANTAPE_WORK.LT002_INSTRUMENT' AS TABELA_SIMUL,'COD_SOC' AS CAMPO, '${ref_date}' AS REF_DATE, COUNT(*) AS NUM_REG, SUM(IF(COALESCE(CAST(X.COD_SOC AS STRING),'')&lt;&gt;COALESCE(CAST(Y.COD_SOC_SIMUL AS STRING),'') OR (X.COD_SOC IS NULL AND Y.COD_SOC_SIMUL IS NOT NULL ) OR (X.COD_SOC IS NOT NULL AND Y.COD_SOC_SIMUL IS NULL),1,0)) AS NUM_REG_DIF,'1' AS ID_EXEC, CURRENT_TIMESTAMP() AS TIME_EXEC FROM (SELECT instrmnt_id, COD_SOC FROM CD_LOAN_TAPES_BCE.LT002_INSTRUMENT WHERE ref_date='${ref_date}' AND nome_perimetro='Individual Corporativo' AND segmento='ESTR' AND ambito='PM' AND entidade='00100')X INNER JOIN (SELECT instrmnt_id AS instrmnt_id_SIMUL, COD_SOC AS COD_SOC_SIMUL FROM BU_LOANTAPE_WORK.LT002_INSTRUMENT WHERE ref_date='${ref_date}' AND nome_perimetro='Individual Corporativo' AND segmento='ESTR' AND ambito='PM' AND entidade='00100')Y ON X.INSTRMNT_ID=Y.INSTRMNT_ID_SIMUL</v>
      </c>
      <c r="N116" s="38" t="s">
        <v>46</v>
      </c>
    </row>
    <row r="117" spans="2:14" hidden="1">
      <c r="B117" s="34" t="s">
        <v>126</v>
      </c>
      <c r="C117" s="34" t="s">
        <v>5</v>
      </c>
      <c r="D117" s="34" t="str">
        <f>+UPPER('0. Instruções'!$D$35&amp;"."&amp;VLOOKUP(B117,'0. Instruções'!$C$27:$D$32,2,FALSE))</f>
        <v>CD_LOAN_TAPES_BCE.LT002_INSTRUMENT</v>
      </c>
      <c r="E117" s="34" t="str">
        <f>+UPPER('0. Instruções'!$D$36&amp;"."&amp;VLOOKUP(B117,'0. Instruções'!$C$27:$E$32,3,FALSE))</f>
        <v>BU_LOANTAPE_WORK.LT002_INSTRUMENT</v>
      </c>
      <c r="F117" s="34" t="s">
        <v>108</v>
      </c>
      <c r="G117" s="34"/>
      <c r="H117" s="34" t="s">
        <v>89</v>
      </c>
      <c r="I117" s="34" t="str">
        <f>"(SELECT "&amp;VLOOKUP(B117,'0. Instruções'!$C$27:$G$32,4,FALSE)&amp;", "&amp;F117&amp;" FROM "&amp;D117&amp;" WHERE "&amp;'0. Instruções'!$D$42&amp;")X"</f>
        <v>(SELECT instrmnt_id, SUBPORTFOLIO_ID FROM CD_LOAN_TAPES_BCE.LT002_INSTRUMENT WHERE ref_date='${ref_date}' AND nome_perimetro='Individual Corporativo' AND segmento='ESTR' AND ambito='PM' AND entidade='00100')X</v>
      </c>
      <c r="J117" s="34" t="str">
        <f>"(SELECT "&amp;VLOOKUP(B117,'0. Instruções'!$C$27:$G$32,4,FALSE)&amp;" AS "&amp;VLOOKUP(B117,'0. Instruções'!$C$27:$G$32,4,FALSE)&amp;"_SIMUL, "&amp;F117&amp;" AS "&amp;F117&amp;"_SIMUL FROM "&amp;E117&amp;" WHERE "&amp;'0. Instruções'!$D$43&amp;")Y"</f>
        <v>(SELECT instrmnt_id AS instrmnt_id_SIMUL, SUBPORTFOLIO_ID AS SUBPORTFOLIO_ID_SIMUL FROM BU_LOANTAPE_WORK.LT002_INSTRUMENT WHERE ref_date='${ref_date}' AND nome_perimetro='Individual Corporativo' AND segmento='ESTR' AND ambito='PM' AND entidade='00100')Y</v>
      </c>
      <c r="K117" s="35" t="str">
        <f>+UPPER("ON X."&amp;VLOOKUP(B117,'0. Instruções'!$C$27:$G$32,4,FALSE)&amp;"=Y."&amp;VLOOKUP(B117,'0. Instruções'!$C$27:$G$32,4,FALSE)&amp;"_SIMUL")</f>
        <v>ON X.INSTRMNT_ID=Y.INSTRMNT_ID_SIMUL</v>
      </c>
      <c r="L117" s="35" t="str">
        <f>+IF(C117="Coerência", +IF(LEFT(G117,5)="FLOAT","SELECT '"&amp;UPPER(B117)&amp;"' AS TABELA, '"&amp;UPPER(C117)&amp;"' AS TIPOLOGIA_TESTE,'"&amp;D117&amp;"' AS TABELA_LT,'"&amp;E117&amp;"' AS TABELA_SIMUL,'"&amp;F117&amp;"' AS CAMPO, "&amp;"'${ref_date}' AS REF_DATE, COUNT(*) AS NUM_REG, SUM(IF((ABS(COALESCE(CAST(X."&amp;F117&amp;" AS DECIMAL(18,6)),0)-COALESCE(CAST(Y."&amp;F117&amp;"_SIMUL AS DECIMAL(18,6)),0))&gt;0.000001) OR (X."&amp;F117&amp;" IS NULL AND Y."&amp;F117&amp;"_SIMUL IS NOT NULL ) OR (X."&amp;F117&amp;" IS NOT NULL AND Y."&amp;F117&amp;"_SIMUL IS NULL),1,0)) AS NUM_REG_DIF,'"&amp;MAX('ID1&amp;5'!K:K)+1&amp;"' AS ID_EXEC, CURRENT_TIMESTAMP() AS TIME_EXEC FROM "&amp;I117&amp;" INNER JOIN "&amp;J117&amp;" "&amp;K117,"SELECT '"&amp;UPPER(B117)&amp;"' AS TABELA, '"&amp;UPPER(C117)&amp;"' AS TIPOLOGIA_TESTE,'"&amp;D117&amp;"' AS TABELA_LT,'"&amp;E117&amp;"' AS TABELA_SIMUL,'"&amp;F117&amp;"' AS CAMPO, "&amp;"'${ref_date}' AS REF_DATE, COUNT(*) AS NUM_REG, SUM(IF(COALESCE(CAST(X."&amp;F117&amp;" AS STRING),'')&lt;&gt;COALESCE(CAST(Y."&amp;F117&amp;"_SIMUL AS STRING),'') OR (X."&amp;F117&amp;" IS NULL AND Y."&amp;F117&amp;"_SIMUL IS NOT NULL ) OR (X."&amp;F117&amp;" IS NOT NULL AND Y."&amp;F117&amp;"_SIMUL IS NULL),1,0)) AS NUM_REG_DIF,'"&amp;MAX('ID1&amp;5'!L:L)+1&amp;"' AS ID_EXEC, CURRENT_TIMESTAMP() AS TIME_EXEC FROM "&amp;I117&amp;" INNER JOIN "&amp;J117&amp;" "&amp;K117),
IF(C117="Validade",+IF(G117="Code List","SELECT '"&amp;UPPER(B117)&amp;"' AS TABELA, '"&amp;UPPER(C117)&amp;"' AS TIPOLOGIA_TESTE,'"&amp;D117&amp;"' AS TABELA_LT,'N/A' AS TABELA_SIMUL,'"&amp;F117&amp;"' AS CAMPO, "&amp;"'${ref_date}' AS REF_DATE, COUNT(*) AS NUM_REG, SUM(IF(TRIM(CAST(X."&amp;F117&amp;" AS STRING))='' OR TRIM(CAST(X."&amp;F117&amp;" AS STRING)) IS NULL OR CAST(X."&amp;F117&amp;" AS STRING) NOT "&amp;H117&amp;",1,0)) AS NUM_REG_DIF,'"&amp;MAX('ID1&amp;5'!K:K)+1&amp;"' AS ID_EXEC, CURRENT_TIMESTAMP() AS TIME_EXEC FROM "&amp;I117,"SELECT '"&amp;UPPER(B117)&amp;"' AS TABELA, '"&amp;UPPER(C117)&amp;"' AS TIPOLOGIA_TESTE,'"&amp;D117&amp;"' AS TABELA_LT,'N/A' AS TABELA_SIMUL,'"&amp;F117&amp;"' AS CAMPO, "&amp;"'${ref_date}' AS REF_DATE, COUNT(*) AS NUM_REG, SUM(IF(TRIM(CAST(X."&amp;F117&amp;" AS STRING))='' OR TRIM(CAST(X."&amp;F117&amp;" AS STRING)) IS NULL,1,0)) AS NUM_REG_DIF,'"&amp;MAX('ID1&amp;5'!K:K)+1&amp;"' AS ID_EXEC, CURRENT_TIMESTAMP() AS TIME_EXEC FROM "&amp;I117),
IF(C117="Caracteres Especiais",+"SELECT '"&amp;UPPER(B117)&amp;"' AS TABELA, '"&amp;UPPER(C117)&amp;"' AS TIPOLOGIA_TESTE,'"&amp;D117&amp;"' AS TABELA_LT,'N/A' AS TABELA_SIMUL,'"&amp;F117&amp;"' AS CAMPO, "&amp;"'${ref_date}' AS REF_DATE, COUNT(*) AS NUM_REG, SUM(IF(REGEXP_REPLACE(TRIM(CAST(X."&amp;F117&amp;" AS STRING)),'[^a-zA-Z0-9_\\s]','') &lt;&gt;TRIM(CAST(X."&amp;F117&amp;" AS STRING)),1,0)) AS NUM_REG_DIF,'"&amp;MAX('ID1&amp;5'!K:K)+1&amp;"' AS ID_EXEC, CURRENT_TIMESTAMP() AS TIME_EXEC FROM "&amp;I117,
IF(C117="Missings",+"SELECT '"&amp;UPPER(B117)&amp;"' AS TABELA, '"&amp;UPPER(C117)&amp;"' AS TIPOLOGIA_TESTE,'"&amp;D117&amp;"' AS TABELA_LT,'N/A' AS TABELA_SIMUL,'"&amp;F117&amp;"' AS CAMPO, "&amp;"'${ref_date}' AS REF_DATE, COUNT(*) AS NUM_REG, SUM(IF(TRIM(CAST(X."&amp;F117&amp;" AS STRING)) IN ('0000-00-00','0001-01-01','9999-12-31','MISS','00000','99999999999','99999999999.00','99999999999.000000'),1,0)) AS NUM_REG_DIF,'"&amp;MAX('ID1&amp;5'!K:K)+1&amp;"' AS ID_EXEC, CURRENT_TIMESTAMP() AS TIME_EXEC FROM "&amp;I117,
IF(C117="Not applicable",+"SELECT '"&amp;UPPER(B117)&amp;"' AS TABELA, '"&amp;UPPER(C117)&amp;"' AS TIPOLOGIA_TESTE,'"&amp;D117&amp;"' AS TABELA_LT,'N/A' AS TABELA_SIMUL,'"&amp;F117&amp;"' AS CAMPO, "&amp;"'${ref_date}' AS REF_DATE, COUNT(*) AS NUM_REG, SUM(IF(TRIM(CAST(X."&amp;F117&amp;" AS STRING)) IN ('N/A','11111111111','11111111111.00','11111111111.000000','1111-11-11'),1,0)) AS NUM_REG_DIF,'"&amp;MAX('ID1&amp;5'!K:K)+1&amp;"' AS ID_EXEC, CURRENT_TIMESTAMP() AS TIME_EXEC FROM "&amp;I117,
IF(C117="Valores extremos",+"SELECT '"&amp;UPPER(B117)&amp;"' AS TABELA, '"&amp;UPPER(C117)&amp;"' AS TIPOLOGIA_TESTE,'"&amp;D117&amp;"' AS TABELA_LT,'N/A' AS TABELA_SIMUL,'"&amp;F117&amp;"' AS CAMPO, "&amp;"'${ref_date}' AS REF_DATE, CAST(MIN("&amp;F117&amp;") AS STRING) AS VALOR_MIN, CAST(MAX("&amp;F117&amp;") AS STRING) AS VALOR_MAX,'"&amp;MAX('ID1&amp;5'!K:K)+1&amp;"' AS ID_EXEC, CURRENT_TIMESTAMP() AS TIME_EXEC FROM "&amp;MID(I117,1,LEN(I117)-2)&amp;" AND CAST("&amp;F117&amp;"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TABELA_SIMUL,'SUBPORTFOLIO_ID' AS CAMPO, '${ref_date}' AS REF_DATE, COUNT(*) AS NUM_REG, SUM(IF(COALESCE(CAST(X.SUBPORTFOLIO_ID AS STRING),'')&lt;&gt;COALESCE(CAST(Y.SUBPORTFOLIO_ID_SIMUL AS STRING),'') OR (X.SUBPORTFOLIO_ID IS NULL AND Y.SUBPORTFOLIO_ID_SIMUL IS NOT NULL ) OR (X.SUBPORTFOLIO_ID IS NOT NULL AND Y.SUBPORTFOLIO_ID_SIMUL IS NULL),1,0)) AS NUM_REG_DIF,'1' AS ID_EXEC, CURRENT_TIMESTAMP() AS TIME_EXEC FROM (SELECT instrmnt_id, SUBPORTFOLIO_ID FROM CD_LOAN_TAPES_BCE.LT002_INSTRUMENT WHERE ref_date='${ref_date}' AND nome_perimetro='Individual Corporativo' AND segmento='ESTR' AND ambito='PM' AND entidade='00100')X INNER JOIN (SELECT instrmnt_id AS instrmnt_id_SIMUL, SUBPORTFOLIO_ID AS SUBPORTFOLIO_ID_SIMUL FROM BU_LOANTAPE_WORK.LT002_INSTRUMENT WHERE ref_date='${ref_date}' AND nome_perimetro='Individual Corporativo' AND segmento='ESTR' AND ambito='PM' AND entidade='00100')Y ON X.INSTRMNT_ID=Y.INSTRMNT_ID_SIMUL</v>
      </c>
      <c r="M117" s="36" t="str">
        <f t="shared" si="2"/>
        <v>UNION ALL SELECT 'INSTRUMENT' AS TABELA, 'COERÊNCIA' AS TIPOLOGIA_TESTE,'CD_LOAN_TAPES_BCE.LT002_INSTRUMENT' AS TABELA_LT,'BU_LOANTAPE_WORK.LT002_INSTRUMENT' AS TABELA_SIMUL,'SUBPORTFOLIO_ID' AS CAMPO, '${ref_date}' AS REF_DATE, COUNT(*) AS NUM_REG, SUM(IF(COALESCE(CAST(X.SUBPORTFOLIO_ID AS STRING),'')&lt;&gt;COALESCE(CAST(Y.SUBPORTFOLIO_ID_SIMUL AS STRING),'') OR (X.SUBPORTFOLIO_ID IS NULL AND Y.SUBPORTFOLIO_ID_SIMUL IS NOT NULL ) OR (X.SUBPORTFOLIO_ID IS NOT NULL AND Y.SUBPORTFOLIO_ID_SIMUL IS NULL),1,0)) AS NUM_REG_DIF,'1' AS ID_EXEC, CURRENT_TIMESTAMP() AS TIME_EXEC FROM (SELECT instrmnt_id, SUBPORTFOLIO_ID FROM CD_LOAN_TAPES_BCE.LT002_INSTRUMENT WHERE ref_date='${ref_date}' AND nome_perimetro='Individual Corporativo' AND segmento='ESTR' AND ambito='PM' AND entidade='00100')X INNER JOIN (SELECT instrmnt_id AS instrmnt_id_SIMUL, SUBPORTFOLIO_ID AS SUBPORTFOLIO_ID_SIMUL FROM BU_LOANTAPE_WORK.LT002_INSTRUMENT WHERE ref_date='${ref_date}' AND nome_perimetro='Individual Corporativo' AND segmento='ESTR' AND ambito='PM' AND entidade='00100')Y ON X.INSTRMNT_ID=Y.INSTRMNT_ID_SIMUL</v>
      </c>
      <c r="N117" s="38" t="s">
        <v>46</v>
      </c>
    </row>
    <row r="118" spans="2:14" hidden="1">
      <c r="B118" s="34" t="s">
        <v>126</v>
      </c>
      <c r="C118" s="34" t="s">
        <v>5</v>
      </c>
      <c r="D118" s="34" t="str">
        <f>+UPPER('0. Instruções'!$D$35&amp;"."&amp;VLOOKUP(B118,'0. Instruções'!$C$27:$D$32,2,FALSE))</f>
        <v>CD_LOAN_TAPES_BCE.LT002_INSTRUMENT</v>
      </c>
      <c r="E118" s="34" t="str">
        <f>+UPPER('0. Instruções'!$D$36&amp;"."&amp;VLOOKUP(B118,'0. Instruções'!$C$27:$E$32,3,FALSE))</f>
        <v>BU_LOANTAPE_WORK.LT002_INSTRUMENT</v>
      </c>
      <c r="F118" s="34" t="s">
        <v>421</v>
      </c>
      <c r="G118" s="34"/>
      <c r="H118" s="34" t="s">
        <v>648</v>
      </c>
      <c r="I118" s="34" t="str">
        <f>"(SELECT "&amp;VLOOKUP(B118,'0. Instruções'!$C$27:$G$32,4,FALSE)&amp;", "&amp;F118&amp;" FROM "&amp;D118&amp;" WHERE "&amp;'0. Instruções'!$D$42&amp;")X"</f>
        <v>(SELECT instrmnt_id, CRE_FNRP18 FROM CD_LOAN_TAPES_BCE.LT002_INSTRUMENT WHERE ref_date='${ref_date}' AND nome_perimetro='Individual Corporativo' AND segmento='ESTR' AND ambito='PM' AND entidade='00100')X</v>
      </c>
      <c r="J118" s="34" t="str">
        <f>"(SELECT "&amp;VLOOKUP(B118,'0. Instruções'!$C$27:$G$32,4,FALSE)&amp;" AS "&amp;VLOOKUP(B118,'0. Instruções'!$C$27:$G$32,4,FALSE)&amp;"_SIMUL, "&amp;F118&amp;" AS "&amp;F118&amp;"_SIMUL FROM "&amp;E118&amp;" WHERE "&amp;'0. Instruções'!$D$43&amp;")Y"</f>
        <v>(SELECT instrmnt_id AS instrmnt_id_SIMUL, CRE_FNRP18 AS CRE_FNRP18_SIMUL FROM BU_LOANTAPE_WORK.LT002_INSTRUMENT WHERE ref_date='${ref_date}' AND nome_perimetro='Individual Corporativo' AND segmento='ESTR' AND ambito='PM' AND entidade='00100')Y</v>
      </c>
      <c r="K118" s="35" t="str">
        <f>+UPPER("ON X."&amp;VLOOKUP(B118,'0. Instruções'!$C$27:$G$32,4,FALSE)&amp;"=Y."&amp;VLOOKUP(B118,'0. Instruções'!$C$27:$G$32,4,FALSE)&amp;"_SIMUL")</f>
        <v>ON X.INSTRMNT_ID=Y.INSTRMNT_ID_SIMUL</v>
      </c>
      <c r="L118" s="35" t="str">
        <f>+IF(C118="Coerência", +IF(LEFT(G118,5)="FLOAT","SELECT '"&amp;UPPER(B118)&amp;"' AS TABELA, '"&amp;UPPER(C118)&amp;"' AS TIPOLOGIA_TESTE,'"&amp;D118&amp;"' AS TABELA_LT,'"&amp;E118&amp;"' AS TABELA_SIMUL,'"&amp;F118&amp;"' AS CAMPO, "&amp;"'${ref_date}' AS REF_DATE, COUNT(*) AS NUM_REG, SUM(IF((ABS(COALESCE(CAST(X."&amp;F118&amp;" AS DECIMAL(18,6)),0)-COALESCE(CAST(Y."&amp;F118&amp;"_SIMUL AS DECIMAL(18,6)),0))&gt;0.000001) OR (X."&amp;F118&amp;" IS NULL AND Y."&amp;F118&amp;"_SIMUL IS NOT NULL ) OR (X."&amp;F118&amp;" IS NOT NULL AND Y."&amp;F118&amp;"_SIMUL IS NULL),1,0)) AS NUM_REG_DIF,'"&amp;MAX('ID1&amp;5'!K:K)+1&amp;"' AS ID_EXEC, CURRENT_TIMESTAMP() AS TIME_EXEC FROM "&amp;I118&amp;" INNER JOIN "&amp;J118&amp;" "&amp;K118,"SELECT '"&amp;UPPER(B118)&amp;"' AS TABELA, '"&amp;UPPER(C118)&amp;"' AS TIPOLOGIA_TESTE,'"&amp;D118&amp;"' AS TABELA_LT,'"&amp;E118&amp;"' AS TABELA_SIMUL,'"&amp;F118&amp;"' AS CAMPO, "&amp;"'${ref_date}' AS REF_DATE, COUNT(*) AS NUM_REG, SUM(IF(COALESCE(CAST(X."&amp;F118&amp;" AS STRING),'')&lt;&gt;COALESCE(CAST(Y."&amp;F118&amp;"_SIMUL AS STRING),'') OR (X."&amp;F118&amp;" IS NULL AND Y."&amp;F118&amp;"_SIMUL IS NOT NULL ) OR (X."&amp;F118&amp;" IS NOT NULL AND Y."&amp;F118&amp;"_SIMUL IS NULL),1,0)) AS NUM_REG_DIF,'"&amp;MAX('ID1&amp;5'!L:L)+1&amp;"' AS ID_EXEC, CURRENT_TIMESTAMP() AS TIME_EXEC FROM "&amp;I118&amp;" INNER JOIN "&amp;J118&amp;" "&amp;K118),
IF(C118="Validade",+IF(G118="Code List","SELECT '"&amp;UPPER(B118)&amp;"' AS TABELA, '"&amp;UPPER(C118)&amp;"' AS TIPOLOGIA_TESTE,'"&amp;D118&amp;"' AS TABELA_LT,'N/A' AS TABELA_SIMUL,'"&amp;F118&amp;"' AS CAMPO, "&amp;"'${ref_date}' AS REF_DATE, COUNT(*) AS NUM_REG, SUM(IF(TRIM(CAST(X."&amp;F118&amp;" AS STRING))='' OR TRIM(CAST(X."&amp;F118&amp;" AS STRING)) IS NULL OR CAST(X."&amp;F118&amp;" AS STRING) NOT "&amp;H118&amp;",1,0)) AS NUM_REG_DIF,'"&amp;MAX('ID1&amp;5'!K:K)+1&amp;"' AS ID_EXEC, CURRENT_TIMESTAMP() AS TIME_EXEC FROM "&amp;I118,"SELECT '"&amp;UPPER(B118)&amp;"' AS TABELA, '"&amp;UPPER(C118)&amp;"' AS TIPOLOGIA_TESTE,'"&amp;D118&amp;"' AS TABELA_LT,'N/A' AS TABELA_SIMUL,'"&amp;F118&amp;"' AS CAMPO, "&amp;"'${ref_date}' AS REF_DATE, COUNT(*) AS NUM_REG, SUM(IF(TRIM(CAST(X."&amp;F118&amp;" AS STRING))='' OR TRIM(CAST(X."&amp;F118&amp;" AS STRING)) IS NULL,1,0)) AS NUM_REG_DIF,'"&amp;MAX('ID1&amp;5'!K:K)+1&amp;"' AS ID_EXEC, CURRENT_TIMESTAMP() AS TIME_EXEC FROM "&amp;I118),
IF(C118="Caracteres Especiais",+"SELECT '"&amp;UPPER(B118)&amp;"' AS TABELA, '"&amp;UPPER(C118)&amp;"' AS TIPOLOGIA_TESTE,'"&amp;D118&amp;"' AS TABELA_LT,'N/A' AS TABELA_SIMUL,'"&amp;F118&amp;"' AS CAMPO, "&amp;"'${ref_date}' AS REF_DATE, COUNT(*) AS NUM_REG, SUM(IF(REGEXP_REPLACE(TRIM(CAST(X."&amp;F118&amp;" AS STRING)),'[^a-zA-Z0-9_\\s]','') &lt;&gt;TRIM(CAST(X."&amp;F118&amp;" AS STRING)),1,0)) AS NUM_REG_DIF,'"&amp;MAX('ID1&amp;5'!K:K)+1&amp;"' AS ID_EXEC, CURRENT_TIMESTAMP() AS TIME_EXEC FROM "&amp;I118,
IF(C118="Missings",+"SELECT '"&amp;UPPER(B118)&amp;"' AS TABELA, '"&amp;UPPER(C118)&amp;"' AS TIPOLOGIA_TESTE,'"&amp;D118&amp;"' AS TABELA_LT,'N/A' AS TABELA_SIMUL,'"&amp;F118&amp;"' AS CAMPO, "&amp;"'${ref_date}' AS REF_DATE, COUNT(*) AS NUM_REG, SUM(IF(TRIM(CAST(X."&amp;F118&amp;" AS STRING)) IN ('0000-00-00','0001-01-01','9999-12-31','MISS','00000','99999999999','99999999999.00','99999999999.000000'),1,0)) AS NUM_REG_DIF,'"&amp;MAX('ID1&amp;5'!K:K)+1&amp;"' AS ID_EXEC, CURRENT_TIMESTAMP() AS TIME_EXEC FROM "&amp;I118,
IF(C118="Not applicable",+"SELECT '"&amp;UPPER(B118)&amp;"' AS TABELA, '"&amp;UPPER(C118)&amp;"' AS TIPOLOGIA_TESTE,'"&amp;D118&amp;"' AS TABELA_LT,'N/A' AS TABELA_SIMUL,'"&amp;F118&amp;"' AS CAMPO, "&amp;"'${ref_date}' AS REF_DATE, COUNT(*) AS NUM_REG, SUM(IF(TRIM(CAST(X."&amp;F118&amp;" AS STRING)) IN ('N/A','11111111111','11111111111.00','11111111111.000000','1111-11-11'),1,0)) AS NUM_REG_DIF,'"&amp;MAX('ID1&amp;5'!K:K)+1&amp;"' AS ID_EXEC, CURRENT_TIMESTAMP() AS TIME_EXEC FROM "&amp;I118,
IF(C118="Valores extremos",+"SELECT '"&amp;UPPER(B118)&amp;"' AS TABELA, '"&amp;UPPER(C118)&amp;"' AS TIPOLOGIA_TESTE,'"&amp;D118&amp;"' AS TABELA_LT,'N/A' AS TABELA_SIMUL,'"&amp;F118&amp;"' AS CAMPO, "&amp;"'${ref_date}' AS REF_DATE, CAST(MIN("&amp;F118&amp;") AS STRING) AS VALOR_MIN, CAST(MAX("&amp;F118&amp;") AS STRING) AS VALOR_MAX,'"&amp;MAX('ID1&amp;5'!K:K)+1&amp;"' AS ID_EXEC, CURRENT_TIMESTAMP() AS TIME_EXEC FROM "&amp;MID(I118,1,LEN(I118)-2)&amp;" AND CAST("&amp;F118&amp;"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TABELA_SIMUL,'CRE_FNRP18' AS CAMPO, '${ref_date}' AS REF_DATE, COUNT(*) AS NUM_REG, SUM(IF(COALESCE(CAST(X.CRE_FNRP18 AS STRING),'')&lt;&gt;COALESCE(CAST(Y.CRE_FNRP18_SIMUL AS STRING),'') OR (X.CRE_FNRP18 IS NULL AND Y.CRE_FNRP18_SIMUL IS NOT NULL ) OR (X.CRE_FNRP18 IS NOT NULL AND Y.CRE_FNRP18_SIMUL IS NULL),1,0)) AS NUM_REG_DIF,'1' AS ID_EXEC, CURRENT_TIMESTAMP() AS TIME_EXEC FROM (SELECT instrmnt_id, CRE_FNRP18 FROM CD_LOAN_TAPES_BCE.LT002_INSTRUMENT WHERE ref_date='${ref_date}' AND nome_perimetro='Individual Corporativo' AND segmento='ESTR' AND ambito='PM' AND entidade='00100')X INNER JOIN (SELECT instrmnt_id AS instrmnt_id_SIMUL, CRE_FNRP18 AS CRE_FNRP18_SIMUL FROM BU_LOANTAPE_WORK.LT002_INSTRUMENT WHERE ref_date='${ref_date}' AND nome_perimetro='Individual Corporativo' AND segmento='ESTR' AND ambito='PM' AND entidade='00100')Y ON X.INSTRMNT_ID=Y.INSTRMNT_ID_SIMUL</v>
      </c>
      <c r="M118" s="36" t="str">
        <f t="shared" si="2"/>
        <v>UNION ALL SELECT 'INSTRUMENT' AS TABELA, 'COERÊNCIA' AS TIPOLOGIA_TESTE,'CD_LOAN_TAPES_BCE.LT002_INSTRUMENT' AS TABELA_LT,'BU_LOANTAPE_WORK.LT002_INSTRUMENT' AS TABELA_SIMUL,'CRE_FNRP18' AS CAMPO, '${ref_date}' AS REF_DATE, COUNT(*) AS NUM_REG, SUM(IF(COALESCE(CAST(X.CRE_FNRP18 AS STRING),'')&lt;&gt;COALESCE(CAST(Y.CRE_FNRP18_SIMUL AS STRING),'') OR (X.CRE_FNRP18 IS NULL AND Y.CRE_FNRP18_SIMUL IS NOT NULL ) OR (X.CRE_FNRP18 IS NOT NULL AND Y.CRE_FNRP18_SIMUL IS NULL),1,0)) AS NUM_REG_DIF,'1' AS ID_EXEC, CURRENT_TIMESTAMP() AS TIME_EXEC FROM (SELECT instrmnt_id, CRE_FNRP18 FROM CD_LOAN_TAPES_BCE.LT002_INSTRUMENT WHERE ref_date='${ref_date}' AND nome_perimetro='Individual Corporativo' AND segmento='ESTR' AND ambito='PM' AND entidade='00100')X INNER JOIN (SELECT instrmnt_id AS instrmnt_id_SIMUL, CRE_FNRP18 AS CRE_FNRP18_SIMUL FROM BU_LOANTAPE_WORK.LT002_INSTRUMENT WHERE ref_date='${ref_date}' AND nome_perimetro='Individual Corporativo' AND segmento='ESTR' AND ambito='PM' AND entidade='00100')Y ON X.INSTRMNT_ID=Y.INSTRMNT_ID_SIMUL</v>
      </c>
      <c r="N118" s="38" t="s">
        <v>46</v>
      </c>
    </row>
    <row r="119" spans="2:14" hidden="1">
      <c r="B119" s="34" t="s">
        <v>126</v>
      </c>
      <c r="C119" s="34" t="s">
        <v>5</v>
      </c>
      <c r="D119" s="34" t="str">
        <f>+UPPER('0. Instruções'!$D$35&amp;"."&amp;VLOOKUP(B119,'0. Instruções'!$C$27:$D$32,2,FALSE))</f>
        <v>CD_LOAN_TAPES_BCE.LT002_INSTRUMENT</v>
      </c>
      <c r="E119" s="34" t="str">
        <f>+UPPER('0. Instruções'!$D$36&amp;"."&amp;VLOOKUP(B119,'0. Instruções'!$C$27:$E$32,3,FALSE))</f>
        <v>BU_LOANTAPE_WORK.LT002_INSTRUMENT</v>
      </c>
      <c r="F119" s="34" t="s">
        <v>422</v>
      </c>
      <c r="G119" s="34"/>
      <c r="H119" s="34" t="s">
        <v>648</v>
      </c>
      <c r="I119" s="34" t="str">
        <f>"(SELECT "&amp;VLOOKUP(B119,'0. Instruções'!$C$27:$G$32,4,FALSE)&amp;", "&amp;F119&amp;" FROM "&amp;D119&amp;" WHERE "&amp;'0. Instruções'!$D$42&amp;")X"</f>
        <v>(SELECT instrmnt_id, SME_FNRP18 FROM CD_LOAN_TAPES_BCE.LT002_INSTRUMENT WHERE ref_date='${ref_date}' AND nome_perimetro='Individual Corporativo' AND segmento='ESTR' AND ambito='PM' AND entidade='00100')X</v>
      </c>
      <c r="J119" s="34" t="str">
        <f>"(SELECT "&amp;VLOOKUP(B119,'0. Instruções'!$C$27:$G$32,4,FALSE)&amp;" AS "&amp;VLOOKUP(B119,'0. Instruções'!$C$27:$G$32,4,FALSE)&amp;"_SIMUL, "&amp;F119&amp;" AS "&amp;F119&amp;"_SIMUL FROM "&amp;E119&amp;" WHERE "&amp;'0. Instruções'!$D$43&amp;")Y"</f>
        <v>(SELECT instrmnt_id AS instrmnt_id_SIMUL, SME_FNRP18 AS SME_FNRP18_SIMUL FROM BU_LOANTAPE_WORK.LT002_INSTRUMENT WHERE ref_date='${ref_date}' AND nome_perimetro='Individual Corporativo' AND segmento='ESTR' AND ambito='PM' AND entidade='00100')Y</v>
      </c>
      <c r="K119" s="35" t="str">
        <f>+UPPER("ON X."&amp;VLOOKUP(B119,'0. Instruções'!$C$27:$G$32,4,FALSE)&amp;"=Y."&amp;VLOOKUP(B119,'0. Instruções'!$C$27:$G$32,4,FALSE)&amp;"_SIMUL")</f>
        <v>ON X.INSTRMNT_ID=Y.INSTRMNT_ID_SIMUL</v>
      </c>
      <c r="L119" s="35" t="str">
        <f>+IF(C119="Coerência", +IF(LEFT(G119,5)="FLOAT","SELECT '"&amp;UPPER(B119)&amp;"' AS TABELA, '"&amp;UPPER(C119)&amp;"' AS TIPOLOGIA_TESTE,'"&amp;D119&amp;"' AS TABELA_LT,'"&amp;E119&amp;"' AS TABELA_SIMUL,'"&amp;F119&amp;"' AS CAMPO, "&amp;"'${ref_date}' AS REF_DATE, COUNT(*) AS NUM_REG, SUM(IF((ABS(COALESCE(CAST(X."&amp;F119&amp;" AS DECIMAL(18,6)),0)-COALESCE(CAST(Y."&amp;F119&amp;"_SIMUL AS DECIMAL(18,6)),0))&gt;0.000001) OR (X."&amp;F119&amp;" IS NULL AND Y."&amp;F119&amp;"_SIMUL IS NOT NULL ) OR (X."&amp;F119&amp;" IS NOT NULL AND Y."&amp;F119&amp;"_SIMUL IS NULL),1,0)) AS NUM_REG_DIF,'"&amp;MAX('ID1&amp;5'!K:K)+1&amp;"' AS ID_EXEC, CURRENT_TIMESTAMP() AS TIME_EXEC FROM "&amp;I119&amp;" INNER JOIN "&amp;J119&amp;" "&amp;K119,"SELECT '"&amp;UPPER(B119)&amp;"' AS TABELA, '"&amp;UPPER(C119)&amp;"' AS TIPOLOGIA_TESTE,'"&amp;D119&amp;"' AS TABELA_LT,'"&amp;E119&amp;"' AS TABELA_SIMUL,'"&amp;F119&amp;"' AS CAMPO, "&amp;"'${ref_date}' AS REF_DATE, COUNT(*) AS NUM_REG, SUM(IF(COALESCE(CAST(X."&amp;F119&amp;" AS STRING),'')&lt;&gt;COALESCE(CAST(Y."&amp;F119&amp;"_SIMUL AS STRING),'') OR (X."&amp;F119&amp;" IS NULL AND Y."&amp;F119&amp;"_SIMUL IS NOT NULL ) OR (X."&amp;F119&amp;" IS NOT NULL AND Y."&amp;F119&amp;"_SIMUL IS NULL),1,0)) AS NUM_REG_DIF,'"&amp;MAX('ID1&amp;5'!L:L)+1&amp;"' AS ID_EXEC, CURRENT_TIMESTAMP() AS TIME_EXEC FROM "&amp;I119&amp;" INNER JOIN "&amp;J119&amp;" "&amp;K119),
IF(C119="Validade",+IF(G119="Code List","SELECT '"&amp;UPPER(B119)&amp;"' AS TABELA, '"&amp;UPPER(C119)&amp;"' AS TIPOLOGIA_TESTE,'"&amp;D119&amp;"' AS TABELA_LT,'N/A' AS TABELA_SIMUL,'"&amp;F119&amp;"' AS CAMPO, "&amp;"'${ref_date}' AS REF_DATE, COUNT(*) AS NUM_REG, SUM(IF(TRIM(CAST(X."&amp;F119&amp;" AS STRING))='' OR TRIM(CAST(X."&amp;F119&amp;" AS STRING)) IS NULL OR CAST(X."&amp;F119&amp;" AS STRING) NOT "&amp;H119&amp;",1,0)) AS NUM_REG_DIF,'"&amp;MAX('ID1&amp;5'!K:K)+1&amp;"' AS ID_EXEC, CURRENT_TIMESTAMP() AS TIME_EXEC FROM "&amp;I119,"SELECT '"&amp;UPPER(B119)&amp;"' AS TABELA, '"&amp;UPPER(C119)&amp;"' AS TIPOLOGIA_TESTE,'"&amp;D119&amp;"' AS TABELA_LT,'N/A' AS TABELA_SIMUL,'"&amp;F119&amp;"' AS CAMPO, "&amp;"'${ref_date}' AS REF_DATE, COUNT(*) AS NUM_REG, SUM(IF(TRIM(CAST(X."&amp;F119&amp;" AS STRING))='' OR TRIM(CAST(X."&amp;F119&amp;" AS STRING)) IS NULL,1,0)) AS NUM_REG_DIF,'"&amp;MAX('ID1&amp;5'!K:K)+1&amp;"' AS ID_EXEC, CURRENT_TIMESTAMP() AS TIME_EXEC FROM "&amp;I119),
IF(C119="Caracteres Especiais",+"SELECT '"&amp;UPPER(B119)&amp;"' AS TABELA, '"&amp;UPPER(C119)&amp;"' AS TIPOLOGIA_TESTE,'"&amp;D119&amp;"' AS TABELA_LT,'N/A' AS TABELA_SIMUL,'"&amp;F119&amp;"' AS CAMPO, "&amp;"'${ref_date}' AS REF_DATE, COUNT(*) AS NUM_REG, SUM(IF(REGEXP_REPLACE(TRIM(CAST(X."&amp;F119&amp;" AS STRING)),'[^a-zA-Z0-9_\\s]','') &lt;&gt;TRIM(CAST(X."&amp;F119&amp;" AS STRING)),1,0)) AS NUM_REG_DIF,'"&amp;MAX('ID1&amp;5'!K:K)+1&amp;"' AS ID_EXEC, CURRENT_TIMESTAMP() AS TIME_EXEC FROM "&amp;I119,
IF(C119="Missings",+"SELECT '"&amp;UPPER(B119)&amp;"' AS TABELA, '"&amp;UPPER(C119)&amp;"' AS TIPOLOGIA_TESTE,'"&amp;D119&amp;"' AS TABELA_LT,'N/A' AS TABELA_SIMUL,'"&amp;F119&amp;"' AS CAMPO, "&amp;"'${ref_date}' AS REF_DATE, COUNT(*) AS NUM_REG, SUM(IF(TRIM(CAST(X."&amp;F119&amp;" AS STRING)) IN ('0000-00-00','0001-01-01','9999-12-31','MISS','00000','99999999999','99999999999.00','99999999999.000000'),1,0)) AS NUM_REG_DIF,'"&amp;MAX('ID1&amp;5'!K:K)+1&amp;"' AS ID_EXEC, CURRENT_TIMESTAMP() AS TIME_EXEC FROM "&amp;I119,
IF(C119="Not applicable",+"SELECT '"&amp;UPPER(B119)&amp;"' AS TABELA, '"&amp;UPPER(C119)&amp;"' AS TIPOLOGIA_TESTE,'"&amp;D119&amp;"' AS TABELA_LT,'N/A' AS TABELA_SIMUL,'"&amp;F119&amp;"' AS CAMPO, "&amp;"'${ref_date}' AS REF_DATE, COUNT(*) AS NUM_REG, SUM(IF(TRIM(CAST(X."&amp;F119&amp;" AS STRING)) IN ('N/A','11111111111','11111111111.00','11111111111.000000','1111-11-11'),1,0)) AS NUM_REG_DIF,'"&amp;MAX('ID1&amp;5'!K:K)+1&amp;"' AS ID_EXEC, CURRENT_TIMESTAMP() AS TIME_EXEC FROM "&amp;I119,
IF(C119="Valores extremos",+"SELECT '"&amp;UPPER(B119)&amp;"' AS TABELA, '"&amp;UPPER(C119)&amp;"' AS TIPOLOGIA_TESTE,'"&amp;D119&amp;"' AS TABELA_LT,'N/A' AS TABELA_SIMUL,'"&amp;F119&amp;"' AS CAMPO, "&amp;"'${ref_date}' AS REF_DATE, CAST(MIN("&amp;F119&amp;") AS STRING) AS VALOR_MIN, CAST(MAX("&amp;F119&amp;") AS STRING) AS VALOR_MAX,'"&amp;MAX('ID1&amp;5'!K:K)+1&amp;"' AS ID_EXEC, CURRENT_TIMESTAMP() AS TIME_EXEC FROM "&amp;MID(I119,1,LEN(I119)-2)&amp;" AND CAST("&amp;F119&amp;"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TABELA_SIMUL,'SME_FNRP18' AS CAMPO, '${ref_date}' AS REF_DATE, COUNT(*) AS NUM_REG, SUM(IF(COALESCE(CAST(X.SME_FNRP18 AS STRING),'')&lt;&gt;COALESCE(CAST(Y.SME_FNRP18_SIMUL AS STRING),'') OR (X.SME_FNRP18 IS NULL AND Y.SME_FNRP18_SIMUL IS NOT NULL ) OR (X.SME_FNRP18 IS NOT NULL AND Y.SME_FNRP18_SIMUL IS NULL),1,0)) AS NUM_REG_DIF,'1' AS ID_EXEC, CURRENT_TIMESTAMP() AS TIME_EXEC FROM (SELECT instrmnt_id, SME_FNRP18 FROM CD_LOAN_TAPES_BCE.LT002_INSTRUMENT WHERE ref_date='${ref_date}' AND nome_perimetro='Individual Corporativo' AND segmento='ESTR' AND ambito='PM' AND entidade='00100')X INNER JOIN (SELECT instrmnt_id AS instrmnt_id_SIMUL, SME_FNRP18 AS SME_FNRP18_SIMUL FROM BU_LOANTAPE_WORK.LT002_INSTRUMENT WHERE ref_date='${ref_date}' AND nome_perimetro='Individual Corporativo' AND segmento='ESTR' AND ambito='PM' AND entidade='00100')Y ON X.INSTRMNT_ID=Y.INSTRMNT_ID_SIMUL</v>
      </c>
      <c r="M119" s="36" t="str">
        <f t="shared" si="2"/>
        <v>UNION ALL SELECT 'INSTRUMENT' AS TABELA, 'COERÊNCIA' AS TIPOLOGIA_TESTE,'CD_LOAN_TAPES_BCE.LT002_INSTRUMENT' AS TABELA_LT,'BU_LOANTAPE_WORK.LT002_INSTRUMENT' AS TABELA_SIMUL,'SME_FNRP18' AS CAMPO, '${ref_date}' AS REF_DATE, COUNT(*) AS NUM_REG, SUM(IF(COALESCE(CAST(X.SME_FNRP18 AS STRING),'')&lt;&gt;COALESCE(CAST(Y.SME_FNRP18_SIMUL AS STRING),'') OR (X.SME_FNRP18 IS NULL AND Y.SME_FNRP18_SIMUL IS NOT NULL ) OR (X.SME_FNRP18 IS NOT NULL AND Y.SME_FNRP18_SIMUL IS NULL),1,0)) AS NUM_REG_DIF,'1' AS ID_EXEC, CURRENT_TIMESTAMP() AS TIME_EXEC FROM (SELECT instrmnt_id, SME_FNRP18 FROM CD_LOAN_TAPES_BCE.LT002_INSTRUMENT WHERE ref_date='${ref_date}' AND nome_perimetro='Individual Corporativo' AND segmento='ESTR' AND ambito='PM' AND entidade='00100')X INNER JOIN (SELECT instrmnt_id AS instrmnt_id_SIMUL, SME_FNRP18 AS SME_FNRP18_SIMUL FROM BU_LOANTAPE_WORK.LT002_INSTRUMENT WHERE ref_date='${ref_date}' AND nome_perimetro='Individual Corporativo' AND segmento='ESTR' AND ambito='PM' AND entidade='00100')Y ON X.INSTRMNT_ID=Y.INSTRMNT_ID_SIMUL</v>
      </c>
      <c r="N119" s="38" t="s">
        <v>46</v>
      </c>
    </row>
    <row r="120" spans="2:14" hidden="1">
      <c r="B120" s="34" t="s">
        <v>126</v>
      </c>
      <c r="C120" s="34" t="s">
        <v>5</v>
      </c>
      <c r="D120" s="34" t="str">
        <f>+UPPER('0. Instruções'!$D$35&amp;"."&amp;VLOOKUP(B120,'0. Instruções'!$C$27:$D$32,2,FALSE))</f>
        <v>CD_LOAN_TAPES_BCE.LT002_INSTRUMENT</v>
      </c>
      <c r="E120" s="34" t="str">
        <f>+UPPER('0. Instruções'!$D$36&amp;"."&amp;VLOOKUP(B120,'0. Instruções'!$C$27:$E$32,3,FALSE))</f>
        <v>BU_LOANTAPE_WORK.LT002_INSTRUMENT</v>
      </c>
      <c r="F120" s="34" t="s">
        <v>423</v>
      </c>
      <c r="G120" s="34"/>
      <c r="H120" s="34" t="s">
        <v>648</v>
      </c>
      <c r="I120" s="34" t="str">
        <f>"(SELECT "&amp;VLOOKUP(B120,'0. Instruções'!$C$27:$G$32,4,FALSE)&amp;", "&amp;F120&amp;" FROM "&amp;D120&amp;" WHERE "&amp;'0. Instruções'!$D$42&amp;")X"</f>
        <v>(SELECT instrmnt_id, RRE_FNRP18 FROM CD_LOAN_TAPES_BCE.LT002_INSTRUMENT WHERE ref_date='${ref_date}' AND nome_perimetro='Individual Corporativo' AND segmento='ESTR' AND ambito='PM' AND entidade='00100')X</v>
      </c>
      <c r="J120" s="34" t="str">
        <f>"(SELECT "&amp;VLOOKUP(B120,'0. Instruções'!$C$27:$G$32,4,FALSE)&amp;" AS "&amp;VLOOKUP(B120,'0. Instruções'!$C$27:$G$32,4,FALSE)&amp;"_SIMUL, "&amp;F120&amp;" AS "&amp;F120&amp;"_SIMUL FROM "&amp;E120&amp;" WHERE "&amp;'0. Instruções'!$D$43&amp;")Y"</f>
        <v>(SELECT instrmnt_id AS instrmnt_id_SIMUL, RRE_FNRP18 AS RRE_FNRP18_SIMUL FROM BU_LOANTAPE_WORK.LT002_INSTRUMENT WHERE ref_date='${ref_date}' AND nome_perimetro='Individual Corporativo' AND segmento='ESTR' AND ambito='PM' AND entidade='00100')Y</v>
      </c>
      <c r="K120" s="35" t="str">
        <f>+UPPER("ON X."&amp;VLOOKUP(B120,'0. Instruções'!$C$27:$G$32,4,FALSE)&amp;"=Y."&amp;VLOOKUP(B120,'0. Instruções'!$C$27:$G$32,4,FALSE)&amp;"_SIMUL")</f>
        <v>ON X.INSTRMNT_ID=Y.INSTRMNT_ID_SIMUL</v>
      </c>
      <c r="L120" s="35" t="str">
        <f>+IF(C120="Coerência", +IF(LEFT(G120,5)="FLOAT","SELECT '"&amp;UPPER(B120)&amp;"' AS TABELA, '"&amp;UPPER(C120)&amp;"' AS TIPOLOGIA_TESTE,'"&amp;D120&amp;"' AS TABELA_LT,'"&amp;E120&amp;"' AS TABELA_SIMUL,'"&amp;F120&amp;"' AS CAMPO, "&amp;"'${ref_date}' AS REF_DATE, COUNT(*) AS NUM_REG, SUM(IF((ABS(COALESCE(CAST(X."&amp;F120&amp;" AS DECIMAL(18,6)),0)-COALESCE(CAST(Y."&amp;F120&amp;"_SIMUL AS DECIMAL(18,6)),0))&gt;0.000001) OR (X."&amp;F120&amp;" IS NULL AND Y."&amp;F120&amp;"_SIMUL IS NOT NULL ) OR (X."&amp;F120&amp;" IS NOT NULL AND Y."&amp;F120&amp;"_SIMUL IS NULL),1,0)) AS NUM_REG_DIF,'"&amp;MAX('ID1&amp;5'!K:K)+1&amp;"' AS ID_EXEC, CURRENT_TIMESTAMP() AS TIME_EXEC FROM "&amp;I120&amp;" INNER JOIN "&amp;J120&amp;" "&amp;K120,"SELECT '"&amp;UPPER(B120)&amp;"' AS TABELA, '"&amp;UPPER(C120)&amp;"' AS TIPOLOGIA_TESTE,'"&amp;D120&amp;"' AS TABELA_LT,'"&amp;E120&amp;"' AS TABELA_SIMUL,'"&amp;F120&amp;"' AS CAMPO, "&amp;"'${ref_date}' AS REF_DATE, COUNT(*) AS NUM_REG, SUM(IF(COALESCE(CAST(X."&amp;F120&amp;" AS STRING),'')&lt;&gt;COALESCE(CAST(Y."&amp;F120&amp;"_SIMUL AS STRING),'') OR (X."&amp;F120&amp;" IS NULL AND Y."&amp;F120&amp;"_SIMUL IS NOT NULL ) OR (X."&amp;F120&amp;" IS NOT NULL AND Y."&amp;F120&amp;"_SIMUL IS NULL),1,0)) AS NUM_REG_DIF,'"&amp;MAX('ID1&amp;5'!L:L)+1&amp;"' AS ID_EXEC, CURRENT_TIMESTAMP() AS TIME_EXEC FROM "&amp;I120&amp;" INNER JOIN "&amp;J120&amp;" "&amp;K120),
IF(C120="Validade",+IF(G120="Code List","SELECT '"&amp;UPPER(B120)&amp;"' AS TABELA, '"&amp;UPPER(C120)&amp;"' AS TIPOLOGIA_TESTE,'"&amp;D120&amp;"' AS TABELA_LT,'N/A' AS TABELA_SIMUL,'"&amp;F120&amp;"' AS CAMPO, "&amp;"'${ref_date}' AS REF_DATE, COUNT(*) AS NUM_REG, SUM(IF(TRIM(CAST(X."&amp;F120&amp;" AS STRING))='' OR TRIM(CAST(X."&amp;F120&amp;" AS STRING)) IS NULL OR CAST(X."&amp;F120&amp;" AS STRING) NOT "&amp;H120&amp;",1,0)) AS NUM_REG_DIF,'"&amp;MAX('ID1&amp;5'!K:K)+1&amp;"' AS ID_EXEC, CURRENT_TIMESTAMP() AS TIME_EXEC FROM "&amp;I120,"SELECT '"&amp;UPPER(B120)&amp;"' AS TABELA, '"&amp;UPPER(C120)&amp;"' AS TIPOLOGIA_TESTE,'"&amp;D120&amp;"' AS TABELA_LT,'N/A' AS TABELA_SIMUL,'"&amp;F120&amp;"' AS CAMPO, "&amp;"'${ref_date}' AS REF_DATE, COUNT(*) AS NUM_REG, SUM(IF(TRIM(CAST(X."&amp;F120&amp;" AS STRING))='' OR TRIM(CAST(X."&amp;F120&amp;" AS STRING)) IS NULL,1,0)) AS NUM_REG_DIF,'"&amp;MAX('ID1&amp;5'!K:K)+1&amp;"' AS ID_EXEC, CURRENT_TIMESTAMP() AS TIME_EXEC FROM "&amp;I120),
IF(C120="Caracteres Especiais",+"SELECT '"&amp;UPPER(B120)&amp;"' AS TABELA, '"&amp;UPPER(C120)&amp;"' AS TIPOLOGIA_TESTE,'"&amp;D120&amp;"' AS TABELA_LT,'N/A' AS TABELA_SIMUL,'"&amp;F120&amp;"' AS CAMPO, "&amp;"'${ref_date}' AS REF_DATE, COUNT(*) AS NUM_REG, SUM(IF(REGEXP_REPLACE(TRIM(CAST(X."&amp;F120&amp;" AS STRING)),'[^a-zA-Z0-9_\\s]','') &lt;&gt;TRIM(CAST(X."&amp;F120&amp;" AS STRING)),1,0)) AS NUM_REG_DIF,'"&amp;MAX('ID1&amp;5'!K:K)+1&amp;"' AS ID_EXEC, CURRENT_TIMESTAMP() AS TIME_EXEC FROM "&amp;I120,
IF(C120="Missings",+"SELECT '"&amp;UPPER(B120)&amp;"' AS TABELA, '"&amp;UPPER(C120)&amp;"' AS TIPOLOGIA_TESTE,'"&amp;D120&amp;"' AS TABELA_LT,'N/A' AS TABELA_SIMUL,'"&amp;F120&amp;"' AS CAMPO, "&amp;"'${ref_date}' AS REF_DATE, COUNT(*) AS NUM_REG, SUM(IF(TRIM(CAST(X."&amp;F120&amp;" AS STRING)) IN ('0000-00-00','0001-01-01','9999-12-31','MISS','00000','99999999999','99999999999.00','99999999999.000000'),1,0)) AS NUM_REG_DIF,'"&amp;MAX('ID1&amp;5'!K:K)+1&amp;"' AS ID_EXEC, CURRENT_TIMESTAMP() AS TIME_EXEC FROM "&amp;I120,
IF(C120="Not applicable",+"SELECT '"&amp;UPPER(B120)&amp;"' AS TABELA, '"&amp;UPPER(C120)&amp;"' AS TIPOLOGIA_TESTE,'"&amp;D120&amp;"' AS TABELA_LT,'N/A' AS TABELA_SIMUL,'"&amp;F120&amp;"' AS CAMPO, "&amp;"'${ref_date}' AS REF_DATE, COUNT(*) AS NUM_REG, SUM(IF(TRIM(CAST(X."&amp;F120&amp;" AS STRING)) IN ('N/A','11111111111','11111111111.00','11111111111.000000','1111-11-11'),1,0)) AS NUM_REG_DIF,'"&amp;MAX('ID1&amp;5'!K:K)+1&amp;"' AS ID_EXEC, CURRENT_TIMESTAMP() AS TIME_EXEC FROM "&amp;I120,
IF(C120="Valores extremos",+"SELECT '"&amp;UPPER(B120)&amp;"' AS TABELA, '"&amp;UPPER(C120)&amp;"' AS TIPOLOGIA_TESTE,'"&amp;D120&amp;"' AS TABELA_LT,'N/A' AS TABELA_SIMUL,'"&amp;F120&amp;"' AS CAMPO, "&amp;"'${ref_date}' AS REF_DATE, CAST(MIN("&amp;F120&amp;") AS STRING) AS VALOR_MIN, CAST(MAX("&amp;F120&amp;") AS STRING) AS VALOR_MAX,'"&amp;MAX('ID1&amp;5'!K:K)+1&amp;"' AS ID_EXEC, CURRENT_TIMESTAMP() AS TIME_EXEC FROM "&amp;MID(I120,1,LEN(I120)-2)&amp;" AND CAST("&amp;F120&amp;"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TABELA_SIMUL,'RRE_FNRP18' AS CAMPO, '${ref_date}' AS REF_DATE, COUNT(*) AS NUM_REG, SUM(IF(COALESCE(CAST(X.RRE_FNRP18 AS STRING),'')&lt;&gt;COALESCE(CAST(Y.RRE_FNRP18_SIMUL AS STRING),'') OR (X.RRE_FNRP18 IS NULL AND Y.RRE_FNRP18_SIMUL IS NOT NULL ) OR (X.RRE_FNRP18 IS NOT NULL AND Y.RRE_FNRP18_SIMUL IS NULL),1,0)) AS NUM_REG_DIF,'1' AS ID_EXEC, CURRENT_TIMESTAMP() AS TIME_EXEC FROM (SELECT instrmnt_id, RRE_FNRP18 FROM CD_LOAN_TAPES_BCE.LT002_INSTRUMENT WHERE ref_date='${ref_date}' AND nome_perimetro='Individual Corporativo' AND segmento='ESTR' AND ambito='PM' AND entidade='00100')X INNER JOIN (SELECT instrmnt_id AS instrmnt_id_SIMUL, RRE_FNRP18 AS RRE_FNRP18_SIMUL FROM BU_LOANTAPE_WORK.LT002_INSTRUMENT WHERE ref_date='${ref_date}' AND nome_perimetro='Individual Corporativo' AND segmento='ESTR' AND ambito='PM' AND entidade='00100')Y ON X.INSTRMNT_ID=Y.INSTRMNT_ID_SIMUL</v>
      </c>
      <c r="M120" s="36" t="str">
        <f t="shared" si="2"/>
        <v>UNION ALL SELECT 'INSTRUMENT' AS TABELA, 'COERÊNCIA' AS TIPOLOGIA_TESTE,'CD_LOAN_TAPES_BCE.LT002_INSTRUMENT' AS TABELA_LT,'BU_LOANTAPE_WORK.LT002_INSTRUMENT' AS TABELA_SIMUL,'RRE_FNRP18' AS CAMPO, '${ref_date}' AS REF_DATE, COUNT(*) AS NUM_REG, SUM(IF(COALESCE(CAST(X.RRE_FNRP18 AS STRING),'')&lt;&gt;COALESCE(CAST(Y.RRE_FNRP18_SIMUL AS STRING),'') OR (X.RRE_FNRP18 IS NULL AND Y.RRE_FNRP18_SIMUL IS NOT NULL ) OR (X.RRE_FNRP18 IS NOT NULL AND Y.RRE_FNRP18_SIMUL IS NULL),1,0)) AS NUM_REG_DIF,'1' AS ID_EXEC, CURRENT_TIMESTAMP() AS TIME_EXEC FROM (SELECT instrmnt_id, RRE_FNRP18 FROM CD_LOAN_TAPES_BCE.LT002_INSTRUMENT WHERE ref_date='${ref_date}' AND nome_perimetro='Individual Corporativo' AND segmento='ESTR' AND ambito='PM' AND entidade='00100')X INNER JOIN (SELECT instrmnt_id AS instrmnt_id_SIMUL, RRE_FNRP18 AS RRE_FNRP18_SIMUL FROM BU_LOANTAPE_WORK.LT002_INSTRUMENT WHERE ref_date='${ref_date}' AND nome_perimetro='Individual Corporativo' AND segmento='ESTR' AND ambito='PM' AND entidade='00100')Y ON X.INSTRMNT_ID=Y.INSTRMNT_ID_SIMUL</v>
      </c>
      <c r="N120" s="38" t="s">
        <v>46</v>
      </c>
    </row>
    <row r="121" spans="2:14" hidden="1">
      <c r="B121" s="34" t="s">
        <v>126</v>
      </c>
      <c r="C121" s="34" t="s">
        <v>5</v>
      </c>
      <c r="D121" s="34" t="str">
        <f>+UPPER('0. Instruções'!$D$35&amp;"."&amp;VLOOKUP(B121,'0. Instruções'!$C$27:$D$32,2,FALSE))</f>
        <v>CD_LOAN_TAPES_BCE.LT002_INSTRUMENT</v>
      </c>
      <c r="E121" s="34" t="str">
        <f>+UPPER('0. Instruções'!$D$36&amp;"."&amp;VLOOKUP(B121,'0. Instruções'!$C$27:$E$32,3,FALSE))</f>
        <v>BU_LOANTAPE_WORK.LT002_INSTRUMENT</v>
      </c>
      <c r="F121" s="34" t="s">
        <v>424</v>
      </c>
      <c r="G121" s="34"/>
      <c r="H121" s="34" t="s">
        <v>648</v>
      </c>
      <c r="I121" s="34" t="str">
        <f>"(SELECT "&amp;VLOOKUP(B121,'0. Instruções'!$C$27:$G$32,4,FALSE)&amp;", "&amp;F121&amp;" FROM "&amp;D121&amp;" WHERE "&amp;'0. Instruções'!$D$42&amp;")X"</f>
        <v>(SELECT instrmnt_id, CNSMPTN_FNRP18 FROM CD_LOAN_TAPES_BCE.LT002_INSTRUMENT WHERE ref_date='${ref_date}' AND nome_perimetro='Individual Corporativo' AND segmento='ESTR' AND ambito='PM' AND entidade='00100')X</v>
      </c>
      <c r="J121" s="34" t="str">
        <f>"(SELECT "&amp;VLOOKUP(B121,'0. Instruções'!$C$27:$G$32,4,FALSE)&amp;" AS "&amp;VLOOKUP(B121,'0. Instruções'!$C$27:$G$32,4,FALSE)&amp;"_SIMUL, "&amp;F121&amp;" AS "&amp;F121&amp;"_SIMUL FROM "&amp;E121&amp;" WHERE "&amp;'0. Instruções'!$D$43&amp;")Y"</f>
        <v>(SELECT instrmnt_id AS instrmnt_id_SIMUL, CNSMPTN_FNRP18 AS CNSMPTN_FNRP18_SIMUL FROM BU_LOANTAPE_WORK.LT002_INSTRUMENT WHERE ref_date='${ref_date}' AND nome_perimetro='Individual Corporativo' AND segmento='ESTR' AND ambito='PM' AND entidade='00100')Y</v>
      </c>
      <c r="K121" s="35" t="str">
        <f>+UPPER("ON X."&amp;VLOOKUP(B121,'0. Instruções'!$C$27:$G$32,4,FALSE)&amp;"=Y."&amp;VLOOKUP(B121,'0. Instruções'!$C$27:$G$32,4,FALSE)&amp;"_SIMUL")</f>
        <v>ON X.INSTRMNT_ID=Y.INSTRMNT_ID_SIMUL</v>
      </c>
      <c r="L121" s="35" t="str">
        <f>+IF(C121="Coerência", +IF(LEFT(G121,5)="FLOAT","SELECT '"&amp;UPPER(B121)&amp;"' AS TABELA, '"&amp;UPPER(C121)&amp;"' AS TIPOLOGIA_TESTE,'"&amp;D121&amp;"' AS TABELA_LT,'"&amp;E121&amp;"' AS TABELA_SIMUL,'"&amp;F121&amp;"' AS CAMPO, "&amp;"'${ref_date}' AS REF_DATE, COUNT(*) AS NUM_REG, SUM(IF((ABS(COALESCE(CAST(X."&amp;F121&amp;" AS DECIMAL(18,6)),0)-COALESCE(CAST(Y."&amp;F121&amp;"_SIMUL AS DECIMAL(18,6)),0))&gt;0.000001) OR (X."&amp;F121&amp;" IS NULL AND Y."&amp;F121&amp;"_SIMUL IS NOT NULL ) OR (X."&amp;F121&amp;" IS NOT NULL AND Y."&amp;F121&amp;"_SIMUL IS NULL),1,0)) AS NUM_REG_DIF,'"&amp;MAX('ID1&amp;5'!K:K)+1&amp;"' AS ID_EXEC, CURRENT_TIMESTAMP() AS TIME_EXEC FROM "&amp;I121&amp;" INNER JOIN "&amp;J121&amp;" "&amp;K121,"SELECT '"&amp;UPPER(B121)&amp;"' AS TABELA, '"&amp;UPPER(C121)&amp;"' AS TIPOLOGIA_TESTE,'"&amp;D121&amp;"' AS TABELA_LT,'"&amp;E121&amp;"' AS TABELA_SIMUL,'"&amp;F121&amp;"' AS CAMPO, "&amp;"'${ref_date}' AS REF_DATE, COUNT(*) AS NUM_REG, SUM(IF(COALESCE(CAST(X."&amp;F121&amp;" AS STRING),'')&lt;&gt;COALESCE(CAST(Y."&amp;F121&amp;"_SIMUL AS STRING),'') OR (X."&amp;F121&amp;" IS NULL AND Y."&amp;F121&amp;"_SIMUL IS NOT NULL ) OR (X."&amp;F121&amp;" IS NOT NULL AND Y."&amp;F121&amp;"_SIMUL IS NULL),1,0)) AS NUM_REG_DIF,'"&amp;MAX('ID1&amp;5'!L:L)+1&amp;"' AS ID_EXEC, CURRENT_TIMESTAMP() AS TIME_EXEC FROM "&amp;I121&amp;" INNER JOIN "&amp;J121&amp;" "&amp;K121),
IF(C121="Validade",+IF(G121="Code List","SELECT '"&amp;UPPER(B121)&amp;"' AS TABELA, '"&amp;UPPER(C121)&amp;"' AS TIPOLOGIA_TESTE,'"&amp;D121&amp;"' AS TABELA_LT,'N/A' AS TABELA_SIMUL,'"&amp;F121&amp;"' AS CAMPO, "&amp;"'${ref_date}' AS REF_DATE, COUNT(*) AS NUM_REG, SUM(IF(TRIM(CAST(X."&amp;F121&amp;" AS STRING))='' OR TRIM(CAST(X."&amp;F121&amp;" AS STRING)) IS NULL OR CAST(X."&amp;F121&amp;" AS STRING) NOT "&amp;H121&amp;",1,0)) AS NUM_REG_DIF,'"&amp;MAX('ID1&amp;5'!K:K)+1&amp;"' AS ID_EXEC, CURRENT_TIMESTAMP() AS TIME_EXEC FROM "&amp;I121,"SELECT '"&amp;UPPER(B121)&amp;"' AS TABELA, '"&amp;UPPER(C121)&amp;"' AS TIPOLOGIA_TESTE,'"&amp;D121&amp;"' AS TABELA_LT,'N/A' AS TABELA_SIMUL,'"&amp;F121&amp;"' AS CAMPO, "&amp;"'${ref_date}' AS REF_DATE, COUNT(*) AS NUM_REG, SUM(IF(TRIM(CAST(X."&amp;F121&amp;" AS STRING))='' OR TRIM(CAST(X."&amp;F121&amp;" AS STRING)) IS NULL,1,0)) AS NUM_REG_DIF,'"&amp;MAX('ID1&amp;5'!K:K)+1&amp;"' AS ID_EXEC, CURRENT_TIMESTAMP() AS TIME_EXEC FROM "&amp;I121),
IF(C121="Caracteres Especiais",+"SELECT '"&amp;UPPER(B121)&amp;"' AS TABELA, '"&amp;UPPER(C121)&amp;"' AS TIPOLOGIA_TESTE,'"&amp;D121&amp;"' AS TABELA_LT,'N/A' AS TABELA_SIMUL,'"&amp;F121&amp;"' AS CAMPO, "&amp;"'${ref_date}' AS REF_DATE, COUNT(*) AS NUM_REG, SUM(IF(REGEXP_REPLACE(TRIM(CAST(X."&amp;F121&amp;" AS STRING)),'[^a-zA-Z0-9_\\s]','') &lt;&gt;TRIM(CAST(X."&amp;F121&amp;" AS STRING)),1,0)) AS NUM_REG_DIF,'"&amp;MAX('ID1&amp;5'!K:K)+1&amp;"' AS ID_EXEC, CURRENT_TIMESTAMP() AS TIME_EXEC FROM "&amp;I121,
IF(C121="Missings",+"SELECT '"&amp;UPPER(B121)&amp;"' AS TABELA, '"&amp;UPPER(C121)&amp;"' AS TIPOLOGIA_TESTE,'"&amp;D121&amp;"' AS TABELA_LT,'N/A' AS TABELA_SIMUL,'"&amp;F121&amp;"' AS CAMPO, "&amp;"'${ref_date}' AS REF_DATE, COUNT(*) AS NUM_REG, SUM(IF(TRIM(CAST(X."&amp;F121&amp;" AS STRING)) IN ('0000-00-00','0001-01-01','9999-12-31','MISS','00000','99999999999','99999999999.00','99999999999.000000'),1,0)) AS NUM_REG_DIF,'"&amp;MAX('ID1&amp;5'!K:K)+1&amp;"' AS ID_EXEC, CURRENT_TIMESTAMP() AS TIME_EXEC FROM "&amp;I121,
IF(C121="Not applicable",+"SELECT '"&amp;UPPER(B121)&amp;"' AS TABELA, '"&amp;UPPER(C121)&amp;"' AS TIPOLOGIA_TESTE,'"&amp;D121&amp;"' AS TABELA_LT,'N/A' AS TABELA_SIMUL,'"&amp;F121&amp;"' AS CAMPO, "&amp;"'${ref_date}' AS REF_DATE, COUNT(*) AS NUM_REG, SUM(IF(TRIM(CAST(X."&amp;F121&amp;" AS STRING)) IN ('N/A','11111111111','11111111111.00','11111111111.000000','1111-11-11'),1,0)) AS NUM_REG_DIF,'"&amp;MAX('ID1&amp;5'!K:K)+1&amp;"' AS ID_EXEC, CURRENT_TIMESTAMP() AS TIME_EXEC FROM "&amp;I121,
IF(C121="Valores extremos",+"SELECT '"&amp;UPPER(B121)&amp;"' AS TABELA, '"&amp;UPPER(C121)&amp;"' AS TIPOLOGIA_TESTE,'"&amp;D121&amp;"' AS TABELA_LT,'N/A' AS TABELA_SIMUL,'"&amp;F121&amp;"' AS CAMPO, "&amp;"'${ref_date}' AS REF_DATE, CAST(MIN("&amp;F121&amp;") AS STRING) AS VALOR_MIN, CAST(MAX("&amp;F121&amp;") AS STRING) AS VALOR_MAX,'"&amp;MAX('ID1&amp;5'!K:K)+1&amp;"' AS ID_EXEC, CURRENT_TIMESTAMP() AS TIME_EXEC FROM "&amp;MID(I121,1,LEN(I121)-2)&amp;" AND CAST("&amp;F121&amp;"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TABELA_SIMUL,'CNSMPTN_FNRP18' AS CAMPO, '${ref_date}' AS REF_DATE, COUNT(*) AS NUM_REG, SUM(IF(COALESCE(CAST(X.CNSMPTN_FNRP18 AS STRING),'')&lt;&gt;COALESCE(CAST(Y.CNSMPTN_FNRP18_SIMUL AS STRING),'') OR (X.CNSMPTN_FNRP18 IS NULL AND Y.CNSMPTN_FNRP18_SIMUL IS NOT NULL ) OR (X.CNSMPTN_FNRP18 IS NOT NULL AND Y.CNSMPTN_FNRP18_SIMUL IS NULL),1,0)) AS NUM_REG_DIF,'1' AS ID_EXEC, CURRENT_TIMESTAMP() AS TIME_EXEC FROM (SELECT instrmnt_id, CNSMPTN_FNRP18 FROM CD_LOAN_TAPES_BCE.LT002_INSTRUMENT WHERE ref_date='${ref_date}' AND nome_perimetro='Individual Corporativo' AND segmento='ESTR' AND ambito='PM' AND entidade='00100')X INNER JOIN (SELECT instrmnt_id AS instrmnt_id_SIMUL, CNSMPTN_FNRP18 AS CNSMPTN_FNRP18_SIMUL FROM BU_LOANTAPE_WORK.LT002_INSTRUMENT WHERE ref_date='${ref_date}' AND nome_perimetro='Individual Corporativo' AND segmento='ESTR' AND ambito='PM' AND entidade='00100')Y ON X.INSTRMNT_ID=Y.INSTRMNT_ID_SIMUL</v>
      </c>
      <c r="M121" s="36" t="str">
        <f t="shared" si="2"/>
        <v>UNION ALL SELECT 'INSTRUMENT' AS TABELA, 'COERÊNCIA' AS TIPOLOGIA_TESTE,'CD_LOAN_TAPES_BCE.LT002_INSTRUMENT' AS TABELA_LT,'BU_LOANTAPE_WORK.LT002_INSTRUMENT' AS TABELA_SIMUL,'CNSMPTN_FNRP18' AS CAMPO, '${ref_date}' AS REF_DATE, COUNT(*) AS NUM_REG, SUM(IF(COALESCE(CAST(X.CNSMPTN_FNRP18 AS STRING),'')&lt;&gt;COALESCE(CAST(Y.CNSMPTN_FNRP18_SIMUL AS STRING),'') OR (X.CNSMPTN_FNRP18 IS NULL AND Y.CNSMPTN_FNRP18_SIMUL IS NOT NULL ) OR (X.CNSMPTN_FNRP18 IS NOT NULL AND Y.CNSMPTN_FNRP18_SIMUL IS NULL),1,0)) AS NUM_REG_DIF,'1' AS ID_EXEC, CURRENT_TIMESTAMP() AS TIME_EXEC FROM (SELECT instrmnt_id, CNSMPTN_FNRP18 FROM CD_LOAN_TAPES_BCE.LT002_INSTRUMENT WHERE ref_date='${ref_date}' AND nome_perimetro='Individual Corporativo' AND segmento='ESTR' AND ambito='PM' AND entidade='00100')X INNER JOIN (SELECT instrmnt_id AS instrmnt_id_SIMUL, CNSMPTN_FNRP18 AS CNSMPTN_FNRP18_SIMUL FROM BU_LOANTAPE_WORK.LT002_INSTRUMENT WHERE ref_date='${ref_date}' AND nome_perimetro='Individual Corporativo' AND segmento='ESTR' AND ambito='PM' AND entidade='00100')Y ON X.INSTRMNT_ID=Y.INSTRMNT_ID_SIMUL</v>
      </c>
      <c r="N121" s="38" t="s">
        <v>46</v>
      </c>
    </row>
    <row r="122" spans="2:14" hidden="1">
      <c r="B122" s="34" t="s">
        <v>126</v>
      </c>
      <c r="C122" s="34" t="s">
        <v>5</v>
      </c>
      <c r="D122" s="34" t="str">
        <f>+UPPER('0. Instruções'!$D$35&amp;"."&amp;VLOOKUP(B122,'0. Instruções'!$C$27:$D$32,2,FALSE))</f>
        <v>CD_LOAN_TAPES_BCE.LT002_INSTRUMENT</v>
      </c>
      <c r="E122" s="34" t="str">
        <f>+UPPER('0. Instruções'!$D$36&amp;"."&amp;VLOOKUP(B122,'0. Instruções'!$C$27:$E$32,3,FALSE))</f>
        <v>BU_LOANTAPE_WORK.LT002_INSTRUMENT</v>
      </c>
      <c r="F122" s="34" t="s">
        <v>425</v>
      </c>
      <c r="G122" s="34"/>
      <c r="H122" s="34" t="s">
        <v>650</v>
      </c>
      <c r="I122" s="34" t="str">
        <f>"(SELECT "&amp;VLOOKUP(B122,'0. Instruções'!$C$27:$G$32,4,FALSE)&amp;", "&amp;F122&amp;" FROM "&amp;D122&amp;" WHERE "&amp;'0. Instruções'!$D$42&amp;")X"</f>
        <v>(SELECT instrmnt_id, CNTRCT_ID FROM CD_LOAN_TAPES_BCE.LT002_INSTRUMENT WHERE ref_date='${ref_date}' AND nome_perimetro='Individual Corporativo' AND segmento='ESTR' AND ambito='PM' AND entidade='00100')X</v>
      </c>
      <c r="J122" s="34" t="str">
        <f>"(SELECT "&amp;VLOOKUP(B122,'0. Instruções'!$C$27:$G$32,4,FALSE)&amp;" AS "&amp;VLOOKUP(B122,'0. Instruções'!$C$27:$G$32,4,FALSE)&amp;"_SIMUL, "&amp;F122&amp;" AS "&amp;F122&amp;"_SIMUL FROM "&amp;E122&amp;" WHERE "&amp;'0. Instruções'!$D$43&amp;")Y"</f>
        <v>(SELECT instrmnt_id AS instrmnt_id_SIMUL, CNTRCT_ID AS CNTRCT_ID_SIMUL FROM BU_LOANTAPE_WORK.LT002_INSTRUMENT WHERE ref_date='${ref_date}' AND nome_perimetro='Individual Corporativo' AND segmento='ESTR' AND ambito='PM' AND entidade='00100')Y</v>
      </c>
      <c r="K122" s="35" t="str">
        <f>+UPPER("ON X."&amp;VLOOKUP(B122,'0. Instruções'!$C$27:$G$32,4,FALSE)&amp;"=Y."&amp;VLOOKUP(B122,'0. Instruções'!$C$27:$G$32,4,FALSE)&amp;"_SIMUL")</f>
        <v>ON X.INSTRMNT_ID=Y.INSTRMNT_ID_SIMUL</v>
      </c>
      <c r="L122" s="35" t="str">
        <f>+IF(C122="Coerência", +IF(LEFT(G122,5)="FLOAT","SELECT '"&amp;UPPER(B122)&amp;"' AS TABELA, '"&amp;UPPER(C122)&amp;"' AS TIPOLOGIA_TESTE,'"&amp;D122&amp;"' AS TABELA_LT,'"&amp;E122&amp;"' AS TABELA_SIMUL,'"&amp;F122&amp;"' AS CAMPO, "&amp;"'${ref_date}' AS REF_DATE, COUNT(*) AS NUM_REG, SUM(IF((ABS(COALESCE(CAST(X."&amp;F122&amp;" AS DECIMAL(18,6)),0)-COALESCE(CAST(Y."&amp;F122&amp;"_SIMUL AS DECIMAL(18,6)),0))&gt;0.000001) OR (X."&amp;F122&amp;" IS NULL AND Y."&amp;F122&amp;"_SIMUL IS NOT NULL ) OR (X."&amp;F122&amp;" IS NOT NULL AND Y."&amp;F122&amp;"_SIMUL IS NULL),1,0)) AS NUM_REG_DIF,'"&amp;MAX('ID1&amp;5'!K:K)+1&amp;"' AS ID_EXEC, CURRENT_TIMESTAMP() AS TIME_EXEC FROM "&amp;I122&amp;" INNER JOIN "&amp;J122&amp;" "&amp;K122,"SELECT '"&amp;UPPER(B122)&amp;"' AS TABELA, '"&amp;UPPER(C122)&amp;"' AS TIPOLOGIA_TESTE,'"&amp;D122&amp;"' AS TABELA_LT,'"&amp;E122&amp;"' AS TABELA_SIMUL,'"&amp;F122&amp;"' AS CAMPO, "&amp;"'${ref_date}' AS REF_DATE, COUNT(*) AS NUM_REG, SUM(IF(COALESCE(CAST(X."&amp;F122&amp;" AS STRING),'')&lt;&gt;COALESCE(CAST(Y."&amp;F122&amp;"_SIMUL AS STRING),'') OR (X."&amp;F122&amp;" IS NULL AND Y."&amp;F122&amp;"_SIMUL IS NOT NULL ) OR (X."&amp;F122&amp;" IS NOT NULL AND Y."&amp;F122&amp;"_SIMUL IS NULL),1,0)) AS NUM_REG_DIF,'"&amp;MAX('ID1&amp;5'!L:L)+1&amp;"' AS ID_EXEC, CURRENT_TIMESTAMP() AS TIME_EXEC FROM "&amp;I122&amp;" INNER JOIN "&amp;J122&amp;" "&amp;K122),
IF(C122="Validade",+IF(G122="Code List","SELECT '"&amp;UPPER(B122)&amp;"' AS TABELA, '"&amp;UPPER(C122)&amp;"' AS TIPOLOGIA_TESTE,'"&amp;D122&amp;"' AS TABELA_LT,'N/A' AS TABELA_SIMUL,'"&amp;F122&amp;"' AS CAMPO, "&amp;"'${ref_date}' AS REF_DATE, COUNT(*) AS NUM_REG, SUM(IF(TRIM(CAST(X."&amp;F122&amp;" AS STRING))='' OR TRIM(CAST(X."&amp;F122&amp;" AS STRING)) IS NULL OR CAST(X."&amp;F122&amp;" AS STRING) NOT "&amp;H122&amp;",1,0)) AS NUM_REG_DIF,'"&amp;MAX('ID1&amp;5'!K:K)+1&amp;"' AS ID_EXEC, CURRENT_TIMESTAMP() AS TIME_EXEC FROM "&amp;I122,"SELECT '"&amp;UPPER(B122)&amp;"' AS TABELA, '"&amp;UPPER(C122)&amp;"' AS TIPOLOGIA_TESTE,'"&amp;D122&amp;"' AS TABELA_LT,'N/A' AS TABELA_SIMUL,'"&amp;F122&amp;"' AS CAMPO, "&amp;"'${ref_date}' AS REF_DATE, COUNT(*) AS NUM_REG, SUM(IF(TRIM(CAST(X."&amp;F122&amp;" AS STRING))='' OR TRIM(CAST(X."&amp;F122&amp;" AS STRING)) IS NULL,1,0)) AS NUM_REG_DIF,'"&amp;MAX('ID1&amp;5'!K:K)+1&amp;"' AS ID_EXEC, CURRENT_TIMESTAMP() AS TIME_EXEC FROM "&amp;I122),
IF(C122="Caracteres Especiais",+"SELECT '"&amp;UPPER(B122)&amp;"' AS TABELA, '"&amp;UPPER(C122)&amp;"' AS TIPOLOGIA_TESTE,'"&amp;D122&amp;"' AS TABELA_LT,'N/A' AS TABELA_SIMUL,'"&amp;F122&amp;"' AS CAMPO, "&amp;"'${ref_date}' AS REF_DATE, COUNT(*) AS NUM_REG, SUM(IF(REGEXP_REPLACE(TRIM(CAST(X."&amp;F122&amp;" AS STRING)),'[^a-zA-Z0-9_\\s]','') &lt;&gt;TRIM(CAST(X."&amp;F122&amp;" AS STRING)),1,0)) AS NUM_REG_DIF,'"&amp;MAX('ID1&amp;5'!K:K)+1&amp;"' AS ID_EXEC, CURRENT_TIMESTAMP() AS TIME_EXEC FROM "&amp;I122,
IF(C122="Missings",+"SELECT '"&amp;UPPER(B122)&amp;"' AS TABELA, '"&amp;UPPER(C122)&amp;"' AS TIPOLOGIA_TESTE,'"&amp;D122&amp;"' AS TABELA_LT,'N/A' AS TABELA_SIMUL,'"&amp;F122&amp;"' AS CAMPO, "&amp;"'${ref_date}' AS REF_DATE, COUNT(*) AS NUM_REG, SUM(IF(TRIM(CAST(X."&amp;F122&amp;" AS STRING)) IN ('0000-00-00','0001-01-01','9999-12-31','MISS','00000','99999999999','99999999999.00','99999999999.000000'),1,0)) AS NUM_REG_DIF,'"&amp;MAX('ID1&amp;5'!K:K)+1&amp;"' AS ID_EXEC, CURRENT_TIMESTAMP() AS TIME_EXEC FROM "&amp;I122,
IF(C122="Not applicable",+"SELECT '"&amp;UPPER(B122)&amp;"' AS TABELA, '"&amp;UPPER(C122)&amp;"' AS TIPOLOGIA_TESTE,'"&amp;D122&amp;"' AS TABELA_LT,'N/A' AS TABELA_SIMUL,'"&amp;F122&amp;"' AS CAMPO, "&amp;"'${ref_date}' AS REF_DATE, COUNT(*) AS NUM_REG, SUM(IF(TRIM(CAST(X."&amp;F122&amp;" AS STRING)) IN ('N/A','11111111111','11111111111.00','11111111111.000000','1111-11-11'),1,0)) AS NUM_REG_DIF,'"&amp;MAX('ID1&amp;5'!K:K)+1&amp;"' AS ID_EXEC, CURRENT_TIMESTAMP() AS TIME_EXEC FROM "&amp;I122,
IF(C122="Valores extremos",+"SELECT '"&amp;UPPER(B122)&amp;"' AS TABELA, '"&amp;UPPER(C122)&amp;"' AS TIPOLOGIA_TESTE,'"&amp;D122&amp;"' AS TABELA_LT,'N/A' AS TABELA_SIMUL,'"&amp;F122&amp;"' AS CAMPO, "&amp;"'${ref_date}' AS REF_DATE, CAST(MIN("&amp;F122&amp;") AS STRING) AS VALOR_MIN, CAST(MAX("&amp;F122&amp;") AS STRING) AS VALOR_MAX,'"&amp;MAX('ID1&amp;5'!K:K)+1&amp;"' AS ID_EXEC, CURRENT_TIMESTAMP() AS TIME_EXEC FROM "&amp;MID(I122,1,LEN(I122)-2)&amp;" AND CAST("&amp;F122&amp;"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TABELA_SIMUL,'CNTRCT_ID' AS CAMPO, '${ref_date}' AS REF_DATE, COUNT(*) AS NUM_REG, SUM(IF(COALESCE(CAST(X.CNTRCT_ID AS STRING),'')&lt;&gt;COALESCE(CAST(Y.CNTRCT_ID_SIMUL AS STRING),'') OR (X.CNTRCT_ID IS NULL AND Y.CNTRCT_ID_SIMUL IS NOT NULL ) OR (X.CNTRCT_ID IS NOT NULL AND Y.CNTRCT_ID_SIMUL IS NULL),1,0)) AS NUM_REG_DIF,'1' AS ID_EXEC, CURRENT_TIMESTAMP() AS TIME_EXEC FROM (SELECT instrmnt_id, CNTRCT_ID FROM CD_LOAN_TAPES_BCE.LT002_INSTRUMENT WHERE ref_date='${ref_date}' AND nome_perimetro='Individual Corporativo' AND segmento='ESTR' AND ambito='PM' AND entidade='00100')X INNER JOIN (SELECT instrmnt_id AS instrmnt_id_SIMUL, CNTRCT_ID AS CNTRCT_ID_SIMUL FROM BU_LOANTAPE_WORK.LT002_INSTRUMENT WHERE ref_date='${ref_date}' AND nome_perimetro='Individual Corporativo' AND segmento='ESTR' AND ambito='PM' AND entidade='00100')Y ON X.INSTRMNT_ID=Y.INSTRMNT_ID_SIMUL</v>
      </c>
      <c r="M122" s="36" t="str">
        <f t="shared" si="2"/>
        <v>UNION ALL SELECT 'INSTRUMENT' AS TABELA, 'COERÊNCIA' AS TIPOLOGIA_TESTE,'CD_LOAN_TAPES_BCE.LT002_INSTRUMENT' AS TABELA_LT,'BU_LOANTAPE_WORK.LT002_INSTRUMENT' AS TABELA_SIMUL,'CNTRCT_ID' AS CAMPO, '${ref_date}' AS REF_DATE, COUNT(*) AS NUM_REG, SUM(IF(COALESCE(CAST(X.CNTRCT_ID AS STRING),'')&lt;&gt;COALESCE(CAST(Y.CNTRCT_ID_SIMUL AS STRING),'') OR (X.CNTRCT_ID IS NULL AND Y.CNTRCT_ID_SIMUL IS NOT NULL ) OR (X.CNTRCT_ID IS NOT NULL AND Y.CNTRCT_ID_SIMUL IS NULL),1,0)) AS NUM_REG_DIF,'1' AS ID_EXEC, CURRENT_TIMESTAMP() AS TIME_EXEC FROM (SELECT instrmnt_id, CNTRCT_ID FROM CD_LOAN_TAPES_BCE.LT002_INSTRUMENT WHERE ref_date='${ref_date}' AND nome_perimetro='Individual Corporativo' AND segmento='ESTR' AND ambito='PM' AND entidade='00100')X INNER JOIN (SELECT instrmnt_id AS instrmnt_id_SIMUL, CNTRCT_ID AS CNTRCT_ID_SIMUL FROM BU_LOANTAPE_WORK.LT002_INSTRUMENT WHERE ref_date='${ref_date}' AND nome_perimetro='Individual Corporativo' AND segmento='ESTR' AND ambito='PM' AND entidade='00100')Y ON X.INSTRMNT_ID=Y.INSTRMNT_ID_SIMUL</v>
      </c>
      <c r="N122" s="38" t="s">
        <v>46</v>
      </c>
    </row>
    <row r="123" spans="2:14" hidden="1">
      <c r="B123" s="34" t="s">
        <v>126</v>
      </c>
      <c r="C123" s="34" t="s">
        <v>5</v>
      </c>
      <c r="D123" s="34" t="str">
        <f>+UPPER('0. Instruções'!$D$35&amp;"."&amp;VLOOKUP(B123,'0. Instruções'!$C$27:$D$32,2,FALSE))</f>
        <v>CD_LOAN_TAPES_BCE.LT002_INSTRUMENT</v>
      </c>
      <c r="E123" s="34" t="str">
        <f>+UPPER('0. Instruções'!$D$36&amp;"."&amp;VLOOKUP(B123,'0. Instruções'!$C$27:$E$32,3,FALSE))</f>
        <v>BU_LOANTAPE_WORK.LT002_INSTRUMENT</v>
      </c>
      <c r="F123" s="34" t="s">
        <v>426</v>
      </c>
      <c r="G123" s="34"/>
      <c r="H123" s="34" t="s">
        <v>89</v>
      </c>
      <c r="I123" s="34" t="str">
        <f>"(SELECT "&amp;VLOOKUP(B123,'0. Instruções'!$C$27:$G$32,4,FALSE)&amp;", "&amp;F123&amp;" FROM "&amp;D123&amp;" WHERE "&amp;'0. Instruções'!$D$42&amp;")X"</f>
        <v>(SELECT instrmnt_id, CRRNCY_DNMNTN FROM CD_LOAN_TAPES_BCE.LT002_INSTRUMENT WHERE ref_date='${ref_date}' AND nome_perimetro='Individual Corporativo' AND segmento='ESTR' AND ambito='PM' AND entidade='00100')X</v>
      </c>
      <c r="J123" s="34" t="str">
        <f>"(SELECT "&amp;VLOOKUP(B123,'0. Instruções'!$C$27:$G$32,4,FALSE)&amp;" AS "&amp;VLOOKUP(B123,'0. Instruções'!$C$27:$G$32,4,FALSE)&amp;"_SIMUL, "&amp;F123&amp;" AS "&amp;F123&amp;"_SIMUL FROM "&amp;E123&amp;" WHERE "&amp;'0. Instruções'!$D$43&amp;")Y"</f>
        <v>(SELECT instrmnt_id AS instrmnt_id_SIMUL, CRRNCY_DNMNTN AS CRRNCY_DNMNTN_SIMUL FROM BU_LOANTAPE_WORK.LT002_INSTRUMENT WHERE ref_date='${ref_date}' AND nome_perimetro='Individual Corporativo' AND segmento='ESTR' AND ambito='PM' AND entidade='00100')Y</v>
      </c>
      <c r="K123" s="35" t="str">
        <f>+UPPER("ON X."&amp;VLOOKUP(B123,'0. Instruções'!$C$27:$G$32,4,FALSE)&amp;"=Y."&amp;VLOOKUP(B123,'0. Instruções'!$C$27:$G$32,4,FALSE)&amp;"_SIMUL")</f>
        <v>ON X.INSTRMNT_ID=Y.INSTRMNT_ID_SIMUL</v>
      </c>
      <c r="L123" s="35" t="str">
        <f>+IF(C123="Coerência", +IF(LEFT(G123,5)="FLOAT","SELECT '"&amp;UPPER(B123)&amp;"' AS TABELA, '"&amp;UPPER(C123)&amp;"' AS TIPOLOGIA_TESTE,'"&amp;D123&amp;"' AS TABELA_LT,'"&amp;E123&amp;"' AS TABELA_SIMUL,'"&amp;F123&amp;"' AS CAMPO, "&amp;"'${ref_date}' AS REF_DATE, COUNT(*) AS NUM_REG, SUM(IF((ABS(COALESCE(CAST(X."&amp;F123&amp;" AS DECIMAL(18,6)),0)-COALESCE(CAST(Y."&amp;F123&amp;"_SIMUL AS DECIMAL(18,6)),0))&gt;0.000001) OR (X."&amp;F123&amp;" IS NULL AND Y."&amp;F123&amp;"_SIMUL IS NOT NULL ) OR (X."&amp;F123&amp;" IS NOT NULL AND Y."&amp;F123&amp;"_SIMUL IS NULL),1,0)) AS NUM_REG_DIF,'"&amp;MAX('ID1&amp;5'!K:K)+1&amp;"' AS ID_EXEC, CURRENT_TIMESTAMP() AS TIME_EXEC FROM "&amp;I123&amp;" INNER JOIN "&amp;J123&amp;" "&amp;K123,"SELECT '"&amp;UPPER(B123)&amp;"' AS TABELA, '"&amp;UPPER(C123)&amp;"' AS TIPOLOGIA_TESTE,'"&amp;D123&amp;"' AS TABELA_LT,'"&amp;E123&amp;"' AS TABELA_SIMUL,'"&amp;F123&amp;"' AS CAMPO, "&amp;"'${ref_date}' AS REF_DATE, COUNT(*) AS NUM_REG, SUM(IF(COALESCE(CAST(X."&amp;F123&amp;" AS STRING),'')&lt;&gt;COALESCE(CAST(Y."&amp;F123&amp;"_SIMUL AS STRING),'') OR (X."&amp;F123&amp;" IS NULL AND Y."&amp;F123&amp;"_SIMUL IS NOT NULL ) OR (X."&amp;F123&amp;" IS NOT NULL AND Y."&amp;F123&amp;"_SIMUL IS NULL),1,0)) AS NUM_REG_DIF,'"&amp;MAX('ID1&amp;5'!L:L)+1&amp;"' AS ID_EXEC, CURRENT_TIMESTAMP() AS TIME_EXEC FROM "&amp;I123&amp;" INNER JOIN "&amp;J123&amp;" "&amp;K123),
IF(C123="Validade",+IF(G123="Code List","SELECT '"&amp;UPPER(B123)&amp;"' AS TABELA, '"&amp;UPPER(C123)&amp;"' AS TIPOLOGIA_TESTE,'"&amp;D123&amp;"' AS TABELA_LT,'N/A' AS TABELA_SIMUL,'"&amp;F123&amp;"' AS CAMPO, "&amp;"'${ref_date}' AS REF_DATE, COUNT(*) AS NUM_REG, SUM(IF(TRIM(CAST(X."&amp;F123&amp;" AS STRING))='' OR TRIM(CAST(X."&amp;F123&amp;" AS STRING)) IS NULL OR CAST(X."&amp;F123&amp;" AS STRING) NOT "&amp;H123&amp;",1,0)) AS NUM_REG_DIF,'"&amp;MAX('ID1&amp;5'!K:K)+1&amp;"' AS ID_EXEC, CURRENT_TIMESTAMP() AS TIME_EXEC FROM "&amp;I123,"SELECT '"&amp;UPPER(B123)&amp;"' AS TABELA, '"&amp;UPPER(C123)&amp;"' AS TIPOLOGIA_TESTE,'"&amp;D123&amp;"' AS TABELA_LT,'N/A' AS TABELA_SIMUL,'"&amp;F123&amp;"' AS CAMPO, "&amp;"'${ref_date}' AS REF_DATE, COUNT(*) AS NUM_REG, SUM(IF(TRIM(CAST(X."&amp;F123&amp;" AS STRING))='' OR TRIM(CAST(X."&amp;F123&amp;" AS STRING)) IS NULL,1,0)) AS NUM_REG_DIF,'"&amp;MAX('ID1&amp;5'!K:K)+1&amp;"' AS ID_EXEC, CURRENT_TIMESTAMP() AS TIME_EXEC FROM "&amp;I123),
IF(C123="Caracteres Especiais",+"SELECT '"&amp;UPPER(B123)&amp;"' AS TABELA, '"&amp;UPPER(C123)&amp;"' AS TIPOLOGIA_TESTE,'"&amp;D123&amp;"' AS TABELA_LT,'N/A' AS TABELA_SIMUL,'"&amp;F123&amp;"' AS CAMPO, "&amp;"'${ref_date}' AS REF_DATE, COUNT(*) AS NUM_REG, SUM(IF(REGEXP_REPLACE(TRIM(CAST(X."&amp;F123&amp;" AS STRING)),'[^a-zA-Z0-9_\\s]','') &lt;&gt;TRIM(CAST(X."&amp;F123&amp;" AS STRING)),1,0)) AS NUM_REG_DIF,'"&amp;MAX('ID1&amp;5'!K:K)+1&amp;"' AS ID_EXEC, CURRENT_TIMESTAMP() AS TIME_EXEC FROM "&amp;I123,
IF(C123="Missings",+"SELECT '"&amp;UPPER(B123)&amp;"' AS TABELA, '"&amp;UPPER(C123)&amp;"' AS TIPOLOGIA_TESTE,'"&amp;D123&amp;"' AS TABELA_LT,'N/A' AS TABELA_SIMUL,'"&amp;F123&amp;"' AS CAMPO, "&amp;"'${ref_date}' AS REF_DATE, COUNT(*) AS NUM_REG, SUM(IF(TRIM(CAST(X."&amp;F123&amp;" AS STRING)) IN ('0000-00-00','0001-01-01','9999-12-31','MISS','00000','99999999999','99999999999.00','99999999999.000000'),1,0)) AS NUM_REG_DIF,'"&amp;MAX('ID1&amp;5'!K:K)+1&amp;"' AS ID_EXEC, CURRENT_TIMESTAMP() AS TIME_EXEC FROM "&amp;I123,
IF(C123="Not applicable",+"SELECT '"&amp;UPPER(B123)&amp;"' AS TABELA, '"&amp;UPPER(C123)&amp;"' AS TIPOLOGIA_TESTE,'"&amp;D123&amp;"' AS TABELA_LT,'N/A' AS TABELA_SIMUL,'"&amp;F123&amp;"' AS CAMPO, "&amp;"'${ref_date}' AS REF_DATE, COUNT(*) AS NUM_REG, SUM(IF(TRIM(CAST(X."&amp;F123&amp;" AS STRING)) IN ('N/A','11111111111','11111111111.00','11111111111.000000','1111-11-11'),1,0)) AS NUM_REG_DIF,'"&amp;MAX('ID1&amp;5'!K:K)+1&amp;"' AS ID_EXEC, CURRENT_TIMESTAMP() AS TIME_EXEC FROM "&amp;I123,
IF(C123="Valores extremos",+"SELECT '"&amp;UPPER(B123)&amp;"' AS TABELA, '"&amp;UPPER(C123)&amp;"' AS TIPOLOGIA_TESTE,'"&amp;D123&amp;"' AS TABELA_LT,'N/A' AS TABELA_SIMUL,'"&amp;F123&amp;"' AS CAMPO, "&amp;"'${ref_date}' AS REF_DATE, CAST(MIN("&amp;F123&amp;") AS STRING) AS VALOR_MIN, CAST(MAX("&amp;F123&amp;") AS STRING) AS VALOR_MAX,'"&amp;MAX('ID1&amp;5'!K:K)+1&amp;"' AS ID_EXEC, CURRENT_TIMESTAMP() AS TIME_EXEC FROM "&amp;MID(I123,1,LEN(I123)-2)&amp;" AND CAST("&amp;F123&amp;"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TABELA_SIMUL,'CRRNCY_DNMNTN' AS CAMPO, '${ref_date}' AS REF_DATE, COUNT(*) AS NUM_REG, SUM(IF(COALESCE(CAST(X.CRRNCY_DNMNTN AS STRING),'')&lt;&gt;COALESCE(CAST(Y.CRRNCY_DNMNTN_SIMUL AS STRING),'') OR (X.CRRNCY_DNMNTN IS NULL AND Y.CRRNCY_DNMNTN_SIMUL IS NOT NULL ) OR (X.CRRNCY_DNMNTN IS NOT NULL AND Y.CRRNCY_DNMNTN_SIMUL IS NULL),1,0)) AS NUM_REG_DIF,'1' AS ID_EXEC, CURRENT_TIMESTAMP() AS TIME_EXEC FROM (SELECT instrmnt_id, CRRNCY_DNMNTN FROM CD_LOAN_TAPES_BCE.LT002_INSTRUMENT WHERE ref_date='${ref_date}' AND nome_perimetro='Individual Corporativo' AND segmento='ESTR' AND ambito='PM' AND entidade='00100')X INNER JOIN (SELECT instrmnt_id AS instrmnt_id_SIMUL, CRRNCY_DNMNTN AS CRRNCY_DNMNTN_SIMUL FROM BU_LOANTAPE_WORK.LT002_INSTRUMENT WHERE ref_date='${ref_date}' AND nome_perimetro='Individual Corporativo' AND segmento='ESTR' AND ambito='PM' AND entidade='00100')Y ON X.INSTRMNT_ID=Y.INSTRMNT_ID_SIMUL</v>
      </c>
      <c r="M123" s="36" t="str">
        <f t="shared" si="2"/>
        <v>UNION ALL SELECT 'INSTRUMENT' AS TABELA, 'COERÊNCIA' AS TIPOLOGIA_TESTE,'CD_LOAN_TAPES_BCE.LT002_INSTRUMENT' AS TABELA_LT,'BU_LOANTAPE_WORK.LT002_INSTRUMENT' AS TABELA_SIMUL,'CRRNCY_DNMNTN' AS CAMPO, '${ref_date}' AS REF_DATE, COUNT(*) AS NUM_REG, SUM(IF(COALESCE(CAST(X.CRRNCY_DNMNTN AS STRING),'')&lt;&gt;COALESCE(CAST(Y.CRRNCY_DNMNTN_SIMUL AS STRING),'') OR (X.CRRNCY_DNMNTN IS NULL AND Y.CRRNCY_DNMNTN_SIMUL IS NOT NULL ) OR (X.CRRNCY_DNMNTN IS NOT NULL AND Y.CRRNCY_DNMNTN_SIMUL IS NULL),1,0)) AS NUM_REG_DIF,'1' AS ID_EXEC, CURRENT_TIMESTAMP() AS TIME_EXEC FROM (SELECT instrmnt_id, CRRNCY_DNMNTN FROM CD_LOAN_TAPES_BCE.LT002_INSTRUMENT WHERE ref_date='${ref_date}' AND nome_perimetro='Individual Corporativo' AND segmento='ESTR' AND ambito='PM' AND entidade='00100')X INNER JOIN (SELECT instrmnt_id AS instrmnt_id_SIMUL, CRRNCY_DNMNTN AS CRRNCY_DNMNTN_SIMUL FROM BU_LOANTAPE_WORK.LT002_INSTRUMENT WHERE ref_date='${ref_date}' AND nome_perimetro='Individual Corporativo' AND segmento='ESTR' AND ambito='PM' AND entidade='00100')Y ON X.INSTRMNT_ID=Y.INSTRMNT_ID_SIMUL</v>
      </c>
      <c r="N123" s="38" t="s">
        <v>46</v>
      </c>
    </row>
    <row r="124" spans="2:14" hidden="1">
      <c r="B124" s="34" t="s">
        <v>126</v>
      </c>
      <c r="C124" s="34" t="s">
        <v>5</v>
      </c>
      <c r="D124" s="34" t="str">
        <f>+UPPER('0. Instruções'!$D$35&amp;"."&amp;VLOOKUP(B124,'0. Instruções'!$C$27:$D$32,2,FALSE))</f>
        <v>CD_LOAN_TAPES_BCE.LT002_INSTRUMENT</v>
      </c>
      <c r="E124" s="34" t="str">
        <f>+UPPER('0. Instruções'!$D$36&amp;"."&amp;VLOOKUP(B124,'0. Instruções'!$C$27:$E$32,3,FALSE))</f>
        <v>BU_LOANTAPE_WORK.LT002_INSTRUMENT</v>
      </c>
      <c r="F124" s="34" t="s">
        <v>94</v>
      </c>
      <c r="G124" s="34"/>
      <c r="H124" s="34" t="s">
        <v>645</v>
      </c>
      <c r="I124" s="34" t="str">
        <f>"(SELECT "&amp;VLOOKUP(B124,'0. Instruções'!$C$27:$G$32,4,FALSE)&amp;", "&amp;F124&amp;" FROM "&amp;D124&amp;" WHERE "&amp;'0. Instruções'!$D$42&amp;")X"</f>
        <v>(SELECT instrmnt_id, DT_INCPTN FROM CD_LOAN_TAPES_BCE.LT002_INSTRUMENT WHERE ref_date='${ref_date}' AND nome_perimetro='Individual Corporativo' AND segmento='ESTR' AND ambito='PM' AND entidade='00100')X</v>
      </c>
      <c r="J124" s="34" t="str">
        <f>"(SELECT "&amp;VLOOKUP(B124,'0. Instruções'!$C$27:$G$32,4,FALSE)&amp;" AS "&amp;VLOOKUP(B124,'0. Instruções'!$C$27:$G$32,4,FALSE)&amp;"_SIMUL, "&amp;F124&amp;" AS "&amp;F124&amp;"_SIMUL FROM "&amp;E124&amp;" WHERE "&amp;'0. Instruções'!$D$43&amp;")Y"</f>
        <v>(SELECT instrmnt_id AS instrmnt_id_SIMUL, DT_INCPTN AS DT_INCPTN_SIMUL FROM BU_LOANTAPE_WORK.LT002_INSTRUMENT WHERE ref_date='${ref_date}' AND nome_perimetro='Individual Corporativo' AND segmento='ESTR' AND ambito='PM' AND entidade='00100')Y</v>
      </c>
      <c r="K124" s="35" t="str">
        <f>+UPPER("ON X."&amp;VLOOKUP(B124,'0. Instruções'!$C$27:$G$32,4,FALSE)&amp;"=Y."&amp;VLOOKUP(B124,'0. Instruções'!$C$27:$G$32,4,FALSE)&amp;"_SIMUL")</f>
        <v>ON X.INSTRMNT_ID=Y.INSTRMNT_ID_SIMUL</v>
      </c>
      <c r="L124" s="35" t="str">
        <f>+IF(C124="Coerência", +IF(LEFT(G124,5)="FLOAT","SELECT '"&amp;UPPER(B124)&amp;"' AS TABELA, '"&amp;UPPER(C124)&amp;"' AS TIPOLOGIA_TESTE,'"&amp;D124&amp;"' AS TABELA_LT,'"&amp;E124&amp;"' AS TABELA_SIMUL,'"&amp;F124&amp;"' AS CAMPO, "&amp;"'${ref_date}' AS REF_DATE, COUNT(*) AS NUM_REG, SUM(IF((ABS(COALESCE(CAST(X."&amp;F124&amp;" AS DECIMAL(18,6)),0)-COALESCE(CAST(Y."&amp;F124&amp;"_SIMUL AS DECIMAL(18,6)),0))&gt;0.000001) OR (X."&amp;F124&amp;" IS NULL AND Y."&amp;F124&amp;"_SIMUL IS NOT NULL ) OR (X."&amp;F124&amp;" IS NOT NULL AND Y."&amp;F124&amp;"_SIMUL IS NULL),1,0)) AS NUM_REG_DIF,'"&amp;MAX('ID1&amp;5'!K:K)+1&amp;"' AS ID_EXEC, CURRENT_TIMESTAMP() AS TIME_EXEC FROM "&amp;I124&amp;" INNER JOIN "&amp;J124&amp;" "&amp;K124,"SELECT '"&amp;UPPER(B124)&amp;"' AS TABELA, '"&amp;UPPER(C124)&amp;"' AS TIPOLOGIA_TESTE,'"&amp;D124&amp;"' AS TABELA_LT,'"&amp;E124&amp;"' AS TABELA_SIMUL,'"&amp;F124&amp;"' AS CAMPO, "&amp;"'${ref_date}' AS REF_DATE, COUNT(*) AS NUM_REG, SUM(IF(COALESCE(CAST(X."&amp;F124&amp;" AS STRING),'')&lt;&gt;COALESCE(CAST(Y."&amp;F124&amp;"_SIMUL AS STRING),'') OR (X."&amp;F124&amp;" IS NULL AND Y."&amp;F124&amp;"_SIMUL IS NOT NULL ) OR (X."&amp;F124&amp;" IS NOT NULL AND Y."&amp;F124&amp;"_SIMUL IS NULL),1,0)) AS NUM_REG_DIF,'"&amp;MAX('ID1&amp;5'!L:L)+1&amp;"' AS ID_EXEC, CURRENT_TIMESTAMP() AS TIME_EXEC FROM "&amp;I124&amp;" INNER JOIN "&amp;J124&amp;" "&amp;K124),
IF(C124="Validade",+IF(G124="Code List","SELECT '"&amp;UPPER(B124)&amp;"' AS TABELA, '"&amp;UPPER(C124)&amp;"' AS TIPOLOGIA_TESTE,'"&amp;D124&amp;"' AS TABELA_LT,'N/A' AS TABELA_SIMUL,'"&amp;F124&amp;"' AS CAMPO, "&amp;"'${ref_date}' AS REF_DATE, COUNT(*) AS NUM_REG, SUM(IF(TRIM(CAST(X."&amp;F124&amp;" AS STRING))='' OR TRIM(CAST(X."&amp;F124&amp;" AS STRING)) IS NULL OR CAST(X."&amp;F124&amp;" AS STRING) NOT "&amp;H124&amp;",1,0)) AS NUM_REG_DIF,'"&amp;MAX('ID1&amp;5'!K:K)+1&amp;"' AS ID_EXEC, CURRENT_TIMESTAMP() AS TIME_EXEC FROM "&amp;I124,"SELECT '"&amp;UPPER(B124)&amp;"' AS TABELA, '"&amp;UPPER(C124)&amp;"' AS TIPOLOGIA_TESTE,'"&amp;D124&amp;"' AS TABELA_LT,'N/A' AS TABELA_SIMUL,'"&amp;F124&amp;"' AS CAMPO, "&amp;"'${ref_date}' AS REF_DATE, COUNT(*) AS NUM_REG, SUM(IF(TRIM(CAST(X."&amp;F124&amp;" AS STRING))='' OR TRIM(CAST(X."&amp;F124&amp;" AS STRING)) IS NULL,1,0)) AS NUM_REG_DIF,'"&amp;MAX('ID1&amp;5'!K:K)+1&amp;"' AS ID_EXEC, CURRENT_TIMESTAMP() AS TIME_EXEC FROM "&amp;I124),
IF(C124="Caracteres Especiais",+"SELECT '"&amp;UPPER(B124)&amp;"' AS TABELA, '"&amp;UPPER(C124)&amp;"' AS TIPOLOGIA_TESTE,'"&amp;D124&amp;"' AS TABELA_LT,'N/A' AS TABELA_SIMUL,'"&amp;F124&amp;"' AS CAMPO, "&amp;"'${ref_date}' AS REF_DATE, COUNT(*) AS NUM_REG, SUM(IF(REGEXP_REPLACE(TRIM(CAST(X."&amp;F124&amp;" AS STRING)),'[^a-zA-Z0-9_\\s]','') &lt;&gt;TRIM(CAST(X."&amp;F124&amp;" AS STRING)),1,0)) AS NUM_REG_DIF,'"&amp;MAX('ID1&amp;5'!K:K)+1&amp;"' AS ID_EXEC, CURRENT_TIMESTAMP() AS TIME_EXEC FROM "&amp;I124,
IF(C124="Missings",+"SELECT '"&amp;UPPER(B124)&amp;"' AS TABELA, '"&amp;UPPER(C124)&amp;"' AS TIPOLOGIA_TESTE,'"&amp;D124&amp;"' AS TABELA_LT,'N/A' AS TABELA_SIMUL,'"&amp;F124&amp;"' AS CAMPO, "&amp;"'${ref_date}' AS REF_DATE, COUNT(*) AS NUM_REG, SUM(IF(TRIM(CAST(X."&amp;F124&amp;" AS STRING)) IN ('0000-00-00','0001-01-01','9999-12-31','MISS','00000','99999999999','99999999999.00','99999999999.000000'),1,0)) AS NUM_REG_DIF,'"&amp;MAX('ID1&amp;5'!K:K)+1&amp;"' AS ID_EXEC, CURRENT_TIMESTAMP() AS TIME_EXEC FROM "&amp;I124,
IF(C124="Not applicable",+"SELECT '"&amp;UPPER(B124)&amp;"' AS TABELA, '"&amp;UPPER(C124)&amp;"' AS TIPOLOGIA_TESTE,'"&amp;D124&amp;"' AS TABELA_LT,'N/A' AS TABELA_SIMUL,'"&amp;F124&amp;"' AS CAMPO, "&amp;"'${ref_date}' AS REF_DATE, COUNT(*) AS NUM_REG, SUM(IF(TRIM(CAST(X."&amp;F124&amp;" AS STRING)) IN ('N/A','11111111111','11111111111.00','11111111111.000000','1111-11-11'),1,0)) AS NUM_REG_DIF,'"&amp;MAX('ID1&amp;5'!K:K)+1&amp;"' AS ID_EXEC, CURRENT_TIMESTAMP() AS TIME_EXEC FROM "&amp;I124,
IF(C124="Valores extremos",+"SELECT '"&amp;UPPER(B124)&amp;"' AS TABELA, '"&amp;UPPER(C124)&amp;"' AS TIPOLOGIA_TESTE,'"&amp;D124&amp;"' AS TABELA_LT,'N/A' AS TABELA_SIMUL,'"&amp;F124&amp;"' AS CAMPO, "&amp;"'${ref_date}' AS REF_DATE, CAST(MIN("&amp;F124&amp;") AS STRING) AS VALOR_MIN, CAST(MAX("&amp;F124&amp;") AS STRING) AS VALOR_MAX,'"&amp;MAX('ID1&amp;5'!K:K)+1&amp;"' AS ID_EXEC, CURRENT_TIMESTAMP() AS TIME_EXEC FROM "&amp;MID(I124,1,LEN(I124)-2)&amp;" AND CAST("&amp;F124&amp;"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TABELA_SIMUL,'DT_INCPTN' AS CAMPO, '${ref_date}' AS REF_DATE, COUNT(*) AS NUM_REG, SUM(IF(COALESCE(CAST(X.DT_INCPTN AS STRING),'')&lt;&gt;COALESCE(CAST(Y.DT_INCPTN_SIMUL AS STRING),'') OR (X.DT_INCPTN IS NULL AND Y.DT_INCPTN_SIMUL IS NOT NULL ) OR (X.DT_INCPTN IS NOT NULL AND Y.DT_INCPTN_SIMUL IS NULL),1,0)) AS NUM_REG_DIF,'1' AS ID_EXEC, CURRENT_TIMESTAMP() AS TIME_EXEC FROM (SELECT instrmnt_id, DT_INCPTN FROM CD_LOAN_TAPES_BCE.LT002_INSTRUMENT WHERE ref_date='${ref_date}' AND nome_perimetro='Individual Corporativo' AND segmento='ESTR' AND ambito='PM' AND entidade='00100')X INNER JOIN (SELECT instrmnt_id AS instrmnt_id_SIMUL, DT_INCPTN AS DT_INCPTN_SIMUL FROM BU_LOANTAPE_WORK.LT002_INSTRUMENT WHERE ref_date='${ref_date}' AND nome_perimetro='Individual Corporativo' AND segmento='ESTR' AND ambito='PM' AND entidade='00100')Y ON X.INSTRMNT_ID=Y.INSTRMNT_ID_SIMUL</v>
      </c>
      <c r="M124" s="36" t="str">
        <f t="shared" si="2"/>
        <v>UNION ALL SELECT 'INSTRUMENT' AS TABELA, 'COERÊNCIA' AS TIPOLOGIA_TESTE,'CD_LOAN_TAPES_BCE.LT002_INSTRUMENT' AS TABELA_LT,'BU_LOANTAPE_WORK.LT002_INSTRUMENT' AS TABELA_SIMUL,'DT_INCPTN' AS CAMPO, '${ref_date}' AS REF_DATE, COUNT(*) AS NUM_REG, SUM(IF(COALESCE(CAST(X.DT_INCPTN AS STRING),'')&lt;&gt;COALESCE(CAST(Y.DT_INCPTN_SIMUL AS STRING),'') OR (X.DT_INCPTN IS NULL AND Y.DT_INCPTN_SIMUL IS NOT NULL ) OR (X.DT_INCPTN IS NOT NULL AND Y.DT_INCPTN_SIMUL IS NULL),1,0)) AS NUM_REG_DIF,'1' AS ID_EXEC, CURRENT_TIMESTAMP() AS TIME_EXEC FROM (SELECT instrmnt_id, DT_INCPTN FROM CD_LOAN_TAPES_BCE.LT002_INSTRUMENT WHERE ref_date='${ref_date}' AND nome_perimetro='Individual Corporativo' AND segmento='ESTR' AND ambito='PM' AND entidade='00100')X INNER JOIN (SELECT instrmnt_id AS instrmnt_id_SIMUL, DT_INCPTN AS DT_INCPTN_SIMUL FROM BU_LOANTAPE_WORK.LT002_INSTRUMENT WHERE ref_date='${ref_date}' AND nome_perimetro='Individual Corporativo' AND segmento='ESTR' AND ambito='PM' AND entidade='00100')Y ON X.INSTRMNT_ID=Y.INSTRMNT_ID_SIMUL</v>
      </c>
      <c r="N124" s="38" t="s">
        <v>46</v>
      </c>
    </row>
    <row r="125" spans="2:14" hidden="1">
      <c r="B125" s="34" t="s">
        <v>126</v>
      </c>
      <c r="C125" s="34" t="s">
        <v>5</v>
      </c>
      <c r="D125" s="34" t="str">
        <f>+UPPER('0. Instruções'!$D$35&amp;"."&amp;VLOOKUP(B125,'0. Instruções'!$C$27:$D$32,2,FALSE))</f>
        <v>CD_LOAN_TAPES_BCE.LT002_INSTRUMENT</v>
      </c>
      <c r="E125" s="34" t="str">
        <f>+UPPER('0. Instruções'!$D$36&amp;"."&amp;VLOOKUP(B125,'0. Instruções'!$C$27:$E$32,3,FALSE))</f>
        <v>BU_LOANTAPE_WORK.LT002_INSTRUMENT</v>
      </c>
      <c r="F125" s="34" t="s">
        <v>427</v>
      </c>
      <c r="G125" s="34"/>
      <c r="H125" s="34" t="s">
        <v>651</v>
      </c>
      <c r="I125" s="34" t="str">
        <f>"(SELECT "&amp;VLOOKUP(B125,'0. Instruções'!$C$27:$G$32,4,FALSE)&amp;", "&amp;F125&amp;" FROM "&amp;D125&amp;" WHERE "&amp;'0. Instruções'!$D$42&amp;")X"</f>
        <v>(SELECT instrmnt_id, OBSRVD_AGNT_ID FROM CD_LOAN_TAPES_BCE.LT002_INSTRUMENT WHERE ref_date='${ref_date}' AND nome_perimetro='Individual Corporativo' AND segmento='ESTR' AND ambito='PM' AND entidade='00100')X</v>
      </c>
      <c r="J125" s="34" t="str">
        <f>"(SELECT "&amp;VLOOKUP(B125,'0. Instruções'!$C$27:$G$32,4,FALSE)&amp;" AS "&amp;VLOOKUP(B125,'0. Instruções'!$C$27:$G$32,4,FALSE)&amp;"_SIMUL, "&amp;F125&amp;" AS "&amp;F125&amp;"_SIMUL FROM "&amp;E125&amp;" WHERE "&amp;'0. Instruções'!$D$43&amp;")Y"</f>
        <v>(SELECT instrmnt_id AS instrmnt_id_SIMUL, OBSRVD_AGNT_ID AS OBSRVD_AGNT_ID_SIMUL FROM BU_LOANTAPE_WORK.LT002_INSTRUMENT WHERE ref_date='${ref_date}' AND nome_perimetro='Individual Corporativo' AND segmento='ESTR' AND ambito='PM' AND entidade='00100')Y</v>
      </c>
      <c r="K125" s="35" t="str">
        <f>+UPPER("ON X."&amp;VLOOKUP(B125,'0. Instruções'!$C$27:$G$32,4,FALSE)&amp;"=Y."&amp;VLOOKUP(B125,'0. Instruções'!$C$27:$G$32,4,FALSE)&amp;"_SIMUL")</f>
        <v>ON X.INSTRMNT_ID=Y.INSTRMNT_ID_SIMUL</v>
      </c>
      <c r="L125" s="35" t="str">
        <f>+IF(C125="Coerência", +IF(LEFT(G125,5)="FLOAT","SELECT '"&amp;UPPER(B125)&amp;"' AS TABELA, '"&amp;UPPER(C125)&amp;"' AS TIPOLOGIA_TESTE,'"&amp;D125&amp;"' AS TABELA_LT,'"&amp;E125&amp;"' AS TABELA_SIMUL,'"&amp;F125&amp;"' AS CAMPO, "&amp;"'${ref_date}' AS REF_DATE, COUNT(*) AS NUM_REG, SUM(IF((ABS(COALESCE(CAST(X."&amp;F125&amp;" AS DECIMAL(18,6)),0)-COALESCE(CAST(Y."&amp;F125&amp;"_SIMUL AS DECIMAL(18,6)),0))&gt;0.000001) OR (X."&amp;F125&amp;" IS NULL AND Y."&amp;F125&amp;"_SIMUL IS NOT NULL ) OR (X."&amp;F125&amp;" IS NOT NULL AND Y."&amp;F125&amp;"_SIMUL IS NULL),1,0)) AS NUM_REG_DIF,'"&amp;MAX('ID1&amp;5'!K:K)+1&amp;"' AS ID_EXEC, CURRENT_TIMESTAMP() AS TIME_EXEC FROM "&amp;I125&amp;" INNER JOIN "&amp;J125&amp;" "&amp;K125,"SELECT '"&amp;UPPER(B125)&amp;"' AS TABELA, '"&amp;UPPER(C125)&amp;"' AS TIPOLOGIA_TESTE,'"&amp;D125&amp;"' AS TABELA_LT,'"&amp;E125&amp;"' AS TABELA_SIMUL,'"&amp;F125&amp;"' AS CAMPO, "&amp;"'${ref_date}' AS REF_DATE, COUNT(*) AS NUM_REG, SUM(IF(COALESCE(CAST(X."&amp;F125&amp;" AS STRING),'')&lt;&gt;COALESCE(CAST(Y."&amp;F125&amp;"_SIMUL AS STRING),'') OR (X."&amp;F125&amp;" IS NULL AND Y."&amp;F125&amp;"_SIMUL IS NOT NULL ) OR (X."&amp;F125&amp;" IS NOT NULL AND Y."&amp;F125&amp;"_SIMUL IS NULL),1,0)) AS NUM_REG_DIF,'"&amp;MAX('ID1&amp;5'!L:L)+1&amp;"' AS ID_EXEC, CURRENT_TIMESTAMP() AS TIME_EXEC FROM "&amp;I125&amp;" INNER JOIN "&amp;J125&amp;" "&amp;K125),
IF(C125="Validade",+IF(G125="Code List","SELECT '"&amp;UPPER(B125)&amp;"' AS TABELA, '"&amp;UPPER(C125)&amp;"' AS TIPOLOGIA_TESTE,'"&amp;D125&amp;"' AS TABELA_LT,'N/A' AS TABELA_SIMUL,'"&amp;F125&amp;"' AS CAMPO, "&amp;"'${ref_date}' AS REF_DATE, COUNT(*) AS NUM_REG, SUM(IF(TRIM(CAST(X."&amp;F125&amp;" AS STRING))='' OR TRIM(CAST(X."&amp;F125&amp;" AS STRING)) IS NULL OR CAST(X."&amp;F125&amp;" AS STRING) NOT "&amp;H125&amp;",1,0)) AS NUM_REG_DIF,'"&amp;MAX('ID1&amp;5'!K:K)+1&amp;"' AS ID_EXEC, CURRENT_TIMESTAMP() AS TIME_EXEC FROM "&amp;I125,"SELECT '"&amp;UPPER(B125)&amp;"' AS TABELA, '"&amp;UPPER(C125)&amp;"' AS TIPOLOGIA_TESTE,'"&amp;D125&amp;"' AS TABELA_LT,'N/A' AS TABELA_SIMUL,'"&amp;F125&amp;"' AS CAMPO, "&amp;"'${ref_date}' AS REF_DATE, COUNT(*) AS NUM_REG, SUM(IF(TRIM(CAST(X."&amp;F125&amp;" AS STRING))='' OR TRIM(CAST(X."&amp;F125&amp;" AS STRING)) IS NULL,1,0)) AS NUM_REG_DIF,'"&amp;MAX('ID1&amp;5'!K:K)+1&amp;"' AS ID_EXEC, CURRENT_TIMESTAMP() AS TIME_EXEC FROM "&amp;I125),
IF(C125="Caracteres Especiais",+"SELECT '"&amp;UPPER(B125)&amp;"' AS TABELA, '"&amp;UPPER(C125)&amp;"' AS TIPOLOGIA_TESTE,'"&amp;D125&amp;"' AS TABELA_LT,'N/A' AS TABELA_SIMUL,'"&amp;F125&amp;"' AS CAMPO, "&amp;"'${ref_date}' AS REF_DATE, COUNT(*) AS NUM_REG, SUM(IF(REGEXP_REPLACE(TRIM(CAST(X."&amp;F125&amp;" AS STRING)),'[^a-zA-Z0-9_\\s]','') &lt;&gt;TRIM(CAST(X."&amp;F125&amp;" AS STRING)),1,0)) AS NUM_REG_DIF,'"&amp;MAX('ID1&amp;5'!K:K)+1&amp;"' AS ID_EXEC, CURRENT_TIMESTAMP() AS TIME_EXEC FROM "&amp;I125,
IF(C125="Missings",+"SELECT '"&amp;UPPER(B125)&amp;"' AS TABELA, '"&amp;UPPER(C125)&amp;"' AS TIPOLOGIA_TESTE,'"&amp;D125&amp;"' AS TABELA_LT,'N/A' AS TABELA_SIMUL,'"&amp;F125&amp;"' AS CAMPO, "&amp;"'${ref_date}' AS REF_DATE, COUNT(*) AS NUM_REG, SUM(IF(TRIM(CAST(X."&amp;F125&amp;" AS STRING)) IN ('0000-00-00','0001-01-01','9999-12-31','MISS','00000','99999999999','99999999999.00','99999999999.000000'),1,0)) AS NUM_REG_DIF,'"&amp;MAX('ID1&amp;5'!K:K)+1&amp;"' AS ID_EXEC, CURRENT_TIMESTAMP() AS TIME_EXEC FROM "&amp;I125,
IF(C125="Not applicable",+"SELECT '"&amp;UPPER(B125)&amp;"' AS TABELA, '"&amp;UPPER(C125)&amp;"' AS TIPOLOGIA_TESTE,'"&amp;D125&amp;"' AS TABELA_LT,'N/A' AS TABELA_SIMUL,'"&amp;F125&amp;"' AS CAMPO, "&amp;"'${ref_date}' AS REF_DATE, COUNT(*) AS NUM_REG, SUM(IF(TRIM(CAST(X."&amp;F125&amp;" AS STRING)) IN ('N/A','11111111111','11111111111.00','11111111111.000000','1111-11-11'),1,0)) AS NUM_REG_DIF,'"&amp;MAX('ID1&amp;5'!K:K)+1&amp;"' AS ID_EXEC, CURRENT_TIMESTAMP() AS TIME_EXEC FROM "&amp;I125,
IF(C125="Valores extremos",+"SELECT '"&amp;UPPER(B125)&amp;"' AS TABELA, '"&amp;UPPER(C125)&amp;"' AS TIPOLOGIA_TESTE,'"&amp;D125&amp;"' AS TABELA_LT,'N/A' AS TABELA_SIMUL,'"&amp;F125&amp;"' AS CAMPO, "&amp;"'${ref_date}' AS REF_DATE, CAST(MIN("&amp;F125&amp;") AS STRING) AS VALOR_MIN, CAST(MAX("&amp;F125&amp;") AS STRING) AS VALOR_MAX,'"&amp;MAX('ID1&amp;5'!K:K)+1&amp;"' AS ID_EXEC, CURRENT_TIMESTAMP() AS TIME_EXEC FROM "&amp;MID(I125,1,LEN(I125)-2)&amp;" AND CAST("&amp;F125&amp;"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TABELA_SIMUL,'OBSRVD_AGNT_ID' AS CAMPO, '${ref_date}' AS REF_DATE, COUNT(*) AS NUM_REG, SUM(IF(COALESCE(CAST(X.OBSRVD_AGNT_ID AS STRING),'')&lt;&gt;COALESCE(CAST(Y.OBSRVD_AGNT_ID_SIMUL AS STRING),'') OR (X.OBSRVD_AGNT_ID IS NULL AND Y.OBSRVD_AGNT_ID_SIMUL IS NOT NULL ) OR (X.OBSRVD_AGNT_ID IS NOT NULL AND Y.OBSRVD_AGNT_ID_SIMUL IS NULL),1,0)) AS NUM_REG_DIF,'1' AS ID_EXEC, CURRENT_TIMESTAMP() AS TIME_EXEC FROM (SELECT instrmnt_id, OBSRVD_AGNT_ID FROM CD_LOAN_TAPES_BCE.LT002_INSTRUMENT WHERE ref_date='${ref_date}' AND nome_perimetro='Individual Corporativo' AND segmento='ESTR' AND ambito='PM' AND entidade='00100')X INNER JOIN (SELECT instrmnt_id AS instrmnt_id_SIMUL, OBSRVD_AGNT_ID AS OBSRVD_AGNT_ID_SIMUL FROM BU_LOANTAPE_WORK.LT002_INSTRUMENT WHERE ref_date='${ref_date}' AND nome_perimetro='Individual Corporativo' AND segmento='ESTR' AND ambito='PM' AND entidade='00100')Y ON X.INSTRMNT_ID=Y.INSTRMNT_ID_SIMUL</v>
      </c>
      <c r="M125" s="36" t="str">
        <f t="shared" si="2"/>
        <v>UNION ALL SELECT 'INSTRUMENT' AS TABELA, 'COERÊNCIA' AS TIPOLOGIA_TESTE,'CD_LOAN_TAPES_BCE.LT002_INSTRUMENT' AS TABELA_LT,'BU_LOANTAPE_WORK.LT002_INSTRUMENT' AS TABELA_SIMUL,'OBSRVD_AGNT_ID' AS CAMPO, '${ref_date}' AS REF_DATE, COUNT(*) AS NUM_REG, SUM(IF(COALESCE(CAST(X.OBSRVD_AGNT_ID AS STRING),'')&lt;&gt;COALESCE(CAST(Y.OBSRVD_AGNT_ID_SIMUL AS STRING),'') OR (X.OBSRVD_AGNT_ID IS NULL AND Y.OBSRVD_AGNT_ID_SIMUL IS NOT NULL ) OR (X.OBSRVD_AGNT_ID IS NOT NULL AND Y.OBSRVD_AGNT_ID_SIMUL IS NULL),1,0)) AS NUM_REG_DIF,'1' AS ID_EXEC, CURRENT_TIMESTAMP() AS TIME_EXEC FROM (SELECT instrmnt_id, OBSRVD_AGNT_ID FROM CD_LOAN_TAPES_BCE.LT002_INSTRUMENT WHERE ref_date='${ref_date}' AND nome_perimetro='Individual Corporativo' AND segmento='ESTR' AND ambito='PM' AND entidade='00100')X INNER JOIN (SELECT instrmnt_id AS instrmnt_id_SIMUL, OBSRVD_AGNT_ID AS OBSRVD_AGNT_ID_SIMUL FROM BU_LOANTAPE_WORK.LT002_INSTRUMENT WHERE ref_date='${ref_date}' AND nome_perimetro='Individual Corporativo' AND segmento='ESTR' AND ambito='PM' AND entidade='00100')Y ON X.INSTRMNT_ID=Y.INSTRMNT_ID_SIMUL</v>
      </c>
      <c r="N125" s="38" t="s">
        <v>46</v>
      </c>
    </row>
    <row r="126" spans="2:14" hidden="1">
      <c r="B126" s="34" t="s">
        <v>126</v>
      </c>
      <c r="C126" s="34" t="s">
        <v>5</v>
      </c>
      <c r="D126" s="34" t="str">
        <f>+UPPER('0. Instruções'!$D$35&amp;"."&amp;VLOOKUP(B126,'0. Instruções'!$C$27:$D$32,2,FALSE))</f>
        <v>CD_LOAN_TAPES_BCE.LT002_INSTRUMENT</v>
      </c>
      <c r="E126" s="34" t="str">
        <f>+UPPER('0. Instruções'!$D$36&amp;"."&amp;VLOOKUP(B126,'0. Instruções'!$C$27:$E$32,3,FALSE))</f>
        <v>BU_LOANTAPE_WORK.LT002_INSTRUMENT</v>
      </c>
      <c r="F126" s="34" t="s">
        <v>428</v>
      </c>
      <c r="G126" s="34"/>
      <c r="H126" s="34" t="s">
        <v>646</v>
      </c>
      <c r="I126" s="34" t="str">
        <f>"(SELECT "&amp;VLOOKUP(B126,'0. Instruções'!$C$27:$G$32,4,FALSE)&amp;", "&amp;F126&amp;" FROM "&amp;D126&amp;" WHERE "&amp;'0. Instruções'!$D$42&amp;")X"</f>
        <v>(SELECT instrmnt_id, OBSRVD_AGNT_NM FROM CD_LOAN_TAPES_BCE.LT002_INSTRUMENT WHERE ref_date='${ref_date}' AND nome_perimetro='Individual Corporativo' AND segmento='ESTR' AND ambito='PM' AND entidade='00100')X</v>
      </c>
      <c r="J126" s="34" t="str">
        <f>"(SELECT "&amp;VLOOKUP(B126,'0. Instruções'!$C$27:$G$32,4,FALSE)&amp;" AS "&amp;VLOOKUP(B126,'0. Instruções'!$C$27:$G$32,4,FALSE)&amp;"_SIMUL, "&amp;F126&amp;" AS "&amp;F126&amp;"_SIMUL FROM "&amp;E126&amp;" WHERE "&amp;'0. Instruções'!$D$43&amp;")Y"</f>
        <v>(SELECT instrmnt_id AS instrmnt_id_SIMUL, OBSRVD_AGNT_NM AS OBSRVD_AGNT_NM_SIMUL FROM BU_LOANTAPE_WORK.LT002_INSTRUMENT WHERE ref_date='${ref_date}' AND nome_perimetro='Individual Corporativo' AND segmento='ESTR' AND ambito='PM' AND entidade='00100')Y</v>
      </c>
      <c r="K126" s="35" t="str">
        <f>+UPPER("ON X."&amp;VLOOKUP(B126,'0. Instruções'!$C$27:$G$32,4,FALSE)&amp;"=Y."&amp;VLOOKUP(B126,'0. Instruções'!$C$27:$G$32,4,FALSE)&amp;"_SIMUL")</f>
        <v>ON X.INSTRMNT_ID=Y.INSTRMNT_ID_SIMUL</v>
      </c>
      <c r="L126" s="35" t="str">
        <f>+IF(C126="Coerência", +IF(LEFT(G126,5)="FLOAT","SELECT '"&amp;UPPER(B126)&amp;"' AS TABELA, '"&amp;UPPER(C126)&amp;"' AS TIPOLOGIA_TESTE,'"&amp;D126&amp;"' AS TABELA_LT,'"&amp;E126&amp;"' AS TABELA_SIMUL,'"&amp;F126&amp;"' AS CAMPO, "&amp;"'${ref_date}' AS REF_DATE, COUNT(*) AS NUM_REG, SUM(IF((ABS(COALESCE(CAST(X."&amp;F126&amp;" AS DECIMAL(18,6)),0)-COALESCE(CAST(Y."&amp;F126&amp;"_SIMUL AS DECIMAL(18,6)),0))&gt;0.000001) OR (X."&amp;F126&amp;" IS NULL AND Y."&amp;F126&amp;"_SIMUL IS NOT NULL ) OR (X."&amp;F126&amp;" IS NOT NULL AND Y."&amp;F126&amp;"_SIMUL IS NULL),1,0)) AS NUM_REG_DIF,'"&amp;MAX('ID1&amp;5'!K:K)+1&amp;"' AS ID_EXEC, CURRENT_TIMESTAMP() AS TIME_EXEC FROM "&amp;I126&amp;" INNER JOIN "&amp;J126&amp;" "&amp;K126,"SELECT '"&amp;UPPER(B126)&amp;"' AS TABELA, '"&amp;UPPER(C126)&amp;"' AS TIPOLOGIA_TESTE,'"&amp;D126&amp;"' AS TABELA_LT,'"&amp;E126&amp;"' AS TABELA_SIMUL,'"&amp;F126&amp;"' AS CAMPO, "&amp;"'${ref_date}' AS REF_DATE, COUNT(*) AS NUM_REG, SUM(IF(COALESCE(CAST(X."&amp;F126&amp;" AS STRING),'')&lt;&gt;COALESCE(CAST(Y."&amp;F126&amp;"_SIMUL AS STRING),'') OR (X."&amp;F126&amp;" IS NULL AND Y."&amp;F126&amp;"_SIMUL IS NOT NULL ) OR (X."&amp;F126&amp;" IS NOT NULL AND Y."&amp;F126&amp;"_SIMUL IS NULL),1,0)) AS NUM_REG_DIF,'"&amp;MAX('ID1&amp;5'!L:L)+1&amp;"' AS ID_EXEC, CURRENT_TIMESTAMP() AS TIME_EXEC FROM "&amp;I126&amp;" INNER JOIN "&amp;J126&amp;" "&amp;K126),
IF(C126="Validade",+IF(G126="Code List","SELECT '"&amp;UPPER(B126)&amp;"' AS TABELA, '"&amp;UPPER(C126)&amp;"' AS TIPOLOGIA_TESTE,'"&amp;D126&amp;"' AS TABELA_LT,'N/A' AS TABELA_SIMUL,'"&amp;F126&amp;"' AS CAMPO, "&amp;"'${ref_date}' AS REF_DATE, COUNT(*) AS NUM_REG, SUM(IF(TRIM(CAST(X."&amp;F126&amp;" AS STRING))='' OR TRIM(CAST(X."&amp;F126&amp;" AS STRING)) IS NULL OR CAST(X."&amp;F126&amp;" AS STRING) NOT "&amp;H126&amp;",1,0)) AS NUM_REG_DIF,'"&amp;MAX('ID1&amp;5'!K:K)+1&amp;"' AS ID_EXEC, CURRENT_TIMESTAMP() AS TIME_EXEC FROM "&amp;I126,"SELECT '"&amp;UPPER(B126)&amp;"' AS TABELA, '"&amp;UPPER(C126)&amp;"' AS TIPOLOGIA_TESTE,'"&amp;D126&amp;"' AS TABELA_LT,'N/A' AS TABELA_SIMUL,'"&amp;F126&amp;"' AS CAMPO, "&amp;"'${ref_date}' AS REF_DATE, COUNT(*) AS NUM_REG, SUM(IF(TRIM(CAST(X."&amp;F126&amp;" AS STRING))='' OR TRIM(CAST(X."&amp;F126&amp;" AS STRING)) IS NULL,1,0)) AS NUM_REG_DIF,'"&amp;MAX('ID1&amp;5'!K:K)+1&amp;"' AS ID_EXEC, CURRENT_TIMESTAMP() AS TIME_EXEC FROM "&amp;I126),
IF(C126="Caracteres Especiais",+"SELECT '"&amp;UPPER(B126)&amp;"' AS TABELA, '"&amp;UPPER(C126)&amp;"' AS TIPOLOGIA_TESTE,'"&amp;D126&amp;"' AS TABELA_LT,'N/A' AS TABELA_SIMUL,'"&amp;F126&amp;"' AS CAMPO, "&amp;"'${ref_date}' AS REF_DATE, COUNT(*) AS NUM_REG, SUM(IF(REGEXP_REPLACE(TRIM(CAST(X."&amp;F126&amp;" AS STRING)),'[^a-zA-Z0-9_\\s]','') &lt;&gt;TRIM(CAST(X."&amp;F126&amp;" AS STRING)),1,0)) AS NUM_REG_DIF,'"&amp;MAX('ID1&amp;5'!K:K)+1&amp;"' AS ID_EXEC, CURRENT_TIMESTAMP() AS TIME_EXEC FROM "&amp;I126,
IF(C126="Missings",+"SELECT '"&amp;UPPER(B126)&amp;"' AS TABELA, '"&amp;UPPER(C126)&amp;"' AS TIPOLOGIA_TESTE,'"&amp;D126&amp;"' AS TABELA_LT,'N/A' AS TABELA_SIMUL,'"&amp;F126&amp;"' AS CAMPO, "&amp;"'${ref_date}' AS REF_DATE, COUNT(*) AS NUM_REG, SUM(IF(TRIM(CAST(X."&amp;F126&amp;" AS STRING)) IN ('0000-00-00','0001-01-01','9999-12-31','MISS','00000','99999999999','99999999999.00','99999999999.000000'),1,0)) AS NUM_REG_DIF,'"&amp;MAX('ID1&amp;5'!K:K)+1&amp;"' AS ID_EXEC, CURRENT_TIMESTAMP() AS TIME_EXEC FROM "&amp;I126,
IF(C126="Not applicable",+"SELECT '"&amp;UPPER(B126)&amp;"' AS TABELA, '"&amp;UPPER(C126)&amp;"' AS TIPOLOGIA_TESTE,'"&amp;D126&amp;"' AS TABELA_LT,'N/A' AS TABELA_SIMUL,'"&amp;F126&amp;"' AS CAMPO, "&amp;"'${ref_date}' AS REF_DATE, COUNT(*) AS NUM_REG, SUM(IF(TRIM(CAST(X."&amp;F126&amp;" AS STRING)) IN ('N/A','11111111111','11111111111.00','11111111111.000000','1111-11-11'),1,0)) AS NUM_REG_DIF,'"&amp;MAX('ID1&amp;5'!K:K)+1&amp;"' AS ID_EXEC, CURRENT_TIMESTAMP() AS TIME_EXEC FROM "&amp;I126,
IF(C126="Valores extremos",+"SELECT '"&amp;UPPER(B126)&amp;"' AS TABELA, '"&amp;UPPER(C126)&amp;"' AS TIPOLOGIA_TESTE,'"&amp;D126&amp;"' AS TABELA_LT,'N/A' AS TABELA_SIMUL,'"&amp;F126&amp;"' AS CAMPO, "&amp;"'${ref_date}' AS REF_DATE, CAST(MIN("&amp;F126&amp;") AS STRING) AS VALOR_MIN, CAST(MAX("&amp;F126&amp;") AS STRING) AS VALOR_MAX,'"&amp;MAX('ID1&amp;5'!K:K)+1&amp;"' AS ID_EXEC, CURRENT_TIMESTAMP() AS TIME_EXEC FROM "&amp;MID(I126,1,LEN(I126)-2)&amp;" AND CAST("&amp;F126&amp;"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TABELA_SIMUL,'OBSRVD_AGNT_NM' AS CAMPO, '${ref_date}' AS REF_DATE, COUNT(*) AS NUM_REG, SUM(IF(COALESCE(CAST(X.OBSRVD_AGNT_NM AS STRING),'')&lt;&gt;COALESCE(CAST(Y.OBSRVD_AGNT_NM_SIMUL AS STRING),'') OR (X.OBSRVD_AGNT_NM IS NULL AND Y.OBSRVD_AGNT_NM_SIMUL IS NOT NULL ) OR (X.OBSRVD_AGNT_NM IS NOT NULL AND Y.OBSRVD_AGNT_NM_SIMUL IS NULL),1,0)) AS NUM_REG_DIF,'1' AS ID_EXEC, CURRENT_TIMESTAMP() AS TIME_EXEC FROM (SELECT instrmnt_id, OBSRVD_AGNT_NM FROM CD_LOAN_TAPES_BCE.LT002_INSTRUMENT WHERE ref_date='${ref_date}' AND nome_perimetro='Individual Corporativo' AND segmento='ESTR' AND ambito='PM' AND entidade='00100')X INNER JOIN (SELECT instrmnt_id AS instrmnt_id_SIMUL, OBSRVD_AGNT_NM AS OBSRVD_AGNT_NM_SIMUL FROM BU_LOANTAPE_WORK.LT002_INSTRUMENT WHERE ref_date='${ref_date}' AND nome_perimetro='Individual Corporativo' AND segmento='ESTR' AND ambito='PM' AND entidade='00100')Y ON X.INSTRMNT_ID=Y.INSTRMNT_ID_SIMUL</v>
      </c>
      <c r="M126" s="36" t="str">
        <f t="shared" si="2"/>
        <v>UNION ALL SELECT 'INSTRUMENT' AS TABELA, 'COERÊNCIA' AS TIPOLOGIA_TESTE,'CD_LOAN_TAPES_BCE.LT002_INSTRUMENT' AS TABELA_LT,'BU_LOANTAPE_WORK.LT002_INSTRUMENT' AS TABELA_SIMUL,'OBSRVD_AGNT_NM' AS CAMPO, '${ref_date}' AS REF_DATE, COUNT(*) AS NUM_REG, SUM(IF(COALESCE(CAST(X.OBSRVD_AGNT_NM AS STRING),'')&lt;&gt;COALESCE(CAST(Y.OBSRVD_AGNT_NM_SIMUL AS STRING),'') OR (X.OBSRVD_AGNT_NM IS NULL AND Y.OBSRVD_AGNT_NM_SIMUL IS NOT NULL ) OR (X.OBSRVD_AGNT_NM IS NOT NULL AND Y.OBSRVD_AGNT_NM_SIMUL IS NULL),1,0)) AS NUM_REG_DIF,'1' AS ID_EXEC, CURRENT_TIMESTAMP() AS TIME_EXEC FROM (SELECT instrmnt_id, OBSRVD_AGNT_NM FROM CD_LOAN_TAPES_BCE.LT002_INSTRUMENT WHERE ref_date='${ref_date}' AND nome_perimetro='Individual Corporativo' AND segmento='ESTR' AND ambito='PM' AND entidade='00100')X INNER JOIN (SELECT instrmnt_id AS instrmnt_id_SIMUL, OBSRVD_AGNT_NM AS OBSRVD_AGNT_NM_SIMUL FROM BU_LOANTAPE_WORK.LT002_INSTRUMENT WHERE ref_date='${ref_date}' AND nome_perimetro='Individual Corporativo' AND segmento='ESTR' AND ambito='PM' AND entidade='00100')Y ON X.INSTRMNT_ID=Y.INSTRMNT_ID_SIMUL</v>
      </c>
      <c r="N126" s="38" t="s">
        <v>46</v>
      </c>
    </row>
    <row r="127" spans="2:14" hidden="1">
      <c r="B127" s="34" t="s">
        <v>126</v>
      </c>
      <c r="C127" s="34" t="s">
        <v>5</v>
      </c>
      <c r="D127" s="34" t="str">
        <f>+UPPER('0. Instruções'!$D$35&amp;"."&amp;VLOOKUP(B127,'0. Instruções'!$C$27:$D$32,2,FALSE))</f>
        <v>CD_LOAN_TAPES_BCE.LT002_INSTRUMENT</v>
      </c>
      <c r="E127" s="34" t="str">
        <f>+UPPER('0. Instruções'!$D$36&amp;"."&amp;VLOOKUP(B127,'0. Instruções'!$C$27:$E$32,3,FALSE))</f>
        <v>BU_LOANTAPE_WORK.LT002_INSTRUMENT</v>
      </c>
      <c r="F127" s="34" t="s">
        <v>429</v>
      </c>
      <c r="G127" s="34"/>
      <c r="H127" s="34" t="s">
        <v>646</v>
      </c>
      <c r="I127" s="34" t="str">
        <f>"(SELECT "&amp;VLOOKUP(B127,'0. Instruções'!$C$27:$G$32,4,FALSE)&amp;", "&amp;F127&amp;" FROM "&amp;D127&amp;" WHERE "&amp;'0. Instruções'!$D$42&amp;")X"</f>
        <v>(SELECT instrmnt_id, PRDCT FROM CD_LOAN_TAPES_BCE.LT002_INSTRUMENT WHERE ref_date='${ref_date}' AND nome_perimetro='Individual Corporativo' AND segmento='ESTR' AND ambito='PM' AND entidade='00100')X</v>
      </c>
      <c r="J127" s="34" t="str">
        <f>"(SELECT "&amp;VLOOKUP(B127,'0. Instruções'!$C$27:$G$32,4,FALSE)&amp;" AS "&amp;VLOOKUP(B127,'0. Instruções'!$C$27:$G$32,4,FALSE)&amp;"_SIMUL, "&amp;F127&amp;" AS "&amp;F127&amp;"_SIMUL FROM "&amp;E127&amp;" WHERE "&amp;'0. Instruções'!$D$43&amp;")Y"</f>
        <v>(SELECT instrmnt_id AS instrmnt_id_SIMUL, PRDCT AS PRDCT_SIMUL FROM BU_LOANTAPE_WORK.LT002_INSTRUMENT WHERE ref_date='${ref_date}' AND nome_perimetro='Individual Corporativo' AND segmento='ESTR' AND ambito='PM' AND entidade='00100')Y</v>
      </c>
      <c r="K127" s="35" t="str">
        <f>+UPPER("ON X."&amp;VLOOKUP(B127,'0. Instruções'!$C$27:$G$32,4,FALSE)&amp;"=Y."&amp;VLOOKUP(B127,'0. Instruções'!$C$27:$G$32,4,FALSE)&amp;"_SIMUL")</f>
        <v>ON X.INSTRMNT_ID=Y.INSTRMNT_ID_SIMUL</v>
      </c>
      <c r="L127" s="35" t="str">
        <f>+IF(C127="Coerência", +IF(LEFT(G127,5)="FLOAT","SELECT '"&amp;UPPER(B127)&amp;"' AS TABELA, '"&amp;UPPER(C127)&amp;"' AS TIPOLOGIA_TESTE,'"&amp;D127&amp;"' AS TABELA_LT,'"&amp;E127&amp;"' AS TABELA_SIMUL,'"&amp;F127&amp;"' AS CAMPO, "&amp;"'${ref_date}' AS REF_DATE, COUNT(*) AS NUM_REG, SUM(IF((ABS(COALESCE(CAST(X."&amp;F127&amp;" AS DECIMAL(18,6)),0)-COALESCE(CAST(Y."&amp;F127&amp;"_SIMUL AS DECIMAL(18,6)),0))&gt;0.000001) OR (X."&amp;F127&amp;" IS NULL AND Y."&amp;F127&amp;"_SIMUL IS NOT NULL ) OR (X."&amp;F127&amp;" IS NOT NULL AND Y."&amp;F127&amp;"_SIMUL IS NULL),1,0)) AS NUM_REG_DIF,'"&amp;MAX('ID1&amp;5'!K:K)+1&amp;"' AS ID_EXEC, CURRENT_TIMESTAMP() AS TIME_EXEC FROM "&amp;I127&amp;" INNER JOIN "&amp;J127&amp;" "&amp;K127,"SELECT '"&amp;UPPER(B127)&amp;"' AS TABELA, '"&amp;UPPER(C127)&amp;"' AS TIPOLOGIA_TESTE,'"&amp;D127&amp;"' AS TABELA_LT,'"&amp;E127&amp;"' AS TABELA_SIMUL,'"&amp;F127&amp;"' AS CAMPO, "&amp;"'${ref_date}' AS REF_DATE, COUNT(*) AS NUM_REG, SUM(IF(COALESCE(CAST(X."&amp;F127&amp;" AS STRING),'')&lt;&gt;COALESCE(CAST(Y."&amp;F127&amp;"_SIMUL AS STRING),'') OR (X."&amp;F127&amp;" IS NULL AND Y."&amp;F127&amp;"_SIMUL IS NOT NULL ) OR (X."&amp;F127&amp;" IS NOT NULL AND Y."&amp;F127&amp;"_SIMUL IS NULL),1,0)) AS NUM_REG_DIF,'"&amp;MAX('ID1&amp;5'!L:L)+1&amp;"' AS ID_EXEC, CURRENT_TIMESTAMP() AS TIME_EXEC FROM "&amp;I127&amp;" INNER JOIN "&amp;J127&amp;" "&amp;K127),
IF(C127="Validade",+IF(G127="Code List","SELECT '"&amp;UPPER(B127)&amp;"' AS TABELA, '"&amp;UPPER(C127)&amp;"' AS TIPOLOGIA_TESTE,'"&amp;D127&amp;"' AS TABELA_LT,'N/A' AS TABELA_SIMUL,'"&amp;F127&amp;"' AS CAMPO, "&amp;"'${ref_date}' AS REF_DATE, COUNT(*) AS NUM_REG, SUM(IF(TRIM(CAST(X."&amp;F127&amp;" AS STRING))='' OR TRIM(CAST(X."&amp;F127&amp;" AS STRING)) IS NULL OR CAST(X."&amp;F127&amp;" AS STRING) NOT "&amp;H127&amp;",1,0)) AS NUM_REG_DIF,'"&amp;MAX('ID1&amp;5'!K:K)+1&amp;"' AS ID_EXEC, CURRENT_TIMESTAMP() AS TIME_EXEC FROM "&amp;I127,"SELECT '"&amp;UPPER(B127)&amp;"' AS TABELA, '"&amp;UPPER(C127)&amp;"' AS TIPOLOGIA_TESTE,'"&amp;D127&amp;"' AS TABELA_LT,'N/A' AS TABELA_SIMUL,'"&amp;F127&amp;"' AS CAMPO, "&amp;"'${ref_date}' AS REF_DATE, COUNT(*) AS NUM_REG, SUM(IF(TRIM(CAST(X."&amp;F127&amp;" AS STRING))='' OR TRIM(CAST(X."&amp;F127&amp;" AS STRING)) IS NULL,1,0)) AS NUM_REG_DIF,'"&amp;MAX('ID1&amp;5'!K:K)+1&amp;"' AS ID_EXEC, CURRENT_TIMESTAMP() AS TIME_EXEC FROM "&amp;I127),
IF(C127="Caracteres Especiais",+"SELECT '"&amp;UPPER(B127)&amp;"' AS TABELA, '"&amp;UPPER(C127)&amp;"' AS TIPOLOGIA_TESTE,'"&amp;D127&amp;"' AS TABELA_LT,'N/A' AS TABELA_SIMUL,'"&amp;F127&amp;"' AS CAMPO, "&amp;"'${ref_date}' AS REF_DATE, COUNT(*) AS NUM_REG, SUM(IF(REGEXP_REPLACE(TRIM(CAST(X."&amp;F127&amp;" AS STRING)),'[^a-zA-Z0-9_\\s]','') &lt;&gt;TRIM(CAST(X."&amp;F127&amp;" AS STRING)),1,0)) AS NUM_REG_DIF,'"&amp;MAX('ID1&amp;5'!K:K)+1&amp;"' AS ID_EXEC, CURRENT_TIMESTAMP() AS TIME_EXEC FROM "&amp;I127,
IF(C127="Missings",+"SELECT '"&amp;UPPER(B127)&amp;"' AS TABELA, '"&amp;UPPER(C127)&amp;"' AS TIPOLOGIA_TESTE,'"&amp;D127&amp;"' AS TABELA_LT,'N/A' AS TABELA_SIMUL,'"&amp;F127&amp;"' AS CAMPO, "&amp;"'${ref_date}' AS REF_DATE, COUNT(*) AS NUM_REG, SUM(IF(TRIM(CAST(X."&amp;F127&amp;" AS STRING)) IN ('0000-00-00','0001-01-01','9999-12-31','MISS','00000','99999999999','99999999999.00','99999999999.000000'),1,0)) AS NUM_REG_DIF,'"&amp;MAX('ID1&amp;5'!K:K)+1&amp;"' AS ID_EXEC, CURRENT_TIMESTAMP() AS TIME_EXEC FROM "&amp;I127,
IF(C127="Not applicable",+"SELECT '"&amp;UPPER(B127)&amp;"' AS TABELA, '"&amp;UPPER(C127)&amp;"' AS TIPOLOGIA_TESTE,'"&amp;D127&amp;"' AS TABELA_LT,'N/A' AS TABELA_SIMUL,'"&amp;F127&amp;"' AS CAMPO, "&amp;"'${ref_date}' AS REF_DATE, COUNT(*) AS NUM_REG, SUM(IF(TRIM(CAST(X."&amp;F127&amp;" AS STRING)) IN ('N/A','11111111111','11111111111.00','11111111111.000000','1111-11-11'),1,0)) AS NUM_REG_DIF,'"&amp;MAX('ID1&amp;5'!K:K)+1&amp;"' AS ID_EXEC, CURRENT_TIMESTAMP() AS TIME_EXEC FROM "&amp;I127,
IF(C127="Valores extremos",+"SELECT '"&amp;UPPER(B127)&amp;"' AS TABELA, '"&amp;UPPER(C127)&amp;"' AS TIPOLOGIA_TESTE,'"&amp;D127&amp;"' AS TABELA_LT,'N/A' AS TABELA_SIMUL,'"&amp;F127&amp;"' AS CAMPO, "&amp;"'${ref_date}' AS REF_DATE, CAST(MIN("&amp;F127&amp;") AS STRING) AS VALOR_MIN, CAST(MAX("&amp;F127&amp;") AS STRING) AS VALOR_MAX,'"&amp;MAX('ID1&amp;5'!K:K)+1&amp;"' AS ID_EXEC, CURRENT_TIMESTAMP() AS TIME_EXEC FROM "&amp;MID(I127,1,LEN(I127)-2)&amp;" AND CAST("&amp;F127&amp;"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TABELA_SIMUL,'PRDCT' AS CAMPO, '${ref_date}' AS REF_DATE, COUNT(*) AS NUM_REG, SUM(IF(COALESCE(CAST(X.PRDCT AS STRING),'')&lt;&gt;COALESCE(CAST(Y.PRDCT_SIMUL AS STRING),'') OR (X.PRDCT IS NULL AND Y.PRDCT_SIMUL IS NOT NULL ) OR (X.PRDCT IS NOT NULL AND Y.PRDCT_SIMUL IS NULL),1,0)) AS NUM_REG_DIF,'1' AS ID_EXEC, CURRENT_TIMESTAMP() AS TIME_EXEC FROM (SELECT instrmnt_id, PRDCT FROM CD_LOAN_TAPES_BCE.LT002_INSTRUMENT WHERE ref_date='${ref_date}' AND nome_perimetro='Individual Corporativo' AND segmento='ESTR' AND ambito='PM' AND entidade='00100')X INNER JOIN (SELECT instrmnt_id AS instrmnt_id_SIMUL, PRDCT AS PRDCT_SIMUL FROM BU_LOANTAPE_WORK.LT002_INSTRUMENT WHERE ref_date='${ref_date}' AND nome_perimetro='Individual Corporativo' AND segmento='ESTR' AND ambito='PM' AND entidade='00100')Y ON X.INSTRMNT_ID=Y.INSTRMNT_ID_SIMUL</v>
      </c>
      <c r="M127" s="36" t="str">
        <f t="shared" si="2"/>
        <v>UNION ALL SELECT 'INSTRUMENT' AS TABELA, 'COERÊNCIA' AS TIPOLOGIA_TESTE,'CD_LOAN_TAPES_BCE.LT002_INSTRUMENT' AS TABELA_LT,'BU_LOANTAPE_WORK.LT002_INSTRUMENT' AS TABELA_SIMUL,'PRDCT' AS CAMPO, '${ref_date}' AS REF_DATE, COUNT(*) AS NUM_REG, SUM(IF(COALESCE(CAST(X.PRDCT AS STRING),'')&lt;&gt;COALESCE(CAST(Y.PRDCT_SIMUL AS STRING),'') OR (X.PRDCT IS NULL AND Y.PRDCT_SIMUL IS NOT NULL ) OR (X.PRDCT IS NOT NULL AND Y.PRDCT_SIMUL IS NULL),1,0)) AS NUM_REG_DIF,'1' AS ID_EXEC, CURRENT_TIMESTAMP() AS TIME_EXEC FROM (SELECT instrmnt_id, PRDCT FROM CD_LOAN_TAPES_BCE.LT002_INSTRUMENT WHERE ref_date='${ref_date}' AND nome_perimetro='Individual Corporativo' AND segmento='ESTR' AND ambito='PM' AND entidade='00100')X INNER JOIN (SELECT instrmnt_id AS instrmnt_id_SIMUL, PRDCT AS PRDCT_SIMUL FROM BU_LOANTAPE_WORK.LT002_INSTRUMENT WHERE ref_date='${ref_date}' AND nome_perimetro='Individual Corporativo' AND segmento='ESTR' AND ambito='PM' AND entidade='00100')Y ON X.INSTRMNT_ID=Y.INSTRMNT_ID_SIMUL</v>
      </c>
      <c r="N127" s="38" t="s">
        <v>46</v>
      </c>
    </row>
    <row r="128" spans="2:14" hidden="1">
      <c r="B128" s="34" t="s">
        <v>126</v>
      </c>
      <c r="C128" s="34" t="s">
        <v>5</v>
      </c>
      <c r="D128" s="34" t="str">
        <f>+UPPER('0. Instruções'!$D$35&amp;"."&amp;VLOOKUP(B128,'0. Instruções'!$C$27:$D$32,2,FALSE))</f>
        <v>CD_LOAN_TAPES_BCE.LT002_INSTRUMENT</v>
      </c>
      <c r="E128" s="34" t="str">
        <f>+UPPER('0. Instruções'!$D$36&amp;"."&amp;VLOOKUP(B128,'0. Instruções'!$C$27:$E$32,3,FALSE))</f>
        <v>BU_LOANTAPE_WORK.LT002_INSTRUMENT</v>
      </c>
      <c r="F128" s="34" t="s">
        <v>430</v>
      </c>
      <c r="G128" s="34"/>
      <c r="H128" s="34" t="s">
        <v>646</v>
      </c>
      <c r="I128" s="34" t="str">
        <f>"(SELECT "&amp;VLOOKUP(B128,'0. Instruções'!$C$27:$G$32,4,FALSE)&amp;", "&amp;F128&amp;" FROM "&amp;D128&amp;" WHERE "&amp;'0. Instruções'!$D$42&amp;")X"</f>
        <v>(SELECT instrmnt_id, BRCHD_CVNNTS FROM CD_LOAN_TAPES_BCE.LT002_INSTRUMENT WHERE ref_date='${ref_date}' AND nome_perimetro='Individual Corporativo' AND segmento='ESTR' AND ambito='PM' AND entidade='00100')X</v>
      </c>
      <c r="J128" s="34" t="str">
        <f>"(SELECT "&amp;VLOOKUP(B128,'0. Instruções'!$C$27:$G$32,4,FALSE)&amp;" AS "&amp;VLOOKUP(B128,'0. Instruções'!$C$27:$G$32,4,FALSE)&amp;"_SIMUL, "&amp;F128&amp;" AS "&amp;F128&amp;"_SIMUL FROM "&amp;E128&amp;" WHERE "&amp;'0. Instruções'!$D$43&amp;")Y"</f>
        <v>(SELECT instrmnt_id AS instrmnt_id_SIMUL, BRCHD_CVNNTS AS BRCHD_CVNNTS_SIMUL FROM BU_LOANTAPE_WORK.LT002_INSTRUMENT WHERE ref_date='${ref_date}' AND nome_perimetro='Individual Corporativo' AND segmento='ESTR' AND ambito='PM' AND entidade='00100')Y</v>
      </c>
      <c r="K128" s="35" t="str">
        <f>+UPPER("ON X."&amp;VLOOKUP(B128,'0. Instruções'!$C$27:$G$32,4,FALSE)&amp;"=Y."&amp;VLOOKUP(B128,'0. Instruções'!$C$27:$G$32,4,FALSE)&amp;"_SIMUL")</f>
        <v>ON X.INSTRMNT_ID=Y.INSTRMNT_ID_SIMUL</v>
      </c>
      <c r="L128" s="35" t="str">
        <f>+IF(C128="Coerência", +IF(LEFT(G128,5)="FLOAT","SELECT '"&amp;UPPER(B128)&amp;"' AS TABELA, '"&amp;UPPER(C128)&amp;"' AS TIPOLOGIA_TESTE,'"&amp;D128&amp;"' AS TABELA_LT,'"&amp;E128&amp;"' AS TABELA_SIMUL,'"&amp;F128&amp;"' AS CAMPO, "&amp;"'${ref_date}' AS REF_DATE, COUNT(*) AS NUM_REG, SUM(IF((ABS(COALESCE(CAST(X."&amp;F128&amp;" AS DECIMAL(18,6)),0)-COALESCE(CAST(Y."&amp;F128&amp;"_SIMUL AS DECIMAL(18,6)),0))&gt;0.000001) OR (X."&amp;F128&amp;" IS NULL AND Y."&amp;F128&amp;"_SIMUL IS NOT NULL ) OR (X."&amp;F128&amp;" IS NOT NULL AND Y."&amp;F128&amp;"_SIMUL IS NULL),1,0)) AS NUM_REG_DIF,'"&amp;MAX('ID1&amp;5'!K:K)+1&amp;"' AS ID_EXEC, CURRENT_TIMESTAMP() AS TIME_EXEC FROM "&amp;I128&amp;" INNER JOIN "&amp;J128&amp;" "&amp;K128,"SELECT '"&amp;UPPER(B128)&amp;"' AS TABELA, '"&amp;UPPER(C128)&amp;"' AS TIPOLOGIA_TESTE,'"&amp;D128&amp;"' AS TABELA_LT,'"&amp;E128&amp;"' AS TABELA_SIMUL,'"&amp;F128&amp;"' AS CAMPO, "&amp;"'${ref_date}' AS REF_DATE, COUNT(*) AS NUM_REG, SUM(IF(COALESCE(CAST(X."&amp;F128&amp;" AS STRING),'')&lt;&gt;COALESCE(CAST(Y."&amp;F128&amp;"_SIMUL AS STRING),'') OR (X."&amp;F128&amp;" IS NULL AND Y."&amp;F128&amp;"_SIMUL IS NOT NULL ) OR (X."&amp;F128&amp;" IS NOT NULL AND Y."&amp;F128&amp;"_SIMUL IS NULL),1,0)) AS NUM_REG_DIF,'"&amp;MAX('ID1&amp;5'!L:L)+1&amp;"' AS ID_EXEC, CURRENT_TIMESTAMP() AS TIME_EXEC FROM "&amp;I128&amp;" INNER JOIN "&amp;J128&amp;" "&amp;K128),
IF(C128="Validade",+IF(G128="Code List","SELECT '"&amp;UPPER(B128)&amp;"' AS TABELA, '"&amp;UPPER(C128)&amp;"' AS TIPOLOGIA_TESTE,'"&amp;D128&amp;"' AS TABELA_LT,'N/A' AS TABELA_SIMUL,'"&amp;F128&amp;"' AS CAMPO, "&amp;"'${ref_date}' AS REF_DATE, COUNT(*) AS NUM_REG, SUM(IF(TRIM(CAST(X."&amp;F128&amp;" AS STRING))='' OR TRIM(CAST(X."&amp;F128&amp;" AS STRING)) IS NULL OR CAST(X."&amp;F128&amp;" AS STRING) NOT "&amp;H128&amp;",1,0)) AS NUM_REG_DIF,'"&amp;MAX('ID1&amp;5'!K:K)+1&amp;"' AS ID_EXEC, CURRENT_TIMESTAMP() AS TIME_EXEC FROM "&amp;I128,"SELECT '"&amp;UPPER(B128)&amp;"' AS TABELA, '"&amp;UPPER(C128)&amp;"' AS TIPOLOGIA_TESTE,'"&amp;D128&amp;"' AS TABELA_LT,'N/A' AS TABELA_SIMUL,'"&amp;F128&amp;"' AS CAMPO, "&amp;"'${ref_date}' AS REF_DATE, COUNT(*) AS NUM_REG, SUM(IF(TRIM(CAST(X."&amp;F128&amp;" AS STRING))='' OR TRIM(CAST(X."&amp;F128&amp;" AS STRING)) IS NULL,1,0)) AS NUM_REG_DIF,'"&amp;MAX('ID1&amp;5'!K:K)+1&amp;"' AS ID_EXEC, CURRENT_TIMESTAMP() AS TIME_EXEC FROM "&amp;I128),
IF(C128="Caracteres Especiais",+"SELECT '"&amp;UPPER(B128)&amp;"' AS TABELA, '"&amp;UPPER(C128)&amp;"' AS TIPOLOGIA_TESTE,'"&amp;D128&amp;"' AS TABELA_LT,'N/A' AS TABELA_SIMUL,'"&amp;F128&amp;"' AS CAMPO, "&amp;"'${ref_date}' AS REF_DATE, COUNT(*) AS NUM_REG, SUM(IF(REGEXP_REPLACE(TRIM(CAST(X."&amp;F128&amp;" AS STRING)),'[^a-zA-Z0-9_\\s]','') &lt;&gt;TRIM(CAST(X."&amp;F128&amp;" AS STRING)),1,0)) AS NUM_REG_DIF,'"&amp;MAX('ID1&amp;5'!K:K)+1&amp;"' AS ID_EXEC, CURRENT_TIMESTAMP() AS TIME_EXEC FROM "&amp;I128,
IF(C128="Missings",+"SELECT '"&amp;UPPER(B128)&amp;"' AS TABELA, '"&amp;UPPER(C128)&amp;"' AS TIPOLOGIA_TESTE,'"&amp;D128&amp;"' AS TABELA_LT,'N/A' AS TABELA_SIMUL,'"&amp;F128&amp;"' AS CAMPO, "&amp;"'${ref_date}' AS REF_DATE, COUNT(*) AS NUM_REG, SUM(IF(TRIM(CAST(X."&amp;F128&amp;" AS STRING)) IN ('0000-00-00','0001-01-01','9999-12-31','MISS','00000','99999999999','99999999999.00','99999999999.000000'),1,0)) AS NUM_REG_DIF,'"&amp;MAX('ID1&amp;5'!K:K)+1&amp;"' AS ID_EXEC, CURRENT_TIMESTAMP() AS TIME_EXEC FROM "&amp;I128,
IF(C128="Not applicable",+"SELECT '"&amp;UPPER(B128)&amp;"' AS TABELA, '"&amp;UPPER(C128)&amp;"' AS TIPOLOGIA_TESTE,'"&amp;D128&amp;"' AS TABELA_LT,'N/A' AS TABELA_SIMUL,'"&amp;F128&amp;"' AS CAMPO, "&amp;"'${ref_date}' AS REF_DATE, COUNT(*) AS NUM_REG, SUM(IF(TRIM(CAST(X."&amp;F128&amp;" AS STRING)) IN ('N/A','11111111111','11111111111.00','11111111111.000000','1111-11-11'),1,0)) AS NUM_REG_DIF,'"&amp;MAX('ID1&amp;5'!K:K)+1&amp;"' AS ID_EXEC, CURRENT_TIMESTAMP() AS TIME_EXEC FROM "&amp;I128,
IF(C128="Valores extremos",+"SELECT '"&amp;UPPER(B128)&amp;"' AS TABELA, '"&amp;UPPER(C128)&amp;"' AS TIPOLOGIA_TESTE,'"&amp;D128&amp;"' AS TABELA_LT,'N/A' AS TABELA_SIMUL,'"&amp;F128&amp;"' AS CAMPO, "&amp;"'${ref_date}' AS REF_DATE, CAST(MIN("&amp;F128&amp;") AS STRING) AS VALOR_MIN, CAST(MAX("&amp;F128&amp;") AS STRING) AS VALOR_MAX,'"&amp;MAX('ID1&amp;5'!K:K)+1&amp;"' AS ID_EXEC, CURRENT_TIMESTAMP() AS TIME_EXEC FROM "&amp;MID(I128,1,LEN(I128)-2)&amp;" AND CAST("&amp;F128&amp;"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TABELA_SIMUL,'BRCHD_CVNNTS' AS CAMPO, '${ref_date}' AS REF_DATE, COUNT(*) AS NUM_REG, SUM(IF(COALESCE(CAST(X.BRCHD_CVNNTS AS STRING),'')&lt;&gt;COALESCE(CAST(Y.BRCHD_CVNNTS_SIMUL AS STRING),'') OR (X.BRCHD_CVNNTS IS NULL AND Y.BRCHD_CVNNTS_SIMUL IS NOT NULL ) OR (X.BRCHD_CVNNTS IS NOT NULL AND Y.BRCHD_CVNNTS_SIMUL IS NULL),1,0)) AS NUM_REG_DIF,'1' AS ID_EXEC, CURRENT_TIMESTAMP() AS TIME_EXEC FROM (SELECT instrmnt_id, BRCHD_CVNNTS FROM CD_LOAN_TAPES_BCE.LT002_INSTRUMENT WHERE ref_date='${ref_date}' AND nome_perimetro='Individual Corporativo' AND segmento='ESTR' AND ambito='PM' AND entidade='00100')X INNER JOIN (SELECT instrmnt_id AS instrmnt_id_SIMUL, BRCHD_CVNNTS AS BRCHD_CVNNTS_SIMUL FROM BU_LOANTAPE_WORK.LT002_INSTRUMENT WHERE ref_date='${ref_date}' AND nome_perimetro='Individual Corporativo' AND segmento='ESTR' AND ambito='PM' AND entidade='00100')Y ON X.INSTRMNT_ID=Y.INSTRMNT_ID_SIMUL</v>
      </c>
      <c r="M128" s="36" t="str">
        <f t="shared" si="2"/>
        <v>UNION ALL SELECT 'INSTRUMENT' AS TABELA, 'COERÊNCIA' AS TIPOLOGIA_TESTE,'CD_LOAN_TAPES_BCE.LT002_INSTRUMENT' AS TABELA_LT,'BU_LOANTAPE_WORK.LT002_INSTRUMENT' AS TABELA_SIMUL,'BRCHD_CVNNTS' AS CAMPO, '${ref_date}' AS REF_DATE, COUNT(*) AS NUM_REG, SUM(IF(COALESCE(CAST(X.BRCHD_CVNNTS AS STRING),'')&lt;&gt;COALESCE(CAST(Y.BRCHD_CVNNTS_SIMUL AS STRING),'') OR (X.BRCHD_CVNNTS IS NULL AND Y.BRCHD_CVNNTS_SIMUL IS NOT NULL ) OR (X.BRCHD_CVNNTS IS NOT NULL AND Y.BRCHD_CVNNTS_SIMUL IS NULL),1,0)) AS NUM_REG_DIF,'1' AS ID_EXEC, CURRENT_TIMESTAMP() AS TIME_EXEC FROM (SELECT instrmnt_id, BRCHD_CVNNTS FROM CD_LOAN_TAPES_BCE.LT002_INSTRUMENT WHERE ref_date='${ref_date}' AND nome_perimetro='Individual Corporativo' AND segmento='ESTR' AND ambito='PM' AND entidade='00100')X INNER JOIN (SELECT instrmnt_id AS instrmnt_id_SIMUL, BRCHD_CVNNTS AS BRCHD_CVNNTS_SIMUL FROM BU_LOANTAPE_WORK.LT002_INSTRUMENT WHERE ref_date='${ref_date}' AND nome_perimetro='Individual Corporativo' AND segmento='ESTR' AND ambito='PM' AND entidade='00100')Y ON X.INSTRMNT_ID=Y.INSTRMNT_ID_SIMUL</v>
      </c>
      <c r="N128" s="38" t="s">
        <v>46</v>
      </c>
    </row>
    <row r="129" spans="2:14" hidden="1">
      <c r="B129" s="34" t="s">
        <v>126</v>
      </c>
      <c r="C129" s="34" t="s">
        <v>5</v>
      </c>
      <c r="D129" s="34" t="str">
        <f>+UPPER('0. Instruções'!$D$35&amp;"."&amp;VLOOKUP(B129,'0. Instruções'!$C$27:$D$32,2,FALSE))</f>
        <v>CD_LOAN_TAPES_BCE.LT002_INSTRUMENT</v>
      </c>
      <c r="E129" s="34" t="str">
        <f>+UPPER('0. Instruções'!$D$36&amp;"."&amp;VLOOKUP(B129,'0. Instruções'!$C$27:$E$32,3,FALSE))</f>
        <v>BU_LOANTAPE_WORK.LT002_INSTRUMENT</v>
      </c>
      <c r="F129" s="34" t="s">
        <v>431</v>
      </c>
      <c r="G129" s="34"/>
      <c r="H129" s="34" t="s">
        <v>89</v>
      </c>
      <c r="I129" s="34" t="str">
        <f>"(SELECT "&amp;VLOOKUP(B129,'0. Instruções'!$C$27:$G$32,4,FALSE)&amp;", "&amp;F129&amp;" FROM "&amp;D129&amp;" WHERE "&amp;'0. Instruções'!$D$42&amp;")X"</f>
        <v>(SELECT instrmnt_id, CHNNL_ORGNTN FROM CD_LOAN_TAPES_BCE.LT002_INSTRUMENT WHERE ref_date='${ref_date}' AND nome_perimetro='Individual Corporativo' AND segmento='ESTR' AND ambito='PM' AND entidade='00100')X</v>
      </c>
      <c r="J129" s="34" t="str">
        <f>"(SELECT "&amp;VLOOKUP(B129,'0. Instruções'!$C$27:$G$32,4,FALSE)&amp;" AS "&amp;VLOOKUP(B129,'0. Instruções'!$C$27:$G$32,4,FALSE)&amp;"_SIMUL, "&amp;F129&amp;" AS "&amp;F129&amp;"_SIMUL FROM "&amp;E129&amp;" WHERE "&amp;'0. Instruções'!$D$43&amp;")Y"</f>
        <v>(SELECT instrmnt_id AS instrmnt_id_SIMUL, CHNNL_ORGNTN AS CHNNL_ORGNTN_SIMUL FROM BU_LOANTAPE_WORK.LT002_INSTRUMENT WHERE ref_date='${ref_date}' AND nome_perimetro='Individual Corporativo' AND segmento='ESTR' AND ambito='PM' AND entidade='00100')Y</v>
      </c>
      <c r="K129" s="35" t="str">
        <f>+UPPER("ON X."&amp;VLOOKUP(B129,'0. Instruções'!$C$27:$G$32,4,FALSE)&amp;"=Y."&amp;VLOOKUP(B129,'0. Instruções'!$C$27:$G$32,4,FALSE)&amp;"_SIMUL")</f>
        <v>ON X.INSTRMNT_ID=Y.INSTRMNT_ID_SIMUL</v>
      </c>
      <c r="L129" s="35" t="str">
        <f>+IF(C129="Coerência", +IF(LEFT(G129,5)="FLOAT","SELECT '"&amp;UPPER(B129)&amp;"' AS TABELA, '"&amp;UPPER(C129)&amp;"' AS TIPOLOGIA_TESTE,'"&amp;D129&amp;"' AS TABELA_LT,'"&amp;E129&amp;"' AS TABELA_SIMUL,'"&amp;F129&amp;"' AS CAMPO, "&amp;"'${ref_date}' AS REF_DATE, COUNT(*) AS NUM_REG, SUM(IF((ABS(COALESCE(CAST(X."&amp;F129&amp;" AS DECIMAL(18,6)),0)-COALESCE(CAST(Y."&amp;F129&amp;"_SIMUL AS DECIMAL(18,6)),0))&gt;0.000001) OR (X."&amp;F129&amp;" IS NULL AND Y."&amp;F129&amp;"_SIMUL IS NOT NULL ) OR (X."&amp;F129&amp;" IS NOT NULL AND Y."&amp;F129&amp;"_SIMUL IS NULL),1,0)) AS NUM_REG_DIF,'"&amp;MAX('ID1&amp;5'!K:K)+1&amp;"' AS ID_EXEC, CURRENT_TIMESTAMP() AS TIME_EXEC FROM "&amp;I129&amp;" INNER JOIN "&amp;J129&amp;" "&amp;K129,"SELECT '"&amp;UPPER(B129)&amp;"' AS TABELA, '"&amp;UPPER(C129)&amp;"' AS TIPOLOGIA_TESTE,'"&amp;D129&amp;"' AS TABELA_LT,'"&amp;E129&amp;"' AS TABELA_SIMUL,'"&amp;F129&amp;"' AS CAMPO, "&amp;"'${ref_date}' AS REF_DATE, COUNT(*) AS NUM_REG, SUM(IF(COALESCE(CAST(X."&amp;F129&amp;" AS STRING),'')&lt;&gt;COALESCE(CAST(Y."&amp;F129&amp;"_SIMUL AS STRING),'') OR (X."&amp;F129&amp;" IS NULL AND Y."&amp;F129&amp;"_SIMUL IS NOT NULL ) OR (X."&amp;F129&amp;" IS NOT NULL AND Y."&amp;F129&amp;"_SIMUL IS NULL),1,0)) AS NUM_REG_DIF,'"&amp;MAX('ID1&amp;5'!L:L)+1&amp;"' AS ID_EXEC, CURRENT_TIMESTAMP() AS TIME_EXEC FROM "&amp;I129&amp;" INNER JOIN "&amp;J129&amp;" "&amp;K129),
IF(C129="Validade",+IF(G129="Code List","SELECT '"&amp;UPPER(B129)&amp;"' AS TABELA, '"&amp;UPPER(C129)&amp;"' AS TIPOLOGIA_TESTE,'"&amp;D129&amp;"' AS TABELA_LT,'N/A' AS TABELA_SIMUL,'"&amp;F129&amp;"' AS CAMPO, "&amp;"'${ref_date}' AS REF_DATE, COUNT(*) AS NUM_REG, SUM(IF(TRIM(CAST(X."&amp;F129&amp;" AS STRING))='' OR TRIM(CAST(X."&amp;F129&amp;" AS STRING)) IS NULL OR CAST(X."&amp;F129&amp;" AS STRING) NOT "&amp;H129&amp;",1,0)) AS NUM_REG_DIF,'"&amp;MAX('ID1&amp;5'!K:K)+1&amp;"' AS ID_EXEC, CURRENT_TIMESTAMP() AS TIME_EXEC FROM "&amp;I129,"SELECT '"&amp;UPPER(B129)&amp;"' AS TABELA, '"&amp;UPPER(C129)&amp;"' AS TIPOLOGIA_TESTE,'"&amp;D129&amp;"' AS TABELA_LT,'N/A' AS TABELA_SIMUL,'"&amp;F129&amp;"' AS CAMPO, "&amp;"'${ref_date}' AS REF_DATE, COUNT(*) AS NUM_REG, SUM(IF(TRIM(CAST(X."&amp;F129&amp;" AS STRING))='' OR TRIM(CAST(X."&amp;F129&amp;" AS STRING)) IS NULL,1,0)) AS NUM_REG_DIF,'"&amp;MAX('ID1&amp;5'!K:K)+1&amp;"' AS ID_EXEC, CURRENT_TIMESTAMP() AS TIME_EXEC FROM "&amp;I129),
IF(C129="Caracteres Especiais",+"SELECT '"&amp;UPPER(B129)&amp;"' AS TABELA, '"&amp;UPPER(C129)&amp;"' AS TIPOLOGIA_TESTE,'"&amp;D129&amp;"' AS TABELA_LT,'N/A' AS TABELA_SIMUL,'"&amp;F129&amp;"' AS CAMPO, "&amp;"'${ref_date}' AS REF_DATE, COUNT(*) AS NUM_REG, SUM(IF(REGEXP_REPLACE(TRIM(CAST(X."&amp;F129&amp;" AS STRING)),'[^a-zA-Z0-9_\\s]','') &lt;&gt;TRIM(CAST(X."&amp;F129&amp;" AS STRING)),1,0)) AS NUM_REG_DIF,'"&amp;MAX('ID1&amp;5'!K:K)+1&amp;"' AS ID_EXEC, CURRENT_TIMESTAMP() AS TIME_EXEC FROM "&amp;I129,
IF(C129="Missings",+"SELECT '"&amp;UPPER(B129)&amp;"' AS TABELA, '"&amp;UPPER(C129)&amp;"' AS TIPOLOGIA_TESTE,'"&amp;D129&amp;"' AS TABELA_LT,'N/A' AS TABELA_SIMUL,'"&amp;F129&amp;"' AS CAMPO, "&amp;"'${ref_date}' AS REF_DATE, COUNT(*) AS NUM_REG, SUM(IF(TRIM(CAST(X."&amp;F129&amp;" AS STRING)) IN ('0000-00-00','0001-01-01','9999-12-31','MISS','00000','99999999999','99999999999.00','99999999999.000000'),1,0)) AS NUM_REG_DIF,'"&amp;MAX('ID1&amp;5'!K:K)+1&amp;"' AS ID_EXEC, CURRENT_TIMESTAMP() AS TIME_EXEC FROM "&amp;I129,
IF(C129="Not applicable",+"SELECT '"&amp;UPPER(B129)&amp;"' AS TABELA, '"&amp;UPPER(C129)&amp;"' AS TIPOLOGIA_TESTE,'"&amp;D129&amp;"' AS TABELA_LT,'N/A' AS TABELA_SIMUL,'"&amp;F129&amp;"' AS CAMPO, "&amp;"'${ref_date}' AS REF_DATE, COUNT(*) AS NUM_REG, SUM(IF(TRIM(CAST(X."&amp;F129&amp;" AS STRING)) IN ('N/A','11111111111','11111111111.00','11111111111.000000','1111-11-11'),1,0)) AS NUM_REG_DIF,'"&amp;MAX('ID1&amp;5'!K:K)+1&amp;"' AS ID_EXEC, CURRENT_TIMESTAMP() AS TIME_EXEC FROM "&amp;I129,
IF(C129="Valores extremos",+"SELECT '"&amp;UPPER(B129)&amp;"' AS TABELA, '"&amp;UPPER(C129)&amp;"' AS TIPOLOGIA_TESTE,'"&amp;D129&amp;"' AS TABELA_LT,'N/A' AS TABELA_SIMUL,'"&amp;F129&amp;"' AS CAMPO, "&amp;"'${ref_date}' AS REF_DATE, CAST(MIN("&amp;F129&amp;") AS STRING) AS VALOR_MIN, CAST(MAX("&amp;F129&amp;") AS STRING) AS VALOR_MAX,'"&amp;MAX('ID1&amp;5'!K:K)+1&amp;"' AS ID_EXEC, CURRENT_TIMESTAMP() AS TIME_EXEC FROM "&amp;MID(I129,1,LEN(I129)-2)&amp;" AND CAST("&amp;F129&amp;"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TABELA_SIMUL,'CHNNL_ORGNTN' AS CAMPO, '${ref_date}' AS REF_DATE, COUNT(*) AS NUM_REG, SUM(IF(COALESCE(CAST(X.CHNNL_ORGNTN AS STRING),'')&lt;&gt;COALESCE(CAST(Y.CHNNL_ORGNTN_SIMUL AS STRING),'') OR (X.CHNNL_ORGNTN IS NULL AND Y.CHNNL_ORGNTN_SIMUL IS NOT NULL ) OR (X.CHNNL_ORGNTN IS NOT NULL AND Y.CHNNL_ORGNTN_SIMUL IS NULL),1,0)) AS NUM_REG_DIF,'1' AS ID_EXEC, CURRENT_TIMESTAMP() AS TIME_EXEC FROM (SELECT instrmnt_id, CHNNL_ORGNTN FROM CD_LOAN_TAPES_BCE.LT002_INSTRUMENT WHERE ref_date='${ref_date}' AND nome_perimetro='Individual Corporativo' AND segmento='ESTR' AND ambito='PM' AND entidade='00100')X INNER JOIN (SELECT instrmnt_id AS instrmnt_id_SIMUL, CHNNL_ORGNTN AS CHNNL_ORGNTN_SIMUL FROM BU_LOANTAPE_WORK.LT002_INSTRUMENT WHERE ref_date='${ref_date}' AND nome_perimetro='Individual Corporativo' AND segmento='ESTR' AND ambito='PM' AND entidade='00100')Y ON X.INSTRMNT_ID=Y.INSTRMNT_ID_SIMUL</v>
      </c>
      <c r="M129" s="36" t="str">
        <f t="shared" si="2"/>
        <v>UNION ALL SELECT 'INSTRUMENT' AS TABELA, 'COERÊNCIA' AS TIPOLOGIA_TESTE,'CD_LOAN_TAPES_BCE.LT002_INSTRUMENT' AS TABELA_LT,'BU_LOANTAPE_WORK.LT002_INSTRUMENT' AS TABELA_SIMUL,'CHNNL_ORGNTN' AS CAMPO, '${ref_date}' AS REF_DATE, COUNT(*) AS NUM_REG, SUM(IF(COALESCE(CAST(X.CHNNL_ORGNTN AS STRING),'')&lt;&gt;COALESCE(CAST(Y.CHNNL_ORGNTN_SIMUL AS STRING),'') OR (X.CHNNL_ORGNTN IS NULL AND Y.CHNNL_ORGNTN_SIMUL IS NOT NULL ) OR (X.CHNNL_ORGNTN IS NOT NULL AND Y.CHNNL_ORGNTN_SIMUL IS NULL),1,0)) AS NUM_REG_DIF,'1' AS ID_EXEC, CURRENT_TIMESTAMP() AS TIME_EXEC FROM (SELECT instrmnt_id, CHNNL_ORGNTN FROM CD_LOAN_TAPES_BCE.LT002_INSTRUMENT WHERE ref_date='${ref_date}' AND nome_perimetro='Individual Corporativo' AND segmento='ESTR' AND ambito='PM' AND entidade='00100')X INNER JOIN (SELECT instrmnt_id AS instrmnt_id_SIMUL, CHNNL_ORGNTN AS CHNNL_ORGNTN_SIMUL FROM BU_LOANTAPE_WORK.LT002_INSTRUMENT WHERE ref_date='${ref_date}' AND nome_perimetro='Individual Corporativo' AND segmento='ESTR' AND ambito='PM' AND entidade='00100')Y ON X.INSTRMNT_ID=Y.INSTRMNT_ID_SIMUL</v>
      </c>
      <c r="N129" s="38" t="s">
        <v>46</v>
      </c>
    </row>
    <row r="130" spans="2:14" hidden="1">
      <c r="B130" s="34" t="s">
        <v>126</v>
      </c>
      <c r="C130" s="34" t="s">
        <v>5</v>
      </c>
      <c r="D130" s="34" t="str">
        <f>+UPPER('0. Instruções'!$D$35&amp;"."&amp;VLOOKUP(B130,'0. Instruções'!$C$27:$D$32,2,FALSE))</f>
        <v>CD_LOAN_TAPES_BCE.LT002_INSTRUMENT</v>
      </c>
      <c r="E130" s="34" t="str">
        <f>+UPPER('0. Instruções'!$D$36&amp;"."&amp;VLOOKUP(B130,'0. Instruções'!$C$27:$E$32,3,FALSE))</f>
        <v>BU_LOANTAPE_WORK.LT002_INSTRUMENT</v>
      </c>
      <c r="F130" s="34" t="s">
        <v>432</v>
      </c>
      <c r="G130" s="34"/>
      <c r="H130" s="34" t="s">
        <v>648</v>
      </c>
      <c r="I130" s="34" t="str">
        <f>"(SELECT "&amp;VLOOKUP(B130,'0. Instruções'!$C$27:$G$32,4,FALSE)&amp;", "&amp;F130&amp;" FROM "&amp;D130&amp;" WHERE "&amp;'0. Instruções'!$D$42&amp;")X"</f>
        <v>(SELECT instrmnt_id, CSH_SWP_TRP FROM CD_LOAN_TAPES_BCE.LT002_INSTRUMENT WHERE ref_date='${ref_date}' AND nome_perimetro='Individual Corporativo' AND segmento='ESTR' AND ambito='PM' AND entidade='00100')X</v>
      </c>
      <c r="J130" s="34" t="str">
        <f>"(SELECT "&amp;VLOOKUP(B130,'0. Instruções'!$C$27:$G$32,4,FALSE)&amp;" AS "&amp;VLOOKUP(B130,'0. Instruções'!$C$27:$G$32,4,FALSE)&amp;"_SIMUL, "&amp;F130&amp;" AS "&amp;F130&amp;"_SIMUL FROM "&amp;E130&amp;" WHERE "&amp;'0. Instruções'!$D$43&amp;")Y"</f>
        <v>(SELECT instrmnt_id AS instrmnt_id_SIMUL, CSH_SWP_TRP AS CSH_SWP_TRP_SIMUL FROM BU_LOANTAPE_WORK.LT002_INSTRUMENT WHERE ref_date='${ref_date}' AND nome_perimetro='Individual Corporativo' AND segmento='ESTR' AND ambito='PM' AND entidade='00100')Y</v>
      </c>
      <c r="K130" s="35" t="str">
        <f>+UPPER("ON X."&amp;VLOOKUP(B130,'0. Instruções'!$C$27:$G$32,4,FALSE)&amp;"=Y."&amp;VLOOKUP(B130,'0. Instruções'!$C$27:$G$32,4,FALSE)&amp;"_SIMUL")</f>
        <v>ON X.INSTRMNT_ID=Y.INSTRMNT_ID_SIMUL</v>
      </c>
      <c r="L130" s="35" t="str">
        <f>+IF(C130="Coerência", +IF(LEFT(G130,5)="FLOAT","SELECT '"&amp;UPPER(B130)&amp;"' AS TABELA, '"&amp;UPPER(C130)&amp;"' AS TIPOLOGIA_TESTE,'"&amp;D130&amp;"' AS TABELA_LT,'"&amp;E130&amp;"' AS TABELA_SIMUL,'"&amp;F130&amp;"' AS CAMPO, "&amp;"'${ref_date}' AS REF_DATE, COUNT(*) AS NUM_REG, SUM(IF((ABS(COALESCE(CAST(X."&amp;F130&amp;" AS DECIMAL(18,6)),0)-COALESCE(CAST(Y."&amp;F130&amp;"_SIMUL AS DECIMAL(18,6)),0))&gt;0.000001) OR (X."&amp;F130&amp;" IS NULL AND Y."&amp;F130&amp;"_SIMUL IS NOT NULL ) OR (X."&amp;F130&amp;" IS NOT NULL AND Y."&amp;F130&amp;"_SIMUL IS NULL),1,0)) AS NUM_REG_DIF,'"&amp;MAX('ID1&amp;5'!K:K)+1&amp;"' AS ID_EXEC, CURRENT_TIMESTAMP() AS TIME_EXEC FROM "&amp;I130&amp;" INNER JOIN "&amp;J130&amp;" "&amp;K130,"SELECT '"&amp;UPPER(B130)&amp;"' AS TABELA, '"&amp;UPPER(C130)&amp;"' AS TIPOLOGIA_TESTE,'"&amp;D130&amp;"' AS TABELA_LT,'"&amp;E130&amp;"' AS TABELA_SIMUL,'"&amp;F130&amp;"' AS CAMPO, "&amp;"'${ref_date}' AS REF_DATE, COUNT(*) AS NUM_REG, SUM(IF(COALESCE(CAST(X."&amp;F130&amp;" AS STRING),'')&lt;&gt;COALESCE(CAST(Y."&amp;F130&amp;"_SIMUL AS STRING),'') OR (X."&amp;F130&amp;" IS NULL AND Y."&amp;F130&amp;"_SIMUL IS NOT NULL ) OR (X."&amp;F130&amp;" IS NOT NULL AND Y."&amp;F130&amp;"_SIMUL IS NULL),1,0)) AS NUM_REG_DIF,'"&amp;MAX('ID1&amp;5'!L:L)+1&amp;"' AS ID_EXEC, CURRENT_TIMESTAMP() AS TIME_EXEC FROM "&amp;I130&amp;" INNER JOIN "&amp;J130&amp;" "&amp;K130),
IF(C130="Validade",+IF(G130="Code List","SELECT '"&amp;UPPER(B130)&amp;"' AS TABELA, '"&amp;UPPER(C130)&amp;"' AS TIPOLOGIA_TESTE,'"&amp;D130&amp;"' AS TABELA_LT,'N/A' AS TABELA_SIMUL,'"&amp;F130&amp;"' AS CAMPO, "&amp;"'${ref_date}' AS REF_DATE, COUNT(*) AS NUM_REG, SUM(IF(TRIM(CAST(X."&amp;F130&amp;" AS STRING))='' OR TRIM(CAST(X."&amp;F130&amp;" AS STRING)) IS NULL OR CAST(X."&amp;F130&amp;" AS STRING) NOT "&amp;H130&amp;",1,0)) AS NUM_REG_DIF,'"&amp;MAX('ID1&amp;5'!K:K)+1&amp;"' AS ID_EXEC, CURRENT_TIMESTAMP() AS TIME_EXEC FROM "&amp;I130,"SELECT '"&amp;UPPER(B130)&amp;"' AS TABELA, '"&amp;UPPER(C130)&amp;"' AS TIPOLOGIA_TESTE,'"&amp;D130&amp;"' AS TABELA_LT,'N/A' AS TABELA_SIMUL,'"&amp;F130&amp;"' AS CAMPO, "&amp;"'${ref_date}' AS REF_DATE, COUNT(*) AS NUM_REG, SUM(IF(TRIM(CAST(X."&amp;F130&amp;" AS STRING))='' OR TRIM(CAST(X."&amp;F130&amp;" AS STRING)) IS NULL,1,0)) AS NUM_REG_DIF,'"&amp;MAX('ID1&amp;5'!K:K)+1&amp;"' AS ID_EXEC, CURRENT_TIMESTAMP() AS TIME_EXEC FROM "&amp;I130),
IF(C130="Caracteres Especiais",+"SELECT '"&amp;UPPER(B130)&amp;"' AS TABELA, '"&amp;UPPER(C130)&amp;"' AS TIPOLOGIA_TESTE,'"&amp;D130&amp;"' AS TABELA_LT,'N/A' AS TABELA_SIMUL,'"&amp;F130&amp;"' AS CAMPO, "&amp;"'${ref_date}' AS REF_DATE, COUNT(*) AS NUM_REG, SUM(IF(REGEXP_REPLACE(TRIM(CAST(X."&amp;F130&amp;" AS STRING)),'[^a-zA-Z0-9_\\s]','') &lt;&gt;TRIM(CAST(X."&amp;F130&amp;" AS STRING)),1,0)) AS NUM_REG_DIF,'"&amp;MAX('ID1&amp;5'!K:K)+1&amp;"' AS ID_EXEC, CURRENT_TIMESTAMP() AS TIME_EXEC FROM "&amp;I130,
IF(C130="Missings",+"SELECT '"&amp;UPPER(B130)&amp;"' AS TABELA, '"&amp;UPPER(C130)&amp;"' AS TIPOLOGIA_TESTE,'"&amp;D130&amp;"' AS TABELA_LT,'N/A' AS TABELA_SIMUL,'"&amp;F130&amp;"' AS CAMPO, "&amp;"'${ref_date}' AS REF_DATE, COUNT(*) AS NUM_REG, SUM(IF(TRIM(CAST(X."&amp;F130&amp;" AS STRING)) IN ('0000-00-00','0001-01-01','9999-12-31','MISS','00000','99999999999','99999999999.00','99999999999.000000'),1,0)) AS NUM_REG_DIF,'"&amp;MAX('ID1&amp;5'!K:K)+1&amp;"' AS ID_EXEC, CURRENT_TIMESTAMP() AS TIME_EXEC FROM "&amp;I130,
IF(C130="Not applicable",+"SELECT '"&amp;UPPER(B130)&amp;"' AS TABELA, '"&amp;UPPER(C130)&amp;"' AS TIPOLOGIA_TESTE,'"&amp;D130&amp;"' AS TABELA_LT,'N/A' AS TABELA_SIMUL,'"&amp;F130&amp;"' AS CAMPO, "&amp;"'${ref_date}' AS REF_DATE, COUNT(*) AS NUM_REG, SUM(IF(TRIM(CAST(X."&amp;F130&amp;" AS STRING)) IN ('N/A','11111111111','11111111111.00','11111111111.000000','1111-11-11'),1,0)) AS NUM_REG_DIF,'"&amp;MAX('ID1&amp;5'!K:K)+1&amp;"' AS ID_EXEC, CURRENT_TIMESTAMP() AS TIME_EXEC FROM "&amp;I130,
IF(C130="Valores extremos",+"SELECT '"&amp;UPPER(B130)&amp;"' AS TABELA, '"&amp;UPPER(C130)&amp;"' AS TIPOLOGIA_TESTE,'"&amp;D130&amp;"' AS TABELA_LT,'N/A' AS TABELA_SIMUL,'"&amp;F130&amp;"' AS CAMPO, "&amp;"'${ref_date}' AS REF_DATE, CAST(MIN("&amp;F130&amp;") AS STRING) AS VALOR_MIN, CAST(MAX("&amp;F130&amp;") AS STRING) AS VALOR_MAX,'"&amp;MAX('ID1&amp;5'!K:K)+1&amp;"' AS ID_EXEC, CURRENT_TIMESTAMP() AS TIME_EXEC FROM "&amp;MID(I130,1,LEN(I130)-2)&amp;" AND CAST("&amp;F130&amp;"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TABELA_SIMUL,'CSH_SWP_TRP' AS CAMPO, '${ref_date}' AS REF_DATE, COUNT(*) AS NUM_REG, SUM(IF(COALESCE(CAST(X.CSH_SWP_TRP AS STRING),'')&lt;&gt;COALESCE(CAST(Y.CSH_SWP_TRP_SIMUL AS STRING),'') OR (X.CSH_SWP_TRP IS NULL AND Y.CSH_SWP_TRP_SIMUL IS NOT NULL ) OR (X.CSH_SWP_TRP IS NOT NULL AND Y.CSH_SWP_TRP_SIMUL IS NULL),1,0)) AS NUM_REG_DIF,'1' AS ID_EXEC, CURRENT_TIMESTAMP() AS TIME_EXEC FROM (SELECT instrmnt_id, CSH_SWP_TRP FROM CD_LOAN_TAPES_BCE.LT002_INSTRUMENT WHERE ref_date='${ref_date}' AND nome_perimetro='Individual Corporativo' AND segmento='ESTR' AND ambito='PM' AND entidade='00100')X INNER JOIN (SELECT instrmnt_id AS instrmnt_id_SIMUL, CSH_SWP_TRP AS CSH_SWP_TRP_SIMUL FROM BU_LOANTAPE_WORK.LT002_INSTRUMENT WHERE ref_date='${ref_date}' AND nome_perimetro='Individual Corporativo' AND segmento='ESTR' AND ambito='PM' AND entidade='00100')Y ON X.INSTRMNT_ID=Y.INSTRMNT_ID_SIMUL</v>
      </c>
      <c r="M130" s="36" t="str">
        <f t="shared" si="2"/>
        <v>UNION ALL SELECT 'INSTRUMENT' AS TABELA, 'COERÊNCIA' AS TIPOLOGIA_TESTE,'CD_LOAN_TAPES_BCE.LT002_INSTRUMENT' AS TABELA_LT,'BU_LOANTAPE_WORK.LT002_INSTRUMENT' AS TABELA_SIMUL,'CSH_SWP_TRP' AS CAMPO, '${ref_date}' AS REF_DATE, COUNT(*) AS NUM_REG, SUM(IF(COALESCE(CAST(X.CSH_SWP_TRP AS STRING),'')&lt;&gt;COALESCE(CAST(Y.CSH_SWP_TRP_SIMUL AS STRING),'') OR (X.CSH_SWP_TRP IS NULL AND Y.CSH_SWP_TRP_SIMUL IS NOT NULL ) OR (X.CSH_SWP_TRP IS NOT NULL AND Y.CSH_SWP_TRP_SIMUL IS NULL),1,0)) AS NUM_REG_DIF,'1' AS ID_EXEC, CURRENT_TIMESTAMP() AS TIME_EXEC FROM (SELECT instrmnt_id, CSH_SWP_TRP FROM CD_LOAN_TAPES_BCE.LT002_INSTRUMENT WHERE ref_date='${ref_date}' AND nome_perimetro='Individual Corporativo' AND segmento='ESTR' AND ambito='PM' AND entidade='00100')X INNER JOIN (SELECT instrmnt_id AS instrmnt_id_SIMUL, CSH_SWP_TRP AS CSH_SWP_TRP_SIMUL FROM BU_LOANTAPE_WORK.LT002_INSTRUMENT WHERE ref_date='${ref_date}' AND nome_perimetro='Individual Corporativo' AND segmento='ESTR' AND ambito='PM' AND entidade='00100')Y ON X.INSTRMNT_ID=Y.INSTRMNT_ID_SIMUL</v>
      </c>
      <c r="N130" s="38" t="s">
        <v>46</v>
      </c>
    </row>
    <row r="131" spans="2:14" hidden="1">
      <c r="B131" s="34" t="s">
        <v>126</v>
      </c>
      <c r="C131" s="34" t="s">
        <v>5</v>
      </c>
      <c r="D131" s="34" t="str">
        <f>+UPPER('0. Instruções'!$D$35&amp;"."&amp;VLOOKUP(B131,'0. Instruções'!$C$27:$D$32,2,FALSE))</f>
        <v>CD_LOAN_TAPES_BCE.LT002_INSTRUMENT</v>
      </c>
      <c r="E131" s="34" t="str">
        <f>+UPPER('0. Instruções'!$D$36&amp;"."&amp;VLOOKUP(B131,'0. Instruções'!$C$27:$E$32,3,FALSE))</f>
        <v>BU_LOANTAPE_WORK.LT002_INSTRUMENT</v>
      </c>
      <c r="F131" s="34" t="s">
        <v>433</v>
      </c>
      <c r="G131" s="34"/>
      <c r="H131" s="34" t="s">
        <v>89</v>
      </c>
      <c r="I131" s="34" t="str">
        <f>"(SELECT "&amp;VLOOKUP(B131,'0. Instruções'!$C$27:$G$32,4,FALSE)&amp;", "&amp;F131&amp;" FROM "&amp;D131&amp;" WHERE "&amp;'0. Instruções'!$D$42&amp;")X"</f>
        <v>(SELECT instrmnt_id, CVNNT_STTS FROM CD_LOAN_TAPES_BCE.LT002_INSTRUMENT WHERE ref_date='${ref_date}' AND nome_perimetro='Individual Corporativo' AND segmento='ESTR' AND ambito='PM' AND entidade='00100')X</v>
      </c>
      <c r="J131" s="34" t="str">
        <f>"(SELECT "&amp;VLOOKUP(B131,'0. Instruções'!$C$27:$G$32,4,FALSE)&amp;" AS "&amp;VLOOKUP(B131,'0. Instruções'!$C$27:$G$32,4,FALSE)&amp;"_SIMUL, "&amp;F131&amp;" AS "&amp;F131&amp;"_SIMUL FROM "&amp;E131&amp;" WHERE "&amp;'0. Instruções'!$D$43&amp;")Y"</f>
        <v>(SELECT instrmnt_id AS instrmnt_id_SIMUL, CVNNT_STTS AS CVNNT_STTS_SIMUL FROM BU_LOANTAPE_WORK.LT002_INSTRUMENT WHERE ref_date='${ref_date}' AND nome_perimetro='Individual Corporativo' AND segmento='ESTR' AND ambito='PM' AND entidade='00100')Y</v>
      </c>
      <c r="K131" s="35" t="str">
        <f>+UPPER("ON X."&amp;VLOOKUP(B131,'0. Instruções'!$C$27:$G$32,4,FALSE)&amp;"=Y."&amp;VLOOKUP(B131,'0. Instruções'!$C$27:$G$32,4,FALSE)&amp;"_SIMUL")</f>
        <v>ON X.INSTRMNT_ID=Y.INSTRMNT_ID_SIMUL</v>
      </c>
      <c r="L131" s="35" t="str">
        <f>+IF(C131="Coerência", +IF(LEFT(G131,5)="FLOAT","SELECT '"&amp;UPPER(B131)&amp;"' AS TABELA, '"&amp;UPPER(C131)&amp;"' AS TIPOLOGIA_TESTE,'"&amp;D131&amp;"' AS TABELA_LT,'"&amp;E131&amp;"' AS TABELA_SIMUL,'"&amp;F131&amp;"' AS CAMPO, "&amp;"'${ref_date}' AS REF_DATE, COUNT(*) AS NUM_REG, SUM(IF((ABS(COALESCE(CAST(X."&amp;F131&amp;" AS DECIMAL(18,6)),0)-COALESCE(CAST(Y."&amp;F131&amp;"_SIMUL AS DECIMAL(18,6)),0))&gt;0.000001) OR (X."&amp;F131&amp;" IS NULL AND Y."&amp;F131&amp;"_SIMUL IS NOT NULL ) OR (X."&amp;F131&amp;" IS NOT NULL AND Y."&amp;F131&amp;"_SIMUL IS NULL),1,0)) AS NUM_REG_DIF,'"&amp;MAX('ID1&amp;5'!K:K)+1&amp;"' AS ID_EXEC, CURRENT_TIMESTAMP() AS TIME_EXEC FROM "&amp;I131&amp;" INNER JOIN "&amp;J131&amp;" "&amp;K131,"SELECT '"&amp;UPPER(B131)&amp;"' AS TABELA, '"&amp;UPPER(C131)&amp;"' AS TIPOLOGIA_TESTE,'"&amp;D131&amp;"' AS TABELA_LT,'"&amp;E131&amp;"' AS TABELA_SIMUL,'"&amp;F131&amp;"' AS CAMPO, "&amp;"'${ref_date}' AS REF_DATE, COUNT(*) AS NUM_REG, SUM(IF(COALESCE(CAST(X."&amp;F131&amp;" AS STRING),'')&lt;&gt;COALESCE(CAST(Y."&amp;F131&amp;"_SIMUL AS STRING),'') OR (X."&amp;F131&amp;" IS NULL AND Y."&amp;F131&amp;"_SIMUL IS NOT NULL ) OR (X."&amp;F131&amp;" IS NOT NULL AND Y."&amp;F131&amp;"_SIMUL IS NULL),1,0)) AS NUM_REG_DIF,'"&amp;MAX('ID1&amp;5'!L:L)+1&amp;"' AS ID_EXEC, CURRENT_TIMESTAMP() AS TIME_EXEC FROM "&amp;I131&amp;" INNER JOIN "&amp;J131&amp;" "&amp;K131),
IF(C131="Validade",+IF(G131="Code List","SELECT '"&amp;UPPER(B131)&amp;"' AS TABELA, '"&amp;UPPER(C131)&amp;"' AS TIPOLOGIA_TESTE,'"&amp;D131&amp;"' AS TABELA_LT,'N/A' AS TABELA_SIMUL,'"&amp;F131&amp;"' AS CAMPO, "&amp;"'${ref_date}' AS REF_DATE, COUNT(*) AS NUM_REG, SUM(IF(TRIM(CAST(X."&amp;F131&amp;" AS STRING))='' OR TRIM(CAST(X."&amp;F131&amp;" AS STRING)) IS NULL OR CAST(X."&amp;F131&amp;" AS STRING) NOT "&amp;H131&amp;",1,0)) AS NUM_REG_DIF,'"&amp;MAX('ID1&amp;5'!K:K)+1&amp;"' AS ID_EXEC, CURRENT_TIMESTAMP() AS TIME_EXEC FROM "&amp;I131,"SELECT '"&amp;UPPER(B131)&amp;"' AS TABELA, '"&amp;UPPER(C131)&amp;"' AS TIPOLOGIA_TESTE,'"&amp;D131&amp;"' AS TABELA_LT,'N/A' AS TABELA_SIMUL,'"&amp;F131&amp;"' AS CAMPO, "&amp;"'${ref_date}' AS REF_DATE, COUNT(*) AS NUM_REG, SUM(IF(TRIM(CAST(X."&amp;F131&amp;" AS STRING))='' OR TRIM(CAST(X."&amp;F131&amp;" AS STRING)) IS NULL,1,0)) AS NUM_REG_DIF,'"&amp;MAX('ID1&amp;5'!K:K)+1&amp;"' AS ID_EXEC, CURRENT_TIMESTAMP() AS TIME_EXEC FROM "&amp;I131),
IF(C131="Caracteres Especiais",+"SELECT '"&amp;UPPER(B131)&amp;"' AS TABELA, '"&amp;UPPER(C131)&amp;"' AS TIPOLOGIA_TESTE,'"&amp;D131&amp;"' AS TABELA_LT,'N/A' AS TABELA_SIMUL,'"&amp;F131&amp;"' AS CAMPO, "&amp;"'${ref_date}' AS REF_DATE, COUNT(*) AS NUM_REG, SUM(IF(REGEXP_REPLACE(TRIM(CAST(X."&amp;F131&amp;" AS STRING)),'[^a-zA-Z0-9_\\s]','') &lt;&gt;TRIM(CAST(X."&amp;F131&amp;" AS STRING)),1,0)) AS NUM_REG_DIF,'"&amp;MAX('ID1&amp;5'!K:K)+1&amp;"' AS ID_EXEC, CURRENT_TIMESTAMP() AS TIME_EXEC FROM "&amp;I131,
IF(C131="Missings",+"SELECT '"&amp;UPPER(B131)&amp;"' AS TABELA, '"&amp;UPPER(C131)&amp;"' AS TIPOLOGIA_TESTE,'"&amp;D131&amp;"' AS TABELA_LT,'N/A' AS TABELA_SIMUL,'"&amp;F131&amp;"' AS CAMPO, "&amp;"'${ref_date}' AS REF_DATE, COUNT(*) AS NUM_REG, SUM(IF(TRIM(CAST(X."&amp;F131&amp;" AS STRING)) IN ('0000-00-00','0001-01-01','9999-12-31','MISS','00000','99999999999','99999999999.00','99999999999.000000'),1,0)) AS NUM_REG_DIF,'"&amp;MAX('ID1&amp;5'!K:K)+1&amp;"' AS ID_EXEC, CURRENT_TIMESTAMP() AS TIME_EXEC FROM "&amp;I131,
IF(C131="Not applicable",+"SELECT '"&amp;UPPER(B131)&amp;"' AS TABELA, '"&amp;UPPER(C131)&amp;"' AS TIPOLOGIA_TESTE,'"&amp;D131&amp;"' AS TABELA_LT,'N/A' AS TABELA_SIMUL,'"&amp;F131&amp;"' AS CAMPO, "&amp;"'${ref_date}' AS REF_DATE, COUNT(*) AS NUM_REG, SUM(IF(TRIM(CAST(X."&amp;F131&amp;" AS STRING)) IN ('N/A','11111111111','11111111111.00','11111111111.000000','1111-11-11'),1,0)) AS NUM_REG_DIF,'"&amp;MAX('ID1&amp;5'!K:K)+1&amp;"' AS ID_EXEC, CURRENT_TIMESTAMP() AS TIME_EXEC FROM "&amp;I131,
IF(C131="Valores extremos",+"SELECT '"&amp;UPPER(B131)&amp;"' AS TABELA, '"&amp;UPPER(C131)&amp;"' AS TIPOLOGIA_TESTE,'"&amp;D131&amp;"' AS TABELA_LT,'N/A' AS TABELA_SIMUL,'"&amp;F131&amp;"' AS CAMPO, "&amp;"'${ref_date}' AS REF_DATE, CAST(MIN("&amp;F131&amp;") AS STRING) AS VALOR_MIN, CAST(MAX("&amp;F131&amp;") AS STRING) AS VALOR_MAX,'"&amp;MAX('ID1&amp;5'!K:K)+1&amp;"' AS ID_EXEC, CURRENT_TIMESTAMP() AS TIME_EXEC FROM "&amp;MID(I131,1,LEN(I131)-2)&amp;" AND CAST("&amp;F131&amp;"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TABELA_SIMUL,'CVNNT_STTS' AS CAMPO, '${ref_date}' AS REF_DATE, COUNT(*) AS NUM_REG, SUM(IF(COALESCE(CAST(X.CVNNT_STTS AS STRING),'')&lt;&gt;COALESCE(CAST(Y.CVNNT_STTS_SIMUL AS STRING),'') OR (X.CVNNT_STTS IS NULL AND Y.CVNNT_STTS_SIMUL IS NOT NULL ) OR (X.CVNNT_STTS IS NOT NULL AND Y.CVNNT_STTS_SIMUL IS NULL),1,0)) AS NUM_REG_DIF,'1' AS ID_EXEC, CURRENT_TIMESTAMP() AS TIME_EXEC FROM (SELECT instrmnt_id, CVNNT_STTS FROM CD_LOAN_TAPES_BCE.LT002_INSTRUMENT WHERE ref_date='${ref_date}' AND nome_perimetro='Individual Corporativo' AND segmento='ESTR' AND ambito='PM' AND entidade='00100')X INNER JOIN (SELECT instrmnt_id AS instrmnt_id_SIMUL, CVNNT_STTS AS CVNNT_STTS_SIMUL FROM BU_LOANTAPE_WORK.LT002_INSTRUMENT WHERE ref_date='${ref_date}' AND nome_perimetro='Individual Corporativo' AND segmento='ESTR' AND ambito='PM' AND entidade='00100')Y ON X.INSTRMNT_ID=Y.INSTRMNT_ID_SIMUL</v>
      </c>
      <c r="M131" s="36" t="str">
        <f t="shared" si="2"/>
        <v>UNION ALL SELECT 'INSTRUMENT' AS TABELA, 'COERÊNCIA' AS TIPOLOGIA_TESTE,'CD_LOAN_TAPES_BCE.LT002_INSTRUMENT' AS TABELA_LT,'BU_LOANTAPE_WORK.LT002_INSTRUMENT' AS TABELA_SIMUL,'CVNNT_STTS' AS CAMPO, '${ref_date}' AS REF_DATE, COUNT(*) AS NUM_REG, SUM(IF(COALESCE(CAST(X.CVNNT_STTS AS STRING),'')&lt;&gt;COALESCE(CAST(Y.CVNNT_STTS_SIMUL AS STRING),'') OR (X.CVNNT_STTS IS NULL AND Y.CVNNT_STTS_SIMUL IS NOT NULL ) OR (X.CVNNT_STTS IS NOT NULL AND Y.CVNNT_STTS_SIMUL IS NULL),1,0)) AS NUM_REG_DIF,'1' AS ID_EXEC, CURRENT_TIMESTAMP() AS TIME_EXEC FROM (SELECT instrmnt_id, CVNNT_STTS FROM CD_LOAN_TAPES_BCE.LT002_INSTRUMENT WHERE ref_date='${ref_date}' AND nome_perimetro='Individual Corporativo' AND segmento='ESTR' AND ambito='PM' AND entidade='00100')X INNER JOIN (SELECT instrmnt_id AS instrmnt_id_SIMUL, CVNNT_STTS AS CVNNT_STTS_SIMUL FROM BU_LOANTAPE_WORK.LT002_INSTRUMENT WHERE ref_date='${ref_date}' AND nome_perimetro='Individual Corporativo' AND segmento='ESTR' AND ambito='PM' AND entidade='00100')Y ON X.INSTRMNT_ID=Y.INSTRMNT_ID_SIMUL</v>
      </c>
      <c r="N131" s="38" t="s">
        <v>46</v>
      </c>
    </row>
    <row r="132" spans="2:14" hidden="1">
      <c r="B132" s="34" t="s">
        <v>126</v>
      </c>
      <c r="C132" s="34" t="s">
        <v>5</v>
      </c>
      <c r="D132" s="34" t="str">
        <f>+UPPER('0. Instruções'!$D$35&amp;"."&amp;VLOOKUP(B132,'0. Instruções'!$C$27:$D$32,2,FALSE))</f>
        <v>CD_LOAN_TAPES_BCE.LT002_INSTRUMENT</v>
      </c>
      <c r="E132" s="34" t="str">
        <f>+UPPER('0. Instruções'!$D$36&amp;"."&amp;VLOOKUP(B132,'0. Instruções'!$C$27:$E$32,3,FALSE))</f>
        <v>BU_LOANTAPE_WORK.LT002_INSTRUMENT</v>
      </c>
      <c r="F132" s="34" t="s">
        <v>434</v>
      </c>
      <c r="G132" s="34"/>
      <c r="H132" s="34" t="s">
        <v>89</v>
      </c>
      <c r="I132" s="34" t="str">
        <f>"(SELECT "&amp;VLOOKUP(B132,'0. Instruções'!$C$27:$G$32,4,FALSE)&amp;", "&amp;F132&amp;" FROM "&amp;D132&amp;" WHERE "&amp;'0. Instruções'!$D$42&amp;")X"</f>
        <v>(SELECT instrmnt_id, CVNNT_TYP FROM CD_LOAN_TAPES_BCE.LT002_INSTRUMENT WHERE ref_date='${ref_date}' AND nome_perimetro='Individual Corporativo' AND segmento='ESTR' AND ambito='PM' AND entidade='00100')X</v>
      </c>
      <c r="J132" s="34" t="str">
        <f>"(SELECT "&amp;VLOOKUP(B132,'0. Instruções'!$C$27:$G$32,4,FALSE)&amp;" AS "&amp;VLOOKUP(B132,'0. Instruções'!$C$27:$G$32,4,FALSE)&amp;"_SIMUL, "&amp;F132&amp;" AS "&amp;F132&amp;"_SIMUL FROM "&amp;E132&amp;" WHERE "&amp;'0. Instruções'!$D$43&amp;")Y"</f>
        <v>(SELECT instrmnt_id AS instrmnt_id_SIMUL, CVNNT_TYP AS CVNNT_TYP_SIMUL FROM BU_LOANTAPE_WORK.LT002_INSTRUMENT WHERE ref_date='${ref_date}' AND nome_perimetro='Individual Corporativo' AND segmento='ESTR' AND ambito='PM' AND entidade='00100')Y</v>
      </c>
      <c r="K132" s="35" t="str">
        <f>+UPPER("ON X."&amp;VLOOKUP(B132,'0. Instruções'!$C$27:$G$32,4,FALSE)&amp;"=Y."&amp;VLOOKUP(B132,'0. Instruções'!$C$27:$G$32,4,FALSE)&amp;"_SIMUL")</f>
        <v>ON X.INSTRMNT_ID=Y.INSTRMNT_ID_SIMUL</v>
      </c>
      <c r="L132" s="35" t="str">
        <f>+IF(C132="Coerência", +IF(LEFT(G132,5)="FLOAT","SELECT '"&amp;UPPER(B132)&amp;"' AS TABELA, '"&amp;UPPER(C132)&amp;"' AS TIPOLOGIA_TESTE,'"&amp;D132&amp;"' AS TABELA_LT,'"&amp;E132&amp;"' AS TABELA_SIMUL,'"&amp;F132&amp;"' AS CAMPO, "&amp;"'${ref_date}' AS REF_DATE, COUNT(*) AS NUM_REG, SUM(IF((ABS(COALESCE(CAST(X."&amp;F132&amp;" AS DECIMAL(18,6)),0)-COALESCE(CAST(Y."&amp;F132&amp;"_SIMUL AS DECIMAL(18,6)),0))&gt;0.000001) OR (X."&amp;F132&amp;" IS NULL AND Y."&amp;F132&amp;"_SIMUL IS NOT NULL ) OR (X."&amp;F132&amp;" IS NOT NULL AND Y."&amp;F132&amp;"_SIMUL IS NULL),1,0)) AS NUM_REG_DIF,'"&amp;MAX('ID1&amp;5'!K:K)+1&amp;"' AS ID_EXEC, CURRENT_TIMESTAMP() AS TIME_EXEC FROM "&amp;I132&amp;" INNER JOIN "&amp;J132&amp;" "&amp;K132,"SELECT '"&amp;UPPER(B132)&amp;"' AS TABELA, '"&amp;UPPER(C132)&amp;"' AS TIPOLOGIA_TESTE,'"&amp;D132&amp;"' AS TABELA_LT,'"&amp;E132&amp;"' AS TABELA_SIMUL,'"&amp;F132&amp;"' AS CAMPO, "&amp;"'${ref_date}' AS REF_DATE, COUNT(*) AS NUM_REG, SUM(IF(COALESCE(CAST(X."&amp;F132&amp;" AS STRING),'')&lt;&gt;COALESCE(CAST(Y."&amp;F132&amp;"_SIMUL AS STRING),'') OR (X."&amp;F132&amp;" IS NULL AND Y."&amp;F132&amp;"_SIMUL IS NOT NULL ) OR (X."&amp;F132&amp;" IS NOT NULL AND Y."&amp;F132&amp;"_SIMUL IS NULL),1,0)) AS NUM_REG_DIF,'"&amp;MAX('ID1&amp;5'!L:L)+1&amp;"' AS ID_EXEC, CURRENT_TIMESTAMP() AS TIME_EXEC FROM "&amp;I132&amp;" INNER JOIN "&amp;J132&amp;" "&amp;K132),
IF(C132="Validade",+IF(G132="Code List","SELECT '"&amp;UPPER(B132)&amp;"' AS TABELA, '"&amp;UPPER(C132)&amp;"' AS TIPOLOGIA_TESTE,'"&amp;D132&amp;"' AS TABELA_LT,'N/A' AS TABELA_SIMUL,'"&amp;F132&amp;"' AS CAMPO, "&amp;"'${ref_date}' AS REF_DATE, COUNT(*) AS NUM_REG, SUM(IF(TRIM(CAST(X."&amp;F132&amp;" AS STRING))='' OR TRIM(CAST(X."&amp;F132&amp;" AS STRING)) IS NULL OR CAST(X."&amp;F132&amp;" AS STRING) NOT "&amp;H132&amp;",1,0)) AS NUM_REG_DIF,'"&amp;MAX('ID1&amp;5'!K:K)+1&amp;"' AS ID_EXEC, CURRENT_TIMESTAMP() AS TIME_EXEC FROM "&amp;I132,"SELECT '"&amp;UPPER(B132)&amp;"' AS TABELA, '"&amp;UPPER(C132)&amp;"' AS TIPOLOGIA_TESTE,'"&amp;D132&amp;"' AS TABELA_LT,'N/A' AS TABELA_SIMUL,'"&amp;F132&amp;"' AS CAMPO, "&amp;"'${ref_date}' AS REF_DATE, COUNT(*) AS NUM_REG, SUM(IF(TRIM(CAST(X."&amp;F132&amp;" AS STRING))='' OR TRIM(CAST(X."&amp;F132&amp;" AS STRING)) IS NULL,1,0)) AS NUM_REG_DIF,'"&amp;MAX('ID1&amp;5'!K:K)+1&amp;"' AS ID_EXEC, CURRENT_TIMESTAMP() AS TIME_EXEC FROM "&amp;I132),
IF(C132="Caracteres Especiais",+"SELECT '"&amp;UPPER(B132)&amp;"' AS TABELA, '"&amp;UPPER(C132)&amp;"' AS TIPOLOGIA_TESTE,'"&amp;D132&amp;"' AS TABELA_LT,'N/A' AS TABELA_SIMUL,'"&amp;F132&amp;"' AS CAMPO, "&amp;"'${ref_date}' AS REF_DATE, COUNT(*) AS NUM_REG, SUM(IF(REGEXP_REPLACE(TRIM(CAST(X."&amp;F132&amp;" AS STRING)),'[^a-zA-Z0-9_\\s]','') &lt;&gt;TRIM(CAST(X."&amp;F132&amp;" AS STRING)),1,0)) AS NUM_REG_DIF,'"&amp;MAX('ID1&amp;5'!K:K)+1&amp;"' AS ID_EXEC, CURRENT_TIMESTAMP() AS TIME_EXEC FROM "&amp;I132,
IF(C132="Missings",+"SELECT '"&amp;UPPER(B132)&amp;"' AS TABELA, '"&amp;UPPER(C132)&amp;"' AS TIPOLOGIA_TESTE,'"&amp;D132&amp;"' AS TABELA_LT,'N/A' AS TABELA_SIMUL,'"&amp;F132&amp;"' AS CAMPO, "&amp;"'${ref_date}' AS REF_DATE, COUNT(*) AS NUM_REG, SUM(IF(TRIM(CAST(X."&amp;F132&amp;" AS STRING)) IN ('0000-00-00','0001-01-01','9999-12-31','MISS','00000','99999999999','99999999999.00','99999999999.000000'),1,0)) AS NUM_REG_DIF,'"&amp;MAX('ID1&amp;5'!K:K)+1&amp;"' AS ID_EXEC, CURRENT_TIMESTAMP() AS TIME_EXEC FROM "&amp;I132,
IF(C132="Not applicable",+"SELECT '"&amp;UPPER(B132)&amp;"' AS TABELA, '"&amp;UPPER(C132)&amp;"' AS TIPOLOGIA_TESTE,'"&amp;D132&amp;"' AS TABELA_LT,'N/A' AS TABELA_SIMUL,'"&amp;F132&amp;"' AS CAMPO, "&amp;"'${ref_date}' AS REF_DATE, COUNT(*) AS NUM_REG, SUM(IF(TRIM(CAST(X."&amp;F132&amp;" AS STRING)) IN ('N/A','11111111111','11111111111.00','11111111111.000000','1111-11-11'),1,0)) AS NUM_REG_DIF,'"&amp;MAX('ID1&amp;5'!K:K)+1&amp;"' AS ID_EXEC, CURRENT_TIMESTAMP() AS TIME_EXEC FROM "&amp;I132,
IF(C132="Valores extremos",+"SELECT '"&amp;UPPER(B132)&amp;"' AS TABELA, '"&amp;UPPER(C132)&amp;"' AS TIPOLOGIA_TESTE,'"&amp;D132&amp;"' AS TABELA_LT,'N/A' AS TABELA_SIMUL,'"&amp;F132&amp;"' AS CAMPO, "&amp;"'${ref_date}' AS REF_DATE, CAST(MIN("&amp;F132&amp;") AS STRING) AS VALOR_MIN, CAST(MAX("&amp;F132&amp;") AS STRING) AS VALOR_MAX,'"&amp;MAX('ID1&amp;5'!K:K)+1&amp;"' AS ID_EXEC, CURRENT_TIMESTAMP() AS TIME_EXEC FROM "&amp;MID(I132,1,LEN(I132)-2)&amp;" AND CAST("&amp;F132&amp;"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TABELA_SIMUL,'CVNNT_TYP' AS CAMPO, '${ref_date}' AS REF_DATE, COUNT(*) AS NUM_REG, SUM(IF(COALESCE(CAST(X.CVNNT_TYP AS STRING),'')&lt;&gt;COALESCE(CAST(Y.CVNNT_TYP_SIMUL AS STRING),'') OR (X.CVNNT_TYP IS NULL AND Y.CVNNT_TYP_SIMUL IS NOT NULL ) OR (X.CVNNT_TYP IS NOT NULL AND Y.CVNNT_TYP_SIMUL IS NULL),1,0)) AS NUM_REG_DIF,'1' AS ID_EXEC, CURRENT_TIMESTAMP() AS TIME_EXEC FROM (SELECT instrmnt_id, CVNNT_TYP FROM CD_LOAN_TAPES_BCE.LT002_INSTRUMENT WHERE ref_date='${ref_date}' AND nome_perimetro='Individual Corporativo' AND segmento='ESTR' AND ambito='PM' AND entidade='00100')X INNER JOIN (SELECT instrmnt_id AS instrmnt_id_SIMUL, CVNNT_TYP AS CVNNT_TYP_SIMUL FROM BU_LOANTAPE_WORK.LT002_INSTRUMENT WHERE ref_date='${ref_date}' AND nome_perimetro='Individual Corporativo' AND segmento='ESTR' AND ambito='PM' AND entidade='00100')Y ON X.INSTRMNT_ID=Y.INSTRMNT_ID_SIMUL</v>
      </c>
      <c r="M132" s="36" t="str">
        <f t="shared" si="2"/>
        <v>UNION ALL SELECT 'INSTRUMENT' AS TABELA, 'COERÊNCIA' AS TIPOLOGIA_TESTE,'CD_LOAN_TAPES_BCE.LT002_INSTRUMENT' AS TABELA_LT,'BU_LOANTAPE_WORK.LT002_INSTRUMENT' AS TABELA_SIMUL,'CVNNT_TYP' AS CAMPO, '${ref_date}' AS REF_DATE, COUNT(*) AS NUM_REG, SUM(IF(COALESCE(CAST(X.CVNNT_TYP AS STRING),'')&lt;&gt;COALESCE(CAST(Y.CVNNT_TYP_SIMUL AS STRING),'') OR (X.CVNNT_TYP IS NULL AND Y.CVNNT_TYP_SIMUL IS NOT NULL ) OR (X.CVNNT_TYP IS NOT NULL AND Y.CVNNT_TYP_SIMUL IS NULL),1,0)) AS NUM_REG_DIF,'1' AS ID_EXEC, CURRENT_TIMESTAMP() AS TIME_EXEC FROM (SELECT instrmnt_id, CVNNT_TYP FROM CD_LOAN_TAPES_BCE.LT002_INSTRUMENT WHERE ref_date='${ref_date}' AND nome_perimetro='Individual Corporativo' AND segmento='ESTR' AND ambito='PM' AND entidade='00100')X INNER JOIN (SELECT instrmnt_id AS instrmnt_id_SIMUL, CVNNT_TYP AS CVNNT_TYP_SIMUL FROM BU_LOANTAPE_WORK.LT002_INSTRUMENT WHERE ref_date='${ref_date}' AND nome_perimetro='Individual Corporativo' AND segmento='ESTR' AND ambito='PM' AND entidade='00100')Y ON X.INSTRMNT_ID=Y.INSTRMNT_ID_SIMUL</v>
      </c>
      <c r="N132" s="38" t="s">
        <v>46</v>
      </c>
    </row>
    <row r="133" spans="2:14" hidden="1">
      <c r="B133" s="34" t="s">
        <v>126</v>
      </c>
      <c r="C133" s="34" t="s">
        <v>5</v>
      </c>
      <c r="D133" s="34" t="str">
        <f>+UPPER('0. Instruções'!$D$35&amp;"."&amp;VLOOKUP(B133,'0. Instruções'!$C$27:$D$32,2,FALSE))</f>
        <v>CD_LOAN_TAPES_BCE.LT002_INSTRUMENT</v>
      </c>
      <c r="E133" s="34" t="str">
        <f>+UPPER('0. Instruções'!$D$36&amp;"."&amp;VLOOKUP(B133,'0. Instruções'!$C$27:$E$32,3,FALSE))</f>
        <v>BU_LOANTAPE_WORK.LT002_INSTRUMENT</v>
      </c>
      <c r="F133" s="34" t="s">
        <v>95</v>
      </c>
      <c r="G133" s="34"/>
      <c r="H133" s="34" t="s">
        <v>89</v>
      </c>
      <c r="I133" s="34" t="str">
        <f>"(SELECT "&amp;VLOOKUP(B133,'0. Instruções'!$C$27:$G$32,4,FALSE)&amp;", "&amp;F133&amp;" FROM "&amp;D133&amp;" WHERE "&amp;'0. Instruções'!$D$42&amp;")X"</f>
        <v>(SELECT instrmnt_id, DFLT_STTS_INSTRMNT FROM CD_LOAN_TAPES_BCE.LT002_INSTRUMENT WHERE ref_date='${ref_date}' AND nome_perimetro='Individual Corporativo' AND segmento='ESTR' AND ambito='PM' AND entidade='00100')X</v>
      </c>
      <c r="J133" s="34" t="str">
        <f>"(SELECT "&amp;VLOOKUP(B133,'0. Instruções'!$C$27:$G$32,4,FALSE)&amp;" AS "&amp;VLOOKUP(B133,'0. Instruções'!$C$27:$G$32,4,FALSE)&amp;"_SIMUL, "&amp;F133&amp;" AS "&amp;F133&amp;"_SIMUL FROM "&amp;E133&amp;" WHERE "&amp;'0. Instruções'!$D$43&amp;")Y"</f>
        <v>(SELECT instrmnt_id AS instrmnt_id_SIMUL, DFLT_STTS_INSTRMNT AS DFLT_STTS_INSTRMNT_SIMUL FROM BU_LOANTAPE_WORK.LT002_INSTRUMENT WHERE ref_date='${ref_date}' AND nome_perimetro='Individual Corporativo' AND segmento='ESTR' AND ambito='PM' AND entidade='00100')Y</v>
      </c>
      <c r="K133" s="35" t="str">
        <f>+UPPER("ON X."&amp;VLOOKUP(B133,'0. Instruções'!$C$27:$G$32,4,FALSE)&amp;"=Y."&amp;VLOOKUP(B133,'0. Instruções'!$C$27:$G$32,4,FALSE)&amp;"_SIMUL")</f>
        <v>ON X.INSTRMNT_ID=Y.INSTRMNT_ID_SIMUL</v>
      </c>
      <c r="L133" s="35" t="str">
        <f>+IF(C133="Coerência", +IF(LEFT(G133,5)="FLOAT","SELECT '"&amp;UPPER(B133)&amp;"' AS TABELA, '"&amp;UPPER(C133)&amp;"' AS TIPOLOGIA_TESTE,'"&amp;D133&amp;"' AS TABELA_LT,'"&amp;E133&amp;"' AS TABELA_SIMUL,'"&amp;F133&amp;"' AS CAMPO, "&amp;"'${ref_date}' AS REF_DATE, COUNT(*) AS NUM_REG, SUM(IF((ABS(COALESCE(CAST(X."&amp;F133&amp;" AS DECIMAL(18,6)),0)-COALESCE(CAST(Y."&amp;F133&amp;"_SIMUL AS DECIMAL(18,6)),0))&gt;0.000001) OR (X."&amp;F133&amp;" IS NULL AND Y."&amp;F133&amp;"_SIMUL IS NOT NULL ) OR (X."&amp;F133&amp;" IS NOT NULL AND Y."&amp;F133&amp;"_SIMUL IS NULL),1,0)) AS NUM_REG_DIF,'"&amp;MAX('ID1&amp;5'!K:K)+1&amp;"' AS ID_EXEC, CURRENT_TIMESTAMP() AS TIME_EXEC FROM "&amp;I133&amp;" INNER JOIN "&amp;J133&amp;" "&amp;K133,"SELECT '"&amp;UPPER(B133)&amp;"' AS TABELA, '"&amp;UPPER(C133)&amp;"' AS TIPOLOGIA_TESTE,'"&amp;D133&amp;"' AS TABELA_LT,'"&amp;E133&amp;"' AS TABELA_SIMUL,'"&amp;F133&amp;"' AS CAMPO, "&amp;"'${ref_date}' AS REF_DATE, COUNT(*) AS NUM_REG, SUM(IF(COALESCE(CAST(X."&amp;F133&amp;" AS STRING),'')&lt;&gt;COALESCE(CAST(Y."&amp;F133&amp;"_SIMUL AS STRING),'') OR (X."&amp;F133&amp;" IS NULL AND Y."&amp;F133&amp;"_SIMUL IS NOT NULL ) OR (X."&amp;F133&amp;" IS NOT NULL AND Y."&amp;F133&amp;"_SIMUL IS NULL),1,0)) AS NUM_REG_DIF,'"&amp;MAX('ID1&amp;5'!L:L)+1&amp;"' AS ID_EXEC, CURRENT_TIMESTAMP() AS TIME_EXEC FROM "&amp;I133&amp;" INNER JOIN "&amp;J133&amp;" "&amp;K133),
IF(C133="Validade",+IF(G133="Code List","SELECT '"&amp;UPPER(B133)&amp;"' AS TABELA, '"&amp;UPPER(C133)&amp;"' AS TIPOLOGIA_TESTE,'"&amp;D133&amp;"' AS TABELA_LT,'N/A' AS TABELA_SIMUL,'"&amp;F133&amp;"' AS CAMPO, "&amp;"'${ref_date}' AS REF_DATE, COUNT(*) AS NUM_REG, SUM(IF(TRIM(CAST(X."&amp;F133&amp;" AS STRING))='' OR TRIM(CAST(X."&amp;F133&amp;" AS STRING)) IS NULL OR CAST(X."&amp;F133&amp;" AS STRING) NOT "&amp;H133&amp;",1,0)) AS NUM_REG_DIF,'"&amp;MAX('ID1&amp;5'!K:K)+1&amp;"' AS ID_EXEC, CURRENT_TIMESTAMP() AS TIME_EXEC FROM "&amp;I133,"SELECT '"&amp;UPPER(B133)&amp;"' AS TABELA, '"&amp;UPPER(C133)&amp;"' AS TIPOLOGIA_TESTE,'"&amp;D133&amp;"' AS TABELA_LT,'N/A' AS TABELA_SIMUL,'"&amp;F133&amp;"' AS CAMPO, "&amp;"'${ref_date}' AS REF_DATE, COUNT(*) AS NUM_REG, SUM(IF(TRIM(CAST(X."&amp;F133&amp;" AS STRING))='' OR TRIM(CAST(X."&amp;F133&amp;" AS STRING)) IS NULL,1,0)) AS NUM_REG_DIF,'"&amp;MAX('ID1&amp;5'!K:K)+1&amp;"' AS ID_EXEC, CURRENT_TIMESTAMP() AS TIME_EXEC FROM "&amp;I133),
IF(C133="Caracteres Especiais",+"SELECT '"&amp;UPPER(B133)&amp;"' AS TABELA, '"&amp;UPPER(C133)&amp;"' AS TIPOLOGIA_TESTE,'"&amp;D133&amp;"' AS TABELA_LT,'N/A' AS TABELA_SIMUL,'"&amp;F133&amp;"' AS CAMPO, "&amp;"'${ref_date}' AS REF_DATE, COUNT(*) AS NUM_REG, SUM(IF(REGEXP_REPLACE(TRIM(CAST(X."&amp;F133&amp;" AS STRING)),'[^a-zA-Z0-9_\\s]','') &lt;&gt;TRIM(CAST(X."&amp;F133&amp;" AS STRING)),1,0)) AS NUM_REG_DIF,'"&amp;MAX('ID1&amp;5'!K:K)+1&amp;"' AS ID_EXEC, CURRENT_TIMESTAMP() AS TIME_EXEC FROM "&amp;I133,
IF(C133="Missings",+"SELECT '"&amp;UPPER(B133)&amp;"' AS TABELA, '"&amp;UPPER(C133)&amp;"' AS TIPOLOGIA_TESTE,'"&amp;D133&amp;"' AS TABELA_LT,'N/A' AS TABELA_SIMUL,'"&amp;F133&amp;"' AS CAMPO, "&amp;"'${ref_date}' AS REF_DATE, COUNT(*) AS NUM_REG, SUM(IF(TRIM(CAST(X."&amp;F133&amp;" AS STRING)) IN ('0000-00-00','0001-01-01','9999-12-31','MISS','00000','99999999999','99999999999.00','99999999999.000000'),1,0)) AS NUM_REG_DIF,'"&amp;MAX('ID1&amp;5'!K:K)+1&amp;"' AS ID_EXEC, CURRENT_TIMESTAMP() AS TIME_EXEC FROM "&amp;I133,
IF(C133="Not applicable",+"SELECT '"&amp;UPPER(B133)&amp;"' AS TABELA, '"&amp;UPPER(C133)&amp;"' AS TIPOLOGIA_TESTE,'"&amp;D133&amp;"' AS TABELA_LT,'N/A' AS TABELA_SIMUL,'"&amp;F133&amp;"' AS CAMPO, "&amp;"'${ref_date}' AS REF_DATE, COUNT(*) AS NUM_REG, SUM(IF(TRIM(CAST(X."&amp;F133&amp;" AS STRING)) IN ('N/A','11111111111','11111111111.00','11111111111.000000','1111-11-11'),1,0)) AS NUM_REG_DIF,'"&amp;MAX('ID1&amp;5'!K:K)+1&amp;"' AS ID_EXEC, CURRENT_TIMESTAMP() AS TIME_EXEC FROM "&amp;I133,
IF(C133="Valores extremos",+"SELECT '"&amp;UPPER(B133)&amp;"' AS TABELA, '"&amp;UPPER(C133)&amp;"' AS TIPOLOGIA_TESTE,'"&amp;D133&amp;"' AS TABELA_LT,'N/A' AS TABELA_SIMUL,'"&amp;F133&amp;"' AS CAMPO, "&amp;"'${ref_date}' AS REF_DATE, CAST(MIN("&amp;F133&amp;") AS STRING) AS VALOR_MIN, CAST(MAX("&amp;F133&amp;") AS STRING) AS VALOR_MAX,'"&amp;MAX('ID1&amp;5'!K:K)+1&amp;"' AS ID_EXEC, CURRENT_TIMESTAMP() AS TIME_EXEC FROM "&amp;MID(I133,1,LEN(I133)-2)&amp;" AND CAST("&amp;F133&amp;"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TABELA_SIMUL,'DFLT_STTS_INSTRMNT' AS CAMPO, '${ref_date}' AS REF_DATE, COUNT(*) AS NUM_REG, SUM(IF(COALESCE(CAST(X.DFLT_STTS_INSTRMNT AS STRING),'')&lt;&gt;COALESCE(CAST(Y.DFLT_STTS_INSTRMNT_SIMUL AS STRING),'') OR (X.DFLT_STTS_INSTRMNT IS NULL AND Y.DFLT_STTS_INSTRMNT_SIMUL IS NOT NULL ) OR (X.DFLT_STTS_INSTRMNT IS NOT NULL AND Y.DFLT_STTS_INSTRMNT_SIMUL IS NULL),1,0)) AS NUM_REG_DIF,'1' AS ID_EXEC, CURRENT_TIMESTAMP() AS TIME_EXEC FROM (SELECT instrmnt_id, DFLT_STTS_INSTRMNT FROM CD_LOAN_TAPES_BCE.LT002_INSTRUMENT WHERE ref_date='${ref_date}' AND nome_perimetro='Individual Corporativo' AND segmento='ESTR' AND ambito='PM' AND entidade='00100')X INNER JOIN (SELECT instrmnt_id AS instrmnt_id_SIMUL, DFLT_STTS_INSTRMNT AS DFLT_STTS_INSTRMNT_SIMUL FROM BU_LOANTAPE_WORK.LT002_INSTRUMENT WHERE ref_date='${ref_date}' AND nome_perimetro='Individual Corporativo' AND segmento='ESTR' AND ambito='PM' AND entidade='00100')Y ON X.INSTRMNT_ID=Y.INSTRMNT_ID_SIMUL</v>
      </c>
      <c r="M133" s="36" t="str">
        <f t="shared" si="2"/>
        <v>UNION ALL SELECT 'INSTRUMENT' AS TABELA, 'COERÊNCIA' AS TIPOLOGIA_TESTE,'CD_LOAN_TAPES_BCE.LT002_INSTRUMENT' AS TABELA_LT,'BU_LOANTAPE_WORK.LT002_INSTRUMENT' AS TABELA_SIMUL,'DFLT_STTS_INSTRMNT' AS CAMPO, '${ref_date}' AS REF_DATE, COUNT(*) AS NUM_REG, SUM(IF(COALESCE(CAST(X.DFLT_STTS_INSTRMNT AS STRING),'')&lt;&gt;COALESCE(CAST(Y.DFLT_STTS_INSTRMNT_SIMUL AS STRING),'') OR (X.DFLT_STTS_INSTRMNT IS NULL AND Y.DFLT_STTS_INSTRMNT_SIMUL IS NOT NULL ) OR (X.DFLT_STTS_INSTRMNT IS NOT NULL AND Y.DFLT_STTS_INSTRMNT_SIMUL IS NULL),1,0)) AS NUM_REG_DIF,'1' AS ID_EXEC, CURRENT_TIMESTAMP() AS TIME_EXEC FROM (SELECT instrmnt_id, DFLT_STTS_INSTRMNT FROM CD_LOAN_TAPES_BCE.LT002_INSTRUMENT WHERE ref_date='${ref_date}' AND nome_perimetro='Individual Corporativo' AND segmento='ESTR' AND ambito='PM' AND entidade='00100')X INNER JOIN (SELECT instrmnt_id AS instrmnt_id_SIMUL, DFLT_STTS_INSTRMNT AS DFLT_STTS_INSTRMNT_SIMUL FROM BU_LOANTAPE_WORK.LT002_INSTRUMENT WHERE ref_date='${ref_date}' AND nome_perimetro='Individual Corporativo' AND segmento='ESTR' AND ambito='PM' AND entidade='00100')Y ON X.INSTRMNT_ID=Y.INSTRMNT_ID_SIMUL</v>
      </c>
      <c r="N133" s="38" t="s">
        <v>46</v>
      </c>
    </row>
    <row r="134" spans="2:14" hidden="1">
      <c r="B134" s="34" t="s">
        <v>126</v>
      </c>
      <c r="C134" s="34" t="s">
        <v>5</v>
      </c>
      <c r="D134" s="34" t="str">
        <f>+UPPER('0. Instruções'!$D$35&amp;"."&amp;VLOOKUP(B134,'0. Instruções'!$C$27:$D$32,2,FALSE))</f>
        <v>CD_LOAN_TAPES_BCE.LT002_INSTRUMENT</v>
      </c>
      <c r="E134" s="34" t="str">
        <f>+UPPER('0. Instruções'!$D$36&amp;"."&amp;VLOOKUP(B134,'0. Instruções'!$C$27:$E$32,3,FALSE))</f>
        <v>BU_LOANTAPE_WORK.LT002_INSTRUMENT</v>
      </c>
      <c r="F134" s="34" t="s">
        <v>435</v>
      </c>
      <c r="G134" s="34"/>
      <c r="H134" s="34" t="s">
        <v>645</v>
      </c>
      <c r="I134" s="34" t="str">
        <f>"(SELECT "&amp;VLOOKUP(B134,'0. Instruções'!$C$27:$G$32,4,FALSE)&amp;", "&amp;F134&amp;" FROM "&amp;D134&amp;" WHERE "&amp;'0. Instruções'!$D$42&amp;")X"</f>
        <v>(SELECT instrmnt_id, DT_DFLT_STTS_INSTRMNT FROM CD_LOAN_TAPES_BCE.LT002_INSTRUMENT WHERE ref_date='${ref_date}' AND nome_perimetro='Individual Corporativo' AND segmento='ESTR' AND ambito='PM' AND entidade='00100')X</v>
      </c>
      <c r="J134" s="34" t="str">
        <f>"(SELECT "&amp;VLOOKUP(B134,'0. Instruções'!$C$27:$G$32,4,FALSE)&amp;" AS "&amp;VLOOKUP(B134,'0. Instruções'!$C$27:$G$32,4,FALSE)&amp;"_SIMUL, "&amp;F134&amp;" AS "&amp;F134&amp;"_SIMUL FROM "&amp;E134&amp;" WHERE "&amp;'0. Instruções'!$D$43&amp;")Y"</f>
        <v>(SELECT instrmnt_id AS instrmnt_id_SIMUL, DT_DFLT_STTS_INSTRMNT AS DT_DFLT_STTS_INSTRMNT_SIMUL FROM BU_LOANTAPE_WORK.LT002_INSTRUMENT WHERE ref_date='${ref_date}' AND nome_perimetro='Individual Corporativo' AND segmento='ESTR' AND ambito='PM' AND entidade='00100')Y</v>
      </c>
      <c r="K134" s="35" t="str">
        <f>+UPPER("ON X."&amp;VLOOKUP(B134,'0. Instruções'!$C$27:$G$32,4,FALSE)&amp;"=Y."&amp;VLOOKUP(B134,'0. Instruções'!$C$27:$G$32,4,FALSE)&amp;"_SIMUL")</f>
        <v>ON X.INSTRMNT_ID=Y.INSTRMNT_ID_SIMUL</v>
      </c>
      <c r="L134" s="35" t="str">
        <f>+IF(C134="Coerência", +IF(LEFT(G134,5)="FLOAT","SELECT '"&amp;UPPER(B134)&amp;"' AS TABELA, '"&amp;UPPER(C134)&amp;"' AS TIPOLOGIA_TESTE,'"&amp;D134&amp;"' AS TABELA_LT,'"&amp;E134&amp;"' AS TABELA_SIMUL,'"&amp;F134&amp;"' AS CAMPO, "&amp;"'${ref_date}' AS REF_DATE, COUNT(*) AS NUM_REG, SUM(IF((ABS(COALESCE(CAST(X."&amp;F134&amp;" AS DECIMAL(18,6)),0)-COALESCE(CAST(Y."&amp;F134&amp;"_SIMUL AS DECIMAL(18,6)),0))&gt;0.000001) OR (X."&amp;F134&amp;" IS NULL AND Y."&amp;F134&amp;"_SIMUL IS NOT NULL ) OR (X."&amp;F134&amp;" IS NOT NULL AND Y."&amp;F134&amp;"_SIMUL IS NULL),1,0)) AS NUM_REG_DIF,'"&amp;MAX('ID1&amp;5'!K:K)+1&amp;"' AS ID_EXEC, CURRENT_TIMESTAMP() AS TIME_EXEC FROM "&amp;I134&amp;" INNER JOIN "&amp;J134&amp;" "&amp;K134,"SELECT '"&amp;UPPER(B134)&amp;"' AS TABELA, '"&amp;UPPER(C134)&amp;"' AS TIPOLOGIA_TESTE,'"&amp;D134&amp;"' AS TABELA_LT,'"&amp;E134&amp;"' AS TABELA_SIMUL,'"&amp;F134&amp;"' AS CAMPO, "&amp;"'${ref_date}' AS REF_DATE, COUNT(*) AS NUM_REG, SUM(IF(COALESCE(CAST(X."&amp;F134&amp;" AS STRING),'')&lt;&gt;COALESCE(CAST(Y."&amp;F134&amp;"_SIMUL AS STRING),'') OR (X."&amp;F134&amp;" IS NULL AND Y."&amp;F134&amp;"_SIMUL IS NOT NULL ) OR (X."&amp;F134&amp;" IS NOT NULL AND Y."&amp;F134&amp;"_SIMUL IS NULL),1,0)) AS NUM_REG_DIF,'"&amp;MAX('ID1&amp;5'!L:L)+1&amp;"' AS ID_EXEC, CURRENT_TIMESTAMP() AS TIME_EXEC FROM "&amp;I134&amp;" INNER JOIN "&amp;J134&amp;" "&amp;K134),
IF(C134="Validade",+IF(G134="Code List","SELECT '"&amp;UPPER(B134)&amp;"' AS TABELA, '"&amp;UPPER(C134)&amp;"' AS TIPOLOGIA_TESTE,'"&amp;D134&amp;"' AS TABELA_LT,'N/A' AS TABELA_SIMUL,'"&amp;F134&amp;"' AS CAMPO, "&amp;"'${ref_date}' AS REF_DATE, COUNT(*) AS NUM_REG, SUM(IF(TRIM(CAST(X."&amp;F134&amp;" AS STRING))='' OR TRIM(CAST(X."&amp;F134&amp;" AS STRING)) IS NULL OR CAST(X."&amp;F134&amp;" AS STRING) NOT "&amp;H134&amp;",1,0)) AS NUM_REG_DIF,'"&amp;MAX('ID1&amp;5'!K:K)+1&amp;"' AS ID_EXEC, CURRENT_TIMESTAMP() AS TIME_EXEC FROM "&amp;I134,"SELECT '"&amp;UPPER(B134)&amp;"' AS TABELA, '"&amp;UPPER(C134)&amp;"' AS TIPOLOGIA_TESTE,'"&amp;D134&amp;"' AS TABELA_LT,'N/A' AS TABELA_SIMUL,'"&amp;F134&amp;"' AS CAMPO, "&amp;"'${ref_date}' AS REF_DATE, COUNT(*) AS NUM_REG, SUM(IF(TRIM(CAST(X."&amp;F134&amp;" AS STRING))='' OR TRIM(CAST(X."&amp;F134&amp;" AS STRING)) IS NULL,1,0)) AS NUM_REG_DIF,'"&amp;MAX('ID1&amp;5'!K:K)+1&amp;"' AS ID_EXEC, CURRENT_TIMESTAMP() AS TIME_EXEC FROM "&amp;I134),
IF(C134="Caracteres Especiais",+"SELECT '"&amp;UPPER(B134)&amp;"' AS TABELA, '"&amp;UPPER(C134)&amp;"' AS TIPOLOGIA_TESTE,'"&amp;D134&amp;"' AS TABELA_LT,'N/A' AS TABELA_SIMUL,'"&amp;F134&amp;"' AS CAMPO, "&amp;"'${ref_date}' AS REF_DATE, COUNT(*) AS NUM_REG, SUM(IF(REGEXP_REPLACE(TRIM(CAST(X."&amp;F134&amp;" AS STRING)),'[^a-zA-Z0-9_\\s]','') &lt;&gt;TRIM(CAST(X."&amp;F134&amp;" AS STRING)),1,0)) AS NUM_REG_DIF,'"&amp;MAX('ID1&amp;5'!K:K)+1&amp;"' AS ID_EXEC, CURRENT_TIMESTAMP() AS TIME_EXEC FROM "&amp;I134,
IF(C134="Missings",+"SELECT '"&amp;UPPER(B134)&amp;"' AS TABELA, '"&amp;UPPER(C134)&amp;"' AS TIPOLOGIA_TESTE,'"&amp;D134&amp;"' AS TABELA_LT,'N/A' AS TABELA_SIMUL,'"&amp;F134&amp;"' AS CAMPO, "&amp;"'${ref_date}' AS REF_DATE, COUNT(*) AS NUM_REG, SUM(IF(TRIM(CAST(X."&amp;F134&amp;" AS STRING)) IN ('0000-00-00','0001-01-01','9999-12-31','MISS','00000','99999999999','99999999999.00','99999999999.000000'),1,0)) AS NUM_REG_DIF,'"&amp;MAX('ID1&amp;5'!K:K)+1&amp;"' AS ID_EXEC, CURRENT_TIMESTAMP() AS TIME_EXEC FROM "&amp;I134,
IF(C134="Not applicable",+"SELECT '"&amp;UPPER(B134)&amp;"' AS TABELA, '"&amp;UPPER(C134)&amp;"' AS TIPOLOGIA_TESTE,'"&amp;D134&amp;"' AS TABELA_LT,'N/A' AS TABELA_SIMUL,'"&amp;F134&amp;"' AS CAMPO, "&amp;"'${ref_date}' AS REF_DATE, COUNT(*) AS NUM_REG, SUM(IF(TRIM(CAST(X."&amp;F134&amp;" AS STRING)) IN ('N/A','11111111111','11111111111.00','11111111111.000000','1111-11-11'),1,0)) AS NUM_REG_DIF,'"&amp;MAX('ID1&amp;5'!K:K)+1&amp;"' AS ID_EXEC, CURRENT_TIMESTAMP() AS TIME_EXEC FROM "&amp;I134,
IF(C134="Valores extremos",+"SELECT '"&amp;UPPER(B134)&amp;"' AS TABELA, '"&amp;UPPER(C134)&amp;"' AS TIPOLOGIA_TESTE,'"&amp;D134&amp;"' AS TABELA_LT,'N/A' AS TABELA_SIMUL,'"&amp;F134&amp;"' AS CAMPO, "&amp;"'${ref_date}' AS REF_DATE, CAST(MIN("&amp;F134&amp;") AS STRING) AS VALOR_MIN, CAST(MAX("&amp;F134&amp;") AS STRING) AS VALOR_MAX,'"&amp;MAX('ID1&amp;5'!K:K)+1&amp;"' AS ID_EXEC, CURRENT_TIMESTAMP() AS TIME_EXEC FROM "&amp;MID(I134,1,LEN(I134)-2)&amp;" AND CAST("&amp;F134&amp;"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TABELA_SIMUL,'DT_DFLT_STTS_INSTRMNT' AS CAMPO, '${ref_date}' AS REF_DATE, COUNT(*) AS NUM_REG, SUM(IF(COALESCE(CAST(X.DT_DFLT_STTS_INSTRMNT AS STRING),'')&lt;&gt;COALESCE(CAST(Y.DT_DFLT_STTS_INSTRMNT_SIMUL AS STRING),'') OR (X.DT_DFLT_STTS_INSTRMNT IS NULL AND Y.DT_DFLT_STTS_INSTRMNT_SIMUL IS NOT NULL ) OR (X.DT_DFLT_STTS_INSTRMNT IS NOT NULL AND Y.DT_DFLT_STTS_INSTRMNT_SIMUL IS NULL),1,0)) AS NUM_REG_DIF,'1' AS ID_EXEC, CURRENT_TIMESTAMP() AS TIME_EXEC FROM (SELECT instrmnt_id, DT_DFLT_STTS_INSTRMNT FROM CD_LOAN_TAPES_BCE.LT002_INSTRUMENT WHERE ref_date='${ref_date}' AND nome_perimetro='Individual Corporativo' AND segmento='ESTR' AND ambito='PM' AND entidade='00100')X INNER JOIN (SELECT instrmnt_id AS instrmnt_id_SIMUL, DT_DFLT_STTS_INSTRMNT AS DT_DFLT_STTS_INSTRMNT_SIMUL FROM BU_LOANTAPE_WORK.LT002_INSTRUMENT WHERE ref_date='${ref_date}' AND nome_perimetro='Individual Corporativo' AND segmento='ESTR' AND ambito='PM' AND entidade='00100')Y ON X.INSTRMNT_ID=Y.INSTRMNT_ID_SIMUL</v>
      </c>
      <c r="M134" s="36" t="str">
        <f t="shared" si="2"/>
        <v>UNION ALL SELECT 'INSTRUMENT' AS TABELA, 'COERÊNCIA' AS TIPOLOGIA_TESTE,'CD_LOAN_TAPES_BCE.LT002_INSTRUMENT' AS TABELA_LT,'BU_LOANTAPE_WORK.LT002_INSTRUMENT' AS TABELA_SIMUL,'DT_DFLT_STTS_INSTRMNT' AS CAMPO, '${ref_date}' AS REF_DATE, COUNT(*) AS NUM_REG, SUM(IF(COALESCE(CAST(X.DT_DFLT_STTS_INSTRMNT AS STRING),'')&lt;&gt;COALESCE(CAST(Y.DT_DFLT_STTS_INSTRMNT_SIMUL AS STRING),'') OR (X.DT_DFLT_STTS_INSTRMNT IS NULL AND Y.DT_DFLT_STTS_INSTRMNT_SIMUL IS NOT NULL ) OR (X.DT_DFLT_STTS_INSTRMNT IS NOT NULL AND Y.DT_DFLT_STTS_INSTRMNT_SIMUL IS NULL),1,0)) AS NUM_REG_DIF,'1' AS ID_EXEC, CURRENT_TIMESTAMP() AS TIME_EXEC FROM (SELECT instrmnt_id, DT_DFLT_STTS_INSTRMNT FROM CD_LOAN_TAPES_BCE.LT002_INSTRUMENT WHERE ref_date='${ref_date}' AND nome_perimetro='Individual Corporativo' AND segmento='ESTR' AND ambito='PM' AND entidade='00100')X INNER JOIN (SELECT instrmnt_id AS instrmnt_id_SIMUL, DT_DFLT_STTS_INSTRMNT AS DT_DFLT_STTS_INSTRMNT_SIMUL FROM BU_LOANTAPE_WORK.LT002_INSTRUMENT WHERE ref_date='${ref_date}' AND nome_perimetro='Individual Corporativo' AND segmento='ESTR' AND ambito='PM' AND entidade='00100')Y ON X.INSTRMNT_ID=Y.INSTRMNT_ID_SIMUL</v>
      </c>
      <c r="N134" s="38" t="s">
        <v>46</v>
      </c>
    </row>
    <row r="135" spans="2:14" hidden="1">
      <c r="B135" s="34" t="s">
        <v>126</v>
      </c>
      <c r="C135" s="34" t="s">
        <v>5</v>
      </c>
      <c r="D135" s="34" t="str">
        <f>+UPPER('0. Instruções'!$D$35&amp;"."&amp;VLOOKUP(B135,'0. Instruções'!$C$27:$D$32,2,FALSE))</f>
        <v>CD_LOAN_TAPES_BCE.LT002_INSTRUMENT</v>
      </c>
      <c r="E135" s="34" t="str">
        <f>+UPPER('0. Instruções'!$D$36&amp;"."&amp;VLOOKUP(B135,'0. Instruções'!$C$27:$E$32,3,FALSE))</f>
        <v>BU_LOANTAPE_WORK.LT002_INSTRUMENT</v>
      </c>
      <c r="F135" s="34" t="s">
        <v>436</v>
      </c>
      <c r="G135" s="34"/>
      <c r="H135" s="34" t="s">
        <v>645</v>
      </c>
      <c r="I135" s="34" t="str">
        <f>"(SELECT "&amp;VLOOKUP(B135,'0. Instruções'!$C$27:$G$32,4,FALSE)&amp;", "&amp;F135&amp;" FROM "&amp;D135&amp;" WHERE "&amp;'0. Instruções'!$D$42&amp;")X"</f>
        <v>(SELECT instrmnt_id, DT_END_GP_PPAL FROM CD_LOAN_TAPES_BCE.LT002_INSTRUMENT WHERE ref_date='${ref_date}' AND nome_perimetro='Individual Corporativo' AND segmento='ESTR' AND ambito='PM' AND entidade='00100')X</v>
      </c>
      <c r="J135" s="34" t="str">
        <f>"(SELECT "&amp;VLOOKUP(B135,'0. Instruções'!$C$27:$G$32,4,FALSE)&amp;" AS "&amp;VLOOKUP(B135,'0. Instruções'!$C$27:$G$32,4,FALSE)&amp;"_SIMUL, "&amp;F135&amp;" AS "&amp;F135&amp;"_SIMUL FROM "&amp;E135&amp;" WHERE "&amp;'0. Instruções'!$D$43&amp;")Y"</f>
        <v>(SELECT instrmnt_id AS instrmnt_id_SIMUL, DT_END_GP_PPAL AS DT_END_GP_PPAL_SIMUL FROM BU_LOANTAPE_WORK.LT002_INSTRUMENT WHERE ref_date='${ref_date}' AND nome_perimetro='Individual Corporativo' AND segmento='ESTR' AND ambito='PM' AND entidade='00100')Y</v>
      </c>
      <c r="K135" s="35" t="str">
        <f>+UPPER("ON X."&amp;VLOOKUP(B135,'0. Instruções'!$C$27:$G$32,4,FALSE)&amp;"=Y."&amp;VLOOKUP(B135,'0. Instruções'!$C$27:$G$32,4,FALSE)&amp;"_SIMUL")</f>
        <v>ON X.INSTRMNT_ID=Y.INSTRMNT_ID_SIMUL</v>
      </c>
      <c r="L135" s="35" t="str">
        <f>+IF(C135="Coerência", +IF(LEFT(G135,5)="FLOAT","SELECT '"&amp;UPPER(B135)&amp;"' AS TABELA, '"&amp;UPPER(C135)&amp;"' AS TIPOLOGIA_TESTE,'"&amp;D135&amp;"' AS TABELA_LT,'"&amp;E135&amp;"' AS TABELA_SIMUL,'"&amp;F135&amp;"' AS CAMPO, "&amp;"'${ref_date}' AS REF_DATE, COUNT(*) AS NUM_REG, SUM(IF((ABS(COALESCE(CAST(X."&amp;F135&amp;" AS DECIMAL(18,6)),0)-COALESCE(CAST(Y."&amp;F135&amp;"_SIMUL AS DECIMAL(18,6)),0))&gt;0.000001) OR (X."&amp;F135&amp;" IS NULL AND Y."&amp;F135&amp;"_SIMUL IS NOT NULL ) OR (X."&amp;F135&amp;" IS NOT NULL AND Y."&amp;F135&amp;"_SIMUL IS NULL),1,0)) AS NUM_REG_DIF,'"&amp;MAX('ID1&amp;5'!K:K)+1&amp;"' AS ID_EXEC, CURRENT_TIMESTAMP() AS TIME_EXEC FROM "&amp;I135&amp;" INNER JOIN "&amp;J135&amp;" "&amp;K135,"SELECT '"&amp;UPPER(B135)&amp;"' AS TABELA, '"&amp;UPPER(C135)&amp;"' AS TIPOLOGIA_TESTE,'"&amp;D135&amp;"' AS TABELA_LT,'"&amp;E135&amp;"' AS TABELA_SIMUL,'"&amp;F135&amp;"' AS CAMPO, "&amp;"'${ref_date}' AS REF_DATE, COUNT(*) AS NUM_REG, SUM(IF(COALESCE(CAST(X."&amp;F135&amp;" AS STRING),'')&lt;&gt;COALESCE(CAST(Y."&amp;F135&amp;"_SIMUL AS STRING),'') OR (X."&amp;F135&amp;" IS NULL AND Y."&amp;F135&amp;"_SIMUL IS NOT NULL ) OR (X."&amp;F135&amp;" IS NOT NULL AND Y."&amp;F135&amp;"_SIMUL IS NULL),1,0)) AS NUM_REG_DIF,'"&amp;MAX('ID1&amp;5'!L:L)+1&amp;"' AS ID_EXEC, CURRENT_TIMESTAMP() AS TIME_EXEC FROM "&amp;I135&amp;" INNER JOIN "&amp;J135&amp;" "&amp;K135),
IF(C135="Validade",+IF(G135="Code List","SELECT '"&amp;UPPER(B135)&amp;"' AS TABELA, '"&amp;UPPER(C135)&amp;"' AS TIPOLOGIA_TESTE,'"&amp;D135&amp;"' AS TABELA_LT,'N/A' AS TABELA_SIMUL,'"&amp;F135&amp;"' AS CAMPO, "&amp;"'${ref_date}' AS REF_DATE, COUNT(*) AS NUM_REG, SUM(IF(TRIM(CAST(X."&amp;F135&amp;" AS STRING))='' OR TRIM(CAST(X."&amp;F135&amp;" AS STRING)) IS NULL OR CAST(X."&amp;F135&amp;" AS STRING) NOT "&amp;H135&amp;",1,0)) AS NUM_REG_DIF,'"&amp;MAX('ID1&amp;5'!K:K)+1&amp;"' AS ID_EXEC, CURRENT_TIMESTAMP() AS TIME_EXEC FROM "&amp;I135,"SELECT '"&amp;UPPER(B135)&amp;"' AS TABELA, '"&amp;UPPER(C135)&amp;"' AS TIPOLOGIA_TESTE,'"&amp;D135&amp;"' AS TABELA_LT,'N/A' AS TABELA_SIMUL,'"&amp;F135&amp;"' AS CAMPO, "&amp;"'${ref_date}' AS REF_DATE, COUNT(*) AS NUM_REG, SUM(IF(TRIM(CAST(X."&amp;F135&amp;" AS STRING))='' OR TRIM(CAST(X."&amp;F135&amp;" AS STRING)) IS NULL,1,0)) AS NUM_REG_DIF,'"&amp;MAX('ID1&amp;5'!K:K)+1&amp;"' AS ID_EXEC, CURRENT_TIMESTAMP() AS TIME_EXEC FROM "&amp;I135),
IF(C135="Caracteres Especiais",+"SELECT '"&amp;UPPER(B135)&amp;"' AS TABELA, '"&amp;UPPER(C135)&amp;"' AS TIPOLOGIA_TESTE,'"&amp;D135&amp;"' AS TABELA_LT,'N/A' AS TABELA_SIMUL,'"&amp;F135&amp;"' AS CAMPO, "&amp;"'${ref_date}' AS REF_DATE, COUNT(*) AS NUM_REG, SUM(IF(REGEXP_REPLACE(TRIM(CAST(X."&amp;F135&amp;" AS STRING)),'[^a-zA-Z0-9_\\s]','') &lt;&gt;TRIM(CAST(X."&amp;F135&amp;" AS STRING)),1,0)) AS NUM_REG_DIF,'"&amp;MAX('ID1&amp;5'!K:K)+1&amp;"' AS ID_EXEC, CURRENT_TIMESTAMP() AS TIME_EXEC FROM "&amp;I135,
IF(C135="Missings",+"SELECT '"&amp;UPPER(B135)&amp;"' AS TABELA, '"&amp;UPPER(C135)&amp;"' AS TIPOLOGIA_TESTE,'"&amp;D135&amp;"' AS TABELA_LT,'N/A' AS TABELA_SIMUL,'"&amp;F135&amp;"' AS CAMPO, "&amp;"'${ref_date}' AS REF_DATE, COUNT(*) AS NUM_REG, SUM(IF(TRIM(CAST(X."&amp;F135&amp;" AS STRING)) IN ('0000-00-00','0001-01-01','9999-12-31','MISS','00000','99999999999','99999999999.00','99999999999.000000'),1,0)) AS NUM_REG_DIF,'"&amp;MAX('ID1&amp;5'!K:K)+1&amp;"' AS ID_EXEC, CURRENT_TIMESTAMP() AS TIME_EXEC FROM "&amp;I135,
IF(C135="Not applicable",+"SELECT '"&amp;UPPER(B135)&amp;"' AS TABELA, '"&amp;UPPER(C135)&amp;"' AS TIPOLOGIA_TESTE,'"&amp;D135&amp;"' AS TABELA_LT,'N/A' AS TABELA_SIMUL,'"&amp;F135&amp;"' AS CAMPO, "&amp;"'${ref_date}' AS REF_DATE, COUNT(*) AS NUM_REG, SUM(IF(TRIM(CAST(X."&amp;F135&amp;" AS STRING)) IN ('N/A','11111111111','11111111111.00','11111111111.000000','1111-11-11'),1,0)) AS NUM_REG_DIF,'"&amp;MAX('ID1&amp;5'!K:K)+1&amp;"' AS ID_EXEC, CURRENT_TIMESTAMP() AS TIME_EXEC FROM "&amp;I135,
IF(C135="Valores extremos",+"SELECT '"&amp;UPPER(B135)&amp;"' AS TABELA, '"&amp;UPPER(C135)&amp;"' AS TIPOLOGIA_TESTE,'"&amp;D135&amp;"' AS TABELA_LT,'N/A' AS TABELA_SIMUL,'"&amp;F135&amp;"' AS CAMPO, "&amp;"'${ref_date}' AS REF_DATE, CAST(MIN("&amp;F135&amp;") AS STRING) AS VALOR_MIN, CAST(MAX("&amp;F135&amp;") AS STRING) AS VALOR_MAX,'"&amp;MAX('ID1&amp;5'!K:K)+1&amp;"' AS ID_EXEC, CURRENT_TIMESTAMP() AS TIME_EXEC FROM "&amp;MID(I135,1,LEN(I135)-2)&amp;" AND CAST("&amp;F135&amp;"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TABELA_SIMUL,'DT_END_GP_PPAL' AS CAMPO, '${ref_date}' AS REF_DATE, COUNT(*) AS NUM_REG, SUM(IF(COALESCE(CAST(X.DT_END_GP_PPAL AS STRING),'')&lt;&gt;COALESCE(CAST(Y.DT_END_GP_PPAL_SIMUL AS STRING),'') OR (X.DT_END_GP_PPAL IS NULL AND Y.DT_END_GP_PPAL_SIMUL IS NOT NULL ) OR (X.DT_END_GP_PPAL IS NOT NULL AND Y.DT_END_GP_PPAL_SIMUL IS NULL),1,0)) AS NUM_REG_DIF,'1' AS ID_EXEC, CURRENT_TIMESTAMP() AS TIME_EXEC FROM (SELECT instrmnt_id, DT_END_GP_PPAL FROM CD_LOAN_TAPES_BCE.LT002_INSTRUMENT WHERE ref_date='${ref_date}' AND nome_perimetro='Individual Corporativo' AND segmento='ESTR' AND ambito='PM' AND entidade='00100')X INNER JOIN (SELECT instrmnt_id AS instrmnt_id_SIMUL, DT_END_GP_PPAL AS DT_END_GP_PPAL_SIMUL FROM BU_LOANTAPE_WORK.LT002_INSTRUMENT WHERE ref_date='${ref_date}' AND nome_perimetro='Individual Corporativo' AND segmento='ESTR' AND ambito='PM' AND entidade='00100')Y ON X.INSTRMNT_ID=Y.INSTRMNT_ID_SIMUL</v>
      </c>
      <c r="M135" s="36" t="str">
        <f t="shared" si="2"/>
        <v>UNION ALL SELECT 'INSTRUMENT' AS TABELA, 'COERÊNCIA' AS TIPOLOGIA_TESTE,'CD_LOAN_TAPES_BCE.LT002_INSTRUMENT' AS TABELA_LT,'BU_LOANTAPE_WORK.LT002_INSTRUMENT' AS TABELA_SIMUL,'DT_END_GP_PPAL' AS CAMPO, '${ref_date}' AS REF_DATE, COUNT(*) AS NUM_REG, SUM(IF(COALESCE(CAST(X.DT_END_GP_PPAL AS STRING),'')&lt;&gt;COALESCE(CAST(Y.DT_END_GP_PPAL_SIMUL AS STRING),'') OR (X.DT_END_GP_PPAL IS NULL AND Y.DT_END_GP_PPAL_SIMUL IS NOT NULL ) OR (X.DT_END_GP_PPAL IS NOT NULL AND Y.DT_END_GP_PPAL_SIMUL IS NULL),1,0)) AS NUM_REG_DIF,'1' AS ID_EXEC, CURRENT_TIMESTAMP() AS TIME_EXEC FROM (SELECT instrmnt_id, DT_END_GP_PPAL FROM CD_LOAN_TAPES_BCE.LT002_INSTRUMENT WHERE ref_date='${ref_date}' AND nome_perimetro='Individual Corporativo' AND segmento='ESTR' AND ambito='PM' AND entidade='00100')X INNER JOIN (SELECT instrmnt_id AS instrmnt_id_SIMUL, DT_END_GP_PPAL AS DT_END_GP_PPAL_SIMUL FROM BU_LOANTAPE_WORK.LT002_INSTRUMENT WHERE ref_date='${ref_date}' AND nome_perimetro='Individual Corporativo' AND segmento='ESTR' AND ambito='PM' AND entidade='00100')Y ON X.INSTRMNT_ID=Y.INSTRMNT_ID_SIMUL</v>
      </c>
      <c r="N135" s="38" t="s">
        <v>46</v>
      </c>
    </row>
    <row r="136" spans="2:14" hidden="1">
      <c r="B136" s="34" t="s">
        <v>126</v>
      </c>
      <c r="C136" s="34" t="s">
        <v>5</v>
      </c>
      <c r="D136" s="34" t="str">
        <f>+UPPER('0. Instruções'!$D$35&amp;"."&amp;VLOOKUP(B136,'0. Instruções'!$C$27:$D$32,2,FALSE))</f>
        <v>CD_LOAN_TAPES_BCE.LT002_INSTRUMENT</v>
      </c>
      <c r="E136" s="34" t="str">
        <f>+UPPER('0. Instruções'!$D$36&amp;"."&amp;VLOOKUP(B136,'0. Instruções'!$C$27:$E$32,3,FALSE))</f>
        <v>BU_LOANTAPE_WORK.LT002_INSTRUMENT</v>
      </c>
      <c r="F136" s="34" t="s">
        <v>437</v>
      </c>
      <c r="G136" s="34"/>
      <c r="H136" s="34" t="s">
        <v>645</v>
      </c>
      <c r="I136" s="34" t="str">
        <f>"(SELECT "&amp;VLOOKUP(B136,'0. Instruções'!$C$27:$G$32,4,FALSE)&amp;", "&amp;F136&amp;" FROM "&amp;D136&amp;" WHERE "&amp;'0. Instruções'!$D$42&amp;")X"</f>
        <v>(SELECT instrmnt_id, DT_END_INTRST_ONLY FROM CD_LOAN_TAPES_BCE.LT002_INSTRUMENT WHERE ref_date='${ref_date}' AND nome_perimetro='Individual Corporativo' AND segmento='ESTR' AND ambito='PM' AND entidade='00100')X</v>
      </c>
      <c r="J136" s="34" t="str">
        <f>"(SELECT "&amp;VLOOKUP(B136,'0. Instruções'!$C$27:$G$32,4,FALSE)&amp;" AS "&amp;VLOOKUP(B136,'0. Instruções'!$C$27:$G$32,4,FALSE)&amp;"_SIMUL, "&amp;F136&amp;" AS "&amp;F136&amp;"_SIMUL FROM "&amp;E136&amp;" WHERE "&amp;'0. Instruções'!$D$43&amp;")Y"</f>
        <v>(SELECT instrmnt_id AS instrmnt_id_SIMUL, DT_END_INTRST_ONLY AS DT_END_INTRST_ONLY_SIMUL FROM BU_LOANTAPE_WORK.LT002_INSTRUMENT WHERE ref_date='${ref_date}' AND nome_perimetro='Individual Corporativo' AND segmento='ESTR' AND ambito='PM' AND entidade='00100')Y</v>
      </c>
      <c r="K136" s="35" t="str">
        <f>+UPPER("ON X."&amp;VLOOKUP(B136,'0. Instruções'!$C$27:$G$32,4,FALSE)&amp;"=Y."&amp;VLOOKUP(B136,'0. Instruções'!$C$27:$G$32,4,FALSE)&amp;"_SIMUL")</f>
        <v>ON X.INSTRMNT_ID=Y.INSTRMNT_ID_SIMUL</v>
      </c>
      <c r="L136" s="35" t="str">
        <f>+IF(C136="Coerência", +IF(LEFT(G136,5)="FLOAT","SELECT '"&amp;UPPER(B136)&amp;"' AS TABELA, '"&amp;UPPER(C136)&amp;"' AS TIPOLOGIA_TESTE,'"&amp;D136&amp;"' AS TABELA_LT,'"&amp;E136&amp;"' AS TABELA_SIMUL,'"&amp;F136&amp;"' AS CAMPO, "&amp;"'${ref_date}' AS REF_DATE, COUNT(*) AS NUM_REG, SUM(IF((ABS(COALESCE(CAST(X."&amp;F136&amp;" AS DECIMAL(18,6)),0)-COALESCE(CAST(Y."&amp;F136&amp;"_SIMUL AS DECIMAL(18,6)),0))&gt;0.000001) OR (X."&amp;F136&amp;" IS NULL AND Y."&amp;F136&amp;"_SIMUL IS NOT NULL ) OR (X."&amp;F136&amp;" IS NOT NULL AND Y."&amp;F136&amp;"_SIMUL IS NULL),1,0)) AS NUM_REG_DIF,'"&amp;MAX('ID1&amp;5'!K:K)+1&amp;"' AS ID_EXEC, CURRENT_TIMESTAMP() AS TIME_EXEC FROM "&amp;I136&amp;" INNER JOIN "&amp;J136&amp;" "&amp;K136,"SELECT '"&amp;UPPER(B136)&amp;"' AS TABELA, '"&amp;UPPER(C136)&amp;"' AS TIPOLOGIA_TESTE,'"&amp;D136&amp;"' AS TABELA_LT,'"&amp;E136&amp;"' AS TABELA_SIMUL,'"&amp;F136&amp;"' AS CAMPO, "&amp;"'${ref_date}' AS REF_DATE, COUNT(*) AS NUM_REG, SUM(IF(COALESCE(CAST(X."&amp;F136&amp;" AS STRING),'')&lt;&gt;COALESCE(CAST(Y."&amp;F136&amp;"_SIMUL AS STRING),'') OR (X."&amp;F136&amp;" IS NULL AND Y."&amp;F136&amp;"_SIMUL IS NOT NULL ) OR (X."&amp;F136&amp;" IS NOT NULL AND Y."&amp;F136&amp;"_SIMUL IS NULL),1,0)) AS NUM_REG_DIF,'"&amp;MAX('ID1&amp;5'!L:L)+1&amp;"' AS ID_EXEC, CURRENT_TIMESTAMP() AS TIME_EXEC FROM "&amp;I136&amp;" INNER JOIN "&amp;J136&amp;" "&amp;K136),
IF(C136="Validade",+IF(G136="Code List","SELECT '"&amp;UPPER(B136)&amp;"' AS TABELA, '"&amp;UPPER(C136)&amp;"' AS TIPOLOGIA_TESTE,'"&amp;D136&amp;"' AS TABELA_LT,'N/A' AS TABELA_SIMUL,'"&amp;F136&amp;"' AS CAMPO, "&amp;"'${ref_date}' AS REF_DATE, COUNT(*) AS NUM_REG, SUM(IF(TRIM(CAST(X."&amp;F136&amp;" AS STRING))='' OR TRIM(CAST(X."&amp;F136&amp;" AS STRING)) IS NULL OR CAST(X."&amp;F136&amp;" AS STRING) NOT "&amp;H136&amp;",1,0)) AS NUM_REG_DIF,'"&amp;MAX('ID1&amp;5'!K:K)+1&amp;"' AS ID_EXEC, CURRENT_TIMESTAMP() AS TIME_EXEC FROM "&amp;I136,"SELECT '"&amp;UPPER(B136)&amp;"' AS TABELA, '"&amp;UPPER(C136)&amp;"' AS TIPOLOGIA_TESTE,'"&amp;D136&amp;"' AS TABELA_LT,'N/A' AS TABELA_SIMUL,'"&amp;F136&amp;"' AS CAMPO, "&amp;"'${ref_date}' AS REF_DATE, COUNT(*) AS NUM_REG, SUM(IF(TRIM(CAST(X."&amp;F136&amp;" AS STRING))='' OR TRIM(CAST(X."&amp;F136&amp;" AS STRING)) IS NULL,1,0)) AS NUM_REG_DIF,'"&amp;MAX('ID1&amp;5'!K:K)+1&amp;"' AS ID_EXEC, CURRENT_TIMESTAMP() AS TIME_EXEC FROM "&amp;I136),
IF(C136="Caracteres Especiais",+"SELECT '"&amp;UPPER(B136)&amp;"' AS TABELA, '"&amp;UPPER(C136)&amp;"' AS TIPOLOGIA_TESTE,'"&amp;D136&amp;"' AS TABELA_LT,'N/A' AS TABELA_SIMUL,'"&amp;F136&amp;"' AS CAMPO, "&amp;"'${ref_date}' AS REF_DATE, COUNT(*) AS NUM_REG, SUM(IF(REGEXP_REPLACE(TRIM(CAST(X."&amp;F136&amp;" AS STRING)),'[^a-zA-Z0-9_\\s]','') &lt;&gt;TRIM(CAST(X."&amp;F136&amp;" AS STRING)),1,0)) AS NUM_REG_DIF,'"&amp;MAX('ID1&amp;5'!K:K)+1&amp;"' AS ID_EXEC, CURRENT_TIMESTAMP() AS TIME_EXEC FROM "&amp;I136,
IF(C136="Missings",+"SELECT '"&amp;UPPER(B136)&amp;"' AS TABELA, '"&amp;UPPER(C136)&amp;"' AS TIPOLOGIA_TESTE,'"&amp;D136&amp;"' AS TABELA_LT,'N/A' AS TABELA_SIMUL,'"&amp;F136&amp;"' AS CAMPO, "&amp;"'${ref_date}' AS REF_DATE, COUNT(*) AS NUM_REG, SUM(IF(TRIM(CAST(X."&amp;F136&amp;" AS STRING)) IN ('0000-00-00','0001-01-01','9999-12-31','MISS','00000','99999999999','99999999999.00','99999999999.000000'),1,0)) AS NUM_REG_DIF,'"&amp;MAX('ID1&amp;5'!K:K)+1&amp;"' AS ID_EXEC, CURRENT_TIMESTAMP() AS TIME_EXEC FROM "&amp;I136,
IF(C136="Not applicable",+"SELECT '"&amp;UPPER(B136)&amp;"' AS TABELA, '"&amp;UPPER(C136)&amp;"' AS TIPOLOGIA_TESTE,'"&amp;D136&amp;"' AS TABELA_LT,'N/A' AS TABELA_SIMUL,'"&amp;F136&amp;"' AS CAMPO, "&amp;"'${ref_date}' AS REF_DATE, COUNT(*) AS NUM_REG, SUM(IF(TRIM(CAST(X."&amp;F136&amp;" AS STRING)) IN ('N/A','11111111111','11111111111.00','11111111111.000000','1111-11-11'),1,0)) AS NUM_REG_DIF,'"&amp;MAX('ID1&amp;5'!K:K)+1&amp;"' AS ID_EXEC, CURRENT_TIMESTAMP() AS TIME_EXEC FROM "&amp;I136,
IF(C136="Valores extremos",+"SELECT '"&amp;UPPER(B136)&amp;"' AS TABELA, '"&amp;UPPER(C136)&amp;"' AS TIPOLOGIA_TESTE,'"&amp;D136&amp;"' AS TABELA_LT,'N/A' AS TABELA_SIMUL,'"&amp;F136&amp;"' AS CAMPO, "&amp;"'${ref_date}' AS REF_DATE, CAST(MIN("&amp;F136&amp;") AS STRING) AS VALOR_MIN, CAST(MAX("&amp;F136&amp;") AS STRING) AS VALOR_MAX,'"&amp;MAX('ID1&amp;5'!K:K)+1&amp;"' AS ID_EXEC, CURRENT_TIMESTAMP() AS TIME_EXEC FROM "&amp;MID(I136,1,LEN(I136)-2)&amp;" AND CAST("&amp;F136&amp;"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TABELA_SIMUL,'DT_END_INTRST_ONLY' AS CAMPO, '${ref_date}' AS REF_DATE, COUNT(*) AS NUM_REG, SUM(IF(COALESCE(CAST(X.DT_END_INTRST_ONLY AS STRING),'')&lt;&gt;COALESCE(CAST(Y.DT_END_INTRST_ONLY_SIMUL AS STRING),'') OR (X.DT_END_INTRST_ONLY IS NULL AND Y.DT_END_INTRST_ONLY_SIMUL IS NOT NULL ) OR (X.DT_END_INTRST_ONLY IS NOT NULL AND Y.DT_END_INTRST_ONLY_SIMUL IS NULL),1,0)) AS NUM_REG_DIF,'1' AS ID_EXEC, CURRENT_TIMESTAMP() AS TIME_EXEC FROM (SELECT instrmnt_id, DT_END_INTRST_ONLY FROM CD_LOAN_TAPES_BCE.LT002_INSTRUMENT WHERE ref_date='${ref_date}' AND nome_perimetro='Individual Corporativo' AND segmento='ESTR' AND ambito='PM' AND entidade='00100')X INNER JOIN (SELECT instrmnt_id AS instrmnt_id_SIMUL, DT_END_INTRST_ONLY AS DT_END_INTRST_ONLY_SIMUL FROM BU_LOANTAPE_WORK.LT002_INSTRUMENT WHERE ref_date='${ref_date}' AND nome_perimetro='Individual Corporativo' AND segmento='ESTR' AND ambito='PM' AND entidade='00100')Y ON X.INSTRMNT_ID=Y.INSTRMNT_ID_SIMUL</v>
      </c>
      <c r="M136" s="36" t="str">
        <f t="shared" si="2"/>
        <v>UNION ALL SELECT 'INSTRUMENT' AS TABELA, 'COERÊNCIA' AS TIPOLOGIA_TESTE,'CD_LOAN_TAPES_BCE.LT002_INSTRUMENT' AS TABELA_LT,'BU_LOANTAPE_WORK.LT002_INSTRUMENT' AS TABELA_SIMUL,'DT_END_INTRST_ONLY' AS CAMPO, '${ref_date}' AS REF_DATE, COUNT(*) AS NUM_REG, SUM(IF(COALESCE(CAST(X.DT_END_INTRST_ONLY AS STRING),'')&lt;&gt;COALESCE(CAST(Y.DT_END_INTRST_ONLY_SIMUL AS STRING),'') OR (X.DT_END_INTRST_ONLY IS NULL AND Y.DT_END_INTRST_ONLY_SIMUL IS NOT NULL ) OR (X.DT_END_INTRST_ONLY IS NOT NULL AND Y.DT_END_INTRST_ONLY_SIMUL IS NULL),1,0)) AS NUM_REG_DIF,'1' AS ID_EXEC, CURRENT_TIMESTAMP() AS TIME_EXEC FROM (SELECT instrmnt_id, DT_END_INTRST_ONLY FROM CD_LOAN_TAPES_BCE.LT002_INSTRUMENT WHERE ref_date='${ref_date}' AND nome_perimetro='Individual Corporativo' AND segmento='ESTR' AND ambito='PM' AND entidade='00100')X INNER JOIN (SELECT instrmnt_id AS instrmnt_id_SIMUL, DT_END_INTRST_ONLY AS DT_END_INTRST_ONLY_SIMUL FROM BU_LOANTAPE_WORK.LT002_INSTRUMENT WHERE ref_date='${ref_date}' AND nome_perimetro='Individual Corporativo' AND segmento='ESTR' AND ambito='PM' AND entidade='00100')Y ON X.INSTRMNT_ID=Y.INSTRMNT_ID_SIMUL</v>
      </c>
      <c r="N136" s="38" t="s">
        <v>46</v>
      </c>
    </row>
    <row r="137" spans="2:14" hidden="1">
      <c r="B137" s="34" t="s">
        <v>126</v>
      </c>
      <c r="C137" s="34" t="s">
        <v>5</v>
      </c>
      <c r="D137" s="34" t="str">
        <f>+UPPER('0. Instruções'!$D$35&amp;"."&amp;VLOOKUP(B137,'0. Instruções'!$C$27:$D$32,2,FALSE))</f>
        <v>CD_LOAN_TAPES_BCE.LT002_INSTRUMENT</v>
      </c>
      <c r="E137" s="34" t="str">
        <f>+UPPER('0. Instruções'!$D$36&amp;"."&amp;VLOOKUP(B137,'0. Instruções'!$C$27:$E$32,3,FALSE))</f>
        <v>BU_LOANTAPE_WORK.LT002_INSTRUMENT</v>
      </c>
      <c r="F137" s="34" t="s">
        <v>438</v>
      </c>
      <c r="G137" s="34"/>
      <c r="H137" s="34" t="s">
        <v>645</v>
      </c>
      <c r="I137" s="34" t="str">
        <f>"(SELECT "&amp;VLOOKUP(B137,'0. Instruções'!$C$27:$G$32,4,FALSE)&amp;", "&amp;F137&amp;" FROM "&amp;D137&amp;" WHERE "&amp;'0. Instruções'!$D$42&amp;")X"</f>
        <v>(SELECT instrmnt_id, DT_FRBRNC_STTS FROM CD_LOAN_TAPES_BCE.LT002_INSTRUMENT WHERE ref_date='${ref_date}' AND nome_perimetro='Individual Corporativo' AND segmento='ESTR' AND ambito='PM' AND entidade='00100')X</v>
      </c>
      <c r="J137" s="34" t="str">
        <f>"(SELECT "&amp;VLOOKUP(B137,'0. Instruções'!$C$27:$G$32,4,FALSE)&amp;" AS "&amp;VLOOKUP(B137,'0. Instruções'!$C$27:$G$32,4,FALSE)&amp;"_SIMUL, "&amp;F137&amp;" AS "&amp;F137&amp;"_SIMUL FROM "&amp;E137&amp;" WHERE "&amp;'0. Instruções'!$D$43&amp;")Y"</f>
        <v>(SELECT instrmnt_id AS instrmnt_id_SIMUL, DT_FRBRNC_STTS AS DT_FRBRNC_STTS_SIMUL FROM BU_LOANTAPE_WORK.LT002_INSTRUMENT WHERE ref_date='${ref_date}' AND nome_perimetro='Individual Corporativo' AND segmento='ESTR' AND ambito='PM' AND entidade='00100')Y</v>
      </c>
      <c r="K137" s="35" t="str">
        <f>+UPPER("ON X."&amp;VLOOKUP(B137,'0. Instruções'!$C$27:$G$32,4,FALSE)&amp;"=Y."&amp;VLOOKUP(B137,'0. Instruções'!$C$27:$G$32,4,FALSE)&amp;"_SIMUL")</f>
        <v>ON X.INSTRMNT_ID=Y.INSTRMNT_ID_SIMUL</v>
      </c>
      <c r="L137" s="35" t="str">
        <f>+IF(C137="Coerência", +IF(LEFT(G137,5)="FLOAT","SELECT '"&amp;UPPER(B137)&amp;"' AS TABELA, '"&amp;UPPER(C137)&amp;"' AS TIPOLOGIA_TESTE,'"&amp;D137&amp;"' AS TABELA_LT,'"&amp;E137&amp;"' AS TABELA_SIMUL,'"&amp;F137&amp;"' AS CAMPO, "&amp;"'${ref_date}' AS REF_DATE, COUNT(*) AS NUM_REG, SUM(IF((ABS(COALESCE(CAST(X."&amp;F137&amp;" AS DECIMAL(18,6)),0)-COALESCE(CAST(Y."&amp;F137&amp;"_SIMUL AS DECIMAL(18,6)),0))&gt;0.000001) OR (X."&amp;F137&amp;" IS NULL AND Y."&amp;F137&amp;"_SIMUL IS NOT NULL ) OR (X."&amp;F137&amp;" IS NOT NULL AND Y."&amp;F137&amp;"_SIMUL IS NULL),1,0)) AS NUM_REG_DIF,'"&amp;MAX('ID1&amp;5'!K:K)+1&amp;"' AS ID_EXEC, CURRENT_TIMESTAMP() AS TIME_EXEC FROM "&amp;I137&amp;" INNER JOIN "&amp;J137&amp;" "&amp;K137,"SELECT '"&amp;UPPER(B137)&amp;"' AS TABELA, '"&amp;UPPER(C137)&amp;"' AS TIPOLOGIA_TESTE,'"&amp;D137&amp;"' AS TABELA_LT,'"&amp;E137&amp;"' AS TABELA_SIMUL,'"&amp;F137&amp;"' AS CAMPO, "&amp;"'${ref_date}' AS REF_DATE, COUNT(*) AS NUM_REG, SUM(IF(COALESCE(CAST(X."&amp;F137&amp;" AS STRING),'')&lt;&gt;COALESCE(CAST(Y."&amp;F137&amp;"_SIMUL AS STRING),'') OR (X."&amp;F137&amp;" IS NULL AND Y."&amp;F137&amp;"_SIMUL IS NOT NULL ) OR (X."&amp;F137&amp;" IS NOT NULL AND Y."&amp;F137&amp;"_SIMUL IS NULL),1,0)) AS NUM_REG_DIF,'"&amp;MAX('ID1&amp;5'!L:L)+1&amp;"' AS ID_EXEC, CURRENT_TIMESTAMP() AS TIME_EXEC FROM "&amp;I137&amp;" INNER JOIN "&amp;J137&amp;" "&amp;K137),
IF(C137="Validade",+IF(G137="Code List","SELECT '"&amp;UPPER(B137)&amp;"' AS TABELA, '"&amp;UPPER(C137)&amp;"' AS TIPOLOGIA_TESTE,'"&amp;D137&amp;"' AS TABELA_LT,'N/A' AS TABELA_SIMUL,'"&amp;F137&amp;"' AS CAMPO, "&amp;"'${ref_date}' AS REF_DATE, COUNT(*) AS NUM_REG, SUM(IF(TRIM(CAST(X."&amp;F137&amp;" AS STRING))='' OR TRIM(CAST(X."&amp;F137&amp;" AS STRING)) IS NULL OR CAST(X."&amp;F137&amp;" AS STRING) NOT "&amp;H137&amp;",1,0)) AS NUM_REG_DIF,'"&amp;MAX('ID1&amp;5'!K:K)+1&amp;"' AS ID_EXEC, CURRENT_TIMESTAMP() AS TIME_EXEC FROM "&amp;I137,"SELECT '"&amp;UPPER(B137)&amp;"' AS TABELA, '"&amp;UPPER(C137)&amp;"' AS TIPOLOGIA_TESTE,'"&amp;D137&amp;"' AS TABELA_LT,'N/A' AS TABELA_SIMUL,'"&amp;F137&amp;"' AS CAMPO, "&amp;"'${ref_date}' AS REF_DATE, COUNT(*) AS NUM_REG, SUM(IF(TRIM(CAST(X."&amp;F137&amp;" AS STRING))='' OR TRIM(CAST(X."&amp;F137&amp;" AS STRING)) IS NULL,1,0)) AS NUM_REG_DIF,'"&amp;MAX('ID1&amp;5'!K:K)+1&amp;"' AS ID_EXEC, CURRENT_TIMESTAMP() AS TIME_EXEC FROM "&amp;I137),
IF(C137="Caracteres Especiais",+"SELECT '"&amp;UPPER(B137)&amp;"' AS TABELA, '"&amp;UPPER(C137)&amp;"' AS TIPOLOGIA_TESTE,'"&amp;D137&amp;"' AS TABELA_LT,'N/A' AS TABELA_SIMUL,'"&amp;F137&amp;"' AS CAMPO, "&amp;"'${ref_date}' AS REF_DATE, COUNT(*) AS NUM_REG, SUM(IF(REGEXP_REPLACE(TRIM(CAST(X."&amp;F137&amp;" AS STRING)),'[^a-zA-Z0-9_\\s]','') &lt;&gt;TRIM(CAST(X."&amp;F137&amp;" AS STRING)),1,0)) AS NUM_REG_DIF,'"&amp;MAX('ID1&amp;5'!K:K)+1&amp;"' AS ID_EXEC, CURRENT_TIMESTAMP() AS TIME_EXEC FROM "&amp;I137,
IF(C137="Missings",+"SELECT '"&amp;UPPER(B137)&amp;"' AS TABELA, '"&amp;UPPER(C137)&amp;"' AS TIPOLOGIA_TESTE,'"&amp;D137&amp;"' AS TABELA_LT,'N/A' AS TABELA_SIMUL,'"&amp;F137&amp;"' AS CAMPO, "&amp;"'${ref_date}' AS REF_DATE, COUNT(*) AS NUM_REG, SUM(IF(TRIM(CAST(X."&amp;F137&amp;" AS STRING)) IN ('0000-00-00','0001-01-01','9999-12-31','MISS','00000','99999999999','99999999999.00','99999999999.000000'),1,0)) AS NUM_REG_DIF,'"&amp;MAX('ID1&amp;5'!K:K)+1&amp;"' AS ID_EXEC, CURRENT_TIMESTAMP() AS TIME_EXEC FROM "&amp;I137,
IF(C137="Not applicable",+"SELECT '"&amp;UPPER(B137)&amp;"' AS TABELA, '"&amp;UPPER(C137)&amp;"' AS TIPOLOGIA_TESTE,'"&amp;D137&amp;"' AS TABELA_LT,'N/A' AS TABELA_SIMUL,'"&amp;F137&amp;"' AS CAMPO, "&amp;"'${ref_date}' AS REF_DATE, COUNT(*) AS NUM_REG, SUM(IF(TRIM(CAST(X."&amp;F137&amp;" AS STRING)) IN ('N/A','11111111111','11111111111.00','11111111111.000000','1111-11-11'),1,0)) AS NUM_REG_DIF,'"&amp;MAX('ID1&amp;5'!K:K)+1&amp;"' AS ID_EXEC, CURRENT_TIMESTAMP() AS TIME_EXEC FROM "&amp;I137,
IF(C137="Valores extremos",+"SELECT '"&amp;UPPER(B137)&amp;"' AS TABELA, '"&amp;UPPER(C137)&amp;"' AS TIPOLOGIA_TESTE,'"&amp;D137&amp;"' AS TABELA_LT,'N/A' AS TABELA_SIMUL,'"&amp;F137&amp;"' AS CAMPO, "&amp;"'${ref_date}' AS REF_DATE, CAST(MIN("&amp;F137&amp;") AS STRING) AS VALOR_MIN, CAST(MAX("&amp;F137&amp;") AS STRING) AS VALOR_MAX,'"&amp;MAX('ID1&amp;5'!K:K)+1&amp;"' AS ID_EXEC, CURRENT_TIMESTAMP() AS TIME_EXEC FROM "&amp;MID(I137,1,LEN(I137)-2)&amp;" AND CAST("&amp;F137&amp;"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TABELA_SIMUL,'DT_FRBRNC_STTS' AS CAMPO, '${ref_date}' AS REF_DATE, COUNT(*) AS NUM_REG, SUM(IF(COALESCE(CAST(X.DT_FRBRNC_STTS AS STRING),'')&lt;&gt;COALESCE(CAST(Y.DT_FRBRNC_STTS_SIMUL AS STRING),'') OR (X.DT_FRBRNC_STTS IS NULL AND Y.DT_FRBRNC_STTS_SIMUL IS NOT NULL ) OR (X.DT_FRBRNC_STTS IS NOT NULL AND Y.DT_FRBRNC_STTS_SIMUL IS NULL),1,0)) AS NUM_REG_DIF,'1' AS ID_EXEC, CURRENT_TIMESTAMP() AS TIME_EXEC FROM (SELECT instrmnt_id, DT_FRBRNC_STTS FROM CD_LOAN_TAPES_BCE.LT002_INSTRUMENT WHERE ref_date='${ref_date}' AND nome_perimetro='Individual Corporativo' AND segmento='ESTR' AND ambito='PM' AND entidade='00100')X INNER JOIN (SELECT instrmnt_id AS instrmnt_id_SIMUL, DT_FRBRNC_STTS AS DT_FRBRNC_STTS_SIMUL FROM BU_LOANTAPE_WORK.LT002_INSTRUMENT WHERE ref_date='${ref_date}' AND nome_perimetro='Individual Corporativo' AND segmento='ESTR' AND ambito='PM' AND entidade='00100')Y ON X.INSTRMNT_ID=Y.INSTRMNT_ID_SIMUL</v>
      </c>
      <c r="M137" s="36" t="str">
        <f t="shared" si="2"/>
        <v>UNION ALL SELECT 'INSTRUMENT' AS TABELA, 'COERÊNCIA' AS TIPOLOGIA_TESTE,'CD_LOAN_TAPES_BCE.LT002_INSTRUMENT' AS TABELA_LT,'BU_LOANTAPE_WORK.LT002_INSTRUMENT' AS TABELA_SIMUL,'DT_FRBRNC_STTS' AS CAMPO, '${ref_date}' AS REF_DATE, COUNT(*) AS NUM_REG, SUM(IF(COALESCE(CAST(X.DT_FRBRNC_STTS AS STRING),'')&lt;&gt;COALESCE(CAST(Y.DT_FRBRNC_STTS_SIMUL AS STRING),'') OR (X.DT_FRBRNC_STTS IS NULL AND Y.DT_FRBRNC_STTS_SIMUL IS NOT NULL ) OR (X.DT_FRBRNC_STTS IS NOT NULL AND Y.DT_FRBRNC_STTS_SIMUL IS NULL),1,0)) AS NUM_REG_DIF,'1' AS ID_EXEC, CURRENT_TIMESTAMP() AS TIME_EXEC FROM (SELECT instrmnt_id, DT_FRBRNC_STTS FROM CD_LOAN_TAPES_BCE.LT002_INSTRUMENT WHERE ref_date='${ref_date}' AND nome_perimetro='Individual Corporativo' AND segmento='ESTR' AND ambito='PM' AND entidade='00100')X INNER JOIN (SELECT instrmnt_id AS instrmnt_id_SIMUL, DT_FRBRNC_STTS AS DT_FRBRNC_STTS_SIMUL FROM BU_LOANTAPE_WORK.LT002_INSTRUMENT WHERE ref_date='${ref_date}' AND nome_perimetro='Individual Corporativo' AND segmento='ESTR' AND ambito='PM' AND entidade='00100')Y ON X.INSTRMNT_ID=Y.INSTRMNT_ID_SIMUL</v>
      </c>
      <c r="N137" s="38" t="s">
        <v>46</v>
      </c>
    </row>
    <row r="138" spans="2:14" hidden="1">
      <c r="B138" s="34" t="s">
        <v>126</v>
      </c>
      <c r="C138" s="34" t="s">
        <v>5</v>
      </c>
      <c r="D138" s="34" t="str">
        <f>+UPPER('0. Instruções'!$D$35&amp;"."&amp;VLOOKUP(B138,'0. Instruções'!$C$27:$D$32,2,FALSE))</f>
        <v>CD_LOAN_TAPES_BCE.LT002_INSTRUMENT</v>
      </c>
      <c r="E138" s="34" t="str">
        <f>+UPPER('0. Instruções'!$D$36&amp;"."&amp;VLOOKUP(B138,'0. Instruções'!$C$27:$E$32,3,FALSE))</f>
        <v>BU_LOANTAPE_WORK.LT002_INSTRUMENT</v>
      </c>
      <c r="F138" s="34" t="s">
        <v>439</v>
      </c>
      <c r="G138" s="34"/>
      <c r="H138" s="35" t="s">
        <v>645</v>
      </c>
      <c r="I138" s="34" t="str">
        <f>"(SELECT "&amp;VLOOKUP(B138,'0. Instruções'!$C$27:$G$32,4,FALSE)&amp;", "&amp;F138&amp;" FROM "&amp;D138&amp;" WHERE "&amp;'0. Instruções'!$D$42&amp;")X"</f>
        <v>(SELECT instrmnt_id, DT_FRBRNC_STTS_PRVS FROM CD_LOAN_TAPES_BCE.LT002_INSTRUMENT WHERE ref_date='${ref_date}' AND nome_perimetro='Individual Corporativo' AND segmento='ESTR' AND ambito='PM' AND entidade='00100')X</v>
      </c>
      <c r="J138" s="34" t="str">
        <f>"(SELECT "&amp;VLOOKUP(B138,'0. Instruções'!$C$27:$G$32,4,FALSE)&amp;" AS "&amp;VLOOKUP(B138,'0. Instruções'!$C$27:$G$32,4,FALSE)&amp;"_SIMUL, "&amp;F138&amp;" AS "&amp;F138&amp;"_SIMUL FROM "&amp;E138&amp;" WHERE "&amp;'0. Instruções'!$D$43&amp;")Y"</f>
        <v>(SELECT instrmnt_id AS instrmnt_id_SIMUL, DT_FRBRNC_STTS_PRVS AS DT_FRBRNC_STTS_PRVS_SIMUL FROM BU_LOANTAPE_WORK.LT002_INSTRUMENT WHERE ref_date='${ref_date}' AND nome_perimetro='Individual Corporativo' AND segmento='ESTR' AND ambito='PM' AND entidade='00100')Y</v>
      </c>
      <c r="K138" s="35" t="str">
        <f>+UPPER("ON X."&amp;VLOOKUP(B138,'0. Instruções'!$C$27:$G$32,4,FALSE)&amp;"=Y."&amp;VLOOKUP(B138,'0. Instruções'!$C$27:$G$32,4,FALSE)&amp;"_SIMUL")</f>
        <v>ON X.INSTRMNT_ID=Y.INSTRMNT_ID_SIMUL</v>
      </c>
      <c r="L138" s="35" t="str">
        <f>+IF(C138="Coerência", +IF(LEFT(G138,5)="FLOAT","SELECT '"&amp;UPPER(B138)&amp;"' AS TABELA, '"&amp;UPPER(C138)&amp;"' AS TIPOLOGIA_TESTE,'"&amp;D138&amp;"' AS TABELA_LT,'"&amp;E138&amp;"' AS TABELA_SIMUL,'"&amp;F138&amp;"' AS CAMPO, "&amp;"'${ref_date}' AS REF_DATE, COUNT(*) AS NUM_REG, SUM(IF((ABS(COALESCE(CAST(X."&amp;F138&amp;" AS DECIMAL(18,6)),0)-COALESCE(CAST(Y."&amp;F138&amp;"_SIMUL AS DECIMAL(18,6)),0))&gt;0.000001) OR (X."&amp;F138&amp;" IS NULL AND Y."&amp;F138&amp;"_SIMUL IS NOT NULL ) OR (X."&amp;F138&amp;" IS NOT NULL AND Y."&amp;F138&amp;"_SIMUL IS NULL),1,0)) AS NUM_REG_DIF,'"&amp;MAX('ID1&amp;5'!K:K)+1&amp;"' AS ID_EXEC, CURRENT_TIMESTAMP() AS TIME_EXEC FROM "&amp;I138&amp;" INNER JOIN "&amp;J138&amp;" "&amp;K138,"SELECT '"&amp;UPPER(B138)&amp;"' AS TABELA, '"&amp;UPPER(C138)&amp;"' AS TIPOLOGIA_TESTE,'"&amp;D138&amp;"' AS TABELA_LT,'"&amp;E138&amp;"' AS TABELA_SIMUL,'"&amp;F138&amp;"' AS CAMPO, "&amp;"'${ref_date}' AS REF_DATE, COUNT(*) AS NUM_REG, SUM(IF(COALESCE(CAST(X."&amp;F138&amp;" AS STRING),'')&lt;&gt;COALESCE(CAST(Y."&amp;F138&amp;"_SIMUL AS STRING),'') OR (X."&amp;F138&amp;" IS NULL AND Y."&amp;F138&amp;"_SIMUL IS NOT NULL ) OR (X."&amp;F138&amp;" IS NOT NULL AND Y."&amp;F138&amp;"_SIMUL IS NULL),1,0)) AS NUM_REG_DIF,'"&amp;MAX('ID1&amp;5'!L:L)+1&amp;"' AS ID_EXEC, CURRENT_TIMESTAMP() AS TIME_EXEC FROM "&amp;I138&amp;" INNER JOIN "&amp;J138&amp;" "&amp;K138),
IF(C138="Validade",+IF(G138="Code List","SELECT '"&amp;UPPER(B138)&amp;"' AS TABELA, '"&amp;UPPER(C138)&amp;"' AS TIPOLOGIA_TESTE,'"&amp;D138&amp;"' AS TABELA_LT,'N/A' AS TABELA_SIMUL,'"&amp;F138&amp;"' AS CAMPO, "&amp;"'${ref_date}' AS REF_DATE, COUNT(*) AS NUM_REG, SUM(IF(TRIM(CAST(X."&amp;F138&amp;" AS STRING))='' OR TRIM(CAST(X."&amp;F138&amp;" AS STRING)) IS NULL OR CAST(X."&amp;F138&amp;" AS STRING) NOT "&amp;H138&amp;",1,0)) AS NUM_REG_DIF,'"&amp;MAX('ID1&amp;5'!K:K)+1&amp;"' AS ID_EXEC, CURRENT_TIMESTAMP() AS TIME_EXEC FROM "&amp;I138,"SELECT '"&amp;UPPER(B138)&amp;"' AS TABELA, '"&amp;UPPER(C138)&amp;"' AS TIPOLOGIA_TESTE,'"&amp;D138&amp;"' AS TABELA_LT,'N/A' AS TABELA_SIMUL,'"&amp;F138&amp;"' AS CAMPO, "&amp;"'${ref_date}' AS REF_DATE, COUNT(*) AS NUM_REG, SUM(IF(TRIM(CAST(X."&amp;F138&amp;" AS STRING))='' OR TRIM(CAST(X."&amp;F138&amp;" AS STRING)) IS NULL,1,0)) AS NUM_REG_DIF,'"&amp;MAX('ID1&amp;5'!K:K)+1&amp;"' AS ID_EXEC, CURRENT_TIMESTAMP() AS TIME_EXEC FROM "&amp;I138),
IF(C138="Caracteres Especiais",+"SELECT '"&amp;UPPER(B138)&amp;"' AS TABELA, '"&amp;UPPER(C138)&amp;"' AS TIPOLOGIA_TESTE,'"&amp;D138&amp;"' AS TABELA_LT,'N/A' AS TABELA_SIMUL,'"&amp;F138&amp;"' AS CAMPO, "&amp;"'${ref_date}' AS REF_DATE, COUNT(*) AS NUM_REG, SUM(IF(REGEXP_REPLACE(TRIM(CAST(X."&amp;F138&amp;" AS STRING)),'[^a-zA-Z0-9_\\s]','') &lt;&gt;TRIM(CAST(X."&amp;F138&amp;" AS STRING)),1,0)) AS NUM_REG_DIF,'"&amp;MAX('ID1&amp;5'!K:K)+1&amp;"' AS ID_EXEC, CURRENT_TIMESTAMP() AS TIME_EXEC FROM "&amp;I138,
IF(C138="Missings",+"SELECT '"&amp;UPPER(B138)&amp;"' AS TABELA, '"&amp;UPPER(C138)&amp;"' AS TIPOLOGIA_TESTE,'"&amp;D138&amp;"' AS TABELA_LT,'N/A' AS TABELA_SIMUL,'"&amp;F138&amp;"' AS CAMPO, "&amp;"'${ref_date}' AS REF_DATE, COUNT(*) AS NUM_REG, SUM(IF(TRIM(CAST(X."&amp;F138&amp;" AS STRING)) IN ('0000-00-00','0001-01-01','9999-12-31','MISS','00000','99999999999','99999999999.00','99999999999.000000'),1,0)) AS NUM_REG_DIF,'"&amp;MAX('ID1&amp;5'!K:K)+1&amp;"' AS ID_EXEC, CURRENT_TIMESTAMP() AS TIME_EXEC FROM "&amp;I138,
IF(C138="Not applicable",+"SELECT '"&amp;UPPER(B138)&amp;"' AS TABELA, '"&amp;UPPER(C138)&amp;"' AS TIPOLOGIA_TESTE,'"&amp;D138&amp;"' AS TABELA_LT,'N/A' AS TABELA_SIMUL,'"&amp;F138&amp;"' AS CAMPO, "&amp;"'${ref_date}' AS REF_DATE, COUNT(*) AS NUM_REG, SUM(IF(TRIM(CAST(X."&amp;F138&amp;" AS STRING)) IN ('N/A','11111111111','11111111111.00','11111111111.000000','1111-11-11'),1,0)) AS NUM_REG_DIF,'"&amp;MAX('ID1&amp;5'!K:K)+1&amp;"' AS ID_EXEC, CURRENT_TIMESTAMP() AS TIME_EXEC FROM "&amp;I138,
IF(C138="Valores extremos",+"SELECT '"&amp;UPPER(B138)&amp;"' AS TABELA, '"&amp;UPPER(C138)&amp;"' AS TIPOLOGIA_TESTE,'"&amp;D138&amp;"' AS TABELA_LT,'N/A' AS TABELA_SIMUL,'"&amp;F138&amp;"' AS CAMPO, "&amp;"'${ref_date}' AS REF_DATE, CAST(MIN("&amp;F138&amp;") AS STRING) AS VALOR_MIN, CAST(MAX("&amp;F138&amp;") AS STRING) AS VALOR_MAX,'"&amp;MAX('ID1&amp;5'!K:K)+1&amp;"' AS ID_EXEC, CURRENT_TIMESTAMP() AS TIME_EXEC FROM "&amp;MID(I138,1,LEN(I138)-2)&amp;" AND CAST("&amp;F138&amp;"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TABELA_SIMUL,'DT_FRBRNC_STTS_PRVS' AS CAMPO, '${ref_date}' AS REF_DATE, COUNT(*) AS NUM_REG, SUM(IF(COALESCE(CAST(X.DT_FRBRNC_STTS_PRVS AS STRING),'')&lt;&gt;COALESCE(CAST(Y.DT_FRBRNC_STTS_PRVS_SIMUL AS STRING),'') OR (X.DT_FRBRNC_STTS_PRVS IS NULL AND Y.DT_FRBRNC_STTS_PRVS_SIMUL IS NOT NULL ) OR (X.DT_FRBRNC_STTS_PRVS IS NOT NULL AND Y.DT_FRBRNC_STTS_PRVS_SIMUL IS NULL),1,0)) AS NUM_REG_DIF,'1' AS ID_EXEC, CURRENT_TIMESTAMP() AS TIME_EXEC FROM (SELECT instrmnt_id, DT_FRBRNC_STTS_PRVS FROM CD_LOAN_TAPES_BCE.LT002_INSTRUMENT WHERE ref_date='${ref_date}' AND nome_perimetro='Individual Corporativo' AND segmento='ESTR' AND ambito='PM' AND entidade='00100')X INNER JOIN (SELECT instrmnt_id AS instrmnt_id_SIMUL, DT_FRBRNC_STTS_PRVS AS DT_FRBRNC_STTS_PRVS_SIMUL FROM BU_LOANTAPE_WORK.LT002_INSTRUMENT WHERE ref_date='${ref_date}' AND nome_perimetro='Individual Corporativo' AND segmento='ESTR' AND ambito='PM' AND entidade='00100')Y ON X.INSTRMNT_ID=Y.INSTRMNT_ID_SIMUL</v>
      </c>
      <c r="M138" s="36" t="str">
        <f t="shared" si="2"/>
        <v>UNION ALL SELECT 'INSTRUMENT' AS TABELA, 'COERÊNCIA' AS TIPOLOGIA_TESTE,'CD_LOAN_TAPES_BCE.LT002_INSTRUMENT' AS TABELA_LT,'BU_LOANTAPE_WORK.LT002_INSTRUMENT' AS TABELA_SIMUL,'DT_FRBRNC_STTS_PRVS' AS CAMPO, '${ref_date}' AS REF_DATE, COUNT(*) AS NUM_REG, SUM(IF(COALESCE(CAST(X.DT_FRBRNC_STTS_PRVS AS STRING),'')&lt;&gt;COALESCE(CAST(Y.DT_FRBRNC_STTS_PRVS_SIMUL AS STRING),'') OR (X.DT_FRBRNC_STTS_PRVS IS NULL AND Y.DT_FRBRNC_STTS_PRVS_SIMUL IS NOT NULL ) OR (X.DT_FRBRNC_STTS_PRVS IS NOT NULL AND Y.DT_FRBRNC_STTS_PRVS_SIMUL IS NULL),1,0)) AS NUM_REG_DIF,'1' AS ID_EXEC, CURRENT_TIMESTAMP() AS TIME_EXEC FROM (SELECT instrmnt_id, DT_FRBRNC_STTS_PRVS FROM CD_LOAN_TAPES_BCE.LT002_INSTRUMENT WHERE ref_date='${ref_date}' AND nome_perimetro='Individual Corporativo' AND segmento='ESTR' AND ambito='PM' AND entidade='00100')X INNER JOIN (SELECT instrmnt_id AS instrmnt_id_SIMUL, DT_FRBRNC_STTS_PRVS AS DT_FRBRNC_STTS_PRVS_SIMUL FROM BU_LOANTAPE_WORK.LT002_INSTRUMENT WHERE ref_date='${ref_date}' AND nome_perimetro='Individual Corporativo' AND segmento='ESTR' AND ambito='PM' AND entidade='00100')Y ON X.INSTRMNT_ID=Y.INSTRMNT_ID_SIMUL</v>
      </c>
      <c r="N138" s="38" t="s">
        <v>46</v>
      </c>
    </row>
    <row r="139" spans="2:14" hidden="1">
      <c r="B139" s="34" t="s">
        <v>126</v>
      </c>
      <c r="C139" s="34" t="s">
        <v>5</v>
      </c>
      <c r="D139" s="34" t="str">
        <f>+UPPER('0. Instruções'!$D$35&amp;"."&amp;VLOOKUP(B139,'0. Instruções'!$C$27:$D$32,2,FALSE))</f>
        <v>CD_LOAN_TAPES_BCE.LT002_INSTRUMENT</v>
      </c>
      <c r="E139" s="34" t="str">
        <f>+UPPER('0. Instruções'!$D$36&amp;"."&amp;VLOOKUP(B139,'0. Instruções'!$C$27:$E$32,3,FALSE))</f>
        <v>BU_LOANTAPE_WORK.LT002_INSTRUMENT</v>
      </c>
      <c r="F139" s="34" t="s">
        <v>341</v>
      </c>
      <c r="G139" s="34"/>
      <c r="H139" s="34" t="s">
        <v>645</v>
      </c>
      <c r="I139" s="34" t="str">
        <f>"(SELECT "&amp;VLOOKUP(B139,'0. Instruções'!$C$27:$G$32,4,FALSE)&amp;", "&amp;F139&amp;" FROM "&amp;D139&amp;" WHERE "&amp;'0. Instruções'!$D$42&amp;")X"</f>
        <v>(SELECT instrmnt_id, DT_INTRNL_RTNG FROM CD_LOAN_TAPES_BCE.LT002_INSTRUMENT WHERE ref_date='${ref_date}' AND nome_perimetro='Individual Corporativo' AND segmento='ESTR' AND ambito='PM' AND entidade='00100')X</v>
      </c>
      <c r="J139" s="34" t="str">
        <f>"(SELECT "&amp;VLOOKUP(B139,'0. Instruções'!$C$27:$G$32,4,FALSE)&amp;" AS "&amp;VLOOKUP(B139,'0. Instruções'!$C$27:$G$32,4,FALSE)&amp;"_SIMUL, "&amp;F139&amp;" AS "&amp;F139&amp;"_SIMUL FROM "&amp;E139&amp;" WHERE "&amp;'0. Instruções'!$D$43&amp;")Y"</f>
        <v>(SELECT instrmnt_id AS instrmnt_id_SIMUL, DT_INTRNL_RTNG AS DT_INTRNL_RTNG_SIMUL FROM BU_LOANTAPE_WORK.LT002_INSTRUMENT WHERE ref_date='${ref_date}' AND nome_perimetro='Individual Corporativo' AND segmento='ESTR' AND ambito='PM' AND entidade='00100')Y</v>
      </c>
      <c r="K139" s="35" t="str">
        <f>+UPPER("ON X."&amp;VLOOKUP(B139,'0. Instruções'!$C$27:$G$32,4,FALSE)&amp;"=Y."&amp;VLOOKUP(B139,'0. Instruções'!$C$27:$G$32,4,FALSE)&amp;"_SIMUL")</f>
        <v>ON X.INSTRMNT_ID=Y.INSTRMNT_ID_SIMUL</v>
      </c>
      <c r="L139" s="35" t="str">
        <f>+IF(C139="Coerência", +IF(LEFT(G139,5)="FLOAT","SELECT '"&amp;UPPER(B139)&amp;"' AS TABELA, '"&amp;UPPER(C139)&amp;"' AS TIPOLOGIA_TESTE,'"&amp;D139&amp;"' AS TABELA_LT,'"&amp;E139&amp;"' AS TABELA_SIMUL,'"&amp;F139&amp;"' AS CAMPO, "&amp;"'${ref_date}' AS REF_DATE, COUNT(*) AS NUM_REG, SUM(IF((ABS(COALESCE(CAST(X."&amp;F139&amp;" AS DECIMAL(18,6)),0)-COALESCE(CAST(Y."&amp;F139&amp;"_SIMUL AS DECIMAL(18,6)),0))&gt;0.000001) OR (X."&amp;F139&amp;" IS NULL AND Y."&amp;F139&amp;"_SIMUL IS NOT NULL ) OR (X."&amp;F139&amp;" IS NOT NULL AND Y."&amp;F139&amp;"_SIMUL IS NULL),1,0)) AS NUM_REG_DIF,'"&amp;MAX('ID1&amp;5'!K:K)+1&amp;"' AS ID_EXEC, CURRENT_TIMESTAMP() AS TIME_EXEC FROM "&amp;I139&amp;" INNER JOIN "&amp;J139&amp;" "&amp;K139,"SELECT '"&amp;UPPER(B139)&amp;"' AS TABELA, '"&amp;UPPER(C139)&amp;"' AS TIPOLOGIA_TESTE,'"&amp;D139&amp;"' AS TABELA_LT,'"&amp;E139&amp;"' AS TABELA_SIMUL,'"&amp;F139&amp;"' AS CAMPO, "&amp;"'${ref_date}' AS REF_DATE, COUNT(*) AS NUM_REG, SUM(IF(COALESCE(CAST(X."&amp;F139&amp;" AS STRING),'')&lt;&gt;COALESCE(CAST(Y."&amp;F139&amp;"_SIMUL AS STRING),'') OR (X."&amp;F139&amp;" IS NULL AND Y."&amp;F139&amp;"_SIMUL IS NOT NULL ) OR (X."&amp;F139&amp;" IS NOT NULL AND Y."&amp;F139&amp;"_SIMUL IS NULL),1,0)) AS NUM_REG_DIF,'"&amp;MAX('ID1&amp;5'!L:L)+1&amp;"' AS ID_EXEC, CURRENT_TIMESTAMP() AS TIME_EXEC FROM "&amp;I139&amp;" INNER JOIN "&amp;J139&amp;" "&amp;K139),
IF(C139="Validade",+IF(G139="Code List","SELECT '"&amp;UPPER(B139)&amp;"' AS TABELA, '"&amp;UPPER(C139)&amp;"' AS TIPOLOGIA_TESTE,'"&amp;D139&amp;"' AS TABELA_LT,'N/A' AS TABELA_SIMUL,'"&amp;F139&amp;"' AS CAMPO, "&amp;"'${ref_date}' AS REF_DATE, COUNT(*) AS NUM_REG, SUM(IF(TRIM(CAST(X."&amp;F139&amp;" AS STRING))='' OR TRIM(CAST(X."&amp;F139&amp;" AS STRING)) IS NULL OR CAST(X."&amp;F139&amp;" AS STRING) NOT "&amp;H139&amp;",1,0)) AS NUM_REG_DIF,'"&amp;MAX('ID1&amp;5'!K:K)+1&amp;"' AS ID_EXEC, CURRENT_TIMESTAMP() AS TIME_EXEC FROM "&amp;I139,"SELECT '"&amp;UPPER(B139)&amp;"' AS TABELA, '"&amp;UPPER(C139)&amp;"' AS TIPOLOGIA_TESTE,'"&amp;D139&amp;"' AS TABELA_LT,'N/A' AS TABELA_SIMUL,'"&amp;F139&amp;"' AS CAMPO, "&amp;"'${ref_date}' AS REF_DATE, COUNT(*) AS NUM_REG, SUM(IF(TRIM(CAST(X."&amp;F139&amp;" AS STRING))='' OR TRIM(CAST(X."&amp;F139&amp;" AS STRING)) IS NULL,1,0)) AS NUM_REG_DIF,'"&amp;MAX('ID1&amp;5'!K:K)+1&amp;"' AS ID_EXEC, CURRENT_TIMESTAMP() AS TIME_EXEC FROM "&amp;I139),
IF(C139="Caracteres Especiais",+"SELECT '"&amp;UPPER(B139)&amp;"' AS TABELA, '"&amp;UPPER(C139)&amp;"' AS TIPOLOGIA_TESTE,'"&amp;D139&amp;"' AS TABELA_LT,'N/A' AS TABELA_SIMUL,'"&amp;F139&amp;"' AS CAMPO, "&amp;"'${ref_date}' AS REF_DATE, COUNT(*) AS NUM_REG, SUM(IF(REGEXP_REPLACE(TRIM(CAST(X."&amp;F139&amp;" AS STRING)),'[^a-zA-Z0-9_\\s]','') &lt;&gt;TRIM(CAST(X."&amp;F139&amp;" AS STRING)),1,0)) AS NUM_REG_DIF,'"&amp;MAX('ID1&amp;5'!K:K)+1&amp;"' AS ID_EXEC, CURRENT_TIMESTAMP() AS TIME_EXEC FROM "&amp;I139,
IF(C139="Missings",+"SELECT '"&amp;UPPER(B139)&amp;"' AS TABELA, '"&amp;UPPER(C139)&amp;"' AS TIPOLOGIA_TESTE,'"&amp;D139&amp;"' AS TABELA_LT,'N/A' AS TABELA_SIMUL,'"&amp;F139&amp;"' AS CAMPO, "&amp;"'${ref_date}' AS REF_DATE, COUNT(*) AS NUM_REG, SUM(IF(TRIM(CAST(X."&amp;F139&amp;" AS STRING)) IN ('0000-00-00','0001-01-01','9999-12-31','MISS','00000','99999999999','99999999999.00','99999999999.000000'),1,0)) AS NUM_REG_DIF,'"&amp;MAX('ID1&amp;5'!K:K)+1&amp;"' AS ID_EXEC, CURRENT_TIMESTAMP() AS TIME_EXEC FROM "&amp;I139,
IF(C139="Not applicable",+"SELECT '"&amp;UPPER(B139)&amp;"' AS TABELA, '"&amp;UPPER(C139)&amp;"' AS TIPOLOGIA_TESTE,'"&amp;D139&amp;"' AS TABELA_LT,'N/A' AS TABELA_SIMUL,'"&amp;F139&amp;"' AS CAMPO, "&amp;"'${ref_date}' AS REF_DATE, COUNT(*) AS NUM_REG, SUM(IF(TRIM(CAST(X."&amp;F139&amp;" AS STRING)) IN ('N/A','11111111111','11111111111.00','11111111111.000000','1111-11-11'),1,0)) AS NUM_REG_DIF,'"&amp;MAX('ID1&amp;5'!K:K)+1&amp;"' AS ID_EXEC, CURRENT_TIMESTAMP() AS TIME_EXEC FROM "&amp;I139,
IF(C139="Valores extremos",+"SELECT '"&amp;UPPER(B139)&amp;"' AS TABELA, '"&amp;UPPER(C139)&amp;"' AS TIPOLOGIA_TESTE,'"&amp;D139&amp;"' AS TABELA_LT,'N/A' AS TABELA_SIMUL,'"&amp;F139&amp;"' AS CAMPO, "&amp;"'${ref_date}' AS REF_DATE, CAST(MIN("&amp;F139&amp;") AS STRING) AS VALOR_MIN, CAST(MAX("&amp;F139&amp;") AS STRING) AS VALOR_MAX,'"&amp;MAX('ID1&amp;5'!K:K)+1&amp;"' AS ID_EXEC, CURRENT_TIMESTAMP() AS TIME_EXEC FROM "&amp;MID(I139,1,LEN(I139)-2)&amp;" AND CAST("&amp;F139&amp;"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TABELA_SIMUL,'DT_INTRNL_RTNG' AS CAMPO, '${ref_date}' AS REF_DATE, COUNT(*) AS NUM_REG, SUM(IF(COALESCE(CAST(X.DT_INTRNL_RTNG AS STRING),'')&lt;&gt;COALESCE(CAST(Y.DT_INTRNL_RTNG_SIMUL AS STRING),'') OR (X.DT_INTRNL_RTNG IS NULL AND Y.DT_INTRNL_RTNG_SIMUL IS NOT NULL ) OR (X.DT_INTRNL_RTNG IS NOT NULL AND Y.DT_INTRNL_RTNG_SIMUL IS NULL),1,0)) AS NUM_REG_DIF,'1' AS ID_EXEC, CURRENT_TIMESTAMP() AS TIME_EXEC FROM (SELECT instrmnt_id, DT_INTRNL_RTNG FROM CD_LOAN_TAPES_BCE.LT002_INSTRUMENT WHERE ref_date='${ref_date}' AND nome_perimetro='Individual Corporativo' AND segmento='ESTR' AND ambito='PM' AND entidade='00100')X INNER JOIN (SELECT instrmnt_id AS instrmnt_id_SIMUL, DT_INTRNL_RTNG AS DT_INTRNL_RTNG_SIMUL FROM BU_LOANTAPE_WORK.LT002_INSTRUMENT WHERE ref_date='${ref_date}' AND nome_perimetro='Individual Corporativo' AND segmento='ESTR' AND ambito='PM' AND entidade='00100')Y ON X.INSTRMNT_ID=Y.INSTRMNT_ID_SIMUL</v>
      </c>
      <c r="M139" s="36" t="str">
        <f t="shared" si="2"/>
        <v>UNION ALL SELECT 'INSTRUMENT' AS TABELA, 'COERÊNCIA' AS TIPOLOGIA_TESTE,'CD_LOAN_TAPES_BCE.LT002_INSTRUMENT' AS TABELA_LT,'BU_LOANTAPE_WORK.LT002_INSTRUMENT' AS TABELA_SIMUL,'DT_INTRNL_RTNG' AS CAMPO, '${ref_date}' AS REF_DATE, COUNT(*) AS NUM_REG, SUM(IF(COALESCE(CAST(X.DT_INTRNL_RTNG AS STRING),'')&lt;&gt;COALESCE(CAST(Y.DT_INTRNL_RTNG_SIMUL AS STRING),'') OR (X.DT_INTRNL_RTNG IS NULL AND Y.DT_INTRNL_RTNG_SIMUL IS NOT NULL ) OR (X.DT_INTRNL_RTNG IS NOT NULL AND Y.DT_INTRNL_RTNG_SIMUL IS NULL),1,0)) AS NUM_REG_DIF,'1' AS ID_EXEC, CURRENT_TIMESTAMP() AS TIME_EXEC FROM (SELECT instrmnt_id, DT_INTRNL_RTNG FROM CD_LOAN_TAPES_BCE.LT002_INSTRUMENT WHERE ref_date='${ref_date}' AND nome_perimetro='Individual Corporativo' AND segmento='ESTR' AND ambito='PM' AND entidade='00100')X INNER JOIN (SELECT instrmnt_id AS instrmnt_id_SIMUL, DT_INTRNL_RTNG AS DT_INTRNL_RTNG_SIMUL FROM BU_LOANTAPE_WORK.LT002_INSTRUMENT WHERE ref_date='${ref_date}' AND nome_perimetro='Individual Corporativo' AND segmento='ESTR' AND ambito='PM' AND entidade='00100')Y ON X.INSTRMNT_ID=Y.INSTRMNT_ID_SIMUL</v>
      </c>
      <c r="N139" s="38" t="s">
        <v>46</v>
      </c>
    </row>
    <row r="140" spans="2:14" hidden="1">
      <c r="B140" s="34" t="s">
        <v>126</v>
      </c>
      <c r="C140" s="34" t="s">
        <v>5</v>
      </c>
      <c r="D140" s="34" t="str">
        <f>+UPPER('0. Instruções'!$D$35&amp;"."&amp;VLOOKUP(B140,'0. Instruções'!$C$27:$D$32,2,FALSE))</f>
        <v>CD_LOAN_TAPES_BCE.LT002_INSTRUMENT</v>
      </c>
      <c r="E140" s="34" t="str">
        <f>+UPPER('0. Instruções'!$D$36&amp;"."&amp;VLOOKUP(B140,'0. Instruções'!$C$27:$E$32,3,FALSE))</f>
        <v>BU_LOANTAPE_WORK.LT002_INSTRUMENT</v>
      </c>
      <c r="F140" s="34" t="s">
        <v>440</v>
      </c>
      <c r="G140" s="34"/>
      <c r="H140" s="34" t="s">
        <v>645</v>
      </c>
      <c r="I140" s="34" t="str">
        <f>"(SELECT "&amp;VLOOKUP(B140,'0. Instruções'!$C$27:$G$32,4,FALSE)&amp;", "&amp;F140&amp;" FROM "&amp;D140&amp;" WHERE "&amp;'0. Instruções'!$D$42&amp;")X"</f>
        <v>(SELECT instrmnt_id, DT_PRFRMNG_STTS FROM CD_LOAN_TAPES_BCE.LT002_INSTRUMENT WHERE ref_date='${ref_date}' AND nome_perimetro='Individual Corporativo' AND segmento='ESTR' AND ambito='PM' AND entidade='00100')X</v>
      </c>
      <c r="J140" s="34" t="str">
        <f>"(SELECT "&amp;VLOOKUP(B140,'0. Instruções'!$C$27:$G$32,4,FALSE)&amp;" AS "&amp;VLOOKUP(B140,'0. Instruções'!$C$27:$G$32,4,FALSE)&amp;"_SIMUL, "&amp;F140&amp;" AS "&amp;F140&amp;"_SIMUL FROM "&amp;E140&amp;" WHERE "&amp;'0. Instruções'!$D$43&amp;")Y"</f>
        <v>(SELECT instrmnt_id AS instrmnt_id_SIMUL, DT_PRFRMNG_STTS AS DT_PRFRMNG_STTS_SIMUL FROM BU_LOANTAPE_WORK.LT002_INSTRUMENT WHERE ref_date='${ref_date}' AND nome_perimetro='Individual Corporativo' AND segmento='ESTR' AND ambito='PM' AND entidade='00100')Y</v>
      </c>
      <c r="K140" s="35" t="str">
        <f>+UPPER("ON X."&amp;VLOOKUP(B140,'0. Instruções'!$C$27:$G$32,4,FALSE)&amp;"=Y."&amp;VLOOKUP(B140,'0. Instruções'!$C$27:$G$32,4,FALSE)&amp;"_SIMUL")</f>
        <v>ON X.INSTRMNT_ID=Y.INSTRMNT_ID_SIMUL</v>
      </c>
      <c r="L140" s="35" t="str">
        <f>+IF(C140="Coerência", +IF(LEFT(G140,5)="FLOAT","SELECT '"&amp;UPPER(B140)&amp;"' AS TABELA, '"&amp;UPPER(C140)&amp;"' AS TIPOLOGIA_TESTE,'"&amp;D140&amp;"' AS TABELA_LT,'"&amp;E140&amp;"' AS TABELA_SIMUL,'"&amp;F140&amp;"' AS CAMPO, "&amp;"'${ref_date}' AS REF_DATE, COUNT(*) AS NUM_REG, SUM(IF((ABS(COALESCE(CAST(X."&amp;F140&amp;" AS DECIMAL(18,6)),0)-COALESCE(CAST(Y."&amp;F140&amp;"_SIMUL AS DECIMAL(18,6)),0))&gt;0.000001) OR (X."&amp;F140&amp;" IS NULL AND Y."&amp;F140&amp;"_SIMUL IS NOT NULL ) OR (X."&amp;F140&amp;" IS NOT NULL AND Y."&amp;F140&amp;"_SIMUL IS NULL),1,0)) AS NUM_REG_DIF,'"&amp;MAX('ID1&amp;5'!K:K)+1&amp;"' AS ID_EXEC, CURRENT_TIMESTAMP() AS TIME_EXEC FROM "&amp;I140&amp;" INNER JOIN "&amp;J140&amp;" "&amp;K140,"SELECT '"&amp;UPPER(B140)&amp;"' AS TABELA, '"&amp;UPPER(C140)&amp;"' AS TIPOLOGIA_TESTE,'"&amp;D140&amp;"' AS TABELA_LT,'"&amp;E140&amp;"' AS TABELA_SIMUL,'"&amp;F140&amp;"' AS CAMPO, "&amp;"'${ref_date}' AS REF_DATE, COUNT(*) AS NUM_REG, SUM(IF(COALESCE(CAST(X."&amp;F140&amp;" AS STRING),'')&lt;&gt;COALESCE(CAST(Y."&amp;F140&amp;"_SIMUL AS STRING),'') OR (X."&amp;F140&amp;" IS NULL AND Y."&amp;F140&amp;"_SIMUL IS NOT NULL ) OR (X."&amp;F140&amp;" IS NOT NULL AND Y."&amp;F140&amp;"_SIMUL IS NULL),1,0)) AS NUM_REG_DIF,'"&amp;MAX('ID1&amp;5'!L:L)+1&amp;"' AS ID_EXEC, CURRENT_TIMESTAMP() AS TIME_EXEC FROM "&amp;I140&amp;" INNER JOIN "&amp;J140&amp;" "&amp;K140),
IF(C140="Validade",+IF(G140="Code List","SELECT '"&amp;UPPER(B140)&amp;"' AS TABELA, '"&amp;UPPER(C140)&amp;"' AS TIPOLOGIA_TESTE,'"&amp;D140&amp;"' AS TABELA_LT,'N/A' AS TABELA_SIMUL,'"&amp;F140&amp;"' AS CAMPO, "&amp;"'${ref_date}' AS REF_DATE, COUNT(*) AS NUM_REG, SUM(IF(TRIM(CAST(X."&amp;F140&amp;" AS STRING))='' OR TRIM(CAST(X."&amp;F140&amp;" AS STRING)) IS NULL OR CAST(X."&amp;F140&amp;" AS STRING) NOT "&amp;H140&amp;",1,0)) AS NUM_REG_DIF,'"&amp;MAX('ID1&amp;5'!K:K)+1&amp;"' AS ID_EXEC, CURRENT_TIMESTAMP() AS TIME_EXEC FROM "&amp;I140,"SELECT '"&amp;UPPER(B140)&amp;"' AS TABELA, '"&amp;UPPER(C140)&amp;"' AS TIPOLOGIA_TESTE,'"&amp;D140&amp;"' AS TABELA_LT,'N/A' AS TABELA_SIMUL,'"&amp;F140&amp;"' AS CAMPO, "&amp;"'${ref_date}' AS REF_DATE, COUNT(*) AS NUM_REG, SUM(IF(TRIM(CAST(X."&amp;F140&amp;" AS STRING))='' OR TRIM(CAST(X."&amp;F140&amp;" AS STRING)) IS NULL,1,0)) AS NUM_REG_DIF,'"&amp;MAX('ID1&amp;5'!K:K)+1&amp;"' AS ID_EXEC, CURRENT_TIMESTAMP() AS TIME_EXEC FROM "&amp;I140),
IF(C140="Caracteres Especiais",+"SELECT '"&amp;UPPER(B140)&amp;"' AS TABELA, '"&amp;UPPER(C140)&amp;"' AS TIPOLOGIA_TESTE,'"&amp;D140&amp;"' AS TABELA_LT,'N/A' AS TABELA_SIMUL,'"&amp;F140&amp;"' AS CAMPO, "&amp;"'${ref_date}' AS REF_DATE, COUNT(*) AS NUM_REG, SUM(IF(REGEXP_REPLACE(TRIM(CAST(X."&amp;F140&amp;" AS STRING)),'[^a-zA-Z0-9_\\s]','') &lt;&gt;TRIM(CAST(X."&amp;F140&amp;" AS STRING)),1,0)) AS NUM_REG_DIF,'"&amp;MAX('ID1&amp;5'!K:K)+1&amp;"' AS ID_EXEC, CURRENT_TIMESTAMP() AS TIME_EXEC FROM "&amp;I140,
IF(C140="Missings",+"SELECT '"&amp;UPPER(B140)&amp;"' AS TABELA, '"&amp;UPPER(C140)&amp;"' AS TIPOLOGIA_TESTE,'"&amp;D140&amp;"' AS TABELA_LT,'N/A' AS TABELA_SIMUL,'"&amp;F140&amp;"' AS CAMPO, "&amp;"'${ref_date}' AS REF_DATE, COUNT(*) AS NUM_REG, SUM(IF(TRIM(CAST(X."&amp;F140&amp;" AS STRING)) IN ('0000-00-00','0001-01-01','9999-12-31','MISS','00000','99999999999','99999999999.00','99999999999.000000'),1,0)) AS NUM_REG_DIF,'"&amp;MAX('ID1&amp;5'!K:K)+1&amp;"' AS ID_EXEC, CURRENT_TIMESTAMP() AS TIME_EXEC FROM "&amp;I140,
IF(C140="Not applicable",+"SELECT '"&amp;UPPER(B140)&amp;"' AS TABELA, '"&amp;UPPER(C140)&amp;"' AS TIPOLOGIA_TESTE,'"&amp;D140&amp;"' AS TABELA_LT,'N/A' AS TABELA_SIMUL,'"&amp;F140&amp;"' AS CAMPO, "&amp;"'${ref_date}' AS REF_DATE, COUNT(*) AS NUM_REG, SUM(IF(TRIM(CAST(X."&amp;F140&amp;" AS STRING)) IN ('N/A','11111111111','11111111111.00','11111111111.000000','1111-11-11'),1,0)) AS NUM_REG_DIF,'"&amp;MAX('ID1&amp;5'!K:K)+1&amp;"' AS ID_EXEC, CURRENT_TIMESTAMP() AS TIME_EXEC FROM "&amp;I140,
IF(C140="Valores extremos",+"SELECT '"&amp;UPPER(B140)&amp;"' AS TABELA, '"&amp;UPPER(C140)&amp;"' AS TIPOLOGIA_TESTE,'"&amp;D140&amp;"' AS TABELA_LT,'N/A' AS TABELA_SIMUL,'"&amp;F140&amp;"' AS CAMPO, "&amp;"'${ref_date}' AS REF_DATE, CAST(MIN("&amp;F140&amp;") AS STRING) AS VALOR_MIN, CAST(MAX("&amp;F140&amp;") AS STRING) AS VALOR_MAX,'"&amp;MAX('ID1&amp;5'!K:K)+1&amp;"' AS ID_EXEC, CURRENT_TIMESTAMP() AS TIME_EXEC FROM "&amp;MID(I140,1,LEN(I140)-2)&amp;" AND CAST("&amp;F140&amp;"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TABELA_SIMUL,'DT_PRFRMNG_STTS' AS CAMPO, '${ref_date}' AS REF_DATE, COUNT(*) AS NUM_REG, SUM(IF(COALESCE(CAST(X.DT_PRFRMNG_STTS AS STRING),'')&lt;&gt;COALESCE(CAST(Y.DT_PRFRMNG_STTS_SIMUL AS STRING),'') OR (X.DT_PRFRMNG_STTS IS NULL AND Y.DT_PRFRMNG_STTS_SIMUL IS NOT NULL ) OR (X.DT_PRFRMNG_STTS IS NOT NULL AND Y.DT_PRFRMNG_STTS_SIMUL IS NULL),1,0)) AS NUM_REG_DIF,'1' AS ID_EXEC, CURRENT_TIMESTAMP() AS TIME_EXEC FROM (SELECT instrmnt_id, DT_PRFRMNG_STTS FROM CD_LOAN_TAPES_BCE.LT002_INSTRUMENT WHERE ref_date='${ref_date}' AND nome_perimetro='Individual Corporativo' AND segmento='ESTR' AND ambito='PM' AND entidade='00100')X INNER JOIN (SELECT instrmnt_id AS instrmnt_id_SIMUL, DT_PRFRMNG_STTS AS DT_PRFRMNG_STTS_SIMUL FROM BU_LOANTAPE_WORK.LT002_INSTRUMENT WHERE ref_date='${ref_date}' AND nome_perimetro='Individual Corporativo' AND segmento='ESTR' AND ambito='PM' AND entidade='00100')Y ON X.INSTRMNT_ID=Y.INSTRMNT_ID_SIMUL</v>
      </c>
      <c r="M140" s="36" t="str">
        <f t="shared" si="2"/>
        <v>UNION ALL SELECT 'INSTRUMENT' AS TABELA, 'COERÊNCIA' AS TIPOLOGIA_TESTE,'CD_LOAN_TAPES_BCE.LT002_INSTRUMENT' AS TABELA_LT,'BU_LOANTAPE_WORK.LT002_INSTRUMENT' AS TABELA_SIMUL,'DT_PRFRMNG_STTS' AS CAMPO, '${ref_date}' AS REF_DATE, COUNT(*) AS NUM_REG, SUM(IF(COALESCE(CAST(X.DT_PRFRMNG_STTS AS STRING),'')&lt;&gt;COALESCE(CAST(Y.DT_PRFRMNG_STTS_SIMUL AS STRING),'') OR (X.DT_PRFRMNG_STTS IS NULL AND Y.DT_PRFRMNG_STTS_SIMUL IS NOT NULL ) OR (X.DT_PRFRMNG_STTS IS NOT NULL AND Y.DT_PRFRMNG_STTS_SIMUL IS NULL),1,0)) AS NUM_REG_DIF,'1' AS ID_EXEC, CURRENT_TIMESTAMP() AS TIME_EXEC FROM (SELECT instrmnt_id, DT_PRFRMNG_STTS FROM CD_LOAN_TAPES_BCE.LT002_INSTRUMENT WHERE ref_date='${ref_date}' AND nome_perimetro='Individual Corporativo' AND segmento='ESTR' AND ambito='PM' AND entidade='00100')X INNER JOIN (SELECT instrmnt_id AS instrmnt_id_SIMUL, DT_PRFRMNG_STTS AS DT_PRFRMNG_STTS_SIMUL FROM BU_LOANTAPE_WORK.LT002_INSTRUMENT WHERE ref_date='${ref_date}' AND nome_perimetro='Individual Corporativo' AND segmento='ESTR' AND ambito='PM' AND entidade='00100')Y ON X.INSTRMNT_ID=Y.INSTRMNT_ID_SIMUL</v>
      </c>
      <c r="N140" s="38" t="s">
        <v>46</v>
      </c>
    </row>
    <row r="141" spans="2:14" hidden="1">
      <c r="B141" s="34" t="s">
        <v>126</v>
      </c>
      <c r="C141" s="34" t="s">
        <v>5</v>
      </c>
      <c r="D141" s="34" t="str">
        <f>+UPPER('0. Instruções'!$D$35&amp;"."&amp;VLOOKUP(B141,'0. Instruções'!$C$27:$D$32,2,FALSE))</f>
        <v>CD_LOAN_TAPES_BCE.LT002_INSTRUMENT</v>
      </c>
      <c r="E141" s="34" t="str">
        <f>+UPPER('0. Instruções'!$D$36&amp;"."&amp;VLOOKUP(B141,'0. Instruções'!$C$27:$E$32,3,FALSE))</f>
        <v>BU_LOANTAPE_WORK.LT002_INSTRUMENT</v>
      </c>
      <c r="F141" s="34" t="s">
        <v>441</v>
      </c>
      <c r="G141" s="34"/>
      <c r="H141" s="34" t="s">
        <v>645</v>
      </c>
      <c r="I141" s="34" t="str">
        <f>"(SELECT "&amp;VLOOKUP(B141,'0. Instruções'!$C$27:$G$32,4,FALSE)&amp;", "&amp;F141&amp;" FROM "&amp;D141&amp;" WHERE "&amp;'0. Instruções'!$D$42&amp;")X"</f>
        <v>(SELECT instrmnt_id, DT_PRFRMNG_STTS_PRVS FROM CD_LOAN_TAPES_BCE.LT002_INSTRUMENT WHERE ref_date='${ref_date}' AND nome_perimetro='Individual Corporativo' AND segmento='ESTR' AND ambito='PM' AND entidade='00100')X</v>
      </c>
      <c r="J141" s="34" t="str">
        <f>"(SELECT "&amp;VLOOKUP(B141,'0. Instruções'!$C$27:$G$32,4,FALSE)&amp;" AS "&amp;VLOOKUP(B141,'0. Instruções'!$C$27:$G$32,4,FALSE)&amp;"_SIMUL, "&amp;F141&amp;" AS "&amp;F141&amp;"_SIMUL FROM "&amp;E141&amp;" WHERE "&amp;'0. Instruções'!$D$43&amp;")Y"</f>
        <v>(SELECT instrmnt_id AS instrmnt_id_SIMUL, DT_PRFRMNG_STTS_PRVS AS DT_PRFRMNG_STTS_PRVS_SIMUL FROM BU_LOANTAPE_WORK.LT002_INSTRUMENT WHERE ref_date='${ref_date}' AND nome_perimetro='Individual Corporativo' AND segmento='ESTR' AND ambito='PM' AND entidade='00100')Y</v>
      </c>
      <c r="K141" s="35" t="str">
        <f>+UPPER("ON X."&amp;VLOOKUP(B141,'0. Instruções'!$C$27:$G$32,4,FALSE)&amp;"=Y."&amp;VLOOKUP(B141,'0. Instruções'!$C$27:$G$32,4,FALSE)&amp;"_SIMUL")</f>
        <v>ON X.INSTRMNT_ID=Y.INSTRMNT_ID_SIMUL</v>
      </c>
      <c r="L141" s="35" t="str">
        <f>+IF(C141="Coerência", +IF(LEFT(G141,5)="FLOAT","SELECT '"&amp;UPPER(B141)&amp;"' AS TABELA, '"&amp;UPPER(C141)&amp;"' AS TIPOLOGIA_TESTE,'"&amp;D141&amp;"' AS TABELA_LT,'"&amp;E141&amp;"' AS TABELA_SIMUL,'"&amp;F141&amp;"' AS CAMPO, "&amp;"'${ref_date}' AS REF_DATE, COUNT(*) AS NUM_REG, SUM(IF((ABS(COALESCE(CAST(X."&amp;F141&amp;" AS DECIMAL(18,6)),0)-COALESCE(CAST(Y."&amp;F141&amp;"_SIMUL AS DECIMAL(18,6)),0))&gt;0.000001) OR (X."&amp;F141&amp;" IS NULL AND Y."&amp;F141&amp;"_SIMUL IS NOT NULL ) OR (X."&amp;F141&amp;" IS NOT NULL AND Y."&amp;F141&amp;"_SIMUL IS NULL),1,0)) AS NUM_REG_DIF,'"&amp;MAX('ID1&amp;5'!K:K)+1&amp;"' AS ID_EXEC, CURRENT_TIMESTAMP() AS TIME_EXEC FROM "&amp;I141&amp;" INNER JOIN "&amp;J141&amp;" "&amp;K141,"SELECT '"&amp;UPPER(B141)&amp;"' AS TABELA, '"&amp;UPPER(C141)&amp;"' AS TIPOLOGIA_TESTE,'"&amp;D141&amp;"' AS TABELA_LT,'"&amp;E141&amp;"' AS TABELA_SIMUL,'"&amp;F141&amp;"' AS CAMPO, "&amp;"'${ref_date}' AS REF_DATE, COUNT(*) AS NUM_REG, SUM(IF(COALESCE(CAST(X."&amp;F141&amp;" AS STRING),'')&lt;&gt;COALESCE(CAST(Y."&amp;F141&amp;"_SIMUL AS STRING),'') OR (X."&amp;F141&amp;" IS NULL AND Y."&amp;F141&amp;"_SIMUL IS NOT NULL ) OR (X."&amp;F141&amp;" IS NOT NULL AND Y."&amp;F141&amp;"_SIMUL IS NULL),1,0)) AS NUM_REG_DIF,'"&amp;MAX('ID1&amp;5'!L:L)+1&amp;"' AS ID_EXEC, CURRENT_TIMESTAMP() AS TIME_EXEC FROM "&amp;I141&amp;" INNER JOIN "&amp;J141&amp;" "&amp;K141),
IF(C141="Validade",+IF(G141="Code List","SELECT '"&amp;UPPER(B141)&amp;"' AS TABELA, '"&amp;UPPER(C141)&amp;"' AS TIPOLOGIA_TESTE,'"&amp;D141&amp;"' AS TABELA_LT,'N/A' AS TABELA_SIMUL,'"&amp;F141&amp;"' AS CAMPO, "&amp;"'${ref_date}' AS REF_DATE, COUNT(*) AS NUM_REG, SUM(IF(TRIM(CAST(X."&amp;F141&amp;" AS STRING))='' OR TRIM(CAST(X."&amp;F141&amp;" AS STRING)) IS NULL OR CAST(X."&amp;F141&amp;" AS STRING) NOT "&amp;H141&amp;",1,0)) AS NUM_REG_DIF,'"&amp;MAX('ID1&amp;5'!K:K)+1&amp;"' AS ID_EXEC, CURRENT_TIMESTAMP() AS TIME_EXEC FROM "&amp;I141,"SELECT '"&amp;UPPER(B141)&amp;"' AS TABELA, '"&amp;UPPER(C141)&amp;"' AS TIPOLOGIA_TESTE,'"&amp;D141&amp;"' AS TABELA_LT,'N/A' AS TABELA_SIMUL,'"&amp;F141&amp;"' AS CAMPO, "&amp;"'${ref_date}' AS REF_DATE, COUNT(*) AS NUM_REG, SUM(IF(TRIM(CAST(X."&amp;F141&amp;" AS STRING))='' OR TRIM(CAST(X."&amp;F141&amp;" AS STRING)) IS NULL,1,0)) AS NUM_REG_DIF,'"&amp;MAX('ID1&amp;5'!K:K)+1&amp;"' AS ID_EXEC, CURRENT_TIMESTAMP() AS TIME_EXEC FROM "&amp;I141),
IF(C141="Caracteres Especiais",+"SELECT '"&amp;UPPER(B141)&amp;"' AS TABELA, '"&amp;UPPER(C141)&amp;"' AS TIPOLOGIA_TESTE,'"&amp;D141&amp;"' AS TABELA_LT,'N/A' AS TABELA_SIMUL,'"&amp;F141&amp;"' AS CAMPO, "&amp;"'${ref_date}' AS REF_DATE, COUNT(*) AS NUM_REG, SUM(IF(REGEXP_REPLACE(TRIM(CAST(X."&amp;F141&amp;" AS STRING)),'[^a-zA-Z0-9_\\s]','') &lt;&gt;TRIM(CAST(X."&amp;F141&amp;" AS STRING)),1,0)) AS NUM_REG_DIF,'"&amp;MAX('ID1&amp;5'!K:K)+1&amp;"' AS ID_EXEC, CURRENT_TIMESTAMP() AS TIME_EXEC FROM "&amp;I141,
IF(C141="Missings",+"SELECT '"&amp;UPPER(B141)&amp;"' AS TABELA, '"&amp;UPPER(C141)&amp;"' AS TIPOLOGIA_TESTE,'"&amp;D141&amp;"' AS TABELA_LT,'N/A' AS TABELA_SIMUL,'"&amp;F141&amp;"' AS CAMPO, "&amp;"'${ref_date}' AS REF_DATE, COUNT(*) AS NUM_REG, SUM(IF(TRIM(CAST(X."&amp;F141&amp;" AS STRING)) IN ('0000-00-00','0001-01-01','9999-12-31','MISS','00000','99999999999','99999999999.00','99999999999.000000'),1,0)) AS NUM_REG_DIF,'"&amp;MAX('ID1&amp;5'!K:K)+1&amp;"' AS ID_EXEC, CURRENT_TIMESTAMP() AS TIME_EXEC FROM "&amp;I141,
IF(C141="Not applicable",+"SELECT '"&amp;UPPER(B141)&amp;"' AS TABELA, '"&amp;UPPER(C141)&amp;"' AS TIPOLOGIA_TESTE,'"&amp;D141&amp;"' AS TABELA_LT,'N/A' AS TABELA_SIMUL,'"&amp;F141&amp;"' AS CAMPO, "&amp;"'${ref_date}' AS REF_DATE, COUNT(*) AS NUM_REG, SUM(IF(TRIM(CAST(X."&amp;F141&amp;" AS STRING)) IN ('N/A','11111111111','11111111111.00','11111111111.000000','1111-11-11'),1,0)) AS NUM_REG_DIF,'"&amp;MAX('ID1&amp;5'!K:K)+1&amp;"' AS ID_EXEC, CURRENT_TIMESTAMP() AS TIME_EXEC FROM "&amp;I141,
IF(C141="Valores extremos",+"SELECT '"&amp;UPPER(B141)&amp;"' AS TABELA, '"&amp;UPPER(C141)&amp;"' AS TIPOLOGIA_TESTE,'"&amp;D141&amp;"' AS TABELA_LT,'N/A' AS TABELA_SIMUL,'"&amp;F141&amp;"' AS CAMPO, "&amp;"'${ref_date}' AS REF_DATE, CAST(MIN("&amp;F141&amp;") AS STRING) AS VALOR_MIN, CAST(MAX("&amp;F141&amp;") AS STRING) AS VALOR_MAX,'"&amp;MAX('ID1&amp;5'!K:K)+1&amp;"' AS ID_EXEC, CURRENT_TIMESTAMP() AS TIME_EXEC FROM "&amp;MID(I141,1,LEN(I141)-2)&amp;" AND CAST("&amp;F141&amp;"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TABELA_SIMUL,'DT_PRFRMNG_STTS_PRVS' AS CAMPO, '${ref_date}' AS REF_DATE, COUNT(*) AS NUM_REG, SUM(IF(COALESCE(CAST(X.DT_PRFRMNG_STTS_PRVS AS STRING),'')&lt;&gt;COALESCE(CAST(Y.DT_PRFRMNG_STTS_PRVS_SIMUL AS STRING),'') OR (X.DT_PRFRMNG_STTS_PRVS IS NULL AND Y.DT_PRFRMNG_STTS_PRVS_SIMUL IS NOT NULL ) OR (X.DT_PRFRMNG_STTS_PRVS IS NOT NULL AND Y.DT_PRFRMNG_STTS_PRVS_SIMUL IS NULL),1,0)) AS NUM_REG_DIF,'1' AS ID_EXEC, CURRENT_TIMESTAMP() AS TIME_EXEC FROM (SELECT instrmnt_id, DT_PRFRMNG_STTS_PRVS FROM CD_LOAN_TAPES_BCE.LT002_INSTRUMENT WHERE ref_date='${ref_date}' AND nome_perimetro='Individual Corporativo' AND segmento='ESTR' AND ambito='PM' AND entidade='00100')X INNER JOIN (SELECT instrmnt_id AS instrmnt_id_SIMUL, DT_PRFRMNG_STTS_PRVS AS DT_PRFRMNG_STTS_PRVS_SIMUL FROM BU_LOANTAPE_WORK.LT002_INSTRUMENT WHERE ref_date='${ref_date}' AND nome_perimetro='Individual Corporativo' AND segmento='ESTR' AND ambito='PM' AND entidade='00100')Y ON X.INSTRMNT_ID=Y.INSTRMNT_ID_SIMUL</v>
      </c>
      <c r="M141" s="36" t="str">
        <f t="shared" si="2"/>
        <v>UNION ALL SELECT 'INSTRUMENT' AS TABELA, 'COERÊNCIA' AS TIPOLOGIA_TESTE,'CD_LOAN_TAPES_BCE.LT002_INSTRUMENT' AS TABELA_LT,'BU_LOANTAPE_WORK.LT002_INSTRUMENT' AS TABELA_SIMUL,'DT_PRFRMNG_STTS_PRVS' AS CAMPO, '${ref_date}' AS REF_DATE, COUNT(*) AS NUM_REG, SUM(IF(COALESCE(CAST(X.DT_PRFRMNG_STTS_PRVS AS STRING),'')&lt;&gt;COALESCE(CAST(Y.DT_PRFRMNG_STTS_PRVS_SIMUL AS STRING),'') OR (X.DT_PRFRMNG_STTS_PRVS IS NULL AND Y.DT_PRFRMNG_STTS_PRVS_SIMUL IS NOT NULL ) OR (X.DT_PRFRMNG_STTS_PRVS IS NOT NULL AND Y.DT_PRFRMNG_STTS_PRVS_SIMUL IS NULL),1,0)) AS NUM_REG_DIF,'1' AS ID_EXEC, CURRENT_TIMESTAMP() AS TIME_EXEC FROM (SELECT instrmnt_id, DT_PRFRMNG_STTS_PRVS FROM CD_LOAN_TAPES_BCE.LT002_INSTRUMENT WHERE ref_date='${ref_date}' AND nome_perimetro='Individual Corporativo' AND segmento='ESTR' AND ambito='PM' AND entidade='00100')X INNER JOIN (SELECT instrmnt_id AS instrmnt_id_SIMUL, DT_PRFRMNG_STTS_PRVS AS DT_PRFRMNG_STTS_PRVS_SIMUL FROM BU_LOANTAPE_WORK.LT002_INSTRUMENT WHERE ref_date='${ref_date}' AND nome_perimetro='Individual Corporativo' AND segmento='ESTR' AND ambito='PM' AND entidade='00100')Y ON X.INSTRMNT_ID=Y.INSTRMNT_ID_SIMUL</v>
      </c>
      <c r="N141" s="38" t="s">
        <v>46</v>
      </c>
    </row>
    <row r="142" spans="2:14" hidden="1">
      <c r="B142" s="34" t="s">
        <v>126</v>
      </c>
      <c r="C142" s="34" t="s">
        <v>5</v>
      </c>
      <c r="D142" s="34" t="str">
        <f>+UPPER('0. Instruções'!$D$35&amp;"."&amp;VLOOKUP(B142,'0. Instruções'!$C$27:$D$32,2,FALSE))</f>
        <v>CD_LOAN_TAPES_BCE.LT002_INSTRUMENT</v>
      </c>
      <c r="E142" s="34" t="str">
        <f>+UPPER('0. Instruções'!$D$36&amp;"."&amp;VLOOKUP(B142,'0. Instruções'!$C$27:$E$32,3,FALSE))</f>
        <v>BU_LOANTAPE_WORK.LT002_INSTRUMENT</v>
      </c>
      <c r="F142" s="34" t="s">
        <v>442</v>
      </c>
      <c r="G142" s="34"/>
      <c r="H142" s="34" t="s">
        <v>645</v>
      </c>
      <c r="I142" s="34" t="str">
        <f>"(SELECT "&amp;VLOOKUP(B142,'0. Instruções'!$C$27:$G$32,4,FALSE)&amp;", "&amp;F142&amp;" FROM "&amp;D142&amp;" WHERE "&amp;'0. Instruções'!$D$42&amp;")X"</f>
        <v>(SELECT instrmnt_id, DT_STRT_INTRST_ONLY FROM CD_LOAN_TAPES_BCE.LT002_INSTRUMENT WHERE ref_date='${ref_date}' AND nome_perimetro='Individual Corporativo' AND segmento='ESTR' AND ambito='PM' AND entidade='00100')X</v>
      </c>
      <c r="J142" s="34" t="str">
        <f>"(SELECT "&amp;VLOOKUP(B142,'0. Instruções'!$C$27:$G$32,4,FALSE)&amp;" AS "&amp;VLOOKUP(B142,'0. Instruções'!$C$27:$G$32,4,FALSE)&amp;"_SIMUL, "&amp;F142&amp;" AS "&amp;F142&amp;"_SIMUL FROM "&amp;E142&amp;" WHERE "&amp;'0. Instruções'!$D$43&amp;")Y"</f>
        <v>(SELECT instrmnt_id AS instrmnt_id_SIMUL, DT_STRT_INTRST_ONLY AS DT_STRT_INTRST_ONLY_SIMUL FROM BU_LOANTAPE_WORK.LT002_INSTRUMENT WHERE ref_date='${ref_date}' AND nome_perimetro='Individual Corporativo' AND segmento='ESTR' AND ambito='PM' AND entidade='00100')Y</v>
      </c>
      <c r="K142" s="35" t="str">
        <f>+UPPER("ON X."&amp;VLOOKUP(B142,'0. Instruções'!$C$27:$G$32,4,FALSE)&amp;"=Y."&amp;VLOOKUP(B142,'0. Instruções'!$C$27:$G$32,4,FALSE)&amp;"_SIMUL")</f>
        <v>ON X.INSTRMNT_ID=Y.INSTRMNT_ID_SIMUL</v>
      </c>
      <c r="L142" s="35" t="str">
        <f>+IF(C142="Coerência", +IF(LEFT(G142,5)="FLOAT","SELECT '"&amp;UPPER(B142)&amp;"' AS TABELA, '"&amp;UPPER(C142)&amp;"' AS TIPOLOGIA_TESTE,'"&amp;D142&amp;"' AS TABELA_LT,'"&amp;E142&amp;"' AS TABELA_SIMUL,'"&amp;F142&amp;"' AS CAMPO, "&amp;"'${ref_date}' AS REF_DATE, COUNT(*) AS NUM_REG, SUM(IF((ABS(COALESCE(CAST(X."&amp;F142&amp;" AS DECIMAL(18,6)),0)-COALESCE(CAST(Y."&amp;F142&amp;"_SIMUL AS DECIMAL(18,6)),0))&gt;0.000001) OR (X."&amp;F142&amp;" IS NULL AND Y."&amp;F142&amp;"_SIMUL IS NOT NULL ) OR (X."&amp;F142&amp;" IS NOT NULL AND Y."&amp;F142&amp;"_SIMUL IS NULL),1,0)) AS NUM_REG_DIF,'"&amp;MAX('ID1&amp;5'!K:K)+1&amp;"' AS ID_EXEC, CURRENT_TIMESTAMP() AS TIME_EXEC FROM "&amp;I142&amp;" INNER JOIN "&amp;J142&amp;" "&amp;K142,"SELECT '"&amp;UPPER(B142)&amp;"' AS TABELA, '"&amp;UPPER(C142)&amp;"' AS TIPOLOGIA_TESTE,'"&amp;D142&amp;"' AS TABELA_LT,'"&amp;E142&amp;"' AS TABELA_SIMUL,'"&amp;F142&amp;"' AS CAMPO, "&amp;"'${ref_date}' AS REF_DATE, COUNT(*) AS NUM_REG, SUM(IF(COALESCE(CAST(X."&amp;F142&amp;" AS STRING),'')&lt;&gt;COALESCE(CAST(Y."&amp;F142&amp;"_SIMUL AS STRING),'') OR (X."&amp;F142&amp;" IS NULL AND Y."&amp;F142&amp;"_SIMUL IS NOT NULL ) OR (X."&amp;F142&amp;" IS NOT NULL AND Y."&amp;F142&amp;"_SIMUL IS NULL),1,0)) AS NUM_REG_DIF,'"&amp;MAX('ID1&amp;5'!L:L)+1&amp;"' AS ID_EXEC, CURRENT_TIMESTAMP() AS TIME_EXEC FROM "&amp;I142&amp;" INNER JOIN "&amp;J142&amp;" "&amp;K142),
IF(C142="Validade",+IF(G142="Code List","SELECT '"&amp;UPPER(B142)&amp;"' AS TABELA, '"&amp;UPPER(C142)&amp;"' AS TIPOLOGIA_TESTE,'"&amp;D142&amp;"' AS TABELA_LT,'N/A' AS TABELA_SIMUL,'"&amp;F142&amp;"' AS CAMPO, "&amp;"'${ref_date}' AS REF_DATE, COUNT(*) AS NUM_REG, SUM(IF(TRIM(CAST(X."&amp;F142&amp;" AS STRING))='' OR TRIM(CAST(X."&amp;F142&amp;" AS STRING)) IS NULL OR CAST(X."&amp;F142&amp;" AS STRING) NOT "&amp;H142&amp;",1,0)) AS NUM_REG_DIF,'"&amp;MAX('ID1&amp;5'!K:K)+1&amp;"' AS ID_EXEC, CURRENT_TIMESTAMP() AS TIME_EXEC FROM "&amp;I142,"SELECT '"&amp;UPPER(B142)&amp;"' AS TABELA, '"&amp;UPPER(C142)&amp;"' AS TIPOLOGIA_TESTE,'"&amp;D142&amp;"' AS TABELA_LT,'N/A' AS TABELA_SIMUL,'"&amp;F142&amp;"' AS CAMPO, "&amp;"'${ref_date}' AS REF_DATE, COUNT(*) AS NUM_REG, SUM(IF(TRIM(CAST(X."&amp;F142&amp;" AS STRING))='' OR TRIM(CAST(X."&amp;F142&amp;" AS STRING)) IS NULL,1,0)) AS NUM_REG_DIF,'"&amp;MAX('ID1&amp;5'!K:K)+1&amp;"' AS ID_EXEC, CURRENT_TIMESTAMP() AS TIME_EXEC FROM "&amp;I142),
IF(C142="Caracteres Especiais",+"SELECT '"&amp;UPPER(B142)&amp;"' AS TABELA, '"&amp;UPPER(C142)&amp;"' AS TIPOLOGIA_TESTE,'"&amp;D142&amp;"' AS TABELA_LT,'N/A' AS TABELA_SIMUL,'"&amp;F142&amp;"' AS CAMPO, "&amp;"'${ref_date}' AS REF_DATE, COUNT(*) AS NUM_REG, SUM(IF(REGEXP_REPLACE(TRIM(CAST(X."&amp;F142&amp;" AS STRING)),'[^a-zA-Z0-9_\\s]','') &lt;&gt;TRIM(CAST(X."&amp;F142&amp;" AS STRING)),1,0)) AS NUM_REG_DIF,'"&amp;MAX('ID1&amp;5'!K:K)+1&amp;"' AS ID_EXEC, CURRENT_TIMESTAMP() AS TIME_EXEC FROM "&amp;I142,
IF(C142="Missings",+"SELECT '"&amp;UPPER(B142)&amp;"' AS TABELA, '"&amp;UPPER(C142)&amp;"' AS TIPOLOGIA_TESTE,'"&amp;D142&amp;"' AS TABELA_LT,'N/A' AS TABELA_SIMUL,'"&amp;F142&amp;"' AS CAMPO, "&amp;"'${ref_date}' AS REF_DATE, COUNT(*) AS NUM_REG, SUM(IF(TRIM(CAST(X."&amp;F142&amp;" AS STRING)) IN ('0000-00-00','0001-01-01','9999-12-31','MISS','00000','99999999999','99999999999.00','99999999999.000000'),1,0)) AS NUM_REG_DIF,'"&amp;MAX('ID1&amp;5'!K:K)+1&amp;"' AS ID_EXEC, CURRENT_TIMESTAMP() AS TIME_EXEC FROM "&amp;I142,
IF(C142="Not applicable",+"SELECT '"&amp;UPPER(B142)&amp;"' AS TABELA, '"&amp;UPPER(C142)&amp;"' AS TIPOLOGIA_TESTE,'"&amp;D142&amp;"' AS TABELA_LT,'N/A' AS TABELA_SIMUL,'"&amp;F142&amp;"' AS CAMPO, "&amp;"'${ref_date}' AS REF_DATE, COUNT(*) AS NUM_REG, SUM(IF(TRIM(CAST(X."&amp;F142&amp;" AS STRING)) IN ('N/A','11111111111','11111111111.00','11111111111.000000','1111-11-11'),1,0)) AS NUM_REG_DIF,'"&amp;MAX('ID1&amp;5'!K:K)+1&amp;"' AS ID_EXEC, CURRENT_TIMESTAMP() AS TIME_EXEC FROM "&amp;I142,
IF(C142="Valores extremos",+"SELECT '"&amp;UPPER(B142)&amp;"' AS TABELA, '"&amp;UPPER(C142)&amp;"' AS TIPOLOGIA_TESTE,'"&amp;D142&amp;"' AS TABELA_LT,'N/A' AS TABELA_SIMUL,'"&amp;F142&amp;"' AS CAMPO, "&amp;"'${ref_date}' AS REF_DATE, CAST(MIN("&amp;F142&amp;") AS STRING) AS VALOR_MIN, CAST(MAX("&amp;F142&amp;") AS STRING) AS VALOR_MAX,'"&amp;MAX('ID1&amp;5'!K:K)+1&amp;"' AS ID_EXEC, CURRENT_TIMESTAMP() AS TIME_EXEC FROM "&amp;MID(I142,1,LEN(I142)-2)&amp;" AND CAST("&amp;F142&amp;"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TABELA_SIMUL,'DT_STRT_INTRST_ONLY' AS CAMPO, '${ref_date}' AS REF_DATE, COUNT(*) AS NUM_REG, SUM(IF(COALESCE(CAST(X.DT_STRT_INTRST_ONLY AS STRING),'')&lt;&gt;COALESCE(CAST(Y.DT_STRT_INTRST_ONLY_SIMUL AS STRING),'') OR (X.DT_STRT_INTRST_ONLY IS NULL AND Y.DT_STRT_INTRST_ONLY_SIMUL IS NOT NULL ) OR (X.DT_STRT_INTRST_ONLY IS NOT NULL AND Y.DT_STRT_INTRST_ONLY_SIMUL IS NULL),1,0)) AS NUM_REG_DIF,'1' AS ID_EXEC, CURRENT_TIMESTAMP() AS TIME_EXEC FROM (SELECT instrmnt_id, DT_STRT_INTRST_ONLY FROM CD_LOAN_TAPES_BCE.LT002_INSTRUMENT WHERE ref_date='${ref_date}' AND nome_perimetro='Individual Corporativo' AND segmento='ESTR' AND ambito='PM' AND entidade='00100')X INNER JOIN (SELECT instrmnt_id AS instrmnt_id_SIMUL, DT_STRT_INTRST_ONLY AS DT_STRT_INTRST_ONLY_SIMUL FROM BU_LOANTAPE_WORK.LT002_INSTRUMENT WHERE ref_date='${ref_date}' AND nome_perimetro='Individual Corporativo' AND segmento='ESTR' AND ambito='PM' AND entidade='00100')Y ON X.INSTRMNT_ID=Y.INSTRMNT_ID_SIMUL</v>
      </c>
      <c r="M142" s="36" t="str">
        <f t="shared" si="2"/>
        <v>UNION ALL SELECT 'INSTRUMENT' AS TABELA, 'COERÊNCIA' AS TIPOLOGIA_TESTE,'CD_LOAN_TAPES_BCE.LT002_INSTRUMENT' AS TABELA_LT,'BU_LOANTAPE_WORK.LT002_INSTRUMENT' AS TABELA_SIMUL,'DT_STRT_INTRST_ONLY' AS CAMPO, '${ref_date}' AS REF_DATE, COUNT(*) AS NUM_REG, SUM(IF(COALESCE(CAST(X.DT_STRT_INTRST_ONLY AS STRING),'')&lt;&gt;COALESCE(CAST(Y.DT_STRT_INTRST_ONLY_SIMUL AS STRING),'') OR (X.DT_STRT_INTRST_ONLY IS NULL AND Y.DT_STRT_INTRST_ONLY_SIMUL IS NOT NULL ) OR (X.DT_STRT_INTRST_ONLY IS NOT NULL AND Y.DT_STRT_INTRST_ONLY_SIMUL IS NULL),1,0)) AS NUM_REG_DIF,'1' AS ID_EXEC, CURRENT_TIMESTAMP() AS TIME_EXEC FROM (SELECT instrmnt_id, DT_STRT_INTRST_ONLY FROM CD_LOAN_TAPES_BCE.LT002_INSTRUMENT WHERE ref_date='${ref_date}' AND nome_perimetro='Individual Corporativo' AND segmento='ESTR' AND ambito='PM' AND entidade='00100')X INNER JOIN (SELECT instrmnt_id AS instrmnt_id_SIMUL, DT_STRT_INTRST_ONLY AS DT_STRT_INTRST_ONLY_SIMUL FROM BU_LOANTAPE_WORK.LT002_INSTRUMENT WHERE ref_date='${ref_date}' AND nome_perimetro='Individual Corporativo' AND segmento='ESTR' AND ambito='PM' AND entidade='00100')Y ON X.INSTRMNT_ID=Y.INSTRMNT_ID_SIMUL</v>
      </c>
      <c r="N142" s="38" t="s">
        <v>46</v>
      </c>
    </row>
    <row r="143" spans="2:14" hidden="1">
      <c r="B143" s="34" t="s">
        <v>126</v>
      </c>
      <c r="C143" s="34" t="s">
        <v>5</v>
      </c>
      <c r="D143" s="34" t="str">
        <f>+UPPER('0. Instruções'!$D$35&amp;"."&amp;VLOOKUP(B143,'0. Instruções'!$C$27:$D$32,2,FALSE))</f>
        <v>CD_LOAN_TAPES_BCE.LT002_INSTRUMENT</v>
      </c>
      <c r="E143" s="34" t="str">
        <f>+UPPER('0. Instruções'!$D$36&amp;"."&amp;VLOOKUP(B143,'0. Instruções'!$C$27:$E$32,3,FALSE))</f>
        <v>BU_LOANTAPE_WORK.LT002_INSTRUMENT</v>
      </c>
      <c r="F143" s="34" t="s">
        <v>443</v>
      </c>
      <c r="G143" s="34"/>
      <c r="H143" s="34" t="s">
        <v>652</v>
      </c>
      <c r="I143" s="34" t="str">
        <f>"(SELECT "&amp;VLOOKUP(B143,'0. Instruções'!$C$27:$G$32,4,FALSE)&amp;", "&amp;F143&amp;" FROM "&amp;D143&amp;" WHERE "&amp;'0. Instruções'!$D$42&amp;")X"</f>
        <v>(SELECT instrmnt_id, EXPSR_IN_SCP FROM CD_LOAN_TAPES_BCE.LT002_INSTRUMENT WHERE ref_date='${ref_date}' AND nome_perimetro='Individual Corporativo' AND segmento='ESTR' AND ambito='PM' AND entidade='00100')X</v>
      </c>
      <c r="J143" s="34" t="str">
        <f>"(SELECT "&amp;VLOOKUP(B143,'0. Instruções'!$C$27:$G$32,4,FALSE)&amp;" AS "&amp;VLOOKUP(B143,'0. Instruções'!$C$27:$G$32,4,FALSE)&amp;"_SIMUL, "&amp;F143&amp;" AS "&amp;F143&amp;"_SIMUL FROM "&amp;E143&amp;" WHERE "&amp;'0. Instruções'!$D$43&amp;")Y"</f>
        <v>(SELECT instrmnt_id AS instrmnt_id_SIMUL, EXPSR_IN_SCP AS EXPSR_IN_SCP_SIMUL FROM BU_LOANTAPE_WORK.LT002_INSTRUMENT WHERE ref_date='${ref_date}' AND nome_perimetro='Individual Corporativo' AND segmento='ESTR' AND ambito='PM' AND entidade='00100')Y</v>
      </c>
      <c r="K143" s="35" t="str">
        <f>+UPPER("ON X."&amp;VLOOKUP(B143,'0. Instruções'!$C$27:$G$32,4,FALSE)&amp;"=Y."&amp;VLOOKUP(B143,'0. Instruções'!$C$27:$G$32,4,FALSE)&amp;"_SIMUL")</f>
        <v>ON X.INSTRMNT_ID=Y.INSTRMNT_ID_SIMUL</v>
      </c>
      <c r="L143" s="35" t="str">
        <f>+IF(C143="Coerência", +IF(LEFT(G143,5)="FLOAT","SELECT '"&amp;UPPER(B143)&amp;"' AS TABELA, '"&amp;UPPER(C143)&amp;"' AS TIPOLOGIA_TESTE,'"&amp;D143&amp;"' AS TABELA_LT,'"&amp;E143&amp;"' AS TABELA_SIMUL,'"&amp;F143&amp;"' AS CAMPO, "&amp;"'${ref_date}' AS REF_DATE, COUNT(*) AS NUM_REG, SUM(IF((ABS(COALESCE(CAST(X."&amp;F143&amp;" AS DECIMAL(18,6)),0)-COALESCE(CAST(Y."&amp;F143&amp;"_SIMUL AS DECIMAL(18,6)),0))&gt;0.000001) OR (X."&amp;F143&amp;" IS NULL AND Y."&amp;F143&amp;"_SIMUL IS NOT NULL ) OR (X."&amp;F143&amp;" IS NOT NULL AND Y."&amp;F143&amp;"_SIMUL IS NULL),1,0)) AS NUM_REG_DIF,'"&amp;MAX('ID1&amp;5'!K:K)+1&amp;"' AS ID_EXEC, CURRENT_TIMESTAMP() AS TIME_EXEC FROM "&amp;I143&amp;" INNER JOIN "&amp;J143&amp;" "&amp;K143,"SELECT '"&amp;UPPER(B143)&amp;"' AS TABELA, '"&amp;UPPER(C143)&amp;"' AS TIPOLOGIA_TESTE,'"&amp;D143&amp;"' AS TABELA_LT,'"&amp;E143&amp;"' AS TABELA_SIMUL,'"&amp;F143&amp;"' AS CAMPO, "&amp;"'${ref_date}' AS REF_DATE, COUNT(*) AS NUM_REG, SUM(IF(COALESCE(CAST(X."&amp;F143&amp;" AS STRING),'')&lt;&gt;COALESCE(CAST(Y."&amp;F143&amp;"_SIMUL AS STRING),'') OR (X."&amp;F143&amp;" IS NULL AND Y."&amp;F143&amp;"_SIMUL IS NOT NULL ) OR (X."&amp;F143&amp;" IS NOT NULL AND Y."&amp;F143&amp;"_SIMUL IS NULL),1,0)) AS NUM_REG_DIF,'"&amp;MAX('ID1&amp;5'!L:L)+1&amp;"' AS ID_EXEC, CURRENT_TIMESTAMP() AS TIME_EXEC FROM "&amp;I143&amp;" INNER JOIN "&amp;J143&amp;" "&amp;K143),
IF(C143="Validade",+IF(G143="Code List","SELECT '"&amp;UPPER(B143)&amp;"' AS TABELA, '"&amp;UPPER(C143)&amp;"' AS TIPOLOGIA_TESTE,'"&amp;D143&amp;"' AS TABELA_LT,'N/A' AS TABELA_SIMUL,'"&amp;F143&amp;"' AS CAMPO, "&amp;"'${ref_date}' AS REF_DATE, COUNT(*) AS NUM_REG, SUM(IF(TRIM(CAST(X."&amp;F143&amp;" AS STRING))='' OR TRIM(CAST(X."&amp;F143&amp;" AS STRING)) IS NULL OR CAST(X."&amp;F143&amp;" AS STRING) NOT "&amp;H143&amp;",1,0)) AS NUM_REG_DIF,'"&amp;MAX('ID1&amp;5'!K:K)+1&amp;"' AS ID_EXEC, CURRENT_TIMESTAMP() AS TIME_EXEC FROM "&amp;I143,"SELECT '"&amp;UPPER(B143)&amp;"' AS TABELA, '"&amp;UPPER(C143)&amp;"' AS TIPOLOGIA_TESTE,'"&amp;D143&amp;"' AS TABELA_LT,'N/A' AS TABELA_SIMUL,'"&amp;F143&amp;"' AS CAMPO, "&amp;"'${ref_date}' AS REF_DATE, COUNT(*) AS NUM_REG, SUM(IF(TRIM(CAST(X."&amp;F143&amp;" AS STRING))='' OR TRIM(CAST(X."&amp;F143&amp;" AS STRING)) IS NULL,1,0)) AS NUM_REG_DIF,'"&amp;MAX('ID1&amp;5'!K:K)+1&amp;"' AS ID_EXEC, CURRENT_TIMESTAMP() AS TIME_EXEC FROM "&amp;I143),
IF(C143="Caracteres Especiais",+"SELECT '"&amp;UPPER(B143)&amp;"' AS TABELA, '"&amp;UPPER(C143)&amp;"' AS TIPOLOGIA_TESTE,'"&amp;D143&amp;"' AS TABELA_LT,'N/A' AS TABELA_SIMUL,'"&amp;F143&amp;"' AS CAMPO, "&amp;"'${ref_date}' AS REF_DATE, COUNT(*) AS NUM_REG, SUM(IF(REGEXP_REPLACE(TRIM(CAST(X."&amp;F143&amp;" AS STRING)),'[^a-zA-Z0-9_\\s]','') &lt;&gt;TRIM(CAST(X."&amp;F143&amp;" AS STRING)),1,0)) AS NUM_REG_DIF,'"&amp;MAX('ID1&amp;5'!K:K)+1&amp;"' AS ID_EXEC, CURRENT_TIMESTAMP() AS TIME_EXEC FROM "&amp;I143,
IF(C143="Missings",+"SELECT '"&amp;UPPER(B143)&amp;"' AS TABELA, '"&amp;UPPER(C143)&amp;"' AS TIPOLOGIA_TESTE,'"&amp;D143&amp;"' AS TABELA_LT,'N/A' AS TABELA_SIMUL,'"&amp;F143&amp;"' AS CAMPO, "&amp;"'${ref_date}' AS REF_DATE, COUNT(*) AS NUM_REG, SUM(IF(TRIM(CAST(X."&amp;F143&amp;" AS STRING)) IN ('0000-00-00','0001-01-01','9999-12-31','MISS','00000','99999999999','99999999999.00','99999999999.000000'),1,0)) AS NUM_REG_DIF,'"&amp;MAX('ID1&amp;5'!K:K)+1&amp;"' AS ID_EXEC, CURRENT_TIMESTAMP() AS TIME_EXEC FROM "&amp;I143,
IF(C143="Not applicable",+"SELECT '"&amp;UPPER(B143)&amp;"' AS TABELA, '"&amp;UPPER(C143)&amp;"' AS TIPOLOGIA_TESTE,'"&amp;D143&amp;"' AS TABELA_LT,'N/A' AS TABELA_SIMUL,'"&amp;F143&amp;"' AS CAMPO, "&amp;"'${ref_date}' AS REF_DATE, COUNT(*) AS NUM_REG, SUM(IF(TRIM(CAST(X."&amp;F143&amp;" AS STRING)) IN ('N/A','11111111111','11111111111.00','11111111111.000000','1111-11-11'),1,0)) AS NUM_REG_DIF,'"&amp;MAX('ID1&amp;5'!K:K)+1&amp;"' AS ID_EXEC, CURRENT_TIMESTAMP() AS TIME_EXEC FROM "&amp;I143,
IF(C143="Valores extremos",+"SELECT '"&amp;UPPER(B143)&amp;"' AS TABELA, '"&amp;UPPER(C143)&amp;"' AS TIPOLOGIA_TESTE,'"&amp;D143&amp;"' AS TABELA_LT,'N/A' AS TABELA_SIMUL,'"&amp;F143&amp;"' AS CAMPO, "&amp;"'${ref_date}' AS REF_DATE, CAST(MIN("&amp;F143&amp;") AS STRING) AS VALOR_MIN, CAST(MAX("&amp;F143&amp;") AS STRING) AS VALOR_MAX,'"&amp;MAX('ID1&amp;5'!K:K)+1&amp;"' AS ID_EXEC, CURRENT_TIMESTAMP() AS TIME_EXEC FROM "&amp;MID(I143,1,LEN(I143)-2)&amp;" AND CAST("&amp;F143&amp;"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TABELA_SIMUL,'EXPSR_IN_SCP' AS CAMPO, '${ref_date}' AS REF_DATE, COUNT(*) AS NUM_REG, SUM(IF(COALESCE(CAST(X.EXPSR_IN_SCP AS STRING),'')&lt;&gt;COALESCE(CAST(Y.EXPSR_IN_SCP_SIMUL AS STRING),'') OR (X.EXPSR_IN_SCP IS NULL AND Y.EXPSR_IN_SCP_SIMUL IS NOT NULL ) OR (X.EXPSR_IN_SCP IS NOT NULL AND Y.EXPSR_IN_SCP_SIMUL IS NULL),1,0)) AS NUM_REG_DIF,'1' AS ID_EXEC, CURRENT_TIMESTAMP() AS TIME_EXEC FROM (SELECT instrmnt_id, EXPSR_IN_SCP FROM CD_LOAN_TAPES_BCE.LT002_INSTRUMENT WHERE ref_date='${ref_date}' AND nome_perimetro='Individual Corporativo' AND segmento='ESTR' AND ambito='PM' AND entidade='00100')X INNER JOIN (SELECT instrmnt_id AS instrmnt_id_SIMUL, EXPSR_IN_SCP AS EXPSR_IN_SCP_SIMUL FROM BU_LOANTAPE_WORK.LT002_INSTRUMENT WHERE ref_date='${ref_date}' AND nome_perimetro='Individual Corporativo' AND segmento='ESTR' AND ambito='PM' AND entidade='00100')Y ON X.INSTRMNT_ID=Y.INSTRMNT_ID_SIMUL</v>
      </c>
      <c r="M143" s="36" t="str">
        <f t="shared" si="2"/>
        <v>UNION ALL SELECT 'INSTRUMENT' AS TABELA, 'COERÊNCIA' AS TIPOLOGIA_TESTE,'CD_LOAN_TAPES_BCE.LT002_INSTRUMENT' AS TABELA_LT,'BU_LOANTAPE_WORK.LT002_INSTRUMENT' AS TABELA_SIMUL,'EXPSR_IN_SCP' AS CAMPO, '${ref_date}' AS REF_DATE, COUNT(*) AS NUM_REG, SUM(IF(COALESCE(CAST(X.EXPSR_IN_SCP AS STRING),'')&lt;&gt;COALESCE(CAST(Y.EXPSR_IN_SCP_SIMUL AS STRING),'') OR (X.EXPSR_IN_SCP IS NULL AND Y.EXPSR_IN_SCP_SIMUL IS NOT NULL ) OR (X.EXPSR_IN_SCP IS NOT NULL AND Y.EXPSR_IN_SCP_SIMUL IS NULL),1,0)) AS NUM_REG_DIF,'1' AS ID_EXEC, CURRENT_TIMESTAMP() AS TIME_EXEC FROM (SELECT instrmnt_id, EXPSR_IN_SCP FROM CD_LOAN_TAPES_BCE.LT002_INSTRUMENT WHERE ref_date='${ref_date}' AND nome_perimetro='Individual Corporativo' AND segmento='ESTR' AND ambito='PM' AND entidade='00100')X INNER JOIN (SELECT instrmnt_id AS instrmnt_id_SIMUL, EXPSR_IN_SCP AS EXPSR_IN_SCP_SIMUL FROM BU_LOANTAPE_WORK.LT002_INSTRUMENT WHERE ref_date='${ref_date}' AND nome_perimetro='Individual Corporativo' AND segmento='ESTR' AND ambito='PM' AND entidade='00100')Y ON X.INSTRMNT_ID=Y.INSTRMNT_ID_SIMUL</v>
      </c>
      <c r="N143" s="38" t="s">
        <v>46</v>
      </c>
    </row>
    <row r="144" spans="2:14" hidden="1">
      <c r="B144" s="34" t="s">
        <v>126</v>
      </c>
      <c r="C144" s="34" t="s">
        <v>5</v>
      </c>
      <c r="D144" s="34" t="str">
        <f>+UPPER('0. Instruções'!$D$35&amp;"."&amp;VLOOKUP(B144,'0. Instruções'!$C$27:$D$32,2,FALSE))</f>
        <v>CD_LOAN_TAPES_BCE.LT002_INSTRUMENT</v>
      </c>
      <c r="E144" s="34" t="str">
        <f>+UPPER('0. Instruções'!$D$36&amp;"."&amp;VLOOKUP(B144,'0. Instruções'!$C$27:$E$32,3,FALSE))</f>
        <v>BU_LOANTAPE_WORK.LT002_INSTRUMENT</v>
      </c>
      <c r="F144" s="34" t="s">
        <v>444</v>
      </c>
      <c r="G144" s="34"/>
      <c r="H144" s="34" t="s">
        <v>648</v>
      </c>
      <c r="I144" s="34" t="str">
        <f>"(SELECT "&amp;VLOOKUP(B144,'0. Instruções'!$C$27:$G$32,4,FALSE)&amp;", "&amp;F144&amp;" FROM "&amp;D144&amp;" WHERE "&amp;'0. Instruções'!$D$42&amp;")X"</f>
        <v>(SELECT instrmnt_id, FLD_SYNDCTN FROM CD_LOAN_TAPES_BCE.LT002_INSTRUMENT WHERE ref_date='${ref_date}' AND nome_perimetro='Individual Corporativo' AND segmento='ESTR' AND ambito='PM' AND entidade='00100')X</v>
      </c>
      <c r="J144" s="34" t="str">
        <f>"(SELECT "&amp;VLOOKUP(B144,'0. Instruções'!$C$27:$G$32,4,FALSE)&amp;" AS "&amp;VLOOKUP(B144,'0. Instruções'!$C$27:$G$32,4,FALSE)&amp;"_SIMUL, "&amp;F144&amp;" AS "&amp;F144&amp;"_SIMUL FROM "&amp;E144&amp;" WHERE "&amp;'0. Instruções'!$D$43&amp;")Y"</f>
        <v>(SELECT instrmnt_id AS instrmnt_id_SIMUL, FLD_SYNDCTN AS FLD_SYNDCTN_SIMUL FROM BU_LOANTAPE_WORK.LT002_INSTRUMENT WHERE ref_date='${ref_date}' AND nome_perimetro='Individual Corporativo' AND segmento='ESTR' AND ambito='PM' AND entidade='00100')Y</v>
      </c>
      <c r="K144" s="35" t="str">
        <f>+UPPER("ON X."&amp;VLOOKUP(B144,'0. Instruções'!$C$27:$G$32,4,FALSE)&amp;"=Y."&amp;VLOOKUP(B144,'0. Instruções'!$C$27:$G$32,4,FALSE)&amp;"_SIMUL")</f>
        <v>ON X.INSTRMNT_ID=Y.INSTRMNT_ID_SIMUL</v>
      </c>
      <c r="L144" s="35" t="str">
        <f>+IF(C144="Coerência", +IF(LEFT(G144,5)="FLOAT","SELECT '"&amp;UPPER(B144)&amp;"' AS TABELA, '"&amp;UPPER(C144)&amp;"' AS TIPOLOGIA_TESTE,'"&amp;D144&amp;"' AS TABELA_LT,'"&amp;E144&amp;"' AS TABELA_SIMUL,'"&amp;F144&amp;"' AS CAMPO, "&amp;"'${ref_date}' AS REF_DATE, COUNT(*) AS NUM_REG, SUM(IF((ABS(COALESCE(CAST(X."&amp;F144&amp;" AS DECIMAL(18,6)),0)-COALESCE(CAST(Y."&amp;F144&amp;"_SIMUL AS DECIMAL(18,6)),0))&gt;0.000001) OR (X."&amp;F144&amp;" IS NULL AND Y."&amp;F144&amp;"_SIMUL IS NOT NULL ) OR (X."&amp;F144&amp;" IS NOT NULL AND Y."&amp;F144&amp;"_SIMUL IS NULL),1,0)) AS NUM_REG_DIF,'"&amp;MAX('ID1&amp;5'!K:K)+1&amp;"' AS ID_EXEC, CURRENT_TIMESTAMP() AS TIME_EXEC FROM "&amp;I144&amp;" INNER JOIN "&amp;J144&amp;" "&amp;K144,"SELECT '"&amp;UPPER(B144)&amp;"' AS TABELA, '"&amp;UPPER(C144)&amp;"' AS TIPOLOGIA_TESTE,'"&amp;D144&amp;"' AS TABELA_LT,'"&amp;E144&amp;"' AS TABELA_SIMUL,'"&amp;F144&amp;"' AS CAMPO, "&amp;"'${ref_date}' AS REF_DATE, COUNT(*) AS NUM_REG, SUM(IF(COALESCE(CAST(X."&amp;F144&amp;" AS STRING),'')&lt;&gt;COALESCE(CAST(Y."&amp;F144&amp;"_SIMUL AS STRING),'') OR (X."&amp;F144&amp;" IS NULL AND Y."&amp;F144&amp;"_SIMUL IS NOT NULL ) OR (X."&amp;F144&amp;" IS NOT NULL AND Y."&amp;F144&amp;"_SIMUL IS NULL),1,0)) AS NUM_REG_DIF,'"&amp;MAX('ID1&amp;5'!L:L)+1&amp;"' AS ID_EXEC, CURRENT_TIMESTAMP() AS TIME_EXEC FROM "&amp;I144&amp;" INNER JOIN "&amp;J144&amp;" "&amp;K144),
IF(C144="Validade",+IF(G144="Code List","SELECT '"&amp;UPPER(B144)&amp;"' AS TABELA, '"&amp;UPPER(C144)&amp;"' AS TIPOLOGIA_TESTE,'"&amp;D144&amp;"' AS TABELA_LT,'N/A' AS TABELA_SIMUL,'"&amp;F144&amp;"' AS CAMPO, "&amp;"'${ref_date}' AS REF_DATE, COUNT(*) AS NUM_REG, SUM(IF(TRIM(CAST(X."&amp;F144&amp;" AS STRING))='' OR TRIM(CAST(X."&amp;F144&amp;" AS STRING)) IS NULL OR CAST(X."&amp;F144&amp;" AS STRING) NOT "&amp;H144&amp;",1,0)) AS NUM_REG_DIF,'"&amp;MAX('ID1&amp;5'!K:K)+1&amp;"' AS ID_EXEC, CURRENT_TIMESTAMP() AS TIME_EXEC FROM "&amp;I144,"SELECT '"&amp;UPPER(B144)&amp;"' AS TABELA, '"&amp;UPPER(C144)&amp;"' AS TIPOLOGIA_TESTE,'"&amp;D144&amp;"' AS TABELA_LT,'N/A' AS TABELA_SIMUL,'"&amp;F144&amp;"' AS CAMPO, "&amp;"'${ref_date}' AS REF_DATE, COUNT(*) AS NUM_REG, SUM(IF(TRIM(CAST(X."&amp;F144&amp;" AS STRING))='' OR TRIM(CAST(X."&amp;F144&amp;" AS STRING)) IS NULL,1,0)) AS NUM_REG_DIF,'"&amp;MAX('ID1&amp;5'!K:K)+1&amp;"' AS ID_EXEC, CURRENT_TIMESTAMP() AS TIME_EXEC FROM "&amp;I144),
IF(C144="Caracteres Especiais",+"SELECT '"&amp;UPPER(B144)&amp;"' AS TABELA, '"&amp;UPPER(C144)&amp;"' AS TIPOLOGIA_TESTE,'"&amp;D144&amp;"' AS TABELA_LT,'N/A' AS TABELA_SIMUL,'"&amp;F144&amp;"' AS CAMPO, "&amp;"'${ref_date}' AS REF_DATE, COUNT(*) AS NUM_REG, SUM(IF(REGEXP_REPLACE(TRIM(CAST(X."&amp;F144&amp;" AS STRING)),'[^a-zA-Z0-9_\\s]','') &lt;&gt;TRIM(CAST(X."&amp;F144&amp;" AS STRING)),1,0)) AS NUM_REG_DIF,'"&amp;MAX('ID1&amp;5'!K:K)+1&amp;"' AS ID_EXEC, CURRENT_TIMESTAMP() AS TIME_EXEC FROM "&amp;I144,
IF(C144="Missings",+"SELECT '"&amp;UPPER(B144)&amp;"' AS TABELA, '"&amp;UPPER(C144)&amp;"' AS TIPOLOGIA_TESTE,'"&amp;D144&amp;"' AS TABELA_LT,'N/A' AS TABELA_SIMUL,'"&amp;F144&amp;"' AS CAMPO, "&amp;"'${ref_date}' AS REF_DATE, COUNT(*) AS NUM_REG, SUM(IF(TRIM(CAST(X."&amp;F144&amp;" AS STRING)) IN ('0000-00-00','0001-01-01','9999-12-31','MISS','00000','99999999999','99999999999.00','99999999999.000000'),1,0)) AS NUM_REG_DIF,'"&amp;MAX('ID1&amp;5'!K:K)+1&amp;"' AS ID_EXEC, CURRENT_TIMESTAMP() AS TIME_EXEC FROM "&amp;I144,
IF(C144="Not applicable",+"SELECT '"&amp;UPPER(B144)&amp;"' AS TABELA, '"&amp;UPPER(C144)&amp;"' AS TIPOLOGIA_TESTE,'"&amp;D144&amp;"' AS TABELA_LT,'N/A' AS TABELA_SIMUL,'"&amp;F144&amp;"' AS CAMPO, "&amp;"'${ref_date}' AS REF_DATE, COUNT(*) AS NUM_REG, SUM(IF(TRIM(CAST(X."&amp;F144&amp;" AS STRING)) IN ('N/A','11111111111','11111111111.00','11111111111.000000','1111-11-11'),1,0)) AS NUM_REG_DIF,'"&amp;MAX('ID1&amp;5'!K:K)+1&amp;"' AS ID_EXEC, CURRENT_TIMESTAMP() AS TIME_EXEC FROM "&amp;I144,
IF(C144="Valores extremos",+"SELECT '"&amp;UPPER(B144)&amp;"' AS TABELA, '"&amp;UPPER(C144)&amp;"' AS TIPOLOGIA_TESTE,'"&amp;D144&amp;"' AS TABELA_LT,'N/A' AS TABELA_SIMUL,'"&amp;F144&amp;"' AS CAMPO, "&amp;"'${ref_date}' AS REF_DATE, CAST(MIN("&amp;F144&amp;") AS STRING) AS VALOR_MIN, CAST(MAX("&amp;F144&amp;") AS STRING) AS VALOR_MAX,'"&amp;MAX('ID1&amp;5'!K:K)+1&amp;"' AS ID_EXEC, CURRENT_TIMESTAMP() AS TIME_EXEC FROM "&amp;MID(I144,1,LEN(I144)-2)&amp;" AND CAST("&amp;F144&amp;"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TABELA_SIMUL,'FLD_SYNDCTN' AS CAMPO, '${ref_date}' AS REF_DATE, COUNT(*) AS NUM_REG, SUM(IF(COALESCE(CAST(X.FLD_SYNDCTN AS STRING),'')&lt;&gt;COALESCE(CAST(Y.FLD_SYNDCTN_SIMUL AS STRING),'') OR (X.FLD_SYNDCTN IS NULL AND Y.FLD_SYNDCTN_SIMUL IS NOT NULL ) OR (X.FLD_SYNDCTN IS NOT NULL AND Y.FLD_SYNDCTN_SIMUL IS NULL),1,0)) AS NUM_REG_DIF,'1' AS ID_EXEC, CURRENT_TIMESTAMP() AS TIME_EXEC FROM (SELECT instrmnt_id, FLD_SYNDCTN FROM CD_LOAN_TAPES_BCE.LT002_INSTRUMENT WHERE ref_date='${ref_date}' AND nome_perimetro='Individual Corporativo' AND segmento='ESTR' AND ambito='PM' AND entidade='00100')X INNER JOIN (SELECT instrmnt_id AS instrmnt_id_SIMUL, FLD_SYNDCTN AS FLD_SYNDCTN_SIMUL FROM BU_LOANTAPE_WORK.LT002_INSTRUMENT WHERE ref_date='${ref_date}' AND nome_perimetro='Individual Corporativo' AND segmento='ESTR' AND ambito='PM' AND entidade='00100')Y ON X.INSTRMNT_ID=Y.INSTRMNT_ID_SIMUL</v>
      </c>
      <c r="M144" s="36" t="str">
        <f t="shared" si="2"/>
        <v>UNION ALL SELECT 'INSTRUMENT' AS TABELA, 'COERÊNCIA' AS TIPOLOGIA_TESTE,'CD_LOAN_TAPES_BCE.LT002_INSTRUMENT' AS TABELA_LT,'BU_LOANTAPE_WORK.LT002_INSTRUMENT' AS TABELA_SIMUL,'FLD_SYNDCTN' AS CAMPO, '${ref_date}' AS REF_DATE, COUNT(*) AS NUM_REG, SUM(IF(COALESCE(CAST(X.FLD_SYNDCTN AS STRING),'')&lt;&gt;COALESCE(CAST(Y.FLD_SYNDCTN_SIMUL AS STRING),'') OR (X.FLD_SYNDCTN IS NULL AND Y.FLD_SYNDCTN_SIMUL IS NOT NULL ) OR (X.FLD_SYNDCTN IS NOT NULL AND Y.FLD_SYNDCTN_SIMUL IS NULL),1,0)) AS NUM_REG_DIF,'1' AS ID_EXEC, CURRENT_TIMESTAMP() AS TIME_EXEC FROM (SELECT instrmnt_id, FLD_SYNDCTN FROM CD_LOAN_TAPES_BCE.LT002_INSTRUMENT WHERE ref_date='${ref_date}' AND nome_perimetro='Individual Corporativo' AND segmento='ESTR' AND ambito='PM' AND entidade='00100')X INNER JOIN (SELECT instrmnt_id AS instrmnt_id_SIMUL, FLD_SYNDCTN AS FLD_SYNDCTN_SIMUL FROM BU_LOANTAPE_WORK.LT002_INSTRUMENT WHERE ref_date='${ref_date}' AND nome_perimetro='Individual Corporativo' AND segmento='ESTR' AND ambito='PM' AND entidade='00100')Y ON X.INSTRMNT_ID=Y.INSTRMNT_ID_SIMUL</v>
      </c>
      <c r="N144" s="38" t="s">
        <v>46</v>
      </c>
    </row>
    <row r="145" spans="2:14" hidden="1">
      <c r="B145" s="34" t="s">
        <v>126</v>
      </c>
      <c r="C145" s="34" t="s">
        <v>5</v>
      </c>
      <c r="D145" s="34" t="str">
        <f>+UPPER('0. Instruções'!$D$35&amp;"."&amp;VLOOKUP(B145,'0. Instruções'!$C$27:$D$32,2,FALSE))</f>
        <v>CD_LOAN_TAPES_BCE.LT002_INSTRUMENT</v>
      </c>
      <c r="E145" s="34" t="str">
        <f>+UPPER('0. Instruções'!$D$36&amp;"."&amp;VLOOKUP(B145,'0. Instruções'!$C$27:$E$32,3,FALSE))</f>
        <v>BU_LOANTAPE_WORK.LT002_INSTRUMENT</v>
      </c>
      <c r="F145" s="34" t="s">
        <v>445</v>
      </c>
      <c r="G145" s="34"/>
      <c r="H145" s="34" t="s">
        <v>648</v>
      </c>
      <c r="I145" s="34" t="str">
        <f>"(SELECT "&amp;VLOOKUP(B145,'0. Instruções'!$C$27:$G$32,4,FALSE)&amp;", "&amp;F145&amp;" FROM "&amp;D145&amp;" WHERE "&amp;'0. Instruções'!$D$42&amp;")X"</f>
        <v>(SELECT instrmnt_id, FLG_LBO FROM CD_LOAN_TAPES_BCE.LT002_INSTRUMENT WHERE ref_date='${ref_date}' AND nome_perimetro='Individual Corporativo' AND segmento='ESTR' AND ambito='PM' AND entidade='00100')X</v>
      </c>
      <c r="J145" s="34" t="str">
        <f>"(SELECT "&amp;VLOOKUP(B145,'0. Instruções'!$C$27:$G$32,4,FALSE)&amp;" AS "&amp;VLOOKUP(B145,'0. Instruções'!$C$27:$G$32,4,FALSE)&amp;"_SIMUL, "&amp;F145&amp;" AS "&amp;F145&amp;"_SIMUL FROM "&amp;E145&amp;" WHERE "&amp;'0. Instruções'!$D$43&amp;")Y"</f>
        <v>(SELECT instrmnt_id AS instrmnt_id_SIMUL, FLG_LBO AS FLG_LBO_SIMUL FROM BU_LOANTAPE_WORK.LT002_INSTRUMENT WHERE ref_date='${ref_date}' AND nome_perimetro='Individual Corporativo' AND segmento='ESTR' AND ambito='PM' AND entidade='00100')Y</v>
      </c>
      <c r="K145" s="35" t="str">
        <f>+UPPER("ON X."&amp;VLOOKUP(B145,'0. Instruções'!$C$27:$G$32,4,FALSE)&amp;"=Y."&amp;VLOOKUP(B145,'0. Instruções'!$C$27:$G$32,4,FALSE)&amp;"_SIMUL")</f>
        <v>ON X.INSTRMNT_ID=Y.INSTRMNT_ID_SIMUL</v>
      </c>
      <c r="L145" s="35" t="str">
        <f>+IF(C145="Coerência", +IF(LEFT(G145,5)="FLOAT","SELECT '"&amp;UPPER(B145)&amp;"' AS TABELA, '"&amp;UPPER(C145)&amp;"' AS TIPOLOGIA_TESTE,'"&amp;D145&amp;"' AS TABELA_LT,'"&amp;E145&amp;"' AS TABELA_SIMUL,'"&amp;F145&amp;"' AS CAMPO, "&amp;"'${ref_date}' AS REF_DATE, COUNT(*) AS NUM_REG, SUM(IF((ABS(COALESCE(CAST(X."&amp;F145&amp;" AS DECIMAL(18,6)),0)-COALESCE(CAST(Y."&amp;F145&amp;"_SIMUL AS DECIMAL(18,6)),0))&gt;0.000001) OR (X."&amp;F145&amp;" IS NULL AND Y."&amp;F145&amp;"_SIMUL IS NOT NULL ) OR (X."&amp;F145&amp;" IS NOT NULL AND Y."&amp;F145&amp;"_SIMUL IS NULL),1,0)) AS NUM_REG_DIF,'"&amp;MAX('ID1&amp;5'!K:K)+1&amp;"' AS ID_EXEC, CURRENT_TIMESTAMP() AS TIME_EXEC FROM "&amp;I145&amp;" INNER JOIN "&amp;J145&amp;" "&amp;K145,"SELECT '"&amp;UPPER(B145)&amp;"' AS TABELA, '"&amp;UPPER(C145)&amp;"' AS TIPOLOGIA_TESTE,'"&amp;D145&amp;"' AS TABELA_LT,'"&amp;E145&amp;"' AS TABELA_SIMUL,'"&amp;F145&amp;"' AS CAMPO, "&amp;"'${ref_date}' AS REF_DATE, COUNT(*) AS NUM_REG, SUM(IF(COALESCE(CAST(X."&amp;F145&amp;" AS STRING),'')&lt;&gt;COALESCE(CAST(Y."&amp;F145&amp;"_SIMUL AS STRING),'') OR (X."&amp;F145&amp;" IS NULL AND Y."&amp;F145&amp;"_SIMUL IS NOT NULL ) OR (X."&amp;F145&amp;" IS NOT NULL AND Y."&amp;F145&amp;"_SIMUL IS NULL),1,0)) AS NUM_REG_DIF,'"&amp;MAX('ID1&amp;5'!L:L)+1&amp;"' AS ID_EXEC, CURRENT_TIMESTAMP() AS TIME_EXEC FROM "&amp;I145&amp;" INNER JOIN "&amp;J145&amp;" "&amp;K145),
IF(C145="Validade",+IF(G145="Code List","SELECT '"&amp;UPPER(B145)&amp;"' AS TABELA, '"&amp;UPPER(C145)&amp;"' AS TIPOLOGIA_TESTE,'"&amp;D145&amp;"' AS TABELA_LT,'N/A' AS TABELA_SIMUL,'"&amp;F145&amp;"' AS CAMPO, "&amp;"'${ref_date}' AS REF_DATE, COUNT(*) AS NUM_REG, SUM(IF(TRIM(CAST(X."&amp;F145&amp;" AS STRING))='' OR TRIM(CAST(X."&amp;F145&amp;" AS STRING)) IS NULL OR CAST(X."&amp;F145&amp;" AS STRING) NOT "&amp;H145&amp;",1,0)) AS NUM_REG_DIF,'"&amp;MAX('ID1&amp;5'!K:K)+1&amp;"' AS ID_EXEC, CURRENT_TIMESTAMP() AS TIME_EXEC FROM "&amp;I145,"SELECT '"&amp;UPPER(B145)&amp;"' AS TABELA, '"&amp;UPPER(C145)&amp;"' AS TIPOLOGIA_TESTE,'"&amp;D145&amp;"' AS TABELA_LT,'N/A' AS TABELA_SIMUL,'"&amp;F145&amp;"' AS CAMPO, "&amp;"'${ref_date}' AS REF_DATE, COUNT(*) AS NUM_REG, SUM(IF(TRIM(CAST(X."&amp;F145&amp;" AS STRING))='' OR TRIM(CAST(X."&amp;F145&amp;" AS STRING)) IS NULL,1,0)) AS NUM_REG_DIF,'"&amp;MAX('ID1&amp;5'!K:K)+1&amp;"' AS ID_EXEC, CURRENT_TIMESTAMP() AS TIME_EXEC FROM "&amp;I145),
IF(C145="Caracteres Especiais",+"SELECT '"&amp;UPPER(B145)&amp;"' AS TABELA, '"&amp;UPPER(C145)&amp;"' AS TIPOLOGIA_TESTE,'"&amp;D145&amp;"' AS TABELA_LT,'N/A' AS TABELA_SIMUL,'"&amp;F145&amp;"' AS CAMPO, "&amp;"'${ref_date}' AS REF_DATE, COUNT(*) AS NUM_REG, SUM(IF(REGEXP_REPLACE(TRIM(CAST(X."&amp;F145&amp;" AS STRING)),'[^a-zA-Z0-9_\\s]','') &lt;&gt;TRIM(CAST(X."&amp;F145&amp;" AS STRING)),1,0)) AS NUM_REG_DIF,'"&amp;MAX('ID1&amp;5'!K:K)+1&amp;"' AS ID_EXEC, CURRENT_TIMESTAMP() AS TIME_EXEC FROM "&amp;I145,
IF(C145="Missings",+"SELECT '"&amp;UPPER(B145)&amp;"' AS TABELA, '"&amp;UPPER(C145)&amp;"' AS TIPOLOGIA_TESTE,'"&amp;D145&amp;"' AS TABELA_LT,'N/A' AS TABELA_SIMUL,'"&amp;F145&amp;"' AS CAMPO, "&amp;"'${ref_date}' AS REF_DATE, COUNT(*) AS NUM_REG, SUM(IF(TRIM(CAST(X."&amp;F145&amp;" AS STRING)) IN ('0000-00-00','0001-01-01','9999-12-31','MISS','00000','99999999999','99999999999.00','99999999999.000000'),1,0)) AS NUM_REG_DIF,'"&amp;MAX('ID1&amp;5'!K:K)+1&amp;"' AS ID_EXEC, CURRENT_TIMESTAMP() AS TIME_EXEC FROM "&amp;I145,
IF(C145="Not applicable",+"SELECT '"&amp;UPPER(B145)&amp;"' AS TABELA, '"&amp;UPPER(C145)&amp;"' AS TIPOLOGIA_TESTE,'"&amp;D145&amp;"' AS TABELA_LT,'N/A' AS TABELA_SIMUL,'"&amp;F145&amp;"' AS CAMPO, "&amp;"'${ref_date}' AS REF_DATE, COUNT(*) AS NUM_REG, SUM(IF(TRIM(CAST(X."&amp;F145&amp;" AS STRING)) IN ('N/A','11111111111','11111111111.00','11111111111.000000','1111-11-11'),1,0)) AS NUM_REG_DIF,'"&amp;MAX('ID1&amp;5'!K:K)+1&amp;"' AS ID_EXEC, CURRENT_TIMESTAMP() AS TIME_EXEC FROM "&amp;I145,
IF(C145="Valores extremos",+"SELECT '"&amp;UPPER(B145)&amp;"' AS TABELA, '"&amp;UPPER(C145)&amp;"' AS TIPOLOGIA_TESTE,'"&amp;D145&amp;"' AS TABELA_LT,'N/A' AS TABELA_SIMUL,'"&amp;F145&amp;"' AS CAMPO, "&amp;"'${ref_date}' AS REF_DATE, CAST(MIN("&amp;F145&amp;") AS STRING) AS VALOR_MIN, CAST(MAX("&amp;F145&amp;") AS STRING) AS VALOR_MAX,'"&amp;MAX('ID1&amp;5'!K:K)+1&amp;"' AS ID_EXEC, CURRENT_TIMESTAMP() AS TIME_EXEC FROM "&amp;MID(I145,1,LEN(I145)-2)&amp;" AND CAST("&amp;F145&amp;"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TABELA_SIMUL,'FLG_LBO' AS CAMPO, '${ref_date}' AS REF_DATE, COUNT(*) AS NUM_REG, SUM(IF(COALESCE(CAST(X.FLG_LBO AS STRING),'')&lt;&gt;COALESCE(CAST(Y.FLG_LBO_SIMUL AS STRING),'') OR (X.FLG_LBO IS NULL AND Y.FLG_LBO_SIMUL IS NOT NULL ) OR (X.FLG_LBO IS NOT NULL AND Y.FLG_LBO_SIMUL IS NULL),1,0)) AS NUM_REG_DIF,'1' AS ID_EXEC, CURRENT_TIMESTAMP() AS TIME_EXEC FROM (SELECT instrmnt_id, FLG_LBO FROM CD_LOAN_TAPES_BCE.LT002_INSTRUMENT WHERE ref_date='${ref_date}' AND nome_perimetro='Individual Corporativo' AND segmento='ESTR' AND ambito='PM' AND entidade='00100')X INNER JOIN (SELECT instrmnt_id AS instrmnt_id_SIMUL, FLG_LBO AS FLG_LBO_SIMUL FROM BU_LOANTAPE_WORK.LT002_INSTRUMENT WHERE ref_date='${ref_date}' AND nome_perimetro='Individual Corporativo' AND segmento='ESTR' AND ambito='PM' AND entidade='00100')Y ON X.INSTRMNT_ID=Y.INSTRMNT_ID_SIMUL</v>
      </c>
      <c r="M145" s="36" t="str">
        <f t="shared" si="2"/>
        <v>UNION ALL SELECT 'INSTRUMENT' AS TABELA, 'COERÊNCIA' AS TIPOLOGIA_TESTE,'CD_LOAN_TAPES_BCE.LT002_INSTRUMENT' AS TABELA_LT,'BU_LOANTAPE_WORK.LT002_INSTRUMENT' AS TABELA_SIMUL,'FLG_LBO' AS CAMPO, '${ref_date}' AS REF_DATE, COUNT(*) AS NUM_REG, SUM(IF(COALESCE(CAST(X.FLG_LBO AS STRING),'')&lt;&gt;COALESCE(CAST(Y.FLG_LBO_SIMUL AS STRING),'') OR (X.FLG_LBO IS NULL AND Y.FLG_LBO_SIMUL IS NOT NULL ) OR (X.FLG_LBO IS NOT NULL AND Y.FLG_LBO_SIMUL IS NULL),1,0)) AS NUM_REG_DIF,'1' AS ID_EXEC, CURRENT_TIMESTAMP() AS TIME_EXEC FROM (SELECT instrmnt_id, FLG_LBO FROM CD_LOAN_TAPES_BCE.LT002_INSTRUMENT WHERE ref_date='${ref_date}' AND nome_perimetro='Individual Corporativo' AND segmento='ESTR' AND ambito='PM' AND entidade='00100')X INNER JOIN (SELECT instrmnt_id AS instrmnt_id_SIMUL, FLG_LBO AS FLG_LBO_SIMUL FROM BU_LOANTAPE_WORK.LT002_INSTRUMENT WHERE ref_date='${ref_date}' AND nome_perimetro='Individual Corporativo' AND segmento='ESTR' AND ambito='PM' AND entidade='00100')Y ON X.INSTRMNT_ID=Y.INSTRMNT_ID_SIMUL</v>
      </c>
      <c r="N145" s="38" t="s">
        <v>46</v>
      </c>
    </row>
    <row r="146" spans="2:14" hidden="1">
      <c r="B146" s="34" t="s">
        <v>126</v>
      </c>
      <c r="C146" s="34" t="s">
        <v>5</v>
      </c>
      <c r="D146" s="34" t="str">
        <f>+UPPER('0. Instruções'!$D$35&amp;"."&amp;VLOOKUP(B146,'0. Instruções'!$C$27:$D$32,2,FALSE))</f>
        <v>CD_LOAN_TAPES_BCE.LT002_INSTRUMENT</v>
      </c>
      <c r="E146" s="34" t="str">
        <f>+UPPER('0. Instruções'!$D$36&amp;"."&amp;VLOOKUP(B146,'0. Instruções'!$C$27:$E$32,3,FALSE))</f>
        <v>BU_LOANTAPE_WORK.LT002_INSTRUMENT</v>
      </c>
      <c r="F146" s="34" t="s">
        <v>446</v>
      </c>
      <c r="G146" s="34"/>
      <c r="H146" s="34" t="s">
        <v>89</v>
      </c>
      <c r="I146" s="34" t="str">
        <f>"(SELECT "&amp;VLOOKUP(B146,'0. Instruções'!$C$27:$G$32,4,FALSE)&amp;", "&amp;F146&amp;" FROM "&amp;D146&amp;" WHERE "&amp;'0. Instruções'!$D$42&amp;")X"</f>
        <v>(SELECT instrmnt_id, FRBRNC_STTS_INSTRMNT FROM CD_LOAN_TAPES_BCE.LT002_INSTRUMENT WHERE ref_date='${ref_date}' AND nome_perimetro='Individual Corporativo' AND segmento='ESTR' AND ambito='PM' AND entidade='00100')X</v>
      </c>
      <c r="J146" s="34" t="str">
        <f>"(SELECT "&amp;VLOOKUP(B146,'0. Instruções'!$C$27:$G$32,4,FALSE)&amp;" AS "&amp;VLOOKUP(B146,'0. Instruções'!$C$27:$G$32,4,FALSE)&amp;"_SIMUL, "&amp;F146&amp;" AS "&amp;F146&amp;"_SIMUL FROM "&amp;E146&amp;" WHERE "&amp;'0. Instruções'!$D$43&amp;")Y"</f>
        <v>(SELECT instrmnt_id AS instrmnt_id_SIMUL, FRBRNC_STTS_INSTRMNT AS FRBRNC_STTS_INSTRMNT_SIMUL FROM BU_LOANTAPE_WORK.LT002_INSTRUMENT WHERE ref_date='${ref_date}' AND nome_perimetro='Individual Corporativo' AND segmento='ESTR' AND ambito='PM' AND entidade='00100')Y</v>
      </c>
      <c r="K146" s="35" t="str">
        <f>+UPPER("ON X."&amp;VLOOKUP(B146,'0. Instruções'!$C$27:$G$32,4,FALSE)&amp;"=Y."&amp;VLOOKUP(B146,'0. Instruções'!$C$27:$G$32,4,FALSE)&amp;"_SIMUL")</f>
        <v>ON X.INSTRMNT_ID=Y.INSTRMNT_ID_SIMUL</v>
      </c>
      <c r="L146" s="35" t="str">
        <f>+IF(C146="Coerência", +IF(LEFT(G146,5)="FLOAT","SELECT '"&amp;UPPER(B146)&amp;"' AS TABELA, '"&amp;UPPER(C146)&amp;"' AS TIPOLOGIA_TESTE,'"&amp;D146&amp;"' AS TABELA_LT,'"&amp;E146&amp;"' AS TABELA_SIMUL,'"&amp;F146&amp;"' AS CAMPO, "&amp;"'${ref_date}' AS REF_DATE, COUNT(*) AS NUM_REG, SUM(IF((ABS(COALESCE(CAST(X."&amp;F146&amp;" AS DECIMAL(18,6)),0)-COALESCE(CAST(Y."&amp;F146&amp;"_SIMUL AS DECIMAL(18,6)),0))&gt;0.000001) OR (X."&amp;F146&amp;" IS NULL AND Y."&amp;F146&amp;"_SIMUL IS NOT NULL ) OR (X."&amp;F146&amp;" IS NOT NULL AND Y."&amp;F146&amp;"_SIMUL IS NULL),1,0)) AS NUM_REG_DIF,'"&amp;MAX('ID1&amp;5'!K:K)+1&amp;"' AS ID_EXEC, CURRENT_TIMESTAMP() AS TIME_EXEC FROM "&amp;I146&amp;" INNER JOIN "&amp;J146&amp;" "&amp;K146,"SELECT '"&amp;UPPER(B146)&amp;"' AS TABELA, '"&amp;UPPER(C146)&amp;"' AS TIPOLOGIA_TESTE,'"&amp;D146&amp;"' AS TABELA_LT,'"&amp;E146&amp;"' AS TABELA_SIMUL,'"&amp;F146&amp;"' AS CAMPO, "&amp;"'${ref_date}' AS REF_DATE, COUNT(*) AS NUM_REG, SUM(IF(COALESCE(CAST(X."&amp;F146&amp;" AS STRING),'')&lt;&gt;COALESCE(CAST(Y."&amp;F146&amp;"_SIMUL AS STRING),'') OR (X."&amp;F146&amp;" IS NULL AND Y."&amp;F146&amp;"_SIMUL IS NOT NULL ) OR (X."&amp;F146&amp;" IS NOT NULL AND Y."&amp;F146&amp;"_SIMUL IS NULL),1,0)) AS NUM_REG_DIF,'"&amp;MAX('ID1&amp;5'!L:L)+1&amp;"' AS ID_EXEC, CURRENT_TIMESTAMP() AS TIME_EXEC FROM "&amp;I146&amp;" INNER JOIN "&amp;J146&amp;" "&amp;K146),
IF(C146="Validade",+IF(G146="Code List","SELECT '"&amp;UPPER(B146)&amp;"' AS TABELA, '"&amp;UPPER(C146)&amp;"' AS TIPOLOGIA_TESTE,'"&amp;D146&amp;"' AS TABELA_LT,'N/A' AS TABELA_SIMUL,'"&amp;F146&amp;"' AS CAMPO, "&amp;"'${ref_date}' AS REF_DATE, COUNT(*) AS NUM_REG, SUM(IF(TRIM(CAST(X."&amp;F146&amp;" AS STRING))='' OR TRIM(CAST(X."&amp;F146&amp;" AS STRING)) IS NULL OR CAST(X."&amp;F146&amp;" AS STRING) NOT "&amp;H146&amp;",1,0)) AS NUM_REG_DIF,'"&amp;MAX('ID1&amp;5'!K:K)+1&amp;"' AS ID_EXEC, CURRENT_TIMESTAMP() AS TIME_EXEC FROM "&amp;I146,"SELECT '"&amp;UPPER(B146)&amp;"' AS TABELA, '"&amp;UPPER(C146)&amp;"' AS TIPOLOGIA_TESTE,'"&amp;D146&amp;"' AS TABELA_LT,'N/A' AS TABELA_SIMUL,'"&amp;F146&amp;"' AS CAMPO, "&amp;"'${ref_date}' AS REF_DATE, COUNT(*) AS NUM_REG, SUM(IF(TRIM(CAST(X."&amp;F146&amp;" AS STRING))='' OR TRIM(CAST(X."&amp;F146&amp;" AS STRING)) IS NULL,1,0)) AS NUM_REG_DIF,'"&amp;MAX('ID1&amp;5'!K:K)+1&amp;"' AS ID_EXEC, CURRENT_TIMESTAMP() AS TIME_EXEC FROM "&amp;I146),
IF(C146="Caracteres Especiais",+"SELECT '"&amp;UPPER(B146)&amp;"' AS TABELA, '"&amp;UPPER(C146)&amp;"' AS TIPOLOGIA_TESTE,'"&amp;D146&amp;"' AS TABELA_LT,'N/A' AS TABELA_SIMUL,'"&amp;F146&amp;"' AS CAMPO, "&amp;"'${ref_date}' AS REF_DATE, COUNT(*) AS NUM_REG, SUM(IF(REGEXP_REPLACE(TRIM(CAST(X."&amp;F146&amp;" AS STRING)),'[^a-zA-Z0-9_\\s]','') &lt;&gt;TRIM(CAST(X."&amp;F146&amp;" AS STRING)),1,0)) AS NUM_REG_DIF,'"&amp;MAX('ID1&amp;5'!K:K)+1&amp;"' AS ID_EXEC, CURRENT_TIMESTAMP() AS TIME_EXEC FROM "&amp;I146,
IF(C146="Missings",+"SELECT '"&amp;UPPER(B146)&amp;"' AS TABELA, '"&amp;UPPER(C146)&amp;"' AS TIPOLOGIA_TESTE,'"&amp;D146&amp;"' AS TABELA_LT,'N/A' AS TABELA_SIMUL,'"&amp;F146&amp;"' AS CAMPO, "&amp;"'${ref_date}' AS REF_DATE, COUNT(*) AS NUM_REG, SUM(IF(TRIM(CAST(X."&amp;F146&amp;" AS STRING)) IN ('0000-00-00','0001-01-01','9999-12-31','MISS','00000','99999999999','99999999999.00','99999999999.000000'),1,0)) AS NUM_REG_DIF,'"&amp;MAX('ID1&amp;5'!K:K)+1&amp;"' AS ID_EXEC, CURRENT_TIMESTAMP() AS TIME_EXEC FROM "&amp;I146,
IF(C146="Not applicable",+"SELECT '"&amp;UPPER(B146)&amp;"' AS TABELA, '"&amp;UPPER(C146)&amp;"' AS TIPOLOGIA_TESTE,'"&amp;D146&amp;"' AS TABELA_LT,'N/A' AS TABELA_SIMUL,'"&amp;F146&amp;"' AS CAMPO, "&amp;"'${ref_date}' AS REF_DATE, COUNT(*) AS NUM_REG, SUM(IF(TRIM(CAST(X."&amp;F146&amp;" AS STRING)) IN ('N/A','11111111111','11111111111.00','11111111111.000000','1111-11-11'),1,0)) AS NUM_REG_DIF,'"&amp;MAX('ID1&amp;5'!K:K)+1&amp;"' AS ID_EXEC, CURRENT_TIMESTAMP() AS TIME_EXEC FROM "&amp;I146,
IF(C146="Valores extremos",+"SELECT '"&amp;UPPER(B146)&amp;"' AS TABELA, '"&amp;UPPER(C146)&amp;"' AS TIPOLOGIA_TESTE,'"&amp;D146&amp;"' AS TABELA_LT,'N/A' AS TABELA_SIMUL,'"&amp;F146&amp;"' AS CAMPO, "&amp;"'${ref_date}' AS REF_DATE, CAST(MIN("&amp;F146&amp;") AS STRING) AS VALOR_MIN, CAST(MAX("&amp;F146&amp;") AS STRING) AS VALOR_MAX,'"&amp;MAX('ID1&amp;5'!K:K)+1&amp;"' AS ID_EXEC, CURRENT_TIMESTAMP() AS TIME_EXEC FROM "&amp;MID(I146,1,LEN(I146)-2)&amp;" AND CAST("&amp;F146&amp;"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TABELA_SIMUL,'FRBRNC_STTS_INSTRMNT' AS CAMPO, '${ref_date}' AS REF_DATE, COUNT(*) AS NUM_REG, SUM(IF(COALESCE(CAST(X.FRBRNC_STTS_INSTRMNT AS STRING),'')&lt;&gt;COALESCE(CAST(Y.FRBRNC_STTS_INSTRMNT_SIMUL AS STRING),'') OR (X.FRBRNC_STTS_INSTRMNT IS NULL AND Y.FRBRNC_STTS_INSTRMNT_SIMUL IS NOT NULL ) OR (X.FRBRNC_STTS_INSTRMNT IS NOT NULL AND Y.FRBRNC_STTS_INSTRMNT_SIMUL IS NULL),1,0)) AS NUM_REG_DIF,'1' AS ID_EXEC, CURRENT_TIMESTAMP() AS TIME_EXEC FROM (SELECT instrmnt_id, FRBRNC_STTS_INSTRMNT FROM CD_LOAN_TAPES_BCE.LT002_INSTRUMENT WHERE ref_date='${ref_date}' AND nome_perimetro='Individual Corporativo' AND segmento='ESTR' AND ambito='PM' AND entidade='00100')X INNER JOIN (SELECT instrmnt_id AS instrmnt_id_SIMUL, FRBRNC_STTS_INSTRMNT AS FRBRNC_STTS_INSTRMNT_SIMUL FROM BU_LOANTAPE_WORK.LT002_INSTRUMENT WHERE ref_date='${ref_date}' AND nome_perimetro='Individual Corporativo' AND segmento='ESTR' AND ambito='PM' AND entidade='00100')Y ON X.INSTRMNT_ID=Y.INSTRMNT_ID_SIMUL</v>
      </c>
      <c r="M146" s="36" t="str">
        <f t="shared" si="2"/>
        <v>UNION ALL SELECT 'INSTRUMENT' AS TABELA, 'COERÊNCIA' AS TIPOLOGIA_TESTE,'CD_LOAN_TAPES_BCE.LT002_INSTRUMENT' AS TABELA_LT,'BU_LOANTAPE_WORK.LT002_INSTRUMENT' AS TABELA_SIMUL,'FRBRNC_STTS_INSTRMNT' AS CAMPO, '${ref_date}' AS REF_DATE, COUNT(*) AS NUM_REG, SUM(IF(COALESCE(CAST(X.FRBRNC_STTS_INSTRMNT AS STRING),'')&lt;&gt;COALESCE(CAST(Y.FRBRNC_STTS_INSTRMNT_SIMUL AS STRING),'') OR (X.FRBRNC_STTS_INSTRMNT IS NULL AND Y.FRBRNC_STTS_INSTRMNT_SIMUL IS NOT NULL ) OR (X.FRBRNC_STTS_INSTRMNT IS NOT NULL AND Y.FRBRNC_STTS_INSTRMNT_SIMUL IS NULL),1,0)) AS NUM_REG_DIF,'1' AS ID_EXEC, CURRENT_TIMESTAMP() AS TIME_EXEC FROM (SELECT instrmnt_id, FRBRNC_STTS_INSTRMNT FROM CD_LOAN_TAPES_BCE.LT002_INSTRUMENT WHERE ref_date='${ref_date}' AND nome_perimetro='Individual Corporativo' AND segmento='ESTR' AND ambito='PM' AND entidade='00100')X INNER JOIN (SELECT instrmnt_id AS instrmnt_id_SIMUL, FRBRNC_STTS_INSTRMNT AS FRBRNC_STTS_INSTRMNT_SIMUL FROM BU_LOANTAPE_WORK.LT002_INSTRUMENT WHERE ref_date='${ref_date}' AND nome_perimetro='Individual Corporativo' AND segmento='ESTR' AND ambito='PM' AND entidade='00100')Y ON X.INSTRMNT_ID=Y.INSTRMNT_ID_SIMUL</v>
      </c>
      <c r="N146" s="38" t="s">
        <v>46</v>
      </c>
    </row>
    <row r="147" spans="2:14" hidden="1">
      <c r="B147" s="34" t="s">
        <v>126</v>
      </c>
      <c r="C147" s="34" t="s">
        <v>5</v>
      </c>
      <c r="D147" s="34" t="str">
        <f>+UPPER('0. Instruções'!$D$35&amp;"."&amp;VLOOKUP(B147,'0. Instruções'!$C$27:$D$32,2,FALSE))</f>
        <v>CD_LOAN_TAPES_BCE.LT002_INSTRUMENT</v>
      </c>
      <c r="E147" s="34" t="str">
        <f>+UPPER('0. Instruções'!$D$36&amp;"."&amp;VLOOKUP(B147,'0. Instruções'!$C$27:$E$32,3,FALSE))</f>
        <v>BU_LOANTAPE_WORK.LT002_INSTRUMENT</v>
      </c>
      <c r="F147" s="34" t="s">
        <v>96</v>
      </c>
      <c r="G147" s="34"/>
      <c r="H147" s="34" t="s">
        <v>89</v>
      </c>
      <c r="I147" s="34" t="str">
        <f>"(SELECT "&amp;VLOOKUP(B147,'0. Instruções'!$C$27:$G$32,4,FALSE)&amp;", "&amp;F147&amp;" FROM "&amp;D147&amp;" WHERE "&amp;'0. Instruções'!$D$42&amp;")X"</f>
        <v>(SELECT instrmnt_id, IMPRMNT_STTS FROM CD_LOAN_TAPES_BCE.LT002_INSTRUMENT WHERE ref_date='${ref_date}' AND nome_perimetro='Individual Corporativo' AND segmento='ESTR' AND ambito='PM' AND entidade='00100')X</v>
      </c>
      <c r="J147" s="34" t="str">
        <f>"(SELECT "&amp;VLOOKUP(B147,'0. Instruções'!$C$27:$G$32,4,FALSE)&amp;" AS "&amp;VLOOKUP(B147,'0. Instruções'!$C$27:$G$32,4,FALSE)&amp;"_SIMUL, "&amp;F147&amp;" AS "&amp;F147&amp;"_SIMUL FROM "&amp;E147&amp;" WHERE "&amp;'0. Instruções'!$D$43&amp;")Y"</f>
        <v>(SELECT instrmnt_id AS instrmnt_id_SIMUL, IMPRMNT_STTS AS IMPRMNT_STTS_SIMUL FROM BU_LOANTAPE_WORK.LT002_INSTRUMENT WHERE ref_date='${ref_date}' AND nome_perimetro='Individual Corporativo' AND segmento='ESTR' AND ambito='PM' AND entidade='00100')Y</v>
      </c>
      <c r="K147" s="35" t="str">
        <f>+UPPER("ON X."&amp;VLOOKUP(B147,'0. Instruções'!$C$27:$G$32,4,FALSE)&amp;"=Y."&amp;VLOOKUP(B147,'0. Instruções'!$C$27:$G$32,4,FALSE)&amp;"_SIMUL")</f>
        <v>ON X.INSTRMNT_ID=Y.INSTRMNT_ID_SIMUL</v>
      </c>
      <c r="L147" s="35" t="str">
        <f>+IF(C147="Coerência", +IF(LEFT(G147,5)="FLOAT","SELECT '"&amp;UPPER(B147)&amp;"' AS TABELA, '"&amp;UPPER(C147)&amp;"' AS TIPOLOGIA_TESTE,'"&amp;D147&amp;"' AS TABELA_LT,'"&amp;E147&amp;"' AS TABELA_SIMUL,'"&amp;F147&amp;"' AS CAMPO, "&amp;"'${ref_date}' AS REF_DATE, COUNT(*) AS NUM_REG, SUM(IF((ABS(COALESCE(CAST(X."&amp;F147&amp;" AS DECIMAL(18,6)),0)-COALESCE(CAST(Y."&amp;F147&amp;"_SIMUL AS DECIMAL(18,6)),0))&gt;0.000001) OR (X."&amp;F147&amp;" IS NULL AND Y."&amp;F147&amp;"_SIMUL IS NOT NULL ) OR (X."&amp;F147&amp;" IS NOT NULL AND Y."&amp;F147&amp;"_SIMUL IS NULL),1,0)) AS NUM_REG_DIF,'"&amp;MAX('ID1&amp;5'!K:K)+1&amp;"' AS ID_EXEC, CURRENT_TIMESTAMP() AS TIME_EXEC FROM "&amp;I147&amp;" INNER JOIN "&amp;J147&amp;" "&amp;K147,"SELECT '"&amp;UPPER(B147)&amp;"' AS TABELA, '"&amp;UPPER(C147)&amp;"' AS TIPOLOGIA_TESTE,'"&amp;D147&amp;"' AS TABELA_LT,'"&amp;E147&amp;"' AS TABELA_SIMUL,'"&amp;F147&amp;"' AS CAMPO, "&amp;"'${ref_date}' AS REF_DATE, COUNT(*) AS NUM_REG, SUM(IF(COALESCE(CAST(X."&amp;F147&amp;" AS STRING),'')&lt;&gt;COALESCE(CAST(Y."&amp;F147&amp;"_SIMUL AS STRING),'') OR (X."&amp;F147&amp;" IS NULL AND Y."&amp;F147&amp;"_SIMUL IS NOT NULL ) OR (X."&amp;F147&amp;" IS NOT NULL AND Y."&amp;F147&amp;"_SIMUL IS NULL),1,0)) AS NUM_REG_DIF,'"&amp;MAX('ID1&amp;5'!L:L)+1&amp;"' AS ID_EXEC, CURRENT_TIMESTAMP() AS TIME_EXEC FROM "&amp;I147&amp;" INNER JOIN "&amp;J147&amp;" "&amp;K147),
IF(C147="Validade",+IF(G147="Code List","SELECT '"&amp;UPPER(B147)&amp;"' AS TABELA, '"&amp;UPPER(C147)&amp;"' AS TIPOLOGIA_TESTE,'"&amp;D147&amp;"' AS TABELA_LT,'N/A' AS TABELA_SIMUL,'"&amp;F147&amp;"' AS CAMPO, "&amp;"'${ref_date}' AS REF_DATE, COUNT(*) AS NUM_REG, SUM(IF(TRIM(CAST(X."&amp;F147&amp;" AS STRING))='' OR TRIM(CAST(X."&amp;F147&amp;" AS STRING)) IS NULL OR CAST(X."&amp;F147&amp;" AS STRING) NOT "&amp;H147&amp;",1,0)) AS NUM_REG_DIF,'"&amp;MAX('ID1&amp;5'!K:K)+1&amp;"' AS ID_EXEC, CURRENT_TIMESTAMP() AS TIME_EXEC FROM "&amp;I147,"SELECT '"&amp;UPPER(B147)&amp;"' AS TABELA, '"&amp;UPPER(C147)&amp;"' AS TIPOLOGIA_TESTE,'"&amp;D147&amp;"' AS TABELA_LT,'N/A' AS TABELA_SIMUL,'"&amp;F147&amp;"' AS CAMPO, "&amp;"'${ref_date}' AS REF_DATE, COUNT(*) AS NUM_REG, SUM(IF(TRIM(CAST(X."&amp;F147&amp;" AS STRING))='' OR TRIM(CAST(X."&amp;F147&amp;" AS STRING)) IS NULL,1,0)) AS NUM_REG_DIF,'"&amp;MAX('ID1&amp;5'!K:K)+1&amp;"' AS ID_EXEC, CURRENT_TIMESTAMP() AS TIME_EXEC FROM "&amp;I147),
IF(C147="Caracteres Especiais",+"SELECT '"&amp;UPPER(B147)&amp;"' AS TABELA, '"&amp;UPPER(C147)&amp;"' AS TIPOLOGIA_TESTE,'"&amp;D147&amp;"' AS TABELA_LT,'N/A' AS TABELA_SIMUL,'"&amp;F147&amp;"' AS CAMPO, "&amp;"'${ref_date}' AS REF_DATE, COUNT(*) AS NUM_REG, SUM(IF(REGEXP_REPLACE(TRIM(CAST(X."&amp;F147&amp;" AS STRING)),'[^a-zA-Z0-9_\\s]','') &lt;&gt;TRIM(CAST(X."&amp;F147&amp;" AS STRING)),1,0)) AS NUM_REG_DIF,'"&amp;MAX('ID1&amp;5'!K:K)+1&amp;"' AS ID_EXEC, CURRENT_TIMESTAMP() AS TIME_EXEC FROM "&amp;I147,
IF(C147="Missings",+"SELECT '"&amp;UPPER(B147)&amp;"' AS TABELA, '"&amp;UPPER(C147)&amp;"' AS TIPOLOGIA_TESTE,'"&amp;D147&amp;"' AS TABELA_LT,'N/A' AS TABELA_SIMUL,'"&amp;F147&amp;"' AS CAMPO, "&amp;"'${ref_date}' AS REF_DATE, COUNT(*) AS NUM_REG, SUM(IF(TRIM(CAST(X."&amp;F147&amp;" AS STRING)) IN ('0000-00-00','0001-01-01','9999-12-31','MISS','00000','99999999999','99999999999.00','99999999999.000000'),1,0)) AS NUM_REG_DIF,'"&amp;MAX('ID1&amp;5'!K:K)+1&amp;"' AS ID_EXEC, CURRENT_TIMESTAMP() AS TIME_EXEC FROM "&amp;I147,
IF(C147="Not applicable",+"SELECT '"&amp;UPPER(B147)&amp;"' AS TABELA, '"&amp;UPPER(C147)&amp;"' AS TIPOLOGIA_TESTE,'"&amp;D147&amp;"' AS TABELA_LT,'N/A' AS TABELA_SIMUL,'"&amp;F147&amp;"' AS CAMPO, "&amp;"'${ref_date}' AS REF_DATE, COUNT(*) AS NUM_REG, SUM(IF(TRIM(CAST(X."&amp;F147&amp;" AS STRING)) IN ('N/A','11111111111','11111111111.00','11111111111.000000','1111-11-11'),1,0)) AS NUM_REG_DIF,'"&amp;MAX('ID1&amp;5'!K:K)+1&amp;"' AS ID_EXEC, CURRENT_TIMESTAMP() AS TIME_EXEC FROM "&amp;I147,
IF(C147="Valores extremos",+"SELECT '"&amp;UPPER(B147)&amp;"' AS TABELA, '"&amp;UPPER(C147)&amp;"' AS TIPOLOGIA_TESTE,'"&amp;D147&amp;"' AS TABELA_LT,'N/A' AS TABELA_SIMUL,'"&amp;F147&amp;"' AS CAMPO, "&amp;"'${ref_date}' AS REF_DATE, CAST(MIN("&amp;F147&amp;") AS STRING) AS VALOR_MIN, CAST(MAX("&amp;F147&amp;") AS STRING) AS VALOR_MAX,'"&amp;MAX('ID1&amp;5'!K:K)+1&amp;"' AS ID_EXEC, CURRENT_TIMESTAMP() AS TIME_EXEC FROM "&amp;MID(I147,1,LEN(I147)-2)&amp;" AND CAST("&amp;F147&amp;"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TABELA_SIMUL,'IMPRMNT_STTS' AS CAMPO, '${ref_date}' AS REF_DATE, COUNT(*) AS NUM_REG, SUM(IF(COALESCE(CAST(X.IMPRMNT_STTS AS STRING),'')&lt;&gt;COALESCE(CAST(Y.IMPRMNT_STTS_SIMUL AS STRING),'') OR (X.IMPRMNT_STTS IS NULL AND Y.IMPRMNT_STTS_SIMUL IS NOT NULL ) OR (X.IMPRMNT_STTS IS NOT NULL AND Y.IMPRMNT_STTS_SIMUL IS NULL),1,0)) AS NUM_REG_DIF,'1' AS ID_EXEC, CURRENT_TIMESTAMP() AS TIME_EXEC FROM (SELECT instrmnt_id, IMPRMNT_STTS FROM CD_LOAN_TAPES_BCE.LT002_INSTRUMENT WHERE ref_date='${ref_date}' AND nome_perimetro='Individual Corporativo' AND segmento='ESTR' AND ambito='PM' AND entidade='00100')X INNER JOIN (SELECT instrmnt_id AS instrmnt_id_SIMUL, IMPRMNT_STTS AS IMPRMNT_STTS_SIMUL FROM BU_LOANTAPE_WORK.LT002_INSTRUMENT WHERE ref_date='${ref_date}' AND nome_perimetro='Individual Corporativo' AND segmento='ESTR' AND ambito='PM' AND entidade='00100')Y ON X.INSTRMNT_ID=Y.INSTRMNT_ID_SIMUL</v>
      </c>
      <c r="M147" s="36" t="str">
        <f t="shared" si="2"/>
        <v>UNION ALL SELECT 'INSTRUMENT' AS TABELA, 'COERÊNCIA' AS TIPOLOGIA_TESTE,'CD_LOAN_TAPES_BCE.LT002_INSTRUMENT' AS TABELA_LT,'BU_LOANTAPE_WORK.LT002_INSTRUMENT' AS TABELA_SIMUL,'IMPRMNT_STTS' AS CAMPO, '${ref_date}' AS REF_DATE, COUNT(*) AS NUM_REG, SUM(IF(COALESCE(CAST(X.IMPRMNT_STTS AS STRING),'')&lt;&gt;COALESCE(CAST(Y.IMPRMNT_STTS_SIMUL AS STRING),'') OR (X.IMPRMNT_STTS IS NULL AND Y.IMPRMNT_STTS_SIMUL IS NOT NULL ) OR (X.IMPRMNT_STTS IS NOT NULL AND Y.IMPRMNT_STTS_SIMUL IS NULL),1,0)) AS NUM_REG_DIF,'1' AS ID_EXEC, CURRENT_TIMESTAMP() AS TIME_EXEC FROM (SELECT instrmnt_id, IMPRMNT_STTS FROM CD_LOAN_TAPES_BCE.LT002_INSTRUMENT WHERE ref_date='${ref_date}' AND nome_perimetro='Individual Corporativo' AND segmento='ESTR' AND ambito='PM' AND entidade='00100')X INNER JOIN (SELECT instrmnt_id AS instrmnt_id_SIMUL, IMPRMNT_STTS AS IMPRMNT_STTS_SIMUL FROM BU_LOANTAPE_WORK.LT002_INSTRUMENT WHERE ref_date='${ref_date}' AND nome_perimetro='Individual Corporativo' AND segmento='ESTR' AND ambito='PM' AND entidade='00100')Y ON X.INSTRMNT_ID=Y.INSTRMNT_ID_SIMUL</v>
      </c>
      <c r="N147" s="38" t="s">
        <v>46</v>
      </c>
    </row>
    <row r="148" spans="2:14" hidden="1">
      <c r="B148" s="34" t="s">
        <v>126</v>
      </c>
      <c r="C148" s="34" t="s">
        <v>5</v>
      </c>
      <c r="D148" s="34" t="str">
        <f>+UPPER('0. Instruções'!$D$35&amp;"."&amp;VLOOKUP(B148,'0. Instruções'!$C$27:$D$32,2,FALSE))</f>
        <v>CD_LOAN_TAPES_BCE.LT002_INSTRUMENT</v>
      </c>
      <c r="E148" s="34" t="str">
        <f>+UPPER('0. Instruções'!$D$36&amp;"."&amp;VLOOKUP(B148,'0. Instruções'!$C$27:$E$32,3,FALSE))</f>
        <v>BU_LOANTAPE_WORK.LT002_INSTRUMENT</v>
      </c>
      <c r="F148" s="34" t="s">
        <v>447</v>
      </c>
      <c r="G148" s="34"/>
      <c r="H148" s="34" t="s">
        <v>89</v>
      </c>
      <c r="I148" s="34" t="str">
        <f>"(SELECT "&amp;VLOOKUP(B148,'0. Instruções'!$C$27:$G$32,4,FALSE)&amp;", "&amp;F148&amp;" FROM "&amp;D148&amp;" WHERE "&amp;'0. Instruções'!$D$42&amp;")X"</f>
        <v>(SELECT instrmnt_id, IMPRMNT_STTS_PRVS FROM CD_LOAN_TAPES_BCE.LT002_INSTRUMENT WHERE ref_date='${ref_date}' AND nome_perimetro='Individual Corporativo' AND segmento='ESTR' AND ambito='PM' AND entidade='00100')X</v>
      </c>
      <c r="J148" s="34" t="str">
        <f>"(SELECT "&amp;VLOOKUP(B148,'0. Instruções'!$C$27:$G$32,4,FALSE)&amp;" AS "&amp;VLOOKUP(B148,'0. Instruções'!$C$27:$G$32,4,FALSE)&amp;"_SIMUL, "&amp;F148&amp;" AS "&amp;F148&amp;"_SIMUL FROM "&amp;E148&amp;" WHERE "&amp;'0. Instruções'!$D$43&amp;")Y"</f>
        <v>(SELECT instrmnt_id AS instrmnt_id_SIMUL, IMPRMNT_STTS_PRVS AS IMPRMNT_STTS_PRVS_SIMUL FROM BU_LOANTAPE_WORK.LT002_INSTRUMENT WHERE ref_date='${ref_date}' AND nome_perimetro='Individual Corporativo' AND segmento='ESTR' AND ambito='PM' AND entidade='00100')Y</v>
      </c>
      <c r="K148" s="35" t="str">
        <f>+UPPER("ON X."&amp;VLOOKUP(B148,'0. Instruções'!$C$27:$G$32,4,FALSE)&amp;"=Y."&amp;VLOOKUP(B148,'0. Instruções'!$C$27:$G$32,4,FALSE)&amp;"_SIMUL")</f>
        <v>ON X.INSTRMNT_ID=Y.INSTRMNT_ID_SIMUL</v>
      </c>
      <c r="L148" s="35" t="str">
        <f>+IF(C148="Coerência", +IF(LEFT(G148,5)="FLOAT","SELECT '"&amp;UPPER(B148)&amp;"' AS TABELA, '"&amp;UPPER(C148)&amp;"' AS TIPOLOGIA_TESTE,'"&amp;D148&amp;"' AS TABELA_LT,'"&amp;E148&amp;"' AS TABELA_SIMUL,'"&amp;F148&amp;"' AS CAMPO, "&amp;"'${ref_date}' AS REF_DATE, COUNT(*) AS NUM_REG, SUM(IF((ABS(COALESCE(CAST(X."&amp;F148&amp;" AS DECIMAL(18,6)),0)-COALESCE(CAST(Y."&amp;F148&amp;"_SIMUL AS DECIMAL(18,6)),0))&gt;0.000001) OR (X."&amp;F148&amp;" IS NULL AND Y."&amp;F148&amp;"_SIMUL IS NOT NULL ) OR (X."&amp;F148&amp;" IS NOT NULL AND Y."&amp;F148&amp;"_SIMUL IS NULL),1,0)) AS NUM_REG_DIF,'"&amp;MAX('ID1&amp;5'!K:K)+1&amp;"' AS ID_EXEC, CURRENT_TIMESTAMP() AS TIME_EXEC FROM "&amp;I148&amp;" INNER JOIN "&amp;J148&amp;" "&amp;K148,"SELECT '"&amp;UPPER(B148)&amp;"' AS TABELA, '"&amp;UPPER(C148)&amp;"' AS TIPOLOGIA_TESTE,'"&amp;D148&amp;"' AS TABELA_LT,'"&amp;E148&amp;"' AS TABELA_SIMUL,'"&amp;F148&amp;"' AS CAMPO, "&amp;"'${ref_date}' AS REF_DATE, COUNT(*) AS NUM_REG, SUM(IF(COALESCE(CAST(X."&amp;F148&amp;" AS STRING),'')&lt;&gt;COALESCE(CAST(Y."&amp;F148&amp;"_SIMUL AS STRING),'') OR (X."&amp;F148&amp;" IS NULL AND Y."&amp;F148&amp;"_SIMUL IS NOT NULL ) OR (X."&amp;F148&amp;" IS NOT NULL AND Y."&amp;F148&amp;"_SIMUL IS NULL),1,0)) AS NUM_REG_DIF,'"&amp;MAX('ID1&amp;5'!L:L)+1&amp;"' AS ID_EXEC, CURRENT_TIMESTAMP() AS TIME_EXEC FROM "&amp;I148&amp;" INNER JOIN "&amp;J148&amp;" "&amp;K148),
IF(C148="Validade",+IF(G148="Code List","SELECT '"&amp;UPPER(B148)&amp;"' AS TABELA, '"&amp;UPPER(C148)&amp;"' AS TIPOLOGIA_TESTE,'"&amp;D148&amp;"' AS TABELA_LT,'N/A' AS TABELA_SIMUL,'"&amp;F148&amp;"' AS CAMPO, "&amp;"'${ref_date}' AS REF_DATE, COUNT(*) AS NUM_REG, SUM(IF(TRIM(CAST(X."&amp;F148&amp;" AS STRING))='' OR TRIM(CAST(X."&amp;F148&amp;" AS STRING)) IS NULL OR CAST(X."&amp;F148&amp;" AS STRING) NOT "&amp;H148&amp;",1,0)) AS NUM_REG_DIF,'"&amp;MAX('ID1&amp;5'!K:K)+1&amp;"' AS ID_EXEC, CURRENT_TIMESTAMP() AS TIME_EXEC FROM "&amp;I148,"SELECT '"&amp;UPPER(B148)&amp;"' AS TABELA, '"&amp;UPPER(C148)&amp;"' AS TIPOLOGIA_TESTE,'"&amp;D148&amp;"' AS TABELA_LT,'N/A' AS TABELA_SIMUL,'"&amp;F148&amp;"' AS CAMPO, "&amp;"'${ref_date}' AS REF_DATE, COUNT(*) AS NUM_REG, SUM(IF(TRIM(CAST(X."&amp;F148&amp;" AS STRING))='' OR TRIM(CAST(X."&amp;F148&amp;" AS STRING)) IS NULL,1,0)) AS NUM_REG_DIF,'"&amp;MAX('ID1&amp;5'!K:K)+1&amp;"' AS ID_EXEC, CURRENT_TIMESTAMP() AS TIME_EXEC FROM "&amp;I148),
IF(C148="Caracteres Especiais",+"SELECT '"&amp;UPPER(B148)&amp;"' AS TABELA, '"&amp;UPPER(C148)&amp;"' AS TIPOLOGIA_TESTE,'"&amp;D148&amp;"' AS TABELA_LT,'N/A' AS TABELA_SIMUL,'"&amp;F148&amp;"' AS CAMPO, "&amp;"'${ref_date}' AS REF_DATE, COUNT(*) AS NUM_REG, SUM(IF(REGEXP_REPLACE(TRIM(CAST(X."&amp;F148&amp;" AS STRING)),'[^a-zA-Z0-9_\\s]','') &lt;&gt;TRIM(CAST(X."&amp;F148&amp;" AS STRING)),1,0)) AS NUM_REG_DIF,'"&amp;MAX('ID1&amp;5'!K:K)+1&amp;"' AS ID_EXEC, CURRENT_TIMESTAMP() AS TIME_EXEC FROM "&amp;I148,
IF(C148="Missings",+"SELECT '"&amp;UPPER(B148)&amp;"' AS TABELA, '"&amp;UPPER(C148)&amp;"' AS TIPOLOGIA_TESTE,'"&amp;D148&amp;"' AS TABELA_LT,'N/A' AS TABELA_SIMUL,'"&amp;F148&amp;"' AS CAMPO, "&amp;"'${ref_date}' AS REF_DATE, COUNT(*) AS NUM_REG, SUM(IF(TRIM(CAST(X."&amp;F148&amp;" AS STRING)) IN ('0000-00-00','0001-01-01','9999-12-31','MISS','00000','99999999999','99999999999.00','99999999999.000000'),1,0)) AS NUM_REG_DIF,'"&amp;MAX('ID1&amp;5'!K:K)+1&amp;"' AS ID_EXEC, CURRENT_TIMESTAMP() AS TIME_EXEC FROM "&amp;I148,
IF(C148="Not applicable",+"SELECT '"&amp;UPPER(B148)&amp;"' AS TABELA, '"&amp;UPPER(C148)&amp;"' AS TIPOLOGIA_TESTE,'"&amp;D148&amp;"' AS TABELA_LT,'N/A' AS TABELA_SIMUL,'"&amp;F148&amp;"' AS CAMPO, "&amp;"'${ref_date}' AS REF_DATE, COUNT(*) AS NUM_REG, SUM(IF(TRIM(CAST(X."&amp;F148&amp;" AS STRING)) IN ('N/A','11111111111','11111111111.00','11111111111.000000','1111-11-11'),1,0)) AS NUM_REG_DIF,'"&amp;MAX('ID1&amp;5'!K:K)+1&amp;"' AS ID_EXEC, CURRENT_TIMESTAMP() AS TIME_EXEC FROM "&amp;I148,
IF(C148="Valores extremos",+"SELECT '"&amp;UPPER(B148)&amp;"' AS TABELA, '"&amp;UPPER(C148)&amp;"' AS TIPOLOGIA_TESTE,'"&amp;D148&amp;"' AS TABELA_LT,'N/A' AS TABELA_SIMUL,'"&amp;F148&amp;"' AS CAMPO, "&amp;"'${ref_date}' AS REF_DATE, CAST(MIN("&amp;F148&amp;") AS STRING) AS VALOR_MIN, CAST(MAX("&amp;F148&amp;") AS STRING) AS VALOR_MAX,'"&amp;MAX('ID1&amp;5'!K:K)+1&amp;"' AS ID_EXEC, CURRENT_TIMESTAMP() AS TIME_EXEC FROM "&amp;MID(I148,1,LEN(I148)-2)&amp;" AND CAST("&amp;F148&amp;"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TABELA_SIMUL,'IMPRMNT_STTS_PRVS' AS CAMPO, '${ref_date}' AS REF_DATE, COUNT(*) AS NUM_REG, SUM(IF(COALESCE(CAST(X.IMPRMNT_STTS_PRVS AS STRING),'')&lt;&gt;COALESCE(CAST(Y.IMPRMNT_STTS_PRVS_SIMUL AS STRING),'') OR (X.IMPRMNT_STTS_PRVS IS NULL AND Y.IMPRMNT_STTS_PRVS_SIMUL IS NOT NULL ) OR (X.IMPRMNT_STTS_PRVS IS NOT NULL AND Y.IMPRMNT_STTS_PRVS_SIMUL IS NULL),1,0)) AS NUM_REG_DIF,'1' AS ID_EXEC, CURRENT_TIMESTAMP() AS TIME_EXEC FROM (SELECT instrmnt_id, IMPRMNT_STTS_PRVS FROM CD_LOAN_TAPES_BCE.LT002_INSTRUMENT WHERE ref_date='${ref_date}' AND nome_perimetro='Individual Corporativo' AND segmento='ESTR' AND ambito='PM' AND entidade='00100')X INNER JOIN (SELECT instrmnt_id AS instrmnt_id_SIMUL, IMPRMNT_STTS_PRVS AS IMPRMNT_STTS_PRVS_SIMUL FROM BU_LOANTAPE_WORK.LT002_INSTRUMENT WHERE ref_date='${ref_date}' AND nome_perimetro='Individual Corporativo' AND segmento='ESTR' AND ambito='PM' AND entidade='00100')Y ON X.INSTRMNT_ID=Y.INSTRMNT_ID_SIMUL</v>
      </c>
      <c r="M148" s="36" t="str">
        <f t="shared" si="2"/>
        <v>UNION ALL SELECT 'INSTRUMENT' AS TABELA, 'COERÊNCIA' AS TIPOLOGIA_TESTE,'CD_LOAN_TAPES_BCE.LT002_INSTRUMENT' AS TABELA_LT,'BU_LOANTAPE_WORK.LT002_INSTRUMENT' AS TABELA_SIMUL,'IMPRMNT_STTS_PRVS' AS CAMPO, '${ref_date}' AS REF_DATE, COUNT(*) AS NUM_REG, SUM(IF(COALESCE(CAST(X.IMPRMNT_STTS_PRVS AS STRING),'')&lt;&gt;COALESCE(CAST(Y.IMPRMNT_STTS_PRVS_SIMUL AS STRING),'') OR (X.IMPRMNT_STTS_PRVS IS NULL AND Y.IMPRMNT_STTS_PRVS_SIMUL IS NOT NULL ) OR (X.IMPRMNT_STTS_PRVS IS NOT NULL AND Y.IMPRMNT_STTS_PRVS_SIMUL IS NULL),1,0)) AS NUM_REG_DIF,'1' AS ID_EXEC, CURRENT_TIMESTAMP() AS TIME_EXEC FROM (SELECT instrmnt_id, IMPRMNT_STTS_PRVS FROM CD_LOAN_TAPES_BCE.LT002_INSTRUMENT WHERE ref_date='${ref_date}' AND nome_perimetro='Individual Corporativo' AND segmento='ESTR' AND ambito='PM' AND entidade='00100')X INNER JOIN (SELECT instrmnt_id AS instrmnt_id_SIMUL, IMPRMNT_STTS_PRVS AS IMPRMNT_STTS_PRVS_SIMUL FROM BU_LOANTAPE_WORK.LT002_INSTRUMENT WHERE ref_date='${ref_date}' AND nome_perimetro='Individual Corporativo' AND segmento='ESTR' AND ambito='PM' AND entidade='00100')Y ON X.INSTRMNT_ID=Y.INSTRMNT_ID_SIMUL</v>
      </c>
      <c r="N148" s="38" t="s">
        <v>46</v>
      </c>
    </row>
    <row r="149" spans="2:14" hidden="1">
      <c r="B149" s="34" t="s">
        <v>126</v>
      </c>
      <c r="C149" s="34" t="s">
        <v>5</v>
      </c>
      <c r="D149" s="34" t="str">
        <f>+UPPER('0. Instruções'!$D$35&amp;"."&amp;VLOOKUP(B149,'0. Instruções'!$C$27:$D$32,2,FALSE))</f>
        <v>CD_LOAN_TAPES_BCE.LT002_INSTRUMENT</v>
      </c>
      <c r="E149" s="34" t="str">
        <f>+UPPER('0. Instruções'!$D$36&amp;"."&amp;VLOOKUP(B149,'0. Instruções'!$C$27:$E$32,3,FALSE))</f>
        <v>BU_LOANTAPE_WORK.LT002_INSTRUMENT</v>
      </c>
      <c r="F149" s="34" t="s">
        <v>356</v>
      </c>
      <c r="G149" s="34"/>
      <c r="H149" s="34" t="s">
        <v>89</v>
      </c>
      <c r="I149" s="34" t="str">
        <f>"(SELECT "&amp;VLOOKUP(B149,'0. Instruções'!$C$27:$G$32,4,FALSE)&amp;", "&amp;F149&amp;" FROM "&amp;D149&amp;" WHERE "&amp;'0. Instruções'!$D$42&amp;")X"</f>
        <v>(SELECT instrmnt_id, INTRNL_RTNG FROM CD_LOAN_TAPES_BCE.LT002_INSTRUMENT WHERE ref_date='${ref_date}' AND nome_perimetro='Individual Corporativo' AND segmento='ESTR' AND ambito='PM' AND entidade='00100')X</v>
      </c>
      <c r="J149" s="34" t="str">
        <f>"(SELECT "&amp;VLOOKUP(B149,'0. Instruções'!$C$27:$G$32,4,FALSE)&amp;" AS "&amp;VLOOKUP(B149,'0. Instruções'!$C$27:$G$32,4,FALSE)&amp;"_SIMUL, "&amp;F149&amp;" AS "&amp;F149&amp;"_SIMUL FROM "&amp;E149&amp;" WHERE "&amp;'0. Instruções'!$D$43&amp;")Y"</f>
        <v>(SELECT instrmnt_id AS instrmnt_id_SIMUL, INTRNL_RTNG AS INTRNL_RTNG_SIMUL FROM BU_LOANTAPE_WORK.LT002_INSTRUMENT WHERE ref_date='${ref_date}' AND nome_perimetro='Individual Corporativo' AND segmento='ESTR' AND ambito='PM' AND entidade='00100')Y</v>
      </c>
      <c r="K149" s="35" t="str">
        <f>+UPPER("ON X."&amp;VLOOKUP(B149,'0. Instruções'!$C$27:$G$32,4,FALSE)&amp;"=Y."&amp;VLOOKUP(B149,'0. Instruções'!$C$27:$G$32,4,FALSE)&amp;"_SIMUL")</f>
        <v>ON X.INSTRMNT_ID=Y.INSTRMNT_ID_SIMUL</v>
      </c>
      <c r="L149" s="35" t="str">
        <f>+IF(C149="Coerência", +IF(LEFT(G149,5)="FLOAT","SELECT '"&amp;UPPER(B149)&amp;"' AS TABELA, '"&amp;UPPER(C149)&amp;"' AS TIPOLOGIA_TESTE,'"&amp;D149&amp;"' AS TABELA_LT,'"&amp;E149&amp;"' AS TABELA_SIMUL,'"&amp;F149&amp;"' AS CAMPO, "&amp;"'${ref_date}' AS REF_DATE, COUNT(*) AS NUM_REG, SUM(IF((ABS(COALESCE(CAST(X."&amp;F149&amp;" AS DECIMAL(18,6)),0)-COALESCE(CAST(Y."&amp;F149&amp;"_SIMUL AS DECIMAL(18,6)),0))&gt;0.000001) OR (X."&amp;F149&amp;" IS NULL AND Y."&amp;F149&amp;"_SIMUL IS NOT NULL ) OR (X."&amp;F149&amp;" IS NOT NULL AND Y."&amp;F149&amp;"_SIMUL IS NULL),1,0)) AS NUM_REG_DIF,'"&amp;MAX('ID1&amp;5'!K:K)+1&amp;"' AS ID_EXEC, CURRENT_TIMESTAMP() AS TIME_EXEC FROM "&amp;I149&amp;" INNER JOIN "&amp;J149&amp;" "&amp;K149,"SELECT '"&amp;UPPER(B149)&amp;"' AS TABELA, '"&amp;UPPER(C149)&amp;"' AS TIPOLOGIA_TESTE,'"&amp;D149&amp;"' AS TABELA_LT,'"&amp;E149&amp;"' AS TABELA_SIMUL,'"&amp;F149&amp;"' AS CAMPO, "&amp;"'${ref_date}' AS REF_DATE, COUNT(*) AS NUM_REG, SUM(IF(COALESCE(CAST(X."&amp;F149&amp;" AS STRING),'')&lt;&gt;COALESCE(CAST(Y."&amp;F149&amp;"_SIMUL AS STRING),'') OR (X."&amp;F149&amp;" IS NULL AND Y."&amp;F149&amp;"_SIMUL IS NOT NULL ) OR (X."&amp;F149&amp;" IS NOT NULL AND Y."&amp;F149&amp;"_SIMUL IS NULL),1,0)) AS NUM_REG_DIF,'"&amp;MAX('ID1&amp;5'!L:L)+1&amp;"' AS ID_EXEC, CURRENT_TIMESTAMP() AS TIME_EXEC FROM "&amp;I149&amp;" INNER JOIN "&amp;J149&amp;" "&amp;K149),
IF(C149="Validade",+IF(G149="Code List","SELECT '"&amp;UPPER(B149)&amp;"' AS TABELA, '"&amp;UPPER(C149)&amp;"' AS TIPOLOGIA_TESTE,'"&amp;D149&amp;"' AS TABELA_LT,'N/A' AS TABELA_SIMUL,'"&amp;F149&amp;"' AS CAMPO, "&amp;"'${ref_date}' AS REF_DATE, COUNT(*) AS NUM_REG, SUM(IF(TRIM(CAST(X."&amp;F149&amp;" AS STRING))='' OR TRIM(CAST(X."&amp;F149&amp;" AS STRING)) IS NULL OR CAST(X."&amp;F149&amp;" AS STRING) NOT "&amp;H149&amp;",1,0)) AS NUM_REG_DIF,'"&amp;MAX('ID1&amp;5'!K:K)+1&amp;"' AS ID_EXEC, CURRENT_TIMESTAMP() AS TIME_EXEC FROM "&amp;I149,"SELECT '"&amp;UPPER(B149)&amp;"' AS TABELA, '"&amp;UPPER(C149)&amp;"' AS TIPOLOGIA_TESTE,'"&amp;D149&amp;"' AS TABELA_LT,'N/A' AS TABELA_SIMUL,'"&amp;F149&amp;"' AS CAMPO, "&amp;"'${ref_date}' AS REF_DATE, COUNT(*) AS NUM_REG, SUM(IF(TRIM(CAST(X."&amp;F149&amp;" AS STRING))='' OR TRIM(CAST(X."&amp;F149&amp;" AS STRING)) IS NULL,1,0)) AS NUM_REG_DIF,'"&amp;MAX('ID1&amp;5'!K:K)+1&amp;"' AS ID_EXEC, CURRENT_TIMESTAMP() AS TIME_EXEC FROM "&amp;I149),
IF(C149="Caracteres Especiais",+"SELECT '"&amp;UPPER(B149)&amp;"' AS TABELA, '"&amp;UPPER(C149)&amp;"' AS TIPOLOGIA_TESTE,'"&amp;D149&amp;"' AS TABELA_LT,'N/A' AS TABELA_SIMUL,'"&amp;F149&amp;"' AS CAMPO, "&amp;"'${ref_date}' AS REF_DATE, COUNT(*) AS NUM_REG, SUM(IF(REGEXP_REPLACE(TRIM(CAST(X."&amp;F149&amp;" AS STRING)),'[^a-zA-Z0-9_\\s]','') &lt;&gt;TRIM(CAST(X."&amp;F149&amp;" AS STRING)),1,0)) AS NUM_REG_DIF,'"&amp;MAX('ID1&amp;5'!K:K)+1&amp;"' AS ID_EXEC, CURRENT_TIMESTAMP() AS TIME_EXEC FROM "&amp;I149,
IF(C149="Missings",+"SELECT '"&amp;UPPER(B149)&amp;"' AS TABELA, '"&amp;UPPER(C149)&amp;"' AS TIPOLOGIA_TESTE,'"&amp;D149&amp;"' AS TABELA_LT,'N/A' AS TABELA_SIMUL,'"&amp;F149&amp;"' AS CAMPO, "&amp;"'${ref_date}' AS REF_DATE, COUNT(*) AS NUM_REG, SUM(IF(TRIM(CAST(X."&amp;F149&amp;" AS STRING)) IN ('0000-00-00','0001-01-01','9999-12-31','MISS','00000','99999999999','99999999999.00','99999999999.000000'),1,0)) AS NUM_REG_DIF,'"&amp;MAX('ID1&amp;5'!K:K)+1&amp;"' AS ID_EXEC, CURRENT_TIMESTAMP() AS TIME_EXEC FROM "&amp;I149,
IF(C149="Not applicable",+"SELECT '"&amp;UPPER(B149)&amp;"' AS TABELA, '"&amp;UPPER(C149)&amp;"' AS TIPOLOGIA_TESTE,'"&amp;D149&amp;"' AS TABELA_LT,'N/A' AS TABELA_SIMUL,'"&amp;F149&amp;"' AS CAMPO, "&amp;"'${ref_date}' AS REF_DATE, COUNT(*) AS NUM_REG, SUM(IF(TRIM(CAST(X."&amp;F149&amp;" AS STRING)) IN ('N/A','11111111111','11111111111.00','11111111111.000000','1111-11-11'),1,0)) AS NUM_REG_DIF,'"&amp;MAX('ID1&amp;5'!K:K)+1&amp;"' AS ID_EXEC, CURRENT_TIMESTAMP() AS TIME_EXEC FROM "&amp;I149,
IF(C149="Valores extremos",+"SELECT '"&amp;UPPER(B149)&amp;"' AS TABELA, '"&amp;UPPER(C149)&amp;"' AS TIPOLOGIA_TESTE,'"&amp;D149&amp;"' AS TABELA_LT,'N/A' AS TABELA_SIMUL,'"&amp;F149&amp;"' AS CAMPO, "&amp;"'${ref_date}' AS REF_DATE, CAST(MIN("&amp;F149&amp;") AS STRING) AS VALOR_MIN, CAST(MAX("&amp;F149&amp;") AS STRING) AS VALOR_MAX,'"&amp;MAX('ID1&amp;5'!K:K)+1&amp;"' AS ID_EXEC, CURRENT_TIMESTAMP() AS TIME_EXEC FROM "&amp;MID(I149,1,LEN(I149)-2)&amp;" AND CAST("&amp;F149&amp;"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TABELA_SIMUL,'INTRNL_RTNG' AS CAMPO, '${ref_date}' AS REF_DATE, COUNT(*) AS NUM_REG, SUM(IF(COALESCE(CAST(X.INTRNL_RTNG AS STRING),'')&lt;&gt;COALESCE(CAST(Y.INTRNL_RTNG_SIMUL AS STRING),'') OR (X.INTRNL_RTNG IS NULL AND Y.INTRNL_RTNG_SIMUL IS NOT NULL ) OR (X.INTRNL_RTNG IS NOT NULL AND Y.INTRNL_RTNG_SIMUL IS NULL),1,0)) AS NUM_REG_DIF,'1' AS ID_EXEC, CURRENT_TIMESTAMP() AS TIME_EXEC FROM (SELECT instrmnt_id, INTRNL_RTNG FROM CD_LOAN_TAPES_BCE.LT002_INSTRUMENT WHERE ref_date='${ref_date}' AND nome_perimetro='Individual Corporativo' AND segmento='ESTR' AND ambito='PM' AND entidade='00100')X INNER JOIN (SELECT instrmnt_id AS instrmnt_id_SIMUL, INTRNL_RTNG AS INTRNL_RTNG_SIMUL FROM BU_LOANTAPE_WORK.LT002_INSTRUMENT WHERE ref_date='${ref_date}' AND nome_perimetro='Individual Corporativo' AND segmento='ESTR' AND ambito='PM' AND entidade='00100')Y ON X.INSTRMNT_ID=Y.INSTRMNT_ID_SIMUL</v>
      </c>
      <c r="M149" s="36" t="str">
        <f t="shared" si="2"/>
        <v>UNION ALL SELECT 'INSTRUMENT' AS TABELA, 'COERÊNCIA' AS TIPOLOGIA_TESTE,'CD_LOAN_TAPES_BCE.LT002_INSTRUMENT' AS TABELA_LT,'BU_LOANTAPE_WORK.LT002_INSTRUMENT' AS TABELA_SIMUL,'INTRNL_RTNG' AS CAMPO, '${ref_date}' AS REF_DATE, COUNT(*) AS NUM_REG, SUM(IF(COALESCE(CAST(X.INTRNL_RTNG AS STRING),'')&lt;&gt;COALESCE(CAST(Y.INTRNL_RTNG_SIMUL AS STRING),'') OR (X.INTRNL_RTNG IS NULL AND Y.INTRNL_RTNG_SIMUL IS NOT NULL ) OR (X.INTRNL_RTNG IS NOT NULL AND Y.INTRNL_RTNG_SIMUL IS NULL),1,0)) AS NUM_REG_DIF,'1' AS ID_EXEC, CURRENT_TIMESTAMP() AS TIME_EXEC FROM (SELECT instrmnt_id, INTRNL_RTNG FROM CD_LOAN_TAPES_BCE.LT002_INSTRUMENT WHERE ref_date='${ref_date}' AND nome_perimetro='Individual Corporativo' AND segmento='ESTR' AND ambito='PM' AND entidade='00100')X INNER JOIN (SELECT instrmnt_id AS instrmnt_id_SIMUL, INTRNL_RTNG AS INTRNL_RTNG_SIMUL FROM BU_LOANTAPE_WORK.LT002_INSTRUMENT WHERE ref_date='${ref_date}' AND nome_perimetro='Individual Corporativo' AND segmento='ESTR' AND ambito='PM' AND entidade='00100')Y ON X.INSTRMNT_ID=Y.INSTRMNT_ID_SIMUL</v>
      </c>
      <c r="N149" s="38" t="s">
        <v>46</v>
      </c>
    </row>
    <row r="150" spans="2:14" hidden="1">
      <c r="B150" s="34" t="s">
        <v>126</v>
      </c>
      <c r="C150" s="34" t="s">
        <v>5</v>
      </c>
      <c r="D150" s="34" t="str">
        <f>+UPPER('0. Instruções'!$D$35&amp;"."&amp;VLOOKUP(B150,'0. Instruções'!$C$27:$D$32,2,FALSE))</f>
        <v>CD_LOAN_TAPES_BCE.LT002_INSTRUMENT</v>
      </c>
      <c r="E150" s="34" t="str">
        <f>+UPPER('0. Instruções'!$D$36&amp;"."&amp;VLOOKUP(B150,'0. Instruções'!$C$27:$E$32,3,FALSE))</f>
        <v>BU_LOANTAPE_WORK.LT002_INSTRUMENT</v>
      </c>
      <c r="F150" s="34" t="s">
        <v>448</v>
      </c>
      <c r="G150" s="34"/>
      <c r="H150" s="34" t="s">
        <v>89</v>
      </c>
      <c r="I150" s="34" t="str">
        <f>"(SELECT "&amp;VLOOKUP(B150,'0. Instruções'!$C$27:$G$32,4,FALSE)&amp;", "&amp;F150&amp;" FROM "&amp;D150&amp;" WHERE "&amp;'0. Instruções'!$D$42&amp;")X"</f>
        <v>(SELECT instrmnt_id, INTRNL_RTNG_INCPTN FROM CD_LOAN_TAPES_BCE.LT002_INSTRUMENT WHERE ref_date='${ref_date}' AND nome_perimetro='Individual Corporativo' AND segmento='ESTR' AND ambito='PM' AND entidade='00100')X</v>
      </c>
      <c r="J150" s="34" t="str">
        <f>"(SELECT "&amp;VLOOKUP(B150,'0. Instruções'!$C$27:$G$32,4,FALSE)&amp;" AS "&amp;VLOOKUP(B150,'0. Instruções'!$C$27:$G$32,4,FALSE)&amp;"_SIMUL, "&amp;F150&amp;" AS "&amp;F150&amp;"_SIMUL FROM "&amp;E150&amp;" WHERE "&amp;'0. Instruções'!$D$43&amp;")Y"</f>
        <v>(SELECT instrmnt_id AS instrmnt_id_SIMUL, INTRNL_RTNG_INCPTN AS INTRNL_RTNG_INCPTN_SIMUL FROM BU_LOANTAPE_WORK.LT002_INSTRUMENT WHERE ref_date='${ref_date}' AND nome_perimetro='Individual Corporativo' AND segmento='ESTR' AND ambito='PM' AND entidade='00100')Y</v>
      </c>
      <c r="K150" s="35" t="str">
        <f>+UPPER("ON X."&amp;VLOOKUP(B150,'0. Instruções'!$C$27:$G$32,4,FALSE)&amp;"=Y."&amp;VLOOKUP(B150,'0. Instruções'!$C$27:$G$32,4,FALSE)&amp;"_SIMUL")</f>
        <v>ON X.INSTRMNT_ID=Y.INSTRMNT_ID_SIMUL</v>
      </c>
      <c r="L150" s="35" t="str">
        <f>+IF(C150="Coerência", +IF(LEFT(G150,5)="FLOAT","SELECT '"&amp;UPPER(B150)&amp;"' AS TABELA, '"&amp;UPPER(C150)&amp;"' AS TIPOLOGIA_TESTE,'"&amp;D150&amp;"' AS TABELA_LT,'"&amp;E150&amp;"' AS TABELA_SIMUL,'"&amp;F150&amp;"' AS CAMPO, "&amp;"'${ref_date}' AS REF_DATE, COUNT(*) AS NUM_REG, SUM(IF((ABS(COALESCE(CAST(X."&amp;F150&amp;" AS DECIMAL(18,6)),0)-COALESCE(CAST(Y."&amp;F150&amp;"_SIMUL AS DECIMAL(18,6)),0))&gt;0.000001) OR (X."&amp;F150&amp;" IS NULL AND Y."&amp;F150&amp;"_SIMUL IS NOT NULL ) OR (X."&amp;F150&amp;" IS NOT NULL AND Y."&amp;F150&amp;"_SIMUL IS NULL),1,0)) AS NUM_REG_DIF,'"&amp;MAX('ID1&amp;5'!K:K)+1&amp;"' AS ID_EXEC, CURRENT_TIMESTAMP() AS TIME_EXEC FROM "&amp;I150&amp;" INNER JOIN "&amp;J150&amp;" "&amp;K150,"SELECT '"&amp;UPPER(B150)&amp;"' AS TABELA, '"&amp;UPPER(C150)&amp;"' AS TIPOLOGIA_TESTE,'"&amp;D150&amp;"' AS TABELA_LT,'"&amp;E150&amp;"' AS TABELA_SIMUL,'"&amp;F150&amp;"' AS CAMPO, "&amp;"'${ref_date}' AS REF_DATE, COUNT(*) AS NUM_REG, SUM(IF(COALESCE(CAST(X."&amp;F150&amp;" AS STRING),'')&lt;&gt;COALESCE(CAST(Y."&amp;F150&amp;"_SIMUL AS STRING),'') OR (X."&amp;F150&amp;" IS NULL AND Y."&amp;F150&amp;"_SIMUL IS NOT NULL ) OR (X."&amp;F150&amp;" IS NOT NULL AND Y."&amp;F150&amp;"_SIMUL IS NULL),1,0)) AS NUM_REG_DIF,'"&amp;MAX('ID1&amp;5'!L:L)+1&amp;"' AS ID_EXEC, CURRENT_TIMESTAMP() AS TIME_EXEC FROM "&amp;I150&amp;" INNER JOIN "&amp;J150&amp;" "&amp;K150),
IF(C150="Validade",+IF(G150="Code List","SELECT '"&amp;UPPER(B150)&amp;"' AS TABELA, '"&amp;UPPER(C150)&amp;"' AS TIPOLOGIA_TESTE,'"&amp;D150&amp;"' AS TABELA_LT,'N/A' AS TABELA_SIMUL,'"&amp;F150&amp;"' AS CAMPO, "&amp;"'${ref_date}' AS REF_DATE, COUNT(*) AS NUM_REG, SUM(IF(TRIM(CAST(X."&amp;F150&amp;" AS STRING))='' OR TRIM(CAST(X."&amp;F150&amp;" AS STRING)) IS NULL OR CAST(X."&amp;F150&amp;" AS STRING) NOT "&amp;H150&amp;",1,0)) AS NUM_REG_DIF,'"&amp;MAX('ID1&amp;5'!K:K)+1&amp;"' AS ID_EXEC, CURRENT_TIMESTAMP() AS TIME_EXEC FROM "&amp;I150,"SELECT '"&amp;UPPER(B150)&amp;"' AS TABELA, '"&amp;UPPER(C150)&amp;"' AS TIPOLOGIA_TESTE,'"&amp;D150&amp;"' AS TABELA_LT,'N/A' AS TABELA_SIMUL,'"&amp;F150&amp;"' AS CAMPO, "&amp;"'${ref_date}' AS REF_DATE, COUNT(*) AS NUM_REG, SUM(IF(TRIM(CAST(X."&amp;F150&amp;" AS STRING))='' OR TRIM(CAST(X."&amp;F150&amp;" AS STRING)) IS NULL,1,0)) AS NUM_REG_DIF,'"&amp;MAX('ID1&amp;5'!K:K)+1&amp;"' AS ID_EXEC, CURRENT_TIMESTAMP() AS TIME_EXEC FROM "&amp;I150),
IF(C150="Caracteres Especiais",+"SELECT '"&amp;UPPER(B150)&amp;"' AS TABELA, '"&amp;UPPER(C150)&amp;"' AS TIPOLOGIA_TESTE,'"&amp;D150&amp;"' AS TABELA_LT,'N/A' AS TABELA_SIMUL,'"&amp;F150&amp;"' AS CAMPO, "&amp;"'${ref_date}' AS REF_DATE, COUNT(*) AS NUM_REG, SUM(IF(REGEXP_REPLACE(TRIM(CAST(X."&amp;F150&amp;" AS STRING)),'[^a-zA-Z0-9_\\s]','') &lt;&gt;TRIM(CAST(X."&amp;F150&amp;" AS STRING)),1,0)) AS NUM_REG_DIF,'"&amp;MAX('ID1&amp;5'!K:K)+1&amp;"' AS ID_EXEC, CURRENT_TIMESTAMP() AS TIME_EXEC FROM "&amp;I150,
IF(C150="Missings",+"SELECT '"&amp;UPPER(B150)&amp;"' AS TABELA, '"&amp;UPPER(C150)&amp;"' AS TIPOLOGIA_TESTE,'"&amp;D150&amp;"' AS TABELA_LT,'N/A' AS TABELA_SIMUL,'"&amp;F150&amp;"' AS CAMPO, "&amp;"'${ref_date}' AS REF_DATE, COUNT(*) AS NUM_REG, SUM(IF(TRIM(CAST(X."&amp;F150&amp;" AS STRING)) IN ('0000-00-00','0001-01-01','9999-12-31','MISS','00000','99999999999','99999999999.00','99999999999.000000'),1,0)) AS NUM_REG_DIF,'"&amp;MAX('ID1&amp;5'!K:K)+1&amp;"' AS ID_EXEC, CURRENT_TIMESTAMP() AS TIME_EXEC FROM "&amp;I150,
IF(C150="Not applicable",+"SELECT '"&amp;UPPER(B150)&amp;"' AS TABELA, '"&amp;UPPER(C150)&amp;"' AS TIPOLOGIA_TESTE,'"&amp;D150&amp;"' AS TABELA_LT,'N/A' AS TABELA_SIMUL,'"&amp;F150&amp;"' AS CAMPO, "&amp;"'${ref_date}' AS REF_DATE, COUNT(*) AS NUM_REG, SUM(IF(TRIM(CAST(X."&amp;F150&amp;" AS STRING)) IN ('N/A','11111111111','11111111111.00','11111111111.000000','1111-11-11'),1,0)) AS NUM_REG_DIF,'"&amp;MAX('ID1&amp;5'!K:K)+1&amp;"' AS ID_EXEC, CURRENT_TIMESTAMP() AS TIME_EXEC FROM "&amp;I150,
IF(C150="Valores extremos",+"SELECT '"&amp;UPPER(B150)&amp;"' AS TABELA, '"&amp;UPPER(C150)&amp;"' AS TIPOLOGIA_TESTE,'"&amp;D150&amp;"' AS TABELA_LT,'N/A' AS TABELA_SIMUL,'"&amp;F150&amp;"' AS CAMPO, "&amp;"'${ref_date}' AS REF_DATE, CAST(MIN("&amp;F150&amp;") AS STRING) AS VALOR_MIN, CAST(MAX("&amp;F150&amp;") AS STRING) AS VALOR_MAX,'"&amp;MAX('ID1&amp;5'!K:K)+1&amp;"' AS ID_EXEC, CURRENT_TIMESTAMP() AS TIME_EXEC FROM "&amp;MID(I150,1,LEN(I150)-2)&amp;" AND CAST("&amp;F150&amp;"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TABELA_SIMUL,'INTRNL_RTNG_INCPTN' AS CAMPO, '${ref_date}' AS REF_DATE, COUNT(*) AS NUM_REG, SUM(IF(COALESCE(CAST(X.INTRNL_RTNG_INCPTN AS STRING),'')&lt;&gt;COALESCE(CAST(Y.INTRNL_RTNG_INCPTN_SIMUL AS STRING),'') OR (X.INTRNL_RTNG_INCPTN IS NULL AND Y.INTRNL_RTNG_INCPTN_SIMUL IS NOT NULL ) OR (X.INTRNL_RTNG_INCPTN IS NOT NULL AND Y.INTRNL_RTNG_INCPTN_SIMUL IS NULL),1,0)) AS NUM_REG_DIF,'1' AS ID_EXEC, CURRENT_TIMESTAMP() AS TIME_EXEC FROM (SELECT instrmnt_id, INTRNL_RTNG_INCPTN FROM CD_LOAN_TAPES_BCE.LT002_INSTRUMENT WHERE ref_date='${ref_date}' AND nome_perimetro='Individual Corporativo' AND segmento='ESTR' AND ambito='PM' AND entidade='00100')X INNER JOIN (SELECT instrmnt_id AS instrmnt_id_SIMUL, INTRNL_RTNG_INCPTN AS INTRNL_RTNG_INCPTN_SIMUL FROM BU_LOANTAPE_WORK.LT002_INSTRUMENT WHERE ref_date='${ref_date}' AND nome_perimetro='Individual Corporativo' AND segmento='ESTR' AND ambito='PM' AND entidade='00100')Y ON X.INSTRMNT_ID=Y.INSTRMNT_ID_SIMUL</v>
      </c>
      <c r="M150" s="36" t="str">
        <f t="shared" si="2"/>
        <v>UNION ALL SELECT 'INSTRUMENT' AS TABELA, 'COERÊNCIA' AS TIPOLOGIA_TESTE,'CD_LOAN_TAPES_BCE.LT002_INSTRUMENT' AS TABELA_LT,'BU_LOANTAPE_WORK.LT002_INSTRUMENT' AS TABELA_SIMUL,'INTRNL_RTNG_INCPTN' AS CAMPO, '${ref_date}' AS REF_DATE, COUNT(*) AS NUM_REG, SUM(IF(COALESCE(CAST(X.INTRNL_RTNG_INCPTN AS STRING),'')&lt;&gt;COALESCE(CAST(Y.INTRNL_RTNG_INCPTN_SIMUL AS STRING),'') OR (X.INTRNL_RTNG_INCPTN IS NULL AND Y.INTRNL_RTNG_INCPTN_SIMUL IS NOT NULL ) OR (X.INTRNL_RTNG_INCPTN IS NOT NULL AND Y.INTRNL_RTNG_INCPTN_SIMUL IS NULL),1,0)) AS NUM_REG_DIF,'1' AS ID_EXEC, CURRENT_TIMESTAMP() AS TIME_EXEC FROM (SELECT instrmnt_id, INTRNL_RTNG_INCPTN FROM CD_LOAN_TAPES_BCE.LT002_INSTRUMENT WHERE ref_date='${ref_date}' AND nome_perimetro='Individual Corporativo' AND segmento='ESTR' AND ambito='PM' AND entidade='00100')X INNER JOIN (SELECT instrmnt_id AS instrmnt_id_SIMUL, INTRNL_RTNG_INCPTN AS INTRNL_RTNG_INCPTN_SIMUL FROM BU_LOANTAPE_WORK.LT002_INSTRUMENT WHERE ref_date='${ref_date}' AND nome_perimetro='Individual Corporativo' AND segmento='ESTR' AND ambito='PM' AND entidade='00100')Y ON X.INSTRMNT_ID=Y.INSTRMNT_ID_SIMUL</v>
      </c>
      <c r="N150" s="38" t="s">
        <v>46</v>
      </c>
    </row>
    <row r="151" spans="2:14" hidden="1">
      <c r="B151" s="34" t="s">
        <v>126</v>
      </c>
      <c r="C151" s="34" t="s">
        <v>5</v>
      </c>
      <c r="D151" s="34" t="str">
        <f>+UPPER('0. Instruções'!$D$35&amp;"."&amp;VLOOKUP(B151,'0. Instruções'!$C$27:$D$32,2,FALSE))</f>
        <v>CD_LOAN_TAPES_BCE.LT002_INSTRUMENT</v>
      </c>
      <c r="E151" s="34" t="str">
        <f>+UPPER('0. Instruções'!$D$36&amp;"."&amp;VLOOKUP(B151,'0. Instruções'!$C$27:$E$32,3,FALSE))</f>
        <v>BU_LOANTAPE_WORK.LT002_INSTRUMENT</v>
      </c>
      <c r="F151" s="34" t="s">
        <v>332</v>
      </c>
      <c r="G151" s="34"/>
      <c r="H151" s="34" t="s">
        <v>646</v>
      </c>
      <c r="I151" s="34" t="str">
        <f>"(SELECT "&amp;VLOOKUP(B151,'0. Instruções'!$C$27:$G$32,4,FALSE)&amp;", "&amp;F151&amp;" FROM "&amp;D151&amp;" WHERE "&amp;'0. Instruções'!$D$42&amp;")X"</f>
        <v>(SELECT instrmnt_id, INTRNL_SGMNT FROM CD_LOAN_TAPES_BCE.LT002_INSTRUMENT WHERE ref_date='${ref_date}' AND nome_perimetro='Individual Corporativo' AND segmento='ESTR' AND ambito='PM' AND entidade='00100')X</v>
      </c>
      <c r="J151" s="34" t="str">
        <f>"(SELECT "&amp;VLOOKUP(B151,'0. Instruções'!$C$27:$G$32,4,FALSE)&amp;" AS "&amp;VLOOKUP(B151,'0. Instruções'!$C$27:$G$32,4,FALSE)&amp;"_SIMUL, "&amp;F151&amp;" AS "&amp;F151&amp;"_SIMUL FROM "&amp;E151&amp;" WHERE "&amp;'0. Instruções'!$D$43&amp;")Y"</f>
        <v>(SELECT instrmnt_id AS instrmnt_id_SIMUL, INTRNL_SGMNT AS INTRNL_SGMNT_SIMUL FROM BU_LOANTAPE_WORK.LT002_INSTRUMENT WHERE ref_date='${ref_date}' AND nome_perimetro='Individual Corporativo' AND segmento='ESTR' AND ambito='PM' AND entidade='00100')Y</v>
      </c>
      <c r="K151" s="35" t="str">
        <f>+UPPER("ON X."&amp;VLOOKUP(B151,'0. Instruções'!$C$27:$G$32,4,FALSE)&amp;"=Y."&amp;VLOOKUP(B151,'0. Instruções'!$C$27:$G$32,4,FALSE)&amp;"_SIMUL")</f>
        <v>ON X.INSTRMNT_ID=Y.INSTRMNT_ID_SIMUL</v>
      </c>
      <c r="L151" s="35" t="str">
        <f>+IF(C151="Coerência", +IF(LEFT(G151,5)="FLOAT","SELECT '"&amp;UPPER(B151)&amp;"' AS TABELA, '"&amp;UPPER(C151)&amp;"' AS TIPOLOGIA_TESTE,'"&amp;D151&amp;"' AS TABELA_LT,'"&amp;E151&amp;"' AS TABELA_SIMUL,'"&amp;F151&amp;"' AS CAMPO, "&amp;"'${ref_date}' AS REF_DATE, COUNT(*) AS NUM_REG, SUM(IF((ABS(COALESCE(CAST(X."&amp;F151&amp;" AS DECIMAL(18,6)),0)-COALESCE(CAST(Y."&amp;F151&amp;"_SIMUL AS DECIMAL(18,6)),0))&gt;0.000001) OR (X."&amp;F151&amp;" IS NULL AND Y."&amp;F151&amp;"_SIMUL IS NOT NULL ) OR (X."&amp;F151&amp;" IS NOT NULL AND Y."&amp;F151&amp;"_SIMUL IS NULL),1,0)) AS NUM_REG_DIF,'"&amp;MAX('ID1&amp;5'!K:K)+1&amp;"' AS ID_EXEC, CURRENT_TIMESTAMP() AS TIME_EXEC FROM "&amp;I151&amp;" INNER JOIN "&amp;J151&amp;" "&amp;K151,"SELECT '"&amp;UPPER(B151)&amp;"' AS TABELA, '"&amp;UPPER(C151)&amp;"' AS TIPOLOGIA_TESTE,'"&amp;D151&amp;"' AS TABELA_LT,'"&amp;E151&amp;"' AS TABELA_SIMUL,'"&amp;F151&amp;"' AS CAMPO, "&amp;"'${ref_date}' AS REF_DATE, COUNT(*) AS NUM_REG, SUM(IF(COALESCE(CAST(X."&amp;F151&amp;" AS STRING),'')&lt;&gt;COALESCE(CAST(Y."&amp;F151&amp;"_SIMUL AS STRING),'') OR (X."&amp;F151&amp;" IS NULL AND Y."&amp;F151&amp;"_SIMUL IS NOT NULL ) OR (X."&amp;F151&amp;" IS NOT NULL AND Y."&amp;F151&amp;"_SIMUL IS NULL),1,0)) AS NUM_REG_DIF,'"&amp;MAX('ID1&amp;5'!L:L)+1&amp;"' AS ID_EXEC, CURRENT_TIMESTAMP() AS TIME_EXEC FROM "&amp;I151&amp;" INNER JOIN "&amp;J151&amp;" "&amp;K151),
IF(C151="Validade",+IF(G151="Code List","SELECT '"&amp;UPPER(B151)&amp;"' AS TABELA, '"&amp;UPPER(C151)&amp;"' AS TIPOLOGIA_TESTE,'"&amp;D151&amp;"' AS TABELA_LT,'N/A' AS TABELA_SIMUL,'"&amp;F151&amp;"' AS CAMPO, "&amp;"'${ref_date}' AS REF_DATE, COUNT(*) AS NUM_REG, SUM(IF(TRIM(CAST(X."&amp;F151&amp;" AS STRING))='' OR TRIM(CAST(X."&amp;F151&amp;" AS STRING)) IS NULL OR CAST(X."&amp;F151&amp;" AS STRING) NOT "&amp;H151&amp;",1,0)) AS NUM_REG_DIF,'"&amp;MAX('ID1&amp;5'!K:K)+1&amp;"' AS ID_EXEC, CURRENT_TIMESTAMP() AS TIME_EXEC FROM "&amp;I151,"SELECT '"&amp;UPPER(B151)&amp;"' AS TABELA, '"&amp;UPPER(C151)&amp;"' AS TIPOLOGIA_TESTE,'"&amp;D151&amp;"' AS TABELA_LT,'N/A' AS TABELA_SIMUL,'"&amp;F151&amp;"' AS CAMPO, "&amp;"'${ref_date}' AS REF_DATE, COUNT(*) AS NUM_REG, SUM(IF(TRIM(CAST(X."&amp;F151&amp;" AS STRING))='' OR TRIM(CAST(X."&amp;F151&amp;" AS STRING)) IS NULL,1,0)) AS NUM_REG_DIF,'"&amp;MAX('ID1&amp;5'!K:K)+1&amp;"' AS ID_EXEC, CURRENT_TIMESTAMP() AS TIME_EXEC FROM "&amp;I151),
IF(C151="Caracteres Especiais",+"SELECT '"&amp;UPPER(B151)&amp;"' AS TABELA, '"&amp;UPPER(C151)&amp;"' AS TIPOLOGIA_TESTE,'"&amp;D151&amp;"' AS TABELA_LT,'N/A' AS TABELA_SIMUL,'"&amp;F151&amp;"' AS CAMPO, "&amp;"'${ref_date}' AS REF_DATE, COUNT(*) AS NUM_REG, SUM(IF(REGEXP_REPLACE(TRIM(CAST(X."&amp;F151&amp;" AS STRING)),'[^a-zA-Z0-9_\\s]','') &lt;&gt;TRIM(CAST(X."&amp;F151&amp;" AS STRING)),1,0)) AS NUM_REG_DIF,'"&amp;MAX('ID1&amp;5'!K:K)+1&amp;"' AS ID_EXEC, CURRENT_TIMESTAMP() AS TIME_EXEC FROM "&amp;I151,
IF(C151="Missings",+"SELECT '"&amp;UPPER(B151)&amp;"' AS TABELA, '"&amp;UPPER(C151)&amp;"' AS TIPOLOGIA_TESTE,'"&amp;D151&amp;"' AS TABELA_LT,'N/A' AS TABELA_SIMUL,'"&amp;F151&amp;"' AS CAMPO, "&amp;"'${ref_date}' AS REF_DATE, COUNT(*) AS NUM_REG, SUM(IF(TRIM(CAST(X."&amp;F151&amp;" AS STRING)) IN ('0000-00-00','0001-01-01','9999-12-31','MISS','00000','99999999999','99999999999.00','99999999999.000000'),1,0)) AS NUM_REG_DIF,'"&amp;MAX('ID1&amp;5'!K:K)+1&amp;"' AS ID_EXEC, CURRENT_TIMESTAMP() AS TIME_EXEC FROM "&amp;I151,
IF(C151="Not applicable",+"SELECT '"&amp;UPPER(B151)&amp;"' AS TABELA, '"&amp;UPPER(C151)&amp;"' AS TIPOLOGIA_TESTE,'"&amp;D151&amp;"' AS TABELA_LT,'N/A' AS TABELA_SIMUL,'"&amp;F151&amp;"' AS CAMPO, "&amp;"'${ref_date}' AS REF_DATE, COUNT(*) AS NUM_REG, SUM(IF(TRIM(CAST(X."&amp;F151&amp;" AS STRING)) IN ('N/A','11111111111','11111111111.00','11111111111.000000','1111-11-11'),1,0)) AS NUM_REG_DIF,'"&amp;MAX('ID1&amp;5'!K:K)+1&amp;"' AS ID_EXEC, CURRENT_TIMESTAMP() AS TIME_EXEC FROM "&amp;I151,
IF(C151="Valores extremos",+"SELECT '"&amp;UPPER(B151)&amp;"' AS TABELA, '"&amp;UPPER(C151)&amp;"' AS TIPOLOGIA_TESTE,'"&amp;D151&amp;"' AS TABELA_LT,'N/A' AS TABELA_SIMUL,'"&amp;F151&amp;"' AS CAMPO, "&amp;"'${ref_date}' AS REF_DATE, CAST(MIN("&amp;F151&amp;") AS STRING) AS VALOR_MIN, CAST(MAX("&amp;F151&amp;") AS STRING) AS VALOR_MAX,'"&amp;MAX('ID1&amp;5'!K:K)+1&amp;"' AS ID_EXEC, CURRENT_TIMESTAMP() AS TIME_EXEC FROM "&amp;MID(I151,1,LEN(I151)-2)&amp;" AND CAST("&amp;F151&amp;"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TABELA_SIMUL,'INTRNL_SGMNT' AS CAMPO, '${ref_date}' AS REF_DATE, COUNT(*) AS NUM_REG, SUM(IF(COALESCE(CAST(X.INTRNL_SGMNT AS STRING),'')&lt;&gt;COALESCE(CAST(Y.INTRNL_SGMNT_SIMUL AS STRING),'') OR (X.INTRNL_SGMNT IS NULL AND Y.INTRNL_SGMNT_SIMUL IS NOT NULL ) OR (X.INTRNL_SGMNT IS NOT NULL AND Y.INTRNL_SGMNT_SIMUL IS NULL),1,0)) AS NUM_REG_DIF,'1' AS ID_EXEC, CURRENT_TIMESTAMP() AS TIME_EXEC FROM (SELECT instrmnt_id, INTRNL_SGMNT FROM CD_LOAN_TAPES_BCE.LT002_INSTRUMENT WHERE ref_date='${ref_date}' AND nome_perimetro='Individual Corporativo' AND segmento='ESTR' AND ambito='PM' AND entidade='00100')X INNER JOIN (SELECT instrmnt_id AS instrmnt_id_SIMUL, INTRNL_SGMNT AS INTRNL_SGMNT_SIMUL FROM BU_LOANTAPE_WORK.LT002_INSTRUMENT WHERE ref_date='${ref_date}' AND nome_perimetro='Individual Corporativo' AND segmento='ESTR' AND ambito='PM' AND entidade='00100')Y ON X.INSTRMNT_ID=Y.INSTRMNT_ID_SIMUL</v>
      </c>
      <c r="M151" s="36" t="str">
        <f t="shared" si="2"/>
        <v>UNION ALL SELECT 'INSTRUMENT' AS TABELA, 'COERÊNCIA' AS TIPOLOGIA_TESTE,'CD_LOAN_TAPES_BCE.LT002_INSTRUMENT' AS TABELA_LT,'BU_LOANTAPE_WORK.LT002_INSTRUMENT' AS TABELA_SIMUL,'INTRNL_SGMNT' AS CAMPO, '${ref_date}' AS REF_DATE, COUNT(*) AS NUM_REG, SUM(IF(COALESCE(CAST(X.INTRNL_SGMNT AS STRING),'')&lt;&gt;COALESCE(CAST(Y.INTRNL_SGMNT_SIMUL AS STRING),'') OR (X.INTRNL_SGMNT IS NULL AND Y.INTRNL_SGMNT_SIMUL IS NOT NULL ) OR (X.INTRNL_SGMNT IS NOT NULL AND Y.INTRNL_SGMNT_SIMUL IS NULL),1,0)) AS NUM_REG_DIF,'1' AS ID_EXEC, CURRENT_TIMESTAMP() AS TIME_EXEC FROM (SELECT instrmnt_id, INTRNL_SGMNT FROM CD_LOAN_TAPES_BCE.LT002_INSTRUMENT WHERE ref_date='${ref_date}' AND nome_perimetro='Individual Corporativo' AND segmento='ESTR' AND ambito='PM' AND entidade='00100')X INNER JOIN (SELECT instrmnt_id AS instrmnt_id_SIMUL, INTRNL_SGMNT AS INTRNL_SGMNT_SIMUL FROM BU_LOANTAPE_WORK.LT002_INSTRUMENT WHERE ref_date='${ref_date}' AND nome_perimetro='Individual Corporativo' AND segmento='ESTR' AND ambito='PM' AND entidade='00100')Y ON X.INSTRMNT_ID=Y.INSTRMNT_ID_SIMUL</v>
      </c>
      <c r="N151" s="38" t="s">
        <v>46</v>
      </c>
    </row>
    <row r="152" spans="2:14" hidden="1">
      <c r="B152" s="34" t="s">
        <v>126</v>
      </c>
      <c r="C152" s="34" t="s">
        <v>5</v>
      </c>
      <c r="D152" s="34" t="str">
        <f>+UPPER('0. Instruções'!$D$35&amp;"."&amp;VLOOKUP(B152,'0. Instruções'!$C$27:$D$32,2,FALSE))</f>
        <v>CD_LOAN_TAPES_BCE.LT002_INSTRUMENT</v>
      </c>
      <c r="E152" s="34" t="str">
        <f>+UPPER('0. Instruções'!$D$36&amp;"."&amp;VLOOKUP(B152,'0. Instruções'!$C$27:$E$32,3,FALSE))</f>
        <v>BU_LOANTAPE_WORK.LT002_INSTRUMENT</v>
      </c>
      <c r="F152" s="34" t="s">
        <v>333</v>
      </c>
      <c r="G152" s="34"/>
      <c r="H152" s="34" t="s">
        <v>646</v>
      </c>
      <c r="I152" s="34" t="str">
        <f>"(SELECT "&amp;VLOOKUP(B152,'0. Instruções'!$C$27:$G$32,4,FALSE)&amp;", "&amp;F152&amp;" FROM "&amp;D152&amp;" WHERE "&amp;'0. Instruções'!$D$42&amp;")X"</f>
        <v>(SELECT instrmnt_id, INTRNL_UNT FROM CD_LOAN_TAPES_BCE.LT002_INSTRUMENT WHERE ref_date='${ref_date}' AND nome_perimetro='Individual Corporativo' AND segmento='ESTR' AND ambito='PM' AND entidade='00100')X</v>
      </c>
      <c r="J152" s="34" t="str">
        <f>"(SELECT "&amp;VLOOKUP(B152,'0. Instruções'!$C$27:$G$32,4,FALSE)&amp;" AS "&amp;VLOOKUP(B152,'0. Instruções'!$C$27:$G$32,4,FALSE)&amp;"_SIMUL, "&amp;F152&amp;" AS "&amp;F152&amp;"_SIMUL FROM "&amp;E152&amp;" WHERE "&amp;'0. Instruções'!$D$43&amp;")Y"</f>
        <v>(SELECT instrmnt_id AS instrmnt_id_SIMUL, INTRNL_UNT AS INTRNL_UNT_SIMUL FROM BU_LOANTAPE_WORK.LT002_INSTRUMENT WHERE ref_date='${ref_date}' AND nome_perimetro='Individual Corporativo' AND segmento='ESTR' AND ambito='PM' AND entidade='00100')Y</v>
      </c>
      <c r="K152" s="35" t="str">
        <f>+UPPER("ON X."&amp;VLOOKUP(B152,'0. Instruções'!$C$27:$G$32,4,FALSE)&amp;"=Y."&amp;VLOOKUP(B152,'0. Instruções'!$C$27:$G$32,4,FALSE)&amp;"_SIMUL")</f>
        <v>ON X.INSTRMNT_ID=Y.INSTRMNT_ID_SIMUL</v>
      </c>
      <c r="L152" s="35" t="str">
        <f>+IF(C152="Coerência", +IF(LEFT(G152,5)="FLOAT","SELECT '"&amp;UPPER(B152)&amp;"' AS TABELA, '"&amp;UPPER(C152)&amp;"' AS TIPOLOGIA_TESTE,'"&amp;D152&amp;"' AS TABELA_LT,'"&amp;E152&amp;"' AS TABELA_SIMUL,'"&amp;F152&amp;"' AS CAMPO, "&amp;"'${ref_date}' AS REF_DATE, COUNT(*) AS NUM_REG, SUM(IF((ABS(COALESCE(CAST(X."&amp;F152&amp;" AS DECIMAL(18,6)),0)-COALESCE(CAST(Y."&amp;F152&amp;"_SIMUL AS DECIMAL(18,6)),0))&gt;0.000001) OR (X."&amp;F152&amp;" IS NULL AND Y."&amp;F152&amp;"_SIMUL IS NOT NULL ) OR (X."&amp;F152&amp;" IS NOT NULL AND Y."&amp;F152&amp;"_SIMUL IS NULL),1,0)) AS NUM_REG_DIF,'"&amp;MAX('ID1&amp;5'!K:K)+1&amp;"' AS ID_EXEC, CURRENT_TIMESTAMP() AS TIME_EXEC FROM "&amp;I152&amp;" INNER JOIN "&amp;J152&amp;" "&amp;K152,"SELECT '"&amp;UPPER(B152)&amp;"' AS TABELA, '"&amp;UPPER(C152)&amp;"' AS TIPOLOGIA_TESTE,'"&amp;D152&amp;"' AS TABELA_LT,'"&amp;E152&amp;"' AS TABELA_SIMUL,'"&amp;F152&amp;"' AS CAMPO, "&amp;"'${ref_date}' AS REF_DATE, COUNT(*) AS NUM_REG, SUM(IF(COALESCE(CAST(X."&amp;F152&amp;" AS STRING),'')&lt;&gt;COALESCE(CAST(Y."&amp;F152&amp;"_SIMUL AS STRING),'') OR (X."&amp;F152&amp;" IS NULL AND Y."&amp;F152&amp;"_SIMUL IS NOT NULL ) OR (X."&amp;F152&amp;" IS NOT NULL AND Y."&amp;F152&amp;"_SIMUL IS NULL),1,0)) AS NUM_REG_DIF,'"&amp;MAX('ID1&amp;5'!L:L)+1&amp;"' AS ID_EXEC, CURRENT_TIMESTAMP() AS TIME_EXEC FROM "&amp;I152&amp;" INNER JOIN "&amp;J152&amp;" "&amp;K152),
IF(C152="Validade",+IF(G152="Code List","SELECT '"&amp;UPPER(B152)&amp;"' AS TABELA, '"&amp;UPPER(C152)&amp;"' AS TIPOLOGIA_TESTE,'"&amp;D152&amp;"' AS TABELA_LT,'N/A' AS TABELA_SIMUL,'"&amp;F152&amp;"' AS CAMPO, "&amp;"'${ref_date}' AS REF_DATE, COUNT(*) AS NUM_REG, SUM(IF(TRIM(CAST(X."&amp;F152&amp;" AS STRING))='' OR TRIM(CAST(X."&amp;F152&amp;" AS STRING)) IS NULL OR CAST(X."&amp;F152&amp;" AS STRING) NOT "&amp;H152&amp;",1,0)) AS NUM_REG_DIF,'"&amp;MAX('ID1&amp;5'!K:K)+1&amp;"' AS ID_EXEC, CURRENT_TIMESTAMP() AS TIME_EXEC FROM "&amp;I152,"SELECT '"&amp;UPPER(B152)&amp;"' AS TABELA, '"&amp;UPPER(C152)&amp;"' AS TIPOLOGIA_TESTE,'"&amp;D152&amp;"' AS TABELA_LT,'N/A' AS TABELA_SIMUL,'"&amp;F152&amp;"' AS CAMPO, "&amp;"'${ref_date}' AS REF_DATE, COUNT(*) AS NUM_REG, SUM(IF(TRIM(CAST(X."&amp;F152&amp;" AS STRING))='' OR TRIM(CAST(X."&amp;F152&amp;" AS STRING)) IS NULL,1,0)) AS NUM_REG_DIF,'"&amp;MAX('ID1&amp;5'!K:K)+1&amp;"' AS ID_EXEC, CURRENT_TIMESTAMP() AS TIME_EXEC FROM "&amp;I152),
IF(C152="Caracteres Especiais",+"SELECT '"&amp;UPPER(B152)&amp;"' AS TABELA, '"&amp;UPPER(C152)&amp;"' AS TIPOLOGIA_TESTE,'"&amp;D152&amp;"' AS TABELA_LT,'N/A' AS TABELA_SIMUL,'"&amp;F152&amp;"' AS CAMPO, "&amp;"'${ref_date}' AS REF_DATE, COUNT(*) AS NUM_REG, SUM(IF(REGEXP_REPLACE(TRIM(CAST(X."&amp;F152&amp;" AS STRING)),'[^a-zA-Z0-9_\\s]','') &lt;&gt;TRIM(CAST(X."&amp;F152&amp;" AS STRING)),1,0)) AS NUM_REG_DIF,'"&amp;MAX('ID1&amp;5'!K:K)+1&amp;"' AS ID_EXEC, CURRENT_TIMESTAMP() AS TIME_EXEC FROM "&amp;I152,
IF(C152="Missings",+"SELECT '"&amp;UPPER(B152)&amp;"' AS TABELA, '"&amp;UPPER(C152)&amp;"' AS TIPOLOGIA_TESTE,'"&amp;D152&amp;"' AS TABELA_LT,'N/A' AS TABELA_SIMUL,'"&amp;F152&amp;"' AS CAMPO, "&amp;"'${ref_date}' AS REF_DATE, COUNT(*) AS NUM_REG, SUM(IF(TRIM(CAST(X."&amp;F152&amp;" AS STRING)) IN ('0000-00-00','0001-01-01','9999-12-31','MISS','00000','99999999999','99999999999.00','99999999999.000000'),1,0)) AS NUM_REG_DIF,'"&amp;MAX('ID1&amp;5'!K:K)+1&amp;"' AS ID_EXEC, CURRENT_TIMESTAMP() AS TIME_EXEC FROM "&amp;I152,
IF(C152="Not applicable",+"SELECT '"&amp;UPPER(B152)&amp;"' AS TABELA, '"&amp;UPPER(C152)&amp;"' AS TIPOLOGIA_TESTE,'"&amp;D152&amp;"' AS TABELA_LT,'N/A' AS TABELA_SIMUL,'"&amp;F152&amp;"' AS CAMPO, "&amp;"'${ref_date}' AS REF_DATE, COUNT(*) AS NUM_REG, SUM(IF(TRIM(CAST(X."&amp;F152&amp;" AS STRING)) IN ('N/A','11111111111','11111111111.00','11111111111.000000','1111-11-11'),1,0)) AS NUM_REG_DIF,'"&amp;MAX('ID1&amp;5'!K:K)+1&amp;"' AS ID_EXEC, CURRENT_TIMESTAMP() AS TIME_EXEC FROM "&amp;I152,
IF(C152="Valores extremos",+"SELECT '"&amp;UPPER(B152)&amp;"' AS TABELA, '"&amp;UPPER(C152)&amp;"' AS TIPOLOGIA_TESTE,'"&amp;D152&amp;"' AS TABELA_LT,'N/A' AS TABELA_SIMUL,'"&amp;F152&amp;"' AS CAMPO, "&amp;"'${ref_date}' AS REF_DATE, CAST(MIN("&amp;F152&amp;") AS STRING) AS VALOR_MIN, CAST(MAX("&amp;F152&amp;") AS STRING) AS VALOR_MAX,'"&amp;MAX('ID1&amp;5'!K:K)+1&amp;"' AS ID_EXEC, CURRENT_TIMESTAMP() AS TIME_EXEC FROM "&amp;MID(I152,1,LEN(I152)-2)&amp;" AND CAST("&amp;F152&amp;"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TABELA_SIMUL,'INTRNL_UNT' AS CAMPO, '${ref_date}' AS REF_DATE, COUNT(*) AS NUM_REG, SUM(IF(COALESCE(CAST(X.INTRNL_UNT AS STRING),'')&lt;&gt;COALESCE(CAST(Y.INTRNL_UNT_SIMUL AS STRING),'') OR (X.INTRNL_UNT IS NULL AND Y.INTRNL_UNT_SIMUL IS NOT NULL ) OR (X.INTRNL_UNT IS NOT NULL AND Y.INTRNL_UNT_SIMUL IS NULL),1,0)) AS NUM_REG_DIF,'1' AS ID_EXEC, CURRENT_TIMESTAMP() AS TIME_EXEC FROM (SELECT instrmnt_id, INTRNL_UNT FROM CD_LOAN_TAPES_BCE.LT002_INSTRUMENT WHERE ref_date='${ref_date}' AND nome_perimetro='Individual Corporativo' AND segmento='ESTR' AND ambito='PM' AND entidade='00100')X INNER JOIN (SELECT instrmnt_id AS instrmnt_id_SIMUL, INTRNL_UNT AS INTRNL_UNT_SIMUL FROM BU_LOANTAPE_WORK.LT002_INSTRUMENT WHERE ref_date='${ref_date}' AND nome_perimetro='Individual Corporativo' AND segmento='ESTR' AND ambito='PM' AND entidade='00100')Y ON X.INSTRMNT_ID=Y.INSTRMNT_ID_SIMUL</v>
      </c>
      <c r="M152" s="36" t="str">
        <f t="shared" si="2"/>
        <v>UNION ALL SELECT 'INSTRUMENT' AS TABELA, 'COERÊNCIA' AS TIPOLOGIA_TESTE,'CD_LOAN_TAPES_BCE.LT002_INSTRUMENT' AS TABELA_LT,'BU_LOANTAPE_WORK.LT002_INSTRUMENT' AS TABELA_SIMUL,'INTRNL_UNT' AS CAMPO, '${ref_date}' AS REF_DATE, COUNT(*) AS NUM_REG, SUM(IF(COALESCE(CAST(X.INTRNL_UNT AS STRING),'')&lt;&gt;COALESCE(CAST(Y.INTRNL_UNT_SIMUL AS STRING),'') OR (X.INTRNL_UNT IS NULL AND Y.INTRNL_UNT_SIMUL IS NOT NULL ) OR (X.INTRNL_UNT IS NOT NULL AND Y.INTRNL_UNT_SIMUL IS NULL),1,0)) AS NUM_REG_DIF,'1' AS ID_EXEC, CURRENT_TIMESTAMP() AS TIME_EXEC FROM (SELECT instrmnt_id, INTRNL_UNT FROM CD_LOAN_TAPES_BCE.LT002_INSTRUMENT WHERE ref_date='${ref_date}' AND nome_perimetro='Individual Corporativo' AND segmento='ESTR' AND ambito='PM' AND entidade='00100')X INNER JOIN (SELECT instrmnt_id AS instrmnt_id_SIMUL, INTRNL_UNT AS INTRNL_UNT_SIMUL FROM BU_LOANTAPE_WORK.LT002_INSTRUMENT WHERE ref_date='${ref_date}' AND nome_perimetro='Individual Corporativo' AND segmento='ESTR' AND ambito='PM' AND entidade='00100')Y ON X.INSTRMNT_ID=Y.INSTRMNT_ID_SIMUL</v>
      </c>
      <c r="N152" s="38" t="s">
        <v>46</v>
      </c>
    </row>
    <row r="153" spans="2:14" hidden="1">
      <c r="B153" s="34" t="s">
        <v>126</v>
      </c>
      <c r="C153" s="34" t="s">
        <v>5</v>
      </c>
      <c r="D153" s="34" t="str">
        <f>+UPPER('0. Instruções'!$D$35&amp;"."&amp;VLOOKUP(B153,'0. Instruções'!$C$27:$D$32,2,FALSE))</f>
        <v>CD_LOAN_TAPES_BCE.LT002_INSTRUMENT</v>
      </c>
      <c r="E153" s="34" t="str">
        <f>+UPPER('0. Instruções'!$D$36&amp;"."&amp;VLOOKUP(B153,'0. Instruções'!$C$27:$E$32,3,FALSE))</f>
        <v>BU_LOANTAPE_WORK.LT002_INSTRUMENT</v>
      </c>
      <c r="F153" s="34" t="s">
        <v>449</v>
      </c>
      <c r="G153" s="34"/>
      <c r="H153" s="34" t="s">
        <v>648</v>
      </c>
      <c r="I153" s="34" t="str">
        <f>"(SELECT "&amp;VLOOKUP(B153,'0. Instruções'!$C$27:$G$32,4,FALSE)&amp;", "&amp;F153&amp;" FROM "&amp;D153&amp;" WHERE "&amp;'0. Instruções'!$D$42&amp;")X"</f>
        <v>(SELECT instrmnt_id, LCRE FROM CD_LOAN_TAPES_BCE.LT002_INSTRUMENT WHERE ref_date='${ref_date}' AND nome_perimetro='Individual Corporativo' AND segmento='ESTR' AND ambito='PM' AND entidade='00100')X</v>
      </c>
      <c r="J153" s="34" t="str">
        <f>"(SELECT "&amp;VLOOKUP(B153,'0. Instruções'!$C$27:$G$32,4,FALSE)&amp;" AS "&amp;VLOOKUP(B153,'0. Instruções'!$C$27:$G$32,4,FALSE)&amp;"_SIMUL, "&amp;F153&amp;" AS "&amp;F153&amp;"_SIMUL FROM "&amp;E153&amp;" WHERE "&amp;'0. Instruções'!$D$43&amp;")Y"</f>
        <v>(SELECT instrmnt_id AS instrmnt_id_SIMUL, LCRE AS LCRE_SIMUL FROM BU_LOANTAPE_WORK.LT002_INSTRUMENT WHERE ref_date='${ref_date}' AND nome_perimetro='Individual Corporativo' AND segmento='ESTR' AND ambito='PM' AND entidade='00100')Y</v>
      </c>
      <c r="K153" s="35" t="str">
        <f>+UPPER("ON X."&amp;VLOOKUP(B153,'0. Instruções'!$C$27:$G$32,4,FALSE)&amp;"=Y."&amp;VLOOKUP(B153,'0. Instruções'!$C$27:$G$32,4,FALSE)&amp;"_SIMUL")</f>
        <v>ON X.INSTRMNT_ID=Y.INSTRMNT_ID_SIMUL</v>
      </c>
      <c r="L153" s="35" t="str">
        <f>+IF(C153="Coerência", +IF(LEFT(G153,5)="FLOAT","SELECT '"&amp;UPPER(B153)&amp;"' AS TABELA, '"&amp;UPPER(C153)&amp;"' AS TIPOLOGIA_TESTE,'"&amp;D153&amp;"' AS TABELA_LT,'"&amp;E153&amp;"' AS TABELA_SIMUL,'"&amp;F153&amp;"' AS CAMPO, "&amp;"'${ref_date}' AS REF_DATE, COUNT(*) AS NUM_REG, SUM(IF((ABS(COALESCE(CAST(X."&amp;F153&amp;" AS DECIMAL(18,6)),0)-COALESCE(CAST(Y."&amp;F153&amp;"_SIMUL AS DECIMAL(18,6)),0))&gt;0.000001) OR (X."&amp;F153&amp;" IS NULL AND Y."&amp;F153&amp;"_SIMUL IS NOT NULL ) OR (X."&amp;F153&amp;" IS NOT NULL AND Y."&amp;F153&amp;"_SIMUL IS NULL),1,0)) AS NUM_REG_DIF,'"&amp;MAX('ID1&amp;5'!K:K)+1&amp;"' AS ID_EXEC, CURRENT_TIMESTAMP() AS TIME_EXEC FROM "&amp;I153&amp;" INNER JOIN "&amp;J153&amp;" "&amp;K153,"SELECT '"&amp;UPPER(B153)&amp;"' AS TABELA, '"&amp;UPPER(C153)&amp;"' AS TIPOLOGIA_TESTE,'"&amp;D153&amp;"' AS TABELA_LT,'"&amp;E153&amp;"' AS TABELA_SIMUL,'"&amp;F153&amp;"' AS CAMPO, "&amp;"'${ref_date}' AS REF_DATE, COUNT(*) AS NUM_REG, SUM(IF(COALESCE(CAST(X."&amp;F153&amp;" AS STRING),'')&lt;&gt;COALESCE(CAST(Y."&amp;F153&amp;"_SIMUL AS STRING),'') OR (X."&amp;F153&amp;" IS NULL AND Y."&amp;F153&amp;"_SIMUL IS NOT NULL ) OR (X."&amp;F153&amp;" IS NOT NULL AND Y."&amp;F153&amp;"_SIMUL IS NULL),1,0)) AS NUM_REG_DIF,'"&amp;MAX('ID1&amp;5'!L:L)+1&amp;"' AS ID_EXEC, CURRENT_TIMESTAMP() AS TIME_EXEC FROM "&amp;I153&amp;" INNER JOIN "&amp;J153&amp;" "&amp;K153),
IF(C153="Validade",+IF(G153="Code List","SELECT '"&amp;UPPER(B153)&amp;"' AS TABELA, '"&amp;UPPER(C153)&amp;"' AS TIPOLOGIA_TESTE,'"&amp;D153&amp;"' AS TABELA_LT,'N/A' AS TABELA_SIMUL,'"&amp;F153&amp;"' AS CAMPO, "&amp;"'${ref_date}' AS REF_DATE, COUNT(*) AS NUM_REG, SUM(IF(TRIM(CAST(X."&amp;F153&amp;" AS STRING))='' OR TRIM(CAST(X."&amp;F153&amp;" AS STRING)) IS NULL OR CAST(X."&amp;F153&amp;" AS STRING) NOT "&amp;H153&amp;",1,0)) AS NUM_REG_DIF,'"&amp;MAX('ID1&amp;5'!K:K)+1&amp;"' AS ID_EXEC, CURRENT_TIMESTAMP() AS TIME_EXEC FROM "&amp;I153,"SELECT '"&amp;UPPER(B153)&amp;"' AS TABELA, '"&amp;UPPER(C153)&amp;"' AS TIPOLOGIA_TESTE,'"&amp;D153&amp;"' AS TABELA_LT,'N/A' AS TABELA_SIMUL,'"&amp;F153&amp;"' AS CAMPO, "&amp;"'${ref_date}' AS REF_DATE, COUNT(*) AS NUM_REG, SUM(IF(TRIM(CAST(X."&amp;F153&amp;" AS STRING))='' OR TRIM(CAST(X."&amp;F153&amp;" AS STRING)) IS NULL,1,0)) AS NUM_REG_DIF,'"&amp;MAX('ID1&amp;5'!K:K)+1&amp;"' AS ID_EXEC, CURRENT_TIMESTAMP() AS TIME_EXEC FROM "&amp;I153),
IF(C153="Caracteres Especiais",+"SELECT '"&amp;UPPER(B153)&amp;"' AS TABELA, '"&amp;UPPER(C153)&amp;"' AS TIPOLOGIA_TESTE,'"&amp;D153&amp;"' AS TABELA_LT,'N/A' AS TABELA_SIMUL,'"&amp;F153&amp;"' AS CAMPO, "&amp;"'${ref_date}' AS REF_DATE, COUNT(*) AS NUM_REG, SUM(IF(REGEXP_REPLACE(TRIM(CAST(X."&amp;F153&amp;" AS STRING)),'[^a-zA-Z0-9_\\s]','') &lt;&gt;TRIM(CAST(X."&amp;F153&amp;" AS STRING)),1,0)) AS NUM_REG_DIF,'"&amp;MAX('ID1&amp;5'!K:K)+1&amp;"' AS ID_EXEC, CURRENT_TIMESTAMP() AS TIME_EXEC FROM "&amp;I153,
IF(C153="Missings",+"SELECT '"&amp;UPPER(B153)&amp;"' AS TABELA, '"&amp;UPPER(C153)&amp;"' AS TIPOLOGIA_TESTE,'"&amp;D153&amp;"' AS TABELA_LT,'N/A' AS TABELA_SIMUL,'"&amp;F153&amp;"' AS CAMPO, "&amp;"'${ref_date}' AS REF_DATE, COUNT(*) AS NUM_REG, SUM(IF(TRIM(CAST(X."&amp;F153&amp;" AS STRING)) IN ('0000-00-00','0001-01-01','9999-12-31','MISS','00000','99999999999','99999999999.00','99999999999.000000'),1,0)) AS NUM_REG_DIF,'"&amp;MAX('ID1&amp;5'!K:K)+1&amp;"' AS ID_EXEC, CURRENT_TIMESTAMP() AS TIME_EXEC FROM "&amp;I153,
IF(C153="Not applicable",+"SELECT '"&amp;UPPER(B153)&amp;"' AS TABELA, '"&amp;UPPER(C153)&amp;"' AS TIPOLOGIA_TESTE,'"&amp;D153&amp;"' AS TABELA_LT,'N/A' AS TABELA_SIMUL,'"&amp;F153&amp;"' AS CAMPO, "&amp;"'${ref_date}' AS REF_DATE, COUNT(*) AS NUM_REG, SUM(IF(TRIM(CAST(X."&amp;F153&amp;" AS STRING)) IN ('N/A','11111111111','11111111111.00','11111111111.000000','1111-11-11'),1,0)) AS NUM_REG_DIF,'"&amp;MAX('ID1&amp;5'!K:K)+1&amp;"' AS ID_EXEC, CURRENT_TIMESTAMP() AS TIME_EXEC FROM "&amp;I153,
IF(C153="Valores extremos",+"SELECT '"&amp;UPPER(B153)&amp;"' AS TABELA, '"&amp;UPPER(C153)&amp;"' AS TIPOLOGIA_TESTE,'"&amp;D153&amp;"' AS TABELA_LT,'N/A' AS TABELA_SIMUL,'"&amp;F153&amp;"' AS CAMPO, "&amp;"'${ref_date}' AS REF_DATE, CAST(MIN("&amp;F153&amp;") AS STRING) AS VALOR_MIN, CAST(MAX("&amp;F153&amp;") AS STRING) AS VALOR_MAX,'"&amp;MAX('ID1&amp;5'!K:K)+1&amp;"' AS ID_EXEC, CURRENT_TIMESTAMP() AS TIME_EXEC FROM "&amp;MID(I153,1,LEN(I153)-2)&amp;" AND CAST("&amp;F153&amp;"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TABELA_SIMUL,'LCRE' AS CAMPO, '${ref_date}' AS REF_DATE, COUNT(*) AS NUM_REG, SUM(IF(COALESCE(CAST(X.LCRE AS STRING),'')&lt;&gt;COALESCE(CAST(Y.LCRE_SIMUL AS STRING),'') OR (X.LCRE IS NULL AND Y.LCRE_SIMUL IS NOT NULL ) OR (X.LCRE IS NOT NULL AND Y.LCRE_SIMUL IS NULL),1,0)) AS NUM_REG_DIF,'1' AS ID_EXEC, CURRENT_TIMESTAMP() AS TIME_EXEC FROM (SELECT instrmnt_id, LCRE FROM CD_LOAN_TAPES_BCE.LT002_INSTRUMENT WHERE ref_date='${ref_date}' AND nome_perimetro='Individual Corporativo' AND segmento='ESTR' AND ambito='PM' AND entidade='00100')X INNER JOIN (SELECT instrmnt_id AS instrmnt_id_SIMUL, LCRE AS LCRE_SIMUL FROM BU_LOANTAPE_WORK.LT002_INSTRUMENT WHERE ref_date='${ref_date}' AND nome_perimetro='Individual Corporativo' AND segmento='ESTR' AND ambito='PM' AND entidade='00100')Y ON X.INSTRMNT_ID=Y.INSTRMNT_ID_SIMUL</v>
      </c>
      <c r="M153" s="36" t="str">
        <f t="shared" si="2"/>
        <v>UNION ALL SELECT 'INSTRUMENT' AS TABELA, 'COERÊNCIA' AS TIPOLOGIA_TESTE,'CD_LOAN_TAPES_BCE.LT002_INSTRUMENT' AS TABELA_LT,'BU_LOANTAPE_WORK.LT002_INSTRUMENT' AS TABELA_SIMUL,'LCRE' AS CAMPO, '${ref_date}' AS REF_DATE, COUNT(*) AS NUM_REG, SUM(IF(COALESCE(CAST(X.LCRE AS STRING),'')&lt;&gt;COALESCE(CAST(Y.LCRE_SIMUL AS STRING),'') OR (X.LCRE IS NULL AND Y.LCRE_SIMUL IS NOT NULL ) OR (X.LCRE IS NOT NULL AND Y.LCRE_SIMUL IS NULL),1,0)) AS NUM_REG_DIF,'1' AS ID_EXEC, CURRENT_TIMESTAMP() AS TIME_EXEC FROM (SELECT instrmnt_id, LCRE FROM CD_LOAN_TAPES_BCE.LT002_INSTRUMENT WHERE ref_date='${ref_date}' AND nome_perimetro='Individual Corporativo' AND segmento='ESTR' AND ambito='PM' AND entidade='00100')X INNER JOIN (SELECT instrmnt_id AS instrmnt_id_SIMUL, LCRE AS LCRE_SIMUL FROM BU_LOANTAPE_WORK.LT002_INSTRUMENT WHERE ref_date='${ref_date}' AND nome_perimetro='Individual Corporativo' AND segmento='ESTR' AND ambito='PM' AND entidade='00100')Y ON X.INSTRMNT_ID=Y.INSTRMNT_ID_SIMUL</v>
      </c>
      <c r="N153" s="38" t="s">
        <v>46</v>
      </c>
    </row>
    <row r="154" spans="2:14" hidden="1">
      <c r="B154" s="34" t="s">
        <v>126</v>
      </c>
      <c r="C154" s="34" t="s">
        <v>5</v>
      </c>
      <c r="D154" s="34" t="str">
        <f>+UPPER('0. Instruções'!$D$35&amp;"."&amp;VLOOKUP(B154,'0. Instruções'!$C$27:$D$32,2,FALSE))</f>
        <v>CD_LOAN_TAPES_BCE.LT002_INSTRUMENT</v>
      </c>
      <c r="E154" s="34" t="str">
        <f>+UPPER('0. Instruções'!$D$36&amp;"."&amp;VLOOKUP(B154,'0. Instruções'!$C$27:$E$32,3,FALSE))</f>
        <v>BU_LOANTAPE_WORK.LT002_INSTRUMENT</v>
      </c>
      <c r="F154" s="34" t="s">
        <v>450</v>
      </c>
      <c r="G154" s="34"/>
      <c r="H154" s="34" t="s">
        <v>89</v>
      </c>
      <c r="I154" s="34" t="str">
        <f>"(SELECT "&amp;VLOOKUP(B154,'0. Instruções'!$C$27:$G$32,4,FALSE)&amp;", "&amp;F154&amp;" FROM "&amp;D154&amp;" WHERE "&amp;'0. Instruções'!$D$42&amp;")X"</f>
        <v>(SELECT instrmnt_id, LGL_PRCDNG_STTS FROM CD_LOAN_TAPES_BCE.LT002_INSTRUMENT WHERE ref_date='${ref_date}' AND nome_perimetro='Individual Corporativo' AND segmento='ESTR' AND ambito='PM' AND entidade='00100')X</v>
      </c>
      <c r="J154" s="34" t="str">
        <f>"(SELECT "&amp;VLOOKUP(B154,'0. Instruções'!$C$27:$G$32,4,FALSE)&amp;" AS "&amp;VLOOKUP(B154,'0. Instruções'!$C$27:$G$32,4,FALSE)&amp;"_SIMUL, "&amp;F154&amp;" AS "&amp;F154&amp;"_SIMUL FROM "&amp;E154&amp;" WHERE "&amp;'0. Instruções'!$D$43&amp;")Y"</f>
        <v>(SELECT instrmnt_id AS instrmnt_id_SIMUL, LGL_PRCDNG_STTS AS LGL_PRCDNG_STTS_SIMUL FROM BU_LOANTAPE_WORK.LT002_INSTRUMENT WHERE ref_date='${ref_date}' AND nome_perimetro='Individual Corporativo' AND segmento='ESTR' AND ambito='PM' AND entidade='00100')Y</v>
      </c>
      <c r="K154" s="35" t="str">
        <f>+UPPER("ON X."&amp;VLOOKUP(B154,'0. Instruções'!$C$27:$G$32,4,FALSE)&amp;"=Y."&amp;VLOOKUP(B154,'0. Instruções'!$C$27:$G$32,4,FALSE)&amp;"_SIMUL")</f>
        <v>ON X.INSTRMNT_ID=Y.INSTRMNT_ID_SIMUL</v>
      </c>
      <c r="L154" s="35" t="str">
        <f>+IF(C154="Coerência", +IF(LEFT(G154,5)="FLOAT","SELECT '"&amp;UPPER(B154)&amp;"' AS TABELA, '"&amp;UPPER(C154)&amp;"' AS TIPOLOGIA_TESTE,'"&amp;D154&amp;"' AS TABELA_LT,'"&amp;E154&amp;"' AS TABELA_SIMUL,'"&amp;F154&amp;"' AS CAMPO, "&amp;"'${ref_date}' AS REF_DATE, COUNT(*) AS NUM_REG, SUM(IF((ABS(COALESCE(CAST(X."&amp;F154&amp;" AS DECIMAL(18,6)),0)-COALESCE(CAST(Y."&amp;F154&amp;"_SIMUL AS DECIMAL(18,6)),0))&gt;0.000001) OR (X."&amp;F154&amp;" IS NULL AND Y."&amp;F154&amp;"_SIMUL IS NOT NULL ) OR (X."&amp;F154&amp;" IS NOT NULL AND Y."&amp;F154&amp;"_SIMUL IS NULL),1,0)) AS NUM_REG_DIF,'"&amp;MAX('ID1&amp;5'!K:K)+1&amp;"' AS ID_EXEC, CURRENT_TIMESTAMP() AS TIME_EXEC FROM "&amp;I154&amp;" INNER JOIN "&amp;J154&amp;" "&amp;K154,"SELECT '"&amp;UPPER(B154)&amp;"' AS TABELA, '"&amp;UPPER(C154)&amp;"' AS TIPOLOGIA_TESTE,'"&amp;D154&amp;"' AS TABELA_LT,'"&amp;E154&amp;"' AS TABELA_SIMUL,'"&amp;F154&amp;"' AS CAMPO, "&amp;"'${ref_date}' AS REF_DATE, COUNT(*) AS NUM_REG, SUM(IF(COALESCE(CAST(X."&amp;F154&amp;" AS STRING),'')&lt;&gt;COALESCE(CAST(Y."&amp;F154&amp;"_SIMUL AS STRING),'') OR (X."&amp;F154&amp;" IS NULL AND Y."&amp;F154&amp;"_SIMUL IS NOT NULL ) OR (X."&amp;F154&amp;" IS NOT NULL AND Y."&amp;F154&amp;"_SIMUL IS NULL),1,0)) AS NUM_REG_DIF,'"&amp;MAX('ID1&amp;5'!L:L)+1&amp;"' AS ID_EXEC, CURRENT_TIMESTAMP() AS TIME_EXEC FROM "&amp;I154&amp;" INNER JOIN "&amp;J154&amp;" "&amp;K154),
IF(C154="Validade",+IF(G154="Code List","SELECT '"&amp;UPPER(B154)&amp;"' AS TABELA, '"&amp;UPPER(C154)&amp;"' AS TIPOLOGIA_TESTE,'"&amp;D154&amp;"' AS TABELA_LT,'N/A' AS TABELA_SIMUL,'"&amp;F154&amp;"' AS CAMPO, "&amp;"'${ref_date}' AS REF_DATE, COUNT(*) AS NUM_REG, SUM(IF(TRIM(CAST(X."&amp;F154&amp;" AS STRING))='' OR TRIM(CAST(X."&amp;F154&amp;" AS STRING)) IS NULL OR CAST(X."&amp;F154&amp;" AS STRING) NOT "&amp;H154&amp;",1,0)) AS NUM_REG_DIF,'"&amp;MAX('ID1&amp;5'!K:K)+1&amp;"' AS ID_EXEC, CURRENT_TIMESTAMP() AS TIME_EXEC FROM "&amp;I154,"SELECT '"&amp;UPPER(B154)&amp;"' AS TABELA, '"&amp;UPPER(C154)&amp;"' AS TIPOLOGIA_TESTE,'"&amp;D154&amp;"' AS TABELA_LT,'N/A' AS TABELA_SIMUL,'"&amp;F154&amp;"' AS CAMPO, "&amp;"'${ref_date}' AS REF_DATE, COUNT(*) AS NUM_REG, SUM(IF(TRIM(CAST(X."&amp;F154&amp;" AS STRING))='' OR TRIM(CAST(X."&amp;F154&amp;" AS STRING)) IS NULL,1,0)) AS NUM_REG_DIF,'"&amp;MAX('ID1&amp;5'!K:K)+1&amp;"' AS ID_EXEC, CURRENT_TIMESTAMP() AS TIME_EXEC FROM "&amp;I154),
IF(C154="Caracteres Especiais",+"SELECT '"&amp;UPPER(B154)&amp;"' AS TABELA, '"&amp;UPPER(C154)&amp;"' AS TIPOLOGIA_TESTE,'"&amp;D154&amp;"' AS TABELA_LT,'N/A' AS TABELA_SIMUL,'"&amp;F154&amp;"' AS CAMPO, "&amp;"'${ref_date}' AS REF_DATE, COUNT(*) AS NUM_REG, SUM(IF(REGEXP_REPLACE(TRIM(CAST(X."&amp;F154&amp;" AS STRING)),'[^a-zA-Z0-9_\\s]','') &lt;&gt;TRIM(CAST(X."&amp;F154&amp;" AS STRING)),1,0)) AS NUM_REG_DIF,'"&amp;MAX('ID1&amp;5'!K:K)+1&amp;"' AS ID_EXEC, CURRENT_TIMESTAMP() AS TIME_EXEC FROM "&amp;I154,
IF(C154="Missings",+"SELECT '"&amp;UPPER(B154)&amp;"' AS TABELA, '"&amp;UPPER(C154)&amp;"' AS TIPOLOGIA_TESTE,'"&amp;D154&amp;"' AS TABELA_LT,'N/A' AS TABELA_SIMUL,'"&amp;F154&amp;"' AS CAMPO, "&amp;"'${ref_date}' AS REF_DATE, COUNT(*) AS NUM_REG, SUM(IF(TRIM(CAST(X."&amp;F154&amp;" AS STRING)) IN ('0000-00-00','0001-01-01','9999-12-31','MISS','00000','99999999999','99999999999.00','99999999999.000000'),1,0)) AS NUM_REG_DIF,'"&amp;MAX('ID1&amp;5'!K:K)+1&amp;"' AS ID_EXEC, CURRENT_TIMESTAMP() AS TIME_EXEC FROM "&amp;I154,
IF(C154="Not applicable",+"SELECT '"&amp;UPPER(B154)&amp;"' AS TABELA, '"&amp;UPPER(C154)&amp;"' AS TIPOLOGIA_TESTE,'"&amp;D154&amp;"' AS TABELA_LT,'N/A' AS TABELA_SIMUL,'"&amp;F154&amp;"' AS CAMPO, "&amp;"'${ref_date}' AS REF_DATE, COUNT(*) AS NUM_REG, SUM(IF(TRIM(CAST(X."&amp;F154&amp;" AS STRING)) IN ('N/A','11111111111','11111111111.00','11111111111.000000','1111-11-11'),1,0)) AS NUM_REG_DIF,'"&amp;MAX('ID1&amp;5'!K:K)+1&amp;"' AS ID_EXEC, CURRENT_TIMESTAMP() AS TIME_EXEC FROM "&amp;I154,
IF(C154="Valores extremos",+"SELECT '"&amp;UPPER(B154)&amp;"' AS TABELA, '"&amp;UPPER(C154)&amp;"' AS TIPOLOGIA_TESTE,'"&amp;D154&amp;"' AS TABELA_LT,'N/A' AS TABELA_SIMUL,'"&amp;F154&amp;"' AS CAMPO, "&amp;"'${ref_date}' AS REF_DATE, CAST(MIN("&amp;F154&amp;") AS STRING) AS VALOR_MIN, CAST(MAX("&amp;F154&amp;") AS STRING) AS VALOR_MAX,'"&amp;MAX('ID1&amp;5'!K:K)+1&amp;"' AS ID_EXEC, CURRENT_TIMESTAMP() AS TIME_EXEC FROM "&amp;MID(I154,1,LEN(I154)-2)&amp;" AND CAST("&amp;F154&amp;"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TABELA_SIMUL,'LGL_PRCDNG_STTS' AS CAMPO, '${ref_date}' AS REF_DATE, COUNT(*) AS NUM_REG, SUM(IF(COALESCE(CAST(X.LGL_PRCDNG_STTS AS STRING),'')&lt;&gt;COALESCE(CAST(Y.LGL_PRCDNG_STTS_SIMUL AS STRING),'') OR (X.LGL_PRCDNG_STTS IS NULL AND Y.LGL_PRCDNG_STTS_SIMUL IS NOT NULL ) OR (X.LGL_PRCDNG_STTS IS NOT NULL AND Y.LGL_PRCDNG_STTS_SIMUL IS NULL),1,0)) AS NUM_REG_DIF,'1' AS ID_EXEC, CURRENT_TIMESTAMP() AS TIME_EXEC FROM (SELECT instrmnt_id, LGL_PRCDNG_STTS FROM CD_LOAN_TAPES_BCE.LT002_INSTRUMENT WHERE ref_date='${ref_date}' AND nome_perimetro='Individual Corporativo' AND segmento='ESTR' AND ambito='PM' AND entidade='00100')X INNER JOIN (SELECT instrmnt_id AS instrmnt_id_SIMUL, LGL_PRCDNG_STTS AS LGL_PRCDNG_STTS_SIMUL FROM BU_LOANTAPE_WORK.LT002_INSTRUMENT WHERE ref_date='${ref_date}' AND nome_perimetro='Individual Corporativo' AND segmento='ESTR' AND ambito='PM' AND entidade='00100')Y ON X.INSTRMNT_ID=Y.INSTRMNT_ID_SIMUL</v>
      </c>
      <c r="M154" s="36" t="str">
        <f t="shared" si="2"/>
        <v>UNION ALL SELECT 'INSTRUMENT' AS TABELA, 'COERÊNCIA' AS TIPOLOGIA_TESTE,'CD_LOAN_TAPES_BCE.LT002_INSTRUMENT' AS TABELA_LT,'BU_LOANTAPE_WORK.LT002_INSTRUMENT' AS TABELA_SIMUL,'LGL_PRCDNG_STTS' AS CAMPO, '${ref_date}' AS REF_DATE, COUNT(*) AS NUM_REG, SUM(IF(COALESCE(CAST(X.LGL_PRCDNG_STTS AS STRING),'')&lt;&gt;COALESCE(CAST(Y.LGL_PRCDNG_STTS_SIMUL AS STRING),'') OR (X.LGL_PRCDNG_STTS IS NULL AND Y.LGL_PRCDNG_STTS_SIMUL IS NOT NULL ) OR (X.LGL_PRCDNG_STTS IS NOT NULL AND Y.LGL_PRCDNG_STTS_SIMUL IS NULL),1,0)) AS NUM_REG_DIF,'1' AS ID_EXEC, CURRENT_TIMESTAMP() AS TIME_EXEC FROM (SELECT instrmnt_id, LGL_PRCDNG_STTS FROM CD_LOAN_TAPES_BCE.LT002_INSTRUMENT WHERE ref_date='${ref_date}' AND nome_perimetro='Individual Corporativo' AND segmento='ESTR' AND ambito='PM' AND entidade='00100')X INNER JOIN (SELECT instrmnt_id AS instrmnt_id_SIMUL, LGL_PRCDNG_STTS AS LGL_PRCDNG_STTS_SIMUL FROM BU_LOANTAPE_WORK.LT002_INSTRUMENT WHERE ref_date='${ref_date}' AND nome_perimetro='Individual Corporativo' AND segmento='ESTR' AND ambito='PM' AND entidade='00100')Y ON X.INSTRMNT_ID=Y.INSTRMNT_ID_SIMUL</v>
      </c>
      <c r="N154" s="38" t="s">
        <v>46</v>
      </c>
    </row>
    <row r="155" spans="2:14" hidden="1">
      <c r="B155" s="34" t="s">
        <v>126</v>
      </c>
      <c r="C155" s="34" t="s">
        <v>5</v>
      </c>
      <c r="D155" s="34" t="str">
        <f>+UPPER('0. Instruções'!$D$35&amp;"."&amp;VLOOKUP(B155,'0. Instruções'!$C$27:$D$32,2,FALSE))</f>
        <v>CD_LOAN_TAPES_BCE.LT002_INSTRUMENT</v>
      </c>
      <c r="E155" s="34" t="str">
        <f>+UPPER('0. Instruções'!$D$36&amp;"."&amp;VLOOKUP(B155,'0. Instruções'!$C$27:$E$32,3,FALSE))</f>
        <v>BU_LOANTAPE_WORK.LT002_INSTRUMENT</v>
      </c>
      <c r="F155" s="34" t="s">
        <v>451</v>
      </c>
      <c r="G155" s="34"/>
      <c r="H155" s="34" t="s">
        <v>648</v>
      </c>
      <c r="I155" s="34" t="str">
        <f>"(SELECT "&amp;VLOOKUP(B155,'0. Instruções'!$C$27:$G$32,4,FALSE)&amp;", "&amp;F155&amp;" FROM "&amp;D155&amp;" WHERE "&amp;'0. Instruções'!$D$42&amp;")X"</f>
        <v>(SELECT instrmnt_id, LND_DRGTN FROM CD_LOAN_TAPES_BCE.LT002_INSTRUMENT WHERE ref_date='${ref_date}' AND nome_perimetro='Individual Corporativo' AND segmento='ESTR' AND ambito='PM' AND entidade='00100')X</v>
      </c>
      <c r="J155" s="34" t="str">
        <f>"(SELECT "&amp;VLOOKUP(B155,'0. Instruções'!$C$27:$G$32,4,FALSE)&amp;" AS "&amp;VLOOKUP(B155,'0. Instruções'!$C$27:$G$32,4,FALSE)&amp;"_SIMUL, "&amp;F155&amp;" AS "&amp;F155&amp;"_SIMUL FROM "&amp;E155&amp;" WHERE "&amp;'0. Instruções'!$D$43&amp;")Y"</f>
        <v>(SELECT instrmnt_id AS instrmnt_id_SIMUL, LND_DRGTN AS LND_DRGTN_SIMUL FROM BU_LOANTAPE_WORK.LT002_INSTRUMENT WHERE ref_date='${ref_date}' AND nome_perimetro='Individual Corporativo' AND segmento='ESTR' AND ambito='PM' AND entidade='00100')Y</v>
      </c>
      <c r="K155" s="35" t="str">
        <f>+UPPER("ON X."&amp;VLOOKUP(B155,'0. Instruções'!$C$27:$G$32,4,FALSE)&amp;"=Y."&amp;VLOOKUP(B155,'0. Instruções'!$C$27:$G$32,4,FALSE)&amp;"_SIMUL")</f>
        <v>ON X.INSTRMNT_ID=Y.INSTRMNT_ID_SIMUL</v>
      </c>
      <c r="L155" s="35" t="str">
        <f>+IF(C155="Coerência", +IF(LEFT(G155,5)="FLOAT","SELECT '"&amp;UPPER(B155)&amp;"' AS TABELA, '"&amp;UPPER(C155)&amp;"' AS TIPOLOGIA_TESTE,'"&amp;D155&amp;"' AS TABELA_LT,'"&amp;E155&amp;"' AS TABELA_SIMUL,'"&amp;F155&amp;"' AS CAMPO, "&amp;"'${ref_date}' AS REF_DATE, COUNT(*) AS NUM_REG, SUM(IF((ABS(COALESCE(CAST(X."&amp;F155&amp;" AS DECIMAL(18,6)),0)-COALESCE(CAST(Y."&amp;F155&amp;"_SIMUL AS DECIMAL(18,6)),0))&gt;0.000001) OR (X."&amp;F155&amp;" IS NULL AND Y."&amp;F155&amp;"_SIMUL IS NOT NULL ) OR (X."&amp;F155&amp;" IS NOT NULL AND Y."&amp;F155&amp;"_SIMUL IS NULL),1,0)) AS NUM_REG_DIF,'"&amp;MAX('ID1&amp;5'!K:K)+1&amp;"' AS ID_EXEC, CURRENT_TIMESTAMP() AS TIME_EXEC FROM "&amp;I155&amp;" INNER JOIN "&amp;J155&amp;" "&amp;K155,"SELECT '"&amp;UPPER(B155)&amp;"' AS TABELA, '"&amp;UPPER(C155)&amp;"' AS TIPOLOGIA_TESTE,'"&amp;D155&amp;"' AS TABELA_LT,'"&amp;E155&amp;"' AS TABELA_SIMUL,'"&amp;F155&amp;"' AS CAMPO, "&amp;"'${ref_date}' AS REF_DATE, COUNT(*) AS NUM_REG, SUM(IF(COALESCE(CAST(X."&amp;F155&amp;" AS STRING),'')&lt;&gt;COALESCE(CAST(Y."&amp;F155&amp;"_SIMUL AS STRING),'') OR (X."&amp;F155&amp;" IS NULL AND Y."&amp;F155&amp;"_SIMUL IS NOT NULL ) OR (X."&amp;F155&amp;" IS NOT NULL AND Y."&amp;F155&amp;"_SIMUL IS NULL),1,0)) AS NUM_REG_DIF,'"&amp;MAX('ID1&amp;5'!L:L)+1&amp;"' AS ID_EXEC, CURRENT_TIMESTAMP() AS TIME_EXEC FROM "&amp;I155&amp;" INNER JOIN "&amp;J155&amp;" "&amp;K155),
IF(C155="Validade",+IF(G155="Code List","SELECT '"&amp;UPPER(B155)&amp;"' AS TABELA, '"&amp;UPPER(C155)&amp;"' AS TIPOLOGIA_TESTE,'"&amp;D155&amp;"' AS TABELA_LT,'N/A' AS TABELA_SIMUL,'"&amp;F155&amp;"' AS CAMPO, "&amp;"'${ref_date}' AS REF_DATE, COUNT(*) AS NUM_REG, SUM(IF(TRIM(CAST(X."&amp;F155&amp;" AS STRING))='' OR TRIM(CAST(X."&amp;F155&amp;" AS STRING)) IS NULL OR CAST(X."&amp;F155&amp;" AS STRING) NOT "&amp;H155&amp;",1,0)) AS NUM_REG_DIF,'"&amp;MAX('ID1&amp;5'!K:K)+1&amp;"' AS ID_EXEC, CURRENT_TIMESTAMP() AS TIME_EXEC FROM "&amp;I155,"SELECT '"&amp;UPPER(B155)&amp;"' AS TABELA, '"&amp;UPPER(C155)&amp;"' AS TIPOLOGIA_TESTE,'"&amp;D155&amp;"' AS TABELA_LT,'N/A' AS TABELA_SIMUL,'"&amp;F155&amp;"' AS CAMPO, "&amp;"'${ref_date}' AS REF_DATE, COUNT(*) AS NUM_REG, SUM(IF(TRIM(CAST(X."&amp;F155&amp;" AS STRING))='' OR TRIM(CAST(X."&amp;F155&amp;" AS STRING)) IS NULL,1,0)) AS NUM_REG_DIF,'"&amp;MAX('ID1&amp;5'!K:K)+1&amp;"' AS ID_EXEC, CURRENT_TIMESTAMP() AS TIME_EXEC FROM "&amp;I155),
IF(C155="Caracteres Especiais",+"SELECT '"&amp;UPPER(B155)&amp;"' AS TABELA, '"&amp;UPPER(C155)&amp;"' AS TIPOLOGIA_TESTE,'"&amp;D155&amp;"' AS TABELA_LT,'N/A' AS TABELA_SIMUL,'"&amp;F155&amp;"' AS CAMPO, "&amp;"'${ref_date}' AS REF_DATE, COUNT(*) AS NUM_REG, SUM(IF(REGEXP_REPLACE(TRIM(CAST(X."&amp;F155&amp;" AS STRING)),'[^a-zA-Z0-9_\\s]','') &lt;&gt;TRIM(CAST(X."&amp;F155&amp;" AS STRING)),1,0)) AS NUM_REG_DIF,'"&amp;MAX('ID1&amp;5'!K:K)+1&amp;"' AS ID_EXEC, CURRENT_TIMESTAMP() AS TIME_EXEC FROM "&amp;I155,
IF(C155="Missings",+"SELECT '"&amp;UPPER(B155)&amp;"' AS TABELA, '"&amp;UPPER(C155)&amp;"' AS TIPOLOGIA_TESTE,'"&amp;D155&amp;"' AS TABELA_LT,'N/A' AS TABELA_SIMUL,'"&amp;F155&amp;"' AS CAMPO, "&amp;"'${ref_date}' AS REF_DATE, COUNT(*) AS NUM_REG, SUM(IF(TRIM(CAST(X."&amp;F155&amp;" AS STRING)) IN ('0000-00-00','0001-01-01','9999-12-31','MISS','00000','99999999999','99999999999.00','99999999999.000000'),1,0)) AS NUM_REG_DIF,'"&amp;MAX('ID1&amp;5'!K:K)+1&amp;"' AS ID_EXEC, CURRENT_TIMESTAMP() AS TIME_EXEC FROM "&amp;I155,
IF(C155="Not applicable",+"SELECT '"&amp;UPPER(B155)&amp;"' AS TABELA, '"&amp;UPPER(C155)&amp;"' AS TIPOLOGIA_TESTE,'"&amp;D155&amp;"' AS TABELA_LT,'N/A' AS TABELA_SIMUL,'"&amp;F155&amp;"' AS CAMPO, "&amp;"'${ref_date}' AS REF_DATE, COUNT(*) AS NUM_REG, SUM(IF(TRIM(CAST(X."&amp;F155&amp;" AS STRING)) IN ('N/A','11111111111','11111111111.00','11111111111.000000','1111-11-11'),1,0)) AS NUM_REG_DIF,'"&amp;MAX('ID1&amp;5'!K:K)+1&amp;"' AS ID_EXEC, CURRENT_TIMESTAMP() AS TIME_EXEC FROM "&amp;I155,
IF(C155="Valores extremos",+"SELECT '"&amp;UPPER(B155)&amp;"' AS TABELA, '"&amp;UPPER(C155)&amp;"' AS TIPOLOGIA_TESTE,'"&amp;D155&amp;"' AS TABELA_LT,'N/A' AS TABELA_SIMUL,'"&amp;F155&amp;"' AS CAMPO, "&amp;"'${ref_date}' AS REF_DATE, CAST(MIN("&amp;F155&amp;") AS STRING) AS VALOR_MIN, CAST(MAX("&amp;F155&amp;") AS STRING) AS VALOR_MAX,'"&amp;MAX('ID1&amp;5'!K:K)+1&amp;"' AS ID_EXEC, CURRENT_TIMESTAMP() AS TIME_EXEC FROM "&amp;MID(I155,1,LEN(I155)-2)&amp;" AND CAST("&amp;F155&amp;"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TABELA_SIMUL,'LND_DRGTN' AS CAMPO, '${ref_date}' AS REF_DATE, COUNT(*) AS NUM_REG, SUM(IF(COALESCE(CAST(X.LND_DRGTN AS STRING),'')&lt;&gt;COALESCE(CAST(Y.LND_DRGTN_SIMUL AS STRING),'') OR (X.LND_DRGTN IS NULL AND Y.LND_DRGTN_SIMUL IS NOT NULL ) OR (X.LND_DRGTN IS NOT NULL AND Y.LND_DRGTN_SIMUL IS NULL),1,0)) AS NUM_REG_DIF,'1' AS ID_EXEC, CURRENT_TIMESTAMP() AS TIME_EXEC FROM (SELECT instrmnt_id, LND_DRGTN FROM CD_LOAN_TAPES_BCE.LT002_INSTRUMENT WHERE ref_date='${ref_date}' AND nome_perimetro='Individual Corporativo' AND segmento='ESTR' AND ambito='PM' AND entidade='00100')X INNER JOIN (SELECT instrmnt_id AS instrmnt_id_SIMUL, LND_DRGTN AS LND_DRGTN_SIMUL FROM BU_LOANTAPE_WORK.LT002_INSTRUMENT WHERE ref_date='${ref_date}' AND nome_perimetro='Individual Corporativo' AND segmento='ESTR' AND ambito='PM' AND entidade='00100')Y ON X.INSTRMNT_ID=Y.INSTRMNT_ID_SIMUL</v>
      </c>
      <c r="M155" s="36" t="str">
        <f t="shared" si="2"/>
        <v>UNION ALL SELECT 'INSTRUMENT' AS TABELA, 'COERÊNCIA' AS TIPOLOGIA_TESTE,'CD_LOAN_TAPES_BCE.LT002_INSTRUMENT' AS TABELA_LT,'BU_LOANTAPE_WORK.LT002_INSTRUMENT' AS TABELA_SIMUL,'LND_DRGTN' AS CAMPO, '${ref_date}' AS REF_DATE, COUNT(*) AS NUM_REG, SUM(IF(COALESCE(CAST(X.LND_DRGTN AS STRING),'')&lt;&gt;COALESCE(CAST(Y.LND_DRGTN_SIMUL AS STRING),'') OR (X.LND_DRGTN IS NULL AND Y.LND_DRGTN_SIMUL IS NOT NULL ) OR (X.LND_DRGTN IS NOT NULL AND Y.LND_DRGTN_SIMUL IS NULL),1,0)) AS NUM_REG_DIF,'1' AS ID_EXEC, CURRENT_TIMESTAMP() AS TIME_EXEC FROM (SELECT instrmnt_id, LND_DRGTN FROM CD_LOAN_TAPES_BCE.LT002_INSTRUMENT WHERE ref_date='${ref_date}' AND nome_perimetro='Individual Corporativo' AND segmento='ESTR' AND ambito='PM' AND entidade='00100')X INNER JOIN (SELECT instrmnt_id AS instrmnt_id_SIMUL, LND_DRGTN AS LND_DRGTN_SIMUL FROM BU_LOANTAPE_WORK.LT002_INSTRUMENT WHERE ref_date='${ref_date}' AND nome_perimetro='Individual Corporativo' AND segmento='ESTR' AND ambito='PM' AND entidade='00100')Y ON X.INSTRMNT_ID=Y.INSTRMNT_ID_SIMUL</v>
      </c>
      <c r="N155" s="38" t="s">
        <v>46</v>
      </c>
    </row>
    <row r="156" spans="2:14" hidden="1">
      <c r="B156" s="34" t="s">
        <v>126</v>
      </c>
      <c r="C156" s="34" t="s">
        <v>5</v>
      </c>
      <c r="D156" s="34" t="str">
        <f>+UPPER('0. Instruções'!$D$35&amp;"."&amp;VLOOKUP(B156,'0. Instruções'!$C$27:$D$32,2,FALSE))</f>
        <v>CD_LOAN_TAPES_BCE.LT002_INSTRUMENT</v>
      </c>
      <c r="E156" s="34" t="str">
        <f>+UPPER('0. Instruções'!$D$36&amp;"."&amp;VLOOKUP(B156,'0. Instruções'!$C$27:$E$32,3,FALSE))</f>
        <v>BU_LOANTAPE_WORK.LT002_INSTRUMENT</v>
      </c>
      <c r="F156" s="34" t="s">
        <v>452</v>
      </c>
      <c r="G156" s="34"/>
      <c r="H156" s="34" t="s">
        <v>648</v>
      </c>
      <c r="I156" s="34" t="str">
        <f>"(SELECT "&amp;VLOOKUP(B156,'0. Instruções'!$C$27:$G$32,4,FALSE)&amp;", "&amp;F156&amp;" FROM "&amp;D156&amp;" WHERE "&amp;'0. Instruções'!$D$42&amp;")X"</f>
        <v>(SELECT instrmnt_id, POCI FROM CD_LOAN_TAPES_BCE.LT002_INSTRUMENT WHERE ref_date='${ref_date}' AND nome_perimetro='Individual Corporativo' AND segmento='ESTR' AND ambito='PM' AND entidade='00100')X</v>
      </c>
      <c r="J156" s="34" t="str">
        <f>"(SELECT "&amp;VLOOKUP(B156,'0. Instruções'!$C$27:$G$32,4,FALSE)&amp;" AS "&amp;VLOOKUP(B156,'0. Instruções'!$C$27:$G$32,4,FALSE)&amp;"_SIMUL, "&amp;F156&amp;" AS "&amp;F156&amp;"_SIMUL FROM "&amp;E156&amp;" WHERE "&amp;'0. Instruções'!$D$43&amp;")Y"</f>
        <v>(SELECT instrmnt_id AS instrmnt_id_SIMUL, POCI AS POCI_SIMUL FROM BU_LOANTAPE_WORK.LT002_INSTRUMENT WHERE ref_date='${ref_date}' AND nome_perimetro='Individual Corporativo' AND segmento='ESTR' AND ambito='PM' AND entidade='00100')Y</v>
      </c>
      <c r="K156" s="35" t="str">
        <f>+UPPER("ON X."&amp;VLOOKUP(B156,'0. Instruções'!$C$27:$G$32,4,FALSE)&amp;"=Y."&amp;VLOOKUP(B156,'0. Instruções'!$C$27:$G$32,4,FALSE)&amp;"_SIMUL")</f>
        <v>ON X.INSTRMNT_ID=Y.INSTRMNT_ID_SIMUL</v>
      </c>
      <c r="L156" s="35" t="str">
        <f>+IF(C156="Coerência", +IF(LEFT(G156,5)="FLOAT","SELECT '"&amp;UPPER(B156)&amp;"' AS TABELA, '"&amp;UPPER(C156)&amp;"' AS TIPOLOGIA_TESTE,'"&amp;D156&amp;"' AS TABELA_LT,'"&amp;E156&amp;"' AS TABELA_SIMUL,'"&amp;F156&amp;"' AS CAMPO, "&amp;"'${ref_date}' AS REF_DATE, COUNT(*) AS NUM_REG, SUM(IF((ABS(COALESCE(CAST(X."&amp;F156&amp;" AS DECIMAL(18,6)),0)-COALESCE(CAST(Y."&amp;F156&amp;"_SIMUL AS DECIMAL(18,6)),0))&gt;0.000001) OR (X."&amp;F156&amp;" IS NULL AND Y."&amp;F156&amp;"_SIMUL IS NOT NULL ) OR (X."&amp;F156&amp;" IS NOT NULL AND Y."&amp;F156&amp;"_SIMUL IS NULL),1,0)) AS NUM_REG_DIF,'"&amp;MAX('ID1&amp;5'!K:K)+1&amp;"' AS ID_EXEC, CURRENT_TIMESTAMP() AS TIME_EXEC FROM "&amp;I156&amp;" INNER JOIN "&amp;J156&amp;" "&amp;K156,"SELECT '"&amp;UPPER(B156)&amp;"' AS TABELA, '"&amp;UPPER(C156)&amp;"' AS TIPOLOGIA_TESTE,'"&amp;D156&amp;"' AS TABELA_LT,'"&amp;E156&amp;"' AS TABELA_SIMUL,'"&amp;F156&amp;"' AS CAMPO, "&amp;"'${ref_date}' AS REF_DATE, COUNT(*) AS NUM_REG, SUM(IF(COALESCE(CAST(X."&amp;F156&amp;" AS STRING),'')&lt;&gt;COALESCE(CAST(Y."&amp;F156&amp;"_SIMUL AS STRING),'') OR (X."&amp;F156&amp;" IS NULL AND Y."&amp;F156&amp;"_SIMUL IS NOT NULL ) OR (X."&amp;F156&amp;" IS NOT NULL AND Y."&amp;F156&amp;"_SIMUL IS NULL),1,0)) AS NUM_REG_DIF,'"&amp;MAX('ID1&amp;5'!L:L)+1&amp;"' AS ID_EXEC, CURRENT_TIMESTAMP() AS TIME_EXEC FROM "&amp;I156&amp;" INNER JOIN "&amp;J156&amp;" "&amp;K156),
IF(C156="Validade",+IF(G156="Code List","SELECT '"&amp;UPPER(B156)&amp;"' AS TABELA, '"&amp;UPPER(C156)&amp;"' AS TIPOLOGIA_TESTE,'"&amp;D156&amp;"' AS TABELA_LT,'N/A' AS TABELA_SIMUL,'"&amp;F156&amp;"' AS CAMPO, "&amp;"'${ref_date}' AS REF_DATE, COUNT(*) AS NUM_REG, SUM(IF(TRIM(CAST(X."&amp;F156&amp;" AS STRING))='' OR TRIM(CAST(X."&amp;F156&amp;" AS STRING)) IS NULL OR CAST(X."&amp;F156&amp;" AS STRING) NOT "&amp;H156&amp;",1,0)) AS NUM_REG_DIF,'"&amp;MAX('ID1&amp;5'!K:K)+1&amp;"' AS ID_EXEC, CURRENT_TIMESTAMP() AS TIME_EXEC FROM "&amp;I156,"SELECT '"&amp;UPPER(B156)&amp;"' AS TABELA, '"&amp;UPPER(C156)&amp;"' AS TIPOLOGIA_TESTE,'"&amp;D156&amp;"' AS TABELA_LT,'N/A' AS TABELA_SIMUL,'"&amp;F156&amp;"' AS CAMPO, "&amp;"'${ref_date}' AS REF_DATE, COUNT(*) AS NUM_REG, SUM(IF(TRIM(CAST(X."&amp;F156&amp;" AS STRING))='' OR TRIM(CAST(X."&amp;F156&amp;" AS STRING)) IS NULL,1,0)) AS NUM_REG_DIF,'"&amp;MAX('ID1&amp;5'!K:K)+1&amp;"' AS ID_EXEC, CURRENT_TIMESTAMP() AS TIME_EXEC FROM "&amp;I156),
IF(C156="Caracteres Especiais",+"SELECT '"&amp;UPPER(B156)&amp;"' AS TABELA, '"&amp;UPPER(C156)&amp;"' AS TIPOLOGIA_TESTE,'"&amp;D156&amp;"' AS TABELA_LT,'N/A' AS TABELA_SIMUL,'"&amp;F156&amp;"' AS CAMPO, "&amp;"'${ref_date}' AS REF_DATE, COUNT(*) AS NUM_REG, SUM(IF(REGEXP_REPLACE(TRIM(CAST(X."&amp;F156&amp;" AS STRING)),'[^a-zA-Z0-9_\\s]','') &lt;&gt;TRIM(CAST(X."&amp;F156&amp;" AS STRING)),1,0)) AS NUM_REG_DIF,'"&amp;MAX('ID1&amp;5'!K:K)+1&amp;"' AS ID_EXEC, CURRENT_TIMESTAMP() AS TIME_EXEC FROM "&amp;I156,
IF(C156="Missings",+"SELECT '"&amp;UPPER(B156)&amp;"' AS TABELA, '"&amp;UPPER(C156)&amp;"' AS TIPOLOGIA_TESTE,'"&amp;D156&amp;"' AS TABELA_LT,'N/A' AS TABELA_SIMUL,'"&amp;F156&amp;"' AS CAMPO, "&amp;"'${ref_date}' AS REF_DATE, COUNT(*) AS NUM_REG, SUM(IF(TRIM(CAST(X."&amp;F156&amp;" AS STRING)) IN ('0000-00-00','0001-01-01','9999-12-31','MISS','00000','99999999999','99999999999.00','99999999999.000000'),1,0)) AS NUM_REG_DIF,'"&amp;MAX('ID1&amp;5'!K:K)+1&amp;"' AS ID_EXEC, CURRENT_TIMESTAMP() AS TIME_EXEC FROM "&amp;I156,
IF(C156="Not applicable",+"SELECT '"&amp;UPPER(B156)&amp;"' AS TABELA, '"&amp;UPPER(C156)&amp;"' AS TIPOLOGIA_TESTE,'"&amp;D156&amp;"' AS TABELA_LT,'N/A' AS TABELA_SIMUL,'"&amp;F156&amp;"' AS CAMPO, "&amp;"'${ref_date}' AS REF_DATE, COUNT(*) AS NUM_REG, SUM(IF(TRIM(CAST(X."&amp;F156&amp;" AS STRING)) IN ('N/A','11111111111','11111111111.00','11111111111.000000','1111-11-11'),1,0)) AS NUM_REG_DIF,'"&amp;MAX('ID1&amp;5'!K:K)+1&amp;"' AS ID_EXEC, CURRENT_TIMESTAMP() AS TIME_EXEC FROM "&amp;I156,
IF(C156="Valores extremos",+"SELECT '"&amp;UPPER(B156)&amp;"' AS TABELA, '"&amp;UPPER(C156)&amp;"' AS TIPOLOGIA_TESTE,'"&amp;D156&amp;"' AS TABELA_LT,'N/A' AS TABELA_SIMUL,'"&amp;F156&amp;"' AS CAMPO, "&amp;"'${ref_date}' AS REF_DATE, CAST(MIN("&amp;F156&amp;") AS STRING) AS VALOR_MIN, CAST(MAX("&amp;F156&amp;") AS STRING) AS VALOR_MAX,'"&amp;MAX('ID1&amp;5'!K:K)+1&amp;"' AS ID_EXEC, CURRENT_TIMESTAMP() AS TIME_EXEC FROM "&amp;MID(I156,1,LEN(I156)-2)&amp;" AND CAST("&amp;F156&amp;"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TABELA_SIMUL,'POCI' AS CAMPO, '${ref_date}' AS REF_DATE, COUNT(*) AS NUM_REG, SUM(IF(COALESCE(CAST(X.POCI AS STRING),'')&lt;&gt;COALESCE(CAST(Y.POCI_SIMUL AS STRING),'') OR (X.POCI IS NULL AND Y.POCI_SIMUL IS NOT NULL ) OR (X.POCI IS NOT NULL AND Y.POCI_SIMUL IS NULL),1,0)) AS NUM_REG_DIF,'1' AS ID_EXEC, CURRENT_TIMESTAMP() AS TIME_EXEC FROM (SELECT instrmnt_id, POCI FROM CD_LOAN_TAPES_BCE.LT002_INSTRUMENT WHERE ref_date='${ref_date}' AND nome_perimetro='Individual Corporativo' AND segmento='ESTR' AND ambito='PM' AND entidade='00100')X INNER JOIN (SELECT instrmnt_id AS instrmnt_id_SIMUL, POCI AS POCI_SIMUL FROM BU_LOANTAPE_WORK.LT002_INSTRUMENT WHERE ref_date='${ref_date}' AND nome_perimetro='Individual Corporativo' AND segmento='ESTR' AND ambito='PM' AND entidade='00100')Y ON X.INSTRMNT_ID=Y.INSTRMNT_ID_SIMUL</v>
      </c>
      <c r="M156" s="36" t="str">
        <f t="shared" si="2"/>
        <v>UNION ALL SELECT 'INSTRUMENT' AS TABELA, 'COERÊNCIA' AS TIPOLOGIA_TESTE,'CD_LOAN_TAPES_BCE.LT002_INSTRUMENT' AS TABELA_LT,'BU_LOANTAPE_WORK.LT002_INSTRUMENT' AS TABELA_SIMUL,'POCI' AS CAMPO, '${ref_date}' AS REF_DATE, COUNT(*) AS NUM_REG, SUM(IF(COALESCE(CAST(X.POCI AS STRING),'')&lt;&gt;COALESCE(CAST(Y.POCI_SIMUL AS STRING),'') OR (X.POCI IS NULL AND Y.POCI_SIMUL IS NOT NULL ) OR (X.POCI IS NOT NULL AND Y.POCI_SIMUL IS NULL),1,0)) AS NUM_REG_DIF,'1' AS ID_EXEC, CURRENT_TIMESTAMP() AS TIME_EXEC FROM (SELECT instrmnt_id, POCI FROM CD_LOAN_TAPES_BCE.LT002_INSTRUMENT WHERE ref_date='${ref_date}' AND nome_perimetro='Individual Corporativo' AND segmento='ESTR' AND ambito='PM' AND entidade='00100')X INNER JOIN (SELECT instrmnt_id AS instrmnt_id_SIMUL, POCI AS POCI_SIMUL FROM BU_LOANTAPE_WORK.LT002_INSTRUMENT WHERE ref_date='${ref_date}' AND nome_perimetro='Individual Corporativo' AND segmento='ESTR' AND ambito='PM' AND entidade='00100')Y ON X.INSTRMNT_ID=Y.INSTRMNT_ID_SIMUL</v>
      </c>
      <c r="N156" s="38" t="s">
        <v>46</v>
      </c>
    </row>
    <row r="157" spans="2:14" hidden="1">
      <c r="B157" s="34" t="s">
        <v>126</v>
      </c>
      <c r="C157" s="34" t="s">
        <v>5</v>
      </c>
      <c r="D157" s="34" t="str">
        <f>+UPPER('0. Instruções'!$D$35&amp;"."&amp;VLOOKUP(B157,'0. Instruções'!$C$27:$D$32,2,FALSE))</f>
        <v>CD_LOAN_TAPES_BCE.LT002_INSTRUMENT</v>
      </c>
      <c r="E157" s="34" t="str">
        <f>+UPPER('0. Instruções'!$D$36&amp;"."&amp;VLOOKUP(B157,'0. Instruções'!$C$27:$E$32,3,FALSE))</f>
        <v>BU_LOANTAPE_WORK.LT002_INSTRUMENT</v>
      </c>
      <c r="F157" s="34" t="s">
        <v>97</v>
      </c>
      <c r="G157" s="34"/>
      <c r="H157" s="35" t="s">
        <v>89</v>
      </c>
      <c r="I157" s="34" t="str">
        <f>"(SELECT "&amp;VLOOKUP(B157,'0. Instruções'!$C$27:$G$32,4,FALSE)&amp;", "&amp;F157&amp;" FROM "&amp;D157&amp;" WHERE "&amp;'0. Instruções'!$D$42&amp;")X"</f>
        <v>(SELECT instrmnt_id, PRFRMNG_STTS FROM CD_LOAN_TAPES_BCE.LT002_INSTRUMENT WHERE ref_date='${ref_date}' AND nome_perimetro='Individual Corporativo' AND segmento='ESTR' AND ambito='PM' AND entidade='00100')X</v>
      </c>
      <c r="J157" s="34" t="str">
        <f>"(SELECT "&amp;VLOOKUP(B157,'0. Instruções'!$C$27:$G$32,4,FALSE)&amp;" AS "&amp;VLOOKUP(B157,'0. Instruções'!$C$27:$G$32,4,FALSE)&amp;"_SIMUL, "&amp;F157&amp;" AS "&amp;F157&amp;"_SIMUL FROM "&amp;E157&amp;" WHERE "&amp;'0. Instruções'!$D$43&amp;")Y"</f>
        <v>(SELECT instrmnt_id AS instrmnt_id_SIMUL, PRFRMNG_STTS AS PRFRMNG_STTS_SIMUL FROM BU_LOANTAPE_WORK.LT002_INSTRUMENT WHERE ref_date='${ref_date}' AND nome_perimetro='Individual Corporativo' AND segmento='ESTR' AND ambito='PM' AND entidade='00100')Y</v>
      </c>
      <c r="K157" s="35" t="str">
        <f>+UPPER("ON X."&amp;VLOOKUP(B157,'0. Instruções'!$C$27:$G$32,4,FALSE)&amp;"=Y."&amp;VLOOKUP(B157,'0. Instruções'!$C$27:$G$32,4,FALSE)&amp;"_SIMUL")</f>
        <v>ON X.INSTRMNT_ID=Y.INSTRMNT_ID_SIMUL</v>
      </c>
      <c r="L157" s="35" t="str">
        <f>+IF(C157="Coerência", +IF(LEFT(G157,5)="FLOAT","SELECT '"&amp;UPPER(B157)&amp;"' AS TABELA, '"&amp;UPPER(C157)&amp;"' AS TIPOLOGIA_TESTE,'"&amp;D157&amp;"' AS TABELA_LT,'"&amp;E157&amp;"' AS TABELA_SIMUL,'"&amp;F157&amp;"' AS CAMPO, "&amp;"'${ref_date}' AS REF_DATE, COUNT(*) AS NUM_REG, SUM(IF((ABS(COALESCE(CAST(X."&amp;F157&amp;" AS DECIMAL(18,6)),0)-COALESCE(CAST(Y."&amp;F157&amp;"_SIMUL AS DECIMAL(18,6)),0))&gt;0.000001) OR (X."&amp;F157&amp;" IS NULL AND Y."&amp;F157&amp;"_SIMUL IS NOT NULL ) OR (X."&amp;F157&amp;" IS NOT NULL AND Y."&amp;F157&amp;"_SIMUL IS NULL),1,0)) AS NUM_REG_DIF,'"&amp;MAX('ID1&amp;5'!K:K)+1&amp;"' AS ID_EXEC, CURRENT_TIMESTAMP() AS TIME_EXEC FROM "&amp;I157&amp;" INNER JOIN "&amp;J157&amp;" "&amp;K157,"SELECT '"&amp;UPPER(B157)&amp;"' AS TABELA, '"&amp;UPPER(C157)&amp;"' AS TIPOLOGIA_TESTE,'"&amp;D157&amp;"' AS TABELA_LT,'"&amp;E157&amp;"' AS TABELA_SIMUL,'"&amp;F157&amp;"' AS CAMPO, "&amp;"'${ref_date}' AS REF_DATE, COUNT(*) AS NUM_REG, SUM(IF(COALESCE(CAST(X."&amp;F157&amp;" AS STRING),'')&lt;&gt;COALESCE(CAST(Y."&amp;F157&amp;"_SIMUL AS STRING),'') OR (X."&amp;F157&amp;" IS NULL AND Y."&amp;F157&amp;"_SIMUL IS NOT NULL ) OR (X."&amp;F157&amp;" IS NOT NULL AND Y."&amp;F157&amp;"_SIMUL IS NULL),1,0)) AS NUM_REG_DIF,'"&amp;MAX('ID1&amp;5'!L:L)+1&amp;"' AS ID_EXEC, CURRENT_TIMESTAMP() AS TIME_EXEC FROM "&amp;I157&amp;" INNER JOIN "&amp;J157&amp;" "&amp;K157),
IF(C157="Validade",+IF(G157="Code List","SELECT '"&amp;UPPER(B157)&amp;"' AS TABELA, '"&amp;UPPER(C157)&amp;"' AS TIPOLOGIA_TESTE,'"&amp;D157&amp;"' AS TABELA_LT,'N/A' AS TABELA_SIMUL,'"&amp;F157&amp;"' AS CAMPO, "&amp;"'${ref_date}' AS REF_DATE, COUNT(*) AS NUM_REG, SUM(IF(TRIM(CAST(X."&amp;F157&amp;" AS STRING))='' OR TRIM(CAST(X."&amp;F157&amp;" AS STRING)) IS NULL OR CAST(X."&amp;F157&amp;" AS STRING) NOT "&amp;H157&amp;",1,0)) AS NUM_REG_DIF,'"&amp;MAX('ID1&amp;5'!K:K)+1&amp;"' AS ID_EXEC, CURRENT_TIMESTAMP() AS TIME_EXEC FROM "&amp;I157,"SELECT '"&amp;UPPER(B157)&amp;"' AS TABELA, '"&amp;UPPER(C157)&amp;"' AS TIPOLOGIA_TESTE,'"&amp;D157&amp;"' AS TABELA_LT,'N/A' AS TABELA_SIMUL,'"&amp;F157&amp;"' AS CAMPO, "&amp;"'${ref_date}' AS REF_DATE, COUNT(*) AS NUM_REG, SUM(IF(TRIM(CAST(X."&amp;F157&amp;" AS STRING))='' OR TRIM(CAST(X."&amp;F157&amp;" AS STRING)) IS NULL,1,0)) AS NUM_REG_DIF,'"&amp;MAX('ID1&amp;5'!K:K)+1&amp;"' AS ID_EXEC, CURRENT_TIMESTAMP() AS TIME_EXEC FROM "&amp;I157),
IF(C157="Caracteres Especiais",+"SELECT '"&amp;UPPER(B157)&amp;"' AS TABELA, '"&amp;UPPER(C157)&amp;"' AS TIPOLOGIA_TESTE,'"&amp;D157&amp;"' AS TABELA_LT,'N/A' AS TABELA_SIMUL,'"&amp;F157&amp;"' AS CAMPO, "&amp;"'${ref_date}' AS REF_DATE, COUNT(*) AS NUM_REG, SUM(IF(REGEXP_REPLACE(TRIM(CAST(X."&amp;F157&amp;" AS STRING)),'[^a-zA-Z0-9_\\s]','') &lt;&gt;TRIM(CAST(X."&amp;F157&amp;" AS STRING)),1,0)) AS NUM_REG_DIF,'"&amp;MAX('ID1&amp;5'!K:K)+1&amp;"' AS ID_EXEC, CURRENT_TIMESTAMP() AS TIME_EXEC FROM "&amp;I157,
IF(C157="Missings",+"SELECT '"&amp;UPPER(B157)&amp;"' AS TABELA, '"&amp;UPPER(C157)&amp;"' AS TIPOLOGIA_TESTE,'"&amp;D157&amp;"' AS TABELA_LT,'N/A' AS TABELA_SIMUL,'"&amp;F157&amp;"' AS CAMPO, "&amp;"'${ref_date}' AS REF_DATE, COUNT(*) AS NUM_REG, SUM(IF(TRIM(CAST(X."&amp;F157&amp;" AS STRING)) IN ('0000-00-00','0001-01-01','9999-12-31','MISS','00000','99999999999','99999999999.00','99999999999.000000'),1,0)) AS NUM_REG_DIF,'"&amp;MAX('ID1&amp;5'!K:K)+1&amp;"' AS ID_EXEC, CURRENT_TIMESTAMP() AS TIME_EXEC FROM "&amp;I157,
IF(C157="Not applicable",+"SELECT '"&amp;UPPER(B157)&amp;"' AS TABELA, '"&amp;UPPER(C157)&amp;"' AS TIPOLOGIA_TESTE,'"&amp;D157&amp;"' AS TABELA_LT,'N/A' AS TABELA_SIMUL,'"&amp;F157&amp;"' AS CAMPO, "&amp;"'${ref_date}' AS REF_DATE, COUNT(*) AS NUM_REG, SUM(IF(TRIM(CAST(X."&amp;F157&amp;" AS STRING)) IN ('N/A','11111111111','11111111111.00','11111111111.000000','1111-11-11'),1,0)) AS NUM_REG_DIF,'"&amp;MAX('ID1&amp;5'!K:K)+1&amp;"' AS ID_EXEC, CURRENT_TIMESTAMP() AS TIME_EXEC FROM "&amp;I157,
IF(C157="Valores extremos",+"SELECT '"&amp;UPPER(B157)&amp;"' AS TABELA, '"&amp;UPPER(C157)&amp;"' AS TIPOLOGIA_TESTE,'"&amp;D157&amp;"' AS TABELA_LT,'N/A' AS TABELA_SIMUL,'"&amp;F157&amp;"' AS CAMPO, "&amp;"'${ref_date}' AS REF_DATE, CAST(MIN("&amp;F157&amp;") AS STRING) AS VALOR_MIN, CAST(MAX("&amp;F157&amp;") AS STRING) AS VALOR_MAX,'"&amp;MAX('ID1&amp;5'!K:K)+1&amp;"' AS ID_EXEC, CURRENT_TIMESTAMP() AS TIME_EXEC FROM "&amp;MID(I157,1,LEN(I157)-2)&amp;" AND CAST("&amp;F157&amp;"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TABELA_SIMUL,'PRFRMNG_STTS' AS CAMPO, '${ref_date}' AS REF_DATE, COUNT(*) AS NUM_REG, SUM(IF(COALESCE(CAST(X.PRFRMNG_STTS AS STRING),'')&lt;&gt;COALESCE(CAST(Y.PRFRMNG_STTS_SIMUL AS STRING),'') OR (X.PRFRMNG_STTS IS NULL AND Y.PRFRMNG_STTS_SIMUL IS NOT NULL ) OR (X.PRFRMNG_STTS IS NOT NULL AND Y.PRFRMNG_STTS_SIMUL IS NULL),1,0)) AS NUM_REG_DIF,'1' AS ID_EXEC, CURRENT_TIMESTAMP() AS TIME_EXEC FROM (SELECT instrmnt_id, PRFRMNG_STTS FROM CD_LOAN_TAPES_BCE.LT002_INSTRUMENT WHERE ref_date='${ref_date}' AND nome_perimetro='Individual Corporativo' AND segmento='ESTR' AND ambito='PM' AND entidade='00100')X INNER JOIN (SELECT instrmnt_id AS instrmnt_id_SIMUL, PRFRMNG_STTS AS PRFRMNG_STTS_SIMUL FROM BU_LOANTAPE_WORK.LT002_INSTRUMENT WHERE ref_date='${ref_date}' AND nome_perimetro='Individual Corporativo' AND segmento='ESTR' AND ambito='PM' AND entidade='00100')Y ON X.INSTRMNT_ID=Y.INSTRMNT_ID_SIMUL</v>
      </c>
      <c r="M157" s="36" t="str">
        <f t="shared" si="2"/>
        <v>UNION ALL SELECT 'INSTRUMENT' AS TABELA, 'COERÊNCIA' AS TIPOLOGIA_TESTE,'CD_LOAN_TAPES_BCE.LT002_INSTRUMENT' AS TABELA_LT,'BU_LOANTAPE_WORK.LT002_INSTRUMENT' AS TABELA_SIMUL,'PRFRMNG_STTS' AS CAMPO, '${ref_date}' AS REF_DATE, COUNT(*) AS NUM_REG, SUM(IF(COALESCE(CAST(X.PRFRMNG_STTS AS STRING),'')&lt;&gt;COALESCE(CAST(Y.PRFRMNG_STTS_SIMUL AS STRING),'') OR (X.PRFRMNG_STTS IS NULL AND Y.PRFRMNG_STTS_SIMUL IS NOT NULL ) OR (X.PRFRMNG_STTS IS NOT NULL AND Y.PRFRMNG_STTS_SIMUL IS NULL),1,0)) AS NUM_REG_DIF,'1' AS ID_EXEC, CURRENT_TIMESTAMP() AS TIME_EXEC FROM (SELECT instrmnt_id, PRFRMNG_STTS FROM CD_LOAN_TAPES_BCE.LT002_INSTRUMENT WHERE ref_date='${ref_date}' AND nome_perimetro='Individual Corporativo' AND segmento='ESTR' AND ambito='PM' AND entidade='00100')X INNER JOIN (SELECT instrmnt_id AS instrmnt_id_SIMUL, PRFRMNG_STTS AS PRFRMNG_STTS_SIMUL FROM BU_LOANTAPE_WORK.LT002_INSTRUMENT WHERE ref_date='${ref_date}' AND nome_perimetro='Individual Corporativo' AND segmento='ESTR' AND ambito='PM' AND entidade='00100')Y ON X.INSTRMNT_ID=Y.INSTRMNT_ID_SIMUL</v>
      </c>
      <c r="N157" s="38" t="s">
        <v>46</v>
      </c>
    </row>
    <row r="158" spans="2:14" hidden="1">
      <c r="B158" s="34" t="s">
        <v>126</v>
      </c>
      <c r="C158" s="34" t="s">
        <v>5</v>
      </c>
      <c r="D158" s="34" t="str">
        <f>+UPPER('0. Instruções'!$D$35&amp;"."&amp;VLOOKUP(B158,'0. Instruções'!$C$27:$D$32,2,FALSE))</f>
        <v>CD_LOAN_TAPES_BCE.LT002_INSTRUMENT</v>
      </c>
      <c r="E158" s="34" t="str">
        <f>+UPPER('0. Instruções'!$D$36&amp;"."&amp;VLOOKUP(B158,'0. Instruções'!$C$27:$E$32,3,FALSE))</f>
        <v>BU_LOANTAPE_WORK.LT002_INSTRUMENT</v>
      </c>
      <c r="F158" s="34" t="s">
        <v>453</v>
      </c>
      <c r="G158" s="34"/>
      <c r="H158" s="35" t="s">
        <v>89</v>
      </c>
      <c r="I158" s="34" t="str">
        <f>"(SELECT "&amp;VLOOKUP(B158,'0. Instruções'!$C$27:$G$32,4,FALSE)&amp;", "&amp;F158&amp;" FROM "&amp;D158&amp;" WHERE "&amp;'0. Instruções'!$D$42&amp;")X"</f>
        <v>(SELECT instrmnt_id, PRFRMNG_STTS_PRVS FROM CD_LOAN_TAPES_BCE.LT002_INSTRUMENT WHERE ref_date='${ref_date}' AND nome_perimetro='Individual Corporativo' AND segmento='ESTR' AND ambito='PM' AND entidade='00100')X</v>
      </c>
      <c r="J158" s="34" t="str">
        <f>"(SELECT "&amp;VLOOKUP(B158,'0. Instruções'!$C$27:$G$32,4,FALSE)&amp;" AS "&amp;VLOOKUP(B158,'0. Instruções'!$C$27:$G$32,4,FALSE)&amp;"_SIMUL, "&amp;F158&amp;" AS "&amp;F158&amp;"_SIMUL FROM "&amp;E158&amp;" WHERE "&amp;'0. Instruções'!$D$43&amp;")Y"</f>
        <v>(SELECT instrmnt_id AS instrmnt_id_SIMUL, PRFRMNG_STTS_PRVS AS PRFRMNG_STTS_PRVS_SIMUL FROM BU_LOANTAPE_WORK.LT002_INSTRUMENT WHERE ref_date='${ref_date}' AND nome_perimetro='Individual Corporativo' AND segmento='ESTR' AND ambito='PM' AND entidade='00100')Y</v>
      </c>
      <c r="K158" s="35" t="str">
        <f>+UPPER("ON X."&amp;VLOOKUP(B158,'0. Instruções'!$C$27:$G$32,4,FALSE)&amp;"=Y."&amp;VLOOKUP(B158,'0. Instruções'!$C$27:$G$32,4,FALSE)&amp;"_SIMUL")</f>
        <v>ON X.INSTRMNT_ID=Y.INSTRMNT_ID_SIMUL</v>
      </c>
      <c r="L158" s="35" t="str">
        <f>+IF(C158="Coerência", +IF(LEFT(G158,5)="FLOAT","SELECT '"&amp;UPPER(B158)&amp;"' AS TABELA, '"&amp;UPPER(C158)&amp;"' AS TIPOLOGIA_TESTE,'"&amp;D158&amp;"' AS TABELA_LT,'"&amp;E158&amp;"' AS TABELA_SIMUL,'"&amp;F158&amp;"' AS CAMPO, "&amp;"'${ref_date}' AS REF_DATE, COUNT(*) AS NUM_REG, SUM(IF((ABS(COALESCE(CAST(X."&amp;F158&amp;" AS DECIMAL(18,6)),0)-COALESCE(CAST(Y."&amp;F158&amp;"_SIMUL AS DECIMAL(18,6)),0))&gt;0.000001) OR (X."&amp;F158&amp;" IS NULL AND Y."&amp;F158&amp;"_SIMUL IS NOT NULL ) OR (X."&amp;F158&amp;" IS NOT NULL AND Y."&amp;F158&amp;"_SIMUL IS NULL),1,0)) AS NUM_REG_DIF,'"&amp;MAX('ID1&amp;5'!K:K)+1&amp;"' AS ID_EXEC, CURRENT_TIMESTAMP() AS TIME_EXEC FROM "&amp;I158&amp;" INNER JOIN "&amp;J158&amp;" "&amp;K158,"SELECT '"&amp;UPPER(B158)&amp;"' AS TABELA, '"&amp;UPPER(C158)&amp;"' AS TIPOLOGIA_TESTE,'"&amp;D158&amp;"' AS TABELA_LT,'"&amp;E158&amp;"' AS TABELA_SIMUL,'"&amp;F158&amp;"' AS CAMPO, "&amp;"'${ref_date}' AS REF_DATE, COUNT(*) AS NUM_REG, SUM(IF(COALESCE(CAST(X."&amp;F158&amp;" AS STRING),'')&lt;&gt;COALESCE(CAST(Y."&amp;F158&amp;"_SIMUL AS STRING),'') OR (X."&amp;F158&amp;" IS NULL AND Y."&amp;F158&amp;"_SIMUL IS NOT NULL ) OR (X."&amp;F158&amp;" IS NOT NULL AND Y."&amp;F158&amp;"_SIMUL IS NULL),1,0)) AS NUM_REG_DIF,'"&amp;MAX('ID1&amp;5'!L:L)+1&amp;"' AS ID_EXEC, CURRENT_TIMESTAMP() AS TIME_EXEC FROM "&amp;I158&amp;" INNER JOIN "&amp;J158&amp;" "&amp;K158),
IF(C158="Validade",+IF(G158="Code List","SELECT '"&amp;UPPER(B158)&amp;"' AS TABELA, '"&amp;UPPER(C158)&amp;"' AS TIPOLOGIA_TESTE,'"&amp;D158&amp;"' AS TABELA_LT,'N/A' AS TABELA_SIMUL,'"&amp;F158&amp;"' AS CAMPO, "&amp;"'${ref_date}' AS REF_DATE, COUNT(*) AS NUM_REG, SUM(IF(TRIM(CAST(X."&amp;F158&amp;" AS STRING))='' OR TRIM(CAST(X."&amp;F158&amp;" AS STRING)) IS NULL OR CAST(X."&amp;F158&amp;" AS STRING) NOT "&amp;H158&amp;",1,0)) AS NUM_REG_DIF,'"&amp;MAX('ID1&amp;5'!K:K)+1&amp;"' AS ID_EXEC, CURRENT_TIMESTAMP() AS TIME_EXEC FROM "&amp;I158,"SELECT '"&amp;UPPER(B158)&amp;"' AS TABELA, '"&amp;UPPER(C158)&amp;"' AS TIPOLOGIA_TESTE,'"&amp;D158&amp;"' AS TABELA_LT,'N/A' AS TABELA_SIMUL,'"&amp;F158&amp;"' AS CAMPO, "&amp;"'${ref_date}' AS REF_DATE, COUNT(*) AS NUM_REG, SUM(IF(TRIM(CAST(X."&amp;F158&amp;" AS STRING))='' OR TRIM(CAST(X."&amp;F158&amp;" AS STRING)) IS NULL,1,0)) AS NUM_REG_DIF,'"&amp;MAX('ID1&amp;5'!K:K)+1&amp;"' AS ID_EXEC, CURRENT_TIMESTAMP() AS TIME_EXEC FROM "&amp;I158),
IF(C158="Caracteres Especiais",+"SELECT '"&amp;UPPER(B158)&amp;"' AS TABELA, '"&amp;UPPER(C158)&amp;"' AS TIPOLOGIA_TESTE,'"&amp;D158&amp;"' AS TABELA_LT,'N/A' AS TABELA_SIMUL,'"&amp;F158&amp;"' AS CAMPO, "&amp;"'${ref_date}' AS REF_DATE, COUNT(*) AS NUM_REG, SUM(IF(REGEXP_REPLACE(TRIM(CAST(X."&amp;F158&amp;" AS STRING)),'[^a-zA-Z0-9_\\s]','') &lt;&gt;TRIM(CAST(X."&amp;F158&amp;" AS STRING)),1,0)) AS NUM_REG_DIF,'"&amp;MAX('ID1&amp;5'!K:K)+1&amp;"' AS ID_EXEC, CURRENT_TIMESTAMP() AS TIME_EXEC FROM "&amp;I158,
IF(C158="Missings",+"SELECT '"&amp;UPPER(B158)&amp;"' AS TABELA, '"&amp;UPPER(C158)&amp;"' AS TIPOLOGIA_TESTE,'"&amp;D158&amp;"' AS TABELA_LT,'N/A' AS TABELA_SIMUL,'"&amp;F158&amp;"' AS CAMPO, "&amp;"'${ref_date}' AS REF_DATE, COUNT(*) AS NUM_REG, SUM(IF(TRIM(CAST(X."&amp;F158&amp;" AS STRING)) IN ('0000-00-00','0001-01-01','9999-12-31','MISS','00000','99999999999','99999999999.00','99999999999.000000'),1,0)) AS NUM_REG_DIF,'"&amp;MAX('ID1&amp;5'!K:K)+1&amp;"' AS ID_EXEC, CURRENT_TIMESTAMP() AS TIME_EXEC FROM "&amp;I158,
IF(C158="Not applicable",+"SELECT '"&amp;UPPER(B158)&amp;"' AS TABELA, '"&amp;UPPER(C158)&amp;"' AS TIPOLOGIA_TESTE,'"&amp;D158&amp;"' AS TABELA_LT,'N/A' AS TABELA_SIMUL,'"&amp;F158&amp;"' AS CAMPO, "&amp;"'${ref_date}' AS REF_DATE, COUNT(*) AS NUM_REG, SUM(IF(TRIM(CAST(X."&amp;F158&amp;" AS STRING)) IN ('N/A','11111111111','11111111111.00','11111111111.000000','1111-11-11'),1,0)) AS NUM_REG_DIF,'"&amp;MAX('ID1&amp;5'!K:K)+1&amp;"' AS ID_EXEC, CURRENT_TIMESTAMP() AS TIME_EXEC FROM "&amp;I158,
IF(C158="Valores extremos",+"SELECT '"&amp;UPPER(B158)&amp;"' AS TABELA, '"&amp;UPPER(C158)&amp;"' AS TIPOLOGIA_TESTE,'"&amp;D158&amp;"' AS TABELA_LT,'N/A' AS TABELA_SIMUL,'"&amp;F158&amp;"' AS CAMPO, "&amp;"'${ref_date}' AS REF_DATE, CAST(MIN("&amp;F158&amp;") AS STRING) AS VALOR_MIN, CAST(MAX("&amp;F158&amp;") AS STRING) AS VALOR_MAX,'"&amp;MAX('ID1&amp;5'!K:K)+1&amp;"' AS ID_EXEC, CURRENT_TIMESTAMP() AS TIME_EXEC FROM "&amp;MID(I158,1,LEN(I158)-2)&amp;" AND CAST("&amp;F158&amp;"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TABELA_SIMUL,'PRFRMNG_STTS_PRVS' AS CAMPO, '${ref_date}' AS REF_DATE, COUNT(*) AS NUM_REG, SUM(IF(COALESCE(CAST(X.PRFRMNG_STTS_PRVS AS STRING),'')&lt;&gt;COALESCE(CAST(Y.PRFRMNG_STTS_PRVS_SIMUL AS STRING),'') OR (X.PRFRMNG_STTS_PRVS IS NULL AND Y.PRFRMNG_STTS_PRVS_SIMUL IS NOT NULL ) OR (X.PRFRMNG_STTS_PRVS IS NOT NULL AND Y.PRFRMNG_STTS_PRVS_SIMUL IS NULL),1,0)) AS NUM_REG_DIF,'1' AS ID_EXEC, CURRENT_TIMESTAMP() AS TIME_EXEC FROM (SELECT instrmnt_id, PRFRMNG_STTS_PRVS FROM CD_LOAN_TAPES_BCE.LT002_INSTRUMENT WHERE ref_date='${ref_date}' AND nome_perimetro='Individual Corporativo' AND segmento='ESTR' AND ambito='PM' AND entidade='00100')X INNER JOIN (SELECT instrmnt_id AS instrmnt_id_SIMUL, PRFRMNG_STTS_PRVS AS PRFRMNG_STTS_PRVS_SIMUL FROM BU_LOANTAPE_WORK.LT002_INSTRUMENT WHERE ref_date='${ref_date}' AND nome_perimetro='Individual Corporativo' AND segmento='ESTR' AND ambito='PM' AND entidade='00100')Y ON X.INSTRMNT_ID=Y.INSTRMNT_ID_SIMUL</v>
      </c>
      <c r="M158" s="36" t="str">
        <f t="shared" si="2"/>
        <v>UNION ALL SELECT 'INSTRUMENT' AS TABELA, 'COERÊNCIA' AS TIPOLOGIA_TESTE,'CD_LOAN_TAPES_BCE.LT002_INSTRUMENT' AS TABELA_LT,'BU_LOANTAPE_WORK.LT002_INSTRUMENT' AS TABELA_SIMUL,'PRFRMNG_STTS_PRVS' AS CAMPO, '${ref_date}' AS REF_DATE, COUNT(*) AS NUM_REG, SUM(IF(COALESCE(CAST(X.PRFRMNG_STTS_PRVS AS STRING),'')&lt;&gt;COALESCE(CAST(Y.PRFRMNG_STTS_PRVS_SIMUL AS STRING),'') OR (X.PRFRMNG_STTS_PRVS IS NULL AND Y.PRFRMNG_STTS_PRVS_SIMUL IS NOT NULL ) OR (X.PRFRMNG_STTS_PRVS IS NOT NULL AND Y.PRFRMNG_STTS_PRVS_SIMUL IS NULL),1,0)) AS NUM_REG_DIF,'1' AS ID_EXEC, CURRENT_TIMESTAMP() AS TIME_EXEC FROM (SELECT instrmnt_id, PRFRMNG_STTS_PRVS FROM CD_LOAN_TAPES_BCE.LT002_INSTRUMENT WHERE ref_date='${ref_date}' AND nome_perimetro='Individual Corporativo' AND segmento='ESTR' AND ambito='PM' AND entidade='00100')X INNER JOIN (SELECT instrmnt_id AS instrmnt_id_SIMUL, PRFRMNG_STTS_PRVS AS PRFRMNG_STTS_PRVS_SIMUL FROM BU_LOANTAPE_WORK.LT002_INSTRUMENT WHERE ref_date='${ref_date}' AND nome_perimetro='Individual Corporativo' AND segmento='ESTR' AND ambito='PM' AND entidade='00100')Y ON X.INSTRMNT_ID=Y.INSTRMNT_ID_SIMUL</v>
      </c>
      <c r="N158" s="38" t="s">
        <v>46</v>
      </c>
    </row>
    <row r="159" spans="2:14" hidden="1">
      <c r="B159" s="34" t="s">
        <v>126</v>
      </c>
      <c r="C159" s="34" t="s">
        <v>5</v>
      </c>
      <c r="D159" s="34" t="str">
        <f>+UPPER('0. Instruções'!$D$35&amp;"."&amp;VLOOKUP(B159,'0. Instruções'!$C$27:$D$32,2,FALSE))</f>
        <v>CD_LOAN_TAPES_BCE.LT002_INSTRUMENT</v>
      </c>
      <c r="E159" s="34" t="str">
        <f>+UPPER('0. Instruções'!$D$36&amp;"."&amp;VLOOKUP(B159,'0. Instruções'!$C$27:$E$32,3,FALSE))</f>
        <v>BU_LOANTAPE_WORK.LT002_INSTRUMENT</v>
      </c>
      <c r="F159" s="34" t="s">
        <v>98</v>
      </c>
      <c r="G159" s="34"/>
      <c r="H159" s="35" t="s">
        <v>89</v>
      </c>
      <c r="I159" s="34" t="str">
        <f>"(SELECT "&amp;VLOOKUP(B159,'0. Instruções'!$C$27:$G$32,4,FALSE)&amp;", "&amp;F159&amp;" FROM "&amp;D159&amp;" WHERE "&amp;'0. Instruções'!$D$42&amp;")X"</f>
        <v>(SELECT instrmnt_id, PRJCT_FNNC_LN FROM CD_LOAN_TAPES_BCE.LT002_INSTRUMENT WHERE ref_date='${ref_date}' AND nome_perimetro='Individual Corporativo' AND segmento='ESTR' AND ambito='PM' AND entidade='00100')X</v>
      </c>
      <c r="J159" s="34" t="str">
        <f>"(SELECT "&amp;VLOOKUP(B159,'0. Instruções'!$C$27:$G$32,4,FALSE)&amp;" AS "&amp;VLOOKUP(B159,'0. Instruções'!$C$27:$G$32,4,FALSE)&amp;"_SIMUL, "&amp;F159&amp;" AS "&amp;F159&amp;"_SIMUL FROM "&amp;E159&amp;" WHERE "&amp;'0. Instruções'!$D$43&amp;")Y"</f>
        <v>(SELECT instrmnt_id AS instrmnt_id_SIMUL, PRJCT_FNNC_LN AS PRJCT_FNNC_LN_SIMUL FROM BU_LOANTAPE_WORK.LT002_INSTRUMENT WHERE ref_date='${ref_date}' AND nome_perimetro='Individual Corporativo' AND segmento='ESTR' AND ambito='PM' AND entidade='00100')Y</v>
      </c>
      <c r="K159" s="35" t="str">
        <f>+UPPER("ON X."&amp;VLOOKUP(B159,'0. Instruções'!$C$27:$G$32,4,FALSE)&amp;"=Y."&amp;VLOOKUP(B159,'0. Instruções'!$C$27:$G$32,4,FALSE)&amp;"_SIMUL")</f>
        <v>ON X.INSTRMNT_ID=Y.INSTRMNT_ID_SIMUL</v>
      </c>
      <c r="L159" s="35" t="str">
        <f>+IF(C159="Coerência", +IF(LEFT(G159,5)="FLOAT","SELECT '"&amp;UPPER(B159)&amp;"' AS TABELA, '"&amp;UPPER(C159)&amp;"' AS TIPOLOGIA_TESTE,'"&amp;D159&amp;"' AS TABELA_LT,'"&amp;E159&amp;"' AS TABELA_SIMUL,'"&amp;F159&amp;"' AS CAMPO, "&amp;"'${ref_date}' AS REF_DATE, COUNT(*) AS NUM_REG, SUM(IF((ABS(COALESCE(CAST(X."&amp;F159&amp;" AS DECIMAL(18,6)),0)-COALESCE(CAST(Y."&amp;F159&amp;"_SIMUL AS DECIMAL(18,6)),0))&gt;0.000001) OR (X."&amp;F159&amp;" IS NULL AND Y."&amp;F159&amp;"_SIMUL IS NOT NULL ) OR (X."&amp;F159&amp;" IS NOT NULL AND Y."&amp;F159&amp;"_SIMUL IS NULL),1,0)) AS NUM_REG_DIF,'"&amp;MAX('ID1&amp;5'!K:K)+1&amp;"' AS ID_EXEC, CURRENT_TIMESTAMP() AS TIME_EXEC FROM "&amp;I159&amp;" INNER JOIN "&amp;J159&amp;" "&amp;K159,"SELECT '"&amp;UPPER(B159)&amp;"' AS TABELA, '"&amp;UPPER(C159)&amp;"' AS TIPOLOGIA_TESTE,'"&amp;D159&amp;"' AS TABELA_LT,'"&amp;E159&amp;"' AS TABELA_SIMUL,'"&amp;F159&amp;"' AS CAMPO, "&amp;"'${ref_date}' AS REF_DATE, COUNT(*) AS NUM_REG, SUM(IF(COALESCE(CAST(X."&amp;F159&amp;" AS STRING),'')&lt;&gt;COALESCE(CAST(Y."&amp;F159&amp;"_SIMUL AS STRING),'') OR (X."&amp;F159&amp;" IS NULL AND Y."&amp;F159&amp;"_SIMUL IS NOT NULL ) OR (X."&amp;F159&amp;" IS NOT NULL AND Y."&amp;F159&amp;"_SIMUL IS NULL),1,0)) AS NUM_REG_DIF,'"&amp;MAX('ID1&amp;5'!L:L)+1&amp;"' AS ID_EXEC, CURRENT_TIMESTAMP() AS TIME_EXEC FROM "&amp;I159&amp;" INNER JOIN "&amp;J159&amp;" "&amp;K159),
IF(C159="Validade",+IF(G159="Code List","SELECT '"&amp;UPPER(B159)&amp;"' AS TABELA, '"&amp;UPPER(C159)&amp;"' AS TIPOLOGIA_TESTE,'"&amp;D159&amp;"' AS TABELA_LT,'N/A' AS TABELA_SIMUL,'"&amp;F159&amp;"' AS CAMPO, "&amp;"'${ref_date}' AS REF_DATE, COUNT(*) AS NUM_REG, SUM(IF(TRIM(CAST(X."&amp;F159&amp;" AS STRING))='' OR TRIM(CAST(X."&amp;F159&amp;" AS STRING)) IS NULL OR CAST(X."&amp;F159&amp;" AS STRING) NOT "&amp;H159&amp;",1,0)) AS NUM_REG_DIF,'"&amp;MAX('ID1&amp;5'!K:K)+1&amp;"' AS ID_EXEC, CURRENT_TIMESTAMP() AS TIME_EXEC FROM "&amp;I159,"SELECT '"&amp;UPPER(B159)&amp;"' AS TABELA, '"&amp;UPPER(C159)&amp;"' AS TIPOLOGIA_TESTE,'"&amp;D159&amp;"' AS TABELA_LT,'N/A' AS TABELA_SIMUL,'"&amp;F159&amp;"' AS CAMPO, "&amp;"'${ref_date}' AS REF_DATE, COUNT(*) AS NUM_REG, SUM(IF(TRIM(CAST(X."&amp;F159&amp;" AS STRING))='' OR TRIM(CAST(X."&amp;F159&amp;" AS STRING)) IS NULL,1,0)) AS NUM_REG_DIF,'"&amp;MAX('ID1&amp;5'!K:K)+1&amp;"' AS ID_EXEC, CURRENT_TIMESTAMP() AS TIME_EXEC FROM "&amp;I159),
IF(C159="Caracteres Especiais",+"SELECT '"&amp;UPPER(B159)&amp;"' AS TABELA, '"&amp;UPPER(C159)&amp;"' AS TIPOLOGIA_TESTE,'"&amp;D159&amp;"' AS TABELA_LT,'N/A' AS TABELA_SIMUL,'"&amp;F159&amp;"' AS CAMPO, "&amp;"'${ref_date}' AS REF_DATE, COUNT(*) AS NUM_REG, SUM(IF(REGEXP_REPLACE(TRIM(CAST(X."&amp;F159&amp;" AS STRING)),'[^a-zA-Z0-9_\\s]','') &lt;&gt;TRIM(CAST(X."&amp;F159&amp;" AS STRING)),1,0)) AS NUM_REG_DIF,'"&amp;MAX('ID1&amp;5'!K:K)+1&amp;"' AS ID_EXEC, CURRENT_TIMESTAMP() AS TIME_EXEC FROM "&amp;I159,
IF(C159="Missings",+"SELECT '"&amp;UPPER(B159)&amp;"' AS TABELA, '"&amp;UPPER(C159)&amp;"' AS TIPOLOGIA_TESTE,'"&amp;D159&amp;"' AS TABELA_LT,'N/A' AS TABELA_SIMUL,'"&amp;F159&amp;"' AS CAMPO, "&amp;"'${ref_date}' AS REF_DATE, COUNT(*) AS NUM_REG, SUM(IF(TRIM(CAST(X."&amp;F159&amp;" AS STRING)) IN ('0000-00-00','0001-01-01','9999-12-31','MISS','00000','99999999999','99999999999.00','99999999999.000000'),1,0)) AS NUM_REG_DIF,'"&amp;MAX('ID1&amp;5'!K:K)+1&amp;"' AS ID_EXEC, CURRENT_TIMESTAMP() AS TIME_EXEC FROM "&amp;I159,
IF(C159="Not applicable",+"SELECT '"&amp;UPPER(B159)&amp;"' AS TABELA, '"&amp;UPPER(C159)&amp;"' AS TIPOLOGIA_TESTE,'"&amp;D159&amp;"' AS TABELA_LT,'N/A' AS TABELA_SIMUL,'"&amp;F159&amp;"' AS CAMPO, "&amp;"'${ref_date}' AS REF_DATE, COUNT(*) AS NUM_REG, SUM(IF(TRIM(CAST(X."&amp;F159&amp;" AS STRING)) IN ('N/A','11111111111','11111111111.00','11111111111.000000','1111-11-11'),1,0)) AS NUM_REG_DIF,'"&amp;MAX('ID1&amp;5'!K:K)+1&amp;"' AS ID_EXEC, CURRENT_TIMESTAMP() AS TIME_EXEC FROM "&amp;I159,
IF(C159="Valores extremos",+"SELECT '"&amp;UPPER(B159)&amp;"' AS TABELA, '"&amp;UPPER(C159)&amp;"' AS TIPOLOGIA_TESTE,'"&amp;D159&amp;"' AS TABELA_LT,'N/A' AS TABELA_SIMUL,'"&amp;F159&amp;"' AS CAMPO, "&amp;"'${ref_date}' AS REF_DATE, CAST(MIN("&amp;F159&amp;") AS STRING) AS VALOR_MIN, CAST(MAX("&amp;F159&amp;") AS STRING) AS VALOR_MAX,'"&amp;MAX('ID1&amp;5'!K:K)+1&amp;"' AS ID_EXEC, CURRENT_TIMESTAMP() AS TIME_EXEC FROM "&amp;MID(I159,1,LEN(I159)-2)&amp;" AND CAST("&amp;F159&amp;"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TABELA_SIMUL,'PRJCT_FNNC_LN' AS CAMPO, '${ref_date}' AS REF_DATE, COUNT(*) AS NUM_REG, SUM(IF(COALESCE(CAST(X.PRJCT_FNNC_LN AS STRING),'')&lt;&gt;COALESCE(CAST(Y.PRJCT_FNNC_LN_SIMUL AS STRING),'') OR (X.PRJCT_FNNC_LN IS NULL AND Y.PRJCT_FNNC_LN_SIMUL IS NOT NULL ) OR (X.PRJCT_FNNC_LN IS NOT NULL AND Y.PRJCT_FNNC_LN_SIMUL IS NULL),1,0)) AS NUM_REG_DIF,'1' AS ID_EXEC, CURRENT_TIMESTAMP() AS TIME_EXEC FROM (SELECT instrmnt_id, PRJCT_FNNC_LN FROM CD_LOAN_TAPES_BCE.LT002_INSTRUMENT WHERE ref_date='${ref_date}' AND nome_perimetro='Individual Corporativo' AND segmento='ESTR' AND ambito='PM' AND entidade='00100')X INNER JOIN (SELECT instrmnt_id AS instrmnt_id_SIMUL, PRJCT_FNNC_LN AS PRJCT_FNNC_LN_SIMUL FROM BU_LOANTAPE_WORK.LT002_INSTRUMENT WHERE ref_date='${ref_date}' AND nome_perimetro='Individual Corporativo' AND segmento='ESTR' AND ambito='PM' AND entidade='00100')Y ON X.INSTRMNT_ID=Y.INSTRMNT_ID_SIMUL</v>
      </c>
      <c r="M159" s="36" t="str">
        <f t="shared" si="2"/>
        <v>UNION ALL SELECT 'INSTRUMENT' AS TABELA, 'COERÊNCIA' AS TIPOLOGIA_TESTE,'CD_LOAN_TAPES_BCE.LT002_INSTRUMENT' AS TABELA_LT,'BU_LOANTAPE_WORK.LT002_INSTRUMENT' AS TABELA_SIMUL,'PRJCT_FNNC_LN' AS CAMPO, '${ref_date}' AS REF_DATE, COUNT(*) AS NUM_REG, SUM(IF(COALESCE(CAST(X.PRJCT_FNNC_LN AS STRING),'')&lt;&gt;COALESCE(CAST(Y.PRJCT_FNNC_LN_SIMUL AS STRING),'') OR (X.PRJCT_FNNC_LN IS NULL AND Y.PRJCT_FNNC_LN_SIMUL IS NOT NULL ) OR (X.PRJCT_FNNC_LN IS NOT NULL AND Y.PRJCT_FNNC_LN_SIMUL IS NULL),1,0)) AS NUM_REG_DIF,'1' AS ID_EXEC, CURRENT_TIMESTAMP() AS TIME_EXEC FROM (SELECT instrmnt_id, PRJCT_FNNC_LN FROM CD_LOAN_TAPES_BCE.LT002_INSTRUMENT WHERE ref_date='${ref_date}' AND nome_perimetro='Individual Corporativo' AND segmento='ESTR' AND ambito='PM' AND entidade='00100')X INNER JOIN (SELECT instrmnt_id AS instrmnt_id_SIMUL, PRJCT_FNNC_LN AS PRJCT_FNNC_LN_SIMUL FROM BU_LOANTAPE_WORK.LT002_INSTRUMENT WHERE ref_date='${ref_date}' AND nome_perimetro='Individual Corporativo' AND segmento='ESTR' AND ambito='PM' AND entidade='00100')Y ON X.INSTRMNT_ID=Y.INSTRMNT_ID_SIMUL</v>
      </c>
      <c r="N159" s="38" t="s">
        <v>46</v>
      </c>
    </row>
    <row r="160" spans="2:14" hidden="1">
      <c r="B160" s="34" t="s">
        <v>126</v>
      </c>
      <c r="C160" s="34" t="s">
        <v>5</v>
      </c>
      <c r="D160" s="34" t="str">
        <f>+UPPER('0. Instruções'!$D$35&amp;"."&amp;VLOOKUP(B160,'0. Instruções'!$C$27:$D$32,2,FALSE))</f>
        <v>CD_LOAN_TAPES_BCE.LT002_INSTRUMENT</v>
      </c>
      <c r="E160" s="34" t="str">
        <f>+UPPER('0. Instruções'!$D$36&amp;"."&amp;VLOOKUP(B160,'0. Instruções'!$C$27:$E$32,3,FALSE))</f>
        <v>BU_LOANTAPE_WORK.LT002_INSTRUMENT</v>
      </c>
      <c r="F160" s="34" t="s">
        <v>454</v>
      </c>
      <c r="G160" s="34"/>
      <c r="H160" s="35" t="s">
        <v>89</v>
      </c>
      <c r="I160" s="34" t="str">
        <f>"(SELECT "&amp;VLOOKUP(B160,'0. Instruções'!$C$27:$G$32,4,FALSE)&amp;", "&amp;F160&amp;" FROM "&amp;D160&amp;" WHERE "&amp;'0. Instruções'!$D$42&amp;")X"</f>
        <v>(SELECT instrmnt_id, PRPS FROM CD_LOAN_TAPES_BCE.LT002_INSTRUMENT WHERE ref_date='${ref_date}' AND nome_perimetro='Individual Corporativo' AND segmento='ESTR' AND ambito='PM' AND entidade='00100')X</v>
      </c>
      <c r="J160" s="34" t="str">
        <f>"(SELECT "&amp;VLOOKUP(B160,'0. Instruções'!$C$27:$G$32,4,FALSE)&amp;" AS "&amp;VLOOKUP(B160,'0. Instruções'!$C$27:$G$32,4,FALSE)&amp;"_SIMUL, "&amp;F160&amp;" AS "&amp;F160&amp;"_SIMUL FROM "&amp;E160&amp;" WHERE "&amp;'0. Instruções'!$D$43&amp;")Y"</f>
        <v>(SELECT instrmnt_id AS instrmnt_id_SIMUL, PRPS AS PRPS_SIMUL FROM BU_LOANTAPE_WORK.LT002_INSTRUMENT WHERE ref_date='${ref_date}' AND nome_perimetro='Individual Corporativo' AND segmento='ESTR' AND ambito='PM' AND entidade='00100')Y</v>
      </c>
      <c r="K160" s="35" t="str">
        <f>+UPPER("ON X."&amp;VLOOKUP(B160,'0. Instruções'!$C$27:$G$32,4,FALSE)&amp;"=Y."&amp;VLOOKUP(B160,'0. Instruções'!$C$27:$G$32,4,FALSE)&amp;"_SIMUL")</f>
        <v>ON X.INSTRMNT_ID=Y.INSTRMNT_ID_SIMUL</v>
      </c>
      <c r="L160" s="35" t="str">
        <f>+IF(C160="Coerência", +IF(LEFT(G160,5)="FLOAT","SELECT '"&amp;UPPER(B160)&amp;"' AS TABELA, '"&amp;UPPER(C160)&amp;"' AS TIPOLOGIA_TESTE,'"&amp;D160&amp;"' AS TABELA_LT,'"&amp;E160&amp;"' AS TABELA_SIMUL,'"&amp;F160&amp;"' AS CAMPO, "&amp;"'${ref_date}' AS REF_DATE, COUNT(*) AS NUM_REG, SUM(IF((ABS(COALESCE(CAST(X."&amp;F160&amp;" AS DECIMAL(18,6)),0)-COALESCE(CAST(Y."&amp;F160&amp;"_SIMUL AS DECIMAL(18,6)),0))&gt;0.000001) OR (X."&amp;F160&amp;" IS NULL AND Y."&amp;F160&amp;"_SIMUL IS NOT NULL ) OR (X."&amp;F160&amp;" IS NOT NULL AND Y."&amp;F160&amp;"_SIMUL IS NULL),1,0)) AS NUM_REG_DIF,'"&amp;MAX('ID1&amp;5'!K:K)+1&amp;"' AS ID_EXEC, CURRENT_TIMESTAMP() AS TIME_EXEC FROM "&amp;I160&amp;" INNER JOIN "&amp;J160&amp;" "&amp;K160,"SELECT '"&amp;UPPER(B160)&amp;"' AS TABELA, '"&amp;UPPER(C160)&amp;"' AS TIPOLOGIA_TESTE,'"&amp;D160&amp;"' AS TABELA_LT,'"&amp;E160&amp;"' AS TABELA_SIMUL,'"&amp;F160&amp;"' AS CAMPO, "&amp;"'${ref_date}' AS REF_DATE, COUNT(*) AS NUM_REG, SUM(IF(COALESCE(CAST(X."&amp;F160&amp;" AS STRING),'')&lt;&gt;COALESCE(CAST(Y."&amp;F160&amp;"_SIMUL AS STRING),'') OR (X."&amp;F160&amp;" IS NULL AND Y."&amp;F160&amp;"_SIMUL IS NOT NULL ) OR (X."&amp;F160&amp;" IS NOT NULL AND Y."&amp;F160&amp;"_SIMUL IS NULL),1,0)) AS NUM_REG_DIF,'"&amp;MAX('ID1&amp;5'!L:L)+1&amp;"' AS ID_EXEC, CURRENT_TIMESTAMP() AS TIME_EXEC FROM "&amp;I160&amp;" INNER JOIN "&amp;J160&amp;" "&amp;K160),
IF(C160="Validade",+IF(G160="Code List","SELECT '"&amp;UPPER(B160)&amp;"' AS TABELA, '"&amp;UPPER(C160)&amp;"' AS TIPOLOGIA_TESTE,'"&amp;D160&amp;"' AS TABELA_LT,'N/A' AS TABELA_SIMUL,'"&amp;F160&amp;"' AS CAMPO, "&amp;"'${ref_date}' AS REF_DATE, COUNT(*) AS NUM_REG, SUM(IF(TRIM(CAST(X."&amp;F160&amp;" AS STRING))='' OR TRIM(CAST(X."&amp;F160&amp;" AS STRING)) IS NULL OR CAST(X."&amp;F160&amp;" AS STRING) NOT "&amp;H160&amp;",1,0)) AS NUM_REG_DIF,'"&amp;MAX('ID1&amp;5'!K:K)+1&amp;"' AS ID_EXEC, CURRENT_TIMESTAMP() AS TIME_EXEC FROM "&amp;I160,"SELECT '"&amp;UPPER(B160)&amp;"' AS TABELA, '"&amp;UPPER(C160)&amp;"' AS TIPOLOGIA_TESTE,'"&amp;D160&amp;"' AS TABELA_LT,'N/A' AS TABELA_SIMUL,'"&amp;F160&amp;"' AS CAMPO, "&amp;"'${ref_date}' AS REF_DATE, COUNT(*) AS NUM_REG, SUM(IF(TRIM(CAST(X."&amp;F160&amp;" AS STRING))='' OR TRIM(CAST(X."&amp;F160&amp;" AS STRING)) IS NULL,1,0)) AS NUM_REG_DIF,'"&amp;MAX('ID1&amp;5'!K:K)+1&amp;"' AS ID_EXEC, CURRENT_TIMESTAMP() AS TIME_EXEC FROM "&amp;I160),
IF(C160="Caracteres Especiais",+"SELECT '"&amp;UPPER(B160)&amp;"' AS TABELA, '"&amp;UPPER(C160)&amp;"' AS TIPOLOGIA_TESTE,'"&amp;D160&amp;"' AS TABELA_LT,'N/A' AS TABELA_SIMUL,'"&amp;F160&amp;"' AS CAMPO, "&amp;"'${ref_date}' AS REF_DATE, COUNT(*) AS NUM_REG, SUM(IF(REGEXP_REPLACE(TRIM(CAST(X."&amp;F160&amp;" AS STRING)),'[^a-zA-Z0-9_\\s]','') &lt;&gt;TRIM(CAST(X."&amp;F160&amp;" AS STRING)),1,0)) AS NUM_REG_DIF,'"&amp;MAX('ID1&amp;5'!K:K)+1&amp;"' AS ID_EXEC, CURRENT_TIMESTAMP() AS TIME_EXEC FROM "&amp;I160,
IF(C160="Missings",+"SELECT '"&amp;UPPER(B160)&amp;"' AS TABELA, '"&amp;UPPER(C160)&amp;"' AS TIPOLOGIA_TESTE,'"&amp;D160&amp;"' AS TABELA_LT,'N/A' AS TABELA_SIMUL,'"&amp;F160&amp;"' AS CAMPO, "&amp;"'${ref_date}' AS REF_DATE, COUNT(*) AS NUM_REG, SUM(IF(TRIM(CAST(X."&amp;F160&amp;" AS STRING)) IN ('0000-00-00','0001-01-01','9999-12-31','MISS','00000','99999999999','99999999999.00','99999999999.000000'),1,0)) AS NUM_REG_DIF,'"&amp;MAX('ID1&amp;5'!K:K)+1&amp;"' AS ID_EXEC, CURRENT_TIMESTAMP() AS TIME_EXEC FROM "&amp;I160,
IF(C160="Not applicable",+"SELECT '"&amp;UPPER(B160)&amp;"' AS TABELA, '"&amp;UPPER(C160)&amp;"' AS TIPOLOGIA_TESTE,'"&amp;D160&amp;"' AS TABELA_LT,'N/A' AS TABELA_SIMUL,'"&amp;F160&amp;"' AS CAMPO, "&amp;"'${ref_date}' AS REF_DATE, COUNT(*) AS NUM_REG, SUM(IF(TRIM(CAST(X."&amp;F160&amp;" AS STRING)) IN ('N/A','11111111111','11111111111.00','11111111111.000000','1111-11-11'),1,0)) AS NUM_REG_DIF,'"&amp;MAX('ID1&amp;5'!K:K)+1&amp;"' AS ID_EXEC, CURRENT_TIMESTAMP() AS TIME_EXEC FROM "&amp;I160,
IF(C160="Valores extremos",+"SELECT '"&amp;UPPER(B160)&amp;"' AS TABELA, '"&amp;UPPER(C160)&amp;"' AS TIPOLOGIA_TESTE,'"&amp;D160&amp;"' AS TABELA_LT,'N/A' AS TABELA_SIMUL,'"&amp;F160&amp;"' AS CAMPO, "&amp;"'${ref_date}' AS REF_DATE, CAST(MIN("&amp;F160&amp;") AS STRING) AS VALOR_MIN, CAST(MAX("&amp;F160&amp;") AS STRING) AS VALOR_MAX,'"&amp;MAX('ID1&amp;5'!K:K)+1&amp;"' AS ID_EXEC, CURRENT_TIMESTAMP() AS TIME_EXEC FROM "&amp;MID(I160,1,LEN(I160)-2)&amp;" AND CAST("&amp;F160&amp;"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TABELA_SIMUL,'PRPS' AS CAMPO, '${ref_date}' AS REF_DATE, COUNT(*) AS NUM_REG, SUM(IF(COALESCE(CAST(X.PRPS AS STRING),'')&lt;&gt;COALESCE(CAST(Y.PRPS_SIMUL AS STRING),'') OR (X.PRPS IS NULL AND Y.PRPS_SIMUL IS NOT NULL ) OR (X.PRPS IS NOT NULL AND Y.PRPS_SIMUL IS NULL),1,0)) AS NUM_REG_DIF,'1' AS ID_EXEC, CURRENT_TIMESTAMP() AS TIME_EXEC FROM (SELECT instrmnt_id, PRPS FROM CD_LOAN_TAPES_BCE.LT002_INSTRUMENT WHERE ref_date='${ref_date}' AND nome_perimetro='Individual Corporativo' AND segmento='ESTR' AND ambito='PM' AND entidade='00100')X INNER JOIN (SELECT instrmnt_id AS instrmnt_id_SIMUL, PRPS AS PRPS_SIMUL FROM BU_LOANTAPE_WORK.LT002_INSTRUMENT WHERE ref_date='${ref_date}' AND nome_perimetro='Individual Corporativo' AND segmento='ESTR' AND ambito='PM' AND entidade='00100')Y ON X.INSTRMNT_ID=Y.INSTRMNT_ID_SIMUL</v>
      </c>
      <c r="M160" s="36" t="str">
        <f t="shared" si="2"/>
        <v>UNION ALL SELECT 'INSTRUMENT' AS TABELA, 'COERÊNCIA' AS TIPOLOGIA_TESTE,'CD_LOAN_TAPES_BCE.LT002_INSTRUMENT' AS TABELA_LT,'BU_LOANTAPE_WORK.LT002_INSTRUMENT' AS TABELA_SIMUL,'PRPS' AS CAMPO, '${ref_date}' AS REF_DATE, COUNT(*) AS NUM_REG, SUM(IF(COALESCE(CAST(X.PRPS AS STRING),'')&lt;&gt;COALESCE(CAST(Y.PRPS_SIMUL AS STRING),'') OR (X.PRPS IS NULL AND Y.PRPS_SIMUL IS NOT NULL ) OR (X.PRPS IS NOT NULL AND Y.PRPS_SIMUL IS NULL),1,0)) AS NUM_REG_DIF,'1' AS ID_EXEC, CURRENT_TIMESTAMP() AS TIME_EXEC FROM (SELECT instrmnt_id, PRPS FROM CD_LOAN_TAPES_BCE.LT002_INSTRUMENT WHERE ref_date='${ref_date}' AND nome_perimetro='Individual Corporativo' AND segmento='ESTR' AND ambito='PM' AND entidade='00100')X INNER JOIN (SELECT instrmnt_id AS instrmnt_id_SIMUL, PRPS AS PRPS_SIMUL FROM BU_LOANTAPE_WORK.LT002_INSTRUMENT WHERE ref_date='${ref_date}' AND nome_perimetro='Individual Corporativo' AND segmento='ESTR' AND ambito='PM' AND entidade='00100')Y ON X.INSTRMNT_ID=Y.INSTRMNT_ID_SIMUL</v>
      </c>
      <c r="N160" s="38" t="s">
        <v>46</v>
      </c>
    </row>
    <row r="161" spans="2:14" hidden="1">
      <c r="B161" s="34" t="s">
        <v>126</v>
      </c>
      <c r="C161" s="34" t="s">
        <v>5</v>
      </c>
      <c r="D161" s="34" t="str">
        <f>+UPPER('0. Instruções'!$D$35&amp;"."&amp;VLOOKUP(B161,'0. Instruções'!$C$27:$D$32,2,FALSE))</f>
        <v>CD_LOAN_TAPES_BCE.LT002_INSTRUMENT</v>
      </c>
      <c r="E161" s="34" t="str">
        <f>+UPPER('0. Instruções'!$D$36&amp;"."&amp;VLOOKUP(B161,'0. Instruções'!$C$27:$E$32,3,FALSE))</f>
        <v>BU_LOANTAPE_WORK.LT002_INSTRUMENT</v>
      </c>
      <c r="F161" s="34" t="s">
        <v>455</v>
      </c>
      <c r="G161" s="34"/>
      <c r="H161" s="34" t="s">
        <v>648</v>
      </c>
      <c r="I161" s="34" t="str">
        <f>"(SELECT "&amp;VLOOKUP(B161,'0. Instruções'!$C$27:$G$32,4,FALSE)&amp;", "&amp;F161&amp;" FROM "&amp;D161&amp;" WHERE "&amp;'0. Instruções'!$D$42&amp;")X"</f>
        <v>(SELECT instrmnt_id, PYMNT_INTRST_ONLY FROM CD_LOAN_TAPES_BCE.LT002_INSTRUMENT WHERE ref_date='${ref_date}' AND nome_perimetro='Individual Corporativo' AND segmento='ESTR' AND ambito='PM' AND entidade='00100')X</v>
      </c>
      <c r="J161" s="34" t="str">
        <f>"(SELECT "&amp;VLOOKUP(B161,'0. Instruções'!$C$27:$G$32,4,FALSE)&amp;" AS "&amp;VLOOKUP(B161,'0. Instruções'!$C$27:$G$32,4,FALSE)&amp;"_SIMUL, "&amp;F161&amp;" AS "&amp;F161&amp;"_SIMUL FROM "&amp;E161&amp;" WHERE "&amp;'0. Instruções'!$D$43&amp;")Y"</f>
        <v>(SELECT instrmnt_id AS instrmnt_id_SIMUL, PYMNT_INTRST_ONLY AS PYMNT_INTRST_ONLY_SIMUL FROM BU_LOANTAPE_WORK.LT002_INSTRUMENT WHERE ref_date='${ref_date}' AND nome_perimetro='Individual Corporativo' AND segmento='ESTR' AND ambito='PM' AND entidade='00100')Y</v>
      </c>
      <c r="K161" s="35" t="str">
        <f>+UPPER("ON X."&amp;VLOOKUP(B161,'0. Instruções'!$C$27:$G$32,4,FALSE)&amp;"=Y."&amp;VLOOKUP(B161,'0. Instruções'!$C$27:$G$32,4,FALSE)&amp;"_SIMUL")</f>
        <v>ON X.INSTRMNT_ID=Y.INSTRMNT_ID_SIMUL</v>
      </c>
      <c r="L161" s="35" t="str">
        <f>+IF(C161="Coerência", +IF(LEFT(G161,5)="FLOAT","SELECT '"&amp;UPPER(B161)&amp;"' AS TABELA, '"&amp;UPPER(C161)&amp;"' AS TIPOLOGIA_TESTE,'"&amp;D161&amp;"' AS TABELA_LT,'"&amp;E161&amp;"' AS TABELA_SIMUL,'"&amp;F161&amp;"' AS CAMPO, "&amp;"'${ref_date}' AS REF_DATE, COUNT(*) AS NUM_REG, SUM(IF((ABS(COALESCE(CAST(X."&amp;F161&amp;" AS DECIMAL(18,6)),0)-COALESCE(CAST(Y."&amp;F161&amp;"_SIMUL AS DECIMAL(18,6)),0))&gt;0.000001) OR (X."&amp;F161&amp;" IS NULL AND Y."&amp;F161&amp;"_SIMUL IS NOT NULL ) OR (X."&amp;F161&amp;" IS NOT NULL AND Y."&amp;F161&amp;"_SIMUL IS NULL),1,0)) AS NUM_REG_DIF,'"&amp;MAX('ID1&amp;5'!K:K)+1&amp;"' AS ID_EXEC, CURRENT_TIMESTAMP() AS TIME_EXEC FROM "&amp;I161&amp;" INNER JOIN "&amp;J161&amp;" "&amp;K161,"SELECT '"&amp;UPPER(B161)&amp;"' AS TABELA, '"&amp;UPPER(C161)&amp;"' AS TIPOLOGIA_TESTE,'"&amp;D161&amp;"' AS TABELA_LT,'"&amp;E161&amp;"' AS TABELA_SIMUL,'"&amp;F161&amp;"' AS CAMPO, "&amp;"'${ref_date}' AS REF_DATE, COUNT(*) AS NUM_REG, SUM(IF(COALESCE(CAST(X."&amp;F161&amp;" AS STRING),'')&lt;&gt;COALESCE(CAST(Y."&amp;F161&amp;"_SIMUL AS STRING),'') OR (X."&amp;F161&amp;" IS NULL AND Y."&amp;F161&amp;"_SIMUL IS NOT NULL ) OR (X."&amp;F161&amp;" IS NOT NULL AND Y."&amp;F161&amp;"_SIMUL IS NULL),1,0)) AS NUM_REG_DIF,'"&amp;MAX('ID1&amp;5'!L:L)+1&amp;"' AS ID_EXEC, CURRENT_TIMESTAMP() AS TIME_EXEC FROM "&amp;I161&amp;" INNER JOIN "&amp;J161&amp;" "&amp;K161),
IF(C161="Validade",+IF(G161="Code List","SELECT '"&amp;UPPER(B161)&amp;"' AS TABELA, '"&amp;UPPER(C161)&amp;"' AS TIPOLOGIA_TESTE,'"&amp;D161&amp;"' AS TABELA_LT,'N/A' AS TABELA_SIMUL,'"&amp;F161&amp;"' AS CAMPO, "&amp;"'${ref_date}' AS REF_DATE, COUNT(*) AS NUM_REG, SUM(IF(TRIM(CAST(X."&amp;F161&amp;" AS STRING))='' OR TRIM(CAST(X."&amp;F161&amp;" AS STRING)) IS NULL OR CAST(X."&amp;F161&amp;" AS STRING) NOT "&amp;H161&amp;",1,0)) AS NUM_REG_DIF,'"&amp;MAX('ID1&amp;5'!K:K)+1&amp;"' AS ID_EXEC, CURRENT_TIMESTAMP() AS TIME_EXEC FROM "&amp;I161,"SELECT '"&amp;UPPER(B161)&amp;"' AS TABELA, '"&amp;UPPER(C161)&amp;"' AS TIPOLOGIA_TESTE,'"&amp;D161&amp;"' AS TABELA_LT,'N/A' AS TABELA_SIMUL,'"&amp;F161&amp;"' AS CAMPO, "&amp;"'${ref_date}' AS REF_DATE, COUNT(*) AS NUM_REG, SUM(IF(TRIM(CAST(X."&amp;F161&amp;" AS STRING))='' OR TRIM(CAST(X."&amp;F161&amp;" AS STRING)) IS NULL,1,0)) AS NUM_REG_DIF,'"&amp;MAX('ID1&amp;5'!K:K)+1&amp;"' AS ID_EXEC, CURRENT_TIMESTAMP() AS TIME_EXEC FROM "&amp;I161),
IF(C161="Caracteres Especiais",+"SELECT '"&amp;UPPER(B161)&amp;"' AS TABELA, '"&amp;UPPER(C161)&amp;"' AS TIPOLOGIA_TESTE,'"&amp;D161&amp;"' AS TABELA_LT,'N/A' AS TABELA_SIMUL,'"&amp;F161&amp;"' AS CAMPO, "&amp;"'${ref_date}' AS REF_DATE, COUNT(*) AS NUM_REG, SUM(IF(REGEXP_REPLACE(TRIM(CAST(X."&amp;F161&amp;" AS STRING)),'[^a-zA-Z0-9_\\s]','') &lt;&gt;TRIM(CAST(X."&amp;F161&amp;" AS STRING)),1,0)) AS NUM_REG_DIF,'"&amp;MAX('ID1&amp;5'!K:K)+1&amp;"' AS ID_EXEC, CURRENT_TIMESTAMP() AS TIME_EXEC FROM "&amp;I161,
IF(C161="Missings",+"SELECT '"&amp;UPPER(B161)&amp;"' AS TABELA, '"&amp;UPPER(C161)&amp;"' AS TIPOLOGIA_TESTE,'"&amp;D161&amp;"' AS TABELA_LT,'N/A' AS TABELA_SIMUL,'"&amp;F161&amp;"' AS CAMPO, "&amp;"'${ref_date}' AS REF_DATE, COUNT(*) AS NUM_REG, SUM(IF(TRIM(CAST(X."&amp;F161&amp;" AS STRING)) IN ('0000-00-00','0001-01-01','9999-12-31','MISS','00000','99999999999','99999999999.00','99999999999.000000'),1,0)) AS NUM_REG_DIF,'"&amp;MAX('ID1&amp;5'!K:K)+1&amp;"' AS ID_EXEC, CURRENT_TIMESTAMP() AS TIME_EXEC FROM "&amp;I161,
IF(C161="Not applicable",+"SELECT '"&amp;UPPER(B161)&amp;"' AS TABELA, '"&amp;UPPER(C161)&amp;"' AS TIPOLOGIA_TESTE,'"&amp;D161&amp;"' AS TABELA_LT,'N/A' AS TABELA_SIMUL,'"&amp;F161&amp;"' AS CAMPO, "&amp;"'${ref_date}' AS REF_DATE, COUNT(*) AS NUM_REG, SUM(IF(TRIM(CAST(X."&amp;F161&amp;" AS STRING)) IN ('N/A','11111111111','11111111111.00','11111111111.000000','1111-11-11'),1,0)) AS NUM_REG_DIF,'"&amp;MAX('ID1&amp;5'!K:K)+1&amp;"' AS ID_EXEC, CURRENT_TIMESTAMP() AS TIME_EXEC FROM "&amp;I161,
IF(C161="Valores extremos",+"SELECT '"&amp;UPPER(B161)&amp;"' AS TABELA, '"&amp;UPPER(C161)&amp;"' AS TIPOLOGIA_TESTE,'"&amp;D161&amp;"' AS TABELA_LT,'N/A' AS TABELA_SIMUL,'"&amp;F161&amp;"' AS CAMPO, "&amp;"'${ref_date}' AS REF_DATE, CAST(MIN("&amp;F161&amp;") AS STRING) AS VALOR_MIN, CAST(MAX("&amp;F161&amp;") AS STRING) AS VALOR_MAX,'"&amp;MAX('ID1&amp;5'!K:K)+1&amp;"' AS ID_EXEC, CURRENT_TIMESTAMP() AS TIME_EXEC FROM "&amp;MID(I161,1,LEN(I161)-2)&amp;" AND CAST("&amp;F161&amp;"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TABELA_SIMUL,'PYMNT_INTRST_ONLY' AS CAMPO, '${ref_date}' AS REF_DATE, COUNT(*) AS NUM_REG, SUM(IF(COALESCE(CAST(X.PYMNT_INTRST_ONLY AS STRING),'')&lt;&gt;COALESCE(CAST(Y.PYMNT_INTRST_ONLY_SIMUL AS STRING),'') OR (X.PYMNT_INTRST_ONLY IS NULL AND Y.PYMNT_INTRST_ONLY_SIMUL IS NOT NULL ) OR (X.PYMNT_INTRST_ONLY IS NOT NULL AND Y.PYMNT_INTRST_ONLY_SIMUL IS NULL),1,0)) AS NUM_REG_DIF,'1' AS ID_EXEC, CURRENT_TIMESTAMP() AS TIME_EXEC FROM (SELECT instrmnt_id, PYMNT_INTRST_ONLY FROM CD_LOAN_TAPES_BCE.LT002_INSTRUMENT WHERE ref_date='${ref_date}' AND nome_perimetro='Individual Corporativo' AND segmento='ESTR' AND ambito='PM' AND entidade='00100')X INNER JOIN (SELECT instrmnt_id AS instrmnt_id_SIMUL, PYMNT_INTRST_ONLY AS PYMNT_INTRST_ONLY_SIMUL FROM BU_LOANTAPE_WORK.LT002_INSTRUMENT WHERE ref_date='${ref_date}' AND nome_perimetro='Individual Corporativo' AND segmento='ESTR' AND ambito='PM' AND entidade='00100')Y ON X.INSTRMNT_ID=Y.INSTRMNT_ID_SIMUL</v>
      </c>
      <c r="M161" s="36" t="str">
        <f t="shared" si="2"/>
        <v>UNION ALL SELECT 'INSTRUMENT' AS TABELA, 'COERÊNCIA' AS TIPOLOGIA_TESTE,'CD_LOAN_TAPES_BCE.LT002_INSTRUMENT' AS TABELA_LT,'BU_LOANTAPE_WORK.LT002_INSTRUMENT' AS TABELA_SIMUL,'PYMNT_INTRST_ONLY' AS CAMPO, '${ref_date}' AS REF_DATE, COUNT(*) AS NUM_REG, SUM(IF(COALESCE(CAST(X.PYMNT_INTRST_ONLY AS STRING),'')&lt;&gt;COALESCE(CAST(Y.PYMNT_INTRST_ONLY_SIMUL AS STRING),'') OR (X.PYMNT_INTRST_ONLY IS NULL AND Y.PYMNT_INTRST_ONLY_SIMUL IS NOT NULL ) OR (X.PYMNT_INTRST_ONLY IS NOT NULL AND Y.PYMNT_INTRST_ONLY_SIMUL IS NULL),1,0)) AS NUM_REG_DIF,'1' AS ID_EXEC, CURRENT_TIMESTAMP() AS TIME_EXEC FROM (SELECT instrmnt_id, PYMNT_INTRST_ONLY FROM CD_LOAN_TAPES_BCE.LT002_INSTRUMENT WHERE ref_date='${ref_date}' AND nome_perimetro='Individual Corporativo' AND segmento='ESTR' AND ambito='PM' AND entidade='00100')X INNER JOIN (SELECT instrmnt_id AS instrmnt_id_SIMUL, PYMNT_INTRST_ONLY AS PYMNT_INTRST_ONLY_SIMUL FROM BU_LOANTAPE_WORK.LT002_INSTRUMENT WHERE ref_date='${ref_date}' AND nome_perimetro='Individual Corporativo' AND segmento='ESTR' AND ambito='PM' AND entidade='00100')Y ON X.INSTRMNT_ID=Y.INSTRMNT_ID_SIMUL</v>
      </c>
      <c r="N161" s="38" t="s">
        <v>46</v>
      </c>
    </row>
    <row r="162" spans="2:14" hidden="1">
      <c r="B162" s="34" t="s">
        <v>126</v>
      </c>
      <c r="C162" s="34" t="s">
        <v>5</v>
      </c>
      <c r="D162" s="34" t="str">
        <f>+UPPER('0. Instruções'!$D$35&amp;"."&amp;VLOOKUP(B162,'0. Instruções'!$C$27:$D$32,2,FALSE))</f>
        <v>CD_LOAN_TAPES_BCE.LT002_INSTRUMENT</v>
      </c>
      <c r="E162" s="34" t="str">
        <f>+UPPER('0. Instruções'!$D$36&amp;"."&amp;VLOOKUP(B162,'0. Instruções'!$C$27:$E$32,3,FALSE))</f>
        <v>BU_LOANTAPE_WORK.LT002_INSTRUMENT</v>
      </c>
      <c r="F162" s="34" t="s">
        <v>456</v>
      </c>
      <c r="G162" s="34"/>
      <c r="H162" s="34" t="s">
        <v>89</v>
      </c>
      <c r="I162" s="34" t="str">
        <f>"(SELECT "&amp;VLOOKUP(B162,'0. Instruções'!$C$27:$G$32,4,FALSE)&amp;", "&amp;F162&amp;" FROM "&amp;D162&amp;" WHERE "&amp;'0. Instruções'!$D$42&amp;")X"</f>
        <v>(SELECT instrmnt_id, RCRS FROM CD_LOAN_TAPES_BCE.LT002_INSTRUMENT WHERE ref_date='${ref_date}' AND nome_perimetro='Individual Corporativo' AND segmento='ESTR' AND ambito='PM' AND entidade='00100')X</v>
      </c>
      <c r="J162" s="34" t="str">
        <f>"(SELECT "&amp;VLOOKUP(B162,'0. Instruções'!$C$27:$G$32,4,FALSE)&amp;" AS "&amp;VLOOKUP(B162,'0. Instruções'!$C$27:$G$32,4,FALSE)&amp;"_SIMUL, "&amp;F162&amp;" AS "&amp;F162&amp;"_SIMUL FROM "&amp;E162&amp;" WHERE "&amp;'0. Instruções'!$D$43&amp;")Y"</f>
        <v>(SELECT instrmnt_id AS instrmnt_id_SIMUL, RCRS AS RCRS_SIMUL FROM BU_LOANTAPE_WORK.LT002_INSTRUMENT WHERE ref_date='${ref_date}' AND nome_perimetro='Individual Corporativo' AND segmento='ESTR' AND ambito='PM' AND entidade='00100')Y</v>
      </c>
      <c r="K162" s="35" t="str">
        <f>+UPPER("ON X."&amp;VLOOKUP(B162,'0. Instruções'!$C$27:$G$32,4,FALSE)&amp;"=Y."&amp;VLOOKUP(B162,'0. Instruções'!$C$27:$G$32,4,FALSE)&amp;"_SIMUL")</f>
        <v>ON X.INSTRMNT_ID=Y.INSTRMNT_ID_SIMUL</v>
      </c>
      <c r="L162" s="35" t="str">
        <f>+IF(C162="Coerência", +IF(LEFT(G162,5)="FLOAT","SELECT '"&amp;UPPER(B162)&amp;"' AS TABELA, '"&amp;UPPER(C162)&amp;"' AS TIPOLOGIA_TESTE,'"&amp;D162&amp;"' AS TABELA_LT,'"&amp;E162&amp;"' AS TABELA_SIMUL,'"&amp;F162&amp;"' AS CAMPO, "&amp;"'${ref_date}' AS REF_DATE, COUNT(*) AS NUM_REG, SUM(IF((ABS(COALESCE(CAST(X."&amp;F162&amp;" AS DECIMAL(18,6)),0)-COALESCE(CAST(Y."&amp;F162&amp;"_SIMUL AS DECIMAL(18,6)),0))&gt;0.000001) OR (X."&amp;F162&amp;" IS NULL AND Y."&amp;F162&amp;"_SIMUL IS NOT NULL ) OR (X."&amp;F162&amp;" IS NOT NULL AND Y."&amp;F162&amp;"_SIMUL IS NULL),1,0)) AS NUM_REG_DIF,'"&amp;MAX('ID1&amp;5'!K:K)+1&amp;"' AS ID_EXEC, CURRENT_TIMESTAMP() AS TIME_EXEC FROM "&amp;I162&amp;" INNER JOIN "&amp;J162&amp;" "&amp;K162,"SELECT '"&amp;UPPER(B162)&amp;"' AS TABELA, '"&amp;UPPER(C162)&amp;"' AS TIPOLOGIA_TESTE,'"&amp;D162&amp;"' AS TABELA_LT,'"&amp;E162&amp;"' AS TABELA_SIMUL,'"&amp;F162&amp;"' AS CAMPO, "&amp;"'${ref_date}' AS REF_DATE, COUNT(*) AS NUM_REG, SUM(IF(COALESCE(CAST(X."&amp;F162&amp;" AS STRING),'')&lt;&gt;COALESCE(CAST(Y."&amp;F162&amp;"_SIMUL AS STRING),'') OR (X."&amp;F162&amp;" IS NULL AND Y."&amp;F162&amp;"_SIMUL IS NOT NULL ) OR (X."&amp;F162&amp;" IS NOT NULL AND Y."&amp;F162&amp;"_SIMUL IS NULL),1,0)) AS NUM_REG_DIF,'"&amp;MAX('ID1&amp;5'!L:L)+1&amp;"' AS ID_EXEC, CURRENT_TIMESTAMP() AS TIME_EXEC FROM "&amp;I162&amp;" INNER JOIN "&amp;J162&amp;" "&amp;K162),
IF(C162="Validade",+IF(G162="Code List","SELECT '"&amp;UPPER(B162)&amp;"' AS TABELA, '"&amp;UPPER(C162)&amp;"' AS TIPOLOGIA_TESTE,'"&amp;D162&amp;"' AS TABELA_LT,'N/A' AS TABELA_SIMUL,'"&amp;F162&amp;"' AS CAMPO, "&amp;"'${ref_date}' AS REF_DATE, COUNT(*) AS NUM_REG, SUM(IF(TRIM(CAST(X."&amp;F162&amp;" AS STRING))='' OR TRIM(CAST(X."&amp;F162&amp;" AS STRING)) IS NULL OR CAST(X."&amp;F162&amp;" AS STRING) NOT "&amp;H162&amp;",1,0)) AS NUM_REG_DIF,'"&amp;MAX('ID1&amp;5'!K:K)+1&amp;"' AS ID_EXEC, CURRENT_TIMESTAMP() AS TIME_EXEC FROM "&amp;I162,"SELECT '"&amp;UPPER(B162)&amp;"' AS TABELA, '"&amp;UPPER(C162)&amp;"' AS TIPOLOGIA_TESTE,'"&amp;D162&amp;"' AS TABELA_LT,'N/A' AS TABELA_SIMUL,'"&amp;F162&amp;"' AS CAMPO, "&amp;"'${ref_date}' AS REF_DATE, COUNT(*) AS NUM_REG, SUM(IF(TRIM(CAST(X."&amp;F162&amp;" AS STRING))='' OR TRIM(CAST(X."&amp;F162&amp;" AS STRING)) IS NULL,1,0)) AS NUM_REG_DIF,'"&amp;MAX('ID1&amp;5'!K:K)+1&amp;"' AS ID_EXEC, CURRENT_TIMESTAMP() AS TIME_EXEC FROM "&amp;I162),
IF(C162="Caracteres Especiais",+"SELECT '"&amp;UPPER(B162)&amp;"' AS TABELA, '"&amp;UPPER(C162)&amp;"' AS TIPOLOGIA_TESTE,'"&amp;D162&amp;"' AS TABELA_LT,'N/A' AS TABELA_SIMUL,'"&amp;F162&amp;"' AS CAMPO, "&amp;"'${ref_date}' AS REF_DATE, COUNT(*) AS NUM_REG, SUM(IF(REGEXP_REPLACE(TRIM(CAST(X."&amp;F162&amp;" AS STRING)),'[^a-zA-Z0-9_\\s]','') &lt;&gt;TRIM(CAST(X."&amp;F162&amp;" AS STRING)),1,0)) AS NUM_REG_DIF,'"&amp;MAX('ID1&amp;5'!K:K)+1&amp;"' AS ID_EXEC, CURRENT_TIMESTAMP() AS TIME_EXEC FROM "&amp;I162,
IF(C162="Missings",+"SELECT '"&amp;UPPER(B162)&amp;"' AS TABELA, '"&amp;UPPER(C162)&amp;"' AS TIPOLOGIA_TESTE,'"&amp;D162&amp;"' AS TABELA_LT,'N/A' AS TABELA_SIMUL,'"&amp;F162&amp;"' AS CAMPO, "&amp;"'${ref_date}' AS REF_DATE, COUNT(*) AS NUM_REG, SUM(IF(TRIM(CAST(X."&amp;F162&amp;" AS STRING)) IN ('0000-00-00','0001-01-01','9999-12-31','MISS','00000','99999999999','99999999999.00','99999999999.000000'),1,0)) AS NUM_REG_DIF,'"&amp;MAX('ID1&amp;5'!K:K)+1&amp;"' AS ID_EXEC, CURRENT_TIMESTAMP() AS TIME_EXEC FROM "&amp;I162,
IF(C162="Not applicable",+"SELECT '"&amp;UPPER(B162)&amp;"' AS TABELA, '"&amp;UPPER(C162)&amp;"' AS TIPOLOGIA_TESTE,'"&amp;D162&amp;"' AS TABELA_LT,'N/A' AS TABELA_SIMUL,'"&amp;F162&amp;"' AS CAMPO, "&amp;"'${ref_date}' AS REF_DATE, COUNT(*) AS NUM_REG, SUM(IF(TRIM(CAST(X."&amp;F162&amp;" AS STRING)) IN ('N/A','11111111111','11111111111.00','11111111111.000000','1111-11-11'),1,0)) AS NUM_REG_DIF,'"&amp;MAX('ID1&amp;5'!K:K)+1&amp;"' AS ID_EXEC, CURRENT_TIMESTAMP() AS TIME_EXEC FROM "&amp;I162,
IF(C162="Valores extremos",+"SELECT '"&amp;UPPER(B162)&amp;"' AS TABELA, '"&amp;UPPER(C162)&amp;"' AS TIPOLOGIA_TESTE,'"&amp;D162&amp;"' AS TABELA_LT,'N/A' AS TABELA_SIMUL,'"&amp;F162&amp;"' AS CAMPO, "&amp;"'${ref_date}' AS REF_DATE, CAST(MIN("&amp;F162&amp;") AS STRING) AS VALOR_MIN, CAST(MAX("&amp;F162&amp;") AS STRING) AS VALOR_MAX,'"&amp;MAX('ID1&amp;5'!K:K)+1&amp;"' AS ID_EXEC, CURRENT_TIMESTAMP() AS TIME_EXEC FROM "&amp;MID(I162,1,LEN(I162)-2)&amp;" AND CAST("&amp;F162&amp;"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TABELA_SIMUL,'RCRS' AS CAMPO, '${ref_date}' AS REF_DATE, COUNT(*) AS NUM_REG, SUM(IF(COALESCE(CAST(X.RCRS AS STRING),'')&lt;&gt;COALESCE(CAST(Y.RCRS_SIMUL AS STRING),'') OR (X.RCRS IS NULL AND Y.RCRS_SIMUL IS NOT NULL ) OR (X.RCRS IS NOT NULL AND Y.RCRS_SIMUL IS NULL),1,0)) AS NUM_REG_DIF,'1' AS ID_EXEC, CURRENT_TIMESTAMP() AS TIME_EXEC FROM (SELECT instrmnt_id, RCRS FROM CD_LOAN_TAPES_BCE.LT002_INSTRUMENT WHERE ref_date='${ref_date}' AND nome_perimetro='Individual Corporativo' AND segmento='ESTR' AND ambito='PM' AND entidade='00100')X INNER JOIN (SELECT instrmnt_id AS instrmnt_id_SIMUL, RCRS AS RCRS_SIMUL FROM BU_LOANTAPE_WORK.LT002_INSTRUMENT WHERE ref_date='${ref_date}' AND nome_perimetro='Individual Corporativo' AND segmento='ESTR' AND ambito='PM' AND entidade='00100')Y ON X.INSTRMNT_ID=Y.INSTRMNT_ID_SIMUL</v>
      </c>
      <c r="M162" s="36" t="str">
        <f t="shared" si="2"/>
        <v>UNION ALL SELECT 'INSTRUMENT' AS TABELA, 'COERÊNCIA' AS TIPOLOGIA_TESTE,'CD_LOAN_TAPES_BCE.LT002_INSTRUMENT' AS TABELA_LT,'BU_LOANTAPE_WORK.LT002_INSTRUMENT' AS TABELA_SIMUL,'RCRS' AS CAMPO, '${ref_date}' AS REF_DATE, COUNT(*) AS NUM_REG, SUM(IF(COALESCE(CAST(X.RCRS AS STRING),'')&lt;&gt;COALESCE(CAST(Y.RCRS_SIMUL AS STRING),'') OR (X.RCRS IS NULL AND Y.RCRS_SIMUL IS NOT NULL ) OR (X.RCRS IS NOT NULL AND Y.RCRS_SIMUL IS NULL),1,0)) AS NUM_REG_DIF,'1' AS ID_EXEC, CURRENT_TIMESTAMP() AS TIME_EXEC FROM (SELECT instrmnt_id, RCRS FROM CD_LOAN_TAPES_BCE.LT002_INSTRUMENT WHERE ref_date='${ref_date}' AND nome_perimetro='Individual Corporativo' AND segmento='ESTR' AND ambito='PM' AND entidade='00100')X INNER JOIN (SELECT instrmnt_id AS instrmnt_id_SIMUL, RCRS AS RCRS_SIMUL FROM BU_LOANTAPE_WORK.LT002_INSTRUMENT WHERE ref_date='${ref_date}' AND nome_perimetro='Individual Corporativo' AND segmento='ESTR' AND ambito='PM' AND entidade='00100')Y ON X.INSTRMNT_ID=Y.INSTRMNT_ID_SIMUL</v>
      </c>
      <c r="N162" s="38" t="s">
        <v>46</v>
      </c>
    </row>
    <row r="163" spans="2:14" hidden="1">
      <c r="B163" s="34" t="s">
        <v>126</v>
      </c>
      <c r="C163" s="34" t="s">
        <v>5</v>
      </c>
      <c r="D163" s="34" t="str">
        <f>+UPPER('0. Instruções'!$D$35&amp;"."&amp;VLOOKUP(B163,'0. Instruções'!$C$27:$D$32,2,FALSE))</f>
        <v>CD_LOAN_TAPES_BCE.LT002_INSTRUMENT</v>
      </c>
      <c r="E163" s="34" t="str">
        <f>+UPPER('0. Instruções'!$D$36&amp;"."&amp;VLOOKUP(B163,'0. Instruções'!$C$27:$E$32,3,FALSE))</f>
        <v>BU_LOANTAPE_WORK.LT002_INSTRUMENT</v>
      </c>
      <c r="F163" s="34" t="s">
        <v>457</v>
      </c>
      <c r="G163" s="34"/>
      <c r="H163" s="34" t="s">
        <v>648</v>
      </c>
      <c r="I163" s="34" t="str">
        <f>"(SELECT "&amp;VLOOKUP(B163,'0. Instruções'!$C$27:$G$32,4,FALSE)&amp;", "&amp;F163&amp;" FROM "&amp;D163&amp;" WHERE "&amp;'0. Instruções'!$D$42&amp;")X"</f>
        <v>(SELECT instrmnt_id, RFNNC_PRPS FROM CD_LOAN_TAPES_BCE.LT002_INSTRUMENT WHERE ref_date='${ref_date}' AND nome_perimetro='Individual Corporativo' AND segmento='ESTR' AND ambito='PM' AND entidade='00100')X</v>
      </c>
      <c r="J163" s="34" t="str">
        <f>"(SELECT "&amp;VLOOKUP(B163,'0. Instruções'!$C$27:$G$32,4,FALSE)&amp;" AS "&amp;VLOOKUP(B163,'0. Instruções'!$C$27:$G$32,4,FALSE)&amp;"_SIMUL, "&amp;F163&amp;" AS "&amp;F163&amp;"_SIMUL FROM "&amp;E163&amp;" WHERE "&amp;'0. Instruções'!$D$43&amp;")Y"</f>
        <v>(SELECT instrmnt_id AS instrmnt_id_SIMUL, RFNNC_PRPS AS RFNNC_PRPS_SIMUL FROM BU_LOANTAPE_WORK.LT002_INSTRUMENT WHERE ref_date='${ref_date}' AND nome_perimetro='Individual Corporativo' AND segmento='ESTR' AND ambito='PM' AND entidade='00100')Y</v>
      </c>
      <c r="K163" s="35" t="str">
        <f>+UPPER("ON X."&amp;VLOOKUP(B163,'0. Instruções'!$C$27:$G$32,4,FALSE)&amp;"=Y."&amp;VLOOKUP(B163,'0. Instruções'!$C$27:$G$32,4,FALSE)&amp;"_SIMUL")</f>
        <v>ON X.INSTRMNT_ID=Y.INSTRMNT_ID_SIMUL</v>
      </c>
      <c r="L163" s="35" t="str">
        <f>+IF(C163="Coerência", +IF(LEFT(G163,5)="FLOAT","SELECT '"&amp;UPPER(B163)&amp;"' AS TABELA, '"&amp;UPPER(C163)&amp;"' AS TIPOLOGIA_TESTE,'"&amp;D163&amp;"' AS TABELA_LT,'"&amp;E163&amp;"' AS TABELA_SIMUL,'"&amp;F163&amp;"' AS CAMPO, "&amp;"'${ref_date}' AS REF_DATE, COUNT(*) AS NUM_REG, SUM(IF((ABS(COALESCE(CAST(X."&amp;F163&amp;" AS DECIMAL(18,6)),0)-COALESCE(CAST(Y."&amp;F163&amp;"_SIMUL AS DECIMAL(18,6)),0))&gt;0.000001) OR (X."&amp;F163&amp;" IS NULL AND Y."&amp;F163&amp;"_SIMUL IS NOT NULL ) OR (X."&amp;F163&amp;" IS NOT NULL AND Y."&amp;F163&amp;"_SIMUL IS NULL),1,0)) AS NUM_REG_DIF,'"&amp;MAX('ID1&amp;5'!K:K)+1&amp;"' AS ID_EXEC, CURRENT_TIMESTAMP() AS TIME_EXEC FROM "&amp;I163&amp;" INNER JOIN "&amp;J163&amp;" "&amp;K163,"SELECT '"&amp;UPPER(B163)&amp;"' AS TABELA, '"&amp;UPPER(C163)&amp;"' AS TIPOLOGIA_TESTE,'"&amp;D163&amp;"' AS TABELA_LT,'"&amp;E163&amp;"' AS TABELA_SIMUL,'"&amp;F163&amp;"' AS CAMPO, "&amp;"'${ref_date}' AS REF_DATE, COUNT(*) AS NUM_REG, SUM(IF(COALESCE(CAST(X."&amp;F163&amp;" AS STRING),'')&lt;&gt;COALESCE(CAST(Y."&amp;F163&amp;"_SIMUL AS STRING),'') OR (X."&amp;F163&amp;" IS NULL AND Y."&amp;F163&amp;"_SIMUL IS NOT NULL ) OR (X."&amp;F163&amp;" IS NOT NULL AND Y."&amp;F163&amp;"_SIMUL IS NULL),1,0)) AS NUM_REG_DIF,'"&amp;MAX('ID1&amp;5'!L:L)+1&amp;"' AS ID_EXEC, CURRENT_TIMESTAMP() AS TIME_EXEC FROM "&amp;I163&amp;" INNER JOIN "&amp;J163&amp;" "&amp;K163),
IF(C163="Validade",+IF(G163="Code List","SELECT '"&amp;UPPER(B163)&amp;"' AS TABELA, '"&amp;UPPER(C163)&amp;"' AS TIPOLOGIA_TESTE,'"&amp;D163&amp;"' AS TABELA_LT,'N/A' AS TABELA_SIMUL,'"&amp;F163&amp;"' AS CAMPO, "&amp;"'${ref_date}' AS REF_DATE, COUNT(*) AS NUM_REG, SUM(IF(TRIM(CAST(X."&amp;F163&amp;" AS STRING))='' OR TRIM(CAST(X."&amp;F163&amp;" AS STRING)) IS NULL OR CAST(X."&amp;F163&amp;" AS STRING) NOT "&amp;H163&amp;",1,0)) AS NUM_REG_DIF,'"&amp;MAX('ID1&amp;5'!K:K)+1&amp;"' AS ID_EXEC, CURRENT_TIMESTAMP() AS TIME_EXEC FROM "&amp;I163,"SELECT '"&amp;UPPER(B163)&amp;"' AS TABELA, '"&amp;UPPER(C163)&amp;"' AS TIPOLOGIA_TESTE,'"&amp;D163&amp;"' AS TABELA_LT,'N/A' AS TABELA_SIMUL,'"&amp;F163&amp;"' AS CAMPO, "&amp;"'${ref_date}' AS REF_DATE, COUNT(*) AS NUM_REG, SUM(IF(TRIM(CAST(X."&amp;F163&amp;" AS STRING))='' OR TRIM(CAST(X."&amp;F163&amp;" AS STRING)) IS NULL,1,0)) AS NUM_REG_DIF,'"&amp;MAX('ID1&amp;5'!K:K)+1&amp;"' AS ID_EXEC, CURRENT_TIMESTAMP() AS TIME_EXEC FROM "&amp;I163),
IF(C163="Caracteres Especiais",+"SELECT '"&amp;UPPER(B163)&amp;"' AS TABELA, '"&amp;UPPER(C163)&amp;"' AS TIPOLOGIA_TESTE,'"&amp;D163&amp;"' AS TABELA_LT,'N/A' AS TABELA_SIMUL,'"&amp;F163&amp;"' AS CAMPO, "&amp;"'${ref_date}' AS REF_DATE, COUNT(*) AS NUM_REG, SUM(IF(REGEXP_REPLACE(TRIM(CAST(X."&amp;F163&amp;" AS STRING)),'[^a-zA-Z0-9_\\s]','') &lt;&gt;TRIM(CAST(X."&amp;F163&amp;" AS STRING)),1,0)) AS NUM_REG_DIF,'"&amp;MAX('ID1&amp;5'!K:K)+1&amp;"' AS ID_EXEC, CURRENT_TIMESTAMP() AS TIME_EXEC FROM "&amp;I163,
IF(C163="Missings",+"SELECT '"&amp;UPPER(B163)&amp;"' AS TABELA, '"&amp;UPPER(C163)&amp;"' AS TIPOLOGIA_TESTE,'"&amp;D163&amp;"' AS TABELA_LT,'N/A' AS TABELA_SIMUL,'"&amp;F163&amp;"' AS CAMPO, "&amp;"'${ref_date}' AS REF_DATE, COUNT(*) AS NUM_REG, SUM(IF(TRIM(CAST(X."&amp;F163&amp;" AS STRING)) IN ('0000-00-00','0001-01-01','9999-12-31','MISS','00000','99999999999','99999999999.00','99999999999.000000'),1,0)) AS NUM_REG_DIF,'"&amp;MAX('ID1&amp;5'!K:K)+1&amp;"' AS ID_EXEC, CURRENT_TIMESTAMP() AS TIME_EXEC FROM "&amp;I163,
IF(C163="Not applicable",+"SELECT '"&amp;UPPER(B163)&amp;"' AS TABELA, '"&amp;UPPER(C163)&amp;"' AS TIPOLOGIA_TESTE,'"&amp;D163&amp;"' AS TABELA_LT,'N/A' AS TABELA_SIMUL,'"&amp;F163&amp;"' AS CAMPO, "&amp;"'${ref_date}' AS REF_DATE, COUNT(*) AS NUM_REG, SUM(IF(TRIM(CAST(X."&amp;F163&amp;" AS STRING)) IN ('N/A','11111111111','11111111111.00','11111111111.000000','1111-11-11'),1,0)) AS NUM_REG_DIF,'"&amp;MAX('ID1&amp;5'!K:K)+1&amp;"' AS ID_EXEC, CURRENT_TIMESTAMP() AS TIME_EXEC FROM "&amp;I163,
IF(C163="Valores extremos",+"SELECT '"&amp;UPPER(B163)&amp;"' AS TABELA, '"&amp;UPPER(C163)&amp;"' AS TIPOLOGIA_TESTE,'"&amp;D163&amp;"' AS TABELA_LT,'N/A' AS TABELA_SIMUL,'"&amp;F163&amp;"' AS CAMPO, "&amp;"'${ref_date}' AS REF_DATE, CAST(MIN("&amp;F163&amp;") AS STRING) AS VALOR_MIN, CAST(MAX("&amp;F163&amp;") AS STRING) AS VALOR_MAX,'"&amp;MAX('ID1&amp;5'!K:K)+1&amp;"' AS ID_EXEC, CURRENT_TIMESTAMP() AS TIME_EXEC FROM "&amp;MID(I163,1,LEN(I163)-2)&amp;" AND CAST("&amp;F163&amp;"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TABELA_SIMUL,'RFNNC_PRPS' AS CAMPO, '${ref_date}' AS REF_DATE, COUNT(*) AS NUM_REG, SUM(IF(COALESCE(CAST(X.RFNNC_PRPS AS STRING),'')&lt;&gt;COALESCE(CAST(Y.RFNNC_PRPS_SIMUL AS STRING),'') OR (X.RFNNC_PRPS IS NULL AND Y.RFNNC_PRPS_SIMUL IS NOT NULL ) OR (X.RFNNC_PRPS IS NOT NULL AND Y.RFNNC_PRPS_SIMUL IS NULL),1,0)) AS NUM_REG_DIF,'1' AS ID_EXEC, CURRENT_TIMESTAMP() AS TIME_EXEC FROM (SELECT instrmnt_id, RFNNC_PRPS FROM CD_LOAN_TAPES_BCE.LT002_INSTRUMENT WHERE ref_date='${ref_date}' AND nome_perimetro='Individual Corporativo' AND segmento='ESTR' AND ambito='PM' AND entidade='00100')X INNER JOIN (SELECT instrmnt_id AS instrmnt_id_SIMUL, RFNNC_PRPS AS RFNNC_PRPS_SIMUL FROM BU_LOANTAPE_WORK.LT002_INSTRUMENT WHERE ref_date='${ref_date}' AND nome_perimetro='Individual Corporativo' AND segmento='ESTR' AND ambito='PM' AND entidade='00100')Y ON X.INSTRMNT_ID=Y.INSTRMNT_ID_SIMUL</v>
      </c>
      <c r="M163" s="36" t="str">
        <f t="shared" si="2"/>
        <v>UNION ALL SELECT 'INSTRUMENT' AS TABELA, 'COERÊNCIA' AS TIPOLOGIA_TESTE,'CD_LOAN_TAPES_BCE.LT002_INSTRUMENT' AS TABELA_LT,'BU_LOANTAPE_WORK.LT002_INSTRUMENT' AS TABELA_SIMUL,'RFNNC_PRPS' AS CAMPO, '${ref_date}' AS REF_DATE, COUNT(*) AS NUM_REG, SUM(IF(COALESCE(CAST(X.RFNNC_PRPS AS STRING),'')&lt;&gt;COALESCE(CAST(Y.RFNNC_PRPS_SIMUL AS STRING),'') OR (X.RFNNC_PRPS IS NULL AND Y.RFNNC_PRPS_SIMUL IS NOT NULL ) OR (X.RFNNC_PRPS IS NOT NULL AND Y.RFNNC_PRPS_SIMUL IS NULL),1,0)) AS NUM_REG_DIF,'1' AS ID_EXEC, CURRENT_TIMESTAMP() AS TIME_EXEC FROM (SELECT instrmnt_id, RFNNC_PRPS FROM CD_LOAN_TAPES_BCE.LT002_INSTRUMENT WHERE ref_date='${ref_date}' AND nome_perimetro='Individual Corporativo' AND segmento='ESTR' AND ambito='PM' AND entidade='00100')X INNER JOIN (SELECT instrmnt_id AS instrmnt_id_SIMUL, RFNNC_PRPS AS RFNNC_PRPS_SIMUL FROM BU_LOANTAPE_WORK.LT002_INSTRUMENT WHERE ref_date='${ref_date}' AND nome_perimetro='Individual Corporativo' AND segmento='ESTR' AND ambito='PM' AND entidade='00100')Y ON X.INSTRMNT_ID=Y.INSTRMNT_ID_SIMUL</v>
      </c>
      <c r="N163" s="38" t="s">
        <v>46</v>
      </c>
    </row>
    <row r="164" spans="2:14" hidden="1">
      <c r="B164" s="34" t="s">
        <v>126</v>
      </c>
      <c r="C164" s="34" t="s">
        <v>5</v>
      </c>
      <c r="D164" s="34" t="str">
        <f>+UPPER('0. Instruções'!$D$35&amp;"."&amp;VLOOKUP(B164,'0. Instruções'!$C$27:$D$32,2,FALSE))</f>
        <v>CD_LOAN_TAPES_BCE.LT002_INSTRUMENT</v>
      </c>
      <c r="E164" s="34" t="str">
        <f>+UPPER('0. Instruções'!$D$36&amp;"."&amp;VLOOKUP(B164,'0. Instruções'!$C$27:$E$32,3,FALSE))</f>
        <v>BU_LOANTAPE_WORK.LT002_INSTRUMENT</v>
      </c>
      <c r="F164" s="34" t="s">
        <v>458</v>
      </c>
      <c r="G164" s="34"/>
      <c r="H164" s="35" t="s">
        <v>648</v>
      </c>
      <c r="I164" s="34" t="str">
        <f>"(SELECT "&amp;VLOOKUP(B164,'0. Instruções'!$C$27:$G$32,4,FALSE)&amp;", "&amp;F164&amp;" FROM "&amp;D164&amp;" WHERE "&amp;'0. Instruções'!$D$42&amp;")X"</f>
        <v>(SELECT instrmnt_id, SPCLTV_LNDNG FROM CD_LOAN_TAPES_BCE.LT002_INSTRUMENT WHERE ref_date='${ref_date}' AND nome_perimetro='Individual Corporativo' AND segmento='ESTR' AND ambito='PM' AND entidade='00100')X</v>
      </c>
      <c r="J164" s="34" t="str">
        <f>"(SELECT "&amp;VLOOKUP(B164,'0. Instruções'!$C$27:$G$32,4,FALSE)&amp;" AS "&amp;VLOOKUP(B164,'0. Instruções'!$C$27:$G$32,4,FALSE)&amp;"_SIMUL, "&amp;F164&amp;" AS "&amp;F164&amp;"_SIMUL FROM "&amp;E164&amp;" WHERE "&amp;'0. Instruções'!$D$43&amp;")Y"</f>
        <v>(SELECT instrmnt_id AS instrmnt_id_SIMUL, SPCLTV_LNDNG AS SPCLTV_LNDNG_SIMUL FROM BU_LOANTAPE_WORK.LT002_INSTRUMENT WHERE ref_date='${ref_date}' AND nome_perimetro='Individual Corporativo' AND segmento='ESTR' AND ambito='PM' AND entidade='00100')Y</v>
      </c>
      <c r="K164" s="35" t="str">
        <f>+UPPER("ON X."&amp;VLOOKUP(B164,'0. Instruções'!$C$27:$G$32,4,FALSE)&amp;"=Y."&amp;VLOOKUP(B164,'0. Instruções'!$C$27:$G$32,4,FALSE)&amp;"_SIMUL")</f>
        <v>ON X.INSTRMNT_ID=Y.INSTRMNT_ID_SIMUL</v>
      </c>
      <c r="L164" s="35" t="str">
        <f>+IF(C164="Coerência", +IF(LEFT(G164,5)="FLOAT","SELECT '"&amp;UPPER(B164)&amp;"' AS TABELA, '"&amp;UPPER(C164)&amp;"' AS TIPOLOGIA_TESTE,'"&amp;D164&amp;"' AS TABELA_LT,'"&amp;E164&amp;"' AS TABELA_SIMUL,'"&amp;F164&amp;"' AS CAMPO, "&amp;"'${ref_date}' AS REF_DATE, COUNT(*) AS NUM_REG, SUM(IF((ABS(COALESCE(CAST(X."&amp;F164&amp;" AS DECIMAL(18,6)),0)-COALESCE(CAST(Y."&amp;F164&amp;"_SIMUL AS DECIMAL(18,6)),0))&gt;0.000001) OR (X."&amp;F164&amp;" IS NULL AND Y."&amp;F164&amp;"_SIMUL IS NOT NULL ) OR (X."&amp;F164&amp;" IS NOT NULL AND Y."&amp;F164&amp;"_SIMUL IS NULL),1,0)) AS NUM_REG_DIF,'"&amp;MAX('ID1&amp;5'!K:K)+1&amp;"' AS ID_EXEC, CURRENT_TIMESTAMP() AS TIME_EXEC FROM "&amp;I164&amp;" INNER JOIN "&amp;J164&amp;" "&amp;K164,"SELECT '"&amp;UPPER(B164)&amp;"' AS TABELA, '"&amp;UPPER(C164)&amp;"' AS TIPOLOGIA_TESTE,'"&amp;D164&amp;"' AS TABELA_LT,'"&amp;E164&amp;"' AS TABELA_SIMUL,'"&amp;F164&amp;"' AS CAMPO, "&amp;"'${ref_date}' AS REF_DATE, COUNT(*) AS NUM_REG, SUM(IF(COALESCE(CAST(X."&amp;F164&amp;" AS STRING),'')&lt;&gt;COALESCE(CAST(Y."&amp;F164&amp;"_SIMUL AS STRING),'') OR (X."&amp;F164&amp;" IS NULL AND Y."&amp;F164&amp;"_SIMUL IS NOT NULL ) OR (X."&amp;F164&amp;" IS NOT NULL AND Y."&amp;F164&amp;"_SIMUL IS NULL),1,0)) AS NUM_REG_DIF,'"&amp;MAX('ID1&amp;5'!L:L)+1&amp;"' AS ID_EXEC, CURRENT_TIMESTAMP() AS TIME_EXEC FROM "&amp;I164&amp;" INNER JOIN "&amp;J164&amp;" "&amp;K164),
IF(C164="Validade",+IF(G164="Code List","SELECT '"&amp;UPPER(B164)&amp;"' AS TABELA, '"&amp;UPPER(C164)&amp;"' AS TIPOLOGIA_TESTE,'"&amp;D164&amp;"' AS TABELA_LT,'N/A' AS TABELA_SIMUL,'"&amp;F164&amp;"' AS CAMPO, "&amp;"'${ref_date}' AS REF_DATE, COUNT(*) AS NUM_REG, SUM(IF(TRIM(CAST(X."&amp;F164&amp;" AS STRING))='' OR TRIM(CAST(X."&amp;F164&amp;" AS STRING)) IS NULL OR CAST(X."&amp;F164&amp;" AS STRING) NOT "&amp;H164&amp;",1,0)) AS NUM_REG_DIF,'"&amp;MAX('ID1&amp;5'!K:K)+1&amp;"' AS ID_EXEC, CURRENT_TIMESTAMP() AS TIME_EXEC FROM "&amp;I164,"SELECT '"&amp;UPPER(B164)&amp;"' AS TABELA, '"&amp;UPPER(C164)&amp;"' AS TIPOLOGIA_TESTE,'"&amp;D164&amp;"' AS TABELA_LT,'N/A' AS TABELA_SIMUL,'"&amp;F164&amp;"' AS CAMPO, "&amp;"'${ref_date}' AS REF_DATE, COUNT(*) AS NUM_REG, SUM(IF(TRIM(CAST(X."&amp;F164&amp;" AS STRING))='' OR TRIM(CAST(X."&amp;F164&amp;" AS STRING)) IS NULL,1,0)) AS NUM_REG_DIF,'"&amp;MAX('ID1&amp;5'!K:K)+1&amp;"' AS ID_EXEC, CURRENT_TIMESTAMP() AS TIME_EXEC FROM "&amp;I164),
IF(C164="Caracteres Especiais",+"SELECT '"&amp;UPPER(B164)&amp;"' AS TABELA, '"&amp;UPPER(C164)&amp;"' AS TIPOLOGIA_TESTE,'"&amp;D164&amp;"' AS TABELA_LT,'N/A' AS TABELA_SIMUL,'"&amp;F164&amp;"' AS CAMPO, "&amp;"'${ref_date}' AS REF_DATE, COUNT(*) AS NUM_REG, SUM(IF(REGEXP_REPLACE(TRIM(CAST(X."&amp;F164&amp;" AS STRING)),'[^a-zA-Z0-9_\\s]','') &lt;&gt;TRIM(CAST(X."&amp;F164&amp;" AS STRING)),1,0)) AS NUM_REG_DIF,'"&amp;MAX('ID1&amp;5'!K:K)+1&amp;"' AS ID_EXEC, CURRENT_TIMESTAMP() AS TIME_EXEC FROM "&amp;I164,
IF(C164="Missings",+"SELECT '"&amp;UPPER(B164)&amp;"' AS TABELA, '"&amp;UPPER(C164)&amp;"' AS TIPOLOGIA_TESTE,'"&amp;D164&amp;"' AS TABELA_LT,'N/A' AS TABELA_SIMUL,'"&amp;F164&amp;"' AS CAMPO, "&amp;"'${ref_date}' AS REF_DATE, COUNT(*) AS NUM_REG, SUM(IF(TRIM(CAST(X."&amp;F164&amp;" AS STRING)) IN ('0000-00-00','0001-01-01','9999-12-31','MISS','00000','99999999999','99999999999.00','99999999999.000000'),1,0)) AS NUM_REG_DIF,'"&amp;MAX('ID1&amp;5'!K:K)+1&amp;"' AS ID_EXEC, CURRENT_TIMESTAMP() AS TIME_EXEC FROM "&amp;I164,
IF(C164="Not applicable",+"SELECT '"&amp;UPPER(B164)&amp;"' AS TABELA, '"&amp;UPPER(C164)&amp;"' AS TIPOLOGIA_TESTE,'"&amp;D164&amp;"' AS TABELA_LT,'N/A' AS TABELA_SIMUL,'"&amp;F164&amp;"' AS CAMPO, "&amp;"'${ref_date}' AS REF_DATE, COUNT(*) AS NUM_REG, SUM(IF(TRIM(CAST(X."&amp;F164&amp;" AS STRING)) IN ('N/A','11111111111','11111111111.00','11111111111.000000','1111-11-11'),1,0)) AS NUM_REG_DIF,'"&amp;MAX('ID1&amp;5'!K:K)+1&amp;"' AS ID_EXEC, CURRENT_TIMESTAMP() AS TIME_EXEC FROM "&amp;I164,
IF(C164="Valores extremos",+"SELECT '"&amp;UPPER(B164)&amp;"' AS TABELA, '"&amp;UPPER(C164)&amp;"' AS TIPOLOGIA_TESTE,'"&amp;D164&amp;"' AS TABELA_LT,'N/A' AS TABELA_SIMUL,'"&amp;F164&amp;"' AS CAMPO, "&amp;"'${ref_date}' AS REF_DATE, CAST(MIN("&amp;F164&amp;") AS STRING) AS VALOR_MIN, CAST(MAX("&amp;F164&amp;") AS STRING) AS VALOR_MAX,'"&amp;MAX('ID1&amp;5'!K:K)+1&amp;"' AS ID_EXEC, CURRENT_TIMESTAMP() AS TIME_EXEC FROM "&amp;MID(I164,1,LEN(I164)-2)&amp;" AND CAST("&amp;F164&amp;"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TABELA_SIMUL,'SPCLTV_LNDNG' AS CAMPO, '${ref_date}' AS REF_DATE, COUNT(*) AS NUM_REG, SUM(IF(COALESCE(CAST(X.SPCLTV_LNDNG AS STRING),'')&lt;&gt;COALESCE(CAST(Y.SPCLTV_LNDNG_SIMUL AS STRING),'') OR (X.SPCLTV_LNDNG IS NULL AND Y.SPCLTV_LNDNG_SIMUL IS NOT NULL ) OR (X.SPCLTV_LNDNG IS NOT NULL AND Y.SPCLTV_LNDNG_SIMUL IS NULL),1,0)) AS NUM_REG_DIF,'1' AS ID_EXEC, CURRENT_TIMESTAMP() AS TIME_EXEC FROM (SELECT instrmnt_id, SPCLTV_LNDNG FROM CD_LOAN_TAPES_BCE.LT002_INSTRUMENT WHERE ref_date='${ref_date}' AND nome_perimetro='Individual Corporativo' AND segmento='ESTR' AND ambito='PM' AND entidade='00100')X INNER JOIN (SELECT instrmnt_id AS instrmnt_id_SIMUL, SPCLTV_LNDNG AS SPCLTV_LNDNG_SIMUL FROM BU_LOANTAPE_WORK.LT002_INSTRUMENT WHERE ref_date='${ref_date}' AND nome_perimetro='Individual Corporativo' AND segmento='ESTR' AND ambito='PM' AND entidade='00100')Y ON X.INSTRMNT_ID=Y.INSTRMNT_ID_SIMUL</v>
      </c>
      <c r="M164" s="36" t="str">
        <f t="shared" si="2"/>
        <v>UNION ALL SELECT 'INSTRUMENT' AS TABELA, 'COERÊNCIA' AS TIPOLOGIA_TESTE,'CD_LOAN_TAPES_BCE.LT002_INSTRUMENT' AS TABELA_LT,'BU_LOANTAPE_WORK.LT002_INSTRUMENT' AS TABELA_SIMUL,'SPCLTV_LNDNG' AS CAMPO, '${ref_date}' AS REF_DATE, COUNT(*) AS NUM_REG, SUM(IF(COALESCE(CAST(X.SPCLTV_LNDNG AS STRING),'')&lt;&gt;COALESCE(CAST(Y.SPCLTV_LNDNG_SIMUL AS STRING),'') OR (X.SPCLTV_LNDNG IS NULL AND Y.SPCLTV_LNDNG_SIMUL IS NOT NULL ) OR (X.SPCLTV_LNDNG IS NOT NULL AND Y.SPCLTV_LNDNG_SIMUL IS NULL),1,0)) AS NUM_REG_DIF,'1' AS ID_EXEC, CURRENT_TIMESTAMP() AS TIME_EXEC FROM (SELECT instrmnt_id, SPCLTV_LNDNG FROM CD_LOAN_TAPES_BCE.LT002_INSTRUMENT WHERE ref_date='${ref_date}' AND nome_perimetro='Individual Corporativo' AND segmento='ESTR' AND ambito='PM' AND entidade='00100')X INNER JOIN (SELECT instrmnt_id AS instrmnt_id_SIMUL, SPCLTV_LNDNG AS SPCLTV_LNDNG_SIMUL FROM BU_LOANTAPE_WORK.LT002_INSTRUMENT WHERE ref_date='${ref_date}' AND nome_perimetro='Individual Corporativo' AND segmento='ESTR' AND ambito='PM' AND entidade='00100')Y ON X.INSTRMNT_ID=Y.INSTRMNT_ID_SIMUL</v>
      </c>
      <c r="N164" s="38" t="s">
        <v>46</v>
      </c>
    </row>
    <row r="165" spans="2:14" hidden="1">
      <c r="B165" s="34" t="s">
        <v>126</v>
      </c>
      <c r="C165" s="34" t="s">
        <v>5</v>
      </c>
      <c r="D165" s="34" t="str">
        <f>+UPPER('0. Instruções'!$D$35&amp;"."&amp;VLOOKUP(B165,'0. Instruções'!$C$27:$D$32,2,FALSE))</f>
        <v>CD_LOAN_TAPES_BCE.LT002_INSTRUMENT</v>
      </c>
      <c r="E165" s="34" t="str">
        <f>+UPPER('0. Instruções'!$D$36&amp;"."&amp;VLOOKUP(B165,'0. Instruções'!$C$27:$E$32,3,FALSE))</f>
        <v>BU_LOANTAPE_WORK.LT002_INSTRUMENT</v>
      </c>
      <c r="F165" s="34" t="s">
        <v>459</v>
      </c>
      <c r="G165" s="34"/>
      <c r="H165" s="35" t="s">
        <v>89</v>
      </c>
      <c r="I165" s="34" t="str">
        <f>"(SELECT "&amp;VLOOKUP(B165,'0. Instruções'!$C$27:$G$32,4,FALSE)&amp;", "&amp;F165&amp;" FROM "&amp;D165&amp;" WHERE "&amp;'0. Instruções'!$D$42&amp;")X"</f>
        <v>(SELECT instrmnt_id, STTS_UNDRWRTTN_TRNSCTN FROM CD_LOAN_TAPES_BCE.LT002_INSTRUMENT WHERE ref_date='${ref_date}' AND nome_perimetro='Individual Corporativo' AND segmento='ESTR' AND ambito='PM' AND entidade='00100')X</v>
      </c>
      <c r="J165" s="34" t="str">
        <f>"(SELECT "&amp;VLOOKUP(B165,'0. Instruções'!$C$27:$G$32,4,FALSE)&amp;" AS "&amp;VLOOKUP(B165,'0. Instruções'!$C$27:$G$32,4,FALSE)&amp;"_SIMUL, "&amp;F165&amp;" AS "&amp;F165&amp;"_SIMUL FROM "&amp;E165&amp;" WHERE "&amp;'0. Instruções'!$D$43&amp;")Y"</f>
        <v>(SELECT instrmnt_id AS instrmnt_id_SIMUL, STTS_UNDRWRTTN_TRNSCTN AS STTS_UNDRWRTTN_TRNSCTN_SIMUL FROM BU_LOANTAPE_WORK.LT002_INSTRUMENT WHERE ref_date='${ref_date}' AND nome_perimetro='Individual Corporativo' AND segmento='ESTR' AND ambito='PM' AND entidade='00100')Y</v>
      </c>
      <c r="K165" s="35" t="str">
        <f>+UPPER("ON X."&amp;VLOOKUP(B165,'0. Instruções'!$C$27:$G$32,4,FALSE)&amp;"=Y."&amp;VLOOKUP(B165,'0. Instruções'!$C$27:$G$32,4,FALSE)&amp;"_SIMUL")</f>
        <v>ON X.INSTRMNT_ID=Y.INSTRMNT_ID_SIMUL</v>
      </c>
      <c r="L165" s="35" t="str">
        <f>+IF(C165="Coerência", +IF(LEFT(G165,5)="FLOAT","SELECT '"&amp;UPPER(B165)&amp;"' AS TABELA, '"&amp;UPPER(C165)&amp;"' AS TIPOLOGIA_TESTE,'"&amp;D165&amp;"' AS TABELA_LT,'"&amp;E165&amp;"' AS TABELA_SIMUL,'"&amp;F165&amp;"' AS CAMPO, "&amp;"'${ref_date}' AS REF_DATE, COUNT(*) AS NUM_REG, SUM(IF((ABS(COALESCE(CAST(X."&amp;F165&amp;" AS DECIMAL(18,6)),0)-COALESCE(CAST(Y."&amp;F165&amp;"_SIMUL AS DECIMAL(18,6)),0))&gt;0.000001) OR (X."&amp;F165&amp;" IS NULL AND Y."&amp;F165&amp;"_SIMUL IS NOT NULL ) OR (X."&amp;F165&amp;" IS NOT NULL AND Y."&amp;F165&amp;"_SIMUL IS NULL),1,0)) AS NUM_REG_DIF,'"&amp;MAX('ID1&amp;5'!K:K)+1&amp;"' AS ID_EXEC, CURRENT_TIMESTAMP() AS TIME_EXEC FROM "&amp;I165&amp;" INNER JOIN "&amp;J165&amp;" "&amp;K165,"SELECT '"&amp;UPPER(B165)&amp;"' AS TABELA, '"&amp;UPPER(C165)&amp;"' AS TIPOLOGIA_TESTE,'"&amp;D165&amp;"' AS TABELA_LT,'"&amp;E165&amp;"' AS TABELA_SIMUL,'"&amp;F165&amp;"' AS CAMPO, "&amp;"'${ref_date}' AS REF_DATE, COUNT(*) AS NUM_REG, SUM(IF(COALESCE(CAST(X."&amp;F165&amp;" AS STRING),'')&lt;&gt;COALESCE(CAST(Y."&amp;F165&amp;"_SIMUL AS STRING),'') OR (X."&amp;F165&amp;" IS NULL AND Y."&amp;F165&amp;"_SIMUL IS NOT NULL ) OR (X."&amp;F165&amp;" IS NOT NULL AND Y."&amp;F165&amp;"_SIMUL IS NULL),1,0)) AS NUM_REG_DIF,'"&amp;MAX('ID1&amp;5'!L:L)+1&amp;"' AS ID_EXEC, CURRENT_TIMESTAMP() AS TIME_EXEC FROM "&amp;I165&amp;" INNER JOIN "&amp;J165&amp;" "&amp;K165),
IF(C165="Validade",+IF(G165="Code List","SELECT '"&amp;UPPER(B165)&amp;"' AS TABELA, '"&amp;UPPER(C165)&amp;"' AS TIPOLOGIA_TESTE,'"&amp;D165&amp;"' AS TABELA_LT,'N/A' AS TABELA_SIMUL,'"&amp;F165&amp;"' AS CAMPO, "&amp;"'${ref_date}' AS REF_DATE, COUNT(*) AS NUM_REG, SUM(IF(TRIM(CAST(X."&amp;F165&amp;" AS STRING))='' OR TRIM(CAST(X."&amp;F165&amp;" AS STRING)) IS NULL OR CAST(X."&amp;F165&amp;" AS STRING) NOT "&amp;H165&amp;",1,0)) AS NUM_REG_DIF,'"&amp;MAX('ID1&amp;5'!K:K)+1&amp;"' AS ID_EXEC, CURRENT_TIMESTAMP() AS TIME_EXEC FROM "&amp;I165,"SELECT '"&amp;UPPER(B165)&amp;"' AS TABELA, '"&amp;UPPER(C165)&amp;"' AS TIPOLOGIA_TESTE,'"&amp;D165&amp;"' AS TABELA_LT,'N/A' AS TABELA_SIMUL,'"&amp;F165&amp;"' AS CAMPO, "&amp;"'${ref_date}' AS REF_DATE, COUNT(*) AS NUM_REG, SUM(IF(TRIM(CAST(X."&amp;F165&amp;" AS STRING))='' OR TRIM(CAST(X."&amp;F165&amp;" AS STRING)) IS NULL,1,0)) AS NUM_REG_DIF,'"&amp;MAX('ID1&amp;5'!K:K)+1&amp;"' AS ID_EXEC, CURRENT_TIMESTAMP() AS TIME_EXEC FROM "&amp;I165),
IF(C165="Caracteres Especiais",+"SELECT '"&amp;UPPER(B165)&amp;"' AS TABELA, '"&amp;UPPER(C165)&amp;"' AS TIPOLOGIA_TESTE,'"&amp;D165&amp;"' AS TABELA_LT,'N/A' AS TABELA_SIMUL,'"&amp;F165&amp;"' AS CAMPO, "&amp;"'${ref_date}' AS REF_DATE, COUNT(*) AS NUM_REG, SUM(IF(REGEXP_REPLACE(TRIM(CAST(X."&amp;F165&amp;" AS STRING)),'[^a-zA-Z0-9_\\s]','') &lt;&gt;TRIM(CAST(X."&amp;F165&amp;" AS STRING)),1,0)) AS NUM_REG_DIF,'"&amp;MAX('ID1&amp;5'!K:K)+1&amp;"' AS ID_EXEC, CURRENT_TIMESTAMP() AS TIME_EXEC FROM "&amp;I165,
IF(C165="Missings",+"SELECT '"&amp;UPPER(B165)&amp;"' AS TABELA, '"&amp;UPPER(C165)&amp;"' AS TIPOLOGIA_TESTE,'"&amp;D165&amp;"' AS TABELA_LT,'N/A' AS TABELA_SIMUL,'"&amp;F165&amp;"' AS CAMPO, "&amp;"'${ref_date}' AS REF_DATE, COUNT(*) AS NUM_REG, SUM(IF(TRIM(CAST(X."&amp;F165&amp;" AS STRING)) IN ('0000-00-00','0001-01-01','9999-12-31','MISS','00000','99999999999','99999999999.00','99999999999.000000'),1,0)) AS NUM_REG_DIF,'"&amp;MAX('ID1&amp;5'!K:K)+1&amp;"' AS ID_EXEC, CURRENT_TIMESTAMP() AS TIME_EXEC FROM "&amp;I165,
IF(C165="Not applicable",+"SELECT '"&amp;UPPER(B165)&amp;"' AS TABELA, '"&amp;UPPER(C165)&amp;"' AS TIPOLOGIA_TESTE,'"&amp;D165&amp;"' AS TABELA_LT,'N/A' AS TABELA_SIMUL,'"&amp;F165&amp;"' AS CAMPO, "&amp;"'${ref_date}' AS REF_DATE, COUNT(*) AS NUM_REG, SUM(IF(TRIM(CAST(X."&amp;F165&amp;" AS STRING)) IN ('N/A','11111111111','11111111111.00','11111111111.000000','1111-11-11'),1,0)) AS NUM_REG_DIF,'"&amp;MAX('ID1&amp;5'!K:K)+1&amp;"' AS ID_EXEC, CURRENT_TIMESTAMP() AS TIME_EXEC FROM "&amp;I165,
IF(C165="Valores extremos",+"SELECT '"&amp;UPPER(B165)&amp;"' AS TABELA, '"&amp;UPPER(C165)&amp;"' AS TIPOLOGIA_TESTE,'"&amp;D165&amp;"' AS TABELA_LT,'N/A' AS TABELA_SIMUL,'"&amp;F165&amp;"' AS CAMPO, "&amp;"'${ref_date}' AS REF_DATE, CAST(MIN("&amp;F165&amp;") AS STRING) AS VALOR_MIN, CAST(MAX("&amp;F165&amp;") AS STRING) AS VALOR_MAX,'"&amp;MAX('ID1&amp;5'!K:K)+1&amp;"' AS ID_EXEC, CURRENT_TIMESTAMP() AS TIME_EXEC FROM "&amp;MID(I165,1,LEN(I165)-2)&amp;" AND CAST("&amp;F165&amp;"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TABELA_SIMUL,'STTS_UNDRWRTTN_TRNSCTN' AS CAMPO, '${ref_date}' AS REF_DATE, COUNT(*) AS NUM_REG, SUM(IF(COALESCE(CAST(X.STTS_UNDRWRTTN_TRNSCTN AS STRING),'')&lt;&gt;COALESCE(CAST(Y.STTS_UNDRWRTTN_TRNSCTN_SIMUL AS STRING),'') OR (X.STTS_UNDRWRTTN_TRNSCTN IS NULL AND Y.STTS_UNDRWRTTN_TRNSCTN_SIMUL IS NOT NULL ) OR (X.STTS_UNDRWRTTN_TRNSCTN IS NOT NULL AND Y.STTS_UNDRWRTTN_TRNSCTN_SIMUL IS NULL),1,0)) AS NUM_REG_DIF,'1' AS ID_EXEC, CURRENT_TIMESTAMP() AS TIME_EXEC FROM (SELECT instrmnt_id, STTS_UNDRWRTTN_TRNSCTN FROM CD_LOAN_TAPES_BCE.LT002_INSTRUMENT WHERE ref_date='${ref_date}' AND nome_perimetro='Individual Corporativo' AND segmento='ESTR' AND ambito='PM' AND entidade='00100')X INNER JOIN (SELECT instrmnt_id AS instrmnt_id_SIMUL, STTS_UNDRWRTTN_TRNSCTN AS STTS_UNDRWRTTN_TRNSCTN_SIMUL FROM BU_LOANTAPE_WORK.LT002_INSTRUMENT WHERE ref_date='${ref_date}' AND nome_perimetro='Individual Corporativo' AND segmento='ESTR' AND ambito='PM' AND entidade='00100')Y ON X.INSTRMNT_ID=Y.INSTRMNT_ID_SIMUL</v>
      </c>
      <c r="M165" s="36" t="str">
        <f t="shared" si="2"/>
        <v>UNION ALL SELECT 'INSTRUMENT' AS TABELA, 'COERÊNCIA' AS TIPOLOGIA_TESTE,'CD_LOAN_TAPES_BCE.LT002_INSTRUMENT' AS TABELA_LT,'BU_LOANTAPE_WORK.LT002_INSTRUMENT' AS TABELA_SIMUL,'STTS_UNDRWRTTN_TRNSCTN' AS CAMPO, '${ref_date}' AS REF_DATE, COUNT(*) AS NUM_REG, SUM(IF(COALESCE(CAST(X.STTS_UNDRWRTTN_TRNSCTN AS STRING),'')&lt;&gt;COALESCE(CAST(Y.STTS_UNDRWRTTN_TRNSCTN_SIMUL AS STRING),'') OR (X.STTS_UNDRWRTTN_TRNSCTN IS NULL AND Y.STTS_UNDRWRTTN_TRNSCTN_SIMUL IS NOT NULL ) OR (X.STTS_UNDRWRTTN_TRNSCTN IS NOT NULL AND Y.STTS_UNDRWRTTN_TRNSCTN_SIMUL IS NULL),1,0)) AS NUM_REG_DIF,'1' AS ID_EXEC, CURRENT_TIMESTAMP() AS TIME_EXEC FROM (SELECT instrmnt_id, STTS_UNDRWRTTN_TRNSCTN FROM CD_LOAN_TAPES_BCE.LT002_INSTRUMENT WHERE ref_date='${ref_date}' AND nome_perimetro='Individual Corporativo' AND segmento='ESTR' AND ambito='PM' AND entidade='00100')X INNER JOIN (SELECT instrmnt_id AS instrmnt_id_SIMUL, STTS_UNDRWRTTN_TRNSCTN AS STTS_UNDRWRTTN_TRNSCTN_SIMUL FROM BU_LOANTAPE_WORK.LT002_INSTRUMENT WHERE ref_date='${ref_date}' AND nome_perimetro='Individual Corporativo' AND segmento='ESTR' AND ambito='PM' AND entidade='00100')Y ON X.INSTRMNT_ID=Y.INSTRMNT_ID_SIMUL</v>
      </c>
      <c r="N165" s="38" t="s">
        <v>46</v>
      </c>
    </row>
    <row r="166" spans="2:14" hidden="1">
      <c r="B166" s="34" t="s">
        <v>126</v>
      </c>
      <c r="C166" s="34" t="s">
        <v>5</v>
      </c>
      <c r="D166" s="34" t="str">
        <f>+UPPER('0. Instruções'!$D$35&amp;"."&amp;VLOOKUP(B166,'0. Instruções'!$C$27:$D$32,2,FALSE))</f>
        <v>CD_LOAN_TAPES_BCE.LT002_INSTRUMENT</v>
      </c>
      <c r="E166" s="34" t="str">
        <f>+UPPER('0. Instruções'!$D$36&amp;"."&amp;VLOOKUP(B166,'0. Instruções'!$C$27:$E$32,3,FALSE))</f>
        <v>BU_LOANTAPE_WORK.LT002_INSTRUMENT</v>
      </c>
      <c r="F166" s="34" t="s">
        <v>460</v>
      </c>
      <c r="G166" s="34"/>
      <c r="H166" s="35" t="s">
        <v>89</v>
      </c>
      <c r="I166" s="34" t="str">
        <f>"(SELECT "&amp;VLOOKUP(B166,'0. Instruções'!$C$27:$G$32,4,FALSE)&amp;", "&amp;F166&amp;" FROM "&amp;D166&amp;" WHERE "&amp;'0. Instruções'!$D$42&amp;")X"</f>
        <v>(SELECT instrmnt_id, TRNCH FROM CD_LOAN_TAPES_BCE.LT002_INSTRUMENT WHERE ref_date='${ref_date}' AND nome_perimetro='Individual Corporativo' AND segmento='ESTR' AND ambito='PM' AND entidade='00100')X</v>
      </c>
      <c r="J166" s="34" t="str">
        <f>"(SELECT "&amp;VLOOKUP(B166,'0. Instruções'!$C$27:$G$32,4,FALSE)&amp;" AS "&amp;VLOOKUP(B166,'0. Instruções'!$C$27:$G$32,4,FALSE)&amp;"_SIMUL, "&amp;F166&amp;" AS "&amp;F166&amp;"_SIMUL FROM "&amp;E166&amp;" WHERE "&amp;'0. Instruções'!$D$43&amp;")Y"</f>
        <v>(SELECT instrmnt_id AS instrmnt_id_SIMUL, TRNCH AS TRNCH_SIMUL FROM BU_LOANTAPE_WORK.LT002_INSTRUMENT WHERE ref_date='${ref_date}' AND nome_perimetro='Individual Corporativo' AND segmento='ESTR' AND ambito='PM' AND entidade='00100')Y</v>
      </c>
      <c r="K166" s="35" t="str">
        <f>+UPPER("ON X."&amp;VLOOKUP(B166,'0. Instruções'!$C$27:$G$32,4,FALSE)&amp;"=Y."&amp;VLOOKUP(B166,'0. Instruções'!$C$27:$G$32,4,FALSE)&amp;"_SIMUL")</f>
        <v>ON X.INSTRMNT_ID=Y.INSTRMNT_ID_SIMUL</v>
      </c>
      <c r="L166" s="35" t="str">
        <f>+IF(C166="Coerência", +IF(LEFT(G166,5)="FLOAT","SELECT '"&amp;UPPER(B166)&amp;"' AS TABELA, '"&amp;UPPER(C166)&amp;"' AS TIPOLOGIA_TESTE,'"&amp;D166&amp;"' AS TABELA_LT,'"&amp;E166&amp;"' AS TABELA_SIMUL,'"&amp;F166&amp;"' AS CAMPO, "&amp;"'${ref_date}' AS REF_DATE, COUNT(*) AS NUM_REG, SUM(IF((ABS(COALESCE(CAST(X."&amp;F166&amp;" AS DECIMAL(18,6)),0)-COALESCE(CAST(Y."&amp;F166&amp;"_SIMUL AS DECIMAL(18,6)),0))&gt;0.000001) OR (X."&amp;F166&amp;" IS NULL AND Y."&amp;F166&amp;"_SIMUL IS NOT NULL ) OR (X."&amp;F166&amp;" IS NOT NULL AND Y."&amp;F166&amp;"_SIMUL IS NULL),1,0)) AS NUM_REG_DIF,'"&amp;MAX('ID1&amp;5'!K:K)+1&amp;"' AS ID_EXEC, CURRENT_TIMESTAMP() AS TIME_EXEC FROM "&amp;I166&amp;" INNER JOIN "&amp;J166&amp;" "&amp;K166,"SELECT '"&amp;UPPER(B166)&amp;"' AS TABELA, '"&amp;UPPER(C166)&amp;"' AS TIPOLOGIA_TESTE,'"&amp;D166&amp;"' AS TABELA_LT,'"&amp;E166&amp;"' AS TABELA_SIMUL,'"&amp;F166&amp;"' AS CAMPO, "&amp;"'${ref_date}' AS REF_DATE, COUNT(*) AS NUM_REG, SUM(IF(COALESCE(CAST(X."&amp;F166&amp;" AS STRING),'')&lt;&gt;COALESCE(CAST(Y."&amp;F166&amp;"_SIMUL AS STRING),'') OR (X."&amp;F166&amp;" IS NULL AND Y."&amp;F166&amp;"_SIMUL IS NOT NULL ) OR (X."&amp;F166&amp;" IS NOT NULL AND Y."&amp;F166&amp;"_SIMUL IS NULL),1,0)) AS NUM_REG_DIF,'"&amp;MAX('ID1&amp;5'!L:L)+1&amp;"' AS ID_EXEC, CURRENT_TIMESTAMP() AS TIME_EXEC FROM "&amp;I166&amp;" INNER JOIN "&amp;J166&amp;" "&amp;K166),
IF(C166="Validade",+IF(G166="Code List","SELECT '"&amp;UPPER(B166)&amp;"' AS TABELA, '"&amp;UPPER(C166)&amp;"' AS TIPOLOGIA_TESTE,'"&amp;D166&amp;"' AS TABELA_LT,'N/A' AS TABELA_SIMUL,'"&amp;F166&amp;"' AS CAMPO, "&amp;"'${ref_date}' AS REF_DATE, COUNT(*) AS NUM_REG, SUM(IF(TRIM(CAST(X."&amp;F166&amp;" AS STRING))='' OR TRIM(CAST(X."&amp;F166&amp;" AS STRING)) IS NULL OR CAST(X."&amp;F166&amp;" AS STRING) NOT "&amp;H166&amp;",1,0)) AS NUM_REG_DIF,'"&amp;MAX('ID1&amp;5'!K:K)+1&amp;"' AS ID_EXEC, CURRENT_TIMESTAMP() AS TIME_EXEC FROM "&amp;I166,"SELECT '"&amp;UPPER(B166)&amp;"' AS TABELA, '"&amp;UPPER(C166)&amp;"' AS TIPOLOGIA_TESTE,'"&amp;D166&amp;"' AS TABELA_LT,'N/A' AS TABELA_SIMUL,'"&amp;F166&amp;"' AS CAMPO, "&amp;"'${ref_date}' AS REF_DATE, COUNT(*) AS NUM_REG, SUM(IF(TRIM(CAST(X."&amp;F166&amp;" AS STRING))='' OR TRIM(CAST(X."&amp;F166&amp;" AS STRING)) IS NULL,1,0)) AS NUM_REG_DIF,'"&amp;MAX('ID1&amp;5'!K:K)+1&amp;"' AS ID_EXEC, CURRENT_TIMESTAMP() AS TIME_EXEC FROM "&amp;I166),
IF(C166="Caracteres Especiais",+"SELECT '"&amp;UPPER(B166)&amp;"' AS TABELA, '"&amp;UPPER(C166)&amp;"' AS TIPOLOGIA_TESTE,'"&amp;D166&amp;"' AS TABELA_LT,'N/A' AS TABELA_SIMUL,'"&amp;F166&amp;"' AS CAMPO, "&amp;"'${ref_date}' AS REF_DATE, COUNT(*) AS NUM_REG, SUM(IF(REGEXP_REPLACE(TRIM(CAST(X."&amp;F166&amp;" AS STRING)),'[^a-zA-Z0-9_\\s]','') &lt;&gt;TRIM(CAST(X."&amp;F166&amp;" AS STRING)),1,0)) AS NUM_REG_DIF,'"&amp;MAX('ID1&amp;5'!K:K)+1&amp;"' AS ID_EXEC, CURRENT_TIMESTAMP() AS TIME_EXEC FROM "&amp;I166,
IF(C166="Missings",+"SELECT '"&amp;UPPER(B166)&amp;"' AS TABELA, '"&amp;UPPER(C166)&amp;"' AS TIPOLOGIA_TESTE,'"&amp;D166&amp;"' AS TABELA_LT,'N/A' AS TABELA_SIMUL,'"&amp;F166&amp;"' AS CAMPO, "&amp;"'${ref_date}' AS REF_DATE, COUNT(*) AS NUM_REG, SUM(IF(TRIM(CAST(X."&amp;F166&amp;" AS STRING)) IN ('0000-00-00','0001-01-01','9999-12-31','MISS','00000','99999999999','99999999999.00','99999999999.000000'),1,0)) AS NUM_REG_DIF,'"&amp;MAX('ID1&amp;5'!K:K)+1&amp;"' AS ID_EXEC, CURRENT_TIMESTAMP() AS TIME_EXEC FROM "&amp;I166,
IF(C166="Not applicable",+"SELECT '"&amp;UPPER(B166)&amp;"' AS TABELA, '"&amp;UPPER(C166)&amp;"' AS TIPOLOGIA_TESTE,'"&amp;D166&amp;"' AS TABELA_LT,'N/A' AS TABELA_SIMUL,'"&amp;F166&amp;"' AS CAMPO, "&amp;"'${ref_date}' AS REF_DATE, COUNT(*) AS NUM_REG, SUM(IF(TRIM(CAST(X."&amp;F166&amp;" AS STRING)) IN ('N/A','11111111111','11111111111.00','11111111111.000000','1111-11-11'),1,0)) AS NUM_REG_DIF,'"&amp;MAX('ID1&amp;5'!K:K)+1&amp;"' AS ID_EXEC, CURRENT_TIMESTAMP() AS TIME_EXEC FROM "&amp;I166,
IF(C166="Valores extremos",+"SELECT '"&amp;UPPER(B166)&amp;"' AS TABELA, '"&amp;UPPER(C166)&amp;"' AS TIPOLOGIA_TESTE,'"&amp;D166&amp;"' AS TABELA_LT,'N/A' AS TABELA_SIMUL,'"&amp;F166&amp;"' AS CAMPO, "&amp;"'${ref_date}' AS REF_DATE, CAST(MIN("&amp;F166&amp;") AS STRING) AS VALOR_MIN, CAST(MAX("&amp;F166&amp;") AS STRING) AS VALOR_MAX,'"&amp;MAX('ID1&amp;5'!K:K)+1&amp;"' AS ID_EXEC, CURRENT_TIMESTAMP() AS TIME_EXEC FROM "&amp;MID(I166,1,LEN(I166)-2)&amp;" AND CAST("&amp;F166&amp;"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TABELA_SIMUL,'TRNCH' AS CAMPO, '${ref_date}' AS REF_DATE, COUNT(*) AS NUM_REG, SUM(IF(COALESCE(CAST(X.TRNCH AS STRING),'')&lt;&gt;COALESCE(CAST(Y.TRNCH_SIMUL AS STRING),'') OR (X.TRNCH IS NULL AND Y.TRNCH_SIMUL IS NOT NULL ) OR (X.TRNCH IS NOT NULL AND Y.TRNCH_SIMUL IS NULL),1,0)) AS NUM_REG_DIF,'1' AS ID_EXEC, CURRENT_TIMESTAMP() AS TIME_EXEC FROM (SELECT instrmnt_id, TRNCH FROM CD_LOAN_TAPES_BCE.LT002_INSTRUMENT WHERE ref_date='${ref_date}' AND nome_perimetro='Individual Corporativo' AND segmento='ESTR' AND ambito='PM' AND entidade='00100')X INNER JOIN (SELECT instrmnt_id AS instrmnt_id_SIMUL, TRNCH AS TRNCH_SIMUL FROM BU_LOANTAPE_WORK.LT002_INSTRUMENT WHERE ref_date='${ref_date}' AND nome_perimetro='Individual Corporativo' AND segmento='ESTR' AND ambito='PM' AND entidade='00100')Y ON X.INSTRMNT_ID=Y.INSTRMNT_ID_SIMUL</v>
      </c>
      <c r="M166" s="36" t="str">
        <f t="shared" si="2"/>
        <v>UNION ALL SELECT 'INSTRUMENT' AS TABELA, 'COERÊNCIA' AS TIPOLOGIA_TESTE,'CD_LOAN_TAPES_BCE.LT002_INSTRUMENT' AS TABELA_LT,'BU_LOANTAPE_WORK.LT002_INSTRUMENT' AS TABELA_SIMUL,'TRNCH' AS CAMPO, '${ref_date}' AS REF_DATE, COUNT(*) AS NUM_REG, SUM(IF(COALESCE(CAST(X.TRNCH AS STRING),'')&lt;&gt;COALESCE(CAST(Y.TRNCH_SIMUL AS STRING),'') OR (X.TRNCH IS NULL AND Y.TRNCH_SIMUL IS NOT NULL ) OR (X.TRNCH IS NOT NULL AND Y.TRNCH_SIMUL IS NULL),1,0)) AS NUM_REG_DIF,'1' AS ID_EXEC, CURRENT_TIMESTAMP() AS TIME_EXEC FROM (SELECT instrmnt_id, TRNCH FROM CD_LOAN_TAPES_BCE.LT002_INSTRUMENT WHERE ref_date='${ref_date}' AND nome_perimetro='Individual Corporativo' AND segmento='ESTR' AND ambito='PM' AND entidade='00100')X INNER JOIN (SELECT instrmnt_id AS instrmnt_id_SIMUL, TRNCH AS TRNCH_SIMUL FROM BU_LOANTAPE_WORK.LT002_INSTRUMENT WHERE ref_date='${ref_date}' AND nome_perimetro='Individual Corporativo' AND segmento='ESTR' AND ambito='PM' AND entidade='00100')Y ON X.INSTRMNT_ID=Y.INSTRMNT_ID_SIMUL</v>
      </c>
      <c r="N166" s="38" t="s">
        <v>46</v>
      </c>
    </row>
    <row r="167" spans="2:14" hidden="1">
      <c r="B167" s="34" t="s">
        <v>126</v>
      </c>
      <c r="C167" s="34" t="s">
        <v>5</v>
      </c>
      <c r="D167" s="34" t="str">
        <f>+UPPER('0. Instruções'!$D$35&amp;"."&amp;VLOOKUP(B167,'0. Instruções'!$C$27:$D$32,2,FALSE))</f>
        <v>CD_LOAN_TAPES_BCE.LT002_INSTRUMENT</v>
      </c>
      <c r="E167" s="34" t="str">
        <f>+UPPER('0. Instruções'!$D$36&amp;"."&amp;VLOOKUP(B167,'0. Instruções'!$C$27:$E$32,3,FALSE))</f>
        <v>BU_LOANTAPE_WORK.LT002_INSTRUMENT</v>
      </c>
      <c r="F167" s="34" t="s">
        <v>461</v>
      </c>
      <c r="G167" s="34"/>
      <c r="H167" s="34" t="s">
        <v>89</v>
      </c>
      <c r="I167" s="34" t="str">
        <f>"(SELECT "&amp;VLOOKUP(B167,'0. Instruções'!$C$27:$G$32,4,FALSE)&amp;", "&amp;F167&amp;" FROM "&amp;D167&amp;" WHERE "&amp;'0. Instruções'!$D$42&amp;")X"</f>
        <v>(SELECT instrmnt_id, TYP_AMRTSTN FROM CD_LOAN_TAPES_BCE.LT002_INSTRUMENT WHERE ref_date='${ref_date}' AND nome_perimetro='Individual Corporativo' AND segmento='ESTR' AND ambito='PM' AND entidade='00100')X</v>
      </c>
      <c r="J167" s="34" t="str">
        <f>"(SELECT "&amp;VLOOKUP(B167,'0. Instruções'!$C$27:$G$32,4,FALSE)&amp;" AS "&amp;VLOOKUP(B167,'0. Instruções'!$C$27:$G$32,4,FALSE)&amp;"_SIMUL, "&amp;F167&amp;" AS "&amp;F167&amp;"_SIMUL FROM "&amp;E167&amp;" WHERE "&amp;'0. Instruções'!$D$43&amp;")Y"</f>
        <v>(SELECT instrmnt_id AS instrmnt_id_SIMUL, TYP_AMRTSTN AS TYP_AMRTSTN_SIMUL FROM BU_LOANTAPE_WORK.LT002_INSTRUMENT WHERE ref_date='${ref_date}' AND nome_perimetro='Individual Corporativo' AND segmento='ESTR' AND ambito='PM' AND entidade='00100')Y</v>
      </c>
      <c r="K167" s="35" t="str">
        <f>+UPPER("ON X."&amp;VLOOKUP(B167,'0. Instruções'!$C$27:$G$32,4,FALSE)&amp;"=Y."&amp;VLOOKUP(B167,'0. Instruções'!$C$27:$G$32,4,FALSE)&amp;"_SIMUL")</f>
        <v>ON X.INSTRMNT_ID=Y.INSTRMNT_ID_SIMUL</v>
      </c>
      <c r="L167" s="35" t="str">
        <f>+IF(C167="Coerência", +IF(LEFT(G167,5)="FLOAT","SELECT '"&amp;UPPER(B167)&amp;"' AS TABELA, '"&amp;UPPER(C167)&amp;"' AS TIPOLOGIA_TESTE,'"&amp;D167&amp;"' AS TABELA_LT,'"&amp;E167&amp;"' AS TABELA_SIMUL,'"&amp;F167&amp;"' AS CAMPO, "&amp;"'${ref_date}' AS REF_DATE, COUNT(*) AS NUM_REG, SUM(IF((ABS(COALESCE(CAST(X."&amp;F167&amp;" AS DECIMAL(18,6)),0)-COALESCE(CAST(Y."&amp;F167&amp;"_SIMUL AS DECIMAL(18,6)),0))&gt;0.000001) OR (X."&amp;F167&amp;" IS NULL AND Y."&amp;F167&amp;"_SIMUL IS NOT NULL ) OR (X."&amp;F167&amp;" IS NOT NULL AND Y."&amp;F167&amp;"_SIMUL IS NULL),1,0)) AS NUM_REG_DIF,'"&amp;MAX('ID1&amp;5'!K:K)+1&amp;"' AS ID_EXEC, CURRENT_TIMESTAMP() AS TIME_EXEC FROM "&amp;I167&amp;" INNER JOIN "&amp;J167&amp;" "&amp;K167,"SELECT '"&amp;UPPER(B167)&amp;"' AS TABELA, '"&amp;UPPER(C167)&amp;"' AS TIPOLOGIA_TESTE,'"&amp;D167&amp;"' AS TABELA_LT,'"&amp;E167&amp;"' AS TABELA_SIMUL,'"&amp;F167&amp;"' AS CAMPO, "&amp;"'${ref_date}' AS REF_DATE, COUNT(*) AS NUM_REG, SUM(IF(COALESCE(CAST(X."&amp;F167&amp;" AS STRING),'')&lt;&gt;COALESCE(CAST(Y."&amp;F167&amp;"_SIMUL AS STRING),'') OR (X."&amp;F167&amp;" IS NULL AND Y."&amp;F167&amp;"_SIMUL IS NOT NULL ) OR (X."&amp;F167&amp;" IS NOT NULL AND Y."&amp;F167&amp;"_SIMUL IS NULL),1,0)) AS NUM_REG_DIF,'"&amp;MAX('ID1&amp;5'!L:L)+1&amp;"' AS ID_EXEC, CURRENT_TIMESTAMP() AS TIME_EXEC FROM "&amp;I167&amp;" INNER JOIN "&amp;J167&amp;" "&amp;K167),
IF(C167="Validade",+IF(G167="Code List","SELECT '"&amp;UPPER(B167)&amp;"' AS TABELA, '"&amp;UPPER(C167)&amp;"' AS TIPOLOGIA_TESTE,'"&amp;D167&amp;"' AS TABELA_LT,'N/A' AS TABELA_SIMUL,'"&amp;F167&amp;"' AS CAMPO, "&amp;"'${ref_date}' AS REF_DATE, COUNT(*) AS NUM_REG, SUM(IF(TRIM(CAST(X."&amp;F167&amp;" AS STRING))='' OR TRIM(CAST(X."&amp;F167&amp;" AS STRING)) IS NULL OR CAST(X."&amp;F167&amp;" AS STRING) NOT "&amp;H167&amp;",1,0)) AS NUM_REG_DIF,'"&amp;MAX('ID1&amp;5'!K:K)+1&amp;"' AS ID_EXEC, CURRENT_TIMESTAMP() AS TIME_EXEC FROM "&amp;I167,"SELECT '"&amp;UPPER(B167)&amp;"' AS TABELA, '"&amp;UPPER(C167)&amp;"' AS TIPOLOGIA_TESTE,'"&amp;D167&amp;"' AS TABELA_LT,'N/A' AS TABELA_SIMUL,'"&amp;F167&amp;"' AS CAMPO, "&amp;"'${ref_date}' AS REF_DATE, COUNT(*) AS NUM_REG, SUM(IF(TRIM(CAST(X."&amp;F167&amp;" AS STRING))='' OR TRIM(CAST(X."&amp;F167&amp;" AS STRING)) IS NULL,1,0)) AS NUM_REG_DIF,'"&amp;MAX('ID1&amp;5'!K:K)+1&amp;"' AS ID_EXEC, CURRENT_TIMESTAMP() AS TIME_EXEC FROM "&amp;I167),
IF(C167="Caracteres Especiais",+"SELECT '"&amp;UPPER(B167)&amp;"' AS TABELA, '"&amp;UPPER(C167)&amp;"' AS TIPOLOGIA_TESTE,'"&amp;D167&amp;"' AS TABELA_LT,'N/A' AS TABELA_SIMUL,'"&amp;F167&amp;"' AS CAMPO, "&amp;"'${ref_date}' AS REF_DATE, COUNT(*) AS NUM_REG, SUM(IF(REGEXP_REPLACE(TRIM(CAST(X."&amp;F167&amp;" AS STRING)),'[^a-zA-Z0-9_\\s]','') &lt;&gt;TRIM(CAST(X."&amp;F167&amp;" AS STRING)),1,0)) AS NUM_REG_DIF,'"&amp;MAX('ID1&amp;5'!K:K)+1&amp;"' AS ID_EXEC, CURRENT_TIMESTAMP() AS TIME_EXEC FROM "&amp;I167,
IF(C167="Missings",+"SELECT '"&amp;UPPER(B167)&amp;"' AS TABELA, '"&amp;UPPER(C167)&amp;"' AS TIPOLOGIA_TESTE,'"&amp;D167&amp;"' AS TABELA_LT,'N/A' AS TABELA_SIMUL,'"&amp;F167&amp;"' AS CAMPO, "&amp;"'${ref_date}' AS REF_DATE, COUNT(*) AS NUM_REG, SUM(IF(TRIM(CAST(X."&amp;F167&amp;" AS STRING)) IN ('0000-00-00','0001-01-01','9999-12-31','MISS','00000','99999999999','99999999999.00','99999999999.000000'),1,0)) AS NUM_REG_DIF,'"&amp;MAX('ID1&amp;5'!K:K)+1&amp;"' AS ID_EXEC, CURRENT_TIMESTAMP() AS TIME_EXEC FROM "&amp;I167,
IF(C167="Not applicable",+"SELECT '"&amp;UPPER(B167)&amp;"' AS TABELA, '"&amp;UPPER(C167)&amp;"' AS TIPOLOGIA_TESTE,'"&amp;D167&amp;"' AS TABELA_LT,'N/A' AS TABELA_SIMUL,'"&amp;F167&amp;"' AS CAMPO, "&amp;"'${ref_date}' AS REF_DATE, COUNT(*) AS NUM_REG, SUM(IF(TRIM(CAST(X."&amp;F167&amp;" AS STRING)) IN ('N/A','11111111111','11111111111.00','11111111111.000000','1111-11-11'),1,0)) AS NUM_REG_DIF,'"&amp;MAX('ID1&amp;5'!K:K)+1&amp;"' AS ID_EXEC, CURRENT_TIMESTAMP() AS TIME_EXEC FROM "&amp;I167,
IF(C167="Valores extremos",+"SELECT '"&amp;UPPER(B167)&amp;"' AS TABELA, '"&amp;UPPER(C167)&amp;"' AS TIPOLOGIA_TESTE,'"&amp;D167&amp;"' AS TABELA_LT,'N/A' AS TABELA_SIMUL,'"&amp;F167&amp;"' AS CAMPO, "&amp;"'${ref_date}' AS REF_DATE, CAST(MIN("&amp;F167&amp;") AS STRING) AS VALOR_MIN, CAST(MAX("&amp;F167&amp;") AS STRING) AS VALOR_MAX,'"&amp;MAX('ID1&amp;5'!K:K)+1&amp;"' AS ID_EXEC, CURRENT_TIMESTAMP() AS TIME_EXEC FROM "&amp;MID(I167,1,LEN(I167)-2)&amp;" AND CAST("&amp;F167&amp;"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TABELA_SIMUL,'TYP_AMRTSTN' AS CAMPO, '${ref_date}' AS REF_DATE, COUNT(*) AS NUM_REG, SUM(IF(COALESCE(CAST(X.TYP_AMRTSTN AS STRING),'')&lt;&gt;COALESCE(CAST(Y.TYP_AMRTSTN_SIMUL AS STRING),'') OR (X.TYP_AMRTSTN IS NULL AND Y.TYP_AMRTSTN_SIMUL IS NOT NULL ) OR (X.TYP_AMRTSTN IS NOT NULL AND Y.TYP_AMRTSTN_SIMUL IS NULL),1,0)) AS NUM_REG_DIF,'1' AS ID_EXEC, CURRENT_TIMESTAMP() AS TIME_EXEC FROM (SELECT instrmnt_id, TYP_AMRTSTN FROM CD_LOAN_TAPES_BCE.LT002_INSTRUMENT WHERE ref_date='${ref_date}' AND nome_perimetro='Individual Corporativo' AND segmento='ESTR' AND ambito='PM' AND entidade='00100')X INNER JOIN (SELECT instrmnt_id AS instrmnt_id_SIMUL, TYP_AMRTSTN AS TYP_AMRTSTN_SIMUL FROM BU_LOANTAPE_WORK.LT002_INSTRUMENT WHERE ref_date='${ref_date}' AND nome_perimetro='Individual Corporativo' AND segmento='ESTR' AND ambito='PM' AND entidade='00100')Y ON X.INSTRMNT_ID=Y.INSTRMNT_ID_SIMUL</v>
      </c>
      <c r="M167" s="36" t="str">
        <f t="shared" si="2"/>
        <v>UNION ALL SELECT 'INSTRUMENT' AS TABELA, 'COERÊNCIA' AS TIPOLOGIA_TESTE,'CD_LOAN_TAPES_BCE.LT002_INSTRUMENT' AS TABELA_LT,'BU_LOANTAPE_WORK.LT002_INSTRUMENT' AS TABELA_SIMUL,'TYP_AMRTSTN' AS CAMPO, '${ref_date}' AS REF_DATE, COUNT(*) AS NUM_REG, SUM(IF(COALESCE(CAST(X.TYP_AMRTSTN AS STRING),'')&lt;&gt;COALESCE(CAST(Y.TYP_AMRTSTN_SIMUL AS STRING),'') OR (X.TYP_AMRTSTN IS NULL AND Y.TYP_AMRTSTN_SIMUL IS NOT NULL ) OR (X.TYP_AMRTSTN IS NOT NULL AND Y.TYP_AMRTSTN_SIMUL IS NULL),1,0)) AS NUM_REG_DIF,'1' AS ID_EXEC, CURRENT_TIMESTAMP() AS TIME_EXEC FROM (SELECT instrmnt_id, TYP_AMRTSTN FROM CD_LOAN_TAPES_BCE.LT002_INSTRUMENT WHERE ref_date='${ref_date}' AND nome_perimetro='Individual Corporativo' AND segmento='ESTR' AND ambito='PM' AND entidade='00100')X INNER JOIN (SELECT instrmnt_id AS instrmnt_id_SIMUL, TYP_AMRTSTN AS TYP_AMRTSTN_SIMUL FROM BU_LOANTAPE_WORK.LT002_INSTRUMENT WHERE ref_date='${ref_date}' AND nome_perimetro='Individual Corporativo' AND segmento='ESTR' AND ambito='PM' AND entidade='00100')Y ON X.INSTRMNT_ID=Y.INSTRMNT_ID_SIMUL</v>
      </c>
      <c r="N167" s="38" t="s">
        <v>46</v>
      </c>
    </row>
    <row r="168" spans="2:14" hidden="1">
      <c r="B168" s="34" t="s">
        <v>126</v>
      </c>
      <c r="C168" s="34" t="s">
        <v>5</v>
      </c>
      <c r="D168" s="34" t="str">
        <f>+UPPER('0. Instruções'!$D$35&amp;"."&amp;VLOOKUP(B168,'0. Instruções'!$C$27:$D$32,2,FALSE))</f>
        <v>CD_LOAN_TAPES_BCE.LT002_INSTRUMENT</v>
      </c>
      <c r="E168" s="34" t="str">
        <f>+UPPER('0. Instruções'!$D$36&amp;"."&amp;VLOOKUP(B168,'0. Instruções'!$C$27:$E$32,3,FALSE))</f>
        <v>BU_LOANTAPE_WORK.LT002_INSTRUMENT</v>
      </c>
      <c r="F168" s="34" t="s">
        <v>99</v>
      </c>
      <c r="G168" s="34"/>
      <c r="H168" s="34" t="s">
        <v>89</v>
      </c>
      <c r="I168" s="34" t="str">
        <f>"(SELECT "&amp;VLOOKUP(B168,'0. Instruções'!$C$27:$G$32,4,FALSE)&amp;", "&amp;F168&amp;" FROM "&amp;D168&amp;" WHERE "&amp;'0. Instruções'!$D$42&amp;")X"</f>
        <v>(SELECT instrmnt_id, TYP_INSTRMNT FROM CD_LOAN_TAPES_BCE.LT002_INSTRUMENT WHERE ref_date='${ref_date}' AND nome_perimetro='Individual Corporativo' AND segmento='ESTR' AND ambito='PM' AND entidade='00100')X</v>
      </c>
      <c r="J168" s="34" t="str">
        <f>"(SELECT "&amp;VLOOKUP(B168,'0. Instruções'!$C$27:$G$32,4,FALSE)&amp;" AS "&amp;VLOOKUP(B168,'0. Instruções'!$C$27:$G$32,4,FALSE)&amp;"_SIMUL, "&amp;F168&amp;" AS "&amp;F168&amp;"_SIMUL FROM "&amp;E168&amp;" WHERE "&amp;'0. Instruções'!$D$43&amp;")Y"</f>
        <v>(SELECT instrmnt_id AS instrmnt_id_SIMUL, TYP_INSTRMNT AS TYP_INSTRMNT_SIMUL FROM BU_LOANTAPE_WORK.LT002_INSTRUMENT WHERE ref_date='${ref_date}' AND nome_perimetro='Individual Corporativo' AND segmento='ESTR' AND ambito='PM' AND entidade='00100')Y</v>
      </c>
      <c r="K168" s="35" t="str">
        <f>+UPPER("ON X."&amp;VLOOKUP(B168,'0. Instruções'!$C$27:$G$32,4,FALSE)&amp;"=Y."&amp;VLOOKUP(B168,'0. Instruções'!$C$27:$G$32,4,FALSE)&amp;"_SIMUL")</f>
        <v>ON X.INSTRMNT_ID=Y.INSTRMNT_ID_SIMUL</v>
      </c>
      <c r="L168" s="35" t="str">
        <f>+IF(C168="Coerência", +IF(LEFT(G168,5)="FLOAT","SELECT '"&amp;UPPER(B168)&amp;"' AS TABELA, '"&amp;UPPER(C168)&amp;"' AS TIPOLOGIA_TESTE,'"&amp;D168&amp;"' AS TABELA_LT,'"&amp;E168&amp;"' AS TABELA_SIMUL,'"&amp;F168&amp;"' AS CAMPO, "&amp;"'${ref_date}' AS REF_DATE, COUNT(*) AS NUM_REG, SUM(IF((ABS(COALESCE(CAST(X."&amp;F168&amp;" AS DECIMAL(18,6)),0)-COALESCE(CAST(Y."&amp;F168&amp;"_SIMUL AS DECIMAL(18,6)),0))&gt;0.000001) OR (X."&amp;F168&amp;" IS NULL AND Y."&amp;F168&amp;"_SIMUL IS NOT NULL ) OR (X."&amp;F168&amp;" IS NOT NULL AND Y."&amp;F168&amp;"_SIMUL IS NULL),1,0)) AS NUM_REG_DIF,'"&amp;MAX('ID1&amp;5'!K:K)+1&amp;"' AS ID_EXEC, CURRENT_TIMESTAMP() AS TIME_EXEC FROM "&amp;I168&amp;" INNER JOIN "&amp;J168&amp;" "&amp;K168,"SELECT '"&amp;UPPER(B168)&amp;"' AS TABELA, '"&amp;UPPER(C168)&amp;"' AS TIPOLOGIA_TESTE,'"&amp;D168&amp;"' AS TABELA_LT,'"&amp;E168&amp;"' AS TABELA_SIMUL,'"&amp;F168&amp;"' AS CAMPO, "&amp;"'${ref_date}' AS REF_DATE, COUNT(*) AS NUM_REG, SUM(IF(COALESCE(CAST(X."&amp;F168&amp;" AS STRING),'')&lt;&gt;COALESCE(CAST(Y."&amp;F168&amp;"_SIMUL AS STRING),'') OR (X."&amp;F168&amp;" IS NULL AND Y."&amp;F168&amp;"_SIMUL IS NOT NULL ) OR (X."&amp;F168&amp;" IS NOT NULL AND Y."&amp;F168&amp;"_SIMUL IS NULL),1,0)) AS NUM_REG_DIF,'"&amp;MAX('ID1&amp;5'!L:L)+1&amp;"' AS ID_EXEC, CURRENT_TIMESTAMP() AS TIME_EXEC FROM "&amp;I168&amp;" INNER JOIN "&amp;J168&amp;" "&amp;K168),
IF(C168="Validade",+IF(G168="Code List","SELECT '"&amp;UPPER(B168)&amp;"' AS TABELA, '"&amp;UPPER(C168)&amp;"' AS TIPOLOGIA_TESTE,'"&amp;D168&amp;"' AS TABELA_LT,'N/A' AS TABELA_SIMUL,'"&amp;F168&amp;"' AS CAMPO, "&amp;"'${ref_date}' AS REF_DATE, COUNT(*) AS NUM_REG, SUM(IF(TRIM(CAST(X."&amp;F168&amp;" AS STRING))='' OR TRIM(CAST(X."&amp;F168&amp;" AS STRING)) IS NULL OR CAST(X."&amp;F168&amp;" AS STRING) NOT "&amp;H168&amp;",1,0)) AS NUM_REG_DIF,'"&amp;MAX('ID1&amp;5'!K:K)+1&amp;"' AS ID_EXEC, CURRENT_TIMESTAMP() AS TIME_EXEC FROM "&amp;I168,"SELECT '"&amp;UPPER(B168)&amp;"' AS TABELA, '"&amp;UPPER(C168)&amp;"' AS TIPOLOGIA_TESTE,'"&amp;D168&amp;"' AS TABELA_LT,'N/A' AS TABELA_SIMUL,'"&amp;F168&amp;"' AS CAMPO, "&amp;"'${ref_date}' AS REF_DATE, COUNT(*) AS NUM_REG, SUM(IF(TRIM(CAST(X."&amp;F168&amp;" AS STRING))='' OR TRIM(CAST(X."&amp;F168&amp;" AS STRING)) IS NULL,1,0)) AS NUM_REG_DIF,'"&amp;MAX('ID1&amp;5'!K:K)+1&amp;"' AS ID_EXEC, CURRENT_TIMESTAMP() AS TIME_EXEC FROM "&amp;I168),
IF(C168="Caracteres Especiais",+"SELECT '"&amp;UPPER(B168)&amp;"' AS TABELA, '"&amp;UPPER(C168)&amp;"' AS TIPOLOGIA_TESTE,'"&amp;D168&amp;"' AS TABELA_LT,'N/A' AS TABELA_SIMUL,'"&amp;F168&amp;"' AS CAMPO, "&amp;"'${ref_date}' AS REF_DATE, COUNT(*) AS NUM_REG, SUM(IF(REGEXP_REPLACE(TRIM(CAST(X."&amp;F168&amp;" AS STRING)),'[^a-zA-Z0-9_\\s]','') &lt;&gt;TRIM(CAST(X."&amp;F168&amp;" AS STRING)),1,0)) AS NUM_REG_DIF,'"&amp;MAX('ID1&amp;5'!K:K)+1&amp;"' AS ID_EXEC, CURRENT_TIMESTAMP() AS TIME_EXEC FROM "&amp;I168,
IF(C168="Missings",+"SELECT '"&amp;UPPER(B168)&amp;"' AS TABELA, '"&amp;UPPER(C168)&amp;"' AS TIPOLOGIA_TESTE,'"&amp;D168&amp;"' AS TABELA_LT,'N/A' AS TABELA_SIMUL,'"&amp;F168&amp;"' AS CAMPO, "&amp;"'${ref_date}' AS REF_DATE, COUNT(*) AS NUM_REG, SUM(IF(TRIM(CAST(X."&amp;F168&amp;" AS STRING)) IN ('0000-00-00','0001-01-01','9999-12-31','MISS','00000','99999999999','99999999999.00','99999999999.000000'),1,0)) AS NUM_REG_DIF,'"&amp;MAX('ID1&amp;5'!K:K)+1&amp;"' AS ID_EXEC, CURRENT_TIMESTAMP() AS TIME_EXEC FROM "&amp;I168,
IF(C168="Not applicable",+"SELECT '"&amp;UPPER(B168)&amp;"' AS TABELA, '"&amp;UPPER(C168)&amp;"' AS TIPOLOGIA_TESTE,'"&amp;D168&amp;"' AS TABELA_LT,'N/A' AS TABELA_SIMUL,'"&amp;F168&amp;"' AS CAMPO, "&amp;"'${ref_date}' AS REF_DATE, COUNT(*) AS NUM_REG, SUM(IF(TRIM(CAST(X."&amp;F168&amp;" AS STRING)) IN ('N/A','11111111111','11111111111.00','11111111111.000000','1111-11-11'),1,0)) AS NUM_REG_DIF,'"&amp;MAX('ID1&amp;5'!K:K)+1&amp;"' AS ID_EXEC, CURRENT_TIMESTAMP() AS TIME_EXEC FROM "&amp;I168,
IF(C168="Valores extremos",+"SELECT '"&amp;UPPER(B168)&amp;"' AS TABELA, '"&amp;UPPER(C168)&amp;"' AS TIPOLOGIA_TESTE,'"&amp;D168&amp;"' AS TABELA_LT,'N/A' AS TABELA_SIMUL,'"&amp;F168&amp;"' AS CAMPO, "&amp;"'${ref_date}' AS REF_DATE, CAST(MIN("&amp;F168&amp;") AS STRING) AS VALOR_MIN, CAST(MAX("&amp;F168&amp;") AS STRING) AS VALOR_MAX,'"&amp;MAX('ID1&amp;5'!K:K)+1&amp;"' AS ID_EXEC, CURRENT_TIMESTAMP() AS TIME_EXEC FROM "&amp;MID(I168,1,LEN(I168)-2)&amp;" AND CAST("&amp;F168&amp;"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TABELA_SIMUL,'TYP_INSTRMNT' AS CAMPO, '${ref_date}' AS REF_DATE, COUNT(*) AS NUM_REG, SUM(IF(COALESCE(CAST(X.TYP_INSTRMNT AS STRING),'')&lt;&gt;COALESCE(CAST(Y.TYP_INSTRMNT_SIMUL AS STRING),'') OR (X.TYP_INSTRMNT IS NULL AND Y.TYP_INSTRMNT_SIMUL IS NOT NULL ) OR (X.TYP_INSTRMNT IS NOT NULL AND Y.TYP_INSTRMNT_SIMUL IS NULL),1,0)) AS NUM_REG_DIF,'1' AS ID_EXEC, CURRENT_TIMESTAMP() AS TIME_EXEC FROM (SELECT instrmnt_id, TYP_INSTRMNT FROM CD_LOAN_TAPES_BCE.LT002_INSTRUMENT WHERE ref_date='${ref_date}' AND nome_perimetro='Individual Corporativo' AND segmento='ESTR' AND ambito='PM' AND entidade='00100')X INNER JOIN (SELECT instrmnt_id AS instrmnt_id_SIMUL, TYP_INSTRMNT AS TYP_INSTRMNT_SIMUL FROM BU_LOANTAPE_WORK.LT002_INSTRUMENT WHERE ref_date='${ref_date}' AND nome_perimetro='Individual Corporativo' AND segmento='ESTR' AND ambito='PM' AND entidade='00100')Y ON X.INSTRMNT_ID=Y.INSTRMNT_ID_SIMUL</v>
      </c>
      <c r="M168" s="36" t="str">
        <f t="shared" si="2"/>
        <v>UNION ALL SELECT 'INSTRUMENT' AS TABELA, 'COERÊNCIA' AS TIPOLOGIA_TESTE,'CD_LOAN_TAPES_BCE.LT002_INSTRUMENT' AS TABELA_LT,'BU_LOANTAPE_WORK.LT002_INSTRUMENT' AS TABELA_SIMUL,'TYP_INSTRMNT' AS CAMPO, '${ref_date}' AS REF_DATE, COUNT(*) AS NUM_REG, SUM(IF(COALESCE(CAST(X.TYP_INSTRMNT AS STRING),'')&lt;&gt;COALESCE(CAST(Y.TYP_INSTRMNT_SIMUL AS STRING),'') OR (X.TYP_INSTRMNT IS NULL AND Y.TYP_INSTRMNT_SIMUL IS NOT NULL ) OR (X.TYP_INSTRMNT IS NOT NULL AND Y.TYP_INSTRMNT_SIMUL IS NULL),1,0)) AS NUM_REG_DIF,'1' AS ID_EXEC, CURRENT_TIMESTAMP() AS TIME_EXEC FROM (SELECT instrmnt_id, TYP_INSTRMNT FROM CD_LOAN_TAPES_BCE.LT002_INSTRUMENT WHERE ref_date='${ref_date}' AND nome_perimetro='Individual Corporativo' AND segmento='ESTR' AND ambito='PM' AND entidade='00100')X INNER JOIN (SELECT instrmnt_id AS instrmnt_id_SIMUL, TYP_INSTRMNT AS TYP_INSTRMNT_SIMUL FROM BU_LOANTAPE_WORK.LT002_INSTRUMENT WHERE ref_date='${ref_date}' AND nome_perimetro='Individual Corporativo' AND segmento='ESTR' AND ambito='PM' AND entidade='00100')Y ON X.INSTRMNT_ID=Y.INSTRMNT_ID_SIMUL</v>
      </c>
      <c r="N168" s="38" t="s">
        <v>46</v>
      </c>
    </row>
    <row r="169" spans="2:14" hidden="1">
      <c r="B169" s="34" t="s">
        <v>126</v>
      </c>
      <c r="C169" s="34" t="s">
        <v>5</v>
      </c>
      <c r="D169" s="34" t="str">
        <f>+UPPER('0. Instruções'!$D$35&amp;"."&amp;VLOOKUP(B169,'0. Instruções'!$C$27:$D$32,2,FALSE))</f>
        <v>CD_LOAN_TAPES_BCE.LT002_INSTRUMENT</v>
      </c>
      <c r="E169" s="34" t="str">
        <f>+UPPER('0. Instruções'!$D$36&amp;"."&amp;VLOOKUP(B169,'0. Instruções'!$C$27:$E$32,3,FALSE))</f>
        <v>BU_LOANTAPE_WORK.LT002_INSTRUMENT</v>
      </c>
      <c r="F169" s="34" t="s">
        <v>462</v>
      </c>
      <c r="G169" s="34"/>
      <c r="H169" s="34" t="s">
        <v>89</v>
      </c>
      <c r="I169" s="34" t="str">
        <f>"(SELECT "&amp;VLOOKUP(B169,'0. Instruções'!$C$27:$G$32,4,FALSE)&amp;", "&amp;F169&amp;" FROM "&amp;D169&amp;" WHERE "&amp;'0. Instruções'!$D$42&amp;")X"</f>
        <v>(SELECT instrmnt_id, TYP_INTRST_RT FROM CD_LOAN_TAPES_BCE.LT002_INSTRUMENT WHERE ref_date='${ref_date}' AND nome_perimetro='Individual Corporativo' AND segmento='ESTR' AND ambito='PM' AND entidade='00100')X</v>
      </c>
      <c r="J169" s="34" t="str">
        <f>"(SELECT "&amp;VLOOKUP(B169,'0. Instruções'!$C$27:$G$32,4,FALSE)&amp;" AS "&amp;VLOOKUP(B169,'0. Instruções'!$C$27:$G$32,4,FALSE)&amp;"_SIMUL, "&amp;F169&amp;" AS "&amp;F169&amp;"_SIMUL FROM "&amp;E169&amp;" WHERE "&amp;'0. Instruções'!$D$43&amp;")Y"</f>
        <v>(SELECT instrmnt_id AS instrmnt_id_SIMUL, TYP_INTRST_RT AS TYP_INTRST_RT_SIMUL FROM BU_LOANTAPE_WORK.LT002_INSTRUMENT WHERE ref_date='${ref_date}' AND nome_perimetro='Individual Corporativo' AND segmento='ESTR' AND ambito='PM' AND entidade='00100')Y</v>
      </c>
      <c r="K169" s="35" t="str">
        <f>+UPPER("ON X."&amp;VLOOKUP(B169,'0. Instruções'!$C$27:$G$32,4,FALSE)&amp;"=Y."&amp;VLOOKUP(B169,'0. Instruções'!$C$27:$G$32,4,FALSE)&amp;"_SIMUL")</f>
        <v>ON X.INSTRMNT_ID=Y.INSTRMNT_ID_SIMUL</v>
      </c>
      <c r="L169" s="35" t="str">
        <f>+IF(C169="Coerência", +IF(LEFT(G169,5)="FLOAT","SELECT '"&amp;UPPER(B169)&amp;"' AS TABELA, '"&amp;UPPER(C169)&amp;"' AS TIPOLOGIA_TESTE,'"&amp;D169&amp;"' AS TABELA_LT,'"&amp;E169&amp;"' AS TABELA_SIMUL,'"&amp;F169&amp;"' AS CAMPO, "&amp;"'${ref_date}' AS REF_DATE, COUNT(*) AS NUM_REG, SUM(IF((ABS(COALESCE(CAST(X."&amp;F169&amp;" AS DECIMAL(18,6)),0)-COALESCE(CAST(Y."&amp;F169&amp;"_SIMUL AS DECIMAL(18,6)),0))&gt;0.000001) OR (X."&amp;F169&amp;" IS NULL AND Y."&amp;F169&amp;"_SIMUL IS NOT NULL ) OR (X."&amp;F169&amp;" IS NOT NULL AND Y."&amp;F169&amp;"_SIMUL IS NULL),1,0)) AS NUM_REG_DIF,'"&amp;MAX('ID1&amp;5'!K:K)+1&amp;"' AS ID_EXEC, CURRENT_TIMESTAMP() AS TIME_EXEC FROM "&amp;I169&amp;" INNER JOIN "&amp;J169&amp;" "&amp;K169,"SELECT '"&amp;UPPER(B169)&amp;"' AS TABELA, '"&amp;UPPER(C169)&amp;"' AS TIPOLOGIA_TESTE,'"&amp;D169&amp;"' AS TABELA_LT,'"&amp;E169&amp;"' AS TABELA_SIMUL,'"&amp;F169&amp;"' AS CAMPO, "&amp;"'${ref_date}' AS REF_DATE, COUNT(*) AS NUM_REG, SUM(IF(COALESCE(CAST(X."&amp;F169&amp;" AS STRING),'')&lt;&gt;COALESCE(CAST(Y."&amp;F169&amp;"_SIMUL AS STRING),'') OR (X."&amp;F169&amp;" IS NULL AND Y."&amp;F169&amp;"_SIMUL IS NOT NULL ) OR (X."&amp;F169&amp;" IS NOT NULL AND Y."&amp;F169&amp;"_SIMUL IS NULL),1,0)) AS NUM_REG_DIF,'"&amp;MAX('ID1&amp;5'!L:L)+1&amp;"' AS ID_EXEC, CURRENT_TIMESTAMP() AS TIME_EXEC FROM "&amp;I169&amp;" INNER JOIN "&amp;J169&amp;" "&amp;K169),
IF(C169="Validade",+IF(G169="Code List","SELECT '"&amp;UPPER(B169)&amp;"' AS TABELA, '"&amp;UPPER(C169)&amp;"' AS TIPOLOGIA_TESTE,'"&amp;D169&amp;"' AS TABELA_LT,'N/A' AS TABELA_SIMUL,'"&amp;F169&amp;"' AS CAMPO, "&amp;"'${ref_date}' AS REF_DATE, COUNT(*) AS NUM_REG, SUM(IF(TRIM(CAST(X."&amp;F169&amp;" AS STRING))='' OR TRIM(CAST(X."&amp;F169&amp;" AS STRING)) IS NULL OR CAST(X."&amp;F169&amp;" AS STRING) NOT "&amp;H169&amp;",1,0)) AS NUM_REG_DIF,'"&amp;MAX('ID1&amp;5'!K:K)+1&amp;"' AS ID_EXEC, CURRENT_TIMESTAMP() AS TIME_EXEC FROM "&amp;I169,"SELECT '"&amp;UPPER(B169)&amp;"' AS TABELA, '"&amp;UPPER(C169)&amp;"' AS TIPOLOGIA_TESTE,'"&amp;D169&amp;"' AS TABELA_LT,'N/A' AS TABELA_SIMUL,'"&amp;F169&amp;"' AS CAMPO, "&amp;"'${ref_date}' AS REF_DATE, COUNT(*) AS NUM_REG, SUM(IF(TRIM(CAST(X."&amp;F169&amp;" AS STRING))='' OR TRIM(CAST(X."&amp;F169&amp;" AS STRING)) IS NULL,1,0)) AS NUM_REG_DIF,'"&amp;MAX('ID1&amp;5'!K:K)+1&amp;"' AS ID_EXEC, CURRENT_TIMESTAMP() AS TIME_EXEC FROM "&amp;I169),
IF(C169="Caracteres Especiais",+"SELECT '"&amp;UPPER(B169)&amp;"' AS TABELA, '"&amp;UPPER(C169)&amp;"' AS TIPOLOGIA_TESTE,'"&amp;D169&amp;"' AS TABELA_LT,'N/A' AS TABELA_SIMUL,'"&amp;F169&amp;"' AS CAMPO, "&amp;"'${ref_date}' AS REF_DATE, COUNT(*) AS NUM_REG, SUM(IF(REGEXP_REPLACE(TRIM(CAST(X."&amp;F169&amp;" AS STRING)),'[^a-zA-Z0-9_\\s]','') &lt;&gt;TRIM(CAST(X."&amp;F169&amp;" AS STRING)),1,0)) AS NUM_REG_DIF,'"&amp;MAX('ID1&amp;5'!K:K)+1&amp;"' AS ID_EXEC, CURRENT_TIMESTAMP() AS TIME_EXEC FROM "&amp;I169,
IF(C169="Missings",+"SELECT '"&amp;UPPER(B169)&amp;"' AS TABELA, '"&amp;UPPER(C169)&amp;"' AS TIPOLOGIA_TESTE,'"&amp;D169&amp;"' AS TABELA_LT,'N/A' AS TABELA_SIMUL,'"&amp;F169&amp;"' AS CAMPO, "&amp;"'${ref_date}' AS REF_DATE, COUNT(*) AS NUM_REG, SUM(IF(TRIM(CAST(X."&amp;F169&amp;" AS STRING)) IN ('0000-00-00','0001-01-01','9999-12-31','MISS','00000','99999999999','99999999999.00','99999999999.000000'),1,0)) AS NUM_REG_DIF,'"&amp;MAX('ID1&amp;5'!K:K)+1&amp;"' AS ID_EXEC, CURRENT_TIMESTAMP() AS TIME_EXEC FROM "&amp;I169,
IF(C169="Not applicable",+"SELECT '"&amp;UPPER(B169)&amp;"' AS TABELA, '"&amp;UPPER(C169)&amp;"' AS TIPOLOGIA_TESTE,'"&amp;D169&amp;"' AS TABELA_LT,'N/A' AS TABELA_SIMUL,'"&amp;F169&amp;"' AS CAMPO, "&amp;"'${ref_date}' AS REF_DATE, COUNT(*) AS NUM_REG, SUM(IF(TRIM(CAST(X."&amp;F169&amp;" AS STRING)) IN ('N/A','11111111111','11111111111.00','11111111111.000000','1111-11-11'),1,0)) AS NUM_REG_DIF,'"&amp;MAX('ID1&amp;5'!K:K)+1&amp;"' AS ID_EXEC, CURRENT_TIMESTAMP() AS TIME_EXEC FROM "&amp;I169,
IF(C169="Valores extremos",+"SELECT '"&amp;UPPER(B169)&amp;"' AS TABELA, '"&amp;UPPER(C169)&amp;"' AS TIPOLOGIA_TESTE,'"&amp;D169&amp;"' AS TABELA_LT,'N/A' AS TABELA_SIMUL,'"&amp;F169&amp;"' AS CAMPO, "&amp;"'${ref_date}' AS REF_DATE, CAST(MIN("&amp;F169&amp;") AS STRING) AS VALOR_MIN, CAST(MAX("&amp;F169&amp;") AS STRING) AS VALOR_MAX,'"&amp;MAX('ID1&amp;5'!K:K)+1&amp;"' AS ID_EXEC, CURRENT_TIMESTAMP() AS TIME_EXEC FROM "&amp;MID(I169,1,LEN(I169)-2)&amp;" AND CAST("&amp;F169&amp;"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TABELA_SIMUL,'TYP_INTRST_RT' AS CAMPO, '${ref_date}' AS REF_DATE, COUNT(*) AS NUM_REG, SUM(IF(COALESCE(CAST(X.TYP_INTRST_RT AS STRING),'')&lt;&gt;COALESCE(CAST(Y.TYP_INTRST_RT_SIMUL AS STRING),'') OR (X.TYP_INTRST_RT IS NULL AND Y.TYP_INTRST_RT_SIMUL IS NOT NULL ) OR (X.TYP_INTRST_RT IS NOT NULL AND Y.TYP_INTRST_RT_SIMUL IS NULL),1,0)) AS NUM_REG_DIF,'1' AS ID_EXEC, CURRENT_TIMESTAMP() AS TIME_EXEC FROM (SELECT instrmnt_id, TYP_INTRST_RT FROM CD_LOAN_TAPES_BCE.LT002_INSTRUMENT WHERE ref_date='${ref_date}' AND nome_perimetro='Individual Corporativo' AND segmento='ESTR' AND ambito='PM' AND entidade='00100')X INNER JOIN (SELECT instrmnt_id AS instrmnt_id_SIMUL, TYP_INTRST_RT AS TYP_INTRST_RT_SIMUL FROM BU_LOANTAPE_WORK.LT002_INSTRUMENT WHERE ref_date='${ref_date}' AND nome_perimetro='Individual Corporativo' AND segmento='ESTR' AND ambito='PM' AND entidade='00100')Y ON X.INSTRMNT_ID=Y.INSTRMNT_ID_SIMUL</v>
      </c>
      <c r="M169" s="36" t="str">
        <f t="shared" si="2"/>
        <v>UNION ALL SELECT 'INSTRUMENT' AS TABELA, 'COERÊNCIA' AS TIPOLOGIA_TESTE,'CD_LOAN_TAPES_BCE.LT002_INSTRUMENT' AS TABELA_LT,'BU_LOANTAPE_WORK.LT002_INSTRUMENT' AS TABELA_SIMUL,'TYP_INTRST_RT' AS CAMPO, '${ref_date}' AS REF_DATE, COUNT(*) AS NUM_REG, SUM(IF(COALESCE(CAST(X.TYP_INTRST_RT AS STRING),'')&lt;&gt;COALESCE(CAST(Y.TYP_INTRST_RT_SIMUL AS STRING),'') OR (X.TYP_INTRST_RT IS NULL AND Y.TYP_INTRST_RT_SIMUL IS NOT NULL ) OR (X.TYP_INTRST_RT IS NOT NULL AND Y.TYP_INTRST_RT_SIMUL IS NULL),1,0)) AS NUM_REG_DIF,'1' AS ID_EXEC, CURRENT_TIMESTAMP() AS TIME_EXEC FROM (SELECT instrmnt_id, TYP_INTRST_RT FROM CD_LOAN_TAPES_BCE.LT002_INSTRUMENT WHERE ref_date='${ref_date}' AND nome_perimetro='Individual Corporativo' AND segmento='ESTR' AND ambito='PM' AND entidade='00100')X INNER JOIN (SELECT instrmnt_id AS instrmnt_id_SIMUL, TYP_INTRST_RT AS TYP_INTRST_RT_SIMUL FROM BU_LOANTAPE_WORK.LT002_INSTRUMENT WHERE ref_date='${ref_date}' AND nome_perimetro='Individual Corporativo' AND segmento='ESTR' AND ambito='PM' AND entidade='00100')Y ON X.INSTRMNT_ID=Y.INSTRMNT_ID_SIMUL</v>
      </c>
      <c r="N169" s="38" t="s">
        <v>46</v>
      </c>
    </row>
    <row r="170" spans="2:14" hidden="1">
      <c r="B170" s="34" t="s">
        <v>126</v>
      </c>
      <c r="C170" s="34" t="s">
        <v>5</v>
      </c>
      <c r="D170" s="34" t="str">
        <f>+UPPER('0. Instruções'!$D$35&amp;"."&amp;VLOOKUP(B170,'0. Instruções'!$C$27:$D$32,2,FALSE))</f>
        <v>CD_LOAN_TAPES_BCE.LT002_INSTRUMENT</v>
      </c>
      <c r="E170" s="34" t="str">
        <f>+UPPER('0. Instruções'!$D$36&amp;"."&amp;VLOOKUP(B170,'0. Instruções'!$C$27:$E$32,3,FALSE))</f>
        <v>BU_LOANTAPE_WORK.LT002_INSTRUMENT</v>
      </c>
      <c r="F170" s="34" t="s">
        <v>463</v>
      </c>
      <c r="G170" s="34"/>
      <c r="H170" s="34" t="s">
        <v>89</v>
      </c>
      <c r="I170" s="34" t="str">
        <f>"(SELECT "&amp;VLOOKUP(B170,'0. Instruções'!$C$27:$G$32,4,FALSE)&amp;", "&amp;F170&amp;" FROM "&amp;D170&amp;" WHERE "&amp;'0. Instruções'!$D$42&amp;")X"</f>
        <v>(SELECT instrmnt_id, TYP_MRTGG FROM CD_LOAN_TAPES_BCE.LT002_INSTRUMENT WHERE ref_date='${ref_date}' AND nome_perimetro='Individual Corporativo' AND segmento='ESTR' AND ambito='PM' AND entidade='00100')X</v>
      </c>
      <c r="J170" s="34" t="str">
        <f>"(SELECT "&amp;VLOOKUP(B170,'0. Instruções'!$C$27:$G$32,4,FALSE)&amp;" AS "&amp;VLOOKUP(B170,'0. Instruções'!$C$27:$G$32,4,FALSE)&amp;"_SIMUL, "&amp;F170&amp;" AS "&amp;F170&amp;"_SIMUL FROM "&amp;E170&amp;" WHERE "&amp;'0. Instruções'!$D$43&amp;")Y"</f>
        <v>(SELECT instrmnt_id AS instrmnt_id_SIMUL, TYP_MRTGG AS TYP_MRTGG_SIMUL FROM BU_LOANTAPE_WORK.LT002_INSTRUMENT WHERE ref_date='${ref_date}' AND nome_perimetro='Individual Corporativo' AND segmento='ESTR' AND ambito='PM' AND entidade='00100')Y</v>
      </c>
      <c r="K170" s="35" t="str">
        <f>+UPPER("ON X."&amp;VLOOKUP(B170,'0. Instruções'!$C$27:$G$32,4,FALSE)&amp;"=Y."&amp;VLOOKUP(B170,'0. Instruções'!$C$27:$G$32,4,FALSE)&amp;"_SIMUL")</f>
        <v>ON X.INSTRMNT_ID=Y.INSTRMNT_ID_SIMUL</v>
      </c>
      <c r="L170" s="35" t="str">
        <f>+IF(C170="Coerência", +IF(LEFT(G170,5)="FLOAT","SELECT '"&amp;UPPER(B170)&amp;"' AS TABELA, '"&amp;UPPER(C170)&amp;"' AS TIPOLOGIA_TESTE,'"&amp;D170&amp;"' AS TABELA_LT,'"&amp;E170&amp;"' AS TABELA_SIMUL,'"&amp;F170&amp;"' AS CAMPO, "&amp;"'${ref_date}' AS REF_DATE, COUNT(*) AS NUM_REG, SUM(IF((ABS(COALESCE(CAST(X."&amp;F170&amp;" AS DECIMAL(18,6)),0)-COALESCE(CAST(Y."&amp;F170&amp;"_SIMUL AS DECIMAL(18,6)),0))&gt;0.000001) OR (X."&amp;F170&amp;" IS NULL AND Y."&amp;F170&amp;"_SIMUL IS NOT NULL ) OR (X."&amp;F170&amp;" IS NOT NULL AND Y."&amp;F170&amp;"_SIMUL IS NULL),1,0)) AS NUM_REG_DIF,'"&amp;MAX('ID1&amp;5'!K:K)+1&amp;"' AS ID_EXEC, CURRENT_TIMESTAMP() AS TIME_EXEC FROM "&amp;I170&amp;" INNER JOIN "&amp;J170&amp;" "&amp;K170,"SELECT '"&amp;UPPER(B170)&amp;"' AS TABELA, '"&amp;UPPER(C170)&amp;"' AS TIPOLOGIA_TESTE,'"&amp;D170&amp;"' AS TABELA_LT,'"&amp;E170&amp;"' AS TABELA_SIMUL,'"&amp;F170&amp;"' AS CAMPO, "&amp;"'${ref_date}' AS REF_DATE, COUNT(*) AS NUM_REG, SUM(IF(COALESCE(CAST(X."&amp;F170&amp;" AS STRING),'')&lt;&gt;COALESCE(CAST(Y."&amp;F170&amp;"_SIMUL AS STRING),'') OR (X."&amp;F170&amp;" IS NULL AND Y."&amp;F170&amp;"_SIMUL IS NOT NULL ) OR (X."&amp;F170&amp;" IS NOT NULL AND Y."&amp;F170&amp;"_SIMUL IS NULL),1,0)) AS NUM_REG_DIF,'"&amp;MAX('ID1&amp;5'!L:L)+1&amp;"' AS ID_EXEC, CURRENT_TIMESTAMP() AS TIME_EXEC FROM "&amp;I170&amp;" INNER JOIN "&amp;J170&amp;" "&amp;K170),
IF(C170="Validade",+IF(G170="Code List","SELECT '"&amp;UPPER(B170)&amp;"' AS TABELA, '"&amp;UPPER(C170)&amp;"' AS TIPOLOGIA_TESTE,'"&amp;D170&amp;"' AS TABELA_LT,'N/A' AS TABELA_SIMUL,'"&amp;F170&amp;"' AS CAMPO, "&amp;"'${ref_date}' AS REF_DATE, COUNT(*) AS NUM_REG, SUM(IF(TRIM(CAST(X."&amp;F170&amp;" AS STRING))='' OR TRIM(CAST(X."&amp;F170&amp;" AS STRING)) IS NULL OR CAST(X."&amp;F170&amp;" AS STRING) NOT "&amp;H170&amp;",1,0)) AS NUM_REG_DIF,'"&amp;MAX('ID1&amp;5'!K:K)+1&amp;"' AS ID_EXEC, CURRENT_TIMESTAMP() AS TIME_EXEC FROM "&amp;I170,"SELECT '"&amp;UPPER(B170)&amp;"' AS TABELA, '"&amp;UPPER(C170)&amp;"' AS TIPOLOGIA_TESTE,'"&amp;D170&amp;"' AS TABELA_LT,'N/A' AS TABELA_SIMUL,'"&amp;F170&amp;"' AS CAMPO, "&amp;"'${ref_date}' AS REF_DATE, COUNT(*) AS NUM_REG, SUM(IF(TRIM(CAST(X."&amp;F170&amp;" AS STRING))='' OR TRIM(CAST(X."&amp;F170&amp;" AS STRING)) IS NULL,1,0)) AS NUM_REG_DIF,'"&amp;MAX('ID1&amp;5'!K:K)+1&amp;"' AS ID_EXEC, CURRENT_TIMESTAMP() AS TIME_EXEC FROM "&amp;I170),
IF(C170="Caracteres Especiais",+"SELECT '"&amp;UPPER(B170)&amp;"' AS TABELA, '"&amp;UPPER(C170)&amp;"' AS TIPOLOGIA_TESTE,'"&amp;D170&amp;"' AS TABELA_LT,'N/A' AS TABELA_SIMUL,'"&amp;F170&amp;"' AS CAMPO, "&amp;"'${ref_date}' AS REF_DATE, COUNT(*) AS NUM_REG, SUM(IF(REGEXP_REPLACE(TRIM(CAST(X."&amp;F170&amp;" AS STRING)),'[^a-zA-Z0-9_\\s]','') &lt;&gt;TRIM(CAST(X."&amp;F170&amp;" AS STRING)),1,0)) AS NUM_REG_DIF,'"&amp;MAX('ID1&amp;5'!K:K)+1&amp;"' AS ID_EXEC, CURRENT_TIMESTAMP() AS TIME_EXEC FROM "&amp;I170,
IF(C170="Missings",+"SELECT '"&amp;UPPER(B170)&amp;"' AS TABELA, '"&amp;UPPER(C170)&amp;"' AS TIPOLOGIA_TESTE,'"&amp;D170&amp;"' AS TABELA_LT,'N/A' AS TABELA_SIMUL,'"&amp;F170&amp;"' AS CAMPO, "&amp;"'${ref_date}' AS REF_DATE, COUNT(*) AS NUM_REG, SUM(IF(TRIM(CAST(X."&amp;F170&amp;" AS STRING)) IN ('0000-00-00','0001-01-01','9999-12-31','MISS','00000','99999999999','99999999999.00','99999999999.000000'),1,0)) AS NUM_REG_DIF,'"&amp;MAX('ID1&amp;5'!K:K)+1&amp;"' AS ID_EXEC, CURRENT_TIMESTAMP() AS TIME_EXEC FROM "&amp;I170,
IF(C170="Not applicable",+"SELECT '"&amp;UPPER(B170)&amp;"' AS TABELA, '"&amp;UPPER(C170)&amp;"' AS TIPOLOGIA_TESTE,'"&amp;D170&amp;"' AS TABELA_LT,'N/A' AS TABELA_SIMUL,'"&amp;F170&amp;"' AS CAMPO, "&amp;"'${ref_date}' AS REF_DATE, COUNT(*) AS NUM_REG, SUM(IF(TRIM(CAST(X."&amp;F170&amp;" AS STRING)) IN ('N/A','11111111111','11111111111.00','11111111111.000000','1111-11-11'),1,0)) AS NUM_REG_DIF,'"&amp;MAX('ID1&amp;5'!K:K)+1&amp;"' AS ID_EXEC, CURRENT_TIMESTAMP() AS TIME_EXEC FROM "&amp;I170,
IF(C170="Valores extremos",+"SELECT '"&amp;UPPER(B170)&amp;"' AS TABELA, '"&amp;UPPER(C170)&amp;"' AS TIPOLOGIA_TESTE,'"&amp;D170&amp;"' AS TABELA_LT,'N/A' AS TABELA_SIMUL,'"&amp;F170&amp;"' AS CAMPO, "&amp;"'${ref_date}' AS REF_DATE, CAST(MIN("&amp;F170&amp;") AS STRING) AS VALOR_MIN, CAST(MAX("&amp;F170&amp;") AS STRING) AS VALOR_MAX,'"&amp;MAX('ID1&amp;5'!K:K)+1&amp;"' AS ID_EXEC, CURRENT_TIMESTAMP() AS TIME_EXEC FROM "&amp;MID(I170,1,LEN(I170)-2)&amp;" AND CAST("&amp;F170&amp;"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TABELA_SIMUL,'TYP_MRTGG' AS CAMPO, '${ref_date}' AS REF_DATE, COUNT(*) AS NUM_REG, SUM(IF(COALESCE(CAST(X.TYP_MRTGG AS STRING),'')&lt;&gt;COALESCE(CAST(Y.TYP_MRTGG_SIMUL AS STRING),'') OR (X.TYP_MRTGG IS NULL AND Y.TYP_MRTGG_SIMUL IS NOT NULL ) OR (X.TYP_MRTGG IS NOT NULL AND Y.TYP_MRTGG_SIMUL IS NULL),1,0)) AS NUM_REG_DIF,'1' AS ID_EXEC, CURRENT_TIMESTAMP() AS TIME_EXEC FROM (SELECT instrmnt_id, TYP_MRTGG FROM CD_LOAN_TAPES_BCE.LT002_INSTRUMENT WHERE ref_date='${ref_date}' AND nome_perimetro='Individual Corporativo' AND segmento='ESTR' AND ambito='PM' AND entidade='00100')X INNER JOIN (SELECT instrmnt_id AS instrmnt_id_SIMUL, TYP_MRTGG AS TYP_MRTGG_SIMUL FROM BU_LOANTAPE_WORK.LT002_INSTRUMENT WHERE ref_date='${ref_date}' AND nome_perimetro='Individual Corporativo' AND segmento='ESTR' AND ambito='PM' AND entidade='00100')Y ON X.INSTRMNT_ID=Y.INSTRMNT_ID_SIMUL</v>
      </c>
      <c r="M170" s="36" t="str">
        <f t="shared" si="2"/>
        <v>UNION ALL SELECT 'INSTRUMENT' AS TABELA, 'COERÊNCIA' AS TIPOLOGIA_TESTE,'CD_LOAN_TAPES_BCE.LT002_INSTRUMENT' AS TABELA_LT,'BU_LOANTAPE_WORK.LT002_INSTRUMENT' AS TABELA_SIMUL,'TYP_MRTGG' AS CAMPO, '${ref_date}' AS REF_DATE, COUNT(*) AS NUM_REG, SUM(IF(COALESCE(CAST(X.TYP_MRTGG AS STRING),'')&lt;&gt;COALESCE(CAST(Y.TYP_MRTGG_SIMUL AS STRING),'') OR (X.TYP_MRTGG IS NULL AND Y.TYP_MRTGG_SIMUL IS NOT NULL ) OR (X.TYP_MRTGG IS NOT NULL AND Y.TYP_MRTGG_SIMUL IS NULL),1,0)) AS NUM_REG_DIF,'1' AS ID_EXEC, CURRENT_TIMESTAMP() AS TIME_EXEC FROM (SELECT instrmnt_id, TYP_MRTGG FROM CD_LOAN_TAPES_BCE.LT002_INSTRUMENT WHERE ref_date='${ref_date}' AND nome_perimetro='Individual Corporativo' AND segmento='ESTR' AND ambito='PM' AND entidade='00100')X INNER JOIN (SELECT instrmnt_id AS instrmnt_id_SIMUL, TYP_MRTGG AS TYP_MRTGG_SIMUL FROM BU_LOANTAPE_WORK.LT002_INSTRUMENT WHERE ref_date='${ref_date}' AND nome_perimetro='Individual Corporativo' AND segmento='ESTR' AND ambito='PM' AND entidade='00100')Y ON X.INSTRMNT_ID=Y.INSTRMNT_ID_SIMUL</v>
      </c>
      <c r="N170" s="38" t="s">
        <v>46</v>
      </c>
    </row>
    <row r="171" spans="2:14" hidden="1">
      <c r="B171" s="34" t="s">
        <v>126</v>
      </c>
      <c r="C171" s="34" t="s">
        <v>5</v>
      </c>
      <c r="D171" s="34" t="str">
        <f>+UPPER('0. Instruções'!$D$35&amp;"."&amp;VLOOKUP(B171,'0. Instruções'!$C$27:$D$32,2,FALSE))</f>
        <v>CD_LOAN_TAPES_BCE.LT002_INSTRUMENT</v>
      </c>
      <c r="E171" s="34" t="str">
        <f>+UPPER('0. Instruções'!$D$36&amp;"."&amp;VLOOKUP(B171,'0. Instruções'!$C$27:$E$32,3,FALSE))</f>
        <v>BU_LOANTAPE_WORK.LT002_INSTRUMENT</v>
      </c>
      <c r="F171" s="34" t="s">
        <v>464</v>
      </c>
      <c r="G171" s="34"/>
      <c r="H171" s="34" t="s">
        <v>89</v>
      </c>
      <c r="I171" s="34" t="str">
        <f>"(SELECT "&amp;VLOOKUP(B171,'0. Instruções'!$C$27:$G$32,4,FALSE)&amp;", "&amp;F171&amp;" FROM "&amp;D171&amp;" WHERE "&amp;'0. Instruções'!$D$42&amp;")X"</f>
        <v>(SELECT instrmnt_id, TYP_CRE_OPRTN FROM CD_LOAN_TAPES_BCE.LT002_INSTRUMENT WHERE ref_date='${ref_date}' AND nome_perimetro='Individual Corporativo' AND segmento='ESTR' AND ambito='PM' AND entidade='00100')X</v>
      </c>
      <c r="J171" s="34" t="str">
        <f>"(SELECT "&amp;VLOOKUP(B171,'0. Instruções'!$C$27:$G$32,4,FALSE)&amp;" AS "&amp;VLOOKUP(B171,'0. Instruções'!$C$27:$G$32,4,FALSE)&amp;"_SIMUL, "&amp;F171&amp;" AS "&amp;F171&amp;"_SIMUL FROM "&amp;E171&amp;" WHERE "&amp;'0. Instruções'!$D$43&amp;")Y"</f>
        <v>(SELECT instrmnt_id AS instrmnt_id_SIMUL, TYP_CRE_OPRTN AS TYP_CRE_OPRTN_SIMUL FROM BU_LOANTAPE_WORK.LT002_INSTRUMENT WHERE ref_date='${ref_date}' AND nome_perimetro='Individual Corporativo' AND segmento='ESTR' AND ambito='PM' AND entidade='00100')Y</v>
      </c>
      <c r="K171" s="35" t="str">
        <f>+UPPER("ON X."&amp;VLOOKUP(B171,'0. Instruções'!$C$27:$G$32,4,FALSE)&amp;"=Y."&amp;VLOOKUP(B171,'0. Instruções'!$C$27:$G$32,4,FALSE)&amp;"_SIMUL")</f>
        <v>ON X.INSTRMNT_ID=Y.INSTRMNT_ID_SIMUL</v>
      </c>
      <c r="L171" s="35" t="str">
        <f>+IF(C171="Coerência", +IF(LEFT(G171,5)="FLOAT","SELECT '"&amp;UPPER(B171)&amp;"' AS TABELA, '"&amp;UPPER(C171)&amp;"' AS TIPOLOGIA_TESTE,'"&amp;D171&amp;"' AS TABELA_LT,'"&amp;E171&amp;"' AS TABELA_SIMUL,'"&amp;F171&amp;"' AS CAMPO, "&amp;"'${ref_date}' AS REF_DATE, COUNT(*) AS NUM_REG, SUM(IF((ABS(COALESCE(CAST(X."&amp;F171&amp;" AS DECIMAL(18,6)),0)-COALESCE(CAST(Y."&amp;F171&amp;"_SIMUL AS DECIMAL(18,6)),0))&gt;0.000001) OR (X."&amp;F171&amp;" IS NULL AND Y."&amp;F171&amp;"_SIMUL IS NOT NULL ) OR (X."&amp;F171&amp;" IS NOT NULL AND Y."&amp;F171&amp;"_SIMUL IS NULL),1,0)) AS NUM_REG_DIF,'"&amp;MAX('ID1&amp;5'!K:K)+1&amp;"' AS ID_EXEC, CURRENT_TIMESTAMP() AS TIME_EXEC FROM "&amp;I171&amp;" INNER JOIN "&amp;J171&amp;" "&amp;K171,"SELECT '"&amp;UPPER(B171)&amp;"' AS TABELA, '"&amp;UPPER(C171)&amp;"' AS TIPOLOGIA_TESTE,'"&amp;D171&amp;"' AS TABELA_LT,'"&amp;E171&amp;"' AS TABELA_SIMUL,'"&amp;F171&amp;"' AS CAMPO, "&amp;"'${ref_date}' AS REF_DATE, COUNT(*) AS NUM_REG, SUM(IF(COALESCE(CAST(X."&amp;F171&amp;" AS STRING),'')&lt;&gt;COALESCE(CAST(Y."&amp;F171&amp;"_SIMUL AS STRING),'') OR (X."&amp;F171&amp;" IS NULL AND Y."&amp;F171&amp;"_SIMUL IS NOT NULL ) OR (X."&amp;F171&amp;" IS NOT NULL AND Y."&amp;F171&amp;"_SIMUL IS NULL),1,0)) AS NUM_REG_DIF,'"&amp;MAX('ID1&amp;5'!L:L)+1&amp;"' AS ID_EXEC, CURRENT_TIMESTAMP() AS TIME_EXEC FROM "&amp;I171&amp;" INNER JOIN "&amp;J171&amp;" "&amp;K171),
IF(C171="Validade",+IF(G171="Code List","SELECT '"&amp;UPPER(B171)&amp;"' AS TABELA, '"&amp;UPPER(C171)&amp;"' AS TIPOLOGIA_TESTE,'"&amp;D171&amp;"' AS TABELA_LT,'N/A' AS TABELA_SIMUL,'"&amp;F171&amp;"' AS CAMPO, "&amp;"'${ref_date}' AS REF_DATE, COUNT(*) AS NUM_REG, SUM(IF(TRIM(CAST(X."&amp;F171&amp;" AS STRING))='' OR TRIM(CAST(X."&amp;F171&amp;" AS STRING)) IS NULL OR CAST(X."&amp;F171&amp;" AS STRING) NOT "&amp;H171&amp;",1,0)) AS NUM_REG_DIF,'"&amp;MAX('ID1&amp;5'!K:K)+1&amp;"' AS ID_EXEC, CURRENT_TIMESTAMP() AS TIME_EXEC FROM "&amp;I171,"SELECT '"&amp;UPPER(B171)&amp;"' AS TABELA, '"&amp;UPPER(C171)&amp;"' AS TIPOLOGIA_TESTE,'"&amp;D171&amp;"' AS TABELA_LT,'N/A' AS TABELA_SIMUL,'"&amp;F171&amp;"' AS CAMPO, "&amp;"'${ref_date}' AS REF_DATE, COUNT(*) AS NUM_REG, SUM(IF(TRIM(CAST(X."&amp;F171&amp;" AS STRING))='' OR TRIM(CAST(X."&amp;F171&amp;" AS STRING)) IS NULL,1,0)) AS NUM_REG_DIF,'"&amp;MAX('ID1&amp;5'!K:K)+1&amp;"' AS ID_EXEC, CURRENT_TIMESTAMP() AS TIME_EXEC FROM "&amp;I171),
IF(C171="Caracteres Especiais",+"SELECT '"&amp;UPPER(B171)&amp;"' AS TABELA, '"&amp;UPPER(C171)&amp;"' AS TIPOLOGIA_TESTE,'"&amp;D171&amp;"' AS TABELA_LT,'N/A' AS TABELA_SIMUL,'"&amp;F171&amp;"' AS CAMPO, "&amp;"'${ref_date}' AS REF_DATE, COUNT(*) AS NUM_REG, SUM(IF(REGEXP_REPLACE(TRIM(CAST(X."&amp;F171&amp;" AS STRING)),'[^a-zA-Z0-9_\\s]','') &lt;&gt;TRIM(CAST(X."&amp;F171&amp;" AS STRING)),1,0)) AS NUM_REG_DIF,'"&amp;MAX('ID1&amp;5'!K:K)+1&amp;"' AS ID_EXEC, CURRENT_TIMESTAMP() AS TIME_EXEC FROM "&amp;I171,
IF(C171="Missings",+"SELECT '"&amp;UPPER(B171)&amp;"' AS TABELA, '"&amp;UPPER(C171)&amp;"' AS TIPOLOGIA_TESTE,'"&amp;D171&amp;"' AS TABELA_LT,'N/A' AS TABELA_SIMUL,'"&amp;F171&amp;"' AS CAMPO, "&amp;"'${ref_date}' AS REF_DATE, COUNT(*) AS NUM_REG, SUM(IF(TRIM(CAST(X."&amp;F171&amp;" AS STRING)) IN ('0000-00-00','0001-01-01','9999-12-31','MISS','00000','99999999999','99999999999.00','99999999999.000000'),1,0)) AS NUM_REG_DIF,'"&amp;MAX('ID1&amp;5'!K:K)+1&amp;"' AS ID_EXEC, CURRENT_TIMESTAMP() AS TIME_EXEC FROM "&amp;I171,
IF(C171="Not applicable",+"SELECT '"&amp;UPPER(B171)&amp;"' AS TABELA, '"&amp;UPPER(C171)&amp;"' AS TIPOLOGIA_TESTE,'"&amp;D171&amp;"' AS TABELA_LT,'N/A' AS TABELA_SIMUL,'"&amp;F171&amp;"' AS CAMPO, "&amp;"'${ref_date}' AS REF_DATE, COUNT(*) AS NUM_REG, SUM(IF(TRIM(CAST(X."&amp;F171&amp;" AS STRING)) IN ('N/A','11111111111','11111111111.00','11111111111.000000','1111-11-11'),1,0)) AS NUM_REG_DIF,'"&amp;MAX('ID1&amp;5'!K:K)+1&amp;"' AS ID_EXEC, CURRENT_TIMESTAMP() AS TIME_EXEC FROM "&amp;I171,
IF(C171="Valores extremos",+"SELECT '"&amp;UPPER(B171)&amp;"' AS TABELA, '"&amp;UPPER(C171)&amp;"' AS TIPOLOGIA_TESTE,'"&amp;D171&amp;"' AS TABELA_LT,'N/A' AS TABELA_SIMUL,'"&amp;F171&amp;"' AS CAMPO, "&amp;"'${ref_date}' AS REF_DATE, CAST(MIN("&amp;F171&amp;") AS STRING) AS VALOR_MIN, CAST(MAX("&amp;F171&amp;") AS STRING) AS VALOR_MAX,'"&amp;MAX('ID1&amp;5'!K:K)+1&amp;"' AS ID_EXEC, CURRENT_TIMESTAMP() AS TIME_EXEC FROM "&amp;MID(I171,1,LEN(I171)-2)&amp;" AND CAST("&amp;F171&amp;"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TABELA_SIMUL,'TYP_CRE_OPRTN' AS CAMPO, '${ref_date}' AS REF_DATE, COUNT(*) AS NUM_REG, SUM(IF(COALESCE(CAST(X.TYP_CRE_OPRTN AS STRING),'')&lt;&gt;COALESCE(CAST(Y.TYP_CRE_OPRTN_SIMUL AS STRING),'') OR (X.TYP_CRE_OPRTN IS NULL AND Y.TYP_CRE_OPRTN_SIMUL IS NOT NULL ) OR (X.TYP_CRE_OPRTN IS NOT NULL AND Y.TYP_CRE_OPRTN_SIMUL IS NULL),1,0)) AS NUM_REG_DIF,'1' AS ID_EXEC, CURRENT_TIMESTAMP() AS TIME_EXEC FROM (SELECT instrmnt_id, TYP_CRE_OPRTN FROM CD_LOAN_TAPES_BCE.LT002_INSTRUMENT WHERE ref_date='${ref_date}' AND nome_perimetro='Individual Corporativo' AND segmento='ESTR' AND ambito='PM' AND entidade='00100')X INNER JOIN (SELECT instrmnt_id AS instrmnt_id_SIMUL, TYP_CRE_OPRTN AS TYP_CRE_OPRTN_SIMUL FROM BU_LOANTAPE_WORK.LT002_INSTRUMENT WHERE ref_date='${ref_date}' AND nome_perimetro='Individual Corporativo' AND segmento='ESTR' AND ambito='PM' AND entidade='00100')Y ON X.INSTRMNT_ID=Y.INSTRMNT_ID_SIMUL</v>
      </c>
      <c r="M171" s="36" t="str">
        <f t="shared" si="2"/>
        <v>UNION ALL SELECT 'INSTRUMENT' AS TABELA, 'COERÊNCIA' AS TIPOLOGIA_TESTE,'CD_LOAN_TAPES_BCE.LT002_INSTRUMENT' AS TABELA_LT,'BU_LOANTAPE_WORK.LT002_INSTRUMENT' AS TABELA_SIMUL,'TYP_CRE_OPRTN' AS CAMPO, '${ref_date}' AS REF_DATE, COUNT(*) AS NUM_REG, SUM(IF(COALESCE(CAST(X.TYP_CRE_OPRTN AS STRING),'')&lt;&gt;COALESCE(CAST(Y.TYP_CRE_OPRTN_SIMUL AS STRING),'') OR (X.TYP_CRE_OPRTN IS NULL AND Y.TYP_CRE_OPRTN_SIMUL IS NOT NULL ) OR (X.TYP_CRE_OPRTN IS NOT NULL AND Y.TYP_CRE_OPRTN_SIMUL IS NULL),1,0)) AS NUM_REG_DIF,'1' AS ID_EXEC, CURRENT_TIMESTAMP() AS TIME_EXEC FROM (SELECT instrmnt_id, TYP_CRE_OPRTN FROM CD_LOAN_TAPES_BCE.LT002_INSTRUMENT WHERE ref_date='${ref_date}' AND nome_perimetro='Individual Corporativo' AND segmento='ESTR' AND ambito='PM' AND entidade='00100')X INNER JOIN (SELECT instrmnt_id AS instrmnt_id_SIMUL, TYP_CRE_OPRTN AS TYP_CRE_OPRTN_SIMUL FROM BU_LOANTAPE_WORK.LT002_INSTRUMENT WHERE ref_date='${ref_date}' AND nome_perimetro='Individual Corporativo' AND segmento='ESTR' AND ambito='PM' AND entidade='00100')Y ON X.INSTRMNT_ID=Y.INSTRMNT_ID_SIMUL</v>
      </c>
      <c r="N171" s="38" t="s">
        <v>46</v>
      </c>
    </row>
    <row r="172" spans="2:14" hidden="1">
      <c r="B172" s="34" t="s">
        <v>126</v>
      </c>
      <c r="C172" s="34" t="s">
        <v>5</v>
      </c>
      <c r="D172" s="34" t="str">
        <f>+UPPER('0. Instruções'!$D$35&amp;"."&amp;VLOOKUP(B172,'0. Instruções'!$C$27:$D$32,2,FALSE))</f>
        <v>CD_LOAN_TAPES_BCE.LT002_INSTRUMENT</v>
      </c>
      <c r="E172" s="34" t="str">
        <f>+UPPER('0. Instruções'!$D$36&amp;"."&amp;VLOOKUP(B172,'0. Instruções'!$C$27:$E$32,3,FALSE))</f>
        <v>BU_LOANTAPE_WORK.LT002_INSTRUMENT</v>
      </c>
      <c r="F172" s="34" t="s">
        <v>465</v>
      </c>
      <c r="G172" s="34"/>
      <c r="H172" s="34" t="s">
        <v>645</v>
      </c>
      <c r="I172" s="34" t="str">
        <f>"(SELECT "&amp;VLOOKUP(B172,'0. Instruções'!$C$27:$G$32,4,FALSE)&amp;", "&amp;F172&amp;" FROM "&amp;D172&amp;" WHERE "&amp;'0. Instruções'!$D$42&amp;")X"</f>
        <v>(SELECT instrmnt_id, DT_STRT_GP_PPAL FROM CD_LOAN_TAPES_BCE.LT002_INSTRUMENT WHERE ref_date='${ref_date}' AND nome_perimetro='Individual Corporativo' AND segmento='ESTR' AND ambito='PM' AND entidade='00100')X</v>
      </c>
      <c r="J172" s="34" t="str">
        <f>"(SELECT "&amp;VLOOKUP(B172,'0. Instruções'!$C$27:$G$32,4,FALSE)&amp;" AS "&amp;VLOOKUP(B172,'0. Instruções'!$C$27:$G$32,4,FALSE)&amp;"_SIMUL, "&amp;F172&amp;" AS "&amp;F172&amp;"_SIMUL FROM "&amp;E172&amp;" WHERE "&amp;'0. Instruções'!$D$43&amp;")Y"</f>
        <v>(SELECT instrmnt_id AS instrmnt_id_SIMUL, DT_STRT_GP_PPAL AS DT_STRT_GP_PPAL_SIMUL FROM BU_LOANTAPE_WORK.LT002_INSTRUMENT WHERE ref_date='${ref_date}' AND nome_perimetro='Individual Corporativo' AND segmento='ESTR' AND ambito='PM' AND entidade='00100')Y</v>
      </c>
      <c r="K172" s="35" t="str">
        <f>+UPPER("ON X."&amp;VLOOKUP(B172,'0. Instruções'!$C$27:$G$32,4,FALSE)&amp;"=Y."&amp;VLOOKUP(B172,'0. Instruções'!$C$27:$G$32,4,FALSE)&amp;"_SIMUL")</f>
        <v>ON X.INSTRMNT_ID=Y.INSTRMNT_ID_SIMUL</v>
      </c>
      <c r="L172" s="35" t="str">
        <f>+IF(C172="Coerência", +IF(LEFT(G172,5)="FLOAT","SELECT '"&amp;UPPER(B172)&amp;"' AS TABELA, '"&amp;UPPER(C172)&amp;"' AS TIPOLOGIA_TESTE,'"&amp;D172&amp;"' AS TABELA_LT,'"&amp;E172&amp;"' AS TABELA_SIMUL,'"&amp;F172&amp;"' AS CAMPO, "&amp;"'${ref_date}' AS REF_DATE, COUNT(*) AS NUM_REG, SUM(IF((ABS(COALESCE(CAST(X."&amp;F172&amp;" AS DECIMAL(18,6)),0)-COALESCE(CAST(Y."&amp;F172&amp;"_SIMUL AS DECIMAL(18,6)),0))&gt;0.000001) OR (X."&amp;F172&amp;" IS NULL AND Y."&amp;F172&amp;"_SIMUL IS NOT NULL ) OR (X."&amp;F172&amp;" IS NOT NULL AND Y."&amp;F172&amp;"_SIMUL IS NULL),1,0)) AS NUM_REG_DIF,'"&amp;MAX('ID1&amp;5'!K:K)+1&amp;"' AS ID_EXEC, CURRENT_TIMESTAMP() AS TIME_EXEC FROM "&amp;I172&amp;" INNER JOIN "&amp;J172&amp;" "&amp;K172,"SELECT '"&amp;UPPER(B172)&amp;"' AS TABELA, '"&amp;UPPER(C172)&amp;"' AS TIPOLOGIA_TESTE,'"&amp;D172&amp;"' AS TABELA_LT,'"&amp;E172&amp;"' AS TABELA_SIMUL,'"&amp;F172&amp;"' AS CAMPO, "&amp;"'${ref_date}' AS REF_DATE, COUNT(*) AS NUM_REG, SUM(IF(COALESCE(CAST(X."&amp;F172&amp;" AS STRING),'')&lt;&gt;COALESCE(CAST(Y."&amp;F172&amp;"_SIMUL AS STRING),'') OR (X."&amp;F172&amp;" IS NULL AND Y."&amp;F172&amp;"_SIMUL IS NOT NULL ) OR (X."&amp;F172&amp;" IS NOT NULL AND Y."&amp;F172&amp;"_SIMUL IS NULL),1,0)) AS NUM_REG_DIF,'"&amp;MAX('ID1&amp;5'!L:L)+1&amp;"' AS ID_EXEC, CURRENT_TIMESTAMP() AS TIME_EXEC FROM "&amp;I172&amp;" INNER JOIN "&amp;J172&amp;" "&amp;K172),
IF(C172="Validade",+IF(G172="Code List","SELECT '"&amp;UPPER(B172)&amp;"' AS TABELA, '"&amp;UPPER(C172)&amp;"' AS TIPOLOGIA_TESTE,'"&amp;D172&amp;"' AS TABELA_LT,'N/A' AS TABELA_SIMUL,'"&amp;F172&amp;"' AS CAMPO, "&amp;"'${ref_date}' AS REF_DATE, COUNT(*) AS NUM_REG, SUM(IF(TRIM(CAST(X."&amp;F172&amp;" AS STRING))='' OR TRIM(CAST(X."&amp;F172&amp;" AS STRING)) IS NULL OR CAST(X."&amp;F172&amp;" AS STRING) NOT "&amp;H172&amp;",1,0)) AS NUM_REG_DIF,'"&amp;MAX('ID1&amp;5'!K:K)+1&amp;"' AS ID_EXEC, CURRENT_TIMESTAMP() AS TIME_EXEC FROM "&amp;I172,"SELECT '"&amp;UPPER(B172)&amp;"' AS TABELA, '"&amp;UPPER(C172)&amp;"' AS TIPOLOGIA_TESTE,'"&amp;D172&amp;"' AS TABELA_LT,'N/A' AS TABELA_SIMUL,'"&amp;F172&amp;"' AS CAMPO, "&amp;"'${ref_date}' AS REF_DATE, COUNT(*) AS NUM_REG, SUM(IF(TRIM(CAST(X."&amp;F172&amp;" AS STRING))='' OR TRIM(CAST(X."&amp;F172&amp;" AS STRING)) IS NULL,1,0)) AS NUM_REG_DIF,'"&amp;MAX('ID1&amp;5'!K:K)+1&amp;"' AS ID_EXEC, CURRENT_TIMESTAMP() AS TIME_EXEC FROM "&amp;I172),
IF(C172="Caracteres Especiais",+"SELECT '"&amp;UPPER(B172)&amp;"' AS TABELA, '"&amp;UPPER(C172)&amp;"' AS TIPOLOGIA_TESTE,'"&amp;D172&amp;"' AS TABELA_LT,'N/A' AS TABELA_SIMUL,'"&amp;F172&amp;"' AS CAMPO, "&amp;"'${ref_date}' AS REF_DATE, COUNT(*) AS NUM_REG, SUM(IF(REGEXP_REPLACE(TRIM(CAST(X."&amp;F172&amp;" AS STRING)),'[^a-zA-Z0-9_\\s]','') &lt;&gt;TRIM(CAST(X."&amp;F172&amp;" AS STRING)),1,0)) AS NUM_REG_DIF,'"&amp;MAX('ID1&amp;5'!K:K)+1&amp;"' AS ID_EXEC, CURRENT_TIMESTAMP() AS TIME_EXEC FROM "&amp;I172,
IF(C172="Missings",+"SELECT '"&amp;UPPER(B172)&amp;"' AS TABELA, '"&amp;UPPER(C172)&amp;"' AS TIPOLOGIA_TESTE,'"&amp;D172&amp;"' AS TABELA_LT,'N/A' AS TABELA_SIMUL,'"&amp;F172&amp;"' AS CAMPO, "&amp;"'${ref_date}' AS REF_DATE, COUNT(*) AS NUM_REG, SUM(IF(TRIM(CAST(X."&amp;F172&amp;" AS STRING)) IN ('0000-00-00','0001-01-01','9999-12-31','MISS','00000','99999999999','99999999999.00','99999999999.000000'),1,0)) AS NUM_REG_DIF,'"&amp;MAX('ID1&amp;5'!K:K)+1&amp;"' AS ID_EXEC, CURRENT_TIMESTAMP() AS TIME_EXEC FROM "&amp;I172,
IF(C172="Not applicable",+"SELECT '"&amp;UPPER(B172)&amp;"' AS TABELA, '"&amp;UPPER(C172)&amp;"' AS TIPOLOGIA_TESTE,'"&amp;D172&amp;"' AS TABELA_LT,'N/A' AS TABELA_SIMUL,'"&amp;F172&amp;"' AS CAMPO, "&amp;"'${ref_date}' AS REF_DATE, COUNT(*) AS NUM_REG, SUM(IF(TRIM(CAST(X."&amp;F172&amp;" AS STRING)) IN ('N/A','11111111111','11111111111.00','11111111111.000000','1111-11-11'),1,0)) AS NUM_REG_DIF,'"&amp;MAX('ID1&amp;5'!K:K)+1&amp;"' AS ID_EXEC, CURRENT_TIMESTAMP() AS TIME_EXEC FROM "&amp;I172,
IF(C172="Valores extremos",+"SELECT '"&amp;UPPER(B172)&amp;"' AS TABELA, '"&amp;UPPER(C172)&amp;"' AS TIPOLOGIA_TESTE,'"&amp;D172&amp;"' AS TABELA_LT,'N/A' AS TABELA_SIMUL,'"&amp;F172&amp;"' AS CAMPO, "&amp;"'${ref_date}' AS REF_DATE, CAST(MIN("&amp;F172&amp;") AS STRING) AS VALOR_MIN, CAST(MAX("&amp;F172&amp;") AS STRING) AS VALOR_MAX,'"&amp;MAX('ID1&amp;5'!K:K)+1&amp;"' AS ID_EXEC, CURRENT_TIMESTAMP() AS TIME_EXEC FROM "&amp;MID(I172,1,LEN(I172)-2)&amp;" AND CAST("&amp;F172&amp;"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TABELA_SIMUL,'DT_STRT_GP_PPAL' AS CAMPO, '${ref_date}' AS REF_DATE, COUNT(*) AS NUM_REG, SUM(IF(COALESCE(CAST(X.DT_STRT_GP_PPAL AS STRING),'')&lt;&gt;COALESCE(CAST(Y.DT_STRT_GP_PPAL_SIMUL AS STRING),'') OR (X.DT_STRT_GP_PPAL IS NULL AND Y.DT_STRT_GP_PPAL_SIMUL IS NOT NULL ) OR (X.DT_STRT_GP_PPAL IS NOT NULL AND Y.DT_STRT_GP_PPAL_SIMUL IS NULL),1,0)) AS NUM_REG_DIF,'1' AS ID_EXEC, CURRENT_TIMESTAMP() AS TIME_EXEC FROM (SELECT instrmnt_id, DT_STRT_GP_PPAL FROM CD_LOAN_TAPES_BCE.LT002_INSTRUMENT WHERE ref_date='${ref_date}' AND nome_perimetro='Individual Corporativo' AND segmento='ESTR' AND ambito='PM' AND entidade='00100')X INNER JOIN (SELECT instrmnt_id AS instrmnt_id_SIMUL, DT_STRT_GP_PPAL AS DT_STRT_GP_PPAL_SIMUL FROM BU_LOANTAPE_WORK.LT002_INSTRUMENT WHERE ref_date='${ref_date}' AND nome_perimetro='Individual Corporativo' AND segmento='ESTR' AND ambito='PM' AND entidade='00100')Y ON X.INSTRMNT_ID=Y.INSTRMNT_ID_SIMUL</v>
      </c>
      <c r="M172" s="36" t="str">
        <f t="shared" si="2"/>
        <v>UNION ALL SELECT 'INSTRUMENT' AS TABELA, 'COERÊNCIA' AS TIPOLOGIA_TESTE,'CD_LOAN_TAPES_BCE.LT002_INSTRUMENT' AS TABELA_LT,'BU_LOANTAPE_WORK.LT002_INSTRUMENT' AS TABELA_SIMUL,'DT_STRT_GP_PPAL' AS CAMPO, '${ref_date}' AS REF_DATE, COUNT(*) AS NUM_REG, SUM(IF(COALESCE(CAST(X.DT_STRT_GP_PPAL AS STRING),'')&lt;&gt;COALESCE(CAST(Y.DT_STRT_GP_PPAL_SIMUL AS STRING),'') OR (X.DT_STRT_GP_PPAL IS NULL AND Y.DT_STRT_GP_PPAL_SIMUL IS NOT NULL ) OR (X.DT_STRT_GP_PPAL IS NOT NULL AND Y.DT_STRT_GP_PPAL_SIMUL IS NULL),1,0)) AS NUM_REG_DIF,'1' AS ID_EXEC, CURRENT_TIMESTAMP() AS TIME_EXEC FROM (SELECT instrmnt_id, DT_STRT_GP_PPAL FROM CD_LOAN_TAPES_BCE.LT002_INSTRUMENT WHERE ref_date='${ref_date}' AND nome_perimetro='Individual Corporativo' AND segmento='ESTR' AND ambito='PM' AND entidade='00100')X INNER JOIN (SELECT instrmnt_id AS instrmnt_id_SIMUL, DT_STRT_GP_PPAL AS DT_STRT_GP_PPAL_SIMUL FROM BU_LOANTAPE_WORK.LT002_INSTRUMENT WHERE ref_date='${ref_date}' AND nome_perimetro='Individual Corporativo' AND segmento='ESTR' AND ambito='PM' AND entidade='00100')Y ON X.INSTRMNT_ID=Y.INSTRMNT_ID_SIMUL</v>
      </c>
      <c r="N172" s="38" t="s">
        <v>46</v>
      </c>
    </row>
    <row r="173" spans="2:14" hidden="1">
      <c r="B173" s="34" t="s">
        <v>126</v>
      </c>
      <c r="C173" s="34" t="s">
        <v>5</v>
      </c>
      <c r="D173" s="34" t="str">
        <f>+UPPER('0. Instruções'!$D$35&amp;"."&amp;VLOOKUP(B173,'0. Instruções'!$C$27:$D$32,2,FALSE))</f>
        <v>CD_LOAN_TAPES_BCE.LT002_INSTRUMENT</v>
      </c>
      <c r="E173" s="34" t="str">
        <f>+UPPER('0. Instruções'!$D$36&amp;"."&amp;VLOOKUP(B173,'0. Instruções'!$C$27:$E$32,3,FALSE))</f>
        <v>BU_LOANTAPE_WORK.LT002_INSTRUMENT</v>
      </c>
      <c r="F173" s="34" t="s">
        <v>100</v>
      </c>
      <c r="G173" s="34"/>
      <c r="H173" s="34" t="s">
        <v>92</v>
      </c>
      <c r="I173" s="34" t="str">
        <f>"(SELECT "&amp;VLOOKUP(B173,'0. Instruções'!$C$27:$G$32,4,FALSE)&amp;", "&amp;F173&amp;" FROM "&amp;D173&amp;" WHERE "&amp;'0. Instruções'!$D$42&amp;")X"</f>
        <v>(SELECT instrmnt_id, GRSS_CRRYNG_AMNT_INSTRMNT FROM CD_LOAN_TAPES_BCE.LT002_INSTRUMENT WHERE ref_date='${ref_date}' AND nome_perimetro='Individual Corporativo' AND segmento='ESTR' AND ambito='PM' AND entidade='00100')X</v>
      </c>
      <c r="J173" s="34" t="str">
        <f>"(SELECT "&amp;VLOOKUP(B173,'0. Instruções'!$C$27:$G$32,4,FALSE)&amp;" AS "&amp;VLOOKUP(B173,'0. Instruções'!$C$27:$G$32,4,FALSE)&amp;"_SIMUL, "&amp;F173&amp;" AS "&amp;F173&amp;"_SIMUL FROM "&amp;E173&amp;" WHERE "&amp;'0. Instruções'!$D$43&amp;")Y"</f>
        <v>(SELECT instrmnt_id AS instrmnt_id_SIMUL, GRSS_CRRYNG_AMNT_INSTRMNT AS GRSS_CRRYNG_AMNT_INSTRMNT_SIMUL FROM BU_LOANTAPE_WORK.LT002_INSTRUMENT WHERE ref_date='${ref_date}' AND nome_perimetro='Individual Corporativo' AND segmento='ESTR' AND ambito='PM' AND entidade='00100')Y</v>
      </c>
      <c r="K173" s="35" t="str">
        <f>+UPPER("ON X."&amp;VLOOKUP(B173,'0. Instruções'!$C$27:$G$32,4,FALSE)&amp;"=Y."&amp;VLOOKUP(B173,'0. Instruções'!$C$27:$G$32,4,FALSE)&amp;"_SIMUL")</f>
        <v>ON X.INSTRMNT_ID=Y.INSTRMNT_ID_SIMUL</v>
      </c>
      <c r="L173" s="35" t="str">
        <f>+IF(C173="Coerência", +IF(LEFT(G173,5)="FLOAT","SELECT '"&amp;UPPER(B173)&amp;"' AS TABELA, '"&amp;UPPER(C173)&amp;"' AS TIPOLOGIA_TESTE,'"&amp;D173&amp;"' AS TABELA_LT,'"&amp;E173&amp;"' AS TABELA_SIMUL,'"&amp;F173&amp;"' AS CAMPO, "&amp;"'${ref_date}' AS REF_DATE, COUNT(*) AS NUM_REG, SUM(IF((ABS(COALESCE(CAST(X."&amp;F173&amp;" AS DECIMAL(18,6)),0)-COALESCE(CAST(Y."&amp;F173&amp;"_SIMUL AS DECIMAL(18,6)),0))&gt;0.000001) OR (X."&amp;F173&amp;" IS NULL AND Y."&amp;F173&amp;"_SIMUL IS NOT NULL ) OR (X."&amp;F173&amp;" IS NOT NULL AND Y."&amp;F173&amp;"_SIMUL IS NULL),1,0)) AS NUM_REG_DIF,'"&amp;MAX('ID1&amp;5'!K:K)+1&amp;"' AS ID_EXEC, CURRENT_TIMESTAMP() AS TIME_EXEC FROM "&amp;I173&amp;" INNER JOIN "&amp;J173&amp;" "&amp;K173,"SELECT '"&amp;UPPER(B173)&amp;"' AS TABELA, '"&amp;UPPER(C173)&amp;"' AS TIPOLOGIA_TESTE,'"&amp;D173&amp;"' AS TABELA_LT,'"&amp;E173&amp;"' AS TABELA_SIMUL,'"&amp;F173&amp;"' AS CAMPO, "&amp;"'${ref_date}' AS REF_DATE, COUNT(*) AS NUM_REG, SUM(IF(COALESCE(CAST(X."&amp;F173&amp;" AS STRING),'')&lt;&gt;COALESCE(CAST(Y."&amp;F173&amp;"_SIMUL AS STRING),'') OR (X."&amp;F173&amp;" IS NULL AND Y."&amp;F173&amp;"_SIMUL IS NOT NULL ) OR (X."&amp;F173&amp;" IS NOT NULL AND Y."&amp;F173&amp;"_SIMUL IS NULL),1,0)) AS NUM_REG_DIF,'"&amp;MAX('ID1&amp;5'!L:L)+1&amp;"' AS ID_EXEC, CURRENT_TIMESTAMP() AS TIME_EXEC FROM "&amp;I173&amp;" INNER JOIN "&amp;J173&amp;" "&amp;K173),
IF(C173="Validade",+IF(G173="Code List","SELECT '"&amp;UPPER(B173)&amp;"' AS TABELA, '"&amp;UPPER(C173)&amp;"' AS TIPOLOGIA_TESTE,'"&amp;D173&amp;"' AS TABELA_LT,'N/A' AS TABELA_SIMUL,'"&amp;F173&amp;"' AS CAMPO, "&amp;"'${ref_date}' AS REF_DATE, COUNT(*) AS NUM_REG, SUM(IF(TRIM(CAST(X."&amp;F173&amp;" AS STRING))='' OR TRIM(CAST(X."&amp;F173&amp;" AS STRING)) IS NULL OR CAST(X."&amp;F173&amp;" AS STRING) NOT "&amp;H173&amp;",1,0)) AS NUM_REG_DIF,'"&amp;MAX('ID1&amp;5'!K:K)+1&amp;"' AS ID_EXEC, CURRENT_TIMESTAMP() AS TIME_EXEC FROM "&amp;I173,"SELECT '"&amp;UPPER(B173)&amp;"' AS TABELA, '"&amp;UPPER(C173)&amp;"' AS TIPOLOGIA_TESTE,'"&amp;D173&amp;"' AS TABELA_LT,'N/A' AS TABELA_SIMUL,'"&amp;F173&amp;"' AS CAMPO, "&amp;"'${ref_date}' AS REF_DATE, COUNT(*) AS NUM_REG, SUM(IF(TRIM(CAST(X."&amp;F173&amp;" AS STRING))='' OR TRIM(CAST(X."&amp;F173&amp;" AS STRING)) IS NULL,1,0)) AS NUM_REG_DIF,'"&amp;MAX('ID1&amp;5'!K:K)+1&amp;"' AS ID_EXEC, CURRENT_TIMESTAMP() AS TIME_EXEC FROM "&amp;I173),
IF(C173="Caracteres Especiais",+"SELECT '"&amp;UPPER(B173)&amp;"' AS TABELA, '"&amp;UPPER(C173)&amp;"' AS TIPOLOGIA_TESTE,'"&amp;D173&amp;"' AS TABELA_LT,'N/A' AS TABELA_SIMUL,'"&amp;F173&amp;"' AS CAMPO, "&amp;"'${ref_date}' AS REF_DATE, COUNT(*) AS NUM_REG, SUM(IF(REGEXP_REPLACE(TRIM(CAST(X."&amp;F173&amp;" AS STRING)),'[^a-zA-Z0-9_\\s]','') &lt;&gt;TRIM(CAST(X."&amp;F173&amp;" AS STRING)),1,0)) AS NUM_REG_DIF,'"&amp;MAX('ID1&amp;5'!K:K)+1&amp;"' AS ID_EXEC, CURRENT_TIMESTAMP() AS TIME_EXEC FROM "&amp;I173,
IF(C173="Missings",+"SELECT '"&amp;UPPER(B173)&amp;"' AS TABELA, '"&amp;UPPER(C173)&amp;"' AS TIPOLOGIA_TESTE,'"&amp;D173&amp;"' AS TABELA_LT,'N/A' AS TABELA_SIMUL,'"&amp;F173&amp;"' AS CAMPO, "&amp;"'${ref_date}' AS REF_DATE, COUNT(*) AS NUM_REG, SUM(IF(TRIM(CAST(X."&amp;F173&amp;" AS STRING)) IN ('0000-00-00','0001-01-01','9999-12-31','MISS','00000','99999999999','99999999999.00','99999999999.000000'),1,0)) AS NUM_REG_DIF,'"&amp;MAX('ID1&amp;5'!K:K)+1&amp;"' AS ID_EXEC, CURRENT_TIMESTAMP() AS TIME_EXEC FROM "&amp;I173,
IF(C173="Not applicable",+"SELECT '"&amp;UPPER(B173)&amp;"' AS TABELA, '"&amp;UPPER(C173)&amp;"' AS TIPOLOGIA_TESTE,'"&amp;D173&amp;"' AS TABELA_LT,'N/A' AS TABELA_SIMUL,'"&amp;F173&amp;"' AS CAMPO, "&amp;"'${ref_date}' AS REF_DATE, COUNT(*) AS NUM_REG, SUM(IF(TRIM(CAST(X."&amp;F173&amp;" AS STRING)) IN ('N/A','11111111111','11111111111.00','11111111111.000000','1111-11-11'),1,0)) AS NUM_REG_DIF,'"&amp;MAX('ID1&amp;5'!K:K)+1&amp;"' AS ID_EXEC, CURRENT_TIMESTAMP() AS TIME_EXEC FROM "&amp;I173,
IF(C173="Valores extremos",+"SELECT '"&amp;UPPER(B173)&amp;"' AS TABELA, '"&amp;UPPER(C173)&amp;"' AS TIPOLOGIA_TESTE,'"&amp;D173&amp;"' AS TABELA_LT,'N/A' AS TABELA_SIMUL,'"&amp;F173&amp;"' AS CAMPO, "&amp;"'${ref_date}' AS REF_DATE, CAST(MIN("&amp;F173&amp;") AS STRING) AS VALOR_MIN, CAST(MAX("&amp;F173&amp;") AS STRING) AS VALOR_MAX,'"&amp;MAX('ID1&amp;5'!K:K)+1&amp;"' AS ID_EXEC, CURRENT_TIMESTAMP() AS TIME_EXEC FROM "&amp;MID(I173,1,LEN(I173)-2)&amp;" AND CAST("&amp;F173&amp;"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TABELA_SIMUL,'GRSS_CRRYNG_AMNT_INSTRMNT' AS CAMPO, '${ref_date}' AS REF_DATE, COUNT(*) AS NUM_REG, SUM(IF(COALESCE(CAST(X.GRSS_CRRYNG_AMNT_INSTRMNT AS STRING),'')&lt;&gt;COALESCE(CAST(Y.GRSS_CRRYNG_AMNT_INSTRMNT_SIMUL AS STRING),'') OR (X.GRSS_CRRYNG_AMNT_INSTRMNT IS NULL AND Y.GRSS_CRRYNG_AMNT_INSTRMNT_SIMUL IS NOT NULL ) OR (X.GRSS_CRRYNG_AMNT_INSTRMNT IS NOT NULL AND Y.GRSS_CRRYNG_AMNT_INSTRMNT_SIMUL IS NULL),1,0)) AS NUM_REG_DIF,'1' AS ID_EXEC, CURRENT_TIMESTAMP() AS TIME_EXEC FROM (SELECT instrmnt_id, GRSS_CRRYNG_AMNT_INSTRMNT FROM CD_LOAN_TAPES_BCE.LT002_INSTRUMENT WHERE ref_date='${ref_date}' AND nome_perimetro='Individual Corporativo' AND segmento='ESTR' AND ambito='PM' AND entidade='00100')X INNER JOIN (SELECT instrmnt_id AS instrmnt_id_SIMUL, GRSS_CRRYNG_AMNT_INSTRMNT AS GRSS_CRRYNG_AMNT_INSTRMNT_SIMUL FROM BU_LOANTAPE_WORK.LT002_INSTRUMENT WHERE ref_date='${ref_date}' AND nome_perimetro='Individual Corporativo' AND segmento='ESTR' AND ambito='PM' AND entidade='00100')Y ON X.INSTRMNT_ID=Y.INSTRMNT_ID_SIMUL</v>
      </c>
      <c r="M173" s="36" t="str">
        <f t="shared" si="2"/>
        <v>UNION ALL SELECT 'INSTRUMENT' AS TABELA, 'COERÊNCIA' AS TIPOLOGIA_TESTE,'CD_LOAN_TAPES_BCE.LT002_INSTRUMENT' AS TABELA_LT,'BU_LOANTAPE_WORK.LT002_INSTRUMENT' AS TABELA_SIMUL,'GRSS_CRRYNG_AMNT_INSTRMNT' AS CAMPO, '${ref_date}' AS REF_DATE, COUNT(*) AS NUM_REG, SUM(IF(COALESCE(CAST(X.GRSS_CRRYNG_AMNT_INSTRMNT AS STRING),'')&lt;&gt;COALESCE(CAST(Y.GRSS_CRRYNG_AMNT_INSTRMNT_SIMUL AS STRING),'') OR (X.GRSS_CRRYNG_AMNT_INSTRMNT IS NULL AND Y.GRSS_CRRYNG_AMNT_INSTRMNT_SIMUL IS NOT NULL ) OR (X.GRSS_CRRYNG_AMNT_INSTRMNT IS NOT NULL AND Y.GRSS_CRRYNG_AMNT_INSTRMNT_SIMUL IS NULL),1,0)) AS NUM_REG_DIF,'1' AS ID_EXEC, CURRENT_TIMESTAMP() AS TIME_EXEC FROM (SELECT instrmnt_id, GRSS_CRRYNG_AMNT_INSTRMNT FROM CD_LOAN_TAPES_BCE.LT002_INSTRUMENT WHERE ref_date='${ref_date}' AND nome_perimetro='Individual Corporativo' AND segmento='ESTR' AND ambito='PM' AND entidade='00100')X INNER JOIN (SELECT instrmnt_id AS instrmnt_id_SIMUL, GRSS_CRRYNG_AMNT_INSTRMNT AS GRSS_CRRYNG_AMNT_INSTRMNT_SIMUL FROM BU_LOANTAPE_WORK.LT002_INSTRUMENT WHERE ref_date='${ref_date}' AND nome_perimetro='Individual Corporativo' AND segmento='ESTR' AND ambito='PM' AND entidade='00100')Y ON X.INSTRMNT_ID=Y.INSTRMNT_ID_SIMUL</v>
      </c>
      <c r="N173" s="38" t="s">
        <v>46</v>
      </c>
    </row>
    <row r="174" spans="2:14" hidden="1">
      <c r="B174" s="34" t="s">
        <v>126</v>
      </c>
      <c r="C174" s="34" t="s">
        <v>5</v>
      </c>
      <c r="D174" s="34" t="str">
        <f>+UPPER('0. Instruções'!$D$35&amp;"."&amp;VLOOKUP(B174,'0. Instruções'!$C$27:$D$32,2,FALSE))</f>
        <v>CD_LOAN_TAPES_BCE.LT002_INSTRUMENT</v>
      </c>
      <c r="E174" s="34" t="str">
        <f>+UPPER('0. Instruções'!$D$36&amp;"."&amp;VLOOKUP(B174,'0. Instruções'!$C$27:$E$32,3,FALSE))</f>
        <v>BU_LOANTAPE_WORK.LT002_INSTRUMENT</v>
      </c>
      <c r="F174" s="34" t="s">
        <v>101</v>
      </c>
      <c r="G174" s="34"/>
      <c r="H174" s="34" t="s">
        <v>92</v>
      </c>
      <c r="I174" s="34" t="str">
        <f>"(SELECT "&amp;VLOOKUP(B174,'0. Instruções'!$C$27:$G$32,4,FALSE)&amp;", "&amp;F174&amp;" FROM "&amp;D174&amp;" WHERE "&amp;'0. Instruções'!$D$42&amp;")X"</f>
        <v>(SELECT instrmnt_id, ACCMLTD_CHNGS_FV_CR_INSTRMNT FROM CD_LOAN_TAPES_BCE.LT002_INSTRUMENT WHERE ref_date='${ref_date}' AND nome_perimetro='Individual Corporativo' AND segmento='ESTR' AND ambito='PM' AND entidade='00100')X</v>
      </c>
      <c r="J174" s="34" t="str">
        <f>"(SELECT "&amp;VLOOKUP(B174,'0. Instruções'!$C$27:$G$32,4,FALSE)&amp;" AS "&amp;VLOOKUP(B174,'0. Instruções'!$C$27:$G$32,4,FALSE)&amp;"_SIMUL, "&amp;F174&amp;" AS "&amp;F174&amp;"_SIMUL FROM "&amp;E174&amp;" WHERE "&amp;'0. Instruções'!$D$43&amp;")Y"</f>
        <v>(SELECT instrmnt_id AS instrmnt_id_SIMUL, ACCMLTD_CHNGS_FV_CR_INSTRMNT AS ACCMLTD_CHNGS_FV_CR_INSTRMNT_SIMUL FROM BU_LOANTAPE_WORK.LT002_INSTRUMENT WHERE ref_date='${ref_date}' AND nome_perimetro='Individual Corporativo' AND segmento='ESTR' AND ambito='PM' AND entidade='00100')Y</v>
      </c>
      <c r="K174" s="35" t="str">
        <f>+UPPER("ON X."&amp;VLOOKUP(B174,'0. Instruções'!$C$27:$G$32,4,FALSE)&amp;"=Y."&amp;VLOOKUP(B174,'0. Instruções'!$C$27:$G$32,4,FALSE)&amp;"_SIMUL")</f>
        <v>ON X.INSTRMNT_ID=Y.INSTRMNT_ID_SIMUL</v>
      </c>
      <c r="L174" s="35" t="str">
        <f>+IF(C174="Coerência", +IF(LEFT(G174,5)="FLOAT","SELECT '"&amp;UPPER(B174)&amp;"' AS TABELA, '"&amp;UPPER(C174)&amp;"' AS TIPOLOGIA_TESTE,'"&amp;D174&amp;"' AS TABELA_LT,'"&amp;E174&amp;"' AS TABELA_SIMUL,'"&amp;F174&amp;"' AS CAMPO, "&amp;"'${ref_date}' AS REF_DATE, COUNT(*) AS NUM_REG, SUM(IF((ABS(COALESCE(CAST(X."&amp;F174&amp;" AS DECIMAL(18,6)),0)-COALESCE(CAST(Y."&amp;F174&amp;"_SIMUL AS DECIMAL(18,6)),0))&gt;0.000001) OR (X."&amp;F174&amp;" IS NULL AND Y."&amp;F174&amp;"_SIMUL IS NOT NULL ) OR (X."&amp;F174&amp;" IS NOT NULL AND Y."&amp;F174&amp;"_SIMUL IS NULL),1,0)) AS NUM_REG_DIF,'"&amp;MAX('ID1&amp;5'!K:K)+1&amp;"' AS ID_EXEC, CURRENT_TIMESTAMP() AS TIME_EXEC FROM "&amp;I174&amp;" INNER JOIN "&amp;J174&amp;" "&amp;K174,"SELECT '"&amp;UPPER(B174)&amp;"' AS TABELA, '"&amp;UPPER(C174)&amp;"' AS TIPOLOGIA_TESTE,'"&amp;D174&amp;"' AS TABELA_LT,'"&amp;E174&amp;"' AS TABELA_SIMUL,'"&amp;F174&amp;"' AS CAMPO, "&amp;"'${ref_date}' AS REF_DATE, COUNT(*) AS NUM_REG, SUM(IF(COALESCE(CAST(X."&amp;F174&amp;" AS STRING),'')&lt;&gt;COALESCE(CAST(Y."&amp;F174&amp;"_SIMUL AS STRING),'') OR (X."&amp;F174&amp;" IS NULL AND Y."&amp;F174&amp;"_SIMUL IS NOT NULL ) OR (X."&amp;F174&amp;" IS NOT NULL AND Y."&amp;F174&amp;"_SIMUL IS NULL),1,0)) AS NUM_REG_DIF,'"&amp;MAX('ID1&amp;5'!L:L)+1&amp;"' AS ID_EXEC, CURRENT_TIMESTAMP() AS TIME_EXEC FROM "&amp;I174&amp;" INNER JOIN "&amp;J174&amp;" "&amp;K174),
IF(C174="Validade",+IF(G174="Code List","SELECT '"&amp;UPPER(B174)&amp;"' AS TABELA, '"&amp;UPPER(C174)&amp;"' AS TIPOLOGIA_TESTE,'"&amp;D174&amp;"' AS TABELA_LT,'N/A' AS TABELA_SIMUL,'"&amp;F174&amp;"' AS CAMPO, "&amp;"'${ref_date}' AS REF_DATE, COUNT(*) AS NUM_REG, SUM(IF(TRIM(CAST(X."&amp;F174&amp;" AS STRING))='' OR TRIM(CAST(X."&amp;F174&amp;" AS STRING)) IS NULL OR CAST(X."&amp;F174&amp;" AS STRING) NOT "&amp;H174&amp;",1,0)) AS NUM_REG_DIF,'"&amp;MAX('ID1&amp;5'!K:K)+1&amp;"' AS ID_EXEC, CURRENT_TIMESTAMP() AS TIME_EXEC FROM "&amp;I174,"SELECT '"&amp;UPPER(B174)&amp;"' AS TABELA, '"&amp;UPPER(C174)&amp;"' AS TIPOLOGIA_TESTE,'"&amp;D174&amp;"' AS TABELA_LT,'N/A' AS TABELA_SIMUL,'"&amp;F174&amp;"' AS CAMPO, "&amp;"'${ref_date}' AS REF_DATE, COUNT(*) AS NUM_REG, SUM(IF(TRIM(CAST(X."&amp;F174&amp;" AS STRING))='' OR TRIM(CAST(X."&amp;F174&amp;" AS STRING)) IS NULL,1,0)) AS NUM_REG_DIF,'"&amp;MAX('ID1&amp;5'!K:K)+1&amp;"' AS ID_EXEC, CURRENT_TIMESTAMP() AS TIME_EXEC FROM "&amp;I174),
IF(C174="Caracteres Especiais",+"SELECT '"&amp;UPPER(B174)&amp;"' AS TABELA, '"&amp;UPPER(C174)&amp;"' AS TIPOLOGIA_TESTE,'"&amp;D174&amp;"' AS TABELA_LT,'N/A' AS TABELA_SIMUL,'"&amp;F174&amp;"' AS CAMPO, "&amp;"'${ref_date}' AS REF_DATE, COUNT(*) AS NUM_REG, SUM(IF(REGEXP_REPLACE(TRIM(CAST(X."&amp;F174&amp;" AS STRING)),'[^a-zA-Z0-9_\\s]','') &lt;&gt;TRIM(CAST(X."&amp;F174&amp;" AS STRING)),1,0)) AS NUM_REG_DIF,'"&amp;MAX('ID1&amp;5'!K:K)+1&amp;"' AS ID_EXEC, CURRENT_TIMESTAMP() AS TIME_EXEC FROM "&amp;I174,
IF(C174="Missings",+"SELECT '"&amp;UPPER(B174)&amp;"' AS TABELA, '"&amp;UPPER(C174)&amp;"' AS TIPOLOGIA_TESTE,'"&amp;D174&amp;"' AS TABELA_LT,'N/A' AS TABELA_SIMUL,'"&amp;F174&amp;"' AS CAMPO, "&amp;"'${ref_date}' AS REF_DATE, COUNT(*) AS NUM_REG, SUM(IF(TRIM(CAST(X."&amp;F174&amp;" AS STRING)) IN ('0000-00-00','0001-01-01','9999-12-31','MISS','00000','99999999999','99999999999.00','99999999999.000000'),1,0)) AS NUM_REG_DIF,'"&amp;MAX('ID1&amp;5'!K:K)+1&amp;"' AS ID_EXEC, CURRENT_TIMESTAMP() AS TIME_EXEC FROM "&amp;I174,
IF(C174="Not applicable",+"SELECT '"&amp;UPPER(B174)&amp;"' AS TABELA, '"&amp;UPPER(C174)&amp;"' AS TIPOLOGIA_TESTE,'"&amp;D174&amp;"' AS TABELA_LT,'N/A' AS TABELA_SIMUL,'"&amp;F174&amp;"' AS CAMPO, "&amp;"'${ref_date}' AS REF_DATE, COUNT(*) AS NUM_REG, SUM(IF(TRIM(CAST(X."&amp;F174&amp;" AS STRING)) IN ('N/A','11111111111','11111111111.00','11111111111.000000','1111-11-11'),1,0)) AS NUM_REG_DIF,'"&amp;MAX('ID1&amp;5'!K:K)+1&amp;"' AS ID_EXEC, CURRENT_TIMESTAMP() AS TIME_EXEC FROM "&amp;I174,
IF(C174="Valores extremos",+"SELECT '"&amp;UPPER(B174)&amp;"' AS TABELA, '"&amp;UPPER(C174)&amp;"' AS TIPOLOGIA_TESTE,'"&amp;D174&amp;"' AS TABELA_LT,'N/A' AS TABELA_SIMUL,'"&amp;F174&amp;"' AS CAMPO, "&amp;"'${ref_date}' AS REF_DATE, CAST(MIN("&amp;F174&amp;") AS STRING) AS VALOR_MIN, CAST(MAX("&amp;F174&amp;") AS STRING) AS VALOR_MAX,'"&amp;MAX('ID1&amp;5'!K:K)+1&amp;"' AS ID_EXEC, CURRENT_TIMESTAMP() AS TIME_EXEC FROM "&amp;MID(I174,1,LEN(I174)-2)&amp;" AND CAST("&amp;F174&amp;"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TABELA_SIMUL,'ACCMLTD_CHNGS_FV_CR_INSTRMNT' AS CAMPO, '${ref_date}' AS REF_DATE, COUNT(*) AS NUM_REG, SUM(IF(COALESCE(CAST(X.ACCMLTD_CHNGS_FV_CR_INSTRMNT AS STRING),'')&lt;&gt;COALESCE(CAST(Y.ACCMLTD_CHNGS_FV_CR_INSTRMNT_SIMUL AS STRING),'') OR (X.ACCMLTD_CHNGS_FV_CR_INSTRMNT IS NULL AND Y.ACCMLTD_CHNGS_FV_CR_INSTRMNT_SIMUL IS NOT NULL ) OR (X.ACCMLTD_CHNGS_FV_CR_INSTRMNT IS NOT NULL AND Y.ACCMLTD_CHNGS_FV_CR_INSTRMNT_SIMUL IS NULL),1,0)) AS NUM_REG_DIF,'1' AS ID_EXEC, CURRENT_TIMESTAMP() AS TIME_EXEC FROM (SELECT instrmnt_id, ACCMLTD_CHNGS_FV_CR_INSTRMNT FROM CD_LOAN_TAPES_BCE.LT002_INSTRUMENT WHERE ref_date='${ref_date}' AND nome_perimetro='Individual Corporativo' AND segmento='ESTR' AND ambito='PM' AND entidade='00100')X INNER JOIN (SELECT instrmnt_id AS instrmnt_id_SIMUL, ACCMLTD_CHNGS_FV_CR_INSTRMNT AS ACCMLTD_CHNGS_FV_CR_INSTRMNT_SIMUL FROM BU_LOANTAPE_WORK.LT002_INSTRUMENT WHERE ref_date='${ref_date}' AND nome_perimetro='Individual Corporativo' AND segmento='ESTR' AND ambito='PM' AND entidade='00100')Y ON X.INSTRMNT_ID=Y.INSTRMNT_ID_SIMUL</v>
      </c>
      <c r="M174" s="36" t="str">
        <f t="shared" si="2"/>
        <v>UNION ALL SELECT 'INSTRUMENT' AS TABELA, 'COERÊNCIA' AS TIPOLOGIA_TESTE,'CD_LOAN_TAPES_BCE.LT002_INSTRUMENT' AS TABELA_LT,'BU_LOANTAPE_WORK.LT002_INSTRUMENT' AS TABELA_SIMUL,'ACCMLTD_CHNGS_FV_CR_INSTRMNT' AS CAMPO, '${ref_date}' AS REF_DATE, COUNT(*) AS NUM_REG, SUM(IF(COALESCE(CAST(X.ACCMLTD_CHNGS_FV_CR_INSTRMNT AS STRING),'')&lt;&gt;COALESCE(CAST(Y.ACCMLTD_CHNGS_FV_CR_INSTRMNT_SIMUL AS STRING),'') OR (X.ACCMLTD_CHNGS_FV_CR_INSTRMNT IS NULL AND Y.ACCMLTD_CHNGS_FV_CR_INSTRMNT_SIMUL IS NOT NULL ) OR (X.ACCMLTD_CHNGS_FV_CR_INSTRMNT IS NOT NULL AND Y.ACCMLTD_CHNGS_FV_CR_INSTRMNT_SIMUL IS NULL),1,0)) AS NUM_REG_DIF,'1' AS ID_EXEC, CURRENT_TIMESTAMP() AS TIME_EXEC FROM (SELECT instrmnt_id, ACCMLTD_CHNGS_FV_CR_INSTRMNT FROM CD_LOAN_TAPES_BCE.LT002_INSTRUMENT WHERE ref_date='${ref_date}' AND nome_perimetro='Individual Corporativo' AND segmento='ESTR' AND ambito='PM' AND entidade='00100')X INNER JOIN (SELECT instrmnt_id AS instrmnt_id_SIMUL, ACCMLTD_CHNGS_FV_CR_INSTRMNT AS ACCMLTD_CHNGS_FV_CR_INSTRMNT_SIMUL FROM BU_LOANTAPE_WORK.LT002_INSTRUMENT WHERE ref_date='${ref_date}' AND nome_perimetro='Individual Corporativo' AND segmento='ESTR' AND ambito='PM' AND entidade='00100')Y ON X.INSTRMNT_ID=Y.INSTRMNT_ID_SIMUL</v>
      </c>
      <c r="N174" s="38" t="s">
        <v>46</v>
      </c>
    </row>
    <row r="175" spans="2:14" hidden="1">
      <c r="B175" s="34" t="s">
        <v>126</v>
      </c>
      <c r="C175" s="34" t="s">
        <v>5</v>
      </c>
      <c r="D175" s="34" t="str">
        <f>+UPPER('0. Instruções'!$D$35&amp;"."&amp;VLOOKUP(B175,'0. Instruções'!$C$27:$D$32,2,FALSE))</f>
        <v>CD_LOAN_TAPES_BCE.LT002_INSTRUMENT</v>
      </c>
      <c r="E175" s="34" t="str">
        <f>+UPPER('0. Instruções'!$D$36&amp;"."&amp;VLOOKUP(B175,'0. Instruções'!$C$27:$E$32,3,FALSE))</f>
        <v>BU_LOANTAPE_WORK.LT002_INSTRUMENT</v>
      </c>
      <c r="F175" s="34" t="s">
        <v>102</v>
      </c>
      <c r="G175" s="34"/>
      <c r="H175" s="34" t="s">
        <v>89</v>
      </c>
      <c r="I175" s="34" t="str">
        <f>"(SELECT "&amp;VLOOKUP(B175,'0. Instruções'!$C$27:$G$32,4,FALSE)&amp;", "&amp;F175&amp;" FROM "&amp;D175&amp;" WHERE "&amp;'0. Instruções'!$D$42&amp;")X"</f>
        <v>(SELECT instrmnt_id, ACCNTNG_CLSSFCTN FROM CD_LOAN_TAPES_BCE.LT002_INSTRUMENT WHERE ref_date='${ref_date}' AND nome_perimetro='Individual Corporativo' AND segmento='ESTR' AND ambito='PM' AND entidade='00100')X</v>
      </c>
      <c r="J175" s="34" t="str">
        <f>"(SELECT "&amp;VLOOKUP(B175,'0. Instruções'!$C$27:$G$32,4,FALSE)&amp;" AS "&amp;VLOOKUP(B175,'0. Instruções'!$C$27:$G$32,4,FALSE)&amp;"_SIMUL, "&amp;F175&amp;" AS "&amp;F175&amp;"_SIMUL FROM "&amp;E175&amp;" WHERE "&amp;'0. Instruções'!$D$43&amp;")Y"</f>
        <v>(SELECT instrmnt_id AS instrmnt_id_SIMUL, ACCNTNG_CLSSFCTN AS ACCNTNG_CLSSFCTN_SIMUL FROM BU_LOANTAPE_WORK.LT002_INSTRUMENT WHERE ref_date='${ref_date}' AND nome_perimetro='Individual Corporativo' AND segmento='ESTR' AND ambito='PM' AND entidade='00100')Y</v>
      </c>
      <c r="K175" s="35" t="str">
        <f>+UPPER("ON X."&amp;VLOOKUP(B175,'0. Instruções'!$C$27:$G$32,4,FALSE)&amp;"=Y."&amp;VLOOKUP(B175,'0. Instruções'!$C$27:$G$32,4,FALSE)&amp;"_SIMUL")</f>
        <v>ON X.INSTRMNT_ID=Y.INSTRMNT_ID_SIMUL</v>
      </c>
      <c r="L175" s="35" t="str">
        <f>+IF(C175="Coerência", +IF(LEFT(G175,5)="FLOAT","SELECT '"&amp;UPPER(B175)&amp;"' AS TABELA, '"&amp;UPPER(C175)&amp;"' AS TIPOLOGIA_TESTE,'"&amp;D175&amp;"' AS TABELA_LT,'"&amp;E175&amp;"' AS TABELA_SIMUL,'"&amp;F175&amp;"' AS CAMPO, "&amp;"'${ref_date}' AS REF_DATE, COUNT(*) AS NUM_REG, SUM(IF((ABS(COALESCE(CAST(X."&amp;F175&amp;" AS DECIMAL(18,6)),0)-COALESCE(CAST(Y."&amp;F175&amp;"_SIMUL AS DECIMAL(18,6)),0))&gt;0.000001) OR (X."&amp;F175&amp;" IS NULL AND Y."&amp;F175&amp;"_SIMUL IS NOT NULL ) OR (X."&amp;F175&amp;" IS NOT NULL AND Y."&amp;F175&amp;"_SIMUL IS NULL),1,0)) AS NUM_REG_DIF,'"&amp;MAX('ID1&amp;5'!K:K)+1&amp;"' AS ID_EXEC, CURRENT_TIMESTAMP() AS TIME_EXEC FROM "&amp;I175&amp;" INNER JOIN "&amp;J175&amp;" "&amp;K175,"SELECT '"&amp;UPPER(B175)&amp;"' AS TABELA, '"&amp;UPPER(C175)&amp;"' AS TIPOLOGIA_TESTE,'"&amp;D175&amp;"' AS TABELA_LT,'"&amp;E175&amp;"' AS TABELA_SIMUL,'"&amp;F175&amp;"' AS CAMPO, "&amp;"'${ref_date}' AS REF_DATE, COUNT(*) AS NUM_REG, SUM(IF(COALESCE(CAST(X."&amp;F175&amp;" AS STRING),'')&lt;&gt;COALESCE(CAST(Y."&amp;F175&amp;"_SIMUL AS STRING),'') OR (X."&amp;F175&amp;" IS NULL AND Y."&amp;F175&amp;"_SIMUL IS NOT NULL ) OR (X."&amp;F175&amp;" IS NOT NULL AND Y."&amp;F175&amp;"_SIMUL IS NULL),1,0)) AS NUM_REG_DIF,'"&amp;MAX('ID1&amp;5'!L:L)+1&amp;"' AS ID_EXEC, CURRENT_TIMESTAMP() AS TIME_EXEC FROM "&amp;I175&amp;" INNER JOIN "&amp;J175&amp;" "&amp;K175),
IF(C175="Validade",+IF(G175="Code List","SELECT '"&amp;UPPER(B175)&amp;"' AS TABELA, '"&amp;UPPER(C175)&amp;"' AS TIPOLOGIA_TESTE,'"&amp;D175&amp;"' AS TABELA_LT,'N/A' AS TABELA_SIMUL,'"&amp;F175&amp;"' AS CAMPO, "&amp;"'${ref_date}' AS REF_DATE, COUNT(*) AS NUM_REG, SUM(IF(TRIM(CAST(X."&amp;F175&amp;" AS STRING))='' OR TRIM(CAST(X."&amp;F175&amp;" AS STRING)) IS NULL OR CAST(X."&amp;F175&amp;" AS STRING) NOT "&amp;H175&amp;",1,0)) AS NUM_REG_DIF,'"&amp;MAX('ID1&amp;5'!K:K)+1&amp;"' AS ID_EXEC, CURRENT_TIMESTAMP() AS TIME_EXEC FROM "&amp;I175,"SELECT '"&amp;UPPER(B175)&amp;"' AS TABELA, '"&amp;UPPER(C175)&amp;"' AS TIPOLOGIA_TESTE,'"&amp;D175&amp;"' AS TABELA_LT,'N/A' AS TABELA_SIMUL,'"&amp;F175&amp;"' AS CAMPO, "&amp;"'${ref_date}' AS REF_DATE, COUNT(*) AS NUM_REG, SUM(IF(TRIM(CAST(X."&amp;F175&amp;" AS STRING))='' OR TRIM(CAST(X."&amp;F175&amp;" AS STRING)) IS NULL,1,0)) AS NUM_REG_DIF,'"&amp;MAX('ID1&amp;5'!K:K)+1&amp;"' AS ID_EXEC, CURRENT_TIMESTAMP() AS TIME_EXEC FROM "&amp;I175),
IF(C175="Caracteres Especiais",+"SELECT '"&amp;UPPER(B175)&amp;"' AS TABELA, '"&amp;UPPER(C175)&amp;"' AS TIPOLOGIA_TESTE,'"&amp;D175&amp;"' AS TABELA_LT,'N/A' AS TABELA_SIMUL,'"&amp;F175&amp;"' AS CAMPO, "&amp;"'${ref_date}' AS REF_DATE, COUNT(*) AS NUM_REG, SUM(IF(REGEXP_REPLACE(TRIM(CAST(X."&amp;F175&amp;" AS STRING)),'[^a-zA-Z0-9_\\s]','') &lt;&gt;TRIM(CAST(X."&amp;F175&amp;" AS STRING)),1,0)) AS NUM_REG_DIF,'"&amp;MAX('ID1&amp;5'!K:K)+1&amp;"' AS ID_EXEC, CURRENT_TIMESTAMP() AS TIME_EXEC FROM "&amp;I175,
IF(C175="Missings",+"SELECT '"&amp;UPPER(B175)&amp;"' AS TABELA, '"&amp;UPPER(C175)&amp;"' AS TIPOLOGIA_TESTE,'"&amp;D175&amp;"' AS TABELA_LT,'N/A' AS TABELA_SIMUL,'"&amp;F175&amp;"' AS CAMPO, "&amp;"'${ref_date}' AS REF_DATE, COUNT(*) AS NUM_REG, SUM(IF(TRIM(CAST(X."&amp;F175&amp;" AS STRING)) IN ('0000-00-00','0001-01-01','9999-12-31','MISS','00000','99999999999','99999999999.00','99999999999.000000'),1,0)) AS NUM_REG_DIF,'"&amp;MAX('ID1&amp;5'!K:K)+1&amp;"' AS ID_EXEC, CURRENT_TIMESTAMP() AS TIME_EXEC FROM "&amp;I175,
IF(C175="Not applicable",+"SELECT '"&amp;UPPER(B175)&amp;"' AS TABELA, '"&amp;UPPER(C175)&amp;"' AS TIPOLOGIA_TESTE,'"&amp;D175&amp;"' AS TABELA_LT,'N/A' AS TABELA_SIMUL,'"&amp;F175&amp;"' AS CAMPO, "&amp;"'${ref_date}' AS REF_DATE, COUNT(*) AS NUM_REG, SUM(IF(TRIM(CAST(X."&amp;F175&amp;" AS STRING)) IN ('N/A','11111111111','11111111111.00','11111111111.000000','1111-11-11'),1,0)) AS NUM_REG_DIF,'"&amp;MAX('ID1&amp;5'!K:K)+1&amp;"' AS ID_EXEC, CURRENT_TIMESTAMP() AS TIME_EXEC FROM "&amp;I175,
IF(C175="Valores extremos",+"SELECT '"&amp;UPPER(B175)&amp;"' AS TABELA, '"&amp;UPPER(C175)&amp;"' AS TIPOLOGIA_TESTE,'"&amp;D175&amp;"' AS TABELA_LT,'N/A' AS TABELA_SIMUL,'"&amp;F175&amp;"' AS CAMPO, "&amp;"'${ref_date}' AS REF_DATE, CAST(MIN("&amp;F175&amp;") AS STRING) AS VALOR_MIN, CAST(MAX("&amp;F175&amp;") AS STRING) AS VALOR_MAX,'"&amp;MAX('ID1&amp;5'!K:K)+1&amp;"' AS ID_EXEC, CURRENT_TIMESTAMP() AS TIME_EXEC FROM "&amp;MID(I175,1,LEN(I175)-2)&amp;" AND CAST("&amp;F175&amp;"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TABELA_SIMUL,'ACCNTNG_CLSSFCTN' AS CAMPO, '${ref_date}' AS REF_DATE, COUNT(*) AS NUM_REG, SUM(IF(COALESCE(CAST(X.ACCNTNG_CLSSFCTN AS STRING),'')&lt;&gt;COALESCE(CAST(Y.ACCNTNG_CLSSFCTN_SIMUL AS STRING),'') OR (X.ACCNTNG_CLSSFCTN IS NULL AND Y.ACCNTNG_CLSSFCTN_SIMUL IS NOT NULL ) OR (X.ACCNTNG_CLSSFCTN IS NOT NULL AND Y.ACCNTNG_CLSSFCTN_SIMUL IS NULL),1,0)) AS NUM_REG_DIF,'1' AS ID_EXEC, CURRENT_TIMESTAMP() AS TIME_EXEC FROM (SELECT instrmnt_id, ACCNTNG_CLSSFCTN FROM CD_LOAN_TAPES_BCE.LT002_INSTRUMENT WHERE ref_date='${ref_date}' AND nome_perimetro='Individual Corporativo' AND segmento='ESTR' AND ambito='PM' AND entidade='00100')X INNER JOIN (SELECT instrmnt_id AS instrmnt_id_SIMUL, ACCNTNG_CLSSFCTN AS ACCNTNG_CLSSFCTN_SIMUL FROM BU_LOANTAPE_WORK.LT002_INSTRUMENT WHERE ref_date='${ref_date}' AND nome_perimetro='Individual Corporativo' AND segmento='ESTR' AND ambito='PM' AND entidade='00100')Y ON X.INSTRMNT_ID=Y.INSTRMNT_ID_SIMUL</v>
      </c>
      <c r="M175" s="36" t="str">
        <f t="shared" si="2"/>
        <v>UNION ALL SELECT 'INSTRUMENT' AS TABELA, 'COERÊNCIA' AS TIPOLOGIA_TESTE,'CD_LOAN_TAPES_BCE.LT002_INSTRUMENT' AS TABELA_LT,'BU_LOANTAPE_WORK.LT002_INSTRUMENT' AS TABELA_SIMUL,'ACCNTNG_CLSSFCTN' AS CAMPO, '${ref_date}' AS REF_DATE, COUNT(*) AS NUM_REG, SUM(IF(COALESCE(CAST(X.ACCNTNG_CLSSFCTN AS STRING),'')&lt;&gt;COALESCE(CAST(Y.ACCNTNG_CLSSFCTN_SIMUL AS STRING),'') OR (X.ACCNTNG_CLSSFCTN IS NULL AND Y.ACCNTNG_CLSSFCTN_SIMUL IS NOT NULL ) OR (X.ACCNTNG_CLSSFCTN IS NOT NULL AND Y.ACCNTNG_CLSSFCTN_SIMUL IS NULL),1,0)) AS NUM_REG_DIF,'1' AS ID_EXEC, CURRENT_TIMESTAMP() AS TIME_EXEC FROM (SELECT instrmnt_id, ACCNTNG_CLSSFCTN FROM CD_LOAN_TAPES_BCE.LT002_INSTRUMENT WHERE ref_date='${ref_date}' AND nome_perimetro='Individual Corporativo' AND segmento='ESTR' AND ambito='PM' AND entidade='00100')X INNER JOIN (SELECT instrmnt_id AS instrmnt_id_SIMUL, ACCNTNG_CLSSFCTN AS ACCNTNG_CLSSFCTN_SIMUL FROM BU_LOANTAPE_WORK.LT002_INSTRUMENT WHERE ref_date='${ref_date}' AND nome_perimetro='Individual Corporativo' AND segmento='ESTR' AND ambito='PM' AND entidade='00100')Y ON X.INSTRMNT_ID=Y.INSTRMNT_ID_SIMUL</v>
      </c>
      <c r="N175" s="38" t="s">
        <v>46</v>
      </c>
    </row>
    <row r="176" spans="2:14" hidden="1">
      <c r="B176" s="34" t="s">
        <v>126</v>
      </c>
      <c r="C176" s="34" t="s">
        <v>5</v>
      </c>
      <c r="D176" s="34" t="str">
        <f>+UPPER('0. Instruções'!$D$35&amp;"."&amp;VLOOKUP(B176,'0. Instruções'!$C$27:$D$32,2,FALSE))</f>
        <v>CD_LOAN_TAPES_BCE.LT002_INSTRUMENT</v>
      </c>
      <c r="E176" s="34" t="str">
        <f>+UPPER('0. Instruções'!$D$36&amp;"."&amp;VLOOKUP(B176,'0. Instruções'!$C$27:$E$32,3,FALSE))</f>
        <v>BU_LOANTAPE_WORK.LT002_INSTRUMENT</v>
      </c>
      <c r="F176" s="34" t="s">
        <v>466</v>
      </c>
      <c r="G176" s="34"/>
      <c r="H176" s="34" t="s">
        <v>92</v>
      </c>
      <c r="I176" s="34" t="str">
        <f>"(SELECT "&amp;VLOOKUP(B176,'0. Instruções'!$C$27:$G$32,4,FALSE)&amp;", "&amp;F176&amp;" FROM "&amp;D176&amp;" WHERE "&amp;'0. Instruções'!$D$42&amp;")X"</f>
        <v>(SELECT instrmnt_id, ACCRD_INTRST_INSTRMNT FROM CD_LOAN_TAPES_BCE.LT002_INSTRUMENT WHERE ref_date='${ref_date}' AND nome_perimetro='Individual Corporativo' AND segmento='ESTR' AND ambito='PM' AND entidade='00100')X</v>
      </c>
      <c r="J176" s="34" t="str">
        <f>"(SELECT "&amp;VLOOKUP(B176,'0. Instruções'!$C$27:$G$32,4,FALSE)&amp;" AS "&amp;VLOOKUP(B176,'0. Instruções'!$C$27:$G$32,4,FALSE)&amp;"_SIMUL, "&amp;F176&amp;" AS "&amp;F176&amp;"_SIMUL FROM "&amp;E176&amp;" WHERE "&amp;'0. Instruções'!$D$43&amp;")Y"</f>
        <v>(SELECT instrmnt_id AS instrmnt_id_SIMUL, ACCRD_INTRST_INSTRMNT AS ACCRD_INTRST_INSTRMNT_SIMUL FROM BU_LOANTAPE_WORK.LT002_INSTRUMENT WHERE ref_date='${ref_date}' AND nome_perimetro='Individual Corporativo' AND segmento='ESTR' AND ambito='PM' AND entidade='00100')Y</v>
      </c>
      <c r="K176" s="35" t="str">
        <f>+UPPER("ON X."&amp;VLOOKUP(B176,'0. Instruções'!$C$27:$G$32,4,FALSE)&amp;"=Y."&amp;VLOOKUP(B176,'0. Instruções'!$C$27:$G$32,4,FALSE)&amp;"_SIMUL")</f>
        <v>ON X.INSTRMNT_ID=Y.INSTRMNT_ID_SIMUL</v>
      </c>
      <c r="L176" s="35" t="str">
        <f>+IF(C176="Coerência", +IF(LEFT(G176,5)="FLOAT","SELECT '"&amp;UPPER(B176)&amp;"' AS TABELA, '"&amp;UPPER(C176)&amp;"' AS TIPOLOGIA_TESTE,'"&amp;D176&amp;"' AS TABELA_LT,'"&amp;E176&amp;"' AS TABELA_SIMUL,'"&amp;F176&amp;"' AS CAMPO, "&amp;"'${ref_date}' AS REF_DATE, COUNT(*) AS NUM_REG, SUM(IF((ABS(COALESCE(CAST(X."&amp;F176&amp;" AS DECIMAL(18,6)),0)-COALESCE(CAST(Y."&amp;F176&amp;"_SIMUL AS DECIMAL(18,6)),0))&gt;0.000001) OR (X."&amp;F176&amp;" IS NULL AND Y."&amp;F176&amp;"_SIMUL IS NOT NULL ) OR (X."&amp;F176&amp;" IS NOT NULL AND Y."&amp;F176&amp;"_SIMUL IS NULL),1,0)) AS NUM_REG_DIF,'"&amp;MAX('ID1&amp;5'!K:K)+1&amp;"' AS ID_EXEC, CURRENT_TIMESTAMP() AS TIME_EXEC FROM "&amp;I176&amp;" INNER JOIN "&amp;J176&amp;" "&amp;K176,"SELECT '"&amp;UPPER(B176)&amp;"' AS TABELA, '"&amp;UPPER(C176)&amp;"' AS TIPOLOGIA_TESTE,'"&amp;D176&amp;"' AS TABELA_LT,'"&amp;E176&amp;"' AS TABELA_SIMUL,'"&amp;F176&amp;"' AS CAMPO, "&amp;"'${ref_date}' AS REF_DATE, COUNT(*) AS NUM_REG, SUM(IF(COALESCE(CAST(X."&amp;F176&amp;" AS STRING),'')&lt;&gt;COALESCE(CAST(Y."&amp;F176&amp;"_SIMUL AS STRING),'') OR (X."&amp;F176&amp;" IS NULL AND Y."&amp;F176&amp;"_SIMUL IS NOT NULL ) OR (X."&amp;F176&amp;" IS NOT NULL AND Y."&amp;F176&amp;"_SIMUL IS NULL),1,0)) AS NUM_REG_DIF,'"&amp;MAX('ID1&amp;5'!L:L)+1&amp;"' AS ID_EXEC, CURRENT_TIMESTAMP() AS TIME_EXEC FROM "&amp;I176&amp;" INNER JOIN "&amp;J176&amp;" "&amp;K176),
IF(C176="Validade",+IF(G176="Code List","SELECT '"&amp;UPPER(B176)&amp;"' AS TABELA, '"&amp;UPPER(C176)&amp;"' AS TIPOLOGIA_TESTE,'"&amp;D176&amp;"' AS TABELA_LT,'N/A' AS TABELA_SIMUL,'"&amp;F176&amp;"' AS CAMPO, "&amp;"'${ref_date}' AS REF_DATE, COUNT(*) AS NUM_REG, SUM(IF(TRIM(CAST(X."&amp;F176&amp;" AS STRING))='' OR TRIM(CAST(X."&amp;F176&amp;" AS STRING)) IS NULL OR CAST(X."&amp;F176&amp;" AS STRING) NOT "&amp;H176&amp;",1,0)) AS NUM_REG_DIF,'"&amp;MAX('ID1&amp;5'!K:K)+1&amp;"' AS ID_EXEC, CURRENT_TIMESTAMP() AS TIME_EXEC FROM "&amp;I176,"SELECT '"&amp;UPPER(B176)&amp;"' AS TABELA, '"&amp;UPPER(C176)&amp;"' AS TIPOLOGIA_TESTE,'"&amp;D176&amp;"' AS TABELA_LT,'N/A' AS TABELA_SIMUL,'"&amp;F176&amp;"' AS CAMPO, "&amp;"'${ref_date}' AS REF_DATE, COUNT(*) AS NUM_REG, SUM(IF(TRIM(CAST(X."&amp;F176&amp;" AS STRING))='' OR TRIM(CAST(X."&amp;F176&amp;" AS STRING)) IS NULL,1,0)) AS NUM_REG_DIF,'"&amp;MAX('ID1&amp;5'!K:K)+1&amp;"' AS ID_EXEC, CURRENT_TIMESTAMP() AS TIME_EXEC FROM "&amp;I176),
IF(C176="Caracteres Especiais",+"SELECT '"&amp;UPPER(B176)&amp;"' AS TABELA, '"&amp;UPPER(C176)&amp;"' AS TIPOLOGIA_TESTE,'"&amp;D176&amp;"' AS TABELA_LT,'N/A' AS TABELA_SIMUL,'"&amp;F176&amp;"' AS CAMPO, "&amp;"'${ref_date}' AS REF_DATE, COUNT(*) AS NUM_REG, SUM(IF(REGEXP_REPLACE(TRIM(CAST(X."&amp;F176&amp;" AS STRING)),'[^a-zA-Z0-9_\\s]','') &lt;&gt;TRIM(CAST(X."&amp;F176&amp;" AS STRING)),1,0)) AS NUM_REG_DIF,'"&amp;MAX('ID1&amp;5'!K:K)+1&amp;"' AS ID_EXEC, CURRENT_TIMESTAMP() AS TIME_EXEC FROM "&amp;I176,
IF(C176="Missings",+"SELECT '"&amp;UPPER(B176)&amp;"' AS TABELA, '"&amp;UPPER(C176)&amp;"' AS TIPOLOGIA_TESTE,'"&amp;D176&amp;"' AS TABELA_LT,'N/A' AS TABELA_SIMUL,'"&amp;F176&amp;"' AS CAMPO, "&amp;"'${ref_date}' AS REF_DATE, COUNT(*) AS NUM_REG, SUM(IF(TRIM(CAST(X."&amp;F176&amp;" AS STRING)) IN ('0000-00-00','0001-01-01','9999-12-31','MISS','00000','99999999999','99999999999.00','99999999999.000000'),1,0)) AS NUM_REG_DIF,'"&amp;MAX('ID1&amp;5'!K:K)+1&amp;"' AS ID_EXEC, CURRENT_TIMESTAMP() AS TIME_EXEC FROM "&amp;I176,
IF(C176="Not applicable",+"SELECT '"&amp;UPPER(B176)&amp;"' AS TABELA, '"&amp;UPPER(C176)&amp;"' AS TIPOLOGIA_TESTE,'"&amp;D176&amp;"' AS TABELA_LT,'N/A' AS TABELA_SIMUL,'"&amp;F176&amp;"' AS CAMPO, "&amp;"'${ref_date}' AS REF_DATE, COUNT(*) AS NUM_REG, SUM(IF(TRIM(CAST(X."&amp;F176&amp;" AS STRING)) IN ('N/A','11111111111','11111111111.00','11111111111.000000','1111-11-11'),1,0)) AS NUM_REG_DIF,'"&amp;MAX('ID1&amp;5'!K:K)+1&amp;"' AS ID_EXEC, CURRENT_TIMESTAMP() AS TIME_EXEC FROM "&amp;I176,
IF(C176="Valores extremos",+"SELECT '"&amp;UPPER(B176)&amp;"' AS TABELA, '"&amp;UPPER(C176)&amp;"' AS TIPOLOGIA_TESTE,'"&amp;D176&amp;"' AS TABELA_LT,'N/A' AS TABELA_SIMUL,'"&amp;F176&amp;"' AS CAMPO, "&amp;"'${ref_date}' AS REF_DATE, CAST(MIN("&amp;F176&amp;") AS STRING) AS VALOR_MIN, CAST(MAX("&amp;F176&amp;") AS STRING) AS VALOR_MAX,'"&amp;MAX('ID1&amp;5'!K:K)+1&amp;"' AS ID_EXEC, CURRENT_TIMESTAMP() AS TIME_EXEC FROM "&amp;MID(I176,1,LEN(I176)-2)&amp;" AND CAST("&amp;F176&amp;"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TABELA_SIMUL,'ACCRD_INTRST_INSTRMNT' AS CAMPO, '${ref_date}' AS REF_DATE, COUNT(*) AS NUM_REG, SUM(IF(COALESCE(CAST(X.ACCRD_INTRST_INSTRMNT AS STRING),'')&lt;&gt;COALESCE(CAST(Y.ACCRD_INTRST_INSTRMNT_SIMUL AS STRING),'') OR (X.ACCRD_INTRST_INSTRMNT IS NULL AND Y.ACCRD_INTRST_INSTRMNT_SIMUL IS NOT NULL ) OR (X.ACCRD_INTRST_INSTRMNT IS NOT NULL AND Y.ACCRD_INTRST_INSTRMNT_SIMUL IS NULL),1,0)) AS NUM_REG_DIF,'1' AS ID_EXEC, CURRENT_TIMESTAMP() AS TIME_EXEC FROM (SELECT instrmnt_id, ACCRD_INTRST_INSTRMNT FROM CD_LOAN_TAPES_BCE.LT002_INSTRUMENT WHERE ref_date='${ref_date}' AND nome_perimetro='Individual Corporativo' AND segmento='ESTR' AND ambito='PM' AND entidade='00100')X INNER JOIN (SELECT instrmnt_id AS instrmnt_id_SIMUL, ACCRD_INTRST_INSTRMNT AS ACCRD_INTRST_INSTRMNT_SIMUL FROM BU_LOANTAPE_WORK.LT002_INSTRUMENT WHERE ref_date='${ref_date}' AND nome_perimetro='Individual Corporativo' AND segmento='ESTR' AND ambito='PM' AND entidade='00100')Y ON X.INSTRMNT_ID=Y.INSTRMNT_ID_SIMUL</v>
      </c>
      <c r="M176" s="36" t="str">
        <f t="shared" si="2"/>
        <v>UNION ALL SELECT 'INSTRUMENT' AS TABELA, 'COERÊNCIA' AS TIPOLOGIA_TESTE,'CD_LOAN_TAPES_BCE.LT002_INSTRUMENT' AS TABELA_LT,'BU_LOANTAPE_WORK.LT002_INSTRUMENT' AS TABELA_SIMUL,'ACCRD_INTRST_INSTRMNT' AS CAMPO, '${ref_date}' AS REF_DATE, COUNT(*) AS NUM_REG, SUM(IF(COALESCE(CAST(X.ACCRD_INTRST_INSTRMNT AS STRING),'')&lt;&gt;COALESCE(CAST(Y.ACCRD_INTRST_INSTRMNT_SIMUL AS STRING),'') OR (X.ACCRD_INTRST_INSTRMNT IS NULL AND Y.ACCRD_INTRST_INSTRMNT_SIMUL IS NOT NULL ) OR (X.ACCRD_INTRST_INSTRMNT IS NOT NULL AND Y.ACCRD_INTRST_INSTRMNT_SIMUL IS NULL),1,0)) AS NUM_REG_DIF,'1' AS ID_EXEC, CURRENT_TIMESTAMP() AS TIME_EXEC FROM (SELECT instrmnt_id, ACCRD_INTRST_INSTRMNT FROM CD_LOAN_TAPES_BCE.LT002_INSTRUMENT WHERE ref_date='${ref_date}' AND nome_perimetro='Individual Corporativo' AND segmento='ESTR' AND ambito='PM' AND entidade='00100')X INNER JOIN (SELECT instrmnt_id AS instrmnt_id_SIMUL, ACCRD_INTRST_INSTRMNT AS ACCRD_INTRST_INSTRMNT_SIMUL FROM BU_LOANTAPE_WORK.LT002_INSTRUMENT WHERE ref_date='${ref_date}' AND nome_perimetro='Individual Corporativo' AND segmento='ESTR' AND ambito='PM' AND entidade='00100')Y ON X.INSTRMNT_ID=Y.INSTRMNT_ID_SIMUL</v>
      </c>
      <c r="N176" s="38" t="s">
        <v>46</v>
      </c>
    </row>
    <row r="177" spans="2:14" hidden="1">
      <c r="B177" s="34" t="s">
        <v>126</v>
      </c>
      <c r="C177" s="34" t="s">
        <v>5</v>
      </c>
      <c r="D177" s="34" t="str">
        <f>+UPPER('0. Instruções'!$D$35&amp;"."&amp;VLOOKUP(B177,'0. Instruções'!$C$27:$D$32,2,FALSE))</f>
        <v>CD_LOAN_TAPES_BCE.LT002_INSTRUMENT</v>
      </c>
      <c r="E177" s="34" t="str">
        <f>+UPPER('0. Instruções'!$D$36&amp;"."&amp;VLOOKUP(B177,'0. Instruções'!$C$27:$E$32,3,FALSE))</f>
        <v>BU_LOANTAPE_WORK.LT002_INSTRUMENT</v>
      </c>
      <c r="F177" s="34" t="s">
        <v>467</v>
      </c>
      <c r="G177" s="34"/>
      <c r="H177" s="34" t="s">
        <v>92</v>
      </c>
      <c r="I177" s="34" t="str">
        <f>"(SELECT "&amp;VLOOKUP(B177,'0. Instruções'!$C$27:$G$32,4,FALSE)&amp;", "&amp;F177&amp;" FROM "&amp;D177&amp;" WHERE "&amp;'0. Instruções'!$D$42&amp;")X"</f>
        <v>(SELECT instrmnt_id, AMNT_D_AT_MTRTY FROM CD_LOAN_TAPES_BCE.LT002_INSTRUMENT WHERE ref_date='${ref_date}' AND nome_perimetro='Individual Corporativo' AND segmento='ESTR' AND ambito='PM' AND entidade='00100')X</v>
      </c>
      <c r="J177" s="34" t="str">
        <f>"(SELECT "&amp;VLOOKUP(B177,'0. Instruções'!$C$27:$G$32,4,FALSE)&amp;" AS "&amp;VLOOKUP(B177,'0. Instruções'!$C$27:$G$32,4,FALSE)&amp;"_SIMUL, "&amp;F177&amp;" AS "&amp;F177&amp;"_SIMUL FROM "&amp;E177&amp;" WHERE "&amp;'0. Instruções'!$D$43&amp;")Y"</f>
        <v>(SELECT instrmnt_id AS instrmnt_id_SIMUL, AMNT_D_AT_MTRTY AS AMNT_D_AT_MTRTY_SIMUL FROM BU_LOANTAPE_WORK.LT002_INSTRUMENT WHERE ref_date='${ref_date}' AND nome_perimetro='Individual Corporativo' AND segmento='ESTR' AND ambito='PM' AND entidade='00100')Y</v>
      </c>
      <c r="K177" s="35" t="str">
        <f>+UPPER("ON X."&amp;VLOOKUP(B177,'0. Instruções'!$C$27:$G$32,4,FALSE)&amp;"=Y."&amp;VLOOKUP(B177,'0. Instruções'!$C$27:$G$32,4,FALSE)&amp;"_SIMUL")</f>
        <v>ON X.INSTRMNT_ID=Y.INSTRMNT_ID_SIMUL</v>
      </c>
      <c r="L177" s="35" t="str">
        <f>+IF(C177="Coerência", +IF(LEFT(G177,5)="FLOAT","SELECT '"&amp;UPPER(B177)&amp;"' AS TABELA, '"&amp;UPPER(C177)&amp;"' AS TIPOLOGIA_TESTE,'"&amp;D177&amp;"' AS TABELA_LT,'"&amp;E177&amp;"' AS TABELA_SIMUL,'"&amp;F177&amp;"' AS CAMPO, "&amp;"'${ref_date}' AS REF_DATE, COUNT(*) AS NUM_REG, SUM(IF((ABS(COALESCE(CAST(X."&amp;F177&amp;" AS DECIMAL(18,6)),0)-COALESCE(CAST(Y."&amp;F177&amp;"_SIMUL AS DECIMAL(18,6)),0))&gt;0.000001) OR (X."&amp;F177&amp;" IS NULL AND Y."&amp;F177&amp;"_SIMUL IS NOT NULL ) OR (X."&amp;F177&amp;" IS NOT NULL AND Y."&amp;F177&amp;"_SIMUL IS NULL),1,0)) AS NUM_REG_DIF,'"&amp;MAX('ID1&amp;5'!K:K)+1&amp;"' AS ID_EXEC, CURRENT_TIMESTAMP() AS TIME_EXEC FROM "&amp;I177&amp;" INNER JOIN "&amp;J177&amp;" "&amp;K177,"SELECT '"&amp;UPPER(B177)&amp;"' AS TABELA, '"&amp;UPPER(C177)&amp;"' AS TIPOLOGIA_TESTE,'"&amp;D177&amp;"' AS TABELA_LT,'"&amp;E177&amp;"' AS TABELA_SIMUL,'"&amp;F177&amp;"' AS CAMPO, "&amp;"'${ref_date}' AS REF_DATE, COUNT(*) AS NUM_REG, SUM(IF(COALESCE(CAST(X."&amp;F177&amp;" AS STRING),'')&lt;&gt;COALESCE(CAST(Y."&amp;F177&amp;"_SIMUL AS STRING),'') OR (X."&amp;F177&amp;" IS NULL AND Y."&amp;F177&amp;"_SIMUL IS NOT NULL ) OR (X."&amp;F177&amp;" IS NOT NULL AND Y."&amp;F177&amp;"_SIMUL IS NULL),1,0)) AS NUM_REG_DIF,'"&amp;MAX('ID1&amp;5'!L:L)+1&amp;"' AS ID_EXEC, CURRENT_TIMESTAMP() AS TIME_EXEC FROM "&amp;I177&amp;" INNER JOIN "&amp;J177&amp;" "&amp;K177),
IF(C177="Validade",+IF(G177="Code List","SELECT '"&amp;UPPER(B177)&amp;"' AS TABELA, '"&amp;UPPER(C177)&amp;"' AS TIPOLOGIA_TESTE,'"&amp;D177&amp;"' AS TABELA_LT,'N/A' AS TABELA_SIMUL,'"&amp;F177&amp;"' AS CAMPO, "&amp;"'${ref_date}' AS REF_DATE, COUNT(*) AS NUM_REG, SUM(IF(TRIM(CAST(X."&amp;F177&amp;" AS STRING))='' OR TRIM(CAST(X."&amp;F177&amp;" AS STRING)) IS NULL OR CAST(X."&amp;F177&amp;" AS STRING) NOT "&amp;H177&amp;",1,0)) AS NUM_REG_DIF,'"&amp;MAX('ID1&amp;5'!K:K)+1&amp;"' AS ID_EXEC, CURRENT_TIMESTAMP() AS TIME_EXEC FROM "&amp;I177,"SELECT '"&amp;UPPER(B177)&amp;"' AS TABELA, '"&amp;UPPER(C177)&amp;"' AS TIPOLOGIA_TESTE,'"&amp;D177&amp;"' AS TABELA_LT,'N/A' AS TABELA_SIMUL,'"&amp;F177&amp;"' AS CAMPO, "&amp;"'${ref_date}' AS REF_DATE, COUNT(*) AS NUM_REG, SUM(IF(TRIM(CAST(X."&amp;F177&amp;" AS STRING))='' OR TRIM(CAST(X."&amp;F177&amp;" AS STRING)) IS NULL,1,0)) AS NUM_REG_DIF,'"&amp;MAX('ID1&amp;5'!K:K)+1&amp;"' AS ID_EXEC, CURRENT_TIMESTAMP() AS TIME_EXEC FROM "&amp;I177),
IF(C177="Caracteres Especiais",+"SELECT '"&amp;UPPER(B177)&amp;"' AS TABELA, '"&amp;UPPER(C177)&amp;"' AS TIPOLOGIA_TESTE,'"&amp;D177&amp;"' AS TABELA_LT,'N/A' AS TABELA_SIMUL,'"&amp;F177&amp;"' AS CAMPO, "&amp;"'${ref_date}' AS REF_DATE, COUNT(*) AS NUM_REG, SUM(IF(REGEXP_REPLACE(TRIM(CAST(X."&amp;F177&amp;" AS STRING)),'[^a-zA-Z0-9_\\s]','') &lt;&gt;TRIM(CAST(X."&amp;F177&amp;" AS STRING)),1,0)) AS NUM_REG_DIF,'"&amp;MAX('ID1&amp;5'!K:K)+1&amp;"' AS ID_EXEC, CURRENT_TIMESTAMP() AS TIME_EXEC FROM "&amp;I177,
IF(C177="Missings",+"SELECT '"&amp;UPPER(B177)&amp;"' AS TABELA, '"&amp;UPPER(C177)&amp;"' AS TIPOLOGIA_TESTE,'"&amp;D177&amp;"' AS TABELA_LT,'N/A' AS TABELA_SIMUL,'"&amp;F177&amp;"' AS CAMPO, "&amp;"'${ref_date}' AS REF_DATE, COUNT(*) AS NUM_REG, SUM(IF(TRIM(CAST(X."&amp;F177&amp;" AS STRING)) IN ('0000-00-00','0001-01-01','9999-12-31','MISS','00000','99999999999','99999999999.00','99999999999.000000'),1,0)) AS NUM_REG_DIF,'"&amp;MAX('ID1&amp;5'!K:K)+1&amp;"' AS ID_EXEC, CURRENT_TIMESTAMP() AS TIME_EXEC FROM "&amp;I177,
IF(C177="Not applicable",+"SELECT '"&amp;UPPER(B177)&amp;"' AS TABELA, '"&amp;UPPER(C177)&amp;"' AS TIPOLOGIA_TESTE,'"&amp;D177&amp;"' AS TABELA_LT,'N/A' AS TABELA_SIMUL,'"&amp;F177&amp;"' AS CAMPO, "&amp;"'${ref_date}' AS REF_DATE, COUNT(*) AS NUM_REG, SUM(IF(TRIM(CAST(X."&amp;F177&amp;" AS STRING)) IN ('N/A','11111111111','11111111111.00','11111111111.000000','1111-11-11'),1,0)) AS NUM_REG_DIF,'"&amp;MAX('ID1&amp;5'!K:K)+1&amp;"' AS ID_EXEC, CURRENT_TIMESTAMP() AS TIME_EXEC FROM "&amp;I177,
IF(C177="Valores extremos",+"SELECT '"&amp;UPPER(B177)&amp;"' AS TABELA, '"&amp;UPPER(C177)&amp;"' AS TIPOLOGIA_TESTE,'"&amp;D177&amp;"' AS TABELA_LT,'N/A' AS TABELA_SIMUL,'"&amp;F177&amp;"' AS CAMPO, "&amp;"'${ref_date}' AS REF_DATE, CAST(MIN("&amp;F177&amp;") AS STRING) AS VALOR_MIN, CAST(MAX("&amp;F177&amp;") AS STRING) AS VALOR_MAX,'"&amp;MAX('ID1&amp;5'!K:K)+1&amp;"' AS ID_EXEC, CURRENT_TIMESTAMP() AS TIME_EXEC FROM "&amp;MID(I177,1,LEN(I177)-2)&amp;" AND CAST("&amp;F177&amp;"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TABELA_SIMUL,'AMNT_D_AT_MTRTY' AS CAMPO, '${ref_date}' AS REF_DATE, COUNT(*) AS NUM_REG, SUM(IF(COALESCE(CAST(X.AMNT_D_AT_MTRTY AS STRING),'')&lt;&gt;COALESCE(CAST(Y.AMNT_D_AT_MTRTY_SIMUL AS STRING),'') OR (X.AMNT_D_AT_MTRTY IS NULL AND Y.AMNT_D_AT_MTRTY_SIMUL IS NOT NULL ) OR (X.AMNT_D_AT_MTRTY IS NOT NULL AND Y.AMNT_D_AT_MTRTY_SIMUL IS NULL),1,0)) AS NUM_REG_DIF,'1' AS ID_EXEC, CURRENT_TIMESTAMP() AS TIME_EXEC FROM (SELECT instrmnt_id, AMNT_D_AT_MTRTY FROM CD_LOAN_TAPES_BCE.LT002_INSTRUMENT WHERE ref_date='${ref_date}' AND nome_perimetro='Individual Corporativo' AND segmento='ESTR' AND ambito='PM' AND entidade='00100')X INNER JOIN (SELECT instrmnt_id AS instrmnt_id_SIMUL, AMNT_D_AT_MTRTY AS AMNT_D_AT_MTRTY_SIMUL FROM BU_LOANTAPE_WORK.LT002_INSTRUMENT WHERE ref_date='${ref_date}' AND nome_perimetro='Individual Corporativo' AND segmento='ESTR' AND ambito='PM' AND entidade='00100')Y ON X.INSTRMNT_ID=Y.INSTRMNT_ID_SIMUL</v>
      </c>
      <c r="M177" s="36" t="str">
        <f t="shared" si="2"/>
        <v>UNION ALL SELECT 'INSTRUMENT' AS TABELA, 'COERÊNCIA' AS TIPOLOGIA_TESTE,'CD_LOAN_TAPES_BCE.LT002_INSTRUMENT' AS TABELA_LT,'BU_LOANTAPE_WORK.LT002_INSTRUMENT' AS TABELA_SIMUL,'AMNT_D_AT_MTRTY' AS CAMPO, '${ref_date}' AS REF_DATE, COUNT(*) AS NUM_REG, SUM(IF(COALESCE(CAST(X.AMNT_D_AT_MTRTY AS STRING),'')&lt;&gt;COALESCE(CAST(Y.AMNT_D_AT_MTRTY_SIMUL AS STRING),'') OR (X.AMNT_D_AT_MTRTY IS NULL AND Y.AMNT_D_AT_MTRTY_SIMUL IS NOT NULL ) OR (X.AMNT_D_AT_MTRTY IS NOT NULL AND Y.AMNT_D_AT_MTRTY_SIMUL IS NULL),1,0)) AS NUM_REG_DIF,'1' AS ID_EXEC, CURRENT_TIMESTAMP() AS TIME_EXEC FROM (SELECT instrmnt_id, AMNT_D_AT_MTRTY FROM CD_LOAN_TAPES_BCE.LT002_INSTRUMENT WHERE ref_date='${ref_date}' AND nome_perimetro='Individual Corporativo' AND segmento='ESTR' AND ambito='PM' AND entidade='00100')X INNER JOIN (SELECT instrmnt_id AS instrmnt_id_SIMUL, AMNT_D_AT_MTRTY AS AMNT_D_AT_MTRTY_SIMUL FROM BU_LOANTAPE_WORK.LT002_INSTRUMENT WHERE ref_date='${ref_date}' AND nome_perimetro='Individual Corporativo' AND segmento='ESTR' AND ambito='PM' AND entidade='00100')Y ON X.INSTRMNT_ID=Y.INSTRMNT_ID_SIMUL</v>
      </c>
      <c r="N177" s="38" t="s">
        <v>46</v>
      </c>
    </row>
    <row r="178" spans="2:14" hidden="1">
      <c r="B178" s="34" t="s">
        <v>126</v>
      </c>
      <c r="C178" s="34" t="s">
        <v>5</v>
      </c>
      <c r="D178" s="34" t="str">
        <f>+UPPER('0. Instruções'!$D$35&amp;"."&amp;VLOOKUP(B178,'0. Instruções'!$C$27:$D$32,2,FALSE))</f>
        <v>CD_LOAN_TAPES_BCE.LT002_INSTRUMENT</v>
      </c>
      <c r="E178" s="34" t="str">
        <f>+UPPER('0. Instruções'!$D$36&amp;"."&amp;VLOOKUP(B178,'0. Instruções'!$C$27:$E$32,3,FALSE))</f>
        <v>BU_LOANTAPE_WORK.LT002_INSTRUMENT</v>
      </c>
      <c r="F178" s="34" t="s">
        <v>468</v>
      </c>
      <c r="G178" s="34"/>
      <c r="H178" s="34" t="s">
        <v>91</v>
      </c>
      <c r="I178" s="34" t="str">
        <f>"(SELECT "&amp;VLOOKUP(B178,'0. Instruções'!$C$27:$G$32,4,FALSE)&amp;", "&amp;F178&amp;" FROM "&amp;D178&amp;" WHERE "&amp;'0. Instruções'!$D$42&amp;")X"</f>
        <v>(SELECT instrmnt_id, CCF FROM CD_LOAN_TAPES_BCE.LT002_INSTRUMENT WHERE ref_date='${ref_date}' AND nome_perimetro='Individual Corporativo' AND segmento='ESTR' AND ambito='PM' AND entidade='00100')X</v>
      </c>
      <c r="J178" s="34" t="str">
        <f>"(SELECT "&amp;VLOOKUP(B178,'0. Instruções'!$C$27:$G$32,4,FALSE)&amp;" AS "&amp;VLOOKUP(B178,'0. Instruções'!$C$27:$G$32,4,FALSE)&amp;"_SIMUL, "&amp;F178&amp;" AS "&amp;F178&amp;"_SIMUL FROM "&amp;E178&amp;" WHERE "&amp;'0. Instruções'!$D$43&amp;")Y"</f>
        <v>(SELECT instrmnt_id AS instrmnt_id_SIMUL, CCF AS CCF_SIMUL FROM BU_LOANTAPE_WORK.LT002_INSTRUMENT WHERE ref_date='${ref_date}' AND nome_perimetro='Individual Corporativo' AND segmento='ESTR' AND ambito='PM' AND entidade='00100')Y</v>
      </c>
      <c r="K178" s="35" t="str">
        <f>+UPPER("ON X."&amp;VLOOKUP(B178,'0. Instruções'!$C$27:$G$32,4,FALSE)&amp;"=Y."&amp;VLOOKUP(B178,'0. Instruções'!$C$27:$G$32,4,FALSE)&amp;"_SIMUL")</f>
        <v>ON X.INSTRMNT_ID=Y.INSTRMNT_ID_SIMUL</v>
      </c>
      <c r="L178" s="35" t="str">
        <f>+IF(C178="Coerência", +IF(LEFT(G178,5)="FLOAT","SELECT '"&amp;UPPER(B178)&amp;"' AS TABELA, '"&amp;UPPER(C178)&amp;"' AS TIPOLOGIA_TESTE,'"&amp;D178&amp;"' AS TABELA_LT,'"&amp;E178&amp;"' AS TABELA_SIMUL,'"&amp;F178&amp;"' AS CAMPO, "&amp;"'${ref_date}' AS REF_DATE, COUNT(*) AS NUM_REG, SUM(IF((ABS(COALESCE(CAST(X."&amp;F178&amp;" AS DECIMAL(18,6)),0)-COALESCE(CAST(Y."&amp;F178&amp;"_SIMUL AS DECIMAL(18,6)),0))&gt;0.000001) OR (X."&amp;F178&amp;" IS NULL AND Y."&amp;F178&amp;"_SIMUL IS NOT NULL ) OR (X."&amp;F178&amp;" IS NOT NULL AND Y."&amp;F178&amp;"_SIMUL IS NULL),1,0)) AS NUM_REG_DIF,'"&amp;MAX('ID1&amp;5'!K:K)+1&amp;"' AS ID_EXEC, CURRENT_TIMESTAMP() AS TIME_EXEC FROM "&amp;I178&amp;" INNER JOIN "&amp;J178&amp;" "&amp;K178,"SELECT '"&amp;UPPER(B178)&amp;"' AS TABELA, '"&amp;UPPER(C178)&amp;"' AS TIPOLOGIA_TESTE,'"&amp;D178&amp;"' AS TABELA_LT,'"&amp;E178&amp;"' AS TABELA_SIMUL,'"&amp;F178&amp;"' AS CAMPO, "&amp;"'${ref_date}' AS REF_DATE, COUNT(*) AS NUM_REG, SUM(IF(COALESCE(CAST(X."&amp;F178&amp;" AS STRING),'')&lt;&gt;COALESCE(CAST(Y."&amp;F178&amp;"_SIMUL AS STRING),'') OR (X."&amp;F178&amp;" IS NULL AND Y."&amp;F178&amp;"_SIMUL IS NOT NULL ) OR (X."&amp;F178&amp;" IS NOT NULL AND Y."&amp;F178&amp;"_SIMUL IS NULL),1,0)) AS NUM_REG_DIF,'"&amp;MAX('ID1&amp;5'!L:L)+1&amp;"' AS ID_EXEC, CURRENT_TIMESTAMP() AS TIME_EXEC FROM "&amp;I178&amp;" INNER JOIN "&amp;J178&amp;" "&amp;K178),
IF(C178="Validade",+IF(G178="Code List","SELECT '"&amp;UPPER(B178)&amp;"' AS TABELA, '"&amp;UPPER(C178)&amp;"' AS TIPOLOGIA_TESTE,'"&amp;D178&amp;"' AS TABELA_LT,'N/A' AS TABELA_SIMUL,'"&amp;F178&amp;"' AS CAMPO, "&amp;"'${ref_date}' AS REF_DATE, COUNT(*) AS NUM_REG, SUM(IF(TRIM(CAST(X."&amp;F178&amp;" AS STRING))='' OR TRIM(CAST(X."&amp;F178&amp;" AS STRING)) IS NULL OR CAST(X."&amp;F178&amp;" AS STRING) NOT "&amp;H178&amp;",1,0)) AS NUM_REG_DIF,'"&amp;MAX('ID1&amp;5'!K:K)+1&amp;"' AS ID_EXEC, CURRENT_TIMESTAMP() AS TIME_EXEC FROM "&amp;I178,"SELECT '"&amp;UPPER(B178)&amp;"' AS TABELA, '"&amp;UPPER(C178)&amp;"' AS TIPOLOGIA_TESTE,'"&amp;D178&amp;"' AS TABELA_LT,'N/A' AS TABELA_SIMUL,'"&amp;F178&amp;"' AS CAMPO, "&amp;"'${ref_date}' AS REF_DATE, COUNT(*) AS NUM_REG, SUM(IF(TRIM(CAST(X."&amp;F178&amp;" AS STRING))='' OR TRIM(CAST(X."&amp;F178&amp;" AS STRING)) IS NULL,1,0)) AS NUM_REG_DIF,'"&amp;MAX('ID1&amp;5'!K:K)+1&amp;"' AS ID_EXEC, CURRENT_TIMESTAMP() AS TIME_EXEC FROM "&amp;I178),
IF(C178="Caracteres Especiais",+"SELECT '"&amp;UPPER(B178)&amp;"' AS TABELA, '"&amp;UPPER(C178)&amp;"' AS TIPOLOGIA_TESTE,'"&amp;D178&amp;"' AS TABELA_LT,'N/A' AS TABELA_SIMUL,'"&amp;F178&amp;"' AS CAMPO, "&amp;"'${ref_date}' AS REF_DATE, COUNT(*) AS NUM_REG, SUM(IF(REGEXP_REPLACE(TRIM(CAST(X."&amp;F178&amp;" AS STRING)),'[^a-zA-Z0-9_\\s]','') &lt;&gt;TRIM(CAST(X."&amp;F178&amp;" AS STRING)),1,0)) AS NUM_REG_DIF,'"&amp;MAX('ID1&amp;5'!K:K)+1&amp;"' AS ID_EXEC, CURRENT_TIMESTAMP() AS TIME_EXEC FROM "&amp;I178,
IF(C178="Missings",+"SELECT '"&amp;UPPER(B178)&amp;"' AS TABELA, '"&amp;UPPER(C178)&amp;"' AS TIPOLOGIA_TESTE,'"&amp;D178&amp;"' AS TABELA_LT,'N/A' AS TABELA_SIMUL,'"&amp;F178&amp;"' AS CAMPO, "&amp;"'${ref_date}' AS REF_DATE, COUNT(*) AS NUM_REG, SUM(IF(TRIM(CAST(X."&amp;F178&amp;" AS STRING)) IN ('0000-00-00','0001-01-01','9999-12-31','MISS','00000','99999999999','99999999999.00','99999999999.000000'),1,0)) AS NUM_REG_DIF,'"&amp;MAX('ID1&amp;5'!K:K)+1&amp;"' AS ID_EXEC, CURRENT_TIMESTAMP() AS TIME_EXEC FROM "&amp;I178,
IF(C178="Not applicable",+"SELECT '"&amp;UPPER(B178)&amp;"' AS TABELA, '"&amp;UPPER(C178)&amp;"' AS TIPOLOGIA_TESTE,'"&amp;D178&amp;"' AS TABELA_LT,'N/A' AS TABELA_SIMUL,'"&amp;F178&amp;"' AS CAMPO, "&amp;"'${ref_date}' AS REF_DATE, COUNT(*) AS NUM_REG, SUM(IF(TRIM(CAST(X."&amp;F178&amp;" AS STRING)) IN ('N/A','11111111111','11111111111.00','11111111111.000000','1111-11-11'),1,0)) AS NUM_REG_DIF,'"&amp;MAX('ID1&amp;5'!K:K)+1&amp;"' AS ID_EXEC, CURRENT_TIMESTAMP() AS TIME_EXEC FROM "&amp;I178,
IF(C178="Valores extremos",+"SELECT '"&amp;UPPER(B178)&amp;"' AS TABELA, '"&amp;UPPER(C178)&amp;"' AS TIPOLOGIA_TESTE,'"&amp;D178&amp;"' AS TABELA_LT,'N/A' AS TABELA_SIMUL,'"&amp;F178&amp;"' AS CAMPO, "&amp;"'${ref_date}' AS REF_DATE, CAST(MIN("&amp;F178&amp;") AS STRING) AS VALOR_MIN, CAST(MAX("&amp;F178&amp;") AS STRING) AS VALOR_MAX,'"&amp;MAX('ID1&amp;5'!K:K)+1&amp;"' AS ID_EXEC, CURRENT_TIMESTAMP() AS TIME_EXEC FROM "&amp;MID(I178,1,LEN(I178)-2)&amp;" AND CAST("&amp;F178&amp;"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TABELA_SIMUL,'CCF' AS CAMPO, '${ref_date}' AS REF_DATE, COUNT(*) AS NUM_REG, SUM(IF(COALESCE(CAST(X.CCF AS STRING),'')&lt;&gt;COALESCE(CAST(Y.CCF_SIMUL AS STRING),'') OR (X.CCF IS NULL AND Y.CCF_SIMUL IS NOT NULL ) OR (X.CCF IS NOT NULL AND Y.CCF_SIMUL IS NULL),1,0)) AS NUM_REG_DIF,'1' AS ID_EXEC, CURRENT_TIMESTAMP() AS TIME_EXEC FROM (SELECT instrmnt_id, CCF FROM CD_LOAN_TAPES_BCE.LT002_INSTRUMENT WHERE ref_date='${ref_date}' AND nome_perimetro='Individual Corporativo' AND segmento='ESTR' AND ambito='PM' AND entidade='00100')X INNER JOIN (SELECT instrmnt_id AS instrmnt_id_SIMUL, CCF AS CCF_SIMUL FROM BU_LOANTAPE_WORK.LT002_INSTRUMENT WHERE ref_date='${ref_date}' AND nome_perimetro='Individual Corporativo' AND segmento='ESTR' AND ambito='PM' AND entidade='00100')Y ON X.INSTRMNT_ID=Y.INSTRMNT_ID_SIMUL</v>
      </c>
      <c r="M178" s="36" t="str">
        <f t="shared" si="2"/>
        <v>UNION ALL SELECT 'INSTRUMENT' AS TABELA, 'COERÊNCIA' AS TIPOLOGIA_TESTE,'CD_LOAN_TAPES_BCE.LT002_INSTRUMENT' AS TABELA_LT,'BU_LOANTAPE_WORK.LT002_INSTRUMENT' AS TABELA_SIMUL,'CCF' AS CAMPO, '${ref_date}' AS REF_DATE, COUNT(*) AS NUM_REG, SUM(IF(COALESCE(CAST(X.CCF AS STRING),'')&lt;&gt;COALESCE(CAST(Y.CCF_SIMUL AS STRING),'') OR (X.CCF IS NULL AND Y.CCF_SIMUL IS NOT NULL ) OR (X.CCF IS NOT NULL AND Y.CCF_SIMUL IS NULL),1,0)) AS NUM_REG_DIF,'1' AS ID_EXEC, CURRENT_TIMESTAMP() AS TIME_EXEC FROM (SELECT instrmnt_id, CCF FROM CD_LOAN_TAPES_BCE.LT002_INSTRUMENT WHERE ref_date='${ref_date}' AND nome_perimetro='Individual Corporativo' AND segmento='ESTR' AND ambito='PM' AND entidade='00100')X INNER JOIN (SELECT instrmnt_id AS instrmnt_id_SIMUL, CCF AS CCF_SIMUL FROM BU_LOANTAPE_WORK.LT002_INSTRUMENT WHERE ref_date='${ref_date}' AND nome_perimetro='Individual Corporativo' AND segmento='ESTR' AND ambito='PM' AND entidade='00100')Y ON X.INSTRMNT_ID=Y.INSTRMNT_ID_SIMUL</v>
      </c>
      <c r="N178" s="38" t="s">
        <v>46</v>
      </c>
    </row>
    <row r="179" spans="2:14" hidden="1">
      <c r="B179" s="34" t="s">
        <v>126</v>
      </c>
      <c r="C179" s="34" t="s">
        <v>5</v>
      </c>
      <c r="D179" s="34" t="str">
        <f>+UPPER('0. Instruções'!$D$35&amp;"."&amp;VLOOKUP(B179,'0. Instruções'!$C$27:$D$32,2,FALSE))</f>
        <v>CD_LOAN_TAPES_BCE.LT002_INSTRUMENT</v>
      </c>
      <c r="E179" s="34" t="str">
        <f>+UPPER('0. Instruções'!$D$36&amp;"."&amp;VLOOKUP(B179,'0. Instruções'!$C$27:$E$32,3,FALSE))</f>
        <v>BU_LOANTAPE_WORK.LT002_INSTRUMENT</v>
      </c>
      <c r="F179" s="34" t="s">
        <v>469</v>
      </c>
      <c r="G179" s="34"/>
      <c r="H179" s="34" t="s">
        <v>92</v>
      </c>
      <c r="I179" s="34" t="str">
        <f>"(SELECT "&amp;VLOOKUP(B179,'0. Instruções'!$C$27:$G$32,4,FALSE)&amp;", "&amp;F179&amp;" FROM "&amp;D179&amp;" WHERE "&amp;'0. Instruções'!$D$42&amp;")X"</f>
        <v>(SELECT instrmnt_id, CMMTMNT_INCPTN_INSTRMNT FROM CD_LOAN_TAPES_BCE.LT002_INSTRUMENT WHERE ref_date='${ref_date}' AND nome_perimetro='Individual Corporativo' AND segmento='ESTR' AND ambito='PM' AND entidade='00100')X</v>
      </c>
      <c r="J179" s="34" t="str">
        <f>"(SELECT "&amp;VLOOKUP(B179,'0. Instruções'!$C$27:$G$32,4,FALSE)&amp;" AS "&amp;VLOOKUP(B179,'0. Instruções'!$C$27:$G$32,4,FALSE)&amp;"_SIMUL, "&amp;F179&amp;" AS "&amp;F179&amp;"_SIMUL FROM "&amp;E179&amp;" WHERE "&amp;'0. Instruções'!$D$43&amp;")Y"</f>
        <v>(SELECT instrmnt_id AS instrmnt_id_SIMUL, CMMTMNT_INCPTN_INSTRMNT AS CMMTMNT_INCPTN_INSTRMNT_SIMUL FROM BU_LOANTAPE_WORK.LT002_INSTRUMENT WHERE ref_date='${ref_date}' AND nome_perimetro='Individual Corporativo' AND segmento='ESTR' AND ambito='PM' AND entidade='00100')Y</v>
      </c>
      <c r="K179" s="35" t="str">
        <f>+UPPER("ON X."&amp;VLOOKUP(B179,'0. Instruções'!$C$27:$G$32,4,FALSE)&amp;"=Y."&amp;VLOOKUP(B179,'0. Instruções'!$C$27:$G$32,4,FALSE)&amp;"_SIMUL")</f>
        <v>ON X.INSTRMNT_ID=Y.INSTRMNT_ID_SIMUL</v>
      </c>
      <c r="L179" s="35" t="str">
        <f>+IF(C179="Coerência", +IF(LEFT(G179,5)="FLOAT","SELECT '"&amp;UPPER(B179)&amp;"' AS TABELA, '"&amp;UPPER(C179)&amp;"' AS TIPOLOGIA_TESTE,'"&amp;D179&amp;"' AS TABELA_LT,'"&amp;E179&amp;"' AS TABELA_SIMUL,'"&amp;F179&amp;"' AS CAMPO, "&amp;"'${ref_date}' AS REF_DATE, COUNT(*) AS NUM_REG, SUM(IF((ABS(COALESCE(CAST(X."&amp;F179&amp;" AS DECIMAL(18,6)),0)-COALESCE(CAST(Y."&amp;F179&amp;"_SIMUL AS DECIMAL(18,6)),0))&gt;0.000001) OR (X."&amp;F179&amp;" IS NULL AND Y."&amp;F179&amp;"_SIMUL IS NOT NULL ) OR (X."&amp;F179&amp;" IS NOT NULL AND Y."&amp;F179&amp;"_SIMUL IS NULL),1,0)) AS NUM_REG_DIF,'"&amp;MAX('ID1&amp;5'!K:K)+1&amp;"' AS ID_EXEC, CURRENT_TIMESTAMP() AS TIME_EXEC FROM "&amp;I179&amp;" INNER JOIN "&amp;J179&amp;" "&amp;K179,"SELECT '"&amp;UPPER(B179)&amp;"' AS TABELA, '"&amp;UPPER(C179)&amp;"' AS TIPOLOGIA_TESTE,'"&amp;D179&amp;"' AS TABELA_LT,'"&amp;E179&amp;"' AS TABELA_SIMUL,'"&amp;F179&amp;"' AS CAMPO, "&amp;"'${ref_date}' AS REF_DATE, COUNT(*) AS NUM_REG, SUM(IF(COALESCE(CAST(X."&amp;F179&amp;" AS STRING),'')&lt;&gt;COALESCE(CAST(Y."&amp;F179&amp;"_SIMUL AS STRING),'') OR (X."&amp;F179&amp;" IS NULL AND Y."&amp;F179&amp;"_SIMUL IS NOT NULL ) OR (X."&amp;F179&amp;" IS NOT NULL AND Y."&amp;F179&amp;"_SIMUL IS NULL),1,0)) AS NUM_REG_DIF,'"&amp;MAX('ID1&amp;5'!L:L)+1&amp;"' AS ID_EXEC, CURRENT_TIMESTAMP() AS TIME_EXEC FROM "&amp;I179&amp;" INNER JOIN "&amp;J179&amp;" "&amp;K179),
IF(C179="Validade",+IF(G179="Code List","SELECT '"&amp;UPPER(B179)&amp;"' AS TABELA, '"&amp;UPPER(C179)&amp;"' AS TIPOLOGIA_TESTE,'"&amp;D179&amp;"' AS TABELA_LT,'N/A' AS TABELA_SIMUL,'"&amp;F179&amp;"' AS CAMPO, "&amp;"'${ref_date}' AS REF_DATE, COUNT(*) AS NUM_REG, SUM(IF(TRIM(CAST(X."&amp;F179&amp;" AS STRING))='' OR TRIM(CAST(X."&amp;F179&amp;" AS STRING)) IS NULL OR CAST(X."&amp;F179&amp;" AS STRING) NOT "&amp;H179&amp;",1,0)) AS NUM_REG_DIF,'"&amp;MAX('ID1&amp;5'!K:K)+1&amp;"' AS ID_EXEC, CURRENT_TIMESTAMP() AS TIME_EXEC FROM "&amp;I179,"SELECT '"&amp;UPPER(B179)&amp;"' AS TABELA, '"&amp;UPPER(C179)&amp;"' AS TIPOLOGIA_TESTE,'"&amp;D179&amp;"' AS TABELA_LT,'N/A' AS TABELA_SIMUL,'"&amp;F179&amp;"' AS CAMPO, "&amp;"'${ref_date}' AS REF_DATE, COUNT(*) AS NUM_REG, SUM(IF(TRIM(CAST(X."&amp;F179&amp;" AS STRING))='' OR TRIM(CAST(X."&amp;F179&amp;" AS STRING)) IS NULL,1,0)) AS NUM_REG_DIF,'"&amp;MAX('ID1&amp;5'!K:K)+1&amp;"' AS ID_EXEC, CURRENT_TIMESTAMP() AS TIME_EXEC FROM "&amp;I179),
IF(C179="Caracteres Especiais",+"SELECT '"&amp;UPPER(B179)&amp;"' AS TABELA, '"&amp;UPPER(C179)&amp;"' AS TIPOLOGIA_TESTE,'"&amp;D179&amp;"' AS TABELA_LT,'N/A' AS TABELA_SIMUL,'"&amp;F179&amp;"' AS CAMPO, "&amp;"'${ref_date}' AS REF_DATE, COUNT(*) AS NUM_REG, SUM(IF(REGEXP_REPLACE(TRIM(CAST(X."&amp;F179&amp;" AS STRING)),'[^a-zA-Z0-9_\\s]','') &lt;&gt;TRIM(CAST(X."&amp;F179&amp;" AS STRING)),1,0)) AS NUM_REG_DIF,'"&amp;MAX('ID1&amp;5'!K:K)+1&amp;"' AS ID_EXEC, CURRENT_TIMESTAMP() AS TIME_EXEC FROM "&amp;I179,
IF(C179="Missings",+"SELECT '"&amp;UPPER(B179)&amp;"' AS TABELA, '"&amp;UPPER(C179)&amp;"' AS TIPOLOGIA_TESTE,'"&amp;D179&amp;"' AS TABELA_LT,'N/A' AS TABELA_SIMUL,'"&amp;F179&amp;"' AS CAMPO, "&amp;"'${ref_date}' AS REF_DATE, COUNT(*) AS NUM_REG, SUM(IF(TRIM(CAST(X."&amp;F179&amp;" AS STRING)) IN ('0000-00-00','0001-01-01','9999-12-31','MISS','00000','99999999999','99999999999.00','99999999999.000000'),1,0)) AS NUM_REG_DIF,'"&amp;MAX('ID1&amp;5'!K:K)+1&amp;"' AS ID_EXEC, CURRENT_TIMESTAMP() AS TIME_EXEC FROM "&amp;I179,
IF(C179="Not applicable",+"SELECT '"&amp;UPPER(B179)&amp;"' AS TABELA, '"&amp;UPPER(C179)&amp;"' AS TIPOLOGIA_TESTE,'"&amp;D179&amp;"' AS TABELA_LT,'N/A' AS TABELA_SIMUL,'"&amp;F179&amp;"' AS CAMPO, "&amp;"'${ref_date}' AS REF_DATE, COUNT(*) AS NUM_REG, SUM(IF(TRIM(CAST(X."&amp;F179&amp;" AS STRING)) IN ('N/A','11111111111','11111111111.00','11111111111.000000','1111-11-11'),1,0)) AS NUM_REG_DIF,'"&amp;MAX('ID1&amp;5'!K:K)+1&amp;"' AS ID_EXEC, CURRENT_TIMESTAMP() AS TIME_EXEC FROM "&amp;I179,
IF(C179="Valores extremos",+"SELECT '"&amp;UPPER(B179)&amp;"' AS TABELA, '"&amp;UPPER(C179)&amp;"' AS TIPOLOGIA_TESTE,'"&amp;D179&amp;"' AS TABELA_LT,'N/A' AS TABELA_SIMUL,'"&amp;F179&amp;"' AS CAMPO, "&amp;"'${ref_date}' AS REF_DATE, CAST(MIN("&amp;F179&amp;") AS STRING) AS VALOR_MIN, CAST(MAX("&amp;F179&amp;") AS STRING) AS VALOR_MAX,'"&amp;MAX('ID1&amp;5'!K:K)+1&amp;"' AS ID_EXEC, CURRENT_TIMESTAMP() AS TIME_EXEC FROM "&amp;MID(I179,1,LEN(I179)-2)&amp;" AND CAST("&amp;F179&amp;"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TABELA_SIMUL,'CMMTMNT_INCPTN_INSTRMNT' AS CAMPO, '${ref_date}' AS REF_DATE, COUNT(*) AS NUM_REG, SUM(IF(COALESCE(CAST(X.CMMTMNT_INCPTN_INSTRMNT AS STRING),'')&lt;&gt;COALESCE(CAST(Y.CMMTMNT_INCPTN_INSTRMNT_SIMUL AS STRING),'') OR (X.CMMTMNT_INCPTN_INSTRMNT IS NULL AND Y.CMMTMNT_INCPTN_INSTRMNT_SIMUL IS NOT NULL ) OR (X.CMMTMNT_INCPTN_INSTRMNT IS NOT NULL AND Y.CMMTMNT_INCPTN_INSTRMNT_SIMUL IS NULL),1,0)) AS NUM_REG_DIF,'1' AS ID_EXEC, CURRENT_TIMESTAMP() AS TIME_EXEC FROM (SELECT instrmnt_id, CMMTMNT_INCPTN_INSTRMNT FROM CD_LOAN_TAPES_BCE.LT002_INSTRUMENT WHERE ref_date='${ref_date}' AND nome_perimetro='Individual Corporativo' AND segmento='ESTR' AND ambito='PM' AND entidade='00100')X INNER JOIN (SELECT instrmnt_id AS instrmnt_id_SIMUL, CMMTMNT_INCPTN_INSTRMNT AS CMMTMNT_INCPTN_INSTRMNT_SIMUL FROM BU_LOANTAPE_WORK.LT002_INSTRUMENT WHERE ref_date='${ref_date}' AND nome_perimetro='Individual Corporativo' AND segmento='ESTR' AND ambito='PM' AND entidade='00100')Y ON X.INSTRMNT_ID=Y.INSTRMNT_ID_SIMUL</v>
      </c>
      <c r="M179" s="36" t="str">
        <f t="shared" si="2"/>
        <v>UNION ALL SELECT 'INSTRUMENT' AS TABELA, 'COERÊNCIA' AS TIPOLOGIA_TESTE,'CD_LOAN_TAPES_BCE.LT002_INSTRUMENT' AS TABELA_LT,'BU_LOANTAPE_WORK.LT002_INSTRUMENT' AS TABELA_SIMUL,'CMMTMNT_INCPTN_INSTRMNT' AS CAMPO, '${ref_date}' AS REF_DATE, COUNT(*) AS NUM_REG, SUM(IF(COALESCE(CAST(X.CMMTMNT_INCPTN_INSTRMNT AS STRING),'')&lt;&gt;COALESCE(CAST(Y.CMMTMNT_INCPTN_INSTRMNT_SIMUL AS STRING),'') OR (X.CMMTMNT_INCPTN_INSTRMNT IS NULL AND Y.CMMTMNT_INCPTN_INSTRMNT_SIMUL IS NOT NULL ) OR (X.CMMTMNT_INCPTN_INSTRMNT IS NOT NULL AND Y.CMMTMNT_INCPTN_INSTRMNT_SIMUL IS NULL),1,0)) AS NUM_REG_DIF,'1' AS ID_EXEC, CURRENT_TIMESTAMP() AS TIME_EXEC FROM (SELECT instrmnt_id, CMMTMNT_INCPTN_INSTRMNT FROM CD_LOAN_TAPES_BCE.LT002_INSTRUMENT WHERE ref_date='${ref_date}' AND nome_perimetro='Individual Corporativo' AND segmento='ESTR' AND ambito='PM' AND entidade='00100')X INNER JOIN (SELECT instrmnt_id AS instrmnt_id_SIMUL, CMMTMNT_INCPTN_INSTRMNT AS CMMTMNT_INCPTN_INSTRMNT_SIMUL FROM BU_LOANTAPE_WORK.LT002_INSTRUMENT WHERE ref_date='${ref_date}' AND nome_perimetro='Individual Corporativo' AND segmento='ESTR' AND ambito='PM' AND entidade='00100')Y ON X.INSTRMNT_ID=Y.INSTRMNT_ID_SIMUL</v>
      </c>
      <c r="N179" s="38" t="s">
        <v>46</v>
      </c>
    </row>
    <row r="180" spans="2:14" hidden="1">
      <c r="B180" s="34" t="s">
        <v>126</v>
      </c>
      <c r="C180" s="34" t="s">
        <v>5</v>
      </c>
      <c r="D180" s="34" t="str">
        <f>+UPPER('0. Instruções'!$D$35&amp;"."&amp;VLOOKUP(B180,'0. Instruções'!$C$27:$D$32,2,FALSE))</f>
        <v>CD_LOAN_TAPES_BCE.LT002_INSTRUMENT</v>
      </c>
      <c r="E180" s="34" t="str">
        <f>+UPPER('0. Instruções'!$D$36&amp;"."&amp;VLOOKUP(B180,'0. Instruções'!$C$27:$E$32,3,FALSE))</f>
        <v>BU_LOANTAPE_WORK.LT002_INSTRUMENT</v>
      </c>
      <c r="F180" s="34" t="s">
        <v>470</v>
      </c>
      <c r="G180" s="34"/>
      <c r="H180" s="34" t="s">
        <v>92</v>
      </c>
      <c r="I180" s="34" t="str">
        <f>"(SELECT "&amp;VLOOKUP(B180,'0. Instruções'!$C$27:$G$32,4,FALSE)&amp;", "&amp;F180&amp;" FROM "&amp;D180&amp;" WHERE "&amp;'0. Instruções'!$D$42&amp;")X"</f>
        <v>(SELECT instrmnt_id, CMMTMNT_INSTRMNT FROM CD_LOAN_TAPES_BCE.LT002_INSTRUMENT WHERE ref_date='${ref_date}' AND nome_perimetro='Individual Corporativo' AND segmento='ESTR' AND ambito='PM' AND entidade='00100')X</v>
      </c>
      <c r="J180" s="34" t="str">
        <f>"(SELECT "&amp;VLOOKUP(B180,'0. Instruções'!$C$27:$G$32,4,FALSE)&amp;" AS "&amp;VLOOKUP(B180,'0. Instruções'!$C$27:$G$32,4,FALSE)&amp;"_SIMUL, "&amp;F180&amp;" AS "&amp;F180&amp;"_SIMUL FROM "&amp;E180&amp;" WHERE "&amp;'0. Instruções'!$D$43&amp;")Y"</f>
        <v>(SELECT instrmnt_id AS instrmnt_id_SIMUL, CMMTMNT_INSTRMNT AS CMMTMNT_INSTRMNT_SIMUL FROM BU_LOANTAPE_WORK.LT002_INSTRUMENT WHERE ref_date='${ref_date}' AND nome_perimetro='Individual Corporativo' AND segmento='ESTR' AND ambito='PM' AND entidade='00100')Y</v>
      </c>
      <c r="K180" s="35" t="str">
        <f>+UPPER("ON X."&amp;VLOOKUP(B180,'0. Instruções'!$C$27:$G$32,4,FALSE)&amp;"=Y."&amp;VLOOKUP(B180,'0. Instruções'!$C$27:$G$32,4,FALSE)&amp;"_SIMUL")</f>
        <v>ON X.INSTRMNT_ID=Y.INSTRMNT_ID_SIMUL</v>
      </c>
      <c r="L180" s="35" t="str">
        <f>+IF(C180="Coerência", +IF(LEFT(G180,5)="FLOAT","SELECT '"&amp;UPPER(B180)&amp;"' AS TABELA, '"&amp;UPPER(C180)&amp;"' AS TIPOLOGIA_TESTE,'"&amp;D180&amp;"' AS TABELA_LT,'"&amp;E180&amp;"' AS TABELA_SIMUL,'"&amp;F180&amp;"' AS CAMPO, "&amp;"'${ref_date}' AS REF_DATE, COUNT(*) AS NUM_REG, SUM(IF((ABS(COALESCE(CAST(X."&amp;F180&amp;" AS DECIMAL(18,6)),0)-COALESCE(CAST(Y."&amp;F180&amp;"_SIMUL AS DECIMAL(18,6)),0))&gt;0.000001) OR (X."&amp;F180&amp;" IS NULL AND Y."&amp;F180&amp;"_SIMUL IS NOT NULL ) OR (X."&amp;F180&amp;" IS NOT NULL AND Y."&amp;F180&amp;"_SIMUL IS NULL),1,0)) AS NUM_REG_DIF,'"&amp;MAX('ID1&amp;5'!K:K)+1&amp;"' AS ID_EXEC, CURRENT_TIMESTAMP() AS TIME_EXEC FROM "&amp;I180&amp;" INNER JOIN "&amp;J180&amp;" "&amp;K180,"SELECT '"&amp;UPPER(B180)&amp;"' AS TABELA, '"&amp;UPPER(C180)&amp;"' AS TIPOLOGIA_TESTE,'"&amp;D180&amp;"' AS TABELA_LT,'"&amp;E180&amp;"' AS TABELA_SIMUL,'"&amp;F180&amp;"' AS CAMPO, "&amp;"'${ref_date}' AS REF_DATE, COUNT(*) AS NUM_REG, SUM(IF(COALESCE(CAST(X."&amp;F180&amp;" AS STRING),'')&lt;&gt;COALESCE(CAST(Y."&amp;F180&amp;"_SIMUL AS STRING),'') OR (X."&amp;F180&amp;" IS NULL AND Y."&amp;F180&amp;"_SIMUL IS NOT NULL ) OR (X."&amp;F180&amp;" IS NOT NULL AND Y."&amp;F180&amp;"_SIMUL IS NULL),1,0)) AS NUM_REG_DIF,'"&amp;MAX('ID1&amp;5'!L:L)+1&amp;"' AS ID_EXEC, CURRENT_TIMESTAMP() AS TIME_EXEC FROM "&amp;I180&amp;" INNER JOIN "&amp;J180&amp;" "&amp;K180),
IF(C180="Validade",+IF(G180="Code List","SELECT '"&amp;UPPER(B180)&amp;"' AS TABELA, '"&amp;UPPER(C180)&amp;"' AS TIPOLOGIA_TESTE,'"&amp;D180&amp;"' AS TABELA_LT,'N/A' AS TABELA_SIMUL,'"&amp;F180&amp;"' AS CAMPO, "&amp;"'${ref_date}' AS REF_DATE, COUNT(*) AS NUM_REG, SUM(IF(TRIM(CAST(X."&amp;F180&amp;" AS STRING))='' OR TRIM(CAST(X."&amp;F180&amp;" AS STRING)) IS NULL OR CAST(X."&amp;F180&amp;" AS STRING) NOT "&amp;H180&amp;",1,0)) AS NUM_REG_DIF,'"&amp;MAX('ID1&amp;5'!K:K)+1&amp;"' AS ID_EXEC, CURRENT_TIMESTAMP() AS TIME_EXEC FROM "&amp;I180,"SELECT '"&amp;UPPER(B180)&amp;"' AS TABELA, '"&amp;UPPER(C180)&amp;"' AS TIPOLOGIA_TESTE,'"&amp;D180&amp;"' AS TABELA_LT,'N/A' AS TABELA_SIMUL,'"&amp;F180&amp;"' AS CAMPO, "&amp;"'${ref_date}' AS REF_DATE, COUNT(*) AS NUM_REG, SUM(IF(TRIM(CAST(X."&amp;F180&amp;" AS STRING))='' OR TRIM(CAST(X."&amp;F180&amp;" AS STRING)) IS NULL,1,0)) AS NUM_REG_DIF,'"&amp;MAX('ID1&amp;5'!K:K)+1&amp;"' AS ID_EXEC, CURRENT_TIMESTAMP() AS TIME_EXEC FROM "&amp;I180),
IF(C180="Caracteres Especiais",+"SELECT '"&amp;UPPER(B180)&amp;"' AS TABELA, '"&amp;UPPER(C180)&amp;"' AS TIPOLOGIA_TESTE,'"&amp;D180&amp;"' AS TABELA_LT,'N/A' AS TABELA_SIMUL,'"&amp;F180&amp;"' AS CAMPO, "&amp;"'${ref_date}' AS REF_DATE, COUNT(*) AS NUM_REG, SUM(IF(REGEXP_REPLACE(TRIM(CAST(X."&amp;F180&amp;" AS STRING)),'[^a-zA-Z0-9_\\s]','') &lt;&gt;TRIM(CAST(X."&amp;F180&amp;" AS STRING)),1,0)) AS NUM_REG_DIF,'"&amp;MAX('ID1&amp;5'!K:K)+1&amp;"' AS ID_EXEC, CURRENT_TIMESTAMP() AS TIME_EXEC FROM "&amp;I180,
IF(C180="Missings",+"SELECT '"&amp;UPPER(B180)&amp;"' AS TABELA, '"&amp;UPPER(C180)&amp;"' AS TIPOLOGIA_TESTE,'"&amp;D180&amp;"' AS TABELA_LT,'N/A' AS TABELA_SIMUL,'"&amp;F180&amp;"' AS CAMPO, "&amp;"'${ref_date}' AS REF_DATE, COUNT(*) AS NUM_REG, SUM(IF(TRIM(CAST(X."&amp;F180&amp;" AS STRING)) IN ('0000-00-00','0001-01-01','9999-12-31','MISS','00000','99999999999','99999999999.00','99999999999.000000'),1,0)) AS NUM_REG_DIF,'"&amp;MAX('ID1&amp;5'!K:K)+1&amp;"' AS ID_EXEC, CURRENT_TIMESTAMP() AS TIME_EXEC FROM "&amp;I180,
IF(C180="Not applicable",+"SELECT '"&amp;UPPER(B180)&amp;"' AS TABELA, '"&amp;UPPER(C180)&amp;"' AS TIPOLOGIA_TESTE,'"&amp;D180&amp;"' AS TABELA_LT,'N/A' AS TABELA_SIMUL,'"&amp;F180&amp;"' AS CAMPO, "&amp;"'${ref_date}' AS REF_DATE, COUNT(*) AS NUM_REG, SUM(IF(TRIM(CAST(X."&amp;F180&amp;" AS STRING)) IN ('N/A','11111111111','11111111111.00','11111111111.000000','1111-11-11'),1,0)) AS NUM_REG_DIF,'"&amp;MAX('ID1&amp;5'!K:K)+1&amp;"' AS ID_EXEC, CURRENT_TIMESTAMP() AS TIME_EXEC FROM "&amp;I180,
IF(C180="Valores extremos",+"SELECT '"&amp;UPPER(B180)&amp;"' AS TABELA, '"&amp;UPPER(C180)&amp;"' AS TIPOLOGIA_TESTE,'"&amp;D180&amp;"' AS TABELA_LT,'N/A' AS TABELA_SIMUL,'"&amp;F180&amp;"' AS CAMPO, "&amp;"'${ref_date}' AS REF_DATE, CAST(MIN("&amp;F180&amp;") AS STRING) AS VALOR_MIN, CAST(MAX("&amp;F180&amp;") AS STRING) AS VALOR_MAX,'"&amp;MAX('ID1&amp;5'!K:K)+1&amp;"' AS ID_EXEC, CURRENT_TIMESTAMP() AS TIME_EXEC FROM "&amp;MID(I180,1,LEN(I180)-2)&amp;" AND CAST("&amp;F180&amp;"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TABELA_SIMUL,'CMMTMNT_INSTRMNT' AS CAMPO, '${ref_date}' AS REF_DATE, COUNT(*) AS NUM_REG, SUM(IF(COALESCE(CAST(X.CMMTMNT_INSTRMNT AS STRING),'')&lt;&gt;COALESCE(CAST(Y.CMMTMNT_INSTRMNT_SIMUL AS STRING),'') OR (X.CMMTMNT_INSTRMNT IS NULL AND Y.CMMTMNT_INSTRMNT_SIMUL IS NOT NULL ) OR (X.CMMTMNT_INSTRMNT IS NOT NULL AND Y.CMMTMNT_INSTRMNT_SIMUL IS NULL),1,0)) AS NUM_REG_DIF,'1' AS ID_EXEC, CURRENT_TIMESTAMP() AS TIME_EXEC FROM (SELECT instrmnt_id, CMMTMNT_INSTRMNT FROM CD_LOAN_TAPES_BCE.LT002_INSTRUMENT WHERE ref_date='${ref_date}' AND nome_perimetro='Individual Corporativo' AND segmento='ESTR' AND ambito='PM' AND entidade='00100')X INNER JOIN (SELECT instrmnt_id AS instrmnt_id_SIMUL, CMMTMNT_INSTRMNT AS CMMTMNT_INSTRMNT_SIMUL FROM BU_LOANTAPE_WORK.LT002_INSTRUMENT WHERE ref_date='${ref_date}' AND nome_perimetro='Individual Corporativo' AND segmento='ESTR' AND ambito='PM' AND entidade='00100')Y ON X.INSTRMNT_ID=Y.INSTRMNT_ID_SIMUL</v>
      </c>
      <c r="M180" s="36" t="str">
        <f t="shared" ref="M180:M243" si="3">+"UNION ALL "&amp;L180</f>
        <v>UNION ALL SELECT 'INSTRUMENT' AS TABELA, 'COERÊNCIA' AS TIPOLOGIA_TESTE,'CD_LOAN_TAPES_BCE.LT002_INSTRUMENT' AS TABELA_LT,'BU_LOANTAPE_WORK.LT002_INSTRUMENT' AS TABELA_SIMUL,'CMMTMNT_INSTRMNT' AS CAMPO, '${ref_date}' AS REF_DATE, COUNT(*) AS NUM_REG, SUM(IF(COALESCE(CAST(X.CMMTMNT_INSTRMNT AS STRING),'')&lt;&gt;COALESCE(CAST(Y.CMMTMNT_INSTRMNT_SIMUL AS STRING),'') OR (X.CMMTMNT_INSTRMNT IS NULL AND Y.CMMTMNT_INSTRMNT_SIMUL IS NOT NULL ) OR (X.CMMTMNT_INSTRMNT IS NOT NULL AND Y.CMMTMNT_INSTRMNT_SIMUL IS NULL),1,0)) AS NUM_REG_DIF,'1' AS ID_EXEC, CURRENT_TIMESTAMP() AS TIME_EXEC FROM (SELECT instrmnt_id, CMMTMNT_INSTRMNT FROM CD_LOAN_TAPES_BCE.LT002_INSTRUMENT WHERE ref_date='${ref_date}' AND nome_perimetro='Individual Corporativo' AND segmento='ESTR' AND ambito='PM' AND entidade='00100')X INNER JOIN (SELECT instrmnt_id AS instrmnt_id_SIMUL, CMMTMNT_INSTRMNT AS CMMTMNT_INSTRMNT_SIMUL FROM BU_LOANTAPE_WORK.LT002_INSTRUMENT WHERE ref_date='${ref_date}' AND nome_perimetro='Individual Corporativo' AND segmento='ESTR' AND ambito='PM' AND entidade='00100')Y ON X.INSTRMNT_ID=Y.INSTRMNT_ID_SIMUL</v>
      </c>
      <c r="N180" s="38" t="s">
        <v>46</v>
      </c>
    </row>
    <row r="181" spans="2:14" hidden="1">
      <c r="B181" s="34" t="s">
        <v>126</v>
      </c>
      <c r="C181" s="34" t="s">
        <v>5</v>
      </c>
      <c r="D181" s="34" t="str">
        <f>+UPPER('0. Instruções'!$D$35&amp;"."&amp;VLOOKUP(B181,'0. Instruções'!$C$27:$D$32,2,FALSE))</f>
        <v>CD_LOAN_TAPES_BCE.LT002_INSTRUMENT</v>
      </c>
      <c r="E181" s="34" t="str">
        <f>+UPPER('0. Instruções'!$D$36&amp;"."&amp;VLOOKUP(B181,'0. Instruções'!$C$27:$E$32,3,FALSE))</f>
        <v>BU_LOANTAPE_WORK.LT002_INSTRUMENT</v>
      </c>
      <c r="F181" s="34" t="s">
        <v>471</v>
      </c>
      <c r="G181" s="34"/>
      <c r="H181" s="34" t="s">
        <v>92</v>
      </c>
      <c r="I181" s="34" t="str">
        <f>"(SELECT "&amp;VLOOKUP(B181,'0. Instruções'!$C$27:$G$32,4,FALSE)&amp;", "&amp;F181&amp;" FROM "&amp;D181&amp;" WHERE "&amp;'0. Instruções'!$D$42&amp;")X"</f>
        <v>(SELECT instrmnt_id, CRRYNG_AMNT_INSTRMNT FROM CD_LOAN_TAPES_BCE.LT002_INSTRUMENT WHERE ref_date='${ref_date}' AND nome_perimetro='Individual Corporativo' AND segmento='ESTR' AND ambito='PM' AND entidade='00100')X</v>
      </c>
      <c r="J181" s="34" t="str">
        <f>"(SELECT "&amp;VLOOKUP(B181,'0. Instruções'!$C$27:$G$32,4,FALSE)&amp;" AS "&amp;VLOOKUP(B181,'0. Instruções'!$C$27:$G$32,4,FALSE)&amp;"_SIMUL, "&amp;F181&amp;" AS "&amp;F181&amp;"_SIMUL FROM "&amp;E181&amp;" WHERE "&amp;'0. Instruções'!$D$43&amp;")Y"</f>
        <v>(SELECT instrmnt_id AS instrmnt_id_SIMUL, CRRYNG_AMNT_INSTRMNT AS CRRYNG_AMNT_INSTRMNT_SIMUL FROM BU_LOANTAPE_WORK.LT002_INSTRUMENT WHERE ref_date='${ref_date}' AND nome_perimetro='Individual Corporativo' AND segmento='ESTR' AND ambito='PM' AND entidade='00100')Y</v>
      </c>
      <c r="K181" s="35" t="str">
        <f>+UPPER("ON X."&amp;VLOOKUP(B181,'0. Instruções'!$C$27:$G$32,4,FALSE)&amp;"=Y."&amp;VLOOKUP(B181,'0. Instruções'!$C$27:$G$32,4,FALSE)&amp;"_SIMUL")</f>
        <v>ON X.INSTRMNT_ID=Y.INSTRMNT_ID_SIMUL</v>
      </c>
      <c r="L181" s="35" t="str">
        <f>+IF(C181="Coerência", +IF(LEFT(G181,5)="FLOAT","SELECT '"&amp;UPPER(B181)&amp;"' AS TABELA, '"&amp;UPPER(C181)&amp;"' AS TIPOLOGIA_TESTE,'"&amp;D181&amp;"' AS TABELA_LT,'"&amp;E181&amp;"' AS TABELA_SIMUL,'"&amp;F181&amp;"' AS CAMPO, "&amp;"'${ref_date}' AS REF_DATE, COUNT(*) AS NUM_REG, SUM(IF((ABS(COALESCE(CAST(X."&amp;F181&amp;" AS DECIMAL(18,6)),0)-COALESCE(CAST(Y."&amp;F181&amp;"_SIMUL AS DECIMAL(18,6)),0))&gt;0.000001) OR (X."&amp;F181&amp;" IS NULL AND Y."&amp;F181&amp;"_SIMUL IS NOT NULL ) OR (X."&amp;F181&amp;" IS NOT NULL AND Y."&amp;F181&amp;"_SIMUL IS NULL),1,0)) AS NUM_REG_DIF,'"&amp;MAX('ID1&amp;5'!K:K)+1&amp;"' AS ID_EXEC, CURRENT_TIMESTAMP() AS TIME_EXEC FROM "&amp;I181&amp;" INNER JOIN "&amp;J181&amp;" "&amp;K181,"SELECT '"&amp;UPPER(B181)&amp;"' AS TABELA, '"&amp;UPPER(C181)&amp;"' AS TIPOLOGIA_TESTE,'"&amp;D181&amp;"' AS TABELA_LT,'"&amp;E181&amp;"' AS TABELA_SIMUL,'"&amp;F181&amp;"' AS CAMPO, "&amp;"'${ref_date}' AS REF_DATE, COUNT(*) AS NUM_REG, SUM(IF(COALESCE(CAST(X."&amp;F181&amp;" AS STRING),'')&lt;&gt;COALESCE(CAST(Y."&amp;F181&amp;"_SIMUL AS STRING),'') OR (X."&amp;F181&amp;" IS NULL AND Y."&amp;F181&amp;"_SIMUL IS NOT NULL ) OR (X."&amp;F181&amp;" IS NOT NULL AND Y."&amp;F181&amp;"_SIMUL IS NULL),1,0)) AS NUM_REG_DIF,'"&amp;MAX('ID1&amp;5'!L:L)+1&amp;"' AS ID_EXEC, CURRENT_TIMESTAMP() AS TIME_EXEC FROM "&amp;I181&amp;" INNER JOIN "&amp;J181&amp;" "&amp;K181),
IF(C181="Validade",+IF(G181="Code List","SELECT '"&amp;UPPER(B181)&amp;"' AS TABELA, '"&amp;UPPER(C181)&amp;"' AS TIPOLOGIA_TESTE,'"&amp;D181&amp;"' AS TABELA_LT,'N/A' AS TABELA_SIMUL,'"&amp;F181&amp;"' AS CAMPO, "&amp;"'${ref_date}' AS REF_DATE, COUNT(*) AS NUM_REG, SUM(IF(TRIM(CAST(X."&amp;F181&amp;" AS STRING))='' OR TRIM(CAST(X."&amp;F181&amp;" AS STRING)) IS NULL OR CAST(X."&amp;F181&amp;" AS STRING) NOT "&amp;H181&amp;",1,0)) AS NUM_REG_DIF,'"&amp;MAX('ID1&amp;5'!K:K)+1&amp;"' AS ID_EXEC, CURRENT_TIMESTAMP() AS TIME_EXEC FROM "&amp;I181,"SELECT '"&amp;UPPER(B181)&amp;"' AS TABELA, '"&amp;UPPER(C181)&amp;"' AS TIPOLOGIA_TESTE,'"&amp;D181&amp;"' AS TABELA_LT,'N/A' AS TABELA_SIMUL,'"&amp;F181&amp;"' AS CAMPO, "&amp;"'${ref_date}' AS REF_DATE, COUNT(*) AS NUM_REG, SUM(IF(TRIM(CAST(X."&amp;F181&amp;" AS STRING))='' OR TRIM(CAST(X."&amp;F181&amp;" AS STRING)) IS NULL,1,0)) AS NUM_REG_DIF,'"&amp;MAX('ID1&amp;5'!K:K)+1&amp;"' AS ID_EXEC, CURRENT_TIMESTAMP() AS TIME_EXEC FROM "&amp;I181),
IF(C181="Caracteres Especiais",+"SELECT '"&amp;UPPER(B181)&amp;"' AS TABELA, '"&amp;UPPER(C181)&amp;"' AS TIPOLOGIA_TESTE,'"&amp;D181&amp;"' AS TABELA_LT,'N/A' AS TABELA_SIMUL,'"&amp;F181&amp;"' AS CAMPO, "&amp;"'${ref_date}' AS REF_DATE, COUNT(*) AS NUM_REG, SUM(IF(REGEXP_REPLACE(TRIM(CAST(X."&amp;F181&amp;" AS STRING)),'[^a-zA-Z0-9_\\s]','') &lt;&gt;TRIM(CAST(X."&amp;F181&amp;" AS STRING)),1,0)) AS NUM_REG_DIF,'"&amp;MAX('ID1&amp;5'!K:K)+1&amp;"' AS ID_EXEC, CURRENT_TIMESTAMP() AS TIME_EXEC FROM "&amp;I181,
IF(C181="Missings",+"SELECT '"&amp;UPPER(B181)&amp;"' AS TABELA, '"&amp;UPPER(C181)&amp;"' AS TIPOLOGIA_TESTE,'"&amp;D181&amp;"' AS TABELA_LT,'N/A' AS TABELA_SIMUL,'"&amp;F181&amp;"' AS CAMPO, "&amp;"'${ref_date}' AS REF_DATE, COUNT(*) AS NUM_REG, SUM(IF(TRIM(CAST(X."&amp;F181&amp;" AS STRING)) IN ('0000-00-00','0001-01-01','9999-12-31','MISS','00000','99999999999','99999999999.00','99999999999.000000'),1,0)) AS NUM_REG_DIF,'"&amp;MAX('ID1&amp;5'!K:K)+1&amp;"' AS ID_EXEC, CURRENT_TIMESTAMP() AS TIME_EXEC FROM "&amp;I181,
IF(C181="Not applicable",+"SELECT '"&amp;UPPER(B181)&amp;"' AS TABELA, '"&amp;UPPER(C181)&amp;"' AS TIPOLOGIA_TESTE,'"&amp;D181&amp;"' AS TABELA_LT,'N/A' AS TABELA_SIMUL,'"&amp;F181&amp;"' AS CAMPO, "&amp;"'${ref_date}' AS REF_DATE, COUNT(*) AS NUM_REG, SUM(IF(TRIM(CAST(X."&amp;F181&amp;" AS STRING)) IN ('N/A','11111111111','11111111111.00','11111111111.000000','1111-11-11'),1,0)) AS NUM_REG_DIF,'"&amp;MAX('ID1&amp;5'!K:K)+1&amp;"' AS ID_EXEC, CURRENT_TIMESTAMP() AS TIME_EXEC FROM "&amp;I181,
IF(C181="Valores extremos",+"SELECT '"&amp;UPPER(B181)&amp;"' AS TABELA, '"&amp;UPPER(C181)&amp;"' AS TIPOLOGIA_TESTE,'"&amp;D181&amp;"' AS TABELA_LT,'N/A' AS TABELA_SIMUL,'"&amp;F181&amp;"' AS CAMPO, "&amp;"'${ref_date}' AS REF_DATE, CAST(MIN("&amp;F181&amp;") AS STRING) AS VALOR_MIN, CAST(MAX("&amp;F181&amp;") AS STRING) AS VALOR_MAX,'"&amp;MAX('ID1&amp;5'!K:K)+1&amp;"' AS ID_EXEC, CURRENT_TIMESTAMP() AS TIME_EXEC FROM "&amp;MID(I181,1,LEN(I181)-2)&amp;" AND CAST("&amp;F181&amp;"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TABELA_SIMUL,'CRRYNG_AMNT_INSTRMNT' AS CAMPO, '${ref_date}' AS REF_DATE, COUNT(*) AS NUM_REG, SUM(IF(COALESCE(CAST(X.CRRYNG_AMNT_INSTRMNT AS STRING),'')&lt;&gt;COALESCE(CAST(Y.CRRYNG_AMNT_INSTRMNT_SIMUL AS STRING),'') OR (X.CRRYNG_AMNT_INSTRMNT IS NULL AND Y.CRRYNG_AMNT_INSTRMNT_SIMUL IS NOT NULL ) OR (X.CRRYNG_AMNT_INSTRMNT IS NOT NULL AND Y.CRRYNG_AMNT_INSTRMNT_SIMUL IS NULL),1,0)) AS NUM_REG_DIF,'1' AS ID_EXEC, CURRENT_TIMESTAMP() AS TIME_EXEC FROM (SELECT instrmnt_id, CRRYNG_AMNT_INSTRMNT FROM CD_LOAN_TAPES_BCE.LT002_INSTRUMENT WHERE ref_date='${ref_date}' AND nome_perimetro='Individual Corporativo' AND segmento='ESTR' AND ambito='PM' AND entidade='00100')X INNER JOIN (SELECT instrmnt_id AS instrmnt_id_SIMUL, CRRYNG_AMNT_INSTRMNT AS CRRYNG_AMNT_INSTRMNT_SIMUL FROM BU_LOANTAPE_WORK.LT002_INSTRUMENT WHERE ref_date='${ref_date}' AND nome_perimetro='Individual Corporativo' AND segmento='ESTR' AND ambito='PM' AND entidade='00100')Y ON X.INSTRMNT_ID=Y.INSTRMNT_ID_SIMUL</v>
      </c>
      <c r="M181" s="36" t="str">
        <f t="shared" si="3"/>
        <v>UNION ALL SELECT 'INSTRUMENT' AS TABELA, 'COERÊNCIA' AS TIPOLOGIA_TESTE,'CD_LOAN_TAPES_BCE.LT002_INSTRUMENT' AS TABELA_LT,'BU_LOANTAPE_WORK.LT002_INSTRUMENT' AS TABELA_SIMUL,'CRRYNG_AMNT_INSTRMNT' AS CAMPO, '${ref_date}' AS REF_DATE, COUNT(*) AS NUM_REG, SUM(IF(COALESCE(CAST(X.CRRYNG_AMNT_INSTRMNT AS STRING),'')&lt;&gt;COALESCE(CAST(Y.CRRYNG_AMNT_INSTRMNT_SIMUL AS STRING),'') OR (X.CRRYNG_AMNT_INSTRMNT IS NULL AND Y.CRRYNG_AMNT_INSTRMNT_SIMUL IS NOT NULL ) OR (X.CRRYNG_AMNT_INSTRMNT IS NOT NULL AND Y.CRRYNG_AMNT_INSTRMNT_SIMUL IS NULL),1,0)) AS NUM_REG_DIF,'1' AS ID_EXEC, CURRENT_TIMESTAMP() AS TIME_EXEC FROM (SELECT instrmnt_id, CRRYNG_AMNT_INSTRMNT FROM CD_LOAN_TAPES_BCE.LT002_INSTRUMENT WHERE ref_date='${ref_date}' AND nome_perimetro='Individual Corporativo' AND segmento='ESTR' AND ambito='PM' AND entidade='00100')X INNER JOIN (SELECT instrmnt_id AS instrmnt_id_SIMUL, CRRYNG_AMNT_INSTRMNT AS CRRYNG_AMNT_INSTRMNT_SIMUL FROM BU_LOANTAPE_WORK.LT002_INSTRUMENT WHERE ref_date='${ref_date}' AND nome_perimetro='Individual Corporativo' AND segmento='ESTR' AND ambito='PM' AND entidade='00100')Y ON X.INSTRMNT_ID=Y.INSTRMNT_ID_SIMUL</v>
      </c>
      <c r="N181" s="38" t="s">
        <v>46</v>
      </c>
    </row>
    <row r="182" spans="2:14" hidden="1">
      <c r="B182" s="34" t="s">
        <v>126</v>
      </c>
      <c r="C182" s="34" t="s">
        <v>5</v>
      </c>
      <c r="D182" s="34" t="str">
        <f>+UPPER('0. Instruções'!$D$35&amp;"."&amp;VLOOKUP(B182,'0. Instruções'!$C$27:$D$32,2,FALSE))</f>
        <v>CD_LOAN_TAPES_BCE.LT002_INSTRUMENT</v>
      </c>
      <c r="E182" s="34" t="str">
        <f>+UPPER('0. Instruções'!$D$36&amp;"."&amp;VLOOKUP(B182,'0. Instruções'!$C$27:$E$32,3,FALSE))</f>
        <v>BU_LOANTAPE_WORK.LT002_INSTRUMENT</v>
      </c>
      <c r="F182" s="34" t="s">
        <v>472</v>
      </c>
      <c r="G182" s="34"/>
      <c r="H182" s="34" t="s">
        <v>91</v>
      </c>
      <c r="I182" s="34" t="str">
        <f>"(SELECT "&amp;VLOOKUP(B182,'0. Instruções'!$C$27:$G$32,4,FALSE)&amp;", "&amp;F182&amp;" FROM "&amp;D182&amp;" WHERE "&amp;'0. Instruções'!$D$42&amp;")X"</f>
        <v>(SELECT instrmnt_id, DBT_YLD FROM CD_LOAN_TAPES_BCE.LT002_INSTRUMENT WHERE ref_date='${ref_date}' AND nome_perimetro='Individual Corporativo' AND segmento='ESTR' AND ambito='PM' AND entidade='00100')X</v>
      </c>
      <c r="J182" s="34" t="str">
        <f>"(SELECT "&amp;VLOOKUP(B182,'0. Instruções'!$C$27:$G$32,4,FALSE)&amp;" AS "&amp;VLOOKUP(B182,'0. Instruções'!$C$27:$G$32,4,FALSE)&amp;"_SIMUL, "&amp;F182&amp;" AS "&amp;F182&amp;"_SIMUL FROM "&amp;E182&amp;" WHERE "&amp;'0. Instruções'!$D$43&amp;")Y"</f>
        <v>(SELECT instrmnt_id AS instrmnt_id_SIMUL, DBT_YLD AS DBT_YLD_SIMUL FROM BU_LOANTAPE_WORK.LT002_INSTRUMENT WHERE ref_date='${ref_date}' AND nome_perimetro='Individual Corporativo' AND segmento='ESTR' AND ambito='PM' AND entidade='00100')Y</v>
      </c>
      <c r="K182" s="35" t="str">
        <f>+UPPER("ON X."&amp;VLOOKUP(B182,'0. Instruções'!$C$27:$G$32,4,FALSE)&amp;"=Y."&amp;VLOOKUP(B182,'0. Instruções'!$C$27:$G$32,4,FALSE)&amp;"_SIMUL")</f>
        <v>ON X.INSTRMNT_ID=Y.INSTRMNT_ID_SIMUL</v>
      </c>
      <c r="L182" s="35" t="str">
        <f>+IF(C182="Coerência", +IF(LEFT(G182,5)="FLOAT","SELECT '"&amp;UPPER(B182)&amp;"' AS TABELA, '"&amp;UPPER(C182)&amp;"' AS TIPOLOGIA_TESTE,'"&amp;D182&amp;"' AS TABELA_LT,'"&amp;E182&amp;"' AS TABELA_SIMUL,'"&amp;F182&amp;"' AS CAMPO, "&amp;"'${ref_date}' AS REF_DATE, COUNT(*) AS NUM_REG, SUM(IF((ABS(COALESCE(CAST(X."&amp;F182&amp;" AS DECIMAL(18,6)),0)-COALESCE(CAST(Y."&amp;F182&amp;"_SIMUL AS DECIMAL(18,6)),0))&gt;0.000001) OR (X."&amp;F182&amp;" IS NULL AND Y."&amp;F182&amp;"_SIMUL IS NOT NULL ) OR (X."&amp;F182&amp;" IS NOT NULL AND Y."&amp;F182&amp;"_SIMUL IS NULL),1,0)) AS NUM_REG_DIF,'"&amp;MAX('ID1&amp;5'!K:K)+1&amp;"' AS ID_EXEC, CURRENT_TIMESTAMP() AS TIME_EXEC FROM "&amp;I182&amp;" INNER JOIN "&amp;J182&amp;" "&amp;K182,"SELECT '"&amp;UPPER(B182)&amp;"' AS TABELA, '"&amp;UPPER(C182)&amp;"' AS TIPOLOGIA_TESTE,'"&amp;D182&amp;"' AS TABELA_LT,'"&amp;E182&amp;"' AS TABELA_SIMUL,'"&amp;F182&amp;"' AS CAMPO, "&amp;"'${ref_date}' AS REF_DATE, COUNT(*) AS NUM_REG, SUM(IF(COALESCE(CAST(X."&amp;F182&amp;" AS STRING),'')&lt;&gt;COALESCE(CAST(Y."&amp;F182&amp;"_SIMUL AS STRING),'') OR (X."&amp;F182&amp;" IS NULL AND Y."&amp;F182&amp;"_SIMUL IS NOT NULL ) OR (X."&amp;F182&amp;" IS NOT NULL AND Y."&amp;F182&amp;"_SIMUL IS NULL),1,0)) AS NUM_REG_DIF,'"&amp;MAX('ID1&amp;5'!L:L)+1&amp;"' AS ID_EXEC, CURRENT_TIMESTAMP() AS TIME_EXEC FROM "&amp;I182&amp;" INNER JOIN "&amp;J182&amp;" "&amp;K182),
IF(C182="Validade",+IF(G182="Code List","SELECT '"&amp;UPPER(B182)&amp;"' AS TABELA, '"&amp;UPPER(C182)&amp;"' AS TIPOLOGIA_TESTE,'"&amp;D182&amp;"' AS TABELA_LT,'N/A' AS TABELA_SIMUL,'"&amp;F182&amp;"' AS CAMPO, "&amp;"'${ref_date}' AS REF_DATE, COUNT(*) AS NUM_REG, SUM(IF(TRIM(CAST(X."&amp;F182&amp;" AS STRING))='' OR TRIM(CAST(X."&amp;F182&amp;" AS STRING)) IS NULL OR CAST(X."&amp;F182&amp;" AS STRING) NOT "&amp;H182&amp;",1,0)) AS NUM_REG_DIF,'"&amp;MAX('ID1&amp;5'!K:K)+1&amp;"' AS ID_EXEC, CURRENT_TIMESTAMP() AS TIME_EXEC FROM "&amp;I182,"SELECT '"&amp;UPPER(B182)&amp;"' AS TABELA, '"&amp;UPPER(C182)&amp;"' AS TIPOLOGIA_TESTE,'"&amp;D182&amp;"' AS TABELA_LT,'N/A' AS TABELA_SIMUL,'"&amp;F182&amp;"' AS CAMPO, "&amp;"'${ref_date}' AS REF_DATE, COUNT(*) AS NUM_REG, SUM(IF(TRIM(CAST(X."&amp;F182&amp;" AS STRING))='' OR TRIM(CAST(X."&amp;F182&amp;" AS STRING)) IS NULL,1,0)) AS NUM_REG_DIF,'"&amp;MAX('ID1&amp;5'!K:K)+1&amp;"' AS ID_EXEC, CURRENT_TIMESTAMP() AS TIME_EXEC FROM "&amp;I182),
IF(C182="Caracteres Especiais",+"SELECT '"&amp;UPPER(B182)&amp;"' AS TABELA, '"&amp;UPPER(C182)&amp;"' AS TIPOLOGIA_TESTE,'"&amp;D182&amp;"' AS TABELA_LT,'N/A' AS TABELA_SIMUL,'"&amp;F182&amp;"' AS CAMPO, "&amp;"'${ref_date}' AS REF_DATE, COUNT(*) AS NUM_REG, SUM(IF(REGEXP_REPLACE(TRIM(CAST(X."&amp;F182&amp;" AS STRING)),'[^a-zA-Z0-9_\\s]','') &lt;&gt;TRIM(CAST(X."&amp;F182&amp;" AS STRING)),1,0)) AS NUM_REG_DIF,'"&amp;MAX('ID1&amp;5'!K:K)+1&amp;"' AS ID_EXEC, CURRENT_TIMESTAMP() AS TIME_EXEC FROM "&amp;I182,
IF(C182="Missings",+"SELECT '"&amp;UPPER(B182)&amp;"' AS TABELA, '"&amp;UPPER(C182)&amp;"' AS TIPOLOGIA_TESTE,'"&amp;D182&amp;"' AS TABELA_LT,'N/A' AS TABELA_SIMUL,'"&amp;F182&amp;"' AS CAMPO, "&amp;"'${ref_date}' AS REF_DATE, COUNT(*) AS NUM_REG, SUM(IF(TRIM(CAST(X."&amp;F182&amp;" AS STRING)) IN ('0000-00-00','0001-01-01','9999-12-31','MISS','00000','99999999999','99999999999.00','99999999999.000000'),1,0)) AS NUM_REG_DIF,'"&amp;MAX('ID1&amp;5'!K:K)+1&amp;"' AS ID_EXEC, CURRENT_TIMESTAMP() AS TIME_EXEC FROM "&amp;I182,
IF(C182="Not applicable",+"SELECT '"&amp;UPPER(B182)&amp;"' AS TABELA, '"&amp;UPPER(C182)&amp;"' AS TIPOLOGIA_TESTE,'"&amp;D182&amp;"' AS TABELA_LT,'N/A' AS TABELA_SIMUL,'"&amp;F182&amp;"' AS CAMPO, "&amp;"'${ref_date}' AS REF_DATE, COUNT(*) AS NUM_REG, SUM(IF(TRIM(CAST(X."&amp;F182&amp;" AS STRING)) IN ('N/A','11111111111','11111111111.00','11111111111.000000','1111-11-11'),1,0)) AS NUM_REG_DIF,'"&amp;MAX('ID1&amp;5'!K:K)+1&amp;"' AS ID_EXEC, CURRENT_TIMESTAMP() AS TIME_EXEC FROM "&amp;I182,
IF(C182="Valores extremos",+"SELECT '"&amp;UPPER(B182)&amp;"' AS TABELA, '"&amp;UPPER(C182)&amp;"' AS TIPOLOGIA_TESTE,'"&amp;D182&amp;"' AS TABELA_LT,'N/A' AS TABELA_SIMUL,'"&amp;F182&amp;"' AS CAMPO, "&amp;"'${ref_date}' AS REF_DATE, CAST(MIN("&amp;F182&amp;") AS STRING) AS VALOR_MIN, CAST(MAX("&amp;F182&amp;") AS STRING) AS VALOR_MAX,'"&amp;MAX('ID1&amp;5'!K:K)+1&amp;"' AS ID_EXEC, CURRENT_TIMESTAMP() AS TIME_EXEC FROM "&amp;MID(I182,1,LEN(I182)-2)&amp;" AND CAST("&amp;F182&amp;"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TABELA_SIMUL,'DBT_YLD' AS CAMPO, '${ref_date}' AS REF_DATE, COUNT(*) AS NUM_REG, SUM(IF(COALESCE(CAST(X.DBT_YLD AS STRING),'')&lt;&gt;COALESCE(CAST(Y.DBT_YLD_SIMUL AS STRING),'') OR (X.DBT_YLD IS NULL AND Y.DBT_YLD_SIMUL IS NOT NULL ) OR (X.DBT_YLD IS NOT NULL AND Y.DBT_YLD_SIMUL IS NULL),1,0)) AS NUM_REG_DIF,'1' AS ID_EXEC, CURRENT_TIMESTAMP() AS TIME_EXEC FROM (SELECT instrmnt_id, DBT_YLD FROM CD_LOAN_TAPES_BCE.LT002_INSTRUMENT WHERE ref_date='${ref_date}' AND nome_perimetro='Individual Corporativo' AND segmento='ESTR' AND ambito='PM' AND entidade='00100')X INNER JOIN (SELECT instrmnt_id AS instrmnt_id_SIMUL, DBT_YLD AS DBT_YLD_SIMUL FROM BU_LOANTAPE_WORK.LT002_INSTRUMENT WHERE ref_date='${ref_date}' AND nome_perimetro='Individual Corporativo' AND segmento='ESTR' AND ambito='PM' AND entidade='00100')Y ON X.INSTRMNT_ID=Y.INSTRMNT_ID_SIMUL</v>
      </c>
      <c r="M182" s="36" t="str">
        <f t="shared" si="3"/>
        <v>UNION ALL SELECT 'INSTRUMENT' AS TABELA, 'COERÊNCIA' AS TIPOLOGIA_TESTE,'CD_LOAN_TAPES_BCE.LT002_INSTRUMENT' AS TABELA_LT,'BU_LOANTAPE_WORK.LT002_INSTRUMENT' AS TABELA_SIMUL,'DBT_YLD' AS CAMPO, '${ref_date}' AS REF_DATE, COUNT(*) AS NUM_REG, SUM(IF(COALESCE(CAST(X.DBT_YLD AS STRING),'')&lt;&gt;COALESCE(CAST(Y.DBT_YLD_SIMUL AS STRING),'') OR (X.DBT_YLD IS NULL AND Y.DBT_YLD_SIMUL IS NOT NULL ) OR (X.DBT_YLD IS NOT NULL AND Y.DBT_YLD_SIMUL IS NULL),1,0)) AS NUM_REG_DIF,'1' AS ID_EXEC, CURRENT_TIMESTAMP() AS TIME_EXEC FROM (SELECT instrmnt_id, DBT_YLD FROM CD_LOAN_TAPES_BCE.LT002_INSTRUMENT WHERE ref_date='${ref_date}' AND nome_perimetro='Individual Corporativo' AND segmento='ESTR' AND ambito='PM' AND entidade='00100')X INNER JOIN (SELECT instrmnt_id AS instrmnt_id_SIMUL, DBT_YLD AS DBT_YLD_SIMUL FROM BU_LOANTAPE_WORK.LT002_INSTRUMENT WHERE ref_date='${ref_date}' AND nome_perimetro='Individual Corporativo' AND segmento='ESTR' AND ambito='PM' AND entidade='00100')Y ON X.INSTRMNT_ID=Y.INSTRMNT_ID_SIMUL</v>
      </c>
      <c r="N182" s="38" t="s">
        <v>46</v>
      </c>
    </row>
    <row r="183" spans="2:14" hidden="1">
      <c r="B183" s="34" t="s">
        <v>126</v>
      </c>
      <c r="C183" s="34" t="s">
        <v>5</v>
      </c>
      <c r="D183" s="34" t="str">
        <f>+UPPER('0. Instruções'!$D$35&amp;"."&amp;VLOOKUP(B183,'0. Instruções'!$C$27:$D$32,2,FALSE))</f>
        <v>CD_LOAN_TAPES_BCE.LT002_INSTRUMENT</v>
      </c>
      <c r="E183" s="34" t="str">
        <f>+UPPER('0. Instruções'!$D$36&amp;"."&amp;VLOOKUP(B183,'0. Instruções'!$C$27:$E$32,3,FALSE))</f>
        <v>BU_LOANTAPE_WORK.LT002_INSTRUMENT</v>
      </c>
      <c r="F183" s="34" t="s">
        <v>103</v>
      </c>
      <c r="G183" s="34"/>
      <c r="H183" s="34" t="s">
        <v>645</v>
      </c>
      <c r="I183" s="34" t="str">
        <f>"(SELECT "&amp;VLOOKUP(B183,'0. Instruções'!$C$27:$G$32,4,FALSE)&amp;", "&amp;F183&amp;" FROM "&amp;D183&amp;" WHERE "&amp;'0. Instruções'!$D$42&amp;")X"</f>
        <v>(SELECT instrmnt_id, DT_LGL_FNL_MTRTY FROM CD_LOAN_TAPES_BCE.LT002_INSTRUMENT WHERE ref_date='${ref_date}' AND nome_perimetro='Individual Corporativo' AND segmento='ESTR' AND ambito='PM' AND entidade='00100')X</v>
      </c>
      <c r="J183" s="34" t="str">
        <f>"(SELECT "&amp;VLOOKUP(B183,'0. Instruções'!$C$27:$G$32,4,FALSE)&amp;" AS "&amp;VLOOKUP(B183,'0. Instruções'!$C$27:$G$32,4,FALSE)&amp;"_SIMUL, "&amp;F183&amp;" AS "&amp;F183&amp;"_SIMUL FROM "&amp;E183&amp;" WHERE "&amp;'0. Instruções'!$D$43&amp;")Y"</f>
        <v>(SELECT instrmnt_id AS instrmnt_id_SIMUL, DT_LGL_FNL_MTRTY AS DT_LGL_FNL_MTRTY_SIMUL FROM BU_LOANTAPE_WORK.LT002_INSTRUMENT WHERE ref_date='${ref_date}' AND nome_perimetro='Individual Corporativo' AND segmento='ESTR' AND ambito='PM' AND entidade='00100')Y</v>
      </c>
      <c r="K183" s="35" t="str">
        <f>+UPPER("ON X."&amp;VLOOKUP(B183,'0. Instruções'!$C$27:$G$32,4,FALSE)&amp;"=Y."&amp;VLOOKUP(B183,'0. Instruções'!$C$27:$G$32,4,FALSE)&amp;"_SIMUL")</f>
        <v>ON X.INSTRMNT_ID=Y.INSTRMNT_ID_SIMUL</v>
      </c>
      <c r="L183" s="35" t="str">
        <f>+IF(C183="Coerência", +IF(LEFT(G183,5)="FLOAT","SELECT '"&amp;UPPER(B183)&amp;"' AS TABELA, '"&amp;UPPER(C183)&amp;"' AS TIPOLOGIA_TESTE,'"&amp;D183&amp;"' AS TABELA_LT,'"&amp;E183&amp;"' AS TABELA_SIMUL,'"&amp;F183&amp;"' AS CAMPO, "&amp;"'${ref_date}' AS REF_DATE, COUNT(*) AS NUM_REG, SUM(IF((ABS(COALESCE(CAST(X."&amp;F183&amp;" AS DECIMAL(18,6)),0)-COALESCE(CAST(Y."&amp;F183&amp;"_SIMUL AS DECIMAL(18,6)),0))&gt;0.000001) OR (X."&amp;F183&amp;" IS NULL AND Y."&amp;F183&amp;"_SIMUL IS NOT NULL ) OR (X."&amp;F183&amp;" IS NOT NULL AND Y."&amp;F183&amp;"_SIMUL IS NULL),1,0)) AS NUM_REG_DIF,'"&amp;MAX('ID1&amp;5'!K:K)+1&amp;"' AS ID_EXEC, CURRENT_TIMESTAMP() AS TIME_EXEC FROM "&amp;I183&amp;" INNER JOIN "&amp;J183&amp;" "&amp;K183,"SELECT '"&amp;UPPER(B183)&amp;"' AS TABELA, '"&amp;UPPER(C183)&amp;"' AS TIPOLOGIA_TESTE,'"&amp;D183&amp;"' AS TABELA_LT,'"&amp;E183&amp;"' AS TABELA_SIMUL,'"&amp;F183&amp;"' AS CAMPO, "&amp;"'${ref_date}' AS REF_DATE, COUNT(*) AS NUM_REG, SUM(IF(COALESCE(CAST(X."&amp;F183&amp;" AS STRING),'')&lt;&gt;COALESCE(CAST(Y."&amp;F183&amp;"_SIMUL AS STRING),'') OR (X."&amp;F183&amp;" IS NULL AND Y."&amp;F183&amp;"_SIMUL IS NOT NULL ) OR (X."&amp;F183&amp;" IS NOT NULL AND Y."&amp;F183&amp;"_SIMUL IS NULL),1,0)) AS NUM_REG_DIF,'"&amp;MAX('ID1&amp;5'!L:L)+1&amp;"' AS ID_EXEC, CURRENT_TIMESTAMP() AS TIME_EXEC FROM "&amp;I183&amp;" INNER JOIN "&amp;J183&amp;" "&amp;K183),
IF(C183="Validade",+IF(G183="Code List","SELECT '"&amp;UPPER(B183)&amp;"' AS TABELA, '"&amp;UPPER(C183)&amp;"' AS TIPOLOGIA_TESTE,'"&amp;D183&amp;"' AS TABELA_LT,'N/A' AS TABELA_SIMUL,'"&amp;F183&amp;"' AS CAMPO, "&amp;"'${ref_date}' AS REF_DATE, COUNT(*) AS NUM_REG, SUM(IF(TRIM(CAST(X."&amp;F183&amp;" AS STRING))='' OR TRIM(CAST(X."&amp;F183&amp;" AS STRING)) IS NULL OR CAST(X."&amp;F183&amp;" AS STRING) NOT "&amp;H183&amp;",1,0)) AS NUM_REG_DIF,'"&amp;MAX('ID1&amp;5'!K:K)+1&amp;"' AS ID_EXEC, CURRENT_TIMESTAMP() AS TIME_EXEC FROM "&amp;I183,"SELECT '"&amp;UPPER(B183)&amp;"' AS TABELA, '"&amp;UPPER(C183)&amp;"' AS TIPOLOGIA_TESTE,'"&amp;D183&amp;"' AS TABELA_LT,'N/A' AS TABELA_SIMUL,'"&amp;F183&amp;"' AS CAMPO, "&amp;"'${ref_date}' AS REF_DATE, COUNT(*) AS NUM_REG, SUM(IF(TRIM(CAST(X."&amp;F183&amp;" AS STRING))='' OR TRIM(CAST(X."&amp;F183&amp;" AS STRING)) IS NULL,1,0)) AS NUM_REG_DIF,'"&amp;MAX('ID1&amp;5'!K:K)+1&amp;"' AS ID_EXEC, CURRENT_TIMESTAMP() AS TIME_EXEC FROM "&amp;I183),
IF(C183="Caracteres Especiais",+"SELECT '"&amp;UPPER(B183)&amp;"' AS TABELA, '"&amp;UPPER(C183)&amp;"' AS TIPOLOGIA_TESTE,'"&amp;D183&amp;"' AS TABELA_LT,'N/A' AS TABELA_SIMUL,'"&amp;F183&amp;"' AS CAMPO, "&amp;"'${ref_date}' AS REF_DATE, COUNT(*) AS NUM_REG, SUM(IF(REGEXP_REPLACE(TRIM(CAST(X."&amp;F183&amp;" AS STRING)),'[^a-zA-Z0-9_\\s]','') &lt;&gt;TRIM(CAST(X."&amp;F183&amp;" AS STRING)),1,0)) AS NUM_REG_DIF,'"&amp;MAX('ID1&amp;5'!K:K)+1&amp;"' AS ID_EXEC, CURRENT_TIMESTAMP() AS TIME_EXEC FROM "&amp;I183,
IF(C183="Missings",+"SELECT '"&amp;UPPER(B183)&amp;"' AS TABELA, '"&amp;UPPER(C183)&amp;"' AS TIPOLOGIA_TESTE,'"&amp;D183&amp;"' AS TABELA_LT,'N/A' AS TABELA_SIMUL,'"&amp;F183&amp;"' AS CAMPO, "&amp;"'${ref_date}' AS REF_DATE, COUNT(*) AS NUM_REG, SUM(IF(TRIM(CAST(X."&amp;F183&amp;" AS STRING)) IN ('0000-00-00','0001-01-01','9999-12-31','MISS','00000','99999999999','99999999999.00','99999999999.000000'),1,0)) AS NUM_REG_DIF,'"&amp;MAX('ID1&amp;5'!K:K)+1&amp;"' AS ID_EXEC, CURRENT_TIMESTAMP() AS TIME_EXEC FROM "&amp;I183,
IF(C183="Not applicable",+"SELECT '"&amp;UPPER(B183)&amp;"' AS TABELA, '"&amp;UPPER(C183)&amp;"' AS TIPOLOGIA_TESTE,'"&amp;D183&amp;"' AS TABELA_LT,'N/A' AS TABELA_SIMUL,'"&amp;F183&amp;"' AS CAMPO, "&amp;"'${ref_date}' AS REF_DATE, COUNT(*) AS NUM_REG, SUM(IF(TRIM(CAST(X."&amp;F183&amp;" AS STRING)) IN ('N/A','11111111111','11111111111.00','11111111111.000000','1111-11-11'),1,0)) AS NUM_REG_DIF,'"&amp;MAX('ID1&amp;5'!K:K)+1&amp;"' AS ID_EXEC, CURRENT_TIMESTAMP() AS TIME_EXEC FROM "&amp;I183,
IF(C183="Valores extremos",+"SELECT '"&amp;UPPER(B183)&amp;"' AS TABELA, '"&amp;UPPER(C183)&amp;"' AS TIPOLOGIA_TESTE,'"&amp;D183&amp;"' AS TABELA_LT,'N/A' AS TABELA_SIMUL,'"&amp;F183&amp;"' AS CAMPO, "&amp;"'${ref_date}' AS REF_DATE, CAST(MIN("&amp;F183&amp;") AS STRING) AS VALOR_MIN, CAST(MAX("&amp;F183&amp;") AS STRING) AS VALOR_MAX,'"&amp;MAX('ID1&amp;5'!K:K)+1&amp;"' AS ID_EXEC, CURRENT_TIMESTAMP() AS TIME_EXEC FROM "&amp;MID(I183,1,LEN(I183)-2)&amp;" AND CAST("&amp;F183&amp;"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TABELA_SIMUL,'DT_LGL_FNL_MTRTY' AS CAMPO, '${ref_date}' AS REF_DATE, COUNT(*) AS NUM_REG, SUM(IF(COALESCE(CAST(X.DT_LGL_FNL_MTRTY AS STRING),'')&lt;&gt;COALESCE(CAST(Y.DT_LGL_FNL_MTRTY_SIMUL AS STRING),'') OR (X.DT_LGL_FNL_MTRTY IS NULL AND Y.DT_LGL_FNL_MTRTY_SIMUL IS NOT NULL ) OR (X.DT_LGL_FNL_MTRTY IS NOT NULL AND Y.DT_LGL_FNL_MTRTY_SIMUL IS NULL),1,0)) AS NUM_REG_DIF,'1' AS ID_EXEC, CURRENT_TIMESTAMP() AS TIME_EXEC FROM (SELECT instrmnt_id, DT_LGL_FNL_MTRTY FROM CD_LOAN_TAPES_BCE.LT002_INSTRUMENT WHERE ref_date='${ref_date}' AND nome_perimetro='Individual Corporativo' AND segmento='ESTR' AND ambito='PM' AND entidade='00100')X INNER JOIN (SELECT instrmnt_id AS instrmnt_id_SIMUL, DT_LGL_FNL_MTRTY AS DT_LGL_FNL_MTRTY_SIMUL FROM BU_LOANTAPE_WORK.LT002_INSTRUMENT WHERE ref_date='${ref_date}' AND nome_perimetro='Individual Corporativo' AND segmento='ESTR' AND ambito='PM' AND entidade='00100')Y ON X.INSTRMNT_ID=Y.INSTRMNT_ID_SIMUL</v>
      </c>
      <c r="M183" s="36" t="str">
        <f t="shared" si="3"/>
        <v>UNION ALL SELECT 'INSTRUMENT' AS TABELA, 'COERÊNCIA' AS TIPOLOGIA_TESTE,'CD_LOAN_TAPES_BCE.LT002_INSTRUMENT' AS TABELA_LT,'BU_LOANTAPE_WORK.LT002_INSTRUMENT' AS TABELA_SIMUL,'DT_LGL_FNL_MTRTY' AS CAMPO, '${ref_date}' AS REF_DATE, COUNT(*) AS NUM_REG, SUM(IF(COALESCE(CAST(X.DT_LGL_FNL_MTRTY AS STRING),'')&lt;&gt;COALESCE(CAST(Y.DT_LGL_FNL_MTRTY_SIMUL AS STRING),'') OR (X.DT_LGL_FNL_MTRTY IS NULL AND Y.DT_LGL_FNL_MTRTY_SIMUL IS NOT NULL ) OR (X.DT_LGL_FNL_MTRTY IS NOT NULL AND Y.DT_LGL_FNL_MTRTY_SIMUL IS NULL),1,0)) AS NUM_REG_DIF,'1' AS ID_EXEC, CURRENT_TIMESTAMP() AS TIME_EXEC FROM (SELECT instrmnt_id, DT_LGL_FNL_MTRTY FROM CD_LOAN_TAPES_BCE.LT002_INSTRUMENT WHERE ref_date='${ref_date}' AND nome_perimetro='Individual Corporativo' AND segmento='ESTR' AND ambito='PM' AND entidade='00100')X INNER JOIN (SELECT instrmnt_id AS instrmnt_id_SIMUL, DT_LGL_FNL_MTRTY AS DT_LGL_FNL_MTRTY_SIMUL FROM BU_LOANTAPE_WORK.LT002_INSTRUMENT WHERE ref_date='${ref_date}' AND nome_perimetro='Individual Corporativo' AND segmento='ESTR' AND ambito='PM' AND entidade='00100')Y ON X.INSTRMNT_ID=Y.INSTRMNT_ID_SIMUL</v>
      </c>
      <c r="N183" s="38" t="s">
        <v>46</v>
      </c>
    </row>
    <row r="184" spans="2:14" hidden="1">
      <c r="B184" s="34" t="s">
        <v>126</v>
      </c>
      <c r="C184" s="34" t="s">
        <v>5</v>
      </c>
      <c r="D184" s="34" t="str">
        <f>+UPPER('0. Instruções'!$D$35&amp;"."&amp;VLOOKUP(B184,'0. Instruções'!$C$27:$D$32,2,FALSE))</f>
        <v>CD_LOAN_TAPES_BCE.LT002_INSTRUMENT</v>
      </c>
      <c r="E184" s="34" t="str">
        <f>+UPPER('0. Instruções'!$D$36&amp;"."&amp;VLOOKUP(B184,'0. Instruções'!$C$27:$E$32,3,FALSE))</f>
        <v>BU_LOANTAPE_WORK.LT002_INSTRUMENT</v>
      </c>
      <c r="F184" s="34" t="s">
        <v>473</v>
      </c>
      <c r="G184" s="34"/>
      <c r="H184" s="34" t="s">
        <v>645</v>
      </c>
      <c r="I184" s="34" t="str">
        <f>"(SELECT "&amp;VLOOKUP(B184,'0. Instruções'!$C$27:$G$32,4,FALSE)&amp;", "&amp;F184&amp;" FROM "&amp;D184&amp;" WHERE "&amp;'0. Instruções'!$D$42&amp;")X"</f>
        <v>(SELECT instrmnt_id, DT_NXT_INTRST_RT_RST FROM CD_LOAN_TAPES_BCE.LT002_INSTRUMENT WHERE ref_date='${ref_date}' AND nome_perimetro='Individual Corporativo' AND segmento='ESTR' AND ambito='PM' AND entidade='00100')X</v>
      </c>
      <c r="J184" s="34" t="str">
        <f>"(SELECT "&amp;VLOOKUP(B184,'0. Instruções'!$C$27:$G$32,4,FALSE)&amp;" AS "&amp;VLOOKUP(B184,'0. Instruções'!$C$27:$G$32,4,FALSE)&amp;"_SIMUL, "&amp;F184&amp;" AS "&amp;F184&amp;"_SIMUL FROM "&amp;E184&amp;" WHERE "&amp;'0. Instruções'!$D$43&amp;")Y"</f>
        <v>(SELECT instrmnt_id AS instrmnt_id_SIMUL, DT_NXT_INTRST_RT_RST AS DT_NXT_INTRST_RT_RST_SIMUL FROM BU_LOANTAPE_WORK.LT002_INSTRUMENT WHERE ref_date='${ref_date}' AND nome_perimetro='Individual Corporativo' AND segmento='ESTR' AND ambito='PM' AND entidade='00100')Y</v>
      </c>
      <c r="K184" s="35" t="str">
        <f>+UPPER("ON X."&amp;VLOOKUP(B184,'0. Instruções'!$C$27:$G$32,4,FALSE)&amp;"=Y."&amp;VLOOKUP(B184,'0. Instruções'!$C$27:$G$32,4,FALSE)&amp;"_SIMUL")</f>
        <v>ON X.INSTRMNT_ID=Y.INSTRMNT_ID_SIMUL</v>
      </c>
      <c r="L184" s="35" t="str">
        <f>+IF(C184="Coerência", +IF(LEFT(G184,5)="FLOAT","SELECT '"&amp;UPPER(B184)&amp;"' AS TABELA, '"&amp;UPPER(C184)&amp;"' AS TIPOLOGIA_TESTE,'"&amp;D184&amp;"' AS TABELA_LT,'"&amp;E184&amp;"' AS TABELA_SIMUL,'"&amp;F184&amp;"' AS CAMPO, "&amp;"'${ref_date}' AS REF_DATE, COUNT(*) AS NUM_REG, SUM(IF((ABS(COALESCE(CAST(X."&amp;F184&amp;" AS DECIMAL(18,6)),0)-COALESCE(CAST(Y."&amp;F184&amp;"_SIMUL AS DECIMAL(18,6)),0))&gt;0.000001) OR (X."&amp;F184&amp;" IS NULL AND Y."&amp;F184&amp;"_SIMUL IS NOT NULL ) OR (X."&amp;F184&amp;" IS NOT NULL AND Y."&amp;F184&amp;"_SIMUL IS NULL),1,0)) AS NUM_REG_DIF,'"&amp;MAX('ID1&amp;5'!K:K)+1&amp;"' AS ID_EXEC, CURRENT_TIMESTAMP() AS TIME_EXEC FROM "&amp;I184&amp;" INNER JOIN "&amp;J184&amp;" "&amp;K184,"SELECT '"&amp;UPPER(B184)&amp;"' AS TABELA, '"&amp;UPPER(C184)&amp;"' AS TIPOLOGIA_TESTE,'"&amp;D184&amp;"' AS TABELA_LT,'"&amp;E184&amp;"' AS TABELA_SIMUL,'"&amp;F184&amp;"' AS CAMPO, "&amp;"'${ref_date}' AS REF_DATE, COUNT(*) AS NUM_REG, SUM(IF(COALESCE(CAST(X."&amp;F184&amp;" AS STRING),'')&lt;&gt;COALESCE(CAST(Y."&amp;F184&amp;"_SIMUL AS STRING),'') OR (X."&amp;F184&amp;" IS NULL AND Y."&amp;F184&amp;"_SIMUL IS NOT NULL ) OR (X."&amp;F184&amp;" IS NOT NULL AND Y."&amp;F184&amp;"_SIMUL IS NULL),1,0)) AS NUM_REG_DIF,'"&amp;MAX('ID1&amp;5'!L:L)+1&amp;"' AS ID_EXEC, CURRENT_TIMESTAMP() AS TIME_EXEC FROM "&amp;I184&amp;" INNER JOIN "&amp;J184&amp;" "&amp;K184),
IF(C184="Validade",+IF(G184="Code List","SELECT '"&amp;UPPER(B184)&amp;"' AS TABELA, '"&amp;UPPER(C184)&amp;"' AS TIPOLOGIA_TESTE,'"&amp;D184&amp;"' AS TABELA_LT,'N/A' AS TABELA_SIMUL,'"&amp;F184&amp;"' AS CAMPO, "&amp;"'${ref_date}' AS REF_DATE, COUNT(*) AS NUM_REG, SUM(IF(TRIM(CAST(X."&amp;F184&amp;" AS STRING))='' OR TRIM(CAST(X."&amp;F184&amp;" AS STRING)) IS NULL OR CAST(X."&amp;F184&amp;" AS STRING) NOT "&amp;H184&amp;",1,0)) AS NUM_REG_DIF,'"&amp;MAX('ID1&amp;5'!K:K)+1&amp;"' AS ID_EXEC, CURRENT_TIMESTAMP() AS TIME_EXEC FROM "&amp;I184,"SELECT '"&amp;UPPER(B184)&amp;"' AS TABELA, '"&amp;UPPER(C184)&amp;"' AS TIPOLOGIA_TESTE,'"&amp;D184&amp;"' AS TABELA_LT,'N/A' AS TABELA_SIMUL,'"&amp;F184&amp;"' AS CAMPO, "&amp;"'${ref_date}' AS REF_DATE, COUNT(*) AS NUM_REG, SUM(IF(TRIM(CAST(X."&amp;F184&amp;" AS STRING))='' OR TRIM(CAST(X."&amp;F184&amp;" AS STRING)) IS NULL,1,0)) AS NUM_REG_DIF,'"&amp;MAX('ID1&amp;5'!K:K)+1&amp;"' AS ID_EXEC, CURRENT_TIMESTAMP() AS TIME_EXEC FROM "&amp;I184),
IF(C184="Caracteres Especiais",+"SELECT '"&amp;UPPER(B184)&amp;"' AS TABELA, '"&amp;UPPER(C184)&amp;"' AS TIPOLOGIA_TESTE,'"&amp;D184&amp;"' AS TABELA_LT,'N/A' AS TABELA_SIMUL,'"&amp;F184&amp;"' AS CAMPO, "&amp;"'${ref_date}' AS REF_DATE, COUNT(*) AS NUM_REG, SUM(IF(REGEXP_REPLACE(TRIM(CAST(X."&amp;F184&amp;" AS STRING)),'[^a-zA-Z0-9_\\s]','') &lt;&gt;TRIM(CAST(X."&amp;F184&amp;" AS STRING)),1,0)) AS NUM_REG_DIF,'"&amp;MAX('ID1&amp;5'!K:K)+1&amp;"' AS ID_EXEC, CURRENT_TIMESTAMP() AS TIME_EXEC FROM "&amp;I184,
IF(C184="Missings",+"SELECT '"&amp;UPPER(B184)&amp;"' AS TABELA, '"&amp;UPPER(C184)&amp;"' AS TIPOLOGIA_TESTE,'"&amp;D184&amp;"' AS TABELA_LT,'N/A' AS TABELA_SIMUL,'"&amp;F184&amp;"' AS CAMPO, "&amp;"'${ref_date}' AS REF_DATE, COUNT(*) AS NUM_REG, SUM(IF(TRIM(CAST(X."&amp;F184&amp;" AS STRING)) IN ('0000-00-00','0001-01-01','9999-12-31','MISS','00000','99999999999','99999999999.00','99999999999.000000'),1,0)) AS NUM_REG_DIF,'"&amp;MAX('ID1&amp;5'!K:K)+1&amp;"' AS ID_EXEC, CURRENT_TIMESTAMP() AS TIME_EXEC FROM "&amp;I184,
IF(C184="Not applicable",+"SELECT '"&amp;UPPER(B184)&amp;"' AS TABELA, '"&amp;UPPER(C184)&amp;"' AS TIPOLOGIA_TESTE,'"&amp;D184&amp;"' AS TABELA_LT,'N/A' AS TABELA_SIMUL,'"&amp;F184&amp;"' AS CAMPO, "&amp;"'${ref_date}' AS REF_DATE, COUNT(*) AS NUM_REG, SUM(IF(TRIM(CAST(X."&amp;F184&amp;" AS STRING)) IN ('N/A','11111111111','11111111111.00','11111111111.000000','1111-11-11'),1,0)) AS NUM_REG_DIF,'"&amp;MAX('ID1&amp;5'!K:K)+1&amp;"' AS ID_EXEC, CURRENT_TIMESTAMP() AS TIME_EXEC FROM "&amp;I184,
IF(C184="Valores extremos",+"SELECT '"&amp;UPPER(B184)&amp;"' AS TABELA, '"&amp;UPPER(C184)&amp;"' AS TIPOLOGIA_TESTE,'"&amp;D184&amp;"' AS TABELA_LT,'N/A' AS TABELA_SIMUL,'"&amp;F184&amp;"' AS CAMPO, "&amp;"'${ref_date}' AS REF_DATE, CAST(MIN("&amp;F184&amp;") AS STRING) AS VALOR_MIN, CAST(MAX("&amp;F184&amp;") AS STRING) AS VALOR_MAX,'"&amp;MAX('ID1&amp;5'!K:K)+1&amp;"' AS ID_EXEC, CURRENT_TIMESTAMP() AS TIME_EXEC FROM "&amp;MID(I184,1,LEN(I184)-2)&amp;" AND CAST("&amp;F184&amp;"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TABELA_SIMUL,'DT_NXT_INTRST_RT_RST' AS CAMPO, '${ref_date}' AS REF_DATE, COUNT(*) AS NUM_REG, SUM(IF(COALESCE(CAST(X.DT_NXT_INTRST_RT_RST AS STRING),'')&lt;&gt;COALESCE(CAST(Y.DT_NXT_INTRST_RT_RST_SIMUL AS STRING),'') OR (X.DT_NXT_INTRST_RT_RST IS NULL AND Y.DT_NXT_INTRST_RT_RST_SIMUL IS NOT NULL ) OR (X.DT_NXT_INTRST_RT_RST IS NOT NULL AND Y.DT_NXT_INTRST_RT_RST_SIMUL IS NULL),1,0)) AS NUM_REG_DIF,'1' AS ID_EXEC, CURRENT_TIMESTAMP() AS TIME_EXEC FROM (SELECT instrmnt_id, DT_NXT_INTRST_RT_RST FROM CD_LOAN_TAPES_BCE.LT002_INSTRUMENT WHERE ref_date='${ref_date}' AND nome_perimetro='Individual Corporativo' AND segmento='ESTR' AND ambito='PM' AND entidade='00100')X INNER JOIN (SELECT instrmnt_id AS instrmnt_id_SIMUL, DT_NXT_INTRST_RT_RST AS DT_NXT_INTRST_RT_RST_SIMUL FROM BU_LOANTAPE_WORK.LT002_INSTRUMENT WHERE ref_date='${ref_date}' AND nome_perimetro='Individual Corporativo' AND segmento='ESTR' AND ambito='PM' AND entidade='00100')Y ON X.INSTRMNT_ID=Y.INSTRMNT_ID_SIMUL</v>
      </c>
      <c r="M184" s="36" t="str">
        <f t="shared" si="3"/>
        <v>UNION ALL SELECT 'INSTRUMENT' AS TABELA, 'COERÊNCIA' AS TIPOLOGIA_TESTE,'CD_LOAN_TAPES_BCE.LT002_INSTRUMENT' AS TABELA_LT,'BU_LOANTAPE_WORK.LT002_INSTRUMENT' AS TABELA_SIMUL,'DT_NXT_INTRST_RT_RST' AS CAMPO, '${ref_date}' AS REF_DATE, COUNT(*) AS NUM_REG, SUM(IF(COALESCE(CAST(X.DT_NXT_INTRST_RT_RST AS STRING),'')&lt;&gt;COALESCE(CAST(Y.DT_NXT_INTRST_RT_RST_SIMUL AS STRING),'') OR (X.DT_NXT_INTRST_RT_RST IS NULL AND Y.DT_NXT_INTRST_RT_RST_SIMUL IS NOT NULL ) OR (X.DT_NXT_INTRST_RT_RST IS NOT NULL AND Y.DT_NXT_INTRST_RT_RST_SIMUL IS NULL),1,0)) AS NUM_REG_DIF,'1' AS ID_EXEC, CURRENT_TIMESTAMP() AS TIME_EXEC FROM (SELECT instrmnt_id, DT_NXT_INTRST_RT_RST FROM CD_LOAN_TAPES_BCE.LT002_INSTRUMENT WHERE ref_date='${ref_date}' AND nome_perimetro='Individual Corporativo' AND segmento='ESTR' AND ambito='PM' AND entidade='00100')X INNER JOIN (SELECT instrmnt_id AS instrmnt_id_SIMUL, DT_NXT_INTRST_RT_RST AS DT_NXT_INTRST_RT_RST_SIMUL FROM BU_LOANTAPE_WORK.LT002_INSTRUMENT WHERE ref_date='${ref_date}' AND nome_perimetro='Individual Corporativo' AND segmento='ESTR' AND ambito='PM' AND entidade='00100')Y ON X.INSTRMNT_ID=Y.INSTRMNT_ID_SIMUL</v>
      </c>
      <c r="N184" s="38" t="s">
        <v>46</v>
      </c>
    </row>
    <row r="185" spans="2:14" hidden="1">
      <c r="B185" s="34" t="s">
        <v>126</v>
      </c>
      <c r="C185" s="34" t="s">
        <v>5</v>
      </c>
      <c r="D185" s="34" t="str">
        <f>+UPPER('0. Instruções'!$D$35&amp;"."&amp;VLOOKUP(B185,'0. Instruções'!$C$27:$D$32,2,FALSE))</f>
        <v>CD_LOAN_TAPES_BCE.LT002_INSTRUMENT</v>
      </c>
      <c r="E185" s="34" t="str">
        <f>+UPPER('0. Instruções'!$D$36&amp;"."&amp;VLOOKUP(B185,'0. Instruções'!$C$27:$E$32,3,FALSE))</f>
        <v>BU_LOANTAPE_WORK.LT002_INSTRUMENT</v>
      </c>
      <c r="F185" s="34" t="s">
        <v>474</v>
      </c>
      <c r="G185" s="34"/>
      <c r="H185" s="34" t="s">
        <v>645</v>
      </c>
      <c r="I185" s="34" t="str">
        <f>"(SELECT "&amp;VLOOKUP(B185,'0. Instruções'!$C$27:$G$32,4,FALSE)&amp;", "&amp;F185&amp;" FROM "&amp;D185&amp;" WHERE "&amp;'0. Instruções'!$D$42&amp;")X"</f>
        <v>(SELECT instrmnt_id, DT_ORGNL_MTRTY FROM CD_LOAN_TAPES_BCE.LT002_INSTRUMENT WHERE ref_date='${ref_date}' AND nome_perimetro='Individual Corporativo' AND segmento='ESTR' AND ambito='PM' AND entidade='00100')X</v>
      </c>
      <c r="J185" s="34" t="str">
        <f>"(SELECT "&amp;VLOOKUP(B185,'0. Instruções'!$C$27:$G$32,4,FALSE)&amp;" AS "&amp;VLOOKUP(B185,'0. Instruções'!$C$27:$G$32,4,FALSE)&amp;"_SIMUL, "&amp;F185&amp;" AS "&amp;F185&amp;"_SIMUL FROM "&amp;E185&amp;" WHERE "&amp;'0. Instruções'!$D$43&amp;")Y"</f>
        <v>(SELECT instrmnt_id AS instrmnt_id_SIMUL, DT_ORGNL_MTRTY AS DT_ORGNL_MTRTY_SIMUL FROM BU_LOANTAPE_WORK.LT002_INSTRUMENT WHERE ref_date='${ref_date}' AND nome_perimetro='Individual Corporativo' AND segmento='ESTR' AND ambito='PM' AND entidade='00100')Y</v>
      </c>
      <c r="K185" s="35" t="str">
        <f>+UPPER("ON X."&amp;VLOOKUP(B185,'0. Instruções'!$C$27:$G$32,4,FALSE)&amp;"=Y."&amp;VLOOKUP(B185,'0. Instruções'!$C$27:$G$32,4,FALSE)&amp;"_SIMUL")</f>
        <v>ON X.INSTRMNT_ID=Y.INSTRMNT_ID_SIMUL</v>
      </c>
      <c r="L185" s="35" t="str">
        <f>+IF(C185="Coerência", +IF(LEFT(G185,5)="FLOAT","SELECT '"&amp;UPPER(B185)&amp;"' AS TABELA, '"&amp;UPPER(C185)&amp;"' AS TIPOLOGIA_TESTE,'"&amp;D185&amp;"' AS TABELA_LT,'"&amp;E185&amp;"' AS TABELA_SIMUL,'"&amp;F185&amp;"' AS CAMPO, "&amp;"'${ref_date}' AS REF_DATE, COUNT(*) AS NUM_REG, SUM(IF((ABS(COALESCE(CAST(X."&amp;F185&amp;" AS DECIMAL(18,6)),0)-COALESCE(CAST(Y."&amp;F185&amp;"_SIMUL AS DECIMAL(18,6)),0))&gt;0.000001) OR (X."&amp;F185&amp;" IS NULL AND Y."&amp;F185&amp;"_SIMUL IS NOT NULL ) OR (X."&amp;F185&amp;" IS NOT NULL AND Y."&amp;F185&amp;"_SIMUL IS NULL),1,0)) AS NUM_REG_DIF,'"&amp;MAX('ID1&amp;5'!K:K)+1&amp;"' AS ID_EXEC, CURRENT_TIMESTAMP() AS TIME_EXEC FROM "&amp;I185&amp;" INNER JOIN "&amp;J185&amp;" "&amp;K185,"SELECT '"&amp;UPPER(B185)&amp;"' AS TABELA, '"&amp;UPPER(C185)&amp;"' AS TIPOLOGIA_TESTE,'"&amp;D185&amp;"' AS TABELA_LT,'"&amp;E185&amp;"' AS TABELA_SIMUL,'"&amp;F185&amp;"' AS CAMPO, "&amp;"'${ref_date}' AS REF_DATE, COUNT(*) AS NUM_REG, SUM(IF(COALESCE(CAST(X."&amp;F185&amp;" AS STRING),'')&lt;&gt;COALESCE(CAST(Y."&amp;F185&amp;"_SIMUL AS STRING),'') OR (X."&amp;F185&amp;" IS NULL AND Y."&amp;F185&amp;"_SIMUL IS NOT NULL ) OR (X."&amp;F185&amp;" IS NOT NULL AND Y."&amp;F185&amp;"_SIMUL IS NULL),1,0)) AS NUM_REG_DIF,'"&amp;MAX('ID1&amp;5'!L:L)+1&amp;"' AS ID_EXEC, CURRENT_TIMESTAMP() AS TIME_EXEC FROM "&amp;I185&amp;" INNER JOIN "&amp;J185&amp;" "&amp;K185),
IF(C185="Validade",+IF(G185="Code List","SELECT '"&amp;UPPER(B185)&amp;"' AS TABELA, '"&amp;UPPER(C185)&amp;"' AS TIPOLOGIA_TESTE,'"&amp;D185&amp;"' AS TABELA_LT,'N/A' AS TABELA_SIMUL,'"&amp;F185&amp;"' AS CAMPO, "&amp;"'${ref_date}' AS REF_DATE, COUNT(*) AS NUM_REG, SUM(IF(TRIM(CAST(X."&amp;F185&amp;" AS STRING))='' OR TRIM(CAST(X."&amp;F185&amp;" AS STRING)) IS NULL OR CAST(X."&amp;F185&amp;" AS STRING) NOT "&amp;H185&amp;",1,0)) AS NUM_REG_DIF,'"&amp;MAX('ID1&amp;5'!K:K)+1&amp;"' AS ID_EXEC, CURRENT_TIMESTAMP() AS TIME_EXEC FROM "&amp;I185,"SELECT '"&amp;UPPER(B185)&amp;"' AS TABELA, '"&amp;UPPER(C185)&amp;"' AS TIPOLOGIA_TESTE,'"&amp;D185&amp;"' AS TABELA_LT,'N/A' AS TABELA_SIMUL,'"&amp;F185&amp;"' AS CAMPO, "&amp;"'${ref_date}' AS REF_DATE, COUNT(*) AS NUM_REG, SUM(IF(TRIM(CAST(X."&amp;F185&amp;" AS STRING))='' OR TRIM(CAST(X."&amp;F185&amp;" AS STRING)) IS NULL,1,0)) AS NUM_REG_DIF,'"&amp;MAX('ID1&amp;5'!K:K)+1&amp;"' AS ID_EXEC, CURRENT_TIMESTAMP() AS TIME_EXEC FROM "&amp;I185),
IF(C185="Caracteres Especiais",+"SELECT '"&amp;UPPER(B185)&amp;"' AS TABELA, '"&amp;UPPER(C185)&amp;"' AS TIPOLOGIA_TESTE,'"&amp;D185&amp;"' AS TABELA_LT,'N/A' AS TABELA_SIMUL,'"&amp;F185&amp;"' AS CAMPO, "&amp;"'${ref_date}' AS REF_DATE, COUNT(*) AS NUM_REG, SUM(IF(REGEXP_REPLACE(TRIM(CAST(X."&amp;F185&amp;" AS STRING)),'[^a-zA-Z0-9_\\s]','') &lt;&gt;TRIM(CAST(X."&amp;F185&amp;" AS STRING)),1,0)) AS NUM_REG_DIF,'"&amp;MAX('ID1&amp;5'!K:K)+1&amp;"' AS ID_EXEC, CURRENT_TIMESTAMP() AS TIME_EXEC FROM "&amp;I185,
IF(C185="Missings",+"SELECT '"&amp;UPPER(B185)&amp;"' AS TABELA, '"&amp;UPPER(C185)&amp;"' AS TIPOLOGIA_TESTE,'"&amp;D185&amp;"' AS TABELA_LT,'N/A' AS TABELA_SIMUL,'"&amp;F185&amp;"' AS CAMPO, "&amp;"'${ref_date}' AS REF_DATE, COUNT(*) AS NUM_REG, SUM(IF(TRIM(CAST(X."&amp;F185&amp;" AS STRING)) IN ('0000-00-00','0001-01-01','9999-12-31','MISS','00000','99999999999','99999999999.00','99999999999.000000'),1,0)) AS NUM_REG_DIF,'"&amp;MAX('ID1&amp;5'!K:K)+1&amp;"' AS ID_EXEC, CURRENT_TIMESTAMP() AS TIME_EXEC FROM "&amp;I185,
IF(C185="Not applicable",+"SELECT '"&amp;UPPER(B185)&amp;"' AS TABELA, '"&amp;UPPER(C185)&amp;"' AS TIPOLOGIA_TESTE,'"&amp;D185&amp;"' AS TABELA_LT,'N/A' AS TABELA_SIMUL,'"&amp;F185&amp;"' AS CAMPO, "&amp;"'${ref_date}' AS REF_DATE, COUNT(*) AS NUM_REG, SUM(IF(TRIM(CAST(X."&amp;F185&amp;" AS STRING)) IN ('N/A','11111111111','11111111111.00','11111111111.000000','1111-11-11'),1,0)) AS NUM_REG_DIF,'"&amp;MAX('ID1&amp;5'!K:K)+1&amp;"' AS ID_EXEC, CURRENT_TIMESTAMP() AS TIME_EXEC FROM "&amp;I185,
IF(C185="Valores extremos",+"SELECT '"&amp;UPPER(B185)&amp;"' AS TABELA, '"&amp;UPPER(C185)&amp;"' AS TIPOLOGIA_TESTE,'"&amp;D185&amp;"' AS TABELA_LT,'N/A' AS TABELA_SIMUL,'"&amp;F185&amp;"' AS CAMPO, "&amp;"'${ref_date}' AS REF_DATE, CAST(MIN("&amp;F185&amp;") AS STRING) AS VALOR_MIN, CAST(MAX("&amp;F185&amp;") AS STRING) AS VALOR_MAX,'"&amp;MAX('ID1&amp;5'!K:K)+1&amp;"' AS ID_EXEC, CURRENT_TIMESTAMP() AS TIME_EXEC FROM "&amp;MID(I185,1,LEN(I185)-2)&amp;" AND CAST("&amp;F185&amp;"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TABELA_SIMUL,'DT_ORGNL_MTRTY' AS CAMPO, '${ref_date}' AS REF_DATE, COUNT(*) AS NUM_REG, SUM(IF(COALESCE(CAST(X.DT_ORGNL_MTRTY AS STRING),'')&lt;&gt;COALESCE(CAST(Y.DT_ORGNL_MTRTY_SIMUL AS STRING),'') OR (X.DT_ORGNL_MTRTY IS NULL AND Y.DT_ORGNL_MTRTY_SIMUL IS NOT NULL ) OR (X.DT_ORGNL_MTRTY IS NOT NULL AND Y.DT_ORGNL_MTRTY_SIMUL IS NULL),1,0)) AS NUM_REG_DIF,'1' AS ID_EXEC, CURRENT_TIMESTAMP() AS TIME_EXEC FROM (SELECT instrmnt_id, DT_ORGNL_MTRTY FROM CD_LOAN_TAPES_BCE.LT002_INSTRUMENT WHERE ref_date='${ref_date}' AND nome_perimetro='Individual Corporativo' AND segmento='ESTR' AND ambito='PM' AND entidade='00100')X INNER JOIN (SELECT instrmnt_id AS instrmnt_id_SIMUL, DT_ORGNL_MTRTY AS DT_ORGNL_MTRTY_SIMUL FROM BU_LOANTAPE_WORK.LT002_INSTRUMENT WHERE ref_date='${ref_date}' AND nome_perimetro='Individual Corporativo' AND segmento='ESTR' AND ambito='PM' AND entidade='00100')Y ON X.INSTRMNT_ID=Y.INSTRMNT_ID_SIMUL</v>
      </c>
      <c r="M185" s="36" t="str">
        <f t="shared" si="3"/>
        <v>UNION ALL SELECT 'INSTRUMENT' AS TABELA, 'COERÊNCIA' AS TIPOLOGIA_TESTE,'CD_LOAN_TAPES_BCE.LT002_INSTRUMENT' AS TABELA_LT,'BU_LOANTAPE_WORK.LT002_INSTRUMENT' AS TABELA_SIMUL,'DT_ORGNL_MTRTY' AS CAMPO, '${ref_date}' AS REF_DATE, COUNT(*) AS NUM_REG, SUM(IF(COALESCE(CAST(X.DT_ORGNL_MTRTY AS STRING),'')&lt;&gt;COALESCE(CAST(Y.DT_ORGNL_MTRTY_SIMUL AS STRING),'') OR (X.DT_ORGNL_MTRTY IS NULL AND Y.DT_ORGNL_MTRTY_SIMUL IS NOT NULL ) OR (X.DT_ORGNL_MTRTY IS NOT NULL AND Y.DT_ORGNL_MTRTY_SIMUL IS NULL),1,0)) AS NUM_REG_DIF,'1' AS ID_EXEC, CURRENT_TIMESTAMP() AS TIME_EXEC FROM (SELECT instrmnt_id, DT_ORGNL_MTRTY FROM CD_LOAN_TAPES_BCE.LT002_INSTRUMENT WHERE ref_date='${ref_date}' AND nome_perimetro='Individual Corporativo' AND segmento='ESTR' AND ambito='PM' AND entidade='00100')X INNER JOIN (SELECT instrmnt_id AS instrmnt_id_SIMUL, DT_ORGNL_MTRTY AS DT_ORGNL_MTRTY_SIMUL FROM BU_LOANTAPE_WORK.LT002_INSTRUMENT WHERE ref_date='${ref_date}' AND nome_perimetro='Individual Corporativo' AND segmento='ESTR' AND ambito='PM' AND entidade='00100')Y ON X.INSTRMNT_ID=Y.INSTRMNT_ID_SIMUL</v>
      </c>
      <c r="N185" s="38" t="s">
        <v>46</v>
      </c>
    </row>
    <row r="186" spans="2:14" hidden="1">
      <c r="B186" s="34" t="s">
        <v>126</v>
      </c>
      <c r="C186" s="34" t="s">
        <v>5</v>
      </c>
      <c r="D186" s="34" t="str">
        <f>+UPPER('0. Instruções'!$D$35&amp;"."&amp;VLOOKUP(B186,'0. Instruções'!$C$27:$D$32,2,FALSE))</f>
        <v>CD_LOAN_TAPES_BCE.LT002_INSTRUMENT</v>
      </c>
      <c r="E186" s="34" t="str">
        <f>+UPPER('0. Instruções'!$D$36&amp;"."&amp;VLOOKUP(B186,'0. Instruções'!$C$27:$E$32,3,FALSE))</f>
        <v>BU_LOANTAPE_WORK.LT002_INSTRUMENT</v>
      </c>
      <c r="F186" s="34" t="s">
        <v>475</v>
      </c>
      <c r="G186" s="34"/>
      <c r="H186" s="34" t="s">
        <v>649</v>
      </c>
      <c r="I186" s="34" t="str">
        <f>"(SELECT "&amp;VLOOKUP(B186,'0. Instruções'!$C$27:$G$32,4,FALSE)&amp;", "&amp;F186&amp;" FROM "&amp;D186&amp;" WHERE "&amp;'0. Instruções'!$D$42&amp;")X"</f>
        <v>(SELECT instrmnt_id, IFRS9_BHVRL_MTRTY FROM CD_LOAN_TAPES_BCE.LT002_INSTRUMENT WHERE ref_date='${ref_date}' AND nome_perimetro='Individual Corporativo' AND segmento='ESTR' AND ambito='PM' AND entidade='00100')X</v>
      </c>
      <c r="J186" s="34" t="str">
        <f>"(SELECT "&amp;VLOOKUP(B186,'0. Instruções'!$C$27:$G$32,4,FALSE)&amp;" AS "&amp;VLOOKUP(B186,'0. Instruções'!$C$27:$G$32,4,FALSE)&amp;"_SIMUL, "&amp;F186&amp;" AS "&amp;F186&amp;"_SIMUL FROM "&amp;E186&amp;" WHERE "&amp;'0. Instruções'!$D$43&amp;")Y"</f>
        <v>(SELECT instrmnt_id AS instrmnt_id_SIMUL, IFRS9_BHVRL_MTRTY AS IFRS9_BHVRL_MTRTY_SIMUL FROM BU_LOANTAPE_WORK.LT002_INSTRUMENT WHERE ref_date='${ref_date}' AND nome_perimetro='Individual Corporativo' AND segmento='ESTR' AND ambito='PM' AND entidade='00100')Y</v>
      </c>
      <c r="K186" s="35" t="str">
        <f>+UPPER("ON X."&amp;VLOOKUP(B186,'0. Instruções'!$C$27:$G$32,4,FALSE)&amp;"=Y."&amp;VLOOKUP(B186,'0. Instruções'!$C$27:$G$32,4,FALSE)&amp;"_SIMUL")</f>
        <v>ON X.INSTRMNT_ID=Y.INSTRMNT_ID_SIMUL</v>
      </c>
      <c r="L186" s="35" t="str">
        <f>+IF(C186="Coerência", +IF(LEFT(G186,5)="FLOAT","SELECT '"&amp;UPPER(B186)&amp;"' AS TABELA, '"&amp;UPPER(C186)&amp;"' AS TIPOLOGIA_TESTE,'"&amp;D186&amp;"' AS TABELA_LT,'"&amp;E186&amp;"' AS TABELA_SIMUL,'"&amp;F186&amp;"' AS CAMPO, "&amp;"'${ref_date}' AS REF_DATE, COUNT(*) AS NUM_REG, SUM(IF((ABS(COALESCE(CAST(X."&amp;F186&amp;" AS DECIMAL(18,6)),0)-COALESCE(CAST(Y."&amp;F186&amp;"_SIMUL AS DECIMAL(18,6)),0))&gt;0.000001) OR (X."&amp;F186&amp;" IS NULL AND Y."&amp;F186&amp;"_SIMUL IS NOT NULL ) OR (X."&amp;F186&amp;" IS NOT NULL AND Y."&amp;F186&amp;"_SIMUL IS NULL),1,0)) AS NUM_REG_DIF,'"&amp;MAX('ID1&amp;5'!K:K)+1&amp;"' AS ID_EXEC, CURRENT_TIMESTAMP() AS TIME_EXEC FROM "&amp;I186&amp;" INNER JOIN "&amp;J186&amp;" "&amp;K186,"SELECT '"&amp;UPPER(B186)&amp;"' AS TABELA, '"&amp;UPPER(C186)&amp;"' AS TIPOLOGIA_TESTE,'"&amp;D186&amp;"' AS TABELA_LT,'"&amp;E186&amp;"' AS TABELA_SIMUL,'"&amp;F186&amp;"' AS CAMPO, "&amp;"'${ref_date}' AS REF_DATE, COUNT(*) AS NUM_REG, SUM(IF(COALESCE(CAST(X."&amp;F186&amp;" AS STRING),'')&lt;&gt;COALESCE(CAST(Y."&amp;F186&amp;"_SIMUL AS STRING),'') OR (X."&amp;F186&amp;" IS NULL AND Y."&amp;F186&amp;"_SIMUL IS NOT NULL ) OR (X."&amp;F186&amp;" IS NOT NULL AND Y."&amp;F186&amp;"_SIMUL IS NULL),1,0)) AS NUM_REG_DIF,'"&amp;MAX('ID1&amp;5'!L:L)+1&amp;"' AS ID_EXEC, CURRENT_TIMESTAMP() AS TIME_EXEC FROM "&amp;I186&amp;" INNER JOIN "&amp;J186&amp;" "&amp;K186),
IF(C186="Validade",+IF(G186="Code List","SELECT '"&amp;UPPER(B186)&amp;"' AS TABELA, '"&amp;UPPER(C186)&amp;"' AS TIPOLOGIA_TESTE,'"&amp;D186&amp;"' AS TABELA_LT,'N/A' AS TABELA_SIMUL,'"&amp;F186&amp;"' AS CAMPO, "&amp;"'${ref_date}' AS REF_DATE, COUNT(*) AS NUM_REG, SUM(IF(TRIM(CAST(X."&amp;F186&amp;" AS STRING))='' OR TRIM(CAST(X."&amp;F186&amp;" AS STRING)) IS NULL OR CAST(X."&amp;F186&amp;" AS STRING) NOT "&amp;H186&amp;",1,0)) AS NUM_REG_DIF,'"&amp;MAX('ID1&amp;5'!K:K)+1&amp;"' AS ID_EXEC, CURRENT_TIMESTAMP() AS TIME_EXEC FROM "&amp;I186,"SELECT '"&amp;UPPER(B186)&amp;"' AS TABELA, '"&amp;UPPER(C186)&amp;"' AS TIPOLOGIA_TESTE,'"&amp;D186&amp;"' AS TABELA_LT,'N/A' AS TABELA_SIMUL,'"&amp;F186&amp;"' AS CAMPO, "&amp;"'${ref_date}' AS REF_DATE, COUNT(*) AS NUM_REG, SUM(IF(TRIM(CAST(X."&amp;F186&amp;" AS STRING))='' OR TRIM(CAST(X."&amp;F186&amp;" AS STRING)) IS NULL,1,0)) AS NUM_REG_DIF,'"&amp;MAX('ID1&amp;5'!K:K)+1&amp;"' AS ID_EXEC, CURRENT_TIMESTAMP() AS TIME_EXEC FROM "&amp;I186),
IF(C186="Caracteres Especiais",+"SELECT '"&amp;UPPER(B186)&amp;"' AS TABELA, '"&amp;UPPER(C186)&amp;"' AS TIPOLOGIA_TESTE,'"&amp;D186&amp;"' AS TABELA_LT,'N/A' AS TABELA_SIMUL,'"&amp;F186&amp;"' AS CAMPO, "&amp;"'${ref_date}' AS REF_DATE, COUNT(*) AS NUM_REG, SUM(IF(REGEXP_REPLACE(TRIM(CAST(X."&amp;F186&amp;" AS STRING)),'[^a-zA-Z0-9_\\s]','') &lt;&gt;TRIM(CAST(X."&amp;F186&amp;" AS STRING)),1,0)) AS NUM_REG_DIF,'"&amp;MAX('ID1&amp;5'!K:K)+1&amp;"' AS ID_EXEC, CURRENT_TIMESTAMP() AS TIME_EXEC FROM "&amp;I186,
IF(C186="Missings",+"SELECT '"&amp;UPPER(B186)&amp;"' AS TABELA, '"&amp;UPPER(C186)&amp;"' AS TIPOLOGIA_TESTE,'"&amp;D186&amp;"' AS TABELA_LT,'N/A' AS TABELA_SIMUL,'"&amp;F186&amp;"' AS CAMPO, "&amp;"'${ref_date}' AS REF_DATE, COUNT(*) AS NUM_REG, SUM(IF(TRIM(CAST(X."&amp;F186&amp;" AS STRING)) IN ('0000-00-00','0001-01-01','9999-12-31','MISS','00000','99999999999','99999999999.00','99999999999.000000'),1,0)) AS NUM_REG_DIF,'"&amp;MAX('ID1&amp;5'!K:K)+1&amp;"' AS ID_EXEC, CURRENT_TIMESTAMP() AS TIME_EXEC FROM "&amp;I186,
IF(C186="Not applicable",+"SELECT '"&amp;UPPER(B186)&amp;"' AS TABELA, '"&amp;UPPER(C186)&amp;"' AS TIPOLOGIA_TESTE,'"&amp;D186&amp;"' AS TABELA_LT,'N/A' AS TABELA_SIMUL,'"&amp;F186&amp;"' AS CAMPO, "&amp;"'${ref_date}' AS REF_DATE, COUNT(*) AS NUM_REG, SUM(IF(TRIM(CAST(X."&amp;F186&amp;" AS STRING)) IN ('N/A','11111111111','11111111111.00','11111111111.000000','1111-11-11'),1,0)) AS NUM_REG_DIF,'"&amp;MAX('ID1&amp;5'!K:K)+1&amp;"' AS ID_EXEC, CURRENT_TIMESTAMP() AS TIME_EXEC FROM "&amp;I186,
IF(C186="Valores extremos",+"SELECT '"&amp;UPPER(B186)&amp;"' AS TABELA, '"&amp;UPPER(C186)&amp;"' AS TIPOLOGIA_TESTE,'"&amp;D186&amp;"' AS TABELA_LT,'N/A' AS TABELA_SIMUL,'"&amp;F186&amp;"' AS CAMPO, "&amp;"'${ref_date}' AS REF_DATE, CAST(MIN("&amp;F186&amp;") AS STRING) AS VALOR_MIN, CAST(MAX("&amp;F186&amp;") AS STRING) AS VALOR_MAX,'"&amp;MAX('ID1&amp;5'!K:K)+1&amp;"' AS ID_EXEC, CURRENT_TIMESTAMP() AS TIME_EXEC FROM "&amp;MID(I186,1,LEN(I186)-2)&amp;" AND CAST("&amp;F186&amp;"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TABELA_SIMUL,'IFRS9_BHVRL_MTRTY' AS CAMPO, '${ref_date}' AS REF_DATE, COUNT(*) AS NUM_REG, SUM(IF(COALESCE(CAST(X.IFRS9_BHVRL_MTRTY AS STRING),'')&lt;&gt;COALESCE(CAST(Y.IFRS9_BHVRL_MTRTY_SIMUL AS STRING),'') OR (X.IFRS9_BHVRL_MTRTY IS NULL AND Y.IFRS9_BHVRL_MTRTY_SIMUL IS NOT NULL ) OR (X.IFRS9_BHVRL_MTRTY IS NOT NULL AND Y.IFRS9_BHVRL_MTRTY_SIMUL IS NULL),1,0)) AS NUM_REG_DIF,'1' AS ID_EXEC, CURRENT_TIMESTAMP() AS TIME_EXEC FROM (SELECT instrmnt_id, IFRS9_BHVRL_MTRTY FROM CD_LOAN_TAPES_BCE.LT002_INSTRUMENT WHERE ref_date='${ref_date}' AND nome_perimetro='Individual Corporativo' AND segmento='ESTR' AND ambito='PM' AND entidade='00100')X INNER JOIN (SELECT instrmnt_id AS instrmnt_id_SIMUL, IFRS9_BHVRL_MTRTY AS IFRS9_BHVRL_MTRTY_SIMUL FROM BU_LOANTAPE_WORK.LT002_INSTRUMENT WHERE ref_date='${ref_date}' AND nome_perimetro='Individual Corporativo' AND segmento='ESTR' AND ambito='PM' AND entidade='00100')Y ON X.INSTRMNT_ID=Y.INSTRMNT_ID_SIMUL</v>
      </c>
      <c r="M186" s="36" t="str">
        <f t="shared" si="3"/>
        <v>UNION ALL SELECT 'INSTRUMENT' AS TABELA, 'COERÊNCIA' AS TIPOLOGIA_TESTE,'CD_LOAN_TAPES_BCE.LT002_INSTRUMENT' AS TABELA_LT,'BU_LOANTAPE_WORK.LT002_INSTRUMENT' AS TABELA_SIMUL,'IFRS9_BHVRL_MTRTY' AS CAMPO, '${ref_date}' AS REF_DATE, COUNT(*) AS NUM_REG, SUM(IF(COALESCE(CAST(X.IFRS9_BHVRL_MTRTY AS STRING),'')&lt;&gt;COALESCE(CAST(Y.IFRS9_BHVRL_MTRTY_SIMUL AS STRING),'') OR (X.IFRS9_BHVRL_MTRTY IS NULL AND Y.IFRS9_BHVRL_MTRTY_SIMUL IS NOT NULL ) OR (X.IFRS9_BHVRL_MTRTY IS NOT NULL AND Y.IFRS9_BHVRL_MTRTY_SIMUL IS NULL),1,0)) AS NUM_REG_DIF,'1' AS ID_EXEC, CURRENT_TIMESTAMP() AS TIME_EXEC FROM (SELECT instrmnt_id, IFRS9_BHVRL_MTRTY FROM CD_LOAN_TAPES_BCE.LT002_INSTRUMENT WHERE ref_date='${ref_date}' AND nome_perimetro='Individual Corporativo' AND segmento='ESTR' AND ambito='PM' AND entidade='00100')X INNER JOIN (SELECT instrmnt_id AS instrmnt_id_SIMUL, IFRS9_BHVRL_MTRTY AS IFRS9_BHVRL_MTRTY_SIMUL FROM BU_LOANTAPE_WORK.LT002_INSTRUMENT WHERE ref_date='${ref_date}' AND nome_perimetro='Individual Corporativo' AND segmento='ESTR' AND ambito='PM' AND entidade='00100')Y ON X.INSTRMNT_ID=Y.INSTRMNT_ID_SIMUL</v>
      </c>
      <c r="N186" s="38" t="s">
        <v>46</v>
      </c>
    </row>
    <row r="187" spans="2:14" hidden="1">
      <c r="B187" s="34" t="s">
        <v>126</v>
      </c>
      <c r="C187" s="34" t="s">
        <v>5</v>
      </c>
      <c r="D187" s="34" t="str">
        <f>+UPPER('0. Instruções'!$D$35&amp;"."&amp;VLOOKUP(B187,'0. Instruções'!$C$27:$D$32,2,FALSE))</f>
        <v>CD_LOAN_TAPES_BCE.LT002_INSTRUMENT</v>
      </c>
      <c r="E187" s="34" t="str">
        <f>+UPPER('0. Instruções'!$D$36&amp;"."&amp;VLOOKUP(B187,'0. Instruções'!$C$27:$E$32,3,FALSE))</f>
        <v>BU_LOANTAPE_WORK.LT002_INSTRUMENT</v>
      </c>
      <c r="F187" s="34" t="s">
        <v>476</v>
      </c>
      <c r="G187" s="34"/>
      <c r="H187" s="34" t="s">
        <v>92</v>
      </c>
      <c r="I187" s="34" t="str">
        <f>"(SELECT "&amp;VLOOKUP(B187,'0. Instruções'!$C$27:$G$32,4,FALSE)&amp;", "&amp;F187&amp;" FROM "&amp;D187&amp;" WHERE "&amp;'0. Instruções'!$D$42&amp;")X"</f>
        <v>(SELECT instrmnt_id, EAD FROM CD_LOAN_TAPES_BCE.LT002_INSTRUMENT WHERE ref_date='${ref_date}' AND nome_perimetro='Individual Corporativo' AND segmento='ESTR' AND ambito='PM' AND entidade='00100')X</v>
      </c>
      <c r="J187" s="34" t="str">
        <f>"(SELECT "&amp;VLOOKUP(B187,'0. Instruções'!$C$27:$G$32,4,FALSE)&amp;" AS "&amp;VLOOKUP(B187,'0. Instruções'!$C$27:$G$32,4,FALSE)&amp;"_SIMUL, "&amp;F187&amp;" AS "&amp;F187&amp;"_SIMUL FROM "&amp;E187&amp;" WHERE "&amp;'0. Instruções'!$D$43&amp;")Y"</f>
        <v>(SELECT instrmnt_id AS instrmnt_id_SIMUL, EAD AS EAD_SIMUL FROM BU_LOANTAPE_WORK.LT002_INSTRUMENT WHERE ref_date='${ref_date}' AND nome_perimetro='Individual Corporativo' AND segmento='ESTR' AND ambito='PM' AND entidade='00100')Y</v>
      </c>
      <c r="K187" s="35" t="str">
        <f>+UPPER("ON X."&amp;VLOOKUP(B187,'0. Instruções'!$C$27:$G$32,4,FALSE)&amp;"=Y."&amp;VLOOKUP(B187,'0. Instruções'!$C$27:$G$32,4,FALSE)&amp;"_SIMUL")</f>
        <v>ON X.INSTRMNT_ID=Y.INSTRMNT_ID_SIMUL</v>
      </c>
      <c r="L187" s="35" t="str">
        <f>+IF(C187="Coerência", +IF(LEFT(G187,5)="FLOAT","SELECT '"&amp;UPPER(B187)&amp;"' AS TABELA, '"&amp;UPPER(C187)&amp;"' AS TIPOLOGIA_TESTE,'"&amp;D187&amp;"' AS TABELA_LT,'"&amp;E187&amp;"' AS TABELA_SIMUL,'"&amp;F187&amp;"' AS CAMPO, "&amp;"'${ref_date}' AS REF_DATE, COUNT(*) AS NUM_REG, SUM(IF((ABS(COALESCE(CAST(X."&amp;F187&amp;" AS DECIMAL(18,6)),0)-COALESCE(CAST(Y."&amp;F187&amp;"_SIMUL AS DECIMAL(18,6)),0))&gt;0.000001) OR (X."&amp;F187&amp;" IS NULL AND Y."&amp;F187&amp;"_SIMUL IS NOT NULL ) OR (X."&amp;F187&amp;" IS NOT NULL AND Y."&amp;F187&amp;"_SIMUL IS NULL),1,0)) AS NUM_REG_DIF,'"&amp;MAX('ID1&amp;5'!K:K)+1&amp;"' AS ID_EXEC, CURRENT_TIMESTAMP() AS TIME_EXEC FROM "&amp;I187&amp;" INNER JOIN "&amp;J187&amp;" "&amp;K187,"SELECT '"&amp;UPPER(B187)&amp;"' AS TABELA, '"&amp;UPPER(C187)&amp;"' AS TIPOLOGIA_TESTE,'"&amp;D187&amp;"' AS TABELA_LT,'"&amp;E187&amp;"' AS TABELA_SIMUL,'"&amp;F187&amp;"' AS CAMPO, "&amp;"'${ref_date}' AS REF_DATE, COUNT(*) AS NUM_REG, SUM(IF(COALESCE(CAST(X."&amp;F187&amp;" AS STRING),'')&lt;&gt;COALESCE(CAST(Y."&amp;F187&amp;"_SIMUL AS STRING),'') OR (X."&amp;F187&amp;" IS NULL AND Y."&amp;F187&amp;"_SIMUL IS NOT NULL ) OR (X."&amp;F187&amp;" IS NOT NULL AND Y."&amp;F187&amp;"_SIMUL IS NULL),1,0)) AS NUM_REG_DIF,'"&amp;MAX('ID1&amp;5'!L:L)+1&amp;"' AS ID_EXEC, CURRENT_TIMESTAMP() AS TIME_EXEC FROM "&amp;I187&amp;" INNER JOIN "&amp;J187&amp;" "&amp;K187),
IF(C187="Validade",+IF(G187="Code List","SELECT '"&amp;UPPER(B187)&amp;"' AS TABELA, '"&amp;UPPER(C187)&amp;"' AS TIPOLOGIA_TESTE,'"&amp;D187&amp;"' AS TABELA_LT,'N/A' AS TABELA_SIMUL,'"&amp;F187&amp;"' AS CAMPO, "&amp;"'${ref_date}' AS REF_DATE, COUNT(*) AS NUM_REG, SUM(IF(TRIM(CAST(X."&amp;F187&amp;" AS STRING))='' OR TRIM(CAST(X."&amp;F187&amp;" AS STRING)) IS NULL OR CAST(X."&amp;F187&amp;" AS STRING) NOT "&amp;H187&amp;",1,0)) AS NUM_REG_DIF,'"&amp;MAX('ID1&amp;5'!K:K)+1&amp;"' AS ID_EXEC, CURRENT_TIMESTAMP() AS TIME_EXEC FROM "&amp;I187,"SELECT '"&amp;UPPER(B187)&amp;"' AS TABELA, '"&amp;UPPER(C187)&amp;"' AS TIPOLOGIA_TESTE,'"&amp;D187&amp;"' AS TABELA_LT,'N/A' AS TABELA_SIMUL,'"&amp;F187&amp;"' AS CAMPO, "&amp;"'${ref_date}' AS REF_DATE, COUNT(*) AS NUM_REG, SUM(IF(TRIM(CAST(X."&amp;F187&amp;" AS STRING))='' OR TRIM(CAST(X."&amp;F187&amp;" AS STRING)) IS NULL,1,0)) AS NUM_REG_DIF,'"&amp;MAX('ID1&amp;5'!K:K)+1&amp;"' AS ID_EXEC, CURRENT_TIMESTAMP() AS TIME_EXEC FROM "&amp;I187),
IF(C187="Caracteres Especiais",+"SELECT '"&amp;UPPER(B187)&amp;"' AS TABELA, '"&amp;UPPER(C187)&amp;"' AS TIPOLOGIA_TESTE,'"&amp;D187&amp;"' AS TABELA_LT,'N/A' AS TABELA_SIMUL,'"&amp;F187&amp;"' AS CAMPO, "&amp;"'${ref_date}' AS REF_DATE, COUNT(*) AS NUM_REG, SUM(IF(REGEXP_REPLACE(TRIM(CAST(X."&amp;F187&amp;" AS STRING)),'[^a-zA-Z0-9_\\s]','') &lt;&gt;TRIM(CAST(X."&amp;F187&amp;" AS STRING)),1,0)) AS NUM_REG_DIF,'"&amp;MAX('ID1&amp;5'!K:K)+1&amp;"' AS ID_EXEC, CURRENT_TIMESTAMP() AS TIME_EXEC FROM "&amp;I187,
IF(C187="Missings",+"SELECT '"&amp;UPPER(B187)&amp;"' AS TABELA, '"&amp;UPPER(C187)&amp;"' AS TIPOLOGIA_TESTE,'"&amp;D187&amp;"' AS TABELA_LT,'N/A' AS TABELA_SIMUL,'"&amp;F187&amp;"' AS CAMPO, "&amp;"'${ref_date}' AS REF_DATE, COUNT(*) AS NUM_REG, SUM(IF(TRIM(CAST(X."&amp;F187&amp;" AS STRING)) IN ('0000-00-00','0001-01-01','9999-12-31','MISS','00000','99999999999','99999999999.00','99999999999.000000'),1,0)) AS NUM_REG_DIF,'"&amp;MAX('ID1&amp;5'!K:K)+1&amp;"' AS ID_EXEC, CURRENT_TIMESTAMP() AS TIME_EXEC FROM "&amp;I187,
IF(C187="Not applicable",+"SELECT '"&amp;UPPER(B187)&amp;"' AS TABELA, '"&amp;UPPER(C187)&amp;"' AS TIPOLOGIA_TESTE,'"&amp;D187&amp;"' AS TABELA_LT,'N/A' AS TABELA_SIMUL,'"&amp;F187&amp;"' AS CAMPO, "&amp;"'${ref_date}' AS REF_DATE, COUNT(*) AS NUM_REG, SUM(IF(TRIM(CAST(X."&amp;F187&amp;" AS STRING)) IN ('N/A','11111111111','11111111111.00','11111111111.000000','1111-11-11'),1,0)) AS NUM_REG_DIF,'"&amp;MAX('ID1&amp;5'!K:K)+1&amp;"' AS ID_EXEC, CURRENT_TIMESTAMP() AS TIME_EXEC FROM "&amp;I187,
IF(C187="Valores extremos",+"SELECT '"&amp;UPPER(B187)&amp;"' AS TABELA, '"&amp;UPPER(C187)&amp;"' AS TIPOLOGIA_TESTE,'"&amp;D187&amp;"' AS TABELA_LT,'N/A' AS TABELA_SIMUL,'"&amp;F187&amp;"' AS CAMPO, "&amp;"'${ref_date}' AS REF_DATE, CAST(MIN("&amp;F187&amp;") AS STRING) AS VALOR_MIN, CAST(MAX("&amp;F187&amp;") AS STRING) AS VALOR_MAX,'"&amp;MAX('ID1&amp;5'!K:K)+1&amp;"' AS ID_EXEC, CURRENT_TIMESTAMP() AS TIME_EXEC FROM "&amp;MID(I187,1,LEN(I187)-2)&amp;" AND CAST("&amp;F187&amp;"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TABELA_SIMUL,'EAD' AS CAMPO, '${ref_date}' AS REF_DATE, COUNT(*) AS NUM_REG, SUM(IF(COALESCE(CAST(X.EAD AS STRING),'')&lt;&gt;COALESCE(CAST(Y.EAD_SIMUL AS STRING),'') OR (X.EAD IS NULL AND Y.EAD_SIMUL IS NOT NULL ) OR (X.EAD IS NOT NULL AND Y.EAD_SIMUL IS NULL),1,0)) AS NUM_REG_DIF,'1' AS ID_EXEC, CURRENT_TIMESTAMP() AS TIME_EXEC FROM (SELECT instrmnt_id, EAD FROM CD_LOAN_TAPES_BCE.LT002_INSTRUMENT WHERE ref_date='${ref_date}' AND nome_perimetro='Individual Corporativo' AND segmento='ESTR' AND ambito='PM' AND entidade='00100')X INNER JOIN (SELECT instrmnt_id AS instrmnt_id_SIMUL, EAD AS EAD_SIMUL FROM BU_LOANTAPE_WORK.LT002_INSTRUMENT WHERE ref_date='${ref_date}' AND nome_perimetro='Individual Corporativo' AND segmento='ESTR' AND ambito='PM' AND entidade='00100')Y ON X.INSTRMNT_ID=Y.INSTRMNT_ID_SIMUL</v>
      </c>
      <c r="M187" s="36" t="str">
        <f t="shared" si="3"/>
        <v>UNION ALL SELECT 'INSTRUMENT' AS TABELA, 'COERÊNCIA' AS TIPOLOGIA_TESTE,'CD_LOAN_TAPES_BCE.LT002_INSTRUMENT' AS TABELA_LT,'BU_LOANTAPE_WORK.LT002_INSTRUMENT' AS TABELA_SIMUL,'EAD' AS CAMPO, '${ref_date}' AS REF_DATE, COUNT(*) AS NUM_REG, SUM(IF(COALESCE(CAST(X.EAD AS STRING),'')&lt;&gt;COALESCE(CAST(Y.EAD_SIMUL AS STRING),'') OR (X.EAD IS NULL AND Y.EAD_SIMUL IS NOT NULL ) OR (X.EAD IS NOT NULL AND Y.EAD_SIMUL IS NULL),1,0)) AS NUM_REG_DIF,'1' AS ID_EXEC, CURRENT_TIMESTAMP() AS TIME_EXEC FROM (SELECT instrmnt_id, EAD FROM CD_LOAN_TAPES_BCE.LT002_INSTRUMENT WHERE ref_date='${ref_date}' AND nome_perimetro='Individual Corporativo' AND segmento='ESTR' AND ambito='PM' AND entidade='00100')X INNER JOIN (SELECT instrmnt_id AS instrmnt_id_SIMUL, EAD AS EAD_SIMUL FROM BU_LOANTAPE_WORK.LT002_INSTRUMENT WHERE ref_date='${ref_date}' AND nome_perimetro='Individual Corporativo' AND segmento='ESTR' AND ambito='PM' AND entidade='00100')Y ON X.INSTRMNT_ID=Y.INSTRMNT_ID_SIMUL</v>
      </c>
      <c r="N187" s="38" t="s">
        <v>46</v>
      </c>
    </row>
    <row r="188" spans="2:14" hidden="1">
      <c r="B188" s="34" t="s">
        <v>126</v>
      </c>
      <c r="C188" s="34" t="s">
        <v>5</v>
      </c>
      <c r="D188" s="34" t="str">
        <f>+UPPER('0. Instruções'!$D$35&amp;"."&amp;VLOOKUP(B188,'0. Instruções'!$C$27:$D$32,2,FALSE))</f>
        <v>CD_LOAN_TAPES_BCE.LT002_INSTRUMENT</v>
      </c>
      <c r="E188" s="34" t="str">
        <f>+UPPER('0. Instruções'!$D$36&amp;"."&amp;VLOOKUP(B188,'0. Instruções'!$C$27:$E$32,3,FALSE))</f>
        <v>BU_LOANTAPE_WORK.LT002_INSTRUMENT</v>
      </c>
      <c r="F188" s="34" t="s">
        <v>477</v>
      </c>
      <c r="G188" s="34"/>
      <c r="H188" s="34" t="s">
        <v>91</v>
      </c>
      <c r="I188" s="34" t="str">
        <f>"(SELECT "&amp;VLOOKUP(B188,'0. Instruções'!$C$27:$G$32,4,FALSE)&amp;", "&amp;F188&amp;" FROM "&amp;D188&amp;" WHERE "&amp;'0. Instruções'!$D$42&amp;")X"</f>
        <v>(SELECT instrmnt_id, IFRS9_CCF FROM CD_LOAN_TAPES_BCE.LT002_INSTRUMENT WHERE ref_date='${ref_date}' AND nome_perimetro='Individual Corporativo' AND segmento='ESTR' AND ambito='PM' AND entidade='00100')X</v>
      </c>
      <c r="J188" s="34" t="str">
        <f>"(SELECT "&amp;VLOOKUP(B188,'0. Instruções'!$C$27:$G$32,4,FALSE)&amp;" AS "&amp;VLOOKUP(B188,'0. Instruções'!$C$27:$G$32,4,FALSE)&amp;"_SIMUL, "&amp;F188&amp;" AS "&amp;F188&amp;"_SIMUL FROM "&amp;E188&amp;" WHERE "&amp;'0. Instruções'!$D$43&amp;")Y"</f>
        <v>(SELECT instrmnt_id AS instrmnt_id_SIMUL, IFRS9_CCF AS IFRS9_CCF_SIMUL FROM BU_LOANTAPE_WORK.LT002_INSTRUMENT WHERE ref_date='${ref_date}' AND nome_perimetro='Individual Corporativo' AND segmento='ESTR' AND ambito='PM' AND entidade='00100')Y</v>
      </c>
      <c r="K188" s="35" t="str">
        <f>+UPPER("ON X."&amp;VLOOKUP(B188,'0. Instruções'!$C$27:$G$32,4,FALSE)&amp;"=Y."&amp;VLOOKUP(B188,'0. Instruções'!$C$27:$G$32,4,FALSE)&amp;"_SIMUL")</f>
        <v>ON X.INSTRMNT_ID=Y.INSTRMNT_ID_SIMUL</v>
      </c>
      <c r="L188" s="35" t="str">
        <f>+IF(C188="Coerência", +IF(LEFT(G188,5)="FLOAT","SELECT '"&amp;UPPER(B188)&amp;"' AS TABELA, '"&amp;UPPER(C188)&amp;"' AS TIPOLOGIA_TESTE,'"&amp;D188&amp;"' AS TABELA_LT,'"&amp;E188&amp;"' AS TABELA_SIMUL,'"&amp;F188&amp;"' AS CAMPO, "&amp;"'${ref_date}' AS REF_DATE, COUNT(*) AS NUM_REG, SUM(IF((ABS(COALESCE(CAST(X."&amp;F188&amp;" AS DECIMAL(18,6)),0)-COALESCE(CAST(Y."&amp;F188&amp;"_SIMUL AS DECIMAL(18,6)),0))&gt;0.000001) OR (X."&amp;F188&amp;" IS NULL AND Y."&amp;F188&amp;"_SIMUL IS NOT NULL ) OR (X."&amp;F188&amp;" IS NOT NULL AND Y."&amp;F188&amp;"_SIMUL IS NULL),1,0)) AS NUM_REG_DIF,'"&amp;MAX('ID1&amp;5'!K:K)+1&amp;"' AS ID_EXEC, CURRENT_TIMESTAMP() AS TIME_EXEC FROM "&amp;I188&amp;" INNER JOIN "&amp;J188&amp;" "&amp;K188,"SELECT '"&amp;UPPER(B188)&amp;"' AS TABELA, '"&amp;UPPER(C188)&amp;"' AS TIPOLOGIA_TESTE,'"&amp;D188&amp;"' AS TABELA_LT,'"&amp;E188&amp;"' AS TABELA_SIMUL,'"&amp;F188&amp;"' AS CAMPO, "&amp;"'${ref_date}' AS REF_DATE, COUNT(*) AS NUM_REG, SUM(IF(COALESCE(CAST(X."&amp;F188&amp;" AS STRING),'')&lt;&gt;COALESCE(CAST(Y."&amp;F188&amp;"_SIMUL AS STRING),'') OR (X."&amp;F188&amp;" IS NULL AND Y."&amp;F188&amp;"_SIMUL IS NOT NULL ) OR (X."&amp;F188&amp;" IS NOT NULL AND Y."&amp;F188&amp;"_SIMUL IS NULL),1,0)) AS NUM_REG_DIF,'"&amp;MAX('ID1&amp;5'!L:L)+1&amp;"' AS ID_EXEC, CURRENT_TIMESTAMP() AS TIME_EXEC FROM "&amp;I188&amp;" INNER JOIN "&amp;J188&amp;" "&amp;K188),
IF(C188="Validade",+IF(G188="Code List","SELECT '"&amp;UPPER(B188)&amp;"' AS TABELA, '"&amp;UPPER(C188)&amp;"' AS TIPOLOGIA_TESTE,'"&amp;D188&amp;"' AS TABELA_LT,'N/A' AS TABELA_SIMUL,'"&amp;F188&amp;"' AS CAMPO, "&amp;"'${ref_date}' AS REF_DATE, COUNT(*) AS NUM_REG, SUM(IF(TRIM(CAST(X."&amp;F188&amp;" AS STRING))='' OR TRIM(CAST(X."&amp;F188&amp;" AS STRING)) IS NULL OR CAST(X."&amp;F188&amp;" AS STRING) NOT "&amp;H188&amp;",1,0)) AS NUM_REG_DIF,'"&amp;MAX('ID1&amp;5'!K:K)+1&amp;"' AS ID_EXEC, CURRENT_TIMESTAMP() AS TIME_EXEC FROM "&amp;I188,"SELECT '"&amp;UPPER(B188)&amp;"' AS TABELA, '"&amp;UPPER(C188)&amp;"' AS TIPOLOGIA_TESTE,'"&amp;D188&amp;"' AS TABELA_LT,'N/A' AS TABELA_SIMUL,'"&amp;F188&amp;"' AS CAMPO, "&amp;"'${ref_date}' AS REF_DATE, COUNT(*) AS NUM_REG, SUM(IF(TRIM(CAST(X."&amp;F188&amp;" AS STRING))='' OR TRIM(CAST(X."&amp;F188&amp;" AS STRING)) IS NULL,1,0)) AS NUM_REG_DIF,'"&amp;MAX('ID1&amp;5'!K:K)+1&amp;"' AS ID_EXEC, CURRENT_TIMESTAMP() AS TIME_EXEC FROM "&amp;I188),
IF(C188="Caracteres Especiais",+"SELECT '"&amp;UPPER(B188)&amp;"' AS TABELA, '"&amp;UPPER(C188)&amp;"' AS TIPOLOGIA_TESTE,'"&amp;D188&amp;"' AS TABELA_LT,'N/A' AS TABELA_SIMUL,'"&amp;F188&amp;"' AS CAMPO, "&amp;"'${ref_date}' AS REF_DATE, COUNT(*) AS NUM_REG, SUM(IF(REGEXP_REPLACE(TRIM(CAST(X."&amp;F188&amp;" AS STRING)),'[^a-zA-Z0-9_\\s]','') &lt;&gt;TRIM(CAST(X."&amp;F188&amp;" AS STRING)),1,0)) AS NUM_REG_DIF,'"&amp;MAX('ID1&amp;5'!K:K)+1&amp;"' AS ID_EXEC, CURRENT_TIMESTAMP() AS TIME_EXEC FROM "&amp;I188,
IF(C188="Missings",+"SELECT '"&amp;UPPER(B188)&amp;"' AS TABELA, '"&amp;UPPER(C188)&amp;"' AS TIPOLOGIA_TESTE,'"&amp;D188&amp;"' AS TABELA_LT,'N/A' AS TABELA_SIMUL,'"&amp;F188&amp;"' AS CAMPO, "&amp;"'${ref_date}' AS REF_DATE, COUNT(*) AS NUM_REG, SUM(IF(TRIM(CAST(X."&amp;F188&amp;" AS STRING)) IN ('0000-00-00','0001-01-01','9999-12-31','MISS','00000','99999999999','99999999999.00','99999999999.000000'),1,0)) AS NUM_REG_DIF,'"&amp;MAX('ID1&amp;5'!K:K)+1&amp;"' AS ID_EXEC, CURRENT_TIMESTAMP() AS TIME_EXEC FROM "&amp;I188,
IF(C188="Not applicable",+"SELECT '"&amp;UPPER(B188)&amp;"' AS TABELA, '"&amp;UPPER(C188)&amp;"' AS TIPOLOGIA_TESTE,'"&amp;D188&amp;"' AS TABELA_LT,'N/A' AS TABELA_SIMUL,'"&amp;F188&amp;"' AS CAMPO, "&amp;"'${ref_date}' AS REF_DATE, COUNT(*) AS NUM_REG, SUM(IF(TRIM(CAST(X."&amp;F188&amp;" AS STRING)) IN ('N/A','11111111111','11111111111.00','11111111111.000000','1111-11-11'),1,0)) AS NUM_REG_DIF,'"&amp;MAX('ID1&amp;5'!K:K)+1&amp;"' AS ID_EXEC, CURRENT_TIMESTAMP() AS TIME_EXEC FROM "&amp;I188,
IF(C188="Valores extremos",+"SELECT '"&amp;UPPER(B188)&amp;"' AS TABELA, '"&amp;UPPER(C188)&amp;"' AS TIPOLOGIA_TESTE,'"&amp;D188&amp;"' AS TABELA_LT,'N/A' AS TABELA_SIMUL,'"&amp;F188&amp;"' AS CAMPO, "&amp;"'${ref_date}' AS REF_DATE, CAST(MIN("&amp;F188&amp;") AS STRING) AS VALOR_MIN, CAST(MAX("&amp;F188&amp;") AS STRING) AS VALOR_MAX,'"&amp;MAX('ID1&amp;5'!K:K)+1&amp;"' AS ID_EXEC, CURRENT_TIMESTAMP() AS TIME_EXEC FROM "&amp;MID(I188,1,LEN(I188)-2)&amp;" AND CAST("&amp;F188&amp;"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TABELA_SIMUL,'IFRS9_CCF' AS CAMPO, '${ref_date}' AS REF_DATE, COUNT(*) AS NUM_REG, SUM(IF(COALESCE(CAST(X.IFRS9_CCF AS STRING),'')&lt;&gt;COALESCE(CAST(Y.IFRS9_CCF_SIMUL AS STRING),'') OR (X.IFRS9_CCF IS NULL AND Y.IFRS9_CCF_SIMUL IS NOT NULL ) OR (X.IFRS9_CCF IS NOT NULL AND Y.IFRS9_CCF_SIMUL IS NULL),1,0)) AS NUM_REG_DIF,'1' AS ID_EXEC, CURRENT_TIMESTAMP() AS TIME_EXEC FROM (SELECT instrmnt_id, IFRS9_CCF FROM CD_LOAN_TAPES_BCE.LT002_INSTRUMENT WHERE ref_date='${ref_date}' AND nome_perimetro='Individual Corporativo' AND segmento='ESTR' AND ambito='PM' AND entidade='00100')X INNER JOIN (SELECT instrmnt_id AS instrmnt_id_SIMUL, IFRS9_CCF AS IFRS9_CCF_SIMUL FROM BU_LOANTAPE_WORK.LT002_INSTRUMENT WHERE ref_date='${ref_date}' AND nome_perimetro='Individual Corporativo' AND segmento='ESTR' AND ambito='PM' AND entidade='00100')Y ON X.INSTRMNT_ID=Y.INSTRMNT_ID_SIMUL</v>
      </c>
      <c r="M188" s="36" t="str">
        <f t="shared" si="3"/>
        <v>UNION ALL SELECT 'INSTRUMENT' AS TABELA, 'COERÊNCIA' AS TIPOLOGIA_TESTE,'CD_LOAN_TAPES_BCE.LT002_INSTRUMENT' AS TABELA_LT,'BU_LOANTAPE_WORK.LT002_INSTRUMENT' AS TABELA_SIMUL,'IFRS9_CCF' AS CAMPO, '${ref_date}' AS REF_DATE, COUNT(*) AS NUM_REG, SUM(IF(COALESCE(CAST(X.IFRS9_CCF AS STRING),'')&lt;&gt;COALESCE(CAST(Y.IFRS9_CCF_SIMUL AS STRING),'') OR (X.IFRS9_CCF IS NULL AND Y.IFRS9_CCF_SIMUL IS NOT NULL ) OR (X.IFRS9_CCF IS NOT NULL AND Y.IFRS9_CCF_SIMUL IS NULL),1,0)) AS NUM_REG_DIF,'1' AS ID_EXEC, CURRENT_TIMESTAMP() AS TIME_EXEC FROM (SELECT instrmnt_id, IFRS9_CCF FROM CD_LOAN_TAPES_BCE.LT002_INSTRUMENT WHERE ref_date='${ref_date}' AND nome_perimetro='Individual Corporativo' AND segmento='ESTR' AND ambito='PM' AND entidade='00100')X INNER JOIN (SELECT instrmnt_id AS instrmnt_id_SIMUL, IFRS9_CCF AS IFRS9_CCF_SIMUL FROM BU_LOANTAPE_WORK.LT002_INSTRUMENT WHERE ref_date='${ref_date}' AND nome_perimetro='Individual Corporativo' AND segmento='ESTR' AND ambito='PM' AND entidade='00100')Y ON X.INSTRMNT_ID=Y.INSTRMNT_ID_SIMUL</v>
      </c>
      <c r="N188" s="38" t="s">
        <v>46</v>
      </c>
    </row>
    <row r="189" spans="2:14" hidden="1">
      <c r="B189" s="34" t="s">
        <v>126</v>
      </c>
      <c r="C189" s="34" t="s">
        <v>5</v>
      </c>
      <c r="D189" s="34" t="str">
        <f>+UPPER('0. Instruções'!$D$35&amp;"."&amp;VLOOKUP(B189,'0. Instruções'!$C$27:$D$32,2,FALSE))</f>
        <v>CD_LOAN_TAPES_BCE.LT002_INSTRUMENT</v>
      </c>
      <c r="E189" s="34" t="str">
        <f>+UPPER('0. Instruções'!$D$36&amp;"."&amp;VLOOKUP(B189,'0. Instruções'!$C$27:$E$32,3,FALSE))</f>
        <v>BU_LOANTAPE_WORK.LT002_INSTRUMENT</v>
      </c>
      <c r="F189" s="34" t="s">
        <v>478</v>
      </c>
      <c r="G189" s="34"/>
      <c r="H189" s="34" t="s">
        <v>92</v>
      </c>
      <c r="I189" s="34" t="str">
        <f>"(SELECT "&amp;VLOOKUP(B189,'0. Instruções'!$C$27:$G$32,4,FALSE)&amp;", "&amp;F189&amp;" FROM "&amp;D189&amp;" WHERE "&amp;'0. Instruções'!$D$42&amp;")X"</f>
        <v>(SELECT instrmnt_id, IFRS9_EAD FROM CD_LOAN_TAPES_BCE.LT002_INSTRUMENT WHERE ref_date='${ref_date}' AND nome_perimetro='Individual Corporativo' AND segmento='ESTR' AND ambito='PM' AND entidade='00100')X</v>
      </c>
      <c r="J189" s="34" t="str">
        <f>"(SELECT "&amp;VLOOKUP(B189,'0. Instruções'!$C$27:$G$32,4,FALSE)&amp;" AS "&amp;VLOOKUP(B189,'0. Instruções'!$C$27:$G$32,4,FALSE)&amp;"_SIMUL, "&amp;F189&amp;" AS "&amp;F189&amp;"_SIMUL FROM "&amp;E189&amp;" WHERE "&amp;'0. Instruções'!$D$43&amp;")Y"</f>
        <v>(SELECT instrmnt_id AS instrmnt_id_SIMUL, IFRS9_EAD AS IFRS9_EAD_SIMUL FROM BU_LOANTAPE_WORK.LT002_INSTRUMENT WHERE ref_date='${ref_date}' AND nome_perimetro='Individual Corporativo' AND segmento='ESTR' AND ambito='PM' AND entidade='00100')Y</v>
      </c>
      <c r="K189" s="35" t="str">
        <f>+UPPER("ON X."&amp;VLOOKUP(B189,'0. Instruções'!$C$27:$G$32,4,FALSE)&amp;"=Y."&amp;VLOOKUP(B189,'0. Instruções'!$C$27:$G$32,4,FALSE)&amp;"_SIMUL")</f>
        <v>ON X.INSTRMNT_ID=Y.INSTRMNT_ID_SIMUL</v>
      </c>
      <c r="L189" s="35" t="str">
        <f>+IF(C189="Coerência", +IF(LEFT(G189,5)="FLOAT","SELECT '"&amp;UPPER(B189)&amp;"' AS TABELA, '"&amp;UPPER(C189)&amp;"' AS TIPOLOGIA_TESTE,'"&amp;D189&amp;"' AS TABELA_LT,'"&amp;E189&amp;"' AS TABELA_SIMUL,'"&amp;F189&amp;"' AS CAMPO, "&amp;"'${ref_date}' AS REF_DATE, COUNT(*) AS NUM_REG, SUM(IF((ABS(COALESCE(CAST(X."&amp;F189&amp;" AS DECIMAL(18,6)),0)-COALESCE(CAST(Y."&amp;F189&amp;"_SIMUL AS DECIMAL(18,6)),0))&gt;0.000001) OR (X."&amp;F189&amp;" IS NULL AND Y."&amp;F189&amp;"_SIMUL IS NOT NULL ) OR (X."&amp;F189&amp;" IS NOT NULL AND Y."&amp;F189&amp;"_SIMUL IS NULL),1,0)) AS NUM_REG_DIF,'"&amp;MAX('ID1&amp;5'!K:K)+1&amp;"' AS ID_EXEC, CURRENT_TIMESTAMP() AS TIME_EXEC FROM "&amp;I189&amp;" INNER JOIN "&amp;J189&amp;" "&amp;K189,"SELECT '"&amp;UPPER(B189)&amp;"' AS TABELA, '"&amp;UPPER(C189)&amp;"' AS TIPOLOGIA_TESTE,'"&amp;D189&amp;"' AS TABELA_LT,'"&amp;E189&amp;"' AS TABELA_SIMUL,'"&amp;F189&amp;"' AS CAMPO, "&amp;"'${ref_date}' AS REF_DATE, COUNT(*) AS NUM_REG, SUM(IF(COALESCE(CAST(X."&amp;F189&amp;" AS STRING),'')&lt;&gt;COALESCE(CAST(Y."&amp;F189&amp;"_SIMUL AS STRING),'') OR (X."&amp;F189&amp;" IS NULL AND Y."&amp;F189&amp;"_SIMUL IS NOT NULL ) OR (X."&amp;F189&amp;" IS NOT NULL AND Y."&amp;F189&amp;"_SIMUL IS NULL),1,0)) AS NUM_REG_DIF,'"&amp;MAX('ID1&amp;5'!L:L)+1&amp;"' AS ID_EXEC, CURRENT_TIMESTAMP() AS TIME_EXEC FROM "&amp;I189&amp;" INNER JOIN "&amp;J189&amp;" "&amp;K189),
IF(C189="Validade",+IF(G189="Code List","SELECT '"&amp;UPPER(B189)&amp;"' AS TABELA, '"&amp;UPPER(C189)&amp;"' AS TIPOLOGIA_TESTE,'"&amp;D189&amp;"' AS TABELA_LT,'N/A' AS TABELA_SIMUL,'"&amp;F189&amp;"' AS CAMPO, "&amp;"'${ref_date}' AS REF_DATE, COUNT(*) AS NUM_REG, SUM(IF(TRIM(CAST(X."&amp;F189&amp;" AS STRING))='' OR TRIM(CAST(X."&amp;F189&amp;" AS STRING)) IS NULL OR CAST(X."&amp;F189&amp;" AS STRING) NOT "&amp;H189&amp;",1,0)) AS NUM_REG_DIF,'"&amp;MAX('ID1&amp;5'!K:K)+1&amp;"' AS ID_EXEC, CURRENT_TIMESTAMP() AS TIME_EXEC FROM "&amp;I189,"SELECT '"&amp;UPPER(B189)&amp;"' AS TABELA, '"&amp;UPPER(C189)&amp;"' AS TIPOLOGIA_TESTE,'"&amp;D189&amp;"' AS TABELA_LT,'N/A' AS TABELA_SIMUL,'"&amp;F189&amp;"' AS CAMPO, "&amp;"'${ref_date}' AS REF_DATE, COUNT(*) AS NUM_REG, SUM(IF(TRIM(CAST(X."&amp;F189&amp;" AS STRING))='' OR TRIM(CAST(X."&amp;F189&amp;" AS STRING)) IS NULL,1,0)) AS NUM_REG_DIF,'"&amp;MAX('ID1&amp;5'!K:K)+1&amp;"' AS ID_EXEC, CURRENT_TIMESTAMP() AS TIME_EXEC FROM "&amp;I189),
IF(C189="Caracteres Especiais",+"SELECT '"&amp;UPPER(B189)&amp;"' AS TABELA, '"&amp;UPPER(C189)&amp;"' AS TIPOLOGIA_TESTE,'"&amp;D189&amp;"' AS TABELA_LT,'N/A' AS TABELA_SIMUL,'"&amp;F189&amp;"' AS CAMPO, "&amp;"'${ref_date}' AS REF_DATE, COUNT(*) AS NUM_REG, SUM(IF(REGEXP_REPLACE(TRIM(CAST(X."&amp;F189&amp;" AS STRING)),'[^a-zA-Z0-9_\\s]','') &lt;&gt;TRIM(CAST(X."&amp;F189&amp;" AS STRING)),1,0)) AS NUM_REG_DIF,'"&amp;MAX('ID1&amp;5'!K:K)+1&amp;"' AS ID_EXEC, CURRENT_TIMESTAMP() AS TIME_EXEC FROM "&amp;I189,
IF(C189="Missings",+"SELECT '"&amp;UPPER(B189)&amp;"' AS TABELA, '"&amp;UPPER(C189)&amp;"' AS TIPOLOGIA_TESTE,'"&amp;D189&amp;"' AS TABELA_LT,'N/A' AS TABELA_SIMUL,'"&amp;F189&amp;"' AS CAMPO, "&amp;"'${ref_date}' AS REF_DATE, COUNT(*) AS NUM_REG, SUM(IF(TRIM(CAST(X."&amp;F189&amp;" AS STRING)) IN ('0000-00-00','0001-01-01','9999-12-31','MISS','00000','99999999999','99999999999.00','99999999999.000000'),1,0)) AS NUM_REG_DIF,'"&amp;MAX('ID1&amp;5'!K:K)+1&amp;"' AS ID_EXEC, CURRENT_TIMESTAMP() AS TIME_EXEC FROM "&amp;I189,
IF(C189="Not applicable",+"SELECT '"&amp;UPPER(B189)&amp;"' AS TABELA, '"&amp;UPPER(C189)&amp;"' AS TIPOLOGIA_TESTE,'"&amp;D189&amp;"' AS TABELA_LT,'N/A' AS TABELA_SIMUL,'"&amp;F189&amp;"' AS CAMPO, "&amp;"'${ref_date}' AS REF_DATE, COUNT(*) AS NUM_REG, SUM(IF(TRIM(CAST(X."&amp;F189&amp;" AS STRING)) IN ('N/A','11111111111','11111111111.00','11111111111.000000','1111-11-11'),1,0)) AS NUM_REG_DIF,'"&amp;MAX('ID1&amp;5'!K:K)+1&amp;"' AS ID_EXEC, CURRENT_TIMESTAMP() AS TIME_EXEC FROM "&amp;I189,
IF(C189="Valores extremos",+"SELECT '"&amp;UPPER(B189)&amp;"' AS TABELA, '"&amp;UPPER(C189)&amp;"' AS TIPOLOGIA_TESTE,'"&amp;D189&amp;"' AS TABELA_LT,'N/A' AS TABELA_SIMUL,'"&amp;F189&amp;"' AS CAMPO, "&amp;"'${ref_date}' AS REF_DATE, CAST(MIN("&amp;F189&amp;") AS STRING) AS VALOR_MIN, CAST(MAX("&amp;F189&amp;") AS STRING) AS VALOR_MAX,'"&amp;MAX('ID1&amp;5'!K:K)+1&amp;"' AS ID_EXEC, CURRENT_TIMESTAMP() AS TIME_EXEC FROM "&amp;MID(I189,1,LEN(I189)-2)&amp;" AND CAST("&amp;F189&amp;"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TABELA_SIMUL,'IFRS9_EAD' AS CAMPO, '${ref_date}' AS REF_DATE, COUNT(*) AS NUM_REG, SUM(IF(COALESCE(CAST(X.IFRS9_EAD AS STRING),'')&lt;&gt;COALESCE(CAST(Y.IFRS9_EAD_SIMUL AS STRING),'') OR (X.IFRS9_EAD IS NULL AND Y.IFRS9_EAD_SIMUL IS NOT NULL ) OR (X.IFRS9_EAD IS NOT NULL AND Y.IFRS9_EAD_SIMUL IS NULL),1,0)) AS NUM_REG_DIF,'1' AS ID_EXEC, CURRENT_TIMESTAMP() AS TIME_EXEC FROM (SELECT instrmnt_id, IFRS9_EAD FROM CD_LOAN_TAPES_BCE.LT002_INSTRUMENT WHERE ref_date='${ref_date}' AND nome_perimetro='Individual Corporativo' AND segmento='ESTR' AND ambito='PM' AND entidade='00100')X INNER JOIN (SELECT instrmnt_id AS instrmnt_id_SIMUL, IFRS9_EAD AS IFRS9_EAD_SIMUL FROM BU_LOANTAPE_WORK.LT002_INSTRUMENT WHERE ref_date='${ref_date}' AND nome_perimetro='Individual Corporativo' AND segmento='ESTR' AND ambito='PM' AND entidade='00100')Y ON X.INSTRMNT_ID=Y.INSTRMNT_ID_SIMUL</v>
      </c>
      <c r="M189" s="36" t="str">
        <f t="shared" si="3"/>
        <v>UNION ALL SELECT 'INSTRUMENT' AS TABELA, 'COERÊNCIA' AS TIPOLOGIA_TESTE,'CD_LOAN_TAPES_BCE.LT002_INSTRUMENT' AS TABELA_LT,'BU_LOANTAPE_WORK.LT002_INSTRUMENT' AS TABELA_SIMUL,'IFRS9_EAD' AS CAMPO, '${ref_date}' AS REF_DATE, COUNT(*) AS NUM_REG, SUM(IF(COALESCE(CAST(X.IFRS9_EAD AS STRING),'')&lt;&gt;COALESCE(CAST(Y.IFRS9_EAD_SIMUL AS STRING),'') OR (X.IFRS9_EAD IS NULL AND Y.IFRS9_EAD_SIMUL IS NOT NULL ) OR (X.IFRS9_EAD IS NOT NULL AND Y.IFRS9_EAD_SIMUL IS NULL),1,0)) AS NUM_REG_DIF,'1' AS ID_EXEC, CURRENT_TIMESTAMP() AS TIME_EXEC FROM (SELECT instrmnt_id, IFRS9_EAD FROM CD_LOAN_TAPES_BCE.LT002_INSTRUMENT WHERE ref_date='${ref_date}' AND nome_perimetro='Individual Corporativo' AND segmento='ESTR' AND ambito='PM' AND entidade='00100')X INNER JOIN (SELECT instrmnt_id AS instrmnt_id_SIMUL, IFRS9_EAD AS IFRS9_EAD_SIMUL FROM BU_LOANTAPE_WORK.LT002_INSTRUMENT WHERE ref_date='${ref_date}' AND nome_perimetro='Individual Corporativo' AND segmento='ESTR' AND ambito='PM' AND entidade='00100')Y ON X.INSTRMNT_ID=Y.INSTRMNT_ID_SIMUL</v>
      </c>
      <c r="N189" s="38" t="s">
        <v>46</v>
      </c>
    </row>
    <row r="190" spans="2:14" hidden="1">
      <c r="B190" s="34" t="s">
        <v>126</v>
      </c>
      <c r="C190" s="34" t="s">
        <v>5</v>
      </c>
      <c r="D190" s="34" t="str">
        <f>+UPPER('0. Instruções'!$D$35&amp;"."&amp;VLOOKUP(B190,'0. Instruções'!$C$27:$D$32,2,FALSE))</f>
        <v>CD_LOAN_TAPES_BCE.LT002_INSTRUMENT</v>
      </c>
      <c r="E190" s="34" t="str">
        <f>+UPPER('0. Instruções'!$D$36&amp;"."&amp;VLOOKUP(B190,'0. Instruções'!$C$27:$E$32,3,FALSE))</f>
        <v>BU_LOANTAPE_WORK.LT002_INSTRUMENT</v>
      </c>
      <c r="F190" s="34" t="s">
        <v>479</v>
      </c>
      <c r="G190" s="34"/>
      <c r="H190" s="34" t="s">
        <v>92</v>
      </c>
      <c r="I190" s="34" t="str">
        <f>"(SELECT "&amp;VLOOKUP(B190,'0. Instruções'!$C$27:$G$32,4,FALSE)&amp;", "&amp;F190&amp;" FROM "&amp;D190&amp;" WHERE "&amp;'0. Instruções'!$D$42&amp;")X"</f>
        <v>(SELECT instrmnt_id, INSTLMNT_PAY FROM CD_LOAN_TAPES_BCE.LT002_INSTRUMENT WHERE ref_date='${ref_date}' AND nome_perimetro='Individual Corporativo' AND segmento='ESTR' AND ambito='PM' AND entidade='00100')X</v>
      </c>
      <c r="J190" s="34" t="str">
        <f>"(SELECT "&amp;VLOOKUP(B190,'0. Instruções'!$C$27:$G$32,4,FALSE)&amp;" AS "&amp;VLOOKUP(B190,'0. Instruções'!$C$27:$G$32,4,FALSE)&amp;"_SIMUL, "&amp;F190&amp;" AS "&amp;F190&amp;"_SIMUL FROM "&amp;E190&amp;" WHERE "&amp;'0. Instruções'!$D$43&amp;")Y"</f>
        <v>(SELECT instrmnt_id AS instrmnt_id_SIMUL, INSTLMNT_PAY AS INSTLMNT_PAY_SIMUL FROM BU_LOANTAPE_WORK.LT002_INSTRUMENT WHERE ref_date='${ref_date}' AND nome_perimetro='Individual Corporativo' AND segmento='ESTR' AND ambito='PM' AND entidade='00100')Y</v>
      </c>
      <c r="K190" s="35" t="str">
        <f>+UPPER("ON X."&amp;VLOOKUP(B190,'0. Instruções'!$C$27:$G$32,4,FALSE)&amp;"=Y."&amp;VLOOKUP(B190,'0. Instruções'!$C$27:$G$32,4,FALSE)&amp;"_SIMUL")</f>
        <v>ON X.INSTRMNT_ID=Y.INSTRMNT_ID_SIMUL</v>
      </c>
      <c r="L190" s="35" t="str">
        <f>+IF(C190="Coerência", +IF(LEFT(G190,5)="FLOAT","SELECT '"&amp;UPPER(B190)&amp;"' AS TABELA, '"&amp;UPPER(C190)&amp;"' AS TIPOLOGIA_TESTE,'"&amp;D190&amp;"' AS TABELA_LT,'"&amp;E190&amp;"' AS TABELA_SIMUL,'"&amp;F190&amp;"' AS CAMPO, "&amp;"'${ref_date}' AS REF_DATE, COUNT(*) AS NUM_REG, SUM(IF((ABS(COALESCE(CAST(X."&amp;F190&amp;" AS DECIMAL(18,6)),0)-COALESCE(CAST(Y."&amp;F190&amp;"_SIMUL AS DECIMAL(18,6)),0))&gt;0.000001) OR (X."&amp;F190&amp;" IS NULL AND Y."&amp;F190&amp;"_SIMUL IS NOT NULL ) OR (X."&amp;F190&amp;" IS NOT NULL AND Y."&amp;F190&amp;"_SIMUL IS NULL),1,0)) AS NUM_REG_DIF,'"&amp;MAX('ID1&amp;5'!K:K)+1&amp;"' AS ID_EXEC, CURRENT_TIMESTAMP() AS TIME_EXEC FROM "&amp;I190&amp;" INNER JOIN "&amp;J190&amp;" "&amp;K190,"SELECT '"&amp;UPPER(B190)&amp;"' AS TABELA, '"&amp;UPPER(C190)&amp;"' AS TIPOLOGIA_TESTE,'"&amp;D190&amp;"' AS TABELA_LT,'"&amp;E190&amp;"' AS TABELA_SIMUL,'"&amp;F190&amp;"' AS CAMPO, "&amp;"'${ref_date}' AS REF_DATE, COUNT(*) AS NUM_REG, SUM(IF(COALESCE(CAST(X."&amp;F190&amp;" AS STRING),'')&lt;&gt;COALESCE(CAST(Y."&amp;F190&amp;"_SIMUL AS STRING),'') OR (X."&amp;F190&amp;" IS NULL AND Y."&amp;F190&amp;"_SIMUL IS NOT NULL ) OR (X."&amp;F190&amp;" IS NOT NULL AND Y."&amp;F190&amp;"_SIMUL IS NULL),1,0)) AS NUM_REG_DIF,'"&amp;MAX('ID1&amp;5'!L:L)+1&amp;"' AS ID_EXEC, CURRENT_TIMESTAMP() AS TIME_EXEC FROM "&amp;I190&amp;" INNER JOIN "&amp;J190&amp;" "&amp;K190),
IF(C190="Validade",+IF(G190="Code List","SELECT '"&amp;UPPER(B190)&amp;"' AS TABELA, '"&amp;UPPER(C190)&amp;"' AS TIPOLOGIA_TESTE,'"&amp;D190&amp;"' AS TABELA_LT,'N/A' AS TABELA_SIMUL,'"&amp;F190&amp;"' AS CAMPO, "&amp;"'${ref_date}' AS REF_DATE, COUNT(*) AS NUM_REG, SUM(IF(TRIM(CAST(X."&amp;F190&amp;" AS STRING))='' OR TRIM(CAST(X."&amp;F190&amp;" AS STRING)) IS NULL OR CAST(X."&amp;F190&amp;" AS STRING) NOT "&amp;H190&amp;",1,0)) AS NUM_REG_DIF,'"&amp;MAX('ID1&amp;5'!K:K)+1&amp;"' AS ID_EXEC, CURRENT_TIMESTAMP() AS TIME_EXEC FROM "&amp;I190,"SELECT '"&amp;UPPER(B190)&amp;"' AS TABELA, '"&amp;UPPER(C190)&amp;"' AS TIPOLOGIA_TESTE,'"&amp;D190&amp;"' AS TABELA_LT,'N/A' AS TABELA_SIMUL,'"&amp;F190&amp;"' AS CAMPO, "&amp;"'${ref_date}' AS REF_DATE, COUNT(*) AS NUM_REG, SUM(IF(TRIM(CAST(X."&amp;F190&amp;" AS STRING))='' OR TRIM(CAST(X."&amp;F190&amp;" AS STRING)) IS NULL,1,0)) AS NUM_REG_DIF,'"&amp;MAX('ID1&amp;5'!K:K)+1&amp;"' AS ID_EXEC, CURRENT_TIMESTAMP() AS TIME_EXEC FROM "&amp;I190),
IF(C190="Caracteres Especiais",+"SELECT '"&amp;UPPER(B190)&amp;"' AS TABELA, '"&amp;UPPER(C190)&amp;"' AS TIPOLOGIA_TESTE,'"&amp;D190&amp;"' AS TABELA_LT,'N/A' AS TABELA_SIMUL,'"&amp;F190&amp;"' AS CAMPO, "&amp;"'${ref_date}' AS REF_DATE, COUNT(*) AS NUM_REG, SUM(IF(REGEXP_REPLACE(TRIM(CAST(X."&amp;F190&amp;" AS STRING)),'[^a-zA-Z0-9_\\s]','') &lt;&gt;TRIM(CAST(X."&amp;F190&amp;" AS STRING)),1,0)) AS NUM_REG_DIF,'"&amp;MAX('ID1&amp;5'!K:K)+1&amp;"' AS ID_EXEC, CURRENT_TIMESTAMP() AS TIME_EXEC FROM "&amp;I190,
IF(C190="Missings",+"SELECT '"&amp;UPPER(B190)&amp;"' AS TABELA, '"&amp;UPPER(C190)&amp;"' AS TIPOLOGIA_TESTE,'"&amp;D190&amp;"' AS TABELA_LT,'N/A' AS TABELA_SIMUL,'"&amp;F190&amp;"' AS CAMPO, "&amp;"'${ref_date}' AS REF_DATE, COUNT(*) AS NUM_REG, SUM(IF(TRIM(CAST(X."&amp;F190&amp;" AS STRING)) IN ('0000-00-00','0001-01-01','9999-12-31','MISS','00000','99999999999','99999999999.00','99999999999.000000'),1,0)) AS NUM_REG_DIF,'"&amp;MAX('ID1&amp;5'!K:K)+1&amp;"' AS ID_EXEC, CURRENT_TIMESTAMP() AS TIME_EXEC FROM "&amp;I190,
IF(C190="Not applicable",+"SELECT '"&amp;UPPER(B190)&amp;"' AS TABELA, '"&amp;UPPER(C190)&amp;"' AS TIPOLOGIA_TESTE,'"&amp;D190&amp;"' AS TABELA_LT,'N/A' AS TABELA_SIMUL,'"&amp;F190&amp;"' AS CAMPO, "&amp;"'${ref_date}' AS REF_DATE, COUNT(*) AS NUM_REG, SUM(IF(TRIM(CAST(X."&amp;F190&amp;" AS STRING)) IN ('N/A','11111111111','11111111111.00','11111111111.000000','1111-11-11'),1,0)) AS NUM_REG_DIF,'"&amp;MAX('ID1&amp;5'!K:K)+1&amp;"' AS ID_EXEC, CURRENT_TIMESTAMP() AS TIME_EXEC FROM "&amp;I190,
IF(C190="Valores extremos",+"SELECT '"&amp;UPPER(B190)&amp;"' AS TABELA, '"&amp;UPPER(C190)&amp;"' AS TIPOLOGIA_TESTE,'"&amp;D190&amp;"' AS TABELA_LT,'N/A' AS TABELA_SIMUL,'"&amp;F190&amp;"' AS CAMPO, "&amp;"'${ref_date}' AS REF_DATE, CAST(MIN("&amp;F190&amp;") AS STRING) AS VALOR_MIN, CAST(MAX("&amp;F190&amp;") AS STRING) AS VALOR_MAX,'"&amp;MAX('ID1&amp;5'!K:K)+1&amp;"' AS ID_EXEC, CURRENT_TIMESTAMP() AS TIME_EXEC FROM "&amp;MID(I190,1,LEN(I190)-2)&amp;" AND CAST("&amp;F190&amp;"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TABELA_SIMUL,'INSTLMNT_PAY' AS CAMPO, '${ref_date}' AS REF_DATE, COUNT(*) AS NUM_REG, SUM(IF(COALESCE(CAST(X.INSTLMNT_PAY AS STRING),'')&lt;&gt;COALESCE(CAST(Y.INSTLMNT_PAY_SIMUL AS STRING),'') OR (X.INSTLMNT_PAY IS NULL AND Y.INSTLMNT_PAY_SIMUL IS NOT NULL ) OR (X.INSTLMNT_PAY IS NOT NULL AND Y.INSTLMNT_PAY_SIMUL IS NULL),1,0)) AS NUM_REG_DIF,'1' AS ID_EXEC, CURRENT_TIMESTAMP() AS TIME_EXEC FROM (SELECT instrmnt_id, INSTLMNT_PAY FROM CD_LOAN_TAPES_BCE.LT002_INSTRUMENT WHERE ref_date='${ref_date}' AND nome_perimetro='Individual Corporativo' AND segmento='ESTR' AND ambito='PM' AND entidade='00100')X INNER JOIN (SELECT instrmnt_id AS instrmnt_id_SIMUL, INSTLMNT_PAY AS INSTLMNT_PAY_SIMUL FROM BU_LOANTAPE_WORK.LT002_INSTRUMENT WHERE ref_date='${ref_date}' AND nome_perimetro='Individual Corporativo' AND segmento='ESTR' AND ambito='PM' AND entidade='00100')Y ON X.INSTRMNT_ID=Y.INSTRMNT_ID_SIMUL</v>
      </c>
      <c r="M190" s="36" t="str">
        <f t="shared" si="3"/>
        <v>UNION ALL SELECT 'INSTRUMENT' AS TABELA, 'COERÊNCIA' AS TIPOLOGIA_TESTE,'CD_LOAN_TAPES_BCE.LT002_INSTRUMENT' AS TABELA_LT,'BU_LOANTAPE_WORK.LT002_INSTRUMENT' AS TABELA_SIMUL,'INSTLMNT_PAY' AS CAMPO, '${ref_date}' AS REF_DATE, COUNT(*) AS NUM_REG, SUM(IF(COALESCE(CAST(X.INSTLMNT_PAY AS STRING),'')&lt;&gt;COALESCE(CAST(Y.INSTLMNT_PAY_SIMUL AS STRING),'') OR (X.INSTLMNT_PAY IS NULL AND Y.INSTLMNT_PAY_SIMUL IS NOT NULL ) OR (X.INSTLMNT_PAY IS NOT NULL AND Y.INSTLMNT_PAY_SIMUL IS NULL),1,0)) AS NUM_REG_DIF,'1' AS ID_EXEC, CURRENT_TIMESTAMP() AS TIME_EXEC FROM (SELECT instrmnt_id, INSTLMNT_PAY FROM CD_LOAN_TAPES_BCE.LT002_INSTRUMENT WHERE ref_date='${ref_date}' AND nome_perimetro='Individual Corporativo' AND segmento='ESTR' AND ambito='PM' AND entidade='00100')X INNER JOIN (SELECT instrmnt_id AS instrmnt_id_SIMUL, INSTLMNT_PAY AS INSTLMNT_PAY_SIMUL FROM BU_LOANTAPE_WORK.LT002_INSTRUMENT WHERE ref_date='${ref_date}' AND nome_perimetro='Individual Corporativo' AND segmento='ESTR' AND ambito='PM' AND entidade='00100')Y ON X.INSTRMNT_ID=Y.INSTRMNT_ID_SIMUL</v>
      </c>
      <c r="N190" s="38" t="s">
        <v>46</v>
      </c>
    </row>
    <row r="191" spans="2:14" hidden="1">
      <c r="B191" s="34" t="s">
        <v>126</v>
      </c>
      <c r="C191" s="34" t="s">
        <v>5</v>
      </c>
      <c r="D191" s="34" t="str">
        <f>+UPPER('0. Instruções'!$D$35&amp;"."&amp;VLOOKUP(B191,'0. Instruções'!$C$27:$D$32,2,FALSE))</f>
        <v>CD_LOAN_TAPES_BCE.LT002_INSTRUMENT</v>
      </c>
      <c r="E191" s="34" t="str">
        <f>+UPPER('0. Instruções'!$D$36&amp;"."&amp;VLOOKUP(B191,'0. Instruções'!$C$27:$E$32,3,FALSE))</f>
        <v>BU_LOANTAPE_WORK.LT002_INSTRUMENT</v>
      </c>
      <c r="F191" s="34" t="s">
        <v>480</v>
      </c>
      <c r="G191" s="34"/>
      <c r="H191" s="34" t="s">
        <v>92</v>
      </c>
      <c r="I191" s="34" t="str">
        <f>"(SELECT "&amp;VLOOKUP(B191,'0. Instruções'!$C$27:$G$32,4,FALSE)&amp;", "&amp;F191&amp;" FROM "&amp;D191&amp;" WHERE "&amp;'0. Instruções'!$D$42&amp;")X"</f>
        <v>(SELECT instrmnt_id, OFF_BLNC_SHT_AMNT_INSTRMNT FROM CD_LOAN_TAPES_BCE.LT002_INSTRUMENT WHERE ref_date='${ref_date}' AND nome_perimetro='Individual Corporativo' AND segmento='ESTR' AND ambito='PM' AND entidade='00100')X</v>
      </c>
      <c r="J191" s="34" t="str">
        <f>"(SELECT "&amp;VLOOKUP(B191,'0. Instruções'!$C$27:$G$32,4,FALSE)&amp;" AS "&amp;VLOOKUP(B191,'0. Instruções'!$C$27:$G$32,4,FALSE)&amp;"_SIMUL, "&amp;F191&amp;" AS "&amp;F191&amp;"_SIMUL FROM "&amp;E191&amp;" WHERE "&amp;'0. Instruções'!$D$43&amp;")Y"</f>
        <v>(SELECT instrmnt_id AS instrmnt_id_SIMUL, OFF_BLNC_SHT_AMNT_INSTRMNT AS OFF_BLNC_SHT_AMNT_INSTRMNT_SIMUL FROM BU_LOANTAPE_WORK.LT002_INSTRUMENT WHERE ref_date='${ref_date}' AND nome_perimetro='Individual Corporativo' AND segmento='ESTR' AND ambito='PM' AND entidade='00100')Y</v>
      </c>
      <c r="K191" s="35" t="str">
        <f>+UPPER("ON X."&amp;VLOOKUP(B191,'0. Instruções'!$C$27:$G$32,4,FALSE)&amp;"=Y."&amp;VLOOKUP(B191,'0. Instruções'!$C$27:$G$32,4,FALSE)&amp;"_SIMUL")</f>
        <v>ON X.INSTRMNT_ID=Y.INSTRMNT_ID_SIMUL</v>
      </c>
      <c r="L191" s="35" t="str">
        <f>+IF(C191="Coerência", +IF(LEFT(G191,5)="FLOAT","SELECT '"&amp;UPPER(B191)&amp;"' AS TABELA, '"&amp;UPPER(C191)&amp;"' AS TIPOLOGIA_TESTE,'"&amp;D191&amp;"' AS TABELA_LT,'"&amp;E191&amp;"' AS TABELA_SIMUL,'"&amp;F191&amp;"' AS CAMPO, "&amp;"'${ref_date}' AS REF_DATE, COUNT(*) AS NUM_REG, SUM(IF((ABS(COALESCE(CAST(X."&amp;F191&amp;" AS DECIMAL(18,6)),0)-COALESCE(CAST(Y."&amp;F191&amp;"_SIMUL AS DECIMAL(18,6)),0))&gt;0.000001) OR (X."&amp;F191&amp;" IS NULL AND Y."&amp;F191&amp;"_SIMUL IS NOT NULL ) OR (X."&amp;F191&amp;" IS NOT NULL AND Y."&amp;F191&amp;"_SIMUL IS NULL),1,0)) AS NUM_REG_DIF,'"&amp;MAX('ID1&amp;5'!K:K)+1&amp;"' AS ID_EXEC, CURRENT_TIMESTAMP() AS TIME_EXEC FROM "&amp;I191&amp;" INNER JOIN "&amp;J191&amp;" "&amp;K191,"SELECT '"&amp;UPPER(B191)&amp;"' AS TABELA, '"&amp;UPPER(C191)&amp;"' AS TIPOLOGIA_TESTE,'"&amp;D191&amp;"' AS TABELA_LT,'"&amp;E191&amp;"' AS TABELA_SIMUL,'"&amp;F191&amp;"' AS CAMPO, "&amp;"'${ref_date}' AS REF_DATE, COUNT(*) AS NUM_REG, SUM(IF(COALESCE(CAST(X."&amp;F191&amp;" AS STRING),'')&lt;&gt;COALESCE(CAST(Y."&amp;F191&amp;"_SIMUL AS STRING),'') OR (X."&amp;F191&amp;" IS NULL AND Y."&amp;F191&amp;"_SIMUL IS NOT NULL ) OR (X."&amp;F191&amp;" IS NOT NULL AND Y."&amp;F191&amp;"_SIMUL IS NULL),1,0)) AS NUM_REG_DIF,'"&amp;MAX('ID1&amp;5'!L:L)+1&amp;"' AS ID_EXEC, CURRENT_TIMESTAMP() AS TIME_EXEC FROM "&amp;I191&amp;" INNER JOIN "&amp;J191&amp;" "&amp;K191),
IF(C191="Validade",+IF(G191="Code List","SELECT '"&amp;UPPER(B191)&amp;"' AS TABELA, '"&amp;UPPER(C191)&amp;"' AS TIPOLOGIA_TESTE,'"&amp;D191&amp;"' AS TABELA_LT,'N/A' AS TABELA_SIMUL,'"&amp;F191&amp;"' AS CAMPO, "&amp;"'${ref_date}' AS REF_DATE, COUNT(*) AS NUM_REG, SUM(IF(TRIM(CAST(X."&amp;F191&amp;" AS STRING))='' OR TRIM(CAST(X."&amp;F191&amp;" AS STRING)) IS NULL OR CAST(X."&amp;F191&amp;" AS STRING) NOT "&amp;H191&amp;",1,0)) AS NUM_REG_DIF,'"&amp;MAX('ID1&amp;5'!K:K)+1&amp;"' AS ID_EXEC, CURRENT_TIMESTAMP() AS TIME_EXEC FROM "&amp;I191,"SELECT '"&amp;UPPER(B191)&amp;"' AS TABELA, '"&amp;UPPER(C191)&amp;"' AS TIPOLOGIA_TESTE,'"&amp;D191&amp;"' AS TABELA_LT,'N/A' AS TABELA_SIMUL,'"&amp;F191&amp;"' AS CAMPO, "&amp;"'${ref_date}' AS REF_DATE, COUNT(*) AS NUM_REG, SUM(IF(TRIM(CAST(X."&amp;F191&amp;" AS STRING))='' OR TRIM(CAST(X."&amp;F191&amp;" AS STRING)) IS NULL,1,0)) AS NUM_REG_DIF,'"&amp;MAX('ID1&amp;5'!K:K)+1&amp;"' AS ID_EXEC, CURRENT_TIMESTAMP() AS TIME_EXEC FROM "&amp;I191),
IF(C191="Caracteres Especiais",+"SELECT '"&amp;UPPER(B191)&amp;"' AS TABELA, '"&amp;UPPER(C191)&amp;"' AS TIPOLOGIA_TESTE,'"&amp;D191&amp;"' AS TABELA_LT,'N/A' AS TABELA_SIMUL,'"&amp;F191&amp;"' AS CAMPO, "&amp;"'${ref_date}' AS REF_DATE, COUNT(*) AS NUM_REG, SUM(IF(REGEXP_REPLACE(TRIM(CAST(X."&amp;F191&amp;" AS STRING)),'[^a-zA-Z0-9_\\s]','') &lt;&gt;TRIM(CAST(X."&amp;F191&amp;" AS STRING)),1,0)) AS NUM_REG_DIF,'"&amp;MAX('ID1&amp;5'!K:K)+1&amp;"' AS ID_EXEC, CURRENT_TIMESTAMP() AS TIME_EXEC FROM "&amp;I191,
IF(C191="Missings",+"SELECT '"&amp;UPPER(B191)&amp;"' AS TABELA, '"&amp;UPPER(C191)&amp;"' AS TIPOLOGIA_TESTE,'"&amp;D191&amp;"' AS TABELA_LT,'N/A' AS TABELA_SIMUL,'"&amp;F191&amp;"' AS CAMPO, "&amp;"'${ref_date}' AS REF_DATE, COUNT(*) AS NUM_REG, SUM(IF(TRIM(CAST(X."&amp;F191&amp;" AS STRING)) IN ('0000-00-00','0001-01-01','9999-12-31','MISS','00000','99999999999','99999999999.00','99999999999.000000'),1,0)) AS NUM_REG_DIF,'"&amp;MAX('ID1&amp;5'!K:K)+1&amp;"' AS ID_EXEC, CURRENT_TIMESTAMP() AS TIME_EXEC FROM "&amp;I191,
IF(C191="Not applicable",+"SELECT '"&amp;UPPER(B191)&amp;"' AS TABELA, '"&amp;UPPER(C191)&amp;"' AS TIPOLOGIA_TESTE,'"&amp;D191&amp;"' AS TABELA_LT,'N/A' AS TABELA_SIMUL,'"&amp;F191&amp;"' AS CAMPO, "&amp;"'${ref_date}' AS REF_DATE, COUNT(*) AS NUM_REG, SUM(IF(TRIM(CAST(X."&amp;F191&amp;" AS STRING)) IN ('N/A','11111111111','11111111111.00','11111111111.000000','1111-11-11'),1,0)) AS NUM_REG_DIF,'"&amp;MAX('ID1&amp;5'!K:K)+1&amp;"' AS ID_EXEC, CURRENT_TIMESTAMP() AS TIME_EXEC FROM "&amp;I191,
IF(C191="Valores extremos",+"SELECT '"&amp;UPPER(B191)&amp;"' AS TABELA, '"&amp;UPPER(C191)&amp;"' AS TIPOLOGIA_TESTE,'"&amp;D191&amp;"' AS TABELA_LT,'N/A' AS TABELA_SIMUL,'"&amp;F191&amp;"' AS CAMPO, "&amp;"'${ref_date}' AS REF_DATE, CAST(MIN("&amp;F191&amp;") AS STRING) AS VALOR_MIN, CAST(MAX("&amp;F191&amp;") AS STRING) AS VALOR_MAX,'"&amp;MAX('ID1&amp;5'!K:K)+1&amp;"' AS ID_EXEC, CURRENT_TIMESTAMP() AS TIME_EXEC FROM "&amp;MID(I191,1,LEN(I191)-2)&amp;" AND CAST("&amp;F191&amp;"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TABELA_SIMUL,'OFF_BLNC_SHT_AMNT_INSTRMNT' AS CAMPO, '${ref_date}' AS REF_DATE, COUNT(*) AS NUM_REG, SUM(IF(COALESCE(CAST(X.OFF_BLNC_SHT_AMNT_INSTRMNT AS STRING),'')&lt;&gt;COALESCE(CAST(Y.OFF_BLNC_SHT_AMNT_INSTRMNT_SIMUL AS STRING),'') OR (X.OFF_BLNC_SHT_AMNT_INSTRMNT IS NULL AND Y.OFF_BLNC_SHT_AMNT_INSTRMNT_SIMUL IS NOT NULL ) OR (X.OFF_BLNC_SHT_AMNT_INSTRMNT IS NOT NULL AND Y.OFF_BLNC_SHT_AMNT_INSTRMNT_SIMUL IS NULL),1,0)) AS NUM_REG_DIF,'1' AS ID_EXEC, CURRENT_TIMESTAMP() AS TIME_EXEC FROM (SELECT instrmnt_id, OFF_BLNC_SHT_AMNT_INSTRMNT FROM CD_LOAN_TAPES_BCE.LT002_INSTRUMENT WHERE ref_date='${ref_date}' AND nome_perimetro='Individual Corporativo' AND segmento='ESTR' AND ambito='PM' AND entidade='00100')X INNER JOIN (SELECT instrmnt_id AS instrmnt_id_SIMUL, OFF_BLNC_SHT_AMNT_INSTRMNT AS OFF_BLNC_SHT_AMNT_INSTRMNT_SIMUL FROM BU_LOANTAPE_WORK.LT002_INSTRUMENT WHERE ref_date='${ref_date}' AND nome_perimetro='Individual Corporativo' AND segmento='ESTR' AND ambito='PM' AND entidade='00100')Y ON X.INSTRMNT_ID=Y.INSTRMNT_ID_SIMUL</v>
      </c>
      <c r="M191" s="36" t="str">
        <f t="shared" si="3"/>
        <v>UNION ALL SELECT 'INSTRUMENT' AS TABELA, 'COERÊNCIA' AS TIPOLOGIA_TESTE,'CD_LOAN_TAPES_BCE.LT002_INSTRUMENT' AS TABELA_LT,'BU_LOANTAPE_WORK.LT002_INSTRUMENT' AS TABELA_SIMUL,'OFF_BLNC_SHT_AMNT_INSTRMNT' AS CAMPO, '${ref_date}' AS REF_DATE, COUNT(*) AS NUM_REG, SUM(IF(COALESCE(CAST(X.OFF_BLNC_SHT_AMNT_INSTRMNT AS STRING),'')&lt;&gt;COALESCE(CAST(Y.OFF_BLNC_SHT_AMNT_INSTRMNT_SIMUL AS STRING),'') OR (X.OFF_BLNC_SHT_AMNT_INSTRMNT IS NULL AND Y.OFF_BLNC_SHT_AMNT_INSTRMNT_SIMUL IS NOT NULL ) OR (X.OFF_BLNC_SHT_AMNT_INSTRMNT IS NOT NULL AND Y.OFF_BLNC_SHT_AMNT_INSTRMNT_SIMUL IS NULL),1,0)) AS NUM_REG_DIF,'1' AS ID_EXEC, CURRENT_TIMESTAMP() AS TIME_EXEC FROM (SELECT instrmnt_id, OFF_BLNC_SHT_AMNT_INSTRMNT FROM CD_LOAN_TAPES_BCE.LT002_INSTRUMENT WHERE ref_date='${ref_date}' AND nome_perimetro='Individual Corporativo' AND segmento='ESTR' AND ambito='PM' AND entidade='00100')X INNER JOIN (SELECT instrmnt_id AS instrmnt_id_SIMUL, OFF_BLNC_SHT_AMNT_INSTRMNT AS OFF_BLNC_SHT_AMNT_INSTRMNT_SIMUL FROM BU_LOANTAPE_WORK.LT002_INSTRUMENT WHERE ref_date='${ref_date}' AND nome_perimetro='Individual Corporativo' AND segmento='ESTR' AND ambito='PM' AND entidade='00100')Y ON X.INSTRMNT_ID=Y.INSTRMNT_ID_SIMUL</v>
      </c>
      <c r="N191" s="38" t="s">
        <v>46</v>
      </c>
    </row>
    <row r="192" spans="2:14" hidden="1">
      <c r="B192" s="34" t="s">
        <v>126</v>
      </c>
      <c r="C192" s="34" t="s">
        <v>5</v>
      </c>
      <c r="D192" s="34" t="str">
        <f>+UPPER('0. Instruções'!$D$35&amp;"."&amp;VLOOKUP(B192,'0. Instruções'!$C$27:$D$32,2,FALSE))</f>
        <v>CD_LOAN_TAPES_BCE.LT002_INSTRUMENT</v>
      </c>
      <c r="E192" s="34" t="str">
        <f>+UPPER('0. Instruções'!$D$36&amp;"."&amp;VLOOKUP(B192,'0. Instruções'!$C$27:$E$32,3,FALSE))</f>
        <v>BU_LOANTAPE_WORK.LT002_INSTRUMENT</v>
      </c>
      <c r="F192" s="34" t="s">
        <v>481</v>
      </c>
      <c r="G192" s="34"/>
      <c r="H192" s="34" t="s">
        <v>92</v>
      </c>
      <c r="I192" s="34" t="str">
        <f>"(SELECT "&amp;VLOOKUP(B192,'0. Instruções'!$C$27:$G$32,4,FALSE)&amp;", "&amp;F192&amp;" FROM "&amp;D192&amp;" WHERE "&amp;'0. Instruções'!$D$42&amp;")X"</f>
        <v>(SELECT instrmnt_id, OFF_BLNC_SHT_AMNT_INSTRMNT_PRVS FROM CD_LOAN_TAPES_BCE.LT002_INSTRUMENT WHERE ref_date='${ref_date}' AND nome_perimetro='Individual Corporativo' AND segmento='ESTR' AND ambito='PM' AND entidade='00100')X</v>
      </c>
      <c r="J192" s="34" t="str">
        <f>"(SELECT "&amp;VLOOKUP(B192,'0. Instruções'!$C$27:$G$32,4,FALSE)&amp;" AS "&amp;VLOOKUP(B192,'0. Instruções'!$C$27:$G$32,4,FALSE)&amp;"_SIMUL, "&amp;F192&amp;" AS "&amp;F192&amp;"_SIMUL FROM "&amp;E192&amp;" WHERE "&amp;'0. Instruções'!$D$43&amp;")Y"</f>
        <v>(SELECT instrmnt_id AS instrmnt_id_SIMUL, OFF_BLNC_SHT_AMNT_INSTRMNT_PRVS AS OFF_BLNC_SHT_AMNT_INSTRMNT_PRVS_SIMUL FROM BU_LOANTAPE_WORK.LT002_INSTRUMENT WHERE ref_date='${ref_date}' AND nome_perimetro='Individual Corporativo' AND segmento='ESTR' AND ambito='PM' AND entidade='00100')Y</v>
      </c>
      <c r="K192" s="35" t="str">
        <f>+UPPER("ON X."&amp;VLOOKUP(B192,'0. Instruções'!$C$27:$G$32,4,FALSE)&amp;"=Y."&amp;VLOOKUP(B192,'0. Instruções'!$C$27:$G$32,4,FALSE)&amp;"_SIMUL")</f>
        <v>ON X.INSTRMNT_ID=Y.INSTRMNT_ID_SIMUL</v>
      </c>
      <c r="L192" s="35" t="str">
        <f>+IF(C192="Coerência", +IF(LEFT(G192,5)="FLOAT","SELECT '"&amp;UPPER(B192)&amp;"' AS TABELA, '"&amp;UPPER(C192)&amp;"' AS TIPOLOGIA_TESTE,'"&amp;D192&amp;"' AS TABELA_LT,'"&amp;E192&amp;"' AS TABELA_SIMUL,'"&amp;F192&amp;"' AS CAMPO, "&amp;"'${ref_date}' AS REF_DATE, COUNT(*) AS NUM_REG, SUM(IF((ABS(COALESCE(CAST(X."&amp;F192&amp;" AS DECIMAL(18,6)),0)-COALESCE(CAST(Y."&amp;F192&amp;"_SIMUL AS DECIMAL(18,6)),0))&gt;0.000001) OR (X."&amp;F192&amp;" IS NULL AND Y."&amp;F192&amp;"_SIMUL IS NOT NULL ) OR (X."&amp;F192&amp;" IS NOT NULL AND Y."&amp;F192&amp;"_SIMUL IS NULL),1,0)) AS NUM_REG_DIF,'"&amp;MAX('ID1&amp;5'!K:K)+1&amp;"' AS ID_EXEC, CURRENT_TIMESTAMP() AS TIME_EXEC FROM "&amp;I192&amp;" INNER JOIN "&amp;J192&amp;" "&amp;K192,"SELECT '"&amp;UPPER(B192)&amp;"' AS TABELA, '"&amp;UPPER(C192)&amp;"' AS TIPOLOGIA_TESTE,'"&amp;D192&amp;"' AS TABELA_LT,'"&amp;E192&amp;"' AS TABELA_SIMUL,'"&amp;F192&amp;"' AS CAMPO, "&amp;"'${ref_date}' AS REF_DATE, COUNT(*) AS NUM_REG, SUM(IF(COALESCE(CAST(X."&amp;F192&amp;" AS STRING),'')&lt;&gt;COALESCE(CAST(Y."&amp;F192&amp;"_SIMUL AS STRING),'') OR (X."&amp;F192&amp;" IS NULL AND Y."&amp;F192&amp;"_SIMUL IS NOT NULL ) OR (X."&amp;F192&amp;" IS NOT NULL AND Y."&amp;F192&amp;"_SIMUL IS NULL),1,0)) AS NUM_REG_DIF,'"&amp;MAX('ID1&amp;5'!L:L)+1&amp;"' AS ID_EXEC, CURRENT_TIMESTAMP() AS TIME_EXEC FROM "&amp;I192&amp;" INNER JOIN "&amp;J192&amp;" "&amp;K192),
IF(C192="Validade",+IF(G192="Code List","SELECT '"&amp;UPPER(B192)&amp;"' AS TABELA, '"&amp;UPPER(C192)&amp;"' AS TIPOLOGIA_TESTE,'"&amp;D192&amp;"' AS TABELA_LT,'N/A' AS TABELA_SIMUL,'"&amp;F192&amp;"' AS CAMPO, "&amp;"'${ref_date}' AS REF_DATE, COUNT(*) AS NUM_REG, SUM(IF(TRIM(CAST(X."&amp;F192&amp;" AS STRING))='' OR TRIM(CAST(X."&amp;F192&amp;" AS STRING)) IS NULL OR CAST(X."&amp;F192&amp;" AS STRING) NOT "&amp;H192&amp;",1,0)) AS NUM_REG_DIF,'"&amp;MAX('ID1&amp;5'!K:K)+1&amp;"' AS ID_EXEC, CURRENT_TIMESTAMP() AS TIME_EXEC FROM "&amp;I192,"SELECT '"&amp;UPPER(B192)&amp;"' AS TABELA, '"&amp;UPPER(C192)&amp;"' AS TIPOLOGIA_TESTE,'"&amp;D192&amp;"' AS TABELA_LT,'N/A' AS TABELA_SIMUL,'"&amp;F192&amp;"' AS CAMPO, "&amp;"'${ref_date}' AS REF_DATE, COUNT(*) AS NUM_REG, SUM(IF(TRIM(CAST(X."&amp;F192&amp;" AS STRING))='' OR TRIM(CAST(X."&amp;F192&amp;" AS STRING)) IS NULL,1,0)) AS NUM_REG_DIF,'"&amp;MAX('ID1&amp;5'!K:K)+1&amp;"' AS ID_EXEC, CURRENT_TIMESTAMP() AS TIME_EXEC FROM "&amp;I192),
IF(C192="Caracteres Especiais",+"SELECT '"&amp;UPPER(B192)&amp;"' AS TABELA, '"&amp;UPPER(C192)&amp;"' AS TIPOLOGIA_TESTE,'"&amp;D192&amp;"' AS TABELA_LT,'N/A' AS TABELA_SIMUL,'"&amp;F192&amp;"' AS CAMPO, "&amp;"'${ref_date}' AS REF_DATE, COUNT(*) AS NUM_REG, SUM(IF(REGEXP_REPLACE(TRIM(CAST(X."&amp;F192&amp;" AS STRING)),'[^a-zA-Z0-9_\\s]','') &lt;&gt;TRIM(CAST(X."&amp;F192&amp;" AS STRING)),1,0)) AS NUM_REG_DIF,'"&amp;MAX('ID1&amp;5'!K:K)+1&amp;"' AS ID_EXEC, CURRENT_TIMESTAMP() AS TIME_EXEC FROM "&amp;I192,
IF(C192="Missings",+"SELECT '"&amp;UPPER(B192)&amp;"' AS TABELA, '"&amp;UPPER(C192)&amp;"' AS TIPOLOGIA_TESTE,'"&amp;D192&amp;"' AS TABELA_LT,'N/A' AS TABELA_SIMUL,'"&amp;F192&amp;"' AS CAMPO, "&amp;"'${ref_date}' AS REF_DATE, COUNT(*) AS NUM_REG, SUM(IF(TRIM(CAST(X."&amp;F192&amp;" AS STRING)) IN ('0000-00-00','0001-01-01','9999-12-31','MISS','00000','99999999999','99999999999.00','99999999999.000000'),1,0)) AS NUM_REG_DIF,'"&amp;MAX('ID1&amp;5'!K:K)+1&amp;"' AS ID_EXEC, CURRENT_TIMESTAMP() AS TIME_EXEC FROM "&amp;I192,
IF(C192="Not applicable",+"SELECT '"&amp;UPPER(B192)&amp;"' AS TABELA, '"&amp;UPPER(C192)&amp;"' AS TIPOLOGIA_TESTE,'"&amp;D192&amp;"' AS TABELA_LT,'N/A' AS TABELA_SIMUL,'"&amp;F192&amp;"' AS CAMPO, "&amp;"'${ref_date}' AS REF_DATE, COUNT(*) AS NUM_REG, SUM(IF(TRIM(CAST(X."&amp;F192&amp;" AS STRING)) IN ('N/A','11111111111','11111111111.00','11111111111.000000','1111-11-11'),1,0)) AS NUM_REG_DIF,'"&amp;MAX('ID1&amp;5'!K:K)+1&amp;"' AS ID_EXEC, CURRENT_TIMESTAMP() AS TIME_EXEC FROM "&amp;I192,
IF(C192="Valores extremos",+"SELECT '"&amp;UPPER(B192)&amp;"' AS TABELA, '"&amp;UPPER(C192)&amp;"' AS TIPOLOGIA_TESTE,'"&amp;D192&amp;"' AS TABELA_LT,'N/A' AS TABELA_SIMUL,'"&amp;F192&amp;"' AS CAMPO, "&amp;"'${ref_date}' AS REF_DATE, CAST(MIN("&amp;F192&amp;") AS STRING) AS VALOR_MIN, CAST(MAX("&amp;F192&amp;") AS STRING) AS VALOR_MAX,'"&amp;MAX('ID1&amp;5'!K:K)+1&amp;"' AS ID_EXEC, CURRENT_TIMESTAMP() AS TIME_EXEC FROM "&amp;MID(I192,1,LEN(I192)-2)&amp;" AND CAST("&amp;F192&amp;"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TABELA_SIMUL,'OFF_BLNC_SHT_AMNT_INSTRMNT_PRVS' AS CAMPO, '${ref_date}' AS REF_DATE, COUNT(*) AS NUM_REG, SUM(IF(COALESCE(CAST(X.OFF_BLNC_SHT_AMNT_INSTRMNT_PRVS AS STRING),'')&lt;&gt;COALESCE(CAST(Y.OFF_BLNC_SHT_AMNT_INSTRMNT_PRVS_SIMUL AS STRING),'') OR (X.OFF_BLNC_SHT_AMNT_INSTRMNT_PRVS IS NULL AND Y.OFF_BLNC_SHT_AMNT_INSTRMNT_PRVS_SIMUL IS NOT NULL ) OR (X.OFF_BLNC_SHT_AMNT_INSTRMNT_PRVS IS NOT NULL AND Y.OFF_BLNC_SHT_AMNT_INSTRMNT_PRVS_SIMUL IS NULL),1,0)) AS NUM_REG_DIF,'1' AS ID_EXEC, CURRENT_TIMESTAMP() AS TIME_EXEC FROM (SELECT instrmnt_id, OFF_BLNC_SHT_AMNT_INSTRMNT_PRVS FROM CD_LOAN_TAPES_BCE.LT002_INSTRUMENT WHERE ref_date='${ref_date}' AND nome_perimetro='Individual Corporativo' AND segmento='ESTR' AND ambito='PM' AND entidade='00100')X INNER JOIN (SELECT instrmnt_id AS instrmnt_id_SIMUL, OFF_BLNC_SHT_AMNT_INSTRMNT_PRVS AS OFF_BLNC_SHT_AMNT_INSTRMNT_PRVS_SIMUL FROM BU_LOANTAPE_WORK.LT002_INSTRUMENT WHERE ref_date='${ref_date}' AND nome_perimetro='Individual Corporativo' AND segmento='ESTR' AND ambito='PM' AND entidade='00100')Y ON X.INSTRMNT_ID=Y.INSTRMNT_ID_SIMUL</v>
      </c>
      <c r="M192" s="36" t="str">
        <f t="shared" si="3"/>
        <v>UNION ALL SELECT 'INSTRUMENT' AS TABELA, 'COERÊNCIA' AS TIPOLOGIA_TESTE,'CD_LOAN_TAPES_BCE.LT002_INSTRUMENT' AS TABELA_LT,'BU_LOANTAPE_WORK.LT002_INSTRUMENT' AS TABELA_SIMUL,'OFF_BLNC_SHT_AMNT_INSTRMNT_PRVS' AS CAMPO, '${ref_date}' AS REF_DATE, COUNT(*) AS NUM_REG, SUM(IF(COALESCE(CAST(X.OFF_BLNC_SHT_AMNT_INSTRMNT_PRVS AS STRING),'')&lt;&gt;COALESCE(CAST(Y.OFF_BLNC_SHT_AMNT_INSTRMNT_PRVS_SIMUL AS STRING),'') OR (X.OFF_BLNC_SHT_AMNT_INSTRMNT_PRVS IS NULL AND Y.OFF_BLNC_SHT_AMNT_INSTRMNT_PRVS_SIMUL IS NOT NULL ) OR (X.OFF_BLNC_SHT_AMNT_INSTRMNT_PRVS IS NOT NULL AND Y.OFF_BLNC_SHT_AMNT_INSTRMNT_PRVS_SIMUL IS NULL),1,0)) AS NUM_REG_DIF,'1' AS ID_EXEC, CURRENT_TIMESTAMP() AS TIME_EXEC FROM (SELECT instrmnt_id, OFF_BLNC_SHT_AMNT_INSTRMNT_PRVS FROM CD_LOAN_TAPES_BCE.LT002_INSTRUMENT WHERE ref_date='${ref_date}' AND nome_perimetro='Individual Corporativo' AND segmento='ESTR' AND ambito='PM' AND entidade='00100')X INNER JOIN (SELECT instrmnt_id AS instrmnt_id_SIMUL, OFF_BLNC_SHT_AMNT_INSTRMNT_PRVS AS OFF_BLNC_SHT_AMNT_INSTRMNT_PRVS_SIMUL FROM BU_LOANTAPE_WORK.LT002_INSTRUMENT WHERE ref_date='${ref_date}' AND nome_perimetro='Individual Corporativo' AND segmento='ESTR' AND ambito='PM' AND entidade='00100')Y ON X.INSTRMNT_ID=Y.INSTRMNT_ID_SIMUL</v>
      </c>
      <c r="N192" s="38" t="s">
        <v>46</v>
      </c>
    </row>
    <row r="193" spans="2:14" hidden="1">
      <c r="B193" s="34" t="s">
        <v>126</v>
      </c>
      <c r="C193" s="34" t="s">
        <v>5</v>
      </c>
      <c r="D193" s="34" t="str">
        <f>+UPPER('0. Instruções'!$D$35&amp;"."&amp;VLOOKUP(B193,'0. Instruções'!$C$27:$D$32,2,FALSE))</f>
        <v>CD_LOAN_TAPES_BCE.LT002_INSTRUMENT</v>
      </c>
      <c r="E193" s="34" t="str">
        <f>+UPPER('0. Instruções'!$D$36&amp;"."&amp;VLOOKUP(B193,'0. Instruções'!$C$27:$E$32,3,FALSE))</f>
        <v>BU_LOANTAPE_WORK.LT002_INSTRUMENT</v>
      </c>
      <c r="F193" s="34" t="s">
        <v>482</v>
      </c>
      <c r="G193" s="34"/>
      <c r="H193" s="34" t="s">
        <v>92</v>
      </c>
      <c r="I193" s="34" t="str">
        <f>"(SELECT "&amp;VLOOKUP(B193,'0. Instruções'!$C$27:$G$32,4,FALSE)&amp;", "&amp;F193&amp;" FROM "&amp;D193&amp;" WHERE "&amp;'0. Instruções'!$D$42&amp;")X"</f>
        <v>(SELECT instrmnt_id, OTSTNDNG_NMNL_AMNT_INSTRMNT FROM CD_LOAN_TAPES_BCE.LT002_INSTRUMENT WHERE ref_date='${ref_date}' AND nome_perimetro='Individual Corporativo' AND segmento='ESTR' AND ambito='PM' AND entidade='00100')X</v>
      </c>
      <c r="J193" s="34" t="str">
        <f>"(SELECT "&amp;VLOOKUP(B193,'0. Instruções'!$C$27:$G$32,4,FALSE)&amp;" AS "&amp;VLOOKUP(B193,'0. Instruções'!$C$27:$G$32,4,FALSE)&amp;"_SIMUL, "&amp;F193&amp;" AS "&amp;F193&amp;"_SIMUL FROM "&amp;E193&amp;" WHERE "&amp;'0. Instruções'!$D$43&amp;")Y"</f>
        <v>(SELECT instrmnt_id AS instrmnt_id_SIMUL, OTSTNDNG_NMNL_AMNT_INSTRMNT AS OTSTNDNG_NMNL_AMNT_INSTRMNT_SIMUL FROM BU_LOANTAPE_WORK.LT002_INSTRUMENT WHERE ref_date='${ref_date}' AND nome_perimetro='Individual Corporativo' AND segmento='ESTR' AND ambito='PM' AND entidade='00100')Y</v>
      </c>
      <c r="K193" s="35" t="str">
        <f>+UPPER("ON X."&amp;VLOOKUP(B193,'0. Instruções'!$C$27:$G$32,4,FALSE)&amp;"=Y."&amp;VLOOKUP(B193,'0. Instruções'!$C$27:$G$32,4,FALSE)&amp;"_SIMUL")</f>
        <v>ON X.INSTRMNT_ID=Y.INSTRMNT_ID_SIMUL</v>
      </c>
      <c r="L193" s="35" t="str">
        <f>+IF(C193="Coerência", +IF(LEFT(G193,5)="FLOAT","SELECT '"&amp;UPPER(B193)&amp;"' AS TABELA, '"&amp;UPPER(C193)&amp;"' AS TIPOLOGIA_TESTE,'"&amp;D193&amp;"' AS TABELA_LT,'"&amp;E193&amp;"' AS TABELA_SIMUL,'"&amp;F193&amp;"' AS CAMPO, "&amp;"'${ref_date}' AS REF_DATE, COUNT(*) AS NUM_REG, SUM(IF((ABS(COALESCE(CAST(X."&amp;F193&amp;" AS DECIMAL(18,6)),0)-COALESCE(CAST(Y."&amp;F193&amp;"_SIMUL AS DECIMAL(18,6)),0))&gt;0.000001) OR (X."&amp;F193&amp;" IS NULL AND Y."&amp;F193&amp;"_SIMUL IS NOT NULL ) OR (X."&amp;F193&amp;" IS NOT NULL AND Y."&amp;F193&amp;"_SIMUL IS NULL),1,0)) AS NUM_REG_DIF,'"&amp;MAX('ID1&amp;5'!K:K)+1&amp;"' AS ID_EXEC, CURRENT_TIMESTAMP() AS TIME_EXEC FROM "&amp;I193&amp;" INNER JOIN "&amp;J193&amp;" "&amp;K193,"SELECT '"&amp;UPPER(B193)&amp;"' AS TABELA, '"&amp;UPPER(C193)&amp;"' AS TIPOLOGIA_TESTE,'"&amp;D193&amp;"' AS TABELA_LT,'"&amp;E193&amp;"' AS TABELA_SIMUL,'"&amp;F193&amp;"' AS CAMPO, "&amp;"'${ref_date}' AS REF_DATE, COUNT(*) AS NUM_REG, SUM(IF(COALESCE(CAST(X."&amp;F193&amp;" AS STRING),'')&lt;&gt;COALESCE(CAST(Y."&amp;F193&amp;"_SIMUL AS STRING),'') OR (X."&amp;F193&amp;" IS NULL AND Y."&amp;F193&amp;"_SIMUL IS NOT NULL ) OR (X."&amp;F193&amp;" IS NOT NULL AND Y."&amp;F193&amp;"_SIMUL IS NULL),1,0)) AS NUM_REG_DIF,'"&amp;MAX('ID1&amp;5'!L:L)+1&amp;"' AS ID_EXEC, CURRENT_TIMESTAMP() AS TIME_EXEC FROM "&amp;I193&amp;" INNER JOIN "&amp;J193&amp;" "&amp;K193),
IF(C193="Validade",+IF(G193="Code List","SELECT '"&amp;UPPER(B193)&amp;"' AS TABELA, '"&amp;UPPER(C193)&amp;"' AS TIPOLOGIA_TESTE,'"&amp;D193&amp;"' AS TABELA_LT,'N/A' AS TABELA_SIMUL,'"&amp;F193&amp;"' AS CAMPO, "&amp;"'${ref_date}' AS REF_DATE, COUNT(*) AS NUM_REG, SUM(IF(TRIM(CAST(X."&amp;F193&amp;" AS STRING))='' OR TRIM(CAST(X."&amp;F193&amp;" AS STRING)) IS NULL OR CAST(X."&amp;F193&amp;" AS STRING) NOT "&amp;H193&amp;",1,0)) AS NUM_REG_DIF,'"&amp;MAX('ID1&amp;5'!K:K)+1&amp;"' AS ID_EXEC, CURRENT_TIMESTAMP() AS TIME_EXEC FROM "&amp;I193,"SELECT '"&amp;UPPER(B193)&amp;"' AS TABELA, '"&amp;UPPER(C193)&amp;"' AS TIPOLOGIA_TESTE,'"&amp;D193&amp;"' AS TABELA_LT,'N/A' AS TABELA_SIMUL,'"&amp;F193&amp;"' AS CAMPO, "&amp;"'${ref_date}' AS REF_DATE, COUNT(*) AS NUM_REG, SUM(IF(TRIM(CAST(X."&amp;F193&amp;" AS STRING))='' OR TRIM(CAST(X."&amp;F193&amp;" AS STRING)) IS NULL,1,0)) AS NUM_REG_DIF,'"&amp;MAX('ID1&amp;5'!K:K)+1&amp;"' AS ID_EXEC, CURRENT_TIMESTAMP() AS TIME_EXEC FROM "&amp;I193),
IF(C193="Caracteres Especiais",+"SELECT '"&amp;UPPER(B193)&amp;"' AS TABELA, '"&amp;UPPER(C193)&amp;"' AS TIPOLOGIA_TESTE,'"&amp;D193&amp;"' AS TABELA_LT,'N/A' AS TABELA_SIMUL,'"&amp;F193&amp;"' AS CAMPO, "&amp;"'${ref_date}' AS REF_DATE, COUNT(*) AS NUM_REG, SUM(IF(REGEXP_REPLACE(TRIM(CAST(X."&amp;F193&amp;" AS STRING)),'[^a-zA-Z0-9_\\s]','') &lt;&gt;TRIM(CAST(X."&amp;F193&amp;" AS STRING)),1,0)) AS NUM_REG_DIF,'"&amp;MAX('ID1&amp;5'!K:K)+1&amp;"' AS ID_EXEC, CURRENT_TIMESTAMP() AS TIME_EXEC FROM "&amp;I193,
IF(C193="Missings",+"SELECT '"&amp;UPPER(B193)&amp;"' AS TABELA, '"&amp;UPPER(C193)&amp;"' AS TIPOLOGIA_TESTE,'"&amp;D193&amp;"' AS TABELA_LT,'N/A' AS TABELA_SIMUL,'"&amp;F193&amp;"' AS CAMPO, "&amp;"'${ref_date}' AS REF_DATE, COUNT(*) AS NUM_REG, SUM(IF(TRIM(CAST(X."&amp;F193&amp;" AS STRING)) IN ('0000-00-00','0001-01-01','9999-12-31','MISS','00000','99999999999','99999999999.00','99999999999.000000'),1,0)) AS NUM_REG_DIF,'"&amp;MAX('ID1&amp;5'!K:K)+1&amp;"' AS ID_EXEC, CURRENT_TIMESTAMP() AS TIME_EXEC FROM "&amp;I193,
IF(C193="Not applicable",+"SELECT '"&amp;UPPER(B193)&amp;"' AS TABELA, '"&amp;UPPER(C193)&amp;"' AS TIPOLOGIA_TESTE,'"&amp;D193&amp;"' AS TABELA_LT,'N/A' AS TABELA_SIMUL,'"&amp;F193&amp;"' AS CAMPO, "&amp;"'${ref_date}' AS REF_DATE, COUNT(*) AS NUM_REG, SUM(IF(TRIM(CAST(X."&amp;F193&amp;" AS STRING)) IN ('N/A','11111111111','11111111111.00','11111111111.000000','1111-11-11'),1,0)) AS NUM_REG_DIF,'"&amp;MAX('ID1&amp;5'!K:K)+1&amp;"' AS ID_EXEC, CURRENT_TIMESTAMP() AS TIME_EXEC FROM "&amp;I193,
IF(C193="Valores extremos",+"SELECT '"&amp;UPPER(B193)&amp;"' AS TABELA, '"&amp;UPPER(C193)&amp;"' AS TIPOLOGIA_TESTE,'"&amp;D193&amp;"' AS TABELA_LT,'N/A' AS TABELA_SIMUL,'"&amp;F193&amp;"' AS CAMPO, "&amp;"'${ref_date}' AS REF_DATE, CAST(MIN("&amp;F193&amp;") AS STRING) AS VALOR_MIN, CAST(MAX("&amp;F193&amp;") AS STRING) AS VALOR_MAX,'"&amp;MAX('ID1&amp;5'!K:K)+1&amp;"' AS ID_EXEC, CURRENT_TIMESTAMP() AS TIME_EXEC FROM "&amp;MID(I193,1,LEN(I193)-2)&amp;" AND CAST("&amp;F193&amp;"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TABELA_SIMUL,'OTSTNDNG_NMNL_AMNT_INSTRMNT' AS CAMPO, '${ref_date}' AS REF_DATE, COUNT(*) AS NUM_REG, SUM(IF(COALESCE(CAST(X.OTSTNDNG_NMNL_AMNT_INSTRMNT AS STRING),'')&lt;&gt;COALESCE(CAST(Y.OTSTNDNG_NMNL_AMNT_INSTRMNT_SIMUL AS STRING),'') OR (X.OTSTNDNG_NMNL_AMNT_INSTRMNT IS NULL AND Y.OTSTNDNG_NMNL_AMNT_INSTRMNT_SIMUL IS NOT NULL ) OR (X.OTSTNDNG_NMNL_AMNT_INSTRMNT IS NOT NULL AND Y.OTSTNDNG_NMNL_AMNT_INSTRMNT_SIMUL IS NULL),1,0)) AS NUM_REG_DIF,'1' AS ID_EXEC, CURRENT_TIMESTAMP() AS TIME_EXEC FROM (SELECT instrmnt_id, OTSTNDNG_NMNL_AMNT_INSTRMNT FROM CD_LOAN_TAPES_BCE.LT002_INSTRUMENT WHERE ref_date='${ref_date}' AND nome_perimetro='Individual Corporativo' AND segmento='ESTR' AND ambito='PM' AND entidade='00100')X INNER JOIN (SELECT instrmnt_id AS instrmnt_id_SIMUL, OTSTNDNG_NMNL_AMNT_INSTRMNT AS OTSTNDNG_NMNL_AMNT_INSTRMNT_SIMUL FROM BU_LOANTAPE_WORK.LT002_INSTRUMENT WHERE ref_date='${ref_date}' AND nome_perimetro='Individual Corporativo' AND segmento='ESTR' AND ambito='PM' AND entidade='00100')Y ON X.INSTRMNT_ID=Y.INSTRMNT_ID_SIMUL</v>
      </c>
      <c r="M193" s="36" t="str">
        <f t="shared" si="3"/>
        <v>UNION ALL SELECT 'INSTRUMENT' AS TABELA, 'COERÊNCIA' AS TIPOLOGIA_TESTE,'CD_LOAN_TAPES_BCE.LT002_INSTRUMENT' AS TABELA_LT,'BU_LOANTAPE_WORK.LT002_INSTRUMENT' AS TABELA_SIMUL,'OTSTNDNG_NMNL_AMNT_INSTRMNT' AS CAMPO, '${ref_date}' AS REF_DATE, COUNT(*) AS NUM_REG, SUM(IF(COALESCE(CAST(X.OTSTNDNG_NMNL_AMNT_INSTRMNT AS STRING),'')&lt;&gt;COALESCE(CAST(Y.OTSTNDNG_NMNL_AMNT_INSTRMNT_SIMUL AS STRING),'') OR (X.OTSTNDNG_NMNL_AMNT_INSTRMNT IS NULL AND Y.OTSTNDNG_NMNL_AMNT_INSTRMNT_SIMUL IS NOT NULL ) OR (X.OTSTNDNG_NMNL_AMNT_INSTRMNT IS NOT NULL AND Y.OTSTNDNG_NMNL_AMNT_INSTRMNT_SIMUL IS NULL),1,0)) AS NUM_REG_DIF,'1' AS ID_EXEC, CURRENT_TIMESTAMP() AS TIME_EXEC FROM (SELECT instrmnt_id, OTSTNDNG_NMNL_AMNT_INSTRMNT FROM CD_LOAN_TAPES_BCE.LT002_INSTRUMENT WHERE ref_date='${ref_date}' AND nome_perimetro='Individual Corporativo' AND segmento='ESTR' AND ambito='PM' AND entidade='00100')X INNER JOIN (SELECT instrmnt_id AS instrmnt_id_SIMUL, OTSTNDNG_NMNL_AMNT_INSTRMNT AS OTSTNDNG_NMNL_AMNT_INSTRMNT_SIMUL FROM BU_LOANTAPE_WORK.LT002_INSTRUMENT WHERE ref_date='${ref_date}' AND nome_perimetro='Individual Corporativo' AND segmento='ESTR' AND ambito='PM' AND entidade='00100')Y ON X.INSTRMNT_ID=Y.INSTRMNT_ID_SIMUL</v>
      </c>
      <c r="N193" s="38" t="s">
        <v>46</v>
      </c>
    </row>
    <row r="194" spans="2:14" hidden="1">
      <c r="B194" s="34" t="s">
        <v>126</v>
      </c>
      <c r="C194" s="34" t="s">
        <v>5</v>
      </c>
      <c r="D194" s="34" t="str">
        <f>+UPPER('0. Instruções'!$D$35&amp;"."&amp;VLOOKUP(B194,'0. Instruções'!$C$27:$D$32,2,FALSE))</f>
        <v>CD_LOAN_TAPES_BCE.LT002_INSTRUMENT</v>
      </c>
      <c r="E194" s="34" t="str">
        <f>+UPPER('0. Instruções'!$D$36&amp;"."&amp;VLOOKUP(B194,'0. Instruções'!$C$27:$E$32,3,FALSE))</f>
        <v>BU_LOANTAPE_WORK.LT002_INSTRUMENT</v>
      </c>
      <c r="F194" s="34" t="s">
        <v>483</v>
      </c>
      <c r="G194" s="34"/>
      <c r="H194" s="34" t="s">
        <v>92</v>
      </c>
      <c r="I194" s="34" t="str">
        <f>"(SELECT "&amp;VLOOKUP(B194,'0. Instruções'!$C$27:$G$32,4,FALSE)&amp;", "&amp;F194&amp;" FROM "&amp;D194&amp;" WHERE "&amp;'0. Instruções'!$D$42&amp;")X"</f>
        <v>(SELECT instrmnt_id, OTSTNDNG_NMNL_AMNT_INSTRMNT_PRVS FROM CD_LOAN_TAPES_BCE.LT002_INSTRUMENT WHERE ref_date='${ref_date}' AND nome_perimetro='Individual Corporativo' AND segmento='ESTR' AND ambito='PM' AND entidade='00100')X</v>
      </c>
      <c r="J194" s="34" t="str">
        <f>"(SELECT "&amp;VLOOKUP(B194,'0. Instruções'!$C$27:$G$32,4,FALSE)&amp;" AS "&amp;VLOOKUP(B194,'0. Instruções'!$C$27:$G$32,4,FALSE)&amp;"_SIMUL, "&amp;F194&amp;" AS "&amp;F194&amp;"_SIMUL FROM "&amp;E194&amp;" WHERE "&amp;'0. Instruções'!$D$43&amp;")Y"</f>
        <v>(SELECT instrmnt_id AS instrmnt_id_SIMUL, OTSTNDNG_NMNL_AMNT_INSTRMNT_PRVS AS OTSTNDNG_NMNL_AMNT_INSTRMNT_PRVS_SIMUL FROM BU_LOANTAPE_WORK.LT002_INSTRUMENT WHERE ref_date='${ref_date}' AND nome_perimetro='Individual Corporativo' AND segmento='ESTR' AND ambito='PM' AND entidade='00100')Y</v>
      </c>
      <c r="K194" s="35" t="str">
        <f>+UPPER("ON X."&amp;VLOOKUP(B194,'0. Instruções'!$C$27:$G$32,4,FALSE)&amp;"=Y."&amp;VLOOKUP(B194,'0. Instruções'!$C$27:$G$32,4,FALSE)&amp;"_SIMUL")</f>
        <v>ON X.INSTRMNT_ID=Y.INSTRMNT_ID_SIMUL</v>
      </c>
      <c r="L194" s="35" t="str">
        <f>+IF(C194="Coerência", +IF(LEFT(G194,5)="FLOAT","SELECT '"&amp;UPPER(B194)&amp;"' AS TABELA, '"&amp;UPPER(C194)&amp;"' AS TIPOLOGIA_TESTE,'"&amp;D194&amp;"' AS TABELA_LT,'"&amp;E194&amp;"' AS TABELA_SIMUL,'"&amp;F194&amp;"' AS CAMPO, "&amp;"'${ref_date}' AS REF_DATE, COUNT(*) AS NUM_REG, SUM(IF((ABS(COALESCE(CAST(X."&amp;F194&amp;" AS DECIMAL(18,6)),0)-COALESCE(CAST(Y."&amp;F194&amp;"_SIMUL AS DECIMAL(18,6)),0))&gt;0.000001) OR (X."&amp;F194&amp;" IS NULL AND Y."&amp;F194&amp;"_SIMUL IS NOT NULL ) OR (X."&amp;F194&amp;" IS NOT NULL AND Y."&amp;F194&amp;"_SIMUL IS NULL),1,0)) AS NUM_REG_DIF,'"&amp;MAX('ID1&amp;5'!K:K)+1&amp;"' AS ID_EXEC, CURRENT_TIMESTAMP() AS TIME_EXEC FROM "&amp;I194&amp;" INNER JOIN "&amp;J194&amp;" "&amp;K194,"SELECT '"&amp;UPPER(B194)&amp;"' AS TABELA, '"&amp;UPPER(C194)&amp;"' AS TIPOLOGIA_TESTE,'"&amp;D194&amp;"' AS TABELA_LT,'"&amp;E194&amp;"' AS TABELA_SIMUL,'"&amp;F194&amp;"' AS CAMPO, "&amp;"'${ref_date}' AS REF_DATE, COUNT(*) AS NUM_REG, SUM(IF(COALESCE(CAST(X."&amp;F194&amp;" AS STRING),'')&lt;&gt;COALESCE(CAST(Y."&amp;F194&amp;"_SIMUL AS STRING),'') OR (X."&amp;F194&amp;" IS NULL AND Y."&amp;F194&amp;"_SIMUL IS NOT NULL ) OR (X."&amp;F194&amp;" IS NOT NULL AND Y."&amp;F194&amp;"_SIMUL IS NULL),1,0)) AS NUM_REG_DIF,'"&amp;MAX('ID1&amp;5'!L:L)+1&amp;"' AS ID_EXEC, CURRENT_TIMESTAMP() AS TIME_EXEC FROM "&amp;I194&amp;" INNER JOIN "&amp;J194&amp;" "&amp;K194),
IF(C194="Validade",+IF(G194="Code List","SELECT '"&amp;UPPER(B194)&amp;"' AS TABELA, '"&amp;UPPER(C194)&amp;"' AS TIPOLOGIA_TESTE,'"&amp;D194&amp;"' AS TABELA_LT,'N/A' AS TABELA_SIMUL,'"&amp;F194&amp;"' AS CAMPO, "&amp;"'${ref_date}' AS REF_DATE, COUNT(*) AS NUM_REG, SUM(IF(TRIM(CAST(X."&amp;F194&amp;" AS STRING))='' OR TRIM(CAST(X."&amp;F194&amp;" AS STRING)) IS NULL OR CAST(X."&amp;F194&amp;" AS STRING) NOT "&amp;H194&amp;",1,0)) AS NUM_REG_DIF,'"&amp;MAX('ID1&amp;5'!K:K)+1&amp;"' AS ID_EXEC, CURRENT_TIMESTAMP() AS TIME_EXEC FROM "&amp;I194,"SELECT '"&amp;UPPER(B194)&amp;"' AS TABELA, '"&amp;UPPER(C194)&amp;"' AS TIPOLOGIA_TESTE,'"&amp;D194&amp;"' AS TABELA_LT,'N/A' AS TABELA_SIMUL,'"&amp;F194&amp;"' AS CAMPO, "&amp;"'${ref_date}' AS REF_DATE, COUNT(*) AS NUM_REG, SUM(IF(TRIM(CAST(X."&amp;F194&amp;" AS STRING))='' OR TRIM(CAST(X."&amp;F194&amp;" AS STRING)) IS NULL,1,0)) AS NUM_REG_DIF,'"&amp;MAX('ID1&amp;5'!K:K)+1&amp;"' AS ID_EXEC, CURRENT_TIMESTAMP() AS TIME_EXEC FROM "&amp;I194),
IF(C194="Caracteres Especiais",+"SELECT '"&amp;UPPER(B194)&amp;"' AS TABELA, '"&amp;UPPER(C194)&amp;"' AS TIPOLOGIA_TESTE,'"&amp;D194&amp;"' AS TABELA_LT,'N/A' AS TABELA_SIMUL,'"&amp;F194&amp;"' AS CAMPO, "&amp;"'${ref_date}' AS REF_DATE, COUNT(*) AS NUM_REG, SUM(IF(REGEXP_REPLACE(TRIM(CAST(X."&amp;F194&amp;" AS STRING)),'[^a-zA-Z0-9_\\s]','') &lt;&gt;TRIM(CAST(X."&amp;F194&amp;" AS STRING)),1,0)) AS NUM_REG_DIF,'"&amp;MAX('ID1&amp;5'!K:K)+1&amp;"' AS ID_EXEC, CURRENT_TIMESTAMP() AS TIME_EXEC FROM "&amp;I194,
IF(C194="Missings",+"SELECT '"&amp;UPPER(B194)&amp;"' AS TABELA, '"&amp;UPPER(C194)&amp;"' AS TIPOLOGIA_TESTE,'"&amp;D194&amp;"' AS TABELA_LT,'N/A' AS TABELA_SIMUL,'"&amp;F194&amp;"' AS CAMPO, "&amp;"'${ref_date}' AS REF_DATE, COUNT(*) AS NUM_REG, SUM(IF(TRIM(CAST(X."&amp;F194&amp;" AS STRING)) IN ('0000-00-00','0001-01-01','9999-12-31','MISS','00000','99999999999','99999999999.00','99999999999.000000'),1,0)) AS NUM_REG_DIF,'"&amp;MAX('ID1&amp;5'!K:K)+1&amp;"' AS ID_EXEC, CURRENT_TIMESTAMP() AS TIME_EXEC FROM "&amp;I194,
IF(C194="Not applicable",+"SELECT '"&amp;UPPER(B194)&amp;"' AS TABELA, '"&amp;UPPER(C194)&amp;"' AS TIPOLOGIA_TESTE,'"&amp;D194&amp;"' AS TABELA_LT,'N/A' AS TABELA_SIMUL,'"&amp;F194&amp;"' AS CAMPO, "&amp;"'${ref_date}' AS REF_DATE, COUNT(*) AS NUM_REG, SUM(IF(TRIM(CAST(X."&amp;F194&amp;" AS STRING)) IN ('N/A','11111111111','11111111111.00','11111111111.000000','1111-11-11'),1,0)) AS NUM_REG_DIF,'"&amp;MAX('ID1&amp;5'!K:K)+1&amp;"' AS ID_EXEC, CURRENT_TIMESTAMP() AS TIME_EXEC FROM "&amp;I194,
IF(C194="Valores extremos",+"SELECT '"&amp;UPPER(B194)&amp;"' AS TABELA, '"&amp;UPPER(C194)&amp;"' AS TIPOLOGIA_TESTE,'"&amp;D194&amp;"' AS TABELA_LT,'N/A' AS TABELA_SIMUL,'"&amp;F194&amp;"' AS CAMPO, "&amp;"'${ref_date}' AS REF_DATE, CAST(MIN("&amp;F194&amp;") AS STRING) AS VALOR_MIN, CAST(MAX("&amp;F194&amp;") AS STRING) AS VALOR_MAX,'"&amp;MAX('ID1&amp;5'!K:K)+1&amp;"' AS ID_EXEC, CURRENT_TIMESTAMP() AS TIME_EXEC FROM "&amp;MID(I194,1,LEN(I194)-2)&amp;" AND CAST("&amp;F194&amp;"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TABELA_SIMUL,'OTSTNDNG_NMNL_AMNT_INSTRMNT_PRVS' AS CAMPO, '${ref_date}' AS REF_DATE, COUNT(*) AS NUM_REG, SUM(IF(COALESCE(CAST(X.OTSTNDNG_NMNL_AMNT_INSTRMNT_PRVS AS STRING),'')&lt;&gt;COALESCE(CAST(Y.OTSTNDNG_NMNL_AMNT_INSTRMNT_PRVS_SIMUL AS STRING),'') OR (X.OTSTNDNG_NMNL_AMNT_INSTRMNT_PRVS IS NULL AND Y.OTSTNDNG_NMNL_AMNT_INSTRMNT_PRVS_SIMUL IS NOT NULL ) OR (X.OTSTNDNG_NMNL_AMNT_INSTRMNT_PRVS IS NOT NULL AND Y.OTSTNDNG_NMNL_AMNT_INSTRMNT_PRVS_SIMUL IS NULL),1,0)) AS NUM_REG_DIF,'1' AS ID_EXEC, CURRENT_TIMESTAMP() AS TIME_EXEC FROM (SELECT instrmnt_id, OTSTNDNG_NMNL_AMNT_INSTRMNT_PRVS FROM CD_LOAN_TAPES_BCE.LT002_INSTRUMENT WHERE ref_date='${ref_date}' AND nome_perimetro='Individual Corporativo' AND segmento='ESTR' AND ambito='PM' AND entidade='00100')X INNER JOIN (SELECT instrmnt_id AS instrmnt_id_SIMUL, OTSTNDNG_NMNL_AMNT_INSTRMNT_PRVS AS OTSTNDNG_NMNL_AMNT_INSTRMNT_PRVS_SIMUL FROM BU_LOANTAPE_WORK.LT002_INSTRUMENT WHERE ref_date='${ref_date}' AND nome_perimetro='Individual Corporativo' AND segmento='ESTR' AND ambito='PM' AND entidade='00100')Y ON X.INSTRMNT_ID=Y.INSTRMNT_ID_SIMUL</v>
      </c>
      <c r="M194" s="36" t="str">
        <f t="shared" si="3"/>
        <v>UNION ALL SELECT 'INSTRUMENT' AS TABELA, 'COERÊNCIA' AS TIPOLOGIA_TESTE,'CD_LOAN_TAPES_BCE.LT002_INSTRUMENT' AS TABELA_LT,'BU_LOANTAPE_WORK.LT002_INSTRUMENT' AS TABELA_SIMUL,'OTSTNDNG_NMNL_AMNT_INSTRMNT_PRVS' AS CAMPO, '${ref_date}' AS REF_DATE, COUNT(*) AS NUM_REG, SUM(IF(COALESCE(CAST(X.OTSTNDNG_NMNL_AMNT_INSTRMNT_PRVS AS STRING),'')&lt;&gt;COALESCE(CAST(Y.OTSTNDNG_NMNL_AMNT_INSTRMNT_PRVS_SIMUL AS STRING),'') OR (X.OTSTNDNG_NMNL_AMNT_INSTRMNT_PRVS IS NULL AND Y.OTSTNDNG_NMNL_AMNT_INSTRMNT_PRVS_SIMUL IS NOT NULL ) OR (X.OTSTNDNG_NMNL_AMNT_INSTRMNT_PRVS IS NOT NULL AND Y.OTSTNDNG_NMNL_AMNT_INSTRMNT_PRVS_SIMUL IS NULL),1,0)) AS NUM_REG_DIF,'1' AS ID_EXEC, CURRENT_TIMESTAMP() AS TIME_EXEC FROM (SELECT instrmnt_id, OTSTNDNG_NMNL_AMNT_INSTRMNT_PRVS FROM CD_LOAN_TAPES_BCE.LT002_INSTRUMENT WHERE ref_date='${ref_date}' AND nome_perimetro='Individual Corporativo' AND segmento='ESTR' AND ambito='PM' AND entidade='00100')X INNER JOIN (SELECT instrmnt_id AS instrmnt_id_SIMUL, OTSTNDNG_NMNL_AMNT_INSTRMNT_PRVS AS OTSTNDNG_NMNL_AMNT_INSTRMNT_PRVS_SIMUL FROM BU_LOANTAPE_WORK.LT002_INSTRUMENT WHERE ref_date='${ref_date}' AND nome_perimetro='Individual Corporativo' AND segmento='ESTR' AND ambito='PM' AND entidade='00100')Y ON X.INSTRMNT_ID=Y.INSTRMNT_ID_SIMUL</v>
      </c>
      <c r="N194" s="38" t="s">
        <v>46</v>
      </c>
    </row>
    <row r="195" spans="2:14" hidden="1">
      <c r="B195" s="34" t="s">
        <v>126</v>
      </c>
      <c r="C195" s="34" t="s">
        <v>5</v>
      </c>
      <c r="D195" s="34" t="str">
        <f>+UPPER('0. Instruções'!$D$35&amp;"."&amp;VLOOKUP(B195,'0. Instruções'!$C$27:$D$32,2,FALSE))</f>
        <v>CD_LOAN_TAPES_BCE.LT002_INSTRUMENT</v>
      </c>
      <c r="E195" s="34" t="str">
        <f>+UPPER('0. Instruções'!$D$36&amp;"."&amp;VLOOKUP(B195,'0. Instruções'!$C$27:$E$32,3,FALSE))</f>
        <v>BU_LOANTAPE_WORK.LT002_INSTRUMENT</v>
      </c>
      <c r="F195" s="34" t="s">
        <v>484</v>
      </c>
      <c r="G195" s="34"/>
      <c r="H195" s="34" t="s">
        <v>92</v>
      </c>
      <c r="I195" s="34" t="str">
        <f>"(SELECT "&amp;VLOOKUP(B195,'0. Instruções'!$C$27:$G$32,4,FALSE)&amp;", "&amp;F195&amp;" FROM "&amp;D195&amp;" WHERE "&amp;'0. Instruções'!$D$42&amp;")X"</f>
        <v>(SELECT instrmnt_id, PRVSNS_OFF_BLNC_SHT FROM CD_LOAN_TAPES_BCE.LT002_INSTRUMENT WHERE ref_date='${ref_date}' AND nome_perimetro='Individual Corporativo' AND segmento='ESTR' AND ambito='PM' AND entidade='00100')X</v>
      </c>
      <c r="J195" s="34" t="str">
        <f>"(SELECT "&amp;VLOOKUP(B195,'0. Instruções'!$C$27:$G$32,4,FALSE)&amp;" AS "&amp;VLOOKUP(B195,'0. Instruções'!$C$27:$G$32,4,FALSE)&amp;"_SIMUL, "&amp;F195&amp;" AS "&amp;F195&amp;"_SIMUL FROM "&amp;E195&amp;" WHERE "&amp;'0. Instruções'!$D$43&amp;")Y"</f>
        <v>(SELECT instrmnt_id AS instrmnt_id_SIMUL, PRVSNS_OFF_BLNC_SHT AS PRVSNS_OFF_BLNC_SHT_SIMUL FROM BU_LOANTAPE_WORK.LT002_INSTRUMENT WHERE ref_date='${ref_date}' AND nome_perimetro='Individual Corporativo' AND segmento='ESTR' AND ambito='PM' AND entidade='00100')Y</v>
      </c>
      <c r="K195" s="35" t="str">
        <f>+UPPER("ON X."&amp;VLOOKUP(B195,'0. Instruções'!$C$27:$G$32,4,FALSE)&amp;"=Y."&amp;VLOOKUP(B195,'0. Instruções'!$C$27:$G$32,4,FALSE)&amp;"_SIMUL")</f>
        <v>ON X.INSTRMNT_ID=Y.INSTRMNT_ID_SIMUL</v>
      </c>
      <c r="L195" s="35" t="str">
        <f>+IF(C195="Coerência", +IF(LEFT(G195,5)="FLOAT","SELECT '"&amp;UPPER(B195)&amp;"' AS TABELA, '"&amp;UPPER(C195)&amp;"' AS TIPOLOGIA_TESTE,'"&amp;D195&amp;"' AS TABELA_LT,'"&amp;E195&amp;"' AS TABELA_SIMUL,'"&amp;F195&amp;"' AS CAMPO, "&amp;"'${ref_date}' AS REF_DATE, COUNT(*) AS NUM_REG, SUM(IF((ABS(COALESCE(CAST(X."&amp;F195&amp;" AS DECIMAL(18,6)),0)-COALESCE(CAST(Y."&amp;F195&amp;"_SIMUL AS DECIMAL(18,6)),0))&gt;0.000001) OR (X."&amp;F195&amp;" IS NULL AND Y."&amp;F195&amp;"_SIMUL IS NOT NULL ) OR (X."&amp;F195&amp;" IS NOT NULL AND Y."&amp;F195&amp;"_SIMUL IS NULL),1,0)) AS NUM_REG_DIF,'"&amp;MAX('ID1&amp;5'!K:K)+1&amp;"' AS ID_EXEC, CURRENT_TIMESTAMP() AS TIME_EXEC FROM "&amp;I195&amp;" INNER JOIN "&amp;J195&amp;" "&amp;K195,"SELECT '"&amp;UPPER(B195)&amp;"' AS TABELA, '"&amp;UPPER(C195)&amp;"' AS TIPOLOGIA_TESTE,'"&amp;D195&amp;"' AS TABELA_LT,'"&amp;E195&amp;"' AS TABELA_SIMUL,'"&amp;F195&amp;"' AS CAMPO, "&amp;"'${ref_date}' AS REF_DATE, COUNT(*) AS NUM_REG, SUM(IF(COALESCE(CAST(X."&amp;F195&amp;" AS STRING),'')&lt;&gt;COALESCE(CAST(Y."&amp;F195&amp;"_SIMUL AS STRING),'') OR (X."&amp;F195&amp;" IS NULL AND Y."&amp;F195&amp;"_SIMUL IS NOT NULL ) OR (X."&amp;F195&amp;" IS NOT NULL AND Y."&amp;F195&amp;"_SIMUL IS NULL),1,0)) AS NUM_REG_DIF,'"&amp;MAX('ID1&amp;5'!L:L)+1&amp;"' AS ID_EXEC, CURRENT_TIMESTAMP() AS TIME_EXEC FROM "&amp;I195&amp;" INNER JOIN "&amp;J195&amp;" "&amp;K195),
IF(C195="Validade",+IF(G195="Code List","SELECT '"&amp;UPPER(B195)&amp;"' AS TABELA, '"&amp;UPPER(C195)&amp;"' AS TIPOLOGIA_TESTE,'"&amp;D195&amp;"' AS TABELA_LT,'N/A' AS TABELA_SIMUL,'"&amp;F195&amp;"' AS CAMPO, "&amp;"'${ref_date}' AS REF_DATE, COUNT(*) AS NUM_REG, SUM(IF(TRIM(CAST(X."&amp;F195&amp;" AS STRING))='' OR TRIM(CAST(X."&amp;F195&amp;" AS STRING)) IS NULL OR CAST(X."&amp;F195&amp;" AS STRING) NOT "&amp;H195&amp;",1,0)) AS NUM_REG_DIF,'"&amp;MAX('ID1&amp;5'!K:K)+1&amp;"' AS ID_EXEC, CURRENT_TIMESTAMP() AS TIME_EXEC FROM "&amp;I195,"SELECT '"&amp;UPPER(B195)&amp;"' AS TABELA, '"&amp;UPPER(C195)&amp;"' AS TIPOLOGIA_TESTE,'"&amp;D195&amp;"' AS TABELA_LT,'N/A' AS TABELA_SIMUL,'"&amp;F195&amp;"' AS CAMPO, "&amp;"'${ref_date}' AS REF_DATE, COUNT(*) AS NUM_REG, SUM(IF(TRIM(CAST(X."&amp;F195&amp;" AS STRING))='' OR TRIM(CAST(X."&amp;F195&amp;" AS STRING)) IS NULL,1,0)) AS NUM_REG_DIF,'"&amp;MAX('ID1&amp;5'!K:K)+1&amp;"' AS ID_EXEC, CURRENT_TIMESTAMP() AS TIME_EXEC FROM "&amp;I195),
IF(C195="Caracteres Especiais",+"SELECT '"&amp;UPPER(B195)&amp;"' AS TABELA, '"&amp;UPPER(C195)&amp;"' AS TIPOLOGIA_TESTE,'"&amp;D195&amp;"' AS TABELA_LT,'N/A' AS TABELA_SIMUL,'"&amp;F195&amp;"' AS CAMPO, "&amp;"'${ref_date}' AS REF_DATE, COUNT(*) AS NUM_REG, SUM(IF(REGEXP_REPLACE(TRIM(CAST(X."&amp;F195&amp;" AS STRING)),'[^a-zA-Z0-9_\\s]','') &lt;&gt;TRIM(CAST(X."&amp;F195&amp;" AS STRING)),1,0)) AS NUM_REG_DIF,'"&amp;MAX('ID1&amp;5'!K:K)+1&amp;"' AS ID_EXEC, CURRENT_TIMESTAMP() AS TIME_EXEC FROM "&amp;I195,
IF(C195="Missings",+"SELECT '"&amp;UPPER(B195)&amp;"' AS TABELA, '"&amp;UPPER(C195)&amp;"' AS TIPOLOGIA_TESTE,'"&amp;D195&amp;"' AS TABELA_LT,'N/A' AS TABELA_SIMUL,'"&amp;F195&amp;"' AS CAMPO, "&amp;"'${ref_date}' AS REF_DATE, COUNT(*) AS NUM_REG, SUM(IF(TRIM(CAST(X."&amp;F195&amp;" AS STRING)) IN ('0000-00-00','0001-01-01','9999-12-31','MISS','00000','99999999999','99999999999.00','99999999999.000000'),1,0)) AS NUM_REG_DIF,'"&amp;MAX('ID1&amp;5'!K:K)+1&amp;"' AS ID_EXEC, CURRENT_TIMESTAMP() AS TIME_EXEC FROM "&amp;I195,
IF(C195="Not applicable",+"SELECT '"&amp;UPPER(B195)&amp;"' AS TABELA, '"&amp;UPPER(C195)&amp;"' AS TIPOLOGIA_TESTE,'"&amp;D195&amp;"' AS TABELA_LT,'N/A' AS TABELA_SIMUL,'"&amp;F195&amp;"' AS CAMPO, "&amp;"'${ref_date}' AS REF_DATE, COUNT(*) AS NUM_REG, SUM(IF(TRIM(CAST(X."&amp;F195&amp;" AS STRING)) IN ('N/A','11111111111','11111111111.00','11111111111.000000','1111-11-11'),1,0)) AS NUM_REG_DIF,'"&amp;MAX('ID1&amp;5'!K:K)+1&amp;"' AS ID_EXEC, CURRENT_TIMESTAMP() AS TIME_EXEC FROM "&amp;I195,
IF(C195="Valores extremos",+"SELECT '"&amp;UPPER(B195)&amp;"' AS TABELA, '"&amp;UPPER(C195)&amp;"' AS TIPOLOGIA_TESTE,'"&amp;D195&amp;"' AS TABELA_LT,'N/A' AS TABELA_SIMUL,'"&amp;F195&amp;"' AS CAMPO, "&amp;"'${ref_date}' AS REF_DATE, CAST(MIN("&amp;F195&amp;") AS STRING) AS VALOR_MIN, CAST(MAX("&amp;F195&amp;") AS STRING) AS VALOR_MAX,'"&amp;MAX('ID1&amp;5'!K:K)+1&amp;"' AS ID_EXEC, CURRENT_TIMESTAMP() AS TIME_EXEC FROM "&amp;MID(I195,1,LEN(I195)-2)&amp;" AND CAST("&amp;F195&amp;"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TABELA_SIMUL,'PRVSNS_OFF_BLNC_SHT' AS CAMPO, '${ref_date}' AS REF_DATE, COUNT(*) AS NUM_REG, SUM(IF(COALESCE(CAST(X.PRVSNS_OFF_BLNC_SHT AS STRING),'')&lt;&gt;COALESCE(CAST(Y.PRVSNS_OFF_BLNC_SHT_SIMUL AS STRING),'') OR (X.PRVSNS_OFF_BLNC_SHT IS NULL AND Y.PRVSNS_OFF_BLNC_SHT_SIMUL IS NOT NULL ) OR (X.PRVSNS_OFF_BLNC_SHT IS NOT NULL AND Y.PRVSNS_OFF_BLNC_SHT_SIMUL IS NULL),1,0)) AS NUM_REG_DIF,'1' AS ID_EXEC, CURRENT_TIMESTAMP() AS TIME_EXEC FROM (SELECT instrmnt_id, PRVSNS_OFF_BLNC_SHT FROM CD_LOAN_TAPES_BCE.LT002_INSTRUMENT WHERE ref_date='${ref_date}' AND nome_perimetro='Individual Corporativo' AND segmento='ESTR' AND ambito='PM' AND entidade='00100')X INNER JOIN (SELECT instrmnt_id AS instrmnt_id_SIMUL, PRVSNS_OFF_BLNC_SHT AS PRVSNS_OFF_BLNC_SHT_SIMUL FROM BU_LOANTAPE_WORK.LT002_INSTRUMENT WHERE ref_date='${ref_date}' AND nome_perimetro='Individual Corporativo' AND segmento='ESTR' AND ambito='PM' AND entidade='00100')Y ON X.INSTRMNT_ID=Y.INSTRMNT_ID_SIMUL</v>
      </c>
      <c r="M195" s="36" t="str">
        <f t="shared" si="3"/>
        <v>UNION ALL SELECT 'INSTRUMENT' AS TABELA, 'COERÊNCIA' AS TIPOLOGIA_TESTE,'CD_LOAN_TAPES_BCE.LT002_INSTRUMENT' AS TABELA_LT,'BU_LOANTAPE_WORK.LT002_INSTRUMENT' AS TABELA_SIMUL,'PRVSNS_OFF_BLNC_SHT' AS CAMPO, '${ref_date}' AS REF_DATE, COUNT(*) AS NUM_REG, SUM(IF(COALESCE(CAST(X.PRVSNS_OFF_BLNC_SHT AS STRING),'')&lt;&gt;COALESCE(CAST(Y.PRVSNS_OFF_BLNC_SHT_SIMUL AS STRING),'') OR (X.PRVSNS_OFF_BLNC_SHT IS NULL AND Y.PRVSNS_OFF_BLNC_SHT_SIMUL IS NOT NULL ) OR (X.PRVSNS_OFF_BLNC_SHT IS NOT NULL AND Y.PRVSNS_OFF_BLNC_SHT_SIMUL IS NULL),1,0)) AS NUM_REG_DIF,'1' AS ID_EXEC, CURRENT_TIMESTAMP() AS TIME_EXEC FROM (SELECT instrmnt_id, PRVSNS_OFF_BLNC_SHT FROM CD_LOAN_TAPES_BCE.LT002_INSTRUMENT WHERE ref_date='${ref_date}' AND nome_perimetro='Individual Corporativo' AND segmento='ESTR' AND ambito='PM' AND entidade='00100')X INNER JOIN (SELECT instrmnt_id AS instrmnt_id_SIMUL, PRVSNS_OFF_BLNC_SHT AS PRVSNS_OFF_BLNC_SHT_SIMUL FROM BU_LOANTAPE_WORK.LT002_INSTRUMENT WHERE ref_date='${ref_date}' AND nome_perimetro='Individual Corporativo' AND segmento='ESTR' AND ambito='PM' AND entidade='00100')Y ON X.INSTRMNT_ID=Y.INSTRMNT_ID_SIMUL</v>
      </c>
      <c r="N195" s="38" t="s">
        <v>46</v>
      </c>
    </row>
    <row r="196" spans="2:14" hidden="1">
      <c r="B196" s="34" t="s">
        <v>126</v>
      </c>
      <c r="C196" s="34" t="s">
        <v>5</v>
      </c>
      <c r="D196" s="34" t="str">
        <f>+UPPER('0. Instruções'!$D$35&amp;"."&amp;VLOOKUP(B196,'0. Instruções'!$C$27:$D$32,2,FALSE))</f>
        <v>CD_LOAN_TAPES_BCE.LT002_INSTRUMENT</v>
      </c>
      <c r="E196" s="34" t="str">
        <f>+UPPER('0. Instruções'!$D$36&amp;"."&amp;VLOOKUP(B196,'0. Instruções'!$C$27:$E$32,3,FALSE))</f>
        <v>BU_LOANTAPE_WORK.LT002_INSTRUMENT</v>
      </c>
      <c r="F196" s="34" t="s">
        <v>485</v>
      </c>
      <c r="G196" s="34"/>
      <c r="H196" s="34" t="s">
        <v>89</v>
      </c>
      <c r="I196" s="34" t="str">
        <f>"(SELECT "&amp;VLOOKUP(B196,'0. Instruções'!$C$27:$G$32,4,FALSE)&amp;", "&amp;F196&amp;" FROM "&amp;D196&amp;" WHERE "&amp;'0. Instruções'!$D$42&amp;")X"</f>
        <v>(SELECT instrmnt_id, PYMNT_FRQNCY FROM CD_LOAN_TAPES_BCE.LT002_INSTRUMENT WHERE ref_date='${ref_date}' AND nome_perimetro='Individual Corporativo' AND segmento='ESTR' AND ambito='PM' AND entidade='00100')X</v>
      </c>
      <c r="J196" s="34" t="str">
        <f>"(SELECT "&amp;VLOOKUP(B196,'0. Instruções'!$C$27:$G$32,4,FALSE)&amp;" AS "&amp;VLOOKUP(B196,'0. Instruções'!$C$27:$G$32,4,FALSE)&amp;"_SIMUL, "&amp;F196&amp;" AS "&amp;F196&amp;"_SIMUL FROM "&amp;E196&amp;" WHERE "&amp;'0. Instruções'!$D$43&amp;")Y"</f>
        <v>(SELECT instrmnt_id AS instrmnt_id_SIMUL, PYMNT_FRQNCY AS PYMNT_FRQNCY_SIMUL FROM BU_LOANTAPE_WORK.LT002_INSTRUMENT WHERE ref_date='${ref_date}' AND nome_perimetro='Individual Corporativo' AND segmento='ESTR' AND ambito='PM' AND entidade='00100')Y</v>
      </c>
      <c r="K196" s="35" t="str">
        <f>+UPPER("ON X."&amp;VLOOKUP(B196,'0. Instruções'!$C$27:$G$32,4,FALSE)&amp;"=Y."&amp;VLOOKUP(B196,'0. Instruções'!$C$27:$G$32,4,FALSE)&amp;"_SIMUL")</f>
        <v>ON X.INSTRMNT_ID=Y.INSTRMNT_ID_SIMUL</v>
      </c>
      <c r="L196" s="35" t="str">
        <f>+IF(C196="Coerência", +IF(LEFT(G196,5)="FLOAT","SELECT '"&amp;UPPER(B196)&amp;"' AS TABELA, '"&amp;UPPER(C196)&amp;"' AS TIPOLOGIA_TESTE,'"&amp;D196&amp;"' AS TABELA_LT,'"&amp;E196&amp;"' AS TABELA_SIMUL,'"&amp;F196&amp;"' AS CAMPO, "&amp;"'${ref_date}' AS REF_DATE, COUNT(*) AS NUM_REG, SUM(IF((ABS(COALESCE(CAST(X."&amp;F196&amp;" AS DECIMAL(18,6)),0)-COALESCE(CAST(Y."&amp;F196&amp;"_SIMUL AS DECIMAL(18,6)),0))&gt;0.000001) OR (X."&amp;F196&amp;" IS NULL AND Y."&amp;F196&amp;"_SIMUL IS NOT NULL ) OR (X."&amp;F196&amp;" IS NOT NULL AND Y."&amp;F196&amp;"_SIMUL IS NULL),1,0)) AS NUM_REG_DIF,'"&amp;MAX('ID1&amp;5'!K:K)+1&amp;"' AS ID_EXEC, CURRENT_TIMESTAMP() AS TIME_EXEC FROM "&amp;I196&amp;" INNER JOIN "&amp;J196&amp;" "&amp;K196,"SELECT '"&amp;UPPER(B196)&amp;"' AS TABELA, '"&amp;UPPER(C196)&amp;"' AS TIPOLOGIA_TESTE,'"&amp;D196&amp;"' AS TABELA_LT,'"&amp;E196&amp;"' AS TABELA_SIMUL,'"&amp;F196&amp;"' AS CAMPO, "&amp;"'${ref_date}' AS REF_DATE, COUNT(*) AS NUM_REG, SUM(IF(COALESCE(CAST(X."&amp;F196&amp;" AS STRING),'')&lt;&gt;COALESCE(CAST(Y."&amp;F196&amp;"_SIMUL AS STRING),'') OR (X."&amp;F196&amp;" IS NULL AND Y."&amp;F196&amp;"_SIMUL IS NOT NULL ) OR (X."&amp;F196&amp;" IS NOT NULL AND Y."&amp;F196&amp;"_SIMUL IS NULL),1,0)) AS NUM_REG_DIF,'"&amp;MAX('ID1&amp;5'!L:L)+1&amp;"' AS ID_EXEC, CURRENT_TIMESTAMP() AS TIME_EXEC FROM "&amp;I196&amp;" INNER JOIN "&amp;J196&amp;" "&amp;K196),
IF(C196="Validade",+IF(G196="Code List","SELECT '"&amp;UPPER(B196)&amp;"' AS TABELA, '"&amp;UPPER(C196)&amp;"' AS TIPOLOGIA_TESTE,'"&amp;D196&amp;"' AS TABELA_LT,'N/A' AS TABELA_SIMUL,'"&amp;F196&amp;"' AS CAMPO, "&amp;"'${ref_date}' AS REF_DATE, COUNT(*) AS NUM_REG, SUM(IF(TRIM(CAST(X."&amp;F196&amp;" AS STRING))='' OR TRIM(CAST(X."&amp;F196&amp;" AS STRING)) IS NULL OR CAST(X."&amp;F196&amp;" AS STRING) NOT "&amp;H196&amp;",1,0)) AS NUM_REG_DIF,'"&amp;MAX('ID1&amp;5'!K:K)+1&amp;"' AS ID_EXEC, CURRENT_TIMESTAMP() AS TIME_EXEC FROM "&amp;I196,"SELECT '"&amp;UPPER(B196)&amp;"' AS TABELA, '"&amp;UPPER(C196)&amp;"' AS TIPOLOGIA_TESTE,'"&amp;D196&amp;"' AS TABELA_LT,'N/A' AS TABELA_SIMUL,'"&amp;F196&amp;"' AS CAMPO, "&amp;"'${ref_date}' AS REF_DATE, COUNT(*) AS NUM_REG, SUM(IF(TRIM(CAST(X."&amp;F196&amp;" AS STRING))='' OR TRIM(CAST(X."&amp;F196&amp;" AS STRING)) IS NULL,1,0)) AS NUM_REG_DIF,'"&amp;MAX('ID1&amp;5'!K:K)+1&amp;"' AS ID_EXEC, CURRENT_TIMESTAMP() AS TIME_EXEC FROM "&amp;I196),
IF(C196="Caracteres Especiais",+"SELECT '"&amp;UPPER(B196)&amp;"' AS TABELA, '"&amp;UPPER(C196)&amp;"' AS TIPOLOGIA_TESTE,'"&amp;D196&amp;"' AS TABELA_LT,'N/A' AS TABELA_SIMUL,'"&amp;F196&amp;"' AS CAMPO, "&amp;"'${ref_date}' AS REF_DATE, COUNT(*) AS NUM_REG, SUM(IF(REGEXP_REPLACE(TRIM(CAST(X."&amp;F196&amp;" AS STRING)),'[^a-zA-Z0-9_\\s]','') &lt;&gt;TRIM(CAST(X."&amp;F196&amp;" AS STRING)),1,0)) AS NUM_REG_DIF,'"&amp;MAX('ID1&amp;5'!K:K)+1&amp;"' AS ID_EXEC, CURRENT_TIMESTAMP() AS TIME_EXEC FROM "&amp;I196,
IF(C196="Missings",+"SELECT '"&amp;UPPER(B196)&amp;"' AS TABELA, '"&amp;UPPER(C196)&amp;"' AS TIPOLOGIA_TESTE,'"&amp;D196&amp;"' AS TABELA_LT,'N/A' AS TABELA_SIMUL,'"&amp;F196&amp;"' AS CAMPO, "&amp;"'${ref_date}' AS REF_DATE, COUNT(*) AS NUM_REG, SUM(IF(TRIM(CAST(X."&amp;F196&amp;" AS STRING)) IN ('0000-00-00','0001-01-01','9999-12-31','MISS','00000','99999999999','99999999999.00','99999999999.000000'),1,0)) AS NUM_REG_DIF,'"&amp;MAX('ID1&amp;5'!K:K)+1&amp;"' AS ID_EXEC, CURRENT_TIMESTAMP() AS TIME_EXEC FROM "&amp;I196,
IF(C196="Not applicable",+"SELECT '"&amp;UPPER(B196)&amp;"' AS TABELA, '"&amp;UPPER(C196)&amp;"' AS TIPOLOGIA_TESTE,'"&amp;D196&amp;"' AS TABELA_LT,'N/A' AS TABELA_SIMUL,'"&amp;F196&amp;"' AS CAMPO, "&amp;"'${ref_date}' AS REF_DATE, COUNT(*) AS NUM_REG, SUM(IF(TRIM(CAST(X."&amp;F196&amp;" AS STRING)) IN ('N/A','11111111111','11111111111.00','11111111111.000000','1111-11-11'),1,0)) AS NUM_REG_DIF,'"&amp;MAX('ID1&amp;5'!K:K)+1&amp;"' AS ID_EXEC, CURRENT_TIMESTAMP() AS TIME_EXEC FROM "&amp;I196,
IF(C196="Valores extremos",+"SELECT '"&amp;UPPER(B196)&amp;"' AS TABELA, '"&amp;UPPER(C196)&amp;"' AS TIPOLOGIA_TESTE,'"&amp;D196&amp;"' AS TABELA_LT,'N/A' AS TABELA_SIMUL,'"&amp;F196&amp;"' AS CAMPO, "&amp;"'${ref_date}' AS REF_DATE, CAST(MIN("&amp;F196&amp;") AS STRING) AS VALOR_MIN, CAST(MAX("&amp;F196&amp;") AS STRING) AS VALOR_MAX,'"&amp;MAX('ID1&amp;5'!K:K)+1&amp;"' AS ID_EXEC, CURRENT_TIMESTAMP() AS TIME_EXEC FROM "&amp;MID(I196,1,LEN(I196)-2)&amp;" AND CAST("&amp;F196&amp;"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TABELA_SIMUL,'PYMNT_FRQNCY' AS CAMPO, '${ref_date}' AS REF_DATE, COUNT(*) AS NUM_REG, SUM(IF(COALESCE(CAST(X.PYMNT_FRQNCY AS STRING),'')&lt;&gt;COALESCE(CAST(Y.PYMNT_FRQNCY_SIMUL AS STRING),'') OR (X.PYMNT_FRQNCY IS NULL AND Y.PYMNT_FRQNCY_SIMUL IS NOT NULL ) OR (X.PYMNT_FRQNCY IS NOT NULL AND Y.PYMNT_FRQNCY_SIMUL IS NULL),1,0)) AS NUM_REG_DIF,'1' AS ID_EXEC, CURRENT_TIMESTAMP() AS TIME_EXEC FROM (SELECT instrmnt_id, PYMNT_FRQNCY FROM CD_LOAN_TAPES_BCE.LT002_INSTRUMENT WHERE ref_date='${ref_date}' AND nome_perimetro='Individual Corporativo' AND segmento='ESTR' AND ambito='PM' AND entidade='00100')X INNER JOIN (SELECT instrmnt_id AS instrmnt_id_SIMUL, PYMNT_FRQNCY AS PYMNT_FRQNCY_SIMUL FROM BU_LOANTAPE_WORK.LT002_INSTRUMENT WHERE ref_date='${ref_date}' AND nome_perimetro='Individual Corporativo' AND segmento='ESTR' AND ambito='PM' AND entidade='00100')Y ON X.INSTRMNT_ID=Y.INSTRMNT_ID_SIMUL</v>
      </c>
      <c r="M196" s="36" t="str">
        <f t="shared" si="3"/>
        <v>UNION ALL SELECT 'INSTRUMENT' AS TABELA, 'COERÊNCIA' AS TIPOLOGIA_TESTE,'CD_LOAN_TAPES_BCE.LT002_INSTRUMENT' AS TABELA_LT,'BU_LOANTAPE_WORK.LT002_INSTRUMENT' AS TABELA_SIMUL,'PYMNT_FRQNCY' AS CAMPO, '${ref_date}' AS REF_DATE, COUNT(*) AS NUM_REG, SUM(IF(COALESCE(CAST(X.PYMNT_FRQNCY AS STRING),'')&lt;&gt;COALESCE(CAST(Y.PYMNT_FRQNCY_SIMUL AS STRING),'') OR (X.PYMNT_FRQNCY IS NULL AND Y.PYMNT_FRQNCY_SIMUL IS NOT NULL ) OR (X.PYMNT_FRQNCY IS NOT NULL AND Y.PYMNT_FRQNCY_SIMUL IS NULL),1,0)) AS NUM_REG_DIF,'1' AS ID_EXEC, CURRENT_TIMESTAMP() AS TIME_EXEC FROM (SELECT instrmnt_id, PYMNT_FRQNCY FROM CD_LOAN_TAPES_BCE.LT002_INSTRUMENT WHERE ref_date='${ref_date}' AND nome_perimetro='Individual Corporativo' AND segmento='ESTR' AND ambito='PM' AND entidade='00100')X INNER JOIN (SELECT instrmnt_id AS instrmnt_id_SIMUL, PYMNT_FRQNCY AS PYMNT_FRQNCY_SIMUL FROM BU_LOANTAPE_WORK.LT002_INSTRUMENT WHERE ref_date='${ref_date}' AND nome_perimetro='Individual Corporativo' AND segmento='ESTR' AND ambito='PM' AND entidade='00100')Y ON X.INSTRMNT_ID=Y.INSTRMNT_ID_SIMUL</v>
      </c>
      <c r="N196" s="38" t="s">
        <v>46</v>
      </c>
    </row>
    <row r="197" spans="2:14" hidden="1">
      <c r="B197" s="34" t="s">
        <v>126</v>
      </c>
      <c r="C197" s="34" t="s">
        <v>5</v>
      </c>
      <c r="D197" s="34" t="str">
        <f>+UPPER('0. Instruções'!$D$35&amp;"."&amp;VLOOKUP(B197,'0. Instruções'!$C$27:$D$32,2,FALSE))</f>
        <v>CD_LOAN_TAPES_BCE.LT002_INSTRUMENT</v>
      </c>
      <c r="E197" s="34" t="str">
        <f>+UPPER('0. Instruções'!$D$36&amp;"."&amp;VLOOKUP(B197,'0. Instruções'!$C$27:$E$32,3,FALSE))</f>
        <v>BU_LOANTAPE_WORK.LT002_INSTRUMENT</v>
      </c>
      <c r="F197" s="34" t="s">
        <v>486</v>
      </c>
      <c r="G197" s="34"/>
      <c r="H197" s="34" t="s">
        <v>91</v>
      </c>
      <c r="I197" s="34" t="str">
        <f>"(SELECT "&amp;VLOOKUP(B197,'0. Instruções'!$C$27:$G$32,4,FALSE)&amp;", "&amp;F197&amp;" FROM "&amp;D197&amp;" WHERE "&amp;'0. Instruções'!$D$42&amp;")X"</f>
        <v>(SELECT instrmnt_id, RTNTN_SHR FROM CD_LOAN_TAPES_BCE.LT002_INSTRUMENT WHERE ref_date='${ref_date}' AND nome_perimetro='Individual Corporativo' AND segmento='ESTR' AND ambito='PM' AND entidade='00100')X</v>
      </c>
      <c r="J197" s="34" t="str">
        <f>"(SELECT "&amp;VLOOKUP(B197,'0. Instruções'!$C$27:$G$32,4,FALSE)&amp;" AS "&amp;VLOOKUP(B197,'0. Instruções'!$C$27:$G$32,4,FALSE)&amp;"_SIMUL, "&amp;F197&amp;" AS "&amp;F197&amp;"_SIMUL FROM "&amp;E197&amp;" WHERE "&amp;'0. Instruções'!$D$43&amp;")Y"</f>
        <v>(SELECT instrmnt_id AS instrmnt_id_SIMUL, RTNTN_SHR AS RTNTN_SHR_SIMUL FROM BU_LOANTAPE_WORK.LT002_INSTRUMENT WHERE ref_date='${ref_date}' AND nome_perimetro='Individual Corporativo' AND segmento='ESTR' AND ambito='PM' AND entidade='00100')Y</v>
      </c>
      <c r="K197" s="35" t="str">
        <f>+UPPER("ON X."&amp;VLOOKUP(B197,'0. Instruções'!$C$27:$G$32,4,FALSE)&amp;"=Y."&amp;VLOOKUP(B197,'0. Instruções'!$C$27:$G$32,4,FALSE)&amp;"_SIMUL")</f>
        <v>ON X.INSTRMNT_ID=Y.INSTRMNT_ID_SIMUL</v>
      </c>
      <c r="L197" s="35" t="str">
        <f>+IF(C197="Coerência", +IF(LEFT(G197,5)="FLOAT","SELECT '"&amp;UPPER(B197)&amp;"' AS TABELA, '"&amp;UPPER(C197)&amp;"' AS TIPOLOGIA_TESTE,'"&amp;D197&amp;"' AS TABELA_LT,'"&amp;E197&amp;"' AS TABELA_SIMUL,'"&amp;F197&amp;"' AS CAMPO, "&amp;"'${ref_date}' AS REF_DATE, COUNT(*) AS NUM_REG, SUM(IF((ABS(COALESCE(CAST(X."&amp;F197&amp;" AS DECIMAL(18,6)),0)-COALESCE(CAST(Y."&amp;F197&amp;"_SIMUL AS DECIMAL(18,6)),0))&gt;0.000001) OR (X."&amp;F197&amp;" IS NULL AND Y."&amp;F197&amp;"_SIMUL IS NOT NULL ) OR (X."&amp;F197&amp;" IS NOT NULL AND Y."&amp;F197&amp;"_SIMUL IS NULL),1,0)) AS NUM_REG_DIF,'"&amp;MAX('ID1&amp;5'!K:K)+1&amp;"' AS ID_EXEC, CURRENT_TIMESTAMP() AS TIME_EXEC FROM "&amp;I197&amp;" INNER JOIN "&amp;J197&amp;" "&amp;K197,"SELECT '"&amp;UPPER(B197)&amp;"' AS TABELA, '"&amp;UPPER(C197)&amp;"' AS TIPOLOGIA_TESTE,'"&amp;D197&amp;"' AS TABELA_LT,'"&amp;E197&amp;"' AS TABELA_SIMUL,'"&amp;F197&amp;"' AS CAMPO, "&amp;"'${ref_date}' AS REF_DATE, COUNT(*) AS NUM_REG, SUM(IF(COALESCE(CAST(X."&amp;F197&amp;" AS STRING),'')&lt;&gt;COALESCE(CAST(Y."&amp;F197&amp;"_SIMUL AS STRING),'') OR (X."&amp;F197&amp;" IS NULL AND Y."&amp;F197&amp;"_SIMUL IS NOT NULL ) OR (X."&amp;F197&amp;" IS NOT NULL AND Y."&amp;F197&amp;"_SIMUL IS NULL),1,0)) AS NUM_REG_DIF,'"&amp;MAX('ID1&amp;5'!L:L)+1&amp;"' AS ID_EXEC, CURRENT_TIMESTAMP() AS TIME_EXEC FROM "&amp;I197&amp;" INNER JOIN "&amp;J197&amp;" "&amp;K197),
IF(C197="Validade",+IF(G197="Code List","SELECT '"&amp;UPPER(B197)&amp;"' AS TABELA, '"&amp;UPPER(C197)&amp;"' AS TIPOLOGIA_TESTE,'"&amp;D197&amp;"' AS TABELA_LT,'N/A' AS TABELA_SIMUL,'"&amp;F197&amp;"' AS CAMPO, "&amp;"'${ref_date}' AS REF_DATE, COUNT(*) AS NUM_REG, SUM(IF(TRIM(CAST(X."&amp;F197&amp;" AS STRING))='' OR TRIM(CAST(X."&amp;F197&amp;" AS STRING)) IS NULL OR CAST(X."&amp;F197&amp;" AS STRING) NOT "&amp;H197&amp;",1,0)) AS NUM_REG_DIF,'"&amp;MAX('ID1&amp;5'!K:K)+1&amp;"' AS ID_EXEC, CURRENT_TIMESTAMP() AS TIME_EXEC FROM "&amp;I197,"SELECT '"&amp;UPPER(B197)&amp;"' AS TABELA, '"&amp;UPPER(C197)&amp;"' AS TIPOLOGIA_TESTE,'"&amp;D197&amp;"' AS TABELA_LT,'N/A' AS TABELA_SIMUL,'"&amp;F197&amp;"' AS CAMPO, "&amp;"'${ref_date}' AS REF_DATE, COUNT(*) AS NUM_REG, SUM(IF(TRIM(CAST(X."&amp;F197&amp;" AS STRING))='' OR TRIM(CAST(X."&amp;F197&amp;" AS STRING)) IS NULL,1,0)) AS NUM_REG_DIF,'"&amp;MAX('ID1&amp;5'!K:K)+1&amp;"' AS ID_EXEC, CURRENT_TIMESTAMP() AS TIME_EXEC FROM "&amp;I197),
IF(C197="Caracteres Especiais",+"SELECT '"&amp;UPPER(B197)&amp;"' AS TABELA, '"&amp;UPPER(C197)&amp;"' AS TIPOLOGIA_TESTE,'"&amp;D197&amp;"' AS TABELA_LT,'N/A' AS TABELA_SIMUL,'"&amp;F197&amp;"' AS CAMPO, "&amp;"'${ref_date}' AS REF_DATE, COUNT(*) AS NUM_REG, SUM(IF(REGEXP_REPLACE(TRIM(CAST(X."&amp;F197&amp;" AS STRING)),'[^a-zA-Z0-9_\\s]','') &lt;&gt;TRIM(CAST(X."&amp;F197&amp;" AS STRING)),1,0)) AS NUM_REG_DIF,'"&amp;MAX('ID1&amp;5'!K:K)+1&amp;"' AS ID_EXEC, CURRENT_TIMESTAMP() AS TIME_EXEC FROM "&amp;I197,
IF(C197="Missings",+"SELECT '"&amp;UPPER(B197)&amp;"' AS TABELA, '"&amp;UPPER(C197)&amp;"' AS TIPOLOGIA_TESTE,'"&amp;D197&amp;"' AS TABELA_LT,'N/A' AS TABELA_SIMUL,'"&amp;F197&amp;"' AS CAMPO, "&amp;"'${ref_date}' AS REF_DATE, COUNT(*) AS NUM_REG, SUM(IF(TRIM(CAST(X."&amp;F197&amp;" AS STRING)) IN ('0000-00-00','0001-01-01','9999-12-31','MISS','00000','99999999999','99999999999.00','99999999999.000000'),1,0)) AS NUM_REG_DIF,'"&amp;MAX('ID1&amp;5'!K:K)+1&amp;"' AS ID_EXEC, CURRENT_TIMESTAMP() AS TIME_EXEC FROM "&amp;I197,
IF(C197="Not applicable",+"SELECT '"&amp;UPPER(B197)&amp;"' AS TABELA, '"&amp;UPPER(C197)&amp;"' AS TIPOLOGIA_TESTE,'"&amp;D197&amp;"' AS TABELA_LT,'N/A' AS TABELA_SIMUL,'"&amp;F197&amp;"' AS CAMPO, "&amp;"'${ref_date}' AS REF_DATE, COUNT(*) AS NUM_REG, SUM(IF(TRIM(CAST(X."&amp;F197&amp;" AS STRING)) IN ('N/A','11111111111','11111111111.00','11111111111.000000','1111-11-11'),1,0)) AS NUM_REG_DIF,'"&amp;MAX('ID1&amp;5'!K:K)+1&amp;"' AS ID_EXEC, CURRENT_TIMESTAMP() AS TIME_EXEC FROM "&amp;I197,
IF(C197="Valores extremos",+"SELECT '"&amp;UPPER(B197)&amp;"' AS TABELA, '"&amp;UPPER(C197)&amp;"' AS TIPOLOGIA_TESTE,'"&amp;D197&amp;"' AS TABELA_LT,'N/A' AS TABELA_SIMUL,'"&amp;F197&amp;"' AS CAMPO, "&amp;"'${ref_date}' AS REF_DATE, CAST(MIN("&amp;F197&amp;") AS STRING) AS VALOR_MIN, CAST(MAX("&amp;F197&amp;") AS STRING) AS VALOR_MAX,'"&amp;MAX('ID1&amp;5'!K:K)+1&amp;"' AS ID_EXEC, CURRENT_TIMESTAMP() AS TIME_EXEC FROM "&amp;MID(I197,1,LEN(I197)-2)&amp;" AND CAST("&amp;F197&amp;"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TABELA_SIMUL,'RTNTN_SHR' AS CAMPO, '${ref_date}' AS REF_DATE, COUNT(*) AS NUM_REG, SUM(IF(COALESCE(CAST(X.RTNTN_SHR AS STRING),'')&lt;&gt;COALESCE(CAST(Y.RTNTN_SHR_SIMUL AS STRING),'') OR (X.RTNTN_SHR IS NULL AND Y.RTNTN_SHR_SIMUL IS NOT NULL ) OR (X.RTNTN_SHR IS NOT NULL AND Y.RTNTN_SHR_SIMUL IS NULL),1,0)) AS NUM_REG_DIF,'1' AS ID_EXEC, CURRENT_TIMESTAMP() AS TIME_EXEC FROM (SELECT instrmnt_id, RTNTN_SHR FROM CD_LOAN_TAPES_BCE.LT002_INSTRUMENT WHERE ref_date='${ref_date}' AND nome_perimetro='Individual Corporativo' AND segmento='ESTR' AND ambito='PM' AND entidade='00100')X INNER JOIN (SELECT instrmnt_id AS instrmnt_id_SIMUL, RTNTN_SHR AS RTNTN_SHR_SIMUL FROM BU_LOANTAPE_WORK.LT002_INSTRUMENT WHERE ref_date='${ref_date}' AND nome_perimetro='Individual Corporativo' AND segmento='ESTR' AND ambito='PM' AND entidade='00100')Y ON X.INSTRMNT_ID=Y.INSTRMNT_ID_SIMUL</v>
      </c>
      <c r="M197" s="36" t="str">
        <f t="shared" si="3"/>
        <v>UNION ALL SELECT 'INSTRUMENT' AS TABELA, 'COERÊNCIA' AS TIPOLOGIA_TESTE,'CD_LOAN_TAPES_BCE.LT002_INSTRUMENT' AS TABELA_LT,'BU_LOANTAPE_WORK.LT002_INSTRUMENT' AS TABELA_SIMUL,'RTNTN_SHR' AS CAMPO, '${ref_date}' AS REF_DATE, COUNT(*) AS NUM_REG, SUM(IF(COALESCE(CAST(X.RTNTN_SHR AS STRING),'')&lt;&gt;COALESCE(CAST(Y.RTNTN_SHR_SIMUL AS STRING),'') OR (X.RTNTN_SHR IS NULL AND Y.RTNTN_SHR_SIMUL IS NOT NULL ) OR (X.RTNTN_SHR IS NOT NULL AND Y.RTNTN_SHR_SIMUL IS NULL),1,0)) AS NUM_REG_DIF,'1' AS ID_EXEC, CURRENT_TIMESTAMP() AS TIME_EXEC FROM (SELECT instrmnt_id, RTNTN_SHR FROM CD_LOAN_TAPES_BCE.LT002_INSTRUMENT WHERE ref_date='${ref_date}' AND nome_perimetro='Individual Corporativo' AND segmento='ESTR' AND ambito='PM' AND entidade='00100')X INNER JOIN (SELECT instrmnt_id AS instrmnt_id_SIMUL, RTNTN_SHR AS RTNTN_SHR_SIMUL FROM BU_LOANTAPE_WORK.LT002_INSTRUMENT WHERE ref_date='${ref_date}' AND nome_perimetro='Individual Corporativo' AND segmento='ESTR' AND ambito='PM' AND entidade='00100')Y ON X.INSTRMNT_ID=Y.INSTRMNT_ID_SIMUL</v>
      </c>
      <c r="N197" s="38" t="s">
        <v>46</v>
      </c>
    </row>
    <row r="198" spans="2:14" hidden="1">
      <c r="B198" s="34" t="s">
        <v>126</v>
      </c>
      <c r="C198" s="34" t="s">
        <v>5</v>
      </c>
      <c r="D198" s="34" t="str">
        <f>+UPPER('0. Instruções'!$D$35&amp;"."&amp;VLOOKUP(B198,'0. Instruções'!$C$27:$D$32,2,FALSE))</f>
        <v>CD_LOAN_TAPES_BCE.LT002_INSTRUMENT</v>
      </c>
      <c r="E198" s="34" t="str">
        <f>+UPPER('0. Instruções'!$D$36&amp;"."&amp;VLOOKUP(B198,'0. Instruções'!$C$27:$E$32,3,FALSE))</f>
        <v>BU_LOANTAPE_WORK.LT002_INSTRUMENT</v>
      </c>
      <c r="F198" s="34" t="s">
        <v>487</v>
      </c>
      <c r="G198" s="34"/>
      <c r="H198" s="34" t="s">
        <v>92</v>
      </c>
      <c r="I198" s="34" t="str">
        <f>"(SELECT "&amp;VLOOKUP(B198,'0. Instruções'!$C$27:$G$32,4,FALSE)&amp;", "&amp;F198&amp;" FROM "&amp;D198&amp;" WHERE "&amp;'0. Instruções'!$D$42&amp;")X"</f>
        <v>(SELECT instrmnt_id, RWA FROM CD_LOAN_TAPES_BCE.LT002_INSTRUMENT WHERE ref_date='${ref_date}' AND nome_perimetro='Individual Corporativo' AND segmento='ESTR' AND ambito='PM' AND entidade='00100')X</v>
      </c>
      <c r="J198" s="34" t="str">
        <f>"(SELECT "&amp;VLOOKUP(B198,'0. Instruções'!$C$27:$G$32,4,FALSE)&amp;" AS "&amp;VLOOKUP(B198,'0. Instruções'!$C$27:$G$32,4,FALSE)&amp;"_SIMUL, "&amp;F198&amp;" AS "&amp;F198&amp;"_SIMUL FROM "&amp;E198&amp;" WHERE "&amp;'0. Instruções'!$D$43&amp;")Y"</f>
        <v>(SELECT instrmnt_id AS instrmnt_id_SIMUL, RWA AS RWA_SIMUL FROM BU_LOANTAPE_WORK.LT002_INSTRUMENT WHERE ref_date='${ref_date}' AND nome_perimetro='Individual Corporativo' AND segmento='ESTR' AND ambito='PM' AND entidade='00100')Y</v>
      </c>
      <c r="K198" s="35" t="str">
        <f>+UPPER("ON X."&amp;VLOOKUP(B198,'0. Instruções'!$C$27:$G$32,4,FALSE)&amp;"=Y."&amp;VLOOKUP(B198,'0. Instruções'!$C$27:$G$32,4,FALSE)&amp;"_SIMUL")</f>
        <v>ON X.INSTRMNT_ID=Y.INSTRMNT_ID_SIMUL</v>
      </c>
      <c r="L198" s="35" t="str">
        <f>+IF(C198="Coerência", +IF(LEFT(G198,5)="FLOAT","SELECT '"&amp;UPPER(B198)&amp;"' AS TABELA, '"&amp;UPPER(C198)&amp;"' AS TIPOLOGIA_TESTE,'"&amp;D198&amp;"' AS TABELA_LT,'"&amp;E198&amp;"' AS TABELA_SIMUL,'"&amp;F198&amp;"' AS CAMPO, "&amp;"'${ref_date}' AS REF_DATE, COUNT(*) AS NUM_REG, SUM(IF((ABS(COALESCE(CAST(X."&amp;F198&amp;" AS DECIMAL(18,6)),0)-COALESCE(CAST(Y."&amp;F198&amp;"_SIMUL AS DECIMAL(18,6)),0))&gt;0.000001) OR (X."&amp;F198&amp;" IS NULL AND Y."&amp;F198&amp;"_SIMUL IS NOT NULL ) OR (X."&amp;F198&amp;" IS NOT NULL AND Y."&amp;F198&amp;"_SIMUL IS NULL),1,0)) AS NUM_REG_DIF,'"&amp;MAX('ID1&amp;5'!K:K)+1&amp;"' AS ID_EXEC, CURRENT_TIMESTAMP() AS TIME_EXEC FROM "&amp;I198&amp;" INNER JOIN "&amp;J198&amp;" "&amp;K198,"SELECT '"&amp;UPPER(B198)&amp;"' AS TABELA, '"&amp;UPPER(C198)&amp;"' AS TIPOLOGIA_TESTE,'"&amp;D198&amp;"' AS TABELA_LT,'"&amp;E198&amp;"' AS TABELA_SIMUL,'"&amp;F198&amp;"' AS CAMPO, "&amp;"'${ref_date}' AS REF_DATE, COUNT(*) AS NUM_REG, SUM(IF(COALESCE(CAST(X."&amp;F198&amp;" AS STRING),'')&lt;&gt;COALESCE(CAST(Y."&amp;F198&amp;"_SIMUL AS STRING),'') OR (X."&amp;F198&amp;" IS NULL AND Y."&amp;F198&amp;"_SIMUL IS NOT NULL ) OR (X."&amp;F198&amp;" IS NOT NULL AND Y."&amp;F198&amp;"_SIMUL IS NULL),1,0)) AS NUM_REG_DIF,'"&amp;MAX('ID1&amp;5'!L:L)+1&amp;"' AS ID_EXEC, CURRENT_TIMESTAMP() AS TIME_EXEC FROM "&amp;I198&amp;" INNER JOIN "&amp;J198&amp;" "&amp;K198),
IF(C198="Validade",+IF(G198="Code List","SELECT '"&amp;UPPER(B198)&amp;"' AS TABELA, '"&amp;UPPER(C198)&amp;"' AS TIPOLOGIA_TESTE,'"&amp;D198&amp;"' AS TABELA_LT,'N/A' AS TABELA_SIMUL,'"&amp;F198&amp;"' AS CAMPO, "&amp;"'${ref_date}' AS REF_DATE, COUNT(*) AS NUM_REG, SUM(IF(TRIM(CAST(X."&amp;F198&amp;" AS STRING))='' OR TRIM(CAST(X."&amp;F198&amp;" AS STRING)) IS NULL OR CAST(X."&amp;F198&amp;" AS STRING) NOT "&amp;H198&amp;",1,0)) AS NUM_REG_DIF,'"&amp;MAX('ID1&amp;5'!K:K)+1&amp;"' AS ID_EXEC, CURRENT_TIMESTAMP() AS TIME_EXEC FROM "&amp;I198,"SELECT '"&amp;UPPER(B198)&amp;"' AS TABELA, '"&amp;UPPER(C198)&amp;"' AS TIPOLOGIA_TESTE,'"&amp;D198&amp;"' AS TABELA_LT,'N/A' AS TABELA_SIMUL,'"&amp;F198&amp;"' AS CAMPO, "&amp;"'${ref_date}' AS REF_DATE, COUNT(*) AS NUM_REG, SUM(IF(TRIM(CAST(X."&amp;F198&amp;" AS STRING))='' OR TRIM(CAST(X."&amp;F198&amp;" AS STRING)) IS NULL,1,0)) AS NUM_REG_DIF,'"&amp;MAX('ID1&amp;5'!K:K)+1&amp;"' AS ID_EXEC, CURRENT_TIMESTAMP() AS TIME_EXEC FROM "&amp;I198),
IF(C198="Caracteres Especiais",+"SELECT '"&amp;UPPER(B198)&amp;"' AS TABELA, '"&amp;UPPER(C198)&amp;"' AS TIPOLOGIA_TESTE,'"&amp;D198&amp;"' AS TABELA_LT,'N/A' AS TABELA_SIMUL,'"&amp;F198&amp;"' AS CAMPO, "&amp;"'${ref_date}' AS REF_DATE, COUNT(*) AS NUM_REG, SUM(IF(REGEXP_REPLACE(TRIM(CAST(X."&amp;F198&amp;" AS STRING)),'[^a-zA-Z0-9_\\s]','') &lt;&gt;TRIM(CAST(X."&amp;F198&amp;" AS STRING)),1,0)) AS NUM_REG_DIF,'"&amp;MAX('ID1&amp;5'!K:K)+1&amp;"' AS ID_EXEC, CURRENT_TIMESTAMP() AS TIME_EXEC FROM "&amp;I198,
IF(C198="Missings",+"SELECT '"&amp;UPPER(B198)&amp;"' AS TABELA, '"&amp;UPPER(C198)&amp;"' AS TIPOLOGIA_TESTE,'"&amp;D198&amp;"' AS TABELA_LT,'N/A' AS TABELA_SIMUL,'"&amp;F198&amp;"' AS CAMPO, "&amp;"'${ref_date}' AS REF_DATE, COUNT(*) AS NUM_REG, SUM(IF(TRIM(CAST(X."&amp;F198&amp;" AS STRING)) IN ('0000-00-00','0001-01-01','9999-12-31','MISS','00000','99999999999','99999999999.00','99999999999.000000'),1,0)) AS NUM_REG_DIF,'"&amp;MAX('ID1&amp;5'!K:K)+1&amp;"' AS ID_EXEC, CURRENT_TIMESTAMP() AS TIME_EXEC FROM "&amp;I198,
IF(C198="Not applicable",+"SELECT '"&amp;UPPER(B198)&amp;"' AS TABELA, '"&amp;UPPER(C198)&amp;"' AS TIPOLOGIA_TESTE,'"&amp;D198&amp;"' AS TABELA_LT,'N/A' AS TABELA_SIMUL,'"&amp;F198&amp;"' AS CAMPO, "&amp;"'${ref_date}' AS REF_DATE, COUNT(*) AS NUM_REG, SUM(IF(TRIM(CAST(X."&amp;F198&amp;" AS STRING)) IN ('N/A','11111111111','11111111111.00','11111111111.000000','1111-11-11'),1,0)) AS NUM_REG_DIF,'"&amp;MAX('ID1&amp;5'!K:K)+1&amp;"' AS ID_EXEC, CURRENT_TIMESTAMP() AS TIME_EXEC FROM "&amp;I198,
IF(C198="Valores extremos",+"SELECT '"&amp;UPPER(B198)&amp;"' AS TABELA, '"&amp;UPPER(C198)&amp;"' AS TIPOLOGIA_TESTE,'"&amp;D198&amp;"' AS TABELA_LT,'N/A' AS TABELA_SIMUL,'"&amp;F198&amp;"' AS CAMPO, "&amp;"'${ref_date}' AS REF_DATE, CAST(MIN("&amp;F198&amp;") AS STRING) AS VALOR_MIN, CAST(MAX("&amp;F198&amp;") AS STRING) AS VALOR_MAX,'"&amp;MAX('ID1&amp;5'!K:K)+1&amp;"' AS ID_EXEC, CURRENT_TIMESTAMP() AS TIME_EXEC FROM "&amp;MID(I198,1,LEN(I198)-2)&amp;" AND CAST("&amp;F198&amp;"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TABELA_SIMUL,'RWA' AS CAMPO, '${ref_date}' AS REF_DATE, COUNT(*) AS NUM_REG, SUM(IF(COALESCE(CAST(X.RWA AS STRING),'')&lt;&gt;COALESCE(CAST(Y.RWA_SIMUL AS STRING),'') OR (X.RWA IS NULL AND Y.RWA_SIMUL IS NOT NULL ) OR (X.RWA IS NOT NULL AND Y.RWA_SIMUL IS NULL),1,0)) AS NUM_REG_DIF,'1' AS ID_EXEC, CURRENT_TIMESTAMP() AS TIME_EXEC FROM (SELECT instrmnt_id, RWA FROM CD_LOAN_TAPES_BCE.LT002_INSTRUMENT WHERE ref_date='${ref_date}' AND nome_perimetro='Individual Corporativo' AND segmento='ESTR' AND ambito='PM' AND entidade='00100')X INNER JOIN (SELECT instrmnt_id AS instrmnt_id_SIMUL, RWA AS RWA_SIMUL FROM BU_LOANTAPE_WORK.LT002_INSTRUMENT WHERE ref_date='${ref_date}' AND nome_perimetro='Individual Corporativo' AND segmento='ESTR' AND ambito='PM' AND entidade='00100')Y ON X.INSTRMNT_ID=Y.INSTRMNT_ID_SIMUL</v>
      </c>
      <c r="M198" s="36" t="str">
        <f t="shared" si="3"/>
        <v>UNION ALL SELECT 'INSTRUMENT' AS TABELA, 'COERÊNCIA' AS TIPOLOGIA_TESTE,'CD_LOAN_TAPES_BCE.LT002_INSTRUMENT' AS TABELA_LT,'BU_LOANTAPE_WORK.LT002_INSTRUMENT' AS TABELA_SIMUL,'RWA' AS CAMPO, '${ref_date}' AS REF_DATE, COUNT(*) AS NUM_REG, SUM(IF(COALESCE(CAST(X.RWA AS STRING),'')&lt;&gt;COALESCE(CAST(Y.RWA_SIMUL AS STRING),'') OR (X.RWA IS NULL AND Y.RWA_SIMUL IS NOT NULL ) OR (X.RWA IS NOT NULL AND Y.RWA_SIMUL IS NULL),1,0)) AS NUM_REG_DIF,'1' AS ID_EXEC, CURRENT_TIMESTAMP() AS TIME_EXEC FROM (SELECT instrmnt_id, RWA FROM CD_LOAN_TAPES_BCE.LT002_INSTRUMENT WHERE ref_date='${ref_date}' AND nome_perimetro='Individual Corporativo' AND segmento='ESTR' AND ambito='PM' AND entidade='00100')X INNER JOIN (SELECT instrmnt_id AS instrmnt_id_SIMUL, RWA AS RWA_SIMUL FROM BU_LOANTAPE_WORK.LT002_INSTRUMENT WHERE ref_date='${ref_date}' AND nome_perimetro='Individual Corporativo' AND segmento='ESTR' AND ambito='PM' AND entidade='00100')Y ON X.INSTRMNT_ID=Y.INSTRMNT_ID_SIMUL</v>
      </c>
      <c r="N198" s="38" t="s">
        <v>46</v>
      </c>
    </row>
    <row r="199" spans="2:14" hidden="1">
      <c r="B199" s="34" t="s">
        <v>126</v>
      </c>
      <c r="C199" s="34" t="s">
        <v>5</v>
      </c>
      <c r="D199" s="34" t="str">
        <f>+UPPER('0. Instruções'!$D$35&amp;"."&amp;VLOOKUP(B199,'0. Instruções'!$C$27:$D$32,2,FALSE))</f>
        <v>CD_LOAN_TAPES_BCE.LT002_INSTRUMENT</v>
      </c>
      <c r="E199" s="34" t="str">
        <f>+UPPER('0. Instruções'!$D$36&amp;"."&amp;VLOOKUP(B199,'0. Instruções'!$C$27:$E$32,3,FALSE))</f>
        <v>BU_LOANTAPE_WORK.LT002_INSTRUMENT</v>
      </c>
      <c r="F199" s="34" t="s">
        <v>488</v>
      </c>
      <c r="G199" s="34"/>
      <c r="H199" s="34" t="s">
        <v>89</v>
      </c>
      <c r="I199" s="34" t="str">
        <f>"(SELECT "&amp;VLOOKUP(B199,'0. Instruções'!$C$27:$G$32,4,FALSE)&amp;", "&amp;F199&amp;" FROM "&amp;D199&amp;" WHERE "&amp;'0. Instruções'!$D$42&amp;")X"</f>
        <v>(SELECT instrmnt_id, RWA_MTHD FROM CD_LOAN_TAPES_BCE.LT002_INSTRUMENT WHERE ref_date='${ref_date}' AND nome_perimetro='Individual Corporativo' AND segmento='ESTR' AND ambito='PM' AND entidade='00100')X</v>
      </c>
      <c r="J199" s="34" t="str">
        <f>"(SELECT "&amp;VLOOKUP(B199,'0. Instruções'!$C$27:$G$32,4,FALSE)&amp;" AS "&amp;VLOOKUP(B199,'0. Instruções'!$C$27:$G$32,4,FALSE)&amp;"_SIMUL, "&amp;F199&amp;" AS "&amp;F199&amp;"_SIMUL FROM "&amp;E199&amp;" WHERE "&amp;'0. Instruções'!$D$43&amp;")Y"</f>
        <v>(SELECT instrmnt_id AS instrmnt_id_SIMUL, RWA_MTHD AS RWA_MTHD_SIMUL FROM BU_LOANTAPE_WORK.LT002_INSTRUMENT WHERE ref_date='${ref_date}' AND nome_perimetro='Individual Corporativo' AND segmento='ESTR' AND ambito='PM' AND entidade='00100')Y</v>
      </c>
      <c r="K199" s="35" t="str">
        <f>+UPPER("ON X."&amp;VLOOKUP(B199,'0. Instruções'!$C$27:$G$32,4,FALSE)&amp;"=Y."&amp;VLOOKUP(B199,'0. Instruções'!$C$27:$G$32,4,FALSE)&amp;"_SIMUL")</f>
        <v>ON X.INSTRMNT_ID=Y.INSTRMNT_ID_SIMUL</v>
      </c>
      <c r="L199" s="35" t="str">
        <f>+IF(C199="Coerência", +IF(LEFT(G199,5)="FLOAT","SELECT '"&amp;UPPER(B199)&amp;"' AS TABELA, '"&amp;UPPER(C199)&amp;"' AS TIPOLOGIA_TESTE,'"&amp;D199&amp;"' AS TABELA_LT,'"&amp;E199&amp;"' AS TABELA_SIMUL,'"&amp;F199&amp;"' AS CAMPO, "&amp;"'${ref_date}' AS REF_DATE, COUNT(*) AS NUM_REG, SUM(IF((ABS(COALESCE(CAST(X."&amp;F199&amp;" AS DECIMAL(18,6)),0)-COALESCE(CAST(Y."&amp;F199&amp;"_SIMUL AS DECIMAL(18,6)),0))&gt;0.000001) OR (X."&amp;F199&amp;" IS NULL AND Y."&amp;F199&amp;"_SIMUL IS NOT NULL ) OR (X."&amp;F199&amp;" IS NOT NULL AND Y."&amp;F199&amp;"_SIMUL IS NULL),1,0)) AS NUM_REG_DIF,'"&amp;MAX('ID1&amp;5'!K:K)+1&amp;"' AS ID_EXEC, CURRENT_TIMESTAMP() AS TIME_EXEC FROM "&amp;I199&amp;" INNER JOIN "&amp;J199&amp;" "&amp;K199,"SELECT '"&amp;UPPER(B199)&amp;"' AS TABELA, '"&amp;UPPER(C199)&amp;"' AS TIPOLOGIA_TESTE,'"&amp;D199&amp;"' AS TABELA_LT,'"&amp;E199&amp;"' AS TABELA_SIMUL,'"&amp;F199&amp;"' AS CAMPO, "&amp;"'${ref_date}' AS REF_DATE, COUNT(*) AS NUM_REG, SUM(IF(COALESCE(CAST(X."&amp;F199&amp;" AS STRING),'')&lt;&gt;COALESCE(CAST(Y."&amp;F199&amp;"_SIMUL AS STRING),'') OR (X."&amp;F199&amp;" IS NULL AND Y."&amp;F199&amp;"_SIMUL IS NOT NULL ) OR (X."&amp;F199&amp;" IS NOT NULL AND Y."&amp;F199&amp;"_SIMUL IS NULL),1,0)) AS NUM_REG_DIF,'"&amp;MAX('ID1&amp;5'!L:L)+1&amp;"' AS ID_EXEC, CURRENT_TIMESTAMP() AS TIME_EXEC FROM "&amp;I199&amp;" INNER JOIN "&amp;J199&amp;" "&amp;K199),
IF(C199="Validade",+IF(G199="Code List","SELECT '"&amp;UPPER(B199)&amp;"' AS TABELA, '"&amp;UPPER(C199)&amp;"' AS TIPOLOGIA_TESTE,'"&amp;D199&amp;"' AS TABELA_LT,'N/A' AS TABELA_SIMUL,'"&amp;F199&amp;"' AS CAMPO, "&amp;"'${ref_date}' AS REF_DATE, COUNT(*) AS NUM_REG, SUM(IF(TRIM(CAST(X."&amp;F199&amp;" AS STRING))='' OR TRIM(CAST(X."&amp;F199&amp;" AS STRING)) IS NULL OR CAST(X."&amp;F199&amp;" AS STRING) NOT "&amp;H199&amp;",1,0)) AS NUM_REG_DIF,'"&amp;MAX('ID1&amp;5'!K:K)+1&amp;"' AS ID_EXEC, CURRENT_TIMESTAMP() AS TIME_EXEC FROM "&amp;I199,"SELECT '"&amp;UPPER(B199)&amp;"' AS TABELA, '"&amp;UPPER(C199)&amp;"' AS TIPOLOGIA_TESTE,'"&amp;D199&amp;"' AS TABELA_LT,'N/A' AS TABELA_SIMUL,'"&amp;F199&amp;"' AS CAMPO, "&amp;"'${ref_date}' AS REF_DATE, COUNT(*) AS NUM_REG, SUM(IF(TRIM(CAST(X."&amp;F199&amp;" AS STRING))='' OR TRIM(CAST(X."&amp;F199&amp;" AS STRING)) IS NULL,1,0)) AS NUM_REG_DIF,'"&amp;MAX('ID1&amp;5'!K:K)+1&amp;"' AS ID_EXEC, CURRENT_TIMESTAMP() AS TIME_EXEC FROM "&amp;I199),
IF(C199="Caracteres Especiais",+"SELECT '"&amp;UPPER(B199)&amp;"' AS TABELA, '"&amp;UPPER(C199)&amp;"' AS TIPOLOGIA_TESTE,'"&amp;D199&amp;"' AS TABELA_LT,'N/A' AS TABELA_SIMUL,'"&amp;F199&amp;"' AS CAMPO, "&amp;"'${ref_date}' AS REF_DATE, COUNT(*) AS NUM_REG, SUM(IF(REGEXP_REPLACE(TRIM(CAST(X."&amp;F199&amp;" AS STRING)),'[^a-zA-Z0-9_\\s]','') &lt;&gt;TRIM(CAST(X."&amp;F199&amp;" AS STRING)),1,0)) AS NUM_REG_DIF,'"&amp;MAX('ID1&amp;5'!K:K)+1&amp;"' AS ID_EXEC, CURRENT_TIMESTAMP() AS TIME_EXEC FROM "&amp;I199,
IF(C199="Missings",+"SELECT '"&amp;UPPER(B199)&amp;"' AS TABELA, '"&amp;UPPER(C199)&amp;"' AS TIPOLOGIA_TESTE,'"&amp;D199&amp;"' AS TABELA_LT,'N/A' AS TABELA_SIMUL,'"&amp;F199&amp;"' AS CAMPO, "&amp;"'${ref_date}' AS REF_DATE, COUNT(*) AS NUM_REG, SUM(IF(TRIM(CAST(X."&amp;F199&amp;" AS STRING)) IN ('0000-00-00','0001-01-01','9999-12-31','MISS','00000','99999999999','99999999999.00','99999999999.000000'),1,0)) AS NUM_REG_DIF,'"&amp;MAX('ID1&amp;5'!K:K)+1&amp;"' AS ID_EXEC, CURRENT_TIMESTAMP() AS TIME_EXEC FROM "&amp;I199,
IF(C199="Not applicable",+"SELECT '"&amp;UPPER(B199)&amp;"' AS TABELA, '"&amp;UPPER(C199)&amp;"' AS TIPOLOGIA_TESTE,'"&amp;D199&amp;"' AS TABELA_LT,'N/A' AS TABELA_SIMUL,'"&amp;F199&amp;"' AS CAMPO, "&amp;"'${ref_date}' AS REF_DATE, COUNT(*) AS NUM_REG, SUM(IF(TRIM(CAST(X."&amp;F199&amp;" AS STRING)) IN ('N/A','11111111111','11111111111.00','11111111111.000000','1111-11-11'),1,0)) AS NUM_REG_DIF,'"&amp;MAX('ID1&amp;5'!K:K)+1&amp;"' AS ID_EXEC, CURRENT_TIMESTAMP() AS TIME_EXEC FROM "&amp;I199,
IF(C199="Valores extremos",+"SELECT '"&amp;UPPER(B199)&amp;"' AS TABELA, '"&amp;UPPER(C199)&amp;"' AS TIPOLOGIA_TESTE,'"&amp;D199&amp;"' AS TABELA_LT,'N/A' AS TABELA_SIMUL,'"&amp;F199&amp;"' AS CAMPO, "&amp;"'${ref_date}' AS REF_DATE, CAST(MIN("&amp;F199&amp;") AS STRING) AS VALOR_MIN, CAST(MAX("&amp;F199&amp;") AS STRING) AS VALOR_MAX,'"&amp;MAX('ID1&amp;5'!K:K)+1&amp;"' AS ID_EXEC, CURRENT_TIMESTAMP() AS TIME_EXEC FROM "&amp;MID(I199,1,LEN(I199)-2)&amp;" AND CAST("&amp;F199&amp;"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TABELA_SIMUL,'RWA_MTHD' AS CAMPO, '${ref_date}' AS REF_DATE, COUNT(*) AS NUM_REG, SUM(IF(COALESCE(CAST(X.RWA_MTHD AS STRING),'')&lt;&gt;COALESCE(CAST(Y.RWA_MTHD_SIMUL AS STRING),'') OR (X.RWA_MTHD IS NULL AND Y.RWA_MTHD_SIMUL IS NOT NULL ) OR (X.RWA_MTHD IS NOT NULL AND Y.RWA_MTHD_SIMUL IS NULL),1,0)) AS NUM_REG_DIF,'1' AS ID_EXEC, CURRENT_TIMESTAMP() AS TIME_EXEC FROM (SELECT instrmnt_id, RWA_MTHD FROM CD_LOAN_TAPES_BCE.LT002_INSTRUMENT WHERE ref_date='${ref_date}' AND nome_perimetro='Individual Corporativo' AND segmento='ESTR' AND ambito='PM' AND entidade='00100')X INNER JOIN (SELECT instrmnt_id AS instrmnt_id_SIMUL, RWA_MTHD AS RWA_MTHD_SIMUL FROM BU_LOANTAPE_WORK.LT002_INSTRUMENT WHERE ref_date='${ref_date}' AND nome_perimetro='Individual Corporativo' AND segmento='ESTR' AND ambito='PM' AND entidade='00100')Y ON X.INSTRMNT_ID=Y.INSTRMNT_ID_SIMUL</v>
      </c>
      <c r="M199" s="36" t="str">
        <f t="shared" si="3"/>
        <v>UNION ALL SELECT 'INSTRUMENT' AS TABELA, 'COERÊNCIA' AS TIPOLOGIA_TESTE,'CD_LOAN_TAPES_BCE.LT002_INSTRUMENT' AS TABELA_LT,'BU_LOANTAPE_WORK.LT002_INSTRUMENT' AS TABELA_SIMUL,'RWA_MTHD' AS CAMPO, '${ref_date}' AS REF_DATE, COUNT(*) AS NUM_REG, SUM(IF(COALESCE(CAST(X.RWA_MTHD AS STRING),'')&lt;&gt;COALESCE(CAST(Y.RWA_MTHD_SIMUL AS STRING),'') OR (X.RWA_MTHD IS NULL AND Y.RWA_MTHD_SIMUL IS NOT NULL ) OR (X.RWA_MTHD IS NOT NULL AND Y.RWA_MTHD_SIMUL IS NULL),1,0)) AS NUM_REG_DIF,'1' AS ID_EXEC, CURRENT_TIMESTAMP() AS TIME_EXEC FROM (SELECT instrmnt_id, RWA_MTHD FROM CD_LOAN_TAPES_BCE.LT002_INSTRUMENT WHERE ref_date='${ref_date}' AND nome_perimetro='Individual Corporativo' AND segmento='ESTR' AND ambito='PM' AND entidade='00100')X INNER JOIN (SELECT instrmnt_id AS instrmnt_id_SIMUL, RWA_MTHD AS RWA_MTHD_SIMUL FROM BU_LOANTAPE_WORK.LT002_INSTRUMENT WHERE ref_date='${ref_date}' AND nome_perimetro='Individual Corporativo' AND segmento='ESTR' AND ambito='PM' AND entidade='00100')Y ON X.INSTRMNT_ID=Y.INSTRMNT_ID_SIMUL</v>
      </c>
      <c r="N199" s="38" t="s">
        <v>46</v>
      </c>
    </row>
    <row r="200" spans="2:14" hidden="1">
      <c r="B200" s="34" t="s">
        <v>126</v>
      </c>
      <c r="C200" s="34" t="s">
        <v>5</v>
      </c>
      <c r="D200" s="34" t="str">
        <f>+UPPER('0. Instruções'!$D$35&amp;"."&amp;VLOOKUP(B200,'0. Instruções'!$C$27:$D$32,2,FALSE))</f>
        <v>CD_LOAN_TAPES_BCE.LT002_INSTRUMENT</v>
      </c>
      <c r="E200" s="34" t="str">
        <f>+UPPER('0. Instruções'!$D$36&amp;"."&amp;VLOOKUP(B200,'0. Instruções'!$C$27:$E$32,3,FALSE))</f>
        <v>BU_LOANTAPE_WORK.LT002_INSTRUMENT</v>
      </c>
      <c r="F200" s="34" t="s">
        <v>489</v>
      </c>
      <c r="G200" s="34"/>
      <c r="H200" s="34" t="s">
        <v>646</v>
      </c>
      <c r="I200" s="34" t="str">
        <f>"(SELECT "&amp;VLOOKUP(B200,'0. Instruções'!$C$27:$G$32,4,FALSE)&amp;", "&amp;F200&amp;" FROM "&amp;D200&amp;" WHERE "&amp;'0. Instruções'!$D$42&amp;")X"</f>
        <v>(SELECT instrmnt_id, SPNSR_NM FROM CD_LOAN_TAPES_BCE.LT002_INSTRUMENT WHERE ref_date='${ref_date}' AND nome_perimetro='Individual Corporativo' AND segmento='ESTR' AND ambito='PM' AND entidade='00100')X</v>
      </c>
      <c r="J200" s="34" t="str">
        <f>"(SELECT "&amp;VLOOKUP(B200,'0. Instruções'!$C$27:$G$32,4,FALSE)&amp;" AS "&amp;VLOOKUP(B200,'0. Instruções'!$C$27:$G$32,4,FALSE)&amp;"_SIMUL, "&amp;F200&amp;" AS "&amp;F200&amp;"_SIMUL FROM "&amp;E200&amp;" WHERE "&amp;'0. Instruções'!$D$43&amp;")Y"</f>
        <v>(SELECT instrmnt_id AS instrmnt_id_SIMUL, SPNSR_NM AS SPNSR_NM_SIMUL FROM BU_LOANTAPE_WORK.LT002_INSTRUMENT WHERE ref_date='${ref_date}' AND nome_perimetro='Individual Corporativo' AND segmento='ESTR' AND ambito='PM' AND entidade='00100')Y</v>
      </c>
      <c r="K200" s="35" t="str">
        <f>+UPPER("ON X."&amp;VLOOKUP(B200,'0. Instruções'!$C$27:$G$32,4,FALSE)&amp;"=Y."&amp;VLOOKUP(B200,'0. Instruções'!$C$27:$G$32,4,FALSE)&amp;"_SIMUL")</f>
        <v>ON X.INSTRMNT_ID=Y.INSTRMNT_ID_SIMUL</v>
      </c>
      <c r="L200" s="35" t="str">
        <f>+IF(C200="Coerência", +IF(LEFT(G200,5)="FLOAT","SELECT '"&amp;UPPER(B200)&amp;"' AS TABELA, '"&amp;UPPER(C200)&amp;"' AS TIPOLOGIA_TESTE,'"&amp;D200&amp;"' AS TABELA_LT,'"&amp;E200&amp;"' AS TABELA_SIMUL,'"&amp;F200&amp;"' AS CAMPO, "&amp;"'${ref_date}' AS REF_DATE, COUNT(*) AS NUM_REG, SUM(IF((ABS(COALESCE(CAST(X."&amp;F200&amp;" AS DECIMAL(18,6)),0)-COALESCE(CAST(Y."&amp;F200&amp;"_SIMUL AS DECIMAL(18,6)),0))&gt;0.000001) OR (X."&amp;F200&amp;" IS NULL AND Y."&amp;F200&amp;"_SIMUL IS NOT NULL ) OR (X."&amp;F200&amp;" IS NOT NULL AND Y."&amp;F200&amp;"_SIMUL IS NULL),1,0)) AS NUM_REG_DIF,'"&amp;MAX('ID1&amp;5'!K:K)+1&amp;"' AS ID_EXEC, CURRENT_TIMESTAMP() AS TIME_EXEC FROM "&amp;I200&amp;" INNER JOIN "&amp;J200&amp;" "&amp;K200,"SELECT '"&amp;UPPER(B200)&amp;"' AS TABELA, '"&amp;UPPER(C200)&amp;"' AS TIPOLOGIA_TESTE,'"&amp;D200&amp;"' AS TABELA_LT,'"&amp;E200&amp;"' AS TABELA_SIMUL,'"&amp;F200&amp;"' AS CAMPO, "&amp;"'${ref_date}' AS REF_DATE, COUNT(*) AS NUM_REG, SUM(IF(COALESCE(CAST(X."&amp;F200&amp;" AS STRING),'')&lt;&gt;COALESCE(CAST(Y."&amp;F200&amp;"_SIMUL AS STRING),'') OR (X."&amp;F200&amp;" IS NULL AND Y."&amp;F200&amp;"_SIMUL IS NOT NULL ) OR (X."&amp;F200&amp;" IS NOT NULL AND Y."&amp;F200&amp;"_SIMUL IS NULL),1,0)) AS NUM_REG_DIF,'"&amp;MAX('ID1&amp;5'!L:L)+1&amp;"' AS ID_EXEC, CURRENT_TIMESTAMP() AS TIME_EXEC FROM "&amp;I200&amp;" INNER JOIN "&amp;J200&amp;" "&amp;K200),
IF(C200="Validade",+IF(G200="Code List","SELECT '"&amp;UPPER(B200)&amp;"' AS TABELA, '"&amp;UPPER(C200)&amp;"' AS TIPOLOGIA_TESTE,'"&amp;D200&amp;"' AS TABELA_LT,'N/A' AS TABELA_SIMUL,'"&amp;F200&amp;"' AS CAMPO, "&amp;"'${ref_date}' AS REF_DATE, COUNT(*) AS NUM_REG, SUM(IF(TRIM(CAST(X."&amp;F200&amp;" AS STRING))='' OR TRIM(CAST(X."&amp;F200&amp;" AS STRING)) IS NULL OR CAST(X."&amp;F200&amp;" AS STRING) NOT "&amp;H200&amp;",1,0)) AS NUM_REG_DIF,'"&amp;MAX('ID1&amp;5'!K:K)+1&amp;"' AS ID_EXEC, CURRENT_TIMESTAMP() AS TIME_EXEC FROM "&amp;I200,"SELECT '"&amp;UPPER(B200)&amp;"' AS TABELA, '"&amp;UPPER(C200)&amp;"' AS TIPOLOGIA_TESTE,'"&amp;D200&amp;"' AS TABELA_LT,'N/A' AS TABELA_SIMUL,'"&amp;F200&amp;"' AS CAMPO, "&amp;"'${ref_date}' AS REF_DATE, COUNT(*) AS NUM_REG, SUM(IF(TRIM(CAST(X."&amp;F200&amp;" AS STRING))='' OR TRIM(CAST(X."&amp;F200&amp;" AS STRING)) IS NULL,1,0)) AS NUM_REG_DIF,'"&amp;MAX('ID1&amp;5'!K:K)+1&amp;"' AS ID_EXEC, CURRENT_TIMESTAMP() AS TIME_EXEC FROM "&amp;I200),
IF(C200="Caracteres Especiais",+"SELECT '"&amp;UPPER(B200)&amp;"' AS TABELA, '"&amp;UPPER(C200)&amp;"' AS TIPOLOGIA_TESTE,'"&amp;D200&amp;"' AS TABELA_LT,'N/A' AS TABELA_SIMUL,'"&amp;F200&amp;"' AS CAMPO, "&amp;"'${ref_date}' AS REF_DATE, COUNT(*) AS NUM_REG, SUM(IF(REGEXP_REPLACE(TRIM(CAST(X."&amp;F200&amp;" AS STRING)),'[^a-zA-Z0-9_\\s]','') &lt;&gt;TRIM(CAST(X."&amp;F200&amp;" AS STRING)),1,0)) AS NUM_REG_DIF,'"&amp;MAX('ID1&amp;5'!K:K)+1&amp;"' AS ID_EXEC, CURRENT_TIMESTAMP() AS TIME_EXEC FROM "&amp;I200,
IF(C200="Missings",+"SELECT '"&amp;UPPER(B200)&amp;"' AS TABELA, '"&amp;UPPER(C200)&amp;"' AS TIPOLOGIA_TESTE,'"&amp;D200&amp;"' AS TABELA_LT,'N/A' AS TABELA_SIMUL,'"&amp;F200&amp;"' AS CAMPO, "&amp;"'${ref_date}' AS REF_DATE, COUNT(*) AS NUM_REG, SUM(IF(TRIM(CAST(X."&amp;F200&amp;" AS STRING)) IN ('0000-00-00','0001-01-01','9999-12-31','MISS','00000','99999999999','99999999999.00','99999999999.000000'),1,0)) AS NUM_REG_DIF,'"&amp;MAX('ID1&amp;5'!K:K)+1&amp;"' AS ID_EXEC, CURRENT_TIMESTAMP() AS TIME_EXEC FROM "&amp;I200,
IF(C200="Not applicable",+"SELECT '"&amp;UPPER(B200)&amp;"' AS TABELA, '"&amp;UPPER(C200)&amp;"' AS TIPOLOGIA_TESTE,'"&amp;D200&amp;"' AS TABELA_LT,'N/A' AS TABELA_SIMUL,'"&amp;F200&amp;"' AS CAMPO, "&amp;"'${ref_date}' AS REF_DATE, COUNT(*) AS NUM_REG, SUM(IF(TRIM(CAST(X."&amp;F200&amp;" AS STRING)) IN ('N/A','11111111111','11111111111.00','11111111111.000000','1111-11-11'),1,0)) AS NUM_REG_DIF,'"&amp;MAX('ID1&amp;5'!K:K)+1&amp;"' AS ID_EXEC, CURRENT_TIMESTAMP() AS TIME_EXEC FROM "&amp;I200,
IF(C200="Valores extremos",+"SELECT '"&amp;UPPER(B200)&amp;"' AS TABELA, '"&amp;UPPER(C200)&amp;"' AS TIPOLOGIA_TESTE,'"&amp;D200&amp;"' AS TABELA_LT,'N/A' AS TABELA_SIMUL,'"&amp;F200&amp;"' AS CAMPO, "&amp;"'${ref_date}' AS REF_DATE, CAST(MIN("&amp;F200&amp;") AS STRING) AS VALOR_MIN, CAST(MAX("&amp;F200&amp;") AS STRING) AS VALOR_MAX,'"&amp;MAX('ID1&amp;5'!K:K)+1&amp;"' AS ID_EXEC, CURRENT_TIMESTAMP() AS TIME_EXEC FROM "&amp;MID(I200,1,LEN(I200)-2)&amp;" AND CAST("&amp;F200&amp;"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TABELA_SIMUL,'SPNSR_NM' AS CAMPO, '${ref_date}' AS REF_DATE, COUNT(*) AS NUM_REG, SUM(IF(COALESCE(CAST(X.SPNSR_NM AS STRING),'')&lt;&gt;COALESCE(CAST(Y.SPNSR_NM_SIMUL AS STRING),'') OR (X.SPNSR_NM IS NULL AND Y.SPNSR_NM_SIMUL IS NOT NULL ) OR (X.SPNSR_NM IS NOT NULL AND Y.SPNSR_NM_SIMUL IS NULL),1,0)) AS NUM_REG_DIF,'1' AS ID_EXEC, CURRENT_TIMESTAMP() AS TIME_EXEC FROM (SELECT instrmnt_id, SPNSR_NM FROM CD_LOAN_TAPES_BCE.LT002_INSTRUMENT WHERE ref_date='${ref_date}' AND nome_perimetro='Individual Corporativo' AND segmento='ESTR' AND ambito='PM' AND entidade='00100')X INNER JOIN (SELECT instrmnt_id AS instrmnt_id_SIMUL, SPNSR_NM AS SPNSR_NM_SIMUL FROM BU_LOANTAPE_WORK.LT002_INSTRUMENT WHERE ref_date='${ref_date}' AND nome_perimetro='Individual Corporativo' AND segmento='ESTR' AND ambito='PM' AND entidade='00100')Y ON X.INSTRMNT_ID=Y.INSTRMNT_ID_SIMUL</v>
      </c>
      <c r="M200" s="36" t="str">
        <f t="shared" si="3"/>
        <v>UNION ALL SELECT 'INSTRUMENT' AS TABELA, 'COERÊNCIA' AS TIPOLOGIA_TESTE,'CD_LOAN_TAPES_BCE.LT002_INSTRUMENT' AS TABELA_LT,'BU_LOANTAPE_WORK.LT002_INSTRUMENT' AS TABELA_SIMUL,'SPNSR_NM' AS CAMPO, '${ref_date}' AS REF_DATE, COUNT(*) AS NUM_REG, SUM(IF(COALESCE(CAST(X.SPNSR_NM AS STRING),'')&lt;&gt;COALESCE(CAST(Y.SPNSR_NM_SIMUL AS STRING),'') OR (X.SPNSR_NM IS NULL AND Y.SPNSR_NM_SIMUL IS NOT NULL ) OR (X.SPNSR_NM IS NOT NULL AND Y.SPNSR_NM_SIMUL IS NULL),1,0)) AS NUM_REG_DIF,'1' AS ID_EXEC, CURRENT_TIMESTAMP() AS TIME_EXEC FROM (SELECT instrmnt_id, SPNSR_NM FROM CD_LOAN_TAPES_BCE.LT002_INSTRUMENT WHERE ref_date='${ref_date}' AND nome_perimetro='Individual Corporativo' AND segmento='ESTR' AND ambito='PM' AND entidade='00100')X INNER JOIN (SELECT instrmnt_id AS instrmnt_id_SIMUL, SPNSR_NM AS SPNSR_NM_SIMUL FROM BU_LOANTAPE_WORK.LT002_INSTRUMENT WHERE ref_date='${ref_date}' AND nome_perimetro='Individual Corporativo' AND segmento='ESTR' AND ambito='PM' AND entidade='00100')Y ON X.INSTRMNT_ID=Y.INSTRMNT_ID_SIMUL</v>
      </c>
      <c r="N200" s="38" t="s">
        <v>46</v>
      </c>
    </row>
    <row r="201" spans="2:14" hidden="1">
      <c r="B201" s="34" t="s">
        <v>126</v>
      </c>
      <c r="C201" s="34" t="s">
        <v>5</v>
      </c>
      <c r="D201" s="34" t="str">
        <f>+UPPER('0. Instruções'!$D$35&amp;"."&amp;VLOOKUP(B201,'0. Instruções'!$C$27:$D$32,2,FALSE))</f>
        <v>CD_LOAN_TAPES_BCE.LT002_INSTRUMENT</v>
      </c>
      <c r="E201" s="34" t="str">
        <f>+UPPER('0. Instruções'!$D$36&amp;"."&amp;VLOOKUP(B201,'0. Instruções'!$C$27:$E$32,3,FALSE))</f>
        <v>BU_LOANTAPE_WORK.LT002_INSTRUMENT</v>
      </c>
      <c r="F201" s="34" t="s">
        <v>104</v>
      </c>
      <c r="G201" s="34"/>
      <c r="H201" s="34" t="s">
        <v>92</v>
      </c>
      <c r="I201" s="34" t="str">
        <f>"(SELECT "&amp;VLOOKUP(B201,'0. Instruções'!$C$27:$G$32,4,FALSE)&amp;", "&amp;F201&amp;" FROM "&amp;D201&amp;" WHERE "&amp;'0. Instruções'!$D$42&amp;")X"</f>
        <v>(SELECT instrmnt_id, ACCMLTD_IMPRMNT_INSTRMNT FROM CD_LOAN_TAPES_BCE.LT002_INSTRUMENT WHERE ref_date='${ref_date}' AND nome_perimetro='Individual Corporativo' AND segmento='ESTR' AND ambito='PM' AND entidade='00100')X</v>
      </c>
      <c r="J201" s="34" t="str">
        <f>"(SELECT "&amp;VLOOKUP(B201,'0. Instruções'!$C$27:$G$32,4,FALSE)&amp;" AS "&amp;VLOOKUP(B201,'0. Instruções'!$C$27:$G$32,4,FALSE)&amp;"_SIMUL, "&amp;F201&amp;" AS "&amp;F201&amp;"_SIMUL FROM "&amp;E201&amp;" WHERE "&amp;'0. Instruções'!$D$43&amp;")Y"</f>
        <v>(SELECT instrmnt_id AS instrmnt_id_SIMUL, ACCMLTD_IMPRMNT_INSTRMNT AS ACCMLTD_IMPRMNT_INSTRMNT_SIMUL FROM BU_LOANTAPE_WORK.LT002_INSTRUMENT WHERE ref_date='${ref_date}' AND nome_perimetro='Individual Corporativo' AND segmento='ESTR' AND ambito='PM' AND entidade='00100')Y</v>
      </c>
      <c r="K201" s="35" t="str">
        <f>+UPPER("ON X."&amp;VLOOKUP(B201,'0. Instruções'!$C$27:$G$32,4,FALSE)&amp;"=Y."&amp;VLOOKUP(B201,'0. Instruções'!$C$27:$G$32,4,FALSE)&amp;"_SIMUL")</f>
        <v>ON X.INSTRMNT_ID=Y.INSTRMNT_ID_SIMUL</v>
      </c>
      <c r="L201" s="35" t="str">
        <f>+IF(C201="Coerência", +IF(LEFT(G201,5)="FLOAT","SELECT '"&amp;UPPER(B201)&amp;"' AS TABELA, '"&amp;UPPER(C201)&amp;"' AS TIPOLOGIA_TESTE,'"&amp;D201&amp;"' AS TABELA_LT,'"&amp;E201&amp;"' AS TABELA_SIMUL,'"&amp;F201&amp;"' AS CAMPO, "&amp;"'${ref_date}' AS REF_DATE, COUNT(*) AS NUM_REG, SUM(IF((ABS(COALESCE(CAST(X."&amp;F201&amp;" AS DECIMAL(18,6)),0)-COALESCE(CAST(Y."&amp;F201&amp;"_SIMUL AS DECIMAL(18,6)),0))&gt;0.000001) OR (X."&amp;F201&amp;" IS NULL AND Y."&amp;F201&amp;"_SIMUL IS NOT NULL ) OR (X."&amp;F201&amp;" IS NOT NULL AND Y."&amp;F201&amp;"_SIMUL IS NULL),1,0)) AS NUM_REG_DIF,'"&amp;MAX('ID1&amp;5'!K:K)+1&amp;"' AS ID_EXEC, CURRENT_TIMESTAMP() AS TIME_EXEC FROM "&amp;I201&amp;" INNER JOIN "&amp;J201&amp;" "&amp;K201,"SELECT '"&amp;UPPER(B201)&amp;"' AS TABELA, '"&amp;UPPER(C201)&amp;"' AS TIPOLOGIA_TESTE,'"&amp;D201&amp;"' AS TABELA_LT,'"&amp;E201&amp;"' AS TABELA_SIMUL,'"&amp;F201&amp;"' AS CAMPO, "&amp;"'${ref_date}' AS REF_DATE, COUNT(*) AS NUM_REG, SUM(IF(COALESCE(CAST(X."&amp;F201&amp;" AS STRING),'')&lt;&gt;COALESCE(CAST(Y."&amp;F201&amp;"_SIMUL AS STRING),'') OR (X."&amp;F201&amp;" IS NULL AND Y."&amp;F201&amp;"_SIMUL IS NOT NULL ) OR (X."&amp;F201&amp;" IS NOT NULL AND Y."&amp;F201&amp;"_SIMUL IS NULL),1,0)) AS NUM_REG_DIF,'"&amp;MAX('ID1&amp;5'!L:L)+1&amp;"' AS ID_EXEC, CURRENT_TIMESTAMP() AS TIME_EXEC FROM "&amp;I201&amp;" INNER JOIN "&amp;J201&amp;" "&amp;K201),
IF(C201="Validade",+IF(G201="Code List","SELECT '"&amp;UPPER(B201)&amp;"' AS TABELA, '"&amp;UPPER(C201)&amp;"' AS TIPOLOGIA_TESTE,'"&amp;D201&amp;"' AS TABELA_LT,'N/A' AS TABELA_SIMUL,'"&amp;F201&amp;"' AS CAMPO, "&amp;"'${ref_date}' AS REF_DATE, COUNT(*) AS NUM_REG, SUM(IF(TRIM(CAST(X."&amp;F201&amp;" AS STRING))='' OR TRIM(CAST(X."&amp;F201&amp;" AS STRING)) IS NULL OR CAST(X."&amp;F201&amp;" AS STRING) NOT "&amp;H201&amp;",1,0)) AS NUM_REG_DIF,'"&amp;MAX('ID1&amp;5'!K:K)+1&amp;"' AS ID_EXEC, CURRENT_TIMESTAMP() AS TIME_EXEC FROM "&amp;I201,"SELECT '"&amp;UPPER(B201)&amp;"' AS TABELA, '"&amp;UPPER(C201)&amp;"' AS TIPOLOGIA_TESTE,'"&amp;D201&amp;"' AS TABELA_LT,'N/A' AS TABELA_SIMUL,'"&amp;F201&amp;"' AS CAMPO, "&amp;"'${ref_date}' AS REF_DATE, COUNT(*) AS NUM_REG, SUM(IF(TRIM(CAST(X."&amp;F201&amp;" AS STRING))='' OR TRIM(CAST(X."&amp;F201&amp;" AS STRING)) IS NULL,1,0)) AS NUM_REG_DIF,'"&amp;MAX('ID1&amp;5'!K:K)+1&amp;"' AS ID_EXEC, CURRENT_TIMESTAMP() AS TIME_EXEC FROM "&amp;I201),
IF(C201="Caracteres Especiais",+"SELECT '"&amp;UPPER(B201)&amp;"' AS TABELA, '"&amp;UPPER(C201)&amp;"' AS TIPOLOGIA_TESTE,'"&amp;D201&amp;"' AS TABELA_LT,'N/A' AS TABELA_SIMUL,'"&amp;F201&amp;"' AS CAMPO, "&amp;"'${ref_date}' AS REF_DATE, COUNT(*) AS NUM_REG, SUM(IF(REGEXP_REPLACE(TRIM(CAST(X."&amp;F201&amp;" AS STRING)),'[^a-zA-Z0-9_\\s]','') &lt;&gt;TRIM(CAST(X."&amp;F201&amp;" AS STRING)),1,0)) AS NUM_REG_DIF,'"&amp;MAX('ID1&amp;5'!K:K)+1&amp;"' AS ID_EXEC, CURRENT_TIMESTAMP() AS TIME_EXEC FROM "&amp;I201,
IF(C201="Missings",+"SELECT '"&amp;UPPER(B201)&amp;"' AS TABELA, '"&amp;UPPER(C201)&amp;"' AS TIPOLOGIA_TESTE,'"&amp;D201&amp;"' AS TABELA_LT,'N/A' AS TABELA_SIMUL,'"&amp;F201&amp;"' AS CAMPO, "&amp;"'${ref_date}' AS REF_DATE, COUNT(*) AS NUM_REG, SUM(IF(TRIM(CAST(X."&amp;F201&amp;" AS STRING)) IN ('0000-00-00','0001-01-01','9999-12-31','MISS','00000','99999999999','99999999999.00','99999999999.000000'),1,0)) AS NUM_REG_DIF,'"&amp;MAX('ID1&amp;5'!K:K)+1&amp;"' AS ID_EXEC, CURRENT_TIMESTAMP() AS TIME_EXEC FROM "&amp;I201,
IF(C201="Not applicable",+"SELECT '"&amp;UPPER(B201)&amp;"' AS TABELA, '"&amp;UPPER(C201)&amp;"' AS TIPOLOGIA_TESTE,'"&amp;D201&amp;"' AS TABELA_LT,'N/A' AS TABELA_SIMUL,'"&amp;F201&amp;"' AS CAMPO, "&amp;"'${ref_date}' AS REF_DATE, COUNT(*) AS NUM_REG, SUM(IF(TRIM(CAST(X."&amp;F201&amp;" AS STRING)) IN ('N/A','11111111111','11111111111.00','11111111111.000000','1111-11-11'),1,0)) AS NUM_REG_DIF,'"&amp;MAX('ID1&amp;5'!K:K)+1&amp;"' AS ID_EXEC, CURRENT_TIMESTAMP() AS TIME_EXEC FROM "&amp;I201,
IF(C201="Valores extremos",+"SELECT '"&amp;UPPER(B201)&amp;"' AS TABELA, '"&amp;UPPER(C201)&amp;"' AS TIPOLOGIA_TESTE,'"&amp;D201&amp;"' AS TABELA_LT,'N/A' AS TABELA_SIMUL,'"&amp;F201&amp;"' AS CAMPO, "&amp;"'${ref_date}' AS REF_DATE, CAST(MIN("&amp;F201&amp;") AS STRING) AS VALOR_MIN, CAST(MAX("&amp;F201&amp;") AS STRING) AS VALOR_MAX,'"&amp;MAX('ID1&amp;5'!K:K)+1&amp;"' AS ID_EXEC, CURRENT_TIMESTAMP() AS TIME_EXEC FROM "&amp;MID(I201,1,LEN(I201)-2)&amp;" AND CAST("&amp;F201&amp;"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TABELA_SIMUL,'ACCMLTD_IMPRMNT_INSTRMNT' AS CAMPO, '${ref_date}' AS REF_DATE, COUNT(*) AS NUM_REG, SUM(IF(COALESCE(CAST(X.ACCMLTD_IMPRMNT_INSTRMNT AS STRING),'')&lt;&gt;COALESCE(CAST(Y.ACCMLTD_IMPRMNT_INSTRMNT_SIMUL AS STRING),'') OR (X.ACCMLTD_IMPRMNT_INSTRMNT IS NULL AND Y.ACCMLTD_IMPRMNT_INSTRMNT_SIMUL IS NOT NULL ) OR (X.ACCMLTD_IMPRMNT_INSTRMNT IS NOT NULL AND Y.ACCMLTD_IMPRMNT_INSTRMNT_SIMUL IS NULL),1,0)) AS NUM_REG_DIF,'1' AS ID_EXEC, CURRENT_TIMESTAMP() AS TIME_EXEC FROM (SELECT instrmnt_id, ACCMLTD_IMPRMNT_INSTRMNT FROM CD_LOAN_TAPES_BCE.LT002_INSTRUMENT WHERE ref_date='${ref_date}' AND nome_perimetro='Individual Corporativo' AND segmento='ESTR' AND ambito='PM' AND entidade='00100')X INNER JOIN (SELECT instrmnt_id AS instrmnt_id_SIMUL, ACCMLTD_IMPRMNT_INSTRMNT AS ACCMLTD_IMPRMNT_INSTRMNT_SIMUL FROM BU_LOANTAPE_WORK.LT002_INSTRUMENT WHERE ref_date='${ref_date}' AND nome_perimetro='Individual Corporativo' AND segmento='ESTR' AND ambito='PM' AND entidade='00100')Y ON X.INSTRMNT_ID=Y.INSTRMNT_ID_SIMUL</v>
      </c>
      <c r="M201" s="36" t="str">
        <f t="shared" si="3"/>
        <v>UNION ALL SELECT 'INSTRUMENT' AS TABELA, 'COERÊNCIA' AS TIPOLOGIA_TESTE,'CD_LOAN_TAPES_BCE.LT002_INSTRUMENT' AS TABELA_LT,'BU_LOANTAPE_WORK.LT002_INSTRUMENT' AS TABELA_SIMUL,'ACCMLTD_IMPRMNT_INSTRMNT' AS CAMPO, '${ref_date}' AS REF_DATE, COUNT(*) AS NUM_REG, SUM(IF(COALESCE(CAST(X.ACCMLTD_IMPRMNT_INSTRMNT AS STRING),'')&lt;&gt;COALESCE(CAST(Y.ACCMLTD_IMPRMNT_INSTRMNT_SIMUL AS STRING),'') OR (X.ACCMLTD_IMPRMNT_INSTRMNT IS NULL AND Y.ACCMLTD_IMPRMNT_INSTRMNT_SIMUL IS NOT NULL ) OR (X.ACCMLTD_IMPRMNT_INSTRMNT IS NOT NULL AND Y.ACCMLTD_IMPRMNT_INSTRMNT_SIMUL IS NULL),1,0)) AS NUM_REG_DIF,'1' AS ID_EXEC, CURRENT_TIMESTAMP() AS TIME_EXEC FROM (SELECT instrmnt_id, ACCMLTD_IMPRMNT_INSTRMNT FROM CD_LOAN_TAPES_BCE.LT002_INSTRUMENT WHERE ref_date='${ref_date}' AND nome_perimetro='Individual Corporativo' AND segmento='ESTR' AND ambito='PM' AND entidade='00100')X INNER JOIN (SELECT instrmnt_id AS instrmnt_id_SIMUL, ACCMLTD_IMPRMNT_INSTRMNT AS ACCMLTD_IMPRMNT_INSTRMNT_SIMUL FROM BU_LOANTAPE_WORK.LT002_INSTRUMENT WHERE ref_date='${ref_date}' AND nome_perimetro='Individual Corporativo' AND segmento='ESTR' AND ambito='PM' AND entidade='00100')Y ON X.INSTRMNT_ID=Y.INSTRMNT_ID_SIMUL</v>
      </c>
      <c r="N201" s="38" t="s">
        <v>46</v>
      </c>
    </row>
    <row r="202" spans="2:14" hidden="1">
      <c r="B202" s="34" t="s">
        <v>126</v>
      </c>
      <c r="C202" s="34" t="s">
        <v>5</v>
      </c>
      <c r="D202" s="34" t="str">
        <f>+UPPER('0. Instruções'!$D$35&amp;"."&amp;VLOOKUP(B202,'0. Instruções'!$C$27:$D$32,2,FALSE))</f>
        <v>CD_LOAN_TAPES_BCE.LT002_INSTRUMENT</v>
      </c>
      <c r="E202" s="34" t="str">
        <f>+UPPER('0. Instruções'!$D$36&amp;"."&amp;VLOOKUP(B202,'0. Instruções'!$C$27:$E$32,3,FALSE))</f>
        <v>BU_LOANTAPE_WORK.LT002_INSTRUMENT</v>
      </c>
      <c r="F202" s="34" t="s">
        <v>490</v>
      </c>
      <c r="G202" s="34"/>
      <c r="H202" s="34" t="s">
        <v>92</v>
      </c>
      <c r="I202" s="34" t="str">
        <f>"(SELECT "&amp;VLOOKUP(B202,'0. Instruções'!$C$27:$G$32,4,FALSE)&amp;", "&amp;F202&amp;" FROM "&amp;D202&amp;" WHERE "&amp;'0. Instruções'!$D$42&amp;")X"</f>
        <v>(SELECT instrmnt_id, ACCMLTD_IMPRMNT_INSTRMNT_PRVS FROM CD_LOAN_TAPES_BCE.LT002_INSTRUMENT WHERE ref_date='${ref_date}' AND nome_perimetro='Individual Corporativo' AND segmento='ESTR' AND ambito='PM' AND entidade='00100')X</v>
      </c>
      <c r="J202" s="34" t="str">
        <f>"(SELECT "&amp;VLOOKUP(B202,'0. Instruções'!$C$27:$G$32,4,FALSE)&amp;" AS "&amp;VLOOKUP(B202,'0. Instruções'!$C$27:$G$32,4,FALSE)&amp;"_SIMUL, "&amp;F202&amp;" AS "&amp;F202&amp;"_SIMUL FROM "&amp;E202&amp;" WHERE "&amp;'0. Instruções'!$D$43&amp;")Y"</f>
        <v>(SELECT instrmnt_id AS instrmnt_id_SIMUL, ACCMLTD_IMPRMNT_INSTRMNT_PRVS AS ACCMLTD_IMPRMNT_INSTRMNT_PRVS_SIMUL FROM BU_LOANTAPE_WORK.LT002_INSTRUMENT WHERE ref_date='${ref_date}' AND nome_perimetro='Individual Corporativo' AND segmento='ESTR' AND ambito='PM' AND entidade='00100')Y</v>
      </c>
      <c r="K202" s="35" t="str">
        <f>+UPPER("ON X."&amp;VLOOKUP(B202,'0. Instruções'!$C$27:$G$32,4,FALSE)&amp;"=Y."&amp;VLOOKUP(B202,'0. Instruções'!$C$27:$G$32,4,FALSE)&amp;"_SIMUL")</f>
        <v>ON X.INSTRMNT_ID=Y.INSTRMNT_ID_SIMUL</v>
      </c>
      <c r="L202" s="35" t="str">
        <f>+IF(C202="Coerência", +IF(LEFT(G202,5)="FLOAT","SELECT '"&amp;UPPER(B202)&amp;"' AS TABELA, '"&amp;UPPER(C202)&amp;"' AS TIPOLOGIA_TESTE,'"&amp;D202&amp;"' AS TABELA_LT,'"&amp;E202&amp;"' AS TABELA_SIMUL,'"&amp;F202&amp;"' AS CAMPO, "&amp;"'${ref_date}' AS REF_DATE, COUNT(*) AS NUM_REG, SUM(IF((ABS(COALESCE(CAST(X."&amp;F202&amp;" AS DECIMAL(18,6)),0)-COALESCE(CAST(Y."&amp;F202&amp;"_SIMUL AS DECIMAL(18,6)),0))&gt;0.000001) OR (X."&amp;F202&amp;" IS NULL AND Y."&amp;F202&amp;"_SIMUL IS NOT NULL ) OR (X."&amp;F202&amp;" IS NOT NULL AND Y."&amp;F202&amp;"_SIMUL IS NULL),1,0)) AS NUM_REG_DIF,'"&amp;MAX('ID1&amp;5'!K:K)+1&amp;"' AS ID_EXEC, CURRENT_TIMESTAMP() AS TIME_EXEC FROM "&amp;I202&amp;" INNER JOIN "&amp;J202&amp;" "&amp;K202,"SELECT '"&amp;UPPER(B202)&amp;"' AS TABELA, '"&amp;UPPER(C202)&amp;"' AS TIPOLOGIA_TESTE,'"&amp;D202&amp;"' AS TABELA_LT,'"&amp;E202&amp;"' AS TABELA_SIMUL,'"&amp;F202&amp;"' AS CAMPO, "&amp;"'${ref_date}' AS REF_DATE, COUNT(*) AS NUM_REG, SUM(IF(COALESCE(CAST(X."&amp;F202&amp;" AS STRING),'')&lt;&gt;COALESCE(CAST(Y."&amp;F202&amp;"_SIMUL AS STRING),'') OR (X."&amp;F202&amp;" IS NULL AND Y."&amp;F202&amp;"_SIMUL IS NOT NULL ) OR (X."&amp;F202&amp;" IS NOT NULL AND Y."&amp;F202&amp;"_SIMUL IS NULL),1,0)) AS NUM_REG_DIF,'"&amp;MAX('ID1&amp;5'!L:L)+1&amp;"' AS ID_EXEC, CURRENT_TIMESTAMP() AS TIME_EXEC FROM "&amp;I202&amp;" INNER JOIN "&amp;J202&amp;" "&amp;K202),
IF(C202="Validade",+IF(G202="Code List","SELECT '"&amp;UPPER(B202)&amp;"' AS TABELA, '"&amp;UPPER(C202)&amp;"' AS TIPOLOGIA_TESTE,'"&amp;D202&amp;"' AS TABELA_LT,'N/A' AS TABELA_SIMUL,'"&amp;F202&amp;"' AS CAMPO, "&amp;"'${ref_date}' AS REF_DATE, COUNT(*) AS NUM_REG, SUM(IF(TRIM(CAST(X."&amp;F202&amp;" AS STRING))='' OR TRIM(CAST(X."&amp;F202&amp;" AS STRING)) IS NULL OR CAST(X."&amp;F202&amp;" AS STRING) NOT "&amp;H202&amp;",1,0)) AS NUM_REG_DIF,'"&amp;MAX('ID1&amp;5'!K:K)+1&amp;"' AS ID_EXEC, CURRENT_TIMESTAMP() AS TIME_EXEC FROM "&amp;I202,"SELECT '"&amp;UPPER(B202)&amp;"' AS TABELA, '"&amp;UPPER(C202)&amp;"' AS TIPOLOGIA_TESTE,'"&amp;D202&amp;"' AS TABELA_LT,'N/A' AS TABELA_SIMUL,'"&amp;F202&amp;"' AS CAMPO, "&amp;"'${ref_date}' AS REF_DATE, COUNT(*) AS NUM_REG, SUM(IF(TRIM(CAST(X."&amp;F202&amp;" AS STRING))='' OR TRIM(CAST(X."&amp;F202&amp;" AS STRING)) IS NULL,1,0)) AS NUM_REG_DIF,'"&amp;MAX('ID1&amp;5'!K:K)+1&amp;"' AS ID_EXEC, CURRENT_TIMESTAMP() AS TIME_EXEC FROM "&amp;I202),
IF(C202="Caracteres Especiais",+"SELECT '"&amp;UPPER(B202)&amp;"' AS TABELA, '"&amp;UPPER(C202)&amp;"' AS TIPOLOGIA_TESTE,'"&amp;D202&amp;"' AS TABELA_LT,'N/A' AS TABELA_SIMUL,'"&amp;F202&amp;"' AS CAMPO, "&amp;"'${ref_date}' AS REF_DATE, COUNT(*) AS NUM_REG, SUM(IF(REGEXP_REPLACE(TRIM(CAST(X."&amp;F202&amp;" AS STRING)),'[^a-zA-Z0-9_\\s]','') &lt;&gt;TRIM(CAST(X."&amp;F202&amp;" AS STRING)),1,0)) AS NUM_REG_DIF,'"&amp;MAX('ID1&amp;5'!K:K)+1&amp;"' AS ID_EXEC, CURRENT_TIMESTAMP() AS TIME_EXEC FROM "&amp;I202,
IF(C202="Missings",+"SELECT '"&amp;UPPER(B202)&amp;"' AS TABELA, '"&amp;UPPER(C202)&amp;"' AS TIPOLOGIA_TESTE,'"&amp;D202&amp;"' AS TABELA_LT,'N/A' AS TABELA_SIMUL,'"&amp;F202&amp;"' AS CAMPO, "&amp;"'${ref_date}' AS REF_DATE, COUNT(*) AS NUM_REG, SUM(IF(TRIM(CAST(X."&amp;F202&amp;" AS STRING)) IN ('0000-00-00','0001-01-01','9999-12-31','MISS','00000','99999999999','99999999999.00','99999999999.000000'),1,0)) AS NUM_REG_DIF,'"&amp;MAX('ID1&amp;5'!K:K)+1&amp;"' AS ID_EXEC, CURRENT_TIMESTAMP() AS TIME_EXEC FROM "&amp;I202,
IF(C202="Not applicable",+"SELECT '"&amp;UPPER(B202)&amp;"' AS TABELA, '"&amp;UPPER(C202)&amp;"' AS TIPOLOGIA_TESTE,'"&amp;D202&amp;"' AS TABELA_LT,'N/A' AS TABELA_SIMUL,'"&amp;F202&amp;"' AS CAMPO, "&amp;"'${ref_date}' AS REF_DATE, COUNT(*) AS NUM_REG, SUM(IF(TRIM(CAST(X."&amp;F202&amp;" AS STRING)) IN ('N/A','11111111111','11111111111.00','11111111111.000000','1111-11-11'),1,0)) AS NUM_REG_DIF,'"&amp;MAX('ID1&amp;5'!K:K)+1&amp;"' AS ID_EXEC, CURRENT_TIMESTAMP() AS TIME_EXEC FROM "&amp;I202,
IF(C202="Valores extremos",+"SELECT '"&amp;UPPER(B202)&amp;"' AS TABELA, '"&amp;UPPER(C202)&amp;"' AS TIPOLOGIA_TESTE,'"&amp;D202&amp;"' AS TABELA_LT,'N/A' AS TABELA_SIMUL,'"&amp;F202&amp;"' AS CAMPO, "&amp;"'${ref_date}' AS REF_DATE, CAST(MIN("&amp;F202&amp;") AS STRING) AS VALOR_MIN, CAST(MAX("&amp;F202&amp;") AS STRING) AS VALOR_MAX,'"&amp;MAX('ID1&amp;5'!K:K)+1&amp;"' AS ID_EXEC, CURRENT_TIMESTAMP() AS TIME_EXEC FROM "&amp;MID(I202,1,LEN(I202)-2)&amp;" AND CAST("&amp;F202&amp;"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TABELA_SIMUL,'ACCMLTD_IMPRMNT_INSTRMNT_PRVS' AS CAMPO, '${ref_date}' AS REF_DATE, COUNT(*) AS NUM_REG, SUM(IF(COALESCE(CAST(X.ACCMLTD_IMPRMNT_INSTRMNT_PRVS AS STRING),'')&lt;&gt;COALESCE(CAST(Y.ACCMLTD_IMPRMNT_INSTRMNT_PRVS_SIMUL AS STRING),'') OR (X.ACCMLTD_IMPRMNT_INSTRMNT_PRVS IS NULL AND Y.ACCMLTD_IMPRMNT_INSTRMNT_PRVS_SIMUL IS NOT NULL ) OR (X.ACCMLTD_IMPRMNT_INSTRMNT_PRVS IS NOT NULL AND Y.ACCMLTD_IMPRMNT_INSTRMNT_PRVS_SIMUL IS NULL),1,0)) AS NUM_REG_DIF,'1' AS ID_EXEC, CURRENT_TIMESTAMP() AS TIME_EXEC FROM (SELECT instrmnt_id, ACCMLTD_IMPRMNT_INSTRMNT_PRVS FROM CD_LOAN_TAPES_BCE.LT002_INSTRUMENT WHERE ref_date='${ref_date}' AND nome_perimetro='Individual Corporativo' AND segmento='ESTR' AND ambito='PM' AND entidade='00100')X INNER JOIN (SELECT instrmnt_id AS instrmnt_id_SIMUL, ACCMLTD_IMPRMNT_INSTRMNT_PRVS AS ACCMLTD_IMPRMNT_INSTRMNT_PRVS_SIMUL FROM BU_LOANTAPE_WORK.LT002_INSTRUMENT WHERE ref_date='${ref_date}' AND nome_perimetro='Individual Corporativo' AND segmento='ESTR' AND ambito='PM' AND entidade='00100')Y ON X.INSTRMNT_ID=Y.INSTRMNT_ID_SIMUL</v>
      </c>
      <c r="M202" s="36" t="str">
        <f t="shared" si="3"/>
        <v>UNION ALL SELECT 'INSTRUMENT' AS TABELA, 'COERÊNCIA' AS TIPOLOGIA_TESTE,'CD_LOAN_TAPES_BCE.LT002_INSTRUMENT' AS TABELA_LT,'BU_LOANTAPE_WORK.LT002_INSTRUMENT' AS TABELA_SIMUL,'ACCMLTD_IMPRMNT_INSTRMNT_PRVS' AS CAMPO, '${ref_date}' AS REF_DATE, COUNT(*) AS NUM_REG, SUM(IF(COALESCE(CAST(X.ACCMLTD_IMPRMNT_INSTRMNT_PRVS AS STRING),'')&lt;&gt;COALESCE(CAST(Y.ACCMLTD_IMPRMNT_INSTRMNT_PRVS_SIMUL AS STRING),'') OR (X.ACCMLTD_IMPRMNT_INSTRMNT_PRVS IS NULL AND Y.ACCMLTD_IMPRMNT_INSTRMNT_PRVS_SIMUL IS NOT NULL ) OR (X.ACCMLTD_IMPRMNT_INSTRMNT_PRVS IS NOT NULL AND Y.ACCMLTD_IMPRMNT_INSTRMNT_PRVS_SIMUL IS NULL),1,0)) AS NUM_REG_DIF,'1' AS ID_EXEC, CURRENT_TIMESTAMP() AS TIME_EXEC FROM (SELECT instrmnt_id, ACCMLTD_IMPRMNT_INSTRMNT_PRVS FROM CD_LOAN_TAPES_BCE.LT002_INSTRUMENT WHERE ref_date='${ref_date}' AND nome_perimetro='Individual Corporativo' AND segmento='ESTR' AND ambito='PM' AND entidade='00100')X INNER JOIN (SELECT instrmnt_id AS instrmnt_id_SIMUL, ACCMLTD_IMPRMNT_INSTRMNT_PRVS AS ACCMLTD_IMPRMNT_INSTRMNT_PRVS_SIMUL FROM BU_LOANTAPE_WORK.LT002_INSTRUMENT WHERE ref_date='${ref_date}' AND nome_perimetro='Individual Corporativo' AND segmento='ESTR' AND ambito='PM' AND entidade='00100')Y ON X.INSTRMNT_ID=Y.INSTRMNT_ID_SIMUL</v>
      </c>
      <c r="N202" s="38" t="s">
        <v>46</v>
      </c>
    </row>
    <row r="203" spans="2:14" hidden="1">
      <c r="B203" s="34" t="s">
        <v>126</v>
      </c>
      <c r="C203" s="34" t="s">
        <v>5</v>
      </c>
      <c r="D203" s="34" t="str">
        <f>+UPPER('0. Instruções'!$D$35&amp;"."&amp;VLOOKUP(B203,'0. Instruções'!$C$27:$D$32,2,FALSE))</f>
        <v>CD_LOAN_TAPES_BCE.LT002_INSTRUMENT</v>
      </c>
      <c r="E203" s="34" t="str">
        <f>+UPPER('0. Instruções'!$D$36&amp;"."&amp;VLOOKUP(B203,'0. Instruções'!$C$27:$E$32,3,FALSE))</f>
        <v>BU_LOANTAPE_WORK.LT002_INSTRUMENT</v>
      </c>
      <c r="F203" s="34" t="s">
        <v>491</v>
      </c>
      <c r="G203" s="34"/>
      <c r="H203" s="34" t="s">
        <v>92</v>
      </c>
      <c r="I203" s="34" t="str">
        <f>"(SELECT "&amp;VLOOKUP(B203,'0. Instruções'!$C$27:$G$32,4,FALSE)&amp;", "&amp;F203&amp;" FROM "&amp;D203&amp;" WHERE "&amp;'0. Instruções'!$D$42&amp;")X"</f>
        <v>(SELECT instrmnt_id, ACCMLTD_WRTFFS_INSTRMNT FROM CD_LOAN_TAPES_BCE.LT002_INSTRUMENT WHERE ref_date='${ref_date}' AND nome_perimetro='Individual Corporativo' AND segmento='ESTR' AND ambito='PM' AND entidade='00100')X</v>
      </c>
      <c r="J203" s="34" t="str">
        <f>"(SELECT "&amp;VLOOKUP(B203,'0. Instruções'!$C$27:$G$32,4,FALSE)&amp;" AS "&amp;VLOOKUP(B203,'0. Instruções'!$C$27:$G$32,4,FALSE)&amp;"_SIMUL, "&amp;F203&amp;" AS "&amp;F203&amp;"_SIMUL FROM "&amp;E203&amp;" WHERE "&amp;'0. Instruções'!$D$43&amp;")Y"</f>
        <v>(SELECT instrmnt_id AS instrmnt_id_SIMUL, ACCMLTD_WRTFFS_INSTRMNT AS ACCMLTD_WRTFFS_INSTRMNT_SIMUL FROM BU_LOANTAPE_WORK.LT002_INSTRUMENT WHERE ref_date='${ref_date}' AND nome_perimetro='Individual Corporativo' AND segmento='ESTR' AND ambito='PM' AND entidade='00100')Y</v>
      </c>
      <c r="K203" s="35" t="str">
        <f>+UPPER("ON X."&amp;VLOOKUP(B203,'0. Instruções'!$C$27:$G$32,4,FALSE)&amp;"=Y."&amp;VLOOKUP(B203,'0. Instruções'!$C$27:$G$32,4,FALSE)&amp;"_SIMUL")</f>
        <v>ON X.INSTRMNT_ID=Y.INSTRMNT_ID_SIMUL</v>
      </c>
      <c r="L203" s="35" t="str">
        <f>+IF(C203="Coerência", +IF(LEFT(G203,5)="FLOAT","SELECT '"&amp;UPPER(B203)&amp;"' AS TABELA, '"&amp;UPPER(C203)&amp;"' AS TIPOLOGIA_TESTE,'"&amp;D203&amp;"' AS TABELA_LT,'"&amp;E203&amp;"' AS TABELA_SIMUL,'"&amp;F203&amp;"' AS CAMPO, "&amp;"'${ref_date}' AS REF_DATE, COUNT(*) AS NUM_REG, SUM(IF((ABS(COALESCE(CAST(X."&amp;F203&amp;" AS DECIMAL(18,6)),0)-COALESCE(CAST(Y."&amp;F203&amp;"_SIMUL AS DECIMAL(18,6)),0))&gt;0.000001) OR (X."&amp;F203&amp;" IS NULL AND Y."&amp;F203&amp;"_SIMUL IS NOT NULL ) OR (X."&amp;F203&amp;" IS NOT NULL AND Y."&amp;F203&amp;"_SIMUL IS NULL),1,0)) AS NUM_REG_DIF,'"&amp;MAX('ID1&amp;5'!K:K)+1&amp;"' AS ID_EXEC, CURRENT_TIMESTAMP() AS TIME_EXEC FROM "&amp;I203&amp;" INNER JOIN "&amp;J203&amp;" "&amp;K203,"SELECT '"&amp;UPPER(B203)&amp;"' AS TABELA, '"&amp;UPPER(C203)&amp;"' AS TIPOLOGIA_TESTE,'"&amp;D203&amp;"' AS TABELA_LT,'"&amp;E203&amp;"' AS TABELA_SIMUL,'"&amp;F203&amp;"' AS CAMPO, "&amp;"'${ref_date}' AS REF_DATE, COUNT(*) AS NUM_REG, SUM(IF(COALESCE(CAST(X."&amp;F203&amp;" AS STRING),'')&lt;&gt;COALESCE(CAST(Y."&amp;F203&amp;"_SIMUL AS STRING),'') OR (X."&amp;F203&amp;" IS NULL AND Y."&amp;F203&amp;"_SIMUL IS NOT NULL ) OR (X."&amp;F203&amp;" IS NOT NULL AND Y."&amp;F203&amp;"_SIMUL IS NULL),1,0)) AS NUM_REG_DIF,'"&amp;MAX('ID1&amp;5'!L:L)+1&amp;"' AS ID_EXEC, CURRENT_TIMESTAMP() AS TIME_EXEC FROM "&amp;I203&amp;" INNER JOIN "&amp;J203&amp;" "&amp;K203),
IF(C203="Validade",+IF(G203="Code List","SELECT '"&amp;UPPER(B203)&amp;"' AS TABELA, '"&amp;UPPER(C203)&amp;"' AS TIPOLOGIA_TESTE,'"&amp;D203&amp;"' AS TABELA_LT,'N/A' AS TABELA_SIMUL,'"&amp;F203&amp;"' AS CAMPO, "&amp;"'${ref_date}' AS REF_DATE, COUNT(*) AS NUM_REG, SUM(IF(TRIM(CAST(X."&amp;F203&amp;" AS STRING))='' OR TRIM(CAST(X."&amp;F203&amp;" AS STRING)) IS NULL OR CAST(X."&amp;F203&amp;" AS STRING) NOT "&amp;H203&amp;",1,0)) AS NUM_REG_DIF,'"&amp;MAX('ID1&amp;5'!K:K)+1&amp;"' AS ID_EXEC, CURRENT_TIMESTAMP() AS TIME_EXEC FROM "&amp;I203,"SELECT '"&amp;UPPER(B203)&amp;"' AS TABELA, '"&amp;UPPER(C203)&amp;"' AS TIPOLOGIA_TESTE,'"&amp;D203&amp;"' AS TABELA_LT,'N/A' AS TABELA_SIMUL,'"&amp;F203&amp;"' AS CAMPO, "&amp;"'${ref_date}' AS REF_DATE, COUNT(*) AS NUM_REG, SUM(IF(TRIM(CAST(X."&amp;F203&amp;" AS STRING))='' OR TRIM(CAST(X."&amp;F203&amp;" AS STRING)) IS NULL,1,0)) AS NUM_REG_DIF,'"&amp;MAX('ID1&amp;5'!K:K)+1&amp;"' AS ID_EXEC, CURRENT_TIMESTAMP() AS TIME_EXEC FROM "&amp;I203),
IF(C203="Caracteres Especiais",+"SELECT '"&amp;UPPER(B203)&amp;"' AS TABELA, '"&amp;UPPER(C203)&amp;"' AS TIPOLOGIA_TESTE,'"&amp;D203&amp;"' AS TABELA_LT,'N/A' AS TABELA_SIMUL,'"&amp;F203&amp;"' AS CAMPO, "&amp;"'${ref_date}' AS REF_DATE, COUNT(*) AS NUM_REG, SUM(IF(REGEXP_REPLACE(TRIM(CAST(X."&amp;F203&amp;" AS STRING)),'[^a-zA-Z0-9_\\s]','') &lt;&gt;TRIM(CAST(X."&amp;F203&amp;" AS STRING)),1,0)) AS NUM_REG_DIF,'"&amp;MAX('ID1&amp;5'!K:K)+1&amp;"' AS ID_EXEC, CURRENT_TIMESTAMP() AS TIME_EXEC FROM "&amp;I203,
IF(C203="Missings",+"SELECT '"&amp;UPPER(B203)&amp;"' AS TABELA, '"&amp;UPPER(C203)&amp;"' AS TIPOLOGIA_TESTE,'"&amp;D203&amp;"' AS TABELA_LT,'N/A' AS TABELA_SIMUL,'"&amp;F203&amp;"' AS CAMPO, "&amp;"'${ref_date}' AS REF_DATE, COUNT(*) AS NUM_REG, SUM(IF(TRIM(CAST(X."&amp;F203&amp;" AS STRING)) IN ('0000-00-00','0001-01-01','9999-12-31','MISS','00000','99999999999','99999999999.00','99999999999.000000'),1,0)) AS NUM_REG_DIF,'"&amp;MAX('ID1&amp;5'!K:K)+1&amp;"' AS ID_EXEC, CURRENT_TIMESTAMP() AS TIME_EXEC FROM "&amp;I203,
IF(C203="Not applicable",+"SELECT '"&amp;UPPER(B203)&amp;"' AS TABELA, '"&amp;UPPER(C203)&amp;"' AS TIPOLOGIA_TESTE,'"&amp;D203&amp;"' AS TABELA_LT,'N/A' AS TABELA_SIMUL,'"&amp;F203&amp;"' AS CAMPO, "&amp;"'${ref_date}' AS REF_DATE, COUNT(*) AS NUM_REG, SUM(IF(TRIM(CAST(X."&amp;F203&amp;" AS STRING)) IN ('N/A','11111111111','11111111111.00','11111111111.000000','1111-11-11'),1,0)) AS NUM_REG_DIF,'"&amp;MAX('ID1&amp;5'!K:K)+1&amp;"' AS ID_EXEC, CURRENT_TIMESTAMP() AS TIME_EXEC FROM "&amp;I203,
IF(C203="Valores extremos",+"SELECT '"&amp;UPPER(B203)&amp;"' AS TABELA, '"&amp;UPPER(C203)&amp;"' AS TIPOLOGIA_TESTE,'"&amp;D203&amp;"' AS TABELA_LT,'N/A' AS TABELA_SIMUL,'"&amp;F203&amp;"' AS CAMPO, "&amp;"'${ref_date}' AS REF_DATE, CAST(MIN("&amp;F203&amp;") AS STRING) AS VALOR_MIN, CAST(MAX("&amp;F203&amp;") AS STRING) AS VALOR_MAX,'"&amp;MAX('ID1&amp;5'!K:K)+1&amp;"' AS ID_EXEC, CURRENT_TIMESTAMP() AS TIME_EXEC FROM "&amp;MID(I203,1,LEN(I203)-2)&amp;" AND CAST("&amp;F203&amp;"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TABELA_SIMUL,'ACCMLTD_WRTFFS_INSTRMNT' AS CAMPO, '${ref_date}' AS REF_DATE, COUNT(*) AS NUM_REG, SUM(IF(COALESCE(CAST(X.ACCMLTD_WRTFFS_INSTRMNT AS STRING),'')&lt;&gt;COALESCE(CAST(Y.ACCMLTD_WRTFFS_INSTRMNT_SIMUL AS STRING),'') OR (X.ACCMLTD_WRTFFS_INSTRMNT IS NULL AND Y.ACCMLTD_WRTFFS_INSTRMNT_SIMUL IS NOT NULL ) OR (X.ACCMLTD_WRTFFS_INSTRMNT IS NOT NULL AND Y.ACCMLTD_WRTFFS_INSTRMNT_SIMUL IS NULL),1,0)) AS NUM_REG_DIF,'1' AS ID_EXEC, CURRENT_TIMESTAMP() AS TIME_EXEC FROM (SELECT instrmnt_id, ACCMLTD_WRTFFS_INSTRMNT FROM CD_LOAN_TAPES_BCE.LT002_INSTRUMENT WHERE ref_date='${ref_date}' AND nome_perimetro='Individual Corporativo' AND segmento='ESTR' AND ambito='PM' AND entidade='00100')X INNER JOIN (SELECT instrmnt_id AS instrmnt_id_SIMUL, ACCMLTD_WRTFFS_INSTRMNT AS ACCMLTD_WRTFFS_INSTRMNT_SIMUL FROM BU_LOANTAPE_WORK.LT002_INSTRUMENT WHERE ref_date='${ref_date}' AND nome_perimetro='Individual Corporativo' AND segmento='ESTR' AND ambito='PM' AND entidade='00100')Y ON X.INSTRMNT_ID=Y.INSTRMNT_ID_SIMUL</v>
      </c>
      <c r="M203" s="36" t="str">
        <f t="shared" si="3"/>
        <v>UNION ALL SELECT 'INSTRUMENT' AS TABELA, 'COERÊNCIA' AS TIPOLOGIA_TESTE,'CD_LOAN_TAPES_BCE.LT002_INSTRUMENT' AS TABELA_LT,'BU_LOANTAPE_WORK.LT002_INSTRUMENT' AS TABELA_SIMUL,'ACCMLTD_WRTFFS_INSTRMNT' AS CAMPO, '${ref_date}' AS REF_DATE, COUNT(*) AS NUM_REG, SUM(IF(COALESCE(CAST(X.ACCMLTD_WRTFFS_INSTRMNT AS STRING),'')&lt;&gt;COALESCE(CAST(Y.ACCMLTD_WRTFFS_INSTRMNT_SIMUL AS STRING),'') OR (X.ACCMLTD_WRTFFS_INSTRMNT IS NULL AND Y.ACCMLTD_WRTFFS_INSTRMNT_SIMUL IS NOT NULL ) OR (X.ACCMLTD_WRTFFS_INSTRMNT IS NOT NULL AND Y.ACCMLTD_WRTFFS_INSTRMNT_SIMUL IS NULL),1,0)) AS NUM_REG_DIF,'1' AS ID_EXEC, CURRENT_TIMESTAMP() AS TIME_EXEC FROM (SELECT instrmnt_id, ACCMLTD_WRTFFS_INSTRMNT FROM CD_LOAN_TAPES_BCE.LT002_INSTRUMENT WHERE ref_date='${ref_date}' AND nome_perimetro='Individual Corporativo' AND segmento='ESTR' AND ambito='PM' AND entidade='00100')X INNER JOIN (SELECT instrmnt_id AS instrmnt_id_SIMUL, ACCMLTD_WRTFFS_INSTRMNT AS ACCMLTD_WRTFFS_INSTRMNT_SIMUL FROM BU_LOANTAPE_WORK.LT002_INSTRUMENT WHERE ref_date='${ref_date}' AND nome_perimetro='Individual Corporativo' AND segmento='ESTR' AND ambito='PM' AND entidade='00100')Y ON X.INSTRMNT_ID=Y.INSTRMNT_ID_SIMUL</v>
      </c>
      <c r="N203" s="38" t="s">
        <v>46</v>
      </c>
    </row>
    <row r="204" spans="2:14" hidden="1">
      <c r="B204" s="34" t="s">
        <v>126</v>
      </c>
      <c r="C204" s="34" t="s">
        <v>5</v>
      </c>
      <c r="D204" s="34" t="str">
        <f>+UPPER('0. Instruções'!$D$35&amp;"."&amp;VLOOKUP(B204,'0. Instruções'!$C$27:$D$32,2,FALSE))</f>
        <v>CD_LOAN_TAPES_BCE.LT002_INSTRUMENT</v>
      </c>
      <c r="E204" s="34" t="str">
        <f>+UPPER('0. Instruções'!$D$36&amp;"."&amp;VLOOKUP(B204,'0. Instruções'!$C$27:$E$32,3,FALSE))</f>
        <v>BU_LOANTAPE_WORK.LT002_INSTRUMENT</v>
      </c>
      <c r="F204" s="34" t="s">
        <v>492</v>
      </c>
      <c r="G204" s="34"/>
      <c r="H204" s="34" t="s">
        <v>92</v>
      </c>
      <c r="I204" s="34" t="str">
        <f>"(SELECT "&amp;VLOOKUP(B204,'0. Instruções'!$C$27:$G$32,4,FALSE)&amp;", "&amp;F204&amp;" FROM "&amp;D204&amp;" WHERE "&amp;'0. Instruções'!$D$42&amp;")X"</f>
        <v>(SELECT instrmnt_id, ARRRS_INSTRMNT FROM CD_LOAN_TAPES_BCE.LT002_INSTRUMENT WHERE ref_date='${ref_date}' AND nome_perimetro='Individual Corporativo' AND segmento='ESTR' AND ambito='PM' AND entidade='00100')X</v>
      </c>
      <c r="J204" s="34" t="str">
        <f>"(SELECT "&amp;VLOOKUP(B204,'0. Instruções'!$C$27:$G$32,4,FALSE)&amp;" AS "&amp;VLOOKUP(B204,'0. Instruções'!$C$27:$G$32,4,FALSE)&amp;"_SIMUL, "&amp;F204&amp;" AS "&amp;F204&amp;"_SIMUL FROM "&amp;E204&amp;" WHERE "&amp;'0. Instruções'!$D$43&amp;")Y"</f>
        <v>(SELECT instrmnt_id AS instrmnt_id_SIMUL, ARRRS_INSTRMNT AS ARRRS_INSTRMNT_SIMUL FROM BU_LOANTAPE_WORK.LT002_INSTRUMENT WHERE ref_date='${ref_date}' AND nome_perimetro='Individual Corporativo' AND segmento='ESTR' AND ambito='PM' AND entidade='00100')Y</v>
      </c>
      <c r="K204" s="35" t="str">
        <f>+UPPER("ON X."&amp;VLOOKUP(B204,'0. Instruções'!$C$27:$G$32,4,FALSE)&amp;"=Y."&amp;VLOOKUP(B204,'0. Instruções'!$C$27:$G$32,4,FALSE)&amp;"_SIMUL")</f>
        <v>ON X.INSTRMNT_ID=Y.INSTRMNT_ID_SIMUL</v>
      </c>
      <c r="L204" s="35" t="str">
        <f>+IF(C204="Coerência", +IF(LEFT(G204,5)="FLOAT","SELECT '"&amp;UPPER(B204)&amp;"' AS TABELA, '"&amp;UPPER(C204)&amp;"' AS TIPOLOGIA_TESTE,'"&amp;D204&amp;"' AS TABELA_LT,'"&amp;E204&amp;"' AS TABELA_SIMUL,'"&amp;F204&amp;"' AS CAMPO, "&amp;"'${ref_date}' AS REF_DATE, COUNT(*) AS NUM_REG, SUM(IF((ABS(COALESCE(CAST(X."&amp;F204&amp;" AS DECIMAL(18,6)),0)-COALESCE(CAST(Y."&amp;F204&amp;"_SIMUL AS DECIMAL(18,6)),0))&gt;0.000001) OR (X."&amp;F204&amp;" IS NULL AND Y."&amp;F204&amp;"_SIMUL IS NOT NULL ) OR (X."&amp;F204&amp;" IS NOT NULL AND Y."&amp;F204&amp;"_SIMUL IS NULL),1,0)) AS NUM_REG_DIF,'"&amp;MAX('ID1&amp;5'!K:K)+1&amp;"' AS ID_EXEC, CURRENT_TIMESTAMP() AS TIME_EXEC FROM "&amp;I204&amp;" INNER JOIN "&amp;J204&amp;" "&amp;K204,"SELECT '"&amp;UPPER(B204)&amp;"' AS TABELA, '"&amp;UPPER(C204)&amp;"' AS TIPOLOGIA_TESTE,'"&amp;D204&amp;"' AS TABELA_LT,'"&amp;E204&amp;"' AS TABELA_SIMUL,'"&amp;F204&amp;"' AS CAMPO, "&amp;"'${ref_date}' AS REF_DATE, COUNT(*) AS NUM_REG, SUM(IF(COALESCE(CAST(X."&amp;F204&amp;" AS STRING),'')&lt;&gt;COALESCE(CAST(Y."&amp;F204&amp;"_SIMUL AS STRING),'') OR (X."&amp;F204&amp;" IS NULL AND Y."&amp;F204&amp;"_SIMUL IS NOT NULL ) OR (X."&amp;F204&amp;" IS NOT NULL AND Y."&amp;F204&amp;"_SIMUL IS NULL),1,0)) AS NUM_REG_DIF,'"&amp;MAX('ID1&amp;5'!L:L)+1&amp;"' AS ID_EXEC, CURRENT_TIMESTAMP() AS TIME_EXEC FROM "&amp;I204&amp;" INNER JOIN "&amp;J204&amp;" "&amp;K204),
IF(C204="Validade",+IF(G204="Code List","SELECT '"&amp;UPPER(B204)&amp;"' AS TABELA, '"&amp;UPPER(C204)&amp;"' AS TIPOLOGIA_TESTE,'"&amp;D204&amp;"' AS TABELA_LT,'N/A' AS TABELA_SIMUL,'"&amp;F204&amp;"' AS CAMPO, "&amp;"'${ref_date}' AS REF_DATE, COUNT(*) AS NUM_REG, SUM(IF(TRIM(CAST(X."&amp;F204&amp;" AS STRING))='' OR TRIM(CAST(X."&amp;F204&amp;" AS STRING)) IS NULL OR CAST(X."&amp;F204&amp;" AS STRING) NOT "&amp;H204&amp;",1,0)) AS NUM_REG_DIF,'"&amp;MAX('ID1&amp;5'!K:K)+1&amp;"' AS ID_EXEC, CURRENT_TIMESTAMP() AS TIME_EXEC FROM "&amp;I204,"SELECT '"&amp;UPPER(B204)&amp;"' AS TABELA, '"&amp;UPPER(C204)&amp;"' AS TIPOLOGIA_TESTE,'"&amp;D204&amp;"' AS TABELA_LT,'N/A' AS TABELA_SIMUL,'"&amp;F204&amp;"' AS CAMPO, "&amp;"'${ref_date}' AS REF_DATE, COUNT(*) AS NUM_REG, SUM(IF(TRIM(CAST(X."&amp;F204&amp;" AS STRING))='' OR TRIM(CAST(X."&amp;F204&amp;" AS STRING)) IS NULL,1,0)) AS NUM_REG_DIF,'"&amp;MAX('ID1&amp;5'!K:K)+1&amp;"' AS ID_EXEC, CURRENT_TIMESTAMP() AS TIME_EXEC FROM "&amp;I204),
IF(C204="Caracteres Especiais",+"SELECT '"&amp;UPPER(B204)&amp;"' AS TABELA, '"&amp;UPPER(C204)&amp;"' AS TIPOLOGIA_TESTE,'"&amp;D204&amp;"' AS TABELA_LT,'N/A' AS TABELA_SIMUL,'"&amp;F204&amp;"' AS CAMPO, "&amp;"'${ref_date}' AS REF_DATE, COUNT(*) AS NUM_REG, SUM(IF(REGEXP_REPLACE(TRIM(CAST(X."&amp;F204&amp;" AS STRING)),'[^a-zA-Z0-9_\\s]','') &lt;&gt;TRIM(CAST(X."&amp;F204&amp;" AS STRING)),1,0)) AS NUM_REG_DIF,'"&amp;MAX('ID1&amp;5'!K:K)+1&amp;"' AS ID_EXEC, CURRENT_TIMESTAMP() AS TIME_EXEC FROM "&amp;I204,
IF(C204="Missings",+"SELECT '"&amp;UPPER(B204)&amp;"' AS TABELA, '"&amp;UPPER(C204)&amp;"' AS TIPOLOGIA_TESTE,'"&amp;D204&amp;"' AS TABELA_LT,'N/A' AS TABELA_SIMUL,'"&amp;F204&amp;"' AS CAMPO, "&amp;"'${ref_date}' AS REF_DATE, COUNT(*) AS NUM_REG, SUM(IF(TRIM(CAST(X."&amp;F204&amp;" AS STRING)) IN ('0000-00-00','0001-01-01','9999-12-31','MISS','00000','99999999999','99999999999.00','99999999999.000000'),1,0)) AS NUM_REG_DIF,'"&amp;MAX('ID1&amp;5'!K:K)+1&amp;"' AS ID_EXEC, CURRENT_TIMESTAMP() AS TIME_EXEC FROM "&amp;I204,
IF(C204="Not applicable",+"SELECT '"&amp;UPPER(B204)&amp;"' AS TABELA, '"&amp;UPPER(C204)&amp;"' AS TIPOLOGIA_TESTE,'"&amp;D204&amp;"' AS TABELA_LT,'N/A' AS TABELA_SIMUL,'"&amp;F204&amp;"' AS CAMPO, "&amp;"'${ref_date}' AS REF_DATE, COUNT(*) AS NUM_REG, SUM(IF(TRIM(CAST(X."&amp;F204&amp;" AS STRING)) IN ('N/A','11111111111','11111111111.00','11111111111.000000','1111-11-11'),1,0)) AS NUM_REG_DIF,'"&amp;MAX('ID1&amp;5'!K:K)+1&amp;"' AS ID_EXEC, CURRENT_TIMESTAMP() AS TIME_EXEC FROM "&amp;I204,
IF(C204="Valores extremos",+"SELECT '"&amp;UPPER(B204)&amp;"' AS TABELA, '"&amp;UPPER(C204)&amp;"' AS TIPOLOGIA_TESTE,'"&amp;D204&amp;"' AS TABELA_LT,'N/A' AS TABELA_SIMUL,'"&amp;F204&amp;"' AS CAMPO, "&amp;"'${ref_date}' AS REF_DATE, CAST(MIN("&amp;F204&amp;") AS STRING) AS VALOR_MIN, CAST(MAX("&amp;F204&amp;") AS STRING) AS VALOR_MAX,'"&amp;MAX('ID1&amp;5'!K:K)+1&amp;"' AS ID_EXEC, CURRENT_TIMESTAMP() AS TIME_EXEC FROM "&amp;MID(I204,1,LEN(I204)-2)&amp;" AND CAST("&amp;F204&amp;"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TABELA_SIMUL,'ARRRS_INSTRMNT' AS CAMPO, '${ref_date}' AS REF_DATE, COUNT(*) AS NUM_REG, SUM(IF(COALESCE(CAST(X.ARRRS_INSTRMNT AS STRING),'')&lt;&gt;COALESCE(CAST(Y.ARRRS_INSTRMNT_SIMUL AS STRING),'') OR (X.ARRRS_INSTRMNT IS NULL AND Y.ARRRS_INSTRMNT_SIMUL IS NOT NULL ) OR (X.ARRRS_INSTRMNT IS NOT NULL AND Y.ARRRS_INSTRMNT_SIMUL IS NULL),1,0)) AS NUM_REG_DIF,'1' AS ID_EXEC, CURRENT_TIMESTAMP() AS TIME_EXEC FROM (SELECT instrmnt_id, ARRRS_INSTRMNT FROM CD_LOAN_TAPES_BCE.LT002_INSTRUMENT WHERE ref_date='${ref_date}' AND nome_perimetro='Individual Corporativo' AND segmento='ESTR' AND ambito='PM' AND entidade='00100')X INNER JOIN (SELECT instrmnt_id AS instrmnt_id_SIMUL, ARRRS_INSTRMNT AS ARRRS_INSTRMNT_SIMUL FROM BU_LOANTAPE_WORK.LT002_INSTRUMENT WHERE ref_date='${ref_date}' AND nome_perimetro='Individual Corporativo' AND segmento='ESTR' AND ambito='PM' AND entidade='00100')Y ON X.INSTRMNT_ID=Y.INSTRMNT_ID_SIMUL</v>
      </c>
      <c r="M204" s="36" t="str">
        <f t="shared" si="3"/>
        <v>UNION ALL SELECT 'INSTRUMENT' AS TABELA, 'COERÊNCIA' AS TIPOLOGIA_TESTE,'CD_LOAN_TAPES_BCE.LT002_INSTRUMENT' AS TABELA_LT,'BU_LOANTAPE_WORK.LT002_INSTRUMENT' AS TABELA_SIMUL,'ARRRS_INSTRMNT' AS CAMPO, '${ref_date}' AS REF_DATE, COUNT(*) AS NUM_REG, SUM(IF(COALESCE(CAST(X.ARRRS_INSTRMNT AS STRING),'')&lt;&gt;COALESCE(CAST(Y.ARRRS_INSTRMNT_SIMUL AS STRING),'') OR (X.ARRRS_INSTRMNT IS NULL AND Y.ARRRS_INSTRMNT_SIMUL IS NOT NULL ) OR (X.ARRRS_INSTRMNT IS NOT NULL AND Y.ARRRS_INSTRMNT_SIMUL IS NULL),1,0)) AS NUM_REG_DIF,'1' AS ID_EXEC, CURRENT_TIMESTAMP() AS TIME_EXEC FROM (SELECT instrmnt_id, ARRRS_INSTRMNT FROM CD_LOAN_TAPES_BCE.LT002_INSTRUMENT WHERE ref_date='${ref_date}' AND nome_perimetro='Individual Corporativo' AND segmento='ESTR' AND ambito='PM' AND entidade='00100')X INNER JOIN (SELECT instrmnt_id AS instrmnt_id_SIMUL, ARRRS_INSTRMNT AS ARRRS_INSTRMNT_SIMUL FROM BU_LOANTAPE_WORK.LT002_INSTRUMENT WHERE ref_date='${ref_date}' AND nome_perimetro='Individual Corporativo' AND segmento='ESTR' AND ambito='PM' AND entidade='00100')Y ON X.INSTRMNT_ID=Y.INSTRMNT_ID_SIMUL</v>
      </c>
      <c r="N204" s="38" t="s">
        <v>46</v>
      </c>
    </row>
    <row r="205" spans="2:14" hidden="1">
      <c r="B205" s="34" t="s">
        <v>126</v>
      </c>
      <c r="C205" s="34" t="s">
        <v>5</v>
      </c>
      <c r="D205" s="34" t="str">
        <f>+UPPER('0. Instruções'!$D$35&amp;"."&amp;VLOOKUP(B205,'0. Instruções'!$C$27:$D$32,2,FALSE))</f>
        <v>CD_LOAN_TAPES_BCE.LT002_INSTRUMENT</v>
      </c>
      <c r="E205" s="34" t="str">
        <f>+UPPER('0. Instruções'!$D$36&amp;"."&amp;VLOOKUP(B205,'0. Instruções'!$C$27:$E$32,3,FALSE))</f>
        <v>BU_LOANTAPE_WORK.LT002_INSTRUMENT</v>
      </c>
      <c r="F205" s="34" t="s">
        <v>493</v>
      </c>
      <c r="G205" s="34"/>
      <c r="H205" s="34" t="s">
        <v>92</v>
      </c>
      <c r="I205" s="34" t="str">
        <f>"(SELECT "&amp;VLOOKUP(B205,'0. Instruções'!$C$27:$G$32,4,FALSE)&amp;", "&amp;F205&amp;" FROM "&amp;D205&amp;" WHERE "&amp;'0. Instruções'!$D$42&amp;")X"</f>
        <v>(SELECT instrmnt_id, ARRRS_INSTRMNT_12M FROM CD_LOAN_TAPES_BCE.LT002_INSTRUMENT WHERE ref_date='${ref_date}' AND nome_perimetro='Individual Corporativo' AND segmento='ESTR' AND ambito='PM' AND entidade='00100')X</v>
      </c>
      <c r="J205" s="34" t="str">
        <f>"(SELECT "&amp;VLOOKUP(B205,'0. Instruções'!$C$27:$G$32,4,FALSE)&amp;" AS "&amp;VLOOKUP(B205,'0. Instruções'!$C$27:$G$32,4,FALSE)&amp;"_SIMUL, "&amp;F205&amp;" AS "&amp;F205&amp;"_SIMUL FROM "&amp;E205&amp;" WHERE "&amp;'0. Instruções'!$D$43&amp;")Y"</f>
        <v>(SELECT instrmnt_id AS instrmnt_id_SIMUL, ARRRS_INSTRMNT_12M AS ARRRS_INSTRMNT_12M_SIMUL FROM BU_LOANTAPE_WORK.LT002_INSTRUMENT WHERE ref_date='${ref_date}' AND nome_perimetro='Individual Corporativo' AND segmento='ESTR' AND ambito='PM' AND entidade='00100')Y</v>
      </c>
      <c r="K205" s="35" t="str">
        <f>+UPPER("ON X."&amp;VLOOKUP(B205,'0. Instruções'!$C$27:$G$32,4,FALSE)&amp;"=Y."&amp;VLOOKUP(B205,'0. Instruções'!$C$27:$G$32,4,FALSE)&amp;"_SIMUL")</f>
        <v>ON X.INSTRMNT_ID=Y.INSTRMNT_ID_SIMUL</v>
      </c>
      <c r="L205" s="35" t="str">
        <f>+IF(C205="Coerência", +IF(LEFT(G205,5)="FLOAT","SELECT '"&amp;UPPER(B205)&amp;"' AS TABELA, '"&amp;UPPER(C205)&amp;"' AS TIPOLOGIA_TESTE,'"&amp;D205&amp;"' AS TABELA_LT,'"&amp;E205&amp;"' AS TABELA_SIMUL,'"&amp;F205&amp;"' AS CAMPO, "&amp;"'${ref_date}' AS REF_DATE, COUNT(*) AS NUM_REG, SUM(IF((ABS(COALESCE(CAST(X."&amp;F205&amp;" AS DECIMAL(18,6)),0)-COALESCE(CAST(Y."&amp;F205&amp;"_SIMUL AS DECIMAL(18,6)),0))&gt;0.000001) OR (X."&amp;F205&amp;" IS NULL AND Y."&amp;F205&amp;"_SIMUL IS NOT NULL ) OR (X."&amp;F205&amp;" IS NOT NULL AND Y."&amp;F205&amp;"_SIMUL IS NULL),1,0)) AS NUM_REG_DIF,'"&amp;MAX('ID1&amp;5'!K:K)+1&amp;"' AS ID_EXEC, CURRENT_TIMESTAMP() AS TIME_EXEC FROM "&amp;I205&amp;" INNER JOIN "&amp;J205&amp;" "&amp;K205,"SELECT '"&amp;UPPER(B205)&amp;"' AS TABELA, '"&amp;UPPER(C205)&amp;"' AS TIPOLOGIA_TESTE,'"&amp;D205&amp;"' AS TABELA_LT,'"&amp;E205&amp;"' AS TABELA_SIMUL,'"&amp;F205&amp;"' AS CAMPO, "&amp;"'${ref_date}' AS REF_DATE, COUNT(*) AS NUM_REG, SUM(IF(COALESCE(CAST(X."&amp;F205&amp;" AS STRING),'')&lt;&gt;COALESCE(CAST(Y."&amp;F205&amp;"_SIMUL AS STRING),'') OR (X."&amp;F205&amp;" IS NULL AND Y."&amp;F205&amp;"_SIMUL IS NOT NULL ) OR (X."&amp;F205&amp;" IS NOT NULL AND Y."&amp;F205&amp;"_SIMUL IS NULL),1,0)) AS NUM_REG_DIF,'"&amp;MAX('ID1&amp;5'!L:L)+1&amp;"' AS ID_EXEC, CURRENT_TIMESTAMP() AS TIME_EXEC FROM "&amp;I205&amp;" INNER JOIN "&amp;J205&amp;" "&amp;K205),
IF(C205="Validade",+IF(G205="Code List","SELECT '"&amp;UPPER(B205)&amp;"' AS TABELA, '"&amp;UPPER(C205)&amp;"' AS TIPOLOGIA_TESTE,'"&amp;D205&amp;"' AS TABELA_LT,'N/A' AS TABELA_SIMUL,'"&amp;F205&amp;"' AS CAMPO, "&amp;"'${ref_date}' AS REF_DATE, COUNT(*) AS NUM_REG, SUM(IF(TRIM(CAST(X."&amp;F205&amp;" AS STRING))='' OR TRIM(CAST(X."&amp;F205&amp;" AS STRING)) IS NULL OR CAST(X."&amp;F205&amp;" AS STRING) NOT "&amp;H205&amp;",1,0)) AS NUM_REG_DIF,'"&amp;MAX('ID1&amp;5'!K:K)+1&amp;"' AS ID_EXEC, CURRENT_TIMESTAMP() AS TIME_EXEC FROM "&amp;I205,"SELECT '"&amp;UPPER(B205)&amp;"' AS TABELA, '"&amp;UPPER(C205)&amp;"' AS TIPOLOGIA_TESTE,'"&amp;D205&amp;"' AS TABELA_LT,'N/A' AS TABELA_SIMUL,'"&amp;F205&amp;"' AS CAMPO, "&amp;"'${ref_date}' AS REF_DATE, COUNT(*) AS NUM_REG, SUM(IF(TRIM(CAST(X."&amp;F205&amp;" AS STRING))='' OR TRIM(CAST(X."&amp;F205&amp;" AS STRING)) IS NULL,1,0)) AS NUM_REG_DIF,'"&amp;MAX('ID1&amp;5'!K:K)+1&amp;"' AS ID_EXEC, CURRENT_TIMESTAMP() AS TIME_EXEC FROM "&amp;I205),
IF(C205="Caracteres Especiais",+"SELECT '"&amp;UPPER(B205)&amp;"' AS TABELA, '"&amp;UPPER(C205)&amp;"' AS TIPOLOGIA_TESTE,'"&amp;D205&amp;"' AS TABELA_LT,'N/A' AS TABELA_SIMUL,'"&amp;F205&amp;"' AS CAMPO, "&amp;"'${ref_date}' AS REF_DATE, COUNT(*) AS NUM_REG, SUM(IF(REGEXP_REPLACE(TRIM(CAST(X."&amp;F205&amp;" AS STRING)),'[^a-zA-Z0-9_\\s]','') &lt;&gt;TRIM(CAST(X."&amp;F205&amp;" AS STRING)),1,0)) AS NUM_REG_DIF,'"&amp;MAX('ID1&amp;5'!K:K)+1&amp;"' AS ID_EXEC, CURRENT_TIMESTAMP() AS TIME_EXEC FROM "&amp;I205,
IF(C205="Missings",+"SELECT '"&amp;UPPER(B205)&amp;"' AS TABELA, '"&amp;UPPER(C205)&amp;"' AS TIPOLOGIA_TESTE,'"&amp;D205&amp;"' AS TABELA_LT,'N/A' AS TABELA_SIMUL,'"&amp;F205&amp;"' AS CAMPO, "&amp;"'${ref_date}' AS REF_DATE, COUNT(*) AS NUM_REG, SUM(IF(TRIM(CAST(X."&amp;F205&amp;" AS STRING)) IN ('0000-00-00','0001-01-01','9999-12-31','MISS','00000','99999999999','99999999999.00','99999999999.000000'),1,0)) AS NUM_REG_DIF,'"&amp;MAX('ID1&amp;5'!K:K)+1&amp;"' AS ID_EXEC, CURRENT_TIMESTAMP() AS TIME_EXEC FROM "&amp;I205,
IF(C205="Not applicable",+"SELECT '"&amp;UPPER(B205)&amp;"' AS TABELA, '"&amp;UPPER(C205)&amp;"' AS TIPOLOGIA_TESTE,'"&amp;D205&amp;"' AS TABELA_LT,'N/A' AS TABELA_SIMUL,'"&amp;F205&amp;"' AS CAMPO, "&amp;"'${ref_date}' AS REF_DATE, COUNT(*) AS NUM_REG, SUM(IF(TRIM(CAST(X."&amp;F205&amp;" AS STRING)) IN ('N/A','11111111111','11111111111.00','11111111111.000000','1111-11-11'),1,0)) AS NUM_REG_DIF,'"&amp;MAX('ID1&amp;5'!K:K)+1&amp;"' AS ID_EXEC, CURRENT_TIMESTAMP() AS TIME_EXEC FROM "&amp;I205,
IF(C205="Valores extremos",+"SELECT '"&amp;UPPER(B205)&amp;"' AS TABELA, '"&amp;UPPER(C205)&amp;"' AS TIPOLOGIA_TESTE,'"&amp;D205&amp;"' AS TABELA_LT,'N/A' AS TABELA_SIMUL,'"&amp;F205&amp;"' AS CAMPO, "&amp;"'${ref_date}' AS REF_DATE, CAST(MIN("&amp;F205&amp;") AS STRING) AS VALOR_MIN, CAST(MAX("&amp;F205&amp;") AS STRING) AS VALOR_MAX,'"&amp;MAX('ID1&amp;5'!K:K)+1&amp;"' AS ID_EXEC, CURRENT_TIMESTAMP() AS TIME_EXEC FROM "&amp;MID(I205,1,LEN(I205)-2)&amp;" AND CAST("&amp;F205&amp;"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TABELA_SIMUL,'ARRRS_INSTRMNT_12M' AS CAMPO, '${ref_date}' AS REF_DATE, COUNT(*) AS NUM_REG, SUM(IF(COALESCE(CAST(X.ARRRS_INSTRMNT_12M AS STRING),'')&lt;&gt;COALESCE(CAST(Y.ARRRS_INSTRMNT_12M_SIMUL AS STRING),'') OR (X.ARRRS_INSTRMNT_12M IS NULL AND Y.ARRRS_INSTRMNT_12M_SIMUL IS NOT NULL ) OR (X.ARRRS_INSTRMNT_12M IS NOT NULL AND Y.ARRRS_INSTRMNT_12M_SIMUL IS NULL),1,0)) AS NUM_REG_DIF,'1' AS ID_EXEC, CURRENT_TIMESTAMP() AS TIME_EXEC FROM (SELECT instrmnt_id, ARRRS_INSTRMNT_12M FROM CD_LOAN_TAPES_BCE.LT002_INSTRUMENT WHERE ref_date='${ref_date}' AND nome_perimetro='Individual Corporativo' AND segmento='ESTR' AND ambito='PM' AND entidade='00100')X INNER JOIN (SELECT instrmnt_id AS instrmnt_id_SIMUL, ARRRS_INSTRMNT_12M AS ARRRS_INSTRMNT_12M_SIMUL FROM BU_LOANTAPE_WORK.LT002_INSTRUMENT WHERE ref_date='${ref_date}' AND nome_perimetro='Individual Corporativo' AND segmento='ESTR' AND ambito='PM' AND entidade='00100')Y ON X.INSTRMNT_ID=Y.INSTRMNT_ID_SIMUL</v>
      </c>
      <c r="M205" s="36" t="str">
        <f t="shared" si="3"/>
        <v>UNION ALL SELECT 'INSTRUMENT' AS TABELA, 'COERÊNCIA' AS TIPOLOGIA_TESTE,'CD_LOAN_TAPES_BCE.LT002_INSTRUMENT' AS TABELA_LT,'BU_LOANTAPE_WORK.LT002_INSTRUMENT' AS TABELA_SIMUL,'ARRRS_INSTRMNT_12M' AS CAMPO, '${ref_date}' AS REF_DATE, COUNT(*) AS NUM_REG, SUM(IF(COALESCE(CAST(X.ARRRS_INSTRMNT_12M AS STRING),'')&lt;&gt;COALESCE(CAST(Y.ARRRS_INSTRMNT_12M_SIMUL AS STRING),'') OR (X.ARRRS_INSTRMNT_12M IS NULL AND Y.ARRRS_INSTRMNT_12M_SIMUL IS NOT NULL ) OR (X.ARRRS_INSTRMNT_12M IS NOT NULL AND Y.ARRRS_INSTRMNT_12M_SIMUL IS NULL),1,0)) AS NUM_REG_DIF,'1' AS ID_EXEC, CURRENT_TIMESTAMP() AS TIME_EXEC FROM (SELECT instrmnt_id, ARRRS_INSTRMNT_12M FROM CD_LOAN_TAPES_BCE.LT002_INSTRUMENT WHERE ref_date='${ref_date}' AND nome_perimetro='Individual Corporativo' AND segmento='ESTR' AND ambito='PM' AND entidade='00100')X INNER JOIN (SELECT instrmnt_id AS instrmnt_id_SIMUL, ARRRS_INSTRMNT_12M AS ARRRS_INSTRMNT_12M_SIMUL FROM BU_LOANTAPE_WORK.LT002_INSTRUMENT WHERE ref_date='${ref_date}' AND nome_perimetro='Individual Corporativo' AND segmento='ESTR' AND ambito='PM' AND entidade='00100')Y ON X.INSTRMNT_ID=Y.INSTRMNT_ID_SIMUL</v>
      </c>
      <c r="N205" s="38" t="s">
        <v>46</v>
      </c>
    </row>
    <row r="206" spans="2:14" hidden="1">
      <c r="B206" s="34" t="s">
        <v>126</v>
      </c>
      <c r="C206" s="34" t="s">
        <v>5</v>
      </c>
      <c r="D206" s="34" t="str">
        <f>+UPPER('0. Instruções'!$D$35&amp;"."&amp;VLOOKUP(B206,'0. Instruções'!$C$27:$D$32,2,FALSE))</f>
        <v>CD_LOAN_TAPES_BCE.LT002_INSTRUMENT</v>
      </c>
      <c r="E206" s="34" t="str">
        <f>+UPPER('0. Instruções'!$D$36&amp;"."&amp;VLOOKUP(B206,'0. Instruções'!$C$27:$E$32,3,FALSE))</f>
        <v>BU_LOANTAPE_WORK.LT002_INSTRUMENT</v>
      </c>
      <c r="F206" s="34" t="s">
        <v>494</v>
      </c>
      <c r="G206" s="34"/>
      <c r="H206" s="34" t="s">
        <v>92</v>
      </c>
      <c r="I206" s="34" t="str">
        <f>"(SELECT "&amp;VLOOKUP(B206,'0. Instruções'!$C$27:$G$32,4,FALSE)&amp;", "&amp;F206&amp;" FROM "&amp;D206&amp;" WHERE "&amp;'0. Instruções'!$D$42&amp;")X"</f>
        <v>(SELECT instrmnt_id, CMLTV_RCVRS_SNC_DFLT_INSTRMNT FROM CD_LOAN_TAPES_BCE.LT002_INSTRUMENT WHERE ref_date='${ref_date}' AND nome_perimetro='Individual Corporativo' AND segmento='ESTR' AND ambito='PM' AND entidade='00100')X</v>
      </c>
      <c r="J206" s="34" t="str">
        <f>"(SELECT "&amp;VLOOKUP(B206,'0. Instruções'!$C$27:$G$32,4,FALSE)&amp;" AS "&amp;VLOOKUP(B206,'0. Instruções'!$C$27:$G$32,4,FALSE)&amp;"_SIMUL, "&amp;F206&amp;" AS "&amp;F206&amp;"_SIMUL FROM "&amp;E206&amp;" WHERE "&amp;'0. Instruções'!$D$43&amp;")Y"</f>
        <v>(SELECT instrmnt_id AS instrmnt_id_SIMUL, CMLTV_RCVRS_SNC_DFLT_INSTRMNT AS CMLTV_RCVRS_SNC_DFLT_INSTRMNT_SIMUL FROM BU_LOANTAPE_WORK.LT002_INSTRUMENT WHERE ref_date='${ref_date}' AND nome_perimetro='Individual Corporativo' AND segmento='ESTR' AND ambito='PM' AND entidade='00100')Y</v>
      </c>
      <c r="K206" s="35" t="str">
        <f>+UPPER("ON X."&amp;VLOOKUP(B206,'0. Instruções'!$C$27:$G$32,4,FALSE)&amp;"=Y."&amp;VLOOKUP(B206,'0. Instruções'!$C$27:$G$32,4,FALSE)&amp;"_SIMUL")</f>
        <v>ON X.INSTRMNT_ID=Y.INSTRMNT_ID_SIMUL</v>
      </c>
      <c r="L206" s="35" t="str">
        <f>+IF(C206="Coerência", +IF(LEFT(G206,5)="FLOAT","SELECT '"&amp;UPPER(B206)&amp;"' AS TABELA, '"&amp;UPPER(C206)&amp;"' AS TIPOLOGIA_TESTE,'"&amp;D206&amp;"' AS TABELA_LT,'"&amp;E206&amp;"' AS TABELA_SIMUL,'"&amp;F206&amp;"' AS CAMPO, "&amp;"'${ref_date}' AS REF_DATE, COUNT(*) AS NUM_REG, SUM(IF((ABS(COALESCE(CAST(X."&amp;F206&amp;" AS DECIMAL(18,6)),0)-COALESCE(CAST(Y."&amp;F206&amp;"_SIMUL AS DECIMAL(18,6)),0))&gt;0.000001) OR (X."&amp;F206&amp;" IS NULL AND Y."&amp;F206&amp;"_SIMUL IS NOT NULL ) OR (X."&amp;F206&amp;" IS NOT NULL AND Y."&amp;F206&amp;"_SIMUL IS NULL),1,0)) AS NUM_REG_DIF,'"&amp;MAX('ID1&amp;5'!K:K)+1&amp;"' AS ID_EXEC, CURRENT_TIMESTAMP() AS TIME_EXEC FROM "&amp;I206&amp;" INNER JOIN "&amp;J206&amp;" "&amp;K206,"SELECT '"&amp;UPPER(B206)&amp;"' AS TABELA, '"&amp;UPPER(C206)&amp;"' AS TIPOLOGIA_TESTE,'"&amp;D206&amp;"' AS TABELA_LT,'"&amp;E206&amp;"' AS TABELA_SIMUL,'"&amp;F206&amp;"' AS CAMPO, "&amp;"'${ref_date}' AS REF_DATE, COUNT(*) AS NUM_REG, SUM(IF(COALESCE(CAST(X."&amp;F206&amp;" AS STRING),'')&lt;&gt;COALESCE(CAST(Y."&amp;F206&amp;"_SIMUL AS STRING),'') OR (X."&amp;F206&amp;" IS NULL AND Y."&amp;F206&amp;"_SIMUL IS NOT NULL ) OR (X."&amp;F206&amp;" IS NOT NULL AND Y."&amp;F206&amp;"_SIMUL IS NULL),1,0)) AS NUM_REG_DIF,'"&amp;MAX('ID1&amp;5'!L:L)+1&amp;"' AS ID_EXEC, CURRENT_TIMESTAMP() AS TIME_EXEC FROM "&amp;I206&amp;" INNER JOIN "&amp;J206&amp;" "&amp;K206),
IF(C206="Validade",+IF(G206="Code List","SELECT '"&amp;UPPER(B206)&amp;"' AS TABELA, '"&amp;UPPER(C206)&amp;"' AS TIPOLOGIA_TESTE,'"&amp;D206&amp;"' AS TABELA_LT,'N/A' AS TABELA_SIMUL,'"&amp;F206&amp;"' AS CAMPO, "&amp;"'${ref_date}' AS REF_DATE, COUNT(*) AS NUM_REG, SUM(IF(TRIM(CAST(X."&amp;F206&amp;" AS STRING))='' OR TRIM(CAST(X."&amp;F206&amp;" AS STRING)) IS NULL OR CAST(X."&amp;F206&amp;" AS STRING) NOT "&amp;H206&amp;",1,0)) AS NUM_REG_DIF,'"&amp;MAX('ID1&amp;5'!K:K)+1&amp;"' AS ID_EXEC, CURRENT_TIMESTAMP() AS TIME_EXEC FROM "&amp;I206,"SELECT '"&amp;UPPER(B206)&amp;"' AS TABELA, '"&amp;UPPER(C206)&amp;"' AS TIPOLOGIA_TESTE,'"&amp;D206&amp;"' AS TABELA_LT,'N/A' AS TABELA_SIMUL,'"&amp;F206&amp;"' AS CAMPO, "&amp;"'${ref_date}' AS REF_DATE, COUNT(*) AS NUM_REG, SUM(IF(TRIM(CAST(X."&amp;F206&amp;" AS STRING))='' OR TRIM(CAST(X."&amp;F206&amp;" AS STRING)) IS NULL,1,0)) AS NUM_REG_DIF,'"&amp;MAX('ID1&amp;5'!K:K)+1&amp;"' AS ID_EXEC, CURRENT_TIMESTAMP() AS TIME_EXEC FROM "&amp;I206),
IF(C206="Caracteres Especiais",+"SELECT '"&amp;UPPER(B206)&amp;"' AS TABELA, '"&amp;UPPER(C206)&amp;"' AS TIPOLOGIA_TESTE,'"&amp;D206&amp;"' AS TABELA_LT,'N/A' AS TABELA_SIMUL,'"&amp;F206&amp;"' AS CAMPO, "&amp;"'${ref_date}' AS REF_DATE, COUNT(*) AS NUM_REG, SUM(IF(REGEXP_REPLACE(TRIM(CAST(X."&amp;F206&amp;" AS STRING)),'[^a-zA-Z0-9_\\s]','') &lt;&gt;TRIM(CAST(X."&amp;F206&amp;" AS STRING)),1,0)) AS NUM_REG_DIF,'"&amp;MAX('ID1&amp;5'!K:K)+1&amp;"' AS ID_EXEC, CURRENT_TIMESTAMP() AS TIME_EXEC FROM "&amp;I206,
IF(C206="Missings",+"SELECT '"&amp;UPPER(B206)&amp;"' AS TABELA, '"&amp;UPPER(C206)&amp;"' AS TIPOLOGIA_TESTE,'"&amp;D206&amp;"' AS TABELA_LT,'N/A' AS TABELA_SIMUL,'"&amp;F206&amp;"' AS CAMPO, "&amp;"'${ref_date}' AS REF_DATE, COUNT(*) AS NUM_REG, SUM(IF(TRIM(CAST(X."&amp;F206&amp;" AS STRING)) IN ('0000-00-00','0001-01-01','9999-12-31','MISS','00000','99999999999','99999999999.00','99999999999.000000'),1,0)) AS NUM_REG_DIF,'"&amp;MAX('ID1&amp;5'!K:K)+1&amp;"' AS ID_EXEC, CURRENT_TIMESTAMP() AS TIME_EXEC FROM "&amp;I206,
IF(C206="Not applicable",+"SELECT '"&amp;UPPER(B206)&amp;"' AS TABELA, '"&amp;UPPER(C206)&amp;"' AS TIPOLOGIA_TESTE,'"&amp;D206&amp;"' AS TABELA_LT,'N/A' AS TABELA_SIMUL,'"&amp;F206&amp;"' AS CAMPO, "&amp;"'${ref_date}' AS REF_DATE, COUNT(*) AS NUM_REG, SUM(IF(TRIM(CAST(X."&amp;F206&amp;" AS STRING)) IN ('N/A','11111111111','11111111111.00','11111111111.000000','1111-11-11'),1,0)) AS NUM_REG_DIF,'"&amp;MAX('ID1&amp;5'!K:K)+1&amp;"' AS ID_EXEC, CURRENT_TIMESTAMP() AS TIME_EXEC FROM "&amp;I206,
IF(C206="Valores extremos",+"SELECT '"&amp;UPPER(B206)&amp;"' AS TABELA, '"&amp;UPPER(C206)&amp;"' AS TIPOLOGIA_TESTE,'"&amp;D206&amp;"' AS TABELA_LT,'N/A' AS TABELA_SIMUL,'"&amp;F206&amp;"' AS CAMPO, "&amp;"'${ref_date}' AS REF_DATE, CAST(MIN("&amp;F206&amp;") AS STRING) AS VALOR_MIN, CAST(MAX("&amp;F206&amp;") AS STRING) AS VALOR_MAX,'"&amp;MAX('ID1&amp;5'!K:K)+1&amp;"' AS ID_EXEC, CURRENT_TIMESTAMP() AS TIME_EXEC FROM "&amp;MID(I206,1,LEN(I206)-2)&amp;" AND CAST("&amp;F206&amp;"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TABELA_SIMUL,'CMLTV_RCVRS_SNC_DFLT_INSTRMNT' AS CAMPO, '${ref_date}' AS REF_DATE, COUNT(*) AS NUM_REG, SUM(IF(COALESCE(CAST(X.CMLTV_RCVRS_SNC_DFLT_INSTRMNT AS STRING),'')&lt;&gt;COALESCE(CAST(Y.CMLTV_RCVRS_SNC_DFLT_INSTRMNT_SIMUL AS STRING),'') OR (X.CMLTV_RCVRS_SNC_DFLT_INSTRMNT IS NULL AND Y.CMLTV_RCVRS_SNC_DFLT_INSTRMNT_SIMUL IS NOT NULL ) OR (X.CMLTV_RCVRS_SNC_DFLT_INSTRMNT IS NOT NULL AND Y.CMLTV_RCVRS_SNC_DFLT_INSTRMNT_SIMUL IS NULL),1,0)) AS NUM_REG_DIF,'1' AS ID_EXEC, CURRENT_TIMESTAMP() AS TIME_EXEC FROM (SELECT instrmnt_id, CMLTV_RCVRS_SNC_DFLT_INSTRMNT FROM CD_LOAN_TAPES_BCE.LT002_INSTRUMENT WHERE ref_date='${ref_date}' AND nome_perimetro='Individual Corporativo' AND segmento='ESTR' AND ambito='PM' AND entidade='00100')X INNER JOIN (SELECT instrmnt_id AS instrmnt_id_SIMUL, CMLTV_RCVRS_SNC_DFLT_INSTRMNT AS CMLTV_RCVRS_SNC_DFLT_INSTRMNT_SIMUL FROM BU_LOANTAPE_WORK.LT002_INSTRUMENT WHERE ref_date='${ref_date}' AND nome_perimetro='Individual Corporativo' AND segmento='ESTR' AND ambito='PM' AND entidade='00100')Y ON X.INSTRMNT_ID=Y.INSTRMNT_ID_SIMUL</v>
      </c>
      <c r="M206" s="36" t="str">
        <f t="shared" si="3"/>
        <v>UNION ALL SELECT 'INSTRUMENT' AS TABELA, 'COERÊNCIA' AS TIPOLOGIA_TESTE,'CD_LOAN_TAPES_BCE.LT002_INSTRUMENT' AS TABELA_LT,'BU_LOANTAPE_WORK.LT002_INSTRUMENT' AS TABELA_SIMUL,'CMLTV_RCVRS_SNC_DFLT_INSTRMNT' AS CAMPO, '${ref_date}' AS REF_DATE, COUNT(*) AS NUM_REG, SUM(IF(COALESCE(CAST(X.CMLTV_RCVRS_SNC_DFLT_INSTRMNT AS STRING),'')&lt;&gt;COALESCE(CAST(Y.CMLTV_RCVRS_SNC_DFLT_INSTRMNT_SIMUL AS STRING),'') OR (X.CMLTV_RCVRS_SNC_DFLT_INSTRMNT IS NULL AND Y.CMLTV_RCVRS_SNC_DFLT_INSTRMNT_SIMUL IS NOT NULL ) OR (X.CMLTV_RCVRS_SNC_DFLT_INSTRMNT IS NOT NULL AND Y.CMLTV_RCVRS_SNC_DFLT_INSTRMNT_SIMUL IS NULL),1,0)) AS NUM_REG_DIF,'1' AS ID_EXEC, CURRENT_TIMESTAMP() AS TIME_EXEC FROM (SELECT instrmnt_id, CMLTV_RCVRS_SNC_DFLT_INSTRMNT FROM CD_LOAN_TAPES_BCE.LT002_INSTRUMENT WHERE ref_date='${ref_date}' AND nome_perimetro='Individual Corporativo' AND segmento='ESTR' AND ambito='PM' AND entidade='00100')X INNER JOIN (SELECT instrmnt_id AS instrmnt_id_SIMUL, CMLTV_RCVRS_SNC_DFLT_INSTRMNT AS CMLTV_RCVRS_SNC_DFLT_INSTRMNT_SIMUL FROM BU_LOANTAPE_WORK.LT002_INSTRUMENT WHERE ref_date='${ref_date}' AND nome_perimetro='Individual Corporativo' AND segmento='ESTR' AND ambito='PM' AND entidade='00100')Y ON X.INSTRMNT_ID=Y.INSTRMNT_ID_SIMUL</v>
      </c>
      <c r="N206" s="38" t="s">
        <v>46</v>
      </c>
    </row>
    <row r="207" spans="2:14" hidden="1">
      <c r="B207" s="34" t="s">
        <v>126</v>
      </c>
      <c r="C207" s="34" t="s">
        <v>5</v>
      </c>
      <c r="D207" s="34" t="str">
        <f>+UPPER('0. Instruções'!$D$35&amp;"."&amp;VLOOKUP(B207,'0. Instruções'!$C$27:$D$32,2,FALSE))</f>
        <v>CD_LOAN_TAPES_BCE.LT002_INSTRUMENT</v>
      </c>
      <c r="E207" s="34" t="str">
        <f>+UPPER('0. Instruções'!$D$36&amp;"."&amp;VLOOKUP(B207,'0. Instruções'!$C$27:$E$32,3,FALSE))</f>
        <v>BU_LOANTAPE_WORK.LT002_INSTRUMENT</v>
      </c>
      <c r="F207" s="34" t="s">
        <v>495</v>
      </c>
      <c r="G207" s="34"/>
      <c r="H207" s="34" t="s">
        <v>649</v>
      </c>
      <c r="I207" s="34" t="str">
        <f>"(SELECT "&amp;VLOOKUP(B207,'0. Instruções'!$C$27:$G$32,4,FALSE)&amp;", "&amp;F207&amp;" FROM "&amp;D207&amp;" WHERE "&amp;'0. Instruções'!$D$42&amp;")X"</f>
        <v>(SELECT instrmnt_id, DPD FROM CD_LOAN_TAPES_BCE.LT002_INSTRUMENT WHERE ref_date='${ref_date}' AND nome_perimetro='Individual Corporativo' AND segmento='ESTR' AND ambito='PM' AND entidade='00100')X</v>
      </c>
      <c r="J207" s="34" t="str">
        <f>"(SELECT "&amp;VLOOKUP(B207,'0. Instruções'!$C$27:$G$32,4,FALSE)&amp;" AS "&amp;VLOOKUP(B207,'0. Instruções'!$C$27:$G$32,4,FALSE)&amp;"_SIMUL, "&amp;F207&amp;" AS "&amp;F207&amp;"_SIMUL FROM "&amp;E207&amp;" WHERE "&amp;'0. Instruções'!$D$43&amp;")Y"</f>
        <v>(SELECT instrmnt_id AS instrmnt_id_SIMUL, DPD AS DPD_SIMUL FROM BU_LOANTAPE_WORK.LT002_INSTRUMENT WHERE ref_date='${ref_date}' AND nome_perimetro='Individual Corporativo' AND segmento='ESTR' AND ambito='PM' AND entidade='00100')Y</v>
      </c>
      <c r="K207" s="35" t="str">
        <f>+UPPER("ON X."&amp;VLOOKUP(B207,'0. Instruções'!$C$27:$G$32,4,FALSE)&amp;"=Y."&amp;VLOOKUP(B207,'0. Instruções'!$C$27:$G$32,4,FALSE)&amp;"_SIMUL")</f>
        <v>ON X.INSTRMNT_ID=Y.INSTRMNT_ID_SIMUL</v>
      </c>
      <c r="L207" s="35" t="str">
        <f>+IF(C207="Coerência", +IF(LEFT(G207,5)="FLOAT","SELECT '"&amp;UPPER(B207)&amp;"' AS TABELA, '"&amp;UPPER(C207)&amp;"' AS TIPOLOGIA_TESTE,'"&amp;D207&amp;"' AS TABELA_LT,'"&amp;E207&amp;"' AS TABELA_SIMUL,'"&amp;F207&amp;"' AS CAMPO, "&amp;"'${ref_date}' AS REF_DATE, COUNT(*) AS NUM_REG, SUM(IF((ABS(COALESCE(CAST(X."&amp;F207&amp;" AS DECIMAL(18,6)),0)-COALESCE(CAST(Y."&amp;F207&amp;"_SIMUL AS DECIMAL(18,6)),0))&gt;0.000001) OR (X."&amp;F207&amp;" IS NULL AND Y."&amp;F207&amp;"_SIMUL IS NOT NULL ) OR (X."&amp;F207&amp;" IS NOT NULL AND Y."&amp;F207&amp;"_SIMUL IS NULL),1,0)) AS NUM_REG_DIF,'"&amp;MAX('ID1&amp;5'!K:K)+1&amp;"' AS ID_EXEC, CURRENT_TIMESTAMP() AS TIME_EXEC FROM "&amp;I207&amp;" INNER JOIN "&amp;J207&amp;" "&amp;K207,"SELECT '"&amp;UPPER(B207)&amp;"' AS TABELA, '"&amp;UPPER(C207)&amp;"' AS TIPOLOGIA_TESTE,'"&amp;D207&amp;"' AS TABELA_LT,'"&amp;E207&amp;"' AS TABELA_SIMUL,'"&amp;F207&amp;"' AS CAMPO, "&amp;"'${ref_date}' AS REF_DATE, COUNT(*) AS NUM_REG, SUM(IF(COALESCE(CAST(X."&amp;F207&amp;" AS STRING),'')&lt;&gt;COALESCE(CAST(Y."&amp;F207&amp;"_SIMUL AS STRING),'') OR (X."&amp;F207&amp;" IS NULL AND Y."&amp;F207&amp;"_SIMUL IS NOT NULL ) OR (X."&amp;F207&amp;" IS NOT NULL AND Y."&amp;F207&amp;"_SIMUL IS NULL),1,0)) AS NUM_REG_DIF,'"&amp;MAX('ID1&amp;5'!L:L)+1&amp;"' AS ID_EXEC, CURRENT_TIMESTAMP() AS TIME_EXEC FROM "&amp;I207&amp;" INNER JOIN "&amp;J207&amp;" "&amp;K207),
IF(C207="Validade",+IF(G207="Code List","SELECT '"&amp;UPPER(B207)&amp;"' AS TABELA, '"&amp;UPPER(C207)&amp;"' AS TIPOLOGIA_TESTE,'"&amp;D207&amp;"' AS TABELA_LT,'N/A' AS TABELA_SIMUL,'"&amp;F207&amp;"' AS CAMPO, "&amp;"'${ref_date}' AS REF_DATE, COUNT(*) AS NUM_REG, SUM(IF(TRIM(CAST(X."&amp;F207&amp;" AS STRING))='' OR TRIM(CAST(X."&amp;F207&amp;" AS STRING)) IS NULL OR CAST(X."&amp;F207&amp;" AS STRING) NOT "&amp;H207&amp;",1,0)) AS NUM_REG_DIF,'"&amp;MAX('ID1&amp;5'!K:K)+1&amp;"' AS ID_EXEC, CURRENT_TIMESTAMP() AS TIME_EXEC FROM "&amp;I207,"SELECT '"&amp;UPPER(B207)&amp;"' AS TABELA, '"&amp;UPPER(C207)&amp;"' AS TIPOLOGIA_TESTE,'"&amp;D207&amp;"' AS TABELA_LT,'N/A' AS TABELA_SIMUL,'"&amp;F207&amp;"' AS CAMPO, "&amp;"'${ref_date}' AS REF_DATE, COUNT(*) AS NUM_REG, SUM(IF(TRIM(CAST(X."&amp;F207&amp;" AS STRING))='' OR TRIM(CAST(X."&amp;F207&amp;" AS STRING)) IS NULL,1,0)) AS NUM_REG_DIF,'"&amp;MAX('ID1&amp;5'!K:K)+1&amp;"' AS ID_EXEC, CURRENT_TIMESTAMP() AS TIME_EXEC FROM "&amp;I207),
IF(C207="Caracteres Especiais",+"SELECT '"&amp;UPPER(B207)&amp;"' AS TABELA, '"&amp;UPPER(C207)&amp;"' AS TIPOLOGIA_TESTE,'"&amp;D207&amp;"' AS TABELA_LT,'N/A' AS TABELA_SIMUL,'"&amp;F207&amp;"' AS CAMPO, "&amp;"'${ref_date}' AS REF_DATE, COUNT(*) AS NUM_REG, SUM(IF(REGEXP_REPLACE(TRIM(CAST(X."&amp;F207&amp;" AS STRING)),'[^a-zA-Z0-9_\\s]','') &lt;&gt;TRIM(CAST(X."&amp;F207&amp;" AS STRING)),1,0)) AS NUM_REG_DIF,'"&amp;MAX('ID1&amp;5'!K:K)+1&amp;"' AS ID_EXEC, CURRENT_TIMESTAMP() AS TIME_EXEC FROM "&amp;I207,
IF(C207="Missings",+"SELECT '"&amp;UPPER(B207)&amp;"' AS TABELA, '"&amp;UPPER(C207)&amp;"' AS TIPOLOGIA_TESTE,'"&amp;D207&amp;"' AS TABELA_LT,'N/A' AS TABELA_SIMUL,'"&amp;F207&amp;"' AS CAMPO, "&amp;"'${ref_date}' AS REF_DATE, COUNT(*) AS NUM_REG, SUM(IF(TRIM(CAST(X."&amp;F207&amp;" AS STRING)) IN ('0000-00-00','0001-01-01','9999-12-31','MISS','00000','99999999999','99999999999.00','99999999999.000000'),1,0)) AS NUM_REG_DIF,'"&amp;MAX('ID1&amp;5'!K:K)+1&amp;"' AS ID_EXEC, CURRENT_TIMESTAMP() AS TIME_EXEC FROM "&amp;I207,
IF(C207="Not applicable",+"SELECT '"&amp;UPPER(B207)&amp;"' AS TABELA, '"&amp;UPPER(C207)&amp;"' AS TIPOLOGIA_TESTE,'"&amp;D207&amp;"' AS TABELA_LT,'N/A' AS TABELA_SIMUL,'"&amp;F207&amp;"' AS CAMPO, "&amp;"'${ref_date}' AS REF_DATE, COUNT(*) AS NUM_REG, SUM(IF(TRIM(CAST(X."&amp;F207&amp;" AS STRING)) IN ('N/A','11111111111','11111111111.00','11111111111.000000','1111-11-11'),1,0)) AS NUM_REG_DIF,'"&amp;MAX('ID1&amp;5'!K:K)+1&amp;"' AS ID_EXEC, CURRENT_TIMESTAMP() AS TIME_EXEC FROM "&amp;I207,
IF(C207="Valores extremos",+"SELECT '"&amp;UPPER(B207)&amp;"' AS TABELA, '"&amp;UPPER(C207)&amp;"' AS TIPOLOGIA_TESTE,'"&amp;D207&amp;"' AS TABELA_LT,'N/A' AS TABELA_SIMUL,'"&amp;F207&amp;"' AS CAMPO, "&amp;"'${ref_date}' AS REF_DATE, CAST(MIN("&amp;F207&amp;") AS STRING) AS VALOR_MIN, CAST(MAX("&amp;F207&amp;") AS STRING) AS VALOR_MAX,'"&amp;MAX('ID1&amp;5'!K:K)+1&amp;"' AS ID_EXEC, CURRENT_TIMESTAMP() AS TIME_EXEC FROM "&amp;MID(I207,1,LEN(I207)-2)&amp;" AND CAST("&amp;F207&amp;"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TABELA_SIMUL,'DPD' AS CAMPO, '${ref_date}' AS REF_DATE, COUNT(*) AS NUM_REG, SUM(IF(COALESCE(CAST(X.DPD AS STRING),'')&lt;&gt;COALESCE(CAST(Y.DPD_SIMUL AS STRING),'') OR (X.DPD IS NULL AND Y.DPD_SIMUL IS NOT NULL ) OR (X.DPD IS NOT NULL AND Y.DPD_SIMUL IS NULL),1,0)) AS NUM_REG_DIF,'1' AS ID_EXEC, CURRENT_TIMESTAMP() AS TIME_EXEC FROM (SELECT instrmnt_id, DPD FROM CD_LOAN_TAPES_BCE.LT002_INSTRUMENT WHERE ref_date='${ref_date}' AND nome_perimetro='Individual Corporativo' AND segmento='ESTR' AND ambito='PM' AND entidade='00100')X INNER JOIN (SELECT instrmnt_id AS instrmnt_id_SIMUL, DPD AS DPD_SIMUL FROM BU_LOANTAPE_WORK.LT002_INSTRUMENT WHERE ref_date='${ref_date}' AND nome_perimetro='Individual Corporativo' AND segmento='ESTR' AND ambito='PM' AND entidade='00100')Y ON X.INSTRMNT_ID=Y.INSTRMNT_ID_SIMUL</v>
      </c>
      <c r="M207" s="36" t="str">
        <f t="shared" si="3"/>
        <v>UNION ALL SELECT 'INSTRUMENT' AS TABELA, 'COERÊNCIA' AS TIPOLOGIA_TESTE,'CD_LOAN_TAPES_BCE.LT002_INSTRUMENT' AS TABELA_LT,'BU_LOANTAPE_WORK.LT002_INSTRUMENT' AS TABELA_SIMUL,'DPD' AS CAMPO, '${ref_date}' AS REF_DATE, COUNT(*) AS NUM_REG, SUM(IF(COALESCE(CAST(X.DPD AS STRING),'')&lt;&gt;COALESCE(CAST(Y.DPD_SIMUL AS STRING),'') OR (X.DPD IS NULL AND Y.DPD_SIMUL IS NOT NULL ) OR (X.DPD IS NOT NULL AND Y.DPD_SIMUL IS NULL),1,0)) AS NUM_REG_DIF,'1' AS ID_EXEC, CURRENT_TIMESTAMP() AS TIME_EXEC FROM (SELECT instrmnt_id, DPD FROM CD_LOAN_TAPES_BCE.LT002_INSTRUMENT WHERE ref_date='${ref_date}' AND nome_perimetro='Individual Corporativo' AND segmento='ESTR' AND ambito='PM' AND entidade='00100')X INNER JOIN (SELECT instrmnt_id AS instrmnt_id_SIMUL, DPD AS DPD_SIMUL FROM BU_LOANTAPE_WORK.LT002_INSTRUMENT WHERE ref_date='${ref_date}' AND nome_perimetro='Individual Corporativo' AND segmento='ESTR' AND ambito='PM' AND entidade='00100')Y ON X.INSTRMNT_ID=Y.INSTRMNT_ID_SIMUL</v>
      </c>
      <c r="N207" s="38" t="s">
        <v>46</v>
      </c>
    </row>
    <row r="208" spans="2:14" hidden="1">
      <c r="B208" s="34" t="s">
        <v>126</v>
      </c>
      <c r="C208" s="34" t="s">
        <v>5</v>
      </c>
      <c r="D208" s="34" t="str">
        <f>+UPPER('0. Instruções'!$D$35&amp;"."&amp;VLOOKUP(B208,'0. Instruções'!$C$27:$D$32,2,FALSE))</f>
        <v>CD_LOAN_TAPES_BCE.LT002_INSTRUMENT</v>
      </c>
      <c r="E208" s="34" t="str">
        <f>+UPPER('0. Instruções'!$D$36&amp;"."&amp;VLOOKUP(B208,'0. Instruções'!$C$27:$E$32,3,FALSE))</f>
        <v>BU_LOANTAPE_WORK.LT002_INSTRUMENT</v>
      </c>
      <c r="F208" s="34" t="s">
        <v>496</v>
      </c>
      <c r="G208" s="34"/>
      <c r="H208" s="34" t="s">
        <v>649</v>
      </c>
      <c r="I208" s="34" t="str">
        <f>"(SELECT "&amp;VLOOKUP(B208,'0. Instruções'!$C$27:$G$32,4,FALSE)&amp;", "&amp;F208&amp;" FROM "&amp;D208&amp;" WHERE "&amp;'0. Instruções'!$D$42&amp;")X"</f>
        <v>(SELECT instrmnt_id, DPD_12M FROM CD_LOAN_TAPES_BCE.LT002_INSTRUMENT WHERE ref_date='${ref_date}' AND nome_perimetro='Individual Corporativo' AND segmento='ESTR' AND ambito='PM' AND entidade='00100')X</v>
      </c>
      <c r="J208" s="34" t="str">
        <f>"(SELECT "&amp;VLOOKUP(B208,'0. Instruções'!$C$27:$G$32,4,FALSE)&amp;" AS "&amp;VLOOKUP(B208,'0. Instruções'!$C$27:$G$32,4,FALSE)&amp;"_SIMUL, "&amp;F208&amp;" AS "&amp;F208&amp;"_SIMUL FROM "&amp;E208&amp;" WHERE "&amp;'0. Instruções'!$D$43&amp;")Y"</f>
        <v>(SELECT instrmnt_id AS instrmnt_id_SIMUL, DPD_12M AS DPD_12M_SIMUL FROM BU_LOANTAPE_WORK.LT002_INSTRUMENT WHERE ref_date='${ref_date}' AND nome_perimetro='Individual Corporativo' AND segmento='ESTR' AND ambito='PM' AND entidade='00100')Y</v>
      </c>
      <c r="K208" s="35" t="str">
        <f>+UPPER("ON X."&amp;VLOOKUP(B208,'0. Instruções'!$C$27:$G$32,4,FALSE)&amp;"=Y."&amp;VLOOKUP(B208,'0. Instruções'!$C$27:$G$32,4,FALSE)&amp;"_SIMUL")</f>
        <v>ON X.INSTRMNT_ID=Y.INSTRMNT_ID_SIMUL</v>
      </c>
      <c r="L208" s="35" t="str">
        <f>+IF(C208="Coerência", +IF(LEFT(G208,5)="FLOAT","SELECT '"&amp;UPPER(B208)&amp;"' AS TABELA, '"&amp;UPPER(C208)&amp;"' AS TIPOLOGIA_TESTE,'"&amp;D208&amp;"' AS TABELA_LT,'"&amp;E208&amp;"' AS TABELA_SIMUL,'"&amp;F208&amp;"' AS CAMPO, "&amp;"'${ref_date}' AS REF_DATE, COUNT(*) AS NUM_REG, SUM(IF((ABS(COALESCE(CAST(X."&amp;F208&amp;" AS DECIMAL(18,6)),0)-COALESCE(CAST(Y."&amp;F208&amp;"_SIMUL AS DECIMAL(18,6)),0))&gt;0.000001) OR (X."&amp;F208&amp;" IS NULL AND Y."&amp;F208&amp;"_SIMUL IS NOT NULL ) OR (X."&amp;F208&amp;" IS NOT NULL AND Y."&amp;F208&amp;"_SIMUL IS NULL),1,0)) AS NUM_REG_DIF,'"&amp;MAX('ID1&amp;5'!K:K)+1&amp;"' AS ID_EXEC, CURRENT_TIMESTAMP() AS TIME_EXEC FROM "&amp;I208&amp;" INNER JOIN "&amp;J208&amp;" "&amp;K208,"SELECT '"&amp;UPPER(B208)&amp;"' AS TABELA, '"&amp;UPPER(C208)&amp;"' AS TIPOLOGIA_TESTE,'"&amp;D208&amp;"' AS TABELA_LT,'"&amp;E208&amp;"' AS TABELA_SIMUL,'"&amp;F208&amp;"' AS CAMPO, "&amp;"'${ref_date}' AS REF_DATE, COUNT(*) AS NUM_REG, SUM(IF(COALESCE(CAST(X."&amp;F208&amp;" AS STRING),'')&lt;&gt;COALESCE(CAST(Y."&amp;F208&amp;"_SIMUL AS STRING),'') OR (X."&amp;F208&amp;" IS NULL AND Y."&amp;F208&amp;"_SIMUL IS NOT NULL ) OR (X."&amp;F208&amp;" IS NOT NULL AND Y."&amp;F208&amp;"_SIMUL IS NULL),1,0)) AS NUM_REG_DIF,'"&amp;MAX('ID1&amp;5'!L:L)+1&amp;"' AS ID_EXEC, CURRENT_TIMESTAMP() AS TIME_EXEC FROM "&amp;I208&amp;" INNER JOIN "&amp;J208&amp;" "&amp;K208),
IF(C208="Validade",+IF(G208="Code List","SELECT '"&amp;UPPER(B208)&amp;"' AS TABELA, '"&amp;UPPER(C208)&amp;"' AS TIPOLOGIA_TESTE,'"&amp;D208&amp;"' AS TABELA_LT,'N/A' AS TABELA_SIMUL,'"&amp;F208&amp;"' AS CAMPO, "&amp;"'${ref_date}' AS REF_DATE, COUNT(*) AS NUM_REG, SUM(IF(TRIM(CAST(X."&amp;F208&amp;" AS STRING))='' OR TRIM(CAST(X."&amp;F208&amp;" AS STRING)) IS NULL OR CAST(X."&amp;F208&amp;" AS STRING) NOT "&amp;H208&amp;",1,0)) AS NUM_REG_DIF,'"&amp;MAX('ID1&amp;5'!K:K)+1&amp;"' AS ID_EXEC, CURRENT_TIMESTAMP() AS TIME_EXEC FROM "&amp;I208,"SELECT '"&amp;UPPER(B208)&amp;"' AS TABELA, '"&amp;UPPER(C208)&amp;"' AS TIPOLOGIA_TESTE,'"&amp;D208&amp;"' AS TABELA_LT,'N/A' AS TABELA_SIMUL,'"&amp;F208&amp;"' AS CAMPO, "&amp;"'${ref_date}' AS REF_DATE, COUNT(*) AS NUM_REG, SUM(IF(TRIM(CAST(X."&amp;F208&amp;" AS STRING))='' OR TRIM(CAST(X."&amp;F208&amp;" AS STRING)) IS NULL,1,0)) AS NUM_REG_DIF,'"&amp;MAX('ID1&amp;5'!K:K)+1&amp;"' AS ID_EXEC, CURRENT_TIMESTAMP() AS TIME_EXEC FROM "&amp;I208),
IF(C208="Caracteres Especiais",+"SELECT '"&amp;UPPER(B208)&amp;"' AS TABELA, '"&amp;UPPER(C208)&amp;"' AS TIPOLOGIA_TESTE,'"&amp;D208&amp;"' AS TABELA_LT,'N/A' AS TABELA_SIMUL,'"&amp;F208&amp;"' AS CAMPO, "&amp;"'${ref_date}' AS REF_DATE, COUNT(*) AS NUM_REG, SUM(IF(REGEXP_REPLACE(TRIM(CAST(X."&amp;F208&amp;" AS STRING)),'[^a-zA-Z0-9_\\s]','') &lt;&gt;TRIM(CAST(X."&amp;F208&amp;" AS STRING)),1,0)) AS NUM_REG_DIF,'"&amp;MAX('ID1&amp;5'!K:K)+1&amp;"' AS ID_EXEC, CURRENT_TIMESTAMP() AS TIME_EXEC FROM "&amp;I208,
IF(C208="Missings",+"SELECT '"&amp;UPPER(B208)&amp;"' AS TABELA, '"&amp;UPPER(C208)&amp;"' AS TIPOLOGIA_TESTE,'"&amp;D208&amp;"' AS TABELA_LT,'N/A' AS TABELA_SIMUL,'"&amp;F208&amp;"' AS CAMPO, "&amp;"'${ref_date}' AS REF_DATE, COUNT(*) AS NUM_REG, SUM(IF(TRIM(CAST(X."&amp;F208&amp;" AS STRING)) IN ('0000-00-00','0001-01-01','9999-12-31','MISS','00000','99999999999','99999999999.00','99999999999.000000'),1,0)) AS NUM_REG_DIF,'"&amp;MAX('ID1&amp;5'!K:K)+1&amp;"' AS ID_EXEC, CURRENT_TIMESTAMP() AS TIME_EXEC FROM "&amp;I208,
IF(C208="Not applicable",+"SELECT '"&amp;UPPER(B208)&amp;"' AS TABELA, '"&amp;UPPER(C208)&amp;"' AS TIPOLOGIA_TESTE,'"&amp;D208&amp;"' AS TABELA_LT,'N/A' AS TABELA_SIMUL,'"&amp;F208&amp;"' AS CAMPO, "&amp;"'${ref_date}' AS REF_DATE, COUNT(*) AS NUM_REG, SUM(IF(TRIM(CAST(X."&amp;F208&amp;" AS STRING)) IN ('N/A','11111111111','11111111111.00','11111111111.000000','1111-11-11'),1,0)) AS NUM_REG_DIF,'"&amp;MAX('ID1&amp;5'!K:K)+1&amp;"' AS ID_EXEC, CURRENT_TIMESTAMP() AS TIME_EXEC FROM "&amp;I208,
IF(C208="Valores extremos",+"SELECT '"&amp;UPPER(B208)&amp;"' AS TABELA, '"&amp;UPPER(C208)&amp;"' AS TIPOLOGIA_TESTE,'"&amp;D208&amp;"' AS TABELA_LT,'N/A' AS TABELA_SIMUL,'"&amp;F208&amp;"' AS CAMPO, "&amp;"'${ref_date}' AS REF_DATE, CAST(MIN("&amp;F208&amp;") AS STRING) AS VALOR_MIN, CAST(MAX("&amp;F208&amp;") AS STRING) AS VALOR_MAX,'"&amp;MAX('ID1&amp;5'!K:K)+1&amp;"' AS ID_EXEC, CURRENT_TIMESTAMP() AS TIME_EXEC FROM "&amp;MID(I208,1,LEN(I208)-2)&amp;" AND CAST("&amp;F208&amp;"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TABELA_SIMUL,'DPD_12M' AS CAMPO, '${ref_date}' AS REF_DATE, COUNT(*) AS NUM_REG, SUM(IF(COALESCE(CAST(X.DPD_12M AS STRING),'')&lt;&gt;COALESCE(CAST(Y.DPD_12M_SIMUL AS STRING),'') OR (X.DPD_12M IS NULL AND Y.DPD_12M_SIMUL IS NOT NULL ) OR (X.DPD_12M IS NOT NULL AND Y.DPD_12M_SIMUL IS NULL),1,0)) AS NUM_REG_DIF,'1' AS ID_EXEC, CURRENT_TIMESTAMP() AS TIME_EXEC FROM (SELECT instrmnt_id, DPD_12M FROM CD_LOAN_TAPES_BCE.LT002_INSTRUMENT WHERE ref_date='${ref_date}' AND nome_perimetro='Individual Corporativo' AND segmento='ESTR' AND ambito='PM' AND entidade='00100')X INNER JOIN (SELECT instrmnt_id AS instrmnt_id_SIMUL, DPD_12M AS DPD_12M_SIMUL FROM BU_LOANTAPE_WORK.LT002_INSTRUMENT WHERE ref_date='${ref_date}' AND nome_perimetro='Individual Corporativo' AND segmento='ESTR' AND ambito='PM' AND entidade='00100')Y ON X.INSTRMNT_ID=Y.INSTRMNT_ID_SIMUL</v>
      </c>
      <c r="M208" s="36" t="str">
        <f t="shared" si="3"/>
        <v>UNION ALL SELECT 'INSTRUMENT' AS TABELA, 'COERÊNCIA' AS TIPOLOGIA_TESTE,'CD_LOAN_TAPES_BCE.LT002_INSTRUMENT' AS TABELA_LT,'BU_LOANTAPE_WORK.LT002_INSTRUMENT' AS TABELA_SIMUL,'DPD_12M' AS CAMPO, '${ref_date}' AS REF_DATE, COUNT(*) AS NUM_REG, SUM(IF(COALESCE(CAST(X.DPD_12M AS STRING),'')&lt;&gt;COALESCE(CAST(Y.DPD_12M_SIMUL AS STRING),'') OR (X.DPD_12M IS NULL AND Y.DPD_12M_SIMUL IS NOT NULL ) OR (X.DPD_12M IS NOT NULL AND Y.DPD_12M_SIMUL IS NULL),1,0)) AS NUM_REG_DIF,'1' AS ID_EXEC, CURRENT_TIMESTAMP() AS TIME_EXEC FROM (SELECT instrmnt_id, DPD_12M FROM CD_LOAN_TAPES_BCE.LT002_INSTRUMENT WHERE ref_date='${ref_date}' AND nome_perimetro='Individual Corporativo' AND segmento='ESTR' AND ambito='PM' AND entidade='00100')X INNER JOIN (SELECT instrmnt_id AS instrmnt_id_SIMUL, DPD_12M AS DPD_12M_SIMUL FROM BU_LOANTAPE_WORK.LT002_INSTRUMENT WHERE ref_date='${ref_date}' AND nome_perimetro='Individual Corporativo' AND segmento='ESTR' AND ambito='PM' AND entidade='00100')Y ON X.INSTRMNT_ID=Y.INSTRMNT_ID_SIMUL</v>
      </c>
      <c r="N208" s="38" t="s">
        <v>46</v>
      </c>
    </row>
    <row r="209" spans="2:14" hidden="1">
      <c r="B209" s="34" t="s">
        <v>126</v>
      </c>
      <c r="C209" s="34" t="s">
        <v>5</v>
      </c>
      <c r="D209" s="34" t="str">
        <f>+UPPER('0. Instruções'!$D$35&amp;"."&amp;VLOOKUP(B209,'0. Instruções'!$C$27:$D$32,2,FALSE))</f>
        <v>CD_LOAN_TAPES_BCE.LT002_INSTRUMENT</v>
      </c>
      <c r="E209" s="34" t="str">
        <f>+UPPER('0. Instruções'!$D$36&amp;"."&amp;VLOOKUP(B209,'0. Instruções'!$C$27:$E$32,3,FALSE))</f>
        <v>BU_LOANTAPE_WORK.LT002_INSTRUMENT</v>
      </c>
      <c r="F209" s="34" t="s">
        <v>497</v>
      </c>
      <c r="G209" s="34"/>
      <c r="H209" s="34" t="s">
        <v>649</v>
      </c>
      <c r="I209" s="34" t="str">
        <f>"(SELECT "&amp;VLOOKUP(B209,'0. Instruções'!$C$27:$G$32,4,FALSE)&amp;", "&amp;F209&amp;" FROM "&amp;D209&amp;" WHERE "&amp;'0. Instruções'!$D$42&amp;")X"</f>
        <v>(SELECT instrmnt_id, DPD_12M_FRBRNC_STTS FROM CD_LOAN_TAPES_BCE.LT002_INSTRUMENT WHERE ref_date='${ref_date}' AND nome_perimetro='Individual Corporativo' AND segmento='ESTR' AND ambito='PM' AND entidade='00100')X</v>
      </c>
      <c r="J209" s="34" t="str">
        <f>"(SELECT "&amp;VLOOKUP(B209,'0. Instruções'!$C$27:$G$32,4,FALSE)&amp;" AS "&amp;VLOOKUP(B209,'0. Instruções'!$C$27:$G$32,4,FALSE)&amp;"_SIMUL, "&amp;F209&amp;" AS "&amp;F209&amp;"_SIMUL FROM "&amp;E209&amp;" WHERE "&amp;'0. Instruções'!$D$43&amp;")Y"</f>
        <v>(SELECT instrmnt_id AS instrmnt_id_SIMUL, DPD_12M_FRBRNC_STTS AS DPD_12M_FRBRNC_STTS_SIMUL FROM BU_LOANTAPE_WORK.LT002_INSTRUMENT WHERE ref_date='${ref_date}' AND nome_perimetro='Individual Corporativo' AND segmento='ESTR' AND ambito='PM' AND entidade='00100')Y</v>
      </c>
      <c r="K209" s="35" t="str">
        <f>+UPPER("ON X."&amp;VLOOKUP(B209,'0. Instruções'!$C$27:$G$32,4,FALSE)&amp;"=Y."&amp;VLOOKUP(B209,'0. Instruções'!$C$27:$G$32,4,FALSE)&amp;"_SIMUL")</f>
        <v>ON X.INSTRMNT_ID=Y.INSTRMNT_ID_SIMUL</v>
      </c>
      <c r="L209" s="35" t="str">
        <f>+IF(C209="Coerência", +IF(LEFT(G209,5)="FLOAT","SELECT '"&amp;UPPER(B209)&amp;"' AS TABELA, '"&amp;UPPER(C209)&amp;"' AS TIPOLOGIA_TESTE,'"&amp;D209&amp;"' AS TABELA_LT,'"&amp;E209&amp;"' AS TABELA_SIMUL,'"&amp;F209&amp;"' AS CAMPO, "&amp;"'${ref_date}' AS REF_DATE, COUNT(*) AS NUM_REG, SUM(IF((ABS(COALESCE(CAST(X."&amp;F209&amp;" AS DECIMAL(18,6)),0)-COALESCE(CAST(Y."&amp;F209&amp;"_SIMUL AS DECIMAL(18,6)),0))&gt;0.000001) OR (X."&amp;F209&amp;" IS NULL AND Y."&amp;F209&amp;"_SIMUL IS NOT NULL ) OR (X."&amp;F209&amp;" IS NOT NULL AND Y."&amp;F209&amp;"_SIMUL IS NULL),1,0)) AS NUM_REG_DIF,'"&amp;MAX('ID1&amp;5'!K:K)+1&amp;"' AS ID_EXEC, CURRENT_TIMESTAMP() AS TIME_EXEC FROM "&amp;I209&amp;" INNER JOIN "&amp;J209&amp;" "&amp;K209,"SELECT '"&amp;UPPER(B209)&amp;"' AS TABELA, '"&amp;UPPER(C209)&amp;"' AS TIPOLOGIA_TESTE,'"&amp;D209&amp;"' AS TABELA_LT,'"&amp;E209&amp;"' AS TABELA_SIMUL,'"&amp;F209&amp;"' AS CAMPO, "&amp;"'${ref_date}' AS REF_DATE, COUNT(*) AS NUM_REG, SUM(IF(COALESCE(CAST(X."&amp;F209&amp;" AS STRING),'')&lt;&gt;COALESCE(CAST(Y."&amp;F209&amp;"_SIMUL AS STRING),'') OR (X."&amp;F209&amp;" IS NULL AND Y."&amp;F209&amp;"_SIMUL IS NOT NULL ) OR (X."&amp;F209&amp;" IS NOT NULL AND Y."&amp;F209&amp;"_SIMUL IS NULL),1,0)) AS NUM_REG_DIF,'"&amp;MAX('ID1&amp;5'!L:L)+1&amp;"' AS ID_EXEC, CURRENT_TIMESTAMP() AS TIME_EXEC FROM "&amp;I209&amp;" INNER JOIN "&amp;J209&amp;" "&amp;K209),
IF(C209="Validade",+IF(G209="Code List","SELECT '"&amp;UPPER(B209)&amp;"' AS TABELA, '"&amp;UPPER(C209)&amp;"' AS TIPOLOGIA_TESTE,'"&amp;D209&amp;"' AS TABELA_LT,'N/A' AS TABELA_SIMUL,'"&amp;F209&amp;"' AS CAMPO, "&amp;"'${ref_date}' AS REF_DATE, COUNT(*) AS NUM_REG, SUM(IF(TRIM(CAST(X."&amp;F209&amp;" AS STRING))='' OR TRIM(CAST(X."&amp;F209&amp;" AS STRING)) IS NULL OR CAST(X."&amp;F209&amp;" AS STRING) NOT "&amp;H209&amp;",1,0)) AS NUM_REG_DIF,'"&amp;MAX('ID1&amp;5'!K:K)+1&amp;"' AS ID_EXEC, CURRENT_TIMESTAMP() AS TIME_EXEC FROM "&amp;I209,"SELECT '"&amp;UPPER(B209)&amp;"' AS TABELA, '"&amp;UPPER(C209)&amp;"' AS TIPOLOGIA_TESTE,'"&amp;D209&amp;"' AS TABELA_LT,'N/A' AS TABELA_SIMUL,'"&amp;F209&amp;"' AS CAMPO, "&amp;"'${ref_date}' AS REF_DATE, COUNT(*) AS NUM_REG, SUM(IF(TRIM(CAST(X."&amp;F209&amp;" AS STRING))='' OR TRIM(CAST(X."&amp;F209&amp;" AS STRING)) IS NULL,1,0)) AS NUM_REG_DIF,'"&amp;MAX('ID1&amp;5'!K:K)+1&amp;"' AS ID_EXEC, CURRENT_TIMESTAMP() AS TIME_EXEC FROM "&amp;I209),
IF(C209="Caracteres Especiais",+"SELECT '"&amp;UPPER(B209)&amp;"' AS TABELA, '"&amp;UPPER(C209)&amp;"' AS TIPOLOGIA_TESTE,'"&amp;D209&amp;"' AS TABELA_LT,'N/A' AS TABELA_SIMUL,'"&amp;F209&amp;"' AS CAMPO, "&amp;"'${ref_date}' AS REF_DATE, COUNT(*) AS NUM_REG, SUM(IF(REGEXP_REPLACE(TRIM(CAST(X."&amp;F209&amp;" AS STRING)),'[^a-zA-Z0-9_\\s]','') &lt;&gt;TRIM(CAST(X."&amp;F209&amp;" AS STRING)),1,0)) AS NUM_REG_DIF,'"&amp;MAX('ID1&amp;5'!K:K)+1&amp;"' AS ID_EXEC, CURRENT_TIMESTAMP() AS TIME_EXEC FROM "&amp;I209,
IF(C209="Missings",+"SELECT '"&amp;UPPER(B209)&amp;"' AS TABELA, '"&amp;UPPER(C209)&amp;"' AS TIPOLOGIA_TESTE,'"&amp;D209&amp;"' AS TABELA_LT,'N/A' AS TABELA_SIMUL,'"&amp;F209&amp;"' AS CAMPO, "&amp;"'${ref_date}' AS REF_DATE, COUNT(*) AS NUM_REG, SUM(IF(TRIM(CAST(X."&amp;F209&amp;" AS STRING)) IN ('0000-00-00','0001-01-01','9999-12-31','MISS','00000','99999999999','99999999999.00','99999999999.000000'),1,0)) AS NUM_REG_DIF,'"&amp;MAX('ID1&amp;5'!K:K)+1&amp;"' AS ID_EXEC, CURRENT_TIMESTAMP() AS TIME_EXEC FROM "&amp;I209,
IF(C209="Not applicable",+"SELECT '"&amp;UPPER(B209)&amp;"' AS TABELA, '"&amp;UPPER(C209)&amp;"' AS TIPOLOGIA_TESTE,'"&amp;D209&amp;"' AS TABELA_LT,'N/A' AS TABELA_SIMUL,'"&amp;F209&amp;"' AS CAMPO, "&amp;"'${ref_date}' AS REF_DATE, COUNT(*) AS NUM_REG, SUM(IF(TRIM(CAST(X."&amp;F209&amp;" AS STRING)) IN ('N/A','11111111111','11111111111.00','11111111111.000000','1111-11-11'),1,0)) AS NUM_REG_DIF,'"&amp;MAX('ID1&amp;5'!K:K)+1&amp;"' AS ID_EXEC, CURRENT_TIMESTAMP() AS TIME_EXEC FROM "&amp;I209,
IF(C209="Valores extremos",+"SELECT '"&amp;UPPER(B209)&amp;"' AS TABELA, '"&amp;UPPER(C209)&amp;"' AS TIPOLOGIA_TESTE,'"&amp;D209&amp;"' AS TABELA_LT,'N/A' AS TABELA_SIMUL,'"&amp;F209&amp;"' AS CAMPO, "&amp;"'${ref_date}' AS REF_DATE, CAST(MIN("&amp;F209&amp;") AS STRING) AS VALOR_MIN, CAST(MAX("&amp;F209&amp;") AS STRING) AS VALOR_MAX,'"&amp;MAX('ID1&amp;5'!K:K)+1&amp;"' AS ID_EXEC, CURRENT_TIMESTAMP() AS TIME_EXEC FROM "&amp;MID(I209,1,LEN(I209)-2)&amp;" AND CAST("&amp;F209&amp;"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TABELA_SIMUL,'DPD_12M_FRBRNC_STTS' AS CAMPO, '${ref_date}' AS REF_DATE, COUNT(*) AS NUM_REG, SUM(IF(COALESCE(CAST(X.DPD_12M_FRBRNC_STTS AS STRING),'')&lt;&gt;COALESCE(CAST(Y.DPD_12M_FRBRNC_STTS_SIMUL AS STRING),'') OR (X.DPD_12M_FRBRNC_STTS IS NULL AND Y.DPD_12M_FRBRNC_STTS_SIMUL IS NOT NULL ) OR (X.DPD_12M_FRBRNC_STTS IS NOT NULL AND Y.DPD_12M_FRBRNC_STTS_SIMUL IS NULL),1,0)) AS NUM_REG_DIF,'1' AS ID_EXEC, CURRENT_TIMESTAMP() AS TIME_EXEC FROM (SELECT instrmnt_id, DPD_12M_FRBRNC_STTS FROM CD_LOAN_TAPES_BCE.LT002_INSTRUMENT WHERE ref_date='${ref_date}' AND nome_perimetro='Individual Corporativo' AND segmento='ESTR' AND ambito='PM' AND entidade='00100')X INNER JOIN (SELECT instrmnt_id AS instrmnt_id_SIMUL, DPD_12M_FRBRNC_STTS AS DPD_12M_FRBRNC_STTS_SIMUL FROM BU_LOANTAPE_WORK.LT002_INSTRUMENT WHERE ref_date='${ref_date}' AND nome_perimetro='Individual Corporativo' AND segmento='ESTR' AND ambito='PM' AND entidade='00100')Y ON X.INSTRMNT_ID=Y.INSTRMNT_ID_SIMUL</v>
      </c>
      <c r="M209" s="36" t="str">
        <f t="shared" si="3"/>
        <v>UNION ALL SELECT 'INSTRUMENT' AS TABELA, 'COERÊNCIA' AS TIPOLOGIA_TESTE,'CD_LOAN_TAPES_BCE.LT002_INSTRUMENT' AS TABELA_LT,'BU_LOANTAPE_WORK.LT002_INSTRUMENT' AS TABELA_SIMUL,'DPD_12M_FRBRNC_STTS' AS CAMPO, '${ref_date}' AS REF_DATE, COUNT(*) AS NUM_REG, SUM(IF(COALESCE(CAST(X.DPD_12M_FRBRNC_STTS AS STRING),'')&lt;&gt;COALESCE(CAST(Y.DPD_12M_FRBRNC_STTS_SIMUL AS STRING),'') OR (X.DPD_12M_FRBRNC_STTS IS NULL AND Y.DPD_12M_FRBRNC_STTS_SIMUL IS NOT NULL ) OR (X.DPD_12M_FRBRNC_STTS IS NOT NULL AND Y.DPD_12M_FRBRNC_STTS_SIMUL IS NULL),1,0)) AS NUM_REG_DIF,'1' AS ID_EXEC, CURRENT_TIMESTAMP() AS TIME_EXEC FROM (SELECT instrmnt_id, DPD_12M_FRBRNC_STTS FROM CD_LOAN_TAPES_BCE.LT002_INSTRUMENT WHERE ref_date='${ref_date}' AND nome_perimetro='Individual Corporativo' AND segmento='ESTR' AND ambito='PM' AND entidade='00100')X INNER JOIN (SELECT instrmnt_id AS instrmnt_id_SIMUL, DPD_12M_FRBRNC_STTS AS DPD_12M_FRBRNC_STTS_SIMUL FROM BU_LOANTAPE_WORK.LT002_INSTRUMENT WHERE ref_date='${ref_date}' AND nome_perimetro='Individual Corporativo' AND segmento='ESTR' AND ambito='PM' AND entidade='00100')Y ON X.INSTRMNT_ID=Y.INSTRMNT_ID_SIMUL</v>
      </c>
      <c r="N209" s="38" t="s">
        <v>46</v>
      </c>
    </row>
    <row r="210" spans="2:14" hidden="1">
      <c r="B210" s="34" t="s">
        <v>126</v>
      </c>
      <c r="C210" s="34" t="s">
        <v>5</v>
      </c>
      <c r="D210" s="34" t="str">
        <f>+UPPER('0. Instruções'!$D$35&amp;"."&amp;VLOOKUP(B210,'0. Instruções'!$C$27:$D$32,2,FALSE))</f>
        <v>CD_LOAN_TAPES_BCE.LT002_INSTRUMENT</v>
      </c>
      <c r="E210" s="34" t="str">
        <f>+UPPER('0. Instruções'!$D$36&amp;"."&amp;VLOOKUP(B210,'0. Instruções'!$C$27:$E$32,3,FALSE))</f>
        <v>BU_LOANTAPE_WORK.LT002_INSTRUMENT</v>
      </c>
      <c r="F210" s="34" t="s">
        <v>498</v>
      </c>
      <c r="G210" s="34"/>
      <c r="H210" s="34" t="s">
        <v>649</v>
      </c>
      <c r="I210" s="34" t="str">
        <f>"(SELECT "&amp;VLOOKUP(B210,'0. Instruções'!$C$27:$G$32,4,FALSE)&amp;", "&amp;F210&amp;" FROM "&amp;D210&amp;" WHERE "&amp;'0. Instruções'!$D$42&amp;")X"</f>
        <v>(SELECT instrmnt_id, DPD_12M_PRFRMNG_STTS FROM CD_LOAN_TAPES_BCE.LT002_INSTRUMENT WHERE ref_date='${ref_date}' AND nome_perimetro='Individual Corporativo' AND segmento='ESTR' AND ambito='PM' AND entidade='00100')X</v>
      </c>
      <c r="J210" s="34" t="str">
        <f>"(SELECT "&amp;VLOOKUP(B210,'0. Instruções'!$C$27:$G$32,4,FALSE)&amp;" AS "&amp;VLOOKUP(B210,'0. Instruções'!$C$27:$G$32,4,FALSE)&amp;"_SIMUL, "&amp;F210&amp;" AS "&amp;F210&amp;"_SIMUL FROM "&amp;E210&amp;" WHERE "&amp;'0. Instruções'!$D$43&amp;")Y"</f>
        <v>(SELECT instrmnt_id AS instrmnt_id_SIMUL, DPD_12M_PRFRMNG_STTS AS DPD_12M_PRFRMNG_STTS_SIMUL FROM BU_LOANTAPE_WORK.LT002_INSTRUMENT WHERE ref_date='${ref_date}' AND nome_perimetro='Individual Corporativo' AND segmento='ESTR' AND ambito='PM' AND entidade='00100')Y</v>
      </c>
      <c r="K210" s="35" t="str">
        <f>+UPPER("ON X."&amp;VLOOKUP(B210,'0. Instruções'!$C$27:$G$32,4,FALSE)&amp;"=Y."&amp;VLOOKUP(B210,'0. Instruções'!$C$27:$G$32,4,FALSE)&amp;"_SIMUL")</f>
        <v>ON X.INSTRMNT_ID=Y.INSTRMNT_ID_SIMUL</v>
      </c>
      <c r="L210" s="35" t="str">
        <f>+IF(C210="Coerência", +IF(LEFT(G210,5)="FLOAT","SELECT '"&amp;UPPER(B210)&amp;"' AS TABELA, '"&amp;UPPER(C210)&amp;"' AS TIPOLOGIA_TESTE,'"&amp;D210&amp;"' AS TABELA_LT,'"&amp;E210&amp;"' AS TABELA_SIMUL,'"&amp;F210&amp;"' AS CAMPO, "&amp;"'${ref_date}' AS REF_DATE, COUNT(*) AS NUM_REG, SUM(IF((ABS(COALESCE(CAST(X."&amp;F210&amp;" AS DECIMAL(18,6)),0)-COALESCE(CAST(Y."&amp;F210&amp;"_SIMUL AS DECIMAL(18,6)),0))&gt;0.000001) OR (X."&amp;F210&amp;" IS NULL AND Y."&amp;F210&amp;"_SIMUL IS NOT NULL ) OR (X."&amp;F210&amp;" IS NOT NULL AND Y."&amp;F210&amp;"_SIMUL IS NULL),1,0)) AS NUM_REG_DIF,'"&amp;MAX('ID1&amp;5'!K:K)+1&amp;"' AS ID_EXEC, CURRENT_TIMESTAMP() AS TIME_EXEC FROM "&amp;I210&amp;" INNER JOIN "&amp;J210&amp;" "&amp;K210,"SELECT '"&amp;UPPER(B210)&amp;"' AS TABELA, '"&amp;UPPER(C210)&amp;"' AS TIPOLOGIA_TESTE,'"&amp;D210&amp;"' AS TABELA_LT,'"&amp;E210&amp;"' AS TABELA_SIMUL,'"&amp;F210&amp;"' AS CAMPO, "&amp;"'${ref_date}' AS REF_DATE, COUNT(*) AS NUM_REG, SUM(IF(COALESCE(CAST(X."&amp;F210&amp;" AS STRING),'')&lt;&gt;COALESCE(CAST(Y."&amp;F210&amp;"_SIMUL AS STRING),'') OR (X."&amp;F210&amp;" IS NULL AND Y."&amp;F210&amp;"_SIMUL IS NOT NULL ) OR (X."&amp;F210&amp;" IS NOT NULL AND Y."&amp;F210&amp;"_SIMUL IS NULL),1,0)) AS NUM_REG_DIF,'"&amp;MAX('ID1&amp;5'!L:L)+1&amp;"' AS ID_EXEC, CURRENT_TIMESTAMP() AS TIME_EXEC FROM "&amp;I210&amp;" INNER JOIN "&amp;J210&amp;" "&amp;K210),
IF(C210="Validade",+IF(G210="Code List","SELECT '"&amp;UPPER(B210)&amp;"' AS TABELA, '"&amp;UPPER(C210)&amp;"' AS TIPOLOGIA_TESTE,'"&amp;D210&amp;"' AS TABELA_LT,'N/A' AS TABELA_SIMUL,'"&amp;F210&amp;"' AS CAMPO, "&amp;"'${ref_date}' AS REF_DATE, COUNT(*) AS NUM_REG, SUM(IF(TRIM(CAST(X."&amp;F210&amp;" AS STRING))='' OR TRIM(CAST(X."&amp;F210&amp;" AS STRING)) IS NULL OR CAST(X."&amp;F210&amp;" AS STRING) NOT "&amp;H210&amp;",1,0)) AS NUM_REG_DIF,'"&amp;MAX('ID1&amp;5'!K:K)+1&amp;"' AS ID_EXEC, CURRENT_TIMESTAMP() AS TIME_EXEC FROM "&amp;I210,"SELECT '"&amp;UPPER(B210)&amp;"' AS TABELA, '"&amp;UPPER(C210)&amp;"' AS TIPOLOGIA_TESTE,'"&amp;D210&amp;"' AS TABELA_LT,'N/A' AS TABELA_SIMUL,'"&amp;F210&amp;"' AS CAMPO, "&amp;"'${ref_date}' AS REF_DATE, COUNT(*) AS NUM_REG, SUM(IF(TRIM(CAST(X."&amp;F210&amp;" AS STRING))='' OR TRIM(CAST(X."&amp;F210&amp;" AS STRING)) IS NULL,1,0)) AS NUM_REG_DIF,'"&amp;MAX('ID1&amp;5'!K:K)+1&amp;"' AS ID_EXEC, CURRENT_TIMESTAMP() AS TIME_EXEC FROM "&amp;I210),
IF(C210="Caracteres Especiais",+"SELECT '"&amp;UPPER(B210)&amp;"' AS TABELA, '"&amp;UPPER(C210)&amp;"' AS TIPOLOGIA_TESTE,'"&amp;D210&amp;"' AS TABELA_LT,'N/A' AS TABELA_SIMUL,'"&amp;F210&amp;"' AS CAMPO, "&amp;"'${ref_date}' AS REF_DATE, COUNT(*) AS NUM_REG, SUM(IF(REGEXP_REPLACE(TRIM(CAST(X."&amp;F210&amp;" AS STRING)),'[^a-zA-Z0-9_\\s]','') &lt;&gt;TRIM(CAST(X."&amp;F210&amp;" AS STRING)),1,0)) AS NUM_REG_DIF,'"&amp;MAX('ID1&amp;5'!K:K)+1&amp;"' AS ID_EXEC, CURRENT_TIMESTAMP() AS TIME_EXEC FROM "&amp;I210,
IF(C210="Missings",+"SELECT '"&amp;UPPER(B210)&amp;"' AS TABELA, '"&amp;UPPER(C210)&amp;"' AS TIPOLOGIA_TESTE,'"&amp;D210&amp;"' AS TABELA_LT,'N/A' AS TABELA_SIMUL,'"&amp;F210&amp;"' AS CAMPO, "&amp;"'${ref_date}' AS REF_DATE, COUNT(*) AS NUM_REG, SUM(IF(TRIM(CAST(X."&amp;F210&amp;" AS STRING)) IN ('0000-00-00','0001-01-01','9999-12-31','MISS','00000','99999999999','99999999999.00','99999999999.000000'),1,0)) AS NUM_REG_DIF,'"&amp;MAX('ID1&amp;5'!K:K)+1&amp;"' AS ID_EXEC, CURRENT_TIMESTAMP() AS TIME_EXEC FROM "&amp;I210,
IF(C210="Not applicable",+"SELECT '"&amp;UPPER(B210)&amp;"' AS TABELA, '"&amp;UPPER(C210)&amp;"' AS TIPOLOGIA_TESTE,'"&amp;D210&amp;"' AS TABELA_LT,'N/A' AS TABELA_SIMUL,'"&amp;F210&amp;"' AS CAMPO, "&amp;"'${ref_date}' AS REF_DATE, COUNT(*) AS NUM_REG, SUM(IF(TRIM(CAST(X."&amp;F210&amp;" AS STRING)) IN ('N/A','11111111111','11111111111.00','11111111111.000000','1111-11-11'),1,0)) AS NUM_REG_DIF,'"&amp;MAX('ID1&amp;5'!K:K)+1&amp;"' AS ID_EXEC, CURRENT_TIMESTAMP() AS TIME_EXEC FROM "&amp;I210,
IF(C210="Valores extremos",+"SELECT '"&amp;UPPER(B210)&amp;"' AS TABELA, '"&amp;UPPER(C210)&amp;"' AS TIPOLOGIA_TESTE,'"&amp;D210&amp;"' AS TABELA_LT,'N/A' AS TABELA_SIMUL,'"&amp;F210&amp;"' AS CAMPO, "&amp;"'${ref_date}' AS REF_DATE, CAST(MIN("&amp;F210&amp;") AS STRING) AS VALOR_MIN, CAST(MAX("&amp;F210&amp;") AS STRING) AS VALOR_MAX,'"&amp;MAX('ID1&amp;5'!K:K)+1&amp;"' AS ID_EXEC, CURRENT_TIMESTAMP() AS TIME_EXEC FROM "&amp;MID(I210,1,LEN(I210)-2)&amp;" AND CAST("&amp;F210&amp;"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TABELA_SIMUL,'DPD_12M_PRFRMNG_STTS' AS CAMPO, '${ref_date}' AS REF_DATE, COUNT(*) AS NUM_REG, SUM(IF(COALESCE(CAST(X.DPD_12M_PRFRMNG_STTS AS STRING),'')&lt;&gt;COALESCE(CAST(Y.DPD_12M_PRFRMNG_STTS_SIMUL AS STRING),'') OR (X.DPD_12M_PRFRMNG_STTS IS NULL AND Y.DPD_12M_PRFRMNG_STTS_SIMUL IS NOT NULL ) OR (X.DPD_12M_PRFRMNG_STTS IS NOT NULL AND Y.DPD_12M_PRFRMNG_STTS_SIMUL IS NULL),1,0)) AS NUM_REG_DIF,'1' AS ID_EXEC, CURRENT_TIMESTAMP() AS TIME_EXEC FROM (SELECT instrmnt_id, DPD_12M_PRFRMNG_STTS FROM CD_LOAN_TAPES_BCE.LT002_INSTRUMENT WHERE ref_date='${ref_date}' AND nome_perimetro='Individual Corporativo' AND segmento='ESTR' AND ambito='PM' AND entidade='00100')X INNER JOIN (SELECT instrmnt_id AS instrmnt_id_SIMUL, DPD_12M_PRFRMNG_STTS AS DPD_12M_PRFRMNG_STTS_SIMUL FROM BU_LOANTAPE_WORK.LT002_INSTRUMENT WHERE ref_date='${ref_date}' AND nome_perimetro='Individual Corporativo' AND segmento='ESTR' AND ambito='PM' AND entidade='00100')Y ON X.INSTRMNT_ID=Y.INSTRMNT_ID_SIMUL</v>
      </c>
      <c r="M210" s="36" t="str">
        <f t="shared" si="3"/>
        <v>UNION ALL SELECT 'INSTRUMENT' AS TABELA, 'COERÊNCIA' AS TIPOLOGIA_TESTE,'CD_LOAN_TAPES_BCE.LT002_INSTRUMENT' AS TABELA_LT,'BU_LOANTAPE_WORK.LT002_INSTRUMENT' AS TABELA_SIMUL,'DPD_12M_PRFRMNG_STTS' AS CAMPO, '${ref_date}' AS REF_DATE, COUNT(*) AS NUM_REG, SUM(IF(COALESCE(CAST(X.DPD_12M_PRFRMNG_STTS AS STRING),'')&lt;&gt;COALESCE(CAST(Y.DPD_12M_PRFRMNG_STTS_SIMUL AS STRING),'') OR (X.DPD_12M_PRFRMNG_STTS IS NULL AND Y.DPD_12M_PRFRMNG_STTS_SIMUL IS NOT NULL ) OR (X.DPD_12M_PRFRMNG_STTS IS NOT NULL AND Y.DPD_12M_PRFRMNG_STTS_SIMUL IS NULL),1,0)) AS NUM_REG_DIF,'1' AS ID_EXEC, CURRENT_TIMESTAMP() AS TIME_EXEC FROM (SELECT instrmnt_id, DPD_12M_PRFRMNG_STTS FROM CD_LOAN_TAPES_BCE.LT002_INSTRUMENT WHERE ref_date='${ref_date}' AND nome_perimetro='Individual Corporativo' AND segmento='ESTR' AND ambito='PM' AND entidade='00100')X INNER JOIN (SELECT instrmnt_id AS instrmnt_id_SIMUL, DPD_12M_PRFRMNG_STTS AS DPD_12M_PRFRMNG_STTS_SIMUL FROM BU_LOANTAPE_WORK.LT002_INSTRUMENT WHERE ref_date='${ref_date}' AND nome_perimetro='Individual Corporativo' AND segmento='ESTR' AND ambito='PM' AND entidade='00100')Y ON X.INSTRMNT_ID=Y.INSTRMNT_ID_SIMUL</v>
      </c>
      <c r="N210" s="38" t="s">
        <v>46</v>
      </c>
    </row>
    <row r="211" spans="2:14" hidden="1">
      <c r="B211" s="34" t="s">
        <v>126</v>
      </c>
      <c r="C211" s="34" t="s">
        <v>5</v>
      </c>
      <c r="D211" s="34" t="str">
        <f>+UPPER('0. Instruções'!$D$35&amp;"."&amp;VLOOKUP(B211,'0. Instruções'!$C$27:$D$32,2,FALSE))</f>
        <v>CD_LOAN_TAPES_BCE.LT002_INSTRUMENT</v>
      </c>
      <c r="E211" s="34" t="str">
        <f>+UPPER('0. Instruções'!$D$36&amp;"."&amp;VLOOKUP(B211,'0. Instruções'!$C$27:$E$32,3,FALSE))</f>
        <v>BU_LOANTAPE_WORK.LT002_INSTRUMENT</v>
      </c>
      <c r="F211" s="34" t="s">
        <v>499</v>
      </c>
      <c r="G211" s="34"/>
      <c r="H211" s="34" t="s">
        <v>649</v>
      </c>
      <c r="I211" s="34" t="str">
        <f>"(SELECT "&amp;VLOOKUP(B211,'0. Instruções'!$C$27:$G$32,4,FALSE)&amp;", "&amp;F211&amp;" FROM "&amp;D211&amp;" WHERE "&amp;'0. Instruções'!$D$42&amp;")X"</f>
        <v>(SELECT instrmnt_id, DPD_24M_FRBRNC_STTS FROM CD_LOAN_TAPES_BCE.LT002_INSTRUMENT WHERE ref_date='${ref_date}' AND nome_perimetro='Individual Corporativo' AND segmento='ESTR' AND ambito='PM' AND entidade='00100')X</v>
      </c>
      <c r="J211" s="34" t="str">
        <f>"(SELECT "&amp;VLOOKUP(B211,'0. Instruções'!$C$27:$G$32,4,FALSE)&amp;" AS "&amp;VLOOKUP(B211,'0. Instruções'!$C$27:$G$32,4,FALSE)&amp;"_SIMUL, "&amp;F211&amp;" AS "&amp;F211&amp;"_SIMUL FROM "&amp;E211&amp;" WHERE "&amp;'0. Instruções'!$D$43&amp;")Y"</f>
        <v>(SELECT instrmnt_id AS instrmnt_id_SIMUL, DPD_24M_FRBRNC_STTS AS DPD_24M_FRBRNC_STTS_SIMUL FROM BU_LOANTAPE_WORK.LT002_INSTRUMENT WHERE ref_date='${ref_date}' AND nome_perimetro='Individual Corporativo' AND segmento='ESTR' AND ambito='PM' AND entidade='00100')Y</v>
      </c>
      <c r="K211" s="35" t="str">
        <f>+UPPER("ON X."&amp;VLOOKUP(B211,'0. Instruções'!$C$27:$G$32,4,FALSE)&amp;"=Y."&amp;VLOOKUP(B211,'0. Instruções'!$C$27:$G$32,4,FALSE)&amp;"_SIMUL")</f>
        <v>ON X.INSTRMNT_ID=Y.INSTRMNT_ID_SIMUL</v>
      </c>
      <c r="L211" s="35" t="str">
        <f>+IF(C211="Coerência", +IF(LEFT(G211,5)="FLOAT","SELECT '"&amp;UPPER(B211)&amp;"' AS TABELA, '"&amp;UPPER(C211)&amp;"' AS TIPOLOGIA_TESTE,'"&amp;D211&amp;"' AS TABELA_LT,'"&amp;E211&amp;"' AS TABELA_SIMUL,'"&amp;F211&amp;"' AS CAMPO, "&amp;"'${ref_date}' AS REF_DATE, COUNT(*) AS NUM_REG, SUM(IF((ABS(COALESCE(CAST(X."&amp;F211&amp;" AS DECIMAL(18,6)),0)-COALESCE(CAST(Y."&amp;F211&amp;"_SIMUL AS DECIMAL(18,6)),0))&gt;0.000001) OR (X."&amp;F211&amp;" IS NULL AND Y."&amp;F211&amp;"_SIMUL IS NOT NULL ) OR (X."&amp;F211&amp;" IS NOT NULL AND Y."&amp;F211&amp;"_SIMUL IS NULL),1,0)) AS NUM_REG_DIF,'"&amp;MAX('ID1&amp;5'!K:K)+1&amp;"' AS ID_EXEC, CURRENT_TIMESTAMP() AS TIME_EXEC FROM "&amp;I211&amp;" INNER JOIN "&amp;J211&amp;" "&amp;K211,"SELECT '"&amp;UPPER(B211)&amp;"' AS TABELA, '"&amp;UPPER(C211)&amp;"' AS TIPOLOGIA_TESTE,'"&amp;D211&amp;"' AS TABELA_LT,'"&amp;E211&amp;"' AS TABELA_SIMUL,'"&amp;F211&amp;"' AS CAMPO, "&amp;"'${ref_date}' AS REF_DATE, COUNT(*) AS NUM_REG, SUM(IF(COALESCE(CAST(X."&amp;F211&amp;" AS STRING),'')&lt;&gt;COALESCE(CAST(Y."&amp;F211&amp;"_SIMUL AS STRING),'') OR (X."&amp;F211&amp;" IS NULL AND Y."&amp;F211&amp;"_SIMUL IS NOT NULL ) OR (X."&amp;F211&amp;" IS NOT NULL AND Y."&amp;F211&amp;"_SIMUL IS NULL),1,0)) AS NUM_REG_DIF,'"&amp;MAX('ID1&amp;5'!L:L)+1&amp;"' AS ID_EXEC, CURRENT_TIMESTAMP() AS TIME_EXEC FROM "&amp;I211&amp;" INNER JOIN "&amp;J211&amp;" "&amp;K211),
IF(C211="Validade",+IF(G211="Code List","SELECT '"&amp;UPPER(B211)&amp;"' AS TABELA, '"&amp;UPPER(C211)&amp;"' AS TIPOLOGIA_TESTE,'"&amp;D211&amp;"' AS TABELA_LT,'N/A' AS TABELA_SIMUL,'"&amp;F211&amp;"' AS CAMPO, "&amp;"'${ref_date}' AS REF_DATE, COUNT(*) AS NUM_REG, SUM(IF(TRIM(CAST(X."&amp;F211&amp;" AS STRING))='' OR TRIM(CAST(X."&amp;F211&amp;" AS STRING)) IS NULL OR CAST(X."&amp;F211&amp;" AS STRING) NOT "&amp;H211&amp;",1,0)) AS NUM_REG_DIF,'"&amp;MAX('ID1&amp;5'!K:K)+1&amp;"' AS ID_EXEC, CURRENT_TIMESTAMP() AS TIME_EXEC FROM "&amp;I211,"SELECT '"&amp;UPPER(B211)&amp;"' AS TABELA, '"&amp;UPPER(C211)&amp;"' AS TIPOLOGIA_TESTE,'"&amp;D211&amp;"' AS TABELA_LT,'N/A' AS TABELA_SIMUL,'"&amp;F211&amp;"' AS CAMPO, "&amp;"'${ref_date}' AS REF_DATE, COUNT(*) AS NUM_REG, SUM(IF(TRIM(CAST(X."&amp;F211&amp;" AS STRING))='' OR TRIM(CAST(X."&amp;F211&amp;" AS STRING)) IS NULL,1,0)) AS NUM_REG_DIF,'"&amp;MAX('ID1&amp;5'!K:K)+1&amp;"' AS ID_EXEC, CURRENT_TIMESTAMP() AS TIME_EXEC FROM "&amp;I211),
IF(C211="Caracteres Especiais",+"SELECT '"&amp;UPPER(B211)&amp;"' AS TABELA, '"&amp;UPPER(C211)&amp;"' AS TIPOLOGIA_TESTE,'"&amp;D211&amp;"' AS TABELA_LT,'N/A' AS TABELA_SIMUL,'"&amp;F211&amp;"' AS CAMPO, "&amp;"'${ref_date}' AS REF_DATE, COUNT(*) AS NUM_REG, SUM(IF(REGEXP_REPLACE(TRIM(CAST(X."&amp;F211&amp;" AS STRING)),'[^a-zA-Z0-9_\\s]','') &lt;&gt;TRIM(CAST(X."&amp;F211&amp;" AS STRING)),1,0)) AS NUM_REG_DIF,'"&amp;MAX('ID1&amp;5'!K:K)+1&amp;"' AS ID_EXEC, CURRENT_TIMESTAMP() AS TIME_EXEC FROM "&amp;I211,
IF(C211="Missings",+"SELECT '"&amp;UPPER(B211)&amp;"' AS TABELA, '"&amp;UPPER(C211)&amp;"' AS TIPOLOGIA_TESTE,'"&amp;D211&amp;"' AS TABELA_LT,'N/A' AS TABELA_SIMUL,'"&amp;F211&amp;"' AS CAMPO, "&amp;"'${ref_date}' AS REF_DATE, COUNT(*) AS NUM_REG, SUM(IF(TRIM(CAST(X."&amp;F211&amp;" AS STRING)) IN ('0000-00-00','0001-01-01','9999-12-31','MISS','00000','99999999999','99999999999.00','99999999999.000000'),1,0)) AS NUM_REG_DIF,'"&amp;MAX('ID1&amp;5'!K:K)+1&amp;"' AS ID_EXEC, CURRENT_TIMESTAMP() AS TIME_EXEC FROM "&amp;I211,
IF(C211="Not applicable",+"SELECT '"&amp;UPPER(B211)&amp;"' AS TABELA, '"&amp;UPPER(C211)&amp;"' AS TIPOLOGIA_TESTE,'"&amp;D211&amp;"' AS TABELA_LT,'N/A' AS TABELA_SIMUL,'"&amp;F211&amp;"' AS CAMPO, "&amp;"'${ref_date}' AS REF_DATE, COUNT(*) AS NUM_REG, SUM(IF(TRIM(CAST(X."&amp;F211&amp;" AS STRING)) IN ('N/A','11111111111','11111111111.00','11111111111.000000','1111-11-11'),1,0)) AS NUM_REG_DIF,'"&amp;MAX('ID1&amp;5'!K:K)+1&amp;"' AS ID_EXEC, CURRENT_TIMESTAMP() AS TIME_EXEC FROM "&amp;I211,
IF(C211="Valores extremos",+"SELECT '"&amp;UPPER(B211)&amp;"' AS TABELA, '"&amp;UPPER(C211)&amp;"' AS TIPOLOGIA_TESTE,'"&amp;D211&amp;"' AS TABELA_LT,'N/A' AS TABELA_SIMUL,'"&amp;F211&amp;"' AS CAMPO, "&amp;"'${ref_date}' AS REF_DATE, CAST(MIN("&amp;F211&amp;") AS STRING) AS VALOR_MIN, CAST(MAX("&amp;F211&amp;") AS STRING) AS VALOR_MAX,'"&amp;MAX('ID1&amp;5'!K:K)+1&amp;"' AS ID_EXEC, CURRENT_TIMESTAMP() AS TIME_EXEC FROM "&amp;MID(I211,1,LEN(I211)-2)&amp;" AND CAST("&amp;F211&amp;"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TABELA_SIMUL,'DPD_24M_FRBRNC_STTS' AS CAMPO, '${ref_date}' AS REF_DATE, COUNT(*) AS NUM_REG, SUM(IF(COALESCE(CAST(X.DPD_24M_FRBRNC_STTS AS STRING),'')&lt;&gt;COALESCE(CAST(Y.DPD_24M_FRBRNC_STTS_SIMUL AS STRING),'') OR (X.DPD_24M_FRBRNC_STTS IS NULL AND Y.DPD_24M_FRBRNC_STTS_SIMUL IS NOT NULL ) OR (X.DPD_24M_FRBRNC_STTS IS NOT NULL AND Y.DPD_24M_FRBRNC_STTS_SIMUL IS NULL),1,0)) AS NUM_REG_DIF,'1' AS ID_EXEC, CURRENT_TIMESTAMP() AS TIME_EXEC FROM (SELECT instrmnt_id, DPD_24M_FRBRNC_STTS FROM CD_LOAN_TAPES_BCE.LT002_INSTRUMENT WHERE ref_date='${ref_date}' AND nome_perimetro='Individual Corporativo' AND segmento='ESTR' AND ambito='PM' AND entidade='00100')X INNER JOIN (SELECT instrmnt_id AS instrmnt_id_SIMUL, DPD_24M_FRBRNC_STTS AS DPD_24M_FRBRNC_STTS_SIMUL FROM BU_LOANTAPE_WORK.LT002_INSTRUMENT WHERE ref_date='${ref_date}' AND nome_perimetro='Individual Corporativo' AND segmento='ESTR' AND ambito='PM' AND entidade='00100')Y ON X.INSTRMNT_ID=Y.INSTRMNT_ID_SIMUL</v>
      </c>
      <c r="M211" s="36" t="str">
        <f t="shared" si="3"/>
        <v>UNION ALL SELECT 'INSTRUMENT' AS TABELA, 'COERÊNCIA' AS TIPOLOGIA_TESTE,'CD_LOAN_TAPES_BCE.LT002_INSTRUMENT' AS TABELA_LT,'BU_LOANTAPE_WORK.LT002_INSTRUMENT' AS TABELA_SIMUL,'DPD_24M_FRBRNC_STTS' AS CAMPO, '${ref_date}' AS REF_DATE, COUNT(*) AS NUM_REG, SUM(IF(COALESCE(CAST(X.DPD_24M_FRBRNC_STTS AS STRING),'')&lt;&gt;COALESCE(CAST(Y.DPD_24M_FRBRNC_STTS_SIMUL AS STRING),'') OR (X.DPD_24M_FRBRNC_STTS IS NULL AND Y.DPD_24M_FRBRNC_STTS_SIMUL IS NOT NULL ) OR (X.DPD_24M_FRBRNC_STTS IS NOT NULL AND Y.DPD_24M_FRBRNC_STTS_SIMUL IS NULL),1,0)) AS NUM_REG_DIF,'1' AS ID_EXEC, CURRENT_TIMESTAMP() AS TIME_EXEC FROM (SELECT instrmnt_id, DPD_24M_FRBRNC_STTS FROM CD_LOAN_TAPES_BCE.LT002_INSTRUMENT WHERE ref_date='${ref_date}' AND nome_perimetro='Individual Corporativo' AND segmento='ESTR' AND ambito='PM' AND entidade='00100')X INNER JOIN (SELECT instrmnt_id AS instrmnt_id_SIMUL, DPD_24M_FRBRNC_STTS AS DPD_24M_FRBRNC_STTS_SIMUL FROM BU_LOANTAPE_WORK.LT002_INSTRUMENT WHERE ref_date='${ref_date}' AND nome_perimetro='Individual Corporativo' AND segmento='ESTR' AND ambito='PM' AND entidade='00100')Y ON X.INSTRMNT_ID=Y.INSTRMNT_ID_SIMUL</v>
      </c>
      <c r="N211" s="38" t="s">
        <v>46</v>
      </c>
    </row>
    <row r="212" spans="2:14" hidden="1">
      <c r="B212" s="34" t="s">
        <v>126</v>
      </c>
      <c r="C212" s="34" t="s">
        <v>5</v>
      </c>
      <c r="D212" s="34" t="str">
        <f>+UPPER('0. Instruções'!$D$35&amp;"."&amp;VLOOKUP(B212,'0. Instruções'!$C$27:$D$32,2,FALSE))</f>
        <v>CD_LOAN_TAPES_BCE.LT002_INSTRUMENT</v>
      </c>
      <c r="E212" s="34" t="str">
        <f>+UPPER('0. Instruções'!$D$36&amp;"."&amp;VLOOKUP(B212,'0. Instruções'!$C$27:$E$32,3,FALSE))</f>
        <v>BU_LOANTAPE_WORK.LT002_INSTRUMENT</v>
      </c>
      <c r="F212" s="34" t="s">
        <v>500</v>
      </c>
      <c r="G212" s="34"/>
      <c r="H212" s="34" t="s">
        <v>649</v>
      </c>
      <c r="I212" s="34" t="str">
        <f>"(SELECT "&amp;VLOOKUP(B212,'0. Instruções'!$C$27:$G$32,4,FALSE)&amp;", "&amp;F212&amp;" FROM "&amp;D212&amp;" WHERE "&amp;'0. Instruções'!$D$42&amp;")X"</f>
        <v>(SELECT instrmnt_id, DPD_24M_PRFRMNG_STTS FROM CD_LOAN_TAPES_BCE.LT002_INSTRUMENT WHERE ref_date='${ref_date}' AND nome_perimetro='Individual Corporativo' AND segmento='ESTR' AND ambito='PM' AND entidade='00100')X</v>
      </c>
      <c r="J212" s="34" t="str">
        <f>"(SELECT "&amp;VLOOKUP(B212,'0. Instruções'!$C$27:$G$32,4,FALSE)&amp;" AS "&amp;VLOOKUP(B212,'0. Instruções'!$C$27:$G$32,4,FALSE)&amp;"_SIMUL, "&amp;F212&amp;" AS "&amp;F212&amp;"_SIMUL FROM "&amp;E212&amp;" WHERE "&amp;'0. Instruções'!$D$43&amp;")Y"</f>
        <v>(SELECT instrmnt_id AS instrmnt_id_SIMUL, DPD_24M_PRFRMNG_STTS AS DPD_24M_PRFRMNG_STTS_SIMUL FROM BU_LOANTAPE_WORK.LT002_INSTRUMENT WHERE ref_date='${ref_date}' AND nome_perimetro='Individual Corporativo' AND segmento='ESTR' AND ambito='PM' AND entidade='00100')Y</v>
      </c>
      <c r="K212" s="35" t="str">
        <f>+UPPER("ON X."&amp;VLOOKUP(B212,'0. Instruções'!$C$27:$G$32,4,FALSE)&amp;"=Y."&amp;VLOOKUP(B212,'0. Instruções'!$C$27:$G$32,4,FALSE)&amp;"_SIMUL")</f>
        <v>ON X.INSTRMNT_ID=Y.INSTRMNT_ID_SIMUL</v>
      </c>
      <c r="L212" s="35" t="str">
        <f>+IF(C212="Coerência", +IF(LEFT(G212,5)="FLOAT","SELECT '"&amp;UPPER(B212)&amp;"' AS TABELA, '"&amp;UPPER(C212)&amp;"' AS TIPOLOGIA_TESTE,'"&amp;D212&amp;"' AS TABELA_LT,'"&amp;E212&amp;"' AS TABELA_SIMUL,'"&amp;F212&amp;"' AS CAMPO, "&amp;"'${ref_date}' AS REF_DATE, COUNT(*) AS NUM_REG, SUM(IF((ABS(COALESCE(CAST(X."&amp;F212&amp;" AS DECIMAL(18,6)),0)-COALESCE(CAST(Y."&amp;F212&amp;"_SIMUL AS DECIMAL(18,6)),0))&gt;0.000001) OR (X."&amp;F212&amp;" IS NULL AND Y."&amp;F212&amp;"_SIMUL IS NOT NULL ) OR (X."&amp;F212&amp;" IS NOT NULL AND Y."&amp;F212&amp;"_SIMUL IS NULL),1,0)) AS NUM_REG_DIF,'"&amp;MAX('ID1&amp;5'!K:K)+1&amp;"' AS ID_EXEC, CURRENT_TIMESTAMP() AS TIME_EXEC FROM "&amp;I212&amp;" INNER JOIN "&amp;J212&amp;" "&amp;K212,"SELECT '"&amp;UPPER(B212)&amp;"' AS TABELA, '"&amp;UPPER(C212)&amp;"' AS TIPOLOGIA_TESTE,'"&amp;D212&amp;"' AS TABELA_LT,'"&amp;E212&amp;"' AS TABELA_SIMUL,'"&amp;F212&amp;"' AS CAMPO, "&amp;"'${ref_date}' AS REF_DATE, COUNT(*) AS NUM_REG, SUM(IF(COALESCE(CAST(X."&amp;F212&amp;" AS STRING),'')&lt;&gt;COALESCE(CAST(Y."&amp;F212&amp;"_SIMUL AS STRING),'') OR (X."&amp;F212&amp;" IS NULL AND Y."&amp;F212&amp;"_SIMUL IS NOT NULL ) OR (X."&amp;F212&amp;" IS NOT NULL AND Y."&amp;F212&amp;"_SIMUL IS NULL),1,0)) AS NUM_REG_DIF,'"&amp;MAX('ID1&amp;5'!L:L)+1&amp;"' AS ID_EXEC, CURRENT_TIMESTAMP() AS TIME_EXEC FROM "&amp;I212&amp;" INNER JOIN "&amp;J212&amp;" "&amp;K212),
IF(C212="Validade",+IF(G212="Code List","SELECT '"&amp;UPPER(B212)&amp;"' AS TABELA, '"&amp;UPPER(C212)&amp;"' AS TIPOLOGIA_TESTE,'"&amp;D212&amp;"' AS TABELA_LT,'N/A' AS TABELA_SIMUL,'"&amp;F212&amp;"' AS CAMPO, "&amp;"'${ref_date}' AS REF_DATE, COUNT(*) AS NUM_REG, SUM(IF(TRIM(CAST(X."&amp;F212&amp;" AS STRING))='' OR TRIM(CAST(X."&amp;F212&amp;" AS STRING)) IS NULL OR CAST(X."&amp;F212&amp;" AS STRING) NOT "&amp;H212&amp;",1,0)) AS NUM_REG_DIF,'"&amp;MAX('ID1&amp;5'!K:K)+1&amp;"' AS ID_EXEC, CURRENT_TIMESTAMP() AS TIME_EXEC FROM "&amp;I212,"SELECT '"&amp;UPPER(B212)&amp;"' AS TABELA, '"&amp;UPPER(C212)&amp;"' AS TIPOLOGIA_TESTE,'"&amp;D212&amp;"' AS TABELA_LT,'N/A' AS TABELA_SIMUL,'"&amp;F212&amp;"' AS CAMPO, "&amp;"'${ref_date}' AS REF_DATE, COUNT(*) AS NUM_REG, SUM(IF(TRIM(CAST(X."&amp;F212&amp;" AS STRING))='' OR TRIM(CAST(X."&amp;F212&amp;" AS STRING)) IS NULL,1,0)) AS NUM_REG_DIF,'"&amp;MAX('ID1&amp;5'!K:K)+1&amp;"' AS ID_EXEC, CURRENT_TIMESTAMP() AS TIME_EXEC FROM "&amp;I212),
IF(C212="Caracteres Especiais",+"SELECT '"&amp;UPPER(B212)&amp;"' AS TABELA, '"&amp;UPPER(C212)&amp;"' AS TIPOLOGIA_TESTE,'"&amp;D212&amp;"' AS TABELA_LT,'N/A' AS TABELA_SIMUL,'"&amp;F212&amp;"' AS CAMPO, "&amp;"'${ref_date}' AS REF_DATE, COUNT(*) AS NUM_REG, SUM(IF(REGEXP_REPLACE(TRIM(CAST(X."&amp;F212&amp;" AS STRING)),'[^a-zA-Z0-9_\\s]','') &lt;&gt;TRIM(CAST(X."&amp;F212&amp;" AS STRING)),1,0)) AS NUM_REG_DIF,'"&amp;MAX('ID1&amp;5'!K:K)+1&amp;"' AS ID_EXEC, CURRENT_TIMESTAMP() AS TIME_EXEC FROM "&amp;I212,
IF(C212="Missings",+"SELECT '"&amp;UPPER(B212)&amp;"' AS TABELA, '"&amp;UPPER(C212)&amp;"' AS TIPOLOGIA_TESTE,'"&amp;D212&amp;"' AS TABELA_LT,'N/A' AS TABELA_SIMUL,'"&amp;F212&amp;"' AS CAMPO, "&amp;"'${ref_date}' AS REF_DATE, COUNT(*) AS NUM_REG, SUM(IF(TRIM(CAST(X."&amp;F212&amp;" AS STRING)) IN ('0000-00-00','0001-01-01','9999-12-31','MISS','00000','99999999999','99999999999.00','99999999999.000000'),1,0)) AS NUM_REG_DIF,'"&amp;MAX('ID1&amp;5'!K:K)+1&amp;"' AS ID_EXEC, CURRENT_TIMESTAMP() AS TIME_EXEC FROM "&amp;I212,
IF(C212="Not applicable",+"SELECT '"&amp;UPPER(B212)&amp;"' AS TABELA, '"&amp;UPPER(C212)&amp;"' AS TIPOLOGIA_TESTE,'"&amp;D212&amp;"' AS TABELA_LT,'N/A' AS TABELA_SIMUL,'"&amp;F212&amp;"' AS CAMPO, "&amp;"'${ref_date}' AS REF_DATE, COUNT(*) AS NUM_REG, SUM(IF(TRIM(CAST(X."&amp;F212&amp;" AS STRING)) IN ('N/A','11111111111','11111111111.00','11111111111.000000','1111-11-11'),1,0)) AS NUM_REG_DIF,'"&amp;MAX('ID1&amp;5'!K:K)+1&amp;"' AS ID_EXEC, CURRENT_TIMESTAMP() AS TIME_EXEC FROM "&amp;I212,
IF(C212="Valores extremos",+"SELECT '"&amp;UPPER(B212)&amp;"' AS TABELA, '"&amp;UPPER(C212)&amp;"' AS TIPOLOGIA_TESTE,'"&amp;D212&amp;"' AS TABELA_LT,'N/A' AS TABELA_SIMUL,'"&amp;F212&amp;"' AS CAMPO, "&amp;"'${ref_date}' AS REF_DATE, CAST(MIN("&amp;F212&amp;") AS STRING) AS VALOR_MIN, CAST(MAX("&amp;F212&amp;") AS STRING) AS VALOR_MAX,'"&amp;MAX('ID1&amp;5'!K:K)+1&amp;"' AS ID_EXEC, CURRENT_TIMESTAMP() AS TIME_EXEC FROM "&amp;MID(I212,1,LEN(I212)-2)&amp;" AND CAST("&amp;F212&amp;"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TABELA_SIMUL,'DPD_24M_PRFRMNG_STTS' AS CAMPO, '${ref_date}' AS REF_DATE, COUNT(*) AS NUM_REG, SUM(IF(COALESCE(CAST(X.DPD_24M_PRFRMNG_STTS AS STRING),'')&lt;&gt;COALESCE(CAST(Y.DPD_24M_PRFRMNG_STTS_SIMUL AS STRING),'') OR (X.DPD_24M_PRFRMNG_STTS IS NULL AND Y.DPD_24M_PRFRMNG_STTS_SIMUL IS NOT NULL ) OR (X.DPD_24M_PRFRMNG_STTS IS NOT NULL AND Y.DPD_24M_PRFRMNG_STTS_SIMUL IS NULL),1,0)) AS NUM_REG_DIF,'1' AS ID_EXEC, CURRENT_TIMESTAMP() AS TIME_EXEC FROM (SELECT instrmnt_id, DPD_24M_PRFRMNG_STTS FROM CD_LOAN_TAPES_BCE.LT002_INSTRUMENT WHERE ref_date='${ref_date}' AND nome_perimetro='Individual Corporativo' AND segmento='ESTR' AND ambito='PM' AND entidade='00100')X INNER JOIN (SELECT instrmnt_id AS instrmnt_id_SIMUL, DPD_24M_PRFRMNG_STTS AS DPD_24M_PRFRMNG_STTS_SIMUL FROM BU_LOANTAPE_WORK.LT002_INSTRUMENT WHERE ref_date='${ref_date}' AND nome_perimetro='Individual Corporativo' AND segmento='ESTR' AND ambito='PM' AND entidade='00100')Y ON X.INSTRMNT_ID=Y.INSTRMNT_ID_SIMUL</v>
      </c>
      <c r="M212" s="36" t="str">
        <f t="shared" si="3"/>
        <v>UNION ALL SELECT 'INSTRUMENT' AS TABELA, 'COERÊNCIA' AS TIPOLOGIA_TESTE,'CD_LOAN_TAPES_BCE.LT002_INSTRUMENT' AS TABELA_LT,'BU_LOANTAPE_WORK.LT002_INSTRUMENT' AS TABELA_SIMUL,'DPD_24M_PRFRMNG_STTS' AS CAMPO, '${ref_date}' AS REF_DATE, COUNT(*) AS NUM_REG, SUM(IF(COALESCE(CAST(X.DPD_24M_PRFRMNG_STTS AS STRING),'')&lt;&gt;COALESCE(CAST(Y.DPD_24M_PRFRMNG_STTS_SIMUL AS STRING),'') OR (X.DPD_24M_PRFRMNG_STTS IS NULL AND Y.DPD_24M_PRFRMNG_STTS_SIMUL IS NOT NULL ) OR (X.DPD_24M_PRFRMNG_STTS IS NOT NULL AND Y.DPD_24M_PRFRMNG_STTS_SIMUL IS NULL),1,0)) AS NUM_REG_DIF,'1' AS ID_EXEC, CURRENT_TIMESTAMP() AS TIME_EXEC FROM (SELECT instrmnt_id, DPD_24M_PRFRMNG_STTS FROM CD_LOAN_TAPES_BCE.LT002_INSTRUMENT WHERE ref_date='${ref_date}' AND nome_perimetro='Individual Corporativo' AND segmento='ESTR' AND ambito='PM' AND entidade='00100')X INNER JOIN (SELECT instrmnt_id AS instrmnt_id_SIMUL, DPD_24M_PRFRMNG_STTS AS DPD_24M_PRFRMNG_STTS_SIMUL FROM BU_LOANTAPE_WORK.LT002_INSTRUMENT WHERE ref_date='${ref_date}' AND nome_perimetro='Individual Corporativo' AND segmento='ESTR' AND ambito='PM' AND entidade='00100')Y ON X.INSTRMNT_ID=Y.INSTRMNT_ID_SIMUL</v>
      </c>
      <c r="N212" s="38" t="s">
        <v>46</v>
      </c>
    </row>
    <row r="213" spans="2:14" hidden="1">
      <c r="B213" s="34" t="s">
        <v>126</v>
      </c>
      <c r="C213" s="34" t="s">
        <v>5</v>
      </c>
      <c r="D213" s="34" t="str">
        <f>+UPPER('0. Instruções'!$D$35&amp;"."&amp;VLOOKUP(B213,'0. Instruções'!$C$27:$D$32,2,FALSE))</f>
        <v>CD_LOAN_TAPES_BCE.LT002_INSTRUMENT</v>
      </c>
      <c r="E213" s="34" t="str">
        <f>+UPPER('0. Instruções'!$D$36&amp;"."&amp;VLOOKUP(B213,'0. Instruções'!$C$27:$E$32,3,FALSE))</f>
        <v>BU_LOANTAPE_WORK.LT002_INSTRUMENT</v>
      </c>
      <c r="F213" s="34" t="s">
        <v>501</v>
      </c>
      <c r="G213" s="34"/>
      <c r="H213" s="34" t="s">
        <v>649</v>
      </c>
      <c r="I213" s="34" t="str">
        <f>"(SELECT "&amp;VLOOKUP(B213,'0. Instruções'!$C$27:$G$32,4,FALSE)&amp;", "&amp;F213&amp;" FROM "&amp;D213&amp;" WHERE "&amp;'0. Instruções'!$D$42&amp;")X"</f>
        <v>(SELECT instrmnt_id, DPD_FRBRNC_STTS FROM CD_LOAN_TAPES_BCE.LT002_INSTRUMENT WHERE ref_date='${ref_date}' AND nome_perimetro='Individual Corporativo' AND segmento='ESTR' AND ambito='PM' AND entidade='00100')X</v>
      </c>
      <c r="J213" s="34" t="str">
        <f>"(SELECT "&amp;VLOOKUP(B213,'0. Instruções'!$C$27:$G$32,4,FALSE)&amp;" AS "&amp;VLOOKUP(B213,'0. Instruções'!$C$27:$G$32,4,FALSE)&amp;"_SIMUL, "&amp;F213&amp;" AS "&amp;F213&amp;"_SIMUL FROM "&amp;E213&amp;" WHERE "&amp;'0. Instruções'!$D$43&amp;")Y"</f>
        <v>(SELECT instrmnt_id AS instrmnt_id_SIMUL, DPD_FRBRNC_STTS AS DPD_FRBRNC_STTS_SIMUL FROM BU_LOANTAPE_WORK.LT002_INSTRUMENT WHERE ref_date='${ref_date}' AND nome_perimetro='Individual Corporativo' AND segmento='ESTR' AND ambito='PM' AND entidade='00100')Y</v>
      </c>
      <c r="K213" s="35" t="str">
        <f>+UPPER("ON X."&amp;VLOOKUP(B213,'0. Instruções'!$C$27:$G$32,4,FALSE)&amp;"=Y."&amp;VLOOKUP(B213,'0. Instruções'!$C$27:$G$32,4,FALSE)&amp;"_SIMUL")</f>
        <v>ON X.INSTRMNT_ID=Y.INSTRMNT_ID_SIMUL</v>
      </c>
      <c r="L213" s="35" t="str">
        <f>+IF(C213="Coerência", +IF(LEFT(G213,5)="FLOAT","SELECT '"&amp;UPPER(B213)&amp;"' AS TABELA, '"&amp;UPPER(C213)&amp;"' AS TIPOLOGIA_TESTE,'"&amp;D213&amp;"' AS TABELA_LT,'"&amp;E213&amp;"' AS TABELA_SIMUL,'"&amp;F213&amp;"' AS CAMPO, "&amp;"'${ref_date}' AS REF_DATE, COUNT(*) AS NUM_REG, SUM(IF((ABS(COALESCE(CAST(X."&amp;F213&amp;" AS DECIMAL(18,6)),0)-COALESCE(CAST(Y."&amp;F213&amp;"_SIMUL AS DECIMAL(18,6)),0))&gt;0.000001) OR (X."&amp;F213&amp;" IS NULL AND Y."&amp;F213&amp;"_SIMUL IS NOT NULL ) OR (X."&amp;F213&amp;" IS NOT NULL AND Y."&amp;F213&amp;"_SIMUL IS NULL),1,0)) AS NUM_REG_DIF,'"&amp;MAX('ID1&amp;5'!K:K)+1&amp;"' AS ID_EXEC, CURRENT_TIMESTAMP() AS TIME_EXEC FROM "&amp;I213&amp;" INNER JOIN "&amp;J213&amp;" "&amp;K213,"SELECT '"&amp;UPPER(B213)&amp;"' AS TABELA, '"&amp;UPPER(C213)&amp;"' AS TIPOLOGIA_TESTE,'"&amp;D213&amp;"' AS TABELA_LT,'"&amp;E213&amp;"' AS TABELA_SIMUL,'"&amp;F213&amp;"' AS CAMPO, "&amp;"'${ref_date}' AS REF_DATE, COUNT(*) AS NUM_REG, SUM(IF(COALESCE(CAST(X."&amp;F213&amp;" AS STRING),'')&lt;&gt;COALESCE(CAST(Y."&amp;F213&amp;"_SIMUL AS STRING),'') OR (X."&amp;F213&amp;" IS NULL AND Y."&amp;F213&amp;"_SIMUL IS NOT NULL ) OR (X."&amp;F213&amp;" IS NOT NULL AND Y."&amp;F213&amp;"_SIMUL IS NULL),1,0)) AS NUM_REG_DIF,'"&amp;MAX('ID1&amp;5'!L:L)+1&amp;"' AS ID_EXEC, CURRENT_TIMESTAMP() AS TIME_EXEC FROM "&amp;I213&amp;" INNER JOIN "&amp;J213&amp;" "&amp;K213),
IF(C213="Validade",+IF(G213="Code List","SELECT '"&amp;UPPER(B213)&amp;"' AS TABELA, '"&amp;UPPER(C213)&amp;"' AS TIPOLOGIA_TESTE,'"&amp;D213&amp;"' AS TABELA_LT,'N/A' AS TABELA_SIMUL,'"&amp;F213&amp;"' AS CAMPO, "&amp;"'${ref_date}' AS REF_DATE, COUNT(*) AS NUM_REG, SUM(IF(TRIM(CAST(X."&amp;F213&amp;" AS STRING))='' OR TRIM(CAST(X."&amp;F213&amp;" AS STRING)) IS NULL OR CAST(X."&amp;F213&amp;" AS STRING) NOT "&amp;H213&amp;",1,0)) AS NUM_REG_DIF,'"&amp;MAX('ID1&amp;5'!K:K)+1&amp;"' AS ID_EXEC, CURRENT_TIMESTAMP() AS TIME_EXEC FROM "&amp;I213,"SELECT '"&amp;UPPER(B213)&amp;"' AS TABELA, '"&amp;UPPER(C213)&amp;"' AS TIPOLOGIA_TESTE,'"&amp;D213&amp;"' AS TABELA_LT,'N/A' AS TABELA_SIMUL,'"&amp;F213&amp;"' AS CAMPO, "&amp;"'${ref_date}' AS REF_DATE, COUNT(*) AS NUM_REG, SUM(IF(TRIM(CAST(X."&amp;F213&amp;" AS STRING))='' OR TRIM(CAST(X."&amp;F213&amp;" AS STRING)) IS NULL,1,0)) AS NUM_REG_DIF,'"&amp;MAX('ID1&amp;5'!K:K)+1&amp;"' AS ID_EXEC, CURRENT_TIMESTAMP() AS TIME_EXEC FROM "&amp;I213),
IF(C213="Caracteres Especiais",+"SELECT '"&amp;UPPER(B213)&amp;"' AS TABELA, '"&amp;UPPER(C213)&amp;"' AS TIPOLOGIA_TESTE,'"&amp;D213&amp;"' AS TABELA_LT,'N/A' AS TABELA_SIMUL,'"&amp;F213&amp;"' AS CAMPO, "&amp;"'${ref_date}' AS REF_DATE, COUNT(*) AS NUM_REG, SUM(IF(REGEXP_REPLACE(TRIM(CAST(X."&amp;F213&amp;" AS STRING)),'[^a-zA-Z0-9_\\s]','') &lt;&gt;TRIM(CAST(X."&amp;F213&amp;" AS STRING)),1,0)) AS NUM_REG_DIF,'"&amp;MAX('ID1&amp;5'!K:K)+1&amp;"' AS ID_EXEC, CURRENT_TIMESTAMP() AS TIME_EXEC FROM "&amp;I213,
IF(C213="Missings",+"SELECT '"&amp;UPPER(B213)&amp;"' AS TABELA, '"&amp;UPPER(C213)&amp;"' AS TIPOLOGIA_TESTE,'"&amp;D213&amp;"' AS TABELA_LT,'N/A' AS TABELA_SIMUL,'"&amp;F213&amp;"' AS CAMPO, "&amp;"'${ref_date}' AS REF_DATE, COUNT(*) AS NUM_REG, SUM(IF(TRIM(CAST(X."&amp;F213&amp;" AS STRING)) IN ('0000-00-00','0001-01-01','9999-12-31','MISS','00000','99999999999','99999999999.00','99999999999.000000'),1,0)) AS NUM_REG_DIF,'"&amp;MAX('ID1&amp;5'!K:K)+1&amp;"' AS ID_EXEC, CURRENT_TIMESTAMP() AS TIME_EXEC FROM "&amp;I213,
IF(C213="Not applicable",+"SELECT '"&amp;UPPER(B213)&amp;"' AS TABELA, '"&amp;UPPER(C213)&amp;"' AS TIPOLOGIA_TESTE,'"&amp;D213&amp;"' AS TABELA_LT,'N/A' AS TABELA_SIMUL,'"&amp;F213&amp;"' AS CAMPO, "&amp;"'${ref_date}' AS REF_DATE, COUNT(*) AS NUM_REG, SUM(IF(TRIM(CAST(X."&amp;F213&amp;" AS STRING)) IN ('N/A','11111111111','11111111111.00','11111111111.000000','1111-11-11'),1,0)) AS NUM_REG_DIF,'"&amp;MAX('ID1&amp;5'!K:K)+1&amp;"' AS ID_EXEC, CURRENT_TIMESTAMP() AS TIME_EXEC FROM "&amp;I213,
IF(C213="Valores extremos",+"SELECT '"&amp;UPPER(B213)&amp;"' AS TABELA, '"&amp;UPPER(C213)&amp;"' AS TIPOLOGIA_TESTE,'"&amp;D213&amp;"' AS TABELA_LT,'N/A' AS TABELA_SIMUL,'"&amp;F213&amp;"' AS CAMPO, "&amp;"'${ref_date}' AS REF_DATE, CAST(MIN("&amp;F213&amp;") AS STRING) AS VALOR_MIN, CAST(MAX("&amp;F213&amp;") AS STRING) AS VALOR_MAX,'"&amp;MAX('ID1&amp;5'!K:K)+1&amp;"' AS ID_EXEC, CURRENT_TIMESTAMP() AS TIME_EXEC FROM "&amp;MID(I213,1,LEN(I213)-2)&amp;" AND CAST("&amp;F213&amp;"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TABELA_SIMUL,'DPD_FRBRNC_STTS' AS CAMPO, '${ref_date}' AS REF_DATE, COUNT(*) AS NUM_REG, SUM(IF(COALESCE(CAST(X.DPD_FRBRNC_STTS AS STRING),'')&lt;&gt;COALESCE(CAST(Y.DPD_FRBRNC_STTS_SIMUL AS STRING),'') OR (X.DPD_FRBRNC_STTS IS NULL AND Y.DPD_FRBRNC_STTS_SIMUL IS NOT NULL ) OR (X.DPD_FRBRNC_STTS IS NOT NULL AND Y.DPD_FRBRNC_STTS_SIMUL IS NULL),1,0)) AS NUM_REG_DIF,'1' AS ID_EXEC, CURRENT_TIMESTAMP() AS TIME_EXEC FROM (SELECT instrmnt_id, DPD_FRBRNC_STTS FROM CD_LOAN_TAPES_BCE.LT002_INSTRUMENT WHERE ref_date='${ref_date}' AND nome_perimetro='Individual Corporativo' AND segmento='ESTR' AND ambito='PM' AND entidade='00100')X INNER JOIN (SELECT instrmnt_id AS instrmnt_id_SIMUL, DPD_FRBRNC_STTS AS DPD_FRBRNC_STTS_SIMUL FROM BU_LOANTAPE_WORK.LT002_INSTRUMENT WHERE ref_date='${ref_date}' AND nome_perimetro='Individual Corporativo' AND segmento='ESTR' AND ambito='PM' AND entidade='00100')Y ON X.INSTRMNT_ID=Y.INSTRMNT_ID_SIMUL</v>
      </c>
      <c r="M213" s="36" t="str">
        <f t="shared" si="3"/>
        <v>UNION ALL SELECT 'INSTRUMENT' AS TABELA, 'COERÊNCIA' AS TIPOLOGIA_TESTE,'CD_LOAN_TAPES_BCE.LT002_INSTRUMENT' AS TABELA_LT,'BU_LOANTAPE_WORK.LT002_INSTRUMENT' AS TABELA_SIMUL,'DPD_FRBRNC_STTS' AS CAMPO, '${ref_date}' AS REF_DATE, COUNT(*) AS NUM_REG, SUM(IF(COALESCE(CAST(X.DPD_FRBRNC_STTS AS STRING),'')&lt;&gt;COALESCE(CAST(Y.DPD_FRBRNC_STTS_SIMUL AS STRING),'') OR (X.DPD_FRBRNC_STTS IS NULL AND Y.DPD_FRBRNC_STTS_SIMUL IS NOT NULL ) OR (X.DPD_FRBRNC_STTS IS NOT NULL AND Y.DPD_FRBRNC_STTS_SIMUL IS NULL),1,0)) AS NUM_REG_DIF,'1' AS ID_EXEC, CURRENT_TIMESTAMP() AS TIME_EXEC FROM (SELECT instrmnt_id, DPD_FRBRNC_STTS FROM CD_LOAN_TAPES_BCE.LT002_INSTRUMENT WHERE ref_date='${ref_date}' AND nome_perimetro='Individual Corporativo' AND segmento='ESTR' AND ambito='PM' AND entidade='00100')X INNER JOIN (SELECT instrmnt_id AS instrmnt_id_SIMUL, DPD_FRBRNC_STTS AS DPD_FRBRNC_STTS_SIMUL FROM BU_LOANTAPE_WORK.LT002_INSTRUMENT WHERE ref_date='${ref_date}' AND nome_perimetro='Individual Corporativo' AND segmento='ESTR' AND ambito='PM' AND entidade='00100')Y ON X.INSTRMNT_ID=Y.INSTRMNT_ID_SIMUL</v>
      </c>
      <c r="N213" s="38" t="s">
        <v>46</v>
      </c>
    </row>
    <row r="214" spans="2:14" hidden="1">
      <c r="B214" s="34" t="s">
        <v>126</v>
      </c>
      <c r="C214" s="34" t="s">
        <v>5</v>
      </c>
      <c r="D214" s="34" t="str">
        <f>+UPPER('0. Instruções'!$D$35&amp;"."&amp;VLOOKUP(B214,'0. Instruções'!$C$27:$D$32,2,FALSE))</f>
        <v>CD_LOAN_TAPES_BCE.LT002_INSTRUMENT</v>
      </c>
      <c r="E214" s="34" t="str">
        <f>+UPPER('0. Instruções'!$D$36&amp;"."&amp;VLOOKUP(B214,'0. Instruções'!$C$27:$E$32,3,FALSE))</f>
        <v>BU_LOANTAPE_WORK.LT002_INSTRUMENT</v>
      </c>
      <c r="F214" s="34" t="s">
        <v>502</v>
      </c>
      <c r="G214" s="34"/>
      <c r="H214" s="34" t="s">
        <v>649</v>
      </c>
      <c r="I214" s="34" t="str">
        <f>"(SELECT "&amp;VLOOKUP(B214,'0. Instruções'!$C$27:$G$32,4,FALSE)&amp;", "&amp;F214&amp;" FROM "&amp;D214&amp;" WHERE "&amp;'0. Instruções'!$D$42&amp;")X"</f>
        <v>(SELECT instrmnt_id, DPD_PRFRMNG_STTS FROM CD_LOAN_TAPES_BCE.LT002_INSTRUMENT WHERE ref_date='${ref_date}' AND nome_perimetro='Individual Corporativo' AND segmento='ESTR' AND ambito='PM' AND entidade='00100')X</v>
      </c>
      <c r="J214" s="34" t="str">
        <f>"(SELECT "&amp;VLOOKUP(B214,'0. Instruções'!$C$27:$G$32,4,FALSE)&amp;" AS "&amp;VLOOKUP(B214,'0. Instruções'!$C$27:$G$32,4,FALSE)&amp;"_SIMUL, "&amp;F214&amp;" AS "&amp;F214&amp;"_SIMUL FROM "&amp;E214&amp;" WHERE "&amp;'0. Instruções'!$D$43&amp;")Y"</f>
        <v>(SELECT instrmnt_id AS instrmnt_id_SIMUL, DPD_PRFRMNG_STTS AS DPD_PRFRMNG_STTS_SIMUL FROM BU_LOANTAPE_WORK.LT002_INSTRUMENT WHERE ref_date='${ref_date}' AND nome_perimetro='Individual Corporativo' AND segmento='ESTR' AND ambito='PM' AND entidade='00100')Y</v>
      </c>
      <c r="K214" s="35" t="str">
        <f>+UPPER("ON X."&amp;VLOOKUP(B214,'0. Instruções'!$C$27:$G$32,4,FALSE)&amp;"=Y."&amp;VLOOKUP(B214,'0. Instruções'!$C$27:$G$32,4,FALSE)&amp;"_SIMUL")</f>
        <v>ON X.INSTRMNT_ID=Y.INSTRMNT_ID_SIMUL</v>
      </c>
      <c r="L214" s="35" t="str">
        <f>+IF(C214="Coerência", +IF(LEFT(G214,5)="FLOAT","SELECT '"&amp;UPPER(B214)&amp;"' AS TABELA, '"&amp;UPPER(C214)&amp;"' AS TIPOLOGIA_TESTE,'"&amp;D214&amp;"' AS TABELA_LT,'"&amp;E214&amp;"' AS TABELA_SIMUL,'"&amp;F214&amp;"' AS CAMPO, "&amp;"'${ref_date}' AS REF_DATE, COUNT(*) AS NUM_REG, SUM(IF((ABS(COALESCE(CAST(X."&amp;F214&amp;" AS DECIMAL(18,6)),0)-COALESCE(CAST(Y."&amp;F214&amp;"_SIMUL AS DECIMAL(18,6)),0))&gt;0.000001) OR (X."&amp;F214&amp;" IS NULL AND Y."&amp;F214&amp;"_SIMUL IS NOT NULL ) OR (X."&amp;F214&amp;" IS NOT NULL AND Y."&amp;F214&amp;"_SIMUL IS NULL),1,0)) AS NUM_REG_DIF,'"&amp;MAX('ID1&amp;5'!K:K)+1&amp;"' AS ID_EXEC, CURRENT_TIMESTAMP() AS TIME_EXEC FROM "&amp;I214&amp;" INNER JOIN "&amp;J214&amp;" "&amp;K214,"SELECT '"&amp;UPPER(B214)&amp;"' AS TABELA, '"&amp;UPPER(C214)&amp;"' AS TIPOLOGIA_TESTE,'"&amp;D214&amp;"' AS TABELA_LT,'"&amp;E214&amp;"' AS TABELA_SIMUL,'"&amp;F214&amp;"' AS CAMPO, "&amp;"'${ref_date}' AS REF_DATE, COUNT(*) AS NUM_REG, SUM(IF(COALESCE(CAST(X."&amp;F214&amp;" AS STRING),'')&lt;&gt;COALESCE(CAST(Y."&amp;F214&amp;"_SIMUL AS STRING),'') OR (X."&amp;F214&amp;" IS NULL AND Y."&amp;F214&amp;"_SIMUL IS NOT NULL ) OR (X."&amp;F214&amp;" IS NOT NULL AND Y."&amp;F214&amp;"_SIMUL IS NULL),1,0)) AS NUM_REG_DIF,'"&amp;MAX('ID1&amp;5'!L:L)+1&amp;"' AS ID_EXEC, CURRENT_TIMESTAMP() AS TIME_EXEC FROM "&amp;I214&amp;" INNER JOIN "&amp;J214&amp;" "&amp;K214),
IF(C214="Validade",+IF(G214="Code List","SELECT '"&amp;UPPER(B214)&amp;"' AS TABELA, '"&amp;UPPER(C214)&amp;"' AS TIPOLOGIA_TESTE,'"&amp;D214&amp;"' AS TABELA_LT,'N/A' AS TABELA_SIMUL,'"&amp;F214&amp;"' AS CAMPO, "&amp;"'${ref_date}' AS REF_DATE, COUNT(*) AS NUM_REG, SUM(IF(TRIM(CAST(X."&amp;F214&amp;" AS STRING))='' OR TRIM(CAST(X."&amp;F214&amp;" AS STRING)) IS NULL OR CAST(X."&amp;F214&amp;" AS STRING) NOT "&amp;H214&amp;",1,0)) AS NUM_REG_DIF,'"&amp;MAX('ID1&amp;5'!K:K)+1&amp;"' AS ID_EXEC, CURRENT_TIMESTAMP() AS TIME_EXEC FROM "&amp;I214,"SELECT '"&amp;UPPER(B214)&amp;"' AS TABELA, '"&amp;UPPER(C214)&amp;"' AS TIPOLOGIA_TESTE,'"&amp;D214&amp;"' AS TABELA_LT,'N/A' AS TABELA_SIMUL,'"&amp;F214&amp;"' AS CAMPO, "&amp;"'${ref_date}' AS REF_DATE, COUNT(*) AS NUM_REG, SUM(IF(TRIM(CAST(X."&amp;F214&amp;" AS STRING))='' OR TRIM(CAST(X."&amp;F214&amp;" AS STRING)) IS NULL,1,0)) AS NUM_REG_DIF,'"&amp;MAX('ID1&amp;5'!K:K)+1&amp;"' AS ID_EXEC, CURRENT_TIMESTAMP() AS TIME_EXEC FROM "&amp;I214),
IF(C214="Caracteres Especiais",+"SELECT '"&amp;UPPER(B214)&amp;"' AS TABELA, '"&amp;UPPER(C214)&amp;"' AS TIPOLOGIA_TESTE,'"&amp;D214&amp;"' AS TABELA_LT,'N/A' AS TABELA_SIMUL,'"&amp;F214&amp;"' AS CAMPO, "&amp;"'${ref_date}' AS REF_DATE, COUNT(*) AS NUM_REG, SUM(IF(REGEXP_REPLACE(TRIM(CAST(X."&amp;F214&amp;" AS STRING)),'[^a-zA-Z0-9_\\s]','') &lt;&gt;TRIM(CAST(X."&amp;F214&amp;" AS STRING)),1,0)) AS NUM_REG_DIF,'"&amp;MAX('ID1&amp;5'!K:K)+1&amp;"' AS ID_EXEC, CURRENT_TIMESTAMP() AS TIME_EXEC FROM "&amp;I214,
IF(C214="Missings",+"SELECT '"&amp;UPPER(B214)&amp;"' AS TABELA, '"&amp;UPPER(C214)&amp;"' AS TIPOLOGIA_TESTE,'"&amp;D214&amp;"' AS TABELA_LT,'N/A' AS TABELA_SIMUL,'"&amp;F214&amp;"' AS CAMPO, "&amp;"'${ref_date}' AS REF_DATE, COUNT(*) AS NUM_REG, SUM(IF(TRIM(CAST(X."&amp;F214&amp;" AS STRING)) IN ('0000-00-00','0001-01-01','9999-12-31','MISS','00000','99999999999','99999999999.00','99999999999.000000'),1,0)) AS NUM_REG_DIF,'"&amp;MAX('ID1&amp;5'!K:K)+1&amp;"' AS ID_EXEC, CURRENT_TIMESTAMP() AS TIME_EXEC FROM "&amp;I214,
IF(C214="Not applicable",+"SELECT '"&amp;UPPER(B214)&amp;"' AS TABELA, '"&amp;UPPER(C214)&amp;"' AS TIPOLOGIA_TESTE,'"&amp;D214&amp;"' AS TABELA_LT,'N/A' AS TABELA_SIMUL,'"&amp;F214&amp;"' AS CAMPO, "&amp;"'${ref_date}' AS REF_DATE, COUNT(*) AS NUM_REG, SUM(IF(TRIM(CAST(X."&amp;F214&amp;" AS STRING)) IN ('N/A','11111111111','11111111111.00','11111111111.000000','1111-11-11'),1,0)) AS NUM_REG_DIF,'"&amp;MAX('ID1&amp;5'!K:K)+1&amp;"' AS ID_EXEC, CURRENT_TIMESTAMP() AS TIME_EXEC FROM "&amp;I214,
IF(C214="Valores extremos",+"SELECT '"&amp;UPPER(B214)&amp;"' AS TABELA, '"&amp;UPPER(C214)&amp;"' AS TIPOLOGIA_TESTE,'"&amp;D214&amp;"' AS TABELA_LT,'N/A' AS TABELA_SIMUL,'"&amp;F214&amp;"' AS CAMPO, "&amp;"'${ref_date}' AS REF_DATE, CAST(MIN("&amp;F214&amp;") AS STRING) AS VALOR_MIN, CAST(MAX("&amp;F214&amp;") AS STRING) AS VALOR_MAX,'"&amp;MAX('ID1&amp;5'!K:K)+1&amp;"' AS ID_EXEC, CURRENT_TIMESTAMP() AS TIME_EXEC FROM "&amp;MID(I214,1,LEN(I214)-2)&amp;" AND CAST("&amp;F214&amp;"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TABELA_SIMUL,'DPD_PRFRMNG_STTS' AS CAMPO, '${ref_date}' AS REF_DATE, COUNT(*) AS NUM_REG, SUM(IF(COALESCE(CAST(X.DPD_PRFRMNG_STTS AS STRING),'')&lt;&gt;COALESCE(CAST(Y.DPD_PRFRMNG_STTS_SIMUL AS STRING),'') OR (X.DPD_PRFRMNG_STTS IS NULL AND Y.DPD_PRFRMNG_STTS_SIMUL IS NOT NULL ) OR (X.DPD_PRFRMNG_STTS IS NOT NULL AND Y.DPD_PRFRMNG_STTS_SIMUL IS NULL),1,0)) AS NUM_REG_DIF,'1' AS ID_EXEC, CURRENT_TIMESTAMP() AS TIME_EXEC FROM (SELECT instrmnt_id, DPD_PRFRMNG_STTS FROM CD_LOAN_TAPES_BCE.LT002_INSTRUMENT WHERE ref_date='${ref_date}' AND nome_perimetro='Individual Corporativo' AND segmento='ESTR' AND ambito='PM' AND entidade='00100')X INNER JOIN (SELECT instrmnt_id AS instrmnt_id_SIMUL, DPD_PRFRMNG_STTS AS DPD_PRFRMNG_STTS_SIMUL FROM BU_LOANTAPE_WORK.LT002_INSTRUMENT WHERE ref_date='${ref_date}' AND nome_perimetro='Individual Corporativo' AND segmento='ESTR' AND ambito='PM' AND entidade='00100')Y ON X.INSTRMNT_ID=Y.INSTRMNT_ID_SIMUL</v>
      </c>
      <c r="M214" s="36" t="str">
        <f t="shared" si="3"/>
        <v>UNION ALL SELECT 'INSTRUMENT' AS TABELA, 'COERÊNCIA' AS TIPOLOGIA_TESTE,'CD_LOAN_TAPES_BCE.LT002_INSTRUMENT' AS TABELA_LT,'BU_LOANTAPE_WORK.LT002_INSTRUMENT' AS TABELA_SIMUL,'DPD_PRFRMNG_STTS' AS CAMPO, '${ref_date}' AS REF_DATE, COUNT(*) AS NUM_REG, SUM(IF(COALESCE(CAST(X.DPD_PRFRMNG_STTS AS STRING),'')&lt;&gt;COALESCE(CAST(Y.DPD_PRFRMNG_STTS_SIMUL AS STRING),'') OR (X.DPD_PRFRMNG_STTS IS NULL AND Y.DPD_PRFRMNG_STTS_SIMUL IS NOT NULL ) OR (X.DPD_PRFRMNG_STTS IS NOT NULL AND Y.DPD_PRFRMNG_STTS_SIMUL IS NULL),1,0)) AS NUM_REG_DIF,'1' AS ID_EXEC, CURRENT_TIMESTAMP() AS TIME_EXEC FROM (SELECT instrmnt_id, DPD_PRFRMNG_STTS FROM CD_LOAN_TAPES_BCE.LT002_INSTRUMENT WHERE ref_date='${ref_date}' AND nome_perimetro='Individual Corporativo' AND segmento='ESTR' AND ambito='PM' AND entidade='00100')X INNER JOIN (SELECT instrmnt_id AS instrmnt_id_SIMUL, DPD_PRFRMNG_STTS AS DPD_PRFRMNG_STTS_SIMUL FROM BU_LOANTAPE_WORK.LT002_INSTRUMENT WHERE ref_date='${ref_date}' AND nome_perimetro='Individual Corporativo' AND segmento='ESTR' AND ambito='PM' AND entidade='00100')Y ON X.INSTRMNT_ID=Y.INSTRMNT_ID_SIMUL</v>
      </c>
      <c r="N214" s="38" t="s">
        <v>46</v>
      </c>
    </row>
    <row r="215" spans="2:14" hidden="1">
      <c r="B215" s="34" t="s">
        <v>126</v>
      </c>
      <c r="C215" s="34" t="s">
        <v>5</v>
      </c>
      <c r="D215" s="34" t="str">
        <f>+UPPER('0. Instruções'!$D$35&amp;"."&amp;VLOOKUP(B215,'0. Instruções'!$C$27:$D$32,2,FALSE))</f>
        <v>CD_LOAN_TAPES_BCE.LT002_INSTRUMENT</v>
      </c>
      <c r="E215" s="34" t="str">
        <f>+UPPER('0. Instruções'!$D$36&amp;"."&amp;VLOOKUP(B215,'0. Instruções'!$C$27:$E$32,3,FALSE))</f>
        <v>BU_LOANTAPE_WORK.LT002_INSTRUMENT</v>
      </c>
      <c r="F215" s="34" t="s">
        <v>503</v>
      </c>
      <c r="G215" s="34"/>
      <c r="H215" s="34" t="s">
        <v>645</v>
      </c>
      <c r="I215" s="34" t="str">
        <f>"(SELECT "&amp;VLOOKUP(B215,'0. Instruções'!$C$27:$G$32,4,FALSE)&amp;", "&amp;F215&amp;" FROM "&amp;D215&amp;" WHERE "&amp;'0. Instruções'!$D$42&amp;")X"</f>
        <v>(SELECT instrmnt_id, DT_IMPRMNT_STTS FROM CD_LOAN_TAPES_BCE.LT002_INSTRUMENT WHERE ref_date='${ref_date}' AND nome_perimetro='Individual Corporativo' AND segmento='ESTR' AND ambito='PM' AND entidade='00100')X</v>
      </c>
      <c r="J215" s="34" t="str">
        <f>"(SELECT "&amp;VLOOKUP(B215,'0. Instruções'!$C$27:$G$32,4,FALSE)&amp;" AS "&amp;VLOOKUP(B215,'0. Instruções'!$C$27:$G$32,4,FALSE)&amp;"_SIMUL, "&amp;F215&amp;" AS "&amp;F215&amp;"_SIMUL FROM "&amp;E215&amp;" WHERE "&amp;'0. Instruções'!$D$43&amp;")Y"</f>
        <v>(SELECT instrmnt_id AS instrmnt_id_SIMUL, DT_IMPRMNT_STTS AS DT_IMPRMNT_STTS_SIMUL FROM BU_LOANTAPE_WORK.LT002_INSTRUMENT WHERE ref_date='${ref_date}' AND nome_perimetro='Individual Corporativo' AND segmento='ESTR' AND ambito='PM' AND entidade='00100')Y</v>
      </c>
      <c r="K215" s="35" t="str">
        <f>+UPPER("ON X."&amp;VLOOKUP(B215,'0. Instruções'!$C$27:$G$32,4,FALSE)&amp;"=Y."&amp;VLOOKUP(B215,'0. Instruções'!$C$27:$G$32,4,FALSE)&amp;"_SIMUL")</f>
        <v>ON X.INSTRMNT_ID=Y.INSTRMNT_ID_SIMUL</v>
      </c>
      <c r="L215" s="35" t="str">
        <f>+IF(C215="Coerência", +IF(LEFT(G215,5)="FLOAT","SELECT '"&amp;UPPER(B215)&amp;"' AS TABELA, '"&amp;UPPER(C215)&amp;"' AS TIPOLOGIA_TESTE,'"&amp;D215&amp;"' AS TABELA_LT,'"&amp;E215&amp;"' AS TABELA_SIMUL,'"&amp;F215&amp;"' AS CAMPO, "&amp;"'${ref_date}' AS REF_DATE, COUNT(*) AS NUM_REG, SUM(IF((ABS(COALESCE(CAST(X."&amp;F215&amp;" AS DECIMAL(18,6)),0)-COALESCE(CAST(Y."&amp;F215&amp;"_SIMUL AS DECIMAL(18,6)),0))&gt;0.000001) OR (X."&amp;F215&amp;" IS NULL AND Y."&amp;F215&amp;"_SIMUL IS NOT NULL ) OR (X."&amp;F215&amp;" IS NOT NULL AND Y."&amp;F215&amp;"_SIMUL IS NULL),1,0)) AS NUM_REG_DIF,'"&amp;MAX('ID1&amp;5'!K:K)+1&amp;"' AS ID_EXEC, CURRENT_TIMESTAMP() AS TIME_EXEC FROM "&amp;I215&amp;" INNER JOIN "&amp;J215&amp;" "&amp;K215,"SELECT '"&amp;UPPER(B215)&amp;"' AS TABELA, '"&amp;UPPER(C215)&amp;"' AS TIPOLOGIA_TESTE,'"&amp;D215&amp;"' AS TABELA_LT,'"&amp;E215&amp;"' AS TABELA_SIMUL,'"&amp;F215&amp;"' AS CAMPO, "&amp;"'${ref_date}' AS REF_DATE, COUNT(*) AS NUM_REG, SUM(IF(COALESCE(CAST(X."&amp;F215&amp;" AS STRING),'')&lt;&gt;COALESCE(CAST(Y."&amp;F215&amp;"_SIMUL AS STRING),'') OR (X."&amp;F215&amp;" IS NULL AND Y."&amp;F215&amp;"_SIMUL IS NOT NULL ) OR (X."&amp;F215&amp;" IS NOT NULL AND Y."&amp;F215&amp;"_SIMUL IS NULL),1,0)) AS NUM_REG_DIF,'"&amp;MAX('ID1&amp;5'!L:L)+1&amp;"' AS ID_EXEC, CURRENT_TIMESTAMP() AS TIME_EXEC FROM "&amp;I215&amp;" INNER JOIN "&amp;J215&amp;" "&amp;K215),
IF(C215="Validade",+IF(G215="Code List","SELECT '"&amp;UPPER(B215)&amp;"' AS TABELA, '"&amp;UPPER(C215)&amp;"' AS TIPOLOGIA_TESTE,'"&amp;D215&amp;"' AS TABELA_LT,'N/A' AS TABELA_SIMUL,'"&amp;F215&amp;"' AS CAMPO, "&amp;"'${ref_date}' AS REF_DATE, COUNT(*) AS NUM_REG, SUM(IF(TRIM(CAST(X."&amp;F215&amp;" AS STRING))='' OR TRIM(CAST(X."&amp;F215&amp;" AS STRING)) IS NULL OR CAST(X."&amp;F215&amp;" AS STRING) NOT "&amp;H215&amp;",1,0)) AS NUM_REG_DIF,'"&amp;MAX('ID1&amp;5'!K:K)+1&amp;"' AS ID_EXEC, CURRENT_TIMESTAMP() AS TIME_EXEC FROM "&amp;I215,"SELECT '"&amp;UPPER(B215)&amp;"' AS TABELA, '"&amp;UPPER(C215)&amp;"' AS TIPOLOGIA_TESTE,'"&amp;D215&amp;"' AS TABELA_LT,'N/A' AS TABELA_SIMUL,'"&amp;F215&amp;"' AS CAMPO, "&amp;"'${ref_date}' AS REF_DATE, COUNT(*) AS NUM_REG, SUM(IF(TRIM(CAST(X."&amp;F215&amp;" AS STRING))='' OR TRIM(CAST(X."&amp;F215&amp;" AS STRING)) IS NULL,1,0)) AS NUM_REG_DIF,'"&amp;MAX('ID1&amp;5'!K:K)+1&amp;"' AS ID_EXEC, CURRENT_TIMESTAMP() AS TIME_EXEC FROM "&amp;I215),
IF(C215="Caracteres Especiais",+"SELECT '"&amp;UPPER(B215)&amp;"' AS TABELA, '"&amp;UPPER(C215)&amp;"' AS TIPOLOGIA_TESTE,'"&amp;D215&amp;"' AS TABELA_LT,'N/A' AS TABELA_SIMUL,'"&amp;F215&amp;"' AS CAMPO, "&amp;"'${ref_date}' AS REF_DATE, COUNT(*) AS NUM_REG, SUM(IF(REGEXP_REPLACE(TRIM(CAST(X."&amp;F215&amp;" AS STRING)),'[^a-zA-Z0-9_\\s]','') &lt;&gt;TRIM(CAST(X."&amp;F215&amp;" AS STRING)),1,0)) AS NUM_REG_DIF,'"&amp;MAX('ID1&amp;5'!K:K)+1&amp;"' AS ID_EXEC, CURRENT_TIMESTAMP() AS TIME_EXEC FROM "&amp;I215,
IF(C215="Missings",+"SELECT '"&amp;UPPER(B215)&amp;"' AS TABELA, '"&amp;UPPER(C215)&amp;"' AS TIPOLOGIA_TESTE,'"&amp;D215&amp;"' AS TABELA_LT,'N/A' AS TABELA_SIMUL,'"&amp;F215&amp;"' AS CAMPO, "&amp;"'${ref_date}' AS REF_DATE, COUNT(*) AS NUM_REG, SUM(IF(TRIM(CAST(X."&amp;F215&amp;" AS STRING)) IN ('0000-00-00','0001-01-01','9999-12-31','MISS','00000','99999999999','99999999999.00','99999999999.000000'),1,0)) AS NUM_REG_DIF,'"&amp;MAX('ID1&amp;5'!K:K)+1&amp;"' AS ID_EXEC, CURRENT_TIMESTAMP() AS TIME_EXEC FROM "&amp;I215,
IF(C215="Not applicable",+"SELECT '"&amp;UPPER(B215)&amp;"' AS TABELA, '"&amp;UPPER(C215)&amp;"' AS TIPOLOGIA_TESTE,'"&amp;D215&amp;"' AS TABELA_LT,'N/A' AS TABELA_SIMUL,'"&amp;F215&amp;"' AS CAMPO, "&amp;"'${ref_date}' AS REF_DATE, COUNT(*) AS NUM_REG, SUM(IF(TRIM(CAST(X."&amp;F215&amp;" AS STRING)) IN ('N/A','11111111111','11111111111.00','11111111111.000000','1111-11-11'),1,0)) AS NUM_REG_DIF,'"&amp;MAX('ID1&amp;5'!K:K)+1&amp;"' AS ID_EXEC, CURRENT_TIMESTAMP() AS TIME_EXEC FROM "&amp;I215,
IF(C215="Valores extremos",+"SELECT '"&amp;UPPER(B215)&amp;"' AS TABELA, '"&amp;UPPER(C215)&amp;"' AS TIPOLOGIA_TESTE,'"&amp;D215&amp;"' AS TABELA_LT,'N/A' AS TABELA_SIMUL,'"&amp;F215&amp;"' AS CAMPO, "&amp;"'${ref_date}' AS REF_DATE, CAST(MIN("&amp;F215&amp;") AS STRING) AS VALOR_MIN, CAST(MAX("&amp;F215&amp;") AS STRING) AS VALOR_MAX,'"&amp;MAX('ID1&amp;5'!K:K)+1&amp;"' AS ID_EXEC, CURRENT_TIMESTAMP() AS TIME_EXEC FROM "&amp;MID(I215,1,LEN(I215)-2)&amp;" AND CAST("&amp;F215&amp;"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TABELA_SIMUL,'DT_IMPRMNT_STTS' AS CAMPO, '${ref_date}' AS REF_DATE, COUNT(*) AS NUM_REG, SUM(IF(COALESCE(CAST(X.DT_IMPRMNT_STTS AS STRING),'')&lt;&gt;COALESCE(CAST(Y.DT_IMPRMNT_STTS_SIMUL AS STRING),'') OR (X.DT_IMPRMNT_STTS IS NULL AND Y.DT_IMPRMNT_STTS_SIMUL IS NOT NULL ) OR (X.DT_IMPRMNT_STTS IS NOT NULL AND Y.DT_IMPRMNT_STTS_SIMUL IS NULL),1,0)) AS NUM_REG_DIF,'1' AS ID_EXEC, CURRENT_TIMESTAMP() AS TIME_EXEC FROM (SELECT instrmnt_id, DT_IMPRMNT_STTS FROM CD_LOAN_TAPES_BCE.LT002_INSTRUMENT WHERE ref_date='${ref_date}' AND nome_perimetro='Individual Corporativo' AND segmento='ESTR' AND ambito='PM' AND entidade='00100')X INNER JOIN (SELECT instrmnt_id AS instrmnt_id_SIMUL, DT_IMPRMNT_STTS AS DT_IMPRMNT_STTS_SIMUL FROM BU_LOANTAPE_WORK.LT002_INSTRUMENT WHERE ref_date='${ref_date}' AND nome_perimetro='Individual Corporativo' AND segmento='ESTR' AND ambito='PM' AND entidade='00100')Y ON X.INSTRMNT_ID=Y.INSTRMNT_ID_SIMUL</v>
      </c>
      <c r="M215" s="36" t="str">
        <f t="shared" si="3"/>
        <v>UNION ALL SELECT 'INSTRUMENT' AS TABELA, 'COERÊNCIA' AS TIPOLOGIA_TESTE,'CD_LOAN_TAPES_BCE.LT002_INSTRUMENT' AS TABELA_LT,'BU_LOANTAPE_WORK.LT002_INSTRUMENT' AS TABELA_SIMUL,'DT_IMPRMNT_STTS' AS CAMPO, '${ref_date}' AS REF_DATE, COUNT(*) AS NUM_REG, SUM(IF(COALESCE(CAST(X.DT_IMPRMNT_STTS AS STRING),'')&lt;&gt;COALESCE(CAST(Y.DT_IMPRMNT_STTS_SIMUL AS STRING),'') OR (X.DT_IMPRMNT_STTS IS NULL AND Y.DT_IMPRMNT_STTS_SIMUL IS NOT NULL ) OR (X.DT_IMPRMNT_STTS IS NOT NULL AND Y.DT_IMPRMNT_STTS_SIMUL IS NULL),1,0)) AS NUM_REG_DIF,'1' AS ID_EXEC, CURRENT_TIMESTAMP() AS TIME_EXEC FROM (SELECT instrmnt_id, DT_IMPRMNT_STTS FROM CD_LOAN_TAPES_BCE.LT002_INSTRUMENT WHERE ref_date='${ref_date}' AND nome_perimetro='Individual Corporativo' AND segmento='ESTR' AND ambito='PM' AND entidade='00100')X INNER JOIN (SELECT instrmnt_id AS instrmnt_id_SIMUL, DT_IMPRMNT_STTS AS DT_IMPRMNT_STTS_SIMUL FROM BU_LOANTAPE_WORK.LT002_INSTRUMENT WHERE ref_date='${ref_date}' AND nome_perimetro='Individual Corporativo' AND segmento='ESTR' AND ambito='PM' AND entidade='00100')Y ON X.INSTRMNT_ID=Y.INSTRMNT_ID_SIMUL</v>
      </c>
      <c r="N215" s="38" t="s">
        <v>46</v>
      </c>
    </row>
    <row r="216" spans="2:14" hidden="1">
      <c r="B216" s="34" t="s">
        <v>126</v>
      </c>
      <c r="C216" s="34" t="s">
        <v>5</v>
      </c>
      <c r="D216" s="34" t="str">
        <f>+UPPER('0. Instruções'!$D$35&amp;"."&amp;VLOOKUP(B216,'0. Instruções'!$C$27:$D$32,2,FALSE))</f>
        <v>CD_LOAN_TAPES_BCE.LT002_INSTRUMENT</v>
      </c>
      <c r="E216" s="34" t="str">
        <f>+UPPER('0. Instruções'!$D$36&amp;"."&amp;VLOOKUP(B216,'0. Instruções'!$C$27:$E$32,3,FALSE))</f>
        <v>BU_LOANTAPE_WORK.LT002_INSTRUMENT</v>
      </c>
      <c r="F216" s="34" t="s">
        <v>504</v>
      </c>
      <c r="G216" s="34"/>
      <c r="H216" s="34" t="s">
        <v>645</v>
      </c>
      <c r="I216" s="34" t="str">
        <f>"(SELECT "&amp;VLOOKUP(B216,'0. Instruções'!$C$27:$G$32,4,FALSE)&amp;", "&amp;F216&amp;" FROM "&amp;D216&amp;" WHERE "&amp;'0. Instruções'!$D$42&amp;")X"</f>
        <v>(SELECT instrmnt_id, DT_IMPRMNT_STTS_PRVS FROM CD_LOAN_TAPES_BCE.LT002_INSTRUMENT WHERE ref_date='${ref_date}' AND nome_perimetro='Individual Corporativo' AND segmento='ESTR' AND ambito='PM' AND entidade='00100')X</v>
      </c>
      <c r="J216" s="34" t="str">
        <f>"(SELECT "&amp;VLOOKUP(B216,'0. Instruções'!$C$27:$G$32,4,FALSE)&amp;" AS "&amp;VLOOKUP(B216,'0. Instruções'!$C$27:$G$32,4,FALSE)&amp;"_SIMUL, "&amp;F216&amp;" AS "&amp;F216&amp;"_SIMUL FROM "&amp;E216&amp;" WHERE "&amp;'0. Instruções'!$D$43&amp;")Y"</f>
        <v>(SELECT instrmnt_id AS instrmnt_id_SIMUL, DT_IMPRMNT_STTS_PRVS AS DT_IMPRMNT_STTS_PRVS_SIMUL FROM BU_LOANTAPE_WORK.LT002_INSTRUMENT WHERE ref_date='${ref_date}' AND nome_perimetro='Individual Corporativo' AND segmento='ESTR' AND ambito='PM' AND entidade='00100')Y</v>
      </c>
      <c r="K216" s="35" t="str">
        <f>+UPPER("ON X."&amp;VLOOKUP(B216,'0. Instruções'!$C$27:$G$32,4,FALSE)&amp;"=Y."&amp;VLOOKUP(B216,'0. Instruções'!$C$27:$G$32,4,FALSE)&amp;"_SIMUL")</f>
        <v>ON X.INSTRMNT_ID=Y.INSTRMNT_ID_SIMUL</v>
      </c>
      <c r="L216" s="35" t="str">
        <f>+IF(C216="Coerência", +IF(LEFT(G216,5)="FLOAT","SELECT '"&amp;UPPER(B216)&amp;"' AS TABELA, '"&amp;UPPER(C216)&amp;"' AS TIPOLOGIA_TESTE,'"&amp;D216&amp;"' AS TABELA_LT,'"&amp;E216&amp;"' AS TABELA_SIMUL,'"&amp;F216&amp;"' AS CAMPO, "&amp;"'${ref_date}' AS REF_DATE, COUNT(*) AS NUM_REG, SUM(IF((ABS(COALESCE(CAST(X."&amp;F216&amp;" AS DECIMAL(18,6)),0)-COALESCE(CAST(Y."&amp;F216&amp;"_SIMUL AS DECIMAL(18,6)),0))&gt;0.000001) OR (X."&amp;F216&amp;" IS NULL AND Y."&amp;F216&amp;"_SIMUL IS NOT NULL ) OR (X."&amp;F216&amp;" IS NOT NULL AND Y."&amp;F216&amp;"_SIMUL IS NULL),1,0)) AS NUM_REG_DIF,'"&amp;MAX('ID1&amp;5'!K:K)+1&amp;"' AS ID_EXEC, CURRENT_TIMESTAMP() AS TIME_EXEC FROM "&amp;I216&amp;" INNER JOIN "&amp;J216&amp;" "&amp;K216,"SELECT '"&amp;UPPER(B216)&amp;"' AS TABELA, '"&amp;UPPER(C216)&amp;"' AS TIPOLOGIA_TESTE,'"&amp;D216&amp;"' AS TABELA_LT,'"&amp;E216&amp;"' AS TABELA_SIMUL,'"&amp;F216&amp;"' AS CAMPO, "&amp;"'${ref_date}' AS REF_DATE, COUNT(*) AS NUM_REG, SUM(IF(COALESCE(CAST(X."&amp;F216&amp;" AS STRING),'')&lt;&gt;COALESCE(CAST(Y."&amp;F216&amp;"_SIMUL AS STRING),'') OR (X."&amp;F216&amp;" IS NULL AND Y."&amp;F216&amp;"_SIMUL IS NOT NULL ) OR (X."&amp;F216&amp;" IS NOT NULL AND Y."&amp;F216&amp;"_SIMUL IS NULL),1,0)) AS NUM_REG_DIF,'"&amp;MAX('ID1&amp;5'!L:L)+1&amp;"' AS ID_EXEC, CURRENT_TIMESTAMP() AS TIME_EXEC FROM "&amp;I216&amp;" INNER JOIN "&amp;J216&amp;" "&amp;K216),
IF(C216="Validade",+IF(G216="Code List","SELECT '"&amp;UPPER(B216)&amp;"' AS TABELA, '"&amp;UPPER(C216)&amp;"' AS TIPOLOGIA_TESTE,'"&amp;D216&amp;"' AS TABELA_LT,'N/A' AS TABELA_SIMUL,'"&amp;F216&amp;"' AS CAMPO, "&amp;"'${ref_date}' AS REF_DATE, COUNT(*) AS NUM_REG, SUM(IF(TRIM(CAST(X."&amp;F216&amp;" AS STRING))='' OR TRIM(CAST(X."&amp;F216&amp;" AS STRING)) IS NULL OR CAST(X."&amp;F216&amp;" AS STRING) NOT "&amp;H216&amp;",1,0)) AS NUM_REG_DIF,'"&amp;MAX('ID1&amp;5'!K:K)+1&amp;"' AS ID_EXEC, CURRENT_TIMESTAMP() AS TIME_EXEC FROM "&amp;I216,"SELECT '"&amp;UPPER(B216)&amp;"' AS TABELA, '"&amp;UPPER(C216)&amp;"' AS TIPOLOGIA_TESTE,'"&amp;D216&amp;"' AS TABELA_LT,'N/A' AS TABELA_SIMUL,'"&amp;F216&amp;"' AS CAMPO, "&amp;"'${ref_date}' AS REF_DATE, COUNT(*) AS NUM_REG, SUM(IF(TRIM(CAST(X."&amp;F216&amp;" AS STRING))='' OR TRIM(CAST(X."&amp;F216&amp;" AS STRING)) IS NULL,1,0)) AS NUM_REG_DIF,'"&amp;MAX('ID1&amp;5'!K:K)+1&amp;"' AS ID_EXEC, CURRENT_TIMESTAMP() AS TIME_EXEC FROM "&amp;I216),
IF(C216="Caracteres Especiais",+"SELECT '"&amp;UPPER(B216)&amp;"' AS TABELA, '"&amp;UPPER(C216)&amp;"' AS TIPOLOGIA_TESTE,'"&amp;D216&amp;"' AS TABELA_LT,'N/A' AS TABELA_SIMUL,'"&amp;F216&amp;"' AS CAMPO, "&amp;"'${ref_date}' AS REF_DATE, COUNT(*) AS NUM_REG, SUM(IF(REGEXP_REPLACE(TRIM(CAST(X."&amp;F216&amp;" AS STRING)),'[^a-zA-Z0-9_\\s]','') &lt;&gt;TRIM(CAST(X."&amp;F216&amp;" AS STRING)),1,0)) AS NUM_REG_DIF,'"&amp;MAX('ID1&amp;5'!K:K)+1&amp;"' AS ID_EXEC, CURRENT_TIMESTAMP() AS TIME_EXEC FROM "&amp;I216,
IF(C216="Missings",+"SELECT '"&amp;UPPER(B216)&amp;"' AS TABELA, '"&amp;UPPER(C216)&amp;"' AS TIPOLOGIA_TESTE,'"&amp;D216&amp;"' AS TABELA_LT,'N/A' AS TABELA_SIMUL,'"&amp;F216&amp;"' AS CAMPO, "&amp;"'${ref_date}' AS REF_DATE, COUNT(*) AS NUM_REG, SUM(IF(TRIM(CAST(X."&amp;F216&amp;" AS STRING)) IN ('0000-00-00','0001-01-01','9999-12-31','MISS','00000','99999999999','99999999999.00','99999999999.000000'),1,0)) AS NUM_REG_DIF,'"&amp;MAX('ID1&amp;5'!K:K)+1&amp;"' AS ID_EXEC, CURRENT_TIMESTAMP() AS TIME_EXEC FROM "&amp;I216,
IF(C216="Not applicable",+"SELECT '"&amp;UPPER(B216)&amp;"' AS TABELA, '"&amp;UPPER(C216)&amp;"' AS TIPOLOGIA_TESTE,'"&amp;D216&amp;"' AS TABELA_LT,'N/A' AS TABELA_SIMUL,'"&amp;F216&amp;"' AS CAMPO, "&amp;"'${ref_date}' AS REF_DATE, COUNT(*) AS NUM_REG, SUM(IF(TRIM(CAST(X."&amp;F216&amp;" AS STRING)) IN ('N/A','11111111111','11111111111.00','11111111111.000000','1111-11-11'),1,0)) AS NUM_REG_DIF,'"&amp;MAX('ID1&amp;5'!K:K)+1&amp;"' AS ID_EXEC, CURRENT_TIMESTAMP() AS TIME_EXEC FROM "&amp;I216,
IF(C216="Valores extremos",+"SELECT '"&amp;UPPER(B216)&amp;"' AS TABELA, '"&amp;UPPER(C216)&amp;"' AS TIPOLOGIA_TESTE,'"&amp;D216&amp;"' AS TABELA_LT,'N/A' AS TABELA_SIMUL,'"&amp;F216&amp;"' AS CAMPO, "&amp;"'${ref_date}' AS REF_DATE, CAST(MIN("&amp;F216&amp;") AS STRING) AS VALOR_MIN, CAST(MAX("&amp;F216&amp;") AS STRING) AS VALOR_MAX,'"&amp;MAX('ID1&amp;5'!K:K)+1&amp;"' AS ID_EXEC, CURRENT_TIMESTAMP() AS TIME_EXEC FROM "&amp;MID(I216,1,LEN(I216)-2)&amp;" AND CAST("&amp;F216&amp;"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TABELA_SIMUL,'DT_IMPRMNT_STTS_PRVS' AS CAMPO, '${ref_date}' AS REF_DATE, COUNT(*) AS NUM_REG, SUM(IF(COALESCE(CAST(X.DT_IMPRMNT_STTS_PRVS AS STRING),'')&lt;&gt;COALESCE(CAST(Y.DT_IMPRMNT_STTS_PRVS_SIMUL AS STRING),'') OR (X.DT_IMPRMNT_STTS_PRVS IS NULL AND Y.DT_IMPRMNT_STTS_PRVS_SIMUL IS NOT NULL ) OR (X.DT_IMPRMNT_STTS_PRVS IS NOT NULL AND Y.DT_IMPRMNT_STTS_PRVS_SIMUL IS NULL),1,0)) AS NUM_REG_DIF,'1' AS ID_EXEC, CURRENT_TIMESTAMP() AS TIME_EXEC FROM (SELECT instrmnt_id, DT_IMPRMNT_STTS_PRVS FROM CD_LOAN_TAPES_BCE.LT002_INSTRUMENT WHERE ref_date='${ref_date}' AND nome_perimetro='Individual Corporativo' AND segmento='ESTR' AND ambito='PM' AND entidade='00100')X INNER JOIN (SELECT instrmnt_id AS instrmnt_id_SIMUL, DT_IMPRMNT_STTS_PRVS AS DT_IMPRMNT_STTS_PRVS_SIMUL FROM BU_LOANTAPE_WORK.LT002_INSTRUMENT WHERE ref_date='${ref_date}' AND nome_perimetro='Individual Corporativo' AND segmento='ESTR' AND ambito='PM' AND entidade='00100')Y ON X.INSTRMNT_ID=Y.INSTRMNT_ID_SIMUL</v>
      </c>
      <c r="M216" s="36" t="str">
        <f t="shared" si="3"/>
        <v>UNION ALL SELECT 'INSTRUMENT' AS TABELA, 'COERÊNCIA' AS TIPOLOGIA_TESTE,'CD_LOAN_TAPES_BCE.LT002_INSTRUMENT' AS TABELA_LT,'BU_LOANTAPE_WORK.LT002_INSTRUMENT' AS TABELA_SIMUL,'DT_IMPRMNT_STTS_PRVS' AS CAMPO, '${ref_date}' AS REF_DATE, COUNT(*) AS NUM_REG, SUM(IF(COALESCE(CAST(X.DT_IMPRMNT_STTS_PRVS AS STRING),'')&lt;&gt;COALESCE(CAST(Y.DT_IMPRMNT_STTS_PRVS_SIMUL AS STRING),'') OR (X.DT_IMPRMNT_STTS_PRVS IS NULL AND Y.DT_IMPRMNT_STTS_PRVS_SIMUL IS NOT NULL ) OR (X.DT_IMPRMNT_STTS_PRVS IS NOT NULL AND Y.DT_IMPRMNT_STTS_PRVS_SIMUL IS NULL),1,0)) AS NUM_REG_DIF,'1' AS ID_EXEC, CURRENT_TIMESTAMP() AS TIME_EXEC FROM (SELECT instrmnt_id, DT_IMPRMNT_STTS_PRVS FROM CD_LOAN_TAPES_BCE.LT002_INSTRUMENT WHERE ref_date='${ref_date}' AND nome_perimetro='Individual Corporativo' AND segmento='ESTR' AND ambito='PM' AND entidade='00100')X INNER JOIN (SELECT instrmnt_id AS instrmnt_id_SIMUL, DT_IMPRMNT_STTS_PRVS AS DT_IMPRMNT_STTS_PRVS_SIMUL FROM BU_LOANTAPE_WORK.LT002_INSTRUMENT WHERE ref_date='${ref_date}' AND nome_perimetro='Individual Corporativo' AND segmento='ESTR' AND ambito='PM' AND entidade='00100')Y ON X.INSTRMNT_ID=Y.INSTRMNT_ID_SIMUL</v>
      </c>
      <c r="N216" s="38" t="s">
        <v>46</v>
      </c>
    </row>
    <row r="217" spans="2:14" hidden="1">
      <c r="B217" s="34" t="s">
        <v>126</v>
      </c>
      <c r="C217" s="34" t="s">
        <v>5</v>
      </c>
      <c r="D217" s="34" t="str">
        <f>+UPPER('0. Instruções'!$D$35&amp;"."&amp;VLOOKUP(B217,'0. Instruções'!$C$27:$D$32,2,FALSE))</f>
        <v>CD_LOAN_TAPES_BCE.LT002_INSTRUMENT</v>
      </c>
      <c r="E217" s="34" t="str">
        <f>+UPPER('0. Instruções'!$D$36&amp;"."&amp;VLOOKUP(B217,'0. Instruções'!$C$27:$E$32,3,FALSE))</f>
        <v>BU_LOANTAPE_WORK.LT002_INSTRUMENT</v>
      </c>
      <c r="F217" s="34" t="s">
        <v>505</v>
      </c>
      <c r="G217" s="34"/>
      <c r="H217" s="34" t="s">
        <v>645</v>
      </c>
      <c r="I217" s="34" t="str">
        <f>"(SELECT "&amp;VLOOKUP(B217,'0. Instruções'!$C$27:$G$32,4,FALSE)&amp;", "&amp;F217&amp;" FROM "&amp;D217&amp;" WHERE "&amp;'0. Instruções'!$D$42&amp;")X"</f>
        <v>(SELECT instrmnt_id, DT_PST_D FROM CD_LOAN_TAPES_BCE.LT002_INSTRUMENT WHERE ref_date='${ref_date}' AND nome_perimetro='Individual Corporativo' AND segmento='ESTR' AND ambito='PM' AND entidade='00100')X</v>
      </c>
      <c r="J217" s="34" t="str">
        <f>"(SELECT "&amp;VLOOKUP(B217,'0. Instruções'!$C$27:$G$32,4,FALSE)&amp;" AS "&amp;VLOOKUP(B217,'0. Instruções'!$C$27:$G$32,4,FALSE)&amp;"_SIMUL, "&amp;F217&amp;" AS "&amp;F217&amp;"_SIMUL FROM "&amp;E217&amp;" WHERE "&amp;'0. Instruções'!$D$43&amp;")Y"</f>
        <v>(SELECT instrmnt_id AS instrmnt_id_SIMUL, DT_PST_D AS DT_PST_D_SIMUL FROM BU_LOANTAPE_WORK.LT002_INSTRUMENT WHERE ref_date='${ref_date}' AND nome_perimetro='Individual Corporativo' AND segmento='ESTR' AND ambito='PM' AND entidade='00100')Y</v>
      </c>
      <c r="K217" s="35" t="str">
        <f>+UPPER("ON X."&amp;VLOOKUP(B217,'0. Instruções'!$C$27:$G$32,4,FALSE)&amp;"=Y."&amp;VLOOKUP(B217,'0. Instruções'!$C$27:$G$32,4,FALSE)&amp;"_SIMUL")</f>
        <v>ON X.INSTRMNT_ID=Y.INSTRMNT_ID_SIMUL</v>
      </c>
      <c r="L217" s="35" t="str">
        <f>+IF(C217="Coerência", +IF(LEFT(G217,5)="FLOAT","SELECT '"&amp;UPPER(B217)&amp;"' AS TABELA, '"&amp;UPPER(C217)&amp;"' AS TIPOLOGIA_TESTE,'"&amp;D217&amp;"' AS TABELA_LT,'"&amp;E217&amp;"' AS TABELA_SIMUL,'"&amp;F217&amp;"' AS CAMPO, "&amp;"'${ref_date}' AS REF_DATE, COUNT(*) AS NUM_REG, SUM(IF((ABS(COALESCE(CAST(X."&amp;F217&amp;" AS DECIMAL(18,6)),0)-COALESCE(CAST(Y."&amp;F217&amp;"_SIMUL AS DECIMAL(18,6)),0))&gt;0.000001) OR (X."&amp;F217&amp;" IS NULL AND Y."&amp;F217&amp;"_SIMUL IS NOT NULL ) OR (X."&amp;F217&amp;" IS NOT NULL AND Y."&amp;F217&amp;"_SIMUL IS NULL),1,0)) AS NUM_REG_DIF,'"&amp;MAX('ID1&amp;5'!K:K)+1&amp;"' AS ID_EXEC, CURRENT_TIMESTAMP() AS TIME_EXEC FROM "&amp;I217&amp;" INNER JOIN "&amp;J217&amp;" "&amp;K217,"SELECT '"&amp;UPPER(B217)&amp;"' AS TABELA, '"&amp;UPPER(C217)&amp;"' AS TIPOLOGIA_TESTE,'"&amp;D217&amp;"' AS TABELA_LT,'"&amp;E217&amp;"' AS TABELA_SIMUL,'"&amp;F217&amp;"' AS CAMPO, "&amp;"'${ref_date}' AS REF_DATE, COUNT(*) AS NUM_REG, SUM(IF(COALESCE(CAST(X."&amp;F217&amp;" AS STRING),'')&lt;&gt;COALESCE(CAST(Y."&amp;F217&amp;"_SIMUL AS STRING),'') OR (X."&amp;F217&amp;" IS NULL AND Y."&amp;F217&amp;"_SIMUL IS NOT NULL ) OR (X."&amp;F217&amp;" IS NOT NULL AND Y."&amp;F217&amp;"_SIMUL IS NULL),1,0)) AS NUM_REG_DIF,'"&amp;MAX('ID1&amp;5'!L:L)+1&amp;"' AS ID_EXEC, CURRENT_TIMESTAMP() AS TIME_EXEC FROM "&amp;I217&amp;" INNER JOIN "&amp;J217&amp;" "&amp;K217),
IF(C217="Validade",+IF(G217="Code List","SELECT '"&amp;UPPER(B217)&amp;"' AS TABELA, '"&amp;UPPER(C217)&amp;"' AS TIPOLOGIA_TESTE,'"&amp;D217&amp;"' AS TABELA_LT,'N/A' AS TABELA_SIMUL,'"&amp;F217&amp;"' AS CAMPO, "&amp;"'${ref_date}' AS REF_DATE, COUNT(*) AS NUM_REG, SUM(IF(TRIM(CAST(X."&amp;F217&amp;" AS STRING))='' OR TRIM(CAST(X."&amp;F217&amp;" AS STRING)) IS NULL OR CAST(X."&amp;F217&amp;" AS STRING) NOT "&amp;H217&amp;",1,0)) AS NUM_REG_DIF,'"&amp;MAX('ID1&amp;5'!K:K)+1&amp;"' AS ID_EXEC, CURRENT_TIMESTAMP() AS TIME_EXEC FROM "&amp;I217,"SELECT '"&amp;UPPER(B217)&amp;"' AS TABELA, '"&amp;UPPER(C217)&amp;"' AS TIPOLOGIA_TESTE,'"&amp;D217&amp;"' AS TABELA_LT,'N/A' AS TABELA_SIMUL,'"&amp;F217&amp;"' AS CAMPO, "&amp;"'${ref_date}' AS REF_DATE, COUNT(*) AS NUM_REG, SUM(IF(TRIM(CAST(X."&amp;F217&amp;" AS STRING))='' OR TRIM(CAST(X."&amp;F217&amp;" AS STRING)) IS NULL,1,0)) AS NUM_REG_DIF,'"&amp;MAX('ID1&amp;5'!K:K)+1&amp;"' AS ID_EXEC, CURRENT_TIMESTAMP() AS TIME_EXEC FROM "&amp;I217),
IF(C217="Caracteres Especiais",+"SELECT '"&amp;UPPER(B217)&amp;"' AS TABELA, '"&amp;UPPER(C217)&amp;"' AS TIPOLOGIA_TESTE,'"&amp;D217&amp;"' AS TABELA_LT,'N/A' AS TABELA_SIMUL,'"&amp;F217&amp;"' AS CAMPO, "&amp;"'${ref_date}' AS REF_DATE, COUNT(*) AS NUM_REG, SUM(IF(REGEXP_REPLACE(TRIM(CAST(X."&amp;F217&amp;" AS STRING)),'[^a-zA-Z0-9_\\s]','') &lt;&gt;TRIM(CAST(X."&amp;F217&amp;" AS STRING)),1,0)) AS NUM_REG_DIF,'"&amp;MAX('ID1&amp;5'!K:K)+1&amp;"' AS ID_EXEC, CURRENT_TIMESTAMP() AS TIME_EXEC FROM "&amp;I217,
IF(C217="Missings",+"SELECT '"&amp;UPPER(B217)&amp;"' AS TABELA, '"&amp;UPPER(C217)&amp;"' AS TIPOLOGIA_TESTE,'"&amp;D217&amp;"' AS TABELA_LT,'N/A' AS TABELA_SIMUL,'"&amp;F217&amp;"' AS CAMPO, "&amp;"'${ref_date}' AS REF_DATE, COUNT(*) AS NUM_REG, SUM(IF(TRIM(CAST(X."&amp;F217&amp;" AS STRING)) IN ('0000-00-00','0001-01-01','9999-12-31','MISS','00000','99999999999','99999999999.00','99999999999.000000'),1,0)) AS NUM_REG_DIF,'"&amp;MAX('ID1&amp;5'!K:K)+1&amp;"' AS ID_EXEC, CURRENT_TIMESTAMP() AS TIME_EXEC FROM "&amp;I217,
IF(C217="Not applicable",+"SELECT '"&amp;UPPER(B217)&amp;"' AS TABELA, '"&amp;UPPER(C217)&amp;"' AS TIPOLOGIA_TESTE,'"&amp;D217&amp;"' AS TABELA_LT,'N/A' AS TABELA_SIMUL,'"&amp;F217&amp;"' AS CAMPO, "&amp;"'${ref_date}' AS REF_DATE, COUNT(*) AS NUM_REG, SUM(IF(TRIM(CAST(X."&amp;F217&amp;" AS STRING)) IN ('N/A','11111111111','11111111111.00','11111111111.000000','1111-11-11'),1,0)) AS NUM_REG_DIF,'"&amp;MAX('ID1&amp;5'!K:K)+1&amp;"' AS ID_EXEC, CURRENT_TIMESTAMP() AS TIME_EXEC FROM "&amp;I217,
IF(C217="Valores extremos",+"SELECT '"&amp;UPPER(B217)&amp;"' AS TABELA, '"&amp;UPPER(C217)&amp;"' AS TIPOLOGIA_TESTE,'"&amp;D217&amp;"' AS TABELA_LT,'N/A' AS TABELA_SIMUL,'"&amp;F217&amp;"' AS CAMPO, "&amp;"'${ref_date}' AS REF_DATE, CAST(MIN("&amp;F217&amp;") AS STRING) AS VALOR_MIN, CAST(MAX("&amp;F217&amp;") AS STRING) AS VALOR_MAX,'"&amp;MAX('ID1&amp;5'!K:K)+1&amp;"' AS ID_EXEC, CURRENT_TIMESTAMP() AS TIME_EXEC FROM "&amp;MID(I217,1,LEN(I217)-2)&amp;" AND CAST("&amp;F217&amp;"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TABELA_SIMUL,'DT_PST_D' AS CAMPO, '${ref_date}' AS REF_DATE, COUNT(*) AS NUM_REG, SUM(IF(COALESCE(CAST(X.DT_PST_D AS STRING),'')&lt;&gt;COALESCE(CAST(Y.DT_PST_D_SIMUL AS STRING),'') OR (X.DT_PST_D IS NULL AND Y.DT_PST_D_SIMUL IS NOT NULL ) OR (X.DT_PST_D IS NOT NULL AND Y.DT_PST_D_SIMUL IS NULL),1,0)) AS NUM_REG_DIF,'1' AS ID_EXEC, CURRENT_TIMESTAMP() AS TIME_EXEC FROM (SELECT instrmnt_id, DT_PST_D FROM CD_LOAN_TAPES_BCE.LT002_INSTRUMENT WHERE ref_date='${ref_date}' AND nome_perimetro='Individual Corporativo' AND segmento='ESTR' AND ambito='PM' AND entidade='00100')X INNER JOIN (SELECT instrmnt_id AS instrmnt_id_SIMUL, DT_PST_D AS DT_PST_D_SIMUL FROM BU_LOANTAPE_WORK.LT002_INSTRUMENT WHERE ref_date='${ref_date}' AND nome_perimetro='Individual Corporativo' AND segmento='ESTR' AND ambito='PM' AND entidade='00100')Y ON X.INSTRMNT_ID=Y.INSTRMNT_ID_SIMUL</v>
      </c>
      <c r="M217" s="36" t="str">
        <f t="shared" si="3"/>
        <v>UNION ALL SELECT 'INSTRUMENT' AS TABELA, 'COERÊNCIA' AS TIPOLOGIA_TESTE,'CD_LOAN_TAPES_BCE.LT002_INSTRUMENT' AS TABELA_LT,'BU_LOANTAPE_WORK.LT002_INSTRUMENT' AS TABELA_SIMUL,'DT_PST_D' AS CAMPO, '${ref_date}' AS REF_DATE, COUNT(*) AS NUM_REG, SUM(IF(COALESCE(CAST(X.DT_PST_D AS STRING),'')&lt;&gt;COALESCE(CAST(Y.DT_PST_D_SIMUL AS STRING),'') OR (X.DT_PST_D IS NULL AND Y.DT_PST_D_SIMUL IS NOT NULL ) OR (X.DT_PST_D IS NOT NULL AND Y.DT_PST_D_SIMUL IS NULL),1,0)) AS NUM_REG_DIF,'1' AS ID_EXEC, CURRENT_TIMESTAMP() AS TIME_EXEC FROM (SELECT instrmnt_id, DT_PST_D FROM CD_LOAN_TAPES_BCE.LT002_INSTRUMENT WHERE ref_date='${ref_date}' AND nome_perimetro='Individual Corporativo' AND segmento='ESTR' AND ambito='PM' AND entidade='00100')X INNER JOIN (SELECT instrmnt_id AS instrmnt_id_SIMUL, DT_PST_D AS DT_PST_D_SIMUL FROM BU_LOANTAPE_WORK.LT002_INSTRUMENT WHERE ref_date='${ref_date}' AND nome_perimetro='Individual Corporativo' AND segmento='ESTR' AND ambito='PM' AND entidade='00100')Y ON X.INSTRMNT_ID=Y.INSTRMNT_ID_SIMUL</v>
      </c>
      <c r="N217" s="38" t="s">
        <v>46</v>
      </c>
    </row>
    <row r="218" spans="2:14" hidden="1">
      <c r="B218" s="34" t="s">
        <v>126</v>
      </c>
      <c r="C218" s="34" t="s">
        <v>5</v>
      </c>
      <c r="D218" s="34" t="str">
        <f>+UPPER('0. Instruções'!$D$35&amp;"."&amp;VLOOKUP(B218,'0. Instruções'!$C$27:$D$32,2,FALSE))</f>
        <v>CD_LOAN_TAPES_BCE.LT002_INSTRUMENT</v>
      </c>
      <c r="E218" s="34" t="str">
        <f>+UPPER('0. Instruções'!$D$36&amp;"."&amp;VLOOKUP(B218,'0. Instruções'!$C$27:$E$32,3,FALSE))</f>
        <v>BU_LOANTAPE_WORK.LT002_INSTRUMENT</v>
      </c>
      <c r="F218" s="34" t="s">
        <v>506</v>
      </c>
      <c r="G218" s="34"/>
      <c r="H218" s="34" t="s">
        <v>89</v>
      </c>
      <c r="I218" s="34" t="str">
        <f>"(SELECT "&amp;VLOOKUP(B218,'0. Instruções'!$C$27:$G$32,4,FALSE)&amp;", "&amp;F218&amp;" FROM "&amp;D218&amp;" WHERE "&amp;'0. Instruções'!$D$42&amp;")X"</f>
        <v>(SELECT instrmnt_id, IMPRMNT_ASSSSMNT_MTHD FROM CD_LOAN_TAPES_BCE.LT002_INSTRUMENT WHERE ref_date='${ref_date}' AND nome_perimetro='Individual Corporativo' AND segmento='ESTR' AND ambito='PM' AND entidade='00100')X</v>
      </c>
      <c r="J218" s="34" t="str">
        <f>"(SELECT "&amp;VLOOKUP(B218,'0. Instruções'!$C$27:$G$32,4,FALSE)&amp;" AS "&amp;VLOOKUP(B218,'0. Instruções'!$C$27:$G$32,4,FALSE)&amp;"_SIMUL, "&amp;F218&amp;" AS "&amp;F218&amp;"_SIMUL FROM "&amp;E218&amp;" WHERE "&amp;'0. Instruções'!$D$43&amp;")Y"</f>
        <v>(SELECT instrmnt_id AS instrmnt_id_SIMUL, IMPRMNT_ASSSSMNT_MTHD AS IMPRMNT_ASSSSMNT_MTHD_SIMUL FROM BU_LOANTAPE_WORK.LT002_INSTRUMENT WHERE ref_date='${ref_date}' AND nome_perimetro='Individual Corporativo' AND segmento='ESTR' AND ambito='PM' AND entidade='00100')Y</v>
      </c>
      <c r="K218" s="35" t="str">
        <f>+UPPER("ON X."&amp;VLOOKUP(B218,'0. Instruções'!$C$27:$G$32,4,FALSE)&amp;"=Y."&amp;VLOOKUP(B218,'0. Instruções'!$C$27:$G$32,4,FALSE)&amp;"_SIMUL")</f>
        <v>ON X.INSTRMNT_ID=Y.INSTRMNT_ID_SIMUL</v>
      </c>
      <c r="L218" s="35" t="str">
        <f>+IF(C218="Coerência", +IF(LEFT(G218,5)="FLOAT","SELECT '"&amp;UPPER(B218)&amp;"' AS TABELA, '"&amp;UPPER(C218)&amp;"' AS TIPOLOGIA_TESTE,'"&amp;D218&amp;"' AS TABELA_LT,'"&amp;E218&amp;"' AS TABELA_SIMUL,'"&amp;F218&amp;"' AS CAMPO, "&amp;"'${ref_date}' AS REF_DATE, COUNT(*) AS NUM_REG, SUM(IF((ABS(COALESCE(CAST(X."&amp;F218&amp;" AS DECIMAL(18,6)),0)-COALESCE(CAST(Y."&amp;F218&amp;"_SIMUL AS DECIMAL(18,6)),0))&gt;0.000001) OR (X."&amp;F218&amp;" IS NULL AND Y."&amp;F218&amp;"_SIMUL IS NOT NULL ) OR (X."&amp;F218&amp;" IS NOT NULL AND Y."&amp;F218&amp;"_SIMUL IS NULL),1,0)) AS NUM_REG_DIF,'"&amp;MAX('ID1&amp;5'!K:K)+1&amp;"' AS ID_EXEC, CURRENT_TIMESTAMP() AS TIME_EXEC FROM "&amp;I218&amp;" INNER JOIN "&amp;J218&amp;" "&amp;K218,"SELECT '"&amp;UPPER(B218)&amp;"' AS TABELA, '"&amp;UPPER(C218)&amp;"' AS TIPOLOGIA_TESTE,'"&amp;D218&amp;"' AS TABELA_LT,'"&amp;E218&amp;"' AS TABELA_SIMUL,'"&amp;F218&amp;"' AS CAMPO, "&amp;"'${ref_date}' AS REF_DATE, COUNT(*) AS NUM_REG, SUM(IF(COALESCE(CAST(X."&amp;F218&amp;" AS STRING),'')&lt;&gt;COALESCE(CAST(Y."&amp;F218&amp;"_SIMUL AS STRING),'') OR (X."&amp;F218&amp;" IS NULL AND Y."&amp;F218&amp;"_SIMUL IS NOT NULL ) OR (X."&amp;F218&amp;" IS NOT NULL AND Y."&amp;F218&amp;"_SIMUL IS NULL),1,0)) AS NUM_REG_DIF,'"&amp;MAX('ID1&amp;5'!L:L)+1&amp;"' AS ID_EXEC, CURRENT_TIMESTAMP() AS TIME_EXEC FROM "&amp;I218&amp;" INNER JOIN "&amp;J218&amp;" "&amp;K218),
IF(C218="Validade",+IF(G218="Code List","SELECT '"&amp;UPPER(B218)&amp;"' AS TABELA, '"&amp;UPPER(C218)&amp;"' AS TIPOLOGIA_TESTE,'"&amp;D218&amp;"' AS TABELA_LT,'N/A' AS TABELA_SIMUL,'"&amp;F218&amp;"' AS CAMPO, "&amp;"'${ref_date}' AS REF_DATE, COUNT(*) AS NUM_REG, SUM(IF(TRIM(CAST(X."&amp;F218&amp;" AS STRING))='' OR TRIM(CAST(X."&amp;F218&amp;" AS STRING)) IS NULL OR CAST(X."&amp;F218&amp;" AS STRING) NOT "&amp;H218&amp;",1,0)) AS NUM_REG_DIF,'"&amp;MAX('ID1&amp;5'!K:K)+1&amp;"' AS ID_EXEC, CURRENT_TIMESTAMP() AS TIME_EXEC FROM "&amp;I218,"SELECT '"&amp;UPPER(B218)&amp;"' AS TABELA, '"&amp;UPPER(C218)&amp;"' AS TIPOLOGIA_TESTE,'"&amp;D218&amp;"' AS TABELA_LT,'N/A' AS TABELA_SIMUL,'"&amp;F218&amp;"' AS CAMPO, "&amp;"'${ref_date}' AS REF_DATE, COUNT(*) AS NUM_REG, SUM(IF(TRIM(CAST(X."&amp;F218&amp;" AS STRING))='' OR TRIM(CAST(X."&amp;F218&amp;" AS STRING)) IS NULL,1,0)) AS NUM_REG_DIF,'"&amp;MAX('ID1&amp;5'!K:K)+1&amp;"' AS ID_EXEC, CURRENT_TIMESTAMP() AS TIME_EXEC FROM "&amp;I218),
IF(C218="Caracteres Especiais",+"SELECT '"&amp;UPPER(B218)&amp;"' AS TABELA, '"&amp;UPPER(C218)&amp;"' AS TIPOLOGIA_TESTE,'"&amp;D218&amp;"' AS TABELA_LT,'N/A' AS TABELA_SIMUL,'"&amp;F218&amp;"' AS CAMPO, "&amp;"'${ref_date}' AS REF_DATE, COUNT(*) AS NUM_REG, SUM(IF(REGEXP_REPLACE(TRIM(CAST(X."&amp;F218&amp;" AS STRING)),'[^a-zA-Z0-9_\\s]','') &lt;&gt;TRIM(CAST(X."&amp;F218&amp;" AS STRING)),1,0)) AS NUM_REG_DIF,'"&amp;MAX('ID1&amp;5'!K:K)+1&amp;"' AS ID_EXEC, CURRENT_TIMESTAMP() AS TIME_EXEC FROM "&amp;I218,
IF(C218="Missings",+"SELECT '"&amp;UPPER(B218)&amp;"' AS TABELA, '"&amp;UPPER(C218)&amp;"' AS TIPOLOGIA_TESTE,'"&amp;D218&amp;"' AS TABELA_LT,'N/A' AS TABELA_SIMUL,'"&amp;F218&amp;"' AS CAMPO, "&amp;"'${ref_date}' AS REF_DATE, COUNT(*) AS NUM_REG, SUM(IF(TRIM(CAST(X."&amp;F218&amp;" AS STRING)) IN ('0000-00-00','0001-01-01','9999-12-31','MISS','00000','99999999999','99999999999.00','99999999999.000000'),1,0)) AS NUM_REG_DIF,'"&amp;MAX('ID1&amp;5'!K:K)+1&amp;"' AS ID_EXEC, CURRENT_TIMESTAMP() AS TIME_EXEC FROM "&amp;I218,
IF(C218="Not applicable",+"SELECT '"&amp;UPPER(B218)&amp;"' AS TABELA, '"&amp;UPPER(C218)&amp;"' AS TIPOLOGIA_TESTE,'"&amp;D218&amp;"' AS TABELA_LT,'N/A' AS TABELA_SIMUL,'"&amp;F218&amp;"' AS CAMPO, "&amp;"'${ref_date}' AS REF_DATE, COUNT(*) AS NUM_REG, SUM(IF(TRIM(CAST(X."&amp;F218&amp;" AS STRING)) IN ('N/A','11111111111','11111111111.00','11111111111.000000','1111-11-11'),1,0)) AS NUM_REG_DIF,'"&amp;MAX('ID1&amp;5'!K:K)+1&amp;"' AS ID_EXEC, CURRENT_TIMESTAMP() AS TIME_EXEC FROM "&amp;I218,
IF(C218="Valores extremos",+"SELECT '"&amp;UPPER(B218)&amp;"' AS TABELA, '"&amp;UPPER(C218)&amp;"' AS TIPOLOGIA_TESTE,'"&amp;D218&amp;"' AS TABELA_LT,'N/A' AS TABELA_SIMUL,'"&amp;F218&amp;"' AS CAMPO, "&amp;"'${ref_date}' AS REF_DATE, CAST(MIN("&amp;F218&amp;") AS STRING) AS VALOR_MIN, CAST(MAX("&amp;F218&amp;") AS STRING) AS VALOR_MAX,'"&amp;MAX('ID1&amp;5'!K:K)+1&amp;"' AS ID_EXEC, CURRENT_TIMESTAMP() AS TIME_EXEC FROM "&amp;MID(I218,1,LEN(I218)-2)&amp;" AND CAST("&amp;F218&amp;"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TABELA_SIMUL,'IMPRMNT_ASSSSMNT_MTHD' AS CAMPO, '${ref_date}' AS REF_DATE, COUNT(*) AS NUM_REG, SUM(IF(COALESCE(CAST(X.IMPRMNT_ASSSSMNT_MTHD AS STRING),'')&lt;&gt;COALESCE(CAST(Y.IMPRMNT_ASSSSMNT_MTHD_SIMUL AS STRING),'') OR (X.IMPRMNT_ASSSSMNT_MTHD IS NULL AND Y.IMPRMNT_ASSSSMNT_MTHD_SIMUL IS NOT NULL ) OR (X.IMPRMNT_ASSSSMNT_MTHD IS NOT NULL AND Y.IMPRMNT_ASSSSMNT_MTHD_SIMUL IS NULL),1,0)) AS NUM_REG_DIF,'1' AS ID_EXEC, CURRENT_TIMESTAMP() AS TIME_EXEC FROM (SELECT instrmnt_id, IMPRMNT_ASSSSMNT_MTHD FROM CD_LOAN_TAPES_BCE.LT002_INSTRUMENT WHERE ref_date='${ref_date}' AND nome_perimetro='Individual Corporativo' AND segmento='ESTR' AND ambito='PM' AND entidade='00100')X INNER JOIN (SELECT instrmnt_id AS instrmnt_id_SIMUL, IMPRMNT_ASSSSMNT_MTHD AS IMPRMNT_ASSSSMNT_MTHD_SIMUL FROM BU_LOANTAPE_WORK.LT002_INSTRUMENT WHERE ref_date='${ref_date}' AND nome_perimetro='Individual Corporativo' AND segmento='ESTR' AND ambito='PM' AND entidade='00100')Y ON X.INSTRMNT_ID=Y.INSTRMNT_ID_SIMUL</v>
      </c>
      <c r="M218" s="36" t="str">
        <f t="shared" si="3"/>
        <v>UNION ALL SELECT 'INSTRUMENT' AS TABELA, 'COERÊNCIA' AS TIPOLOGIA_TESTE,'CD_LOAN_TAPES_BCE.LT002_INSTRUMENT' AS TABELA_LT,'BU_LOANTAPE_WORK.LT002_INSTRUMENT' AS TABELA_SIMUL,'IMPRMNT_ASSSSMNT_MTHD' AS CAMPO, '${ref_date}' AS REF_DATE, COUNT(*) AS NUM_REG, SUM(IF(COALESCE(CAST(X.IMPRMNT_ASSSSMNT_MTHD AS STRING),'')&lt;&gt;COALESCE(CAST(Y.IMPRMNT_ASSSSMNT_MTHD_SIMUL AS STRING),'') OR (X.IMPRMNT_ASSSSMNT_MTHD IS NULL AND Y.IMPRMNT_ASSSSMNT_MTHD_SIMUL IS NOT NULL ) OR (X.IMPRMNT_ASSSSMNT_MTHD IS NOT NULL AND Y.IMPRMNT_ASSSSMNT_MTHD_SIMUL IS NULL),1,0)) AS NUM_REG_DIF,'1' AS ID_EXEC, CURRENT_TIMESTAMP() AS TIME_EXEC FROM (SELECT instrmnt_id, IMPRMNT_ASSSSMNT_MTHD FROM CD_LOAN_TAPES_BCE.LT002_INSTRUMENT WHERE ref_date='${ref_date}' AND nome_perimetro='Individual Corporativo' AND segmento='ESTR' AND ambito='PM' AND entidade='00100')X INNER JOIN (SELECT instrmnt_id AS instrmnt_id_SIMUL, IMPRMNT_ASSSSMNT_MTHD AS IMPRMNT_ASSSSMNT_MTHD_SIMUL FROM BU_LOANTAPE_WORK.LT002_INSTRUMENT WHERE ref_date='${ref_date}' AND nome_perimetro='Individual Corporativo' AND segmento='ESTR' AND ambito='PM' AND entidade='00100')Y ON X.INSTRMNT_ID=Y.INSTRMNT_ID_SIMUL</v>
      </c>
      <c r="N218" s="38" t="s">
        <v>46</v>
      </c>
    </row>
    <row r="219" spans="2:14" hidden="1">
      <c r="B219" s="34" t="s">
        <v>126</v>
      </c>
      <c r="C219" s="34" t="s">
        <v>5</v>
      </c>
      <c r="D219" s="34" t="str">
        <f>+UPPER('0. Instruções'!$D$35&amp;"."&amp;VLOOKUP(B219,'0. Instruções'!$C$27:$D$32,2,FALSE))</f>
        <v>CD_LOAN_TAPES_BCE.LT002_INSTRUMENT</v>
      </c>
      <c r="E219" s="34" t="str">
        <f>+UPPER('0. Instruções'!$D$36&amp;"."&amp;VLOOKUP(B219,'0. Instruções'!$C$27:$E$32,3,FALSE))</f>
        <v>BU_LOANTAPE_WORK.LT002_INSTRUMENT</v>
      </c>
      <c r="F219" s="34" t="s">
        <v>507</v>
      </c>
      <c r="G219" s="34"/>
      <c r="H219" s="34" t="s">
        <v>89</v>
      </c>
      <c r="I219" s="34" t="str">
        <f>"(SELECT "&amp;VLOOKUP(B219,'0. Instruções'!$C$27:$G$32,4,FALSE)&amp;", "&amp;F219&amp;" FROM "&amp;D219&amp;" WHERE "&amp;'0. Instruções'!$D$42&amp;")X"</f>
        <v>(SELECT instrmnt_id, IMPRMNT_CLCLTN_MTHD FROM CD_LOAN_TAPES_BCE.LT002_INSTRUMENT WHERE ref_date='${ref_date}' AND nome_perimetro='Individual Corporativo' AND segmento='ESTR' AND ambito='PM' AND entidade='00100')X</v>
      </c>
      <c r="J219" s="34" t="str">
        <f>"(SELECT "&amp;VLOOKUP(B219,'0. Instruções'!$C$27:$G$32,4,FALSE)&amp;" AS "&amp;VLOOKUP(B219,'0. Instruções'!$C$27:$G$32,4,FALSE)&amp;"_SIMUL, "&amp;F219&amp;" AS "&amp;F219&amp;"_SIMUL FROM "&amp;E219&amp;" WHERE "&amp;'0. Instruções'!$D$43&amp;")Y"</f>
        <v>(SELECT instrmnt_id AS instrmnt_id_SIMUL, IMPRMNT_CLCLTN_MTHD AS IMPRMNT_CLCLTN_MTHD_SIMUL FROM BU_LOANTAPE_WORK.LT002_INSTRUMENT WHERE ref_date='${ref_date}' AND nome_perimetro='Individual Corporativo' AND segmento='ESTR' AND ambito='PM' AND entidade='00100')Y</v>
      </c>
      <c r="K219" s="35" t="str">
        <f>+UPPER("ON X."&amp;VLOOKUP(B219,'0. Instruções'!$C$27:$G$32,4,FALSE)&amp;"=Y."&amp;VLOOKUP(B219,'0. Instruções'!$C$27:$G$32,4,FALSE)&amp;"_SIMUL")</f>
        <v>ON X.INSTRMNT_ID=Y.INSTRMNT_ID_SIMUL</v>
      </c>
      <c r="L219" s="35" t="str">
        <f>+IF(C219="Coerência", +IF(LEFT(G219,5)="FLOAT","SELECT '"&amp;UPPER(B219)&amp;"' AS TABELA, '"&amp;UPPER(C219)&amp;"' AS TIPOLOGIA_TESTE,'"&amp;D219&amp;"' AS TABELA_LT,'"&amp;E219&amp;"' AS TABELA_SIMUL,'"&amp;F219&amp;"' AS CAMPO, "&amp;"'${ref_date}' AS REF_DATE, COUNT(*) AS NUM_REG, SUM(IF((ABS(COALESCE(CAST(X."&amp;F219&amp;" AS DECIMAL(18,6)),0)-COALESCE(CAST(Y."&amp;F219&amp;"_SIMUL AS DECIMAL(18,6)),0))&gt;0.000001) OR (X."&amp;F219&amp;" IS NULL AND Y."&amp;F219&amp;"_SIMUL IS NOT NULL ) OR (X."&amp;F219&amp;" IS NOT NULL AND Y."&amp;F219&amp;"_SIMUL IS NULL),1,0)) AS NUM_REG_DIF,'"&amp;MAX('ID1&amp;5'!K:K)+1&amp;"' AS ID_EXEC, CURRENT_TIMESTAMP() AS TIME_EXEC FROM "&amp;I219&amp;" INNER JOIN "&amp;J219&amp;" "&amp;K219,"SELECT '"&amp;UPPER(B219)&amp;"' AS TABELA, '"&amp;UPPER(C219)&amp;"' AS TIPOLOGIA_TESTE,'"&amp;D219&amp;"' AS TABELA_LT,'"&amp;E219&amp;"' AS TABELA_SIMUL,'"&amp;F219&amp;"' AS CAMPO, "&amp;"'${ref_date}' AS REF_DATE, COUNT(*) AS NUM_REG, SUM(IF(COALESCE(CAST(X."&amp;F219&amp;" AS STRING),'')&lt;&gt;COALESCE(CAST(Y."&amp;F219&amp;"_SIMUL AS STRING),'') OR (X."&amp;F219&amp;" IS NULL AND Y."&amp;F219&amp;"_SIMUL IS NOT NULL ) OR (X."&amp;F219&amp;" IS NOT NULL AND Y."&amp;F219&amp;"_SIMUL IS NULL),1,0)) AS NUM_REG_DIF,'"&amp;MAX('ID1&amp;5'!L:L)+1&amp;"' AS ID_EXEC, CURRENT_TIMESTAMP() AS TIME_EXEC FROM "&amp;I219&amp;" INNER JOIN "&amp;J219&amp;" "&amp;K219),
IF(C219="Validade",+IF(G219="Code List","SELECT '"&amp;UPPER(B219)&amp;"' AS TABELA, '"&amp;UPPER(C219)&amp;"' AS TIPOLOGIA_TESTE,'"&amp;D219&amp;"' AS TABELA_LT,'N/A' AS TABELA_SIMUL,'"&amp;F219&amp;"' AS CAMPO, "&amp;"'${ref_date}' AS REF_DATE, COUNT(*) AS NUM_REG, SUM(IF(TRIM(CAST(X."&amp;F219&amp;" AS STRING))='' OR TRIM(CAST(X."&amp;F219&amp;" AS STRING)) IS NULL OR CAST(X."&amp;F219&amp;" AS STRING) NOT "&amp;H219&amp;",1,0)) AS NUM_REG_DIF,'"&amp;MAX('ID1&amp;5'!K:K)+1&amp;"' AS ID_EXEC, CURRENT_TIMESTAMP() AS TIME_EXEC FROM "&amp;I219,"SELECT '"&amp;UPPER(B219)&amp;"' AS TABELA, '"&amp;UPPER(C219)&amp;"' AS TIPOLOGIA_TESTE,'"&amp;D219&amp;"' AS TABELA_LT,'N/A' AS TABELA_SIMUL,'"&amp;F219&amp;"' AS CAMPO, "&amp;"'${ref_date}' AS REF_DATE, COUNT(*) AS NUM_REG, SUM(IF(TRIM(CAST(X."&amp;F219&amp;" AS STRING))='' OR TRIM(CAST(X."&amp;F219&amp;" AS STRING)) IS NULL,1,0)) AS NUM_REG_DIF,'"&amp;MAX('ID1&amp;5'!K:K)+1&amp;"' AS ID_EXEC, CURRENT_TIMESTAMP() AS TIME_EXEC FROM "&amp;I219),
IF(C219="Caracteres Especiais",+"SELECT '"&amp;UPPER(B219)&amp;"' AS TABELA, '"&amp;UPPER(C219)&amp;"' AS TIPOLOGIA_TESTE,'"&amp;D219&amp;"' AS TABELA_LT,'N/A' AS TABELA_SIMUL,'"&amp;F219&amp;"' AS CAMPO, "&amp;"'${ref_date}' AS REF_DATE, COUNT(*) AS NUM_REG, SUM(IF(REGEXP_REPLACE(TRIM(CAST(X."&amp;F219&amp;" AS STRING)),'[^a-zA-Z0-9_\\s]','') &lt;&gt;TRIM(CAST(X."&amp;F219&amp;" AS STRING)),1,0)) AS NUM_REG_DIF,'"&amp;MAX('ID1&amp;5'!K:K)+1&amp;"' AS ID_EXEC, CURRENT_TIMESTAMP() AS TIME_EXEC FROM "&amp;I219,
IF(C219="Missings",+"SELECT '"&amp;UPPER(B219)&amp;"' AS TABELA, '"&amp;UPPER(C219)&amp;"' AS TIPOLOGIA_TESTE,'"&amp;D219&amp;"' AS TABELA_LT,'N/A' AS TABELA_SIMUL,'"&amp;F219&amp;"' AS CAMPO, "&amp;"'${ref_date}' AS REF_DATE, COUNT(*) AS NUM_REG, SUM(IF(TRIM(CAST(X."&amp;F219&amp;" AS STRING)) IN ('0000-00-00','0001-01-01','9999-12-31','MISS','00000','99999999999','99999999999.00','99999999999.000000'),1,0)) AS NUM_REG_DIF,'"&amp;MAX('ID1&amp;5'!K:K)+1&amp;"' AS ID_EXEC, CURRENT_TIMESTAMP() AS TIME_EXEC FROM "&amp;I219,
IF(C219="Not applicable",+"SELECT '"&amp;UPPER(B219)&amp;"' AS TABELA, '"&amp;UPPER(C219)&amp;"' AS TIPOLOGIA_TESTE,'"&amp;D219&amp;"' AS TABELA_LT,'N/A' AS TABELA_SIMUL,'"&amp;F219&amp;"' AS CAMPO, "&amp;"'${ref_date}' AS REF_DATE, COUNT(*) AS NUM_REG, SUM(IF(TRIM(CAST(X."&amp;F219&amp;" AS STRING)) IN ('N/A','11111111111','11111111111.00','11111111111.000000','1111-11-11'),1,0)) AS NUM_REG_DIF,'"&amp;MAX('ID1&amp;5'!K:K)+1&amp;"' AS ID_EXEC, CURRENT_TIMESTAMP() AS TIME_EXEC FROM "&amp;I219,
IF(C219="Valores extremos",+"SELECT '"&amp;UPPER(B219)&amp;"' AS TABELA, '"&amp;UPPER(C219)&amp;"' AS TIPOLOGIA_TESTE,'"&amp;D219&amp;"' AS TABELA_LT,'N/A' AS TABELA_SIMUL,'"&amp;F219&amp;"' AS CAMPO, "&amp;"'${ref_date}' AS REF_DATE, CAST(MIN("&amp;F219&amp;") AS STRING) AS VALOR_MIN, CAST(MAX("&amp;F219&amp;") AS STRING) AS VALOR_MAX,'"&amp;MAX('ID1&amp;5'!K:K)+1&amp;"' AS ID_EXEC, CURRENT_TIMESTAMP() AS TIME_EXEC FROM "&amp;MID(I219,1,LEN(I219)-2)&amp;" AND CAST("&amp;F219&amp;"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TABELA_SIMUL,'IMPRMNT_CLCLTN_MTHD' AS CAMPO, '${ref_date}' AS REF_DATE, COUNT(*) AS NUM_REG, SUM(IF(COALESCE(CAST(X.IMPRMNT_CLCLTN_MTHD AS STRING),'')&lt;&gt;COALESCE(CAST(Y.IMPRMNT_CLCLTN_MTHD_SIMUL AS STRING),'') OR (X.IMPRMNT_CLCLTN_MTHD IS NULL AND Y.IMPRMNT_CLCLTN_MTHD_SIMUL IS NOT NULL ) OR (X.IMPRMNT_CLCLTN_MTHD IS NOT NULL AND Y.IMPRMNT_CLCLTN_MTHD_SIMUL IS NULL),1,0)) AS NUM_REG_DIF,'1' AS ID_EXEC, CURRENT_TIMESTAMP() AS TIME_EXEC FROM (SELECT instrmnt_id, IMPRMNT_CLCLTN_MTHD FROM CD_LOAN_TAPES_BCE.LT002_INSTRUMENT WHERE ref_date='${ref_date}' AND nome_perimetro='Individual Corporativo' AND segmento='ESTR' AND ambito='PM' AND entidade='00100')X INNER JOIN (SELECT instrmnt_id AS instrmnt_id_SIMUL, IMPRMNT_CLCLTN_MTHD AS IMPRMNT_CLCLTN_MTHD_SIMUL FROM BU_LOANTAPE_WORK.LT002_INSTRUMENT WHERE ref_date='${ref_date}' AND nome_perimetro='Individual Corporativo' AND segmento='ESTR' AND ambito='PM' AND entidade='00100')Y ON X.INSTRMNT_ID=Y.INSTRMNT_ID_SIMUL</v>
      </c>
      <c r="M219" s="36" t="str">
        <f t="shared" si="3"/>
        <v>UNION ALL SELECT 'INSTRUMENT' AS TABELA, 'COERÊNCIA' AS TIPOLOGIA_TESTE,'CD_LOAN_TAPES_BCE.LT002_INSTRUMENT' AS TABELA_LT,'BU_LOANTAPE_WORK.LT002_INSTRUMENT' AS TABELA_SIMUL,'IMPRMNT_CLCLTN_MTHD' AS CAMPO, '${ref_date}' AS REF_DATE, COUNT(*) AS NUM_REG, SUM(IF(COALESCE(CAST(X.IMPRMNT_CLCLTN_MTHD AS STRING),'')&lt;&gt;COALESCE(CAST(Y.IMPRMNT_CLCLTN_MTHD_SIMUL AS STRING),'') OR (X.IMPRMNT_CLCLTN_MTHD IS NULL AND Y.IMPRMNT_CLCLTN_MTHD_SIMUL IS NOT NULL ) OR (X.IMPRMNT_CLCLTN_MTHD IS NOT NULL AND Y.IMPRMNT_CLCLTN_MTHD_SIMUL IS NULL),1,0)) AS NUM_REG_DIF,'1' AS ID_EXEC, CURRENT_TIMESTAMP() AS TIME_EXEC FROM (SELECT instrmnt_id, IMPRMNT_CLCLTN_MTHD FROM CD_LOAN_TAPES_BCE.LT002_INSTRUMENT WHERE ref_date='${ref_date}' AND nome_perimetro='Individual Corporativo' AND segmento='ESTR' AND ambito='PM' AND entidade='00100')X INNER JOIN (SELECT instrmnt_id AS instrmnt_id_SIMUL, IMPRMNT_CLCLTN_MTHD AS IMPRMNT_CLCLTN_MTHD_SIMUL FROM BU_LOANTAPE_WORK.LT002_INSTRUMENT WHERE ref_date='${ref_date}' AND nome_perimetro='Individual Corporativo' AND segmento='ESTR' AND ambito='PM' AND entidade='00100')Y ON X.INSTRMNT_ID=Y.INSTRMNT_ID_SIMUL</v>
      </c>
      <c r="N219" s="38" t="s">
        <v>46</v>
      </c>
    </row>
    <row r="220" spans="2:14" hidden="1">
      <c r="B220" s="34" t="s">
        <v>126</v>
      </c>
      <c r="C220" s="34" t="s">
        <v>5</v>
      </c>
      <c r="D220" s="34" t="str">
        <f>+UPPER('0. Instruções'!$D$35&amp;"."&amp;VLOOKUP(B220,'0. Instruções'!$C$27:$D$32,2,FALSE))</f>
        <v>CD_LOAN_TAPES_BCE.LT002_INSTRUMENT</v>
      </c>
      <c r="E220" s="34" t="str">
        <f>+UPPER('0. Instruções'!$D$36&amp;"."&amp;VLOOKUP(B220,'0. Instruções'!$C$27:$E$32,3,FALSE))</f>
        <v>BU_LOANTAPE_WORK.LT002_INSTRUMENT</v>
      </c>
      <c r="F220" s="34" t="s">
        <v>508</v>
      </c>
      <c r="G220" s="34"/>
      <c r="H220" s="34" t="s">
        <v>649</v>
      </c>
      <c r="I220" s="34" t="str">
        <f>"(SELECT "&amp;VLOOKUP(B220,'0. Instruções'!$C$27:$G$32,4,FALSE)&amp;", "&amp;F220&amp;" FROM "&amp;D220&amp;" WHERE "&amp;'0. Instruções'!$D$42&amp;")X"</f>
        <v>(SELECT instrmnt_id, NMBR_FRBRNC_MSRS FROM CD_LOAN_TAPES_BCE.LT002_INSTRUMENT WHERE ref_date='${ref_date}' AND nome_perimetro='Individual Corporativo' AND segmento='ESTR' AND ambito='PM' AND entidade='00100')X</v>
      </c>
      <c r="J220" s="34" t="str">
        <f>"(SELECT "&amp;VLOOKUP(B220,'0. Instruções'!$C$27:$G$32,4,FALSE)&amp;" AS "&amp;VLOOKUP(B220,'0. Instruções'!$C$27:$G$32,4,FALSE)&amp;"_SIMUL, "&amp;F220&amp;" AS "&amp;F220&amp;"_SIMUL FROM "&amp;E220&amp;" WHERE "&amp;'0. Instruções'!$D$43&amp;")Y"</f>
        <v>(SELECT instrmnt_id AS instrmnt_id_SIMUL, NMBR_FRBRNC_MSRS AS NMBR_FRBRNC_MSRS_SIMUL FROM BU_LOANTAPE_WORK.LT002_INSTRUMENT WHERE ref_date='${ref_date}' AND nome_perimetro='Individual Corporativo' AND segmento='ESTR' AND ambito='PM' AND entidade='00100')Y</v>
      </c>
      <c r="K220" s="35" t="str">
        <f>+UPPER("ON X."&amp;VLOOKUP(B220,'0. Instruções'!$C$27:$G$32,4,FALSE)&amp;"=Y."&amp;VLOOKUP(B220,'0. Instruções'!$C$27:$G$32,4,FALSE)&amp;"_SIMUL")</f>
        <v>ON X.INSTRMNT_ID=Y.INSTRMNT_ID_SIMUL</v>
      </c>
      <c r="L220" s="35" t="str">
        <f>+IF(C220="Coerência", +IF(LEFT(G220,5)="FLOAT","SELECT '"&amp;UPPER(B220)&amp;"' AS TABELA, '"&amp;UPPER(C220)&amp;"' AS TIPOLOGIA_TESTE,'"&amp;D220&amp;"' AS TABELA_LT,'"&amp;E220&amp;"' AS TABELA_SIMUL,'"&amp;F220&amp;"' AS CAMPO, "&amp;"'${ref_date}' AS REF_DATE, COUNT(*) AS NUM_REG, SUM(IF((ABS(COALESCE(CAST(X."&amp;F220&amp;" AS DECIMAL(18,6)),0)-COALESCE(CAST(Y."&amp;F220&amp;"_SIMUL AS DECIMAL(18,6)),0))&gt;0.000001) OR (X."&amp;F220&amp;" IS NULL AND Y."&amp;F220&amp;"_SIMUL IS NOT NULL ) OR (X."&amp;F220&amp;" IS NOT NULL AND Y."&amp;F220&amp;"_SIMUL IS NULL),1,0)) AS NUM_REG_DIF,'"&amp;MAX('ID1&amp;5'!K:K)+1&amp;"' AS ID_EXEC, CURRENT_TIMESTAMP() AS TIME_EXEC FROM "&amp;I220&amp;" INNER JOIN "&amp;J220&amp;" "&amp;K220,"SELECT '"&amp;UPPER(B220)&amp;"' AS TABELA, '"&amp;UPPER(C220)&amp;"' AS TIPOLOGIA_TESTE,'"&amp;D220&amp;"' AS TABELA_LT,'"&amp;E220&amp;"' AS TABELA_SIMUL,'"&amp;F220&amp;"' AS CAMPO, "&amp;"'${ref_date}' AS REF_DATE, COUNT(*) AS NUM_REG, SUM(IF(COALESCE(CAST(X."&amp;F220&amp;" AS STRING),'')&lt;&gt;COALESCE(CAST(Y."&amp;F220&amp;"_SIMUL AS STRING),'') OR (X."&amp;F220&amp;" IS NULL AND Y."&amp;F220&amp;"_SIMUL IS NOT NULL ) OR (X."&amp;F220&amp;" IS NOT NULL AND Y."&amp;F220&amp;"_SIMUL IS NULL),1,0)) AS NUM_REG_DIF,'"&amp;MAX('ID1&amp;5'!L:L)+1&amp;"' AS ID_EXEC, CURRENT_TIMESTAMP() AS TIME_EXEC FROM "&amp;I220&amp;" INNER JOIN "&amp;J220&amp;" "&amp;K220),
IF(C220="Validade",+IF(G220="Code List","SELECT '"&amp;UPPER(B220)&amp;"' AS TABELA, '"&amp;UPPER(C220)&amp;"' AS TIPOLOGIA_TESTE,'"&amp;D220&amp;"' AS TABELA_LT,'N/A' AS TABELA_SIMUL,'"&amp;F220&amp;"' AS CAMPO, "&amp;"'${ref_date}' AS REF_DATE, COUNT(*) AS NUM_REG, SUM(IF(TRIM(CAST(X."&amp;F220&amp;" AS STRING))='' OR TRIM(CAST(X."&amp;F220&amp;" AS STRING)) IS NULL OR CAST(X."&amp;F220&amp;" AS STRING) NOT "&amp;H220&amp;",1,0)) AS NUM_REG_DIF,'"&amp;MAX('ID1&amp;5'!K:K)+1&amp;"' AS ID_EXEC, CURRENT_TIMESTAMP() AS TIME_EXEC FROM "&amp;I220,"SELECT '"&amp;UPPER(B220)&amp;"' AS TABELA, '"&amp;UPPER(C220)&amp;"' AS TIPOLOGIA_TESTE,'"&amp;D220&amp;"' AS TABELA_LT,'N/A' AS TABELA_SIMUL,'"&amp;F220&amp;"' AS CAMPO, "&amp;"'${ref_date}' AS REF_DATE, COUNT(*) AS NUM_REG, SUM(IF(TRIM(CAST(X."&amp;F220&amp;" AS STRING))='' OR TRIM(CAST(X."&amp;F220&amp;" AS STRING)) IS NULL,1,0)) AS NUM_REG_DIF,'"&amp;MAX('ID1&amp;5'!K:K)+1&amp;"' AS ID_EXEC, CURRENT_TIMESTAMP() AS TIME_EXEC FROM "&amp;I220),
IF(C220="Caracteres Especiais",+"SELECT '"&amp;UPPER(B220)&amp;"' AS TABELA, '"&amp;UPPER(C220)&amp;"' AS TIPOLOGIA_TESTE,'"&amp;D220&amp;"' AS TABELA_LT,'N/A' AS TABELA_SIMUL,'"&amp;F220&amp;"' AS CAMPO, "&amp;"'${ref_date}' AS REF_DATE, COUNT(*) AS NUM_REG, SUM(IF(REGEXP_REPLACE(TRIM(CAST(X."&amp;F220&amp;" AS STRING)),'[^a-zA-Z0-9_\\s]','') &lt;&gt;TRIM(CAST(X."&amp;F220&amp;" AS STRING)),1,0)) AS NUM_REG_DIF,'"&amp;MAX('ID1&amp;5'!K:K)+1&amp;"' AS ID_EXEC, CURRENT_TIMESTAMP() AS TIME_EXEC FROM "&amp;I220,
IF(C220="Missings",+"SELECT '"&amp;UPPER(B220)&amp;"' AS TABELA, '"&amp;UPPER(C220)&amp;"' AS TIPOLOGIA_TESTE,'"&amp;D220&amp;"' AS TABELA_LT,'N/A' AS TABELA_SIMUL,'"&amp;F220&amp;"' AS CAMPO, "&amp;"'${ref_date}' AS REF_DATE, COUNT(*) AS NUM_REG, SUM(IF(TRIM(CAST(X."&amp;F220&amp;" AS STRING)) IN ('0000-00-00','0001-01-01','9999-12-31','MISS','00000','99999999999','99999999999.00','99999999999.000000'),1,0)) AS NUM_REG_DIF,'"&amp;MAX('ID1&amp;5'!K:K)+1&amp;"' AS ID_EXEC, CURRENT_TIMESTAMP() AS TIME_EXEC FROM "&amp;I220,
IF(C220="Not applicable",+"SELECT '"&amp;UPPER(B220)&amp;"' AS TABELA, '"&amp;UPPER(C220)&amp;"' AS TIPOLOGIA_TESTE,'"&amp;D220&amp;"' AS TABELA_LT,'N/A' AS TABELA_SIMUL,'"&amp;F220&amp;"' AS CAMPO, "&amp;"'${ref_date}' AS REF_DATE, COUNT(*) AS NUM_REG, SUM(IF(TRIM(CAST(X."&amp;F220&amp;" AS STRING)) IN ('N/A','11111111111','11111111111.00','11111111111.000000','1111-11-11'),1,0)) AS NUM_REG_DIF,'"&amp;MAX('ID1&amp;5'!K:K)+1&amp;"' AS ID_EXEC, CURRENT_TIMESTAMP() AS TIME_EXEC FROM "&amp;I220,
IF(C220="Valores extremos",+"SELECT '"&amp;UPPER(B220)&amp;"' AS TABELA, '"&amp;UPPER(C220)&amp;"' AS TIPOLOGIA_TESTE,'"&amp;D220&amp;"' AS TABELA_LT,'N/A' AS TABELA_SIMUL,'"&amp;F220&amp;"' AS CAMPO, "&amp;"'${ref_date}' AS REF_DATE, CAST(MIN("&amp;F220&amp;") AS STRING) AS VALOR_MIN, CAST(MAX("&amp;F220&amp;") AS STRING) AS VALOR_MAX,'"&amp;MAX('ID1&amp;5'!K:K)+1&amp;"' AS ID_EXEC, CURRENT_TIMESTAMP() AS TIME_EXEC FROM "&amp;MID(I220,1,LEN(I220)-2)&amp;" AND CAST("&amp;F220&amp;"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TABELA_SIMUL,'NMBR_FRBRNC_MSRS' AS CAMPO, '${ref_date}' AS REF_DATE, COUNT(*) AS NUM_REG, SUM(IF(COALESCE(CAST(X.NMBR_FRBRNC_MSRS AS STRING),'')&lt;&gt;COALESCE(CAST(Y.NMBR_FRBRNC_MSRS_SIMUL AS STRING),'') OR (X.NMBR_FRBRNC_MSRS IS NULL AND Y.NMBR_FRBRNC_MSRS_SIMUL IS NOT NULL ) OR (X.NMBR_FRBRNC_MSRS IS NOT NULL AND Y.NMBR_FRBRNC_MSRS_SIMUL IS NULL),1,0)) AS NUM_REG_DIF,'1' AS ID_EXEC, CURRENT_TIMESTAMP() AS TIME_EXEC FROM (SELECT instrmnt_id, NMBR_FRBRNC_MSRS FROM CD_LOAN_TAPES_BCE.LT002_INSTRUMENT WHERE ref_date='${ref_date}' AND nome_perimetro='Individual Corporativo' AND segmento='ESTR' AND ambito='PM' AND entidade='00100')X INNER JOIN (SELECT instrmnt_id AS instrmnt_id_SIMUL, NMBR_FRBRNC_MSRS AS NMBR_FRBRNC_MSRS_SIMUL FROM BU_LOANTAPE_WORK.LT002_INSTRUMENT WHERE ref_date='${ref_date}' AND nome_perimetro='Individual Corporativo' AND segmento='ESTR' AND ambito='PM' AND entidade='00100')Y ON X.INSTRMNT_ID=Y.INSTRMNT_ID_SIMUL</v>
      </c>
      <c r="M220" s="36" t="str">
        <f t="shared" si="3"/>
        <v>UNION ALL SELECT 'INSTRUMENT' AS TABELA, 'COERÊNCIA' AS TIPOLOGIA_TESTE,'CD_LOAN_TAPES_BCE.LT002_INSTRUMENT' AS TABELA_LT,'BU_LOANTAPE_WORK.LT002_INSTRUMENT' AS TABELA_SIMUL,'NMBR_FRBRNC_MSRS' AS CAMPO, '${ref_date}' AS REF_DATE, COUNT(*) AS NUM_REG, SUM(IF(COALESCE(CAST(X.NMBR_FRBRNC_MSRS AS STRING),'')&lt;&gt;COALESCE(CAST(Y.NMBR_FRBRNC_MSRS_SIMUL AS STRING),'') OR (X.NMBR_FRBRNC_MSRS IS NULL AND Y.NMBR_FRBRNC_MSRS_SIMUL IS NOT NULL ) OR (X.NMBR_FRBRNC_MSRS IS NOT NULL AND Y.NMBR_FRBRNC_MSRS_SIMUL IS NULL),1,0)) AS NUM_REG_DIF,'1' AS ID_EXEC, CURRENT_TIMESTAMP() AS TIME_EXEC FROM (SELECT instrmnt_id, NMBR_FRBRNC_MSRS FROM CD_LOAN_TAPES_BCE.LT002_INSTRUMENT WHERE ref_date='${ref_date}' AND nome_perimetro='Individual Corporativo' AND segmento='ESTR' AND ambito='PM' AND entidade='00100')X INNER JOIN (SELECT instrmnt_id AS instrmnt_id_SIMUL, NMBR_FRBRNC_MSRS AS NMBR_FRBRNC_MSRS_SIMUL FROM BU_LOANTAPE_WORK.LT002_INSTRUMENT WHERE ref_date='${ref_date}' AND nome_perimetro='Individual Corporativo' AND segmento='ESTR' AND ambito='PM' AND entidade='00100')Y ON X.INSTRMNT_ID=Y.INSTRMNT_ID_SIMUL</v>
      </c>
      <c r="N220" s="38" t="s">
        <v>46</v>
      </c>
    </row>
    <row r="221" spans="2:14" hidden="1">
      <c r="B221" s="34" t="s">
        <v>126</v>
      </c>
      <c r="C221" s="34" t="s">
        <v>5</v>
      </c>
      <c r="D221" s="34" t="str">
        <f>+UPPER('0. Instruções'!$D$35&amp;"."&amp;VLOOKUP(B221,'0. Instruções'!$C$27:$D$32,2,FALSE))</f>
        <v>CD_LOAN_TAPES_BCE.LT002_INSTRUMENT</v>
      </c>
      <c r="E221" s="34" t="str">
        <f>+UPPER('0. Instruções'!$D$36&amp;"."&amp;VLOOKUP(B221,'0. Instruções'!$C$27:$E$32,3,FALSE))</f>
        <v>BU_LOANTAPE_WORK.LT002_INSTRUMENT</v>
      </c>
      <c r="F221" s="34" t="s">
        <v>509</v>
      </c>
      <c r="G221" s="34"/>
      <c r="H221" s="34" t="s">
        <v>91</v>
      </c>
      <c r="I221" s="34" t="str">
        <f>"(SELECT "&amp;VLOOKUP(B221,'0. Instruções'!$C$27:$G$32,4,FALSE)&amp;", "&amp;F221&amp;" FROM "&amp;D221&amp;" WHERE "&amp;'0. Instruções'!$D$42&amp;")X"</f>
        <v>(SELECT instrmnt_id, IFRS9_LGD FROM CD_LOAN_TAPES_BCE.LT002_INSTRUMENT WHERE ref_date='${ref_date}' AND nome_perimetro='Individual Corporativo' AND segmento='ESTR' AND ambito='PM' AND entidade='00100')X</v>
      </c>
      <c r="J221" s="34" t="str">
        <f>"(SELECT "&amp;VLOOKUP(B221,'0. Instruções'!$C$27:$G$32,4,FALSE)&amp;" AS "&amp;VLOOKUP(B221,'0. Instruções'!$C$27:$G$32,4,FALSE)&amp;"_SIMUL, "&amp;F221&amp;" AS "&amp;F221&amp;"_SIMUL FROM "&amp;E221&amp;" WHERE "&amp;'0. Instruções'!$D$43&amp;")Y"</f>
        <v>(SELECT instrmnt_id AS instrmnt_id_SIMUL, IFRS9_LGD AS IFRS9_LGD_SIMUL FROM BU_LOANTAPE_WORK.LT002_INSTRUMENT WHERE ref_date='${ref_date}' AND nome_perimetro='Individual Corporativo' AND segmento='ESTR' AND ambito='PM' AND entidade='00100')Y</v>
      </c>
      <c r="K221" s="35" t="str">
        <f>+UPPER("ON X."&amp;VLOOKUP(B221,'0. Instruções'!$C$27:$G$32,4,FALSE)&amp;"=Y."&amp;VLOOKUP(B221,'0. Instruções'!$C$27:$G$32,4,FALSE)&amp;"_SIMUL")</f>
        <v>ON X.INSTRMNT_ID=Y.INSTRMNT_ID_SIMUL</v>
      </c>
      <c r="L221" s="35" t="str">
        <f>+IF(C221="Coerência", +IF(LEFT(G221,5)="FLOAT","SELECT '"&amp;UPPER(B221)&amp;"' AS TABELA, '"&amp;UPPER(C221)&amp;"' AS TIPOLOGIA_TESTE,'"&amp;D221&amp;"' AS TABELA_LT,'"&amp;E221&amp;"' AS TABELA_SIMUL,'"&amp;F221&amp;"' AS CAMPO, "&amp;"'${ref_date}' AS REF_DATE, COUNT(*) AS NUM_REG, SUM(IF((ABS(COALESCE(CAST(X."&amp;F221&amp;" AS DECIMAL(18,6)),0)-COALESCE(CAST(Y."&amp;F221&amp;"_SIMUL AS DECIMAL(18,6)),0))&gt;0.000001) OR (X."&amp;F221&amp;" IS NULL AND Y."&amp;F221&amp;"_SIMUL IS NOT NULL ) OR (X."&amp;F221&amp;" IS NOT NULL AND Y."&amp;F221&amp;"_SIMUL IS NULL),1,0)) AS NUM_REG_DIF,'"&amp;MAX('ID1&amp;5'!K:K)+1&amp;"' AS ID_EXEC, CURRENT_TIMESTAMP() AS TIME_EXEC FROM "&amp;I221&amp;" INNER JOIN "&amp;J221&amp;" "&amp;K221,"SELECT '"&amp;UPPER(B221)&amp;"' AS TABELA, '"&amp;UPPER(C221)&amp;"' AS TIPOLOGIA_TESTE,'"&amp;D221&amp;"' AS TABELA_LT,'"&amp;E221&amp;"' AS TABELA_SIMUL,'"&amp;F221&amp;"' AS CAMPO, "&amp;"'${ref_date}' AS REF_DATE, COUNT(*) AS NUM_REG, SUM(IF(COALESCE(CAST(X."&amp;F221&amp;" AS STRING),'')&lt;&gt;COALESCE(CAST(Y."&amp;F221&amp;"_SIMUL AS STRING),'') OR (X."&amp;F221&amp;" IS NULL AND Y."&amp;F221&amp;"_SIMUL IS NOT NULL ) OR (X."&amp;F221&amp;" IS NOT NULL AND Y."&amp;F221&amp;"_SIMUL IS NULL),1,0)) AS NUM_REG_DIF,'"&amp;MAX('ID1&amp;5'!L:L)+1&amp;"' AS ID_EXEC, CURRENT_TIMESTAMP() AS TIME_EXEC FROM "&amp;I221&amp;" INNER JOIN "&amp;J221&amp;" "&amp;K221),
IF(C221="Validade",+IF(G221="Code List","SELECT '"&amp;UPPER(B221)&amp;"' AS TABELA, '"&amp;UPPER(C221)&amp;"' AS TIPOLOGIA_TESTE,'"&amp;D221&amp;"' AS TABELA_LT,'N/A' AS TABELA_SIMUL,'"&amp;F221&amp;"' AS CAMPO, "&amp;"'${ref_date}' AS REF_DATE, COUNT(*) AS NUM_REG, SUM(IF(TRIM(CAST(X."&amp;F221&amp;" AS STRING))='' OR TRIM(CAST(X."&amp;F221&amp;" AS STRING)) IS NULL OR CAST(X."&amp;F221&amp;" AS STRING) NOT "&amp;H221&amp;",1,0)) AS NUM_REG_DIF,'"&amp;MAX('ID1&amp;5'!K:K)+1&amp;"' AS ID_EXEC, CURRENT_TIMESTAMP() AS TIME_EXEC FROM "&amp;I221,"SELECT '"&amp;UPPER(B221)&amp;"' AS TABELA, '"&amp;UPPER(C221)&amp;"' AS TIPOLOGIA_TESTE,'"&amp;D221&amp;"' AS TABELA_LT,'N/A' AS TABELA_SIMUL,'"&amp;F221&amp;"' AS CAMPO, "&amp;"'${ref_date}' AS REF_DATE, COUNT(*) AS NUM_REG, SUM(IF(TRIM(CAST(X."&amp;F221&amp;" AS STRING))='' OR TRIM(CAST(X."&amp;F221&amp;" AS STRING)) IS NULL,1,0)) AS NUM_REG_DIF,'"&amp;MAX('ID1&amp;5'!K:K)+1&amp;"' AS ID_EXEC, CURRENT_TIMESTAMP() AS TIME_EXEC FROM "&amp;I221),
IF(C221="Caracteres Especiais",+"SELECT '"&amp;UPPER(B221)&amp;"' AS TABELA, '"&amp;UPPER(C221)&amp;"' AS TIPOLOGIA_TESTE,'"&amp;D221&amp;"' AS TABELA_LT,'N/A' AS TABELA_SIMUL,'"&amp;F221&amp;"' AS CAMPO, "&amp;"'${ref_date}' AS REF_DATE, COUNT(*) AS NUM_REG, SUM(IF(REGEXP_REPLACE(TRIM(CAST(X."&amp;F221&amp;" AS STRING)),'[^a-zA-Z0-9_\\s]','') &lt;&gt;TRIM(CAST(X."&amp;F221&amp;" AS STRING)),1,0)) AS NUM_REG_DIF,'"&amp;MAX('ID1&amp;5'!K:K)+1&amp;"' AS ID_EXEC, CURRENT_TIMESTAMP() AS TIME_EXEC FROM "&amp;I221,
IF(C221="Missings",+"SELECT '"&amp;UPPER(B221)&amp;"' AS TABELA, '"&amp;UPPER(C221)&amp;"' AS TIPOLOGIA_TESTE,'"&amp;D221&amp;"' AS TABELA_LT,'N/A' AS TABELA_SIMUL,'"&amp;F221&amp;"' AS CAMPO, "&amp;"'${ref_date}' AS REF_DATE, COUNT(*) AS NUM_REG, SUM(IF(TRIM(CAST(X."&amp;F221&amp;" AS STRING)) IN ('0000-00-00','0001-01-01','9999-12-31','MISS','00000','99999999999','99999999999.00','99999999999.000000'),1,0)) AS NUM_REG_DIF,'"&amp;MAX('ID1&amp;5'!K:K)+1&amp;"' AS ID_EXEC, CURRENT_TIMESTAMP() AS TIME_EXEC FROM "&amp;I221,
IF(C221="Not applicable",+"SELECT '"&amp;UPPER(B221)&amp;"' AS TABELA, '"&amp;UPPER(C221)&amp;"' AS TIPOLOGIA_TESTE,'"&amp;D221&amp;"' AS TABELA_LT,'N/A' AS TABELA_SIMUL,'"&amp;F221&amp;"' AS CAMPO, "&amp;"'${ref_date}' AS REF_DATE, COUNT(*) AS NUM_REG, SUM(IF(TRIM(CAST(X."&amp;F221&amp;" AS STRING)) IN ('N/A','11111111111','11111111111.00','11111111111.000000','1111-11-11'),1,0)) AS NUM_REG_DIF,'"&amp;MAX('ID1&amp;5'!K:K)+1&amp;"' AS ID_EXEC, CURRENT_TIMESTAMP() AS TIME_EXEC FROM "&amp;I221,
IF(C221="Valores extremos",+"SELECT '"&amp;UPPER(B221)&amp;"' AS TABELA, '"&amp;UPPER(C221)&amp;"' AS TIPOLOGIA_TESTE,'"&amp;D221&amp;"' AS TABELA_LT,'N/A' AS TABELA_SIMUL,'"&amp;F221&amp;"' AS CAMPO, "&amp;"'${ref_date}' AS REF_DATE, CAST(MIN("&amp;F221&amp;") AS STRING) AS VALOR_MIN, CAST(MAX("&amp;F221&amp;") AS STRING) AS VALOR_MAX,'"&amp;MAX('ID1&amp;5'!K:K)+1&amp;"' AS ID_EXEC, CURRENT_TIMESTAMP() AS TIME_EXEC FROM "&amp;MID(I221,1,LEN(I221)-2)&amp;" AND CAST("&amp;F221&amp;"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TABELA_SIMUL,'IFRS9_LGD' AS CAMPO, '${ref_date}' AS REF_DATE, COUNT(*) AS NUM_REG, SUM(IF(COALESCE(CAST(X.IFRS9_LGD AS STRING),'')&lt;&gt;COALESCE(CAST(Y.IFRS9_LGD_SIMUL AS STRING),'') OR (X.IFRS9_LGD IS NULL AND Y.IFRS9_LGD_SIMUL IS NOT NULL ) OR (X.IFRS9_LGD IS NOT NULL AND Y.IFRS9_LGD_SIMUL IS NULL),1,0)) AS NUM_REG_DIF,'1' AS ID_EXEC, CURRENT_TIMESTAMP() AS TIME_EXEC FROM (SELECT instrmnt_id, IFRS9_LGD FROM CD_LOAN_TAPES_BCE.LT002_INSTRUMENT WHERE ref_date='${ref_date}' AND nome_perimetro='Individual Corporativo' AND segmento='ESTR' AND ambito='PM' AND entidade='00100')X INNER JOIN (SELECT instrmnt_id AS instrmnt_id_SIMUL, IFRS9_LGD AS IFRS9_LGD_SIMUL FROM BU_LOANTAPE_WORK.LT002_INSTRUMENT WHERE ref_date='${ref_date}' AND nome_perimetro='Individual Corporativo' AND segmento='ESTR' AND ambito='PM' AND entidade='00100')Y ON X.INSTRMNT_ID=Y.INSTRMNT_ID_SIMUL</v>
      </c>
      <c r="M221" s="36" t="str">
        <f t="shared" si="3"/>
        <v>UNION ALL SELECT 'INSTRUMENT' AS TABELA, 'COERÊNCIA' AS TIPOLOGIA_TESTE,'CD_LOAN_TAPES_BCE.LT002_INSTRUMENT' AS TABELA_LT,'BU_LOANTAPE_WORK.LT002_INSTRUMENT' AS TABELA_SIMUL,'IFRS9_LGD' AS CAMPO, '${ref_date}' AS REF_DATE, COUNT(*) AS NUM_REG, SUM(IF(COALESCE(CAST(X.IFRS9_LGD AS STRING),'')&lt;&gt;COALESCE(CAST(Y.IFRS9_LGD_SIMUL AS STRING),'') OR (X.IFRS9_LGD IS NULL AND Y.IFRS9_LGD_SIMUL IS NOT NULL ) OR (X.IFRS9_LGD IS NOT NULL AND Y.IFRS9_LGD_SIMUL IS NULL),1,0)) AS NUM_REG_DIF,'1' AS ID_EXEC, CURRENT_TIMESTAMP() AS TIME_EXEC FROM (SELECT instrmnt_id, IFRS9_LGD FROM CD_LOAN_TAPES_BCE.LT002_INSTRUMENT WHERE ref_date='${ref_date}' AND nome_perimetro='Individual Corporativo' AND segmento='ESTR' AND ambito='PM' AND entidade='00100')X INNER JOIN (SELECT instrmnt_id AS instrmnt_id_SIMUL, IFRS9_LGD AS IFRS9_LGD_SIMUL FROM BU_LOANTAPE_WORK.LT002_INSTRUMENT WHERE ref_date='${ref_date}' AND nome_perimetro='Individual Corporativo' AND segmento='ESTR' AND ambito='PM' AND entidade='00100')Y ON X.INSTRMNT_ID=Y.INSTRMNT_ID_SIMUL</v>
      </c>
      <c r="N221" s="38" t="s">
        <v>46</v>
      </c>
    </row>
    <row r="222" spans="2:14" hidden="1">
      <c r="B222" s="34" t="s">
        <v>126</v>
      </c>
      <c r="C222" s="34" t="s">
        <v>5</v>
      </c>
      <c r="D222" s="34" t="str">
        <f>+UPPER('0. Instruções'!$D$35&amp;"."&amp;VLOOKUP(B222,'0. Instruções'!$C$27:$D$32,2,FALSE))</f>
        <v>CD_LOAN_TAPES_BCE.LT002_INSTRUMENT</v>
      </c>
      <c r="E222" s="34" t="str">
        <f>+UPPER('0. Instruções'!$D$36&amp;"."&amp;VLOOKUP(B222,'0. Instruções'!$C$27:$E$32,3,FALSE))</f>
        <v>BU_LOANTAPE_WORK.LT002_INSTRUMENT</v>
      </c>
      <c r="F222" s="34" t="s">
        <v>510</v>
      </c>
      <c r="G222" s="34"/>
      <c r="H222" s="34" t="s">
        <v>91</v>
      </c>
      <c r="I222" s="34" t="str">
        <f>"(SELECT "&amp;VLOOKUP(B222,'0. Instruções'!$C$27:$G$32,4,FALSE)&amp;", "&amp;F222&amp;" FROM "&amp;D222&amp;" WHERE "&amp;'0. Instruções'!$D$42&amp;")X"</f>
        <v>(SELECT instrmnt_id, LGD FROM CD_LOAN_TAPES_BCE.LT002_INSTRUMENT WHERE ref_date='${ref_date}' AND nome_perimetro='Individual Corporativo' AND segmento='ESTR' AND ambito='PM' AND entidade='00100')X</v>
      </c>
      <c r="J222" s="34" t="str">
        <f>"(SELECT "&amp;VLOOKUP(B222,'0. Instruções'!$C$27:$G$32,4,FALSE)&amp;" AS "&amp;VLOOKUP(B222,'0. Instruções'!$C$27:$G$32,4,FALSE)&amp;"_SIMUL, "&amp;F222&amp;" AS "&amp;F222&amp;"_SIMUL FROM "&amp;E222&amp;" WHERE "&amp;'0. Instruções'!$D$43&amp;")Y"</f>
        <v>(SELECT instrmnt_id AS instrmnt_id_SIMUL, LGD AS LGD_SIMUL FROM BU_LOANTAPE_WORK.LT002_INSTRUMENT WHERE ref_date='${ref_date}' AND nome_perimetro='Individual Corporativo' AND segmento='ESTR' AND ambito='PM' AND entidade='00100')Y</v>
      </c>
      <c r="K222" s="35" t="str">
        <f>+UPPER("ON X."&amp;VLOOKUP(B222,'0. Instruções'!$C$27:$G$32,4,FALSE)&amp;"=Y."&amp;VLOOKUP(B222,'0. Instruções'!$C$27:$G$32,4,FALSE)&amp;"_SIMUL")</f>
        <v>ON X.INSTRMNT_ID=Y.INSTRMNT_ID_SIMUL</v>
      </c>
      <c r="L222" s="35" t="str">
        <f>+IF(C222="Coerência", +IF(LEFT(G222,5)="FLOAT","SELECT '"&amp;UPPER(B222)&amp;"' AS TABELA, '"&amp;UPPER(C222)&amp;"' AS TIPOLOGIA_TESTE,'"&amp;D222&amp;"' AS TABELA_LT,'"&amp;E222&amp;"' AS TABELA_SIMUL,'"&amp;F222&amp;"' AS CAMPO, "&amp;"'${ref_date}' AS REF_DATE, COUNT(*) AS NUM_REG, SUM(IF((ABS(COALESCE(CAST(X."&amp;F222&amp;" AS DECIMAL(18,6)),0)-COALESCE(CAST(Y."&amp;F222&amp;"_SIMUL AS DECIMAL(18,6)),0))&gt;0.000001) OR (X."&amp;F222&amp;" IS NULL AND Y."&amp;F222&amp;"_SIMUL IS NOT NULL ) OR (X."&amp;F222&amp;" IS NOT NULL AND Y."&amp;F222&amp;"_SIMUL IS NULL),1,0)) AS NUM_REG_DIF,'"&amp;MAX('ID1&amp;5'!K:K)+1&amp;"' AS ID_EXEC, CURRENT_TIMESTAMP() AS TIME_EXEC FROM "&amp;I222&amp;" INNER JOIN "&amp;J222&amp;" "&amp;K222,"SELECT '"&amp;UPPER(B222)&amp;"' AS TABELA, '"&amp;UPPER(C222)&amp;"' AS TIPOLOGIA_TESTE,'"&amp;D222&amp;"' AS TABELA_LT,'"&amp;E222&amp;"' AS TABELA_SIMUL,'"&amp;F222&amp;"' AS CAMPO, "&amp;"'${ref_date}' AS REF_DATE, COUNT(*) AS NUM_REG, SUM(IF(COALESCE(CAST(X."&amp;F222&amp;" AS STRING),'')&lt;&gt;COALESCE(CAST(Y."&amp;F222&amp;"_SIMUL AS STRING),'') OR (X."&amp;F222&amp;" IS NULL AND Y."&amp;F222&amp;"_SIMUL IS NOT NULL ) OR (X."&amp;F222&amp;" IS NOT NULL AND Y."&amp;F222&amp;"_SIMUL IS NULL),1,0)) AS NUM_REG_DIF,'"&amp;MAX('ID1&amp;5'!L:L)+1&amp;"' AS ID_EXEC, CURRENT_TIMESTAMP() AS TIME_EXEC FROM "&amp;I222&amp;" INNER JOIN "&amp;J222&amp;" "&amp;K222),
IF(C222="Validade",+IF(G222="Code List","SELECT '"&amp;UPPER(B222)&amp;"' AS TABELA, '"&amp;UPPER(C222)&amp;"' AS TIPOLOGIA_TESTE,'"&amp;D222&amp;"' AS TABELA_LT,'N/A' AS TABELA_SIMUL,'"&amp;F222&amp;"' AS CAMPO, "&amp;"'${ref_date}' AS REF_DATE, COUNT(*) AS NUM_REG, SUM(IF(TRIM(CAST(X."&amp;F222&amp;" AS STRING))='' OR TRIM(CAST(X."&amp;F222&amp;" AS STRING)) IS NULL OR CAST(X."&amp;F222&amp;" AS STRING) NOT "&amp;H222&amp;",1,0)) AS NUM_REG_DIF,'"&amp;MAX('ID1&amp;5'!K:K)+1&amp;"' AS ID_EXEC, CURRENT_TIMESTAMP() AS TIME_EXEC FROM "&amp;I222,"SELECT '"&amp;UPPER(B222)&amp;"' AS TABELA, '"&amp;UPPER(C222)&amp;"' AS TIPOLOGIA_TESTE,'"&amp;D222&amp;"' AS TABELA_LT,'N/A' AS TABELA_SIMUL,'"&amp;F222&amp;"' AS CAMPO, "&amp;"'${ref_date}' AS REF_DATE, COUNT(*) AS NUM_REG, SUM(IF(TRIM(CAST(X."&amp;F222&amp;" AS STRING))='' OR TRIM(CAST(X."&amp;F222&amp;" AS STRING)) IS NULL,1,0)) AS NUM_REG_DIF,'"&amp;MAX('ID1&amp;5'!K:K)+1&amp;"' AS ID_EXEC, CURRENT_TIMESTAMP() AS TIME_EXEC FROM "&amp;I222),
IF(C222="Caracteres Especiais",+"SELECT '"&amp;UPPER(B222)&amp;"' AS TABELA, '"&amp;UPPER(C222)&amp;"' AS TIPOLOGIA_TESTE,'"&amp;D222&amp;"' AS TABELA_LT,'N/A' AS TABELA_SIMUL,'"&amp;F222&amp;"' AS CAMPO, "&amp;"'${ref_date}' AS REF_DATE, COUNT(*) AS NUM_REG, SUM(IF(REGEXP_REPLACE(TRIM(CAST(X."&amp;F222&amp;" AS STRING)),'[^a-zA-Z0-9_\\s]','') &lt;&gt;TRIM(CAST(X."&amp;F222&amp;" AS STRING)),1,0)) AS NUM_REG_DIF,'"&amp;MAX('ID1&amp;5'!K:K)+1&amp;"' AS ID_EXEC, CURRENT_TIMESTAMP() AS TIME_EXEC FROM "&amp;I222,
IF(C222="Missings",+"SELECT '"&amp;UPPER(B222)&amp;"' AS TABELA, '"&amp;UPPER(C222)&amp;"' AS TIPOLOGIA_TESTE,'"&amp;D222&amp;"' AS TABELA_LT,'N/A' AS TABELA_SIMUL,'"&amp;F222&amp;"' AS CAMPO, "&amp;"'${ref_date}' AS REF_DATE, COUNT(*) AS NUM_REG, SUM(IF(TRIM(CAST(X."&amp;F222&amp;" AS STRING)) IN ('0000-00-00','0001-01-01','9999-12-31','MISS','00000','99999999999','99999999999.00','99999999999.000000'),1,0)) AS NUM_REG_DIF,'"&amp;MAX('ID1&amp;5'!K:K)+1&amp;"' AS ID_EXEC, CURRENT_TIMESTAMP() AS TIME_EXEC FROM "&amp;I222,
IF(C222="Not applicable",+"SELECT '"&amp;UPPER(B222)&amp;"' AS TABELA, '"&amp;UPPER(C222)&amp;"' AS TIPOLOGIA_TESTE,'"&amp;D222&amp;"' AS TABELA_LT,'N/A' AS TABELA_SIMUL,'"&amp;F222&amp;"' AS CAMPO, "&amp;"'${ref_date}' AS REF_DATE, COUNT(*) AS NUM_REG, SUM(IF(TRIM(CAST(X."&amp;F222&amp;" AS STRING)) IN ('N/A','11111111111','11111111111.00','11111111111.000000','1111-11-11'),1,0)) AS NUM_REG_DIF,'"&amp;MAX('ID1&amp;5'!K:K)+1&amp;"' AS ID_EXEC, CURRENT_TIMESTAMP() AS TIME_EXEC FROM "&amp;I222,
IF(C222="Valores extremos",+"SELECT '"&amp;UPPER(B222)&amp;"' AS TABELA, '"&amp;UPPER(C222)&amp;"' AS TIPOLOGIA_TESTE,'"&amp;D222&amp;"' AS TABELA_LT,'N/A' AS TABELA_SIMUL,'"&amp;F222&amp;"' AS CAMPO, "&amp;"'${ref_date}' AS REF_DATE, CAST(MIN("&amp;F222&amp;") AS STRING) AS VALOR_MIN, CAST(MAX("&amp;F222&amp;") AS STRING) AS VALOR_MAX,'"&amp;MAX('ID1&amp;5'!K:K)+1&amp;"' AS ID_EXEC, CURRENT_TIMESTAMP() AS TIME_EXEC FROM "&amp;MID(I222,1,LEN(I222)-2)&amp;" AND CAST("&amp;F222&amp;"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TABELA_SIMUL,'LGD' AS CAMPO, '${ref_date}' AS REF_DATE, COUNT(*) AS NUM_REG, SUM(IF(COALESCE(CAST(X.LGD AS STRING),'')&lt;&gt;COALESCE(CAST(Y.LGD_SIMUL AS STRING),'') OR (X.LGD IS NULL AND Y.LGD_SIMUL IS NOT NULL ) OR (X.LGD IS NOT NULL AND Y.LGD_SIMUL IS NULL),1,0)) AS NUM_REG_DIF,'1' AS ID_EXEC, CURRENT_TIMESTAMP() AS TIME_EXEC FROM (SELECT instrmnt_id, LGD FROM CD_LOAN_TAPES_BCE.LT002_INSTRUMENT WHERE ref_date='${ref_date}' AND nome_perimetro='Individual Corporativo' AND segmento='ESTR' AND ambito='PM' AND entidade='00100')X INNER JOIN (SELECT instrmnt_id AS instrmnt_id_SIMUL, LGD AS LGD_SIMUL FROM BU_LOANTAPE_WORK.LT002_INSTRUMENT WHERE ref_date='${ref_date}' AND nome_perimetro='Individual Corporativo' AND segmento='ESTR' AND ambito='PM' AND entidade='00100')Y ON X.INSTRMNT_ID=Y.INSTRMNT_ID_SIMUL</v>
      </c>
      <c r="M222" s="36" t="str">
        <f t="shared" si="3"/>
        <v>UNION ALL SELECT 'INSTRUMENT' AS TABELA, 'COERÊNCIA' AS TIPOLOGIA_TESTE,'CD_LOAN_TAPES_BCE.LT002_INSTRUMENT' AS TABELA_LT,'BU_LOANTAPE_WORK.LT002_INSTRUMENT' AS TABELA_SIMUL,'LGD' AS CAMPO, '${ref_date}' AS REF_DATE, COUNT(*) AS NUM_REG, SUM(IF(COALESCE(CAST(X.LGD AS STRING),'')&lt;&gt;COALESCE(CAST(Y.LGD_SIMUL AS STRING),'') OR (X.LGD IS NULL AND Y.LGD_SIMUL IS NOT NULL ) OR (X.LGD IS NOT NULL AND Y.LGD_SIMUL IS NULL),1,0)) AS NUM_REG_DIF,'1' AS ID_EXEC, CURRENT_TIMESTAMP() AS TIME_EXEC FROM (SELECT instrmnt_id, LGD FROM CD_LOAN_TAPES_BCE.LT002_INSTRUMENT WHERE ref_date='${ref_date}' AND nome_perimetro='Individual Corporativo' AND segmento='ESTR' AND ambito='PM' AND entidade='00100')X INNER JOIN (SELECT instrmnt_id AS instrmnt_id_SIMUL, LGD AS LGD_SIMUL FROM BU_LOANTAPE_WORK.LT002_INSTRUMENT WHERE ref_date='${ref_date}' AND nome_perimetro='Individual Corporativo' AND segmento='ESTR' AND ambito='PM' AND entidade='00100')Y ON X.INSTRMNT_ID=Y.INSTRMNT_ID_SIMUL</v>
      </c>
      <c r="N222" s="38" t="s">
        <v>46</v>
      </c>
    </row>
    <row r="223" spans="2:14" hidden="1">
      <c r="B223" s="34" t="s">
        <v>126</v>
      </c>
      <c r="C223" s="34" t="s">
        <v>5</v>
      </c>
      <c r="D223" s="34" t="str">
        <f>+UPPER('0. Instruções'!$D$35&amp;"."&amp;VLOOKUP(B223,'0. Instruções'!$C$27:$D$32,2,FALSE))</f>
        <v>CD_LOAN_TAPES_BCE.LT002_INSTRUMENT</v>
      </c>
      <c r="E223" s="34" t="str">
        <f>+UPPER('0. Instruções'!$D$36&amp;"."&amp;VLOOKUP(B223,'0. Instruções'!$C$27:$E$32,3,FALSE))</f>
        <v>BU_LOANTAPE_WORK.LT002_INSTRUMENT</v>
      </c>
      <c r="F223" s="34" t="s">
        <v>511</v>
      </c>
      <c r="G223" s="34"/>
      <c r="H223" s="34" t="s">
        <v>91</v>
      </c>
      <c r="I223" s="34" t="str">
        <f>"(SELECT "&amp;VLOOKUP(B223,'0. Instruções'!$C$27:$G$32,4,FALSE)&amp;", "&amp;F223&amp;" FROM "&amp;D223&amp;" WHERE "&amp;'0. Instruções'!$D$42&amp;")X"</f>
        <v>(SELECT instrmnt_id, LTV FROM CD_LOAN_TAPES_BCE.LT002_INSTRUMENT WHERE ref_date='${ref_date}' AND nome_perimetro='Individual Corporativo' AND segmento='ESTR' AND ambito='PM' AND entidade='00100')X</v>
      </c>
      <c r="J223" s="34" t="str">
        <f>"(SELECT "&amp;VLOOKUP(B223,'0. Instruções'!$C$27:$G$32,4,FALSE)&amp;" AS "&amp;VLOOKUP(B223,'0. Instruções'!$C$27:$G$32,4,FALSE)&amp;"_SIMUL, "&amp;F223&amp;" AS "&amp;F223&amp;"_SIMUL FROM "&amp;E223&amp;" WHERE "&amp;'0. Instruções'!$D$43&amp;")Y"</f>
        <v>(SELECT instrmnt_id AS instrmnt_id_SIMUL, LTV AS LTV_SIMUL FROM BU_LOANTAPE_WORK.LT002_INSTRUMENT WHERE ref_date='${ref_date}' AND nome_perimetro='Individual Corporativo' AND segmento='ESTR' AND ambito='PM' AND entidade='00100')Y</v>
      </c>
      <c r="K223" s="35" t="str">
        <f>+UPPER("ON X."&amp;VLOOKUP(B223,'0. Instruções'!$C$27:$G$32,4,FALSE)&amp;"=Y."&amp;VLOOKUP(B223,'0. Instruções'!$C$27:$G$32,4,FALSE)&amp;"_SIMUL")</f>
        <v>ON X.INSTRMNT_ID=Y.INSTRMNT_ID_SIMUL</v>
      </c>
      <c r="L223" s="35" t="str">
        <f>+IF(C223="Coerência", +IF(LEFT(G223,5)="FLOAT","SELECT '"&amp;UPPER(B223)&amp;"' AS TABELA, '"&amp;UPPER(C223)&amp;"' AS TIPOLOGIA_TESTE,'"&amp;D223&amp;"' AS TABELA_LT,'"&amp;E223&amp;"' AS TABELA_SIMUL,'"&amp;F223&amp;"' AS CAMPO, "&amp;"'${ref_date}' AS REF_DATE, COUNT(*) AS NUM_REG, SUM(IF((ABS(COALESCE(CAST(X."&amp;F223&amp;" AS DECIMAL(18,6)),0)-COALESCE(CAST(Y."&amp;F223&amp;"_SIMUL AS DECIMAL(18,6)),0))&gt;0.000001) OR (X."&amp;F223&amp;" IS NULL AND Y."&amp;F223&amp;"_SIMUL IS NOT NULL ) OR (X."&amp;F223&amp;" IS NOT NULL AND Y."&amp;F223&amp;"_SIMUL IS NULL),1,0)) AS NUM_REG_DIF,'"&amp;MAX('ID1&amp;5'!K:K)+1&amp;"' AS ID_EXEC, CURRENT_TIMESTAMP() AS TIME_EXEC FROM "&amp;I223&amp;" INNER JOIN "&amp;J223&amp;" "&amp;K223,"SELECT '"&amp;UPPER(B223)&amp;"' AS TABELA, '"&amp;UPPER(C223)&amp;"' AS TIPOLOGIA_TESTE,'"&amp;D223&amp;"' AS TABELA_LT,'"&amp;E223&amp;"' AS TABELA_SIMUL,'"&amp;F223&amp;"' AS CAMPO, "&amp;"'${ref_date}' AS REF_DATE, COUNT(*) AS NUM_REG, SUM(IF(COALESCE(CAST(X."&amp;F223&amp;" AS STRING),'')&lt;&gt;COALESCE(CAST(Y."&amp;F223&amp;"_SIMUL AS STRING),'') OR (X."&amp;F223&amp;" IS NULL AND Y."&amp;F223&amp;"_SIMUL IS NOT NULL ) OR (X."&amp;F223&amp;" IS NOT NULL AND Y."&amp;F223&amp;"_SIMUL IS NULL),1,0)) AS NUM_REG_DIF,'"&amp;MAX('ID1&amp;5'!L:L)+1&amp;"' AS ID_EXEC, CURRENT_TIMESTAMP() AS TIME_EXEC FROM "&amp;I223&amp;" INNER JOIN "&amp;J223&amp;" "&amp;K223),
IF(C223="Validade",+IF(G223="Code List","SELECT '"&amp;UPPER(B223)&amp;"' AS TABELA, '"&amp;UPPER(C223)&amp;"' AS TIPOLOGIA_TESTE,'"&amp;D223&amp;"' AS TABELA_LT,'N/A' AS TABELA_SIMUL,'"&amp;F223&amp;"' AS CAMPO, "&amp;"'${ref_date}' AS REF_DATE, COUNT(*) AS NUM_REG, SUM(IF(TRIM(CAST(X."&amp;F223&amp;" AS STRING))='' OR TRIM(CAST(X."&amp;F223&amp;" AS STRING)) IS NULL OR CAST(X."&amp;F223&amp;" AS STRING) NOT "&amp;H223&amp;",1,0)) AS NUM_REG_DIF,'"&amp;MAX('ID1&amp;5'!K:K)+1&amp;"' AS ID_EXEC, CURRENT_TIMESTAMP() AS TIME_EXEC FROM "&amp;I223,"SELECT '"&amp;UPPER(B223)&amp;"' AS TABELA, '"&amp;UPPER(C223)&amp;"' AS TIPOLOGIA_TESTE,'"&amp;D223&amp;"' AS TABELA_LT,'N/A' AS TABELA_SIMUL,'"&amp;F223&amp;"' AS CAMPO, "&amp;"'${ref_date}' AS REF_DATE, COUNT(*) AS NUM_REG, SUM(IF(TRIM(CAST(X."&amp;F223&amp;" AS STRING))='' OR TRIM(CAST(X."&amp;F223&amp;" AS STRING)) IS NULL,1,0)) AS NUM_REG_DIF,'"&amp;MAX('ID1&amp;5'!K:K)+1&amp;"' AS ID_EXEC, CURRENT_TIMESTAMP() AS TIME_EXEC FROM "&amp;I223),
IF(C223="Caracteres Especiais",+"SELECT '"&amp;UPPER(B223)&amp;"' AS TABELA, '"&amp;UPPER(C223)&amp;"' AS TIPOLOGIA_TESTE,'"&amp;D223&amp;"' AS TABELA_LT,'N/A' AS TABELA_SIMUL,'"&amp;F223&amp;"' AS CAMPO, "&amp;"'${ref_date}' AS REF_DATE, COUNT(*) AS NUM_REG, SUM(IF(REGEXP_REPLACE(TRIM(CAST(X."&amp;F223&amp;" AS STRING)),'[^a-zA-Z0-9_\\s]','') &lt;&gt;TRIM(CAST(X."&amp;F223&amp;" AS STRING)),1,0)) AS NUM_REG_DIF,'"&amp;MAX('ID1&amp;5'!K:K)+1&amp;"' AS ID_EXEC, CURRENT_TIMESTAMP() AS TIME_EXEC FROM "&amp;I223,
IF(C223="Missings",+"SELECT '"&amp;UPPER(B223)&amp;"' AS TABELA, '"&amp;UPPER(C223)&amp;"' AS TIPOLOGIA_TESTE,'"&amp;D223&amp;"' AS TABELA_LT,'N/A' AS TABELA_SIMUL,'"&amp;F223&amp;"' AS CAMPO, "&amp;"'${ref_date}' AS REF_DATE, COUNT(*) AS NUM_REG, SUM(IF(TRIM(CAST(X."&amp;F223&amp;" AS STRING)) IN ('0000-00-00','0001-01-01','9999-12-31','MISS','00000','99999999999','99999999999.00','99999999999.000000'),1,0)) AS NUM_REG_DIF,'"&amp;MAX('ID1&amp;5'!K:K)+1&amp;"' AS ID_EXEC, CURRENT_TIMESTAMP() AS TIME_EXEC FROM "&amp;I223,
IF(C223="Not applicable",+"SELECT '"&amp;UPPER(B223)&amp;"' AS TABELA, '"&amp;UPPER(C223)&amp;"' AS TIPOLOGIA_TESTE,'"&amp;D223&amp;"' AS TABELA_LT,'N/A' AS TABELA_SIMUL,'"&amp;F223&amp;"' AS CAMPO, "&amp;"'${ref_date}' AS REF_DATE, COUNT(*) AS NUM_REG, SUM(IF(TRIM(CAST(X."&amp;F223&amp;" AS STRING)) IN ('N/A','11111111111','11111111111.00','11111111111.000000','1111-11-11'),1,0)) AS NUM_REG_DIF,'"&amp;MAX('ID1&amp;5'!K:K)+1&amp;"' AS ID_EXEC, CURRENT_TIMESTAMP() AS TIME_EXEC FROM "&amp;I223,
IF(C223="Valores extremos",+"SELECT '"&amp;UPPER(B223)&amp;"' AS TABELA, '"&amp;UPPER(C223)&amp;"' AS TIPOLOGIA_TESTE,'"&amp;D223&amp;"' AS TABELA_LT,'N/A' AS TABELA_SIMUL,'"&amp;F223&amp;"' AS CAMPO, "&amp;"'${ref_date}' AS REF_DATE, CAST(MIN("&amp;F223&amp;") AS STRING) AS VALOR_MIN, CAST(MAX("&amp;F223&amp;") AS STRING) AS VALOR_MAX,'"&amp;MAX('ID1&amp;5'!K:K)+1&amp;"' AS ID_EXEC, CURRENT_TIMESTAMP() AS TIME_EXEC FROM "&amp;MID(I223,1,LEN(I223)-2)&amp;" AND CAST("&amp;F223&amp;"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TABELA_SIMUL,'LTV' AS CAMPO, '${ref_date}' AS REF_DATE, COUNT(*) AS NUM_REG, SUM(IF(COALESCE(CAST(X.LTV AS STRING),'')&lt;&gt;COALESCE(CAST(Y.LTV_SIMUL AS STRING),'') OR (X.LTV IS NULL AND Y.LTV_SIMUL IS NOT NULL ) OR (X.LTV IS NOT NULL AND Y.LTV_SIMUL IS NULL),1,0)) AS NUM_REG_DIF,'1' AS ID_EXEC, CURRENT_TIMESTAMP() AS TIME_EXEC FROM (SELECT instrmnt_id, LTV FROM CD_LOAN_TAPES_BCE.LT002_INSTRUMENT WHERE ref_date='${ref_date}' AND nome_perimetro='Individual Corporativo' AND segmento='ESTR' AND ambito='PM' AND entidade='00100')X INNER JOIN (SELECT instrmnt_id AS instrmnt_id_SIMUL, LTV AS LTV_SIMUL FROM BU_LOANTAPE_WORK.LT002_INSTRUMENT WHERE ref_date='${ref_date}' AND nome_perimetro='Individual Corporativo' AND segmento='ESTR' AND ambito='PM' AND entidade='00100')Y ON X.INSTRMNT_ID=Y.INSTRMNT_ID_SIMUL</v>
      </c>
      <c r="M223" s="36" t="str">
        <f t="shared" si="3"/>
        <v>UNION ALL SELECT 'INSTRUMENT' AS TABELA, 'COERÊNCIA' AS TIPOLOGIA_TESTE,'CD_LOAN_TAPES_BCE.LT002_INSTRUMENT' AS TABELA_LT,'BU_LOANTAPE_WORK.LT002_INSTRUMENT' AS TABELA_SIMUL,'LTV' AS CAMPO, '${ref_date}' AS REF_DATE, COUNT(*) AS NUM_REG, SUM(IF(COALESCE(CAST(X.LTV AS STRING),'')&lt;&gt;COALESCE(CAST(Y.LTV_SIMUL AS STRING),'') OR (X.LTV IS NULL AND Y.LTV_SIMUL IS NOT NULL ) OR (X.LTV IS NOT NULL AND Y.LTV_SIMUL IS NULL),1,0)) AS NUM_REG_DIF,'1' AS ID_EXEC, CURRENT_TIMESTAMP() AS TIME_EXEC FROM (SELECT instrmnt_id, LTV FROM CD_LOAN_TAPES_BCE.LT002_INSTRUMENT WHERE ref_date='${ref_date}' AND nome_perimetro='Individual Corporativo' AND segmento='ESTR' AND ambito='PM' AND entidade='00100')X INNER JOIN (SELECT instrmnt_id AS instrmnt_id_SIMUL, LTV AS LTV_SIMUL FROM BU_LOANTAPE_WORK.LT002_INSTRUMENT WHERE ref_date='${ref_date}' AND nome_perimetro='Individual Corporativo' AND segmento='ESTR' AND ambito='PM' AND entidade='00100')Y ON X.INSTRMNT_ID=Y.INSTRMNT_ID_SIMUL</v>
      </c>
      <c r="N223" s="38" t="s">
        <v>46</v>
      </c>
    </row>
    <row r="224" spans="2:14" hidden="1">
      <c r="B224" s="34" t="s">
        <v>126</v>
      </c>
      <c r="C224" s="34" t="s">
        <v>5</v>
      </c>
      <c r="D224" s="34" t="str">
        <f>+UPPER('0. Instruções'!$D$35&amp;"."&amp;VLOOKUP(B224,'0. Instruções'!$C$27:$D$32,2,FALSE))</f>
        <v>CD_LOAN_TAPES_BCE.LT002_INSTRUMENT</v>
      </c>
      <c r="E224" s="34" t="str">
        <f>+UPPER('0. Instruções'!$D$36&amp;"."&amp;VLOOKUP(B224,'0. Instruções'!$C$27:$E$32,3,FALSE))</f>
        <v>BU_LOANTAPE_WORK.LT002_INSTRUMENT</v>
      </c>
      <c r="F224" s="34" t="s">
        <v>512</v>
      </c>
      <c r="G224" s="34"/>
      <c r="H224" s="34" t="s">
        <v>91</v>
      </c>
      <c r="I224" s="34" t="str">
        <f>"(SELECT "&amp;VLOOKUP(B224,'0. Instruções'!$C$27:$G$32,4,FALSE)&amp;", "&amp;F224&amp;" FROM "&amp;D224&amp;" WHERE "&amp;'0. Instruções'!$D$42&amp;")X"</f>
        <v>(SELECT instrmnt_id, LTV_INCPTN FROM CD_LOAN_TAPES_BCE.LT002_INSTRUMENT WHERE ref_date='${ref_date}' AND nome_perimetro='Individual Corporativo' AND segmento='ESTR' AND ambito='PM' AND entidade='00100')X</v>
      </c>
      <c r="J224" s="34" t="str">
        <f>"(SELECT "&amp;VLOOKUP(B224,'0. Instruções'!$C$27:$G$32,4,FALSE)&amp;" AS "&amp;VLOOKUP(B224,'0. Instruções'!$C$27:$G$32,4,FALSE)&amp;"_SIMUL, "&amp;F224&amp;" AS "&amp;F224&amp;"_SIMUL FROM "&amp;E224&amp;" WHERE "&amp;'0. Instruções'!$D$43&amp;")Y"</f>
        <v>(SELECT instrmnt_id AS instrmnt_id_SIMUL, LTV_INCPTN AS LTV_INCPTN_SIMUL FROM BU_LOANTAPE_WORK.LT002_INSTRUMENT WHERE ref_date='${ref_date}' AND nome_perimetro='Individual Corporativo' AND segmento='ESTR' AND ambito='PM' AND entidade='00100')Y</v>
      </c>
      <c r="K224" s="35" t="str">
        <f>+UPPER("ON X."&amp;VLOOKUP(B224,'0. Instruções'!$C$27:$G$32,4,FALSE)&amp;"=Y."&amp;VLOOKUP(B224,'0. Instruções'!$C$27:$G$32,4,FALSE)&amp;"_SIMUL")</f>
        <v>ON X.INSTRMNT_ID=Y.INSTRMNT_ID_SIMUL</v>
      </c>
      <c r="L224" s="35" t="str">
        <f>+IF(C224="Coerência", +IF(LEFT(G224,5)="FLOAT","SELECT '"&amp;UPPER(B224)&amp;"' AS TABELA, '"&amp;UPPER(C224)&amp;"' AS TIPOLOGIA_TESTE,'"&amp;D224&amp;"' AS TABELA_LT,'"&amp;E224&amp;"' AS TABELA_SIMUL,'"&amp;F224&amp;"' AS CAMPO, "&amp;"'${ref_date}' AS REF_DATE, COUNT(*) AS NUM_REG, SUM(IF((ABS(COALESCE(CAST(X."&amp;F224&amp;" AS DECIMAL(18,6)),0)-COALESCE(CAST(Y."&amp;F224&amp;"_SIMUL AS DECIMAL(18,6)),0))&gt;0.000001) OR (X."&amp;F224&amp;" IS NULL AND Y."&amp;F224&amp;"_SIMUL IS NOT NULL ) OR (X."&amp;F224&amp;" IS NOT NULL AND Y."&amp;F224&amp;"_SIMUL IS NULL),1,0)) AS NUM_REG_DIF,'"&amp;MAX('ID1&amp;5'!K:K)+1&amp;"' AS ID_EXEC, CURRENT_TIMESTAMP() AS TIME_EXEC FROM "&amp;I224&amp;" INNER JOIN "&amp;J224&amp;" "&amp;K224,"SELECT '"&amp;UPPER(B224)&amp;"' AS TABELA, '"&amp;UPPER(C224)&amp;"' AS TIPOLOGIA_TESTE,'"&amp;D224&amp;"' AS TABELA_LT,'"&amp;E224&amp;"' AS TABELA_SIMUL,'"&amp;F224&amp;"' AS CAMPO, "&amp;"'${ref_date}' AS REF_DATE, COUNT(*) AS NUM_REG, SUM(IF(COALESCE(CAST(X."&amp;F224&amp;" AS STRING),'')&lt;&gt;COALESCE(CAST(Y."&amp;F224&amp;"_SIMUL AS STRING),'') OR (X."&amp;F224&amp;" IS NULL AND Y."&amp;F224&amp;"_SIMUL IS NOT NULL ) OR (X."&amp;F224&amp;" IS NOT NULL AND Y."&amp;F224&amp;"_SIMUL IS NULL),1,0)) AS NUM_REG_DIF,'"&amp;MAX('ID1&amp;5'!L:L)+1&amp;"' AS ID_EXEC, CURRENT_TIMESTAMP() AS TIME_EXEC FROM "&amp;I224&amp;" INNER JOIN "&amp;J224&amp;" "&amp;K224),
IF(C224="Validade",+IF(G224="Code List","SELECT '"&amp;UPPER(B224)&amp;"' AS TABELA, '"&amp;UPPER(C224)&amp;"' AS TIPOLOGIA_TESTE,'"&amp;D224&amp;"' AS TABELA_LT,'N/A' AS TABELA_SIMUL,'"&amp;F224&amp;"' AS CAMPO, "&amp;"'${ref_date}' AS REF_DATE, COUNT(*) AS NUM_REG, SUM(IF(TRIM(CAST(X."&amp;F224&amp;" AS STRING))='' OR TRIM(CAST(X."&amp;F224&amp;" AS STRING)) IS NULL OR CAST(X."&amp;F224&amp;" AS STRING) NOT "&amp;H224&amp;",1,0)) AS NUM_REG_DIF,'"&amp;MAX('ID1&amp;5'!K:K)+1&amp;"' AS ID_EXEC, CURRENT_TIMESTAMP() AS TIME_EXEC FROM "&amp;I224,"SELECT '"&amp;UPPER(B224)&amp;"' AS TABELA, '"&amp;UPPER(C224)&amp;"' AS TIPOLOGIA_TESTE,'"&amp;D224&amp;"' AS TABELA_LT,'N/A' AS TABELA_SIMUL,'"&amp;F224&amp;"' AS CAMPO, "&amp;"'${ref_date}' AS REF_DATE, COUNT(*) AS NUM_REG, SUM(IF(TRIM(CAST(X."&amp;F224&amp;" AS STRING))='' OR TRIM(CAST(X."&amp;F224&amp;" AS STRING)) IS NULL,1,0)) AS NUM_REG_DIF,'"&amp;MAX('ID1&amp;5'!K:K)+1&amp;"' AS ID_EXEC, CURRENT_TIMESTAMP() AS TIME_EXEC FROM "&amp;I224),
IF(C224="Caracteres Especiais",+"SELECT '"&amp;UPPER(B224)&amp;"' AS TABELA, '"&amp;UPPER(C224)&amp;"' AS TIPOLOGIA_TESTE,'"&amp;D224&amp;"' AS TABELA_LT,'N/A' AS TABELA_SIMUL,'"&amp;F224&amp;"' AS CAMPO, "&amp;"'${ref_date}' AS REF_DATE, COUNT(*) AS NUM_REG, SUM(IF(REGEXP_REPLACE(TRIM(CAST(X."&amp;F224&amp;" AS STRING)),'[^a-zA-Z0-9_\\s]','') &lt;&gt;TRIM(CAST(X."&amp;F224&amp;" AS STRING)),1,0)) AS NUM_REG_DIF,'"&amp;MAX('ID1&amp;5'!K:K)+1&amp;"' AS ID_EXEC, CURRENT_TIMESTAMP() AS TIME_EXEC FROM "&amp;I224,
IF(C224="Missings",+"SELECT '"&amp;UPPER(B224)&amp;"' AS TABELA, '"&amp;UPPER(C224)&amp;"' AS TIPOLOGIA_TESTE,'"&amp;D224&amp;"' AS TABELA_LT,'N/A' AS TABELA_SIMUL,'"&amp;F224&amp;"' AS CAMPO, "&amp;"'${ref_date}' AS REF_DATE, COUNT(*) AS NUM_REG, SUM(IF(TRIM(CAST(X."&amp;F224&amp;" AS STRING)) IN ('0000-00-00','0001-01-01','9999-12-31','MISS','00000','99999999999','99999999999.00','99999999999.000000'),1,0)) AS NUM_REG_DIF,'"&amp;MAX('ID1&amp;5'!K:K)+1&amp;"' AS ID_EXEC, CURRENT_TIMESTAMP() AS TIME_EXEC FROM "&amp;I224,
IF(C224="Not applicable",+"SELECT '"&amp;UPPER(B224)&amp;"' AS TABELA, '"&amp;UPPER(C224)&amp;"' AS TIPOLOGIA_TESTE,'"&amp;D224&amp;"' AS TABELA_LT,'N/A' AS TABELA_SIMUL,'"&amp;F224&amp;"' AS CAMPO, "&amp;"'${ref_date}' AS REF_DATE, COUNT(*) AS NUM_REG, SUM(IF(TRIM(CAST(X."&amp;F224&amp;" AS STRING)) IN ('N/A','11111111111','11111111111.00','11111111111.000000','1111-11-11'),1,0)) AS NUM_REG_DIF,'"&amp;MAX('ID1&amp;5'!K:K)+1&amp;"' AS ID_EXEC, CURRENT_TIMESTAMP() AS TIME_EXEC FROM "&amp;I224,
IF(C224="Valores extremos",+"SELECT '"&amp;UPPER(B224)&amp;"' AS TABELA, '"&amp;UPPER(C224)&amp;"' AS TIPOLOGIA_TESTE,'"&amp;D224&amp;"' AS TABELA_LT,'N/A' AS TABELA_SIMUL,'"&amp;F224&amp;"' AS CAMPO, "&amp;"'${ref_date}' AS REF_DATE, CAST(MIN("&amp;F224&amp;") AS STRING) AS VALOR_MIN, CAST(MAX("&amp;F224&amp;") AS STRING) AS VALOR_MAX,'"&amp;MAX('ID1&amp;5'!K:K)+1&amp;"' AS ID_EXEC, CURRENT_TIMESTAMP() AS TIME_EXEC FROM "&amp;MID(I224,1,LEN(I224)-2)&amp;" AND CAST("&amp;F224&amp;"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TABELA_SIMUL,'LTV_INCPTN' AS CAMPO, '${ref_date}' AS REF_DATE, COUNT(*) AS NUM_REG, SUM(IF(COALESCE(CAST(X.LTV_INCPTN AS STRING),'')&lt;&gt;COALESCE(CAST(Y.LTV_INCPTN_SIMUL AS STRING),'') OR (X.LTV_INCPTN IS NULL AND Y.LTV_INCPTN_SIMUL IS NOT NULL ) OR (X.LTV_INCPTN IS NOT NULL AND Y.LTV_INCPTN_SIMUL IS NULL),1,0)) AS NUM_REG_DIF,'1' AS ID_EXEC, CURRENT_TIMESTAMP() AS TIME_EXEC FROM (SELECT instrmnt_id, LTV_INCPTN FROM CD_LOAN_TAPES_BCE.LT002_INSTRUMENT WHERE ref_date='${ref_date}' AND nome_perimetro='Individual Corporativo' AND segmento='ESTR' AND ambito='PM' AND entidade='00100')X INNER JOIN (SELECT instrmnt_id AS instrmnt_id_SIMUL, LTV_INCPTN AS LTV_INCPTN_SIMUL FROM BU_LOANTAPE_WORK.LT002_INSTRUMENT WHERE ref_date='${ref_date}' AND nome_perimetro='Individual Corporativo' AND segmento='ESTR' AND ambito='PM' AND entidade='00100')Y ON X.INSTRMNT_ID=Y.INSTRMNT_ID_SIMUL</v>
      </c>
      <c r="M224" s="36" t="str">
        <f t="shared" si="3"/>
        <v>UNION ALL SELECT 'INSTRUMENT' AS TABELA, 'COERÊNCIA' AS TIPOLOGIA_TESTE,'CD_LOAN_TAPES_BCE.LT002_INSTRUMENT' AS TABELA_LT,'BU_LOANTAPE_WORK.LT002_INSTRUMENT' AS TABELA_SIMUL,'LTV_INCPTN' AS CAMPO, '${ref_date}' AS REF_DATE, COUNT(*) AS NUM_REG, SUM(IF(COALESCE(CAST(X.LTV_INCPTN AS STRING),'')&lt;&gt;COALESCE(CAST(Y.LTV_INCPTN_SIMUL AS STRING),'') OR (X.LTV_INCPTN IS NULL AND Y.LTV_INCPTN_SIMUL IS NOT NULL ) OR (X.LTV_INCPTN IS NOT NULL AND Y.LTV_INCPTN_SIMUL IS NULL),1,0)) AS NUM_REG_DIF,'1' AS ID_EXEC, CURRENT_TIMESTAMP() AS TIME_EXEC FROM (SELECT instrmnt_id, LTV_INCPTN FROM CD_LOAN_TAPES_BCE.LT002_INSTRUMENT WHERE ref_date='${ref_date}' AND nome_perimetro='Individual Corporativo' AND segmento='ESTR' AND ambito='PM' AND entidade='00100')X INNER JOIN (SELECT instrmnt_id AS instrmnt_id_SIMUL, LTV_INCPTN AS LTV_INCPTN_SIMUL FROM BU_LOANTAPE_WORK.LT002_INSTRUMENT WHERE ref_date='${ref_date}' AND nome_perimetro='Individual Corporativo' AND segmento='ESTR' AND ambito='PM' AND entidade='00100')Y ON X.INSTRMNT_ID=Y.INSTRMNT_ID_SIMUL</v>
      </c>
      <c r="N224" s="38" t="s">
        <v>46</v>
      </c>
    </row>
    <row r="225" spans="2:14" hidden="1">
      <c r="B225" s="34" t="s">
        <v>126</v>
      </c>
      <c r="C225" s="34" t="s">
        <v>5</v>
      </c>
      <c r="D225" s="34" t="str">
        <f>+UPPER('0. Instruções'!$D$35&amp;"."&amp;VLOOKUP(B225,'0. Instruções'!$C$27:$D$32,2,FALSE))</f>
        <v>CD_LOAN_TAPES_BCE.LT002_INSTRUMENT</v>
      </c>
      <c r="E225" s="34" t="str">
        <f>+UPPER('0. Instruções'!$D$36&amp;"."&amp;VLOOKUP(B225,'0. Instruções'!$C$27:$E$32,3,FALSE))</f>
        <v>BU_LOANTAPE_WORK.LT002_INSTRUMENT</v>
      </c>
      <c r="F225" s="34" t="s">
        <v>513</v>
      </c>
      <c r="G225" s="34"/>
      <c r="H225" s="34" t="s">
        <v>91</v>
      </c>
      <c r="I225" s="34" t="str">
        <f>"(SELECT "&amp;VLOOKUP(B225,'0. Instruções'!$C$27:$G$32,4,FALSE)&amp;", "&amp;F225&amp;" FROM "&amp;D225&amp;" WHERE "&amp;'0. Instruções'!$D$42&amp;")X"</f>
        <v>(SELECT instrmnt_id, LTV_NPE FROM CD_LOAN_TAPES_BCE.LT002_INSTRUMENT WHERE ref_date='${ref_date}' AND nome_perimetro='Individual Corporativo' AND segmento='ESTR' AND ambito='PM' AND entidade='00100')X</v>
      </c>
      <c r="J225" s="34" t="str">
        <f>"(SELECT "&amp;VLOOKUP(B225,'0. Instruções'!$C$27:$G$32,4,FALSE)&amp;" AS "&amp;VLOOKUP(B225,'0. Instruções'!$C$27:$G$32,4,FALSE)&amp;"_SIMUL, "&amp;F225&amp;" AS "&amp;F225&amp;"_SIMUL FROM "&amp;E225&amp;" WHERE "&amp;'0. Instruções'!$D$43&amp;")Y"</f>
        <v>(SELECT instrmnt_id AS instrmnt_id_SIMUL, LTV_NPE AS LTV_NPE_SIMUL FROM BU_LOANTAPE_WORK.LT002_INSTRUMENT WHERE ref_date='${ref_date}' AND nome_perimetro='Individual Corporativo' AND segmento='ESTR' AND ambito='PM' AND entidade='00100')Y</v>
      </c>
      <c r="K225" s="35" t="str">
        <f>+UPPER("ON X."&amp;VLOOKUP(B225,'0. Instruções'!$C$27:$G$32,4,FALSE)&amp;"=Y."&amp;VLOOKUP(B225,'0. Instruções'!$C$27:$G$32,4,FALSE)&amp;"_SIMUL")</f>
        <v>ON X.INSTRMNT_ID=Y.INSTRMNT_ID_SIMUL</v>
      </c>
      <c r="L225" s="35" t="str">
        <f>+IF(C225="Coerência", +IF(LEFT(G225,5)="FLOAT","SELECT '"&amp;UPPER(B225)&amp;"' AS TABELA, '"&amp;UPPER(C225)&amp;"' AS TIPOLOGIA_TESTE,'"&amp;D225&amp;"' AS TABELA_LT,'"&amp;E225&amp;"' AS TABELA_SIMUL,'"&amp;F225&amp;"' AS CAMPO, "&amp;"'${ref_date}' AS REF_DATE, COUNT(*) AS NUM_REG, SUM(IF((ABS(COALESCE(CAST(X."&amp;F225&amp;" AS DECIMAL(18,6)),0)-COALESCE(CAST(Y."&amp;F225&amp;"_SIMUL AS DECIMAL(18,6)),0))&gt;0.000001) OR (X."&amp;F225&amp;" IS NULL AND Y."&amp;F225&amp;"_SIMUL IS NOT NULL ) OR (X."&amp;F225&amp;" IS NOT NULL AND Y."&amp;F225&amp;"_SIMUL IS NULL),1,0)) AS NUM_REG_DIF,'"&amp;MAX('ID1&amp;5'!K:K)+1&amp;"' AS ID_EXEC, CURRENT_TIMESTAMP() AS TIME_EXEC FROM "&amp;I225&amp;" INNER JOIN "&amp;J225&amp;" "&amp;K225,"SELECT '"&amp;UPPER(B225)&amp;"' AS TABELA, '"&amp;UPPER(C225)&amp;"' AS TIPOLOGIA_TESTE,'"&amp;D225&amp;"' AS TABELA_LT,'"&amp;E225&amp;"' AS TABELA_SIMUL,'"&amp;F225&amp;"' AS CAMPO, "&amp;"'${ref_date}' AS REF_DATE, COUNT(*) AS NUM_REG, SUM(IF(COALESCE(CAST(X."&amp;F225&amp;" AS STRING),'')&lt;&gt;COALESCE(CAST(Y."&amp;F225&amp;"_SIMUL AS STRING),'') OR (X."&amp;F225&amp;" IS NULL AND Y."&amp;F225&amp;"_SIMUL IS NOT NULL ) OR (X."&amp;F225&amp;" IS NOT NULL AND Y."&amp;F225&amp;"_SIMUL IS NULL),1,0)) AS NUM_REG_DIF,'"&amp;MAX('ID1&amp;5'!L:L)+1&amp;"' AS ID_EXEC, CURRENT_TIMESTAMP() AS TIME_EXEC FROM "&amp;I225&amp;" INNER JOIN "&amp;J225&amp;" "&amp;K225),
IF(C225="Validade",+IF(G225="Code List","SELECT '"&amp;UPPER(B225)&amp;"' AS TABELA, '"&amp;UPPER(C225)&amp;"' AS TIPOLOGIA_TESTE,'"&amp;D225&amp;"' AS TABELA_LT,'N/A' AS TABELA_SIMUL,'"&amp;F225&amp;"' AS CAMPO, "&amp;"'${ref_date}' AS REF_DATE, COUNT(*) AS NUM_REG, SUM(IF(TRIM(CAST(X."&amp;F225&amp;" AS STRING))='' OR TRIM(CAST(X."&amp;F225&amp;" AS STRING)) IS NULL OR CAST(X."&amp;F225&amp;" AS STRING) NOT "&amp;H225&amp;",1,0)) AS NUM_REG_DIF,'"&amp;MAX('ID1&amp;5'!K:K)+1&amp;"' AS ID_EXEC, CURRENT_TIMESTAMP() AS TIME_EXEC FROM "&amp;I225,"SELECT '"&amp;UPPER(B225)&amp;"' AS TABELA, '"&amp;UPPER(C225)&amp;"' AS TIPOLOGIA_TESTE,'"&amp;D225&amp;"' AS TABELA_LT,'N/A' AS TABELA_SIMUL,'"&amp;F225&amp;"' AS CAMPO, "&amp;"'${ref_date}' AS REF_DATE, COUNT(*) AS NUM_REG, SUM(IF(TRIM(CAST(X."&amp;F225&amp;" AS STRING))='' OR TRIM(CAST(X."&amp;F225&amp;" AS STRING)) IS NULL,1,0)) AS NUM_REG_DIF,'"&amp;MAX('ID1&amp;5'!K:K)+1&amp;"' AS ID_EXEC, CURRENT_TIMESTAMP() AS TIME_EXEC FROM "&amp;I225),
IF(C225="Caracteres Especiais",+"SELECT '"&amp;UPPER(B225)&amp;"' AS TABELA, '"&amp;UPPER(C225)&amp;"' AS TIPOLOGIA_TESTE,'"&amp;D225&amp;"' AS TABELA_LT,'N/A' AS TABELA_SIMUL,'"&amp;F225&amp;"' AS CAMPO, "&amp;"'${ref_date}' AS REF_DATE, COUNT(*) AS NUM_REG, SUM(IF(REGEXP_REPLACE(TRIM(CAST(X."&amp;F225&amp;" AS STRING)),'[^a-zA-Z0-9_\\s]','') &lt;&gt;TRIM(CAST(X."&amp;F225&amp;" AS STRING)),1,0)) AS NUM_REG_DIF,'"&amp;MAX('ID1&amp;5'!K:K)+1&amp;"' AS ID_EXEC, CURRENT_TIMESTAMP() AS TIME_EXEC FROM "&amp;I225,
IF(C225="Missings",+"SELECT '"&amp;UPPER(B225)&amp;"' AS TABELA, '"&amp;UPPER(C225)&amp;"' AS TIPOLOGIA_TESTE,'"&amp;D225&amp;"' AS TABELA_LT,'N/A' AS TABELA_SIMUL,'"&amp;F225&amp;"' AS CAMPO, "&amp;"'${ref_date}' AS REF_DATE, COUNT(*) AS NUM_REG, SUM(IF(TRIM(CAST(X."&amp;F225&amp;" AS STRING)) IN ('0000-00-00','0001-01-01','9999-12-31','MISS','00000','99999999999','99999999999.00','99999999999.000000'),1,0)) AS NUM_REG_DIF,'"&amp;MAX('ID1&amp;5'!K:K)+1&amp;"' AS ID_EXEC, CURRENT_TIMESTAMP() AS TIME_EXEC FROM "&amp;I225,
IF(C225="Not applicable",+"SELECT '"&amp;UPPER(B225)&amp;"' AS TABELA, '"&amp;UPPER(C225)&amp;"' AS TIPOLOGIA_TESTE,'"&amp;D225&amp;"' AS TABELA_LT,'N/A' AS TABELA_SIMUL,'"&amp;F225&amp;"' AS CAMPO, "&amp;"'${ref_date}' AS REF_DATE, COUNT(*) AS NUM_REG, SUM(IF(TRIM(CAST(X."&amp;F225&amp;" AS STRING)) IN ('N/A','11111111111','11111111111.00','11111111111.000000','1111-11-11'),1,0)) AS NUM_REG_DIF,'"&amp;MAX('ID1&amp;5'!K:K)+1&amp;"' AS ID_EXEC, CURRENT_TIMESTAMP() AS TIME_EXEC FROM "&amp;I225,
IF(C225="Valores extremos",+"SELECT '"&amp;UPPER(B225)&amp;"' AS TABELA, '"&amp;UPPER(C225)&amp;"' AS TIPOLOGIA_TESTE,'"&amp;D225&amp;"' AS TABELA_LT,'N/A' AS TABELA_SIMUL,'"&amp;F225&amp;"' AS CAMPO, "&amp;"'${ref_date}' AS REF_DATE, CAST(MIN("&amp;F225&amp;") AS STRING) AS VALOR_MIN, CAST(MAX("&amp;F225&amp;") AS STRING) AS VALOR_MAX,'"&amp;MAX('ID1&amp;5'!K:K)+1&amp;"' AS ID_EXEC, CURRENT_TIMESTAMP() AS TIME_EXEC FROM "&amp;MID(I225,1,LEN(I225)-2)&amp;" AND CAST("&amp;F225&amp;"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TABELA_SIMUL,'LTV_NPE' AS CAMPO, '${ref_date}' AS REF_DATE, COUNT(*) AS NUM_REG, SUM(IF(COALESCE(CAST(X.LTV_NPE AS STRING),'')&lt;&gt;COALESCE(CAST(Y.LTV_NPE_SIMUL AS STRING),'') OR (X.LTV_NPE IS NULL AND Y.LTV_NPE_SIMUL IS NOT NULL ) OR (X.LTV_NPE IS NOT NULL AND Y.LTV_NPE_SIMUL IS NULL),1,0)) AS NUM_REG_DIF,'1' AS ID_EXEC, CURRENT_TIMESTAMP() AS TIME_EXEC FROM (SELECT instrmnt_id, LTV_NPE FROM CD_LOAN_TAPES_BCE.LT002_INSTRUMENT WHERE ref_date='${ref_date}' AND nome_perimetro='Individual Corporativo' AND segmento='ESTR' AND ambito='PM' AND entidade='00100')X INNER JOIN (SELECT instrmnt_id AS instrmnt_id_SIMUL, LTV_NPE AS LTV_NPE_SIMUL FROM BU_LOANTAPE_WORK.LT002_INSTRUMENT WHERE ref_date='${ref_date}' AND nome_perimetro='Individual Corporativo' AND segmento='ESTR' AND ambito='PM' AND entidade='00100')Y ON X.INSTRMNT_ID=Y.INSTRMNT_ID_SIMUL</v>
      </c>
      <c r="M225" s="36" t="str">
        <f t="shared" si="3"/>
        <v>UNION ALL SELECT 'INSTRUMENT' AS TABELA, 'COERÊNCIA' AS TIPOLOGIA_TESTE,'CD_LOAN_TAPES_BCE.LT002_INSTRUMENT' AS TABELA_LT,'BU_LOANTAPE_WORK.LT002_INSTRUMENT' AS TABELA_SIMUL,'LTV_NPE' AS CAMPO, '${ref_date}' AS REF_DATE, COUNT(*) AS NUM_REG, SUM(IF(COALESCE(CAST(X.LTV_NPE AS STRING),'')&lt;&gt;COALESCE(CAST(Y.LTV_NPE_SIMUL AS STRING),'') OR (X.LTV_NPE IS NULL AND Y.LTV_NPE_SIMUL IS NOT NULL ) OR (X.LTV_NPE IS NOT NULL AND Y.LTV_NPE_SIMUL IS NULL),1,0)) AS NUM_REG_DIF,'1' AS ID_EXEC, CURRENT_TIMESTAMP() AS TIME_EXEC FROM (SELECT instrmnt_id, LTV_NPE FROM CD_LOAN_TAPES_BCE.LT002_INSTRUMENT WHERE ref_date='${ref_date}' AND nome_perimetro='Individual Corporativo' AND segmento='ESTR' AND ambito='PM' AND entidade='00100')X INNER JOIN (SELECT instrmnt_id AS instrmnt_id_SIMUL, LTV_NPE AS LTV_NPE_SIMUL FROM BU_LOANTAPE_WORK.LT002_INSTRUMENT WHERE ref_date='${ref_date}' AND nome_perimetro='Individual Corporativo' AND segmento='ESTR' AND ambito='PM' AND entidade='00100')Y ON X.INSTRMNT_ID=Y.INSTRMNT_ID_SIMUL</v>
      </c>
      <c r="N225" s="38" t="s">
        <v>46</v>
      </c>
    </row>
    <row r="226" spans="2:14" hidden="1">
      <c r="B226" s="34" t="s">
        <v>126</v>
      </c>
      <c r="C226" s="34" t="s">
        <v>5</v>
      </c>
      <c r="D226" s="34" t="str">
        <f>+UPPER('0. Instruções'!$D$35&amp;"."&amp;VLOOKUP(B226,'0. Instruções'!$C$27:$D$32,2,FALSE))</f>
        <v>CD_LOAN_TAPES_BCE.LT002_INSTRUMENT</v>
      </c>
      <c r="E226" s="34" t="str">
        <f>+UPPER('0. Instruções'!$D$36&amp;"."&amp;VLOOKUP(B226,'0. Instruções'!$C$27:$E$32,3,FALSE))</f>
        <v>BU_LOANTAPE_WORK.LT002_INSTRUMENT</v>
      </c>
      <c r="F226" s="34" t="s">
        <v>514</v>
      </c>
      <c r="G226" s="34"/>
      <c r="H226" s="34" t="s">
        <v>91</v>
      </c>
      <c r="I226" s="34" t="str">
        <f>"(SELECT "&amp;VLOOKUP(B226,'0. Instruções'!$C$27:$G$32,4,FALSE)&amp;", "&amp;F226&amp;" FROM "&amp;D226&amp;" WHERE "&amp;'0. Instruções'!$D$42&amp;")X"</f>
        <v>(SELECT instrmnt_id, PD_CRR_INCPTN FROM CD_LOAN_TAPES_BCE.LT002_INSTRUMENT WHERE ref_date='${ref_date}' AND nome_perimetro='Individual Corporativo' AND segmento='ESTR' AND ambito='PM' AND entidade='00100')X</v>
      </c>
      <c r="J226" s="34" t="str">
        <f>"(SELECT "&amp;VLOOKUP(B226,'0. Instruções'!$C$27:$G$32,4,FALSE)&amp;" AS "&amp;VLOOKUP(B226,'0. Instruções'!$C$27:$G$32,4,FALSE)&amp;"_SIMUL, "&amp;F226&amp;" AS "&amp;F226&amp;"_SIMUL FROM "&amp;E226&amp;" WHERE "&amp;'0. Instruções'!$D$43&amp;")Y"</f>
        <v>(SELECT instrmnt_id AS instrmnt_id_SIMUL, PD_CRR_INCPTN AS PD_CRR_INCPTN_SIMUL FROM BU_LOANTAPE_WORK.LT002_INSTRUMENT WHERE ref_date='${ref_date}' AND nome_perimetro='Individual Corporativo' AND segmento='ESTR' AND ambito='PM' AND entidade='00100')Y</v>
      </c>
      <c r="K226" s="35" t="str">
        <f>+UPPER("ON X."&amp;VLOOKUP(B226,'0. Instruções'!$C$27:$G$32,4,FALSE)&amp;"=Y."&amp;VLOOKUP(B226,'0. Instruções'!$C$27:$G$32,4,FALSE)&amp;"_SIMUL")</f>
        <v>ON X.INSTRMNT_ID=Y.INSTRMNT_ID_SIMUL</v>
      </c>
      <c r="L226" s="35" t="str">
        <f>+IF(C226="Coerência", +IF(LEFT(G226,5)="FLOAT","SELECT '"&amp;UPPER(B226)&amp;"' AS TABELA, '"&amp;UPPER(C226)&amp;"' AS TIPOLOGIA_TESTE,'"&amp;D226&amp;"' AS TABELA_LT,'"&amp;E226&amp;"' AS TABELA_SIMUL,'"&amp;F226&amp;"' AS CAMPO, "&amp;"'${ref_date}' AS REF_DATE, COUNT(*) AS NUM_REG, SUM(IF((ABS(COALESCE(CAST(X."&amp;F226&amp;" AS DECIMAL(18,6)),0)-COALESCE(CAST(Y."&amp;F226&amp;"_SIMUL AS DECIMAL(18,6)),0))&gt;0.000001) OR (X."&amp;F226&amp;" IS NULL AND Y."&amp;F226&amp;"_SIMUL IS NOT NULL ) OR (X."&amp;F226&amp;" IS NOT NULL AND Y."&amp;F226&amp;"_SIMUL IS NULL),1,0)) AS NUM_REG_DIF,'"&amp;MAX('ID1&amp;5'!K:K)+1&amp;"' AS ID_EXEC, CURRENT_TIMESTAMP() AS TIME_EXEC FROM "&amp;I226&amp;" INNER JOIN "&amp;J226&amp;" "&amp;K226,"SELECT '"&amp;UPPER(B226)&amp;"' AS TABELA, '"&amp;UPPER(C226)&amp;"' AS TIPOLOGIA_TESTE,'"&amp;D226&amp;"' AS TABELA_LT,'"&amp;E226&amp;"' AS TABELA_SIMUL,'"&amp;F226&amp;"' AS CAMPO, "&amp;"'${ref_date}' AS REF_DATE, COUNT(*) AS NUM_REG, SUM(IF(COALESCE(CAST(X."&amp;F226&amp;" AS STRING),'')&lt;&gt;COALESCE(CAST(Y."&amp;F226&amp;"_SIMUL AS STRING),'') OR (X."&amp;F226&amp;" IS NULL AND Y."&amp;F226&amp;"_SIMUL IS NOT NULL ) OR (X."&amp;F226&amp;" IS NOT NULL AND Y."&amp;F226&amp;"_SIMUL IS NULL),1,0)) AS NUM_REG_DIF,'"&amp;MAX('ID1&amp;5'!L:L)+1&amp;"' AS ID_EXEC, CURRENT_TIMESTAMP() AS TIME_EXEC FROM "&amp;I226&amp;" INNER JOIN "&amp;J226&amp;" "&amp;K226),
IF(C226="Validade",+IF(G226="Code List","SELECT '"&amp;UPPER(B226)&amp;"' AS TABELA, '"&amp;UPPER(C226)&amp;"' AS TIPOLOGIA_TESTE,'"&amp;D226&amp;"' AS TABELA_LT,'N/A' AS TABELA_SIMUL,'"&amp;F226&amp;"' AS CAMPO, "&amp;"'${ref_date}' AS REF_DATE, COUNT(*) AS NUM_REG, SUM(IF(TRIM(CAST(X."&amp;F226&amp;" AS STRING))='' OR TRIM(CAST(X."&amp;F226&amp;" AS STRING)) IS NULL OR CAST(X."&amp;F226&amp;" AS STRING) NOT "&amp;H226&amp;",1,0)) AS NUM_REG_DIF,'"&amp;MAX('ID1&amp;5'!K:K)+1&amp;"' AS ID_EXEC, CURRENT_TIMESTAMP() AS TIME_EXEC FROM "&amp;I226,"SELECT '"&amp;UPPER(B226)&amp;"' AS TABELA, '"&amp;UPPER(C226)&amp;"' AS TIPOLOGIA_TESTE,'"&amp;D226&amp;"' AS TABELA_LT,'N/A' AS TABELA_SIMUL,'"&amp;F226&amp;"' AS CAMPO, "&amp;"'${ref_date}' AS REF_DATE, COUNT(*) AS NUM_REG, SUM(IF(TRIM(CAST(X."&amp;F226&amp;" AS STRING))='' OR TRIM(CAST(X."&amp;F226&amp;" AS STRING)) IS NULL,1,0)) AS NUM_REG_DIF,'"&amp;MAX('ID1&amp;5'!K:K)+1&amp;"' AS ID_EXEC, CURRENT_TIMESTAMP() AS TIME_EXEC FROM "&amp;I226),
IF(C226="Caracteres Especiais",+"SELECT '"&amp;UPPER(B226)&amp;"' AS TABELA, '"&amp;UPPER(C226)&amp;"' AS TIPOLOGIA_TESTE,'"&amp;D226&amp;"' AS TABELA_LT,'N/A' AS TABELA_SIMUL,'"&amp;F226&amp;"' AS CAMPO, "&amp;"'${ref_date}' AS REF_DATE, COUNT(*) AS NUM_REG, SUM(IF(REGEXP_REPLACE(TRIM(CAST(X."&amp;F226&amp;" AS STRING)),'[^a-zA-Z0-9_\\s]','') &lt;&gt;TRIM(CAST(X."&amp;F226&amp;" AS STRING)),1,0)) AS NUM_REG_DIF,'"&amp;MAX('ID1&amp;5'!K:K)+1&amp;"' AS ID_EXEC, CURRENT_TIMESTAMP() AS TIME_EXEC FROM "&amp;I226,
IF(C226="Missings",+"SELECT '"&amp;UPPER(B226)&amp;"' AS TABELA, '"&amp;UPPER(C226)&amp;"' AS TIPOLOGIA_TESTE,'"&amp;D226&amp;"' AS TABELA_LT,'N/A' AS TABELA_SIMUL,'"&amp;F226&amp;"' AS CAMPO, "&amp;"'${ref_date}' AS REF_DATE, COUNT(*) AS NUM_REG, SUM(IF(TRIM(CAST(X."&amp;F226&amp;" AS STRING)) IN ('0000-00-00','0001-01-01','9999-12-31','MISS','00000','99999999999','99999999999.00','99999999999.000000'),1,0)) AS NUM_REG_DIF,'"&amp;MAX('ID1&amp;5'!K:K)+1&amp;"' AS ID_EXEC, CURRENT_TIMESTAMP() AS TIME_EXEC FROM "&amp;I226,
IF(C226="Not applicable",+"SELECT '"&amp;UPPER(B226)&amp;"' AS TABELA, '"&amp;UPPER(C226)&amp;"' AS TIPOLOGIA_TESTE,'"&amp;D226&amp;"' AS TABELA_LT,'N/A' AS TABELA_SIMUL,'"&amp;F226&amp;"' AS CAMPO, "&amp;"'${ref_date}' AS REF_DATE, COUNT(*) AS NUM_REG, SUM(IF(TRIM(CAST(X."&amp;F226&amp;" AS STRING)) IN ('N/A','11111111111','11111111111.00','11111111111.000000','1111-11-11'),1,0)) AS NUM_REG_DIF,'"&amp;MAX('ID1&amp;5'!K:K)+1&amp;"' AS ID_EXEC, CURRENT_TIMESTAMP() AS TIME_EXEC FROM "&amp;I226,
IF(C226="Valores extremos",+"SELECT '"&amp;UPPER(B226)&amp;"' AS TABELA, '"&amp;UPPER(C226)&amp;"' AS TIPOLOGIA_TESTE,'"&amp;D226&amp;"' AS TABELA_LT,'N/A' AS TABELA_SIMUL,'"&amp;F226&amp;"' AS CAMPO, "&amp;"'${ref_date}' AS REF_DATE, CAST(MIN("&amp;F226&amp;") AS STRING) AS VALOR_MIN, CAST(MAX("&amp;F226&amp;") AS STRING) AS VALOR_MAX,'"&amp;MAX('ID1&amp;5'!K:K)+1&amp;"' AS ID_EXEC, CURRENT_TIMESTAMP() AS TIME_EXEC FROM "&amp;MID(I226,1,LEN(I226)-2)&amp;" AND CAST("&amp;F226&amp;"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TABELA_SIMUL,'PD_CRR_INCPTN' AS CAMPO, '${ref_date}' AS REF_DATE, COUNT(*) AS NUM_REG, SUM(IF(COALESCE(CAST(X.PD_CRR_INCPTN AS STRING),'')&lt;&gt;COALESCE(CAST(Y.PD_CRR_INCPTN_SIMUL AS STRING),'') OR (X.PD_CRR_INCPTN IS NULL AND Y.PD_CRR_INCPTN_SIMUL IS NOT NULL ) OR (X.PD_CRR_INCPTN IS NOT NULL AND Y.PD_CRR_INCPTN_SIMUL IS NULL),1,0)) AS NUM_REG_DIF,'1' AS ID_EXEC, CURRENT_TIMESTAMP() AS TIME_EXEC FROM (SELECT instrmnt_id, PD_CRR_INCPTN FROM CD_LOAN_TAPES_BCE.LT002_INSTRUMENT WHERE ref_date='${ref_date}' AND nome_perimetro='Individual Corporativo' AND segmento='ESTR' AND ambito='PM' AND entidade='00100')X INNER JOIN (SELECT instrmnt_id AS instrmnt_id_SIMUL, PD_CRR_INCPTN AS PD_CRR_INCPTN_SIMUL FROM BU_LOANTAPE_WORK.LT002_INSTRUMENT WHERE ref_date='${ref_date}' AND nome_perimetro='Individual Corporativo' AND segmento='ESTR' AND ambito='PM' AND entidade='00100')Y ON X.INSTRMNT_ID=Y.INSTRMNT_ID_SIMUL</v>
      </c>
      <c r="M226" s="36" t="str">
        <f t="shared" si="3"/>
        <v>UNION ALL SELECT 'INSTRUMENT' AS TABELA, 'COERÊNCIA' AS TIPOLOGIA_TESTE,'CD_LOAN_TAPES_BCE.LT002_INSTRUMENT' AS TABELA_LT,'BU_LOANTAPE_WORK.LT002_INSTRUMENT' AS TABELA_SIMUL,'PD_CRR_INCPTN' AS CAMPO, '${ref_date}' AS REF_DATE, COUNT(*) AS NUM_REG, SUM(IF(COALESCE(CAST(X.PD_CRR_INCPTN AS STRING),'')&lt;&gt;COALESCE(CAST(Y.PD_CRR_INCPTN_SIMUL AS STRING),'') OR (X.PD_CRR_INCPTN IS NULL AND Y.PD_CRR_INCPTN_SIMUL IS NOT NULL ) OR (X.PD_CRR_INCPTN IS NOT NULL AND Y.PD_CRR_INCPTN_SIMUL IS NULL),1,0)) AS NUM_REG_DIF,'1' AS ID_EXEC, CURRENT_TIMESTAMP() AS TIME_EXEC FROM (SELECT instrmnt_id, PD_CRR_INCPTN FROM CD_LOAN_TAPES_BCE.LT002_INSTRUMENT WHERE ref_date='${ref_date}' AND nome_perimetro='Individual Corporativo' AND segmento='ESTR' AND ambito='PM' AND entidade='00100')X INNER JOIN (SELECT instrmnt_id AS instrmnt_id_SIMUL, PD_CRR_INCPTN AS PD_CRR_INCPTN_SIMUL FROM BU_LOANTAPE_WORK.LT002_INSTRUMENT WHERE ref_date='${ref_date}' AND nome_perimetro='Individual Corporativo' AND segmento='ESTR' AND ambito='PM' AND entidade='00100')Y ON X.INSTRMNT_ID=Y.INSTRMNT_ID_SIMUL</v>
      </c>
      <c r="N226" s="38" t="s">
        <v>46</v>
      </c>
    </row>
    <row r="227" spans="2:14" hidden="1">
      <c r="B227" s="34" t="s">
        <v>126</v>
      </c>
      <c r="C227" s="34" t="s">
        <v>5</v>
      </c>
      <c r="D227" s="34" t="str">
        <f>+UPPER('0. Instruções'!$D$35&amp;"."&amp;VLOOKUP(B227,'0. Instruções'!$C$27:$D$32,2,FALSE))</f>
        <v>CD_LOAN_TAPES_BCE.LT002_INSTRUMENT</v>
      </c>
      <c r="E227" s="34" t="str">
        <f>+UPPER('0. Instruções'!$D$36&amp;"."&amp;VLOOKUP(B227,'0. Instruções'!$C$27:$E$32,3,FALSE))</f>
        <v>BU_LOANTAPE_WORK.LT002_INSTRUMENT</v>
      </c>
      <c r="F227" s="34" t="s">
        <v>394</v>
      </c>
      <c r="G227" s="34"/>
      <c r="H227" s="34" t="s">
        <v>91</v>
      </c>
      <c r="I227" s="34" t="str">
        <f>"(SELECT "&amp;VLOOKUP(B227,'0. Instruções'!$C$27:$G$32,4,FALSE)&amp;", "&amp;F227&amp;" FROM "&amp;D227&amp;" WHERE "&amp;'0. Instruções'!$D$42&amp;")X"</f>
        <v>(SELECT instrmnt_id, PD_CRR_RD FROM CD_LOAN_TAPES_BCE.LT002_INSTRUMENT WHERE ref_date='${ref_date}' AND nome_perimetro='Individual Corporativo' AND segmento='ESTR' AND ambito='PM' AND entidade='00100')X</v>
      </c>
      <c r="J227" s="34" t="str">
        <f>"(SELECT "&amp;VLOOKUP(B227,'0. Instruções'!$C$27:$G$32,4,FALSE)&amp;" AS "&amp;VLOOKUP(B227,'0. Instruções'!$C$27:$G$32,4,FALSE)&amp;"_SIMUL, "&amp;F227&amp;" AS "&amp;F227&amp;"_SIMUL FROM "&amp;E227&amp;" WHERE "&amp;'0. Instruções'!$D$43&amp;")Y"</f>
        <v>(SELECT instrmnt_id AS instrmnt_id_SIMUL, PD_CRR_RD AS PD_CRR_RD_SIMUL FROM BU_LOANTAPE_WORK.LT002_INSTRUMENT WHERE ref_date='${ref_date}' AND nome_perimetro='Individual Corporativo' AND segmento='ESTR' AND ambito='PM' AND entidade='00100')Y</v>
      </c>
      <c r="K227" s="35" t="str">
        <f>+UPPER("ON X."&amp;VLOOKUP(B227,'0. Instruções'!$C$27:$G$32,4,FALSE)&amp;"=Y."&amp;VLOOKUP(B227,'0. Instruções'!$C$27:$G$32,4,FALSE)&amp;"_SIMUL")</f>
        <v>ON X.INSTRMNT_ID=Y.INSTRMNT_ID_SIMUL</v>
      </c>
      <c r="L227" s="35" t="str">
        <f>+IF(C227="Coerência", +IF(LEFT(G227,5)="FLOAT","SELECT '"&amp;UPPER(B227)&amp;"' AS TABELA, '"&amp;UPPER(C227)&amp;"' AS TIPOLOGIA_TESTE,'"&amp;D227&amp;"' AS TABELA_LT,'"&amp;E227&amp;"' AS TABELA_SIMUL,'"&amp;F227&amp;"' AS CAMPO, "&amp;"'${ref_date}' AS REF_DATE, COUNT(*) AS NUM_REG, SUM(IF((ABS(COALESCE(CAST(X."&amp;F227&amp;" AS DECIMAL(18,6)),0)-COALESCE(CAST(Y."&amp;F227&amp;"_SIMUL AS DECIMAL(18,6)),0))&gt;0.000001) OR (X."&amp;F227&amp;" IS NULL AND Y."&amp;F227&amp;"_SIMUL IS NOT NULL ) OR (X."&amp;F227&amp;" IS NOT NULL AND Y."&amp;F227&amp;"_SIMUL IS NULL),1,0)) AS NUM_REG_DIF,'"&amp;MAX('ID1&amp;5'!K:K)+1&amp;"' AS ID_EXEC, CURRENT_TIMESTAMP() AS TIME_EXEC FROM "&amp;I227&amp;" INNER JOIN "&amp;J227&amp;" "&amp;K227,"SELECT '"&amp;UPPER(B227)&amp;"' AS TABELA, '"&amp;UPPER(C227)&amp;"' AS TIPOLOGIA_TESTE,'"&amp;D227&amp;"' AS TABELA_LT,'"&amp;E227&amp;"' AS TABELA_SIMUL,'"&amp;F227&amp;"' AS CAMPO, "&amp;"'${ref_date}' AS REF_DATE, COUNT(*) AS NUM_REG, SUM(IF(COALESCE(CAST(X."&amp;F227&amp;" AS STRING),'')&lt;&gt;COALESCE(CAST(Y."&amp;F227&amp;"_SIMUL AS STRING),'') OR (X."&amp;F227&amp;" IS NULL AND Y."&amp;F227&amp;"_SIMUL IS NOT NULL ) OR (X."&amp;F227&amp;" IS NOT NULL AND Y."&amp;F227&amp;"_SIMUL IS NULL),1,0)) AS NUM_REG_DIF,'"&amp;MAX('ID1&amp;5'!L:L)+1&amp;"' AS ID_EXEC, CURRENT_TIMESTAMP() AS TIME_EXEC FROM "&amp;I227&amp;" INNER JOIN "&amp;J227&amp;" "&amp;K227),
IF(C227="Validade",+IF(G227="Code List","SELECT '"&amp;UPPER(B227)&amp;"' AS TABELA, '"&amp;UPPER(C227)&amp;"' AS TIPOLOGIA_TESTE,'"&amp;D227&amp;"' AS TABELA_LT,'N/A' AS TABELA_SIMUL,'"&amp;F227&amp;"' AS CAMPO, "&amp;"'${ref_date}' AS REF_DATE, COUNT(*) AS NUM_REG, SUM(IF(TRIM(CAST(X."&amp;F227&amp;" AS STRING))='' OR TRIM(CAST(X."&amp;F227&amp;" AS STRING)) IS NULL OR CAST(X."&amp;F227&amp;" AS STRING) NOT "&amp;H227&amp;",1,0)) AS NUM_REG_DIF,'"&amp;MAX('ID1&amp;5'!K:K)+1&amp;"' AS ID_EXEC, CURRENT_TIMESTAMP() AS TIME_EXEC FROM "&amp;I227,"SELECT '"&amp;UPPER(B227)&amp;"' AS TABELA, '"&amp;UPPER(C227)&amp;"' AS TIPOLOGIA_TESTE,'"&amp;D227&amp;"' AS TABELA_LT,'N/A' AS TABELA_SIMUL,'"&amp;F227&amp;"' AS CAMPO, "&amp;"'${ref_date}' AS REF_DATE, COUNT(*) AS NUM_REG, SUM(IF(TRIM(CAST(X."&amp;F227&amp;" AS STRING))='' OR TRIM(CAST(X."&amp;F227&amp;" AS STRING)) IS NULL,1,0)) AS NUM_REG_DIF,'"&amp;MAX('ID1&amp;5'!K:K)+1&amp;"' AS ID_EXEC, CURRENT_TIMESTAMP() AS TIME_EXEC FROM "&amp;I227),
IF(C227="Caracteres Especiais",+"SELECT '"&amp;UPPER(B227)&amp;"' AS TABELA, '"&amp;UPPER(C227)&amp;"' AS TIPOLOGIA_TESTE,'"&amp;D227&amp;"' AS TABELA_LT,'N/A' AS TABELA_SIMUL,'"&amp;F227&amp;"' AS CAMPO, "&amp;"'${ref_date}' AS REF_DATE, COUNT(*) AS NUM_REG, SUM(IF(REGEXP_REPLACE(TRIM(CAST(X."&amp;F227&amp;" AS STRING)),'[^a-zA-Z0-9_\\s]','') &lt;&gt;TRIM(CAST(X."&amp;F227&amp;" AS STRING)),1,0)) AS NUM_REG_DIF,'"&amp;MAX('ID1&amp;5'!K:K)+1&amp;"' AS ID_EXEC, CURRENT_TIMESTAMP() AS TIME_EXEC FROM "&amp;I227,
IF(C227="Missings",+"SELECT '"&amp;UPPER(B227)&amp;"' AS TABELA, '"&amp;UPPER(C227)&amp;"' AS TIPOLOGIA_TESTE,'"&amp;D227&amp;"' AS TABELA_LT,'N/A' AS TABELA_SIMUL,'"&amp;F227&amp;"' AS CAMPO, "&amp;"'${ref_date}' AS REF_DATE, COUNT(*) AS NUM_REG, SUM(IF(TRIM(CAST(X."&amp;F227&amp;" AS STRING)) IN ('0000-00-00','0001-01-01','9999-12-31','MISS','00000','99999999999','99999999999.00','99999999999.000000'),1,0)) AS NUM_REG_DIF,'"&amp;MAX('ID1&amp;5'!K:K)+1&amp;"' AS ID_EXEC, CURRENT_TIMESTAMP() AS TIME_EXEC FROM "&amp;I227,
IF(C227="Not applicable",+"SELECT '"&amp;UPPER(B227)&amp;"' AS TABELA, '"&amp;UPPER(C227)&amp;"' AS TIPOLOGIA_TESTE,'"&amp;D227&amp;"' AS TABELA_LT,'N/A' AS TABELA_SIMUL,'"&amp;F227&amp;"' AS CAMPO, "&amp;"'${ref_date}' AS REF_DATE, COUNT(*) AS NUM_REG, SUM(IF(TRIM(CAST(X."&amp;F227&amp;" AS STRING)) IN ('N/A','11111111111','11111111111.00','11111111111.000000','1111-11-11'),1,0)) AS NUM_REG_DIF,'"&amp;MAX('ID1&amp;5'!K:K)+1&amp;"' AS ID_EXEC, CURRENT_TIMESTAMP() AS TIME_EXEC FROM "&amp;I227,
IF(C227="Valores extremos",+"SELECT '"&amp;UPPER(B227)&amp;"' AS TABELA, '"&amp;UPPER(C227)&amp;"' AS TIPOLOGIA_TESTE,'"&amp;D227&amp;"' AS TABELA_LT,'N/A' AS TABELA_SIMUL,'"&amp;F227&amp;"' AS CAMPO, "&amp;"'${ref_date}' AS REF_DATE, CAST(MIN("&amp;F227&amp;") AS STRING) AS VALOR_MIN, CAST(MAX("&amp;F227&amp;") AS STRING) AS VALOR_MAX,'"&amp;MAX('ID1&amp;5'!K:K)+1&amp;"' AS ID_EXEC, CURRENT_TIMESTAMP() AS TIME_EXEC FROM "&amp;MID(I227,1,LEN(I227)-2)&amp;" AND CAST("&amp;F227&amp;"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TABELA_SIMUL,'PD_CRR_RD' AS CAMPO, '${ref_date}' AS REF_DATE, COUNT(*) AS NUM_REG, SUM(IF(COALESCE(CAST(X.PD_CRR_RD AS STRING),'')&lt;&gt;COALESCE(CAST(Y.PD_CRR_RD_SIMUL AS STRING),'') OR (X.PD_CRR_RD IS NULL AND Y.PD_CRR_RD_SIMUL IS NOT NULL ) OR (X.PD_CRR_RD IS NOT NULL AND Y.PD_CRR_RD_SIMUL IS NULL),1,0)) AS NUM_REG_DIF,'1' AS ID_EXEC, CURRENT_TIMESTAMP() AS TIME_EXEC FROM (SELECT instrmnt_id, PD_CRR_RD FROM CD_LOAN_TAPES_BCE.LT002_INSTRUMENT WHERE ref_date='${ref_date}' AND nome_perimetro='Individual Corporativo' AND segmento='ESTR' AND ambito='PM' AND entidade='00100')X INNER JOIN (SELECT instrmnt_id AS instrmnt_id_SIMUL, PD_CRR_RD AS PD_CRR_RD_SIMUL FROM BU_LOANTAPE_WORK.LT002_INSTRUMENT WHERE ref_date='${ref_date}' AND nome_perimetro='Individual Corporativo' AND segmento='ESTR' AND ambito='PM' AND entidade='00100')Y ON X.INSTRMNT_ID=Y.INSTRMNT_ID_SIMUL</v>
      </c>
      <c r="M227" s="36" t="str">
        <f t="shared" si="3"/>
        <v>UNION ALL SELECT 'INSTRUMENT' AS TABELA, 'COERÊNCIA' AS TIPOLOGIA_TESTE,'CD_LOAN_TAPES_BCE.LT002_INSTRUMENT' AS TABELA_LT,'BU_LOANTAPE_WORK.LT002_INSTRUMENT' AS TABELA_SIMUL,'PD_CRR_RD' AS CAMPO, '${ref_date}' AS REF_DATE, COUNT(*) AS NUM_REG, SUM(IF(COALESCE(CAST(X.PD_CRR_RD AS STRING),'')&lt;&gt;COALESCE(CAST(Y.PD_CRR_RD_SIMUL AS STRING),'') OR (X.PD_CRR_RD IS NULL AND Y.PD_CRR_RD_SIMUL IS NOT NULL ) OR (X.PD_CRR_RD IS NOT NULL AND Y.PD_CRR_RD_SIMUL IS NULL),1,0)) AS NUM_REG_DIF,'1' AS ID_EXEC, CURRENT_TIMESTAMP() AS TIME_EXEC FROM (SELECT instrmnt_id, PD_CRR_RD FROM CD_LOAN_TAPES_BCE.LT002_INSTRUMENT WHERE ref_date='${ref_date}' AND nome_perimetro='Individual Corporativo' AND segmento='ESTR' AND ambito='PM' AND entidade='00100')X INNER JOIN (SELECT instrmnt_id AS instrmnt_id_SIMUL, PD_CRR_RD AS PD_CRR_RD_SIMUL FROM BU_LOANTAPE_WORK.LT002_INSTRUMENT WHERE ref_date='${ref_date}' AND nome_perimetro='Individual Corporativo' AND segmento='ESTR' AND ambito='PM' AND entidade='00100')Y ON X.INSTRMNT_ID=Y.INSTRMNT_ID_SIMUL</v>
      </c>
      <c r="N227" s="38" t="s">
        <v>46</v>
      </c>
    </row>
    <row r="228" spans="2:14" hidden="1">
      <c r="B228" s="34" t="s">
        <v>126</v>
      </c>
      <c r="C228" s="34" t="s">
        <v>5</v>
      </c>
      <c r="D228" s="34" t="str">
        <f>+UPPER('0. Instruções'!$D$35&amp;"."&amp;VLOOKUP(B228,'0. Instruções'!$C$27:$D$32,2,FALSE))</f>
        <v>CD_LOAN_TAPES_BCE.LT002_INSTRUMENT</v>
      </c>
      <c r="E228" s="34" t="str">
        <f>+UPPER('0. Instruções'!$D$36&amp;"."&amp;VLOOKUP(B228,'0. Instruções'!$C$27:$E$32,3,FALSE))</f>
        <v>BU_LOANTAPE_WORK.LT002_INSTRUMENT</v>
      </c>
      <c r="F228" s="34" t="s">
        <v>401</v>
      </c>
      <c r="G228" s="34"/>
      <c r="H228" s="34" t="s">
        <v>91</v>
      </c>
      <c r="I228" s="34" t="str">
        <f>"(SELECT "&amp;VLOOKUP(B228,'0. Instruções'!$C$27:$G$32,4,FALSE)&amp;", "&amp;F228&amp;" FROM "&amp;D228&amp;" WHERE "&amp;'0. Instruções'!$D$42&amp;")X"</f>
        <v>(SELECT instrmnt_id, PD_CRR_RD_T1 FROM CD_LOAN_TAPES_BCE.LT002_INSTRUMENT WHERE ref_date='${ref_date}' AND nome_perimetro='Individual Corporativo' AND segmento='ESTR' AND ambito='PM' AND entidade='00100')X</v>
      </c>
      <c r="J228" s="34" t="str">
        <f>"(SELECT "&amp;VLOOKUP(B228,'0. Instruções'!$C$27:$G$32,4,FALSE)&amp;" AS "&amp;VLOOKUP(B228,'0. Instruções'!$C$27:$G$32,4,FALSE)&amp;"_SIMUL, "&amp;F228&amp;" AS "&amp;F228&amp;"_SIMUL FROM "&amp;E228&amp;" WHERE "&amp;'0. Instruções'!$D$43&amp;")Y"</f>
        <v>(SELECT instrmnt_id AS instrmnt_id_SIMUL, PD_CRR_RD_T1 AS PD_CRR_RD_T1_SIMUL FROM BU_LOANTAPE_WORK.LT002_INSTRUMENT WHERE ref_date='${ref_date}' AND nome_perimetro='Individual Corporativo' AND segmento='ESTR' AND ambito='PM' AND entidade='00100')Y</v>
      </c>
      <c r="K228" s="35" t="str">
        <f>+UPPER("ON X."&amp;VLOOKUP(B228,'0. Instruções'!$C$27:$G$32,4,FALSE)&amp;"=Y."&amp;VLOOKUP(B228,'0. Instruções'!$C$27:$G$32,4,FALSE)&amp;"_SIMUL")</f>
        <v>ON X.INSTRMNT_ID=Y.INSTRMNT_ID_SIMUL</v>
      </c>
      <c r="L228" s="35" t="str">
        <f>+IF(C228="Coerência", +IF(LEFT(G228,5)="FLOAT","SELECT '"&amp;UPPER(B228)&amp;"' AS TABELA, '"&amp;UPPER(C228)&amp;"' AS TIPOLOGIA_TESTE,'"&amp;D228&amp;"' AS TABELA_LT,'"&amp;E228&amp;"' AS TABELA_SIMUL,'"&amp;F228&amp;"' AS CAMPO, "&amp;"'${ref_date}' AS REF_DATE, COUNT(*) AS NUM_REG, SUM(IF((ABS(COALESCE(CAST(X."&amp;F228&amp;" AS DECIMAL(18,6)),0)-COALESCE(CAST(Y."&amp;F228&amp;"_SIMUL AS DECIMAL(18,6)),0))&gt;0.000001) OR (X."&amp;F228&amp;" IS NULL AND Y."&amp;F228&amp;"_SIMUL IS NOT NULL ) OR (X."&amp;F228&amp;" IS NOT NULL AND Y."&amp;F228&amp;"_SIMUL IS NULL),1,0)) AS NUM_REG_DIF,'"&amp;MAX('ID1&amp;5'!K:K)+1&amp;"' AS ID_EXEC, CURRENT_TIMESTAMP() AS TIME_EXEC FROM "&amp;I228&amp;" INNER JOIN "&amp;J228&amp;" "&amp;K228,"SELECT '"&amp;UPPER(B228)&amp;"' AS TABELA, '"&amp;UPPER(C228)&amp;"' AS TIPOLOGIA_TESTE,'"&amp;D228&amp;"' AS TABELA_LT,'"&amp;E228&amp;"' AS TABELA_SIMUL,'"&amp;F228&amp;"' AS CAMPO, "&amp;"'${ref_date}' AS REF_DATE, COUNT(*) AS NUM_REG, SUM(IF(COALESCE(CAST(X."&amp;F228&amp;" AS STRING),'')&lt;&gt;COALESCE(CAST(Y."&amp;F228&amp;"_SIMUL AS STRING),'') OR (X."&amp;F228&amp;" IS NULL AND Y."&amp;F228&amp;"_SIMUL IS NOT NULL ) OR (X."&amp;F228&amp;" IS NOT NULL AND Y."&amp;F228&amp;"_SIMUL IS NULL),1,0)) AS NUM_REG_DIF,'"&amp;MAX('ID1&amp;5'!L:L)+1&amp;"' AS ID_EXEC, CURRENT_TIMESTAMP() AS TIME_EXEC FROM "&amp;I228&amp;" INNER JOIN "&amp;J228&amp;" "&amp;K228),
IF(C228="Validade",+IF(G228="Code List","SELECT '"&amp;UPPER(B228)&amp;"' AS TABELA, '"&amp;UPPER(C228)&amp;"' AS TIPOLOGIA_TESTE,'"&amp;D228&amp;"' AS TABELA_LT,'N/A' AS TABELA_SIMUL,'"&amp;F228&amp;"' AS CAMPO, "&amp;"'${ref_date}' AS REF_DATE, COUNT(*) AS NUM_REG, SUM(IF(TRIM(CAST(X."&amp;F228&amp;" AS STRING))='' OR TRIM(CAST(X."&amp;F228&amp;" AS STRING)) IS NULL OR CAST(X."&amp;F228&amp;" AS STRING) NOT "&amp;H228&amp;",1,0)) AS NUM_REG_DIF,'"&amp;MAX('ID1&amp;5'!K:K)+1&amp;"' AS ID_EXEC, CURRENT_TIMESTAMP() AS TIME_EXEC FROM "&amp;I228,"SELECT '"&amp;UPPER(B228)&amp;"' AS TABELA, '"&amp;UPPER(C228)&amp;"' AS TIPOLOGIA_TESTE,'"&amp;D228&amp;"' AS TABELA_LT,'N/A' AS TABELA_SIMUL,'"&amp;F228&amp;"' AS CAMPO, "&amp;"'${ref_date}' AS REF_DATE, COUNT(*) AS NUM_REG, SUM(IF(TRIM(CAST(X."&amp;F228&amp;" AS STRING))='' OR TRIM(CAST(X."&amp;F228&amp;" AS STRING)) IS NULL,1,0)) AS NUM_REG_DIF,'"&amp;MAX('ID1&amp;5'!K:K)+1&amp;"' AS ID_EXEC, CURRENT_TIMESTAMP() AS TIME_EXEC FROM "&amp;I228),
IF(C228="Caracteres Especiais",+"SELECT '"&amp;UPPER(B228)&amp;"' AS TABELA, '"&amp;UPPER(C228)&amp;"' AS TIPOLOGIA_TESTE,'"&amp;D228&amp;"' AS TABELA_LT,'N/A' AS TABELA_SIMUL,'"&amp;F228&amp;"' AS CAMPO, "&amp;"'${ref_date}' AS REF_DATE, COUNT(*) AS NUM_REG, SUM(IF(REGEXP_REPLACE(TRIM(CAST(X."&amp;F228&amp;" AS STRING)),'[^a-zA-Z0-9_\\s]','') &lt;&gt;TRIM(CAST(X."&amp;F228&amp;" AS STRING)),1,0)) AS NUM_REG_DIF,'"&amp;MAX('ID1&amp;5'!K:K)+1&amp;"' AS ID_EXEC, CURRENT_TIMESTAMP() AS TIME_EXEC FROM "&amp;I228,
IF(C228="Missings",+"SELECT '"&amp;UPPER(B228)&amp;"' AS TABELA, '"&amp;UPPER(C228)&amp;"' AS TIPOLOGIA_TESTE,'"&amp;D228&amp;"' AS TABELA_LT,'N/A' AS TABELA_SIMUL,'"&amp;F228&amp;"' AS CAMPO, "&amp;"'${ref_date}' AS REF_DATE, COUNT(*) AS NUM_REG, SUM(IF(TRIM(CAST(X."&amp;F228&amp;" AS STRING)) IN ('0000-00-00','0001-01-01','9999-12-31','MISS','00000','99999999999','99999999999.00','99999999999.000000'),1,0)) AS NUM_REG_DIF,'"&amp;MAX('ID1&amp;5'!K:K)+1&amp;"' AS ID_EXEC, CURRENT_TIMESTAMP() AS TIME_EXEC FROM "&amp;I228,
IF(C228="Not applicable",+"SELECT '"&amp;UPPER(B228)&amp;"' AS TABELA, '"&amp;UPPER(C228)&amp;"' AS TIPOLOGIA_TESTE,'"&amp;D228&amp;"' AS TABELA_LT,'N/A' AS TABELA_SIMUL,'"&amp;F228&amp;"' AS CAMPO, "&amp;"'${ref_date}' AS REF_DATE, COUNT(*) AS NUM_REG, SUM(IF(TRIM(CAST(X."&amp;F228&amp;" AS STRING)) IN ('N/A','11111111111','11111111111.00','11111111111.000000','1111-11-11'),1,0)) AS NUM_REG_DIF,'"&amp;MAX('ID1&amp;5'!K:K)+1&amp;"' AS ID_EXEC, CURRENT_TIMESTAMP() AS TIME_EXEC FROM "&amp;I228,
IF(C228="Valores extremos",+"SELECT '"&amp;UPPER(B228)&amp;"' AS TABELA, '"&amp;UPPER(C228)&amp;"' AS TIPOLOGIA_TESTE,'"&amp;D228&amp;"' AS TABELA_LT,'N/A' AS TABELA_SIMUL,'"&amp;F228&amp;"' AS CAMPO, "&amp;"'${ref_date}' AS REF_DATE, CAST(MIN("&amp;F228&amp;") AS STRING) AS VALOR_MIN, CAST(MAX("&amp;F228&amp;") AS STRING) AS VALOR_MAX,'"&amp;MAX('ID1&amp;5'!K:K)+1&amp;"' AS ID_EXEC, CURRENT_TIMESTAMP() AS TIME_EXEC FROM "&amp;MID(I228,1,LEN(I228)-2)&amp;" AND CAST("&amp;F228&amp;"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TABELA_SIMUL,'PD_CRR_RD_T1' AS CAMPO, '${ref_date}' AS REF_DATE, COUNT(*) AS NUM_REG, SUM(IF(COALESCE(CAST(X.PD_CRR_RD_T1 AS STRING),'')&lt;&gt;COALESCE(CAST(Y.PD_CRR_RD_T1_SIMUL AS STRING),'') OR (X.PD_CRR_RD_T1 IS NULL AND Y.PD_CRR_RD_T1_SIMUL IS NOT NULL ) OR (X.PD_CRR_RD_T1 IS NOT NULL AND Y.PD_CRR_RD_T1_SIMUL IS NULL),1,0)) AS NUM_REG_DIF,'1' AS ID_EXEC, CURRENT_TIMESTAMP() AS TIME_EXEC FROM (SELECT instrmnt_id, PD_CRR_RD_T1 FROM CD_LOAN_TAPES_BCE.LT002_INSTRUMENT WHERE ref_date='${ref_date}' AND nome_perimetro='Individual Corporativo' AND segmento='ESTR' AND ambito='PM' AND entidade='00100')X INNER JOIN (SELECT instrmnt_id AS instrmnt_id_SIMUL, PD_CRR_RD_T1 AS PD_CRR_RD_T1_SIMUL FROM BU_LOANTAPE_WORK.LT002_INSTRUMENT WHERE ref_date='${ref_date}' AND nome_perimetro='Individual Corporativo' AND segmento='ESTR' AND ambito='PM' AND entidade='00100')Y ON X.INSTRMNT_ID=Y.INSTRMNT_ID_SIMUL</v>
      </c>
      <c r="M228" s="36" t="str">
        <f t="shared" si="3"/>
        <v>UNION ALL SELECT 'INSTRUMENT' AS TABELA, 'COERÊNCIA' AS TIPOLOGIA_TESTE,'CD_LOAN_TAPES_BCE.LT002_INSTRUMENT' AS TABELA_LT,'BU_LOANTAPE_WORK.LT002_INSTRUMENT' AS TABELA_SIMUL,'PD_CRR_RD_T1' AS CAMPO, '${ref_date}' AS REF_DATE, COUNT(*) AS NUM_REG, SUM(IF(COALESCE(CAST(X.PD_CRR_RD_T1 AS STRING),'')&lt;&gt;COALESCE(CAST(Y.PD_CRR_RD_T1_SIMUL AS STRING),'') OR (X.PD_CRR_RD_T1 IS NULL AND Y.PD_CRR_RD_T1_SIMUL IS NOT NULL ) OR (X.PD_CRR_RD_T1 IS NOT NULL AND Y.PD_CRR_RD_T1_SIMUL IS NULL),1,0)) AS NUM_REG_DIF,'1' AS ID_EXEC, CURRENT_TIMESTAMP() AS TIME_EXEC FROM (SELECT instrmnt_id, PD_CRR_RD_T1 FROM CD_LOAN_TAPES_BCE.LT002_INSTRUMENT WHERE ref_date='${ref_date}' AND nome_perimetro='Individual Corporativo' AND segmento='ESTR' AND ambito='PM' AND entidade='00100')X INNER JOIN (SELECT instrmnt_id AS instrmnt_id_SIMUL, PD_CRR_RD_T1 AS PD_CRR_RD_T1_SIMUL FROM BU_LOANTAPE_WORK.LT002_INSTRUMENT WHERE ref_date='${ref_date}' AND nome_perimetro='Individual Corporativo' AND segmento='ESTR' AND ambito='PM' AND entidade='00100')Y ON X.INSTRMNT_ID=Y.INSTRMNT_ID_SIMUL</v>
      </c>
      <c r="N228" s="38" t="s">
        <v>46</v>
      </c>
    </row>
    <row r="229" spans="2:14" hidden="1">
      <c r="B229" s="34" t="s">
        <v>126</v>
      </c>
      <c r="C229" s="34" t="s">
        <v>5</v>
      </c>
      <c r="D229" s="34" t="str">
        <f>+UPPER('0. Instruções'!$D$35&amp;"."&amp;VLOOKUP(B229,'0. Instruções'!$C$27:$D$32,2,FALSE))</f>
        <v>CD_LOAN_TAPES_BCE.LT002_INSTRUMENT</v>
      </c>
      <c r="E229" s="34" t="str">
        <f>+UPPER('0. Instruções'!$D$36&amp;"."&amp;VLOOKUP(B229,'0. Instruções'!$C$27:$E$32,3,FALSE))</f>
        <v>BU_LOANTAPE_WORK.LT002_INSTRUMENT</v>
      </c>
      <c r="F229" s="34" t="s">
        <v>515</v>
      </c>
      <c r="G229" s="34"/>
      <c r="H229" s="34" t="s">
        <v>91</v>
      </c>
      <c r="I229" s="34" t="str">
        <f>"(SELECT "&amp;VLOOKUP(B229,'0. Instruções'!$C$27:$G$32,4,FALSE)&amp;", "&amp;F229&amp;" FROM "&amp;D229&amp;" WHERE "&amp;'0. Instruções'!$D$42&amp;")X"</f>
        <v>(SELECT instrmnt_id, PD_IFRS9_12M_INCPTN FROM CD_LOAN_TAPES_BCE.LT002_INSTRUMENT WHERE ref_date='${ref_date}' AND nome_perimetro='Individual Corporativo' AND segmento='ESTR' AND ambito='PM' AND entidade='00100')X</v>
      </c>
      <c r="J229" s="34" t="str">
        <f>"(SELECT "&amp;VLOOKUP(B229,'0. Instruções'!$C$27:$G$32,4,FALSE)&amp;" AS "&amp;VLOOKUP(B229,'0. Instruções'!$C$27:$G$32,4,FALSE)&amp;"_SIMUL, "&amp;F229&amp;" AS "&amp;F229&amp;"_SIMUL FROM "&amp;E229&amp;" WHERE "&amp;'0. Instruções'!$D$43&amp;")Y"</f>
        <v>(SELECT instrmnt_id AS instrmnt_id_SIMUL, PD_IFRS9_12M_INCPTN AS PD_IFRS9_12M_INCPTN_SIMUL FROM BU_LOANTAPE_WORK.LT002_INSTRUMENT WHERE ref_date='${ref_date}' AND nome_perimetro='Individual Corporativo' AND segmento='ESTR' AND ambito='PM' AND entidade='00100')Y</v>
      </c>
      <c r="K229" s="35" t="str">
        <f>+UPPER("ON X."&amp;VLOOKUP(B229,'0. Instruções'!$C$27:$G$32,4,FALSE)&amp;"=Y."&amp;VLOOKUP(B229,'0. Instruções'!$C$27:$G$32,4,FALSE)&amp;"_SIMUL")</f>
        <v>ON X.INSTRMNT_ID=Y.INSTRMNT_ID_SIMUL</v>
      </c>
      <c r="L229" s="35" t="str">
        <f>+IF(C229="Coerência", +IF(LEFT(G229,5)="FLOAT","SELECT '"&amp;UPPER(B229)&amp;"' AS TABELA, '"&amp;UPPER(C229)&amp;"' AS TIPOLOGIA_TESTE,'"&amp;D229&amp;"' AS TABELA_LT,'"&amp;E229&amp;"' AS TABELA_SIMUL,'"&amp;F229&amp;"' AS CAMPO, "&amp;"'${ref_date}' AS REF_DATE, COUNT(*) AS NUM_REG, SUM(IF((ABS(COALESCE(CAST(X."&amp;F229&amp;" AS DECIMAL(18,6)),0)-COALESCE(CAST(Y."&amp;F229&amp;"_SIMUL AS DECIMAL(18,6)),0))&gt;0.000001) OR (X."&amp;F229&amp;" IS NULL AND Y."&amp;F229&amp;"_SIMUL IS NOT NULL ) OR (X."&amp;F229&amp;" IS NOT NULL AND Y."&amp;F229&amp;"_SIMUL IS NULL),1,0)) AS NUM_REG_DIF,'"&amp;MAX('ID1&amp;5'!K:K)+1&amp;"' AS ID_EXEC, CURRENT_TIMESTAMP() AS TIME_EXEC FROM "&amp;I229&amp;" INNER JOIN "&amp;J229&amp;" "&amp;K229,"SELECT '"&amp;UPPER(B229)&amp;"' AS TABELA, '"&amp;UPPER(C229)&amp;"' AS TIPOLOGIA_TESTE,'"&amp;D229&amp;"' AS TABELA_LT,'"&amp;E229&amp;"' AS TABELA_SIMUL,'"&amp;F229&amp;"' AS CAMPO, "&amp;"'${ref_date}' AS REF_DATE, COUNT(*) AS NUM_REG, SUM(IF(COALESCE(CAST(X."&amp;F229&amp;" AS STRING),'')&lt;&gt;COALESCE(CAST(Y."&amp;F229&amp;"_SIMUL AS STRING),'') OR (X."&amp;F229&amp;" IS NULL AND Y."&amp;F229&amp;"_SIMUL IS NOT NULL ) OR (X."&amp;F229&amp;" IS NOT NULL AND Y."&amp;F229&amp;"_SIMUL IS NULL),1,0)) AS NUM_REG_DIF,'"&amp;MAX('ID1&amp;5'!L:L)+1&amp;"' AS ID_EXEC, CURRENT_TIMESTAMP() AS TIME_EXEC FROM "&amp;I229&amp;" INNER JOIN "&amp;J229&amp;" "&amp;K229),
IF(C229="Validade",+IF(G229="Code List","SELECT '"&amp;UPPER(B229)&amp;"' AS TABELA, '"&amp;UPPER(C229)&amp;"' AS TIPOLOGIA_TESTE,'"&amp;D229&amp;"' AS TABELA_LT,'N/A' AS TABELA_SIMUL,'"&amp;F229&amp;"' AS CAMPO, "&amp;"'${ref_date}' AS REF_DATE, COUNT(*) AS NUM_REG, SUM(IF(TRIM(CAST(X."&amp;F229&amp;" AS STRING))='' OR TRIM(CAST(X."&amp;F229&amp;" AS STRING)) IS NULL OR CAST(X."&amp;F229&amp;" AS STRING) NOT "&amp;H229&amp;",1,0)) AS NUM_REG_DIF,'"&amp;MAX('ID1&amp;5'!K:K)+1&amp;"' AS ID_EXEC, CURRENT_TIMESTAMP() AS TIME_EXEC FROM "&amp;I229,"SELECT '"&amp;UPPER(B229)&amp;"' AS TABELA, '"&amp;UPPER(C229)&amp;"' AS TIPOLOGIA_TESTE,'"&amp;D229&amp;"' AS TABELA_LT,'N/A' AS TABELA_SIMUL,'"&amp;F229&amp;"' AS CAMPO, "&amp;"'${ref_date}' AS REF_DATE, COUNT(*) AS NUM_REG, SUM(IF(TRIM(CAST(X."&amp;F229&amp;" AS STRING))='' OR TRIM(CAST(X."&amp;F229&amp;" AS STRING)) IS NULL,1,0)) AS NUM_REG_DIF,'"&amp;MAX('ID1&amp;5'!K:K)+1&amp;"' AS ID_EXEC, CURRENT_TIMESTAMP() AS TIME_EXEC FROM "&amp;I229),
IF(C229="Caracteres Especiais",+"SELECT '"&amp;UPPER(B229)&amp;"' AS TABELA, '"&amp;UPPER(C229)&amp;"' AS TIPOLOGIA_TESTE,'"&amp;D229&amp;"' AS TABELA_LT,'N/A' AS TABELA_SIMUL,'"&amp;F229&amp;"' AS CAMPO, "&amp;"'${ref_date}' AS REF_DATE, COUNT(*) AS NUM_REG, SUM(IF(REGEXP_REPLACE(TRIM(CAST(X."&amp;F229&amp;" AS STRING)),'[^a-zA-Z0-9_\\s]','') &lt;&gt;TRIM(CAST(X."&amp;F229&amp;" AS STRING)),1,0)) AS NUM_REG_DIF,'"&amp;MAX('ID1&amp;5'!K:K)+1&amp;"' AS ID_EXEC, CURRENT_TIMESTAMP() AS TIME_EXEC FROM "&amp;I229,
IF(C229="Missings",+"SELECT '"&amp;UPPER(B229)&amp;"' AS TABELA, '"&amp;UPPER(C229)&amp;"' AS TIPOLOGIA_TESTE,'"&amp;D229&amp;"' AS TABELA_LT,'N/A' AS TABELA_SIMUL,'"&amp;F229&amp;"' AS CAMPO, "&amp;"'${ref_date}' AS REF_DATE, COUNT(*) AS NUM_REG, SUM(IF(TRIM(CAST(X."&amp;F229&amp;" AS STRING)) IN ('0000-00-00','0001-01-01','9999-12-31','MISS','00000','99999999999','99999999999.00','99999999999.000000'),1,0)) AS NUM_REG_DIF,'"&amp;MAX('ID1&amp;5'!K:K)+1&amp;"' AS ID_EXEC, CURRENT_TIMESTAMP() AS TIME_EXEC FROM "&amp;I229,
IF(C229="Not applicable",+"SELECT '"&amp;UPPER(B229)&amp;"' AS TABELA, '"&amp;UPPER(C229)&amp;"' AS TIPOLOGIA_TESTE,'"&amp;D229&amp;"' AS TABELA_LT,'N/A' AS TABELA_SIMUL,'"&amp;F229&amp;"' AS CAMPO, "&amp;"'${ref_date}' AS REF_DATE, COUNT(*) AS NUM_REG, SUM(IF(TRIM(CAST(X."&amp;F229&amp;" AS STRING)) IN ('N/A','11111111111','11111111111.00','11111111111.000000','1111-11-11'),1,0)) AS NUM_REG_DIF,'"&amp;MAX('ID1&amp;5'!K:K)+1&amp;"' AS ID_EXEC, CURRENT_TIMESTAMP() AS TIME_EXEC FROM "&amp;I229,
IF(C229="Valores extremos",+"SELECT '"&amp;UPPER(B229)&amp;"' AS TABELA, '"&amp;UPPER(C229)&amp;"' AS TIPOLOGIA_TESTE,'"&amp;D229&amp;"' AS TABELA_LT,'N/A' AS TABELA_SIMUL,'"&amp;F229&amp;"' AS CAMPO, "&amp;"'${ref_date}' AS REF_DATE, CAST(MIN("&amp;F229&amp;") AS STRING) AS VALOR_MIN, CAST(MAX("&amp;F229&amp;") AS STRING) AS VALOR_MAX,'"&amp;MAX('ID1&amp;5'!K:K)+1&amp;"' AS ID_EXEC, CURRENT_TIMESTAMP() AS TIME_EXEC FROM "&amp;MID(I229,1,LEN(I229)-2)&amp;" AND CAST("&amp;F229&amp;"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TABELA_SIMUL,'PD_IFRS9_12M_INCPTN' AS CAMPO, '${ref_date}' AS REF_DATE, COUNT(*) AS NUM_REG, SUM(IF(COALESCE(CAST(X.PD_IFRS9_12M_INCPTN AS STRING),'')&lt;&gt;COALESCE(CAST(Y.PD_IFRS9_12M_INCPTN_SIMUL AS STRING),'') OR (X.PD_IFRS9_12M_INCPTN IS NULL AND Y.PD_IFRS9_12M_INCPTN_SIMUL IS NOT NULL ) OR (X.PD_IFRS9_12M_INCPTN IS NOT NULL AND Y.PD_IFRS9_12M_INCPTN_SIMUL IS NULL),1,0)) AS NUM_REG_DIF,'1' AS ID_EXEC, CURRENT_TIMESTAMP() AS TIME_EXEC FROM (SELECT instrmnt_id, PD_IFRS9_12M_INCPTN FROM CD_LOAN_TAPES_BCE.LT002_INSTRUMENT WHERE ref_date='${ref_date}' AND nome_perimetro='Individual Corporativo' AND segmento='ESTR' AND ambito='PM' AND entidade='00100')X INNER JOIN (SELECT instrmnt_id AS instrmnt_id_SIMUL, PD_IFRS9_12M_INCPTN AS PD_IFRS9_12M_INCPTN_SIMUL FROM BU_LOANTAPE_WORK.LT002_INSTRUMENT WHERE ref_date='${ref_date}' AND nome_perimetro='Individual Corporativo' AND segmento='ESTR' AND ambito='PM' AND entidade='00100')Y ON X.INSTRMNT_ID=Y.INSTRMNT_ID_SIMUL</v>
      </c>
      <c r="M229" s="36" t="str">
        <f t="shared" si="3"/>
        <v>UNION ALL SELECT 'INSTRUMENT' AS TABELA, 'COERÊNCIA' AS TIPOLOGIA_TESTE,'CD_LOAN_TAPES_BCE.LT002_INSTRUMENT' AS TABELA_LT,'BU_LOANTAPE_WORK.LT002_INSTRUMENT' AS TABELA_SIMUL,'PD_IFRS9_12M_INCPTN' AS CAMPO, '${ref_date}' AS REF_DATE, COUNT(*) AS NUM_REG, SUM(IF(COALESCE(CAST(X.PD_IFRS9_12M_INCPTN AS STRING),'')&lt;&gt;COALESCE(CAST(Y.PD_IFRS9_12M_INCPTN_SIMUL AS STRING),'') OR (X.PD_IFRS9_12M_INCPTN IS NULL AND Y.PD_IFRS9_12M_INCPTN_SIMUL IS NOT NULL ) OR (X.PD_IFRS9_12M_INCPTN IS NOT NULL AND Y.PD_IFRS9_12M_INCPTN_SIMUL IS NULL),1,0)) AS NUM_REG_DIF,'1' AS ID_EXEC, CURRENT_TIMESTAMP() AS TIME_EXEC FROM (SELECT instrmnt_id, PD_IFRS9_12M_INCPTN FROM CD_LOAN_TAPES_BCE.LT002_INSTRUMENT WHERE ref_date='${ref_date}' AND nome_perimetro='Individual Corporativo' AND segmento='ESTR' AND ambito='PM' AND entidade='00100')X INNER JOIN (SELECT instrmnt_id AS instrmnt_id_SIMUL, PD_IFRS9_12M_INCPTN AS PD_IFRS9_12M_INCPTN_SIMUL FROM BU_LOANTAPE_WORK.LT002_INSTRUMENT WHERE ref_date='${ref_date}' AND nome_perimetro='Individual Corporativo' AND segmento='ESTR' AND ambito='PM' AND entidade='00100')Y ON X.INSTRMNT_ID=Y.INSTRMNT_ID_SIMUL</v>
      </c>
      <c r="N229" s="38" t="s">
        <v>46</v>
      </c>
    </row>
    <row r="230" spans="2:14" hidden="1">
      <c r="B230" s="34" t="s">
        <v>126</v>
      </c>
      <c r="C230" s="34" t="s">
        <v>5</v>
      </c>
      <c r="D230" s="34" t="str">
        <f>+UPPER('0. Instruções'!$D$35&amp;"."&amp;VLOOKUP(B230,'0. Instruções'!$C$27:$D$32,2,FALSE))</f>
        <v>CD_LOAN_TAPES_BCE.LT002_INSTRUMENT</v>
      </c>
      <c r="E230" s="34" t="str">
        <f>+UPPER('0. Instruções'!$D$36&amp;"."&amp;VLOOKUP(B230,'0. Instruções'!$C$27:$E$32,3,FALSE))</f>
        <v>BU_LOANTAPE_WORK.LT002_INSTRUMENT</v>
      </c>
      <c r="F230" s="34" t="s">
        <v>395</v>
      </c>
      <c r="G230" s="34"/>
      <c r="H230" s="34" t="s">
        <v>91</v>
      </c>
      <c r="I230" s="34" t="str">
        <f>"(SELECT "&amp;VLOOKUP(B230,'0. Instruções'!$C$27:$G$32,4,FALSE)&amp;", "&amp;F230&amp;" FROM "&amp;D230&amp;" WHERE "&amp;'0. Instruções'!$D$42&amp;")X"</f>
        <v>(SELECT instrmnt_id, PD_IFRS9_12M_RD FROM CD_LOAN_TAPES_BCE.LT002_INSTRUMENT WHERE ref_date='${ref_date}' AND nome_perimetro='Individual Corporativo' AND segmento='ESTR' AND ambito='PM' AND entidade='00100')X</v>
      </c>
      <c r="J230" s="34" t="str">
        <f>"(SELECT "&amp;VLOOKUP(B230,'0. Instruções'!$C$27:$G$32,4,FALSE)&amp;" AS "&amp;VLOOKUP(B230,'0. Instruções'!$C$27:$G$32,4,FALSE)&amp;"_SIMUL, "&amp;F230&amp;" AS "&amp;F230&amp;"_SIMUL FROM "&amp;E230&amp;" WHERE "&amp;'0. Instruções'!$D$43&amp;")Y"</f>
        <v>(SELECT instrmnt_id AS instrmnt_id_SIMUL, PD_IFRS9_12M_RD AS PD_IFRS9_12M_RD_SIMUL FROM BU_LOANTAPE_WORK.LT002_INSTRUMENT WHERE ref_date='${ref_date}' AND nome_perimetro='Individual Corporativo' AND segmento='ESTR' AND ambito='PM' AND entidade='00100')Y</v>
      </c>
      <c r="K230" s="35" t="str">
        <f>+UPPER("ON X."&amp;VLOOKUP(B230,'0. Instruções'!$C$27:$G$32,4,FALSE)&amp;"=Y."&amp;VLOOKUP(B230,'0. Instruções'!$C$27:$G$32,4,FALSE)&amp;"_SIMUL")</f>
        <v>ON X.INSTRMNT_ID=Y.INSTRMNT_ID_SIMUL</v>
      </c>
      <c r="L230" s="35" t="str">
        <f>+IF(C230="Coerência", +IF(LEFT(G230,5)="FLOAT","SELECT '"&amp;UPPER(B230)&amp;"' AS TABELA, '"&amp;UPPER(C230)&amp;"' AS TIPOLOGIA_TESTE,'"&amp;D230&amp;"' AS TABELA_LT,'"&amp;E230&amp;"' AS TABELA_SIMUL,'"&amp;F230&amp;"' AS CAMPO, "&amp;"'${ref_date}' AS REF_DATE, COUNT(*) AS NUM_REG, SUM(IF((ABS(COALESCE(CAST(X."&amp;F230&amp;" AS DECIMAL(18,6)),0)-COALESCE(CAST(Y."&amp;F230&amp;"_SIMUL AS DECIMAL(18,6)),0))&gt;0.000001) OR (X."&amp;F230&amp;" IS NULL AND Y."&amp;F230&amp;"_SIMUL IS NOT NULL ) OR (X."&amp;F230&amp;" IS NOT NULL AND Y."&amp;F230&amp;"_SIMUL IS NULL),1,0)) AS NUM_REG_DIF,'"&amp;MAX('ID1&amp;5'!K:K)+1&amp;"' AS ID_EXEC, CURRENT_TIMESTAMP() AS TIME_EXEC FROM "&amp;I230&amp;" INNER JOIN "&amp;J230&amp;" "&amp;K230,"SELECT '"&amp;UPPER(B230)&amp;"' AS TABELA, '"&amp;UPPER(C230)&amp;"' AS TIPOLOGIA_TESTE,'"&amp;D230&amp;"' AS TABELA_LT,'"&amp;E230&amp;"' AS TABELA_SIMUL,'"&amp;F230&amp;"' AS CAMPO, "&amp;"'${ref_date}' AS REF_DATE, COUNT(*) AS NUM_REG, SUM(IF(COALESCE(CAST(X."&amp;F230&amp;" AS STRING),'')&lt;&gt;COALESCE(CAST(Y."&amp;F230&amp;"_SIMUL AS STRING),'') OR (X."&amp;F230&amp;" IS NULL AND Y."&amp;F230&amp;"_SIMUL IS NOT NULL ) OR (X."&amp;F230&amp;" IS NOT NULL AND Y."&amp;F230&amp;"_SIMUL IS NULL),1,0)) AS NUM_REG_DIF,'"&amp;MAX('ID1&amp;5'!L:L)+1&amp;"' AS ID_EXEC, CURRENT_TIMESTAMP() AS TIME_EXEC FROM "&amp;I230&amp;" INNER JOIN "&amp;J230&amp;" "&amp;K230),
IF(C230="Validade",+IF(G230="Code List","SELECT '"&amp;UPPER(B230)&amp;"' AS TABELA, '"&amp;UPPER(C230)&amp;"' AS TIPOLOGIA_TESTE,'"&amp;D230&amp;"' AS TABELA_LT,'N/A' AS TABELA_SIMUL,'"&amp;F230&amp;"' AS CAMPO, "&amp;"'${ref_date}' AS REF_DATE, COUNT(*) AS NUM_REG, SUM(IF(TRIM(CAST(X."&amp;F230&amp;" AS STRING))='' OR TRIM(CAST(X."&amp;F230&amp;" AS STRING)) IS NULL OR CAST(X."&amp;F230&amp;" AS STRING) NOT "&amp;H230&amp;",1,0)) AS NUM_REG_DIF,'"&amp;MAX('ID1&amp;5'!K:K)+1&amp;"' AS ID_EXEC, CURRENT_TIMESTAMP() AS TIME_EXEC FROM "&amp;I230,"SELECT '"&amp;UPPER(B230)&amp;"' AS TABELA, '"&amp;UPPER(C230)&amp;"' AS TIPOLOGIA_TESTE,'"&amp;D230&amp;"' AS TABELA_LT,'N/A' AS TABELA_SIMUL,'"&amp;F230&amp;"' AS CAMPO, "&amp;"'${ref_date}' AS REF_DATE, COUNT(*) AS NUM_REG, SUM(IF(TRIM(CAST(X."&amp;F230&amp;" AS STRING))='' OR TRIM(CAST(X."&amp;F230&amp;" AS STRING)) IS NULL,1,0)) AS NUM_REG_DIF,'"&amp;MAX('ID1&amp;5'!K:K)+1&amp;"' AS ID_EXEC, CURRENT_TIMESTAMP() AS TIME_EXEC FROM "&amp;I230),
IF(C230="Caracteres Especiais",+"SELECT '"&amp;UPPER(B230)&amp;"' AS TABELA, '"&amp;UPPER(C230)&amp;"' AS TIPOLOGIA_TESTE,'"&amp;D230&amp;"' AS TABELA_LT,'N/A' AS TABELA_SIMUL,'"&amp;F230&amp;"' AS CAMPO, "&amp;"'${ref_date}' AS REF_DATE, COUNT(*) AS NUM_REG, SUM(IF(REGEXP_REPLACE(TRIM(CAST(X."&amp;F230&amp;" AS STRING)),'[^a-zA-Z0-9_\\s]','') &lt;&gt;TRIM(CAST(X."&amp;F230&amp;" AS STRING)),1,0)) AS NUM_REG_DIF,'"&amp;MAX('ID1&amp;5'!K:K)+1&amp;"' AS ID_EXEC, CURRENT_TIMESTAMP() AS TIME_EXEC FROM "&amp;I230,
IF(C230="Missings",+"SELECT '"&amp;UPPER(B230)&amp;"' AS TABELA, '"&amp;UPPER(C230)&amp;"' AS TIPOLOGIA_TESTE,'"&amp;D230&amp;"' AS TABELA_LT,'N/A' AS TABELA_SIMUL,'"&amp;F230&amp;"' AS CAMPO, "&amp;"'${ref_date}' AS REF_DATE, COUNT(*) AS NUM_REG, SUM(IF(TRIM(CAST(X."&amp;F230&amp;" AS STRING)) IN ('0000-00-00','0001-01-01','9999-12-31','MISS','00000','99999999999','99999999999.00','99999999999.000000'),1,0)) AS NUM_REG_DIF,'"&amp;MAX('ID1&amp;5'!K:K)+1&amp;"' AS ID_EXEC, CURRENT_TIMESTAMP() AS TIME_EXEC FROM "&amp;I230,
IF(C230="Not applicable",+"SELECT '"&amp;UPPER(B230)&amp;"' AS TABELA, '"&amp;UPPER(C230)&amp;"' AS TIPOLOGIA_TESTE,'"&amp;D230&amp;"' AS TABELA_LT,'N/A' AS TABELA_SIMUL,'"&amp;F230&amp;"' AS CAMPO, "&amp;"'${ref_date}' AS REF_DATE, COUNT(*) AS NUM_REG, SUM(IF(TRIM(CAST(X."&amp;F230&amp;" AS STRING)) IN ('N/A','11111111111','11111111111.00','11111111111.000000','1111-11-11'),1,0)) AS NUM_REG_DIF,'"&amp;MAX('ID1&amp;5'!K:K)+1&amp;"' AS ID_EXEC, CURRENT_TIMESTAMP() AS TIME_EXEC FROM "&amp;I230,
IF(C230="Valores extremos",+"SELECT '"&amp;UPPER(B230)&amp;"' AS TABELA, '"&amp;UPPER(C230)&amp;"' AS TIPOLOGIA_TESTE,'"&amp;D230&amp;"' AS TABELA_LT,'N/A' AS TABELA_SIMUL,'"&amp;F230&amp;"' AS CAMPO, "&amp;"'${ref_date}' AS REF_DATE, CAST(MIN("&amp;F230&amp;") AS STRING) AS VALOR_MIN, CAST(MAX("&amp;F230&amp;") AS STRING) AS VALOR_MAX,'"&amp;MAX('ID1&amp;5'!K:K)+1&amp;"' AS ID_EXEC, CURRENT_TIMESTAMP() AS TIME_EXEC FROM "&amp;MID(I230,1,LEN(I230)-2)&amp;" AND CAST("&amp;F230&amp;"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TABELA_SIMUL,'PD_IFRS9_12M_RD' AS CAMPO, '${ref_date}' AS REF_DATE, COUNT(*) AS NUM_REG, SUM(IF(COALESCE(CAST(X.PD_IFRS9_12M_RD AS STRING),'')&lt;&gt;COALESCE(CAST(Y.PD_IFRS9_12M_RD_SIMUL AS STRING),'') OR (X.PD_IFRS9_12M_RD IS NULL AND Y.PD_IFRS9_12M_RD_SIMUL IS NOT NULL ) OR (X.PD_IFRS9_12M_RD IS NOT NULL AND Y.PD_IFRS9_12M_RD_SIMUL IS NULL),1,0)) AS NUM_REG_DIF,'1' AS ID_EXEC, CURRENT_TIMESTAMP() AS TIME_EXEC FROM (SELECT instrmnt_id, PD_IFRS9_12M_RD FROM CD_LOAN_TAPES_BCE.LT002_INSTRUMENT WHERE ref_date='${ref_date}' AND nome_perimetro='Individual Corporativo' AND segmento='ESTR' AND ambito='PM' AND entidade='00100')X INNER JOIN (SELECT instrmnt_id AS instrmnt_id_SIMUL, PD_IFRS9_12M_RD AS PD_IFRS9_12M_RD_SIMUL FROM BU_LOANTAPE_WORK.LT002_INSTRUMENT WHERE ref_date='${ref_date}' AND nome_perimetro='Individual Corporativo' AND segmento='ESTR' AND ambito='PM' AND entidade='00100')Y ON X.INSTRMNT_ID=Y.INSTRMNT_ID_SIMUL</v>
      </c>
      <c r="M230" s="36" t="str">
        <f t="shared" si="3"/>
        <v>UNION ALL SELECT 'INSTRUMENT' AS TABELA, 'COERÊNCIA' AS TIPOLOGIA_TESTE,'CD_LOAN_TAPES_BCE.LT002_INSTRUMENT' AS TABELA_LT,'BU_LOANTAPE_WORK.LT002_INSTRUMENT' AS TABELA_SIMUL,'PD_IFRS9_12M_RD' AS CAMPO, '${ref_date}' AS REF_DATE, COUNT(*) AS NUM_REG, SUM(IF(COALESCE(CAST(X.PD_IFRS9_12M_RD AS STRING),'')&lt;&gt;COALESCE(CAST(Y.PD_IFRS9_12M_RD_SIMUL AS STRING),'') OR (X.PD_IFRS9_12M_RD IS NULL AND Y.PD_IFRS9_12M_RD_SIMUL IS NOT NULL ) OR (X.PD_IFRS9_12M_RD IS NOT NULL AND Y.PD_IFRS9_12M_RD_SIMUL IS NULL),1,0)) AS NUM_REG_DIF,'1' AS ID_EXEC, CURRENT_TIMESTAMP() AS TIME_EXEC FROM (SELECT instrmnt_id, PD_IFRS9_12M_RD FROM CD_LOAN_TAPES_BCE.LT002_INSTRUMENT WHERE ref_date='${ref_date}' AND nome_perimetro='Individual Corporativo' AND segmento='ESTR' AND ambito='PM' AND entidade='00100')X INNER JOIN (SELECT instrmnt_id AS instrmnt_id_SIMUL, PD_IFRS9_12M_RD AS PD_IFRS9_12M_RD_SIMUL FROM BU_LOANTAPE_WORK.LT002_INSTRUMENT WHERE ref_date='${ref_date}' AND nome_perimetro='Individual Corporativo' AND segmento='ESTR' AND ambito='PM' AND entidade='00100')Y ON X.INSTRMNT_ID=Y.INSTRMNT_ID_SIMUL</v>
      </c>
      <c r="N230" s="38" t="s">
        <v>46</v>
      </c>
    </row>
    <row r="231" spans="2:14" hidden="1">
      <c r="B231" s="34" t="s">
        <v>126</v>
      </c>
      <c r="C231" s="34" t="s">
        <v>5</v>
      </c>
      <c r="D231" s="34" t="str">
        <f>+UPPER('0. Instruções'!$D$35&amp;"."&amp;VLOOKUP(B231,'0. Instruções'!$C$27:$D$32,2,FALSE))</f>
        <v>CD_LOAN_TAPES_BCE.LT002_INSTRUMENT</v>
      </c>
      <c r="E231" s="34" t="str">
        <f>+UPPER('0. Instruções'!$D$36&amp;"."&amp;VLOOKUP(B231,'0. Instruções'!$C$27:$E$32,3,FALSE))</f>
        <v>BU_LOANTAPE_WORK.LT002_INSTRUMENT</v>
      </c>
      <c r="F231" s="34" t="s">
        <v>396</v>
      </c>
      <c r="G231" s="34"/>
      <c r="H231" s="34" t="s">
        <v>91</v>
      </c>
      <c r="I231" s="34" t="str">
        <f>"(SELECT "&amp;VLOOKUP(B231,'0. Instruções'!$C$27:$G$32,4,FALSE)&amp;", "&amp;F231&amp;" FROM "&amp;D231&amp;" WHERE "&amp;'0. Instruções'!$D$42&amp;")X"</f>
        <v>(SELECT instrmnt_id, PD_IFRS9_12M_RD_T1 FROM CD_LOAN_TAPES_BCE.LT002_INSTRUMENT WHERE ref_date='${ref_date}' AND nome_perimetro='Individual Corporativo' AND segmento='ESTR' AND ambito='PM' AND entidade='00100')X</v>
      </c>
      <c r="J231" s="34" t="str">
        <f>"(SELECT "&amp;VLOOKUP(B231,'0. Instruções'!$C$27:$G$32,4,FALSE)&amp;" AS "&amp;VLOOKUP(B231,'0. Instruções'!$C$27:$G$32,4,FALSE)&amp;"_SIMUL, "&amp;F231&amp;" AS "&amp;F231&amp;"_SIMUL FROM "&amp;E231&amp;" WHERE "&amp;'0. Instruções'!$D$43&amp;")Y"</f>
        <v>(SELECT instrmnt_id AS instrmnt_id_SIMUL, PD_IFRS9_12M_RD_T1 AS PD_IFRS9_12M_RD_T1_SIMUL FROM BU_LOANTAPE_WORK.LT002_INSTRUMENT WHERE ref_date='${ref_date}' AND nome_perimetro='Individual Corporativo' AND segmento='ESTR' AND ambito='PM' AND entidade='00100')Y</v>
      </c>
      <c r="K231" s="35" t="str">
        <f>+UPPER("ON X."&amp;VLOOKUP(B231,'0. Instruções'!$C$27:$G$32,4,FALSE)&amp;"=Y."&amp;VLOOKUP(B231,'0. Instruções'!$C$27:$G$32,4,FALSE)&amp;"_SIMUL")</f>
        <v>ON X.INSTRMNT_ID=Y.INSTRMNT_ID_SIMUL</v>
      </c>
      <c r="L231" s="35" t="str">
        <f>+IF(C231="Coerência", +IF(LEFT(G231,5)="FLOAT","SELECT '"&amp;UPPER(B231)&amp;"' AS TABELA, '"&amp;UPPER(C231)&amp;"' AS TIPOLOGIA_TESTE,'"&amp;D231&amp;"' AS TABELA_LT,'"&amp;E231&amp;"' AS TABELA_SIMUL,'"&amp;F231&amp;"' AS CAMPO, "&amp;"'${ref_date}' AS REF_DATE, COUNT(*) AS NUM_REG, SUM(IF((ABS(COALESCE(CAST(X."&amp;F231&amp;" AS DECIMAL(18,6)),0)-COALESCE(CAST(Y."&amp;F231&amp;"_SIMUL AS DECIMAL(18,6)),0))&gt;0.000001) OR (X."&amp;F231&amp;" IS NULL AND Y."&amp;F231&amp;"_SIMUL IS NOT NULL ) OR (X."&amp;F231&amp;" IS NOT NULL AND Y."&amp;F231&amp;"_SIMUL IS NULL),1,0)) AS NUM_REG_DIF,'"&amp;MAX('ID1&amp;5'!K:K)+1&amp;"' AS ID_EXEC, CURRENT_TIMESTAMP() AS TIME_EXEC FROM "&amp;I231&amp;" INNER JOIN "&amp;J231&amp;" "&amp;K231,"SELECT '"&amp;UPPER(B231)&amp;"' AS TABELA, '"&amp;UPPER(C231)&amp;"' AS TIPOLOGIA_TESTE,'"&amp;D231&amp;"' AS TABELA_LT,'"&amp;E231&amp;"' AS TABELA_SIMUL,'"&amp;F231&amp;"' AS CAMPO, "&amp;"'${ref_date}' AS REF_DATE, COUNT(*) AS NUM_REG, SUM(IF(COALESCE(CAST(X."&amp;F231&amp;" AS STRING),'')&lt;&gt;COALESCE(CAST(Y."&amp;F231&amp;"_SIMUL AS STRING),'') OR (X."&amp;F231&amp;" IS NULL AND Y."&amp;F231&amp;"_SIMUL IS NOT NULL ) OR (X."&amp;F231&amp;" IS NOT NULL AND Y."&amp;F231&amp;"_SIMUL IS NULL),1,0)) AS NUM_REG_DIF,'"&amp;MAX('ID1&amp;5'!L:L)+1&amp;"' AS ID_EXEC, CURRENT_TIMESTAMP() AS TIME_EXEC FROM "&amp;I231&amp;" INNER JOIN "&amp;J231&amp;" "&amp;K231),
IF(C231="Validade",+IF(G231="Code List","SELECT '"&amp;UPPER(B231)&amp;"' AS TABELA, '"&amp;UPPER(C231)&amp;"' AS TIPOLOGIA_TESTE,'"&amp;D231&amp;"' AS TABELA_LT,'N/A' AS TABELA_SIMUL,'"&amp;F231&amp;"' AS CAMPO, "&amp;"'${ref_date}' AS REF_DATE, COUNT(*) AS NUM_REG, SUM(IF(TRIM(CAST(X."&amp;F231&amp;" AS STRING))='' OR TRIM(CAST(X."&amp;F231&amp;" AS STRING)) IS NULL OR CAST(X."&amp;F231&amp;" AS STRING) NOT "&amp;H231&amp;",1,0)) AS NUM_REG_DIF,'"&amp;MAX('ID1&amp;5'!K:K)+1&amp;"' AS ID_EXEC, CURRENT_TIMESTAMP() AS TIME_EXEC FROM "&amp;I231,"SELECT '"&amp;UPPER(B231)&amp;"' AS TABELA, '"&amp;UPPER(C231)&amp;"' AS TIPOLOGIA_TESTE,'"&amp;D231&amp;"' AS TABELA_LT,'N/A' AS TABELA_SIMUL,'"&amp;F231&amp;"' AS CAMPO, "&amp;"'${ref_date}' AS REF_DATE, COUNT(*) AS NUM_REG, SUM(IF(TRIM(CAST(X."&amp;F231&amp;" AS STRING))='' OR TRIM(CAST(X."&amp;F231&amp;" AS STRING)) IS NULL,1,0)) AS NUM_REG_DIF,'"&amp;MAX('ID1&amp;5'!K:K)+1&amp;"' AS ID_EXEC, CURRENT_TIMESTAMP() AS TIME_EXEC FROM "&amp;I231),
IF(C231="Caracteres Especiais",+"SELECT '"&amp;UPPER(B231)&amp;"' AS TABELA, '"&amp;UPPER(C231)&amp;"' AS TIPOLOGIA_TESTE,'"&amp;D231&amp;"' AS TABELA_LT,'N/A' AS TABELA_SIMUL,'"&amp;F231&amp;"' AS CAMPO, "&amp;"'${ref_date}' AS REF_DATE, COUNT(*) AS NUM_REG, SUM(IF(REGEXP_REPLACE(TRIM(CAST(X."&amp;F231&amp;" AS STRING)),'[^a-zA-Z0-9_\\s]','') &lt;&gt;TRIM(CAST(X."&amp;F231&amp;" AS STRING)),1,0)) AS NUM_REG_DIF,'"&amp;MAX('ID1&amp;5'!K:K)+1&amp;"' AS ID_EXEC, CURRENT_TIMESTAMP() AS TIME_EXEC FROM "&amp;I231,
IF(C231="Missings",+"SELECT '"&amp;UPPER(B231)&amp;"' AS TABELA, '"&amp;UPPER(C231)&amp;"' AS TIPOLOGIA_TESTE,'"&amp;D231&amp;"' AS TABELA_LT,'N/A' AS TABELA_SIMUL,'"&amp;F231&amp;"' AS CAMPO, "&amp;"'${ref_date}' AS REF_DATE, COUNT(*) AS NUM_REG, SUM(IF(TRIM(CAST(X."&amp;F231&amp;" AS STRING)) IN ('0000-00-00','0001-01-01','9999-12-31','MISS','00000','99999999999','99999999999.00','99999999999.000000'),1,0)) AS NUM_REG_DIF,'"&amp;MAX('ID1&amp;5'!K:K)+1&amp;"' AS ID_EXEC, CURRENT_TIMESTAMP() AS TIME_EXEC FROM "&amp;I231,
IF(C231="Not applicable",+"SELECT '"&amp;UPPER(B231)&amp;"' AS TABELA, '"&amp;UPPER(C231)&amp;"' AS TIPOLOGIA_TESTE,'"&amp;D231&amp;"' AS TABELA_LT,'N/A' AS TABELA_SIMUL,'"&amp;F231&amp;"' AS CAMPO, "&amp;"'${ref_date}' AS REF_DATE, COUNT(*) AS NUM_REG, SUM(IF(TRIM(CAST(X."&amp;F231&amp;" AS STRING)) IN ('N/A','11111111111','11111111111.00','11111111111.000000','1111-11-11'),1,0)) AS NUM_REG_DIF,'"&amp;MAX('ID1&amp;5'!K:K)+1&amp;"' AS ID_EXEC, CURRENT_TIMESTAMP() AS TIME_EXEC FROM "&amp;I231,
IF(C231="Valores extremos",+"SELECT '"&amp;UPPER(B231)&amp;"' AS TABELA, '"&amp;UPPER(C231)&amp;"' AS TIPOLOGIA_TESTE,'"&amp;D231&amp;"' AS TABELA_LT,'N/A' AS TABELA_SIMUL,'"&amp;F231&amp;"' AS CAMPO, "&amp;"'${ref_date}' AS REF_DATE, CAST(MIN("&amp;F231&amp;") AS STRING) AS VALOR_MIN, CAST(MAX("&amp;F231&amp;") AS STRING) AS VALOR_MAX,'"&amp;MAX('ID1&amp;5'!K:K)+1&amp;"' AS ID_EXEC, CURRENT_TIMESTAMP() AS TIME_EXEC FROM "&amp;MID(I231,1,LEN(I231)-2)&amp;" AND CAST("&amp;F231&amp;"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TABELA_SIMUL,'PD_IFRS9_12M_RD_T1' AS CAMPO, '${ref_date}' AS REF_DATE, COUNT(*) AS NUM_REG, SUM(IF(COALESCE(CAST(X.PD_IFRS9_12M_RD_T1 AS STRING),'')&lt;&gt;COALESCE(CAST(Y.PD_IFRS9_12M_RD_T1_SIMUL AS STRING),'') OR (X.PD_IFRS9_12M_RD_T1 IS NULL AND Y.PD_IFRS9_12M_RD_T1_SIMUL IS NOT NULL ) OR (X.PD_IFRS9_12M_RD_T1 IS NOT NULL AND Y.PD_IFRS9_12M_RD_T1_SIMUL IS NULL),1,0)) AS NUM_REG_DIF,'1' AS ID_EXEC, CURRENT_TIMESTAMP() AS TIME_EXEC FROM (SELECT instrmnt_id, PD_IFRS9_12M_RD_T1 FROM CD_LOAN_TAPES_BCE.LT002_INSTRUMENT WHERE ref_date='${ref_date}' AND nome_perimetro='Individual Corporativo' AND segmento='ESTR' AND ambito='PM' AND entidade='00100')X INNER JOIN (SELECT instrmnt_id AS instrmnt_id_SIMUL, PD_IFRS9_12M_RD_T1 AS PD_IFRS9_12M_RD_T1_SIMUL FROM BU_LOANTAPE_WORK.LT002_INSTRUMENT WHERE ref_date='${ref_date}' AND nome_perimetro='Individual Corporativo' AND segmento='ESTR' AND ambito='PM' AND entidade='00100')Y ON X.INSTRMNT_ID=Y.INSTRMNT_ID_SIMUL</v>
      </c>
      <c r="M231" s="36" t="str">
        <f t="shared" si="3"/>
        <v>UNION ALL SELECT 'INSTRUMENT' AS TABELA, 'COERÊNCIA' AS TIPOLOGIA_TESTE,'CD_LOAN_TAPES_BCE.LT002_INSTRUMENT' AS TABELA_LT,'BU_LOANTAPE_WORK.LT002_INSTRUMENT' AS TABELA_SIMUL,'PD_IFRS9_12M_RD_T1' AS CAMPO, '${ref_date}' AS REF_DATE, COUNT(*) AS NUM_REG, SUM(IF(COALESCE(CAST(X.PD_IFRS9_12M_RD_T1 AS STRING),'')&lt;&gt;COALESCE(CAST(Y.PD_IFRS9_12M_RD_T1_SIMUL AS STRING),'') OR (X.PD_IFRS9_12M_RD_T1 IS NULL AND Y.PD_IFRS9_12M_RD_T1_SIMUL IS NOT NULL ) OR (X.PD_IFRS9_12M_RD_T1 IS NOT NULL AND Y.PD_IFRS9_12M_RD_T1_SIMUL IS NULL),1,0)) AS NUM_REG_DIF,'1' AS ID_EXEC, CURRENT_TIMESTAMP() AS TIME_EXEC FROM (SELECT instrmnt_id, PD_IFRS9_12M_RD_T1 FROM CD_LOAN_TAPES_BCE.LT002_INSTRUMENT WHERE ref_date='${ref_date}' AND nome_perimetro='Individual Corporativo' AND segmento='ESTR' AND ambito='PM' AND entidade='00100')X INNER JOIN (SELECT instrmnt_id AS instrmnt_id_SIMUL, PD_IFRS9_12M_RD_T1 AS PD_IFRS9_12M_RD_T1_SIMUL FROM BU_LOANTAPE_WORK.LT002_INSTRUMENT WHERE ref_date='${ref_date}' AND nome_perimetro='Individual Corporativo' AND segmento='ESTR' AND ambito='PM' AND entidade='00100')Y ON X.INSTRMNT_ID=Y.INSTRMNT_ID_SIMUL</v>
      </c>
      <c r="N231" s="38" t="s">
        <v>46</v>
      </c>
    </row>
    <row r="232" spans="2:14" hidden="1">
      <c r="B232" s="34" t="s">
        <v>126</v>
      </c>
      <c r="C232" s="34" t="s">
        <v>5</v>
      </c>
      <c r="D232" s="34" t="str">
        <f>+UPPER('0. Instruções'!$D$35&amp;"."&amp;VLOOKUP(B232,'0. Instruções'!$C$27:$D$32,2,FALSE))</f>
        <v>CD_LOAN_TAPES_BCE.LT002_INSTRUMENT</v>
      </c>
      <c r="E232" s="34" t="str">
        <f>+UPPER('0. Instruções'!$D$36&amp;"."&amp;VLOOKUP(B232,'0. Instruções'!$C$27:$E$32,3,FALSE))</f>
        <v>BU_LOANTAPE_WORK.LT002_INSTRUMENT</v>
      </c>
      <c r="F232" s="34" t="s">
        <v>516</v>
      </c>
      <c r="G232" s="34"/>
      <c r="H232" s="34" t="s">
        <v>91</v>
      </c>
      <c r="I232" s="34" t="str">
        <f>"(SELECT "&amp;VLOOKUP(B232,'0. Instruções'!$C$27:$G$32,4,FALSE)&amp;", "&amp;F232&amp;" FROM "&amp;D232&amp;" WHERE "&amp;'0. Instruções'!$D$42&amp;")X"</f>
        <v>(SELECT instrmnt_id, PD_IFRS9_LFTM_INCPTN FROM CD_LOAN_TAPES_BCE.LT002_INSTRUMENT WHERE ref_date='${ref_date}' AND nome_perimetro='Individual Corporativo' AND segmento='ESTR' AND ambito='PM' AND entidade='00100')X</v>
      </c>
      <c r="J232" s="34" t="str">
        <f>"(SELECT "&amp;VLOOKUP(B232,'0. Instruções'!$C$27:$G$32,4,FALSE)&amp;" AS "&amp;VLOOKUP(B232,'0. Instruções'!$C$27:$G$32,4,FALSE)&amp;"_SIMUL, "&amp;F232&amp;" AS "&amp;F232&amp;"_SIMUL FROM "&amp;E232&amp;" WHERE "&amp;'0. Instruções'!$D$43&amp;")Y"</f>
        <v>(SELECT instrmnt_id AS instrmnt_id_SIMUL, PD_IFRS9_LFTM_INCPTN AS PD_IFRS9_LFTM_INCPTN_SIMUL FROM BU_LOANTAPE_WORK.LT002_INSTRUMENT WHERE ref_date='${ref_date}' AND nome_perimetro='Individual Corporativo' AND segmento='ESTR' AND ambito='PM' AND entidade='00100')Y</v>
      </c>
      <c r="K232" s="35" t="str">
        <f>+UPPER("ON X."&amp;VLOOKUP(B232,'0. Instruções'!$C$27:$G$32,4,FALSE)&amp;"=Y."&amp;VLOOKUP(B232,'0. Instruções'!$C$27:$G$32,4,FALSE)&amp;"_SIMUL")</f>
        <v>ON X.INSTRMNT_ID=Y.INSTRMNT_ID_SIMUL</v>
      </c>
      <c r="L232" s="35" t="str">
        <f>+IF(C232="Coerência", +IF(LEFT(G232,5)="FLOAT","SELECT '"&amp;UPPER(B232)&amp;"' AS TABELA, '"&amp;UPPER(C232)&amp;"' AS TIPOLOGIA_TESTE,'"&amp;D232&amp;"' AS TABELA_LT,'"&amp;E232&amp;"' AS TABELA_SIMUL,'"&amp;F232&amp;"' AS CAMPO, "&amp;"'${ref_date}' AS REF_DATE, COUNT(*) AS NUM_REG, SUM(IF((ABS(COALESCE(CAST(X."&amp;F232&amp;" AS DECIMAL(18,6)),0)-COALESCE(CAST(Y."&amp;F232&amp;"_SIMUL AS DECIMAL(18,6)),0))&gt;0.000001) OR (X."&amp;F232&amp;" IS NULL AND Y."&amp;F232&amp;"_SIMUL IS NOT NULL ) OR (X."&amp;F232&amp;" IS NOT NULL AND Y."&amp;F232&amp;"_SIMUL IS NULL),1,0)) AS NUM_REG_DIF,'"&amp;MAX('ID1&amp;5'!K:K)+1&amp;"' AS ID_EXEC, CURRENT_TIMESTAMP() AS TIME_EXEC FROM "&amp;I232&amp;" INNER JOIN "&amp;J232&amp;" "&amp;K232,"SELECT '"&amp;UPPER(B232)&amp;"' AS TABELA, '"&amp;UPPER(C232)&amp;"' AS TIPOLOGIA_TESTE,'"&amp;D232&amp;"' AS TABELA_LT,'"&amp;E232&amp;"' AS TABELA_SIMUL,'"&amp;F232&amp;"' AS CAMPO, "&amp;"'${ref_date}' AS REF_DATE, COUNT(*) AS NUM_REG, SUM(IF(COALESCE(CAST(X."&amp;F232&amp;" AS STRING),'')&lt;&gt;COALESCE(CAST(Y."&amp;F232&amp;"_SIMUL AS STRING),'') OR (X."&amp;F232&amp;" IS NULL AND Y."&amp;F232&amp;"_SIMUL IS NOT NULL ) OR (X."&amp;F232&amp;" IS NOT NULL AND Y."&amp;F232&amp;"_SIMUL IS NULL),1,0)) AS NUM_REG_DIF,'"&amp;MAX('ID1&amp;5'!L:L)+1&amp;"' AS ID_EXEC, CURRENT_TIMESTAMP() AS TIME_EXEC FROM "&amp;I232&amp;" INNER JOIN "&amp;J232&amp;" "&amp;K232),
IF(C232="Validade",+IF(G232="Code List","SELECT '"&amp;UPPER(B232)&amp;"' AS TABELA, '"&amp;UPPER(C232)&amp;"' AS TIPOLOGIA_TESTE,'"&amp;D232&amp;"' AS TABELA_LT,'N/A' AS TABELA_SIMUL,'"&amp;F232&amp;"' AS CAMPO, "&amp;"'${ref_date}' AS REF_DATE, COUNT(*) AS NUM_REG, SUM(IF(TRIM(CAST(X."&amp;F232&amp;" AS STRING))='' OR TRIM(CAST(X."&amp;F232&amp;" AS STRING)) IS NULL OR CAST(X."&amp;F232&amp;" AS STRING) NOT "&amp;H232&amp;",1,0)) AS NUM_REG_DIF,'"&amp;MAX('ID1&amp;5'!K:K)+1&amp;"' AS ID_EXEC, CURRENT_TIMESTAMP() AS TIME_EXEC FROM "&amp;I232,"SELECT '"&amp;UPPER(B232)&amp;"' AS TABELA, '"&amp;UPPER(C232)&amp;"' AS TIPOLOGIA_TESTE,'"&amp;D232&amp;"' AS TABELA_LT,'N/A' AS TABELA_SIMUL,'"&amp;F232&amp;"' AS CAMPO, "&amp;"'${ref_date}' AS REF_DATE, COUNT(*) AS NUM_REG, SUM(IF(TRIM(CAST(X."&amp;F232&amp;" AS STRING))='' OR TRIM(CAST(X."&amp;F232&amp;" AS STRING)) IS NULL,1,0)) AS NUM_REG_DIF,'"&amp;MAX('ID1&amp;5'!K:K)+1&amp;"' AS ID_EXEC, CURRENT_TIMESTAMP() AS TIME_EXEC FROM "&amp;I232),
IF(C232="Caracteres Especiais",+"SELECT '"&amp;UPPER(B232)&amp;"' AS TABELA, '"&amp;UPPER(C232)&amp;"' AS TIPOLOGIA_TESTE,'"&amp;D232&amp;"' AS TABELA_LT,'N/A' AS TABELA_SIMUL,'"&amp;F232&amp;"' AS CAMPO, "&amp;"'${ref_date}' AS REF_DATE, COUNT(*) AS NUM_REG, SUM(IF(REGEXP_REPLACE(TRIM(CAST(X."&amp;F232&amp;" AS STRING)),'[^a-zA-Z0-9_\\s]','') &lt;&gt;TRIM(CAST(X."&amp;F232&amp;" AS STRING)),1,0)) AS NUM_REG_DIF,'"&amp;MAX('ID1&amp;5'!K:K)+1&amp;"' AS ID_EXEC, CURRENT_TIMESTAMP() AS TIME_EXEC FROM "&amp;I232,
IF(C232="Missings",+"SELECT '"&amp;UPPER(B232)&amp;"' AS TABELA, '"&amp;UPPER(C232)&amp;"' AS TIPOLOGIA_TESTE,'"&amp;D232&amp;"' AS TABELA_LT,'N/A' AS TABELA_SIMUL,'"&amp;F232&amp;"' AS CAMPO, "&amp;"'${ref_date}' AS REF_DATE, COUNT(*) AS NUM_REG, SUM(IF(TRIM(CAST(X."&amp;F232&amp;" AS STRING)) IN ('0000-00-00','0001-01-01','9999-12-31','MISS','00000','99999999999','99999999999.00','99999999999.000000'),1,0)) AS NUM_REG_DIF,'"&amp;MAX('ID1&amp;5'!K:K)+1&amp;"' AS ID_EXEC, CURRENT_TIMESTAMP() AS TIME_EXEC FROM "&amp;I232,
IF(C232="Not applicable",+"SELECT '"&amp;UPPER(B232)&amp;"' AS TABELA, '"&amp;UPPER(C232)&amp;"' AS TIPOLOGIA_TESTE,'"&amp;D232&amp;"' AS TABELA_LT,'N/A' AS TABELA_SIMUL,'"&amp;F232&amp;"' AS CAMPO, "&amp;"'${ref_date}' AS REF_DATE, COUNT(*) AS NUM_REG, SUM(IF(TRIM(CAST(X."&amp;F232&amp;" AS STRING)) IN ('N/A','11111111111','11111111111.00','11111111111.000000','1111-11-11'),1,0)) AS NUM_REG_DIF,'"&amp;MAX('ID1&amp;5'!K:K)+1&amp;"' AS ID_EXEC, CURRENT_TIMESTAMP() AS TIME_EXEC FROM "&amp;I232,
IF(C232="Valores extremos",+"SELECT '"&amp;UPPER(B232)&amp;"' AS TABELA, '"&amp;UPPER(C232)&amp;"' AS TIPOLOGIA_TESTE,'"&amp;D232&amp;"' AS TABELA_LT,'N/A' AS TABELA_SIMUL,'"&amp;F232&amp;"' AS CAMPO, "&amp;"'${ref_date}' AS REF_DATE, CAST(MIN("&amp;F232&amp;") AS STRING) AS VALOR_MIN, CAST(MAX("&amp;F232&amp;") AS STRING) AS VALOR_MAX,'"&amp;MAX('ID1&amp;5'!K:K)+1&amp;"' AS ID_EXEC, CURRENT_TIMESTAMP() AS TIME_EXEC FROM "&amp;MID(I232,1,LEN(I232)-2)&amp;" AND CAST("&amp;F232&amp;"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TABELA_SIMUL,'PD_IFRS9_LFTM_INCPTN' AS CAMPO, '${ref_date}' AS REF_DATE, COUNT(*) AS NUM_REG, SUM(IF(COALESCE(CAST(X.PD_IFRS9_LFTM_INCPTN AS STRING),'')&lt;&gt;COALESCE(CAST(Y.PD_IFRS9_LFTM_INCPTN_SIMUL AS STRING),'') OR (X.PD_IFRS9_LFTM_INCPTN IS NULL AND Y.PD_IFRS9_LFTM_INCPTN_SIMUL IS NOT NULL ) OR (X.PD_IFRS9_LFTM_INCPTN IS NOT NULL AND Y.PD_IFRS9_LFTM_INCPTN_SIMUL IS NULL),1,0)) AS NUM_REG_DIF,'1' AS ID_EXEC, CURRENT_TIMESTAMP() AS TIME_EXEC FROM (SELECT instrmnt_id, PD_IFRS9_LFTM_INCPTN FROM CD_LOAN_TAPES_BCE.LT002_INSTRUMENT WHERE ref_date='${ref_date}' AND nome_perimetro='Individual Corporativo' AND segmento='ESTR' AND ambito='PM' AND entidade='00100')X INNER JOIN (SELECT instrmnt_id AS instrmnt_id_SIMUL, PD_IFRS9_LFTM_INCPTN AS PD_IFRS9_LFTM_INCPTN_SIMUL FROM BU_LOANTAPE_WORK.LT002_INSTRUMENT WHERE ref_date='${ref_date}' AND nome_perimetro='Individual Corporativo' AND segmento='ESTR' AND ambito='PM' AND entidade='00100')Y ON X.INSTRMNT_ID=Y.INSTRMNT_ID_SIMUL</v>
      </c>
      <c r="M232" s="36" t="str">
        <f t="shared" si="3"/>
        <v>UNION ALL SELECT 'INSTRUMENT' AS TABELA, 'COERÊNCIA' AS TIPOLOGIA_TESTE,'CD_LOAN_TAPES_BCE.LT002_INSTRUMENT' AS TABELA_LT,'BU_LOANTAPE_WORK.LT002_INSTRUMENT' AS TABELA_SIMUL,'PD_IFRS9_LFTM_INCPTN' AS CAMPO, '${ref_date}' AS REF_DATE, COUNT(*) AS NUM_REG, SUM(IF(COALESCE(CAST(X.PD_IFRS9_LFTM_INCPTN AS STRING),'')&lt;&gt;COALESCE(CAST(Y.PD_IFRS9_LFTM_INCPTN_SIMUL AS STRING),'') OR (X.PD_IFRS9_LFTM_INCPTN IS NULL AND Y.PD_IFRS9_LFTM_INCPTN_SIMUL IS NOT NULL ) OR (X.PD_IFRS9_LFTM_INCPTN IS NOT NULL AND Y.PD_IFRS9_LFTM_INCPTN_SIMUL IS NULL),1,0)) AS NUM_REG_DIF,'1' AS ID_EXEC, CURRENT_TIMESTAMP() AS TIME_EXEC FROM (SELECT instrmnt_id, PD_IFRS9_LFTM_INCPTN FROM CD_LOAN_TAPES_BCE.LT002_INSTRUMENT WHERE ref_date='${ref_date}' AND nome_perimetro='Individual Corporativo' AND segmento='ESTR' AND ambito='PM' AND entidade='00100')X INNER JOIN (SELECT instrmnt_id AS instrmnt_id_SIMUL, PD_IFRS9_LFTM_INCPTN AS PD_IFRS9_LFTM_INCPTN_SIMUL FROM BU_LOANTAPE_WORK.LT002_INSTRUMENT WHERE ref_date='${ref_date}' AND nome_perimetro='Individual Corporativo' AND segmento='ESTR' AND ambito='PM' AND entidade='00100')Y ON X.INSTRMNT_ID=Y.INSTRMNT_ID_SIMUL</v>
      </c>
      <c r="N232" s="38" t="s">
        <v>46</v>
      </c>
    </row>
    <row r="233" spans="2:14" hidden="1">
      <c r="B233" s="34" t="s">
        <v>126</v>
      </c>
      <c r="C233" s="34" t="s">
        <v>5</v>
      </c>
      <c r="D233" s="34" t="str">
        <f>+UPPER('0. Instruções'!$D$35&amp;"."&amp;VLOOKUP(B233,'0. Instruções'!$C$27:$D$32,2,FALSE))</f>
        <v>CD_LOAN_TAPES_BCE.LT002_INSTRUMENT</v>
      </c>
      <c r="E233" s="34" t="str">
        <f>+UPPER('0. Instruções'!$D$36&amp;"."&amp;VLOOKUP(B233,'0. Instruções'!$C$27:$E$32,3,FALSE))</f>
        <v>BU_LOANTAPE_WORK.LT002_INSTRUMENT</v>
      </c>
      <c r="F233" s="34" t="s">
        <v>517</v>
      </c>
      <c r="G233" s="34"/>
      <c r="H233" s="34" t="s">
        <v>91</v>
      </c>
      <c r="I233" s="34" t="str">
        <f>"(SELECT "&amp;VLOOKUP(B233,'0. Instruções'!$C$27:$G$32,4,FALSE)&amp;", "&amp;F233&amp;" FROM "&amp;D233&amp;" WHERE "&amp;'0. Instruções'!$D$42&amp;")X"</f>
        <v>(SELECT instrmnt_id, PD_IFRS9_RMNNG_LFTM_INCPTN FROM CD_LOAN_TAPES_BCE.LT002_INSTRUMENT WHERE ref_date='${ref_date}' AND nome_perimetro='Individual Corporativo' AND segmento='ESTR' AND ambito='PM' AND entidade='00100')X</v>
      </c>
      <c r="J233" s="34" t="str">
        <f>"(SELECT "&amp;VLOOKUP(B233,'0. Instruções'!$C$27:$G$32,4,FALSE)&amp;" AS "&amp;VLOOKUP(B233,'0. Instruções'!$C$27:$G$32,4,FALSE)&amp;"_SIMUL, "&amp;F233&amp;" AS "&amp;F233&amp;"_SIMUL FROM "&amp;E233&amp;" WHERE "&amp;'0. Instruções'!$D$43&amp;")Y"</f>
        <v>(SELECT instrmnt_id AS instrmnt_id_SIMUL, PD_IFRS9_RMNNG_LFTM_INCPTN AS PD_IFRS9_RMNNG_LFTM_INCPTN_SIMUL FROM BU_LOANTAPE_WORK.LT002_INSTRUMENT WHERE ref_date='${ref_date}' AND nome_perimetro='Individual Corporativo' AND segmento='ESTR' AND ambito='PM' AND entidade='00100')Y</v>
      </c>
      <c r="K233" s="35" t="str">
        <f>+UPPER("ON X."&amp;VLOOKUP(B233,'0. Instruções'!$C$27:$G$32,4,FALSE)&amp;"=Y."&amp;VLOOKUP(B233,'0. Instruções'!$C$27:$G$32,4,FALSE)&amp;"_SIMUL")</f>
        <v>ON X.INSTRMNT_ID=Y.INSTRMNT_ID_SIMUL</v>
      </c>
      <c r="L233" s="35" t="str">
        <f>+IF(C233="Coerência", +IF(LEFT(G233,5)="FLOAT","SELECT '"&amp;UPPER(B233)&amp;"' AS TABELA, '"&amp;UPPER(C233)&amp;"' AS TIPOLOGIA_TESTE,'"&amp;D233&amp;"' AS TABELA_LT,'"&amp;E233&amp;"' AS TABELA_SIMUL,'"&amp;F233&amp;"' AS CAMPO, "&amp;"'${ref_date}' AS REF_DATE, COUNT(*) AS NUM_REG, SUM(IF((ABS(COALESCE(CAST(X."&amp;F233&amp;" AS DECIMAL(18,6)),0)-COALESCE(CAST(Y."&amp;F233&amp;"_SIMUL AS DECIMAL(18,6)),0))&gt;0.000001) OR (X."&amp;F233&amp;" IS NULL AND Y."&amp;F233&amp;"_SIMUL IS NOT NULL ) OR (X."&amp;F233&amp;" IS NOT NULL AND Y."&amp;F233&amp;"_SIMUL IS NULL),1,0)) AS NUM_REG_DIF,'"&amp;MAX('ID1&amp;5'!K:K)+1&amp;"' AS ID_EXEC, CURRENT_TIMESTAMP() AS TIME_EXEC FROM "&amp;I233&amp;" INNER JOIN "&amp;J233&amp;" "&amp;K233,"SELECT '"&amp;UPPER(B233)&amp;"' AS TABELA, '"&amp;UPPER(C233)&amp;"' AS TIPOLOGIA_TESTE,'"&amp;D233&amp;"' AS TABELA_LT,'"&amp;E233&amp;"' AS TABELA_SIMUL,'"&amp;F233&amp;"' AS CAMPO, "&amp;"'${ref_date}' AS REF_DATE, COUNT(*) AS NUM_REG, SUM(IF(COALESCE(CAST(X."&amp;F233&amp;" AS STRING),'')&lt;&gt;COALESCE(CAST(Y."&amp;F233&amp;"_SIMUL AS STRING),'') OR (X."&amp;F233&amp;" IS NULL AND Y."&amp;F233&amp;"_SIMUL IS NOT NULL ) OR (X."&amp;F233&amp;" IS NOT NULL AND Y."&amp;F233&amp;"_SIMUL IS NULL),1,0)) AS NUM_REG_DIF,'"&amp;MAX('ID1&amp;5'!L:L)+1&amp;"' AS ID_EXEC, CURRENT_TIMESTAMP() AS TIME_EXEC FROM "&amp;I233&amp;" INNER JOIN "&amp;J233&amp;" "&amp;K233),
IF(C233="Validade",+IF(G233="Code List","SELECT '"&amp;UPPER(B233)&amp;"' AS TABELA, '"&amp;UPPER(C233)&amp;"' AS TIPOLOGIA_TESTE,'"&amp;D233&amp;"' AS TABELA_LT,'N/A' AS TABELA_SIMUL,'"&amp;F233&amp;"' AS CAMPO, "&amp;"'${ref_date}' AS REF_DATE, COUNT(*) AS NUM_REG, SUM(IF(TRIM(CAST(X."&amp;F233&amp;" AS STRING))='' OR TRIM(CAST(X."&amp;F233&amp;" AS STRING)) IS NULL OR CAST(X."&amp;F233&amp;" AS STRING) NOT "&amp;H233&amp;",1,0)) AS NUM_REG_DIF,'"&amp;MAX('ID1&amp;5'!K:K)+1&amp;"' AS ID_EXEC, CURRENT_TIMESTAMP() AS TIME_EXEC FROM "&amp;I233,"SELECT '"&amp;UPPER(B233)&amp;"' AS TABELA, '"&amp;UPPER(C233)&amp;"' AS TIPOLOGIA_TESTE,'"&amp;D233&amp;"' AS TABELA_LT,'N/A' AS TABELA_SIMUL,'"&amp;F233&amp;"' AS CAMPO, "&amp;"'${ref_date}' AS REF_DATE, COUNT(*) AS NUM_REG, SUM(IF(TRIM(CAST(X."&amp;F233&amp;" AS STRING))='' OR TRIM(CAST(X."&amp;F233&amp;" AS STRING)) IS NULL,1,0)) AS NUM_REG_DIF,'"&amp;MAX('ID1&amp;5'!K:K)+1&amp;"' AS ID_EXEC, CURRENT_TIMESTAMP() AS TIME_EXEC FROM "&amp;I233),
IF(C233="Caracteres Especiais",+"SELECT '"&amp;UPPER(B233)&amp;"' AS TABELA, '"&amp;UPPER(C233)&amp;"' AS TIPOLOGIA_TESTE,'"&amp;D233&amp;"' AS TABELA_LT,'N/A' AS TABELA_SIMUL,'"&amp;F233&amp;"' AS CAMPO, "&amp;"'${ref_date}' AS REF_DATE, COUNT(*) AS NUM_REG, SUM(IF(REGEXP_REPLACE(TRIM(CAST(X."&amp;F233&amp;" AS STRING)),'[^a-zA-Z0-9_\\s]','') &lt;&gt;TRIM(CAST(X."&amp;F233&amp;" AS STRING)),1,0)) AS NUM_REG_DIF,'"&amp;MAX('ID1&amp;5'!K:K)+1&amp;"' AS ID_EXEC, CURRENT_TIMESTAMP() AS TIME_EXEC FROM "&amp;I233,
IF(C233="Missings",+"SELECT '"&amp;UPPER(B233)&amp;"' AS TABELA, '"&amp;UPPER(C233)&amp;"' AS TIPOLOGIA_TESTE,'"&amp;D233&amp;"' AS TABELA_LT,'N/A' AS TABELA_SIMUL,'"&amp;F233&amp;"' AS CAMPO, "&amp;"'${ref_date}' AS REF_DATE, COUNT(*) AS NUM_REG, SUM(IF(TRIM(CAST(X."&amp;F233&amp;" AS STRING)) IN ('0000-00-00','0001-01-01','9999-12-31','MISS','00000','99999999999','99999999999.00','99999999999.000000'),1,0)) AS NUM_REG_DIF,'"&amp;MAX('ID1&amp;5'!K:K)+1&amp;"' AS ID_EXEC, CURRENT_TIMESTAMP() AS TIME_EXEC FROM "&amp;I233,
IF(C233="Not applicable",+"SELECT '"&amp;UPPER(B233)&amp;"' AS TABELA, '"&amp;UPPER(C233)&amp;"' AS TIPOLOGIA_TESTE,'"&amp;D233&amp;"' AS TABELA_LT,'N/A' AS TABELA_SIMUL,'"&amp;F233&amp;"' AS CAMPO, "&amp;"'${ref_date}' AS REF_DATE, COUNT(*) AS NUM_REG, SUM(IF(TRIM(CAST(X."&amp;F233&amp;" AS STRING)) IN ('N/A','11111111111','11111111111.00','11111111111.000000','1111-11-11'),1,0)) AS NUM_REG_DIF,'"&amp;MAX('ID1&amp;5'!K:K)+1&amp;"' AS ID_EXEC, CURRENT_TIMESTAMP() AS TIME_EXEC FROM "&amp;I233,
IF(C233="Valores extremos",+"SELECT '"&amp;UPPER(B233)&amp;"' AS TABELA, '"&amp;UPPER(C233)&amp;"' AS TIPOLOGIA_TESTE,'"&amp;D233&amp;"' AS TABELA_LT,'N/A' AS TABELA_SIMUL,'"&amp;F233&amp;"' AS CAMPO, "&amp;"'${ref_date}' AS REF_DATE, CAST(MIN("&amp;F233&amp;") AS STRING) AS VALOR_MIN, CAST(MAX("&amp;F233&amp;") AS STRING) AS VALOR_MAX,'"&amp;MAX('ID1&amp;5'!K:K)+1&amp;"' AS ID_EXEC, CURRENT_TIMESTAMP() AS TIME_EXEC FROM "&amp;MID(I233,1,LEN(I233)-2)&amp;" AND CAST("&amp;F233&amp;"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TABELA_SIMUL,'PD_IFRS9_RMNNG_LFTM_INCPTN' AS CAMPO, '${ref_date}' AS REF_DATE, COUNT(*) AS NUM_REG, SUM(IF(COALESCE(CAST(X.PD_IFRS9_RMNNG_LFTM_INCPTN AS STRING),'')&lt;&gt;COALESCE(CAST(Y.PD_IFRS9_RMNNG_LFTM_INCPTN_SIMUL AS STRING),'') OR (X.PD_IFRS9_RMNNG_LFTM_INCPTN IS NULL AND Y.PD_IFRS9_RMNNG_LFTM_INCPTN_SIMUL IS NOT NULL ) OR (X.PD_IFRS9_RMNNG_LFTM_INCPTN IS NOT NULL AND Y.PD_IFRS9_RMNNG_LFTM_INCPTN_SIMUL IS NULL),1,0)) AS NUM_REG_DIF,'1' AS ID_EXEC, CURRENT_TIMESTAMP() AS TIME_EXEC FROM (SELECT instrmnt_id, PD_IFRS9_RMNNG_LFTM_INCPTN FROM CD_LOAN_TAPES_BCE.LT002_INSTRUMENT WHERE ref_date='${ref_date}' AND nome_perimetro='Individual Corporativo' AND segmento='ESTR' AND ambito='PM' AND entidade='00100')X INNER JOIN (SELECT instrmnt_id AS instrmnt_id_SIMUL, PD_IFRS9_RMNNG_LFTM_INCPTN AS PD_IFRS9_RMNNG_LFTM_INCPTN_SIMUL FROM BU_LOANTAPE_WORK.LT002_INSTRUMENT WHERE ref_date='${ref_date}' AND nome_perimetro='Individual Corporativo' AND segmento='ESTR' AND ambito='PM' AND entidade='00100')Y ON X.INSTRMNT_ID=Y.INSTRMNT_ID_SIMUL</v>
      </c>
      <c r="M233" s="36" t="str">
        <f t="shared" si="3"/>
        <v>UNION ALL SELECT 'INSTRUMENT' AS TABELA, 'COERÊNCIA' AS TIPOLOGIA_TESTE,'CD_LOAN_TAPES_BCE.LT002_INSTRUMENT' AS TABELA_LT,'BU_LOANTAPE_WORK.LT002_INSTRUMENT' AS TABELA_SIMUL,'PD_IFRS9_RMNNG_LFTM_INCPTN' AS CAMPO, '${ref_date}' AS REF_DATE, COUNT(*) AS NUM_REG, SUM(IF(COALESCE(CAST(X.PD_IFRS9_RMNNG_LFTM_INCPTN AS STRING),'')&lt;&gt;COALESCE(CAST(Y.PD_IFRS9_RMNNG_LFTM_INCPTN_SIMUL AS STRING),'') OR (X.PD_IFRS9_RMNNG_LFTM_INCPTN IS NULL AND Y.PD_IFRS9_RMNNG_LFTM_INCPTN_SIMUL IS NOT NULL ) OR (X.PD_IFRS9_RMNNG_LFTM_INCPTN IS NOT NULL AND Y.PD_IFRS9_RMNNG_LFTM_INCPTN_SIMUL IS NULL),1,0)) AS NUM_REG_DIF,'1' AS ID_EXEC, CURRENT_TIMESTAMP() AS TIME_EXEC FROM (SELECT instrmnt_id, PD_IFRS9_RMNNG_LFTM_INCPTN FROM CD_LOAN_TAPES_BCE.LT002_INSTRUMENT WHERE ref_date='${ref_date}' AND nome_perimetro='Individual Corporativo' AND segmento='ESTR' AND ambito='PM' AND entidade='00100')X INNER JOIN (SELECT instrmnt_id AS instrmnt_id_SIMUL, PD_IFRS9_RMNNG_LFTM_INCPTN AS PD_IFRS9_RMNNG_LFTM_INCPTN_SIMUL FROM BU_LOANTAPE_WORK.LT002_INSTRUMENT WHERE ref_date='${ref_date}' AND nome_perimetro='Individual Corporativo' AND segmento='ESTR' AND ambito='PM' AND entidade='00100')Y ON X.INSTRMNT_ID=Y.INSTRMNT_ID_SIMUL</v>
      </c>
      <c r="N233" s="38" t="s">
        <v>46</v>
      </c>
    </row>
    <row r="234" spans="2:14" hidden="1">
      <c r="B234" s="34" t="s">
        <v>126</v>
      </c>
      <c r="C234" s="34" t="s">
        <v>5</v>
      </c>
      <c r="D234" s="34" t="str">
        <f>+UPPER('0. Instruções'!$D$35&amp;"."&amp;VLOOKUP(B234,'0. Instruções'!$C$27:$D$32,2,FALSE))</f>
        <v>CD_LOAN_TAPES_BCE.LT002_INSTRUMENT</v>
      </c>
      <c r="E234" s="34" t="str">
        <f>+UPPER('0. Instruções'!$D$36&amp;"."&amp;VLOOKUP(B234,'0. Instruções'!$C$27:$E$32,3,FALSE))</f>
        <v>BU_LOANTAPE_WORK.LT002_INSTRUMENT</v>
      </c>
      <c r="F234" s="34" t="s">
        <v>518</v>
      </c>
      <c r="G234" s="34"/>
      <c r="H234" s="34" t="s">
        <v>91</v>
      </c>
      <c r="I234" s="34" t="str">
        <f>"(SELECT "&amp;VLOOKUP(B234,'0. Instruções'!$C$27:$G$32,4,FALSE)&amp;", "&amp;F234&amp;" FROM "&amp;D234&amp;" WHERE "&amp;'0. Instruções'!$D$42&amp;")X"</f>
        <v>(SELECT instrmnt_id, PD_IFRS9_RMNNG_LFTM_RD FROM CD_LOAN_TAPES_BCE.LT002_INSTRUMENT WHERE ref_date='${ref_date}' AND nome_perimetro='Individual Corporativo' AND segmento='ESTR' AND ambito='PM' AND entidade='00100')X</v>
      </c>
      <c r="J234" s="34" t="str">
        <f>"(SELECT "&amp;VLOOKUP(B234,'0. Instruções'!$C$27:$G$32,4,FALSE)&amp;" AS "&amp;VLOOKUP(B234,'0. Instruções'!$C$27:$G$32,4,FALSE)&amp;"_SIMUL, "&amp;F234&amp;" AS "&amp;F234&amp;"_SIMUL FROM "&amp;E234&amp;" WHERE "&amp;'0. Instruções'!$D$43&amp;")Y"</f>
        <v>(SELECT instrmnt_id AS instrmnt_id_SIMUL, PD_IFRS9_RMNNG_LFTM_RD AS PD_IFRS9_RMNNG_LFTM_RD_SIMUL FROM BU_LOANTAPE_WORK.LT002_INSTRUMENT WHERE ref_date='${ref_date}' AND nome_perimetro='Individual Corporativo' AND segmento='ESTR' AND ambito='PM' AND entidade='00100')Y</v>
      </c>
      <c r="K234" s="35" t="str">
        <f>+UPPER("ON X."&amp;VLOOKUP(B234,'0. Instruções'!$C$27:$G$32,4,FALSE)&amp;"=Y."&amp;VLOOKUP(B234,'0. Instruções'!$C$27:$G$32,4,FALSE)&amp;"_SIMUL")</f>
        <v>ON X.INSTRMNT_ID=Y.INSTRMNT_ID_SIMUL</v>
      </c>
      <c r="L234" s="35" t="str">
        <f>+IF(C234="Coerência", +IF(LEFT(G234,5)="FLOAT","SELECT '"&amp;UPPER(B234)&amp;"' AS TABELA, '"&amp;UPPER(C234)&amp;"' AS TIPOLOGIA_TESTE,'"&amp;D234&amp;"' AS TABELA_LT,'"&amp;E234&amp;"' AS TABELA_SIMUL,'"&amp;F234&amp;"' AS CAMPO, "&amp;"'${ref_date}' AS REF_DATE, COUNT(*) AS NUM_REG, SUM(IF((ABS(COALESCE(CAST(X."&amp;F234&amp;" AS DECIMAL(18,6)),0)-COALESCE(CAST(Y."&amp;F234&amp;"_SIMUL AS DECIMAL(18,6)),0))&gt;0.000001) OR (X."&amp;F234&amp;" IS NULL AND Y."&amp;F234&amp;"_SIMUL IS NOT NULL ) OR (X."&amp;F234&amp;" IS NOT NULL AND Y."&amp;F234&amp;"_SIMUL IS NULL),1,0)) AS NUM_REG_DIF,'"&amp;MAX('ID1&amp;5'!K:K)+1&amp;"' AS ID_EXEC, CURRENT_TIMESTAMP() AS TIME_EXEC FROM "&amp;I234&amp;" INNER JOIN "&amp;J234&amp;" "&amp;K234,"SELECT '"&amp;UPPER(B234)&amp;"' AS TABELA, '"&amp;UPPER(C234)&amp;"' AS TIPOLOGIA_TESTE,'"&amp;D234&amp;"' AS TABELA_LT,'"&amp;E234&amp;"' AS TABELA_SIMUL,'"&amp;F234&amp;"' AS CAMPO, "&amp;"'${ref_date}' AS REF_DATE, COUNT(*) AS NUM_REG, SUM(IF(COALESCE(CAST(X."&amp;F234&amp;" AS STRING),'')&lt;&gt;COALESCE(CAST(Y."&amp;F234&amp;"_SIMUL AS STRING),'') OR (X."&amp;F234&amp;" IS NULL AND Y."&amp;F234&amp;"_SIMUL IS NOT NULL ) OR (X."&amp;F234&amp;" IS NOT NULL AND Y."&amp;F234&amp;"_SIMUL IS NULL),1,0)) AS NUM_REG_DIF,'"&amp;MAX('ID1&amp;5'!L:L)+1&amp;"' AS ID_EXEC, CURRENT_TIMESTAMP() AS TIME_EXEC FROM "&amp;I234&amp;" INNER JOIN "&amp;J234&amp;" "&amp;K234),
IF(C234="Validade",+IF(G234="Code List","SELECT '"&amp;UPPER(B234)&amp;"' AS TABELA, '"&amp;UPPER(C234)&amp;"' AS TIPOLOGIA_TESTE,'"&amp;D234&amp;"' AS TABELA_LT,'N/A' AS TABELA_SIMUL,'"&amp;F234&amp;"' AS CAMPO, "&amp;"'${ref_date}' AS REF_DATE, COUNT(*) AS NUM_REG, SUM(IF(TRIM(CAST(X."&amp;F234&amp;" AS STRING))='' OR TRIM(CAST(X."&amp;F234&amp;" AS STRING)) IS NULL OR CAST(X."&amp;F234&amp;" AS STRING) NOT "&amp;H234&amp;",1,0)) AS NUM_REG_DIF,'"&amp;MAX('ID1&amp;5'!K:K)+1&amp;"' AS ID_EXEC, CURRENT_TIMESTAMP() AS TIME_EXEC FROM "&amp;I234,"SELECT '"&amp;UPPER(B234)&amp;"' AS TABELA, '"&amp;UPPER(C234)&amp;"' AS TIPOLOGIA_TESTE,'"&amp;D234&amp;"' AS TABELA_LT,'N/A' AS TABELA_SIMUL,'"&amp;F234&amp;"' AS CAMPO, "&amp;"'${ref_date}' AS REF_DATE, COUNT(*) AS NUM_REG, SUM(IF(TRIM(CAST(X."&amp;F234&amp;" AS STRING))='' OR TRIM(CAST(X."&amp;F234&amp;" AS STRING)) IS NULL,1,0)) AS NUM_REG_DIF,'"&amp;MAX('ID1&amp;5'!K:K)+1&amp;"' AS ID_EXEC, CURRENT_TIMESTAMP() AS TIME_EXEC FROM "&amp;I234),
IF(C234="Caracteres Especiais",+"SELECT '"&amp;UPPER(B234)&amp;"' AS TABELA, '"&amp;UPPER(C234)&amp;"' AS TIPOLOGIA_TESTE,'"&amp;D234&amp;"' AS TABELA_LT,'N/A' AS TABELA_SIMUL,'"&amp;F234&amp;"' AS CAMPO, "&amp;"'${ref_date}' AS REF_DATE, COUNT(*) AS NUM_REG, SUM(IF(REGEXP_REPLACE(TRIM(CAST(X."&amp;F234&amp;" AS STRING)),'[^a-zA-Z0-9_\\s]','') &lt;&gt;TRIM(CAST(X."&amp;F234&amp;" AS STRING)),1,0)) AS NUM_REG_DIF,'"&amp;MAX('ID1&amp;5'!K:K)+1&amp;"' AS ID_EXEC, CURRENT_TIMESTAMP() AS TIME_EXEC FROM "&amp;I234,
IF(C234="Missings",+"SELECT '"&amp;UPPER(B234)&amp;"' AS TABELA, '"&amp;UPPER(C234)&amp;"' AS TIPOLOGIA_TESTE,'"&amp;D234&amp;"' AS TABELA_LT,'N/A' AS TABELA_SIMUL,'"&amp;F234&amp;"' AS CAMPO, "&amp;"'${ref_date}' AS REF_DATE, COUNT(*) AS NUM_REG, SUM(IF(TRIM(CAST(X."&amp;F234&amp;" AS STRING)) IN ('0000-00-00','0001-01-01','9999-12-31','MISS','00000','99999999999','99999999999.00','99999999999.000000'),1,0)) AS NUM_REG_DIF,'"&amp;MAX('ID1&amp;5'!K:K)+1&amp;"' AS ID_EXEC, CURRENT_TIMESTAMP() AS TIME_EXEC FROM "&amp;I234,
IF(C234="Not applicable",+"SELECT '"&amp;UPPER(B234)&amp;"' AS TABELA, '"&amp;UPPER(C234)&amp;"' AS TIPOLOGIA_TESTE,'"&amp;D234&amp;"' AS TABELA_LT,'N/A' AS TABELA_SIMUL,'"&amp;F234&amp;"' AS CAMPO, "&amp;"'${ref_date}' AS REF_DATE, COUNT(*) AS NUM_REG, SUM(IF(TRIM(CAST(X."&amp;F234&amp;" AS STRING)) IN ('N/A','11111111111','11111111111.00','11111111111.000000','1111-11-11'),1,0)) AS NUM_REG_DIF,'"&amp;MAX('ID1&amp;5'!K:K)+1&amp;"' AS ID_EXEC, CURRENT_TIMESTAMP() AS TIME_EXEC FROM "&amp;I234,
IF(C234="Valores extremos",+"SELECT '"&amp;UPPER(B234)&amp;"' AS TABELA, '"&amp;UPPER(C234)&amp;"' AS TIPOLOGIA_TESTE,'"&amp;D234&amp;"' AS TABELA_LT,'N/A' AS TABELA_SIMUL,'"&amp;F234&amp;"' AS CAMPO, "&amp;"'${ref_date}' AS REF_DATE, CAST(MIN("&amp;F234&amp;") AS STRING) AS VALOR_MIN, CAST(MAX("&amp;F234&amp;") AS STRING) AS VALOR_MAX,'"&amp;MAX('ID1&amp;5'!K:K)+1&amp;"' AS ID_EXEC, CURRENT_TIMESTAMP() AS TIME_EXEC FROM "&amp;MID(I234,1,LEN(I234)-2)&amp;" AND CAST("&amp;F234&amp;"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TABELA_SIMUL,'PD_IFRS9_RMNNG_LFTM_RD' AS CAMPO, '${ref_date}' AS REF_DATE, COUNT(*) AS NUM_REG, SUM(IF(COALESCE(CAST(X.PD_IFRS9_RMNNG_LFTM_RD AS STRING),'')&lt;&gt;COALESCE(CAST(Y.PD_IFRS9_RMNNG_LFTM_RD_SIMUL AS STRING),'') OR (X.PD_IFRS9_RMNNG_LFTM_RD IS NULL AND Y.PD_IFRS9_RMNNG_LFTM_RD_SIMUL IS NOT NULL ) OR (X.PD_IFRS9_RMNNG_LFTM_RD IS NOT NULL AND Y.PD_IFRS9_RMNNG_LFTM_RD_SIMUL IS NULL),1,0)) AS NUM_REG_DIF,'1' AS ID_EXEC, CURRENT_TIMESTAMP() AS TIME_EXEC FROM (SELECT instrmnt_id, PD_IFRS9_RMNNG_LFTM_RD FROM CD_LOAN_TAPES_BCE.LT002_INSTRUMENT WHERE ref_date='${ref_date}' AND nome_perimetro='Individual Corporativo' AND segmento='ESTR' AND ambito='PM' AND entidade='00100')X INNER JOIN (SELECT instrmnt_id AS instrmnt_id_SIMUL, PD_IFRS9_RMNNG_LFTM_RD AS PD_IFRS9_RMNNG_LFTM_RD_SIMUL FROM BU_LOANTAPE_WORK.LT002_INSTRUMENT WHERE ref_date='${ref_date}' AND nome_perimetro='Individual Corporativo' AND segmento='ESTR' AND ambito='PM' AND entidade='00100')Y ON X.INSTRMNT_ID=Y.INSTRMNT_ID_SIMUL</v>
      </c>
      <c r="M234" s="36" t="str">
        <f t="shared" si="3"/>
        <v>UNION ALL SELECT 'INSTRUMENT' AS TABELA, 'COERÊNCIA' AS TIPOLOGIA_TESTE,'CD_LOAN_TAPES_BCE.LT002_INSTRUMENT' AS TABELA_LT,'BU_LOANTAPE_WORK.LT002_INSTRUMENT' AS TABELA_SIMUL,'PD_IFRS9_RMNNG_LFTM_RD' AS CAMPO, '${ref_date}' AS REF_DATE, COUNT(*) AS NUM_REG, SUM(IF(COALESCE(CAST(X.PD_IFRS9_RMNNG_LFTM_RD AS STRING),'')&lt;&gt;COALESCE(CAST(Y.PD_IFRS9_RMNNG_LFTM_RD_SIMUL AS STRING),'') OR (X.PD_IFRS9_RMNNG_LFTM_RD IS NULL AND Y.PD_IFRS9_RMNNG_LFTM_RD_SIMUL IS NOT NULL ) OR (X.PD_IFRS9_RMNNG_LFTM_RD IS NOT NULL AND Y.PD_IFRS9_RMNNG_LFTM_RD_SIMUL IS NULL),1,0)) AS NUM_REG_DIF,'1' AS ID_EXEC, CURRENT_TIMESTAMP() AS TIME_EXEC FROM (SELECT instrmnt_id, PD_IFRS9_RMNNG_LFTM_RD FROM CD_LOAN_TAPES_BCE.LT002_INSTRUMENT WHERE ref_date='${ref_date}' AND nome_perimetro='Individual Corporativo' AND segmento='ESTR' AND ambito='PM' AND entidade='00100')X INNER JOIN (SELECT instrmnt_id AS instrmnt_id_SIMUL, PD_IFRS9_RMNNG_LFTM_RD AS PD_IFRS9_RMNNG_LFTM_RD_SIMUL FROM BU_LOANTAPE_WORK.LT002_INSTRUMENT WHERE ref_date='${ref_date}' AND nome_perimetro='Individual Corporativo' AND segmento='ESTR' AND ambito='PM' AND entidade='00100')Y ON X.INSTRMNT_ID=Y.INSTRMNT_ID_SIMUL</v>
      </c>
      <c r="N234" s="38" t="s">
        <v>46</v>
      </c>
    </row>
    <row r="235" spans="2:14" hidden="1">
      <c r="B235" s="34" t="s">
        <v>126</v>
      </c>
      <c r="C235" s="34" t="s">
        <v>5</v>
      </c>
      <c r="D235" s="34" t="str">
        <f>+UPPER('0. Instruções'!$D$35&amp;"."&amp;VLOOKUP(B235,'0. Instruções'!$C$27:$D$32,2,FALSE))</f>
        <v>CD_LOAN_TAPES_BCE.LT002_INSTRUMENT</v>
      </c>
      <c r="E235" s="34" t="str">
        <f>+UPPER('0. Instruções'!$D$36&amp;"."&amp;VLOOKUP(B235,'0. Instruções'!$C$27:$E$32,3,FALSE))</f>
        <v>BU_LOANTAPE_WORK.LT002_INSTRUMENT</v>
      </c>
      <c r="F235" s="34" t="s">
        <v>361</v>
      </c>
      <c r="G235" s="34"/>
      <c r="H235" s="34" t="s">
        <v>89</v>
      </c>
      <c r="I235" s="34" t="str">
        <f>"(SELECT "&amp;VLOOKUP(B235,'0. Instruções'!$C$27:$G$32,4,FALSE)&amp;", "&amp;F235&amp;" FROM "&amp;D235&amp;" WHERE "&amp;'0. Instruções'!$D$42&amp;")X"</f>
        <v>(SELECT instrmnt_id, RTNG_MTHD FROM CD_LOAN_TAPES_BCE.LT002_INSTRUMENT WHERE ref_date='${ref_date}' AND nome_perimetro='Individual Corporativo' AND segmento='ESTR' AND ambito='PM' AND entidade='00100')X</v>
      </c>
      <c r="J235" s="34" t="str">
        <f>"(SELECT "&amp;VLOOKUP(B235,'0. Instruções'!$C$27:$G$32,4,FALSE)&amp;" AS "&amp;VLOOKUP(B235,'0. Instruções'!$C$27:$G$32,4,FALSE)&amp;"_SIMUL, "&amp;F235&amp;" AS "&amp;F235&amp;"_SIMUL FROM "&amp;E235&amp;" WHERE "&amp;'0. Instruções'!$D$43&amp;")Y"</f>
        <v>(SELECT instrmnt_id AS instrmnt_id_SIMUL, RTNG_MTHD AS RTNG_MTHD_SIMUL FROM BU_LOANTAPE_WORK.LT002_INSTRUMENT WHERE ref_date='${ref_date}' AND nome_perimetro='Individual Corporativo' AND segmento='ESTR' AND ambito='PM' AND entidade='00100')Y</v>
      </c>
      <c r="K235" s="35" t="str">
        <f>+UPPER("ON X."&amp;VLOOKUP(B235,'0. Instruções'!$C$27:$G$32,4,FALSE)&amp;"=Y."&amp;VLOOKUP(B235,'0. Instruções'!$C$27:$G$32,4,FALSE)&amp;"_SIMUL")</f>
        <v>ON X.INSTRMNT_ID=Y.INSTRMNT_ID_SIMUL</v>
      </c>
      <c r="L235" s="35" t="str">
        <f>+IF(C235="Coerência", +IF(LEFT(G235,5)="FLOAT","SELECT '"&amp;UPPER(B235)&amp;"' AS TABELA, '"&amp;UPPER(C235)&amp;"' AS TIPOLOGIA_TESTE,'"&amp;D235&amp;"' AS TABELA_LT,'"&amp;E235&amp;"' AS TABELA_SIMUL,'"&amp;F235&amp;"' AS CAMPO, "&amp;"'${ref_date}' AS REF_DATE, COUNT(*) AS NUM_REG, SUM(IF((ABS(COALESCE(CAST(X."&amp;F235&amp;" AS DECIMAL(18,6)),0)-COALESCE(CAST(Y."&amp;F235&amp;"_SIMUL AS DECIMAL(18,6)),0))&gt;0.000001) OR (X."&amp;F235&amp;" IS NULL AND Y."&amp;F235&amp;"_SIMUL IS NOT NULL ) OR (X."&amp;F235&amp;" IS NOT NULL AND Y."&amp;F235&amp;"_SIMUL IS NULL),1,0)) AS NUM_REG_DIF,'"&amp;MAX('ID1&amp;5'!K:K)+1&amp;"' AS ID_EXEC, CURRENT_TIMESTAMP() AS TIME_EXEC FROM "&amp;I235&amp;" INNER JOIN "&amp;J235&amp;" "&amp;K235,"SELECT '"&amp;UPPER(B235)&amp;"' AS TABELA, '"&amp;UPPER(C235)&amp;"' AS TIPOLOGIA_TESTE,'"&amp;D235&amp;"' AS TABELA_LT,'"&amp;E235&amp;"' AS TABELA_SIMUL,'"&amp;F235&amp;"' AS CAMPO, "&amp;"'${ref_date}' AS REF_DATE, COUNT(*) AS NUM_REG, SUM(IF(COALESCE(CAST(X."&amp;F235&amp;" AS STRING),'')&lt;&gt;COALESCE(CAST(Y."&amp;F235&amp;"_SIMUL AS STRING),'') OR (X."&amp;F235&amp;" IS NULL AND Y."&amp;F235&amp;"_SIMUL IS NOT NULL ) OR (X."&amp;F235&amp;" IS NOT NULL AND Y."&amp;F235&amp;"_SIMUL IS NULL),1,0)) AS NUM_REG_DIF,'"&amp;MAX('ID1&amp;5'!L:L)+1&amp;"' AS ID_EXEC, CURRENT_TIMESTAMP() AS TIME_EXEC FROM "&amp;I235&amp;" INNER JOIN "&amp;J235&amp;" "&amp;K235),
IF(C235="Validade",+IF(G235="Code List","SELECT '"&amp;UPPER(B235)&amp;"' AS TABELA, '"&amp;UPPER(C235)&amp;"' AS TIPOLOGIA_TESTE,'"&amp;D235&amp;"' AS TABELA_LT,'N/A' AS TABELA_SIMUL,'"&amp;F235&amp;"' AS CAMPO, "&amp;"'${ref_date}' AS REF_DATE, COUNT(*) AS NUM_REG, SUM(IF(TRIM(CAST(X."&amp;F235&amp;" AS STRING))='' OR TRIM(CAST(X."&amp;F235&amp;" AS STRING)) IS NULL OR CAST(X."&amp;F235&amp;" AS STRING) NOT "&amp;H235&amp;",1,0)) AS NUM_REG_DIF,'"&amp;MAX('ID1&amp;5'!K:K)+1&amp;"' AS ID_EXEC, CURRENT_TIMESTAMP() AS TIME_EXEC FROM "&amp;I235,"SELECT '"&amp;UPPER(B235)&amp;"' AS TABELA, '"&amp;UPPER(C235)&amp;"' AS TIPOLOGIA_TESTE,'"&amp;D235&amp;"' AS TABELA_LT,'N/A' AS TABELA_SIMUL,'"&amp;F235&amp;"' AS CAMPO, "&amp;"'${ref_date}' AS REF_DATE, COUNT(*) AS NUM_REG, SUM(IF(TRIM(CAST(X."&amp;F235&amp;" AS STRING))='' OR TRIM(CAST(X."&amp;F235&amp;" AS STRING)) IS NULL,1,0)) AS NUM_REG_DIF,'"&amp;MAX('ID1&amp;5'!K:K)+1&amp;"' AS ID_EXEC, CURRENT_TIMESTAMP() AS TIME_EXEC FROM "&amp;I235),
IF(C235="Caracteres Especiais",+"SELECT '"&amp;UPPER(B235)&amp;"' AS TABELA, '"&amp;UPPER(C235)&amp;"' AS TIPOLOGIA_TESTE,'"&amp;D235&amp;"' AS TABELA_LT,'N/A' AS TABELA_SIMUL,'"&amp;F235&amp;"' AS CAMPO, "&amp;"'${ref_date}' AS REF_DATE, COUNT(*) AS NUM_REG, SUM(IF(REGEXP_REPLACE(TRIM(CAST(X."&amp;F235&amp;" AS STRING)),'[^a-zA-Z0-9_\\s]','') &lt;&gt;TRIM(CAST(X."&amp;F235&amp;" AS STRING)),1,0)) AS NUM_REG_DIF,'"&amp;MAX('ID1&amp;5'!K:K)+1&amp;"' AS ID_EXEC, CURRENT_TIMESTAMP() AS TIME_EXEC FROM "&amp;I235,
IF(C235="Missings",+"SELECT '"&amp;UPPER(B235)&amp;"' AS TABELA, '"&amp;UPPER(C235)&amp;"' AS TIPOLOGIA_TESTE,'"&amp;D235&amp;"' AS TABELA_LT,'N/A' AS TABELA_SIMUL,'"&amp;F235&amp;"' AS CAMPO, "&amp;"'${ref_date}' AS REF_DATE, COUNT(*) AS NUM_REG, SUM(IF(TRIM(CAST(X."&amp;F235&amp;" AS STRING)) IN ('0000-00-00','0001-01-01','9999-12-31','MISS','00000','99999999999','99999999999.00','99999999999.000000'),1,0)) AS NUM_REG_DIF,'"&amp;MAX('ID1&amp;5'!K:K)+1&amp;"' AS ID_EXEC, CURRENT_TIMESTAMP() AS TIME_EXEC FROM "&amp;I235,
IF(C235="Not applicable",+"SELECT '"&amp;UPPER(B235)&amp;"' AS TABELA, '"&amp;UPPER(C235)&amp;"' AS TIPOLOGIA_TESTE,'"&amp;D235&amp;"' AS TABELA_LT,'N/A' AS TABELA_SIMUL,'"&amp;F235&amp;"' AS CAMPO, "&amp;"'${ref_date}' AS REF_DATE, COUNT(*) AS NUM_REG, SUM(IF(TRIM(CAST(X."&amp;F235&amp;" AS STRING)) IN ('N/A','11111111111','11111111111.00','11111111111.000000','1111-11-11'),1,0)) AS NUM_REG_DIF,'"&amp;MAX('ID1&amp;5'!K:K)+1&amp;"' AS ID_EXEC, CURRENT_TIMESTAMP() AS TIME_EXEC FROM "&amp;I235,
IF(C235="Valores extremos",+"SELECT '"&amp;UPPER(B235)&amp;"' AS TABELA, '"&amp;UPPER(C235)&amp;"' AS TIPOLOGIA_TESTE,'"&amp;D235&amp;"' AS TABELA_LT,'N/A' AS TABELA_SIMUL,'"&amp;F235&amp;"' AS CAMPO, "&amp;"'${ref_date}' AS REF_DATE, CAST(MIN("&amp;F235&amp;") AS STRING) AS VALOR_MIN, CAST(MAX("&amp;F235&amp;") AS STRING) AS VALOR_MAX,'"&amp;MAX('ID1&amp;5'!K:K)+1&amp;"' AS ID_EXEC, CURRENT_TIMESTAMP() AS TIME_EXEC FROM "&amp;MID(I235,1,LEN(I235)-2)&amp;" AND CAST("&amp;F235&amp;"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TABELA_SIMUL,'RTNG_MTHD' AS CAMPO, '${ref_date}' AS REF_DATE, COUNT(*) AS NUM_REG, SUM(IF(COALESCE(CAST(X.RTNG_MTHD AS STRING),'')&lt;&gt;COALESCE(CAST(Y.RTNG_MTHD_SIMUL AS STRING),'') OR (X.RTNG_MTHD IS NULL AND Y.RTNG_MTHD_SIMUL IS NOT NULL ) OR (X.RTNG_MTHD IS NOT NULL AND Y.RTNG_MTHD_SIMUL IS NULL),1,0)) AS NUM_REG_DIF,'1' AS ID_EXEC, CURRENT_TIMESTAMP() AS TIME_EXEC FROM (SELECT instrmnt_id, RTNG_MTHD FROM CD_LOAN_TAPES_BCE.LT002_INSTRUMENT WHERE ref_date='${ref_date}' AND nome_perimetro='Individual Corporativo' AND segmento='ESTR' AND ambito='PM' AND entidade='00100')X INNER JOIN (SELECT instrmnt_id AS instrmnt_id_SIMUL, RTNG_MTHD AS RTNG_MTHD_SIMUL FROM BU_LOANTAPE_WORK.LT002_INSTRUMENT WHERE ref_date='${ref_date}' AND nome_perimetro='Individual Corporativo' AND segmento='ESTR' AND ambito='PM' AND entidade='00100')Y ON X.INSTRMNT_ID=Y.INSTRMNT_ID_SIMUL</v>
      </c>
      <c r="M235" s="36" t="str">
        <f t="shared" si="3"/>
        <v>UNION ALL SELECT 'INSTRUMENT' AS TABELA, 'COERÊNCIA' AS TIPOLOGIA_TESTE,'CD_LOAN_TAPES_BCE.LT002_INSTRUMENT' AS TABELA_LT,'BU_LOANTAPE_WORK.LT002_INSTRUMENT' AS TABELA_SIMUL,'RTNG_MTHD' AS CAMPO, '${ref_date}' AS REF_DATE, COUNT(*) AS NUM_REG, SUM(IF(COALESCE(CAST(X.RTNG_MTHD AS STRING),'')&lt;&gt;COALESCE(CAST(Y.RTNG_MTHD_SIMUL AS STRING),'') OR (X.RTNG_MTHD IS NULL AND Y.RTNG_MTHD_SIMUL IS NOT NULL ) OR (X.RTNG_MTHD IS NOT NULL AND Y.RTNG_MTHD_SIMUL IS NULL),1,0)) AS NUM_REG_DIF,'1' AS ID_EXEC, CURRENT_TIMESTAMP() AS TIME_EXEC FROM (SELECT instrmnt_id, RTNG_MTHD FROM CD_LOAN_TAPES_BCE.LT002_INSTRUMENT WHERE ref_date='${ref_date}' AND nome_perimetro='Individual Corporativo' AND segmento='ESTR' AND ambito='PM' AND entidade='00100')X INNER JOIN (SELECT instrmnt_id AS instrmnt_id_SIMUL, RTNG_MTHD AS RTNG_MTHD_SIMUL FROM BU_LOANTAPE_WORK.LT002_INSTRUMENT WHERE ref_date='${ref_date}' AND nome_perimetro='Individual Corporativo' AND segmento='ESTR' AND ambito='PM' AND entidade='00100')Y ON X.INSTRMNT_ID=Y.INSTRMNT_ID_SIMUL</v>
      </c>
      <c r="N235" s="38" t="s">
        <v>46</v>
      </c>
    </row>
    <row r="236" spans="2:14" hidden="1">
      <c r="B236" s="34" t="s">
        <v>126</v>
      </c>
      <c r="C236" s="34" t="s">
        <v>5</v>
      </c>
      <c r="D236" s="34" t="str">
        <f>+UPPER('0. Instruções'!$D$35&amp;"."&amp;VLOOKUP(B236,'0. Instruções'!$C$27:$D$32,2,FALSE))</f>
        <v>CD_LOAN_TAPES_BCE.LT002_INSTRUMENT</v>
      </c>
      <c r="E236" s="34" t="str">
        <f>+UPPER('0. Instruções'!$D$36&amp;"."&amp;VLOOKUP(B236,'0. Instruções'!$C$27:$E$32,3,FALSE))</f>
        <v>BU_LOANTAPE_WORK.LT002_INSTRUMENT</v>
      </c>
      <c r="F236" s="34" t="s">
        <v>362</v>
      </c>
      <c r="G236" s="34"/>
      <c r="H236" s="34" t="s">
        <v>89</v>
      </c>
      <c r="I236" s="34" t="str">
        <f>"(SELECT "&amp;VLOOKUP(B236,'0. Instruções'!$C$27:$G$32,4,FALSE)&amp;", "&amp;F236&amp;" FROM "&amp;D236&amp;" WHERE "&amp;'0. Instruções'!$D$42&amp;")X"</f>
        <v>(SELECT instrmnt_id, RTNG_SCL FROM CD_LOAN_TAPES_BCE.LT002_INSTRUMENT WHERE ref_date='${ref_date}' AND nome_perimetro='Individual Corporativo' AND segmento='ESTR' AND ambito='PM' AND entidade='00100')X</v>
      </c>
      <c r="J236" s="34" t="str">
        <f>"(SELECT "&amp;VLOOKUP(B236,'0. Instruções'!$C$27:$G$32,4,FALSE)&amp;" AS "&amp;VLOOKUP(B236,'0. Instruções'!$C$27:$G$32,4,FALSE)&amp;"_SIMUL, "&amp;F236&amp;" AS "&amp;F236&amp;"_SIMUL FROM "&amp;E236&amp;" WHERE "&amp;'0. Instruções'!$D$43&amp;")Y"</f>
        <v>(SELECT instrmnt_id AS instrmnt_id_SIMUL, RTNG_SCL AS RTNG_SCL_SIMUL FROM BU_LOANTAPE_WORK.LT002_INSTRUMENT WHERE ref_date='${ref_date}' AND nome_perimetro='Individual Corporativo' AND segmento='ESTR' AND ambito='PM' AND entidade='00100')Y</v>
      </c>
      <c r="K236" s="35" t="str">
        <f>+UPPER("ON X."&amp;VLOOKUP(B236,'0. Instruções'!$C$27:$G$32,4,FALSE)&amp;"=Y."&amp;VLOOKUP(B236,'0. Instruções'!$C$27:$G$32,4,FALSE)&amp;"_SIMUL")</f>
        <v>ON X.INSTRMNT_ID=Y.INSTRMNT_ID_SIMUL</v>
      </c>
      <c r="L236" s="35" t="str">
        <f>+IF(C236="Coerência", +IF(LEFT(G236,5)="FLOAT","SELECT '"&amp;UPPER(B236)&amp;"' AS TABELA, '"&amp;UPPER(C236)&amp;"' AS TIPOLOGIA_TESTE,'"&amp;D236&amp;"' AS TABELA_LT,'"&amp;E236&amp;"' AS TABELA_SIMUL,'"&amp;F236&amp;"' AS CAMPO, "&amp;"'${ref_date}' AS REF_DATE, COUNT(*) AS NUM_REG, SUM(IF((ABS(COALESCE(CAST(X."&amp;F236&amp;" AS DECIMAL(18,6)),0)-COALESCE(CAST(Y."&amp;F236&amp;"_SIMUL AS DECIMAL(18,6)),0))&gt;0.000001) OR (X."&amp;F236&amp;" IS NULL AND Y."&amp;F236&amp;"_SIMUL IS NOT NULL ) OR (X."&amp;F236&amp;" IS NOT NULL AND Y."&amp;F236&amp;"_SIMUL IS NULL),1,0)) AS NUM_REG_DIF,'"&amp;MAX('ID1&amp;5'!K:K)+1&amp;"' AS ID_EXEC, CURRENT_TIMESTAMP() AS TIME_EXEC FROM "&amp;I236&amp;" INNER JOIN "&amp;J236&amp;" "&amp;K236,"SELECT '"&amp;UPPER(B236)&amp;"' AS TABELA, '"&amp;UPPER(C236)&amp;"' AS TIPOLOGIA_TESTE,'"&amp;D236&amp;"' AS TABELA_LT,'"&amp;E236&amp;"' AS TABELA_SIMUL,'"&amp;F236&amp;"' AS CAMPO, "&amp;"'${ref_date}' AS REF_DATE, COUNT(*) AS NUM_REG, SUM(IF(COALESCE(CAST(X."&amp;F236&amp;" AS STRING),'')&lt;&gt;COALESCE(CAST(Y."&amp;F236&amp;"_SIMUL AS STRING),'') OR (X."&amp;F236&amp;" IS NULL AND Y."&amp;F236&amp;"_SIMUL IS NOT NULL ) OR (X."&amp;F236&amp;" IS NOT NULL AND Y."&amp;F236&amp;"_SIMUL IS NULL),1,0)) AS NUM_REG_DIF,'"&amp;MAX('ID1&amp;5'!L:L)+1&amp;"' AS ID_EXEC, CURRENT_TIMESTAMP() AS TIME_EXEC FROM "&amp;I236&amp;" INNER JOIN "&amp;J236&amp;" "&amp;K236),
IF(C236="Validade",+IF(G236="Code List","SELECT '"&amp;UPPER(B236)&amp;"' AS TABELA, '"&amp;UPPER(C236)&amp;"' AS TIPOLOGIA_TESTE,'"&amp;D236&amp;"' AS TABELA_LT,'N/A' AS TABELA_SIMUL,'"&amp;F236&amp;"' AS CAMPO, "&amp;"'${ref_date}' AS REF_DATE, COUNT(*) AS NUM_REG, SUM(IF(TRIM(CAST(X."&amp;F236&amp;" AS STRING))='' OR TRIM(CAST(X."&amp;F236&amp;" AS STRING)) IS NULL OR CAST(X."&amp;F236&amp;" AS STRING) NOT "&amp;H236&amp;",1,0)) AS NUM_REG_DIF,'"&amp;MAX('ID1&amp;5'!K:K)+1&amp;"' AS ID_EXEC, CURRENT_TIMESTAMP() AS TIME_EXEC FROM "&amp;I236,"SELECT '"&amp;UPPER(B236)&amp;"' AS TABELA, '"&amp;UPPER(C236)&amp;"' AS TIPOLOGIA_TESTE,'"&amp;D236&amp;"' AS TABELA_LT,'N/A' AS TABELA_SIMUL,'"&amp;F236&amp;"' AS CAMPO, "&amp;"'${ref_date}' AS REF_DATE, COUNT(*) AS NUM_REG, SUM(IF(TRIM(CAST(X."&amp;F236&amp;" AS STRING))='' OR TRIM(CAST(X."&amp;F236&amp;" AS STRING)) IS NULL,1,0)) AS NUM_REG_DIF,'"&amp;MAX('ID1&amp;5'!K:K)+1&amp;"' AS ID_EXEC, CURRENT_TIMESTAMP() AS TIME_EXEC FROM "&amp;I236),
IF(C236="Caracteres Especiais",+"SELECT '"&amp;UPPER(B236)&amp;"' AS TABELA, '"&amp;UPPER(C236)&amp;"' AS TIPOLOGIA_TESTE,'"&amp;D236&amp;"' AS TABELA_LT,'N/A' AS TABELA_SIMUL,'"&amp;F236&amp;"' AS CAMPO, "&amp;"'${ref_date}' AS REF_DATE, COUNT(*) AS NUM_REG, SUM(IF(REGEXP_REPLACE(TRIM(CAST(X."&amp;F236&amp;" AS STRING)),'[^a-zA-Z0-9_\\s]','') &lt;&gt;TRIM(CAST(X."&amp;F236&amp;" AS STRING)),1,0)) AS NUM_REG_DIF,'"&amp;MAX('ID1&amp;5'!K:K)+1&amp;"' AS ID_EXEC, CURRENT_TIMESTAMP() AS TIME_EXEC FROM "&amp;I236,
IF(C236="Missings",+"SELECT '"&amp;UPPER(B236)&amp;"' AS TABELA, '"&amp;UPPER(C236)&amp;"' AS TIPOLOGIA_TESTE,'"&amp;D236&amp;"' AS TABELA_LT,'N/A' AS TABELA_SIMUL,'"&amp;F236&amp;"' AS CAMPO, "&amp;"'${ref_date}' AS REF_DATE, COUNT(*) AS NUM_REG, SUM(IF(TRIM(CAST(X."&amp;F236&amp;" AS STRING)) IN ('0000-00-00','0001-01-01','9999-12-31','MISS','00000','99999999999','99999999999.00','99999999999.000000'),1,0)) AS NUM_REG_DIF,'"&amp;MAX('ID1&amp;5'!K:K)+1&amp;"' AS ID_EXEC, CURRENT_TIMESTAMP() AS TIME_EXEC FROM "&amp;I236,
IF(C236="Not applicable",+"SELECT '"&amp;UPPER(B236)&amp;"' AS TABELA, '"&amp;UPPER(C236)&amp;"' AS TIPOLOGIA_TESTE,'"&amp;D236&amp;"' AS TABELA_LT,'N/A' AS TABELA_SIMUL,'"&amp;F236&amp;"' AS CAMPO, "&amp;"'${ref_date}' AS REF_DATE, COUNT(*) AS NUM_REG, SUM(IF(TRIM(CAST(X."&amp;F236&amp;" AS STRING)) IN ('N/A','11111111111','11111111111.00','11111111111.000000','1111-11-11'),1,0)) AS NUM_REG_DIF,'"&amp;MAX('ID1&amp;5'!K:K)+1&amp;"' AS ID_EXEC, CURRENT_TIMESTAMP() AS TIME_EXEC FROM "&amp;I236,
IF(C236="Valores extremos",+"SELECT '"&amp;UPPER(B236)&amp;"' AS TABELA, '"&amp;UPPER(C236)&amp;"' AS TIPOLOGIA_TESTE,'"&amp;D236&amp;"' AS TABELA_LT,'N/A' AS TABELA_SIMUL,'"&amp;F236&amp;"' AS CAMPO, "&amp;"'${ref_date}' AS REF_DATE, CAST(MIN("&amp;F236&amp;") AS STRING) AS VALOR_MIN, CAST(MAX("&amp;F236&amp;") AS STRING) AS VALOR_MAX,'"&amp;MAX('ID1&amp;5'!K:K)+1&amp;"' AS ID_EXEC, CURRENT_TIMESTAMP() AS TIME_EXEC FROM "&amp;MID(I236,1,LEN(I236)-2)&amp;" AND CAST("&amp;F236&amp;"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TABELA_SIMUL,'RTNG_SCL' AS CAMPO, '${ref_date}' AS REF_DATE, COUNT(*) AS NUM_REG, SUM(IF(COALESCE(CAST(X.RTNG_SCL AS STRING),'')&lt;&gt;COALESCE(CAST(Y.RTNG_SCL_SIMUL AS STRING),'') OR (X.RTNG_SCL IS NULL AND Y.RTNG_SCL_SIMUL IS NOT NULL ) OR (X.RTNG_SCL IS NOT NULL AND Y.RTNG_SCL_SIMUL IS NULL),1,0)) AS NUM_REG_DIF,'1' AS ID_EXEC, CURRENT_TIMESTAMP() AS TIME_EXEC FROM (SELECT instrmnt_id, RTNG_SCL FROM CD_LOAN_TAPES_BCE.LT002_INSTRUMENT WHERE ref_date='${ref_date}' AND nome_perimetro='Individual Corporativo' AND segmento='ESTR' AND ambito='PM' AND entidade='00100')X INNER JOIN (SELECT instrmnt_id AS instrmnt_id_SIMUL, RTNG_SCL AS RTNG_SCL_SIMUL FROM BU_LOANTAPE_WORK.LT002_INSTRUMENT WHERE ref_date='${ref_date}' AND nome_perimetro='Individual Corporativo' AND segmento='ESTR' AND ambito='PM' AND entidade='00100')Y ON X.INSTRMNT_ID=Y.INSTRMNT_ID_SIMUL</v>
      </c>
      <c r="M236" s="36" t="str">
        <f t="shared" si="3"/>
        <v>UNION ALL SELECT 'INSTRUMENT' AS TABELA, 'COERÊNCIA' AS TIPOLOGIA_TESTE,'CD_LOAN_TAPES_BCE.LT002_INSTRUMENT' AS TABELA_LT,'BU_LOANTAPE_WORK.LT002_INSTRUMENT' AS TABELA_SIMUL,'RTNG_SCL' AS CAMPO, '${ref_date}' AS REF_DATE, COUNT(*) AS NUM_REG, SUM(IF(COALESCE(CAST(X.RTNG_SCL AS STRING),'')&lt;&gt;COALESCE(CAST(Y.RTNG_SCL_SIMUL AS STRING),'') OR (X.RTNG_SCL IS NULL AND Y.RTNG_SCL_SIMUL IS NOT NULL ) OR (X.RTNG_SCL IS NOT NULL AND Y.RTNG_SCL_SIMUL IS NULL),1,0)) AS NUM_REG_DIF,'1' AS ID_EXEC, CURRENT_TIMESTAMP() AS TIME_EXEC FROM (SELECT instrmnt_id, RTNG_SCL FROM CD_LOAN_TAPES_BCE.LT002_INSTRUMENT WHERE ref_date='${ref_date}' AND nome_perimetro='Individual Corporativo' AND segmento='ESTR' AND ambito='PM' AND entidade='00100')X INNER JOIN (SELECT instrmnt_id AS instrmnt_id_SIMUL, RTNG_SCL AS RTNG_SCL_SIMUL FROM BU_LOANTAPE_WORK.LT002_INSTRUMENT WHERE ref_date='${ref_date}' AND nome_perimetro='Individual Corporativo' AND segmento='ESTR' AND ambito='PM' AND entidade='00100')Y ON X.INSTRMNT_ID=Y.INSTRMNT_ID_SIMUL</v>
      </c>
      <c r="N236" s="38" t="s">
        <v>46</v>
      </c>
    </row>
    <row r="237" spans="2:14" hidden="1">
      <c r="B237" s="34" t="s">
        <v>126</v>
      </c>
      <c r="C237" s="34" t="s">
        <v>5</v>
      </c>
      <c r="D237" s="34" t="str">
        <f>+UPPER('0. Instruções'!$D$35&amp;"."&amp;VLOOKUP(B237,'0. Instruções'!$C$27:$D$32,2,FALSE))</f>
        <v>CD_LOAN_TAPES_BCE.LT002_INSTRUMENT</v>
      </c>
      <c r="E237" s="34" t="str">
        <f>+UPPER('0. Instruções'!$D$36&amp;"."&amp;VLOOKUP(B237,'0. Instruções'!$C$27:$E$32,3,FALSE))</f>
        <v>BU_LOANTAPE_WORK.LT002_INSTRUMENT</v>
      </c>
      <c r="F237" s="34" t="s">
        <v>519</v>
      </c>
      <c r="G237" s="34"/>
      <c r="H237" s="34" t="s">
        <v>89</v>
      </c>
      <c r="I237" s="34" t="str">
        <f>"(SELECT "&amp;VLOOKUP(B237,'0. Instruções'!$C$27:$G$32,4,FALSE)&amp;", "&amp;F237&amp;" FROM "&amp;D237&amp;" WHERE "&amp;'0. Instruções'!$D$42&amp;")X"</f>
        <v>(SELECT instrmnt_id, SICR_ASSSSMNT_MTHD FROM CD_LOAN_TAPES_BCE.LT002_INSTRUMENT WHERE ref_date='${ref_date}' AND nome_perimetro='Individual Corporativo' AND segmento='ESTR' AND ambito='PM' AND entidade='00100')X</v>
      </c>
      <c r="J237" s="34" t="str">
        <f>"(SELECT "&amp;VLOOKUP(B237,'0. Instruções'!$C$27:$G$32,4,FALSE)&amp;" AS "&amp;VLOOKUP(B237,'0. Instruções'!$C$27:$G$32,4,FALSE)&amp;"_SIMUL, "&amp;F237&amp;" AS "&amp;F237&amp;"_SIMUL FROM "&amp;E237&amp;" WHERE "&amp;'0. Instruções'!$D$43&amp;")Y"</f>
        <v>(SELECT instrmnt_id AS instrmnt_id_SIMUL, SICR_ASSSSMNT_MTHD AS SICR_ASSSSMNT_MTHD_SIMUL FROM BU_LOANTAPE_WORK.LT002_INSTRUMENT WHERE ref_date='${ref_date}' AND nome_perimetro='Individual Corporativo' AND segmento='ESTR' AND ambito='PM' AND entidade='00100')Y</v>
      </c>
      <c r="K237" s="35" t="str">
        <f>+UPPER("ON X."&amp;VLOOKUP(B237,'0. Instruções'!$C$27:$G$32,4,FALSE)&amp;"=Y."&amp;VLOOKUP(B237,'0. Instruções'!$C$27:$G$32,4,FALSE)&amp;"_SIMUL")</f>
        <v>ON X.INSTRMNT_ID=Y.INSTRMNT_ID_SIMUL</v>
      </c>
      <c r="L237" s="35" t="str">
        <f>+IF(C237="Coerência", +IF(LEFT(G237,5)="FLOAT","SELECT '"&amp;UPPER(B237)&amp;"' AS TABELA, '"&amp;UPPER(C237)&amp;"' AS TIPOLOGIA_TESTE,'"&amp;D237&amp;"' AS TABELA_LT,'"&amp;E237&amp;"' AS TABELA_SIMUL,'"&amp;F237&amp;"' AS CAMPO, "&amp;"'${ref_date}' AS REF_DATE, COUNT(*) AS NUM_REG, SUM(IF((ABS(COALESCE(CAST(X."&amp;F237&amp;" AS DECIMAL(18,6)),0)-COALESCE(CAST(Y."&amp;F237&amp;"_SIMUL AS DECIMAL(18,6)),0))&gt;0.000001) OR (X."&amp;F237&amp;" IS NULL AND Y."&amp;F237&amp;"_SIMUL IS NOT NULL ) OR (X."&amp;F237&amp;" IS NOT NULL AND Y."&amp;F237&amp;"_SIMUL IS NULL),1,0)) AS NUM_REG_DIF,'"&amp;MAX('ID1&amp;5'!K:K)+1&amp;"' AS ID_EXEC, CURRENT_TIMESTAMP() AS TIME_EXEC FROM "&amp;I237&amp;" INNER JOIN "&amp;J237&amp;" "&amp;K237,"SELECT '"&amp;UPPER(B237)&amp;"' AS TABELA, '"&amp;UPPER(C237)&amp;"' AS TIPOLOGIA_TESTE,'"&amp;D237&amp;"' AS TABELA_LT,'"&amp;E237&amp;"' AS TABELA_SIMUL,'"&amp;F237&amp;"' AS CAMPO, "&amp;"'${ref_date}' AS REF_DATE, COUNT(*) AS NUM_REG, SUM(IF(COALESCE(CAST(X."&amp;F237&amp;" AS STRING),'')&lt;&gt;COALESCE(CAST(Y."&amp;F237&amp;"_SIMUL AS STRING),'') OR (X."&amp;F237&amp;" IS NULL AND Y."&amp;F237&amp;"_SIMUL IS NOT NULL ) OR (X."&amp;F237&amp;" IS NOT NULL AND Y."&amp;F237&amp;"_SIMUL IS NULL),1,0)) AS NUM_REG_DIF,'"&amp;MAX('ID1&amp;5'!L:L)+1&amp;"' AS ID_EXEC, CURRENT_TIMESTAMP() AS TIME_EXEC FROM "&amp;I237&amp;" INNER JOIN "&amp;J237&amp;" "&amp;K237),
IF(C237="Validade",+IF(G237="Code List","SELECT '"&amp;UPPER(B237)&amp;"' AS TABELA, '"&amp;UPPER(C237)&amp;"' AS TIPOLOGIA_TESTE,'"&amp;D237&amp;"' AS TABELA_LT,'N/A' AS TABELA_SIMUL,'"&amp;F237&amp;"' AS CAMPO, "&amp;"'${ref_date}' AS REF_DATE, COUNT(*) AS NUM_REG, SUM(IF(TRIM(CAST(X."&amp;F237&amp;" AS STRING))='' OR TRIM(CAST(X."&amp;F237&amp;" AS STRING)) IS NULL OR CAST(X."&amp;F237&amp;" AS STRING) NOT "&amp;H237&amp;",1,0)) AS NUM_REG_DIF,'"&amp;MAX('ID1&amp;5'!K:K)+1&amp;"' AS ID_EXEC, CURRENT_TIMESTAMP() AS TIME_EXEC FROM "&amp;I237,"SELECT '"&amp;UPPER(B237)&amp;"' AS TABELA, '"&amp;UPPER(C237)&amp;"' AS TIPOLOGIA_TESTE,'"&amp;D237&amp;"' AS TABELA_LT,'N/A' AS TABELA_SIMUL,'"&amp;F237&amp;"' AS CAMPO, "&amp;"'${ref_date}' AS REF_DATE, COUNT(*) AS NUM_REG, SUM(IF(TRIM(CAST(X."&amp;F237&amp;" AS STRING))='' OR TRIM(CAST(X."&amp;F237&amp;" AS STRING)) IS NULL,1,0)) AS NUM_REG_DIF,'"&amp;MAX('ID1&amp;5'!K:K)+1&amp;"' AS ID_EXEC, CURRENT_TIMESTAMP() AS TIME_EXEC FROM "&amp;I237),
IF(C237="Caracteres Especiais",+"SELECT '"&amp;UPPER(B237)&amp;"' AS TABELA, '"&amp;UPPER(C237)&amp;"' AS TIPOLOGIA_TESTE,'"&amp;D237&amp;"' AS TABELA_LT,'N/A' AS TABELA_SIMUL,'"&amp;F237&amp;"' AS CAMPO, "&amp;"'${ref_date}' AS REF_DATE, COUNT(*) AS NUM_REG, SUM(IF(REGEXP_REPLACE(TRIM(CAST(X."&amp;F237&amp;" AS STRING)),'[^a-zA-Z0-9_\\s]','') &lt;&gt;TRIM(CAST(X."&amp;F237&amp;" AS STRING)),1,0)) AS NUM_REG_DIF,'"&amp;MAX('ID1&amp;5'!K:K)+1&amp;"' AS ID_EXEC, CURRENT_TIMESTAMP() AS TIME_EXEC FROM "&amp;I237,
IF(C237="Missings",+"SELECT '"&amp;UPPER(B237)&amp;"' AS TABELA, '"&amp;UPPER(C237)&amp;"' AS TIPOLOGIA_TESTE,'"&amp;D237&amp;"' AS TABELA_LT,'N/A' AS TABELA_SIMUL,'"&amp;F237&amp;"' AS CAMPO, "&amp;"'${ref_date}' AS REF_DATE, COUNT(*) AS NUM_REG, SUM(IF(TRIM(CAST(X."&amp;F237&amp;" AS STRING)) IN ('0000-00-00','0001-01-01','9999-12-31','MISS','00000','99999999999','99999999999.00','99999999999.000000'),1,0)) AS NUM_REG_DIF,'"&amp;MAX('ID1&amp;5'!K:K)+1&amp;"' AS ID_EXEC, CURRENT_TIMESTAMP() AS TIME_EXEC FROM "&amp;I237,
IF(C237="Not applicable",+"SELECT '"&amp;UPPER(B237)&amp;"' AS TABELA, '"&amp;UPPER(C237)&amp;"' AS TIPOLOGIA_TESTE,'"&amp;D237&amp;"' AS TABELA_LT,'N/A' AS TABELA_SIMUL,'"&amp;F237&amp;"' AS CAMPO, "&amp;"'${ref_date}' AS REF_DATE, COUNT(*) AS NUM_REG, SUM(IF(TRIM(CAST(X."&amp;F237&amp;" AS STRING)) IN ('N/A','11111111111','11111111111.00','11111111111.000000','1111-11-11'),1,0)) AS NUM_REG_DIF,'"&amp;MAX('ID1&amp;5'!K:K)+1&amp;"' AS ID_EXEC, CURRENT_TIMESTAMP() AS TIME_EXEC FROM "&amp;I237,
IF(C237="Valores extremos",+"SELECT '"&amp;UPPER(B237)&amp;"' AS TABELA, '"&amp;UPPER(C237)&amp;"' AS TIPOLOGIA_TESTE,'"&amp;D237&amp;"' AS TABELA_LT,'N/A' AS TABELA_SIMUL,'"&amp;F237&amp;"' AS CAMPO, "&amp;"'${ref_date}' AS REF_DATE, CAST(MIN("&amp;F237&amp;") AS STRING) AS VALOR_MIN, CAST(MAX("&amp;F237&amp;") AS STRING) AS VALOR_MAX,'"&amp;MAX('ID1&amp;5'!K:K)+1&amp;"' AS ID_EXEC, CURRENT_TIMESTAMP() AS TIME_EXEC FROM "&amp;MID(I237,1,LEN(I237)-2)&amp;" AND CAST("&amp;F237&amp;"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TABELA_SIMUL,'SICR_ASSSSMNT_MTHD' AS CAMPO, '${ref_date}' AS REF_DATE, COUNT(*) AS NUM_REG, SUM(IF(COALESCE(CAST(X.SICR_ASSSSMNT_MTHD AS STRING),'')&lt;&gt;COALESCE(CAST(Y.SICR_ASSSSMNT_MTHD_SIMUL AS STRING),'') OR (X.SICR_ASSSSMNT_MTHD IS NULL AND Y.SICR_ASSSSMNT_MTHD_SIMUL IS NOT NULL ) OR (X.SICR_ASSSSMNT_MTHD IS NOT NULL AND Y.SICR_ASSSSMNT_MTHD_SIMUL IS NULL),1,0)) AS NUM_REG_DIF,'1' AS ID_EXEC, CURRENT_TIMESTAMP() AS TIME_EXEC FROM (SELECT instrmnt_id, SICR_ASSSSMNT_MTHD FROM CD_LOAN_TAPES_BCE.LT002_INSTRUMENT WHERE ref_date='${ref_date}' AND nome_perimetro='Individual Corporativo' AND segmento='ESTR' AND ambito='PM' AND entidade='00100')X INNER JOIN (SELECT instrmnt_id AS instrmnt_id_SIMUL, SICR_ASSSSMNT_MTHD AS SICR_ASSSSMNT_MTHD_SIMUL FROM BU_LOANTAPE_WORK.LT002_INSTRUMENT WHERE ref_date='${ref_date}' AND nome_perimetro='Individual Corporativo' AND segmento='ESTR' AND ambito='PM' AND entidade='00100')Y ON X.INSTRMNT_ID=Y.INSTRMNT_ID_SIMUL</v>
      </c>
      <c r="M237" s="36" t="str">
        <f t="shared" si="3"/>
        <v>UNION ALL SELECT 'INSTRUMENT' AS TABELA, 'COERÊNCIA' AS TIPOLOGIA_TESTE,'CD_LOAN_TAPES_BCE.LT002_INSTRUMENT' AS TABELA_LT,'BU_LOANTAPE_WORK.LT002_INSTRUMENT' AS TABELA_SIMUL,'SICR_ASSSSMNT_MTHD' AS CAMPO, '${ref_date}' AS REF_DATE, COUNT(*) AS NUM_REG, SUM(IF(COALESCE(CAST(X.SICR_ASSSSMNT_MTHD AS STRING),'')&lt;&gt;COALESCE(CAST(Y.SICR_ASSSSMNT_MTHD_SIMUL AS STRING),'') OR (X.SICR_ASSSSMNT_MTHD IS NULL AND Y.SICR_ASSSSMNT_MTHD_SIMUL IS NOT NULL ) OR (X.SICR_ASSSSMNT_MTHD IS NOT NULL AND Y.SICR_ASSSSMNT_MTHD_SIMUL IS NULL),1,0)) AS NUM_REG_DIF,'1' AS ID_EXEC, CURRENT_TIMESTAMP() AS TIME_EXEC FROM (SELECT instrmnt_id, SICR_ASSSSMNT_MTHD FROM CD_LOAN_TAPES_BCE.LT002_INSTRUMENT WHERE ref_date='${ref_date}' AND nome_perimetro='Individual Corporativo' AND segmento='ESTR' AND ambito='PM' AND entidade='00100')X INNER JOIN (SELECT instrmnt_id AS instrmnt_id_SIMUL, SICR_ASSSSMNT_MTHD AS SICR_ASSSSMNT_MTHD_SIMUL FROM BU_LOANTAPE_WORK.LT002_INSTRUMENT WHERE ref_date='${ref_date}' AND nome_perimetro='Individual Corporativo' AND segmento='ESTR' AND ambito='PM' AND entidade='00100')Y ON X.INSTRMNT_ID=Y.INSTRMNT_ID_SIMUL</v>
      </c>
      <c r="N237" s="38" t="s">
        <v>46</v>
      </c>
    </row>
    <row r="238" spans="2:14" hidden="1">
      <c r="B238" s="34" t="s">
        <v>126</v>
      </c>
      <c r="C238" s="34" t="s">
        <v>5</v>
      </c>
      <c r="D238" s="34" t="str">
        <f>+UPPER('0. Instruções'!$D$35&amp;"."&amp;VLOOKUP(B238,'0. Instruções'!$C$27:$D$32,2,FALSE))</f>
        <v>CD_LOAN_TAPES_BCE.LT002_INSTRUMENT</v>
      </c>
      <c r="E238" s="34" t="str">
        <f>+UPPER('0. Instruções'!$D$36&amp;"."&amp;VLOOKUP(B238,'0. Instruções'!$C$27:$E$32,3,FALSE))</f>
        <v>BU_LOANTAPE_WORK.LT002_INSTRUMENT</v>
      </c>
      <c r="F238" s="34" t="s">
        <v>520</v>
      </c>
      <c r="G238" s="34"/>
      <c r="H238" s="34" t="s">
        <v>91</v>
      </c>
      <c r="I238" s="34" t="str">
        <f>"(SELECT "&amp;VLOOKUP(B238,'0. Instruções'!$C$27:$G$32,4,FALSE)&amp;", "&amp;F238&amp;" FROM "&amp;D238&amp;" WHERE "&amp;'0. Instruções'!$D$42&amp;")X"</f>
        <v>(SELECT instrmnt_id, ANNLSD_AGRD_RT FROM CD_LOAN_TAPES_BCE.LT002_INSTRUMENT WHERE ref_date='${ref_date}' AND nome_perimetro='Individual Corporativo' AND segmento='ESTR' AND ambito='PM' AND entidade='00100')X</v>
      </c>
      <c r="J238" s="34" t="str">
        <f>"(SELECT "&amp;VLOOKUP(B238,'0. Instruções'!$C$27:$G$32,4,FALSE)&amp;" AS "&amp;VLOOKUP(B238,'0. Instruções'!$C$27:$G$32,4,FALSE)&amp;"_SIMUL, "&amp;F238&amp;" AS "&amp;F238&amp;"_SIMUL FROM "&amp;E238&amp;" WHERE "&amp;'0. Instruções'!$D$43&amp;")Y"</f>
        <v>(SELECT instrmnt_id AS instrmnt_id_SIMUL, ANNLSD_AGRD_RT AS ANNLSD_AGRD_RT_SIMUL FROM BU_LOANTAPE_WORK.LT002_INSTRUMENT WHERE ref_date='${ref_date}' AND nome_perimetro='Individual Corporativo' AND segmento='ESTR' AND ambito='PM' AND entidade='00100')Y</v>
      </c>
      <c r="K238" s="35" t="str">
        <f>+UPPER("ON X."&amp;VLOOKUP(B238,'0. Instruções'!$C$27:$G$32,4,FALSE)&amp;"=Y."&amp;VLOOKUP(B238,'0. Instruções'!$C$27:$G$32,4,FALSE)&amp;"_SIMUL")</f>
        <v>ON X.INSTRMNT_ID=Y.INSTRMNT_ID_SIMUL</v>
      </c>
      <c r="L238" s="35" t="str">
        <f>+IF(C238="Coerência", +IF(LEFT(G238,5)="FLOAT","SELECT '"&amp;UPPER(B238)&amp;"' AS TABELA, '"&amp;UPPER(C238)&amp;"' AS TIPOLOGIA_TESTE,'"&amp;D238&amp;"' AS TABELA_LT,'"&amp;E238&amp;"' AS TABELA_SIMUL,'"&amp;F238&amp;"' AS CAMPO, "&amp;"'${ref_date}' AS REF_DATE, COUNT(*) AS NUM_REG, SUM(IF((ABS(COALESCE(CAST(X."&amp;F238&amp;" AS DECIMAL(18,6)),0)-COALESCE(CAST(Y."&amp;F238&amp;"_SIMUL AS DECIMAL(18,6)),0))&gt;0.000001) OR (X."&amp;F238&amp;" IS NULL AND Y."&amp;F238&amp;"_SIMUL IS NOT NULL ) OR (X."&amp;F238&amp;" IS NOT NULL AND Y."&amp;F238&amp;"_SIMUL IS NULL),1,0)) AS NUM_REG_DIF,'"&amp;MAX('ID1&amp;5'!K:K)+1&amp;"' AS ID_EXEC, CURRENT_TIMESTAMP() AS TIME_EXEC FROM "&amp;I238&amp;" INNER JOIN "&amp;J238&amp;" "&amp;K238,"SELECT '"&amp;UPPER(B238)&amp;"' AS TABELA, '"&amp;UPPER(C238)&amp;"' AS TIPOLOGIA_TESTE,'"&amp;D238&amp;"' AS TABELA_LT,'"&amp;E238&amp;"' AS TABELA_SIMUL,'"&amp;F238&amp;"' AS CAMPO, "&amp;"'${ref_date}' AS REF_DATE, COUNT(*) AS NUM_REG, SUM(IF(COALESCE(CAST(X."&amp;F238&amp;" AS STRING),'')&lt;&gt;COALESCE(CAST(Y."&amp;F238&amp;"_SIMUL AS STRING),'') OR (X."&amp;F238&amp;" IS NULL AND Y."&amp;F238&amp;"_SIMUL IS NOT NULL ) OR (X."&amp;F238&amp;" IS NOT NULL AND Y."&amp;F238&amp;"_SIMUL IS NULL),1,0)) AS NUM_REG_DIF,'"&amp;MAX('ID1&amp;5'!L:L)+1&amp;"' AS ID_EXEC, CURRENT_TIMESTAMP() AS TIME_EXEC FROM "&amp;I238&amp;" INNER JOIN "&amp;J238&amp;" "&amp;K238),
IF(C238="Validade",+IF(G238="Code List","SELECT '"&amp;UPPER(B238)&amp;"' AS TABELA, '"&amp;UPPER(C238)&amp;"' AS TIPOLOGIA_TESTE,'"&amp;D238&amp;"' AS TABELA_LT,'N/A' AS TABELA_SIMUL,'"&amp;F238&amp;"' AS CAMPO, "&amp;"'${ref_date}' AS REF_DATE, COUNT(*) AS NUM_REG, SUM(IF(TRIM(CAST(X."&amp;F238&amp;" AS STRING))='' OR TRIM(CAST(X."&amp;F238&amp;" AS STRING)) IS NULL OR CAST(X."&amp;F238&amp;" AS STRING) NOT "&amp;H238&amp;",1,0)) AS NUM_REG_DIF,'"&amp;MAX('ID1&amp;5'!K:K)+1&amp;"' AS ID_EXEC, CURRENT_TIMESTAMP() AS TIME_EXEC FROM "&amp;I238,"SELECT '"&amp;UPPER(B238)&amp;"' AS TABELA, '"&amp;UPPER(C238)&amp;"' AS TIPOLOGIA_TESTE,'"&amp;D238&amp;"' AS TABELA_LT,'N/A' AS TABELA_SIMUL,'"&amp;F238&amp;"' AS CAMPO, "&amp;"'${ref_date}' AS REF_DATE, COUNT(*) AS NUM_REG, SUM(IF(TRIM(CAST(X."&amp;F238&amp;" AS STRING))='' OR TRIM(CAST(X."&amp;F238&amp;" AS STRING)) IS NULL,1,0)) AS NUM_REG_DIF,'"&amp;MAX('ID1&amp;5'!K:K)+1&amp;"' AS ID_EXEC, CURRENT_TIMESTAMP() AS TIME_EXEC FROM "&amp;I238),
IF(C238="Caracteres Especiais",+"SELECT '"&amp;UPPER(B238)&amp;"' AS TABELA, '"&amp;UPPER(C238)&amp;"' AS TIPOLOGIA_TESTE,'"&amp;D238&amp;"' AS TABELA_LT,'N/A' AS TABELA_SIMUL,'"&amp;F238&amp;"' AS CAMPO, "&amp;"'${ref_date}' AS REF_DATE, COUNT(*) AS NUM_REG, SUM(IF(REGEXP_REPLACE(TRIM(CAST(X."&amp;F238&amp;" AS STRING)),'[^a-zA-Z0-9_\\s]','') &lt;&gt;TRIM(CAST(X."&amp;F238&amp;" AS STRING)),1,0)) AS NUM_REG_DIF,'"&amp;MAX('ID1&amp;5'!K:K)+1&amp;"' AS ID_EXEC, CURRENT_TIMESTAMP() AS TIME_EXEC FROM "&amp;I238,
IF(C238="Missings",+"SELECT '"&amp;UPPER(B238)&amp;"' AS TABELA, '"&amp;UPPER(C238)&amp;"' AS TIPOLOGIA_TESTE,'"&amp;D238&amp;"' AS TABELA_LT,'N/A' AS TABELA_SIMUL,'"&amp;F238&amp;"' AS CAMPO, "&amp;"'${ref_date}' AS REF_DATE, COUNT(*) AS NUM_REG, SUM(IF(TRIM(CAST(X."&amp;F238&amp;" AS STRING)) IN ('0000-00-00','0001-01-01','9999-12-31','MISS','00000','99999999999','99999999999.00','99999999999.000000'),1,0)) AS NUM_REG_DIF,'"&amp;MAX('ID1&amp;5'!K:K)+1&amp;"' AS ID_EXEC, CURRENT_TIMESTAMP() AS TIME_EXEC FROM "&amp;I238,
IF(C238="Not applicable",+"SELECT '"&amp;UPPER(B238)&amp;"' AS TABELA, '"&amp;UPPER(C238)&amp;"' AS TIPOLOGIA_TESTE,'"&amp;D238&amp;"' AS TABELA_LT,'N/A' AS TABELA_SIMUL,'"&amp;F238&amp;"' AS CAMPO, "&amp;"'${ref_date}' AS REF_DATE, COUNT(*) AS NUM_REG, SUM(IF(TRIM(CAST(X."&amp;F238&amp;" AS STRING)) IN ('N/A','11111111111','11111111111.00','11111111111.000000','1111-11-11'),1,0)) AS NUM_REG_DIF,'"&amp;MAX('ID1&amp;5'!K:K)+1&amp;"' AS ID_EXEC, CURRENT_TIMESTAMP() AS TIME_EXEC FROM "&amp;I238,
IF(C238="Valores extremos",+"SELECT '"&amp;UPPER(B238)&amp;"' AS TABELA, '"&amp;UPPER(C238)&amp;"' AS TIPOLOGIA_TESTE,'"&amp;D238&amp;"' AS TABELA_LT,'N/A' AS TABELA_SIMUL,'"&amp;F238&amp;"' AS CAMPO, "&amp;"'${ref_date}' AS REF_DATE, CAST(MIN("&amp;F238&amp;") AS STRING) AS VALOR_MIN, CAST(MAX("&amp;F238&amp;") AS STRING) AS VALOR_MAX,'"&amp;MAX('ID1&amp;5'!K:K)+1&amp;"' AS ID_EXEC, CURRENT_TIMESTAMP() AS TIME_EXEC FROM "&amp;MID(I238,1,LEN(I238)-2)&amp;" AND CAST("&amp;F238&amp;"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TABELA_SIMUL,'ANNLSD_AGRD_RT' AS CAMPO, '${ref_date}' AS REF_DATE, COUNT(*) AS NUM_REG, SUM(IF(COALESCE(CAST(X.ANNLSD_AGRD_RT AS STRING),'')&lt;&gt;COALESCE(CAST(Y.ANNLSD_AGRD_RT_SIMUL AS STRING),'') OR (X.ANNLSD_AGRD_RT IS NULL AND Y.ANNLSD_AGRD_RT_SIMUL IS NOT NULL ) OR (X.ANNLSD_AGRD_RT IS NOT NULL AND Y.ANNLSD_AGRD_RT_SIMUL IS NULL),1,0)) AS NUM_REG_DIF,'1' AS ID_EXEC, CURRENT_TIMESTAMP() AS TIME_EXEC FROM (SELECT instrmnt_id, ANNLSD_AGRD_RT FROM CD_LOAN_TAPES_BCE.LT002_INSTRUMENT WHERE ref_date='${ref_date}' AND nome_perimetro='Individual Corporativo' AND segmento='ESTR' AND ambito='PM' AND entidade='00100')X INNER JOIN (SELECT instrmnt_id AS instrmnt_id_SIMUL, ANNLSD_AGRD_RT AS ANNLSD_AGRD_RT_SIMUL FROM BU_LOANTAPE_WORK.LT002_INSTRUMENT WHERE ref_date='${ref_date}' AND nome_perimetro='Individual Corporativo' AND segmento='ESTR' AND ambito='PM' AND entidade='00100')Y ON X.INSTRMNT_ID=Y.INSTRMNT_ID_SIMUL</v>
      </c>
      <c r="M238" s="36" t="str">
        <f t="shared" si="3"/>
        <v>UNION ALL SELECT 'INSTRUMENT' AS TABELA, 'COERÊNCIA' AS TIPOLOGIA_TESTE,'CD_LOAN_TAPES_BCE.LT002_INSTRUMENT' AS TABELA_LT,'BU_LOANTAPE_WORK.LT002_INSTRUMENT' AS TABELA_SIMUL,'ANNLSD_AGRD_RT' AS CAMPO, '${ref_date}' AS REF_DATE, COUNT(*) AS NUM_REG, SUM(IF(COALESCE(CAST(X.ANNLSD_AGRD_RT AS STRING),'')&lt;&gt;COALESCE(CAST(Y.ANNLSD_AGRD_RT_SIMUL AS STRING),'') OR (X.ANNLSD_AGRD_RT IS NULL AND Y.ANNLSD_AGRD_RT_SIMUL IS NOT NULL ) OR (X.ANNLSD_AGRD_RT IS NOT NULL AND Y.ANNLSD_AGRD_RT_SIMUL IS NULL),1,0)) AS NUM_REG_DIF,'1' AS ID_EXEC, CURRENT_TIMESTAMP() AS TIME_EXEC FROM (SELECT instrmnt_id, ANNLSD_AGRD_RT FROM CD_LOAN_TAPES_BCE.LT002_INSTRUMENT WHERE ref_date='${ref_date}' AND nome_perimetro='Individual Corporativo' AND segmento='ESTR' AND ambito='PM' AND entidade='00100')X INNER JOIN (SELECT instrmnt_id AS instrmnt_id_SIMUL, ANNLSD_AGRD_RT AS ANNLSD_AGRD_RT_SIMUL FROM BU_LOANTAPE_WORK.LT002_INSTRUMENT WHERE ref_date='${ref_date}' AND nome_perimetro='Individual Corporativo' AND segmento='ESTR' AND ambito='PM' AND entidade='00100')Y ON X.INSTRMNT_ID=Y.INSTRMNT_ID_SIMUL</v>
      </c>
      <c r="N238" s="38" t="s">
        <v>46</v>
      </c>
    </row>
    <row r="239" spans="2:14" hidden="1">
      <c r="B239" s="34" t="s">
        <v>126</v>
      </c>
      <c r="C239" s="34" t="s">
        <v>5</v>
      </c>
      <c r="D239" s="34" t="str">
        <f>+UPPER('0. Instruções'!$D$35&amp;"."&amp;VLOOKUP(B239,'0. Instruções'!$C$27:$D$32,2,FALSE))</f>
        <v>CD_LOAN_TAPES_BCE.LT002_INSTRUMENT</v>
      </c>
      <c r="E239" s="34" t="str">
        <f>+UPPER('0. Instruções'!$D$36&amp;"."&amp;VLOOKUP(B239,'0. Instruções'!$C$27:$E$32,3,FALSE))</f>
        <v>BU_LOANTAPE_WORK.LT002_INSTRUMENT</v>
      </c>
      <c r="F239" s="34" t="s">
        <v>521</v>
      </c>
      <c r="G239" s="34"/>
      <c r="H239" s="34" t="s">
        <v>91</v>
      </c>
      <c r="I239" s="34" t="str">
        <f>"(SELECT "&amp;VLOOKUP(B239,'0. Instruções'!$C$27:$G$32,4,FALSE)&amp;", "&amp;F239&amp;" FROM "&amp;D239&amp;" WHERE "&amp;'0. Instruções'!$D$42&amp;")X"</f>
        <v>(SELECT instrmnt_id, EIR FROM CD_LOAN_TAPES_BCE.LT002_INSTRUMENT WHERE ref_date='${ref_date}' AND nome_perimetro='Individual Corporativo' AND segmento='ESTR' AND ambito='PM' AND entidade='00100')X</v>
      </c>
      <c r="J239" s="34" t="str">
        <f>"(SELECT "&amp;VLOOKUP(B239,'0. Instruções'!$C$27:$G$32,4,FALSE)&amp;" AS "&amp;VLOOKUP(B239,'0. Instruções'!$C$27:$G$32,4,FALSE)&amp;"_SIMUL, "&amp;F239&amp;" AS "&amp;F239&amp;"_SIMUL FROM "&amp;E239&amp;" WHERE "&amp;'0. Instruções'!$D$43&amp;")Y"</f>
        <v>(SELECT instrmnt_id AS instrmnt_id_SIMUL, EIR AS EIR_SIMUL FROM BU_LOANTAPE_WORK.LT002_INSTRUMENT WHERE ref_date='${ref_date}' AND nome_perimetro='Individual Corporativo' AND segmento='ESTR' AND ambito='PM' AND entidade='00100')Y</v>
      </c>
      <c r="K239" s="35" t="str">
        <f>+UPPER("ON X."&amp;VLOOKUP(B239,'0. Instruções'!$C$27:$G$32,4,FALSE)&amp;"=Y."&amp;VLOOKUP(B239,'0. Instruções'!$C$27:$G$32,4,FALSE)&amp;"_SIMUL")</f>
        <v>ON X.INSTRMNT_ID=Y.INSTRMNT_ID_SIMUL</v>
      </c>
      <c r="L239" s="35" t="str">
        <f>+IF(C239="Coerência", +IF(LEFT(G239,5)="FLOAT","SELECT '"&amp;UPPER(B239)&amp;"' AS TABELA, '"&amp;UPPER(C239)&amp;"' AS TIPOLOGIA_TESTE,'"&amp;D239&amp;"' AS TABELA_LT,'"&amp;E239&amp;"' AS TABELA_SIMUL,'"&amp;F239&amp;"' AS CAMPO, "&amp;"'${ref_date}' AS REF_DATE, COUNT(*) AS NUM_REG, SUM(IF((ABS(COALESCE(CAST(X."&amp;F239&amp;" AS DECIMAL(18,6)),0)-COALESCE(CAST(Y."&amp;F239&amp;"_SIMUL AS DECIMAL(18,6)),0))&gt;0.000001) OR (X."&amp;F239&amp;" IS NULL AND Y."&amp;F239&amp;"_SIMUL IS NOT NULL ) OR (X."&amp;F239&amp;" IS NOT NULL AND Y."&amp;F239&amp;"_SIMUL IS NULL),1,0)) AS NUM_REG_DIF,'"&amp;MAX('ID1&amp;5'!K:K)+1&amp;"' AS ID_EXEC, CURRENT_TIMESTAMP() AS TIME_EXEC FROM "&amp;I239&amp;" INNER JOIN "&amp;J239&amp;" "&amp;K239,"SELECT '"&amp;UPPER(B239)&amp;"' AS TABELA, '"&amp;UPPER(C239)&amp;"' AS TIPOLOGIA_TESTE,'"&amp;D239&amp;"' AS TABELA_LT,'"&amp;E239&amp;"' AS TABELA_SIMUL,'"&amp;F239&amp;"' AS CAMPO, "&amp;"'${ref_date}' AS REF_DATE, COUNT(*) AS NUM_REG, SUM(IF(COALESCE(CAST(X."&amp;F239&amp;" AS STRING),'')&lt;&gt;COALESCE(CAST(Y."&amp;F239&amp;"_SIMUL AS STRING),'') OR (X."&amp;F239&amp;" IS NULL AND Y."&amp;F239&amp;"_SIMUL IS NOT NULL ) OR (X."&amp;F239&amp;" IS NOT NULL AND Y."&amp;F239&amp;"_SIMUL IS NULL),1,0)) AS NUM_REG_DIF,'"&amp;MAX('ID1&amp;5'!L:L)+1&amp;"' AS ID_EXEC, CURRENT_TIMESTAMP() AS TIME_EXEC FROM "&amp;I239&amp;" INNER JOIN "&amp;J239&amp;" "&amp;K239),
IF(C239="Validade",+IF(G239="Code List","SELECT '"&amp;UPPER(B239)&amp;"' AS TABELA, '"&amp;UPPER(C239)&amp;"' AS TIPOLOGIA_TESTE,'"&amp;D239&amp;"' AS TABELA_LT,'N/A' AS TABELA_SIMUL,'"&amp;F239&amp;"' AS CAMPO, "&amp;"'${ref_date}' AS REF_DATE, COUNT(*) AS NUM_REG, SUM(IF(TRIM(CAST(X."&amp;F239&amp;" AS STRING))='' OR TRIM(CAST(X."&amp;F239&amp;" AS STRING)) IS NULL OR CAST(X."&amp;F239&amp;" AS STRING) NOT "&amp;H239&amp;",1,0)) AS NUM_REG_DIF,'"&amp;MAX('ID1&amp;5'!K:K)+1&amp;"' AS ID_EXEC, CURRENT_TIMESTAMP() AS TIME_EXEC FROM "&amp;I239,"SELECT '"&amp;UPPER(B239)&amp;"' AS TABELA, '"&amp;UPPER(C239)&amp;"' AS TIPOLOGIA_TESTE,'"&amp;D239&amp;"' AS TABELA_LT,'N/A' AS TABELA_SIMUL,'"&amp;F239&amp;"' AS CAMPO, "&amp;"'${ref_date}' AS REF_DATE, COUNT(*) AS NUM_REG, SUM(IF(TRIM(CAST(X."&amp;F239&amp;" AS STRING))='' OR TRIM(CAST(X."&amp;F239&amp;" AS STRING)) IS NULL,1,0)) AS NUM_REG_DIF,'"&amp;MAX('ID1&amp;5'!K:K)+1&amp;"' AS ID_EXEC, CURRENT_TIMESTAMP() AS TIME_EXEC FROM "&amp;I239),
IF(C239="Caracteres Especiais",+"SELECT '"&amp;UPPER(B239)&amp;"' AS TABELA, '"&amp;UPPER(C239)&amp;"' AS TIPOLOGIA_TESTE,'"&amp;D239&amp;"' AS TABELA_LT,'N/A' AS TABELA_SIMUL,'"&amp;F239&amp;"' AS CAMPO, "&amp;"'${ref_date}' AS REF_DATE, COUNT(*) AS NUM_REG, SUM(IF(REGEXP_REPLACE(TRIM(CAST(X."&amp;F239&amp;" AS STRING)),'[^a-zA-Z0-9_\\s]','') &lt;&gt;TRIM(CAST(X."&amp;F239&amp;" AS STRING)),1,0)) AS NUM_REG_DIF,'"&amp;MAX('ID1&amp;5'!K:K)+1&amp;"' AS ID_EXEC, CURRENT_TIMESTAMP() AS TIME_EXEC FROM "&amp;I239,
IF(C239="Missings",+"SELECT '"&amp;UPPER(B239)&amp;"' AS TABELA, '"&amp;UPPER(C239)&amp;"' AS TIPOLOGIA_TESTE,'"&amp;D239&amp;"' AS TABELA_LT,'N/A' AS TABELA_SIMUL,'"&amp;F239&amp;"' AS CAMPO, "&amp;"'${ref_date}' AS REF_DATE, COUNT(*) AS NUM_REG, SUM(IF(TRIM(CAST(X."&amp;F239&amp;" AS STRING)) IN ('0000-00-00','0001-01-01','9999-12-31','MISS','00000','99999999999','99999999999.00','99999999999.000000'),1,0)) AS NUM_REG_DIF,'"&amp;MAX('ID1&amp;5'!K:K)+1&amp;"' AS ID_EXEC, CURRENT_TIMESTAMP() AS TIME_EXEC FROM "&amp;I239,
IF(C239="Not applicable",+"SELECT '"&amp;UPPER(B239)&amp;"' AS TABELA, '"&amp;UPPER(C239)&amp;"' AS TIPOLOGIA_TESTE,'"&amp;D239&amp;"' AS TABELA_LT,'N/A' AS TABELA_SIMUL,'"&amp;F239&amp;"' AS CAMPO, "&amp;"'${ref_date}' AS REF_DATE, COUNT(*) AS NUM_REG, SUM(IF(TRIM(CAST(X."&amp;F239&amp;" AS STRING)) IN ('N/A','11111111111','11111111111.00','11111111111.000000','1111-11-11'),1,0)) AS NUM_REG_DIF,'"&amp;MAX('ID1&amp;5'!K:K)+1&amp;"' AS ID_EXEC, CURRENT_TIMESTAMP() AS TIME_EXEC FROM "&amp;I239,
IF(C239="Valores extremos",+"SELECT '"&amp;UPPER(B239)&amp;"' AS TABELA, '"&amp;UPPER(C239)&amp;"' AS TIPOLOGIA_TESTE,'"&amp;D239&amp;"' AS TABELA_LT,'N/A' AS TABELA_SIMUL,'"&amp;F239&amp;"' AS CAMPO, "&amp;"'${ref_date}' AS REF_DATE, CAST(MIN("&amp;F239&amp;") AS STRING) AS VALOR_MIN, CAST(MAX("&amp;F239&amp;") AS STRING) AS VALOR_MAX,'"&amp;MAX('ID1&amp;5'!K:K)+1&amp;"' AS ID_EXEC, CURRENT_TIMESTAMP() AS TIME_EXEC FROM "&amp;MID(I239,1,LEN(I239)-2)&amp;" AND CAST("&amp;F239&amp;"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TABELA_SIMUL,'EIR' AS CAMPO, '${ref_date}' AS REF_DATE, COUNT(*) AS NUM_REG, SUM(IF(COALESCE(CAST(X.EIR AS STRING),'')&lt;&gt;COALESCE(CAST(Y.EIR_SIMUL AS STRING),'') OR (X.EIR IS NULL AND Y.EIR_SIMUL IS NOT NULL ) OR (X.EIR IS NOT NULL AND Y.EIR_SIMUL IS NULL),1,0)) AS NUM_REG_DIF,'1' AS ID_EXEC, CURRENT_TIMESTAMP() AS TIME_EXEC FROM (SELECT instrmnt_id, EIR FROM CD_LOAN_TAPES_BCE.LT002_INSTRUMENT WHERE ref_date='${ref_date}' AND nome_perimetro='Individual Corporativo' AND segmento='ESTR' AND ambito='PM' AND entidade='00100')X INNER JOIN (SELECT instrmnt_id AS instrmnt_id_SIMUL, EIR AS EIR_SIMUL FROM BU_LOANTAPE_WORK.LT002_INSTRUMENT WHERE ref_date='${ref_date}' AND nome_perimetro='Individual Corporativo' AND segmento='ESTR' AND ambito='PM' AND entidade='00100')Y ON X.INSTRMNT_ID=Y.INSTRMNT_ID_SIMUL</v>
      </c>
      <c r="M239" s="36" t="str">
        <f t="shared" si="3"/>
        <v>UNION ALL SELECT 'INSTRUMENT' AS TABELA, 'COERÊNCIA' AS TIPOLOGIA_TESTE,'CD_LOAN_TAPES_BCE.LT002_INSTRUMENT' AS TABELA_LT,'BU_LOANTAPE_WORK.LT002_INSTRUMENT' AS TABELA_SIMUL,'EIR' AS CAMPO, '${ref_date}' AS REF_DATE, COUNT(*) AS NUM_REG, SUM(IF(COALESCE(CAST(X.EIR AS STRING),'')&lt;&gt;COALESCE(CAST(Y.EIR_SIMUL AS STRING),'') OR (X.EIR IS NULL AND Y.EIR_SIMUL IS NOT NULL ) OR (X.EIR IS NOT NULL AND Y.EIR_SIMUL IS NULL),1,0)) AS NUM_REG_DIF,'1' AS ID_EXEC, CURRENT_TIMESTAMP() AS TIME_EXEC FROM (SELECT instrmnt_id, EIR FROM CD_LOAN_TAPES_BCE.LT002_INSTRUMENT WHERE ref_date='${ref_date}' AND nome_perimetro='Individual Corporativo' AND segmento='ESTR' AND ambito='PM' AND entidade='00100')X INNER JOIN (SELECT instrmnt_id AS instrmnt_id_SIMUL, EIR AS EIR_SIMUL FROM BU_LOANTAPE_WORK.LT002_INSTRUMENT WHERE ref_date='${ref_date}' AND nome_perimetro='Individual Corporativo' AND segmento='ESTR' AND ambito='PM' AND entidade='00100')Y ON X.INSTRMNT_ID=Y.INSTRMNT_ID_SIMUL</v>
      </c>
      <c r="N239" s="38" t="s">
        <v>46</v>
      </c>
    </row>
    <row r="240" spans="2:14" hidden="1">
      <c r="B240" s="34" t="s">
        <v>126</v>
      </c>
      <c r="C240" s="34" t="s">
        <v>5</v>
      </c>
      <c r="D240" s="34" t="str">
        <f>+UPPER('0. Instruções'!$D$35&amp;"."&amp;VLOOKUP(B240,'0. Instruções'!$C$27:$D$32,2,FALSE))</f>
        <v>CD_LOAN_TAPES_BCE.LT002_INSTRUMENT</v>
      </c>
      <c r="E240" s="34" t="str">
        <f>+UPPER('0. Instruções'!$D$36&amp;"."&amp;VLOOKUP(B240,'0. Instruções'!$C$27:$E$32,3,FALSE))</f>
        <v>BU_LOANTAPE_WORK.LT002_INSTRUMENT</v>
      </c>
      <c r="F240" s="34" t="s">
        <v>522</v>
      </c>
      <c r="G240" s="34"/>
      <c r="H240" s="34" t="s">
        <v>91</v>
      </c>
      <c r="I240" s="34" t="str">
        <f>"(SELECT "&amp;VLOOKUP(B240,'0. Instruções'!$C$27:$G$32,4,FALSE)&amp;", "&amp;F240&amp;" FROM "&amp;D240&amp;" WHERE "&amp;'0. Instruções'!$D$42&amp;")X"</f>
        <v>(SELECT instrmnt_id, EIR_INCPTN FROM CD_LOAN_TAPES_BCE.LT002_INSTRUMENT WHERE ref_date='${ref_date}' AND nome_perimetro='Individual Corporativo' AND segmento='ESTR' AND ambito='PM' AND entidade='00100')X</v>
      </c>
      <c r="J240" s="34" t="str">
        <f>"(SELECT "&amp;VLOOKUP(B240,'0. Instruções'!$C$27:$G$32,4,FALSE)&amp;" AS "&amp;VLOOKUP(B240,'0. Instruções'!$C$27:$G$32,4,FALSE)&amp;"_SIMUL, "&amp;F240&amp;" AS "&amp;F240&amp;"_SIMUL FROM "&amp;E240&amp;" WHERE "&amp;'0. Instruções'!$D$43&amp;")Y"</f>
        <v>(SELECT instrmnt_id AS instrmnt_id_SIMUL, EIR_INCPTN AS EIR_INCPTN_SIMUL FROM BU_LOANTAPE_WORK.LT002_INSTRUMENT WHERE ref_date='${ref_date}' AND nome_perimetro='Individual Corporativo' AND segmento='ESTR' AND ambito='PM' AND entidade='00100')Y</v>
      </c>
      <c r="K240" s="35" t="str">
        <f>+UPPER("ON X."&amp;VLOOKUP(B240,'0. Instruções'!$C$27:$G$32,4,FALSE)&amp;"=Y."&amp;VLOOKUP(B240,'0. Instruções'!$C$27:$G$32,4,FALSE)&amp;"_SIMUL")</f>
        <v>ON X.INSTRMNT_ID=Y.INSTRMNT_ID_SIMUL</v>
      </c>
      <c r="L240" s="35" t="str">
        <f>+IF(C240="Coerência", +IF(LEFT(G240,5)="FLOAT","SELECT '"&amp;UPPER(B240)&amp;"' AS TABELA, '"&amp;UPPER(C240)&amp;"' AS TIPOLOGIA_TESTE,'"&amp;D240&amp;"' AS TABELA_LT,'"&amp;E240&amp;"' AS TABELA_SIMUL,'"&amp;F240&amp;"' AS CAMPO, "&amp;"'${ref_date}' AS REF_DATE, COUNT(*) AS NUM_REG, SUM(IF((ABS(COALESCE(CAST(X."&amp;F240&amp;" AS DECIMAL(18,6)),0)-COALESCE(CAST(Y."&amp;F240&amp;"_SIMUL AS DECIMAL(18,6)),0))&gt;0.000001) OR (X."&amp;F240&amp;" IS NULL AND Y."&amp;F240&amp;"_SIMUL IS NOT NULL ) OR (X."&amp;F240&amp;" IS NOT NULL AND Y."&amp;F240&amp;"_SIMUL IS NULL),1,0)) AS NUM_REG_DIF,'"&amp;MAX('ID1&amp;5'!K:K)+1&amp;"' AS ID_EXEC, CURRENT_TIMESTAMP() AS TIME_EXEC FROM "&amp;I240&amp;" INNER JOIN "&amp;J240&amp;" "&amp;K240,"SELECT '"&amp;UPPER(B240)&amp;"' AS TABELA, '"&amp;UPPER(C240)&amp;"' AS TIPOLOGIA_TESTE,'"&amp;D240&amp;"' AS TABELA_LT,'"&amp;E240&amp;"' AS TABELA_SIMUL,'"&amp;F240&amp;"' AS CAMPO, "&amp;"'${ref_date}' AS REF_DATE, COUNT(*) AS NUM_REG, SUM(IF(COALESCE(CAST(X."&amp;F240&amp;" AS STRING),'')&lt;&gt;COALESCE(CAST(Y."&amp;F240&amp;"_SIMUL AS STRING),'') OR (X."&amp;F240&amp;" IS NULL AND Y."&amp;F240&amp;"_SIMUL IS NOT NULL ) OR (X."&amp;F240&amp;" IS NOT NULL AND Y."&amp;F240&amp;"_SIMUL IS NULL),1,0)) AS NUM_REG_DIF,'"&amp;MAX('ID1&amp;5'!L:L)+1&amp;"' AS ID_EXEC, CURRENT_TIMESTAMP() AS TIME_EXEC FROM "&amp;I240&amp;" INNER JOIN "&amp;J240&amp;" "&amp;K240),
IF(C240="Validade",+IF(G240="Code List","SELECT '"&amp;UPPER(B240)&amp;"' AS TABELA, '"&amp;UPPER(C240)&amp;"' AS TIPOLOGIA_TESTE,'"&amp;D240&amp;"' AS TABELA_LT,'N/A' AS TABELA_SIMUL,'"&amp;F240&amp;"' AS CAMPO, "&amp;"'${ref_date}' AS REF_DATE, COUNT(*) AS NUM_REG, SUM(IF(TRIM(CAST(X."&amp;F240&amp;" AS STRING))='' OR TRIM(CAST(X."&amp;F240&amp;" AS STRING)) IS NULL OR CAST(X."&amp;F240&amp;" AS STRING) NOT "&amp;H240&amp;",1,0)) AS NUM_REG_DIF,'"&amp;MAX('ID1&amp;5'!K:K)+1&amp;"' AS ID_EXEC, CURRENT_TIMESTAMP() AS TIME_EXEC FROM "&amp;I240,"SELECT '"&amp;UPPER(B240)&amp;"' AS TABELA, '"&amp;UPPER(C240)&amp;"' AS TIPOLOGIA_TESTE,'"&amp;D240&amp;"' AS TABELA_LT,'N/A' AS TABELA_SIMUL,'"&amp;F240&amp;"' AS CAMPO, "&amp;"'${ref_date}' AS REF_DATE, COUNT(*) AS NUM_REG, SUM(IF(TRIM(CAST(X."&amp;F240&amp;" AS STRING))='' OR TRIM(CAST(X."&amp;F240&amp;" AS STRING)) IS NULL,1,0)) AS NUM_REG_DIF,'"&amp;MAX('ID1&amp;5'!K:K)+1&amp;"' AS ID_EXEC, CURRENT_TIMESTAMP() AS TIME_EXEC FROM "&amp;I240),
IF(C240="Caracteres Especiais",+"SELECT '"&amp;UPPER(B240)&amp;"' AS TABELA, '"&amp;UPPER(C240)&amp;"' AS TIPOLOGIA_TESTE,'"&amp;D240&amp;"' AS TABELA_LT,'N/A' AS TABELA_SIMUL,'"&amp;F240&amp;"' AS CAMPO, "&amp;"'${ref_date}' AS REF_DATE, COUNT(*) AS NUM_REG, SUM(IF(REGEXP_REPLACE(TRIM(CAST(X."&amp;F240&amp;" AS STRING)),'[^a-zA-Z0-9_\\s]','') &lt;&gt;TRIM(CAST(X."&amp;F240&amp;" AS STRING)),1,0)) AS NUM_REG_DIF,'"&amp;MAX('ID1&amp;5'!K:K)+1&amp;"' AS ID_EXEC, CURRENT_TIMESTAMP() AS TIME_EXEC FROM "&amp;I240,
IF(C240="Missings",+"SELECT '"&amp;UPPER(B240)&amp;"' AS TABELA, '"&amp;UPPER(C240)&amp;"' AS TIPOLOGIA_TESTE,'"&amp;D240&amp;"' AS TABELA_LT,'N/A' AS TABELA_SIMUL,'"&amp;F240&amp;"' AS CAMPO, "&amp;"'${ref_date}' AS REF_DATE, COUNT(*) AS NUM_REG, SUM(IF(TRIM(CAST(X."&amp;F240&amp;" AS STRING)) IN ('0000-00-00','0001-01-01','9999-12-31','MISS','00000','99999999999','99999999999.00','99999999999.000000'),1,0)) AS NUM_REG_DIF,'"&amp;MAX('ID1&amp;5'!K:K)+1&amp;"' AS ID_EXEC, CURRENT_TIMESTAMP() AS TIME_EXEC FROM "&amp;I240,
IF(C240="Not applicable",+"SELECT '"&amp;UPPER(B240)&amp;"' AS TABELA, '"&amp;UPPER(C240)&amp;"' AS TIPOLOGIA_TESTE,'"&amp;D240&amp;"' AS TABELA_LT,'N/A' AS TABELA_SIMUL,'"&amp;F240&amp;"' AS CAMPO, "&amp;"'${ref_date}' AS REF_DATE, COUNT(*) AS NUM_REG, SUM(IF(TRIM(CAST(X."&amp;F240&amp;" AS STRING)) IN ('N/A','11111111111','11111111111.00','11111111111.000000','1111-11-11'),1,0)) AS NUM_REG_DIF,'"&amp;MAX('ID1&amp;5'!K:K)+1&amp;"' AS ID_EXEC, CURRENT_TIMESTAMP() AS TIME_EXEC FROM "&amp;I240,
IF(C240="Valores extremos",+"SELECT '"&amp;UPPER(B240)&amp;"' AS TABELA, '"&amp;UPPER(C240)&amp;"' AS TIPOLOGIA_TESTE,'"&amp;D240&amp;"' AS TABELA_LT,'N/A' AS TABELA_SIMUL,'"&amp;F240&amp;"' AS CAMPO, "&amp;"'${ref_date}' AS REF_DATE, CAST(MIN("&amp;F240&amp;") AS STRING) AS VALOR_MIN, CAST(MAX("&amp;F240&amp;") AS STRING) AS VALOR_MAX,'"&amp;MAX('ID1&amp;5'!K:K)+1&amp;"' AS ID_EXEC, CURRENT_TIMESTAMP() AS TIME_EXEC FROM "&amp;MID(I240,1,LEN(I240)-2)&amp;" AND CAST("&amp;F240&amp;"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TABELA_SIMUL,'EIR_INCPTN' AS CAMPO, '${ref_date}' AS REF_DATE, COUNT(*) AS NUM_REG, SUM(IF(COALESCE(CAST(X.EIR_INCPTN AS STRING),'')&lt;&gt;COALESCE(CAST(Y.EIR_INCPTN_SIMUL AS STRING),'') OR (X.EIR_INCPTN IS NULL AND Y.EIR_INCPTN_SIMUL IS NOT NULL ) OR (X.EIR_INCPTN IS NOT NULL AND Y.EIR_INCPTN_SIMUL IS NULL),1,0)) AS NUM_REG_DIF,'1' AS ID_EXEC, CURRENT_TIMESTAMP() AS TIME_EXEC FROM (SELECT instrmnt_id, EIR_INCPTN FROM CD_LOAN_TAPES_BCE.LT002_INSTRUMENT WHERE ref_date='${ref_date}' AND nome_perimetro='Individual Corporativo' AND segmento='ESTR' AND ambito='PM' AND entidade='00100')X INNER JOIN (SELECT instrmnt_id AS instrmnt_id_SIMUL, EIR_INCPTN AS EIR_INCPTN_SIMUL FROM BU_LOANTAPE_WORK.LT002_INSTRUMENT WHERE ref_date='${ref_date}' AND nome_perimetro='Individual Corporativo' AND segmento='ESTR' AND ambito='PM' AND entidade='00100')Y ON X.INSTRMNT_ID=Y.INSTRMNT_ID_SIMUL</v>
      </c>
      <c r="M240" s="36" t="str">
        <f t="shared" si="3"/>
        <v>UNION ALL SELECT 'INSTRUMENT' AS TABELA, 'COERÊNCIA' AS TIPOLOGIA_TESTE,'CD_LOAN_TAPES_BCE.LT002_INSTRUMENT' AS TABELA_LT,'BU_LOANTAPE_WORK.LT002_INSTRUMENT' AS TABELA_SIMUL,'EIR_INCPTN' AS CAMPO, '${ref_date}' AS REF_DATE, COUNT(*) AS NUM_REG, SUM(IF(COALESCE(CAST(X.EIR_INCPTN AS STRING),'')&lt;&gt;COALESCE(CAST(Y.EIR_INCPTN_SIMUL AS STRING),'') OR (X.EIR_INCPTN IS NULL AND Y.EIR_INCPTN_SIMUL IS NOT NULL ) OR (X.EIR_INCPTN IS NOT NULL AND Y.EIR_INCPTN_SIMUL IS NULL),1,0)) AS NUM_REG_DIF,'1' AS ID_EXEC, CURRENT_TIMESTAMP() AS TIME_EXEC FROM (SELECT instrmnt_id, EIR_INCPTN FROM CD_LOAN_TAPES_BCE.LT002_INSTRUMENT WHERE ref_date='${ref_date}' AND nome_perimetro='Individual Corporativo' AND segmento='ESTR' AND ambito='PM' AND entidade='00100')X INNER JOIN (SELECT instrmnt_id AS instrmnt_id_SIMUL, EIR_INCPTN AS EIR_INCPTN_SIMUL FROM BU_LOANTAPE_WORK.LT002_INSTRUMENT WHERE ref_date='${ref_date}' AND nome_perimetro='Individual Corporativo' AND segmento='ESTR' AND ambito='PM' AND entidade='00100')Y ON X.INSTRMNT_ID=Y.INSTRMNT_ID_SIMUL</v>
      </c>
      <c r="N240" s="38" t="s">
        <v>46</v>
      </c>
    </row>
    <row r="241" spans="2:14" hidden="1">
      <c r="B241" s="34" t="s">
        <v>126</v>
      </c>
      <c r="C241" s="34" t="s">
        <v>5</v>
      </c>
      <c r="D241" s="34" t="str">
        <f>+UPPER('0. Instruções'!$D$35&amp;"."&amp;VLOOKUP(B241,'0. Instruções'!$C$27:$D$32,2,FALSE))</f>
        <v>CD_LOAN_TAPES_BCE.LT002_INSTRUMENT</v>
      </c>
      <c r="E241" s="34" t="str">
        <f>+UPPER('0. Instruções'!$D$36&amp;"."&amp;VLOOKUP(B241,'0. Instruções'!$C$27:$E$32,3,FALSE))</f>
        <v>BU_LOANTAPE_WORK.LT002_INSTRUMENT</v>
      </c>
      <c r="F241" s="34" t="s">
        <v>523</v>
      </c>
      <c r="G241" s="34"/>
      <c r="H241" s="34" t="s">
        <v>89</v>
      </c>
      <c r="I241" s="34" t="str">
        <f>"(SELECT "&amp;VLOOKUP(B241,'0. Instruções'!$C$27:$G$32,4,FALSE)&amp;", "&amp;F241&amp;" FROM "&amp;D241&amp;" WHERE "&amp;'0. Instruções'!$D$42&amp;")X"</f>
        <v>(SELECT instrmnt_id, INTRST_RT_RST_FRQNCY FROM CD_LOAN_TAPES_BCE.LT002_INSTRUMENT WHERE ref_date='${ref_date}' AND nome_perimetro='Individual Corporativo' AND segmento='ESTR' AND ambito='PM' AND entidade='00100')X</v>
      </c>
      <c r="J241" s="34" t="str">
        <f>"(SELECT "&amp;VLOOKUP(B241,'0. Instruções'!$C$27:$G$32,4,FALSE)&amp;" AS "&amp;VLOOKUP(B241,'0. Instruções'!$C$27:$G$32,4,FALSE)&amp;"_SIMUL, "&amp;F241&amp;" AS "&amp;F241&amp;"_SIMUL FROM "&amp;E241&amp;" WHERE "&amp;'0. Instruções'!$D$43&amp;")Y"</f>
        <v>(SELECT instrmnt_id AS instrmnt_id_SIMUL, INTRST_RT_RST_FRQNCY AS INTRST_RT_RST_FRQNCY_SIMUL FROM BU_LOANTAPE_WORK.LT002_INSTRUMENT WHERE ref_date='${ref_date}' AND nome_perimetro='Individual Corporativo' AND segmento='ESTR' AND ambito='PM' AND entidade='00100')Y</v>
      </c>
      <c r="K241" s="35" t="str">
        <f>+UPPER("ON X."&amp;VLOOKUP(B241,'0. Instruções'!$C$27:$G$32,4,FALSE)&amp;"=Y."&amp;VLOOKUP(B241,'0. Instruções'!$C$27:$G$32,4,FALSE)&amp;"_SIMUL")</f>
        <v>ON X.INSTRMNT_ID=Y.INSTRMNT_ID_SIMUL</v>
      </c>
      <c r="L241" s="35" t="str">
        <f>+IF(C241="Coerência", +IF(LEFT(G241,5)="FLOAT","SELECT '"&amp;UPPER(B241)&amp;"' AS TABELA, '"&amp;UPPER(C241)&amp;"' AS TIPOLOGIA_TESTE,'"&amp;D241&amp;"' AS TABELA_LT,'"&amp;E241&amp;"' AS TABELA_SIMUL,'"&amp;F241&amp;"' AS CAMPO, "&amp;"'${ref_date}' AS REF_DATE, COUNT(*) AS NUM_REG, SUM(IF((ABS(COALESCE(CAST(X."&amp;F241&amp;" AS DECIMAL(18,6)),0)-COALESCE(CAST(Y."&amp;F241&amp;"_SIMUL AS DECIMAL(18,6)),0))&gt;0.000001) OR (X."&amp;F241&amp;" IS NULL AND Y."&amp;F241&amp;"_SIMUL IS NOT NULL ) OR (X."&amp;F241&amp;" IS NOT NULL AND Y."&amp;F241&amp;"_SIMUL IS NULL),1,0)) AS NUM_REG_DIF,'"&amp;MAX('ID1&amp;5'!K:K)+1&amp;"' AS ID_EXEC, CURRENT_TIMESTAMP() AS TIME_EXEC FROM "&amp;I241&amp;" INNER JOIN "&amp;J241&amp;" "&amp;K241,"SELECT '"&amp;UPPER(B241)&amp;"' AS TABELA, '"&amp;UPPER(C241)&amp;"' AS TIPOLOGIA_TESTE,'"&amp;D241&amp;"' AS TABELA_LT,'"&amp;E241&amp;"' AS TABELA_SIMUL,'"&amp;F241&amp;"' AS CAMPO, "&amp;"'${ref_date}' AS REF_DATE, COUNT(*) AS NUM_REG, SUM(IF(COALESCE(CAST(X."&amp;F241&amp;" AS STRING),'')&lt;&gt;COALESCE(CAST(Y."&amp;F241&amp;"_SIMUL AS STRING),'') OR (X."&amp;F241&amp;" IS NULL AND Y."&amp;F241&amp;"_SIMUL IS NOT NULL ) OR (X."&amp;F241&amp;" IS NOT NULL AND Y."&amp;F241&amp;"_SIMUL IS NULL),1,0)) AS NUM_REG_DIF,'"&amp;MAX('ID1&amp;5'!L:L)+1&amp;"' AS ID_EXEC, CURRENT_TIMESTAMP() AS TIME_EXEC FROM "&amp;I241&amp;" INNER JOIN "&amp;J241&amp;" "&amp;K241),
IF(C241="Validade",+IF(G241="Code List","SELECT '"&amp;UPPER(B241)&amp;"' AS TABELA, '"&amp;UPPER(C241)&amp;"' AS TIPOLOGIA_TESTE,'"&amp;D241&amp;"' AS TABELA_LT,'N/A' AS TABELA_SIMUL,'"&amp;F241&amp;"' AS CAMPO, "&amp;"'${ref_date}' AS REF_DATE, COUNT(*) AS NUM_REG, SUM(IF(TRIM(CAST(X."&amp;F241&amp;" AS STRING))='' OR TRIM(CAST(X."&amp;F241&amp;" AS STRING)) IS NULL OR CAST(X."&amp;F241&amp;" AS STRING) NOT "&amp;H241&amp;",1,0)) AS NUM_REG_DIF,'"&amp;MAX('ID1&amp;5'!K:K)+1&amp;"' AS ID_EXEC, CURRENT_TIMESTAMP() AS TIME_EXEC FROM "&amp;I241,"SELECT '"&amp;UPPER(B241)&amp;"' AS TABELA, '"&amp;UPPER(C241)&amp;"' AS TIPOLOGIA_TESTE,'"&amp;D241&amp;"' AS TABELA_LT,'N/A' AS TABELA_SIMUL,'"&amp;F241&amp;"' AS CAMPO, "&amp;"'${ref_date}' AS REF_DATE, COUNT(*) AS NUM_REG, SUM(IF(TRIM(CAST(X."&amp;F241&amp;" AS STRING))='' OR TRIM(CAST(X."&amp;F241&amp;" AS STRING)) IS NULL,1,0)) AS NUM_REG_DIF,'"&amp;MAX('ID1&amp;5'!K:K)+1&amp;"' AS ID_EXEC, CURRENT_TIMESTAMP() AS TIME_EXEC FROM "&amp;I241),
IF(C241="Caracteres Especiais",+"SELECT '"&amp;UPPER(B241)&amp;"' AS TABELA, '"&amp;UPPER(C241)&amp;"' AS TIPOLOGIA_TESTE,'"&amp;D241&amp;"' AS TABELA_LT,'N/A' AS TABELA_SIMUL,'"&amp;F241&amp;"' AS CAMPO, "&amp;"'${ref_date}' AS REF_DATE, COUNT(*) AS NUM_REG, SUM(IF(REGEXP_REPLACE(TRIM(CAST(X."&amp;F241&amp;" AS STRING)),'[^a-zA-Z0-9_\\s]','') &lt;&gt;TRIM(CAST(X."&amp;F241&amp;" AS STRING)),1,0)) AS NUM_REG_DIF,'"&amp;MAX('ID1&amp;5'!K:K)+1&amp;"' AS ID_EXEC, CURRENT_TIMESTAMP() AS TIME_EXEC FROM "&amp;I241,
IF(C241="Missings",+"SELECT '"&amp;UPPER(B241)&amp;"' AS TABELA, '"&amp;UPPER(C241)&amp;"' AS TIPOLOGIA_TESTE,'"&amp;D241&amp;"' AS TABELA_LT,'N/A' AS TABELA_SIMUL,'"&amp;F241&amp;"' AS CAMPO, "&amp;"'${ref_date}' AS REF_DATE, COUNT(*) AS NUM_REG, SUM(IF(TRIM(CAST(X."&amp;F241&amp;" AS STRING)) IN ('0000-00-00','0001-01-01','9999-12-31','MISS','00000','99999999999','99999999999.00','99999999999.000000'),1,0)) AS NUM_REG_DIF,'"&amp;MAX('ID1&amp;5'!K:K)+1&amp;"' AS ID_EXEC, CURRENT_TIMESTAMP() AS TIME_EXEC FROM "&amp;I241,
IF(C241="Not applicable",+"SELECT '"&amp;UPPER(B241)&amp;"' AS TABELA, '"&amp;UPPER(C241)&amp;"' AS TIPOLOGIA_TESTE,'"&amp;D241&amp;"' AS TABELA_LT,'N/A' AS TABELA_SIMUL,'"&amp;F241&amp;"' AS CAMPO, "&amp;"'${ref_date}' AS REF_DATE, COUNT(*) AS NUM_REG, SUM(IF(TRIM(CAST(X."&amp;F241&amp;" AS STRING)) IN ('N/A','11111111111','11111111111.00','11111111111.000000','1111-11-11'),1,0)) AS NUM_REG_DIF,'"&amp;MAX('ID1&amp;5'!K:K)+1&amp;"' AS ID_EXEC, CURRENT_TIMESTAMP() AS TIME_EXEC FROM "&amp;I241,
IF(C241="Valores extremos",+"SELECT '"&amp;UPPER(B241)&amp;"' AS TABELA, '"&amp;UPPER(C241)&amp;"' AS TIPOLOGIA_TESTE,'"&amp;D241&amp;"' AS TABELA_LT,'N/A' AS TABELA_SIMUL,'"&amp;F241&amp;"' AS CAMPO, "&amp;"'${ref_date}' AS REF_DATE, CAST(MIN("&amp;F241&amp;") AS STRING) AS VALOR_MIN, CAST(MAX("&amp;F241&amp;") AS STRING) AS VALOR_MAX,'"&amp;MAX('ID1&amp;5'!K:K)+1&amp;"' AS ID_EXEC, CURRENT_TIMESTAMP() AS TIME_EXEC FROM "&amp;MID(I241,1,LEN(I241)-2)&amp;" AND CAST("&amp;F241&amp;"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TABELA_SIMUL,'INTRST_RT_RST_FRQNCY' AS CAMPO, '${ref_date}' AS REF_DATE, COUNT(*) AS NUM_REG, SUM(IF(COALESCE(CAST(X.INTRST_RT_RST_FRQNCY AS STRING),'')&lt;&gt;COALESCE(CAST(Y.INTRST_RT_RST_FRQNCY_SIMUL AS STRING),'') OR (X.INTRST_RT_RST_FRQNCY IS NULL AND Y.INTRST_RT_RST_FRQNCY_SIMUL IS NOT NULL ) OR (X.INTRST_RT_RST_FRQNCY IS NOT NULL AND Y.INTRST_RT_RST_FRQNCY_SIMUL IS NULL),1,0)) AS NUM_REG_DIF,'1' AS ID_EXEC, CURRENT_TIMESTAMP() AS TIME_EXEC FROM (SELECT instrmnt_id, INTRST_RT_RST_FRQNCY FROM CD_LOAN_TAPES_BCE.LT002_INSTRUMENT WHERE ref_date='${ref_date}' AND nome_perimetro='Individual Corporativo' AND segmento='ESTR' AND ambito='PM' AND entidade='00100')X INNER JOIN (SELECT instrmnt_id AS instrmnt_id_SIMUL, INTRST_RT_RST_FRQNCY AS INTRST_RT_RST_FRQNCY_SIMUL FROM BU_LOANTAPE_WORK.LT002_INSTRUMENT WHERE ref_date='${ref_date}' AND nome_perimetro='Individual Corporativo' AND segmento='ESTR' AND ambito='PM' AND entidade='00100')Y ON X.INSTRMNT_ID=Y.INSTRMNT_ID_SIMUL</v>
      </c>
      <c r="M241" s="36" t="str">
        <f t="shared" si="3"/>
        <v>UNION ALL SELECT 'INSTRUMENT' AS TABELA, 'COERÊNCIA' AS TIPOLOGIA_TESTE,'CD_LOAN_TAPES_BCE.LT002_INSTRUMENT' AS TABELA_LT,'BU_LOANTAPE_WORK.LT002_INSTRUMENT' AS TABELA_SIMUL,'INTRST_RT_RST_FRQNCY' AS CAMPO, '${ref_date}' AS REF_DATE, COUNT(*) AS NUM_REG, SUM(IF(COALESCE(CAST(X.INTRST_RT_RST_FRQNCY AS STRING),'')&lt;&gt;COALESCE(CAST(Y.INTRST_RT_RST_FRQNCY_SIMUL AS STRING),'') OR (X.INTRST_RT_RST_FRQNCY IS NULL AND Y.INTRST_RT_RST_FRQNCY_SIMUL IS NOT NULL ) OR (X.INTRST_RT_RST_FRQNCY IS NOT NULL AND Y.INTRST_RT_RST_FRQNCY_SIMUL IS NULL),1,0)) AS NUM_REG_DIF,'1' AS ID_EXEC, CURRENT_TIMESTAMP() AS TIME_EXEC FROM (SELECT instrmnt_id, INTRST_RT_RST_FRQNCY FROM CD_LOAN_TAPES_BCE.LT002_INSTRUMENT WHERE ref_date='${ref_date}' AND nome_perimetro='Individual Corporativo' AND segmento='ESTR' AND ambito='PM' AND entidade='00100')X INNER JOIN (SELECT instrmnt_id AS instrmnt_id_SIMUL, INTRST_RT_RST_FRQNCY AS INTRST_RT_RST_FRQNCY_SIMUL FROM BU_LOANTAPE_WORK.LT002_INSTRUMENT WHERE ref_date='${ref_date}' AND nome_perimetro='Individual Corporativo' AND segmento='ESTR' AND ambito='PM' AND entidade='00100')Y ON X.INSTRMNT_ID=Y.INSTRMNT_ID_SIMUL</v>
      </c>
      <c r="N241" s="38" t="s">
        <v>46</v>
      </c>
    </row>
    <row r="242" spans="2:14" hidden="1">
      <c r="B242" s="34" t="s">
        <v>126</v>
      </c>
      <c r="C242" s="34" t="s">
        <v>5</v>
      </c>
      <c r="D242" s="34" t="str">
        <f>+UPPER('0. Instruções'!$D$35&amp;"."&amp;VLOOKUP(B242,'0. Instruções'!$C$27:$D$32,2,FALSE))</f>
        <v>CD_LOAN_TAPES_BCE.LT002_INSTRUMENT</v>
      </c>
      <c r="E242" s="34" t="str">
        <f>+UPPER('0. Instruções'!$D$36&amp;"."&amp;VLOOKUP(B242,'0. Instruções'!$C$27:$E$32,3,FALSE))</f>
        <v>BU_LOANTAPE_WORK.LT002_INSTRUMENT</v>
      </c>
      <c r="F242" s="34" t="s">
        <v>524</v>
      </c>
      <c r="G242" s="34"/>
      <c r="H242" s="34" t="s">
        <v>92</v>
      </c>
      <c r="I242" s="34" t="str">
        <f>"(SELECT "&amp;VLOOKUP(B242,'0. Instruções'!$C$27:$G$32,4,FALSE)&amp;", "&amp;F242&amp;" FROM "&amp;D242&amp;" WHERE "&amp;'0. Instruções'!$D$42&amp;")X"</f>
        <v>(SELECT instrmnt_id, RCVD_AMRTSTN_12M FROM CD_LOAN_TAPES_BCE.LT002_INSTRUMENT WHERE ref_date='${ref_date}' AND nome_perimetro='Individual Corporativo' AND segmento='ESTR' AND ambito='PM' AND entidade='00100')X</v>
      </c>
      <c r="J242" s="34" t="str">
        <f>"(SELECT "&amp;VLOOKUP(B242,'0. Instruções'!$C$27:$G$32,4,FALSE)&amp;" AS "&amp;VLOOKUP(B242,'0. Instruções'!$C$27:$G$32,4,FALSE)&amp;"_SIMUL, "&amp;F242&amp;" AS "&amp;F242&amp;"_SIMUL FROM "&amp;E242&amp;" WHERE "&amp;'0. Instruções'!$D$43&amp;")Y"</f>
        <v>(SELECT instrmnt_id AS instrmnt_id_SIMUL, RCVD_AMRTSTN_12M AS RCVD_AMRTSTN_12M_SIMUL FROM BU_LOANTAPE_WORK.LT002_INSTRUMENT WHERE ref_date='${ref_date}' AND nome_perimetro='Individual Corporativo' AND segmento='ESTR' AND ambito='PM' AND entidade='00100')Y</v>
      </c>
      <c r="K242" s="35" t="str">
        <f>+UPPER("ON X."&amp;VLOOKUP(B242,'0. Instruções'!$C$27:$G$32,4,FALSE)&amp;"=Y."&amp;VLOOKUP(B242,'0. Instruções'!$C$27:$G$32,4,FALSE)&amp;"_SIMUL")</f>
        <v>ON X.INSTRMNT_ID=Y.INSTRMNT_ID_SIMUL</v>
      </c>
      <c r="L242" s="35" t="str">
        <f>+IF(C242="Coerência", +IF(LEFT(G242,5)="FLOAT","SELECT '"&amp;UPPER(B242)&amp;"' AS TABELA, '"&amp;UPPER(C242)&amp;"' AS TIPOLOGIA_TESTE,'"&amp;D242&amp;"' AS TABELA_LT,'"&amp;E242&amp;"' AS TABELA_SIMUL,'"&amp;F242&amp;"' AS CAMPO, "&amp;"'${ref_date}' AS REF_DATE, COUNT(*) AS NUM_REG, SUM(IF((ABS(COALESCE(CAST(X."&amp;F242&amp;" AS DECIMAL(18,6)),0)-COALESCE(CAST(Y."&amp;F242&amp;"_SIMUL AS DECIMAL(18,6)),0))&gt;0.000001) OR (X."&amp;F242&amp;" IS NULL AND Y."&amp;F242&amp;"_SIMUL IS NOT NULL ) OR (X."&amp;F242&amp;" IS NOT NULL AND Y."&amp;F242&amp;"_SIMUL IS NULL),1,0)) AS NUM_REG_DIF,'"&amp;MAX('ID1&amp;5'!K:K)+1&amp;"' AS ID_EXEC, CURRENT_TIMESTAMP() AS TIME_EXEC FROM "&amp;I242&amp;" INNER JOIN "&amp;J242&amp;" "&amp;K242,"SELECT '"&amp;UPPER(B242)&amp;"' AS TABELA, '"&amp;UPPER(C242)&amp;"' AS TIPOLOGIA_TESTE,'"&amp;D242&amp;"' AS TABELA_LT,'"&amp;E242&amp;"' AS TABELA_SIMUL,'"&amp;F242&amp;"' AS CAMPO, "&amp;"'${ref_date}' AS REF_DATE, COUNT(*) AS NUM_REG, SUM(IF(COALESCE(CAST(X."&amp;F242&amp;" AS STRING),'')&lt;&gt;COALESCE(CAST(Y."&amp;F242&amp;"_SIMUL AS STRING),'') OR (X."&amp;F242&amp;" IS NULL AND Y."&amp;F242&amp;"_SIMUL IS NOT NULL ) OR (X."&amp;F242&amp;" IS NOT NULL AND Y."&amp;F242&amp;"_SIMUL IS NULL),1,0)) AS NUM_REG_DIF,'"&amp;MAX('ID1&amp;5'!L:L)+1&amp;"' AS ID_EXEC, CURRENT_TIMESTAMP() AS TIME_EXEC FROM "&amp;I242&amp;" INNER JOIN "&amp;J242&amp;" "&amp;K242),
IF(C242="Validade",+IF(G242="Code List","SELECT '"&amp;UPPER(B242)&amp;"' AS TABELA, '"&amp;UPPER(C242)&amp;"' AS TIPOLOGIA_TESTE,'"&amp;D242&amp;"' AS TABELA_LT,'N/A' AS TABELA_SIMUL,'"&amp;F242&amp;"' AS CAMPO, "&amp;"'${ref_date}' AS REF_DATE, COUNT(*) AS NUM_REG, SUM(IF(TRIM(CAST(X."&amp;F242&amp;" AS STRING))='' OR TRIM(CAST(X."&amp;F242&amp;" AS STRING)) IS NULL OR CAST(X."&amp;F242&amp;" AS STRING) NOT "&amp;H242&amp;",1,0)) AS NUM_REG_DIF,'"&amp;MAX('ID1&amp;5'!K:K)+1&amp;"' AS ID_EXEC, CURRENT_TIMESTAMP() AS TIME_EXEC FROM "&amp;I242,"SELECT '"&amp;UPPER(B242)&amp;"' AS TABELA, '"&amp;UPPER(C242)&amp;"' AS TIPOLOGIA_TESTE,'"&amp;D242&amp;"' AS TABELA_LT,'N/A' AS TABELA_SIMUL,'"&amp;F242&amp;"' AS CAMPO, "&amp;"'${ref_date}' AS REF_DATE, COUNT(*) AS NUM_REG, SUM(IF(TRIM(CAST(X."&amp;F242&amp;" AS STRING))='' OR TRIM(CAST(X."&amp;F242&amp;" AS STRING)) IS NULL,1,0)) AS NUM_REG_DIF,'"&amp;MAX('ID1&amp;5'!K:K)+1&amp;"' AS ID_EXEC, CURRENT_TIMESTAMP() AS TIME_EXEC FROM "&amp;I242),
IF(C242="Caracteres Especiais",+"SELECT '"&amp;UPPER(B242)&amp;"' AS TABELA, '"&amp;UPPER(C242)&amp;"' AS TIPOLOGIA_TESTE,'"&amp;D242&amp;"' AS TABELA_LT,'N/A' AS TABELA_SIMUL,'"&amp;F242&amp;"' AS CAMPO, "&amp;"'${ref_date}' AS REF_DATE, COUNT(*) AS NUM_REG, SUM(IF(REGEXP_REPLACE(TRIM(CAST(X."&amp;F242&amp;" AS STRING)),'[^a-zA-Z0-9_\\s]','') &lt;&gt;TRIM(CAST(X."&amp;F242&amp;" AS STRING)),1,0)) AS NUM_REG_DIF,'"&amp;MAX('ID1&amp;5'!K:K)+1&amp;"' AS ID_EXEC, CURRENT_TIMESTAMP() AS TIME_EXEC FROM "&amp;I242,
IF(C242="Missings",+"SELECT '"&amp;UPPER(B242)&amp;"' AS TABELA, '"&amp;UPPER(C242)&amp;"' AS TIPOLOGIA_TESTE,'"&amp;D242&amp;"' AS TABELA_LT,'N/A' AS TABELA_SIMUL,'"&amp;F242&amp;"' AS CAMPO, "&amp;"'${ref_date}' AS REF_DATE, COUNT(*) AS NUM_REG, SUM(IF(TRIM(CAST(X."&amp;F242&amp;" AS STRING)) IN ('0000-00-00','0001-01-01','9999-12-31','MISS','00000','99999999999','99999999999.00','99999999999.000000'),1,0)) AS NUM_REG_DIF,'"&amp;MAX('ID1&amp;5'!K:K)+1&amp;"' AS ID_EXEC, CURRENT_TIMESTAMP() AS TIME_EXEC FROM "&amp;I242,
IF(C242="Not applicable",+"SELECT '"&amp;UPPER(B242)&amp;"' AS TABELA, '"&amp;UPPER(C242)&amp;"' AS TIPOLOGIA_TESTE,'"&amp;D242&amp;"' AS TABELA_LT,'N/A' AS TABELA_SIMUL,'"&amp;F242&amp;"' AS CAMPO, "&amp;"'${ref_date}' AS REF_DATE, COUNT(*) AS NUM_REG, SUM(IF(TRIM(CAST(X."&amp;F242&amp;" AS STRING)) IN ('N/A','11111111111','11111111111.00','11111111111.000000','1111-11-11'),1,0)) AS NUM_REG_DIF,'"&amp;MAX('ID1&amp;5'!K:K)+1&amp;"' AS ID_EXEC, CURRENT_TIMESTAMP() AS TIME_EXEC FROM "&amp;I242,
IF(C242="Valores extremos",+"SELECT '"&amp;UPPER(B242)&amp;"' AS TABELA, '"&amp;UPPER(C242)&amp;"' AS TIPOLOGIA_TESTE,'"&amp;D242&amp;"' AS TABELA_LT,'N/A' AS TABELA_SIMUL,'"&amp;F242&amp;"' AS CAMPO, "&amp;"'${ref_date}' AS REF_DATE, CAST(MIN("&amp;F242&amp;") AS STRING) AS VALOR_MIN, CAST(MAX("&amp;F242&amp;") AS STRING) AS VALOR_MAX,'"&amp;MAX('ID1&amp;5'!K:K)+1&amp;"' AS ID_EXEC, CURRENT_TIMESTAMP() AS TIME_EXEC FROM "&amp;MID(I242,1,LEN(I242)-2)&amp;" AND CAST("&amp;F242&amp;"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TABELA_SIMUL,'RCVD_AMRTSTN_12M' AS CAMPO, '${ref_date}' AS REF_DATE, COUNT(*) AS NUM_REG, SUM(IF(COALESCE(CAST(X.RCVD_AMRTSTN_12M AS STRING),'')&lt;&gt;COALESCE(CAST(Y.RCVD_AMRTSTN_12M_SIMUL AS STRING),'') OR (X.RCVD_AMRTSTN_12M IS NULL AND Y.RCVD_AMRTSTN_12M_SIMUL IS NOT NULL ) OR (X.RCVD_AMRTSTN_12M IS NOT NULL AND Y.RCVD_AMRTSTN_12M_SIMUL IS NULL),1,0)) AS NUM_REG_DIF,'1' AS ID_EXEC, CURRENT_TIMESTAMP() AS TIME_EXEC FROM (SELECT instrmnt_id, RCVD_AMRTSTN_12M FROM CD_LOAN_TAPES_BCE.LT002_INSTRUMENT WHERE ref_date='${ref_date}' AND nome_perimetro='Individual Corporativo' AND segmento='ESTR' AND ambito='PM' AND entidade='00100')X INNER JOIN (SELECT instrmnt_id AS instrmnt_id_SIMUL, RCVD_AMRTSTN_12M AS RCVD_AMRTSTN_12M_SIMUL FROM BU_LOANTAPE_WORK.LT002_INSTRUMENT WHERE ref_date='${ref_date}' AND nome_perimetro='Individual Corporativo' AND segmento='ESTR' AND ambito='PM' AND entidade='00100')Y ON X.INSTRMNT_ID=Y.INSTRMNT_ID_SIMUL</v>
      </c>
      <c r="M242" s="36" t="str">
        <f t="shared" si="3"/>
        <v>UNION ALL SELECT 'INSTRUMENT' AS TABELA, 'COERÊNCIA' AS TIPOLOGIA_TESTE,'CD_LOAN_TAPES_BCE.LT002_INSTRUMENT' AS TABELA_LT,'BU_LOANTAPE_WORK.LT002_INSTRUMENT' AS TABELA_SIMUL,'RCVD_AMRTSTN_12M' AS CAMPO, '${ref_date}' AS REF_DATE, COUNT(*) AS NUM_REG, SUM(IF(COALESCE(CAST(X.RCVD_AMRTSTN_12M AS STRING),'')&lt;&gt;COALESCE(CAST(Y.RCVD_AMRTSTN_12M_SIMUL AS STRING),'') OR (X.RCVD_AMRTSTN_12M IS NULL AND Y.RCVD_AMRTSTN_12M_SIMUL IS NOT NULL ) OR (X.RCVD_AMRTSTN_12M IS NOT NULL AND Y.RCVD_AMRTSTN_12M_SIMUL IS NULL),1,0)) AS NUM_REG_DIF,'1' AS ID_EXEC, CURRENT_TIMESTAMP() AS TIME_EXEC FROM (SELECT instrmnt_id, RCVD_AMRTSTN_12M FROM CD_LOAN_TAPES_BCE.LT002_INSTRUMENT WHERE ref_date='${ref_date}' AND nome_perimetro='Individual Corporativo' AND segmento='ESTR' AND ambito='PM' AND entidade='00100')X INNER JOIN (SELECT instrmnt_id AS instrmnt_id_SIMUL, RCVD_AMRTSTN_12M AS RCVD_AMRTSTN_12M_SIMUL FROM BU_LOANTAPE_WORK.LT002_INSTRUMENT WHERE ref_date='${ref_date}' AND nome_perimetro='Individual Corporativo' AND segmento='ESTR' AND ambito='PM' AND entidade='00100')Y ON X.INSTRMNT_ID=Y.INSTRMNT_ID_SIMUL</v>
      </c>
      <c r="N242" s="38" t="s">
        <v>46</v>
      </c>
    </row>
    <row r="243" spans="2:14" hidden="1">
      <c r="B243" s="34" t="s">
        <v>126</v>
      </c>
      <c r="C243" s="34" t="s">
        <v>5</v>
      </c>
      <c r="D243" s="34" t="str">
        <f>+UPPER('0. Instruções'!$D$35&amp;"."&amp;VLOOKUP(B243,'0. Instruções'!$C$27:$D$32,2,FALSE))</f>
        <v>CD_LOAN_TAPES_BCE.LT002_INSTRUMENT</v>
      </c>
      <c r="E243" s="34" t="str">
        <f>+UPPER('0. Instruções'!$D$36&amp;"."&amp;VLOOKUP(B243,'0. Instruções'!$C$27:$E$32,3,FALSE))</f>
        <v>BU_LOANTAPE_WORK.LT002_INSTRUMENT</v>
      </c>
      <c r="F243" s="34" t="s">
        <v>525</v>
      </c>
      <c r="G243" s="34"/>
      <c r="H243" s="34" t="s">
        <v>92</v>
      </c>
      <c r="I243" s="34" t="str">
        <f>"(SELECT "&amp;VLOOKUP(B243,'0. Instruções'!$C$27:$G$32,4,FALSE)&amp;", "&amp;F243&amp;" FROM "&amp;D243&amp;" WHERE "&amp;'0. Instruções'!$D$42&amp;")X"</f>
        <v>(SELECT instrmnt_id, RCVD_AMRTSTN_24M FROM CD_LOAN_TAPES_BCE.LT002_INSTRUMENT WHERE ref_date='${ref_date}' AND nome_perimetro='Individual Corporativo' AND segmento='ESTR' AND ambito='PM' AND entidade='00100')X</v>
      </c>
      <c r="J243" s="34" t="str">
        <f>"(SELECT "&amp;VLOOKUP(B243,'0. Instruções'!$C$27:$G$32,4,FALSE)&amp;" AS "&amp;VLOOKUP(B243,'0. Instruções'!$C$27:$G$32,4,FALSE)&amp;"_SIMUL, "&amp;F243&amp;" AS "&amp;F243&amp;"_SIMUL FROM "&amp;E243&amp;" WHERE "&amp;'0. Instruções'!$D$43&amp;")Y"</f>
        <v>(SELECT instrmnt_id AS instrmnt_id_SIMUL, RCVD_AMRTSTN_24M AS RCVD_AMRTSTN_24M_SIMUL FROM BU_LOANTAPE_WORK.LT002_INSTRUMENT WHERE ref_date='${ref_date}' AND nome_perimetro='Individual Corporativo' AND segmento='ESTR' AND ambito='PM' AND entidade='00100')Y</v>
      </c>
      <c r="K243" s="35" t="str">
        <f>+UPPER("ON X."&amp;VLOOKUP(B243,'0. Instruções'!$C$27:$G$32,4,FALSE)&amp;"=Y."&amp;VLOOKUP(B243,'0. Instruções'!$C$27:$G$32,4,FALSE)&amp;"_SIMUL")</f>
        <v>ON X.INSTRMNT_ID=Y.INSTRMNT_ID_SIMUL</v>
      </c>
      <c r="L243" s="35" t="str">
        <f>+IF(C243="Coerência", +IF(LEFT(G243,5)="FLOAT","SELECT '"&amp;UPPER(B243)&amp;"' AS TABELA, '"&amp;UPPER(C243)&amp;"' AS TIPOLOGIA_TESTE,'"&amp;D243&amp;"' AS TABELA_LT,'"&amp;E243&amp;"' AS TABELA_SIMUL,'"&amp;F243&amp;"' AS CAMPO, "&amp;"'${ref_date}' AS REF_DATE, COUNT(*) AS NUM_REG, SUM(IF((ABS(COALESCE(CAST(X."&amp;F243&amp;" AS DECIMAL(18,6)),0)-COALESCE(CAST(Y."&amp;F243&amp;"_SIMUL AS DECIMAL(18,6)),0))&gt;0.000001) OR (X."&amp;F243&amp;" IS NULL AND Y."&amp;F243&amp;"_SIMUL IS NOT NULL ) OR (X."&amp;F243&amp;" IS NOT NULL AND Y."&amp;F243&amp;"_SIMUL IS NULL),1,0)) AS NUM_REG_DIF,'"&amp;MAX('ID1&amp;5'!K:K)+1&amp;"' AS ID_EXEC, CURRENT_TIMESTAMP() AS TIME_EXEC FROM "&amp;I243&amp;" INNER JOIN "&amp;J243&amp;" "&amp;K243,"SELECT '"&amp;UPPER(B243)&amp;"' AS TABELA, '"&amp;UPPER(C243)&amp;"' AS TIPOLOGIA_TESTE,'"&amp;D243&amp;"' AS TABELA_LT,'"&amp;E243&amp;"' AS TABELA_SIMUL,'"&amp;F243&amp;"' AS CAMPO, "&amp;"'${ref_date}' AS REF_DATE, COUNT(*) AS NUM_REG, SUM(IF(COALESCE(CAST(X."&amp;F243&amp;" AS STRING),'')&lt;&gt;COALESCE(CAST(Y."&amp;F243&amp;"_SIMUL AS STRING),'') OR (X."&amp;F243&amp;" IS NULL AND Y."&amp;F243&amp;"_SIMUL IS NOT NULL ) OR (X."&amp;F243&amp;" IS NOT NULL AND Y."&amp;F243&amp;"_SIMUL IS NULL),1,0)) AS NUM_REG_DIF,'"&amp;MAX('ID1&amp;5'!L:L)+1&amp;"' AS ID_EXEC, CURRENT_TIMESTAMP() AS TIME_EXEC FROM "&amp;I243&amp;" INNER JOIN "&amp;J243&amp;" "&amp;K243),
IF(C243="Validade",+IF(G243="Code List","SELECT '"&amp;UPPER(B243)&amp;"' AS TABELA, '"&amp;UPPER(C243)&amp;"' AS TIPOLOGIA_TESTE,'"&amp;D243&amp;"' AS TABELA_LT,'N/A' AS TABELA_SIMUL,'"&amp;F243&amp;"' AS CAMPO, "&amp;"'${ref_date}' AS REF_DATE, COUNT(*) AS NUM_REG, SUM(IF(TRIM(CAST(X."&amp;F243&amp;" AS STRING))='' OR TRIM(CAST(X."&amp;F243&amp;" AS STRING)) IS NULL OR CAST(X."&amp;F243&amp;" AS STRING) NOT "&amp;H243&amp;",1,0)) AS NUM_REG_DIF,'"&amp;MAX('ID1&amp;5'!K:K)+1&amp;"' AS ID_EXEC, CURRENT_TIMESTAMP() AS TIME_EXEC FROM "&amp;I243,"SELECT '"&amp;UPPER(B243)&amp;"' AS TABELA, '"&amp;UPPER(C243)&amp;"' AS TIPOLOGIA_TESTE,'"&amp;D243&amp;"' AS TABELA_LT,'N/A' AS TABELA_SIMUL,'"&amp;F243&amp;"' AS CAMPO, "&amp;"'${ref_date}' AS REF_DATE, COUNT(*) AS NUM_REG, SUM(IF(TRIM(CAST(X."&amp;F243&amp;" AS STRING))='' OR TRIM(CAST(X."&amp;F243&amp;" AS STRING)) IS NULL,1,0)) AS NUM_REG_DIF,'"&amp;MAX('ID1&amp;5'!K:K)+1&amp;"' AS ID_EXEC, CURRENT_TIMESTAMP() AS TIME_EXEC FROM "&amp;I243),
IF(C243="Caracteres Especiais",+"SELECT '"&amp;UPPER(B243)&amp;"' AS TABELA, '"&amp;UPPER(C243)&amp;"' AS TIPOLOGIA_TESTE,'"&amp;D243&amp;"' AS TABELA_LT,'N/A' AS TABELA_SIMUL,'"&amp;F243&amp;"' AS CAMPO, "&amp;"'${ref_date}' AS REF_DATE, COUNT(*) AS NUM_REG, SUM(IF(REGEXP_REPLACE(TRIM(CAST(X."&amp;F243&amp;" AS STRING)),'[^a-zA-Z0-9_\\s]','') &lt;&gt;TRIM(CAST(X."&amp;F243&amp;" AS STRING)),1,0)) AS NUM_REG_DIF,'"&amp;MAX('ID1&amp;5'!K:K)+1&amp;"' AS ID_EXEC, CURRENT_TIMESTAMP() AS TIME_EXEC FROM "&amp;I243,
IF(C243="Missings",+"SELECT '"&amp;UPPER(B243)&amp;"' AS TABELA, '"&amp;UPPER(C243)&amp;"' AS TIPOLOGIA_TESTE,'"&amp;D243&amp;"' AS TABELA_LT,'N/A' AS TABELA_SIMUL,'"&amp;F243&amp;"' AS CAMPO, "&amp;"'${ref_date}' AS REF_DATE, COUNT(*) AS NUM_REG, SUM(IF(TRIM(CAST(X."&amp;F243&amp;" AS STRING)) IN ('0000-00-00','0001-01-01','9999-12-31','MISS','00000','99999999999','99999999999.00','99999999999.000000'),1,0)) AS NUM_REG_DIF,'"&amp;MAX('ID1&amp;5'!K:K)+1&amp;"' AS ID_EXEC, CURRENT_TIMESTAMP() AS TIME_EXEC FROM "&amp;I243,
IF(C243="Not applicable",+"SELECT '"&amp;UPPER(B243)&amp;"' AS TABELA, '"&amp;UPPER(C243)&amp;"' AS TIPOLOGIA_TESTE,'"&amp;D243&amp;"' AS TABELA_LT,'N/A' AS TABELA_SIMUL,'"&amp;F243&amp;"' AS CAMPO, "&amp;"'${ref_date}' AS REF_DATE, COUNT(*) AS NUM_REG, SUM(IF(TRIM(CAST(X."&amp;F243&amp;" AS STRING)) IN ('N/A','11111111111','11111111111.00','11111111111.000000','1111-11-11'),1,0)) AS NUM_REG_DIF,'"&amp;MAX('ID1&amp;5'!K:K)+1&amp;"' AS ID_EXEC, CURRENT_TIMESTAMP() AS TIME_EXEC FROM "&amp;I243,
IF(C243="Valores extremos",+"SELECT '"&amp;UPPER(B243)&amp;"' AS TABELA, '"&amp;UPPER(C243)&amp;"' AS TIPOLOGIA_TESTE,'"&amp;D243&amp;"' AS TABELA_LT,'N/A' AS TABELA_SIMUL,'"&amp;F243&amp;"' AS CAMPO, "&amp;"'${ref_date}' AS REF_DATE, CAST(MIN("&amp;F243&amp;") AS STRING) AS VALOR_MIN, CAST(MAX("&amp;F243&amp;") AS STRING) AS VALOR_MAX,'"&amp;MAX('ID1&amp;5'!K:K)+1&amp;"' AS ID_EXEC, CURRENT_TIMESTAMP() AS TIME_EXEC FROM "&amp;MID(I243,1,LEN(I243)-2)&amp;" AND CAST("&amp;F243&amp;"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TABELA_SIMUL,'RCVD_AMRTSTN_24M' AS CAMPO, '${ref_date}' AS REF_DATE, COUNT(*) AS NUM_REG, SUM(IF(COALESCE(CAST(X.RCVD_AMRTSTN_24M AS STRING),'')&lt;&gt;COALESCE(CAST(Y.RCVD_AMRTSTN_24M_SIMUL AS STRING),'') OR (X.RCVD_AMRTSTN_24M IS NULL AND Y.RCVD_AMRTSTN_24M_SIMUL IS NOT NULL ) OR (X.RCVD_AMRTSTN_24M IS NOT NULL AND Y.RCVD_AMRTSTN_24M_SIMUL IS NULL),1,0)) AS NUM_REG_DIF,'1' AS ID_EXEC, CURRENT_TIMESTAMP() AS TIME_EXEC FROM (SELECT instrmnt_id, RCVD_AMRTSTN_24M FROM CD_LOAN_TAPES_BCE.LT002_INSTRUMENT WHERE ref_date='${ref_date}' AND nome_perimetro='Individual Corporativo' AND segmento='ESTR' AND ambito='PM' AND entidade='00100')X INNER JOIN (SELECT instrmnt_id AS instrmnt_id_SIMUL, RCVD_AMRTSTN_24M AS RCVD_AMRTSTN_24M_SIMUL FROM BU_LOANTAPE_WORK.LT002_INSTRUMENT WHERE ref_date='${ref_date}' AND nome_perimetro='Individual Corporativo' AND segmento='ESTR' AND ambito='PM' AND entidade='00100')Y ON X.INSTRMNT_ID=Y.INSTRMNT_ID_SIMUL</v>
      </c>
      <c r="M243" s="36" t="str">
        <f t="shared" si="3"/>
        <v>UNION ALL SELECT 'INSTRUMENT' AS TABELA, 'COERÊNCIA' AS TIPOLOGIA_TESTE,'CD_LOAN_TAPES_BCE.LT002_INSTRUMENT' AS TABELA_LT,'BU_LOANTAPE_WORK.LT002_INSTRUMENT' AS TABELA_SIMUL,'RCVD_AMRTSTN_24M' AS CAMPO, '${ref_date}' AS REF_DATE, COUNT(*) AS NUM_REG, SUM(IF(COALESCE(CAST(X.RCVD_AMRTSTN_24M AS STRING),'')&lt;&gt;COALESCE(CAST(Y.RCVD_AMRTSTN_24M_SIMUL AS STRING),'') OR (X.RCVD_AMRTSTN_24M IS NULL AND Y.RCVD_AMRTSTN_24M_SIMUL IS NOT NULL ) OR (X.RCVD_AMRTSTN_24M IS NOT NULL AND Y.RCVD_AMRTSTN_24M_SIMUL IS NULL),1,0)) AS NUM_REG_DIF,'1' AS ID_EXEC, CURRENT_TIMESTAMP() AS TIME_EXEC FROM (SELECT instrmnt_id, RCVD_AMRTSTN_24M FROM CD_LOAN_TAPES_BCE.LT002_INSTRUMENT WHERE ref_date='${ref_date}' AND nome_perimetro='Individual Corporativo' AND segmento='ESTR' AND ambito='PM' AND entidade='00100')X INNER JOIN (SELECT instrmnt_id AS instrmnt_id_SIMUL, RCVD_AMRTSTN_24M AS RCVD_AMRTSTN_24M_SIMUL FROM BU_LOANTAPE_WORK.LT002_INSTRUMENT WHERE ref_date='${ref_date}' AND nome_perimetro='Individual Corporativo' AND segmento='ESTR' AND ambito='PM' AND entidade='00100')Y ON X.INSTRMNT_ID=Y.INSTRMNT_ID_SIMUL</v>
      </c>
      <c r="N243" s="38" t="s">
        <v>46</v>
      </c>
    </row>
    <row r="244" spans="2:14" hidden="1">
      <c r="B244" s="34" t="s">
        <v>126</v>
      </c>
      <c r="C244" s="34" t="s">
        <v>5</v>
      </c>
      <c r="D244" s="34" t="str">
        <f>+UPPER('0. Instruções'!$D$35&amp;"."&amp;VLOOKUP(B244,'0. Instruções'!$C$27:$D$32,2,FALSE))</f>
        <v>CD_LOAN_TAPES_BCE.LT002_INSTRUMENT</v>
      </c>
      <c r="E244" s="34" t="str">
        <f>+UPPER('0. Instruções'!$D$36&amp;"."&amp;VLOOKUP(B244,'0. Instruções'!$C$27:$E$32,3,FALSE))</f>
        <v>BU_LOANTAPE_WORK.LT002_INSTRUMENT</v>
      </c>
      <c r="F244" s="34" t="s">
        <v>526</v>
      </c>
      <c r="G244" s="34"/>
      <c r="H244" s="34" t="s">
        <v>92</v>
      </c>
      <c r="I244" s="34" t="str">
        <f>"(SELECT "&amp;VLOOKUP(B244,'0. Instruções'!$C$27:$G$32,4,FALSE)&amp;", "&amp;F244&amp;" FROM "&amp;D244&amp;" WHERE "&amp;'0. Instruções'!$D$42&amp;")X"</f>
        <v>(SELECT instrmnt_id, RCVD_INTRST_12M FROM CD_LOAN_TAPES_BCE.LT002_INSTRUMENT WHERE ref_date='${ref_date}' AND nome_perimetro='Individual Corporativo' AND segmento='ESTR' AND ambito='PM' AND entidade='00100')X</v>
      </c>
      <c r="J244" s="34" t="str">
        <f>"(SELECT "&amp;VLOOKUP(B244,'0. Instruções'!$C$27:$G$32,4,FALSE)&amp;" AS "&amp;VLOOKUP(B244,'0. Instruções'!$C$27:$G$32,4,FALSE)&amp;"_SIMUL, "&amp;F244&amp;" AS "&amp;F244&amp;"_SIMUL FROM "&amp;E244&amp;" WHERE "&amp;'0. Instruções'!$D$43&amp;")Y"</f>
        <v>(SELECT instrmnt_id AS instrmnt_id_SIMUL, RCVD_INTRST_12M AS RCVD_INTRST_12M_SIMUL FROM BU_LOANTAPE_WORK.LT002_INSTRUMENT WHERE ref_date='${ref_date}' AND nome_perimetro='Individual Corporativo' AND segmento='ESTR' AND ambito='PM' AND entidade='00100')Y</v>
      </c>
      <c r="K244" s="35" t="str">
        <f>+UPPER("ON X."&amp;VLOOKUP(B244,'0. Instruções'!$C$27:$G$32,4,FALSE)&amp;"=Y."&amp;VLOOKUP(B244,'0. Instruções'!$C$27:$G$32,4,FALSE)&amp;"_SIMUL")</f>
        <v>ON X.INSTRMNT_ID=Y.INSTRMNT_ID_SIMUL</v>
      </c>
      <c r="L244" s="35" t="str">
        <f>+IF(C244="Coerência", +IF(LEFT(G244,5)="FLOAT","SELECT '"&amp;UPPER(B244)&amp;"' AS TABELA, '"&amp;UPPER(C244)&amp;"' AS TIPOLOGIA_TESTE,'"&amp;D244&amp;"' AS TABELA_LT,'"&amp;E244&amp;"' AS TABELA_SIMUL,'"&amp;F244&amp;"' AS CAMPO, "&amp;"'${ref_date}' AS REF_DATE, COUNT(*) AS NUM_REG, SUM(IF((ABS(COALESCE(CAST(X."&amp;F244&amp;" AS DECIMAL(18,6)),0)-COALESCE(CAST(Y."&amp;F244&amp;"_SIMUL AS DECIMAL(18,6)),0))&gt;0.000001) OR (X."&amp;F244&amp;" IS NULL AND Y."&amp;F244&amp;"_SIMUL IS NOT NULL ) OR (X."&amp;F244&amp;" IS NOT NULL AND Y."&amp;F244&amp;"_SIMUL IS NULL),1,0)) AS NUM_REG_DIF,'"&amp;MAX('ID1&amp;5'!K:K)+1&amp;"' AS ID_EXEC, CURRENT_TIMESTAMP() AS TIME_EXEC FROM "&amp;I244&amp;" INNER JOIN "&amp;J244&amp;" "&amp;K244,"SELECT '"&amp;UPPER(B244)&amp;"' AS TABELA, '"&amp;UPPER(C244)&amp;"' AS TIPOLOGIA_TESTE,'"&amp;D244&amp;"' AS TABELA_LT,'"&amp;E244&amp;"' AS TABELA_SIMUL,'"&amp;F244&amp;"' AS CAMPO, "&amp;"'${ref_date}' AS REF_DATE, COUNT(*) AS NUM_REG, SUM(IF(COALESCE(CAST(X."&amp;F244&amp;" AS STRING),'')&lt;&gt;COALESCE(CAST(Y."&amp;F244&amp;"_SIMUL AS STRING),'') OR (X."&amp;F244&amp;" IS NULL AND Y."&amp;F244&amp;"_SIMUL IS NOT NULL ) OR (X."&amp;F244&amp;" IS NOT NULL AND Y."&amp;F244&amp;"_SIMUL IS NULL),1,0)) AS NUM_REG_DIF,'"&amp;MAX('ID1&amp;5'!L:L)+1&amp;"' AS ID_EXEC, CURRENT_TIMESTAMP() AS TIME_EXEC FROM "&amp;I244&amp;" INNER JOIN "&amp;J244&amp;" "&amp;K244),
IF(C244="Validade",+IF(G244="Code List","SELECT '"&amp;UPPER(B244)&amp;"' AS TABELA, '"&amp;UPPER(C244)&amp;"' AS TIPOLOGIA_TESTE,'"&amp;D244&amp;"' AS TABELA_LT,'N/A' AS TABELA_SIMUL,'"&amp;F244&amp;"' AS CAMPO, "&amp;"'${ref_date}' AS REF_DATE, COUNT(*) AS NUM_REG, SUM(IF(TRIM(CAST(X."&amp;F244&amp;" AS STRING))='' OR TRIM(CAST(X."&amp;F244&amp;" AS STRING)) IS NULL OR CAST(X."&amp;F244&amp;" AS STRING) NOT "&amp;H244&amp;",1,0)) AS NUM_REG_DIF,'"&amp;MAX('ID1&amp;5'!K:K)+1&amp;"' AS ID_EXEC, CURRENT_TIMESTAMP() AS TIME_EXEC FROM "&amp;I244,"SELECT '"&amp;UPPER(B244)&amp;"' AS TABELA, '"&amp;UPPER(C244)&amp;"' AS TIPOLOGIA_TESTE,'"&amp;D244&amp;"' AS TABELA_LT,'N/A' AS TABELA_SIMUL,'"&amp;F244&amp;"' AS CAMPO, "&amp;"'${ref_date}' AS REF_DATE, COUNT(*) AS NUM_REG, SUM(IF(TRIM(CAST(X."&amp;F244&amp;" AS STRING))='' OR TRIM(CAST(X."&amp;F244&amp;" AS STRING)) IS NULL,1,0)) AS NUM_REG_DIF,'"&amp;MAX('ID1&amp;5'!K:K)+1&amp;"' AS ID_EXEC, CURRENT_TIMESTAMP() AS TIME_EXEC FROM "&amp;I244),
IF(C244="Caracteres Especiais",+"SELECT '"&amp;UPPER(B244)&amp;"' AS TABELA, '"&amp;UPPER(C244)&amp;"' AS TIPOLOGIA_TESTE,'"&amp;D244&amp;"' AS TABELA_LT,'N/A' AS TABELA_SIMUL,'"&amp;F244&amp;"' AS CAMPO, "&amp;"'${ref_date}' AS REF_DATE, COUNT(*) AS NUM_REG, SUM(IF(REGEXP_REPLACE(TRIM(CAST(X."&amp;F244&amp;" AS STRING)),'[^a-zA-Z0-9_\\s]','') &lt;&gt;TRIM(CAST(X."&amp;F244&amp;" AS STRING)),1,0)) AS NUM_REG_DIF,'"&amp;MAX('ID1&amp;5'!K:K)+1&amp;"' AS ID_EXEC, CURRENT_TIMESTAMP() AS TIME_EXEC FROM "&amp;I244,
IF(C244="Missings",+"SELECT '"&amp;UPPER(B244)&amp;"' AS TABELA, '"&amp;UPPER(C244)&amp;"' AS TIPOLOGIA_TESTE,'"&amp;D244&amp;"' AS TABELA_LT,'N/A' AS TABELA_SIMUL,'"&amp;F244&amp;"' AS CAMPO, "&amp;"'${ref_date}' AS REF_DATE, COUNT(*) AS NUM_REG, SUM(IF(TRIM(CAST(X."&amp;F244&amp;" AS STRING)) IN ('0000-00-00','0001-01-01','9999-12-31','MISS','00000','99999999999','99999999999.00','99999999999.000000'),1,0)) AS NUM_REG_DIF,'"&amp;MAX('ID1&amp;5'!K:K)+1&amp;"' AS ID_EXEC, CURRENT_TIMESTAMP() AS TIME_EXEC FROM "&amp;I244,
IF(C244="Not applicable",+"SELECT '"&amp;UPPER(B244)&amp;"' AS TABELA, '"&amp;UPPER(C244)&amp;"' AS TIPOLOGIA_TESTE,'"&amp;D244&amp;"' AS TABELA_LT,'N/A' AS TABELA_SIMUL,'"&amp;F244&amp;"' AS CAMPO, "&amp;"'${ref_date}' AS REF_DATE, COUNT(*) AS NUM_REG, SUM(IF(TRIM(CAST(X."&amp;F244&amp;" AS STRING)) IN ('N/A','11111111111','11111111111.00','11111111111.000000','1111-11-11'),1,0)) AS NUM_REG_DIF,'"&amp;MAX('ID1&amp;5'!K:K)+1&amp;"' AS ID_EXEC, CURRENT_TIMESTAMP() AS TIME_EXEC FROM "&amp;I244,
IF(C244="Valores extremos",+"SELECT '"&amp;UPPER(B244)&amp;"' AS TABELA, '"&amp;UPPER(C244)&amp;"' AS TIPOLOGIA_TESTE,'"&amp;D244&amp;"' AS TABELA_LT,'N/A' AS TABELA_SIMUL,'"&amp;F244&amp;"' AS CAMPO, "&amp;"'${ref_date}' AS REF_DATE, CAST(MIN("&amp;F244&amp;") AS STRING) AS VALOR_MIN, CAST(MAX("&amp;F244&amp;") AS STRING) AS VALOR_MAX,'"&amp;MAX('ID1&amp;5'!K:K)+1&amp;"' AS ID_EXEC, CURRENT_TIMESTAMP() AS TIME_EXEC FROM "&amp;MID(I244,1,LEN(I244)-2)&amp;" AND CAST("&amp;F244&amp;"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TABELA_SIMUL,'RCVD_INTRST_12M' AS CAMPO, '${ref_date}' AS REF_DATE, COUNT(*) AS NUM_REG, SUM(IF(COALESCE(CAST(X.RCVD_INTRST_12M AS STRING),'')&lt;&gt;COALESCE(CAST(Y.RCVD_INTRST_12M_SIMUL AS STRING),'') OR (X.RCVD_INTRST_12M IS NULL AND Y.RCVD_INTRST_12M_SIMUL IS NOT NULL ) OR (X.RCVD_INTRST_12M IS NOT NULL AND Y.RCVD_INTRST_12M_SIMUL IS NULL),1,0)) AS NUM_REG_DIF,'1' AS ID_EXEC, CURRENT_TIMESTAMP() AS TIME_EXEC FROM (SELECT instrmnt_id, RCVD_INTRST_12M FROM CD_LOAN_TAPES_BCE.LT002_INSTRUMENT WHERE ref_date='${ref_date}' AND nome_perimetro='Individual Corporativo' AND segmento='ESTR' AND ambito='PM' AND entidade='00100')X INNER JOIN (SELECT instrmnt_id AS instrmnt_id_SIMUL, RCVD_INTRST_12M AS RCVD_INTRST_12M_SIMUL FROM BU_LOANTAPE_WORK.LT002_INSTRUMENT WHERE ref_date='${ref_date}' AND nome_perimetro='Individual Corporativo' AND segmento='ESTR' AND ambito='PM' AND entidade='00100')Y ON X.INSTRMNT_ID=Y.INSTRMNT_ID_SIMUL</v>
      </c>
      <c r="M244" s="36" t="str">
        <f t="shared" ref="M244:M307" si="4">+"UNION ALL "&amp;L244</f>
        <v>UNION ALL SELECT 'INSTRUMENT' AS TABELA, 'COERÊNCIA' AS TIPOLOGIA_TESTE,'CD_LOAN_TAPES_BCE.LT002_INSTRUMENT' AS TABELA_LT,'BU_LOANTAPE_WORK.LT002_INSTRUMENT' AS TABELA_SIMUL,'RCVD_INTRST_12M' AS CAMPO, '${ref_date}' AS REF_DATE, COUNT(*) AS NUM_REG, SUM(IF(COALESCE(CAST(X.RCVD_INTRST_12M AS STRING),'')&lt;&gt;COALESCE(CAST(Y.RCVD_INTRST_12M_SIMUL AS STRING),'') OR (X.RCVD_INTRST_12M IS NULL AND Y.RCVD_INTRST_12M_SIMUL IS NOT NULL ) OR (X.RCVD_INTRST_12M IS NOT NULL AND Y.RCVD_INTRST_12M_SIMUL IS NULL),1,0)) AS NUM_REG_DIF,'1' AS ID_EXEC, CURRENT_TIMESTAMP() AS TIME_EXEC FROM (SELECT instrmnt_id, RCVD_INTRST_12M FROM CD_LOAN_TAPES_BCE.LT002_INSTRUMENT WHERE ref_date='${ref_date}' AND nome_perimetro='Individual Corporativo' AND segmento='ESTR' AND ambito='PM' AND entidade='00100')X INNER JOIN (SELECT instrmnt_id AS instrmnt_id_SIMUL, RCVD_INTRST_12M AS RCVD_INTRST_12M_SIMUL FROM BU_LOANTAPE_WORK.LT002_INSTRUMENT WHERE ref_date='${ref_date}' AND nome_perimetro='Individual Corporativo' AND segmento='ESTR' AND ambito='PM' AND entidade='00100')Y ON X.INSTRMNT_ID=Y.INSTRMNT_ID_SIMUL</v>
      </c>
      <c r="N244" s="38" t="s">
        <v>46</v>
      </c>
    </row>
    <row r="245" spans="2:14" hidden="1">
      <c r="B245" s="34" t="s">
        <v>126</v>
      </c>
      <c r="C245" s="34" t="s">
        <v>5</v>
      </c>
      <c r="D245" s="34" t="str">
        <f>+UPPER('0. Instruções'!$D$35&amp;"."&amp;VLOOKUP(B245,'0. Instruções'!$C$27:$D$32,2,FALSE))</f>
        <v>CD_LOAN_TAPES_BCE.LT002_INSTRUMENT</v>
      </c>
      <c r="E245" s="34" t="str">
        <f>+UPPER('0. Instruções'!$D$36&amp;"."&amp;VLOOKUP(B245,'0. Instruções'!$C$27:$E$32,3,FALSE))</f>
        <v>BU_LOANTAPE_WORK.LT002_INSTRUMENT</v>
      </c>
      <c r="F245" s="34" t="s">
        <v>527</v>
      </c>
      <c r="G245" s="34"/>
      <c r="H245" s="34" t="s">
        <v>92</v>
      </c>
      <c r="I245" s="34" t="str">
        <f>"(SELECT "&amp;VLOOKUP(B245,'0. Instruções'!$C$27:$G$32,4,FALSE)&amp;", "&amp;F245&amp;" FROM "&amp;D245&amp;" WHERE "&amp;'0. Instruções'!$D$42&amp;")X"</f>
        <v>(SELECT instrmnt_id, RCVD_INTRST_24M FROM CD_LOAN_TAPES_BCE.LT002_INSTRUMENT WHERE ref_date='${ref_date}' AND nome_perimetro='Individual Corporativo' AND segmento='ESTR' AND ambito='PM' AND entidade='00100')X</v>
      </c>
      <c r="J245" s="34" t="str">
        <f>"(SELECT "&amp;VLOOKUP(B245,'0. Instruções'!$C$27:$G$32,4,FALSE)&amp;" AS "&amp;VLOOKUP(B245,'0. Instruções'!$C$27:$G$32,4,FALSE)&amp;"_SIMUL, "&amp;F245&amp;" AS "&amp;F245&amp;"_SIMUL FROM "&amp;E245&amp;" WHERE "&amp;'0. Instruções'!$D$43&amp;")Y"</f>
        <v>(SELECT instrmnt_id AS instrmnt_id_SIMUL, RCVD_INTRST_24M AS RCVD_INTRST_24M_SIMUL FROM BU_LOANTAPE_WORK.LT002_INSTRUMENT WHERE ref_date='${ref_date}' AND nome_perimetro='Individual Corporativo' AND segmento='ESTR' AND ambito='PM' AND entidade='00100')Y</v>
      </c>
      <c r="K245" s="35" t="str">
        <f>+UPPER("ON X."&amp;VLOOKUP(B245,'0. Instruções'!$C$27:$G$32,4,FALSE)&amp;"=Y."&amp;VLOOKUP(B245,'0. Instruções'!$C$27:$G$32,4,FALSE)&amp;"_SIMUL")</f>
        <v>ON X.INSTRMNT_ID=Y.INSTRMNT_ID_SIMUL</v>
      </c>
      <c r="L245" s="35" t="str">
        <f>+IF(C245="Coerência", +IF(LEFT(G245,5)="FLOAT","SELECT '"&amp;UPPER(B245)&amp;"' AS TABELA, '"&amp;UPPER(C245)&amp;"' AS TIPOLOGIA_TESTE,'"&amp;D245&amp;"' AS TABELA_LT,'"&amp;E245&amp;"' AS TABELA_SIMUL,'"&amp;F245&amp;"' AS CAMPO, "&amp;"'${ref_date}' AS REF_DATE, COUNT(*) AS NUM_REG, SUM(IF((ABS(COALESCE(CAST(X."&amp;F245&amp;" AS DECIMAL(18,6)),0)-COALESCE(CAST(Y."&amp;F245&amp;"_SIMUL AS DECIMAL(18,6)),0))&gt;0.000001) OR (X."&amp;F245&amp;" IS NULL AND Y."&amp;F245&amp;"_SIMUL IS NOT NULL ) OR (X."&amp;F245&amp;" IS NOT NULL AND Y."&amp;F245&amp;"_SIMUL IS NULL),1,0)) AS NUM_REG_DIF,'"&amp;MAX('ID1&amp;5'!K:K)+1&amp;"' AS ID_EXEC, CURRENT_TIMESTAMP() AS TIME_EXEC FROM "&amp;I245&amp;" INNER JOIN "&amp;J245&amp;" "&amp;K245,"SELECT '"&amp;UPPER(B245)&amp;"' AS TABELA, '"&amp;UPPER(C245)&amp;"' AS TIPOLOGIA_TESTE,'"&amp;D245&amp;"' AS TABELA_LT,'"&amp;E245&amp;"' AS TABELA_SIMUL,'"&amp;F245&amp;"' AS CAMPO, "&amp;"'${ref_date}' AS REF_DATE, COUNT(*) AS NUM_REG, SUM(IF(COALESCE(CAST(X."&amp;F245&amp;" AS STRING),'')&lt;&gt;COALESCE(CAST(Y."&amp;F245&amp;"_SIMUL AS STRING),'') OR (X."&amp;F245&amp;" IS NULL AND Y."&amp;F245&amp;"_SIMUL IS NOT NULL ) OR (X."&amp;F245&amp;" IS NOT NULL AND Y."&amp;F245&amp;"_SIMUL IS NULL),1,0)) AS NUM_REG_DIF,'"&amp;MAX('ID1&amp;5'!L:L)+1&amp;"' AS ID_EXEC, CURRENT_TIMESTAMP() AS TIME_EXEC FROM "&amp;I245&amp;" INNER JOIN "&amp;J245&amp;" "&amp;K245),
IF(C245="Validade",+IF(G245="Code List","SELECT '"&amp;UPPER(B245)&amp;"' AS TABELA, '"&amp;UPPER(C245)&amp;"' AS TIPOLOGIA_TESTE,'"&amp;D245&amp;"' AS TABELA_LT,'N/A' AS TABELA_SIMUL,'"&amp;F245&amp;"' AS CAMPO, "&amp;"'${ref_date}' AS REF_DATE, COUNT(*) AS NUM_REG, SUM(IF(TRIM(CAST(X."&amp;F245&amp;" AS STRING))='' OR TRIM(CAST(X."&amp;F245&amp;" AS STRING)) IS NULL OR CAST(X."&amp;F245&amp;" AS STRING) NOT "&amp;H245&amp;",1,0)) AS NUM_REG_DIF,'"&amp;MAX('ID1&amp;5'!K:K)+1&amp;"' AS ID_EXEC, CURRENT_TIMESTAMP() AS TIME_EXEC FROM "&amp;I245,"SELECT '"&amp;UPPER(B245)&amp;"' AS TABELA, '"&amp;UPPER(C245)&amp;"' AS TIPOLOGIA_TESTE,'"&amp;D245&amp;"' AS TABELA_LT,'N/A' AS TABELA_SIMUL,'"&amp;F245&amp;"' AS CAMPO, "&amp;"'${ref_date}' AS REF_DATE, COUNT(*) AS NUM_REG, SUM(IF(TRIM(CAST(X."&amp;F245&amp;" AS STRING))='' OR TRIM(CAST(X."&amp;F245&amp;" AS STRING)) IS NULL,1,0)) AS NUM_REG_DIF,'"&amp;MAX('ID1&amp;5'!K:K)+1&amp;"' AS ID_EXEC, CURRENT_TIMESTAMP() AS TIME_EXEC FROM "&amp;I245),
IF(C245="Caracteres Especiais",+"SELECT '"&amp;UPPER(B245)&amp;"' AS TABELA, '"&amp;UPPER(C245)&amp;"' AS TIPOLOGIA_TESTE,'"&amp;D245&amp;"' AS TABELA_LT,'N/A' AS TABELA_SIMUL,'"&amp;F245&amp;"' AS CAMPO, "&amp;"'${ref_date}' AS REF_DATE, COUNT(*) AS NUM_REG, SUM(IF(REGEXP_REPLACE(TRIM(CAST(X."&amp;F245&amp;" AS STRING)),'[^a-zA-Z0-9_\\s]','') &lt;&gt;TRIM(CAST(X."&amp;F245&amp;" AS STRING)),1,0)) AS NUM_REG_DIF,'"&amp;MAX('ID1&amp;5'!K:K)+1&amp;"' AS ID_EXEC, CURRENT_TIMESTAMP() AS TIME_EXEC FROM "&amp;I245,
IF(C245="Missings",+"SELECT '"&amp;UPPER(B245)&amp;"' AS TABELA, '"&amp;UPPER(C245)&amp;"' AS TIPOLOGIA_TESTE,'"&amp;D245&amp;"' AS TABELA_LT,'N/A' AS TABELA_SIMUL,'"&amp;F245&amp;"' AS CAMPO, "&amp;"'${ref_date}' AS REF_DATE, COUNT(*) AS NUM_REG, SUM(IF(TRIM(CAST(X."&amp;F245&amp;" AS STRING)) IN ('0000-00-00','0001-01-01','9999-12-31','MISS','00000','99999999999','99999999999.00','99999999999.000000'),1,0)) AS NUM_REG_DIF,'"&amp;MAX('ID1&amp;5'!K:K)+1&amp;"' AS ID_EXEC, CURRENT_TIMESTAMP() AS TIME_EXEC FROM "&amp;I245,
IF(C245="Not applicable",+"SELECT '"&amp;UPPER(B245)&amp;"' AS TABELA, '"&amp;UPPER(C245)&amp;"' AS TIPOLOGIA_TESTE,'"&amp;D245&amp;"' AS TABELA_LT,'N/A' AS TABELA_SIMUL,'"&amp;F245&amp;"' AS CAMPO, "&amp;"'${ref_date}' AS REF_DATE, COUNT(*) AS NUM_REG, SUM(IF(TRIM(CAST(X."&amp;F245&amp;" AS STRING)) IN ('N/A','11111111111','11111111111.00','11111111111.000000','1111-11-11'),1,0)) AS NUM_REG_DIF,'"&amp;MAX('ID1&amp;5'!K:K)+1&amp;"' AS ID_EXEC, CURRENT_TIMESTAMP() AS TIME_EXEC FROM "&amp;I245,
IF(C245="Valores extremos",+"SELECT '"&amp;UPPER(B245)&amp;"' AS TABELA, '"&amp;UPPER(C245)&amp;"' AS TIPOLOGIA_TESTE,'"&amp;D245&amp;"' AS TABELA_LT,'N/A' AS TABELA_SIMUL,'"&amp;F245&amp;"' AS CAMPO, "&amp;"'${ref_date}' AS REF_DATE, CAST(MIN("&amp;F245&amp;") AS STRING) AS VALOR_MIN, CAST(MAX("&amp;F245&amp;") AS STRING) AS VALOR_MAX,'"&amp;MAX('ID1&amp;5'!K:K)+1&amp;"' AS ID_EXEC, CURRENT_TIMESTAMP() AS TIME_EXEC FROM "&amp;MID(I245,1,LEN(I245)-2)&amp;" AND CAST("&amp;F245&amp;"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TABELA_SIMUL,'RCVD_INTRST_24M' AS CAMPO, '${ref_date}' AS REF_DATE, COUNT(*) AS NUM_REG, SUM(IF(COALESCE(CAST(X.RCVD_INTRST_24M AS STRING),'')&lt;&gt;COALESCE(CAST(Y.RCVD_INTRST_24M_SIMUL AS STRING),'') OR (X.RCVD_INTRST_24M IS NULL AND Y.RCVD_INTRST_24M_SIMUL IS NOT NULL ) OR (X.RCVD_INTRST_24M IS NOT NULL AND Y.RCVD_INTRST_24M_SIMUL IS NULL),1,0)) AS NUM_REG_DIF,'1' AS ID_EXEC, CURRENT_TIMESTAMP() AS TIME_EXEC FROM (SELECT instrmnt_id, RCVD_INTRST_24M FROM CD_LOAN_TAPES_BCE.LT002_INSTRUMENT WHERE ref_date='${ref_date}' AND nome_perimetro='Individual Corporativo' AND segmento='ESTR' AND ambito='PM' AND entidade='00100')X INNER JOIN (SELECT instrmnt_id AS instrmnt_id_SIMUL, RCVD_INTRST_24M AS RCVD_INTRST_24M_SIMUL FROM BU_LOANTAPE_WORK.LT002_INSTRUMENT WHERE ref_date='${ref_date}' AND nome_perimetro='Individual Corporativo' AND segmento='ESTR' AND ambito='PM' AND entidade='00100')Y ON X.INSTRMNT_ID=Y.INSTRMNT_ID_SIMUL</v>
      </c>
      <c r="M245" s="36" t="str">
        <f t="shared" si="4"/>
        <v>UNION ALL SELECT 'INSTRUMENT' AS TABELA, 'COERÊNCIA' AS TIPOLOGIA_TESTE,'CD_LOAN_TAPES_BCE.LT002_INSTRUMENT' AS TABELA_LT,'BU_LOANTAPE_WORK.LT002_INSTRUMENT' AS TABELA_SIMUL,'RCVD_INTRST_24M' AS CAMPO, '${ref_date}' AS REF_DATE, COUNT(*) AS NUM_REG, SUM(IF(COALESCE(CAST(X.RCVD_INTRST_24M AS STRING),'')&lt;&gt;COALESCE(CAST(Y.RCVD_INTRST_24M_SIMUL AS STRING),'') OR (X.RCVD_INTRST_24M IS NULL AND Y.RCVD_INTRST_24M_SIMUL IS NOT NULL ) OR (X.RCVD_INTRST_24M IS NOT NULL AND Y.RCVD_INTRST_24M_SIMUL IS NULL),1,0)) AS NUM_REG_DIF,'1' AS ID_EXEC, CURRENT_TIMESTAMP() AS TIME_EXEC FROM (SELECT instrmnt_id, RCVD_INTRST_24M FROM CD_LOAN_TAPES_BCE.LT002_INSTRUMENT WHERE ref_date='${ref_date}' AND nome_perimetro='Individual Corporativo' AND segmento='ESTR' AND ambito='PM' AND entidade='00100')X INNER JOIN (SELECT instrmnt_id AS instrmnt_id_SIMUL, RCVD_INTRST_24M AS RCVD_INTRST_24M_SIMUL FROM BU_LOANTAPE_WORK.LT002_INSTRUMENT WHERE ref_date='${ref_date}' AND nome_perimetro='Individual Corporativo' AND segmento='ESTR' AND ambito='PM' AND entidade='00100')Y ON X.INSTRMNT_ID=Y.INSTRMNT_ID_SIMUL</v>
      </c>
      <c r="N245" s="38" t="s">
        <v>46</v>
      </c>
    </row>
    <row r="246" spans="2:14" hidden="1">
      <c r="B246" s="34" t="s">
        <v>126</v>
      </c>
      <c r="C246" s="34" t="s">
        <v>5</v>
      </c>
      <c r="D246" s="34" t="str">
        <f>+UPPER('0. Instruções'!$D$35&amp;"."&amp;VLOOKUP(B246,'0. Instruções'!$C$27:$D$32,2,FALSE))</f>
        <v>CD_LOAN_TAPES_BCE.LT002_INSTRUMENT</v>
      </c>
      <c r="E246" s="34" t="str">
        <f>+UPPER('0. Instruções'!$D$36&amp;"."&amp;VLOOKUP(B246,'0. Instruções'!$C$27:$E$32,3,FALSE))</f>
        <v>BU_LOANTAPE_WORK.LT002_INSTRUMENT</v>
      </c>
      <c r="F246" s="34" t="s">
        <v>528</v>
      </c>
      <c r="G246" s="34"/>
      <c r="H246" s="34" t="s">
        <v>89</v>
      </c>
      <c r="I246" s="34" t="str">
        <f>"(SELECT "&amp;VLOOKUP(B246,'0. Instruções'!$C$27:$G$32,4,FALSE)&amp;", "&amp;F246&amp;" FROM "&amp;D246&amp;" WHERE "&amp;'0. Instruções'!$D$42&amp;")X"</f>
        <v>(SELECT instrmnt_id, SYNDCT_RL FROM CD_LOAN_TAPES_BCE.LT002_INSTRUMENT WHERE ref_date='${ref_date}' AND nome_perimetro='Individual Corporativo' AND segmento='ESTR' AND ambito='PM' AND entidade='00100')X</v>
      </c>
      <c r="J246" s="34" t="str">
        <f>"(SELECT "&amp;VLOOKUP(B246,'0. Instruções'!$C$27:$G$32,4,FALSE)&amp;" AS "&amp;VLOOKUP(B246,'0. Instruções'!$C$27:$G$32,4,FALSE)&amp;"_SIMUL, "&amp;F246&amp;" AS "&amp;F246&amp;"_SIMUL FROM "&amp;E246&amp;" WHERE "&amp;'0. Instruções'!$D$43&amp;")Y"</f>
        <v>(SELECT instrmnt_id AS instrmnt_id_SIMUL, SYNDCT_RL AS SYNDCT_RL_SIMUL FROM BU_LOANTAPE_WORK.LT002_INSTRUMENT WHERE ref_date='${ref_date}' AND nome_perimetro='Individual Corporativo' AND segmento='ESTR' AND ambito='PM' AND entidade='00100')Y</v>
      </c>
      <c r="K246" s="35" t="str">
        <f>+UPPER("ON X."&amp;VLOOKUP(B246,'0. Instruções'!$C$27:$G$32,4,FALSE)&amp;"=Y."&amp;VLOOKUP(B246,'0. Instruções'!$C$27:$G$32,4,FALSE)&amp;"_SIMUL")</f>
        <v>ON X.INSTRMNT_ID=Y.INSTRMNT_ID_SIMUL</v>
      </c>
      <c r="L246" s="35" t="str">
        <f>+IF(C246="Coerência", +IF(LEFT(G246,5)="FLOAT","SELECT '"&amp;UPPER(B246)&amp;"' AS TABELA, '"&amp;UPPER(C246)&amp;"' AS TIPOLOGIA_TESTE,'"&amp;D246&amp;"' AS TABELA_LT,'"&amp;E246&amp;"' AS TABELA_SIMUL,'"&amp;F246&amp;"' AS CAMPO, "&amp;"'${ref_date}' AS REF_DATE, COUNT(*) AS NUM_REG, SUM(IF((ABS(COALESCE(CAST(X."&amp;F246&amp;" AS DECIMAL(18,6)),0)-COALESCE(CAST(Y."&amp;F246&amp;"_SIMUL AS DECIMAL(18,6)),0))&gt;0.000001) OR (X."&amp;F246&amp;" IS NULL AND Y."&amp;F246&amp;"_SIMUL IS NOT NULL ) OR (X."&amp;F246&amp;" IS NOT NULL AND Y."&amp;F246&amp;"_SIMUL IS NULL),1,0)) AS NUM_REG_DIF,'"&amp;MAX('ID1&amp;5'!K:K)+1&amp;"' AS ID_EXEC, CURRENT_TIMESTAMP() AS TIME_EXEC FROM "&amp;I246&amp;" INNER JOIN "&amp;J246&amp;" "&amp;K246,"SELECT '"&amp;UPPER(B246)&amp;"' AS TABELA, '"&amp;UPPER(C246)&amp;"' AS TIPOLOGIA_TESTE,'"&amp;D246&amp;"' AS TABELA_LT,'"&amp;E246&amp;"' AS TABELA_SIMUL,'"&amp;F246&amp;"' AS CAMPO, "&amp;"'${ref_date}' AS REF_DATE, COUNT(*) AS NUM_REG, SUM(IF(COALESCE(CAST(X."&amp;F246&amp;" AS STRING),'')&lt;&gt;COALESCE(CAST(Y."&amp;F246&amp;"_SIMUL AS STRING),'') OR (X."&amp;F246&amp;" IS NULL AND Y."&amp;F246&amp;"_SIMUL IS NOT NULL ) OR (X."&amp;F246&amp;" IS NOT NULL AND Y."&amp;F246&amp;"_SIMUL IS NULL),1,0)) AS NUM_REG_DIF,'"&amp;MAX('ID1&amp;5'!L:L)+1&amp;"' AS ID_EXEC, CURRENT_TIMESTAMP() AS TIME_EXEC FROM "&amp;I246&amp;" INNER JOIN "&amp;J246&amp;" "&amp;K246),
IF(C246="Validade",+IF(G246="Code List","SELECT '"&amp;UPPER(B246)&amp;"' AS TABELA, '"&amp;UPPER(C246)&amp;"' AS TIPOLOGIA_TESTE,'"&amp;D246&amp;"' AS TABELA_LT,'N/A' AS TABELA_SIMUL,'"&amp;F246&amp;"' AS CAMPO, "&amp;"'${ref_date}' AS REF_DATE, COUNT(*) AS NUM_REG, SUM(IF(TRIM(CAST(X."&amp;F246&amp;" AS STRING))='' OR TRIM(CAST(X."&amp;F246&amp;" AS STRING)) IS NULL OR CAST(X."&amp;F246&amp;" AS STRING) NOT "&amp;H246&amp;",1,0)) AS NUM_REG_DIF,'"&amp;MAX('ID1&amp;5'!K:K)+1&amp;"' AS ID_EXEC, CURRENT_TIMESTAMP() AS TIME_EXEC FROM "&amp;I246,"SELECT '"&amp;UPPER(B246)&amp;"' AS TABELA, '"&amp;UPPER(C246)&amp;"' AS TIPOLOGIA_TESTE,'"&amp;D246&amp;"' AS TABELA_LT,'N/A' AS TABELA_SIMUL,'"&amp;F246&amp;"' AS CAMPO, "&amp;"'${ref_date}' AS REF_DATE, COUNT(*) AS NUM_REG, SUM(IF(TRIM(CAST(X."&amp;F246&amp;" AS STRING))='' OR TRIM(CAST(X."&amp;F246&amp;" AS STRING)) IS NULL,1,0)) AS NUM_REG_DIF,'"&amp;MAX('ID1&amp;5'!K:K)+1&amp;"' AS ID_EXEC, CURRENT_TIMESTAMP() AS TIME_EXEC FROM "&amp;I246),
IF(C246="Caracteres Especiais",+"SELECT '"&amp;UPPER(B246)&amp;"' AS TABELA, '"&amp;UPPER(C246)&amp;"' AS TIPOLOGIA_TESTE,'"&amp;D246&amp;"' AS TABELA_LT,'N/A' AS TABELA_SIMUL,'"&amp;F246&amp;"' AS CAMPO, "&amp;"'${ref_date}' AS REF_DATE, COUNT(*) AS NUM_REG, SUM(IF(REGEXP_REPLACE(TRIM(CAST(X."&amp;F246&amp;" AS STRING)),'[^a-zA-Z0-9_\\s]','') &lt;&gt;TRIM(CAST(X."&amp;F246&amp;" AS STRING)),1,0)) AS NUM_REG_DIF,'"&amp;MAX('ID1&amp;5'!K:K)+1&amp;"' AS ID_EXEC, CURRENT_TIMESTAMP() AS TIME_EXEC FROM "&amp;I246,
IF(C246="Missings",+"SELECT '"&amp;UPPER(B246)&amp;"' AS TABELA, '"&amp;UPPER(C246)&amp;"' AS TIPOLOGIA_TESTE,'"&amp;D246&amp;"' AS TABELA_LT,'N/A' AS TABELA_SIMUL,'"&amp;F246&amp;"' AS CAMPO, "&amp;"'${ref_date}' AS REF_DATE, COUNT(*) AS NUM_REG, SUM(IF(TRIM(CAST(X."&amp;F246&amp;" AS STRING)) IN ('0000-00-00','0001-01-01','9999-12-31','MISS','00000','99999999999','99999999999.00','99999999999.000000'),1,0)) AS NUM_REG_DIF,'"&amp;MAX('ID1&amp;5'!K:K)+1&amp;"' AS ID_EXEC, CURRENT_TIMESTAMP() AS TIME_EXEC FROM "&amp;I246,
IF(C246="Not applicable",+"SELECT '"&amp;UPPER(B246)&amp;"' AS TABELA, '"&amp;UPPER(C246)&amp;"' AS TIPOLOGIA_TESTE,'"&amp;D246&amp;"' AS TABELA_LT,'N/A' AS TABELA_SIMUL,'"&amp;F246&amp;"' AS CAMPO, "&amp;"'${ref_date}' AS REF_DATE, COUNT(*) AS NUM_REG, SUM(IF(TRIM(CAST(X."&amp;F246&amp;" AS STRING)) IN ('N/A','11111111111','11111111111.00','11111111111.000000','1111-11-11'),1,0)) AS NUM_REG_DIF,'"&amp;MAX('ID1&amp;5'!K:K)+1&amp;"' AS ID_EXEC, CURRENT_TIMESTAMP() AS TIME_EXEC FROM "&amp;I246,
IF(C246="Valores extremos",+"SELECT '"&amp;UPPER(B246)&amp;"' AS TABELA, '"&amp;UPPER(C246)&amp;"' AS TIPOLOGIA_TESTE,'"&amp;D246&amp;"' AS TABELA_LT,'N/A' AS TABELA_SIMUL,'"&amp;F246&amp;"' AS CAMPO, "&amp;"'${ref_date}' AS REF_DATE, CAST(MIN("&amp;F246&amp;") AS STRING) AS VALOR_MIN, CAST(MAX("&amp;F246&amp;") AS STRING) AS VALOR_MAX,'"&amp;MAX('ID1&amp;5'!K:K)+1&amp;"' AS ID_EXEC, CURRENT_TIMESTAMP() AS TIME_EXEC FROM "&amp;MID(I246,1,LEN(I246)-2)&amp;" AND CAST("&amp;F246&amp;"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TABELA_SIMUL,'SYNDCT_RL' AS CAMPO, '${ref_date}' AS REF_DATE, COUNT(*) AS NUM_REG, SUM(IF(COALESCE(CAST(X.SYNDCT_RL AS STRING),'')&lt;&gt;COALESCE(CAST(Y.SYNDCT_RL_SIMUL AS STRING),'') OR (X.SYNDCT_RL IS NULL AND Y.SYNDCT_RL_SIMUL IS NOT NULL ) OR (X.SYNDCT_RL IS NOT NULL AND Y.SYNDCT_RL_SIMUL IS NULL),1,0)) AS NUM_REG_DIF,'1' AS ID_EXEC, CURRENT_TIMESTAMP() AS TIME_EXEC FROM (SELECT instrmnt_id, SYNDCT_RL FROM CD_LOAN_TAPES_BCE.LT002_INSTRUMENT WHERE ref_date='${ref_date}' AND nome_perimetro='Individual Corporativo' AND segmento='ESTR' AND ambito='PM' AND entidade='00100')X INNER JOIN (SELECT instrmnt_id AS instrmnt_id_SIMUL, SYNDCT_RL AS SYNDCT_RL_SIMUL FROM BU_LOANTAPE_WORK.LT002_INSTRUMENT WHERE ref_date='${ref_date}' AND nome_perimetro='Individual Corporativo' AND segmento='ESTR' AND ambito='PM' AND entidade='00100')Y ON X.INSTRMNT_ID=Y.INSTRMNT_ID_SIMUL</v>
      </c>
      <c r="M246" s="36" t="str">
        <f t="shared" si="4"/>
        <v>UNION ALL SELECT 'INSTRUMENT' AS TABELA, 'COERÊNCIA' AS TIPOLOGIA_TESTE,'CD_LOAN_TAPES_BCE.LT002_INSTRUMENT' AS TABELA_LT,'BU_LOANTAPE_WORK.LT002_INSTRUMENT' AS TABELA_SIMUL,'SYNDCT_RL' AS CAMPO, '${ref_date}' AS REF_DATE, COUNT(*) AS NUM_REG, SUM(IF(COALESCE(CAST(X.SYNDCT_RL AS STRING),'')&lt;&gt;COALESCE(CAST(Y.SYNDCT_RL_SIMUL AS STRING),'') OR (X.SYNDCT_RL IS NULL AND Y.SYNDCT_RL_SIMUL IS NOT NULL ) OR (X.SYNDCT_RL IS NOT NULL AND Y.SYNDCT_RL_SIMUL IS NULL),1,0)) AS NUM_REG_DIF,'1' AS ID_EXEC, CURRENT_TIMESTAMP() AS TIME_EXEC FROM (SELECT instrmnt_id, SYNDCT_RL FROM CD_LOAN_TAPES_BCE.LT002_INSTRUMENT WHERE ref_date='${ref_date}' AND nome_perimetro='Individual Corporativo' AND segmento='ESTR' AND ambito='PM' AND entidade='00100')X INNER JOIN (SELECT instrmnt_id AS instrmnt_id_SIMUL, SYNDCT_RL AS SYNDCT_RL_SIMUL FROM BU_LOANTAPE_WORK.LT002_INSTRUMENT WHERE ref_date='${ref_date}' AND nome_perimetro='Individual Corporativo' AND segmento='ESTR' AND ambito='PM' AND entidade='00100')Y ON X.INSTRMNT_ID=Y.INSTRMNT_ID_SIMUL</v>
      </c>
      <c r="N246" s="38" t="s">
        <v>46</v>
      </c>
    </row>
    <row r="247" spans="2:14" hidden="1">
      <c r="B247" s="34" t="s">
        <v>126</v>
      </c>
      <c r="C247" s="34" t="s">
        <v>5</v>
      </c>
      <c r="D247" s="34" t="str">
        <f>+UPPER('0. Instruções'!$D$35&amp;"."&amp;VLOOKUP(B247,'0. Instruções'!$C$27:$D$32,2,FALSE))</f>
        <v>CD_LOAN_TAPES_BCE.LT002_INSTRUMENT</v>
      </c>
      <c r="E247" s="34" t="str">
        <f>+UPPER('0. Instruções'!$D$36&amp;"."&amp;VLOOKUP(B247,'0. Instruções'!$C$27:$E$32,3,FALSE))</f>
        <v>BU_LOANTAPE_WORK.LT002_INSTRUMENT</v>
      </c>
      <c r="F247" s="34" t="s">
        <v>529</v>
      </c>
      <c r="G247" s="34"/>
      <c r="H247" s="34" t="s">
        <v>646</v>
      </c>
      <c r="I247" s="34" t="str">
        <f>"(SELECT "&amp;VLOOKUP(B247,'0. Instruções'!$C$27:$G$32,4,FALSE)&amp;", "&amp;F247&amp;" FROM "&amp;D247&amp;" WHERE "&amp;'0. Instruções'!$D$42&amp;")X"</f>
        <v>(SELECT instrmnt_id, SYNDCTD_AGNT FROM CD_LOAN_TAPES_BCE.LT002_INSTRUMENT WHERE ref_date='${ref_date}' AND nome_perimetro='Individual Corporativo' AND segmento='ESTR' AND ambito='PM' AND entidade='00100')X</v>
      </c>
      <c r="J247" s="34" t="str">
        <f>"(SELECT "&amp;VLOOKUP(B247,'0. Instruções'!$C$27:$G$32,4,FALSE)&amp;" AS "&amp;VLOOKUP(B247,'0. Instruções'!$C$27:$G$32,4,FALSE)&amp;"_SIMUL, "&amp;F247&amp;" AS "&amp;F247&amp;"_SIMUL FROM "&amp;E247&amp;" WHERE "&amp;'0. Instruções'!$D$43&amp;")Y"</f>
        <v>(SELECT instrmnt_id AS instrmnt_id_SIMUL, SYNDCTD_AGNT AS SYNDCTD_AGNT_SIMUL FROM BU_LOANTAPE_WORK.LT002_INSTRUMENT WHERE ref_date='${ref_date}' AND nome_perimetro='Individual Corporativo' AND segmento='ESTR' AND ambito='PM' AND entidade='00100')Y</v>
      </c>
      <c r="K247" s="35" t="str">
        <f>+UPPER("ON X."&amp;VLOOKUP(B247,'0. Instruções'!$C$27:$G$32,4,FALSE)&amp;"=Y."&amp;VLOOKUP(B247,'0. Instruções'!$C$27:$G$32,4,FALSE)&amp;"_SIMUL")</f>
        <v>ON X.INSTRMNT_ID=Y.INSTRMNT_ID_SIMUL</v>
      </c>
      <c r="L247" s="35" t="str">
        <f>+IF(C247="Coerência", +IF(LEFT(G247,5)="FLOAT","SELECT '"&amp;UPPER(B247)&amp;"' AS TABELA, '"&amp;UPPER(C247)&amp;"' AS TIPOLOGIA_TESTE,'"&amp;D247&amp;"' AS TABELA_LT,'"&amp;E247&amp;"' AS TABELA_SIMUL,'"&amp;F247&amp;"' AS CAMPO, "&amp;"'${ref_date}' AS REF_DATE, COUNT(*) AS NUM_REG, SUM(IF((ABS(COALESCE(CAST(X."&amp;F247&amp;" AS DECIMAL(18,6)),0)-COALESCE(CAST(Y."&amp;F247&amp;"_SIMUL AS DECIMAL(18,6)),0))&gt;0.000001) OR (X."&amp;F247&amp;" IS NULL AND Y."&amp;F247&amp;"_SIMUL IS NOT NULL ) OR (X."&amp;F247&amp;" IS NOT NULL AND Y."&amp;F247&amp;"_SIMUL IS NULL),1,0)) AS NUM_REG_DIF,'"&amp;MAX('ID1&amp;5'!K:K)+1&amp;"' AS ID_EXEC, CURRENT_TIMESTAMP() AS TIME_EXEC FROM "&amp;I247&amp;" INNER JOIN "&amp;J247&amp;" "&amp;K247,"SELECT '"&amp;UPPER(B247)&amp;"' AS TABELA, '"&amp;UPPER(C247)&amp;"' AS TIPOLOGIA_TESTE,'"&amp;D247&amp;"' AS TABELA_LT,'"&amp;E247&amp;"' AS TABELA_SIMUL,'"&amp;F247&amp;"' AS CAMPO, "&amp;"'${ref_date}' AS REF_DATE, COUNT(*) AS NUM_REG, SUM(IF(COALESCE(CAST(X."&amp;F247&amp;" AS STRING),'')&lt;&gt;COALESCE(CAST(Y."&amp;F247&amp;"_SIMUL AS STRING),'') OR (X."&amp;F247&amp;" IS NULL AND Y."&amp;F247&amp;"_SIMUL IS NOT NULL ) OR (X."&amp;F247&amp;" IS NOT NULL AND Y."&amp;F247&amp;"_SIMUL IS NULL),1,0)) AS NUM_REG_DIF,'"&amp;MAX('ID1&amp;5'!L:L)+1&amp;"' AS ID_EXEC, CURRENT_TIMESTAMP() AS TIME_EXEC FROM "&amp;I247&amp;" INNER JOIN "&amp;J247&amp;" "&amp;K247),
IF(C247="Validade",+IF(G247="Code List","SELECT '"&amp;UPPER(B247)&amp;"' AS TABELA, '"&amp;UPPER(C247)&amp;"' AS TIPOLOGIA_TESTE,'"&amp;D247&amp;"' AS TABELA_LT,'N/A' AS TABELA_SIMUL,'"&amp;F247&amp;"' AS CAMPO, "&amp;"'${ref_date}' AS REF_DATE, COUNT(*) AS NUM_REG, SUM(IF(TRIM(CAST(X."&amp;F247&amp;" AS STRING))='' OR TRIM(CAST(X."&amp;F247&amp;" AS STRING)) IS NULL OR CAST(X."&amp;F247&amp;" AS STRING) NOT "&amp;H247&amp;",1,0)) AS NUM_REG_DIF,'"&amp;MAX('ID1&amp;5'!K:K)+1&amp;"' AS ID_EXEC, CURRENT_TIMESTAMP() AS TIME_EXEC FROM "&amp;I247,"SELECT '"&amp;UPPER(B247)&amp;"' AS TABELA, '"&amp;UPPER(C247)&amp;"' AS TIPOLOGIA_TESTE,'"&amp;D247&amp;"' AS TABELA_LT,'N/A' AS TABELA_SIMUL,'"&amp;F247&amp;"' AS CAMPO, "&amp;"'${ref_date}' AS REF_DATE, COUNT(*) AS NUM_REG, SUM(IF(TRIM(CAST(X."&amp;F247&amp;" AS STRING))='' OR TRIM(CAST(X."&amp;F247&amp;" AS STRING)) IS NULL,1,0)) AS NUM_REG_DIF,'"&amp;MAX('ID1&amp;5'!K:K)+1&amp;"' AS ID_EXEC, CURRENT_TIMESTAMP() AS TIME_EXEC FROM "&amp;I247),
IF(C247="Caracteres Especiais",+"SELECT '"&amp;UPPER(B247)&amp;"' AS TABELA, '"&amp;UPPER(C247)&amp;"' AS TIPOLOGIA_TESTE,'"&amp;D247&amp;"' AS TABELA_LT,'N/A' AS TABELA_SIMUL,'"&amp;F247&amp;"' AS CAMPO, "&amp;"'${ref_date}' AS REF_DATE, COUNT(*) AS NUM_REG, SUM(IF(REGEXP_REPLACE(TRIM(CAST(X."&amp;F247&amp;" AS STRING)),'[^a-zA-Z0-9_\\s]','') &lt;&gt;TRIM(CAST(X."&amp;F247&amp;" AS STRING)),1,0)) AS NUM_REG_DIF,'"&amp;MAX('ID1&amp;5'!K:K)+1&amp;"' AS ID_EXEC, CURRENT_TIMESTAMP() AS TIME_EXEC FROM "&amp;I247,
IF(C247="Missings",+"SELECT '"&amp;UPPER(B247)&amp;"' AS TABELA, '"&amp;UPPER(C247)&amp;"' AS TIPOLOGIA_TESTE,'"&amp;D247&amp;"' AS TABELA_LT,'N/A' AS TABELA_SIMUL,'"&amp;F247&amp;"' AS CAMPO, "&amp;"'${ref_date}' AS REF_DATE, COUNT(*) AS NUM_REG, SUM(IF(TRIM(CAST(X."&amp;F247&amp;" AS STRING)) IN ('0000-00-00','0001-01-01','9999-12-31','MISS','00000','99999999999','99999999999.00','99999999999.000000'),1,0)) AS NUM_REG_DIF,'"&amp;MAX('ID1&amp;5'!K:K)+1&amp;"' AS ID_EXEC, CURRENT_TIMESTAMP() AS TIME_EXEC FROM "&amp;I247,
IF(C247="Not applicable",+"SELECT '"&amp;UPPER(B247)&amp;"' AS TABELA, '"&amp;UPPER(C247)&amp;"' AS TIPOLOGIA_TESTE,'"&amp;D247&amp;"' AS TABELA_LT,'N/A' AS TABELA_SIMUL,'"&amp;F247&amp;"' AS CAMPO, "&amp;"'${ref_date}' AS REF_DATE, COUNT(*) AS NUM_REG, SUM(IF(TRIM(CAST(X."&amp;F247&amp;" AS STRING)) IN ('N/A','11111111111','11111111111.00','11111111111.000000','1111-11-11'),1,0)) AS NUM_REG_DIF,'"&amp;MAX('ID1&amp;5'!K:K)+1&amp;"' AS ID_EXEC, CURRENT_TIMESTAMP() AS TIME_EXEC FROM "&amp;I247,
IF(C247="Valores extremos",+"SELECT '"&amp;UPPER(B247)&amp;"' AS TABELA, '"&amp;UPPER(C247)&amp;"' AS TIPOLOGIA_TESTE,'"&amp;D247&amp;"' AS TABELA_LT,'N/A' AS TABELA_SIMUL,'"&amp;F247&amp;"' AS CAMPO, "&amp;"'${ref_date}' AS REF_DATE, CAST(MIN("&amp;F247&amp;") AS STRING) AS VALOR_MIN, CAST(MAX("&amp;F247&amp;") AS STRING) AS VALOR_MAX,'"&amp;MAX('ID1&amp;5'!K:K)+1&amp;"' AS ID_EXEC, CURRENT_TIMESTAMP() AS TIME_EXEC FROM "&amp;MID(I247,1,LEN(I247)-2)&amp;" AND CAST("&amp;F247&amp;"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TABELA_SIMUL,'SYNDCTD_AGNT' AS CAMPO, '${ref_date}' AS REF_DATE, COUNT(*) AS NUM_REG, SUM(IF(COALESCE(CAST(X.SYNDCTD_AGNT AS STRING),'')&lt;&gt;COALESCE(CAST(Y.SYNDCTD_AGNT_SIMUL AS STRING),'') OR (X.SYNDCTD_AGNT IS NULL AND Y.SYNDCTD_AGNT_SIMUL IS NOT NULL ) OR (X.SYNDCTD_AGNT IS NOT NULL AND Y.SYNDCTD_AGNT_SIMUL IS NULL),1,0)) AS NUM_REG_DIF,'1' AS ID_EXEC, CURRENT_TIMESTAMP() AS TIME_EXEC FROM (SELECT instrmnt_id, SYNDCTD_AGNT FROM CD_LOAN_TAPES_BCE.LT002_INSTRUMENT WHERE ref_date='${ref_date}' AND nome_perimetro='Individual Corporativo' AND segmento='ESTR' AND ambito='PM' AND entidade='00100')X INNER JOIN (SELECT instrmnt_id AS instrmnt_id_SIMUL, SYNDCTD_AGNT AS SYNDCTD_AGNT_SIMUL FROM BU_LOANTAPE_WORK.LT002_INSTRUMENT WHERE ref_date='${ref_date}' AND nome_perimetro='Individual Corporativo' AND segmento='ESTR' AND ambito='PM' AND entidade='00100')Y ON X.INSTRMNT_ID=Y.INSTRMNT_ID_SIMUL</v>
      </c>
      <c r="M247" s="36" t="str">
        <f t="shared" si="4"/>
        <v>UNION ALL SELECT 'INSTRUMENT' AS TABELA, 'COERÊNCIA' AS TIPOLOGIA_TESTE,'CD_LOAN_TAPES_BCE.LT002_INSTRUMENT' AS TABELA_LT,'BU_LOANTAPE_WORK.LT002_INSTRUMENT' AS TABELA_SIMUL,'SYNDCTD_AGNT' AS CAMPO, '${ref_date}' AS REF_DATE, COUNT(*) AS NUM_REG, SUM(IF(COALESCE(CAST(X.SYNDCTD_AGNT AS STRING),'')&lt;&gt;COALESCE(CAST(Y.SYNDCTD_AGNT_SIMUL AS STRING),'') OR (X.SYNDCTD_AGNT IS NULL AND Y.SYNDCTD_AGNT_SIMUL IS NOT NULL ) OR (X.SYNDCTD_AGNT IS NOT NULL AND Y.SYNDCTD_AGNT_SIMUL IS NULL),1,0)) AS NUM_REG_DIF,'1' AS ID_EXEC, CURRENT_TIMESTAMP() AS TIME_EXEC FROM (SELECT instrmnt_id, SYNDCTD_AGNT FROM CD_LOAN_TAPES_BCE.LT002_INSTRUMENT WHERE ref_date='${ref_date}' AND nome_perimetro='Individual Corporativo' AND segmento='ESTR' AND ambito='PM' AND entidade='00100')X INNER JOIN (SELECT instrmnt_id AS instrmnt_id_SIMUL, SYNDCTD_AGNT AS SYNDCTD_AGNT_SIMUL FROM BU_LOANTAPE_WORK.LT002_INSTRUMENT WHERE ref_date='${ref_date}' AND nome_perimetro='Individual Corporativo' AND segmento='ESTR' AND ambito='PM' AND entidade='00100')Y ON X.INSTRMNT_ID=Y.INSTRMNT_ID_SIMUL</v>
      </c>
      <c r="N247" s="38" t="s">
        <v>46</v>
      </c>
    </row>
    <row r="248" spans="2:14" hidden="1">
      <c r="B248" s="34" t="s">
        <v>126</v>
      </c>
      <c r="C248" s="34" t="s">
        <v>5</v>
      </c>
      <c r="D248" s="34" t="str">
        <f>+UPPER('0. Instruções'!$D$35&amp;"."&amp;VLOOKUP(B248,'0. Instruções'!$C$27:$D$32,2,FALSE))</f>
        <v>CD_LOAN_TAPES_BCE.LT002_INSTRUMENT</v>
      </c>
      <c r="E248" s="34" t="str">
        <f>+UPPER('0. Instruções'!$D$36&amp;"."&amp;VLOOKUP(B248,'0. Instruções'!$C$27:$E$32,3,FALSE))</f>
        <v>BU_LOANTAPE_WORK.LT002_INSTRUMENT</v>
      </c>
      <c r="F248" s="34" t="s">
        <v>530</v>
      </c>
      <c r="G248" s="34"/>
      <c r="H248" s="34" t="s">
        <v>650</v>
      </c>
      <c r="I248" s="34" t="str">
        <f>"(SELECT "&amp;VLOOKUP(B248,'0. Instruções'!$C$27:$G$32,4,FALSE)&amp;", "&amp;F248&amp;" FROM "&amp;D248&amp;" WHERE "&amp;'0. Instruções'!$D$42&amp;")X"</f>
        <v>(SELECT instrmnt_id, SYNDCTD_CNTRCT_ID FROM CD_LOAN_TAPES_BCE.LT002_INSTRUMENT WHERE ref_date='${ref_date}' AND nome_perimetro='Individual Corporativo' AND segmento='ESTR' AND ambito='PM' AND entidade='00100')X</v>
      </c>
      <c r="J248" s="34" t="str">
        <f>"(SELECT "&amp;VLOOKUP(B248,'0. Instruções'!$C$27:$G$32,4,FALSE)&amp;" AS "&amp;VLOOKUP(B248,'0. Instruções'!$C$27:$G$32,4,FALSE)&amp;"_SIMUL, "&amp;F248&amp;" AS "&amp;F248&amp;"_SIMUL FROM "&amp;E248&amp;" WHERE "&amp;'0. Instruções'!$D$43&amp;")Y"</f>
        <v>(SELECT instrmnt_id AS instrmnt_id_SIMUL, SYNDCTD_CNTRCT_ID AS SYNDCTD_CNTRCT_ID_SIMUL FROM BU_LOANTAPE_WORK.LT002_INSTRUMENT WHERE ref_date='${ref_date}' AND nome_perimetro='Individual Corporativo' AND segmento='ESTR' AND ambito='PM' AND entidade='00100')Y</v>
      </c>
      <c r="K248" s="35" t="str">
        <f>+UPPER("ON X."&amp;VLOOKUP(B248,'0. Instruções'!$C$27:$G$32,4,FALSE)&amp;"=Y."&amp;VLOOKUP(B248,'0. Instruções'!$C$27:$G$32,4,FALSE)&amp;"_SIMUL")</f>
        <v>ON X.INSTRMNT_ID=Y.INSTRMNT_ID_SIMUL</v>
      </c>
      <c r="L248" s="35" t="str">
        <f>+IF(C248="Coerência", +IF(LEFT(G248,5)="FLOAT","SELECT '"&amp;UPPER(B248)&amp;"' AS TABELA, '"&amp;UPPER(C248)&amp;"' AS TIPOLOGIA_TESTE,'"&amp;D248&amp;"' AS TABELA_LT,'"&amp;E248&amp;"' AS TABELA_SIMUL,'"&amp;F248&amp;"' AS CAMPO, "&amp;"'${ref_date}' AS REF_DATE, COUNT(*) AS NUM_REG, SUM(IF((ABS(COALESCE(CAST(X."&amp;F248&amp;" AS DECIMAL(18,6)),0)-COALESCE(CAST(Y."&amp;F248&amp;"_SIMUL AS DECIMAL(18,6)),0))&gt;0.000001) OR (X."&amp;F248&amp;" IS NULL AND Y."&amp;F248&amp;"_SIMUL IS NOT NULL ) OR (X."&amp;F248&amp;" IS NOT NULL AND Y."&amp;F248&amp;"_SIMUL IS NULL),1,0)) AS NUM_REG_DIF,'"&amp;MAX('ID1&amp;5'!K:K)+1&amp;"' AS ID_EXEC, CURRENT_TIMESTAMP() AS TIME_EXEC FROM "&amp;I248&amp;" INNER JOIN "&amp;J248&amp;" "&amp;K248,"SELECT '"&amp;UPPER(B248)&amp;"' AS TABELA, '"&amp;UPPER(C248)&amp;"' AS TIPOLOGIA_TESTE,'"&amp;D248&amp;"' AS TABELA_LT,'"&amp;E248&amp;"' AS TABELA_SIMUL,'"&amp;F248&amp;"' AS CAMPO, "&amp;"'${ref_date}' AS REF_DATE, COUNT(*) AS NUM_REG, SUM(IF(COALESCE(CAST(X."&amp;F248&amp;" AS STRING),'')&lt;&gt;COALESCE(CAST(Y."&amp;F248&amp;"_SIMUL AS STRING),'') OR (X."&amp;F248&amp;" IS NULL AND Y."&amp;F248&amp;"_SIMUL IS NOT NULL ) OR (X."&amp;F248&amp;" IS NOT NULL AND Y."&amp;F248&amp;"_SIMUL IS NULL),1,0)) AS NUM_REG_DIF,'"&amp;MAX('ID1&amp;5'!L:L)+1&amp;"' AS ID_EXEC, CURRENT_TIMESTAMP() AS TIME_EXEC FROM "&amp;I248&amp;" INNER JOIN "&amp;J248&amp;" "&amp;K248),
IF(C248="Validade",+IF(G248="Code List","SELECT '"&amp;UPPER(B248)&amp;"' AS TABELA, '"&amp;UPPER(C248)&amp;"' AS TIPOLOGIA_TESTE,'"&amp;D248&amp;"' AS TABELA_LT,'N/A' AS TABELA_SIMUL,'"&amp;F248&amp;"' AS CAMPO, "&amp;"'${ref_date}' AS REF_DATE, COUNT(*) AS NUM_REG, SUM(IF(TRIM(CAST(X."&amp;F248&amp;" AS STRING))='' OR TRIM(CAST(X."&amp;F248&amp;" AS STRING)) IS NULL OR CAST(X."&amp;F248&amp;" AS STRING) NOT "&amp;H248&amp;",1,0)) AS NUM_REG_DIF,'"&amp;MAX('ID1&amp;5'!K:K)+1&amp;"' AS ID_EXEC, CURRENT_TIMESTAMP() AS TIME_EXEC FROM "&amp;I248,"SELECT '"&amp;UPPER(B248)&amp;"' AS TABELA, '"&amp;UPPER(C248)&amp;"' AS TIPOLOGIA_TESTE,'"&amp;D248&amp;"' AS TABELA_LT,'N/A' AS TABELA_SIMUL,'"&amp;F248&amp;"' AS CAMPO, "&amp;"'${ref_date}' AS REF_DATE, COUNT(*) AS NUM_REG, SUM(IF(TRIM(CAST(X."&amp;F248&amp;" AS STRING))='' OR TRIM(CAST(X."&amp;F248&amp;" AS STRING)) IS NULL,1,0)) AS NUM_REG_DIF,'"&amp;MAX('ID1&amp;5'!K:K)+1&amp;"' AS ID_EXEC, CURRENT_TIMESTAMP() AS TIME_EXEC FROM "&amp;I248),
IF(C248="Caracteres Especiais",+"SELECT '"&amp;UPPER(B248)&amp;"' AS TABELA, '"&amp;UPPER(C248)&amp;"' AS TIPOLOGIA_TESTE,'"&amp;D248&amp;"' AS TABELA_LT,'N/A' AS TABELA_SIMUL,'"&amp;F248&amp;"' AS CAMPO, "&amp;"'${ref_date}' AS REF_DATE, COUNT(*) AS NUM_REG, SUM(IF(REGEXP_REPLACE(TRIM(CAST(X."&amp;F248&amp;" AS STRING)),'[^a-zA-Z0-9_\\s]','') &lt;&gt;TRIM(CAST(X."&amp;F248&amp;" AS STRING)),1,0)) AS NUM_REG_DIF,'"&amp;MAX('ID1&amp;5'!K:K)+1&amp;"' AS ID_EXEC, CURRENT_TIMESTAMP() AS TIME_EXEC FROM "&amp;I248,
IF(C248="Missings",+"SELECT '"&amp;UPPER(B248)&amp;"' AS TABELA, '"&amp;UPPER(C248)&amp;"' AS TIPOLOGIA_TESTE,'"&amp;D248&amp;"' AS TABELA_LT,'N/A' AS TABELA_SIMUL,'"&amp;F248&amp;"' AS CAMPO, "&amp;"'${ref_date}' AS REF_DATE, COUNT(*) AS NUM_REG, SUM(IF(TRIM(CAST(X."&amp;F248&amp;" AS STRING)) IN ('0000-00-00','0001-01-01','9999-12-31','MISS','00000','99999999999','99999999999.00','99999999999.000000'),1,0)) AS NUM_REG_DIF,'"&amp;MAX('ID1&amp;5'!K:K)+1&amp;"' AS ID_EXEC, CURRENT_TIMESTAMP() AS TIME_EXEC FROM "&amp;I248,
IF(C248="Not applicable",+"SELECT '"&amp;UPPER(B248)&amp;"' AS TABELA, '"&amp;UPPER(C248)&amp;"' AS TIPOLOGIA_TESTE,'"&amp;D248&amp;"' AS TABELA_LT,'N/A' AS TABELA_SIMUL,'"&amp;F248&amp;"' AS CAMPO, "&amp;"'${ref_date}' AS REF_DATE, COUNT(*) AS NUM_REG, SUM(IF(TRIM(CAST(X."&amp;F248&amp;" AS STRING)) IN ('N/A','11111111111','11111111111.00','11111111111.000000','1111-11-11'),1,0)) AS NUM_REG_DIF,'"&amp;MAX('ID1&amp;5'!K:K)+1&amp;"' AS ID_EXEC, CURRENT_TIMESTAMP() AS TIME_EXEC FROM "&amp;I248,
IF(C248="Valores extremos",+"SELECT '"&amp;UPPER(B248)&amp;"' AS TABELA, '"&amp;UPPER(C248)&amp;"' AS TIPOLOGIA_TESTE,'"&amp;D248&amp;"' AS TABELA_LT,'N/A' AS TABELA_SIMUL,'"&amp;F248&amp;"' AS CAMPO, "&amp;"'${ref_date}' AS REF_DATE, CAST(MIN("&amp;F248&amp;") AS STRING) AS VALOR_MIN, CAST(MAX("&amp;F248&amp;") AS STRING) AS VALOR_MAX,'"&amp;MAX('ID1&amp;5'!K:K)+1&amp;"' AS ID_EXEC, CURRENT_TIMESTAMP() AS TIME_EXEC FROM "&amp;MID(I248,1,LEN(I248)-2)&amp;" AND CAST("&amp;F248&amp;"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TABELA_SIMUL,'SYNDCTD_CNTRCT_ID' AS CAMPO, '${ref_date}' AS REF_DATE, COUNT(*) AS NUM_REG, SUM(IF(COALESCE(CAST(X.SYNDCTD_CNTRCT_ID AS STRING),'')&lt;&gt;COALESCE(CAST(Y.SYNDCTD_CNTRCT_ID_SIMUL AS STRING),'') OR (X.SYNDCTD_CNTRCT_ID IS NULL AND Y.SYNDCTD_CNTRCT_ID_SIMUL IS NOT NULL ) OR (X.SYNDCTD_CNTRCT_ID IS NOT NULL AND Y.SYNDCTD_CNTRCT_ID_SIMUL IS NULL),1,0)) AS NUM_REG_DIF,'1' AS ID_EXEC, CURRENT_TIMESTAMP() AS TIME_EXEC FROM (SELECT instrmnt_id, SYNDCTD_CNTRCT_ID FROM CD_LOAN_TAPES_BCE.LT002_INSTRUMENT WHERE ref_date='${ref_date}' AND nome_perimetro='Individual Corporativo' AND segmento='ESTR' AND ambito='PM' AND entidade='00100')X INNER JOIN (SELECT instrmnt_id AS instrmnt_id_SIMUL, SYNDCTD_CNTRCT_ID AS SYNDCTD_CNTRCT_ID_SIMUL FROM BU_LOANTAPE_WORK.LT002_INSTRUMENT WHERE ref_date='${ref_date}' AND nome_perimetro='Individual Corporativo' AND segmento='ESTR' AND ambito='PM' AND entidade='00100')Y ON X.INSTRMNT_ID=Y.INSTRMNT_ID_SIMUL</v>
      </c>
      <c r="M248" s="36" t="str">
        <f t="shared" si="4"/>
        <v>UNION ALL SELECT 'INSTRUMENT' AS TABELA, 'COERÊNCIA' AS TIPOLOGIA_TESTE,'CD_LOAN_TAPES_BCE.LT002_INSTRUMENT' AS TABELA_LT,'BU_LOANTAPE_WORK.LT002_INSTRUMENT' AS TABELA_SIMUL,'SYNDCTD_CNTRCT_ID' AS CAMPO, '${ref_date}' AS REF_DATE, COUNT(*) AS NUM_REG, SUM(IF(COALESCE(CAST(X.SYNDCTD_CNTRCT_ID AS STRING),'')&lt;&gt;COALESCE(CAST(Y.SYNDCTD_CNTRCT_ID_SIMUL AS STRING),'') OR (X.SYNDCTD_CNTRCT_ID IS NULL AND Y.SYNDCTD_CNTRCT_ID_SIMUL IS NOT NULL ) OR (X.SYNDCTD_CNTRCT_ID IS NOT NULL AND Y.SYNDCTD_CNTRCT_ID_SIMUL IS NULL),1,0)) AS NUM_REG_DIF,'1' AS ID_EXEC, CURRENT_TIMESTAMP() AS TIME_EXEC FROM (SELECT instrmnt_id, SYNDCTD_CNTRCT_ID FROM CD_LOAN_TAPES_BCE.LT002_INSTRUMENT WHERE ref_date='${ref_date}' AND nome_perimetro='Individual Corporativo' AND segmento='ESTR' AND ambito='PM' AND entidade='00100')X INNER JOIN (SELECT instrmnt_id AS instrmnt_id_SIMUL, SYNDCTD_CNTRCT_ID AS SYNDCTD_CNTRCT_ID_SIMUL FROM BU_LOANTAPE_WORK.LT002_INSTRUMENT WHERE ref_date='${ref_date}' AND nome_perimetro='Individual Corporativo' AND segmento='ESTR' AND ambito='PM' AND entidade='00100')Y ON X.INSTRMNT_ID=Y.INSTRMNT_ID_SIMUL</v>
      </c>
      <c r="N248" s="38" t="s">
        <v>46</v>
      </c>
    </row>
    <row r="249" spans="2:14" hidden="1">
      <c r="B249" s="34" t="s">
        <v>126</v>
      </c>
      <c r="C249" s="34" t="s">
        <v>5</v>
      </c>
      <c r="D249" s="34" t="str">
        <f>+UPPER('0. Instruções'!$D$35&amp;"."&amp;VLOOKUP(B249,'0. Instruções'!$C$27:$D$32,2,FALSE))</f>
        <v>CD_LOAN_TAPES_BCE.LT002_INSTRUMENT</v>
      </c>
      <c r="E249" s="34" t="str">
        <f>+UPPER('0. Instruções'!$D$36&amp;"."&amp;VLOOKUP(B249,'0. Instruções'!$C$27:$E$32,3,FALSE))</f>
        <v>BU_LOANTAPE_WORK.LT002_INSTRUMENT</v>
      </c>
      <c r="F249" s="34" t="s">
        <v>531</v>
      </c>
      <c r="G249" s="34"/>
      <c r="H249" s="34" t="s">
        <v>646</v>
      </c>
      <c r="I249" s="34" t="str">
        <f>"(SELECT "&amp;VLOOKUP(B249,'0. Instruções'!$C$27:$G$32,4,FALSE)&amp;", "&amp;F249&amp;" FROM "&amp;D249&amp;" WHERE "&amp;'0. Instruções'!$D$42&amp;")X"</f>
        <v>(SELECT instrmnt_id, SYNDCTD_LNDRS FROM CD_LOAN_TAPES_BCE.LT002_INSTRUMENT WHERE ref_date='${ref_date}' AND nome_perimetro='Individual Corporativo' AND segmento='ESTR' AND ambito='PM' AND entidade='00100')X</v>
      </c>
      <c r="J249" s="34" t="str">
        <f>"(SELECT "&amp;VLOOKUP(B249,'0. Instruções'!$C$27:$G$32,4,FALSE)&amp;" AS "&amp;VLOOKUP(B249,'0. Instruções'!$C$27:$G$32,4,FALSE)&amp;"_SIMUL, "&amp;F249&amp;" AS "&amp;F249&amp;"_SIMUL FROM "&amp;E249&amp;" WHERE "&amp;'0. Instruções'!$D$43&amp;")Y"</f>
        <v>(SELECT instrmnt_id AS instrmnt_id_SIMUL, SYNDCTD_LNDRS AS SYNDCTD_LNDRS_SIMUL FROM BU_LOANTAPE_WORK.LT002_INSTRUMENT WHERE ref_date='${ref_date}' AND nome_perimetro='Individual Corporativo' AND segmento='ESTR' AND ambito='PM' AND entidade='00100')Y</v>
      </c>
      <c r="K249" s="35" t="str">
        <f>+UPPER("ON X."&amp;VLOOKUP(B249,'0. Instruções'!$C$27:$G$32,4,FALSE)&amp;"=Y."&amp;VLOOKUP(B249,'0. Instruções'!$C$27:$G$32,4,FALSE)&amp;"_SIMUL")</f>
        <v>ON X.INSTRMNT_ID=Y.INSTRMNT_ID_SIMUL</v>
      </c>
      <c r="L249" s="35" t="str">
        <f>+IF(C249="Coerência", +IF(LEFT(G249,5)="FLOAT","SELECT '"&amp;UPPER(B249)&amp;"' AS TABELA, '"&amp;UPPER(C249)&amp;"' AS TIPOLOGIA_TESTE,'"&amp;D249&amp;"' AS TABELA_LT,'"&amp;E249&amp;"' AS TABELA_SIMUL,'"&amp;F249&amp;"' AS CAMPO, "&amp;"'${ref_date}' AS REF_DATE, COUNT(*) AS NUM_REG, SUM(IF((ABS(COALESCE(CAST(X."&amp;F249&amp;" AS DECIMAL(18,6)),0)-COALESCE(CAST(Y."&amp;F249&amp;"_SIMUL AS DECIMAL(18,6)),0))&gt;0.000001) OR (X."&amp;F249&amp;" IS NULL AND Y."&amp;F249&amp;"_SIMUL IS NOT NULL ) OR (X."&amp;F249&amp;" IS NOT NULL AND Y."&amp;F249&amp;"_SIMUL IS NULL),1,0)) AS NUM_REG_DIF,'"&amp;MAX('ID1&amp;5'!K:K)+1&amp;"' AS ID_EXEC, CURRENT_TIMESTAMP() AS TIME_EXEC FROM "&amp;I249&amp;" INNER JOIN "&amp;J249&amp;" "&amp;K249,"SELECT '"&amp;UPPER(B249)&amp;"' AS TABELA, '"&amp;UPPER(C249)&amp;"' AS TIPOLOGIA_TESTE,'"&amp;D249&amp;"' AS TABELA_LT,'"&amp;E249&amp;"' AS TABELA_SIMUL,'"&amp;F249&amp;"' AS CAMPO, "&amp;"'${ref_date}' AS REF_DATE, COUNT(*) AS NUM_REG, SUM(IF(COALESCE(CAST(X."&amp;F249&amp;" AS STRING),'')&lt;&gt;COALESCE(CAST(Y."&amp;F249&amp;"_SIMUL AS STRING),'') OR (X."&amp;F249&amp;" IS NULL AND Y."&amp;F249&amp;"_SIMUL IS NOT NULL ) OR (X."&amp;F249&amp;" IS NOT NULL AND Y."&amp;F249&amp;"_SIMUL IS NULL),1,0)) AS NUM_REG_DIF,'"&amp;MAX('ID1&amp;5'!L:L)+1&amp;"' AS ID_EXEC, CURRENT_TIMESTAMP() AS TIME_EXEC FROM "&amp;I249&amp;" INNER JOIN "&amp;J249&amp;" "&amp;K249),
IF(C249="Validade",+IF(G249="Code List","SELECT '"&amp;UPPER(B249)&amp;"' AS TABELA, '"&amp;UPPER(C249)&amp;"' AS TIPOLOGIA_TESTE,'"&amp;D249&amp;"' AS TABELA_LT,'N/A' AS TABELA_SIMUL,'"&amp;F249&amp;"' AS CAMPO, "&amp;"'${ref_date}' AS REF_DATE, COUNT(*) AS NUM_REG, SUM(IF(TRIM(CAST(X."&amp;F249&amp;" AS STRING))='' OR TRIM(CAST(X."&amp;F249&amp;" AS STRING)) IS NULL OR CAST(X."&amp;F249&amp;" AS STRING) NOT "&amp;H249&amp;",1,0)) AS NUM_REG_DIF,'"&amp;MAX('ID1&amp;5'!K:K)+1&amp;"' AS ID_EXEC, CURRENT_TIMESTAMP() AS TIME_EXEC FROM "&amp;I249,"SELECT '"&amp;UPPER(B249)&amp;"' AS TABELA, '"&amp;UPPER(C249)&amp;"' AS TIPOLOGIA_TESTE,'"&amp;D249&amp;"' AS TABELA_LT,'N/A' AS TABELA_SIMUL,'"&amp;F249&amp;"' AS CAMPO, "&amp;"'${ref_date}' AS REF_DATE, COUNT(*) AS NUM_REG, SUM(IF(TRIM(CAST(X."&amp;F249&amp;" AS STRING))='' OR TRIM(CAST(X."&amp;F249&amp;" AS STRING)) IS NULL,1,0)) AS NUM_REG_DIF,'"&amp;MAX('ID1&amp;5'!K:K)+1&amp;"' AS ID_EXEC, CURRENT_TIMESTAMP() AS TIME_EXEC FROM "&amp;I249),
IF(C249="Caracteres Especiais",+"SELECT '"&amp;UPPER(B249)&amp;"' AS TABELA, '"&amp;UPPER(C249)&amp;"' AS TIPOLOGIA_TESTE,'"&amp;D249&amp;"' AS TABELA_LT,'N/A' AS TABELA_SIMUL,'"&amp;F249&amp;"' AS CAMPO, "&amp;"'${ref_date}' AS REF_DATE, COUNT(*) AS NUM_REG, SUM(IF(REGEXP_REPLACE(TRIM(CAST(X."&amp;F249&amp;" AS STRING)),'[^a-zA-Z0-9_\\s]','') &lt;&gt;TRIM(CAST(X."&amp;F249&amp;" AS STRING)),1,0)) AS NUM_REG_DIF,'"&amp;MAX('ID1&amp;5'!K:K)+1&amp;"' AS ID_EXEC, CURRENT_TIMESTAMP() AS TIME_EXEC FROM "&amp;I249,
IF(C249="Missings",+"SELECT '"&amp;UPPER(B249)&amp;"' AS TABELA, '"&amp;UPPER(C249)&amp;"' AS TIPOLOGIA_TESTE,'"&amp;D249&amp;"' AS TABELA_LT,'N/A' AS TABELA_SIMUL,'"&amp;F249&amp;"' AS CAMPO, "&amp;"'${ref_date}' AS REF_DATE, COUNT(*) AS NUM_REG, SUM(IF(TRIM(CAST(X."&amp;F249&amp;" AS STRING)) IN ('0000-00-00','0001-01-01','9999-12-31','MISS','00000','99999999999','99999999999.00','99999999999.000000'),1,0)) AS NUM_REG_DIF,'"&amp;MAX('ID1&amp;5'!K:K)+1&amp;"' AS ID_EXEC, CURRENT_TIMESTAMP() AS TIME_EXEC FROM "&amp;I249,
IF(C249="Not applicable",+"SELECT '"&amp;UPPER(B249)&amp;"' AS TABELA, '"&amp;UPPER(C249)&amp;"' AS TIPOLOGIA_TESTE,'"&amp;D249&amp;"' AS TABELA_LT,'N/A' AS TABELA_SIMUL,'"&amp;F249&amp;"' AS CAMPO, "&amp;"'${ref_date}' AS REF_DATE, COUNT(*) AS NUM_REG, SUM(IF(TRIM(CAST(X."&amp;F249&amp;" AS STRING)) IN ('N/A','11111111111','11111111111.00','11111111111.000000','1111-11-11'),1,0)) AS NUM_REG_DIF,'"&amp;MAX('ID1&amp;5'!K:K)+1&amp;"' AS ID_EXEC, CURRENT_TIMESTAMP() AS TIME_EXEC FROM "&amp;I249,
IF(C249="Valores extremos",+"SELECT '"&amp;UPPER(B249)&amp;"' AS TABELA, '"&amp;UPPER(C249)&amp;"' AS TIPOLOGIA_TESTE,'"&amp;D249&amp;"' AS TABELA_LT,'N/A' AS TABELA_SIMUL,'"&amp;F249&amp;"' AS CAMPO, "&amp;"'${ref_date}' AS REF_DATE, CAST(MIN("&amp;F249&amp;") AS STRING) AS VALOR_MIN, CAST(MAX("&amp;F249&amp;") AS STRING) AS VALOR_MAX,'"&amp;MAX('ID1&amp;5'!K:K)+1&amp;"' AS ID_EXEC, CURRENT_TIMESTAMP() AS TIME_EXEC FROM "&amp;MID(I249,1,LEN(I249)-2)&amp;" AND CAST("&amp;F249&amp;"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TABELA_SIMUL,'SYNDCTD_LNDRS' AS CAMPO, '${ref_date}' AS REF_DATE, COUNT(*) AS NUM_REG, SUM(IF(COALESCE(CAST(X.SYNDCTD_LNDRS AS STRING),'')&lt;&gt;COALESCE(CAST(Y.SYNDCTD_LNDRS_SIMUL AS STRING),'') OR (X.SYNDCTD_LNDRS IS NULL AND Y.SYNDCTD_LNDRS_SIMUL IS NOT NULL ) OR (X.SYNDCTD_LNDRS IS NOT NULL AND Y.SYNDCTD_LNDRS_SIMUL IS NULL),1,0)) AS NUM_REG_DIF,'1' AS ID_EXEC, CURRENT_TIMESTAMP() AS TIME_EXEC FROM (SELECT instrmnt_id, SYNDCTD_LNDRS FROM CD_LOAN_TAPES_BCE.LT002_INSTRUMENT WHERE ref_date='${ref_date}' AND nome_perimetro='Individual Corporativo' AND segmento='ESTR' AND ambito='PM' AND entidade='00100')X INNER JOIN (SELECT instrmnt_id AS instrmnt_id_SIMUL, SYNDCTD_LNDRS AS SYNDCTD_LNDRS_SIMUL FROM BU_LOANTAPE_WORK.LT002_INSTRUMENT WHERE ref_date='${ref_date}' AND nome_perimetro='Individual Corporativo' AND segmento='ESTR' AND ambito='PM' AND entidade='00100')Y ON X.INSTRMNT_ID=Y.INSTRMNT_ID_SIMUL</v>
      </c>
      <c r="M249" s="36" t="str">
        <f t="shared" si="4"/>
        <v>UNION ALL SELECT 'INSTRUMENT' AS TABELA, 'COERÊNCIA' AS TIPOLOGIA_TESTE,'CD_LOAN_TAPES_BCE.LT002_INSTRUMENT' AS TABELA_LT,'BU_LOANTAPE_WORK.LT002_INSTRUMENT' AS TABELA_SIMUL,'SYNDCTD_LNDRS' AS CAMPO, '${ref_date}' AS REF_DATE, COUNT(*) AS NUM_REG, SUM(IF(COALESCE(CAST(X.SYNDCTD_LNDRS AS STRING),'')&lt;&gt;COALESCE(CAST(Y.SYNDCTD_LNDRS_SIMUL AS STRING),'') OR (X.SYNDCTD_LNDRS IS NULL AND Y.SYNDCTD_LNDRS_SIMUL IS NOT NULL ) OR (X.SYNDCTD_LNDRS IS NOT NULL AND Y.SYNDCTD_LNDRS_SIMUL IS NULL),1,0)) AS NUM_REG_DIF,'1' AS ID_EXEC, CURRENT_TIMESTAMP() AS TIME_EXEC FROM (SELECT instrmnt_id, SYNDCTD_LNDRS FROM CD_LOAN_TAPES_BCE.LT002_INSTRUMENT WHERE ref_date='${ref_date}' AND nome_perimetro='Individual Corporativo' AND segmento='ESTR' AND ambito='PM' AND entidade='00100')X INNER JOIN (SELECT instrmnt_id AS instrmnt_id_SIMUL, SYNDCTD_LNDRS AS SYNDCTD_LNDRS_SIMUL FROM BU_LOANTAPE_WORK.LT002_INSTRUMENT WHERE ref_date='${ref_date}' AND nome_perimetro='Individual Corporativo' AND segmento='ESTR' AND ambito='PM' AND entidade='00100')Y ON X.INSTRMNT_ID=Y.INSTRMNT_ID_SIMUL</v>
      </c>
      <c r="N249" s="38" t="s">
        <v>46</v>
      </c>
    </row>
    <row r="250" spans="2:14" hidden="1">
      <c r="B250" s="34" t="s">
        <v>126</v>
      </c>
      <c r="C250" s="34" t="s">
        <v>5</v>
      </c>
      <c r="D250" s="34" t="str">
        <f>+UPPER('0. Instruções'!$D$35&amp;"."&amp;VLOOKUP(B250,'0. Instruções'!$C$27:$D$32,2,FALSE))</f>
        <v>CD_LOAN_TAPES_BCE.LT002_INSTRUMENT</v>
      </c>
      <c r="E250" s="34" t="str">
        <f>+UPPER('0. Instruções'!$D$36&amp;"."&amp;VLOOKUP(B250,'0. Instruções'!$C$27:$E$32,3,FALSE))</f>
        <v>BU_LOANTAPE_WORK.LT002_INSTRUMENT</v>
      </c>
      <c r="F250" s="34" t="s">
        <v>532</v>
      </c>
      <c r="G250" s="34"/>
      <c r="H250" s="34" t="s">
        <v>91</v>
      </c>
      <c r="I250" s="34" t="str">
        <f>"(SELECT "&amp;VLOOKUP(B250,'0. Instruções'!$C$27:$G$32,4,FALSE)&amp;", "&amp;F250&amp;" FROM "&amp;D250&amp;" WHERE "&amp;'0. Instruções'!$D$42&amp;")X"</f>
        <v>(SELECT instrmnt_id, SYNDCTD_SHR FROM CD_LOAN_TAPES_BCE.LT002_INSTRUMENT WHERE ref_date='${ref_date}' AND nome_perimetro='Individual Corporativo' AND segmento='ESTR' AND ambito='PM' AND entidade='00100')X</v>
      </c>
      <c r="J250" s="34" t="str">
        <f>"(SELECT "&amp;VLOOKUP(B250,'0. Instruções'!$C$27:$G$32,4,FALSE)&amp;" AS "&amp;VLOOKUP(B250,'0. Instruções'!$C$27:$G$32,4,FALSE)&amp;"_SIMUL, "&amp;F250&amp;" AS "&amp;F250&amp;"_SIMUL FROM "&amp;E250&amp;" WHERE "&amp;'0. Instruções'!$D$43&amp;")Y"</f>
        <v>(SELECT instrmnt_id AS instrmnt_id_SIMUL, SYNDCTD_SHR AS SYNDCTD_SHR_SIMUL FROM BU_LOANTAPE_WORK.LT002_INSTRUMENT WHERE ref_date='${ref_date}' AND nome_perimetro='Individual Corporativo' AND segmento='ESTR' AND ambito='PM' AND entidade='00100')Y</v>
      </c>
      <c r="K250" s="35" t="str">
        <f>+UPPER("ON X."&amp;VLOOKUP(B250,'0. Instruções'!$C$27:$G$32,4,FALSE)&amp;"=Y."&amp;VLOOKUP(B250,'0. Instruções'!$C$27:$G$32,4,FALSE)&amp;"_SIMUL")</f>
        <v>ON X.INSTRMNT_ID=Y.INSTRMNT_ID_SIMUL</v>
      </c>
      <c r="L250" s="35" t="str">
        <f>+IF(C250="Coerência", +IF(LEFT(G250,5)="FLOAT","SELECT '"&amp;UPPER(B250)&amp;"' AS TABELA, '"&amp;UPPER(C250)&amp;"' AS TIPOLOGIA_TESTE,'"&amp;D250&amp;"' AS TABELA_LT,'"&amp;E250&amp;"' AS TABELA_SIMUL,'"&amp;F250&amp;"' AS CAMPO, "&amp;"'${ref_date}' AS REF_DATE, COUNT(*) AS NUM_REG, SUM(IF((ABS(COALESCE(CAST(X."&amp;F250&amp;" AS DECIMAL(18,6)),0)-COALESCE(CAST(Y."&amp;F250&amp;"_SIMUL AS DECIMAL(18,6)),0))&gt;0.000001) OR (X."&amp;F250&amp;" IS NULL AND Y."&amp;F250&amp;"_SIMUL IS NOT NULL ) OR (X."&amp;F250&amp;" IS NOT NULL AND Y."&amp;F250&amp;"_SIMUL IS NULL),1,0)) AS NUM_REG_DIF,'"&amp;MAX('ID1&amp;5'!K:K)+1&amp;"' AS ID_EXEC, CURRENT_TIMESTAMP() AS TIME_EXEC FROM "&amp;I250&amp;" INNER JOIN "&amp;J250&amp;" "&amp;K250,"SELECT '"&amp;UPPER(B250)&amp;"' AS TABELA, '"&amp;UPPER(C250)&amp;"' AS TIPOLOGIA_TESTE,'"&amp;D250&amp;"' AS TABELA_LT,'"&amp;E250&amp;"' AS TABELA_SIMUL,'"&amp;F250&amp;"' AS CAMPO, "&amp;"'${ref_date}' AS REF_DATE, COUNT(*) AS NUM_REG, SUM(IF(COALESCE(CAST(X."&amp;F250&amp;" AS STRING),'')&lt;&gt;COALESCE(CAST(Y."&amp;F250&amp;"_SIMUL AS STRING),'') OR (X."&amp;F250&amp;" IS NULL AND Y."&amp;F250&amp;"_SIMUL IS NOT NULL ) OR (X."&amp;F250&amp;" IS NOT NULL AND Y."&amp;F250&amp;"_SIMUL IS NULL),1,0)) AS NUM_REG_DIF,'"&amp;MAX('ID1&amp;5'!L:L)+1&amp;"' AS ID_EXEC, CURRENT_TIMESTAMP() AS TIME_EXEC FROM "&amp;I250&amp;" INNER JOIN "&amp;J250&amp;" "&amp;K250),
IF(C250="Validade",+IF(G250="Code List","SELECT '"&amp;UPPER(B250)&amp;"' AS TABELA, '"&amp;UPPER(C250)&amp;"' AS TIPOLOGIA_TESTE,'"&amp;D250&amp;"' AS TABELA_LT,'N/A' AS TABELA_SIMUL,'"&amp;F250&amp;"' AS CAMPO, "&amp;"'${ref_date}' AS REF_DATE, COUNT(*) AS NUM_REG, SUM(IF(TRIM(CAST(X."&amp;F250&amp;" AS STRING))='' OR TRIM(CAST(X."&amp;F250&amp;" AS STRING)) IS NULL OR CAST(X."&amp;F250&amp;" AS STRING) NOT "&amp;H250&amp;",1,0)) AS NUM_REG_DIF,'"&amp;MAX('ID1&amp;5'!K:K)+1&amp;"' AS ID_EXEC, CURRENT_TIMESTAMP() AS TIME_EXEC FROM "&amp;I250,"SELECT '"&amp;UPPER(B250)&amp;"' AS TABELA, '"&amp;UPPER(C250)&amp;"' AS TIPOLOGIA_TESTE,'"&amp;D250&amp;"' AS TABELA_LT,'N/A' AS TABELA_SIMUL,'"&amp;F250&amp;"' AS CAMPO, "&amp;"'${ref_date}' AS REF_DATE, COUNT(*) AS NUM_REG, SUM(IF(TRIM(CAST(X."&amp;F250&amp;" AS STRING))='' OR TRIM(CAST(X."&amp;F250&amp;" AS STRING)) IS NULL,1,0)) AS NUM_REG_DIF,'"&amp;MAX('ID1&amp;5'!K:K)+1&amp;"' AS ID_EXEC, CURRENT_TIMESTAMP() AS TIME_EXEC FROM "&amp;I250),
IF(C250="Caracteres Especiais",+"SELECT '"&amp;UPPER(B250)&amp;"' AS TABELA, '"&amp;UPPER(C250)&amp;"' AS TIPOLOGIA_TESTE,'"&amp;D250&amp;"' AS TABELA_LT,'N/A' AS TABELA_SIMUL,'"&amp;F250&amp;"' AS CAMPO, "&amp;"'${ref_date}' AS REF_DATE, COUNT(*) AS NUM_REG, SUM(IF(REGEXP_REPLACE(TRIM(CAST(X."&amp;F250&amp;" AS STRING)),'[^a-zA-Z0-9_\\s]','') &lt;&gt;TRIM(CAST(X."&amp;F250&amp;" AS STRING)),1,0)) AS NUM_REG_DIF,'"&amp;MAX('ID1&amp;5'!K:K)+1&amp;"' AS ID_EXEC, CURRENT_TIMESTAMP() AS TIME_EXEC FROM "&amp;I250,
IF(C250="Missings",+"SELECT '"&amp;UPPER(B250)&amp;"' AS TABELA, '"&amp;UPPER(C250)&amp;"' AS TIPOLOGIA_TESTE,'"&amp;D250&amp;"' AS TABELA_LT,'N/A' AS TABELA_SIMUL,'"&amp;F250&amp;"' AS CAMPO, "&amp;"'${ref_date}' AS REF_DATE, COUNT(*) AS NUM_REG, SUM(IF(TRIM(CAST(X."&amp;F250&amp;" AS STRING)) IN ('0000-00-00','0001-01-01','9999-12-31','MISS','00000','99999999999','99999999999.00','99999999999.000000'),1,0)) AS NUM_REG_DIF,'"&amp;MAX('ID1&amp;5'!K:K)+1&amp;"' AS ID_EXEC, CURRENT_TIMESTAMP() AS TIME_EXEC FROM "&amp;I250,
IF(C250="Not applicable",+"SELECT '"&amp;UPPER(B250)&amp;"' AS TABELA, '"&amp;UPPER(C250)&amp;"' AS TIPOLOGIA_TESTE,'"&amp;D250&amp;"' AS TABELA_LT,'N/A' AS TABELA_SIMUL,'"&amp;F250&amp;"' AS CAMPO, "&amp;"'${ref_date}' AS REF_DATE, COUNT(*) AS NUM_REG, SUM(IF(TRIM(CAST(X."&amp;F250&amp;" AS STRING)) IN ('N/A','11111111111','11111111111.00','11111111111.000000','1111-11-11'),1,0)) AS NUM_REG_DIF,'"&amp;MAX('ID1&amp;5'!K:K)+1&amp;"' AS ID_EXEC, CURRENT_TIMESTAMP() AS TIME_EXEC FROM "&amp;I250,
IF(C250="Valores extremos",+"SELECT '"&amp;UPPER(B250)&amp;"' AS TABELA, '"&amp;UPPER(C250)&amp;"' AS TIPOLOGIA_TESTE,'"&amp;D250&amp;"' AS TABELA_LT,'N/A' AS TABELA_SIMUL,'"&amp;F250&amp;"' AS CAMPO, "&amp;"'${ref_date}' AS REF_DATE, CAST(MIN("&amp;F250&amp;") AS STRING) AS VALOR_MIN, CAST(MAX("&amp;F250&amp;") AS STRING) AS VALOR_MAX,'"&amp;MAX('ID1&amp;5'!K:K)+1&amp;"' AS ID_EXEC, CURRENT_TIMESTAMP() AS TIME_EXEC FROM "&amp;MID(I250,1,LEN(I250)-2)&amp;" AND CAST("&amp;F250&amp;"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TABELA_SIMUL,'SYNDCTD_SHR' AS CAMPO, '${ref_date}' AS REF_DATE, COUNT(*) AS NUM_REG, SUM(IF(COALESCE(CAST(X.SYNDCTD_SHR AS STRING),'')&lt;&gt;COALESCE(CAST(Y.SYNDCTD_SHR_SIMUL AS STRING),'') OR (X.SYNDCTD_SHR IS NULL AND Y.SYNDCTD_SHR_SIMUL IS NOT NULL ) OR (X.SYNDCTD_SHR IS NOT NULL AND Y.SYNDCTD_SHR_SIMUL IS NULL),1,0)) AS NUM_REG_DIF,'1' AS ID_EXEC, CURRENT_TIMESTAMP() AS TIME_EXEC FROM (SELECT instrmnt_id, SYNDCTD_SHR FROM CD_LOAN_TAPES_BCE.LT002_INSTRUMENT WHERE ref_date='${ref_date}' AND nome_perimetro='Individual Corporativo' AND segmento='ESTR' AND ambito='PM' AND entidade='00100')X INNER JOIN (SELECT instrmnt_id AS instrmnt_id_SIMUL, SYNDCTD_SHR AS SYNDCTD_SHR_SIMUL FROM BU_LOANTAPE_WORK.LT002_INSTRUMENT WHERE ref_date='${ref_date}' AND nome_perimetro='Individual Corporativo' AND segmento='ESTR' AND ambito='PM' AND entidade='00100')Y ON X.INSTRMNT_ID=Y.INSTRMNT_ID_SIMUL</v>
      </c>
      <c r="M250" s="36" t="str">
        <f t="shared" si="4"/>
        <v>UNION ALL SELECT 'INSTRUMENT' AS TABELA, 'COERÊNCIA' AS TIPOLOGIA_TESTE,'CD_LOAN_TAPES_BCE.LT002_INSTRUMENT' AS TABELA_LT,'BU_LOANTAPE_WORK.LT002_INSTRUMENT' AS TABELA_SIMUL,'SYNDCTD_SHR' AS CAMPO, '${ref_date}' AS REF_DATE, COUNT(*) AS NUM_REG, SUM(IF(COALESCE(CAST(X.SYNDCTD_SHR AS STRING),'')&lt;&gt;COALESCE(CAST(Y.SYNDCTD_SHR_SIMUL AS STRING),'') OR (X.SYNDCTD_SHR IS NULL AND Y.SYNDCTD_SHR_SIMUL IS NOT NULL ) OR (X.SYNDCTD_SHR IS NOT NULL AND Y.SYNDCTD_SHR_SIMUL IS NULL),1,0)) AS NUM_REG_DIF,'1' AS ID_EXEC, CURRENT_TIMESTAMP() AS TIME_EXEC FROM (SELECT instrmnt_id, SYNDCTD_SHR FROM CD_LOAN_TAPES_BCE.LT002_INSTRUMENT WHERE ref_date='${ref_date}' AND nome_perimetro='Individual Corporativo' AND segmento='ESTR' AND ambito='PM' AND entidade='00100')X INNER JOIN (SELECT instrmnt_id AS instrmnt_id_SIMUL, SYNDCTD_SHR AS SYNDCTD_SHR_SIMUL FROM BU_LOANTAPE_WORK.LT002_INSTRUMENT WHERE ref_date='${ref_date}' AND nome_perimetro='Individual Corporativo' AND segmento='ESTR' AND ambito='PM' AND entidade='00100')Y ON X.INSTRMNT_ID=Y.INSTRMNT_ID_SIMUL</v>
      </c>
      <c r="N250" s="38" t="s">
        <v>46</v>
      </c>
    </row>
    <row r="251" spans="2:14" hidden="1">
      <c r="B251" s="34" t="s">
        <v>126</v>
      </c>
      <c r="C251" s="34" t="s">
        <v>5</v>
      </c>
      <c r="D251" s="34" t="str">
        <f>+UPPER('0. Instruções'!$D$35&amp;"."&amp;VLOOKUP(B251,'0. Instruções'!$C$27:$D$32,2,FALSE))</f>
        <v>CD_LOAN_TAPES_BCE.LT002_INSTRUMENT</v>
      </c>
      <c r="E251" s="34" t="str">
        <f>+UPPER('0. Instruções'!$D$36&amp;"."&amp;VLOOKUP(B251,'0. Instruções'!$C$27:$E$32,3,FALSE))</f>
        <v>BU_LOANTAPE_WORK.LT002_INSTRUMENT</v>
      </c>
      <c r="F251" s="34" t="s">
        <v>533</v>
      </c>
      <c r="G251" s="34"/>
      <c r="H251" s="34" t="s">
        <v>89</v>
      </c>
      <c r="I251" s="34" t="str">
        <f>"(SELECT "&amp;VLOOKUP(B251,'0. Instruções'!$C$27:$G$32,4,FALSE)&amp;", "&amp;F251&amp;" FROM "&amp;D251&amp;" WHERE "&amp;'0. Instruções'!$D$42&amp;")X"</f>
        <v>(SELECT instrmnt_id, SYNDCTN_TYP FROM CD_LOAN_TAPES_BCE.LT002_INSTRUMENT WHERE ref_date='${ref_date}' AND nome_perimetro='Individual Corporativo' AND segmento='ESTR' AND ambito='PM' AND entidade='00100')X</v>
      </c>
      <c r="J251" s="34" t="str">
        <f>"(SELECT "&amp;VLOOKUP(B251,'0. Instruções'!$C$27:$G$32,4,FALSE)&amp;" AS "&amp;VLOOKUP(B251,'0. Instruções'!$C$27:$G$32,4,FALSE)&amp;"_SIMUL, "&amp;F251&amp;" AS "&amp;F251&amp;"_SIMUL FROM "&amp;E251&amp;" WHERE "&amp;'0. Instruções'!$D$43&amp;")Y"</f>
        <v>(SELECT instrmnt_id AS instrmnt_id_SIMUL, SYNDCTN_TYP AS SYNDCTN_TYP_SIMUL FROM BU_LOANTAPE_WORK.LT002_INSTRUMENT WHERE ref_date='${ref_date}' AND nome_perimetro='Individual Corporativo' AND segmento='ESTR' AND ambito='PM' AND entidade='00100')Y</v>
      </c>
      <c r="K251" s="35" t="str">
        <f>+UPPER("ON X."&amp;VLOOKUP(B251,'0. Instruções'!$C$27:$G$32,4,FALSE)&amp;"=Y."&amp;VLOOKUP(B251,'0. Instruções'!$C$27:$G$32,4,FALSE)&amp;"_SIMUL")</f>
        <v>ON X.INSTRMNT_ID=Y.INSTRMNT_ID_SIMUL</v>
      </c>
      <c r="L251" s="35" t="str">
        <f>+IF(C251="Coerência", +IF(LEFT(G251,5)="FLOAT","SELECT '"&amp;UPPER(B251)&amp;"' AS TABELA, '"&amp;UPPER(C251)&amp;"' AS TIPOLOGIA_TESTE,'"&amp;D251&amp;"' AS TABELA_LT,'"&amp;E251&amp;"' AS TABELA_SIMUL,'"&amp;F251&amp;"' AS CAMPO, "&amp;"'${ref_date}' AS REF_DATE, COUNT(*) AS NUM_REG, SUM(IF((ABS(COALESCE(CAST(X."&amp;F251&amp;" AS DECIMAL(18,6)),0)-COALESCE(CAST(Y."&amp;F251&amp;"_SIMUL AS DECIMAL(18,6)),0))&gt;0.000001) OR (X."&amp;F251&amp;" IS NULL AND Y."&amp;F251&amp;"_SIMUL IS NOT NULL ) OR (X."&amp;F251&amp;" IS NOT NULL AND Y."&amp;F251&amp;"_SIMUL IS NULL),1,0)) AS NUM_REG_DIF,'"&amp;MAX('ID1&amp;5'!K:K)+1&amp;"' AS ID_EXEC, CURRENT_TIMESTAMP() AS TIME_EXEC FROM "&amp;I251&amp;" INNER JOIN "&amp;J251&amp;" "&amp;K251,"SELECT '"&amp;UPPER(B251)&amp;"' AS TABELA, '"&amp;UPPER(C251)&amp;"' AS TIPOLOGIA_TESTE,'"&amp;D251&amp;"' AS TABELA_LT,'"&amp;E251&amp;"' AS TABELA_SIMUL,'"&amp;F251&amp;"' AS CAMPO, "&amp;"'${ref_date}' AS REF_DATE, COUNT(*) AS NUM_REG, SUM(IF(COALESCE(CAST(X."&amp;F251&amp;" AS STRING),'')&lt;&gt;COALESCE(CAST(Y."&amp;F251&amp;"_SIMUL AS STRING),'') OR (X."&amp;F251&amp;" IS NULL AND Y."&amp;F251&amp;"_SIMUL IS NOT NULL ) OR (X."&amp;F251&amp;" IS NOT NULL AND Y."&amp;F251&amp;"_SIMUL IS NULL),1,0)) AS NUM_REG_DIF,'"&amp;MAX('ID1&amp;5'!L:L)+1&amp;"' AS ID_EXEC, CURRENT_TIMESTAMP() AS TIME_EXEC FROM "&amp;I251&amp;" INNER JOIN "&amp;J251&amp;" "&amp;K251),
IF(C251="Validade",+IF(G251="Code List","SELECT '"&amp;UPPER(B251)&amp;"' AS TABELA, '"&amp;UPPER(C251)&amp;"' AS TIPOLOGIA_TESTE,'"&amp;D251&amp;"' AS TABELA_LT,'N/A' AS TABELA_SIMUL,'"&amp;F251&amp;"' AS CAMPO, "&amp;"'${ref_date}' AS REF_DATE, COUNT(*) AS NUM_REG, SUM(IF(TRIM(CAST(X."&amp;F251&amp;" AS STRING))='' OR TRIM(CAST(X."&amp;F251&amp;" AS STRING)) IS NULL OR CAST(X."&amp;F251&amp;" AS STRING) NOT "&amp;H251&amp;",1,0)) AS NUM_REG_DIF,'"&amp;MAX('ID1&amp;5'!K:K)+1&amp;"' AS ID_EXEC, CURRENT_TIMESTAMP() AS TIME_EXEC FROM "&amp;I251,"SELECT '"&amp;UPPER(B251)&amp;"' AS TABELA, '"&amp;UPPER(C251)&amp;"' AS TIPOLOGIA_TESTE,'"&amp;D251&amp;"' AS TABELA_LT,'N/A' AS TABELA_SIMUL,'"&amp;F251&amp;"' AS CAMPO, "&amp;"'${ref_date}' AS REF_DATE, COUNT(*) AS NUM_REG, SUM(IF(TRIM(CAST(X."&amp;F251&amp;" AS STRING))='' OR TRIM(CAST(X."&amp;F251&amp;" AS STRING)) IS NULL,1,0)) AS NUM_REG_DIF,'"&amp;MAX('ID1&amp;5'!K:K)+1&amp;"' AS ID_EXEC, CURRENT_TIMESTAMP() AS TIME_EXEC FROM "&amp;I251),
IF(C251="Caracteres Especiais",+"SELECT '"&amp;UPPER(B251)&amp;"' AS TABELA, '"&amp;UPPER(C251)&amp;"' AS TIPOLOGIA_TESTE,'"&amp;D251&amp;"' AS TABELA_LT,'N/A' AS TABELA_SIMUL,'"&amp;F251&amp;"' AS CAMPO, "&amp;"'${ref_date}' AS REF_DATE, COUNT(*) AS NUM_REG, SUM(IF(REGEXP_REPLACE(TRIM(CAST(X."&amp;F251&amp;" AS STRING)),'[^a-zA-Z0-9_\\s]','') &lt;&gt;TRIM(CAST(X."&amp;F251&amp;" AS STRING)),1,0)) AS NUM_REG_DIF,'"&amp;MAX('ID1&amp;5'!K:K)+1&amp;"' AS ID_EXEC, CURRENT_TIMESTAMP() AS TIME_EXEC FROM "&amp;I251,
IF(C251="Missings",+"SELECT '"&amp;UPPER(B251)&amp;"' AS TABELA, '"&amp;UPPER(C251)&amp;"' AS TIPOLOGIA_TESTE,'"&amp;D251&amp;"' AS TABELA_LT,'N/A' AS TABELA_SIMUL,'"&amp;F251&amp;"' AS CAMPO, "&amp;"'${ref_date}' AS REF_DATE, COUNT(*) AS NUM_REG, SUM(IF(TRIM(CAST(X."&amp;F251&amp;" AS STRING)) IN ('0000-00-00','0001-01-01','9999-12-31','MISS','00000','99999999999','99999999999.00','99999999999.000000'),1,0)) AS NUM_REG_DIF,'"&amp;MAX('ID1&amp;5'!K:K)+1&amp;"' AS ID_EXEC, CURRENT_TIMESTAMP() AS TIME_EXEC FROM "&amp;I251,
IF(C251="Not applicable",+"SELECT '"&amp;UPPER(B251)&amp;"' AS TABELA, '"&amp;UPPER(C251)&amp;"' AS TIPOLOGIA_TESTE,'"&amp;D251&amp;"' AS TABELA_LT,'N/A' AS TABELA_SIMUL,'"&amp;F251&amp;"' AS CAMPO, "&amp;"'${ref_date}' AS REF_DATE, COUNT(*) AS NUM_REG, SUM(IF(TRIM(CAST(X."&amp;F251&amp;" AS STRING)) IN ('N/A','11111111111','11111111111.00','11111111111.000000','1111-11-11'),1,0)) AS NUM_REG_DIF,'"&amp;MAX('ID1&amp;5'!K:K)+1&amp;"' AS ID_EXEC, CURRENT_TIMESTAMP() AS TIME_EXEC FROM "&amp;I251,
IF(C251="Valores extremos",+"SELECT '"&amp;UPPER(B251)&amp;"' AS TABELA, '"&amp;UPPER(C251)&amp;"' AS TIPOLOGIA_TESTE,'"&amp;D251&amp;"' AS TABELA_LT,'N/A' AS TABELA_SIMUL,'"&amp;F251&amp;"' AS CAMPO, "&amp;"'${ref_date}' AS REF_DATE, CAST(MIN("&amp;F251&amp;") AS STRING) AS VALOR_MIN, CAST(MAX("&amp;F251&amp;") AS STRING) AS VALOR_MAX,'"&amp;MAX('ID1&amp;5'!K:K)+1&amp;"' AS ID_EXEC, CURRENT_TIMESTAMP() AS TIME_EXEC FROM "&amp;MID(I251,1,LEN(I251)-2)&amp;" AND CAST("&amp;F251&amp;"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TABELA_SIMUL,'SYNDCTN_TYP' AS CAMPO, '${ref_date}' AS REF_DATE, COUNT(*) AS NUM_REG, SUM(IF(COALESCE(CAST(X.SYNDCTN_TYP AS STRING),'')&lt;&gt;COALESCE(CAST(Y.SYNDCTN_TYP_SIMUL AS STRING),'') OR (X.SYNDCTN_TYP IS NULL AND Y.SYNDCTN_TYP_SIMUL IS NOT NULL ) OR (X.SYNDCTN_TYP IS NOT NULL AND Y.SYNDCTN_TYP_SIMUL IS NULL),1,0)) AS NUM_REG_DIF,'1' AS ID_EXEC, CURRENT_TIMESTAMP() AS TIME_EXEC FROM (SELECT instrmnt_id, SYNDCTN_TYP FROM CD_LOAN_TAPES_BCE.LT002_INSTRUMENT WHERE ref_date='${ref_date}' AND nome_perimetro='Individual Corporativo' AND segmento='ESTR' AND ambito='PM' AND entidade='00100')X INNER JOIN (SELECT instrmnt_id AS instrmnt_id_SIMUL, SYNDCTN_TYP AS SYNDCTN_TYP_SIMUL FROM BU_LOANTAPE_WORK.LT002_INSTRUMENT WHERE ref_date='${ref_date}' AND nome_perimetro='Individual Corporativo' AND segmento='ESTR' AND ambito='PM' AND entidade='00100')Y ON X.INSTRMNT_ID=Y.INSTRMNT_ID_SIMUL</v>
      </c>
      <c r="M251" s="36" t="str">
        <f t="shared" si="4"/>
        <v>UNION ALL SELECT 'INSTRUMENT' AS TABELA, 'COERÊNCIA' AS TIPOLOGIA_TESTE,'CD_LOAN_TAPES_BCE.LT002_INSTRUMENT' AS TABELA_LT,'BU_LOANTAPE_WORK.LT002_INSTRUMENT' AS TABELA_SIMUL,'SYNDCTN_TYP' AS CAMPO, '${ref_date}' AS REF_DATE, COUNT(*) AS NUM_REG, SUM(IF(COALESCE(CAST(X.SYNDCTN_TYP AS STRING),'')&lt;&gt;COALESCE(CAST(Y.SYNDCTN_TYP_SIMUL AS STRING),'') OR (X.SYNDCTN_TYP IS NULL AND Y.SYNDCTN_TYP_SIMUL IS NOT NULL ) OR (X.SYNDCTN_TYP IS NOT NULL AND Y.SYNDCTN_TYP_SIMUL IS NULL),1,0)) AS NUM_REG_DIF,'1' AS ID_EXEC, CURRENT_TIMESTAMP() AS TIME_EXEC FROM (SELECT instrmnt_id, SYNDCTN_TYP FROM CD_LOAN_TAPES_BCE.LT002_INSTRUMENT WHERE ref_date='${ref_date}' AND nome_perimetro='Individual Corporativo' AND segmento='ESTR' AND ambito='PM' AND entidade='00100')X INNER JOIN (SELECT instrmnt_id AS instrmnt_id_SIMUL, SYNDCTN_TYP AS SYNDCTN_TYP_SIMUL FROM BU_LOANTAPE_WORK.LT002_INSTRUMENT WHERE ref_date='${ref_date}' AND nome_perimetro='Individual Corporativo' AND segmento='ESTR' AND ambito='PM' AND entidade='00100')Y ON X.INSTRMNT_ID=Y.INSTRMNT_ID_SIMUL</v>
      </c>
      <c r="N251" s="38" t="s">
        <v>46</v>
      </c>
    </row>
    <row r="252" spans="2:14" hidden="1">
      <c r="B252" s="34" t="s">
        <v>126</v>
      </c>
      <c r="C252" s="34" t="s">
        <v>5</v>
      </c>
      <c r="D252" s="34" t="str">
        <f>+UPPER('0. Instruções'!$D$35&amp;"."&amp;VLOOKUP(B252,'0. Instruções'!$C$27:$D$32,2,FALSE))</f>
        <v>CD_LOAN_TAPES_BCE.LT002_INSTRUMENT</v>
      </c>
      <c r="E252" s="34" t="str">
        <f>+UPPER('0. Instruções'!$D$36&amp;"."&amp;VLOOKUP(B252,'0. Instruções'!$C$27:$E$32,3,FALSE))</f>
        <v>BU_LOANTAPE_WORK.LT002_INSTRUMENT</v>
      </c>
      <c r="F252" s="34" t="s">
        <v>534</v>
      </c>
      <c r="G252" s="34"/>
      <c r="H252" s="34" t="s">
        <v>89</v>
      </c>
      <c r="I252" s="34" t="str">
        <f>"(SELECT "&amp;VLOOKUP(B252,'0. Instruções'!$C$27:$G$32,4,FALSE)&amp;", "&amp;F252&amp;" FROM "&amp;D252&amp;" WHERE "&amp;'0. Instruções'!$D$42&amp;")X"</f>
        <v>(SELECT instrmnt_id, EBA_CMPLNT_MRTR_ST_C19 FROM CD_LOAN_TAPES_BCE.LT002_INSTRUMENT WHERE ref_date='${ref_date}' AND nome_perimetro='Individual Corporativo' AND segmento='ESTR' AND ambito='PM' AND entidade='00100')X</v>
      </c>
      <c r="J252" s="34" t="str">
        <f>"(SELECT "&amp;VLOOKUP(B252,'0. Instruções'!$C$27:$G$32,4,FALSE)&amp;" AS "&amp;VLOOKUP(B252,'0. Instruções'!$C$27:$G$32,4,FALSE)&amp;"_SIMUL, "&amp;F252&amp;" AS "&amp;F252&amp;"_SIMUL FROM "&amp;E252&amp;" WHERE "&amp;'0. Instruções'!$D$43&amp;")Y"</f>
        <v>(SELECT instrmnt_id AS instrmnt_id_SIMUL, EBA_CMPLNT_MRTR_ST_C19 AS EBA_CMPLNT_MRTR_ST_C19_SIMUL FROM BU_LOANTAPE_WORK.LT002_INSTRUMENT WHERE ref_date='${ref_date}' AND nome_perimetro='Individual Corporativo' AND segmento='ESTR' AND ambito='PM' AND entidade='00100')Y</v>
      </c>
      <c r="K252" s="35" t="str">
        <f>+UPPER("ON X."&amp;VLOOKUP(B252,'0. Instruções'!$C$27:$G$32,4,FALSE)&amp;"=Y."&amp;VLOOKUP(B252,'0. Instruções'!$C$27:$G$32,4,FALSE)&amp;"_SIMUL")</f>
        <v>ON X.INSTRMNT_ID=Y.INSTRMNT_ID_SIMUL</v>
      </c>
      <c r="L252" s="35" t="str">
        <f>+IF(C252="Coerência", +IF(LEFT(G252,5)="FLOAT","SELECT '"&amp;UPPER(B252)&amp;"' AS TABELA, '"&amp;UPPER(C252)&amp;"' AS TIPOLOGIA_TESTE,'"&amp;D252&amp;"' AS TABELA_LT,'"&amp;E252&amp;"' AS TABELA_SIMUL,'"&amp;F252&amp;"' AS CAMPO, "&amp;"'${ref_date}' AS REF_DATE, COUNT(*) AS NUM_REG, SUM(IF((ABS(COALESCE(CAST(X."&amp;F252&amp;" AS DECIMAL(18,6)),0)-COALESCE(CAST(Y."&amp;F252&amp;"_SIMUL AS DECIMAL(18,6)),0))&gt;0.000001) OR (X."&amp;F252&amp;" IS NULL AND Y."&amp;F252&amp;"_SIMUL IS NOT NULL ) OR (X."&amp;F252&amp;" IS NOT NULL AND Y."&amp;F252&amp;"_SIMUL IS NULL),1,0)) AS NUM_REG_DIF,'"&amp;MAX('ID1&amp;5'!K:K)+1&amp;"' AS ID_EXEC, CURRENT_TIMESTAMP() AS TIME_EXEC FROM "&amp;I252&amp;" INNER JOIN "&amp;J252&amp;" "&amp;K252,"SELECT '"&amp;UPPER(B252)&amp;"' AS TABELA, '"&amp;UPPER(C252)&amp;"' AS TIPOLOGIA_TESTE,'"&amp;D252&amp;"' AS TABELA_LT,'"&amp;E252&amp;"' AS TABELA_SIMUL,'"&amp;F252&amp;"' AS CAMPO, "&amp;"'${ref_date}' AS REF_DATE, COUNT(*) AS NUM_REG, SUM(IF(COALESCE(CAST(X."&amp;F252&amp;" AS STRING),'')&lt;&gt;COALESCE(CAST(Y."&amp;F252&amp;"_SIMUL AS STRING),'') OR (X."&amp;F252&amp;" IS NULL AND Y."&amp;F252&amp;"_SIMUL IS NOT NULL ) OR (X."&amp;F252&amp;" IS NOT NULL AND Y."&amp;F252&amp;"_SIMUL IS NULL),1,0)) AS NUM_REG_DIF,'"&amp;MAX('ID1&amp;5'!L:L)+1&amp;"' AS ID_EXEC, CURRENT_TIMESTAMP() AS TIME_EXEC FROM "&amp;I252&amp;" INNER JOIN "&amp;J252&amp;" "&amp;K252),
IF(C252="Validade",+IF(G252="Code List","SELECT '"&amp;UPPER(B252)&amp;"' AS TABELA, '"&amp;UPPER(C252)&amp;"' AS TIPOLOGIA_TESTE,'"&amp;D252&amp;"' AS TABELA_LT,'N/A' AS TABELA_SIMUL,'"&amp;F252&amp;"' AS CAMPO, "&amp;"'${ref_date}' AS REF_DATE, COUNT(*) AS NUM_REG, SUM(IF(TRIM(CAST(X."&amp;F252&amp;" AS STRING))='' OR TRIM(CAST(X."&amp;F252&amp;" AS STRING)) IS NULL OR CAST(X."&amp;F252&amp;" AS STRING) NOT "&amp;H252&amp;",1,0)) AS NUM_REG_DIF,'"&amp;MAX('ID1&amp;5'!K:K)+1&amp;"' AS ID_EXEC, CURRENT_TIMESTAMP() AS TIME_EXEC FROM "&amp;I252,"SELECT '"&amp;UPPER(B252)&amp;"' AS TABELA, '"&amp;UPPER(C252)&amp;"' AS TIPOLOGIA_TESTE,'"&amp;D252&amp;"' AS TABELA_LT,'N/A' AS TABELA_SIMUL,'"&amp;F252&amp;"' AS CAMPO, "&amp;"'${ref_date}' AS REF_DATE, COUNT(*) AS NUM_REG, SUM(IF(TRIM(CAST(X."&amp;F252&amp;" AS STRING))='' OR TRIM(CAST(X."&amp;F252&amp;" AS STRING)) IS NULL,1,0)) AS NUM_REG_DIF,'"&amp;MAX('ID1&amp;5'!K:K)+1&amp;"' AS ID_EXEC, CURRENT_TIMESTAMP() AS TIME_EXEC FROM "&amp;I252),
IF(C252="Caracteres Especiais",+"SELECT '"&amp;UPPER(B252)&amp;"' AS TABELA, '"&amp;UPPER(C252)&amp;"' AS TIPOLOGIA_TESTE,'"&amp;D252&amp;"' AS TABELA_LT,'N/A' AS TABELA_SIMUL,'"&amp;F252&amp;"' AS CAMPO, "&amp;"'${ref_date}' AS REF_DATE, COUNT(*) AS NUM_REG, SUM(IF(REGEXP_REPLACE(TRIM(CAST(X."&amp;F252&amp;" AS STRING)),'[^a-zA-Z0-9_\\s]','') &lt;&gt;TRIM(CAST(X."&amp;F252&amp;" AS STRING)),1,0)) AS NUM_REG_DIF,'"&amp;MAX('ID1&amp;5'!K:K)+1&amp;"' AS ID_EXEC, CURRENT_TIMESTAMP() AS TIME_EXEC FROM "&amp;I252,
IF(C252="Missings",+"SELECT '"&amp;UPPER(B252)&amp;"' AS TABELA, '"&amp;UPPER(C252)&amp;"' AS TIPOLOGIA_TESTE,'"&amp;D252&amp;"' AS TABELA_LT,'N/A' AS TABELA_SIMUL,'"&amp;F252&amp;"' AS CAMPO, "&amp;"'${ref_date}' AS REF_DATE, COUNT(*) AS NUM_REG, SUM(IF(TRIM(CAST(X."&amp;F252&amp;" AS STRING)) IN ('0000-00-00','0001-01-01','9999-12-31','MISS','00000','99999999999','99999999999.00','99999999999.000000'),1,0)) AS NUM_REG_DIF,'"&amp;MAX('ID1&amp;5'!K:K)+1&amp;"' AS ID_EXEC, CURRENT_TIMESTAMP() AS TIME_EXEC FROM "&amp;I252,
IF(C252="Not applicable",+"SELECT '"&amp;UPPER(B252)&amp;"' AS TABELA, '"&amp;UPPER(C252)&amp;"' AS TIPOLOGIA_TESTE,'"&amp;D252&amp;"' AS TABELA_LT,'N/A' AS TABELA_SIMUL,'"&amp;F252&amp;"' AS CAMPO, "&amp;"'${ref_date}' AS REF_DATE, COUNT(*) AS NUM_REG, SUM(IF(TRIM(CAST(X."&amp;F252&amp;" AS STRING)) IN ('N/A','11111111111','11111111111.00','11111111111.000000','1111-11-11'),1,0)) AS NUM_REG_DIF,'"&amp;MAX('ID1&amp;5'!K:K)+1&amp;"' AS ID_EXEC, CURRENT_TIMESTAMP() AS TIME_EXEC FROM "&amp;I252,
IF(C252="Valores extremos",+"SELECT '"&amp;UPPER(B252)&amp;"' AS TABELA, '"&amp;UPPER(C252)&amp;"' AS TIPOLOGIA_TESTE,'"&amp;D252&amp;"' AS TABELA_LT,'N/A' AS TABELA_SIMUL,'"&amp;F252&amp;"' AS CAMPO, "&amp;"'${ref_date}' AS REF_DATE, CAST(MIN("&amp;F252&amp;") AS STRING) AS VALOR_MIN, CAST(MAX("&amp;F252&amp;") AS STRING) AS VALOR_MAX,'"&amp;MAX('ID1&amp;5'!K:K)+1&amp;"' AS ID_EXEC, CURRENT_TIMESTAMP() AS TIME_EXEC FROM "&amp;MID(I252,1,LEN(I252)-2)&amp;" AND CAST("&amp;F252&amp;"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TABELA_SIMUL,'EBA_CMPLNT_MRTR_ST_C19' AS CAMPO, '${ref_date}' AS REF_DATE, COUNT(*) AS NUM_REG, SUM(IF(COALESCE(CAST(X.EBA_CMPLNT_MRTR_ST_C19 AS STRING),'')&lt;&gt;COALESCE(CAST(Y.EBA_CMPLNT_MRTR_ST_C19_SIMUL AS STRING),'') OR (X.EBA_CMPLNT_MRTR_ST_C19 IS NULL AND Y.EBA_CMPLNT_MRTR_ST_C19_SIMUL IS NOT NULL ) OR (X.EBA_CMPLNT_MRTR_ST_C19 IS NOT NULL AND Y.EBA_CMPLNT_MRTR_ST_C19_SIMUL IS NULL),1,0)) AS NUM_REG_DIF,'1' AS ID_EXEC, CURRENT_TIMESTAMP() AS TIME_EXEC FROM (SELECT instrmnt_id, EBA_CMPLNT_MRTR_ST_C19 FROM CD_LOAN_TAPES_BCE.LT002_INSTRUMENT WHERE ref_date='${ref_date}' AND nome_perimetro='Individual Corporativo' AND segmento='ESTR' AND ambito='PM' AND entidade='00100')X INNER JOIN (SELECT instrmnt_id AS instrmnt_id_SIMUL, EBA_CMPLNT_MRTR_ST_C19 AS EBA_CMPLNT_MRTR_ST_C19_SIMUL FROM BU_LOANTAPE_WORK.LT002_INSTRUMENT WHERE ref_date='${ref_date}' AND nome_perimetro='Individual Corporativo' AND segmento='ESTR' AND ambito='PM' AND entidade='00100')Y ON X.INSTRMNT_ID=Y.INSTRMNT_ID_SIMUL</v>
      </c>
      <c r="M252" s="36" t="str">
        <f t="shared" si="4"/>
        <v>UNION ALL SELECT 'INSTRUMENT' AS TABELA, 'COERÊNCIA' AS TIPOLOGIA_TESTE,'CD_LOAN_TAPES_BCE.LT002_INSTRUMENT' AS TABELA_LT,'BU_LOANTAPE_WORK.LT002_INSTRUMENT' AS TABELA_SIMUL,'EBA_CMPLNT_MRTR_ST_C19' AS CAMPO, '${ref_date}' AS REF_DATE, COUNT(*) AS NUM_REG, SUM(IF(COALESCE(CAST(X.EBA_CMPLNT_MRTR_ST_C19 AS STRING),'')&lt;&gt;COALESCE(CAST(Y.EBA_CMPLNT_MRTR_ST_C19_SIMUL AS STRING),'') OR (X.EBA_CMPLNT_MRTR_ST_C19 IS NULL AND Y.EBA_CMPLNT_MRTR_ST_C19_SIMUL IS NOT NULL ) OR (X.EBA_CMPLNT_MRTR_ST_C19 IS NOT NULL AND Y.EBA_CMPLNT_MRTR_ST_C19_SIMUL IS NULL),1,0)) AS NUM_REG_DIF,'1' AS ID_EXEC, CURRENT_TIMESTAMP() AS TIME_EXEC FROM (SELECT instrmnt_id, EBA_CMPLNT_MRTR_ST_C19 FROM CD_LOAN_TAPES_BCE.LT002_INSTRUMENT WHERE ref_date='${ref_date}' AND nome_perimetro='Individual Corporativo' AND segmento='ESTR' AND ambito='PM' AND entidade='00100')X INNER JOIN (SELECT instrmnt_id AS instrmnt_id_SIMUL, EBA_CMPLNT_MRTR_ST_C19 AS EBA_CMPLNT_MRTR_ST_C19_SIMUL FROM BU_LOANTAPE_WORK.LT002_INSTRUMENT WHERE ref_date='${ref_date}' AND nome_perimetro='Individual Corporativo' AND segmento='ESTR' AND ambito='PM' AND entidade='00100')Y ON X.INSTRMNT_ID=Y.INSTRMNT_ID_SIMUL</v>
      </c>
      <c r="N252" s="38" t="s">
        <v>46</v>
      </c>
    </row>
    <row r="253" spans="2:14" hidden="1">
      <c r="B253" s="34" t="s">
        <v>126</v>
      </c>
      <c r="C253" s="34" t="s">
        <v>5</v>
      </c>
      <c r="D253" s="34" t="str">
        <f>+UPPER('0. Instruções'!$D$35&amp;"."&amp;VLOOKUP(B253,'0. Instruções'!$C$27:$D$32,2,FALSE))</f>
        <v>CD_LOAN_TAPES_BCE.LT002_INSTRUMENT</v>
      </c>
      <c r="E253" s="34" t="str">
        <f>+UPPER('0. Instruções'!$D$36&amp;"."&amp;VLOOKUP(B253,'0. Instruções'!$C$27:$E$32,3,FALSE))</f>
        <v>BU_LOANTAPE_WORK.LT002_INSTRUMENT</v>
      </c>
      <c r="F253" s="34" t="s">
        <v>535</v>
      </c>
      <c r="G253" s="34"/>
      <c r="H253" s="34" t="s">
        <v>645</v>
      </c>
      <c r="I253" s="34" t="str">
        <f>"(SELECT "&amp;VLOOKUP(B253,'0. Instruções'!$C$27:$G$32,4,FALSE)&amp;", "&amp;F253&amp;" FROM "&amp;D253&amp;" WHERE "&amp;'0. Instruções'!$D$42&amp;")X"</f>
        <v>(SELECT instrmnt_id, DT_CMPLNT_MRTR_STTS_C19 FROM CD_LOAN_TAPES_BCE.LT002_INSTRUMENT WHERE ref_date='${ref_date}' AND nome_perimetro='Individual Corporativo' AND segmento='ESTR' AND ambito='PM' AND entidade='00100')X</v>
      </c>
      <c r="J253" s="34" t="str">
        <f>"(SELECT "&amp;VLOOKUP(B253,'0. Instruções'!$C$27:$G$32,4,FALSE)&amp;" AS "&amp;VLOOKUP(B253,'0. Instruções'!$C$27:$G$32,4,FALSE)&amp;"_SIMUL, "&amp;F253&amp;" AS "&amp;F253&amp;"_SIMUL FROM "&amp;E253&amp;" WHERE "&amp;'0. Instruções'!$D$43&amp;")Y"</f>
        <v>(SELECT instrmnt_id AS instrmnt_id_SIMUL, DT_CMPLNT_MRTR_STTS_C19 AS DT_CMPLNT_MRTR_STTS_C19_SIMUL FROM BU_LOANTAPE_WORK.LT002_INSTRUMENT WHERE ref_date='${ref_date}' AND nome_perimetro='Individual Corporativo' AND segmento='ESTR' AND ambito='PM' AND entidade='00100')Y</v>
      </c>
      <c r="K253" s="35" t="str">
        <f>+UPPER("ON X."&amp;VLOOKUP(B253,'0. Instruções'!$C$27:$G$32,4,FALSE)&amp;"=Y."&amp;VLOOKUP(B253,'0. Instruções'!$C$27:$G$32,4,FALSE)&amp;"_SIMUL")</f>
        <v>ON X.INSTRMNT_ID=Y.INSTRMNT_ID_SIMUL</v>
      </c>
      <c r="L253" s="35" t="str">
        <f>+IF(C253="Coerência", +IF(LEFT(G253,5)="FLOAT","SELECT '"&amp;UPPER(B253)&amp;"' AS TABELA, '"&amp;UPPER(C253)&amp;"' AS TIPOLOGIA_TESTE,'"&amp;D253&amp;"' AS TABELA_LT,'"&amp;E253&amp;"' AS TABELA_SIMUL,'"&amp;F253&amp;"' AS CAMPO, "&amp;"'${ref_date}' AS REF_DATE, COUNT(*) AS NUM_REG, SUM(IF((ABS(COALESCE(CAST(X."&amp;F253&amp;" AS DECIMAL(18,6)),0)-COALESCE(CAST(Y."&amp;F253&amp;"_SIMUL AS DECIMAL(18,6)),0))&gt;0.000001) OR (X."&amp;F253&amp;" IS NULL AND Y."&amp;F253&amp;"_SIMUL IS NOT NULL ) OR (X."&amp;F253&amp;" IS NOT NULL AND Y."&amp;F253&amp;"_SIMUL IS NULL),1,0)) AS NUM_REG_DIF,'"&amp;MAX('ID1&amp;5'!K:K)+1&amp;"' AS ID_EXEC, CURRENT_TIMESTAMP() AS TIME_EXEC FROM "&amp;I253&amp;" INNER JOIN "&amp;J253&amp;" "&amp;K253,"SELECT '"&amp;UPPER(B253)&amp;"' AS TABELA, '"&amp;UPPER(C253)&amp;"' AS TIPOLOGIA_TESTE,'"&amp;D253&amp;"' AS TABELA_LT,'"&amp;E253&amp;"' AS TABELA_SIMUL,'"&amp;F253&amp;"' AS CAMPO, "&amp;"'${ref_date}' AS REF_DATE, COUNT(*) AS NUM_REG, SUM(IF(COALESCE(CAST(X."&amp;F253&amp;" AS STRING),'')&lt;&gt;COALESCE(CAST(Y."&amp;F253&amp;"_SIMUL AS STRING),'') OR (X."&amp;F253&amp;" IS NULL AND Y."&amp;F253&amp;"_SIMUL IS NOT NULL ) OR (X."&amp;F253&amp;" IS NOT NULL AND Y."&amp;F253&amp;"_SIMUL IS NULL),1,0)) AS NUM_REG_DIF,'"&amp;MAX('ID1&amp;5'!L:L)+1&amp;"' AS ID_EXEC, CURRENT_TIMESTAMP() AS TIME_EXEC FROM "&amp;I253&amp;" INNER JOIN "&amp;J253&amp;" "&amp;K253),
IF(C253="Validade",+IF(G253="Code List","SELECT '"&amp;UPPER(B253)&amp;"' AS TABELA, '"&amp;UPPER(C253)&amp;"' AS TIPOLOGIA_TESTE,'"&amp;D253&amp;"' AS TABELA_LT,'N/A' AS TABELA_SIMUL,'"&amp;F253&amp;"' AS CAMPO, "&amp;"'${ref_date}' AS REF_DATE, COUNT(*) AS NUM_REG, SUM(IF(TRIM(CAST(X."&amp;F253&amp;" AS STRING))='' OR TRIM(CAST(X."&amp;F253&amp;" AS STRING)) IS NULL OR CAST(X."&amp;F253&amp;" AS STRING) NOT "&amp;H253&amp;",1,0)) AS NUM_REG_DIF,'"&amp;MAX('ID1&amp;5'!K:K)+1&amp;"' AS ID_EXEC, CURRENT_TIMESTAMP() AS TIME_EXEC FROM "&amp;I253,"SELECT '"&amp;UPPER(B253)&amp;"' AS TABELA, '"&amp;UPPER(C253)&amp;"' AS TIPOLOGIA_TESTE,'"&amp;D253&amp;"' AS TABELA_LT,'N/A' AS TABELA_SIMUL,'"&amp;F253&amp;"' AS CAMPO, "&amp;"'${ref_date}' AS REF_DATE, COUNT(*) AS NUM_REG, SUM(IF(TRIM(CAST(X."&amp;F253&amp;" AS STRING))='' OR TRIM(CAST(X."&amp;F253&amp;" AS STRING)) IS NULL,1,0)) AS NUM_REG_DIF,'"&amp;MAX('ID1&amp;5'!K:K)+1&amp;"' AS ID_EXEC, CURRENT_TIMESTAMP() AS TIME_EXEC FROM "&amp;I253),
IF(C253="Caracteres Especiais",+"SELECT '"&amp;UPPER(B253)&amp;"' AS TABELA, '"&amp;UPPER(C253)&amp;"' AS TIPOLOGIA_TESTE,'"&amp;D253&amp;"' AS TABELA_LT,'N/A' AS TABELA_SIMUL,'"&amp;F253&amp;"' AS CAMPO, "&amp;"'${ref_date}' AS REF_DATE, COUNT(*) AS NUM_REG, SUM(IF(REGEXP_REPLACE(TRIM(CAST(X."&amp;F253&amp;" AS STRING)),'[^a-zA-Z0-9_\\s]','') &lt;&gt;TRIM(CAST(X."&amp;F253&amp;" AS STRING)),1,0)) AS NUM_REG_DIF,'"&amp;MAX('ID1&amp;5'!K:K)+1&amp;"' AS ID_EXEC, CURRENT_TIMESTAMP() AS TIME_EXEC FROM "&amp;I253,
IF(C253="Missings",+"SELECT '"&amp;UPPER(B253)&amp;"' AS TABELA, '"&amp;UPPER(C253)&amp;"' AS TIPOLOGIA_TESTE,'"&amp;D253&amp;"' AS TABELA_LT,'N/A' AS TABELA_SIMUL,'"&amp;F253&amp;"' AS CAMPO, "&amp;"'${ref_date}' AS REF_DATE, COUNT(*) AS NUM_REG, SUM(IF(TRIM(CAST(X."&amp;F253&amp;" AS STRING)) IN ('0000-00-00','0001-01-01','9999-12-31','MISS','00000','99999999999','99999999999.00','99999999999.000000'),1,0)) AS NUM_REG_DIF,'"&amp;MAX('ID1&amp;5'!K:K)+1&amp;"' AS ID_EXEC, CURRENT_TIMESTAMP() AS TIME_EXEC FROM "&amp;I253,
IF(C253="Not applicable",+"SELECT '"&amp;UPPER(B253)&amp;"' AS TABELA, '"&amp;UPPER(C253)&amp;"' AS TIPOLOGIA_TESTE,'"&amp;D253&amp;"' AS TABELA_LT,'N/A' AS TABELA_SIMUL,'"&amp;F253&amp;"' AS CAMPO, "&amp;"'${ref_date}' AS REF_DATE, COUNT(*) AS NUM_REG, SUM(IF(TRIM(CAST(X."&amp;F253&amp;" AS STRING)) IN ('N/A','11111111111','11111111111.00','11111111111.000000','1111-11-11'),1,0)) AS NUM_REG_DIF,'"&amp;MAX('ID1&amp;5'!K:K)+1&amp;"' AS ID_EXEC, CURRENT_TIMESTAMP() AS TIME_EXEC FROM "&amp;I253,
IF(C253="Valores extremos",+"SELECT '"&amp;UPPER(B253)&amp;"' AS TABELA, '"&amp;UPPER(C253)&amp;"' AS TIPOLOGIA_TESTE,'"&amp;D253&amp;"' AS TABELA_LT,'N/A' AS TABELA_SIMUL,'"&amp;F253&amp;"' AS CAMPO, "&amp;"'${ref_date}' AS REF_DATE, CAST(MIN("&amp;F253&amp;") AS STRING) AS VALOR_MIN, CAST(MAX("&amp;F253&amp;") AS STRING) AS VALOR_MAX,'"&amp;MAX('ID1&amp;5'!K:K)+1&amp;"' AS ID_EXEC, CURRENT_TIMESTAMP() AS TIME_EXEC FROM "&amp;MID(I253,1,LEN(I253)-2)&amp;" AND CAST("&amp;F253&amp;"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TABELA_SIMUL,'DT_CMPLNT_MRTR_STTS_C19' AS CAMPO, '${ref_date}' AS REF_DATE, COUNT(*) AS NUM_REG, SUM(IF(COALESCE(CAST(X.DT_CMPLNT_MRTR_STTS_C19 AS STRING),'')&lt;&gt;COALESCE(CAST(Y.DT_CMPLNT_MRTR_STTS_C19_SIMUL AS STRING),'') OR (X.DT_CMPLNT_MRTR_STTS_C19 IS NULL AND Y.DT_CMPLNT_MRTR_STTS_C19_SIMUL IS NOT NULL ) OR (X.DT_CMPLNT_MRTR_STTS_C19 IS NOT NULL AND Y.DT_CMPLNT_MRTR_STTS_C19_SIMUL IS NULL),1,0)) AS NUM_REG_DIF,'1' AS ID_EXEC, CURRENT_TIMESTAMP() AS TIME_EXEC FROM (SELECT instrmnt_id, DT_CMPLNT_MRTR_STTS_C19 FROM CD_LOAN_TAPES_BCE.LT002_INSTRUMENT WHERE ref_date='${ref_date}' AND nome_perimetro='Individual Corporativo' AND segmento='ESTR' AND ambito='PM' AND entidade='00100')X INNER JOIN (SELECT instrmnt_id AS instrmnt_id_SIMUL, DT_CMPLNT_MRTR_STTS_C19 AS DT_CMPLNT_MRTR_STTS_C19_SIMUL FROM BU_LOANTAPE_WORK.LT002_INSTRUMENT WHERE ref_date='${ref_date}' AND nome_perimetro='Individual Corporativo' AND segmento='ESTR' AND ambito='PM' AND entidade='00100')Y ON X.INSTRMNT_ID=Y.INSTRMNT_ID_SIMUL</v>
      </c>
      <c r="M253" s="36" t="str">
        <f t="shared" si="4"/>
        <v>UNION ALL SELECT 'INSTRUMENT' AS TABELA, 'COERÊNCIA' AS TIPOLOGIA_TESTE,'CD_LOAN_TAPES_BCE.LT002_INSTRUMENT' AS TABELA_LT,'BU_LOANTAPE_WORK.LT002_INSTRUMENT' AS TABELA_SIMUL,'DT_CMPLNT_MRTR_STTS_C19' AS CAMPO, '${ref_date}' AS REF_DATE, COUNT(*) AS NUM_REG, SUM(IF(COALESCE(CAST(X.DT_CMPLNT_MRTR_STTS_C19 AS STRING),'')&lt;&gt;COALESCE(CAST(Y.DT_CMPLNT_MRTR_STTS_C19_SIMUL AS STRING),'') OR (X.DT_CMPLNT_MRTR_STTS_C19 IS NULL AND Y.DT_CMPLNT_MRTR_STTS_C19_SIMUL IS NOT NULL ) OR (X.DT_CMPLNT_MRTR_STTS_C19 IS NOT NULL AND Y.DT_CMPLNT_MRTR_STTS_C19_SIMUL IS NULL),1,0)) AS NUM_REG_DIF,'1' AS ID_EXEC, CURRENT_TIMESTAMP() AS TIME_EXEC FROM (SELECT instrmnt_id, DT_CMPLNT_MRTR_STTS_C19 FROM CD_LOAN_TAPES_BCE.LT002_INSTRUMENT WHERE ref_date='${ref_date}' AND nome_perimetro='Individual Corporativo' AND segmento='ESTR' AND ambito='PM' AND entidade='00100')X INNER JOIN (SELECT instrmnt_id AS instrmnt_id_SIMUL, DT_CMPLNT_MRTR_STTS_C19 AS DT_CMPLNT_MRTR_STTS_C19_SIMUL FROM BU_LOANTAPE_WORK.LT002_INSTRUMENT WHERE ref_date='${ref_date}' AND nome_perimetro='Individual Corporativo' AND segmento='ESTR' AND ambito='PM' AND entidade='00100')Y ON X.INSTRMNT_ID=Y.INSTRMNT_ID_SIMUL</v>
      </c>
      <c r="N253" s="38" t="s">
        <v>46</v>
      </c>
    </row>
    <row r="254" spans="2:14" hidden="1">
      <c r="B254" s="34" t="s">
        <v>126</v>
      </c>
      <c r="C254" s="34" t="s">
        <v>5</v>
      </c>
      <c r="D254" s="34" t="str">
        <f>+UPPER('0. Instruções'!$D$35&amp;"."&amp;VLOOKUP(B254,'0. Instruções'!$C$27:$D$32,2,FALSE))</f>
        <v>CD_LOAN_TAPES_BCE.LT002_INSTRUMENT</v>
      </c>
      <c r="E254" s="34" t="str">
        <f>+UPPER('0. Instruções'!$D$36&amp;"."&amp;VLOOKUP(B254,'0. Instruções'!$C$27:$E$32,3,FALSE))</f>
        <v>BU_LOANTAPE_WORK.LT002_INSTRUMENT</v>
      </c>
      <c r="F254" s="34" t="s">
        <v>536</v>
      </c>
      <c r="G254" s="34"/>
      <c r="H254" s="34" t="s">
        <v>645</v>
      </c>
      <c r="I254" s="34" t="str">
        <f>"(SELECT "&amp;VLOOKUP(B254,'0. Instruções'!$C$27:$G$32,4,FALSE)&amp;", "&amp;F254&amp;" FROM "&amp;D254&amp;" WHERE "&amp;'0. Instruções'!$D$42&amp;")X"</f>
        <v>(SELECT instrmnt_id, DT_CMPLNT_MRTR_STTS_PRVS_C19 FROM CD_LOAN_TAPES_BCE.LT002_INSTRUMENT WHERE ref_date='${ref_date}' AND nome_perimetro='Individual Corporativo' AND segmento='ESTR' AND ambito='PM' AND entidade='00100')X</v>
      </c>
      <c r="J254" s="34" t="str">
        <f>"(SELECT "&amp;VLOOKUP(B254,'0. Instruções'!$C$27:$G$32,4,FALSE)&amp;" AS "&amp;VLOOKUP(B254,'0. Instruções'!$C$27:$G$32,4,FALSE)&amp;"_SIMUL, "&amp;F254&amp;" AS "&amp;F254&amp;"_SIMUL FROM "&amp;E254&amp;" WHERE "&amp;'0. Instruções'!$D$43&amp;")Y"</f>
        <v>(SELECT instrmnt_id AS instrmnt_id_SIMUL, DT_CMPLNT_MRTR_STTS_PRVS_C19 AS DT_CMPLNT_MRTR_STTS_PRVS_C19_SIMUL FROM BU_LOANTAPE_WORK.LT002_INSTRUMENT WHERE ref_date='${ref_date}' AND nome_perimetro='Individual Corporativo' AND segmento='ESTR' AND ambito='PM' AND entidade='00100')Y</v>
      </c>
      <c r="K254" s="35" t="str">
        <f>+UPPER("ON X."&amp;VLOOKUP(B254,'0. Instruções'!$C$27:$G$32,4,FALSE)&amp;"=Y."&amp;VLOOKUP(B254,'0. Instruções'!$C$27:$G$32,4,FALSE)&amp;"_SIMUL")</f>
        <v>ON X.INSTRMNT_ID=Y.INSTRMNT_ID_SIMUL</v>
      </c>
      <c r="L254" s="35" t="str">
        <f>+IF(C254="Coerência", +IF(LEFT(G254,5)="FLOAT","SELECT '"&amp;UPPER(B254)&amp;"' AS TABELA, '"&amp;UPPER(C254)&amp;"' AS TIPOLOGIA_TESTE,'"&amp;D254&amp;"' AS TABELA_LT,'"&amp;E254&amp;"' AS TABELA_SIMUL,'"&amp;F254&amp;"' AS CAMPO, "&amp;"'${ref_date}' AS REF_DATE, COUNT(*) AS NUM_REG, SUM(IF((ABS(COALESCE(CAST(X."&amp;F254&amp;" AS DECIMAL(18,6)),0)-COALESCE(CAST(Y."&amp;F254&amp;"_SIMUL AS DECIMAL(18,6)),0))&gt;0.000001) OR (X."&amp;F254&amp;" IS NULL AND Y."&amp;F254&amp;"_SIMUL IS NOT NULL ) OR (X."&amp;F254&amp;" IS NOT NULL AND Y."&amp;F254&amp;"_SIMUL IS NULL),1,0)) AS NUM_REG_DIF,'"&amp;MAX('ID1&amp;5'!K:K)+1&amp;"' AS ID_EXEC, CURRENT_TIMESTAMP() AS TIME_EXEC FROM "&amp;I254&amp;" INNER JOIN "&amp;J254&amp;" "&amp;K254,"SELECT '"&amp;UPPER(B254)&amp;"' AS TABELA, '"&amp;UPPER(C254)&amp;"' AS TIPOLOGIA_TESTE,'"&amp;D254&amp;"' AS TABELA_LT,'"&amp;E254&amp;"' AS TABELA_SIMUL,'"&amp;F254&amp;"' AS CAMPO, "&amp;"'${ref_date}' AS REF_DATE, COUNT(*) AS NUM_REG, SUM(IF(COALESCE(CAST(X."&amp;F254&amp;" AS STRING),'')&lt;&gt;COALESCE(CAST(Y."&amp;F254&amp;"_SIMUL AS STRING),'') OR (X."&amp;F254&amp;" IS NULL AND Y."&amp;F254&amp;"_SIMUL IS NOT NULL ) OR (X."&amp;F254&amp;" IS NOT NULL AND Y."&amp;F254&amp;"_SIMUL IS NULL),1,0)) AS NUM_REG_DIF,'"&amp;MAX('ID1&amp;5'!L:L)+1&amp;"' AS ID_EXEC, CURRENT_TIMESTAMP() AS TIME_EXEC FROM "&amp;I254&amp;" INNER JOIN "&amp;J254&amp;" "&amp;K254),
IF(C254="Validade",+IF(G254="Code List","SELECT '"&amp;UPPER(B254)&amp;"' AS TABELA, '"&amp;UPPER(C254)&amp;"' AS TIPOLOGIA_TESTE,'"&amp;D254&amp;"' AS TABELA_LT,'N/A' AS TABELA_SIMUL,'"&amp;F254&amp;"' AS CAMPO, "&amp;"'${ref_date}' AS REF_DATE, COUNT(*) AS NUM_REG, SUM(IF(TRIM(CAST(X."&amp;F254&amp;" AS STRING))='' OR TRIM(CAST(X."&amp;F254&amp;" AS STRING)) IS NULL OR CAST(X."&amp;F254&amp;" AS STRING) NOT "&amp;H254&amp;",1,0)) AS NUM_REG_DIF,'"&amp;MAX('ID1&amp;5'!K:K)+1&amp;"' AS ID_EXEC, CURRENT_TIMESTAMP() AS TIME_EXEC FROM "&amp;I254,"SELECT '"&amp;UPPER(B254)&amp;"' AS TABELA, '"&amp;UPPER(C254)&amp;"' AS TIPOLOGIA_TESTE,'"&amp;D254&amp;"' AS TABELA_LT,'N/A' AS TABELA_SIMUL,'"&amp;F254&amp;"' AS CAMPO, "&amp;"'${ref_date}' AS REF_DATE, COUNT(*) AS NUM_REG, SUM(IF(TRIM(CAST(X."&amp;F254&amp;" AS STRING))='' OR TRIM(CAST(X."&amp;F254&amp;" AS STRING)) IS NULL,1,0)) AS NUM_REG_DIF,'"&amp;MAX('ID1&amp;5'!K:K)+1&amp;"' AS ID_EXEC, CURRENT_TIMESTAMP() AS TIME_EXEC FROM "&amp;I254),
IF(C254="Caracteres Especiais",+"SELECT '"&amp;UPPER(B254)&amp;"' AS TABELA, '"&amp;UPPER(C254)&amp;"' AS TIPOLOGIA_TESTE,'"&amp;D254&amp;"' AS TABELA_LT,'N/A' AS TABELA_SIMUL,'"&amp;F254&amp;"' AS CAMPO, "&amp;"'${ref_date}' AS REF_DATE, COUNT(*) AS NUM_REG, SUM(IF(REGEXP_REPLACE(TRIM(CAST(X."&amp;F254&amp;" AS STRING)),'[^a-zA-Z0-9_\\s]','') &lt;&gt;TRIM(CAST(X."&amp;F254&amp;" AS STRING)),1,0)) AS NUM_REG_DIF,'"&amp;MAX('ID1&amp;5'!K:K)+1&amp;"' AS ID_EXEC, CURRENT_TIMESTAMP() AS TIME_EXEC FROM "&amp;I254,
IF(C254="Missings",+"SELECT '"&amp;UPPER(B254)&amp;"' AS TABELA, '"&amp;UPPER(C254)&amp;"' AS TIPOLOGIA_TESTE,'"&amp;D254&amp;"' AS TABELA_LT,'N/A' AS TABELA_SIMUL,'"&amp;F254&amp;"' AS CAMPO, "&amp;"'${ref_date}' AS REF_DATE, COUNT(*) AS NUM_REG, SUM(IF(TRIM(CAST(X."&amp;F254&amp;" AS STRING)) IN ('0000-00-00','0001-01-01','9999-12-31','MISS','00000','99999999999','99999999999.00','99999999999.000000'),1,0)) AS NUM_REG_DIF,'"&amp;MAX('ID1&amp;5'!K:K)+1&amp;"' AS ID_EXEC, CURRENT_TIMESTAMP() AS TIME_EXEC FROM "&amp;I254,
IF(C254="Not applicable",+"SELECT '"&amp;UPPER(B254)&amp;"' AS TABELA, '"&amp;UPPER(C254)&amp;"' AS TIPOLOGIA_TESTE,'"&amp;D254&amp;"' AS TABELA_LT,'N/A' AS TABELA_SIMUL,'"&amp;F254&amp;"' AS CAMPO, "&amp;"'${ref_date}' AS REF_DATE, COUNT(*) AS NUM_REG, SUM(IF(TRIM(CAST(X."&amp;F254&amp;" AS STRING)) IN ('N/A','11111111111','11111111111.00','11111111111.000000','1111-11-11'),1,0)) AS NUM_REG_DIF,'"&amp;MAX('ID1&amp;5'!K:K)+1&amp;"' AS ID_EXEC, CURRENT_TIMESTAMP() AS TIME_EXEC FROM "&amp;I254,
IF(C254="Valores extremos",+"SELECT '"&amp;UPPER(B254)&amp;"' AS TABELA, '"&amp;UPPER(C254)&amp;"' AS TIPOLOGIA_TESTE,'"&amp;D254&amp;"' AS TABELA_LT,'N/A' AS TABELA_SIMUL,'"&amp;F254&amp;"' AS CAMPO, "&amp;"'${ref_date}' AS REF_DATE, CAST(MIN("&amp;F254&amp;") AS STRING) AS VALOR_MIN, CAST(MAX("&amp;F254&amp;") AS STRING) AS VALOR_MAX,'"&amp;MAX('ID1&amp;5'!K:K)+1&amp;"' AS ID_EXEC, CURRENT_TIMESTAMP() AS TIME_EXEC FROM "&amp;MID(I254,1,LEN(I254)-2)&amp;" AND CAST("&amp;F254&amp;"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TABELA_SIMUL,'DT_CMPLNT_MRTR_STTS_PRVS_C19' AS CAMPO, '${ref_date}' AS REF_DATE, COUNT(*) AS NUM_REG, SUM(IF(COALESCE(CAST(X.DT_CMPLNT_MRTR_STTS_PRVS_C19 AS STRING),'')&lt;&gt;COALESCE(CAST(Y.DT_CMPLNT_MRTR_STTS_PRVS_C19_SIMUL AS STRING),'') OR (X.DT_CMPLNT_MRTR_STTS_PRVS_C19 IS NULL AND Y.DT_CMPLNT_MRTR_STTS_PRVS_C19_SIMUL IS NOT NULL ) OR (X.DT_CMPLNT_MRTR_STTS_PRVS_C19 IS NOT NULL AND Y.DT_CMPLNT_MRTR_STTS_PRVS_C19_SIMUL IS NULL),1,0)) AS NUM_REG_DIF,'1' AS ID_EXEC, CURRENT_TIMESTAMP() AS TIME_EXEC FROM (SELECT instrmnt_id, DT_CMPLNT_MRTR_STTS_PRVS_C19 FROM CD_LOAN_TAPES_BCE.LT002_INSTRUMENT WHERE ref_date='${ref_date}' AND nome_perimetro='Individual Corporativo' AND segmento='ESTR' AND ambito='PM' AND entidade='00100')X INNER JOIN (SELECT instrmnt_id AS instrmnt_id_SIMUL, DT_CMPLNT_MRTR_STTS_PRVS_C19 AS DT_CMPLNT_MRTR_STTS_PRVS_C19_SIMUL FROM BU_LOANTAPE_WORK.LT002_INSTRUMENT WHERE ref_date='${ref_date}' AND nome_perimetro='Individual Corporativo' AND segmento='ESTR' AND ambito='PM' AND entidade='00100')Y ON X.INSTRMNT_ID=Y.INSTRMNT_ID_SIMUL</v>
      </c>
      <c r="M254" s="36" t="str">
        <f t="shared" si="4"/>
        <v>UNION ALL SELECT 'INSTRUMENT' AS TABELA, 'COERÊNCIA' AS TIPOLOGIA_TESTE,'CD_LOAN_TAPES_BCE.LT002_INSTRUMENT' AS TABELA_LT,'BU_LOANTAPE_WORK.LT002_INSTRUMENT' AS TABELA_SIMUL,'DT_CMPLNT_MRTR_STTS_PRVS_C19' AS CAMPO, '${ref_date}' AS REF_DATE, COUNT(*) AS NUM_REG, SUM(IF(COALESCE(CAST(X.DT_CMPLNT_MRTR_STTS_PRVS_C19 AS STRING),'')&lt;&gt;COALESCE(CAST(Y.DT_CMPLNT_MRTR_STTS_PRVS_C19_SIMUL AS STRING),'') OR (X.DT_CMPLNT_MRTR_STTS_PRVS_C19 IS NULL AND Y.DT_CMPLNT_MRTR_STTS_PRVS_C19_SIMUL IS NOT NULL ) OR (X.DT_CMPLNT_MRTR_STTS_PRVS_C19 IS NOT NULL AND Y.DT_CMPLNT_MRTR_STTS_PRVS_C19_SIMUL IS NULL),1,0)) AS NUM_REG_DIF,'1' AS ID_EXEC, CURRENT_TIMESTAMP() AS TIME_EXEC FROM (SELECT instrmnt_id, DT_CMPLNT_MRTR_STTS_PRVS_C19 FROM CD_LOAN_TAPES_BCE.LT002_INSTRUMENT WHERE ref_date='${ref_date}' AND nome_perimetro='Individual Corporativo' AND segmento='ESTR' AND ambito='PM' AND entidade='00100')X INNER JOIN (SELECT instrmnt_id AS instrmnt_id_SIMUL, DT_CMPLNT_MRTR_STTS_PRVS_C19 AS DT_CMPLNT_MRTR_STTS_PRVS_C19_SIMUL FROM BU_LOANTAPE_WORK.LT002_INSTRUMENT WHERE ref_date='${ref_date}' AND nome_perimetro='Individual Corporativo' AND segmento='ESTR' AND ambito='PM' AND entidade='00100')Y ON X.INSTRMNT_ID=Y.INSTRMNT_ID_SIMUL</v>
      </c>
      <c r="N254" s="38" t="s">
        <v>46</v>
      </c>
    </row>
    <row r="255" spans="2:14" hidden="1">
      <c r="B255" s="34" t="s">
        <v>126</v>
      </c>
      <c r="C255" s="34" t="s">
        <v>5</v>
      </c>
      <c r="D255" s="34" t="str">
        <f>+UPPER('0. Instruções'!$D$35&amp;"."&amp;VLOOKUP(B255,'0. Instruções'!$C$27:$D$32,2,FALSE))</f>
        <v>CD_LOAN_TAPES_BCE.LT002_INSTRUMENT</v>
      </c>
      <c r="E255" s="34" t="str">
        <f>+UPPER('0. Instruções'!$D$36&amp;"."&amp;VLOOKUP(B255,'0. Instruções'!$C$27:$E$32,3,FALSE))</f>
        <v>BU_LOANTAPE_WORK.LT002_INSTRUMENT</v>
      </c>
      <c r="F255" s="34" t="s">
        <v>537</v>
      </c>
      <c r="G255" s="34"/>
      <c r="H255" s="34" t="s">
        <v>649</v>
      </c>
      <c r="I255" s="34" t="str">
        <f>"(SELECT "&amp;VLOOKUP(B255,'0. Instruções'!$C$27:$G$32,4,FALSE)&amp;", "&amp;F255&amp;" FROM "&amp;D255&amp;" WHERE "&amp;'0. Instruções'!$D$42&amp;")X"</f>
        <v>(SELECT instrmnt_id, MTRTY_LTST_MRTR_C19 FROM CD_LOAN_TAPES_BCE.LT002_INSTRUMENT WHERE ref_date='${ref_date}' AND nome_perimetro='Individual Corporativo' AND segmento='ESTR' AND ambito='PM' AND entidade='00100')X</v>
      </c>
      <c r="J255" s="34" t="str">
        <f>"(SELECT "&amp;VLOOKUP(B255,'0. Instruções'!$C$27:$G$32,4,FALSE)&amp;" AS "&amp;VLOOKUP(B255,'0. Instruções'!$C$27:$G$32,4,FALSE)&amp;"_SIMUL, "&amp;F255&amp;" AS "&amp;F255&amp;"_SIMUL FROM "&amp;E255&amp;" WHERE "&amp;'0. Instruções'!$D$43&amp;")Y"</f>
        <v>(SELECT instrmnt_id AS instrmnt_id_SIMUL, MTRTY_LTST_MRTR_C19 AS MTRTY_LTST_MRTR_C19_SIMUL FROM BU_LOANTAPE_WORK.LT002_INSTRUMENT WHERE ref_date='${ref_date}' AND nome_perimetro='Individual Corporativo' AND segmento='ESTR' AND ambito='PM' AND entidade='00100')Y</v>
      </c>
      <c r="K255" s="35" t="str">
        <f>+UPPER("ON X."&amp;VLOOKUP(B255,'0. Instruções'!$C$27:$G$32,4,FALSE)&amp;"=Y."&amp;VLOOKUP(B255,'0. Instruções'!$C$27:$G$32,4,FALSE)&amp;"_SIMUL")</f>
        <v>ON X.INSTRMNT_ID=Y.INSTRMNT_ID_SIMUL</v>
      </c>
      <c r="L255" s="35" t="str">
        <f>+IF(C255="Coerência", +IF(LEFT(G255,5)="FLOAT","SELECT '"&amp;UPPER(B255)&amp;"' AS TABELA, '"&amp;UPPER(C255)&amp;"' AS TIPOLOGIA_TESTE,'"&amp;D255&amp;"' AS TABELA_LT,'"&amp;E255&amp;"' AS TABELA_SIMUL,'"&amp;F255&amp;"' AS CAMPO, "&amp;"'${ref_date}' AS REF_DATE, COUNT(*) AS NUM_REG, SUM(IF((ABS(COALESCE(CAST(X."&amp;F255&amp;" AS DECIMAL(18,6)),0)-COALESCE(CAST(Y."&amp;F255&amp;"_SIMUL AS DECIMAL(18,6)),0))&gt;0.000001) OR (X."&amp;F255&amp;" IS NULL AND Y."&amp;F255&amp;"_SIMUL IS NOT NULL ) OR (X."&amp;F255&amp;" IS NOT NULL AND Y."&amp;F255&amp;"_SIMUL IS NULL),1,0)) AS NUM_REG_DIF,'"&amp;MAX('ID1&amp;5'!K:K)+1&amp;"' AS ID_EXEC, CURRENT_TIMESTAMP() AS TIME_EXEC FROM "&amp;I255&amp;" INNER JOIN "&amp;J255&amp;" "&amp;K255,"SELECT '"&amp;UPPER(B255)&amp;"' AS TABELA, '"&amp;UPPER(C255)&amp;"' AS TIPOLOGIA_TESTE,'"&amp;D255&amp;"' AS TABELA_LT,'"&amp;E255&amp;"' AS TABELA_SIMUL,'"&amp;F255&amp;"' AS CAMPO, "&amp;"'${ref_date}' AS REF_DATE, COUNT(*) AS NUM_REG, SUM(IF(COALESCE(CAST(X."&amp;F255&amp;" AS STRING),'')&lt;&gt;COALESCE(CAST(Y."&amp;F255&amp;"_SIMUL AS STRING),'') OR (X."&amp;F255&amp;" IS NULL AND Y."&amp;F255&amp;"_SIMUL IS NOT NULL ) OR (X."&amp;F255&amp;" IS NOT NULL AND Y."&amp;F255&amp;"_SIMUL IS NULL),1,0)) AS NUM_REG_DIF,'"&amp;MAX('ID1&amp;5'!L:L)+1&amp;"' AS ID_EXEC, CURRENT_TIMESTAMP() AS TIME_EXEC FROM "&amp;I255&amp;" INNER JOIN "&amp;J255&amp;" "&amp;K255),
IF(C255="Validade",+IF(G255="Code List","SELECT '"&amp;UPPER(B255)&amp;"' AS TABELA, '"&amp;UPPER(C255)&amp;"' AS TIPOLOGIA_TESTE,'"&amp;D255&amp;"' AS TABELA_LT,'N/A' AS TABELA_SIMUL,'"&amp;F255&amp;"' AS CAMPO, "&amp;"'${ref_date}' AS REF_DATE, COUNT(*) AS NUM_REG, SUM(IF(TRIM(CAST(X."&amp;F255&amp;" AS STRING))='' OR TRIM(CAST(X."&amp;F255&amp;" AS STRING)) IS NULL OR CAST(X."&amp;F255&amp;" AS STRING) NOT "&amp;H255&amp;",1,0)) AS NUM_REG_DIF,'"&amp;MAX('ID1&amp;5'!K:K)+1&amp;"' AS ID_EXEC, CURRENT_TIMESTAMP() AS TIME_EXEC FROM "&amp;I255,"SELECT '"&amp;UPPER(B255)&amp;"' AS TABELA, '"&amp;UPPER(C255)&amp;"' AS TIPOLOGIA_TESTE,'"&amp;D255&amp;"' AS TABELA_LT,'N/A' AS TABELA_SIMUL,'"&amp;F255&amp;"' AS CAMPO, "&amp;"'${ref_date}' AS REF_DATE, COUNT(*) AS NUM_REG, SUM(IF(TRIM(CAST(X."&amp;F255&amp;" AS STRING))='' OR TRIM(CAST(X."&amp;F255&amp;" AS STRING)) IS NULL,1,0)) AS NUM_REG_DIF,'"&amp;MAX('ID1&amp;5'!K:K)+1&amp;"' AS ID_EXEC, CURRENT_TIMESTAMP() AS TIME_EXEC FROM "&amp;I255),
IF(C255="Caracteres Especiais",+"SELECT '"&amp;UPPER(B255)&amp;"' AS TABELA, '"&amp;UPPER(C255)&amp;"' AS TIPOLOGIA_TESTE,'"&amp;D255&amp;"' AS TABELA_LT,'N/A' AS TABELA_SIMUL,'"&amp;F255&amp;"' AS CAMPO, "&amp;"'${ref_date}' AS REF_DATE, COUNT(*) AS NUM_REG, SUM(IF(REGEXP_REPLACE(TRIM(CAST(X."&amp;F255&amp;" AS STRING)),'[^a-zA-Z0-9_\\s]','') &lt;&gt;TRIM(CAST(X."&amp;F255&amp;" AS STRING)),1,0)) AS NUM_REG_DIF,'"&amp;MAX('ID1&amp;5'!K:K)+1&amp;"' AS ID_EXEC, CURRENT_TIMESTAMP() AS TIME_EXEC FROM "&amp;I255,
IF(C255="Missings",+"SELECT '"&amp;UPPER(B255)&amp;"' AS TABELA, '"&amp;UPPER(C255)&amp;"' AS TIPOLOGIA_TESTE,'"&amp;D255&amp;"' AS TABELA_LT,'N/A' AS TABELA_SIMUL,'"&amp;F255&amp;"' AS CAMPO, "&amp;"'${ref_date}' AS REF_DATE, COUNT(*) AS NUM_REG, SUM(IF(TRIM(CAST(X."&amp;F255&amp;" AS STRING)) IN ('0000-00-00','0001-01-01','9999-12-31','MISS','00000','99999999999','99999999999.00','99999999999.000000'),1,0)) AS NUM_REG_DIF,'"&amp;MAX('ID1&amp;5'!K:K)+1&amp;"' AS ID_EXEC, CURRENT_TIMESTAMP() AS TIME_EXEC FROM "&amp;I255,
IF(C255="Not applicable",+"SELECT '"&amp;UPPER(B255)&amp;"' AS TABELA, '"&amp;UPPER(C255)&amp;"' AS TIPOLOGIA_TESTE,'"&amp;D255&amp;"' AS TABELA_LT,'N/A' AS TABELA_SIMUL,'"&amp;F255&amp;"' AS CAMPO, "&amp;"'${ref_date}' AS REF_DATE, COUNT(*) AS NUM_REG, SUM(IF(TRIM(CAST(X."&amp;F255&amp;" AS STRING)) IN ('N/A','11111111111','11111111111.00','11111111111.000000','1111-11-11'),1,0)) AS NUM_REG_DIF,'"&amp;MAX('ID1&amp;5'!K:K)+1&amp;"' AS ID_EXEC, CURRENT_TIMESTAMP() AS TIME_EXEC FROM "&amp;I255,
IF(C255="Valores extremos",+"SELECT '"&amp;UPPER(B255)&amp;"' AS TABELA, '"&amp;UPPER(C255)&amp;"' AS TIPOLOGIA_TESTE,'"&amp;D255&amp;"' AS TABELA_LT,'N/A' AS TABELA_SIMUL,'"&amp;F255&amp;"' AS CAMPO, "&amp;"'${ref_date}' AS REF_DATE, CAST(MIN("&amp;F255&amp;") AS STRING) AS VALOR_MIN, CAST(MAX("&amp;F255&amp;") AS STRING) AS VALOR_MAX,'"&amp;MAX('ID1&amp;5'!K:K)+1&amp;"' AS ID_EXEC, CURRENT_TIMESTAMP() AS TIME_EXEC FROM "&amp;MID(I255,1,LEN(I255)-2)&amp;" AND CAST("&amp;F255&amp;"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TABELA_SIMUL,'MTRTY_LTST_MRTR_C19' AS CAMPO, '${ref_date}' AS REF_DATE, COUNT(*) AS NUM_REG, SUM(IF(COALESCE(CAST(X.MTRTY_LTST_MRTR_C19 AS STRING),'')&lt;&gt;COALESCE(CAST(Y.MTRTY_LTST_MRTR_C19_SIMUL AS STRING),'') OR (X.MTRTY_LTST_MRTR_C19 IS NULL AND Y.MTRTY_LTST_MRTR_C19_SIMUL IS NOT NULL ) OR (X.MTRTY_LTST_MRTR_C19 IS NOT NULL AND Y.MTRTY_LTST_MRTR_C19_SIMUL IS NULL),1,0)) AS NUM_REG_DIF,'1' AS ID_EXEC, CURRENT_TIMESTAMP() AS TIME_EXEC FROM (SELECT instrmnt_id, MTRTY_LTST_MRTR_C19 FROM CD_LOAN_TAPES_BCE.LT002_INSTRUMENT WHERE ref_date='${ref_date}' AND nome_perimetro='Individual Corporativo' AND segmento='ESTR' AND ambito='PM' AND entidade='00100')X INNER JOIN (SELECT instrmnt_id AS instrmnt_id_SIMUL, MTRTY_LTST_MRTR_C19 AS MTRTY_LTST_MRTR_C19_SIMUL FROM BU_LOANTAPE_WORK.LT002_INSTRUMENT WHERE ref_date='${ref_date}' AND nome_perimetro='Individual Corporativo' AND segmento='ESTR' AND ambito='PM' AND entidade='00100')Y ON X.INSTRMNT_ID=Y.INSTRMNT_ID_SIMUL</v>
      </c>
      <c r="M255" s="36" t="str">
        <f t="shared" si="4"/>
        <v>UNION ALL SELECT 'INSTRUMENT' AS TABELA, 'COERÊNCIA' AS TIPOLOGIA_TESTE,'CD_LOAN_TAPES_BCE.LT002_INSTRUMENT' AS TABELA_LT,'BU_LOANTAPE_WORK.LT002_INSTRUMENT' AS TABELA_SIMUL,'MTRTY_LTST_MRTR_C19' AS CAMPO, '${ref_date}' AS REF_DATE, COUNT(*) AS NUM_REG, SUM(IF(COALESCE(CAST(X.MTRTY_LTST_MRTR_C19 AS STRING),'')&lt;&gt;COALESCE(CAST(Y.MTRTY_LTST_MRTR_C19_SIMUL AS STRING),'') OR (X.MTRTY_LTST_MRTR_C19 IS NULL AND Y.MTRTY_LTST_MRTR_C19_SIMUL IS NOT NULL ) OR (X.MTRTY_LTST_MRTR_C19 IS NOT NULL AND Y.MTRTY_LTST_MRTR_C19_SIMUL IS NULL),1,0)) AS NUM_REG_DIF,'1' AS ID_EXEC, CURRENT_TIMESTAMP() AS TIME_EXEC FROM (SELECT instrmnt_id, MTRTY_LTST_MRTR_C19 FROM CD_LOAN_TAPES_BCE.LT002_INSTRUMENT WHERE ref_date='${ref_date}' AND nome_perimetro='Individual Corporativo' AND segmento='ESTR' AND ambito='PM' AND entidade='00100')X INNER JOIN (SELECT instrmnt_id AS instrmnt_id_SIMUL, MTRTY_LTST_MRTR_C19 AS MTRTY_LTST_MRTR_C19_SIMUL FROM BU_LOANTAPE_WORK.LT002_INSTRUMENT WHERE ref_date='${ref_date}' AND nome_perimetro='Individual Corporativo' AND segmento='ESTR' AND ambito='PM' AND entidade='00100')Y ON X.INSTRMNT_ID=Y.INSTRMNT_ID_SIMUL</v>
      </c>
      <c r="N255" s="38" t="s">
        <v>46</v>
      </c>
    </row>
    <row r="256" spans="2:14" hidden="1">
      <c r="B256" s="34" t="s">
        <v>126</v>
      </c>
      <c r="C256" s="34" t="s">
        <v>5</v>
      </c>
      <c r="D256" s="34" t="str">
        <f>+UPPER('0. Instruções'!$D$35&amp;"."&amp;VLOOKUP(B256,'0. Instruções'!$C$27:$D$32,2,FALSE))</f>
        <v>CD_LOAN_TAPES_BCE.LT002_INSTRUMENT</v>
      </c>
      <c r="E256" s="34" t="str">
        <f>+UPPER('0. Instruções'!$D$36&amp;"."&amp;VLOOKUP(B256,'0. Instruções'!$C$27:$E$32,3,FALSE))</f>
        <v>BU_LOANTAPE_WORK.LT002_INSTRUMENT</v>
      </c>
      <c r="F256" s="34" t="s">
        <v>538</v>
      </c>
      <c r="G256" s="34"/>
      <c r="H256" s="34" t="s">
        <v>89</v>
      </c>
      <c r="I256" s="34" t="str">
        <f>"(SELECT "&amp;VLOOKUP(B256,'0. Instruções'!$C$27:$G$32,4,FALSE)&amp;", "&amp;F256&amp;" FROM "&amp;D256&amp;" WHERE "&amp;'0. Instruções'!$D$42&amp;")X"</f>
        <v>(SELECT instrmnt_id, TYP_CMPLNT_MRTR_C19 FROM CD_LOAN_TAPES_BCE.LT002_INSTRUMENT WHERE ref_date='${ref_date}' AND nome_perimetro='Individual Corporativo' AND segmento='ESTR' AND ambito='PM' AND entidade='00100')X</v>
      </c>
      <c r="J256" s="34" t="str">
        <f>"(SELECT "&amp;VLOOKUP(B256,'0. Instruções'!$C$27:$G$32,4,FALSE)&amp;" AS "&amp;VLOOKUP(B256,'0. Instruções'!$C$27:$G$32,4,FALSE)&amp;"_SIMUL, "&amp;F256&amp;" AS "&amp;F256&amp;"_SIMUL FROM "&amp;E256&amp;" WHERE "&amp;'0. Instruções'!$D$43&amp;")Y"</f>
        <v>(SELECT instrmnt_id AS instrmnt_id_SIMUL, TYP_CMPLNT_MRTR_C19 AS TYP_CMPLNT_MRTR_C19_SIMUL FROM BU_LOANTAPE_WORK.LT002_INSTRUMENT WHERE ref_date='${ref_date}' AND nome_perimetro='Individual Corporativo' AND segmento='ESTR' AND ambito='PM' AND entidade='00100')Y</v>
      </c>
      <c r="K256" s="35" t="str">
        <f>+UPPER("ON X."&amp;VLOOKUP(B256,'0. Instruções'!$C$27:$G$32,4,FALSE)&amp;"=Y."&amp;VLOOKUP(B256,'0. Instruções'!$C$27:$G$32,4,FALSE)&amp;"_SIMUL")</f>
        <v>ON X.INSTRMNT_ID=Y.INSTRMNT_ID_SIMUL</v>
      </c>
      <c r="L256" s="35" t="str">
        <f>+IF(C256="Coerência", +IF(LEFT(G256,5)="FLOAT","SELECT '"&amp;UPPER(B256)&amp;"' AS TABELA, '"&amp;UPPER(C256)&amp;"' AS TIPOLOGIA_TESTE,'"&amp;D256&amp;"' AS TABELA_LT,'"&amp;E256&amp;"' AS TABELA_SIMUL,'"&amp;F256&amp;"' AS CAMPO, "&amp;"'${ref_date}' AS REF_DATE, COUNT(*) AS NUM_REG, SUM(IF((ABS(COALESCE(CAST(X."&amp;F256&amp;" AS DECIMAL(18,6)),0)-COALESCE(CAST(Y."&amp;F256&amp;"_SIMUL AS DECIMAL(18,6)),0))&gt;0.000001) OR (X."&amp;F256&amp;" IS NULL AND Y."&amp;F256&amp;"_SIMUL IS NOT NULL ) OR (X."&amp;F256&amp;" IS NOT NULL AND Y."&amp;F256&amp;"_SIMUL IS NULL),1,0)) AS NUM_REG_DIF,'"&amp;MAX('ID1&amp;5'!K:K)+1&amp;"' AS ID_EXEC, CURRENT_TIMESTAMP() AS TIME_EXEC FROM "&amp;I256&amp;" INNER JOIN "&amp;J256&amp;" "&amp;K256,"SELECT '"&amp;UPPER(B256)&amp;"' AS TABELA, '"&amp;UPPER(C256)&amp;"' AS TIPOLOGIA_TESTE,'"&amp;D256&amp;"' AS TABELA_LT,'"&amp;E256&amp;"' AS TABELA_SIMUL,'"&amp;F256&amp;"' AS CAMPO, "&amp;"'${ref_date}' AS REF_DATE, COUNT(*) AS NUM_REG, SUM(IF(COALESCE(CAST(X."&amp;F256&amp;" AS STRING),'')&lt;&gt;COALESCE(CAST(Y."&amp;F256&amp;"_SIMUL AS STRING),'') OR (X."&amp;F256&amp;" IS NULL AND Y."&amp;F256&amp;"_SIMUL IS NOT NULL ) OR (X."&amp;F256&amp;" IS NOT NULL AND Y."&amp;F256&amp;"_SIMUL IS NULL),1,0)) AS NUM_REG_DIF,'"&amp;MAX('ID1&amp;5'!L:L)+1&amp;"' AS ID_EXEC, CURRENT_TIMESTAMP() AS TIME_EXEC FROM "&amp;I256&amp;" INNER JOIN "&amp;J256&amp;" "&amp;K256),
IF(C256="Validade",+IF(G256="Code List","SELECT '"&amp;UPPER(B256)&amp;"' AS TABELA, '"&amp;UPPER(C256)&amp;"' AS TIPOLOGIA_TESTE,'"&amp;D256&amp;"' AS TABELA_LT,'N/A' AS TABELA_SIMUL,'"&amp;F256&amp;"' AS CAMPO, "&amp;"'${ref_date}' AS REF_DATE, COUNT(*) AS NUM_REG, SUM(IF(TRIM(CAST(X."&amp;F256&amp;" AS STRING))='' OR TRIM(CAST(X."&amp;F256&amp;" AS STRING)) IS NULL OR CAST(X."&amp;F256&amp;" AS STRING) NOT "&amp;H256&amp;",1,0)) AS NUM_REG_DIF,'"&amp;MAX('ID1&amp;5'!K:K)+1&amp;"' AS ID_EXEC, CURRENT_TIMESTAMP() AS TIME_EXEC FROM "&amp;I256,"SELECT '"&amp;UPPER(B256)&amp;"' AS TABELA, '"&amp;UPPER(C256)&amp;"' AS TIPOLOGIA_TESTE,'"&amp;D256&amp;"' AS TABELA_LT,'N/A' AS TABELA_SIMUL,'"&amp;F256&amp;"' AS CAMPO, "&amp;"'${ref_date}' AS REF_DATE, COUNT(*) AS NUM_REG, SUM(IF(TRIM(CAST(X."&amp;F256&amp;" AS STRING))='' OR TRIM(CAST(X."&amp;F256&amp;" AS STRING)) IS NULL,1,0)) AS NUM_REG_DIF,'"&amp;MAX('ID1&amp;5'!K:K)+1&amp;"' AS ID_EXEC, CURRENT_TIMESTAMP() AS TIME_EXEC FROM "&amp;I256),
IF(C256="Caracteres Especiais",+"SELECT '"&amp;UPPER(B256)&amp;"' AS TABELA, '"&amp;UPPER(C256)&amp;"' AS TIPOLOGIA_TESTE,'"&amp;D256&amp;"' AS TABELA_LT,'N/A' AS TABELA_SIMUL,'"&amp;F256&amp;"' AS CAMPO, "&amp;"'${ref_date}' AS REF_DATE, COUNT(*) AS NUM_REG, SUM(IF(REGEXP_REPLACE(TRIM(CAST(X."&amp;F256&amp;" AS STRING)),'[^a-zA-Z0-9_\\s]','') &lt;&gt;TRIM(CAST(X."&amp;F256&amp;" AS STRING)),1,0)) AS NUM_REG_DIF,'"&amp;MAX('ID1&amp;5'!K:K)+1&amp;"' AS ID_EXEC, CURRENT_TIMESTAMP() AS TIME_EXEC FROM "&amp;I256,
IF(C256="Missings",+"SELECT '"&amp;UPPER(B256)&amp;"' AS TABELA, '"&amp;UPPER(C256)&amp;"' AS TIPOLOGIA_TESTE,'"&amp;D256&amp;"' AS TABELA_LT,'N/A' AS TABELA_SIMUL,'"&amp;F256&amp;"' AS CAMPO, "&amp;"'${ref_date}' AS REF_DATE, COUNT(*) AS NUM_REG, SUM(IF(TRIM(CAST(X."&amp;F256&amp;" AS STRING)) IN ('0000-00-00','0001-01-01','9999-12-31','MISS','00000','99999999999','99999999999.00','99999999999.000000'),1,0)) AS NUM_REG_DIF,'"&amp;MAX('ID1&amp;5'!K:K)+1&amp;"' AS ID_EXEC, CURRENT_TIMESTAMP() AS TIME_EXEC FROM "&amp;I256,
IF(C256="Not applicable",+"SELECT '"&amp;UPPER(B256)&amp;"' AS TABELA, '"&amp;UPPER(C256)&amp;"' AS TIPOLOGIA_TESTE,'"&amp;D256&amp;"' AS TABELA_LT,'N/A' AS TABELA_SIMUL,'"&amp;F256&amp;"' AS CAMPO, "&amp;"'${ref_date}' AS REF_DATE, COUNT(*) AS NUM_REG, SUM(IF(TRIM(CAST(X."&amp;F256&amp;" AS STRING)) IN ('N/A','11111111111','11111111111.00','11111111111.000000','1111-11-11'),1,0)) AS NUM_REG_DIF,'"&amp;MAX('ID1&amp;5'!K:K)+1&amp;"' AS ID_EXEC, CURRENT_TIMESTAMP() AS TIME_EXEC FROM "&amp;I256,
IF(C256="Valores extremos",+"SELECT '"&amp;UPPER(B256)&amp;"' AS TABELA, '"&amp;UPPER(C256)&amp;"' AS TIPOLOGIA_TESTE,'"&amp;D256&amp;"' AS TABELA_LT,'N/A' AS TABELA_SIMUL,'"&amp;F256&amp;"' AS CAMPO, "&amp;"'${ref_date}' AS REF_DATE, CAST(MIN("&amp;F256&amp;") AS STRING) AS VALOR_MIN, CAST(MAX("&amp;F256&amp;") AS STRING) AS VALOR_MAX,'"&amp;MAX('ID1&amp;5'!K:K)+1&amp;"' AS ID_EXEC, CURRENT_TIMESTAMP() AS TIME_EXEC FROM "&amp;MID(I256,1,LEN(I256)-2)&amp;" AND CAST("&amp;F256&amp;"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TABELA_SIMUL,'TYP_CMPLNT_MRTR_C19' AS CAMPO, '${ref_date}' AS REF_DATE, COUNT(*) AS NUM_REG, SUM(IF(COALESCE(CAST(X.TYP_CMPLNT_MRTR_C19 AS STRING),'')&lt;&gt;COALESCE(CAST(Y.TYP_CMPLNT_MRTR_C19_SIMUL AS STRING),'') OR (X.TYP_CMPLNT_MRTR_C19 IS NULL AND Y.TYP_CMPLNT_MRTR_C19_SIMUL IS NOT NULL ) OR (X.TYP_CMPLNT_MRTR_C19 IS NOT NULL AND Y.TYP_CMPLNT_MRTR_C19_SIMUL IS NULL),1,0)) AS NUM_REG_DIF,'1' AS ID_EXEC, CURRENT_TIMESTAMP() AS TIME_EXEC FROM (SELECT instrmnt_id, TYP_CMPLNT_MRTR_C19 FROM CD_LOAN_TAPES_BCE.LT002_INSTRUMENT WHERE ref_date='${ref_date}' AND nome_perimetro='Individual Corporativo' AND segmento='ESTR' AND ambito='PM' AND entidade='00100')X INNER JOIN (SELECT instrmnt_id AS instrmnt_id_SIMUL, TYP_CMPLNT_MRTR_C19 AS TYP_CMPLNT_MRTR_C19_SIMUL FROM BU_LOANTAPE_WORK.LT002_INSTRUMENT WHERE ref_date='${ref_date}' AND nome_perimetro='Individual Corporativo' AND segmento='ESTR' AND ambito='PM' AND entidade='00100')Y ON X.INSTRMNT_ID=Y.INSTRMNT_ID_SIMUL</v>
      </c>
      <c r="M256" s="36" t="str">
        <f t="shared" si="4"/>
        <v>UNION ALL SELECT 'INSTRUMENT' AS TABELA, 'COERÊNCIA' AS TIPOLOGIA_TESTE,'CD_LOAN_TAPES_BCE.LT002_INSTRUMENT' AS TABELA_LT,'BU_LOANTAPE_WORK.LT002_INSTRUMENT' AS TABELA_SIMUL,'TYP_CMPLNT_MRTR_C19' AS CAMPO, '${ref_date}' AS REF_DATE, COUNT(*) AS NUM_REG, SUM(IF(COALESCE(CAST(X.TYP_CMPLNT_MRTR_C19 AS STRING),'')&lt;&gt;COALESCE(CAST(Y.TYP_CMPLNT_MRTR_C19_SIMUL AS STRING),'') OR (X.TYP_CMPLNT_MRTR_C19 IS NULL AND Y.TYP_CMPLNT_MRTR_C19_SIMUL IS NOT NULL ) OR (X.TYP_CMPLNT_MRTR_C19 IS NOT NULL AND Y.TYP_CMPLNT_MRTR_C19_SIMUL IS NULL),1,0)) AS NUM_REG_DIF,'1' AS ID_EXEC, CURRENT_TIMESTAMP() AS TIME_EXEC FROM (SELECT instrmnt_id, TYP_CMPLNT_MRTR_C19 FROM CD_LOAN_TAPES_BCE.LT002_INSTRUMENT WHERE ref_date='${ref_date}' AND nome_perimetro='Individual Corporativo' AND segmento='ESTR' AND ambito='PM' AND entidade='00100')X INNER JOIN (SELECT instrmnt_id AS instrmnt_id_SIMUL, TYP_CMPLNT_MRTR_C19 AS TYP_CMPLNT_MRTR_C19_SIMUL FROM BU_LOANTAPE_WORK.LT002_INSTRUMENT WHERE ref_date='${ref_date}' AND nome_perimetro='Individual Corporativo' AND segmento='ESTR' AND ambito='PM' AND entidade='00100')Y ON X.INSTRMNT_ID=Y.INSTRMNT_ID_SIMUL</v>
      </c>
      <c r="N256" s="38" t="s">
        <v>46</v>
      </c>
    </row>
    <row r="257" spans="2:14" hidden="1">
      <c r="B257" s="34" t="s">
        <v>126</v>
      </c>
      <c r="C257" s="34" t="s">
        <v>5</v>
      </c>
      <c r="D257" s="34" t="str">
        <f>+UPPER('0. Instruções'!$D$35&amp;"."&amp;VLOOKUP(B257,'0. Instruções'!$C$27:$D$32,2,FALSE))</f>
        <v>CD_LOAN_TAPES_BCE.LT002_INSTRUMENT</v>
      </c>
      <c r="E257" s="34" t="str">
        <f>+UPPER('0. Instruções'!$D$36&amp;"."&amp;VLOOKUP(B257,'0. Instruções'!$C$27:$E$32,3,FALSE))</f>
        <v>BU_LOANTAPE_WORK.LT002_INSTRUMENT</v>
      </c>
      <c r="F257" s="34" t="s">
        <v>539</v>
      </c>
      <c r="G257" s="34"/>
      <c r="H257" s="34" t="s">
        <v>648</v>
      </c>
      <c r="I257" s="34" t="str">
        <f>"(SELECT "&amp;VLOOKUP(B257,'0. Instruções'!$C$27:$G$32,4,FALSE)&amp;", "&amp;F257&amp;" FROM "&amp;D257&amp;" WHERE "&amp;'0. Instruções'!$D$42&amp;")X"</f>
        <v>(SELECT instrmnt_id, GRC_PRD_CPTL_INTRST_C19 FROM CD_LOAN_TAPES_BCE.LT002_INSTRUMENT WHERE ref_date='${ref_date}' AND nome_perimetro='Individual Corporativo' AND segmento='ESTR' AND ambito='PM' AND entidade='00100')X</v>
      </c>
      <c r="J257" s="34" t="str">
        <f>"(SELECT "&amp;VLOOKUP(B257,'0. Instruções'!$C$27:$G$32,4,FALSE)&amp;" AS "&amp;VLOOKUP(B257,'0. Instruções'!$C$27:$G$32,4,FALSE)&amp;"_SIMUL, "&amp;F257&amp;" AS "&amp;F257&amp;"_SIMUL FROM "&amp;E257&amp;" WHERE "&amp;'0. Instruções'!$D$43&amp;")Y"</f>
        <v>(SELECT instrmnt_id AS instrmnt_id_SIMUL, GRC_PRD_CPTL_INTRST_C19 AS GRC_PRD_CPTL_INTRST_C19_SIMUL FROM BU_LOANTAPE_WORK.LT002_INSTRUMENT WHERE ref_date='${ref_date}' AND nome_perimetro='Individual Corporativo' AND segmento='ESTR' AND ambito='PM' AND entidade='00100')Y</v>
      </c>
      <c r="K257" s="35" t="str">
        <f>+UPPER("ON X."&amp;VLOOKUP(B257,'0. Instruções'!$C$27:$G$32,4,FALSE)&amp;"=Y."&amp;VLOOKUP(B257,'0. Instruções'!$C$27:$G$32,4,FALSE)&amp;"_SIMUL")</f>
        <v>ON X.INSTRMNT_ID=Y.INSTRMNT_ID_SIMUL</v>
      </c>
      <c r="L257" s="35" t="str">
        <f>+IF(C257="Coerência", +IF(LEFT(G257,5)="FLOAT","SELECT '"&amp;UPPER(B257)&amp;"' AS TABELA, '"&amp;UPPER(C257)&amp;"' AS TIPOLOGIA_TESTE,'"&amp;D257&amp;"' AS TABELA_LT,'"&amp;E257&amp;"' AS TABELA_SIMUL,'"&amp;F257&amp;"' AS CAMPO, "&amp;"'${ref_date}' AS REF_DATE, COUNT(*) AS NUM_REG, SUM(IF((ABS(COALESCE(CAST(X."&amp;F257&amp;" AS DECIMAL(18,6)),0)-COALESCE(CAST(Y."&amp;F257&amp;"_SIMUL AS DECIMAL(18,6)),0))&gt;0.000001) OR (X."&amp;F257&amp;" IS NULL AND Y."&amp;F257&amp;"_SIMUL IS NOT NULL ) OR (X."&amp;F257&amp;" IS NOT NULL AND Y."&amp;F257&amp;"_SIMUL IS NULL),1,0)) AS NUM_REG_DIF,'"&amp;MAX('ID1&amp;5'!K:K)+1&amp;"' AS ID_EXEC, CURRENT_TIMESTAMP() AS TIME_EXEC FROM "&amp;I257&amp;" INNER JOIN "&amp;J257&amp;" "&amp;K257,"SELECT '"&amp;UPPER(B257)&amp;"' AS TABELA, '"&amp;UPPER(C257)&amp;"' AS TIPOLOGIA_TESTE,'"&amp;D257&amp;"' AS TABELA_LT,'"&amp;E257&amp;"' AS TABELA_SIMUL,'"&amp;F257&amp;"' AS CAMPO, "&amp;"'${ref_date}' AS REF_DATE, COUNT(*) AS NUM_REG, SUM(IF(COALESCE(CAST(X."&amp;F257&amp;" AS STRING),'')&lt;&gt;COALESCE(CAST(Y."&amp;F257&amp;"_SIMUL AS STRING),'') OR (X."&amp;F257&amp;" IS NULL AND Y."&amp;F257&amp;"_SIMUL IS NOT NULL ) OR (X."&amp;F257&amp;" IS NOT NULL AND Y."&amp;F257&amp;"_SIMUL IS NULL),1,0)) AS NUM_REG_DIF,'"&amp;MAX('ID1&amp;5'!L:L)+1&amp;"' AS ID_EXEC, CURRENT_TIMESTAMP() AS TIME_EXEC FROM "&amp;I257&amp;" INNER JOIN "&amp;J257&amp;" "&amp;K257),
IF(C257="Validade",+IF(G257="Code List","SELECT '"&amp;UPPER(B257)&amp;"' AS TABELA, '"&amp;UPPER(C257)&amp;"' AS TIPOLOGIA_TESTE,'"&amp;D257&amp;"' AS TABELA_LT,'N/A' AS TABELA_SIMUL,'"&amp;F257&amp;"' AS CAMPO, "&amp;"'${ref_date}' AS REF_DATE, COUNT(*) AS NUM_REG, SUM(IF(TRIM(CAST(X."&amp;F257&amp;" AS STRING))='' OR TRIM(CAST(X."&amp;F257&amp;" AS STRING)) IS NULL OR CAST(X."&amp;F257&amp;" AS STRING) NOT "&amp;H257&amp;",1,0)) AS NUM_REG_DIF,'"&amp;MAX('ID1&amp;5'!K:K)+1&amp;"' AS ID_EXEC, CURRENT_TIMESTAMP() AS TIME_EXEC FROM "&amp;I257,"SELECT '"&amp;UPPER(B257)&amp;"' AS TABELA, '"&amp;UPPER(C257)&amp;"' AS TIPOLOGIA_TESTE,'"&amp;D257&amp;"' AS TABELA_LT,'N/A' AS TABELA_SIMUL,'"&amp;F257&amp;"' AS CAMPO, "&amp;"'${ref_date}' AS REF_DATE, COUNT(*) AS NUM_REG, SUM(IF(TRIM(CAST(X."&amp;F257&amp;" AS STRING))='' OR TRIM(CAST(X."&amp;F257&amp;" AS STRING)) IS NULL,1,0)) AS NUM_REG_DIF,'"&amp;MAX('ID1&amp;5'!K:K)+1&amp;"' AS ID_EXEC, CURRENT_TIMESTAMP() AS TIME_EXEC FROM "&amp;I257),
IF(C257="Caracteres Especiais",+"SELECT '"&amp;UPPER(B257)&amp;"' AS TABELA, '"&amp;UPPER(C257)&amp;"' AS TIPOLOGIA_TESTE,'"&amp;D257&amp;"' AS TABELA_LT,'N/A' AS TABELA_SIMUL,'"&amp;F257&amp;"' AS CAMPO, "&amp;"'${ref_date}' AS REF_DATE, COUNT(*) AS NUM_REG, SUM(IF(REGEXP_REPLACE(TRIM(CAST(X."&amp;F257&amp;" AS STRING)),'[^a-zA-Z0-9_\\s]','') &lt;&gt;TRIM(CAST(X."&amp;F257&amp;" AS STRING)),1,0)) AS NUM_REG_DIF,'"&amp;MAX('ID1&amp;5'!K:K)+1&amp;"' AS ID_EXEC, CURRENT_TIMESTAMP() AS TIME_EXEC FROM "&amp;I257,
IF(C257="Missings",+"SELECT '"&amp;UPPER(B257)&amp;"' AS TABELA, '"&amp;UPPER(C257)&amp;"' AS TIPOLOGIA_TESTE,'"&amp;D257&amp;"' AS TABELA_LT,'N/A' AS TABELA_SIMUL,'"&amp;F257&amp;"' AS CAMPO, "&amp;"'${ref_date}' AS REF_DATE, COUNT(*) AS NUM_REG, SUM(IF(TRIM(CAST(X."&amp;F257&amp;" AS STRING)) IN ('0000-00-00','0001-01-01','9999-12-31','MISS','00000','99999999999','99999999999.00','99999999999.000000'),1,0)) AS NUM_REG_DIF,'"&amp;MAX('ID1&amp;5'!K:K)+1&amp;"' AS ID_EXEC, CURRENT_TIMESTAMP() AS TIME_EXEC FROM "&amp;I257,
IF(C257="Not applicable",+"SELECT '"&amp;UPPER(B257)&amp;"' AS TABELA, '"&amp;UPPER(C257)&amp;"' AS TIPOLOGIA_TESTE,'"&amp;D257&amp;"' AS TABELA_LT,'N/A' AS TABELA_SIMUL,'"&amp;F257&amp;"' AS CAMPO, "&amp;"'${ref_date}' AS REF_DATE, COUNT(*) AS NUM_REG, SUM(IF(TRIM(CAST(X."&amp;F257&amp;" AS STRING)) IN ('N/A','11111111111','11111111111.00','11111111111.000000','1111-11-11'),1,0)) AS NUM_REG_DIF,'"&amp;MAX('ID1&amp;5'!K:K)+1&amp;"' AS ID_EXEC, CURRENT_TIMESTAMP() AS TIME_EXEC FROM "&amp;I257,
IF(C257="Valores extremos",+"SELECT '"&amp;UPPER(B257)&amp;"' AS TABELA, '"&amp;UPPER(C257)&amp;"' AS TIPOLOGIA_TESTE,'"&amp;D257&amp;"' AS TABELA_LT,'N/A' AS TABELA_SIMUL,'"&amp;F257&amp;"' AS CAMPO, "&amp;"'${ref_date}' AS REF_DATE, CAST(MIN("&amp;F257&amp;") AS STRING) AS VALOR_MIN, CAST(MAX("&amp;F257&amp;") AS STRING) AS VALOR_MAX,'"&amp;MAX('ID1&amp;5'!K:K)+1&amp;"' AS ID_EXEC, CURRENT_TIMESTAMP() AS TIME_EXEC FROM "&amp;MID(I257,1,LEN(I257)-2)&amp;" AND CAST("&amp;F257&amp;"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TABELA_SIMUL,'GRC_PRD_CPTL_INTRST_C19' AS CAMPO, '${ref_date}' AS REF_DATE, COUNT(*) AS NUM_REG, SUM(IF(COALESCE(CAST(X.GRC_PRD_CPTL_INTRST_C19 AS STRING),'')&lt;&gt;COALESCE(CAST(Y.GRC_PRD_CPTL_INTRST_C19_SIMUL AS STRING),'') OR (X.GRC_PRD_CPTL_INTRST_C19 IS NULL AND Y.GRC_PRD_CPTL_INTRST_C19_SIMUL IS NOT NULL ) OR (X.GRC_PRD_CPTL_INTRST_C19 IS NOT NULL AND Y.GRC_PRD_CPTL_INTRST_C19_SIMUL IS NULL),1,0)) AS NUM_REG_DIF,'1' AS ID_EXEC, CURRENT_TIMESTAMP() AS TIME_EXEC FROM (SELECT instrmnt_id, GRC_PRD_CPTL_INTRST_C19 FROM CD_LOAN_TAPES_BCE.LT002_INSTRUMENT WHERE ref_date='${ref_date}' AND nome_perimetro='Individual Corporativo' AND segmento='ESTR' AND ambito='PM' AND entidade='00100')X INNER JOIN (SELECT instrmnt_id AS instrmnt_id_SIMUL, GRC_PRD_CPTL_INTRST_C19 AS GRC_PRD_CPTL_INTRST_C19_SIMUL FROM BU_LOANTAPE_WORK.LT002_INSTRUMENT WHERE ref_date='${ref_date}' AND nome_perimetro='Individual Corporativo' AND segmento='ESTR' AND ambito='PM' AND entidade='00100')Y ON X.INSTRMNT_ID=Y.INSTRMNT_ID_SIMUL</v>
      </c>
      <c r="M257" s="36" t="str">
        <f t="shared" si="4"/>
        <v>UNION ALL SELECT 'INSTRUMENT' AS TABELA, 'COERÊNCIA' AS TIPOLOGIA_TESTE,'CD_LOAN_TAPES_BCE.LT002_INSTRUMENT' AS TABELA_LT,'BU_LOANTAPE_WORK.LT002_INSTRUMENT' AS TABELA_SIMUL,'GRC_PRD_CPTL_INTRST_C19' AS CAMPO, '${ref_date}' AS REF_DATE, COUNT(*) AS NUM_REG, SUM(IF(COALESCE(CAST(X.GRC_PRD_CPTL_INTRST_C19 AS STRING),'')&lt;&gt;COALESCE(CAST(Y.GRC_PRD_CPTL_INTRST_C19_SIMUL AS STRING),'') OR (X.GRC_PRD_CPTL_INTRST_C19 IS NULL AND Y.GRC_PRD_CPTL_INTRST_C19_SIMUL IS NOT NULL ) OR (X.GRC_PRD_CPTL_INTRST_C19 IS NOT NULL AND Y.GRC_PRD_CPTL_INTRST_C19_SIMUL IS NULL),1,0)) AS NUM_REG_DIF,'1' AS ID_EXEC, CURRENT_TIMESTAMP() AS TIME_EXEC FROM (SELECT instrmnt_id, GRC_PRD_CPTL_INTRST_C19 FROM CD_LOAN_TAPES_BCE.LT002_INSTRUMENT WHERE ref_date='${ref_date}' AND nome_perimetro='Individual Corporativo' AND segmento='ESTR' AND ambito='PM' AND entidade='00100')X INNER JOIN (SELECT instrmnt_id AS instrmnt_id_SIMUL, GRC_PRD_CPTL_INTRST_C19 AS GRC_PRD_CPTL_INTRST_C19_SIMUL FROM BU_LOANTAPE_WORK.LT002_INSTRUMENT WHERE ref_date='${ref_date}' AND nome_perimetro='Individual Corporativo' AND segmento='ESTR' AND ambito='PM' AND entidade='00100')Y ON X.INSTRMNT_ID=Y.INSTRMNT_ID_SIMUL</v>
      </c>
      <c r="N257" s="38" t="s">
        <v>46</v>
      </c>
    </row>
    <row r="258" spans="2:14" hidden="1">
      <c r="B258" s="34" t="s">
        <v>126</v>
      </c>
      <c r="C258" s="34" t="s">
        <v>5</v>
      </c>
      <c r="D258" s="34" t="str">
        <f>+UPPER('0. Instruções'!$D$35&amp;"."&amp;VLOOKUP(B258,'0. Instruções'!$C$27:$D$32,2,FALSE))</f>
        <v>CD_LOAN_TAPES_BCE.LT002_INSTRUMENT</v>
      </c>
      <c r="E258" s="34" t="str">
        <f>+UPPER('0. Instruções'!$D$36&amp;"."&amp;VLOOKUP(B258,'0. Instruções'!$C$27:$E$32,3,FALSE))</f>
        <v>BU_LOANTAPE_WORK.LT002_INSTRUMENT</v>
      </c>
      <c r="F258" s="34" t="s">
        <v>540</v>
      </c>
      <c r="G258" s="34"/>
      <c r="H258" s="34" t="s">
        <v>646</v>
      </c>
      <c r="I258" s="34" t="str">
        <f>"(SELECT "&amp;VLOOKUP(B258,'0. Instruções'!$C$27:$G$32,4,FALSE)&amp;", "&amp;F258&amp;" FROM "&amp;D258&amp;" WHERE "&amp;'0. Instruções'!$D$42&amp;")X"</f>
        <v>(SELECT instrmnt_id, CMPLNT_MRTR_C19_NM FROM CD_LOAN_TAPES_BCE.LT002_INSTRUMENT WHERE ref_date='${ref_date}' AND nome_perimetro='Individual Corporativo' AND segmento='ESTR' AND ambito='PM' AND entidade='00100')X</v>
      </c>
      <c r="J258" s="34" t="str">
        <f>"(SELECT "&amp;VLOOKUP(B258,'0. Instruções'!$C$27:$G$32,4,FALSE)&amp;" AS "&amp;VLOOKUP(B258,'0. Instruções'!$C$27:$G$32,4,FALSE)&amp;"_SIMUL, "&amp;F258&amp;" AS "&amp;F258&amp;"_SIMUL FROM "&amp;E258&amp;" WHERE "&amp;'0. Instruções'!$D$43&amp;")Y"</f>
        <v>(SELECT instrmnt_id AS instrmnt_id_SIMUL, CMPLNT_MRTR_C19_NM AS CMPLNT_MRTR_C19_NM_SIMUL FROM BU_LOANTAPE_WORK.LT002_INSTRUMENT WHERE ref_date='${ref_date}' AND nome_perimetro='Individual Corporativo' AND segmento='ESTR' AND ambito='PM' AND entidade='00100')Y</v>
      </c>
      <c r="K258" s="35" t="str">
        <f>+UPPER("ON X."&amp;VLOOKUP(B258,'0. Instruções'!$C$27:$G$32,4,FALSE)&amp;"=Y."&amp;VLOOKUP(B258,'0. Instruções'!$C$27:$G$32,4,FALSE)&amp;"_SIMUL")</f>
        <v>ON X.INSTRMNT_ID=Y.INSTRMNT_ID_SIMUL</v>
      </c>
      <c r="L258" s="35" t="str">
        <f>+IF(C258="Coerência", +IF(LEFT(G258,5)="FLOAT","SELECT '"&amp;UPPER(B258)&amp;"' AS TABELA, '"&amp;UPPER(C258)&amp;"' AS TIPOLOGIA_TESTE,'"&amp;D258&amp;"' AS TABELA_LT,'"&amp;E258&amp;"' AS TABELA_SIMUL,'"&amp;F258&amp;"' AS CAMPO, "&amp;"'${ref_date}' AS REF_DATE, COUNT(*) AS NUM_REG, SUM(IF((ABS(COALESCE(CAST(X."&amp;F258&amp;" AS DECIMAL(18,6)),0)-COALESCE(CAST(Y."&amp;F258&amp;"_SIMUL AS DECIMAL(18,6)),0))&gt;0.000001) OR (X."&amp;F258&amp;" IS NULL AND Y."&amp;F258&amp;"_SIMUL IS NOT NULL ) OR (X."&amp;F258&amp;" IS NOT NULL AND Y."&amp;F258&amp;"_SIMUL IS NULL),1,0)) AS NUM_REG_DIF,'"&amp;MAX('ID1&amp;5'!K:K)+1&amp;"' AS ID_EXEC, CURRENT_TIMESTAMP() AS TIME_EXEC FROM "&amp;I258&amp;" INNER JOIN "&amp;J258&amp;" "&amp;K258,"SELECT '"&amp;UPPER(B258)&amp;"' AS TABELA, '"&amp;UPPER(C258)&amp;"' AS TIPOLOGIA_TESTE,'"&amp;D258&amp;"' AS TABELA_LT,'"&amp;E258&amp;"' AS TABELA_SIMUL,'"&amp;F258&amp;"' AS CAMPO, "&amp;"'${ref_date}' AS REF_DATE, COUNT(*) AS NUM_REG, SUM(IF(COALESCE(CAST(X."&amp;F258&amp;" AS STRING),'')&lt;&gt;COALESCE(CAST(Y."&amp;F258&amp;"_SIMUL AS STRING),'') OR (X."&amp;F258&amp;" IS NULL AND Y."&amp;F258&amp;"_SIMUL IS NOT NULL ) OR (X."&amp;F258&amp;" IS NOT NULL AND Y."&amp;F258&amp;"_SIMUL IS NULL),1,0)) AS NUM_REG_DIF,'"&amp;MAX('ID1&amp;5'!L:L)+1&amp;"' AS ID_EXEC, CURRENT_TIMESTAMP() AS TIME_EXEC FROM "&amp;I258&amp;" INNER JOIN "&amp;J258&amp;" "&amp;K258),
IF(C258="Validade",+IF(G258="Code List","SELECT '"&amp;UPPER(B258)&amp;"' AS TABELA, '"&amp;UPPER(C258)&amp;"' AS TIPOLOGIA_TESTE,'"&amp;D258&amp;"' AS TABELA_LT,'N/A' AS TABELA_SIMUL,'"&amp;F258&amp;"' AS CAMPO, "&amp;"'${ref_date}' AS REF_DATE, COUNT(*) AS NUM_REG, SUM(IF(TRIM(CAST(X."&amp;F258&amp;" AS STRING))='' OR TRIM(CAST(X."&amp;F258&amp;" AS STRING)) IS NULL OR CAST(X."&amp;F258&amp;" AS STRING) NOT "&amp;H258&amp;",1,0)) AS NUM_REG_DIF,'"&amp;MAX('ID1&amp;5'!K:K)+1&amp;"' AS ID_EXEC, CURRENT_TIMESTAMP() AS TIME_EXEC FROM "&amp;I258,"SELECT '"&amp;UPPER(B258)&amp;"' AS TABELA, '"&amp;UPPER(C258)&amp;"' AS TIPOLOGIA_TESTE,'"&amp;D258&amp;"' AS TABELA_LT,'N/A' AS TABELA_SIMUL,'"&amp;F258&amp;"' AS CAMPO, "&amp;"'${ref_date}' AS REF_DATE, COUNT(*) AS NUM_REG, SUM(IF(TRIM(CAST(X."&amp;F258&amp;" AS STRING))='' OR TRIM(CAST(X."&amp;F258&amp;" AS STRING)) IS NULL,1,0)) AS NUM_REG_DIF,'"&amp;MAX('ID1&amp;5'!K:K)+1&amp;"' AS ID_EXEC, CURRENT_TIMESTAMP() AS TIME_EXEC FROM "&amp;I258),
IF(C258="Caracteres Especiais",+"SELECT '"&amp;UPPER(B258)&amp;"' AS TABELA, '"&amp;UPPER(C258)&amp;"' AS TIPOLOGIA_TESTE,'"&amp;D258&amp;"' AS TABELA_LT,'N/A' AS TABELA_SIMUL,'"&amp;F258&amp;"' AS CAMPO, "&amp;"'${ref_date}' AS REF_DATE, COUNT(*) AS NUM_REG, SUM(IF(REGEXP_REPLACE(TRIM(CAST(X."&amp;F258&amp;" AS STRING)),'[^a-zA-Z0-9_\\s]','') &lt;&gt;TRIM(CAST(X."&amp;F258&amp;" AS STRING)),1,0)) AS NUM_REG_DIF,'"&amp;MAX('ID1&amp;5'!K:K)+1&amp;"' AS ID_EXEC, CURRENT_TIMESTAMP() AS TIME_EXEC FROM "&amp;I258,
IF(C258="Missings",+"SELECT '"&amp;UPPER(B258)&amp;"' AS TABELA, '"&amp;UPPER(C258)&amp;"' AS TIPOLOGIA_TESTE,'"&amp;D258&amp;"' AS TABELA_LT,'N/A' AS TABELA_SIMUL,'"&amp;F258&amp;"' AS CAMPO, "&amp;"'${ref_date}' AS REF_DATE, COUNT(*) AS NUM_REG, SUM(IF(TRIM(CAST(X."&amp;F258&amp;" AS STRING)) IN ('0000-00-00','0001-01-01','9999-12-31','MISS','00000','99999999999','99999999999.00','99999999999.000000'),1,0)) AS NUM_REG_DIF,'"&amp;MAX('ID1&amp;5'!K:K)+1&amp;"' AS ID_EXEC, CURRENT_TIMESTAMP() AS TIME_EXEC FROM "&amp;I258,
IF(C258="Not applicable",+"SELECT '"&amp;UPPER(B258)&amp;"' AS TABELA, '"&amp;UPPER(C258)&amp;"' AS TIPOLOGIA_TESTE,'"&amp;D258&amp;"' AS TABELA_LT,'N/A' AS TABELA_SIMUL,'"&amp;F258&amp;"' AS CAMPO, "&amp;"'${ref_date}' AS REF_DATE, COUNT(*) AS NUM_REG, SUM(IF(TRIM(CAST(X."&amp;F258&amp;" AS STRING)) IN ('N/A','11111111111','11111111111.00','11111111111.000000','1111-11-11'),1,0)) AS NUM_REG_DIF,'"&amp;MAX('ID1&amp;5'!K:K)+1&amp;"' AS ID_EXEC, CURRENT_TIMESTAMP() AS TIME_EXEC FROM "&amp;I258,
IF(C258="Valores extremos",+"SELECT '"&amp;UPPER(B258)&amp;"' AS TABELA, '"&amp;UPPER(C258)&amp;"' AS TIPOLOGIA_TESTE,'"&amp;D258&amp;"' AS TABELA_LT,'N/A' AS TABELA_SIMUL,'"&amp;F258&amp;"' AS CAMPO, "&amp;"'${ref_date}' AS REF_DATE, CAST(MIN("&amp;F258&amp;") AS STRING) AS VALOR_MIN, CAST(MAX("&amp;F258&amp;") AS STRING) AS VALOR_MAX,'"&amp;MAX('ID1&amp;5'!K:K)+1&amp;"' AS ID_EXEC, CURRENT_TIMESTAMP() AS TIME_EXEC FROM "&amp;MID(I258,1,LEN(I258)-2)&amp;" AND CAST("&amp;F258&amp;"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TABELA_SIMUL,'CMPLNT_MRTR_C19_NM' AS CAMPO, '${ref_date}' AS REF_DATE, COUNT(*) AS NUM_REG, SUM(IF(COALESCE(CAST(X.CMPLNT_MRTR_C19_NM AS STRING),'')&lt;&gt;COALESCE(CAST(Y.CMPLNT_MRTR_C19_NM_SIMUL AS STRING),'') OR (X.CMPLNT_MRTR_C19_NM IS NULL AND Y.CMPLNT_MRTR_C19_NM_SIMUL IS NOT NULL ) OR (X.CMPLNT_MRTR_C19_NM IS NOT NULL AND Y.CMPLNT_MRTR_C19_NM_SIMUL IS NULL),1,0)) AS NUM_REG_DIF,'1' AS ID_EXEC, CURRENT_TIMESTAMP() AS TIME_EXEC FROM (SELECT instrmnt_id, CMPLNT_MRTR_C19_NM FROM CD_LOAN_TAPES_BCE.LT002_INSTRUMENT WHERE ref_date='${ref_date}' AND nome_perimetro='Individual Corporativo' AND segmento='ESTR' AND ambito='PM' AND entidade='00100')X INNER JOIN (SELECT instrmnt_id AS instrmnt_id_SIMUL, CMPLNT_MRTR_C19_NM AS CMPLNT_MRTR_C19_NM_SIMUL FROM BU_LOANTAPE_WORK.LT002_INSTRUMENT WHERE ref_date='${ref_date}' AND nome_perimetro='Individual Corporativo' AND segmento='ESTR' AND ambito='PM' AND entidade='00100')Y ON X.INSTRMNT_ID=Y.INSTRMNT_ID_SIMUL</v>
      </c>
      <c r="M258" s="36" t="str">
        <f t="shared" si="4"/>
        <v>UNION ALL SELECT 'INSTRUMENT' AS TABELA, 'COERÊNCIA' AS TIPOLOGIA_TESTE,'CD_LOAN_TAPES_BCE.LT002_INSTRUMENT' AS TABELA_LT,'BU_LOANTAPE_WORK.LT002_INSTRUMENT' AS TABELA_SIMUL,'CMPLNT_MRTR_C19_NM' AS CAMPO, '${ref_date}' AS REF_DATE, COUNT(*) AS NUM_REG, SUM(IF(COALESCE(CAST(X.CMPLNT_MRTR_C19_NM AS STRING),'')&lt;&gt;COALESCE(CAST(Y.CMPLNT_MRTR_C19_NM_SIMUL AS STRING),'') OR (X.CMPLNT_MRTR_C19_NM IS NULL AND Y.CMPLNT_MRTR_C19_NM_SIMUL IS NOT NULL ) OR (X.CMPLNT_MRTR_C19_NM IS NOT NULL AND Y.CMPLNT_MRTR_C19_NM_SIMUL IS NULL),1,0)) AS NUM_REG_DIF,'1' AS ID_EXEC, CURRENT_TIMESTAMP() AS TIME_EXEC FROM (SELECT instrmnt_id, CMPLNT_MRTR_C19_NM FROM CD_LOAN_TAPES_BCE.LT002_INSTRUMENT WHERE ref_date='${ref_date}' AND nome_perimetro='Individual Corporativo' AND segmento='ESTR' AND ambito='PM' AND entidade='00100')X INNER JOIN (SELECT instrmnt_id AS instrmnt_id_SIMUL, CMPLNT_MRTR_C19_NM AS CMPLNT_MRTR_C19_NM_SIMUL FROM BU_LOANTAPE_WORK.LT002_INSTRUMENT WHERE ref_date='${ref_date}' AND nome_perimetro='Individual Corporativo' AND segmento='ESTR' AND ambito='PM' AND entidade='00100')Y ON X.INSTRMNT_ID=Y.INSTRMNT_ID_SIMUL</v>
      </c>
      <c r="N258" s="38" t="s">
        <v>46</v>
      </c>
    </row>
    <row r="259" spans="2:14" hidden="1">
      <c r="B259" s="34" t="s">
        <v>126</v>
      </c>
      <c r="C259" s="34" t="s">
        <v>5</v>
      </c>
      <c r="D259" s="34" t="str">
        <f>+UPPER('0. Instruções'!$D$35&amp;"."&amp;VLOOKUP(B259,'0. Instruções'!$C$27:$D$32,2,FALSE))</f>
        <v>CD_LOAN_TAPES_BCE.LT002_INSTRUMENT</v>
      </c>
      <c r="E259" s="34" t="str">
        <f>+UPPER('0. Instruções'!$D$36&amp;"."&amp;VLOOKUP(B259,'0. Instruções'!$C$27:$E$32,3,FALSE))</f>
        <v>BU_LOANTAPE_WORK.LT002_INSTRUMENT</v>
      </c>
      <c r="F259" s="34" t="s">
        <v>541</v>
      </c>
      <c r="G259" s="34"/>
      <c r="H259" s="34" t="s">
        <v>89</v>
      </c>
      <c r="I259" s="34" t="str">
        <f>"(SELECT "&amp;VLOOKUP(B259,'0. Instruções'!$C$27:$G$32,4,FALSE)&amp;", "&amp;F259&amp;" FROM "&amp;D259&amp;" WHERE "&amp;'0. Instruções'!$D$42&amp;")X"</f>
        <v>(SELECT instrmnt_id, FRBRNC_STTS_C19 FROM CD_LOAN_TAPES_BCE.LT002_INSTRUMENT WHERE ref_date='${ref_date}' AND nome_perimetro='Individual Corporativo' AND segmento='ESTR' AND ambito='PM' AND entidade='00100')X</v>
      </c>
      <c r="J259" s="34" t="str">
        <f>"(SELECT "&amp;VLOOKUP(B259,'0. Instruções'!$C$27:$G$32,4,FALSE)&amp;" AS "&amp;VLOOKUP(B259,'0. Instruções'!$C$27:$G$32,4,FALSE)&amp;"_SIMUL, "&amp;F259&amp;" AS "&amp;F259&amp;"_SIMUL FROM "&amp;E259&amp;" WHERE "&amp;'0. Instruções'!$D$43&amp;")Y"</f>
        <v>(SELECT instrmnt_id AS instrmnt_id_SIMUL, FRBRNC_STTS_C19 AS FRBRNC_STTS_C19_SIMUL FROM BU_LOANTAPE_WORK.LT002_INSTRUMENT WHERE ref_date='${ref_date}' AND nome_perimetro='Individual Corporativo' AND segmento='ESTR' AND ambito='PM' AND entidade='00100')Y</v>
      </c>
      <c r="K259" s="35" t="str">
        <f>+UPPER("ON X."&amp;VLOOKUP(B259,'0. Instruções'!$C$27:$G$32,4,FALSE)&amp;"=Y."&amp;VLOOKUP(B259,'0. Instruções'!$C$27:$G$32,4,FALSE)&amp;"_SIMUL")</f>
        <v>ON X.INSTRMNT_ID=Y.INSTRMNT_ID_SIMUL</v>
      </c>
      <c r="L259" s="35" t="str">
        <f>+IF(C259="Coerência", +IF(LEFT(G259,5)="FLOAT","SELECT '"&amp;UPPER(B259)&amp;"' AS TABELA, '"&amp;UPPER(C259)&amp;"' AS TIPOLOGIA_TESTE,'"&amp;D259&amp;"' AS TABELA_LT,'"&amp;E259&amp;"' AS TABELA_SIMUL,'"&amp;F259&amp;"' AS CAMPO, "&amp;"'${ref_date}' AS REF_DATE, COUNT(*) AS NUM_REG, SUM(IF((ABS(COALESCE(CAST(X."&amp;F259&amp;" AS DECIMAL(18,6)),0)-COALESCE(CAST(Y."&amp;F259&amp;"_SIMUL AS DECIMAL(18,6)),0))&gt;0.000001) OR (X."&amp;F259&amp;" IS NULL AND Y."&amp;F259&amp;"_SIMUL IS NOT NULL ) OR (X."&amp;F259&amp;" IS NOT NULL AND Y."&amp;F259&amp;"_SIMUL IS NULL),1,0)) AS NUM_REG_DIF,'"&amp;MAX('ID1&amp;5'!K:K)+1&amp;"' AS ID_EXEC, CURRENT_TIMESTAMP() AS TIME_EXEC FROM "&amp;I259&amp;" INNER JOIN "&amp;J259&amp;" "&amp;K259,"SELECT '"&amp;UPPER(B259)&amp;"' AS TABELA, '"&amp;UPPER(C259)&amp;"' AS TIPOLOGIA_TESTE,'"&amp;D259&amp;"' AS TABELA_LT,'"&amp;E259&amp;"' AS TABELA_SIMUL,'"&amp;F259&amp;"' AS CAMPO, "&amp;"'${ref_date}' AS REF_DATE, COUNT(*) AS NUM_REG, SUM(IF(COALESCE(CAST(X."&amp;F259&amp;" AS STRING),'')&lt;&gt;COALESCE(CAST(Y."&amp;F259&amp;"_SIMUL AS STRING),'') OR (X."&amp;F259&amp;" IS NULL AND Y."&amp;F259&amp;"_SIMUL IS NOT NULL ) OR (X."&amp;F259&amp;" IS NOT NULL AND Y."&amp;F259&amp;"_SIMUL IS NULL),1,0)) AS NUM_REG_DIF,'"&amp;MAX('ID1&amp;5'!L:L)+1&amp;"' AS ID_EXEC, CURRENT_TIMESTAMP() AS TIME_EXEC FROM "&amp;I259&amp;" INNER JOIN "&amp;J259&amp;" "&amp;K259),
IF(C259="Validade",+IF(G259="Code List","SELECT '"&amp;UPPER(B259)&amp;"' AS TABELA, '"&amp;UPPER(C259)&amp;"' AS TIPOLOGIA_TESTE,'"&amp;D259&amp;"' AS TABELA_LT,'N/A' AS TABELA_SIMUL,'"&amp;F259&amp;"' AS CAMPO, "&amp;"'${ref_date}' AS REF_DATE, COUNT(*) AS NUM_REG, SUM(IF(TRIM(CAST(X."&amp;F259&amp;" AS STRING))='' OR TRIM(CAST(X."&amp;F259&amp;" AS STRING)) IS NULL OR CAST(X."&amp;F259&amp;" AS STRING) NOT "&amp;H259&amp;",1,0)) AS NUM_REG_DIF,'"&amp;MAX('ID1&amp;5'!K:K)+1&amp;"' AS ID_EXEC, CURRENT_TIMESTAMP() AS TIME_EXEC FROM "&amp;I259,"SELECT '"&amp;UPPER(B259)&amp;"' AS TABELA, '"&amp;UPPER(C259)&amp;"' AS TIPOLOGIA_TESTE,'"&amp;D259&amp;"' AS TABELA_LT,'N/A' AS TABELA_SIMUL,'"&amp;F259&amp;"' AS CAMPO, "&amp;"'${ref_date}' AS REF_DATE, COUNT(*) AS NUM_REG, SUM(IF(TRIM(CAST(X."&amp;F259&amp;" AS STRING))='' OR TRIM(CAST(X."&amp;F259&amp;" AS STRING)) IS NULL,1,0)) AS NUM_REG_DIF,'"&amp;MAX('ID1&amp;5'!K:K)+1&amp;"' AS ID_EXEC, CURRENT_TIMESTAMP() AS TIME_EXEC FROM "&amp;I259),
IF(C259="Caracteres Especiais",+"SELECT '"&amp;UPPER(B259)&amp;"' AS TABELA, '"&amp;UPPER(C259)&amp;"' AS TIPOLOGIA_TESTE,'"&amp;D259&amp;"' AS TABELA_LT,'N/A' AS TABELA_SIMUL,'"&amp;F259&amp;"' AS CAMPO, "&amp;"'${ref_date}' AS REF_DATE, COUNT(*) AS NUM_REG, SUM(IF(REGEXP_REPLACE(TRIM(CAST(X."&amp;F259&amp;" AS STRING)),'[^a-zA-Z0-9_\\s]','') &lt;&gt;TRIM(CAST(X."&amp;F259&amp;" AS STRING)),1,0)) AS NUM_REG_DIF,'"&amp;MAX('ID1&amp;5'!K:K)+1&amp;"' AS ID_EXEC, CURRENT_TIMESTAMP() AS TIME_EXEC FROM "&amp;I259,
IF(C259="Missings",+"SELECT '"&amp;UPPER(B259)&amp;"' AS TABELA, '"&amp;UPPER(C259)&amp;"' AS TIPOLOGIA_TESTE,'"&amp;D259&amp;"' AS TABELA_LT,'N/A' AS TABELA_SIMUL,'"&amp;F259&amp;"' AS CAMPO, "&amp;"'${ref_date}' AS REF_DATE, COUNT(*) AS NUM_REG, SUM(IF(TRIM(CAST(X."&amp;F259&amp;" AS STRING)) IN ('0000-00-00','0001-01-01','9999-12-31','MISS','00000','99999999999','99999999999.00','99999999999.000000'),1,0)) AS NUM_REG_DIF,'"&amp;MAX('ID1&amp;5'!K:K)+1&amp;"' AS ID_EXEC, CURRENT_TIMESTAMP() AS TIME_EXEC FROM "&amp;I259,
IF(C259="Not applicable",+"SELECT '"&amp;UPPER(B259)&amp;"' AS TABELA, '"&amp;UPPER(C259)&amp;"' AS TIPOLOGIA_TESTE,'"&amp;D259&amp;"' AS TABELA_LT,'N/A' AS TABELA_SIMUL,'"&amp;F259&amp;"' AS CAMPO, "&amp;"'${ref_date}' AS REF_DATE, COUNT(*) AS NUM_REG, SUM(IF(TRIM(CAST(X."&amp;F259&amp;" AS STRING)) IN ('N/A','11111111111','11111111111.00','11111111111.000000','1111-11-11'),1,0)) AS NUM_REG_DIF,'"&amp;MAX('ID1&amp;5'!K:K)+1&amp;"' AS ID_EXEC, CURRENT_TIMESTAMP() AS TIME_EXEC FROM "&amp;I259,
IF(C259="Valores extremos",+"SELECT '"&amp;UPPER(B259)&amp;"' AS TABELA, '"&amp;UPPER(C259)&amp;"' AS TIPOLOGIA_TESTE,'"&amp;D259&amp;"' AS TABELA_LT,'N/A' AS TABELA_SIMUL,'"&amp;F259&amp;"' AS CAMPO, "&amp;"'${ref_date}' AS REF_DATE, CAST(MIN("&amp;F259&amp;") AS STRING) AS VALOR_MIN, CAST(MAX("&amp;F259&amp;") AS STRING) AS VALOR_MAX,'"&amp;MAX('ID1&amp;5'!K:K)+1&amp;"' AS ID_EXEC, CURRENT_TIMESTAMP() AS TIME_EXEC FROM "&amp;MID(I259,1,LEN(I259)-2)&amp;" AND CAST("&amp;F259&amp;"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TABELA_SIMUL,'FRBRNC_STTS_C19' AS CAMPO, '${ref_date}' AS REF_DATE, COUNT(*) AS NUM_REG, SUM(IF(COALESCE(CAST(X.FRBRNC_STTS_C19 AS STRING),'')&lt;&gt;COALESCE(CAST(Y.FRBRNC_STTS_C19_SIMUL AS STRING),'') OR (X.FRBRNC_STTS_C19 IS NULL AND Y.FRBRNC_STTS_C19_SIMUL IS NOT NULL ) OR (X.FRBRNC_STTS_C19 IS NOT NULL AND Y.FRBRNC_STTS_C19_SIMUL IS NULL),1,0)) AS NUM_REG_DIF,'1' AS ID_EXEC, CURRENT_TIMESTAMP() AS TIME_EXEC FROM (SELECT instrmnt_id, FRBRNC_STTS_C19 FROM CD_LOAN_TAPES_BCE.LT002_INSTRUMENT WHERE ref_date='${ref_date}' AND nome_perimetro='Individual Corporativo' AND segmento='ESTR' AND ambito='PM' AND entidade='00100')X INNER JOIN (SELECT instrmnt_id AS instrmnt_id_SIMUL, FRBRNC_STTS_C19 AS FRBRNC_STTS_C19_SIMUL FROM BU_LOANTAPE_WORK.LT002_INSTRUMENT WHERE ref_date='${ref_date}' AND nome_perimetro='Individual Corporativo' AND segmento='ESTR' AND ambito='PM' AND entidade='00100')Y ON X.INSTRMNT_ID=Y.INSTRMNT_ID_SIMUL</v>
      </c>
      <c r="M259" s="36" t="str">
        <f t="shared" si="4"/>
        <v>UNION ALL SELECT 'INSTRUMENT' AS TABELA, 'COERÊNCIA' AS TIPOLOGIA_TESTE,'CD_LOAN_TAPES_BCE.LT002_INSTRUMENT' AS TABELA_LT,'BU_LOANTAPE_WORK.LT002_INSTRUMENT' AS TABELA_SIMUL,'FRBRNC_STTS_C19' AS CAMPO, '${ref_date}' AS REF_DATE, COUNT(*) AS NUM_REG, SUM(IF(COALESCE(CAST(X.FRBRNC_STTS_C19 AS STRING),'')&lt;&gt;COALESCE(CAST(Y.FRBRNC_STTS_C19_SIMUL AS STRING),'') OR (X.FRBRNC_STTS_C19 IS NULL AND Y.FRBRNC_STTS_C19_SIMUL IS NOT NULL ) OR (X.FRBRNC_STTS_C19 IS NOT NULL AND Y.FRBRNC_STTS_C19_SIMUL IS NULL),1,0)) AS NUM_REG_DIF,'1' AS ID_EXEC, CURRENT_TIMESTAMP() AS TIME_EXEC FROM (SELECT instrmnt_id, FRBRNC_STTS_C19 FROM CD_LOAN_TAPES_BCE.LT002_INSTRUMENT WHERE ref_date='${ref_date}' AND nome_perimetro='Individual Corporativo' AND segmento='ESTR' AND ambito='PM' AND entidade='00100')X INNER JOIN (SELECT instrmnt_id AS instrmnt_id_SIMUL, FRBRNC_STTS_C19 AS FRBRNC_STTS_C19_SIMUL FROM BU_LOANTAPE_WORK.LT002_INSTRUMENT WHERE ref_date='${ref_date}' AND nome_perimetro='Individual Corporativo' AND segmento='ESTR' AND ambito='PM' AND entidade='00100')Y ON X.INSTRMNT_ID=Y.INSTRMNT_ID_SIMUL</v>
      </c>
      <c r="N259" s="38" t="s">
        <v>46</v>
      </c>
    </row>
    <row r="260" spans="2:14" hidden="1">
      <c r="B260" s="34" t="s">
        <v>126</v>
      </c>
      <c r="C260" s="34" t="s">
        <v>5</v>
      </c>
      <c r="D260" s="34" t="str">
        <f>+UPPER('0. Instruções'!$D$35&amp;"."&amp;VLOOKUP(B260,'0. Instruções'!$C$27:$D$32,2,FALSE))</f>
        <v>CD_LOAN_TAPES_BCE.LT002_INSTRUMENT</v>
      </c>
      <c r="E260" s="34" t="str">
        <f>+UPPER('0. Instruções'!$D$36&amp;"."&amp;VLOOKUP(B260,'0. Instruções'!$C$27:$E$32,3,FALSE))</f>
        <v>BU_LOANTAPE_WORK.LT002_INSTRUMENT</v>
      </c>
      <c r="F260" s="34" t="s">
        <v>542</v>
      </c>
      <c r="G260" s="34"/>
      <c r="H260" s="34" t="s">
        <v>645</v>
      </c>
      <c r="I260" s="34" t="str">
        <f>"(SELECT "&amp;VLOOKUP(B260,'0. Instruções'!$C$27:$G$32,4,FALSE)&amp;", "&amp;F260&amp;" FROM "&amp;D260&amp;" WHERE "&amp;'0. Instruções'!$D$42&amp;")X"</f>
        <v>(SELECT instrmnt_id, DT_FRBRNC_STTS_C19 FROM CD_LOAN_TAPES_BCE.LT002_INSTRUMENT WHERE ref_date='${ref_date}' AND nome_perimetro='Individual Corporativo' AND segmento='ESTR' AND ambito='PM' AND entidade='00100')X</v>
      </c>
      <c r="J260" s="34" t="str">
        <f>"(SELECT "&amp;VLOOKUP(B260,'0. Instruções'!$C$27:$G$32,4,FALSE)&amp;" AS "&amp;VLOOKUP(B260,'0. Instruções'!$C$27:$G$32,4,FALSE)&amp;"_SIMUL, "&amp;F260&amp;" AS "&amp;F260&amp;"_SIMUL FROM "&amp;E260&amp;" WHERE "&amp;'0. Instruções'!$D$43&amp;")Y"</f>
        <v>(SELECT instrmnt_id AS instrmnt_id_SIMUL, DT_FRBRNC_STTS_C19 AS DT_FRBRNC_STTS_C19_SIMUL FROM BU_LOANTAPE_WORK.LT002_INSTRUMENT WHERE ref_date='${ref_date}' AND nome_perimetro='Individual Corporativo' AND segmento='ESTR' AND ambito='PM' AND entidade='00100')Y</v>
      </c>
      <c r="K260" s="35" t="str">
        <f>+UPPER("ON X."&amp;VLOOKUP(B260,'0. Instruções'!$C$27:$G$32,4,FALSE)&amp;"=Y."&amp;VLOOKUP(B260,'0. Instruções'!$C$27:$G$32,4,FALSE)&amp;"_SIMUL")</f>
        <v>ON X.INSTRMNT_ID=Y.INSTRMNT_ID_SIMUL</v>
      </c>
      <c r="L260" s="35" t="str">
        <f>+IF(C260="Coerência", +IF(LEFT(G260,5)="FLOAT","SELECT '"&amp;UPPER(B260)&amp;"' AS TABELA, '"&amp;UPPER(C260)&amp;"' AS TIPOLOGIA_TESTE,'"&amp;D260&amp;"' AS TABELA_LT,'"&amp;E260&amp;"' AS TABELA_SIMUL,'"&amp;F260&amp;"' AS CAMPO, "&amp;"'${ref_date}' AS REF_DATE, COUNT(*) AS NUM_REG, SUM(IF((ABS(COALESCE(CAST(X."&amp;F260&amp;" AS DECIMAL(18,6)),0)-COALESCE(CAST(Y."&amp;F260&amp;"_SIMUL AS DECIMAL(18,6)),0))&gt;0.000001) OR (X."&amp;F260&amp;" IS NULL AND Y."&amp;F260&amp;"_SIMUL IS NOT NULL ) OR (X."&amp;F260&amp;" IS NOT NULL AND Y."&amp;F260&amp;"_SIMUL IS NULL),1,0)) AS NUM_REG_DIF,'"&amp;MAX('ID1&amp;5'!K:K)+1&amp;"' AS ID_EXEC, CURRENT_TIMESTAMP() AS TIME_EXEC FROM "&amp;I260&amp;" INNER JOIN "&amp;J260&amp;" "&amp;K260,"SELECT '"&amp;UPPER(B260)&amp;"' AS TABELA, '"&amp;UPPER(C260)&amp;"' AS TIPOLOGIA_TESTE,'"&amp;D260&amp;"' AS TABELA_LT,'"&amp;E260&amp;"' AS TABELA_SIMUL,'"&amp;F260&amp;"' AS CAMPO, "&amp;"'${ref_date}' AS REF_DATE, COUNT(*) AS NUM_REG, SUM(IF(COALESCE(CAST(X."&amp;F260&amp;" AS STRING),'')&lt;&gt;COALESCE(CAST(Y."&amp;F260&amp;"_SIMUL AS STRING),'') OR (X."&amp;F260&amp;" IS NULL AND Y."&amp;F260&amp;"_SIMUL IS NOT NULL ) OR (X."&amp;F260&amp;" IS NOT NULL AND Y."&amp;F260&amp;"_SIMUL IS NULL),1,0)) AS NUM_REG_DIF,'"&amp;MAX('ID1&amp;5'!L:L)+1&amp;"' AS ID_EXEC, CURRENT_TIMESTAMP() AS TIME_EXEC FROM "&amp;I260&amp;" INNER JOIN "&amp;J260&amp;" "&amp;K260),
IF(C260="Validade",+IF(G260="Code List","SELECT '"&amp;UPPER(B260)&amp;"' AS TABELA, '"&amp;UPPER(C260)&amp;"' AS TIPOLOGIA_TESTE,'"&amp;D260&amp;"' AS TABELA_LT,'N/A' AS TABELA_SIMUL,'"&amp;F260&amp;"' AS CAMPO, "&amp;"'${ref_date}' AS REF_DATE, COUNT(*) AS NUM_REG, SUM(IF(TRIM(CAST(X."&amp;F260&amp;" AS STRING))='' OR TRIM(CAST(X."&amp;F260&amp;" AS STRING)) IS NULL OR CAST(X."&amp;F260&amp;" AS STRING) NOT "&amp;H260&amp;",1,0)) AS NUM_REG_DIF,'"&amp;MAX('ID1&amp;5'!K:K)+1&amp;"' AS ID_EXEC, CURRENT_TIMESTAMP() AS TIME_EXEC FROM "&amp;I260,"SELECT '"&amp;UPPER(B260)&amp;"' AS TABELA, '"&amp;UPPER(C260)&amp;"' AS TIPOLOGIA_TESTE,'"&amp;D260&amp;"' AS TABELA_LT,'N/A' AS TABELA_SIMUL,'"&amp;F260&amp;"' AS CAMPO, "&amp;"'${ref_date}' AS REF_DATE, COUNT(*) AS NUM_REG, SUM(IF(TRIM(CAST(X."&amp;F260&amp;" AS STRING))='' OR TRIM(CAST(X."&amp;F260&amp;" AS STRING)) IS NULL,1,0)) AS NUM_REG_DIF,'"&amp;MAX('ID1&amp;5'!K:K)+1&amp;"' AS ID_EXEC, CURRENT_TIMESTAMP() AS TIME_EXEC FROM "&amp;I260),
IF(C260="Caracteres Especiais",+"SELECT '"&amp;UPPER(B260)&amp;"' AS TABELA, '"&amp;UPPER(C260)&amp;"' AS TIPOLOGIA_TESTE,'"&amp;D260&amp;"' AS TABELA_LT,'N/A' AS TABELA_SIMUL,'"&amp;F260&amp;"' AS CAMPO, "&amp;"'${ref_date}' AS REF_DATE, COUNT(*) AS NUM_REG, SUM(IF(REGEXP_REPLACE(TRIM(CAST(X."&amp;F260&amp;" AS STRING)),'[^a-zA-Z0-9_\\s]','') &lt;&gt;TRIM(CAST(X."&amp;F260&amp;" AS STRING)),1,0)) AS NUM_REG_DIF,'"&amp;MAX('ID1&amp;5'!K:K)+1&amp;"' AS ID_EXEC, CURRENT_TIMESTAMP() AS TIME_EXEC FROM "&amp;I260,
IF(C260="Missings",+"SELECT '"&amp;UPPER(B260)&amp;"' AS TABELA, '"&amp;UPPER(C260)&amp;"' AS TIPOLOGIA_TESTE,'"&amp;D260&amp;"' AS TABELA_LT,'N/A' AS TABELA_SIMUL,'"&amp;F260&amp;"' AS CAMPO, "&amp;"'${ref_date}' AS REF_DATE, COUNT(*) AS NUM_REG, SUM(IF(TRIM(CAST(X."&amp;F260&amp;" AS STRING)) IN ('0000-00-00','0001-01-01','9999-12-31','MISS','00000','99999999999','99999999999.00','99999999999.000000'),1,0)) AS NUM_REG_DIF,'"&amp;MAX('ID1&amp;5'!K:K)+1&amp;"' AS ID_EXEC, CURRENT_TIMESTAMP() AS TIME_EXEC FROM "&amp;I260,
IF(C260="Not applicable",+"SELECT '"&amp;UPPER(B260)&amp;"' AS TABELA, '"&amp;UPPER(C260)&amp;"' AS TIPOLOGIA_TESTE,'"&amp;D260&amp;"' AS TABELA_LT,'N/A' AS TABELA_SIMUL,'"&amp;F260&amp;"' AS CAMPO, "&amp;"'${ref_date}' AS REF_DATE, COUNT(*) AS NUM_REG, SUM(IF(TRIM(CAST(X."&amp;F260&amp;" AS STRING)) IN ('N/A','11111111111','11111111111.00','11111111111.000000','1111-11-11'),1,0)) AS NUM_REG_DIF,'"&amp;MAX('ID1&amp;5'!K:K)+1&amp;"' AS ID_EXEC, CURRENT_TIMESTAMP() AS TIME_EXEC FROM "&amp;I260,
IF(C260="Valores extremos",+"SELECT '"&amp;UPPER(B260)&amp;"' AS TABELA, '"&amp;UPPER(C260)&amp;"' AS TIPOLOGIA_TESTE,'"&amp;D260&amp;"' AS TABELA_LT,'N/A' AS TABELA_SIMUL,'"&amp;F260&amp;"' AS CAMPO, "&amp;"'${ref_date}' AS REF_DATE, CAST(MIN("&amp;F260&amp;") AS STRING) AS VALOR_MIN, CAST(MAX("&amp;F260&amp;") AS STRING) AS VALOR_MAX,'"&amp;MAX('ID1&amp;5'!K:K)+1&amp;"' AS ID_EXEC, CURRENT_TIMESTAMP() AS TIME_EXEC FROM "&amp;MID(I260,1,LEN(I260)-2)&amp;" AND CAST("&amp;F260&amp;"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TABELA_SIMUL,'DT_FRBRNC_STTS_C19' AS CAMPO, '${ref_date}' AS REF_DATE, COUNT(*) AS NUM_REG, SUM(IF(COALESCE(CAST(X.DT_FRBRNC_STTS_C19 AS STRING),'')&lt;&gt;COALESCE(CAST(Y.DT_FRBRNC_STTS_C19_SIMUL AS STRING),'') OR (X.DT_FRBRNC_STTS_C19 IS NULL AND Y.DT_FRBRNC_STTS_C19_SIMUL IS NOT NULL ) OR (X.DT_FRBRNC_STTS_C19 IS NOT NULL AND Y.DT_FRBRNC_STTS_C19_SIMUL IS NULL),1,0)) AS NUM_REG_DIF,'1' AS ID_EXEC, CURRENT_TIMESTAMP() AS TIME_EXEC FROM (SELECT instrmnt_id, DT_FRBRNC_STTS_C19 FROM CD_LOAN_TAPES_BCE.LT002_INSTRUMENT WHERE ref_date='${ref_date}' AND nome_perimetro='Individual Corporativo' AND segmento='ESTR' AND ambito='PM' AND entidade='00100')X INNER JOIN (SELECT instrmnt_id AS instrmnt_id_SIMUL, DT_FRBRNC_STTS_C19 AS DT_FRBRNC_STTS_C19_SIMUL FROM BU_LOANTAPE_WORK.LT002_INSTRUMENT WHERE ref_date='${ref_date}' AND nome_perimetro='Individual Corporativo' AND segmento='ESTR' AND ambito='PM' AND entidade='00100')Y ON X.INSTRMNT_ID=Y.INSTRMNT_ID_SIMUL</v>
      </c>
      <c r="M260" s="36" t="str">
        <f t="shared" si="4"/>
        <v>UNION ALL SELECT 'INSTRUMENT' AS TABELA, 'COERÊNCIA' AS TIPOLOGIA_TESTE,'CD_LOAN_TAPES_BCE.LT002_INSTRUMENT' AS TABELA_LT,'BU_LOANTAPE_WORK.LT002_INSTRUMENT' AS TABELA_SIMUL,'DT_FRBRNC_STTS_C19' AS CAMPO, '${ref_date}' AS REF_DATE, COUNT(*) AS NUM_REG, SUM(IF(COALESCE(CAST(X.DT_FRBRNC_STTS_C19 AS STRING),'')&lt;&gt;COALESCE(CAST(Y.DT_FRBRNC_STTS_C19_SIMUL AS STRING),'') OR (X.DT_FRBRNC_STTS_C19 IS NULL AND Y.DT_FRBRNC_STTS_C19_SIMUL IS NOT NULL ) OR (X.DT_FRBRNC_STTS_C19 IS NOT NULL AND Y.DT_FRBRNC_STTS_C19_SIMUL IS NULL),1,0)) AS NUM_REG_DIF,'1' AS ID_EXEC, CURRENT_TIMESTAMP() AS TIME_EXEC FROM (SELECT instrmnt_id, DT_FRBRNC_STTS_C19 FROM CD_LOAN_TAPES_BCE.LT002_INSTRUMENT WHERE ref_date='${ref_date}' AND nome_perimetro='Individual Corporativo' AND segmento='ESTR' AND ambito='PM' AND entidade='00100')X INNER JOIN (SELECT instrmnt_id AS instrmnt_id_SIMUL, DT_FRBRNC_STTS_C19 AS DT_FRBRNC_STTS_C19_SIMUL FROM BU_LOANTAPE_WORK.LT002_INSTRUMENT WHERE ref_date='${ref_date}' AND nome_perimetro='Individual Corporativo' AND segmento='ESTR' AND ambito='PM' AND entidade='00100')Y ON X.INSTRMNT_ID=Y.INSTRMNT_ID_SIMUL</v>
      </c>
      <c r="N260" s="38" t="s">
        <v>46</v>
      </c>
    </row>
    <row r="261" spans="2:14" hidden="1">
      <c r="B261" s="34" t="s">
        <v>126</v>
      </c>
      <c r="C261" s="34" t="s">
        <v>5</v>
      </c>
      <c r="D261" s="34" t="str">
        <f>+UPPER('0. Instruções'!$D$35&amp;"."&amp;VLOOKUP(B261,'0. Instruções'!$C$27:$D$32,2,FALSE))</f>
        <v>CD_LOAN_TAPES_BCE.LT002_INSTRUMENT</v>
      </c>
      <c r="E261" s="34" t="str">
        <f>+UPPER('0. Instruções'!$D$36&amp;"."&amp;VLOOKUP(B261,'0. Instruções'!$C$27:$E$32,3,FALSE))</f>
        <v>BU_LOANTAPE_WORK.LT002_INSTRUMENT</v>
      </c>
      <c r="F261" s="34" t="s">
        <v>543</v>
      </c>
      <c r="G261" s="34"/>
      <c r="H261" s="34" t="s">
        <v>645</v>
      </c>
      <c r="I261" s="34" t="str">
        <f>"(SELECT "&amp;VLOOKUP(B261,'0. Instruções'!$C$27:$G$32,4,FALSE)&amp;", "&amp;F261&amp;" FROM "&amp;D261&amp;" WHERE "&amp;'0. Instruções'!$D$42&amp;")X"</f>
        <v>(SELECT instrmnt_id, DT_FRBRNC_STTS_PRVS_C19 FROM CD_LOAN_TAPES_BCE.LT002_INSTRUMENT WHERE ref_date='${ref_date}' AND nome_perimetro='Individual Corporativo' AND segmento='ESTR' AND ambito='PM' AND entidade='00100')X</v>
      </c>
      <c r="J261" s="34" t="str">
        <f>"(SELECT "&amp;VLOOKUP(B261,'0. Instruções'!$C$27:$G$32,4,FALSE)&amp;" AS "&amp;VLOOKUP(B261,'0. Instruções'!$C$27:$G$32,4,FALSE)&amp;"_SIMUL, "&amp;F261&amp;" AS "&amp;F261&amp;"_SIMUL FROM "&amp;E261&amp;" WHERE "&amp;'0. Instruções'!$D$43&amp;")Y"</f>
        <v>(SELECT instrmnt_id AS instrmnt_id_SIMUL, DT_FRBRNC_STTS_PRVS_C19 AS DT_FRBRNC_STTS_PRVS_C19_SIMUL FROM BU_LOANTAPE_WORK.LT002_INSTRUMENT WHERE ref_date='${ref_date}' AND nome_perimetro='Individual Corporativo' AND segmento='ESTR' AND ambito='PM' AND entidade='00100')Y</v>
      </c>
      <c r="K261" s="35" t="str">
        <f>+UPPER("ON X."&amp;VLOOKUP(B261,'0. Instruções'!$C$27:$G$32,4,FALSE)&amp;"=Y."&amp;VLOOKUP(B261,'0. Instruções'!$C$27:$G$32,4,FALSE)&amp;"_SIMUL")</f>
        <v>ON X.INSTRMNT_ID=Y.INSTRMNT_ID_SIMUL</v>
      </c>
      <c r="L261" s="35" t="str">
        <f>+IF(C261="Coerência", +IF(LEFT(G261,5)="FLOAT","SELECT '"&amp;UPPER(B261)&amp;"' AS TABELA, '"&amp;UPPER(C261)&amp;"' AS TIPOLOGIA_TESTE,'"&amp;D261&amp;"' AS TABELA_LT,'"&amp;E261&amp;"' AS TABELA_SIMUL,'"&amp;F261&amp;"' AS CAMPO, "&amp;"'${ref_date}' AS REF_DATE, COUNT(*) AS NUM_REG, SUM(IF((ABS(COALESCE(CAST(X."&amp;F261&amp;" AS DECIMAL(18,6)),0)-COALESCE(CAST(Y."&amp;F261&amp;"_SIMUL AS DECIMAL(18,6)),0))&gt;0.000001) OR (X."&amp;F261&amp;" IS NULL AND Y."&amp;F261&amp;"_SIMUL IS NOT NULL ) OR (X."&amp;F261&amp;" IS NOT NULL AND Y."&amp;F261&amp;"_SIMUL IS NULL),1,0)) AS NUM_REG_DIF,'"&amp;MAX('ID1&amp;5'!K:K)+1&amp;"' AS ID_EXEC, CURRENT_TIMESTAMP() AS TIME_EXEC FROM "&amp;I261&amp;" INNER JOIN "&amp;J261&amp;" "&amp;K261,"SELECT '"&amp;UPPER(B261)&amp;"' AS TABELA, '"&amp;UPPER(C261)&amp;"' AS TIPOLOGIA_TESTE,'"&amp;D261&amp;"' AS TABELA_LT,'"&amp;E261&amp;"' AS TABELA_SIMUL,'"&amp;F261&amp;"' AS CAMPO, "&amp;"'${ref_date}' AS REF_DATE, COUNT(*) AS NUM_REG, SUM(IF(COALESCE(CAST(X."&amp;F261&amp;" AS STRING),'')&lt;&gt;COALESCE(CAST(Y."&amp;F261&amp;"_SIMUL AS STRING),'') OR (X."&amp;F261&amp;" IS NULL AND Y."&amp;F261&amp;"_SIMUL IS NOT NULL ) OR (X."&amp;F261&amp;" IS NOT NULL AND Y."&amp;F261&amp;"_SIMUL IS NULL),1,0)) AS NUM_REG_DIF,'"&amp;MAX('ID1&amp;5'!L:L)+1&amp;"' AS ID_EXEC, CURRENT_TIMESTAMP() AS TIME_EXEC FROM "&amp;I261&amp;" INNER JOIN "&amp;J261&amp;" "&amp;K261),
IF(C261="Validade",+IF(G261="Code List","SELECT '"&amp;UPPER(B261)&amp;"' AS TABELA, '"&amp;UPPER(C261)&amp;"' AS TIPOLOGIA_TESTE,'"&amp;D261&amp;"' AS TABELA_LT,'N/A' AS TABELA_SIMUL,'"&amp;F261&amp;"' AS CAMPO, "&amp;"'${ref_date}' AS REF_DATE, COUNT(*) AS NUM_REG, SUM(IF(TRIM(CAST(X."&amp;F261&amp;" AS STRING))='' OR TRIM(CAST(X."&amp;F261&amp;" AS STRING)) IS NULL OR CAST(X."&amp;F261&amp;" AS STRING) NOT "&amp;H261&amp;",1,0)) AS NUM_REG_DIF,'"&amp;MAX('ID1&amp;5'!K:K)+1&amp;"' AS ID_EXEC, CURRENT_TIMESTAMP() AS TIME_EXEC FROM "&amp;I261,"SELECT '"&amp;UPPER(B261)&amp;"' AS TABELA, '"&amp;UPPER(C261)&amp;"' AS TIPOLOGIA_TESTE,'"&amp;D261&amp;"' AS TABELA_LT,'N/A' AS TABELA_SIMUL,'"&amp;F261&amp;"' AS CAMPO, "&amp;"'${ref_date}' AS REF_DATE, COUNT(*) AS NUM_REG, SUM(IF(TRIM(CAST(X."&amp;F261&amp;" AS STRING))='' OR TRIM(CAST(X."&amp;F261&amp;" AS STRING)) IS NULL,1,0)) AS NUM_REG_DIF,'"&amp;MAX('ID1&amp;5'!K:K)+1&amp;"' AS ID_EXEC, CURRENT_TIMESTAMP() AS TIME_EXEC FROM "&amp;I261),
IF(C261="Caracteres Especiais",+"SELECT '"&amp;UPPER(B261)&amp;"' AS TABELA, '"&amp;UPPER(C261)&amp;"' AS TIPOLOGIA_TESTE,'"&amp;D261&amp;"' AS TABELA_LT,'N/A' AS TABELA_SIMUL,'"&amp;F261&amp;"' AS CAMPO, "&amp;"'${ref_date}' AS REF_DATE, COUNT(*) AS NUM_REG, SUM(IF(REGEXP_REPLACE(TRIM(CAST(X."&amp;F261&amp;" AS STRING)),'[^a-zA-Z0-9_\\s]','') &lt;&gt;TRIM(CAST(X."&amp;F261&amp;" AS STRING)),1,0)) AS NUM_REG_DIF,'"&amp;MAX('ID1&amp;5'!K:K)+1&amp;"' AS ID_EXEC, CURRENT_TIMESTAMP() AS TIME_EXEC FROM "&amp;I261,
IF(C261="Missings",+"SELECT '"&amp;UPPER(B261)&amp;"' AS TABELA, '"&amp;UPPER(C261)&amp;"' AS TIPOLOGIA_TESTE,'"&amp;D261&amp;"' AS TABELA_LT,'N/A' AS TABELA_SIMUL,'"&amp;F261&amp;"' AS CAMPO, "&amp;"'${ref_date}' AS REF_DATE, COUNT(*) AS NUM_REG, SUM(IF(TRIM(CAST(X."&amp;F261&amp;" AS STRING)) IN ('0000-00-00','0001-01-01','9999-12-31','MISS','00000','99999999999','99999999999.00','99999999999.000000'),1,0)) AS NUM_REG_DIF,'"&amp;MAX('ID1&amp;5'!K:K)+1&amp;"' AS ID_EXEC, CURRENT_TIMESTAMP() AS TIME_EXEC FROM "&amp;I261,
IF(C261="Not applicable",+"SELECT '"&amp;UPPER(B261)&amp;"' AS TABELA, '"&amp;UPPER(C261)&amp;"' AS TIPOLOGIA_TESTE,'"&amp;D261&amp;"' AS TABELA_LT,'N/A' AS TABELA_SIMUL,'"&amp;F261&amp;"' AS CAMPO, "&amp;"'${ref_date}' AS REF_DATE, COUNT(*) AS NUM_REG, SUM(IF(TRIM(CAST(X."&amp;F261&amp;" AS STRING)) IN ('N/A','11111111111','11111111111.00','11111111111.000000','1111-11-11'),1,0)) AS NUM_REG_DIF,'"&amp;MAX('ID1&amp;5'!K:K)+1&amp;"' AS ID_EXEC, CURRENT_TIMESTAMP() AS TIME_EXEC FROM "&amp;I261,
IF(C261="Valores extremos",+"SELECT '"&amp;UPPER(B261)&amp;"' AS TABELA, '"&amp;UPPER(C261)&amp;"' AS TIPOLOGIA_TESTE,'"&amp;D261&amp;"' AS TABELA_LT,'N/A' AS TABELA_SIMUL,'"&amp;F261&amp;"' AS CAMPO, "&amp;"'${ref_date}' AS REF_DATE, CAST(MIN("&amp;F261&amp;") AS STRING) AS VALOR_MIN, CAST(MAX("&amp;F261&amp;") AS STRING) AS VALOR_MAX,'"&amp;MAX('ID1&amp;5'!K:K)+1&amp;"' AS ID_EXEC, CURRENT_TIMESTAMP() AS TIME_EXEC FROM "&amp;MID(I261,1,LEN(I261)-2)&amp;" AND CAST("&amp;F261&amp;"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TABELA_SIMUL,'DT_FRBRNC_STTS_PRVS_C19' AS CAMPO, '${ref_date}' AS REF_DATE, COUNT(*) AS NUM_REG, SUM(IF(COALESCE(CAST(X.DT_FRBRNC_STTS_PRVS_C19 AS STRING),'')&lt;&gt;COALESCE(CAST(Y.DT_FRBRNC_STTS_PRVS_C19_SIMUL AS STRING),'') OR (X.DT_FRBRNC_STTS_PRVS_C19 IS NULL AND Y.DT_FRBRNC_STTS_PRVS_C19_SIMUL IS NOT NULL ) OR (X.DT_FRBRNC_STTS_PRVS_C19 IS NOT NULL AND Y.DT_FRBRNC_STTS_PRVS_C19_SIMUL IS NULL),1,0)) AS NUM_REG_DIF,'1' AS ID_EXEC, CURRENT_TIMESTAMP() AS TIME_EXEC FROM (SELECT instrmnt_id, DT_FRBRNC_STTS_PRVS_C19 FROM CD_LOAN_TAPES_BCE.LT002_INSTRUMENT WHERE ref_date='${ref_date}' AND nome_perimetro='Individual Corporativo' AND segmento='ESTR' AND ambito='PM' AND entidade='00100')X INNER JOIN (SELECT instrmnt_id AS instrmnt_id_SIMUL, DT_FRBRNC_STTS_PRVS_C19 AS DT_FRBRNC_STTS_PRVS_C19_SIMUL FROM BU_LOANTAPE_WORK.LT002_INSTRUMENT WHERE ref_date='${ref_date}' AND nome_perimetro='Individual Corporativo' AND segmento='ESTR' AND ambito='PM' AND entidade='00100')Y ON X.INSTRMNT_ID=Y.INSTRMNT_ID_SIMUL</v>
      </c>
      <c r="M261" s="36" t="str">
        <f t="shared" si="4"/>
        <v>UNION ALL SELECT 'INSTRUMENT' AS TABELA, 'COERÊNCIA' AS TIPOLOGIA_TESTE,'CD_LOAN_TAPES_BCE.LT002_INSTRUMENT' AS TABELA_LT,'BU_LOANTAPE_WORK.LT002_INSTRUMENT' AS TABELA_SIMUL,'DT_FRBRNC_STTS_PRVS_C19' AS CAMPO, '${ref_date}' AS REF_DATE, COUNT(*) AS NUM_REG, SUM(IF(COALESCE(CAST(X.DT_FRBRNC_STTS_PRVS_C19 AS STRING),'')&lt;&gt;COALESCE(CAST(Y.DT_FRBRNC_STTS_PRVS_C19_SIMUL AS STRING),'') OR (X.DT_FRBRNC_STTS_PRVS_C19 IS NULL AND Y.DT_FRBRNC_STTS_PRVS_C19_SIMUL IS NOT NULL ) OR (X.DT_FRBRNC_STTS_PRVS_C19 IS NOT NULL AND Y.DT_FRBRNC_STTS_PRVS_C19_SIMUL IS NULL),1,0)) AS NUM_REG_DIF,'1' AS ID_EXEC, CURRENT_TIMESTAMP() AS TIME_EXEC FROM (SELECT instrmnt_id, DT_FRBRNC_STTS_PRVS_C19 FROM CD_LOAN_TAPES_BCE.LT002_INSTRUMENT WHERE ref_date='${ref_date}' AND nome_perimetro='Individual Corporativo' AND segmento='ESTR' AND ambito='PM' AND entidade='00100')X INNER JOIN (SELECT instrmnt_id AS instrmnt_id_SIMUL, DT_FRBRNC_STTS_PRVS_C19 AS DT_FRBRNC_STTS_PRVS_C19_SIMUL FROM BU_LOANTAPE_WORK.LT002_INSTRUMENT WHERE ref_date='${ref_date}' AND nome_perimetro='Individual Corporativo' AND segmento='ESTR' AND ambito='PM' AND entidade='00100')Y ON X.INSTRMNT_ID=Y.INSTRMNT_ID_SIMUL</v>
      </c>
      <c r="N261" s="38" t="s">
        <v>46</v>
      </c>
    </row>
    <row r="262" spans="2:14" hidden="1">
      <c r="B262" s="34" t="s">
        <v>126</v>
      </c>
      <c r="C262" s="34" t="s">
        <v>5</v>
      </c>
      <c r="D262" s="34" t="str">
        <f>+UPPER('0. Instruções'!$D$35&amp;"."&amp;VLOOKUP(B262,'0. Instruções'!$C$27:$D$32,2,FALSE))</f>
        <v>CD_LOAN_TAPES_BCE.LT002_INSTRUMENT</v>
      </c>
      <c r="E262" s="34" t="str">
        <f>+UPPER('0. Instruções'!$D$36&amp;"."&amp;VLOOKUP(B262,'0. Instruções'!$C$27:$E$32,3,FALSE))</f>
        <v>BU_LOANTAPE_WORK.LT002_INSTRUMENT</v>
      </c>
      <c r="F262" s="34" t="s">
        <v>544</v>
      </c>
      <c r="G262" s="34"/>
      <c r="H262" s="34" t="s">
        <v>649</v>
      </c>
      <c r="I262" s="34" t="str">
        <f>"(SELECT "&amp;VLOOKUP(B262,'0. Instruções'!$C$27:$G$32,4,FALSE)&amp;", "&amp;F262&amp;" FROM "&amp;D262&amp;" WHERE "&amp;'0. Instruções'!$D$42&amp;")X"</f>
        <v>(SELECT instrmnt_id, MTRTY_LTST_FRBRNC_MSR_C19 FROM CD_LOAN_TAPES_BCE.LT002_INSTRUMENT WHERE ref_date='${ref_date}' AND nome_perimetro='Individual Corporativo' AND segmento='ESTR' AND ambito='PM' AND entidade='00100')X</v>
      </c>
      <c r="J262" s="34" t="str">
        <f>"(SELECT "&amp;VLOOKUP(B262,'0. Instruções'!$C$27:$G$32,4,FALSE)&amp;" AS "&amp;VLOOKUP(B262,'0. Instruções'!$C$27:$G$32,4,FALSE)&amp;"_SIMUL, "&amp;F262&amp;" AS "&amp;F262&amp;"_SIMUL FROM "&amp;E262&amp;" WHERE "&amp;'0. Instruções'!$D$43&amp;")Y"</f>
        <v>(SELECT instrmnt_id AS instrmnt_id_SIMUL, MTRTY_LTST_FRBRNC_MSR_C19 AS MTRTY_LTST_FRBRNC_MSR_C19_SIMUL FROM BU_LOANTAPE_WORK.LT002_INSTRUMENT WHERE ref_date='${ref_date}' AND nome_perimetro='Individual Corporativo' AND segmento='ESTR' AND ambito='PM' AND entidade='00100')Y</v>
      </c>
      <c r="K262" s="35" t="str">
        <f>+UPPER("ON X."&amp;VLOOKUP(B262,'0. Instruções'!$C$27:$G$32,4,FALSE)&amp;"=Y."&amp;VLOOKUP(B262,'0. Instruções'!$C$27:$G$32,4,FALSE)&amp;"_SIMUL")</f>
        <v>ON X.INSTRMNT_ID=Y.INSTRMNT_ID_SIMUL</v>
      </c>
      <c r="L262" s="35" t="str">
        <f>+IF(C262="Coerência", +IF(LEFT(G262,5)="FLOAT","SELECT '"&amp;UPPER(B262)&amp;"' AS TABELA, '"&amp;UPPER(C262)&amp;"' AS TIPOLOGIA_TESTE,'"&amp;D262&amp;"' AS TABELA_LT,'"&amp;E262&amp;"' AS TABELA_SIMUL,'"&amp;F262&amp;"' AS CAMPO, "&amp;"'${ref_date}' AS REF_DATE, COUNT(*) AS NUM_REG, SUM(IF((ABS(COALESCE(CAST(X."&amp;F262&amp;" AS DECIMAL(18,6)),0)-COALESCE(CAST(Y."&amp;F262&amp;"_SIMUL AS DECIMAL(18,6)),0))&gt;0.000001) OR (X."&amp;F262&amp;" IS NULL AND Y."&amp;F262&amp;"_SIMUL IS NOT NULL ) OR (X."&amp;F262&amp;" IS NOT NULL AND Y."&amp;F262&amp;"_SIMUL IS NULL),1,0)) AS NUM_REG_DIF,'"&amp;MAX('ID1&amp;5'!K:K)+1&amp;"' AS ID_EXEC, CURRENT_TIMESTAMP() AS TIME_EXEC FROM "&amp;I262&amp;" INNER JOIN "&amp;J262&amp;" "&amp;K262,"SELECT '"&amp;UPPER(B262)&amp;"' AS TABELA, '"&amp;UPPER(C262)&amp;"' AS TIPOLOGIA_TESTE,'"&amp;D262&amp;"' AS TABELA_LT,'"&amp;E262&amp;"' AS TABELA_SIMUL,'"&amp;F262&amp;"' AS CAMPO, "&amp;"'${ref_date}' AS REF_DATE, COUNT(*) AS NUM_REG, SUM(IF(COALESCE(CAST(X."&amp;F262&amp;" AS STRING),'')&lt;&gt;COALESCE(CAST(Y."&amp;F262&amp;"_SIMUL AS STRING),'') OR (X."&amp;F262&amp;" IS NULL AND Y."&amp;F262&amp;"_SIMUL IS NOT NULL ) OR (X."&amp;F262&amp;" IS NOT NULL AND Y."&amp;F262&amp;"_SIMUL IS NULL),1,0)) AS NUM_REG_DIF,'"&amp;MAX('ID1&amp;5'!L:L)+1&amp;"' AS ID_EXEC, CURRENT_TIMESTAMP() AS TIME_EXEC FROM "&amp;I262&amp;" INNER JOIN "&amp;J262&amp;" "&amp;K262),
IF(C262="Validade",+IF(G262="Code List","SELECT '"&amp;UPPER(B262)&amp;"' AS TABELA, '"&amp;UPPER(C262)&amp;"' AS TIPOLOGIA_TESTE,'"&amp;D262&amp;"' AS TABELA_LT,'N/A' AS TABELA_SIMUL,'"&amp;F262&amp;"' AS CAMPO, "&amp;"'${ref_date}' AS REF_DATE, COUNT(*) AS NUM_REG, SUM(IF(TRIM(CAST(X."&amp;F262&amp;" AS STRING))='' OR TRIM(CAST(X."&amp;F262&amp;" AS STRING)) IS NULL OR CAST(X."&amp;F262&amp;" AS STRING) NOT "&amp;H262&amp;",1,0)) AS NUM_REG_DIF,'"&amp;MAX('ID1&amp;5'!K:K)+1&amp;"' AS ID_EXEC, CURRENT_TIMESTAMP() AS TIME_EXEC FROM "&amp;I262,"SELECT '"&amp;UPPER(B262)&amp;"' AS TABELA, '"&amp;UPPER(C262)&amp;"' AS TIPOLOGIA_TESTE,'"&amp;D262&amp;"' AS TABELA_LT,'N/A' AS TABELA_SIMUL,'"&amp;F262&amp;"' AS CAMPO, "&amp;"'${ref_date}' AS REF_DATE, COUNT(*) AS NUM_REG, SUM(IF(TRIM(CAST(X."&amp;F262&amp;" AS STRING))='' OR TRIM(CAST(X."&amp;F262&amp;" AS STRING)) IS NULL,1,0)) AS NUM_REG_DIF,'"&amp;MAX('ID1&amp;5'!K:K)+1&amp;"' AS ID_EXEC, CURRENT_TIMESTAMP() AS TIME_EXEC FROM "&amp;I262),
IF(C262="Caracteres Especiais",+"SELECT '"&amp;UPPER(B262)&amp;"' AS TABELA, '"&amp;UPPER(C262)&amp;"' AS TIPOLOGIA_TESTE,'"&amp;D262&amp;"' AS TABELA_LT,'N/A' AS TABELA_SIMUL,'"&amp;F262&amp;"' AS CAMPO, "&amp;"'${ref_date}' AS REF_DATE, COUNT(*) AS NUM_REG, SUM(IF(REGEXP_REPLACE(TRIM(CAST(X."&amp;F262&amp;" AS STRING)),'[^a-zA-Z0-9_\\s]','') &lt;&gt;TRIM(CAST(X."&amp;F262&amp;" AS STRING)),1,0)) AS NUM_REG_DIF,'"&amp;MAX('ID1&amp;5'!K:K)+1&amp;"' AS ID_EXEC, CURRENT_TIMESTAMP() AS TIME_EXEC FROM "&amp;I262,
IF(C262="Missings",+"SELECT '"&amp;UPPER(B262)&amp;"' AS TABELA, '"&amp;UPPER(C262)&amp;"' AS TIPOLOGIA_TESTE,'"&amp;D262&amp;"' AS TABELA_LT,'N/A' AS TABELA_SIMUL,'"&amp;F262&amp;"' AS CAMPO, "&amp;"'${ref_date}' AS REF_DATE, COUNT(*) AS NUM_REG, SUM(IF(TRIM(CAST(X."&amp;F262&amp;" AS STRING)) IN ('0000-00-00','0001-01-01','9999-12-31','MISS','00000','99999999999','99999999999.00','99999999999.000000'),1,0)) AS NUM_REG_DIF,'"&amp;MAX('ID1&amp;5'!K:K)+1&amp;"' AS ID_EXEC, CURRENT_TIMESTAMP() AS TIME_EXEC FROM "&amp;I262,
IF(C262="Not applicable",+"SELECT '"&amp;UPPER(B262)&amp;"' AS TABELA, '"&amp;UPPER(C262)&amp;"' AS TIPOLOGIA_TESTE,'"&amp;D262&amp;"' AS TABELA_LT,'N/A' AS TABELA_SIMUL,'"&amp;F262&amp;"' AS CAMPO, "&amp;"'${ref_date}' AS REF_DATE, COUNT(*) AS NUM_REG, SUM(IF(TRIM(CAST(X."&amp;F262&amp;" AS STRING)) IN ('N/A','11111111111','11111111111.00','11111111111.000000','1111-11-11'),1,0)) AS NUM_REG_DIF,'"&amp;MAX('ID1&amp;5'!K:K)+1&amp;"' AS ID_EXEC, CURRENT_TIMESTAMP() AS TIME_EXEC FROM "&amp;I262,
IF(C262="Valores extremos",+"SELECT '"&amp;UPPER(B262)&amp;"' AS TABELA, '"&amp;UPPER(C262)&amp;"' AS TIPOLOGIA_TESTE,'"&amp;D262&amp;"' AS TABELA_LT,'N/A' AS TABELA_SIMUL,'"&amp;F262&amp;"' AS CAMPO, "&amp;"'${ref_date}' AS REF_DATE, CAST(MIN("&amp;F262&amp;") AS STRING) AS VALOR_MIN, CAST(MAX("&amp;F262&amp;") AS STRING) AS VALOR_MAX,'"&amp;MAX('ID1&amp;5'!K:K)+1&amp;"' AS ID_EXEC, CURRENT_TIMESTAMP() AS TIME_EXEC FROM "&amp;MID(I262,1,LEN(I262)-2)&amp;" AND CAST("&amp;F262&amp;"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TABELA_SIMUL,'MTRTY_LTST_FRBRNC_MSR_C19' AS CAMPO, '${ref_date}' AS REF_DATE, COUNT(*) AS NUM_REG, SUM(IF(COALESCE(CAST(X.MTRTY_LTST_FRBRNC_MSR_C19 AS STRING),'')&lt;&gt;COALESCE(CAST(Y.MTRTY_LTST_FRBRNC_MSR_C19_SIMUL AS STRING),'') OR (X.MTRTY_LTST_FRBRNC_MSR_C19 IS NULL AND Y.MTRTY_LTST_FRBRNC_MSR_C19_SIMUL IS NOT NULL ) OR (X.MTRTY_LTST_FRBRNC_MSR_C19 IS NOT NULL AND Y.MTRTY_LTST_FRBRNC_MSR_C19_SIMUL IS NULL),1,0)) AS NUM_REG_DIF,'1' AS ID_EXEC, CURRENT_TIMESTAMP() AS TIME_EXEC FROM (SELECT instrmnt_id, MTRTY_LTST_FRBRNC_MSR_C19 FROM CD_LOAN_TAPES_BCE.LT002_INSTRUMENT WHERE ref_date='${ref_date}' AND nome_perimetro='Individual Corporativo' AND segmento='ESTR' AND ambito='PM' AND entidade='00100')X INNER JOIN (SELECT instrmnt_id AS instrmnt_id_SIMUL, MTRTY_LTST_FRBRNC_MSR_C19 AS MTRTY_LTST_FRBRNC_MSR_C19_SIMUL FROM BU_LOANTAPE_WORK.LT002_INSTRUMENT WHERE ref_date='${ref_date}' AND nome_perimetro='Individual Corporativo' AND segmento='ESTR' AND ambito='PM' AND entidade='00100')Y ON X.INSTRMNT_ID=Y.INSTRMNT_ID_SIMUL</v>
      </c>
      <c r="M262" s="36" t="str">
        <f t="shared" si="4"/>
        <v>UNION ALL SELECT 'INSTRUMENT' AS TABELA, 'COERÊNCIA' AS TIPOLOGIA_TESTE,'CD_LOAN_TAPES_BCE.LT002_INSTRUMENT' AS TABELA_LT,'BU_LOANTAPE_WORK.LT002_INSTRUMENT' AS TABELA_SIMUL,'MTRTY_LTST_FRBRNC_MSR_C19' AS CAMPO, '${ref_date}' AS REF_DATE, COUNT(*) AS NUM_REG, SUM(IF(COALESCE(CAST(X.MTRTY_LTST_FRBRNC_MSR_C19 AS STRING),'')&lt;&gt;COALESCE(CAST(Y.MTRTY_LTST_FRBRNC_MSR_C19_SIMUL AS STRING),'') OR (X.MTRTY_LTST_FRBRNC_MSR_C19 IS NULL AND Y.MTRTY_LTST_FRBRNC_MSR_C19_SIMUL IS NOT NULL ) OR (X.MTRTY_LTST_FRBRNC_MSR_C19 IS NOT NULL AND Y.MTRTY_LTST_FRBRNC_MSR_C19_SIMUL IS NULL),1,0)) AS NUM_REG_DIF,'1' AS ID_EXEC, CURRENT_TIMESTAMP() AS TIME_EXEC FROM (SELECT instrmnt_id, MTRTY_LTST_FRBRNC_MSR_C19 FROM CD_LOAN_TAPES_BCE.LT002_INSTRUMENT WHERE ref_date='${ref_date}' AND nome_perimetro='Individual Corporativo' AND segmento='ESTR' AND ambito='PM' AND entidade='00100')X INNER JOIN (SELECT instrmnt_id AS instrmnt_id_SIMUL, MTRTY_LTST_FRBRNC_MSR_C19 AS MTRTY_LTST_FRBRNC_MSR_C19_SIMUL FROM BU_LOANTAPE_WORK.LT002_INSTRUMENT WHERE ref_date='${ref_date}' AND nome_perimetro='Individual Corporativo' AND segmento='ESTR' AND ambito='PM' AND entidade='00100')Y ON X.INSTRMNT_ID=Y.INSTRMNT_ID_SIMUL</v>
      </c>
      <c r="N262" s="38" t="s">
        <v>46</v>
      </c>
    </row>
    <row r="263" spans="2:14" hidden="1">
      <c r="B263" s="34" t="s">
        <v>126</v>
      </c>
      <c r="C263" s="34" t="s">
        <v>5</v>
      </c>
      <c r="D263" s="34" t="str">
        <f>+UPPER('0. Instruções'!$D$35&amp;"."&amp;VLOOKUP(B263,'0. Instruções'!$C$27:$D$32,2,FALSE))</f>
        <v>CD_LOAN_TAPES_BCE.LT002_INSTRUMENT</v>
      </c>
      <c r="E263" s="34" t="str">
        <f>+UPPER('0. Instruções'!$D$36&amp;"."&amp;VLOOKUP(B263,'0. Instruções'!$C$27:$E$32,3,FALSE))</f>
        <v>BU_LOANTAPE_WORK.LT002_INSTRUMENT</v>
      </c>
      <c r="F263" s="34" t="s">
        <v>545</v>
      </c>
      <c r="G263" s="34"/>
      <c r="H263" s="34" t="s">
        <v>645</v>
      </c>
      <c r="I263" s="34" t="str">
        <f>"(SELECT "&amp;VLOOKUP(B263,'0. Instruções'!$C$27:$G$32,4,FALSE)&amp;", "&amp;F263&amp;" FROM "&amp;D263&amp;" WHERE "&amp;'0. Instruções'!$D$42&amp;")X"</f>
        <v>(SELECT instrmnt_id, DT_END_GP_PPAL_C19 FROM CD_LOAN_TAPES_BCE.LT002_INSTRUMENT WHERE ref_date='${ref_date}' AND nome_perimetro='Individual Corporativo' AND segmento='ESTR' AND ambito='PM' AND entidade='00100')X</v>
      </c>
      <c r="J263" s="34" t="str">
        <f>"(SELECT "&amp;VLOOKUP(B263,'0. Instruções'!$C$27:$G$32,4,FALSE)&amp;" AS "&amp;VLOOKUP(B263,'0. Instruções'!$C$27:$G$32,4,FALSE)&amp;"_SIMUL, "&amp;F263&amp;" AS "&amp;F263&amp;"_SIMUL FROM "&amp;E263&amp;" WHERE "&amp;'0. Instruções'!$D$43&amp;")Y"</f>
        <v>(SELECT instrmnt_id AS instrmnt_id_SIMUL, DT_END_GP_PPAL_C19 AS DT_END_GP_PPAL_C19_SIMUL FROM BU_LOANTAPE_WORK.LT002_INSTRUMENT WHERE ref_date='${ref_date}' AND nome_perimetro='Individual Corporativo' AND segmento='ESTR' AND ambito='PM' AND entidade='00100')Y</v>
      </c>
      <c r="K263" s="35" t="str">
        <f>+UPPER("ON X."&amp;VLOOKUP(B263,'0. Instruções'!$C$27:$G$32,4,FALSE)&amp;"=Y."&amp;VLOOKUP(B263,'0. Instruções'!$C$27:$G$32,4,FALSE)&amp;"_SIMUL")</f>
        <v>ON X.INSTRMNT_ID=Y.INSTRMNT_ID_SIMUL</v>
      </c>
      <c r="L263" s="35" t="str">
        <f>+IF(C263="Coerência", +IF(LEFT(G263,5)="FLOAT","SELECT '"&amp;UPPER(B263)&amp;"' AS TABELA, '"&amp;UPPER(C263)&amp;"' AS TIPOLOGIA_TESTE,'"&amp;D263&amp;"' AS TABELA_LT,'"&amp;E263&amp;"' AS TABELA_SIMUL,'"&amp;F263&amp;"' AS CAMPO, "&amp;"'${ref_date}' AS REF_DATE, COUNT(*) AS NUM_REG, SUM(IF((ABS(COALESCE(CAST(X."&amp;F263&amp;" AS DECIMAL(18,6)),0)-COALESCE(CAST(Y."&amp;F263&amp;"_SIMUL AS DECIMAL(18,6)),0))&gt;0.000001) OR (X."&amp;F263&amp;" IS NULL AND Y."&amp;F263&amp;"_SIMUL IS NOT NULL ) OR (X."&amp;F263&amp;" IS NOT NULL AND Y."&amp;F263&amp;"_SIMUL IS NULL),1,0)) AS NUM_REG_DIF,'"&amp;MAX('ID1&amp;5'!K:K)+1&amp;"' AS ID_EXEC, CURRENT_TIMESTAMP() AS TIME_EXEC FROM "&amp;I263&amp;" INNER JOIN "&amp;J263&amp;" "&amp;K263,"SELECT '"&amp;UPPER(B263)&amp;"' AS TABELA, '"&amp;UPPER(C263)&amp;"' AS TIPOLOGIA_TESTE,'"&amp;D263&amp;"' AS TABELA_LT,'"&amp;E263&amp;"' AS TABELA_SIMUL,'"&amp;F263&amp;"' AS CAMPO, "&amp;"'${ref_date}' AS REF_DATE, COUNT(*) AS NUM_REG, SUM(IF(COALESCE(CAST(X."&amp;F263&amp;" AS STRING),'')&lt;&gt;COALESCE(CAST(Y."&amp;F263&amp;"_SIMUL AS STRING),'') OR (X."&amp;F263&amp;" IS NULL AND Y."&amp;F263&amp;"_SIMUL IS NOT NULL ) OR (X."&amp;F263&amp;" IS NOT NULL AND Y."&amp;F263&amp;"_SIMUL IS NULL),1,0)) AS NUM_REG_DIF,'"&amp;MAX('ID1&amp;5'!L:L)+1&amp;"' AS ID_EXEC, CURRENT_TIMESTAMP() AS TIME_EXEC FROM "&amp;I263&amp;" INNER JOIN "&amp;J263&amp;" "&amp;K263),
IF(C263="Validade",+IF(G263="Code List","SELECT '"&amp;UPPER(B263)&amp;"' AS TABELA, '"&amp;UPPER(C263)&amp;"' AS TIPOLOGIA_TESTE,'"&amp;D263&amp;"' AS TABELA_LT,'N/A' AS TABELA_SIMUL,'"&amp;F263&amp;"' AS CAMPO, "&amp;"'${ref_date}' AS REF_DATE, COUNT(*) AS NUM_REG, SUM(IF(TRIM(CAST(X."&amp;F263&amp;" AS STRING))='' OR TRIM(CAST(X."&amp;F263&amp;" AS STRING)) IS NULL OR CAST(X."&amp;F263&amp;" AS STRING) NOT "&amp;H263&amp;",1,0)) AS NUM_REG_DIF,'"&amp;MAX('ID1&amp;5'!K:K)+1&amp;"' AS ID_EXEC, CURRENT_TIMESTAMP() AS TIME_EXEC FROM "&amp;I263,"SELECT '"&amp;UPPER(B263)&amp;"' AS TABELA, '"&amp;UPPER(C263)&amp;"' AS TIPOLOGIA_TESTE,'"&amp;D263&amp;"' AS TABELA_LT,'N/A' AS TABELA_SIMUL,'"&amp;F263&amp;"' AS CAMPO, "&amp;"'${ref_date}' AS REF_DATE, COUNT(*) AS NUM_REG, SUM(IF(TRIM(CAST(X."&amp;F263&amp;" AS STRING))='' OR TRIM(CAST(X."&amp;F263&amp;" AS STRING)) IS NULL,1,0)) AS NUM_REG_DIF,'"&amp;MAX('ID1&amp;5'!K:K)+1&amp;"' AS ID_EXEC, CURRENT_TIMESTAMP() AS TIME_EXEC FROM "&amp;I263),
IF(C263="Caracteres Especiais",+"SELECT '"&amp;UPPER(B263)&amp;"' AS TABELA, '"&amp;UPPER(C263)&amp;"' AS TIPOLOGIA_TESTE,'"&amp;D263&amp;"' AS TABELA_LT,'N/A' AS TABELA_SIMUL,'"&amp;F263&amp;"' AS CAMPO, "&amp;"'${ref_date}' AS REF_DATE, COUNT(*) AS NUM_REG, SUM(IF(REGEXP_REPLACE(TRIM(CAST(X."&amp;F263&amp;" AS STRING)),'[^a-zA-Z0-9_\\s]','') &lt;&gt;TRIM(CAST(X."&amp;F263&amp;" AS STRING)),1,0)) AS NUM_REG_DIF,'"&amp;MAX('ID1&amp;5'!K:K)+1&amp;"' AS ID_EXEC, CURRENT_TIMESTAMP() AS TIME_EXEC FROM "&amp;I263,
IF(C263="Missings",+"SELECT '"&amp;UPPER(B263)&amp;"' AS TABELA, '"&amp;UPPER(C263)&amp;"' AS TIPOLOGIA_TESTE,'"&amp;D263&amp;"' AS TABELA_LT,'N/A' AS TABELA_SIMUL,'"&amp;F263&amp;"' AS CAMPO, "&amp;"'${ref_date}' AS REF_DATE, COUNT(*) AS NUM_REG, SUM(IF(TRIM(CAST(X."&amp;F263&amp;" AS STRING)) IN ('0000-00-00','0001-01-01','9999-12-31','MISS','00000','99999999999','99999999999.00','99999999999.000000'),1,0)) AS NUM_REG_DIF,'"&amp;MAX('ID1&amp;5'!K:K)+1&amp;"' AS ID_EXEC, CURRENT_TIMESTAMP() AS TIME_EXEC FROM "&amp;I263,
IF(C263="Not applicable",+"SELECT '"&amp;UPPER(B263)&amp;"' AS TABELA, '"&amp;UPPER(C263)&amp;"' AS TIPOLOGIA_TESTE,'"&amp;D263&amp;"' AS TABELA_LT,'N/A' AS TABELA_SIMUL,'"&amp;F263&amp;"' AS CAMPO, "&amp;"'${ref_date}' AS REF_DATE, COUNT(*) AS NUM_REG, SUM(IF(TRIM(CAST(X."&amp;F263&amp;" AS STRING)) IN ('N/A','11111111111','11111111111.00','11111111111.000000','1111-11-11'),1,0)) AS NUM_REG_DIF,'"&amp;MAX('ID1&amp;5'!K:K)+1&amp;"' AS ID_EXEC, CURRENT_TIMESTAMP() AS TIME_EXEC FROM "&amp;I263,
IF(C263="Valores extremos",+"SELECT '"&amp;UPPER(B263)&amp;"' AS TABELA, '"&amp;UPPER(C263)&amp;"' AS TIPOLOGIA_TESTE,'"&amp;D263&amp;"' AS TABELA_LT,'N/A' AS TABELA_SIMUL,'"&amp;F263&amp;"' AS CAMPO, "&amp;"'${ref_date}' AS REF_DATE, CAST(MIN("&amp;F263&amp;") AS STRING) AS VALOR_MIN, CAST(MAX("&amp;F263&amp;") AS STRING) AS VALOR_MAX,'"&amp;MAX('ID1&amp;5'!K:K)+1&amp;"' AS ID_EXEC, CURRENT_TIMESTAMP() AS TIME_EXEC FROM "&amp;MID(I263,1,LEN(I263)-2)&amp;" AND CAST("&amp;F263&amp;"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TABELA_SIMUL,'DT_END_GP_PPAL_C19' AS CAMPO, '${ref_date}' AS REF_DATE, COUNT(*) AS NUM_REG, SUM(IF(COALESCE(CAST(X.DT_END_GP_PPAL_C19 AS STRING),'')&lt;&gt;COALESCE(CAST(Y.DT_END_GP_PPAL_C19_SIMUL AS STRING),'') OR (X.DT_END_GP_PPAL_C19 IS NULL AND Y.DT_END_GP_PPAL_C19_SIMUL IS NOT NULL ) OR (X.DT_END_GP_PPAL_C19 IS NOT NULL AND Y.DT_END_GP_PPAL_C19_SIMUL IS NULL),1,0)) AS NUM_REG_DIF,'1' AS ID_EXEC, CURRENT_TIMESTAMP() AS TIME_EXEC FROM (SELECT instrmnt_id, DT_END_GP_PPAL_C19 FROM CD_LOAN_TAPES_BCE.LT002_INSTRUMENT WHERE ref_date='${ref_date}' AND nome_perimetro='Individual Corporativo' AND segmento='ESTR' AND ambito='PM' AND entidade='00100')X INNER JOIN (SELECT instrmnt_id AS instrmnt_id_SIMUL, DT_END_GP_PPAL_C19 AS DT_END_GP_PPAL_C19_SIMUL FROM BU_LOANTAPE_WORK.LT002_INSTRUMENT WHERE ref_date='${ref_date}' AND nome_perimetro='Individual Corporativo' AND segmento='ESTR' AND ambito='PM' AND entidade='00100')Y ON X.INSTRMNT_ID=Y.INSTRMNT_ID_SIMUL</v>
      </c>
      <c r="M263" s="36" t="str">
        <f t="shared" si="4"/>
        <v>UNION ALL SELECT 'INSTRUMENT' AS TABELA, 'COERÊNCIA' AS TIPOLOGIA_TESTE,'CD_LOAN_TAPES_BCE.LT002_INSTRUMENT' AS TABELA_LT,'BU_LOANTAPE_WORK.LT002_INSTRUMENT' AS TABELA_SIMUL,'DT_END_GP_PPAL_C19' AS CAMPO, '${ref_date}' AS REF_DATE, COUNT(*) AS NUM_REG, SUM(IF(COALESCE(CAST(X.DT_END_GP_PPAL_C19 AS STRING),'')&lt;&gt;COALESCE(CAST(Y.DT_END_GP_PPAL_C19_SIMUL AS STRING),'') OR (X.DT_END_GP_PPAL_C19 IS NULL AND Y.DT_END_GP_PPAL_C19_SIMUL IS NOT NULL ) OR (X.DT_END_GP_PPAL_C19 IS NOT NULL AND Y.DT_END_GP_PPAL_C19_SIMUL IS NULL),1,0)) AS NUM_REG_DIF,'1' AS ID_EXEC, CURRENT_TIMESTAMP() AS TIME_EXEC FROM (SELECT instrmnt_id, DT_END_GP_PPAL_C19 FROM CD_LOAN_TAPES_BCE.LT002_INSTRUMENT WHERE ref_date='${ref_date}' AND nome_perimetro='Individual Corporativo' AND segmento='ESTR' AND ambito='PM' AND entidade='00100')X INNER JOIN (SELECT instrmnt_id AS instrmnt_id_SIMUL, DT_END_GP_PPAL_C19 AS DT_END_GP_PPAL_C19_SIMUL FROM BU_LOANTAPE_WORK.LT002_INSTRUMENT WHERE ref_date='${ref_date}' AND nome_perimetro='Individual Corporativo' AND segmento='ESTR' AND ambito='PM' AND entidade='00100')Y ON X.INSTRMNT_ID=Y.INSTRMNT_ID_SIMUL</v>
      </c>
      <c r="N263" s="38" t="s">
        <v>46</v>
      </c>
    </row>
    <row r="264" spans="2:14" hidden="1">
      <c r="B264" s="34" t="s">
        <v>126</v>
      </c>
      <c r="C264" s="34" t="s">
        <v>5</v>
      </c>
      <c r="D264" s="34" t="str">
        <f>+UPPER('0. Instruções'!$D$35&amp;"."&amp;VLOOKUP(B264,'0. Instruções'!$C$27:$D$32,2,FALSE))</f>
        <v>CD_LOAN_TAPES_BCE.LT002_INSTRUMENT</v>
      </c>
      <c r="E264" s="34" t="str">
        <f>+UPPER('0. Instruções'!$D$36&amp;"."&amp;VLOOKUP(B264,'0. Instruções'!$C$27:$E$32,3,FALSE))</f>
        <v>BU_LOANTAPE_WORK.LT002_INSTRUMENT</v>
      </c>
      <c r="F264" s="34" t="s">
        <v>546</v>
      </c>
      <c r="G264" s="34"/>
      <c r="H264" s="34" t="s">
        <v>645</v>
      </c>
      <c r="I264" s="34" t="str">
        <f>"(SELECT "&amp;VLOOKUP(B264,'0. Instruções'!$C$27:$G$32,4,FALSE)&amp;", "&amp;F264&amp;" FROM "&amp;D264&amp;" WHERE "&amp;'0. Instruções'!$D$42&amp;")X"</f>
        <v>(SELECT instrmnt_id, DT_END_INTRST_ONLY_C19 FROM CD_LOAN_TAPES_BCE.LT002_INSTRUMENT WHERE ref_date='${ref_date}' AND nome_perimetro='Individual Corporativo' AND segmento='ESTR' AND ambito='PM' AND entidade='00100')X</v>
      </c>
      <c r="J264" s="34" t="str">
        <f>"(SELECT "&amp;VLOOKUP(B264,'0. Instruções'!$C$27:$G$32,4,FALSE)&amp;" AS "&amp;VLOOKUP(B264,'0. Instruções'!$C$27:$G$32,4,FALSE)&amp;"_SIMUL, "&amp;F264&amp;" AS "&amp;F264&amp;"_SIMUL FROM "&amp;E264&amp;" WHERE "&amp;'0. Instruções'!$D$43&amp;")Y"</f>
        <v>(SELECT instrmnt_id AS instrmnt_id_SIMUL, DT_END_INTRST_ONLY_C19 AS DT_END_INTRST_ONLY_C19_SIMUL FROM BU_LOANTAPE_WORK.LT002_INSTRUMENT WHERE ref_date='${ref_date}' AND nome_perimetro='Individual Corporativo' AND segmento='ESTR' AND ambito='PM' AND entidade='00100')Y</v>
      </c>
      <c r="K264" s="35" t="str">
        <f>+UPPER("ON X."&amp;VLOOKUP(B264,'0. Instruções'!$C$27:$G$32,4,FALSE)&amp;"=Y."&amp;VLOOKUP(B264,'0. Instruções'!$C$27:$G$32,4,FALSE)&amp;"_SIMUL")</f>
        <v>ON X.INSTRMNT_ID=Y.INSTRMNT_ID_SIMUL</v>
      </c>
      <c r="L264" s="35" t="str">
        <f>+IF(C264="Coerência", +IF(LEFT(G264,5)="FLOAT","SELECT '"&amp;UPPER(B264)&amp;"' AS TABELA, '"&amp;UPPER(C264)&amp;"' AS TIPOLOGIA_TESTE,'"&amp;D264&amp;"' AS TABELA_LT,'"&amp;E264&amp;"' AS TABELA_SIMUL,'"&amp;F264&amp;"' AS CAMPO, "&amp;"'${ref_date}' AS REF_DATE, COUNT(*) AS NUM_REG, SUM(IF((ABS(COALESCE(CAST(X."&amp;F264&amp;" AS DECIMAL(18,6)),0)-COALESCE(CAST(Y."&amp;F264&amp;"_SIMUL AS DECIMAL(18,6)),0))&gt;0.000001) OR (X."&amp;F264&amp;" IS NULL AND Y."&amp;F264&amp;"_SIMUL IS NOT NULL ) OR (X."&amp;F264&amp;" IS NOT NULL AND Y."&amp;F264&amp;"_SIMUL IS NULL),1,0)) AS NUM_REG_DIF,'"&amp;MAX('ID1&amp;5'!K:K)+1&amp;"' AS ID_EXEC, CURRENT_TIMESTAMP() AS TIME_EXEC FROM "&amp;I264&amp;" INNER JOIN "&amp;J264&amp;" "&amp;K264,"SELECT '"&amp;UPPER(B264)&amp;"' AS TABELA, '"&amp;UPPER(C264)&amp;"' AS TIPOLOGIA_TESTE,'"&amp;D264&amp;"' AS TABELA_LT,'"&amp;E264&amp;"' AS TABELA_SIMUL,'"&amp;F264&amp;"' AS CAMPO, "&amp;"'${ref_date}' AS REF_DATE, COUNT(*) AS NUM_REG, SUM(IF(COALESCE(CAST(X."&amp;F264&amp;" AS STRING),'')&lt;&gt;COALESCE(CAST(Y."&amp;F264&amp;"_SIMUL AS STRING),'') OR (X."&amp;F264&amp;" IS NULL AND Y."&amp;F264&amp;"_SIMUL IS NOT NULL ) OR (X."&amp;F264&amp;" IS NOT NULL AND Y."&amp;F264&amp;"_SIMUL IS NULL),1,0)) AS NUM_REG_DIF,'"&amp;MAX('ID1&amp;5'!L:L)+1&amp;"' AS ID_EXEC, CURRENT_TIMESTAMP() AS TIME_EXEC FROM "&amp;I264&amp;" INNER JOIN "&amp;J264&amp;" "&amp;K264),
IF(C264="Validade",+IF(G264="Code List","SELECT '"&amp;UPPER(B264)&amp;"' AS TABELA, '"&amp;UPPER(C264)&amp;"' AS TIPOLOGIA_TESTE,'"&amp;D264&amp;"' AS TABELA_LT,'N/A' AS TABELA_SIMUL,'"&amp;F264&amp;"' AS CAMPO, "&amp;"'${ref_date}' AS REF_DATE, COUNT(*) AS NUM_REG, SUM(IF(TRIM(CAST(X."&amp;F264&amp;" AS STRING))='' OR TRIM(CAST(X."&amp;F264&amp;" AS STRING)) IS NULL OR CAST(X."&amp;F264&amp;" AS STRING) NOT "&amp;H264&amp;",1,0)) AS NUM_REG_DIF,'"&amp;MAX('ID1&amp;5'!K:K)+1&amp;"' AS ID_EXEC, CURRENT_TIMESTAMP() AS TIME_EXEC FROM "&amp;I264,"SELECT '"&amp;UPPER(B264)&amp;"' AS TABELA, '"&amp;UPPER(C264)&amp;"' AS TIPOLOGIA_TESTE,'"&amp;D264&amp;"' AS TABELA_LT,'N/A' AS TABELA_SIMUL,'"&amp;F264&amp;"' AS CAMPO, "&amp;"'${ref_date}' AS REF_DATE, COUNT(*) AS NUM_REG, SUM(IF(TRIM(CAST(X."&amp;F264&amp;" AS STRING))='' OR TRIM(CAST(X."&amp;F264&amp;" AS STRING)) IS NULL,1,0)) AS NUM_REG_DIF,'"&amp;MAX('ID1&amp;5'!K:K)+1&amp;"' AS ID_EXEC, CURRENT_TIMESTAMP() AS TIME_EXEC FROM "&amp;I264),
IF(C264="Caracteres Especiais",+"SELECT '"&amp;UPPER(B264)&amp;"' AS TABELA, '"&amp;UPPER(C264)&amp;"' AS TIPOLOGIA_TESTE,'"&amp;D264&amp;"' AS TABELA_LT,'N/A' AS TABELA_SIMUL,'"&amp;F264&amp;"' AS CAMPO, "&amp;"'${ref_date}' AS REF_DATE, COUNT(*) AS NUM_REG, SUM(IF(REGEXP_REPLACE(TRIM(CAST(X."&amp;F264&amp;" AS STRING)),'[^a-zA-Z0-9_\\s]','') &lt;&gt;TRIM(CAST(X."&amp;F264&amp;" AS STRING)),1,0)) AS NUM_REG_DIF,'"&amp;MAX('ID1&amp;5'!K:K)+1&amp;"' AS ID_EXEC, CURRENT_TIMESTAMP() AS TIME_EXEC FROM "&amp;I264,
IF(C264="Missings",+"SELECT '"&amp;UPPER(B264)&amp;"' AS TABELA, '"&amp;UPPER(C264)&amp;"' AS TIPOLOGIA_TESTE,'"&amp;D264&amp;"' AS TABELA_LT,'N/A' AS TABELA_SIMUL,'"&amp;F264&amp;"' AS CAMPO, "&amp;"'${ref_date}' AS REF_DATE, COUNT(*) AS NUM_REG, SUM(IF(TRIM(CAST(X."&amp;F264&amp;" AS STRING)) IN ('0000-00-00','0001-01-01','9999-12-31','MISS','00000','99999999999','99999999999.00','99999999999.000000'),1,0)) AS NUM_REG_DIF,'"&amp;MAX('ID1&amp;5'!K:K)+1&amp;"' AS ID_EXEC, CURRENT_TIMESTAMP() AS TIME_EXEC FROM "&amp;I264,
IF(C264="Not applicable",+"SELECT '"&amp;UPPER(B264)&amp;"' AS TABELA, '"&amp;UPPER(C264)&amp;"' AS TIPOLOGIA_TESTE,'"&amp;D264&amp;"' AS TABELA_LT,'N/A' AS TABELA_SIMUL,'"&amp;F264&amp;"' AS CAMPO, "&amp;"'${ref_date}' AS REF_DATE, COUNT(*) AS NUM_REG, SUM(IF(TRIM(CAST(X."&amp;F264&amp;" AS STRING)) IN ('N/A','11111111111','11111111111.00','11111111111.000000','1111-11-11'),1,0)) AS NUM_REG_DIF,'"&amp;MAX('ID1&amp;5'!K:K)+1&amp;"' AS ID_EXEC, CURRENT_TIMESTAMP() AS TIME_EXEC FROM "&amp;I264,
IF(C264="Valores extremos",+"SELECT '"&amp;UPPER(B264)&amp;"' AS TABELA, '"&amp;UPPER(C264)&amp;"' AS TIPOLOGIA_TESTE,'"&amp;D264&amp;"' AS TABELA_LT,'N/A' AS TABELA_SIMUL,'"&amp;F264&amp;"' AS CAMPO, "&amp;"'${ref_date}' AS REF_DATE, CAST(MIN("&amp;F264&amp;") AS STRING) AS VALOR_MIN, CAST(MAX("&amp;F264&amp;") AS STRING) AS VALOR_MAX,'"&amp;MAX('ID1&amp;5'!K:K)+1&amp;"' AS ID_EXEC, CURRENT_TIMESTAMP() AS TIME_EXEC FROM "&amp;MID(I264,1,LEN(I264)-2)&amp;" AND CAST("&amp;F264&amp;"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TABELA_SIMUL,'DT_END_INTRST_ONLY_C19' AS CAMPO, '${ref_date}' AS REF_DATE, COUNT(*) AS NUM_REG, SUM(IF(COALESCE(CAST(X.DT_END_INTRST_ONLY_C19 AS STRING),'')&lt;&gt;COALESCE(CAST(Y.DT_END_INTRST_ONLY_C19_SIMUL AS STRING),'') OR (X.DT_END_INTRST_ONLY_C19 IS NULL AND Y.DT_END_INTRST_ONLY_C19_SIMUL IS NOT NULL ) OR (X.DT_END_INTRST_ONLY_C19 IS NOT NULL AND Y.DT_END_INTRST_ONLY_C19_SIMUL IS NULL),1,0)) AS NUM_REG_DIF,'1' AS ID_EXEC, CURRENT_TIMESTAMP() AS TIME_EXEC FROM (SELECT instrmnt_id, DT_END_INTRST_ONLY_C19 FROM CD_LOAN_TAPES_BCE.LT002_INSTRUMENT WHERE ref_date='${ref_date}' AND nome_perimetro='Individual Corporativo' AND segmento='ESTR' AND ambito='PM' AND entidade='00100')X INNER JOIN (SELECT instrmnt_id AS instrmnt_id_SIMUL, DT_END_INTRST_ONLY_C19 AS DT_END_INTRST_ONLY_C19_SIMUL FROM BU_LOANTAPE_WORK.LT002_INSTRUMENT WHERE ref_date='${ref_date}' AND nome_perimetro='Individual Corporativo' AND segmento='ESTR' AND ambito='PM' AND entidade='00100')Y ON X.INSTRMNT_ID=Y.INSTRMNT_ID_SIMUL</v>
      </c>
      <c r="M264" s="36" t="str">
        <f t="shared" si="4"/>
        <v>UNION ALL SELECT 'INSTRUMENT' AS TABELA, 'COERÊNCIA' AS TIPOLOGIA_TESTE,'CD_LOAN_TAPES_BCE.LT002_INSTRUMENT' AS TABELA_LT,'BU_LOANTAPE_WORK.LT002_INSTRUMENT' AS TABELA_SIMUL,'DT_END_INTRST_ONLY_C19' AS CAMPO, '${ref_date}' AS REF_DATE, COUNT(*) AS NUM_REG, SUM(IF(COALESCE(CAST(X.DT_END_INTRST_ONLY_C19 AS STRING),'')&lt;&gt;COALESCE(CAST(Y.DT_END_INTRST_ONLY_C19_SIMUL AS STRING),'') OR (X.DT_END_INTRST_ONLY_C19 IS NULL AND Y.DT_END_INTRST_ONLY_C19_SIMUL IS NOT NULL ) OR (X.DT_END_INTRST_ONLY_C19 IS NOT NULL AND Y.DT_END_INTRST_ONLY_C19_SIMUL IS NULL),1,0)) AS NUM_REG_DIF,'1' AS ID_EXEC, CURRENT_TIMESTAMP() AS TIME_EXEC FROM (SELECT instrmnt_id, DT_END_INTRST_ONLY_C19 FROM CD_LOAN_TAPES_BCE.LT002_INSTRUMENT WHERE ref_date='${ref_date}' AND nome_perimetro='Individual Corporativo' AND segmento='ESTR' AND ambito='PM' AND entidade='00100')X INNER JOIN (SELECT instrmnt_id AS instrmnt_id_SIMUL, DT_END_INTRST_ONLY_C19 AS DT_END_INTRST_ONLY_C19_SIMUL FROM BU_LOANTAPE_WORK.LT002_INSTRUMENT WHERE ref_date='${ref_date}' AND nome_perimetro='Individual Corporativo' AND segmento='ESTR' AND ambito='PM' AND entidade='00100')Y ON X.INSTRMNT_ID=Y.INSTRMNT_ID_SIMUL</v>
      </c>
      <c r="N264" s="38" t="s">
        <v>46</v>
      </c>
    </row>
    <row r="265" spans="2:14" hidden="1">
      <c r="B265" s="34" t="s">
        <v>126</v>
      </c>
      <c r="C265" s="34" t="s">
        <v>5</v>
      </c>
      <c r="D265" s="34" t="str">
        <f>+UPPER('0. Instruções'!$D$35&amp;"."&amp;VLOOKUP(B265,'0. Instruções'!$C$27:$D$32,2,FALSE))</f>
        <v>CD_LOAN_TAPES_BCE.LT002_INSTRUMENT</v>
      </c>
      <c r="E265" s="34" t="str">
        <f>+UPPER('0. Instruções'!$D$36&amp;"."&amp;VLOOKUP(B265,'0. Instruções'!$C$27:$E$32,3,FALSE))</f>
        <v>BU_LOANTAPE_WORK.LT002_INSTRUMENT</v>
      </c>
      <c r="F265" s="34" t="s">
        <v>547</v>
      </c>
      <c r="G265" s="34"/>
      <c r="H265" s="34" t="s">
        <v>89</v>
      </c>
      <c r="I265" s="34" t="str">
        <f>"(SELECT "&amp;VLOOKUP(B265,'0. Instruções'!$C$27:$G$32,4,FALSE)&amp;", "&amp;F265&amp;" FROM "&amp;D265&amp;" WHERE "&amp;'0. Instruções'!$D$42&amp;")X"</f>
        <v>(SELECT instrmnt_id, SBJCT_PBLC_GRNT_SCHM_C19 FROM CD_LOAN_TAPES_BCE.LT002_INSTRUMENT WHERE ref_date='${ref_date}' AND nome_perimetro='Individual Corporativo' AND segmento='ESTR' AND ambito='PM' AND entidade='00100')X</v>
      </c>
      <c r="J265" s="34" t="str">
        <f>"(SELECT "&amp;VLOOKUP(B265,'0. Instruções'!$C$27:$G$32,4,FALSE)&amp;" AS "&amp;VLOOKUP(B265,'0. Instruções'!$C$27:$G$32,4,FALSE)&amp;"_SIMUL, "&amp;F265&amp;" AS "&amp;F265&amp;"_SIMUL FROM "&amp;E265&amp;" WHERE "&amp;'0. Instruções'!$D$43&amp;")Y"</f>
        <v>(SELECT instrmnt_id AS instrmnt_id_SIMUL, SBJCT_PBLC_GRNT_SCHM_C19 AS SBJCT_PBLC_GRNT_SCHM_C19_SIMUL FROM BU_LOANTAPE_WORK.LT002_INSTRUMENT WHERE ref_date='${ref_date}' AND nome_perimetro='Individual Corporativo' AND segmento='ESTR' AND ambito='PM' AND entidade='00100')Y</v>
      </c>
      <c r="K265" s="35" t="str">
        <f>+UPPER("ON X."&amp;VLOOKUP(B265,'0. Instruções'!$C$27:$G$32,4,FALSE)&amp;"=Y."&amp;VLOOKUP(B265,'0. Instruções'!$C$27:$G$32,4,FALSE)&amp;"_SIMUL")</f>
        <v>ON X.INSTRMNT_ID=Y.INSTRMNT_ID_SIMUL</v>
      </c>
      <c r="L265" s="35" t="str">
        <f>+IF(C265="Coerência", +IF(LEFT(G265,5)="FLOAT","SELECT '"&amp;UPPER(B265)&amp;"' AS TABELA, '"&amp;UPPER(C265)&amp;"' AS TIPOLOGIA_TESTE,'"&amp;D265&amp;"' AS TABELA_LT,'"&amp;E265&amp;"' AS TABELA_SIMUL,'"&amp;F265&amp;"' AS CAMPO, "&amp;"'${ref_date}' AS REF_DATE, COUNT(*) AS NUM_REG, SUM(IF((ABS(COALESCE(CAST(X."&amp;F265&amp;" AS DECIMAL(18,6)),0)-COALESCE(CAST(Y."&amp;F265&amp;"_SIMUL AS DECIMAL(18,6)),0))&gt;0.000001) OR (X."&amp;F265&amp;" IS NULL AND Y."&amp;F265&amp;"_SIMUL IS NOT NULL ) OR (X."&amp;F265&amp;" IS NOT NULL AND Y."&amp;F265&amp;"_SIMUL IS NULL),1,0)) AS NUM_REG_DIF,'"&amp;MAX('ID1&amp;5'!K:K)+1&amp;"' AS ID_EXEC, CURRENT_TIMESTAMP() AS TIME_EXEC FROM "&amp;I265&amp;" INNER JOIN "&amp;J265&amp;" "&amp;K265,"SELECT '"&amp;UPPER(B265)&amp;"' AS TABELA, '"&amp;UPPER(C265)&amp;"' AS TIPOLOGIA_TESTE,'"&amp;D265&amp;"' AS TABELA_LT,'"&amp;E265&amp;"' AS TABELA_SIMUL,'"&amp;F265&amp;"' AS CAMPO, "&amp;"'${ref_date}' AS REF_DATE, COUNT(*) AS NUM_REG, SUM(IF(COALESCE(CAST(X."&amp;F265&amp;" AS STRING),'')&lt;&gt;COALESCE(CAST(Y."&amp;F265&amp;"_SIMUL AS STRING),'') OR (X."&amp;F265&amp;" IS NULL AND Y."&amp;F265&amp;"_SIMUL IS NOT NULL ) OR (X."&amp;F265&amp;" IS NOT NULL AND Y."&amp;F265&amp;"_SIMUL IS NULL),1,0)) AS NUM_REG_DIF,'"&amp;MAX('ID1&amp;5'!L:L)+1&amp;"' AS ID_EXEC, CURRENT_TIMESTAMP() AS TIME_EXEC FROM "&amp;I265&amp;" INNER JOIN "&amp;J265&amp;" "&amp;K265),
IF(C265="Validade",+IF(G265="Code List","SELECT '"&amp;UPPER(B265)&amp;"' AS TABELA, '"&amp;UPPER(C265)&amp;"' AS TIPOLOGIA_TESTE,'"&amp;D265&amp;"' AS TABELA_LT,'N/A' AS TABELA_SIMUL,'"&amp;F265&amp;"' AS CAMPO, "&amp;"'${ref_date}' AS REF_DATE, COUNT(*) AS NUM_REG, SUM(IF(TRIM(CAST(X."&amp;F265&amp;" AS STRING))='' OR TRIM(CAST(X."&amp;F265&amp;" AS STRING)) IS NULL OR CAST(X."&amp;F265&amp;" AS STRING) NOT "&amp;H265&amp;",1,0)) AS NUM_REG_DIF,'"&amp;MAX('ID1&amp;5'!K:K)+1&amp;"' AS ID_EXEC, CURRENT_TIMESTAMP() AS TIME_EXEC FROM "&amp;I265,"SELECT '"&amp;UPPER(B265)&amp;"' AS TABELA, '"&amp;UPPER(C265)&amp;"' AS TIPOLOGIA_TESTE,'"&amp;D265&amp;"' AS TABELA_LT,'N/A' AS TABELA_SIMUL,'"&amp;F265&amp;"' AS CAMPO, "&amp;"'${ref_date}' AS REF_DATE, COUNT(*) AS NUM_REG, SUM(IF(TRIM(CAST(X."&amp;F265&amp;" AS STRING))='' OR TRIM(CAST(X."&amp;F265&amp;" AS STRING)) IS NULL,1,0)) AS NUM_REG_DIF,'"&amp;MAX('ID1&amp;5'!K:K)+1&amp;"' AS ID_EXEC, CURRENT_TIMESTAMP() AS TIME_EXEC FROM "&amp;I265),
IF(C265="Caracteres Especiais",+"SELECT '"&amp;UPPER(B265)&amp;"' AS TABELA, '"&amp;UPPER(C265)&amp;"' AS TIPOLOGIA_TESTE,'"&amp;D265&amp;"' AS TABELA_LT,'N/A' AS TABELA_SIMUL,'"&amp;F265&amp;"' AS CAMPO, "&amp;"'${ref_date}' AS REF_DATE, COUNT(*) AS NUM_REG, SUM(IF(REGEXP_REPLACE(TRIM(CAST(X."&amp;F265&amp;" AS STRING)),'[^a-zA-Z0-9_\\s]','') &lt;&gt;TRIM(CAST(X."&amp;F265&amp;" AS STRING)),1,0)) AS NUM_REG_DIF,'"&amp;MAX('ID1&amp;5'!K:K)+1&amp;"' AS ID_EXEC, CURRENT_TIMESTAMP() AS TIME_EXEC FROM "&amp;I265,
IF(C265="Missings",+"SELECT '"&amp;UPPER(B265)&amp;"' AS TABELA, '"&amp;UPPER(C265)&amp;"' AS TIPOLOGIA_TESTE,'"&amp;D265&amp;"' AS TABELA_LT,'N/A' AS TABELA_SIMUL,'"&amp;F265&amp;"' AS CAMPO, "&amp;"'${ref_date}' AS REF_DATE, COUNT(*) AS NUM_REG, SUM(IF(TRIM(CAST(X."&amp;F265&amp;" AS STRING)) IN ('0000-00-00','0001-01-01','9999-12-31','MISS','00000','99999999999','99999999999.00','99999999999.000000'),1,0)) AS NUM_REG_DIF,'"&amp;MAX('ID1&amp;5'!K:K)+1&amp;"' AS ID_EXEC, CURRENT_TIMESTAMP() AS TIME_EXEC FROM "&amp;I265,
IF(C265="Not applicable",+"SELECT '"&amp;UPPER(B265)&amp;"' AS TABELA, '"&amp;UPPER(C265)&amp;"' AS TIPOLOGIA_TESTE,'"&amp;D265&amp;"' AS TABELA_LT,'N/A' AS TABELA_SIMUL,'"&amp;F265&amp;"' AS CAMPO, "&amp;"'${ref_date}' AS REF_DATE, COUNT(*) AS NUM_REG, SUM(IF(TRIM(CAST(X."&amp;F265&amp;" AS STRING)) IN ('N/A','11111111111','11111111111.00','11111111111.000000','1111-11-11'),1,0)) AS NUM_REG_DIF,'"&amp;MAX('ID1&amp;5'!K:K)+1&amp;"' AS ID_EXEC, CURRENT_TIMESTAMP() AS TIME_EXEC FROM "&amp;I265,
IF(C265="Valores extremos",+"SELECT '"&amp;UPPER(B265)&amp;"' AS TABELA, '"&amp;UPPER(C265)&amp;"' AS TIPOLOGIA_TESTE,'"&amp;D265&amp;"' AS TABELA_LT,'N/A' AS TABELA_SIMUL,'"&amp;F265&amp;"' AS CAMPO, "&amp;"'${ref_date}' AS REF_DATE, CAST(MIN("&amp;F265&amp;") AS STRING) AS VALOR_MIN, CAST(MAX("&amp;F265&amp;") AS STRING) AS VALOR_MAX,'"&amp;MAX('ID1&amp;5'!K:K)+1&amp;"' AS ID_EXEC, CURRENT_TIMESTAMP() AS TIME_EXEC FROM "&amp;MID(I265,1,LEN(I265)-2)&amp;" AND CAST("&amp;F265&amp;"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TABELA_SIMUL,'SBJCT_PBLC_GRNT_SCHM_C19' AS CAMPO, '${ref_date}' AS REF_DATE, COUNT(*) AS NUM_REG, SUM(IF(COALESCE(CAST(X.SBJCT_PBLC_GRNT_SCHM_C19 AS STRING),'')&lt;&gt;COALESCE(CAST(Y.SBJCT_PBLC_GRNT_SCHM_C19_SIMUL AS STRING),'') OR (X.SBJCT_PBLC_GRNT_SCHM_C19 IS NULL AND Y.SBJCT_PBLC_GRNT_SCHM_C19_SIMUL IS NOT NULL ) OR (X.SBJCT_PBLC_GRNT_SCHM_C19 IS NOT NULL AND Y.SBJCT_PBLC_GRNT_SCHM_C19_SIMUL IS NULL),1,0)) AS NUM_REG_DIF,'1' AS ID_EXEC, CURRENT_TIMESTAMP() AS TIME_EXEC FROM (SELECT instrmnt_id, SBJCT_PBLC_GRNT_SCHM_C19 FROM CD_LOAN_TAPES_BCE.LT002_INSTRUMENT WHERE ref_date='${ref_date}' AND nome_perimetro='Individual Corporativo' AND segmento='ESTR' AND ambito='PM' AND entidade='00100')X INNER JOIN (SELECT instrmnt_id AS instrmnt_id_SIMUL, SBJCT_PBLC_GRNT_SCHM_C19 AS SBJCT_PBLC_GRNT_SCHM_C19_SIMUL FROM BU_LOANTAPE_WORK.LT002_INSTRUMENT WHERE ref_date='${ref_date}' AND nome_perimetro='Individual Corporativo' AND segmento='ESTR' AND ambito='PM' AND entidade='00100')Y ON X.INSTRMNT_ID=Y.INSTRMNT_ID_SIMUL</v>
      </c>
      <c r="M265" s="36" t="str">
        <f t="shared" si="4"/>
        <v>UNION ALL SELECT 'INSTRUMENT' AS TABELA, 'COERÊNCIA' AS TIPOLOGIA_TESTE,'CD_LOAN_TAPES_BCE.LT002_INSTRUMENT' AS TABELA_LT,'BU_LOANTAPE_WORK.LT002_INSTRUMENT' AS TABELA_SIMUL,'SBJCT_PBLC_GRNT_SCHM_C19' AS CAMPO, '${ref_date}' AS REF_DATE, COUNT(*) AS NUM_REG, SUM(IF(COALESCE(CAST(X.SBJCT_PBLC_GRNT_SCHM_C19 AS STRING),'')&lt;&gt;COALESCE(CAST(Y.SBJCT_PBLC_GRNT_SCHM_C19_SIMUL AS STRING),'') OR (X.SBJCT_PBLC_GRNT_SCHM_C19 IS NULL AND Y.SBJCT_PBLC_GRNT_SCHM_C19_SIMUL IS NOT NULL ) OR (X.SBJCT_PBLC_GRNT_SCHM_C19 IS NOT NULL AND Y.SBJCT_PBLC_GRNT_SCHM_C19_SIMUL IS NULL),1,0)) AS NUM_REG_DIF,'1' AS ID_EXEC, CURRENT_TIMESTAMP() AS TIME_EXEC FROM (SELECT instrmnt_id, SBJCT_PBLC_GRNT_SCHM_C19 FROM CD_LOAN_TAPES_BCE.LT002_INSTRUMENT WHERE ref_date='${ref_date}' AND nome_perimetro='Individual Corporativo' AND segmento='ESTR' AND ambito='PM' AND entidade='00100')X INNER JOIN (SELECT instrmnt_id AS instrmnt_id_SIMUL, SBJCT_PBLC_GRNT_SCHM_C19 AS SBJCT_PBLC_GRNT_SCHM_C19_SIMUL FROM BU_LOANTAPE_WORK.LT002_INSTRUMENT WHERE ref_date='${ref_date}' AND nome_perimetro='Individual Corporativo' AND segmento='ESTR' AND ambito='PM' AND entidade='00100')Y ON X.INSTRMNT_ID=Y.INSTRMNT_ID_SIMUL</v>
      </c>
      <c r="N265" s="38" t="s">
        <v>46</v>
      </c>
    </row>
    <row r="266" spans="2:14" hidden="1">
      <c r="B266" s="34" t="s">
        <v>126</v>
      </c>
      <c r="C266" s="34" t="s">
        <v>5</v>
      </c>
      <c r="D266" s="34" t="str">
        <f>+UPPER('0. Instruções'!$D$35&amp;"."&amp;VLOOKUP(B266,'0. Instruções'!$C$27:$D$32,2,FALSE))</f>
        <v>CD_LOAN_TAPES_BCE.LT002_INSTRUMENT</v>
      </c>
      <c r="E266" s="34" t="str">
        <f>+UPPER('0. Instruções'!$D$36&amp;"."&amp;VLOOKUP(B266,'0. Instruções'!$C$27:$E$32,3,FALSE))</f>
        <v>BU_LOANTAPE_WORK.LT002_INSTRUMENT</v>
      </c>
      <c r="F266" s="34" t="s">
        <v>548</v>
      </c>
      <c r="G266" s="34"/>
      <c r="H266" s="34" t="s">
        <v>646</v>
      </c>
      <c r="I266" s="34" t="str">
        <f>"(SELECT "&amp;VLOOKUP(B266,'0. Instruções'!$C$27:$G$32,4,FALSE)&amp;", "&amp;F266&amp;" FROM "&amp;D266&amp;" WHERE "&amp;'0. Instruções'!$D$42&amp;")X"</f>
        <v>(SELECT instrmnt_id, PBLC_GRNT_SCHM_C19_NM FROM CD_LOAN_TAPES_BCE.LT002_INSTRUMENT WHERE ref_date='${ref_date}' AND nome_perimetro='Individual Corporativo' AND segmento='ESTR' AND ambito='PM' AND entidade='00100')X</v>
      </c>
      <c r="J266" s="34" t="str">
        <f>"(SELECT "&amp;VLOOKUP(B266,'0. Instruções'!$C$27:$G$32,4,FALSE)&amp;" AS "&amp;VLOOKUP(B266,'0. Instruções'!$C$27:$G$32,4,FALSE)&amp;"_SIMUL, "&amp;F266&amp;" AS "&amp;F266&amp;"_SIMUL FROM "&amp;E266&amp;" WHERE "&amp;'0. Instruções'!$D$43&amp;")Y"</f>
        <v>(SELECT instrmnt_id AS instrmnt_id_SIMUL, PBLC_GRNT_SCHM_C19_NM AS PBLC_GRNT_SCHM_C19_NM_SIMUL FROM BU_LOANTAPE_WORK.LT002_INSTRUMENT WHERE ref_date='${ref_date}' AND nome_perimetro='Individual Corporativo' AND segmento='ESTR' AND ambito='PM' AND entidade='00100')Y</v>
      </c>
      <c r="K266" s="35" t="str">
        <f>+UPPER("ON X."&amp;VLOOKUP(B266,'0. Instruções'!$C$27:$G$32,4,FALSE)&amp;"=Y."&amp;VLOOKUP(B266,'0. Instruções'!$C$27:$G$32,4,FALSE)&amp;"_SIMUL")</f>
        <v>ON X.INSTRMNT_ID=Y.INSTRMNT_ID_SIMUL</v>
      </c>
      <c r="L266" s="35" t="str">
        <f>+IF(C266="Coerência", +IF(LEFT(G266,5)="FLOAT","SELECT '"&amp;UPPER(B266)&amp;"' AS TABELA, '"&amp;UPPER(C266)&amp;"' AS TIPOLOGIA_TESTE,'"&amp;D266&amp;"' AS TABELA_LT,'"&amp;E266&amp;"' AS TABELA_SIMUL,'"&amp;F266&amp;"' AS CAMPO, "&amp;"'${ref_date}' AS REF_DATE, COUNT(*) AS NUM_REG, SUM(IF((ABS(COALESCE(CAST(X."&amp;F266&amp;" AS DECIMAL(18,6)),0)-COALESCE(CAST(Y."&amp;F266&amp;"_SIMUL AS DECIMAL(18,6)),0))&gt;0.000001) OR (X."&amp;F266&amp;" IS NULL AND Y."&amp;F266&amp;"_SIMUL IS NOT NULL ) OR (X."&amp;F266&amp;" IS NOT NULL AND Y."&amp;F266&amp;"_SIMUL IS NULL),1,0)) AS NUM_REG_DIF,'"&amp;MAX('ID1&amp;5'!K:K)+1&amp;"' AS ID_EXEC, CURRENT_TIMESTAMP() AS TIME_EXEC FROM "&amp;I266&amp;" INNER JOIN "&amp;J266&amp;" "&amp;K266,"SELECT '"&amp;UPPER(B266)&amp;"' AS TABELA, '"&amp;UPPER(C266)&amp;"' AS TIPOLOGIA_TESTE,'"&amp;D266&amp;"' AS TABELA_LT,'"&amp;E266&amp;"' AS TABELA_SIMUL,'"&amp;F266&amp;"' AS CAMPO, "&amp;"'${ref_date}' AS REF_DATE, COUNT(*) AS NUM_REG, SUM(IF(COALESCE(CAST(X."&amp;F266&amp;" AS STRING),'')&lt;&gt;COALESCE(CAST(Y."&amp;F266&amp;"_SIMUL AS STRING),'') OR (X."&amp;F266&amp;" IS NULL AND Y."&amp;F266&amp;"_SIMUL IS NOT NULL ) OR (X."&amp;F266&amp;" IS NOT NULL AND Y."&amp;F266&amp;"_SIMUL IS NULL),1,0)) AS NUM_REG_DIF,'"&amp;MAX('ID1&amp;5'!L:L)+1&amp;"' AS ID_EXEC, CURRENT_TIMESTAMP() AS TIME_EXEC FROM "&amp;I266&amp;" INNER JOIN "&amp;J266&amp;" "&amp;K266),
IF(C266="Validade",+IF(G266="Code List","SELECT '"&amp;UPPER(B266)&amp;"' AS TABELA, '"&amp;UPPER(C266)&amp;"' AS TIPOLOGIA_TESTE,'"&amp;D266&amp;"' AS TABELA_LT,'N/A' AS TABELA_SIMUL,'"&amp;F266&amp;"' AS CAMPO, "&amp;"'${ref_date}' AS REF_DATE, COUNT(*) AS NUM_REG, SUM(IF(TRIM(CAST(X."&amp;F266&amp;" AS STRING))='' OR TRIM(CAST(X."&amp;F266&amp;" AS STRING)) IS NULL OR CAST(X."&amp;F266&amp;" AS STRING) NOT "&amp;H266&amp;",1,0)) AS NUM_REG_DIF,'"&amp;MAX('ID1&amp;5'!K:K)+1&amp;"' AS ID_EXEC, CURRENT_TIMESTAMP() AS TIME_EXEC FROM "&amp;I266,"SELECT '"&amp;UPPER(B266)&amp;"' AS TABELA, '"&amp;UPPER(C266)&amp;"' AS TIPOLOGIA_TESTE,'"&amp;D266&amp;"' AS TABELA_LT,'N/A' AS TABELA_SIMUL,'"&amp;F266&amp;"' AS CAMPO, "&amp;"'${ref_date}' AS REF_DATE, COUNT(*) AS NUM_REG, SUM(IF(TRIM(CAST(X."&amp;F266&amp;" AS STRING))='' OR TRIM(CAST(X."&amp;F266&amp;" AS STRING)) IS NULL,1,0)) AS NUM_REG_DIF,'"&amp;MAX('ID1&amp;5'!K:K)+1&amp;"' AS ID_EXEC, CURRENT_TIMESTAMP() AS TIME_EXEC FROM "&amp;I266),
IF(C266="Caracteres Especiais",+"SELECT '"&amp;UPPER(B266)&amp;"' AS TABELA, '"&amp;UPPER(C266)&amp;"' AS TIPOLOGIA_TESTE,'"&amp;D266&amp;"' AS TABELA_LT,'N/A' AS TABELA_SIMUL,'"&amp;F266&amp;"' AS CAMPO, "&amp;"'${ref_date}' AS REF_DATE, COUNT(*) AS NUM_REG, SUM(IF(REGEXP_REPLACE(TRIM(CAST(X."&amp;F266&amp;" AS STRING)),'[^a-zA-Z0-9_\\s]','') &lt;&gt;TRIM(CAST(X."&amp;F266&amp;" AS STRING)),1,0)) AS NUM_REG_DIF,'"&amp;MAX('ID1&amp;5'!K:K)+1&amp;"' AS ID_EXEC, CURRENT_TIMESTAMP() AS TIME_EXEC FROM "&amp;I266,
IF(C266="Missings",+"SELECT '"&amp;UPPER(B266)&amp;"' AS TABELA, '"&amp;UPPER(C266)&amp;"' AS TIPOLOGIA_TESTE,'"&amp;D266&amp;"' AS TABELA_LT,'N/A' AS TABELA_SIMUL,'"&amp;F266&amp;"' AS CAMPO, "&amp;"'${ref_date}' AS REF_DATE, COUNT(*) AS NUM_REG, SUM(IF(TRIM(CAST(X."&amp;F266&amp;" AS STRING)) IN ('0000-00-00','0001-01-01','9999-12-31','MISS','00000','99999999999','99999999999.00','99999999999.000000'),1,0)) AS NUM_REG_DIF,'"&amp;MAX('ID1&amp;5'!K:K)+1&amp;"' AS ID_EXEC, CURRENT_TIMESTAMP() AS TIME_EXEC FROM "&amp;I266,
IF(C266="Not applicable",+"SELECT '"&amp;UPPER(B266)&amp;"' AS TABELA, '"&amp;UPPER(C266)&amp;"' AS TIPOLOGIA_TESTE,'"&amp;D266&amp;"' AS TABELA_LT,'N/A' AS TABELA_SIMUL,'"&amp;F266&amp;"' AS CAMPO, "&amp;"'${ref_date}' AS REF_DATE, COUNT(*) AS NUM_REG, SUM(IF(TRIM(CAST(X."&amp;F266&amp;" AS STRING)) IN ('N/A','11111111111','11111111111.00','11111111111.000000','1111-11-11'),1,0)) AS NUM_REG_DIF,'"&amp;MAX('ID1&amp;5'!K:K)+1&amp;"' AS ID_EXEC, CURRENT_TIMESTAMP() AS TIME_EXEC FROM "&amp;I266,
IF(C266="Valores extremos",+"SELECT '"&amp;UPPER(B266)&amp;"' AS TABELA, '"&amp;UPPER(C266)&amp;"' AS TIPOLOGIA_TESTE,'"&amp;D266&amp;"' AS TABELA_LT,'N/A' AS TABELA_SIMUL,'"&amp;F266&amp;"' AS CAMPO, "&amp;"'${ref_date}' AS REF_DATE, CAST(MIN("&amp;F266&amp;") AS STRING) AS VALOR_MIN, CAST(MAX("&amp;F266&amp;") AS STRING) AS VALOR_MAX,'"&amp;MAX('ID1&amp;5'!K:K)+1&amp;"' AS ID_EXEC, CURRENT_TIMESTAMP() AS TIME_EXEC FROM "&amp;MID(I266,1,LEN(I266)-2)&amp;" AND CAST("&amp;F266&amp;"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TABELA_SIMUL,'PBLC_GRNT_SCHM_C19_NM' AS CAMPO, '${ref_date}' AS REF_DATE, COUNT(*) AS NUM_REG, SUM(IF(COALESCE(CAST(X.PBLC_GRNT_SCHM_C19_NM AS STRING),'')&lt;&gt;COALESCE(CAST(Y.PBLC_GRNT_SCHM_C19_NM_SIMUL AS STRING),'') OR (X.PBLC_GRNT_SCHM_C19_NM IS NULL AND Y.PBLC_GRNT_SCHM_C19_NM_SIMUL IS NOT NULL ) OR (X.PBLC_GRNT_SCHM_C19_NM IS NOT NULL AND Y.PBLC_GRNT_SCHM_C19_NM_SIMUL IS NULL),1,0)) AS NUM_REG_DIF,'1' AS ID_EXEC, CURRENT_TIMESTAMP() AS TIME_EXEC FROM (SELECT instrmnt_id, PBLC_GRNT_SCHM_C19_NM FROM CD_LOAN_TAPES_BCE.LT002_INSTRUMENT WHERE ref_date='${ref_date}' AND nome_perimetro='Individual Corporativo' AND segmento='ESTR' AND ambito='PM' AND entidade='00100')X INNER JOIN (SELECT instrmnt_id AS instrmnt_id_SIMUL, PBLC_GRNT_SCHM_C19_NM AS PBLC_GRNT_SCHM_C19_NM_SIMUL FROM BU_LOANTAPE_WORK.LT002_INSTRUMENT WHERE ref_date='${ref_date}' AND nome_perimetro='Individual Corporativo' AND segmento='ESTR' AND ambito='PM' AND entidade='00100')Y ON X.INSTRMNT_ID=Y.INSTRMNT_ID_SIMUL</v>
      </c>
      <c r="M266" s="36" t="str">
        <f t="shared" si="4"/>
        <v>UNION ALL SELECT 'INSTRUMENT' AS TABELA, 'COERÊNCIA' AS TIPOLOGIA_TESTE,'CD_LOAN_TAPES_BCE.LT002_INSTRUMENT' AS TABELA_LT,'BU_LOANTAPE_WORK.LT002_INSTRUMENT' AS TABELA_SIMUL,'PBLC_GRNT_SCHM_C19_NM' AS CAMPO, '${ref_date}' AS REF_DATE, COUNT(*) AS NUM_REG, SUM(IF(COALESCE(CAST(X.PBLC_GRNT_SCHM_C19_NM AS STRING),'')&lt;&gt;COALESCE(CAST(Y.PBLC_GRNT_SCHM_C19_NM_SIMUL AS STRING),'') OR (X.PBLC_GRNT_SCHM_C19_NM IS NULL AND Y.PBLC_GRNT_SCHM_C19_NM_SIMUL IS NOT NULL ) OR (X.PBLC_GRNT_SCHM_C19_NM IS NOT NULL AND Y.PBLC_GRNT_SCHM_C19_NM_SIMUL IS NULL),1,0)) AS NUM_REG_DIF,'1' AS ID_EXEC, CURRENT_TIMESTAMP() AS TIME_EXEC FROM (SELECT instrmnt_id, PBLC_GRNT_SCHM_C19_NM FROM CD_LOAN_TAPES_BCE.LT002_INSTRUMENT WHERE ref_date='${ref_date}' AND nome_perimetro='Individual Corporativo' AND segmento='ESTR' AND ambito='PM' AND entidade='00100')X INNER JOIN (SELECT instrmnt_id AS instrmnt_id_SIMUL, PBLC_GRNT_SCHM_C19_NM AS PBLC_GRNT_SCHM_C19_NM_SIMUL FROM BU_LOANTAPE_WORK.LT002_INSTRUMENT WHERE ref_date='${ref_date}' AND nome_perimetro='Individual Corporativo' AND segmento='ESTR' AND ambito='PM' AND entidade='00100')Y ON X.INSTRMNT_ID=Y.INSTRMNT_ID_SIMUL</v>
      </c>
      <c r="N266" s="38" t="s">
        <v>46</v>
      </c>
    </row>
    <row r="267" spans="2:14" hidden="1">
      <c r="B267" s="34" t="s">
        <v>126</v>
      </c>
      <c r="C267" s="34" t="s">
        <v>5</v>
      </c>
      <c r="D267" s="34" t="str">
        <f>+UPPER('0. Instruções'!$D$35&amp;"."&amp;VLOOKUP(B267,'0. Instruções'!$C$27:$D$32,2,FALSE))</f>
        <v>CD_LOAN_TAPES_BCE.LT002_INSTRUMENT</v>
      </c>
      <c r="E267" s="34" t="str">
        <f>+UPPER('0. Instruções'!$D$36&amp;"."&amp;VLOOKUP(B267,'0. Instruções'!$C$27:$E$32,3,FALSE))</f>
        <v>BU_LOANTAPE_WORK.LT002_INSTRUMENT</v>
      </c>
      <c r="F267" s="34" t="s">
        <v>549</v>
      </c>
      <c r="G267" s="34"/>
      <c r="H267" s="34" t="s">
        <v>92</v>
      </c>
      <c r="I267" s="34" t="str">
        <f>"(SELECT "&amp;VLOOKUP(B267,'0. Instruções'!$C$27:$G$32,4,FALSE)&amp;", "&amp;F267&amp;" FROM "&amp;D267&amp;" WHERE "&amp;'0. Instruções'!$D$42&amp;")X"</f>
        <v>(SELECT instrmnt_id, PMNT_PBLC_GRNT_SCHM_C19 FROM CD_LOAN_TAPES_BCE.LT002_INSTRUMENT WHERE ref_date='${ref_date}' AND nome_perimetro='Individual Corporativo' AND segmento='ESTR' AND ambito='PM' AND entidade='00100')X</v>
      </c>
      <c r="J267" s="34" t="str">
        <f>"(SELECT "&amp;VLOOKUP(B267,'0. Instruções'!$C$27:$G$32,4,FALSE)&amp;" AS "&amp;VLOOKUP(B267,'0. Instruções'!$C$27:$G$32,4,FALSE)&amp;"_SIMUL, "&amp;F267&amp;" AS "&amp;F267&amp;"_SIMUL FROM "&amp;E267&amp;" WHERE "&amp;'0. Instruções'!$D$43&amp;")Y"</f>
        <v>(SELECT instrmnt_id AS instrmnt_id_SIMUL, PMNT_PBLC_GRNT_SCHM_C19 AS PMNT_PBLC_GRNT_SCHM_C19_SIMUL FROM BU_LOANTAPE_WORK.LT002_INSTRUMENT WHERE ref_date='${ref_date}' AND nome_perimetro='Individual Corporativo' AND segmento='ESTR' AND ambito='PM' AND entidade='00100')Y</v>
      </c>
      <c r="K267" s="35" t="str">
        <f>+UPPER("ON X."&amp;VLOOKUP(B267,'0. Instruções'!$C$27:$G$32,4,FALSE)&amp;"=Y."&amp;VLOOKUP(B267,'0. Instruções'!$C$27:$G$32,4,FALSE)&amp;"_SIMUL")</f>
        <v>ON X.INSTRMNT_ID=Y.INSTRMNT_ID_SIMUL</v>
      </c>
      <c r="L267" s="35" t="str">
        <f>+IF(C267="Coerência", +IF(LEFT(G267,5)="FLOAT","SELECT '"&amp;UPPER(B267)&amp;"' AS TABELA, '"&amp;UPPER(C267)&amp;"' AS TIPOLOGIA_TESTE,'"&amp;D267&amp;"' AS TABELA_LT,'"&amp;E267&amp;"' AS TABELA_SIMUL,'"&amp;F267&amp;"' AS CAMPO, "&amp;"'${ref_date}' AS REF_DATE, COUNT(*) AS NUM_REG, SUM(IF((ABS(COALESCE(CAST(X."&amp;F267&amp;" AS DECIMAL(18,6)),0)-COALESCE(CAST(Y."&amp;F267&amp;"_SIMUL AS DECIMAL(18,6)),0))&gt;0.000001) OR (X."&amp;F267&amp;" IS NULL AND Y."&amp;F267&amp;"_SIMUL IS NOT NULL ) OR (X."&amp;F267&amp;" IS NOT NULL AND Y."&amp;F267&amp;"_SIMUL IS NULL),1,0)) AS NUM_REG_DIF,'"&amp;MAX('ID1&amp;5'!K:K)+1&amp;"' AS ID_EXEC, CURRENT_TIMESTAMP() AS TIME_EXEC FROM "&amp;I267&amp;" INNER JOIN "&amp;J267&amp;" "&amp;K267,"SELECT '"&amp;UPPER(B267)&amp;"' AS TABELA, '"&amp;UPPER(C267)&amp;"' AS TIPOLOGIA_TESTE,'"&amp;D267&amp;"' AS TABELA_LT,'"&amp;E267&amp;"' AS TABELA_SIMUL,'"&amp;F267&amp;"' AS CAMPO, "&amp;"'${ref_date}' AS REF_DATE, COUNT(*) AS NUM_REG, SUM(IF(COALESCE(CAST(X."&amp;F267&amp;" AS STRING),'')&lt;&gt;COALESCE(CAST(Y."&amp;F267&amp;"_SIMUL AS STRING),'') OR (X."&amp;F267&amp;" IS NULL AND Y."&amp;F267&amp;"_SIMUL IS NOT NULL ) OR (X."&amp;F267&amp;" IS NOT NULL AND Y."&amp;F267&amp;"_SIMUL IS NULL),1,0)) AS NUM_REG_DIF,'"&amp;MAX('ID1&amp;5'!L:L)+1&amp;"' AS ID_EXEC, CURRENT_TIMESTAMP() AS TIME_EXEC FROM "&amp;I267&amp;" INNER JOIN "&amp;J267&amp;" "&amp;K267),
IF(C267="Validade",+IF(G267="Code List","SELECT '"&amp;UPPER(B267)&amp;"' AS TABELA, '"&amp;UPPER(C267)&amp;"' AS TIPOLOGIA_TESTE,'"&amp;D267&amp;"' AS TABELA_LT,'N/A' AS TABELA_SIMUL,'"&amp;F267&amp;"' AS CAMPO, "&amp;"'${ref_date}' AS REF_DATE, COUNT(*) AS NUM_REG, SUM(IF(TRIM(CAST(X."&amp;F267&amp;" AS STRING))='' OR TRIM(CAST(X."&amp;F267&amp;" AS STRING)) IS NULL OR CAST(X."&amp;F267&amp;" AS STRING) NOT "&amp;H267&amp;",1,0)) AS NUM_REG_DIF,'"&amp;MAX('ID1&amp;5'!K:K)+1&amp;"' AS ID_EXEC, CURRENT_TIMESTAMP() AS TIME_EXEC FROM "&amp;I267,"SELECT '"&amp;UPPER(B267)&amp;"' AS TABELA, '"&amp;UPPER(C267)&amp;"' AS TIPOLOGIA_TESTE,'"&amp;D267&amp;"' AS TABELA_LT,'N/A' AS TABELA_SIMUL,'"&amp;F267&amp;"' AS CAMPO, "&amp;"'${ref_date}' AS REF_DATE, COUNT(*) AS NUM_REG, SUM(IF(TRIM(CAST(X."&amp;F267&amp;" AS STRING))='' OR TRIM(CAST(X."&amp;F267&amp;" AS STRING)) IS NULL,1,0)) AS NUM_REG_DIF,'"&amp;MAX('ID1&amp;5'!K:K)+1&amp;"' AS ID_EXEC, CURRENT_TIMESTAMP() AS TIME_EXEC FROM "&amp;I267),
IF(C267="Caracteres Especiais",+"SELECT '"&amp;UPPER(B267)&amp;"' AS TABELA, '"&amp;UPPER(C267)&amp;"' AS TIPOLOGIA_TESTE,'"&amp;D267&amp;"' AS TABELA_LT,'N/A' AS TABELA_SIMUL,'"&amp;F267&amp;"' AS CAMPO, "&amp;"'${ref_date}' AS REF_DATE, COUNT(*) AS NUM_REG, SUM(IF(REGEXP_REPLACE(TRIM(CAST(X."&amp;F267&amp;" AS STRING)),'[^a-zA-Z0-9_\\s]','') &lt;&gt;TRIM(CAST(X."&amp;F267&amp;" AS STRING)),1,0)) AS NUM_REG_DIF,'"&amp;MAX('ID1&amp;5'!K:K)+1&amp;"' AS ID_EXEC, CURRENT_TIMESTAMP() AS TIME_EXEC FROM "&amp;I267,
IF(C267="Missings",+"SELECT '"&amp;UPPER(B267)&amp;"' AS TABELA, '"&amp;UPPER(C267)&amp;"' AS TIPOLOGIA_TESTE,'"&amp;D267&amp;"' AS TABELA_LT,'N/A' AS TABELA_SIMUL,'"&amp;F267&amp;"' AS CAMPO, "&amp;"'${ref_date}' AS REF_DATE, COUNT(*) AS NUM_REG, SUM(IF(TRIM(CAST(X."&amp;F267&amp;" AS STRING)) IN ('0000-00-00','0001-01-01','9999-12-31','MISS','00000','99999999999','99999999999.00','99999999999.000000'),1,0)) AS NUM_REG_DIF,'"&amp;MAX('ID1&amp;5'!K:K)+1&amp;"' AS ID_EXEC, CURRENT_TIMESTAMP() AS TIME_EXEC FROM "&amp;I267,
IF(C267="Not applicable",+"SELECT '"&amp;UPPER(B267)&amp;"' AS TABELA, '"&amp;UPPER(C267)&amp;"' AS TIPOLOGIA_TESTE,'"&amp;D267&amp;"' AS TABELA_LT,'N/A' AS TABELA_SIMUL,'"&amp;F267&amp;"' AS CAMPO, "&amp;"'${ref_date}' AS REF_DATE, COUNT(*) AS NUM_REG, SUM(IF(TRIM(CAST(X."&amp;F267&amp;" AS STRING)) IN ('N/A','11111111111','11111111111.00','11111111111.000000','1111-11-11'),1,0)) AS NUM_REG_DIF,'"&amp;MAX('ID1&amp;5'!K:K)+1&amp;"' AS ID_EXEC, CURRENT_TIMESTAMP() AS TIME_EXEC FROM "&amp;I267,
IF(C267="Valores extremos",+"SELECT '"&amp;UPPER(B267)&amp;"' AS TABELA, '"&amp;UPPER(C267)&amp;"' AS TIPOLOGIA_TESTE,'"&amp;D267&amp;"' AS TABELA_LT,'N/A' AS TABELA_SIMUL,'"&amp;F267&amp;"' AS CAMPO, "&amp;"'${ref_date}' AS REF_DATE, CAST(MIN("&amp;F267&amp;") AS STRING) AS VALOR_MIN, CAST(MAX("&amp;F267&amp;") AS STRING) AS VALOR_MAX,'"&amp;MAX('ID1&amp;5'!K:K)+1&amp;"' AS ID_EXEC, CURRENT_TIMESTAMP() AS TIME_EXEC FROM "&amp;MID(I267,1,LEN(I267)-2)&amp;" AND CAST("&amp;F267&amp;"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TABELA_SIMUL,'PMNT_PBLC_GRNT_SCHM_C19' AS CAMPO, '${ref_date}' AS REF_DATE, COUNT(*) AS NUM_REG, SUM(IF(COALESCE(CAST(X.PMNT_PBLC_GRNT_SCHM_C19 AS STRING),'')&lt;&gt;COALESCE(CAST(Y.PMNT_PBLC_GRNT_SCHM_C19_SIMUL AS STRING),'') OR (X.PMNT_PBLC_GRNT_SCHM_C19 IS NULL AND Y.PMNT_PBLC_GRNT_SCHM_C19_SIMUL IS NOT NULL ) OR (X.PMNT_PBLC_GRNT_SCHM_C19 IS NOT NULL AND Y.PMNT_PBLC_GRNT_SCHM_C19_SIMUL IS NULL),1,0)) AS NUM_REG_DIF,'1' AS ID_EXEC, CURRENT_TIMESTAMP() AS TIME_EXEC FROM (SELECT instrmnt_id, PMNT_PBLC_GRNT_SCHM_C19 FROM CD_LOAN_TAPES_BCE.LT002_INSTRUMENT WHERE ref_date='${ref_date}' AND nome_perimetro='Individual Corporativo' AND segmento='ESTR' AND ambito='PM' AND entidade='00100')X INNER JOIN (SELECT instrmnt_id AS instrmnt_id_SIMUL, PMNT_PBLC_GRNT_SCHM_C19 AS PMNT_PBLC_GRNT_SCHM_C19_SIMUL FROM BU_LOANTAPE_WORK.LT002_INSTRUMENT WHERE ref_date='${ref_date}' AND nome_perimetro='Individual Corporativo' AND segmento='ESTR' AND ambito='PM' AND entidade='00100')Y ON X.INSTRMNT_ID=Y.INSTRMNT_ID_SIMUL</v>
      </c>
      <c r="M267" s="36" t="str">
        <f t="shared" si="4"/>
        <v>UNION ALL SELECT 'INSTRUMENT' AS TABELA, 'COERÊNCIA' AS TIPOLOGIA_TESTE,'CD_LOAN_TAPES_BCE.LT002_INSTRUMENT' AS TABELA_LT,'BU_LOANTAPE_WORK.LT002_INSTRUMENT' AS TABELA_SIMUL,'PMNT_PBLC_GRNT_SCHM_C19' AS CAMPO, '${ref_date}' AS REF_DATE, COUNT(*) AS NUM_REG, SUM(IF(COALESCE(CAST(X.PMNT_PBLC_GRNT_SCHM_C19 AS STRING),'')&lt;&gt;COALESCE(CAST(Y.PMNT_PBLC_GRNT_SCHM_C19_SIMUL AS STRING),'') OR (X.PMNT_PBLC_GRNT_SCHM_C19 IS NULL AND Y.PMNT_PBLC_GRNT_SCHM_C19_SIMUL IS NOT NULL ) OR (X.PMNT_PBLC_GRNT_SCHM_C19 IS NOT NULL AND Y.PMNT_PBLC_GRNT_SCHM_C19_SIMUL IS NULL),1,0)) AS NUM_REG_DIF,'1' AS ID_EXEC, CURRENT_TIMESTAMP() AS TIME_EXEC FROM (SELECT instrmnt_id, PMNT_PBLC_GRNT_SCHM_C19 FROM CD_LOAN_TAPES_BCE.LT002_INSTRUMENT WHERE ref_date='${ref_date}' AND nome_perimetro='Individual Corporativo' AND segmento='ESTR' AND ambito='PM' AND entidade='00100')X INNER JOIN (SELECT instrmnt_id AS instrmnt_id_SIMUL, PMNT_PBLC_GRNT_SCHM_C19 AS PMNT_PBLC_GRNT_SCHM_C19_SIMUL FROM BU_LOANTAPE_WORK.LT002_INSTRUMENT WHERE ref_date='${ref_date}' AND nome_perimetro='Individual Corporativo' AND segmento='ESTR' AND ambito='PM' AND entidade='00100')Y ON X.INSTRMNT_ID=Y.INSTRMNT_ID_SIMUL</v>
      </c>
      <c r="N267" s="38" t="s">
        <v>46</v>
      </c>
    </row>
    <row r="268" spans="2:14" hidden="1">
      <c r="B268" s="34" t="s">
        <v>126</v>
      </c>
      <c r="C268" s="34" t="s">
        <v>5</v>
      </c>
      <c r="D268" s="34" t="str">
        <f>+UPPER('0. Instruções'!$D$35&amp;"."&amp;VLOOKUP(B268,'0. Instruções'!$C$27:$D$32,2,FALSE))</f>
        <v>CD_LOAN_TAPES_BCE.LT002_INSTRUMENT</v>
      </c>
      <c r="E268" s="34" t="str">
        <f>+UPPER('0. Instruções'!$D$36&amp;"."&amp;VLOOKUP(B268,'0. Instruções'!$C$27:$E$32,3,FALSE))</f>
        <v>BU_LOANTAPE_WORK.LT002_INSTRUMENT</v>
      </c>
      <c r="F268" s="34" t="s">
        <v>550</v>
      </c>
      <c r="G268" s="34"/>
      <c r="H268" s="34" t="s">
        <v>89</v>
      </c>
      <c r="I268" s="34" t="str">
        <f>"(SELECT "&amp;VLOOKUP(B268,'0. Instruções'!$C$27:$G$32,4,FALSE)&amp;", "&amp;F268&amp;" FROM "&amp;D268&amp;" WHERE "&amp;'0. Instruções'!$D$42&amp;")X"</f>
        <v>(SELECT instrmnt_id, ASST_SCRT_CLSS FROM CD_LOAN_TAPES_BCE.LT002_INSTRUMENT WHERE ref_date='${ref_date}' AND nome_perimetro='Individual Corporativo' AND segmento='ESTR' AND ambito='PM' AND entidade='00100')X</v>
      </c>
      <c r="J268" s="34" t="str">
        <f>"(SELECT "&amp;VLOOKUP(B268,'0. Instruções'!$C$27:$G$32,4,FALSE)&amp;" AS "&amp;VLOOKUP(B268,'0. Instruções'!$C$27:$G$32,4,FALSE)&amp;"_SIMUL, "&amp;F268&amp;" AS "&amp;F268&amp;"_SIMUL FROM "&amp;E268&amp;" WHERE "&amp;'0. Instruções'!$D$43&amp;")Y"</f>
        <v>(SELECT instrmnt_id AS instrmnt_id_SIMUL, ASST_SCRT_CLSS AS ASST_SCRT_CLSS_SIMUL FROM BU_LOANTAPE_WORK.LT002_INSTRUMENT WHERE ref_date='${ref_date}' AND nome_perimetro='Individual Corporativo' AND segmento='ESTR' AND ambito='PM' AND entidade='00100')Y</v>
      </c>
      <c r="K268" s="35" t="str">
        <f>+UPPER("ON X."&amp;VLOOKUP(B268,'0. Instruções'!$C$27:$G$32,4,FALSE)&amp;"=Y."&amp;VLOOKUP(B268,'0. Instruções'!$C$27:$G$32,4,FALSE)&amp;"_SIMUL")</f>
        <v>ON X.INSTRMNT_ID=Y.INSTRMNT_ID_SIMUL</v>
      </c>
      <c r="L268" s="35" t="str">
        <f>+IF(C268="Coerência", +IF(LEFT(G268,5)="FLOAT","SELECT '"&amp;UPPER(B268)&amp;"' AS TABELA, '"&amp;UPPER(C268)&amp;"' AS TIPOLOGIA_TESTE,'"&amp;D268&amp;"' AS TABELA_LT,'"&amp;E268&amp;"' AS TABELA_SIMUL,'"&amp;F268&amp;"' AS CAMPO, "&amp;"'${ref_date}' AS REF_DATE, COUNT(*) AS NUM_REG, SUM(IF((ABS(COALESCE(CAST(X."&amp;F268&amp;" AS DECIMAL(18,6)),0)-COALESCE(CAST(Y."&amp;F268&amp;"_SIMUL AS DECIMAL(18,6)),0))&gt;0.000001) OR (X."&amp;F268&amp;" IS NULL AND Y."&amp;F268&amp;"_SIMUL IS NOT NULL ) OR (X."&amp;F268&amp;" IS NOT NULL AND Y."&amp;F268&amp;"_SIMUL IS NULL),1,0)) AS NUM_REG_DIF,'"&amp;MAX('ID1&amp;5'!K:K)+1&amp;"' AS ID_EXEC, CURRENT_TIMESTAMP() AS TIME_EXEC FROM "&amp;I268&amp;" INNER JOIN "&amp;J268&amp;" "&amp;K268,"SELECT '"&amp;UPPER(B268)&amp;"' AS TABELA, '"&amp;UPPER(C268)&amp;"' AS TIPOLOGIA_TESTE,'"&amp;D268&amp;"' AS TABELA_LT,'"&amp;E268&amp;"' AS TABELA_SIMUL,'"&amp;F268&amp;"' AS CAMPO, "&amp;"'${ref_date}' AS REF_DATE, COUNT(*) AS NUM_REG, SUM(IF(COALESCE(CAST(X."&amp;F268&amp;" AS STRING),'')&lt;&gt;COALESCE(CAST(Y."&amp;F268&amp;"_SIMUL AS STRING),'') OR (X."&amp;F268&amp;" IS NULL AND Y."&amp;F268&amp;"_SIMUL IS NOT NULL ) OR (X."&amp;F268&amp;" IS NOT NULL AND Y."&amp;F268&amp;"_SIMUL IS NULL),1,0)) AS NUM_REG_DIF,'"&amp;MAX('ID1&amp;5'!L:L)+1&amp;"' AS ID_EXEC, CURRENT_TIMESTAMP() AS TIME_EXEC FROM "&amp;I268&amp;" INNER JOIN "&amp;J268&amp;" "&amp;K268),
IF(C268="Validade",+IF(G268="Code List","SELECT '"&amp;UPPER(B268)&amp;"' AS TABELA, '"&amp;UPPER(C268)&amp;"' AS TIPOLOGIA_TESTE,'"&amp;D268&amp;"' AS TABELA_LT,'N/A' AS TABELA_SIMUL,'"&amp;F268&amp;"' AS CAMPO, "&amp;"'${ref_date}' AS REF_DATE, COUNT(*) AS NUM_REG, SUM(IF(TRIM(CAST(X."&amp;F268&amp;" AS STRING))='' OR TRIM(CAST(X."&amp;F268&amp;" AS STRING)) IS NULL OR CAST(X."&amp;F268&amp;" AS STRING) NOT "&amp;H268&amp;",1,0)) AS NUM_REG_DIF,'"&amp;MAX('ID1&amp;5'!K:K)+1&amp;"' AS ID_EXEC, CURRENT_TIMESTAMP() AS TIME_EXEC FROM "&amp;I268,"SELECT '"&amp;UPPER(B268)&amp;"' AS TABELA, '"&amp;UPPER(C268)&amp;"' AS TIPOLOGIA_TESTE,'"&amp;D268&amp;"' AS TABELA_LT,'N/A' AS TABELA_SIMUL,'"&amp;F268&amp;"' AS CAMPO, "&amp;"'${ref_date}' AS REF_DATE, COUNT(*) AS NUM_REG, SUM(IF(TRIM(CAST(X."&amp;F268&amp;" AS STRING))='' OR TRIM(CAST(X."&amp;F268&amp;" AS STRING)) IS NULL,1,0)) AS NUM_REG_DIF,'"&amp;MAX('ID1&amp;5'!K:K)+1&amp;"' AS ID_EXEC, CURRENT_TIMESTAMP() AS TIME_EXEC FROM "&amp;I268),
IF(C268="Caracteres Especiais",+"SELECT '"&amp;UPPER(B268)&amp;"' AS TABELA, '"&amp;UPPER(C268)&amp;"' AS TIPOLOGIA_TESTE,'"&amp;D268&amp;"' AS TABELA_LT,'N/A' AS TABELA_SIMUL,'"&amp;F268&amp;"' AS CAMPO, "&amp;"'${ref_date}' AS REF_DATE, COUNT(*) AS NUM_REG, SUM(IF(REGEXP_REPLACE(TRIM(CAST(X."&amp;F268&amp;" AS STRING)),'[^a-zA-Z0-9_\\s]','') &lt;&gt;TRIM(CAST(X."&amp;F268&amp;" AS STRING)),1,0)) AS NUM_REG_DIF,'"&amp;MAX('ID1&amp;5'!K:K)+1&amp;"' AS ID_EXEC, CURRENT_TIMESTAMP() AS TIME_EXEC FROM "&amp;I268,
IF(C268="Missings",+"SELECT '"&amp;UPPER(B268)&amp;"' AS TABELA, '"&amp;UPPER(C268)&amp;"' AS TIPOLOGIA_TESTE,'"&amp;D268&amp;"' AS TABELA_LT,'N/A' AS TABELA_SIMUL,'"&amp;F268&amp;"' AS CAMPO, "&amp;"'${ref_date}' AS REF_DATE, COUNT(*) AS NUM_REG, SUM(IF(TRIM(CAST(X."&amp;F268&amp;" AS STRING)) IN ('0000-00-00','0001-01-01','9999-12-31','MISS','00000','99999999999','99999999999.00','99999999999.000000'),1,0)) AS NUM_REG_DIF,'"&amp;MAX('ID1&amp;5'!K:K)+1&amp;"' AS ID_EXEC, CURRENT_TIMESTAMP() AS TIME_EXEC FROM "&amp;I268,
IF(C268="Not applicable",+"SELECT '"&amp;UPPER(B268)&amp;"' AS TABELA, '"&amp;UPPER(C268)&amp;"' AS TIPOLOGIA_TESTE,'"&amp;D268&amp;"' AS TABELA_LT,'N/A' AS TABELA_SIMUL,'"&amp;F268&amp;"' AS CAMPO, "&amp;"'${ref_date}' AS REF_DATE, COUNT(*) AS NUM_REG, SUM(IF(TRIM(CAST(X."&amp;F268&amp;" AS STRING)) IN ('N/A','11111111111','11111111111.00','11111111111.000000','1111-11-11'),1,0)) AS NUM_REG_DIF,'"&amp;MAX('ID1&amp;5'!K:K)+1&amp;"' AS ID_EXEC, CURRENT_TIMESTAMP() AS TIME_EXEC FROM "&amp;I268,
IF(C268="Valores extremos",+"SELECT '"&amp;UPPER(B268)&amp;"' AS TABELA, '"&amp;UPPER(C268)&amp;"' AS TIPOLOGIA_TESTE,'"&amp;D268&amp;"' AS TABELA_LT,'N/A' AS TABELA_SIMUL,'"&amp;F268&amp;"' AS CAMPO, "&amp;"'${ref_date}' AS REF_DATE, CAST(MIN("&amp;F268&amp;") AS STRING) AS VALOR_MIN, CAST(MAX("&amp;F268&amp;") AS STRING) AS VALOR_MAX,'"&amp;MAX('ID1&amp;5'!K:K)+1&amp;"' AS ID_EXEC, CURRENT_TIMESTAMP() AS TIME_EXEC FROM "&amp;MID(I268,1,LEN(I268)-2)&amp;" AND CAST("&amp;F268&amp;"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TABELA_SIMUL,'ASST_SCRT_CLSS' AS CAMPO, '${ref_date}' AS REF_DATE, COUNT(*) AS NUM_REG, SUM(IF(COALESCE(CAST(X.ASST_SCRT_CLSS AS STRING),'')&lt;&gt;COALESCE(CAST(Y.ASST_SCRT_CLSS_SIMUL AS STRING),'') OR (X.ASST_SCRT_CLSS IS NULL AND Y.ASST_SCRT_CLSS_SIMUL IS NOT NULL ) OR (X.ASST_SCRT_CLSS IS NOT NULL AND Y.ASST_SCRT_CLSS_SIMUL IS NULL),1,0)) AS NUM_REG_DIF,'1' AS ID_EXEC, CURRENT_TIMESTAMP() AS TIME_EXEC FROM (SELECT instrmnt_id, ASST_SCRT_CLSS FROM CD_LOAN_TAPES_BCE.LT002_INSTRUMENT WHERE ref_date='${ref_date}' AND nome_perimetro='Individual Corporativo' AND segmento='ESTR' AND ambito='PM' AND entidade='00100')X INNER JOIN (SELECT instrmnt_id AS instrmnt_id_SIMUL, ASST_SCRT_CLSS AS ASST_SCRT_CLSS_SIMUL FROM BU_LOANTAPE_WORK.LT002_INSTRUMENT WHERE ref_date='${ref_date}' AND nome_perimetro='Individual Corporativo' AND segmento='ESTR' AND ambito='PM' AND entidade='00100')Y ON X.INSTRMNT_ID=Y.INSTRMNT_ID_SIMUL</v>
      </c>
      <c r="M268" s="36" t="str">
        <f t="shared" si="4"/>
        <v>UNION ALL SELECT 'INSTRUMENT' AS TABELA, 'COERÊNCIA' AS TIPOLOGIA_TESTE,'CD_LOAN_TAPES_BCE.LT002_INSTRUMENT' AS TABELA_LT,'BU_LOANTAPE_WORK.LT002_INSTRUMENT' AS TABELA_SIMUL,'ASST_SCRT_CLSS' AS CAMPO, '${ref_date}' AS REF_DATE, COUNT(*) AS NUM_REG, SUM(IF(COALESCE(CAST(X.ASST_SCRT_CLSS AS STRING),'')&lt;&gt;COALESCE(CAST(Y.ASST_SCRT_CLSS_SIMUL AS STRING),'') OR (X.ASST_SCRT_CLSS IS NULL AND Y.ASST_SCRT_CLSS_SIMUL IS NOT NULL ) OR (X.ASST_SCRT_CLSS IS NOT NULL AND Y.ASST_SCRT_CLSS_SIMUL IS NULL),1,0)) AS NUM_REG_DIF,'1' AS ID_EXEC, CURRENT_TIMESTAMP() AS TIME_EXEC FROM (SELECT instrmnt_id, ASST_SCRT_CLSS FROM CD_LOAN_TAPES_BCE.LT002_INSTRUMENT WHERE ref_date='${ref_date}' AND nome_perimetro='Individual Corporativo' AND segmento='ESTR' AND ambito='PM' AND entidade='00100')X INNER JOIN (SELECT instrmnt_id AS instrmnt_id_SIMUL, ASST_SCRT_CLSS AS ASST_SCRT_CLSS_SIMUL FROM BU_LOANTAPE_WORK.LT002_INSTRUMENT WHERE ref_date='${ref_date}' AND nome_perimetro='Individual Corporativo' AND segmento='ESTR' AND ambito='PM' AND entidade='00100')Y ON X.INSTRMNT_ID=Y.INSTRMNT_ID_SIMUL</v>
      </c>
      <c r="N268" s="38" t="s">
        <v>46</v>
      </c>
    </row>
    <row r="269" spans="2:14" hidden="1">
      <c r="B269" s="34" t="s">
        <v>126</v>
      </c>
      <c r="C269" s="34" t="s">
        <v>5</v>
      </c>
      <c r="D269" s="34" t="str">
        <f>+UPPER('0. Instruções'!$D$35&amp;"."&amp;VLOOKUP(B269,'0. Instruções'!$C$27:$D$32,2,FALSE))</f>
        <v>CD_LOAN_TAPES_BCE.LT002_INSTRUMENT</v>
      </c>
      <c r="E269" s="34" t="str">
        <f>+UPPER('0. Instruções'!$D$36&amp;"."&amp;VLOOKUP(B269,'0. Instruções'!$C$27:$E$32,3,FALSE))</f>
        <v>BU_LOANTAPE_WORK.LT002_INSTRUMENT</v>
      </c>
      <c r="F269" s="34" t="s">
        <v>551</v>
      </c>
      <c r="G269" s="34"/>
      <c r="H269" s="34" t="s">
        <v>89</v>
      </c>
      <c r="I269" s="34" t="str">
        <f>"(SELECT "&amp;VLOOKUP(B269,'0. Instruções'!$C$27:$G$32,4,FALSE)&amp;", "&amp;F269&amp;" FROM "&amp;D269&amp;" WHERE "&amp;'0. Instruções'!$D$42&amp;")X"</f>
        <v>(SELECT instrmnt_id, CPN_CRRNCY FROM CD_LOAN_TAPES_BCE.LT002_INSTRUMENT WHERE ref_date='${ref_date}' AND nome_perimetro='Individual Corporativo' AND segmento='ESTR' AND ambito='PM' AND entidade='00100')X</v>
      </c>
      <c r="J269" s="34" t="str">
        <f>"(SELECT "&amp;VLOOKUP(B269,'0. Instruções'!$C$27:$G$32,4,FALSE)&amp;" AS "&amp;VLOOKUP(B269,'0. Instruções'!$C$27:$G$32,4,FALSE)&amp;"_SIMUL, "&amp;F269&amp;" AS "&amp;F269&amp;"_SIMUL FROM "&amp;E269&amp;" WHERE "&amp;'0. Instruções'!$D$43&amp;")Y"</f>
        <v>(SELECT instrmnt_id AS instrmnt_id_SIMUL, CPN_CRRNCY AS CPN_CRRNCY_SIMUL FROM BU_LOANTAPE_WORK.LT002_INSTRUMENT WHERE ref_date='${ref_date}' AND nome_perimetro='Individual Corporativo' AND segmento='ESTR' AND ambito='PM' AND entidade='00100')Y</v>
      </c>
      <c r="K269" s="35" t="str">
        <f>+UPPER("ON X."&amp;VLOOKUP(B269,'0. Instruções'!$C$27:$G$32,4,FALSE)&amp;"=Y."&amp;VLOOKUP(B269,'0. Instruções'!$C$27:$G$32,4,FALSE)&amp;"_SIMUL")</f>
        <v>ON X.INSTRMNT_ID=Y.INSTRMNT_ID_SIMUL</v>
      </c>
      <c r="L269" s="35" t="str">
        <f>+IF(C269="Coerência", +IF(LEFT(G269,5)="FLOAT","SELECT '"&amp;UPPER(B269)&amp;"' AS TABELA, '"&amp;UPPER(C269)&amp;"' AS TIPOLOGIA_TESTE,'"&amp;D269&amp;"' AS TABELA_LT,'"&amp;E269&amp;"' AS TABELA_SIMUL,'"&amp;F269&amp;"' AS CAMPO, "&amp;"'${ref_date}' AS REF_DATE, COUNT(*) AS NUM_REG, SUM(IF((ABS(COALESCE(CAST(X."&amp;F269&amp;" AS DECIMAL(18,6)),0)-COALESCE(CAST(Y."&amp;F269&amp;"_SIMUL AS DECIMAL(18,6)),0))&gt;0.000001) OR (X."&amp;F269&amp;" IS NULL AND Y."&amp;F269&amp;"_SIMUL IS NOT NULL ) OR (X."&amp;F269&amp;" IS NOT NULL AND Y."&amp;F269&amp;"_SIMUL IS NULL),1,0)) AS NUM_REG_DIF,'"&amp;MAX('ID1&amp;5'!K:K)+1&amp;"' AS ID_EXEC, CURRENT_TIMESTAMP() AS TIME_EXEC FROM "&amp;I269&amp;" INNER JOIN "&amp;J269&amp;" "&amp;K269,"SELECT '"&amp;UPPER(B269)&amp;"' AS TABELA, '"&amp;UPPER(C269)&amp;"' AS TIPOLOGIA_TESTE,'"&amp;D269&amp;"' AS TABELA_LT,'"&amp;E269&amp;"' AS TABELA_SIMUL,'"&amp;F269&amp;"' AS CAMPO, "&amp;"'${ref_date}' AS REF_DATE, COUNT(*) AS NUM_REG, SUM(IF(COALESCE(CAST(X."&amp;F269&amp;" AS STRING),'')&lt;&gt;COALESCE(CAST(Y."&amp;F269&amp;"_SIMUL AS STRING),'') OR (X."&amp;F269&amp;" IS NULL AND Y."&amp;F269&amp;"_SIMUL IS NOT NULL ) OR (X."&amp;F269&amp;" IS NOT NULL AND Y."&amp;F269&amp;"_SIMUL IS NULL),1,0)) AS NUM_REG_DIF,'"&amp;MAX('ID1&amp;5'!L:L)+1&amp;"' AS ID_EXEC, CURRENT_TIMESTAMP() AS TIME_EXEC FROM "&amp;I269&amp;" INNER JOIN "&amp;J269&amp;" "&amp;K269),
IF(C269="Validade",+IF(G269="Code List","SELECT '"&amp;UPPER(B269)&amp;"' AS TABELA, '"&amp;UPPER(C269)&amp;"' AS TIPOLOGIA_TESTE,'"&amp;D269&amp;"' AS TABELA_LT,'N/A' AS TABELA_SIMUL,'"&amp;F269&amp;"' AS CAMPO, "&amp;"'${ref_date}' AS REF_DATE, COUNT(*) AS NUM_REG, SUM(IF(TRIM(CAST(X."&amp;F269&amp;" AS STRING))='' OR TRIM(CAST(X."&amp;F269&amp;" AS STRING)) IS NULL OR CAST(X."&amp;F269&amp;" AS STRING) NOT "&amp;H269&amp;",1,0)) AS NUM_REG_DIF,'"&amp;MAX('ID1&amp;5'!K:K)+1&amp;"' AS ID_EXEC, CURRENT_TIMESTAMP() AS TIME_EXEC FROM "&amp;I269,"SELECT '"&amp;UPPER(B269)&amp;"' AS TABELA, '"&amp;UPPER(C269)&amp;"' AS TIPOLOGIA_TESTE,'"&amp;D269&amp;"' AS TABELA_LT,'N/A' AS TABELA_SIMUL,'"&amp;F269&amp;"' AS CAMPO, "&amp;"'${ref_date}' AS REF_DATE, COUNT(*) AS NUM_REG, SUM(IF(TRIM(CAST(X."&amp;F269&amp;" AS STRING))='' OR TRIM(CAST(X."&amp;F269&amp;" AS STRING)) IS NULL,1,0)) AS NUM_REG_DIF,'"&amp;MAX('ID1&amp;5'!K:K)+1&amp;"' AS ID_EXEC, CURRENT_TIMESTAMP() AS TIME_EXEC FROM "&amp;I269),
IF(C269="Caracteres Especiais",+"SELECT '"&amp;UPPER(B269)&amp;"' AS TABELA, '"&amp;UPPER(C269)&amp;"' AS TIPOLOGIA_TESTE,'"&amp;D269&amp;"' AS TABELA_LT,'N/A' AS TABELA_SIMUL,'"&amp;F269&amp;"' AS CAMPO, "&amp;"'${ref_date}' AS REF_DATE, COUNT(*) AS NUM_REG, SUM(IF(REGEXP_REPLACE(TRIM(CAST(X."&amp;F269&amp;" AS STRING)),'[^a-zA-Z0-9_\\s]','') &lt;&gt;TRIM(CAST(X."&amp;F269&amp;" AS STRING)),1,0)) AS NUM_REG_DIF,'"&amp;MAX('ID1&amp;5'!K:K)+1&amp;"' AS ID_EXEC, CURRENT_TIMESTAMP() AS TIME_EXEC FROM "&amp;I269,
IF(C269="Missings",+"SELECT '"&amp;UPPER(B269)&amp;"' AS TABELA, '"&amp;UPPER(C269)&amp;"' AS TIPOLOGIA_TESTE,'"&amp;D269&amp;"' AS TABELA_LT,'N/A' AS TABELA_SIMUL,'"&amp;F269&amp;"' AS CAMPO, "&amp;"'${ref_date}' AS REF_DATE, COUNT(*) AS NUM_REG, SUM(IF(TRIM(CAST(X."&amp;F269&amp;" AS STRING)) IN ('0000-00-00','0001-01-01','9999-12-31','MISS','00000','99999999999','99999999999.00','99999999999.000000'),1,0)) AS NUM_REG_DIF,'"&amp;MAX('ID1&amp;5'!K:K)+1&amp;"' AS ID_EXEC, CURRENT_TIMESTAMP() AS TIME_EXEC FROM "&amp;I269,
IF(C269="Not applicable",+"SELECT '"&amp;UPPER(B269)&amp;"' AS TABELA, '"&amp;UPPER(C269)&amp;"' AS TIPOLOGIA_TESTE,'"&amp;D269&amp;"' AS TABELA_LT,'N/A' AS TABELA_SIMUL,'"&amp;F269&amp;"' AS CAMPO, "&amp;"'${ref_date}' AS REF_DATE, COUNT(*) AS NUM_REG, SUM(IF(TRIM(CAST(X."&amp;F269&amp;" AS STRING)) IN ('N/A','11111111111','11111111111.00','11111111111.000000','1111-11-11'),1,0)) AS NUM_REG_DIF,'"&amp;MAX('ID1&amp;5'!K:K)+1&amp;"' AS ID_EXEC, CURRENT_TIMESTAMP() AS TIME_EXEC FROM "&amp;I269,
IF(C269="Valores extremos",+"SELECT '"&amp;UPPER(B269)&amp;"' AS TABELA, '"&amp;UPPER(C269)&amp;"' AS TIPOLOGIA_TESTE,'"&amp;D269&amp;"' AS TABELA_LT,'N/A' AS TABELA_SIMUL,'"&amp;F269&amp;"' AS CAMPO, "&amp;"'${ref_date}' AS REF_DATE, CAST(MIN("&amp;F269&amp;") AS STRING) AS VALOR_MIN, CAST(MAX("&amp;F269&amp;") AS STRING) AS VALOR_MAX,'"&amp;MAX('ID1&amp;5'!K:K)+1&amp;"' AS ID_EXEC, CURRENT_TIMESTAMP() AS TIME_EXEC FROM "&amp;MID(I269,1,LEN(I269)-2)&amp;" AND CAST("&amp;F269&amp;"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TABELA_SIMUL,'CPN_CRRNCY' AS CAMPO, '${ref_date}' AS REF_DATE, COUNT(*) AS NUM_REG, SUM(IF(COALESCE(CAST(X.CPN_CRRNCY AS STRING),'')&lt;&gt;COALESCE(CAST(Y.CPN_CRRNCY_SIMUL AS STRING),'') OR (X.CPN_CRRNCY IS NULL AND Y.CPN_CRRNCY_SIMUL IS NOT NULL ) OR (X.CPN_CRRNCY IS NOT NULL AND Y.CPN_CRRNCY_SIMUL IS NULL),1,0)) AS NUM_REG_DIF,'1' AS ID_EXEC, CURRENT_TIMESTAMP() AS TIME_EXEC FROM (SELECT instrmnt_id, CPN_CRRNCY FROM CD_LOAN_TAPES_BCE.LT002_INSTRUMENT WHERE ref_date='${ref_date}' AND nome_perimetro='Individual Corporativo' AND segmento='ESTR' AND ambito='PM' AND entidade='00100')X INNER JOIN (SELECT instrmnt_id AS instrmnt_id_SIMUL, CPN_CRRNCY AS CPN_CRRNCY_SIMUL FROM BU_LOANTAPE_WORK.LT002_INSTRUMENT WHERE ref_date='${ref_date}' AND nome_perimetro='Individual Corporativo' AND segmento='ESTR' AND ambito='PM' AND entidade='00100')Y ON X.INSTRMNT_ID=Y.INSTRMNT_ID_SIMUL</v>
      </c>
      <c r="M269" s="36" t="str">
        <f t="shared" si="4"/>
        <v>UNION ALL SELECT 'INSTRUMENT' AS TABELA, 'COERÊNCIA' AS TIPOLOGIA_TESTE,'CD_LOAN_TAPES_BCE.LT002_INSTRUMENT' AS TABELA_LT,'BU_LOANTAPE_WORK.LT002_INSTRUMENT' AS TABELA_SIMUL,'CPN_CRRNCY' AS CAMPO, '${ref_date}' AS REF_DATE, COUNT(*) AS NUM_REG, SUM(IF(COALESCE(CAST(X.CPN_CRRNCY AS STRING),'')&lt;&gt;COALESCE(CAST(Y.CPN_CRRNCY_SIMUL AS STRING),'') OR (X.CPN_CRRNCY IS NULL AND Y.CPN_CRRNCY_SIMUL IS NOT NULL ) OR (X.CPN_CRRNCY IS NOT NULL AND Y.CPN_CRRNCY_SIMUL IS NULL),1,0)) AS NUM_REG_DIF,'1' AS ID_EXEC, CURRENT_TIMESTAMP() AS TIME_EXEC FROM (SELECT instrmnt_id, CPN_CRRNCY FROM CD_LOAN_TAPES_BCE.LT002_INSTRUMENT WHERE ref_date='${ref_date}' AND nome_perimetro='Individual Corporativo' AND segmento='ESTR' AND ambito='PM' AND entidade='00100')X INNER JOIN (SELECT instrmnt_id AS instrmnt_id_SIMUL, CPN_CRRNCY AS CPN_CRRNCY_SIMUL FROM BU_LOANTAPE_WORK.LT002_INSTRUMENT WHERE ref_date='${ref_date}' AND nome_perimetro='Individual Corporativo' AND segmento='ESTR' AND ambito='PM' AND entidade='00100')Y ON X.INSTRMNT_ID=Y.INSTRMNT_ID_SIMUL</v>
      </c>
      <c r="N269" s="38" t="s">
        <v>46</v>
      </c>
    </row>
    <row r="270" spans="2:14" hidden="1">
      <c r="B270" s="34" t="s">
        <v>126</v>
      </c>
      <c r="C270" s="34" t="s">
        <v>5</v>
      </c>
      <c r="D270" s="34" t="str">
        <f>+UPPER('0. Instruções'!$D$35&amp;"."&amp;VLOOKUP(B270,'0. Instruções'!$C$27:$D$32,2,FALSE))</f>
        <v>CD_LOAN_TAPES_BCE.LT002_INSTRUMENT</v>
      </c>
      <c r="E270" s="34" t="str">
        <f>+UPPER('0. Instruções'!$D$36&amp;"."&amp;VLOOKUP(B270,'0. Instruções'!$C$27:$E$32,3,FALSE))</f>
        <v>BU_LOANTAPE_WORK.LT002_INSTRUMENT</v>
      </c>
      <c r="F270" s="34" t="s">
        <v>553</v>
      </c>
      <c r="G270" s="34"/>
      <c r="H270" s="34" t="s">
        <v>645</v>
      </c>
      <c r="I270" s="34" t="str">
        <f>"(SELECT "&amp;VLOOKUP(B270,'0. Instruções'!$C$27:$G$32,4,FALSE)&amp;", "&amp;F270&amp;" FROM "&amp;D270&amp;" WHERE "&amp;'0. Instruções'!$D$42&amp;")X"</f>
        <v>(SELECT instrmnt_id, DT_VLTN FROM CD_LOAN_TAPES_BCE.LT002_INSTRUMENT WHERE ref_date='${ref_date}' AND nome_perimetro='Individual Corporativo' AND segmento='ESTR' AND ambito='PM' AND entidade='00100')X</v>
      </c>
      <c r="J270" s="34" t="str">
        <f>"(SELECT "&amp;VLOOKUP(B270,'0. Instruções'!$C$27:$G$32,4,FALSE)&amp;" AS "&amp;VLOOKUP(B270,'0. Instruções'!$C$27:$G$32,4,FALSE)&amp;"_SIMUL, "&amp;F270&amp;" AS "&amp;F270&amp;"_SIMUL FROM "&amp;E270&amp;" WHERE "&amp;'0. Instruções'!$D$43&amp;")Y"</f>
        <v>(SELECT instrmnt_id AS instrmnt_id_SIMUL, DT_VLTN AS DT_VLTN_SIMUL FROM BU_LOANTAPE_WORK.LT002_INSTRUMENT WHERE ref_date='${ref_date}' AND nome_perimetro='Individual Corporativo' AND segmento='ESTR' AND ambito='PM' AND entidade='00100')Y</v>
      </c>
      <c r="K270" s="35" t="str">
        <f>+UPPER("ON X."&amp;VLOOKUP(B270,'0. Instruções'!$C$27:$G$32,4,FALSE)&amp;"=Y."&amp;VLOOKUP(B270,'0. Instruções'!$C$27:$G$32,4,FALSE)&amp;"_SIMUL")</f>
        <v>ON X.INSTRMNT_ID=Y.INSTRMNT_ID_SIMUL</v>
      </c>
      <c r="L270" s="35" t="str">
        <f>+IF(C270="Coerência", +IF(LEFT(G270,5)="FLOAT","SELECT '"&amp;UPPER(B270)&amp;"' AS TABELA, '"&amp;UPPER(C270)&amp;"' AS TIPOLOGIA_TESTE,'"&amp;D270&amp;"' AS TABELA_LT,'"&amp;E270&amp;"' AS TABELA_SIMUL,'"&amp;F270&amp;"' AS CAMPO, "&amp;"'${ref_date}' AS REF_DATE, COUNT(*) AS NUM_REG, SUM(IF((ABS(COALESCE(CAST(X."&amp;F270&amp;" AS DECIMAL(18,6)),0)-COALESCE(CAST(Y."&amp;F270&amp;"_SIMUL AS DECIMAL(18,6)),0))&gt;0.000001) OR (X."&amp;F270&amp;" IS NULL AND Y."&amp;F270&amp;"_SIMUL IS NOT NULL ) OR (X."&amp;F270&amp;" IS NOT NULL AND Y."&amp;F270&amp;"_SIMUL IS NULL),1,0)) AS NUM_REG_DIF,'"&amp;MAX('ID1&amp;5'!K:K)+1&amp;"' AS ID_EXEC, CURRENT_TIMESTAMP() AS TIME_EXEC FROM "&amp;I270&amp;" INNER JOIN "&amp;J270&amp;" "&amp;K270,"SELECT '"&amp;UPPER(B270)&amp;"' AS TABELA, '"&amp;UPPER(C270)&amp;"' AS TIPOLOGIA_TESTE,'"&amp;D270&amp;"' AS TABELA_LT,'"&amp;E270&amp;"' AS TABELA_SIMUL,'"&amp;F270&amp;"' AS CAMPO, "&amp;"'${ref_date}' AS REF_DATE, COUNT(*) AS NUM_REG, SUM(IF(COALESCE(CAST(X."&amp;F270&amp;" AS STRING),'')&lt;&gt;COALESCE(CAST(Y."&amp;F270&amp;"_SIMUL AS STRING),'') OR (X."&amp;F270&amp;" IS NULL AND Y."&amp;F270&amp;"_SIMUL IS NOT NULL ) OR (X."&amp;F270&amp;" IS NOT NULL AND Y."&amp;F270&amp;"_SIMUL IS NULL),1,0)) AS NUM_REG_DIF,'"&amp;MAX('ID1&amp;5'!L:L)+1&amp;"' AS ID_EXEC, CURRENT_TIMESTAMP() AS TIME_EXEC FROM "&amp;I270&amp;" INNER JOIN "&amp;J270&amp;" "&amp;K270),
IF(C270="Validade",+IF(G270="Code List","SELECT '"&amp;UPPER(B270)&amp;"' AS TABELA, '"&amp;UPPER(C270)&amp;"' AS TIPOLOGIA_TESTE,'"&amp;D270&amp;"' AS TABELA_LT,'N/A' AS TABELA_SIMUL,'"&amp;F270&amp;"' AS CAMPO, "&amp;"'${ref_date}' AS REF_DATE, COUNT(*) AS NUM_REG, SUM(IF(TRIM(CAST(X."&amp;F270&amp;" AS STRING))='' OR TRIM(CAST(X."&amp;F270&amp;" AS STRING)) IS NULL OR CAST(X."&amp;F270&amp;" AS STRING) NOT "&amp;H270&amp;",1,0)) AS NUM_REG_DIF,'"&amp;MAX('ID1&amp;5'!K:K)+1&amp;"' AS ID_EXEC, CURRENT_TIMESTAMP() AS TIME_EXEC FROM "&amp;I270,"SELECT '"&amp;UPPER(B270)&amp;"' AS TABELA, '"&amp;UPPER(C270)&amp;"' AS TIPOLOGIA_TESTE,'"&amp;D270&amp;"' AS TABELA_LT,'N/A' AS TABELA_SIMUL,'"&amp;F270&amp;"' AS CAMPO, "&amp;"'${ref_date}' AS REF_DATE, COUNT(*) AS NUM_REG, SUM(IF(TRIM(CAST(X."&amp;F270&amp;" AS STRING))='' OR TRIM(CAST(X."&amp;F270&amp;" AS STRING)) IS NULL,1,0)) AS NUM_REG_DIF,'"&amp;MAX('ID1&amp;5'!K:K)+1&amp;"' AS ID_EXEC, CURRENT_TIMESTAMP() AS TIME_EXEC FROM "&amp;I270),
IF(C270="Caracteres Especiais",+"SELECT '"&amp;UPPER(B270)&amp;"' AS TABELA, '"&amp;UPPER(C270)&amp;"' AS TIPOLOGIA_TESTE,'"&amp;D270&amp;"' AS TABELA_LT,'N/A' AS TABELA_SIMUL,'"&amp;F270&amp;"' AS CAMPO, "&amp;"'${ref_date}' AS REF_DATE, COUNT(*) AS NUM_REG, SUM(IF(REGEXP_REPLACE(TRIM(CAST(X."&amp;F270&amp;" AS STRING)),'[^a-zA-Z0-9_\\s]','') &lt;&gt;TRIM(CAST(X."&amp;F270&amp;" AS STRING)),1,0)) AS NUM_REG_DIF,'"&amp;MAX('ID1&amp;5'!K:K)+1&amp;"' AS ID_EXEC, CURRENT_TIMESTAMP() AS TIME_EXEC FROM "&amp;I270,
IF(C270="Missings",+"SELECT '"&amp;UPPER(B270)&amp;"' AS TABELA, '"&amp;UPPER(C270)&amp;"' AS TIPOLOGIA_TESTE,'"&amp;D270&amp;"' AS TABELA_LT,'N/A' AS TABELA_SIMUL,'"&amp;F270&amp;"' AS CAMPO, "&amp;"'${ref_date}' AS REF_DATE, COUNT(*) AS NUM_REG, SUM(IF(TRIM(CAST(X."&amp;F270&amp;" AS STRING)) IN ('0000-00-00','0001-01-01','9999-12-31','MISS','00000','99999999999','99999999999.00','99999999999.000000'),1,0)) AS NUM_REG_DIF,'"&amp;MAX('ID1&amp;5'!K:K)+1&amp;"' AS ID_EXEC, CURRENT_TIMESTAMP() AS TIME_EXEC FROM "&amp;I270,
IF(C270="Not applicable",+"SELECT '"&amp;UPPER(B270)&amp;"' AS TABELA, '"&amp;UPPER(C270)&amp;"' AS TIPOLOGIA_TESTE,'"&amp;D270&amp;"' AS TABELA_LT,'N/A' AS TABELA_SIMUL,'"&amp;F270&amp;"' AS CAMPO, "&amp;"'${ref_date}' AS REF_DATE, COUNT(*) AS NUM_REG, SUM(IF(TRIM(CAST(X."&amp;F270&amp;" AS STRING)) IN ('N/A','11111111111','11111111111.00','11111111111.000000','1111-11-11'),1,0)) AS NUM_REG_DIF,'"&amp;MAX('ID1&amp;5'!K:K)+1&amp;"' AS ID_EXEC, CURRENT_TIMESTAMP() AS TIME_EXEC FROM "&amp;I270,
IF(C270="Valores extremos",+"SELECT '"&amp;UPPER(B270)&amp;"' AS TABELA, '"&amp;UPPER(C270)&amp;"' AS TIPOLOGIA_TESTE,'"&amp;D270&amp;"' AS TABELA_LT,'N/A' AS TABELA_SIMUL,'"&amp;F270&amp;"' AS CAMPO, "&amp;"'${ref_date}' AS REF_DATE, CAST(MIN("&amp;F270&amp;") AS STRING) AS VALOR_MIN, CAST(MAX("&amp;F270&amp;") AS STRING) AS VALOR_MAX,'"&amp;MAX('ID1&amp;5'!K:K)+1&amp;"' AS ID_EXEC, CURRENT_TIMESTAMP() AS TIME_EXEC FROM "&amp;MID(I270,1,LEN(I270)-2)&amp;" AND CAST("&amp;F270&amp;"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TABELA_SIMUL,'DT_VLTN' AS CAMPO, '${ref_date}' AS REF_DATE, COUNT(*) AS NUM_REG, SUM(IF(COALESCE(CAST(X.DT_VLTN AS STRING),'')&lt;&gt;COALESCE(CAST(Y.DT_VLTN_SIMUL AS STRING),'') OR (X.DT_VLTN IS NULL AND Y.DT_VLTN_SIMUL IS NOT NULL ) OR (X.DT_VLTN IS NOT NULL AND Y.DT_VLTN_SIMUL IS NULL),1,0)) AS NUM_REG_DIF,'1' AS ID_EXEC, CURRENT_TIMESTAMP() AS TIME_EXEC FROM (SELECT instrmnt_id, DT_VLTN FROM CD_LOAN_TAPES_BCE.LT002_INSTRUMENT WHERE ref_date='${ref_date}' AND nome_perimetro='Individual Corporativo' AND segmento='ESTR' AND ambito='PM' AND entidade='00100')X INNER JOIN (SELECT instrmnt_id AS instrmnt_id_SIMUL, DT_VLTN AS DT_VLTN_SIMUL FROM BU_LOANTAPE_WORK.LT002_INSTRUMENT WHERE ref_date='${ref_date}' AND nome_perimetro='Individual Corporativo' AND segmento='ESTR' AND ambito='PM' AND entidade='00100')Y ON X.INSTRMNT_ID=Y.INSTRMNT_ID_SIMUL</v>
      </c>
      <c r="M270" s="36" t="str">
        <f t="shared" si="4"/>
        <v>UNION ALL SELECT 'INSTRUMENT' AS TABELA, 'COERÊNCIA' AS TIPOLOGIA_TESTE,'CD_LOAN_TAPES_BCE.LT002_INSTRUMENT' AS TABELA_LT,'BU_LOANTAPE_WORK.LT002_INSTRUMENT' AS TABELA_SIMUL,'DT_VLTN' AS CAMPO, '${ref_date}' AS REF_DATE, COUNT(*) AS NUM_REG, SUM(IF(COALESCE(CAST(X.DT_VLTN AS STRING),'')&lt;&gt;COALESCE(CAST(Y.DT_VLTN_SIMUL AS STRING),'') OR (X.DT_VLTN IS NULL AND Y.DT_VLTN_SIMUL IS NOT NULL ) OR (X.DT_VLTN IS NOT NULL AND Y.DT_VLTN_SIMUL IS NULL),1,0)) AS NUM_REG_DIF,'1' AS ID_EXEC, CURRENT_TIMESTAMP() AS TIME_EXEC FROM (SELECT instrmnt_id, DT_VLTN FROM CD_LOAN_TAPES_BCE.LT002_INSTRUMENT WHERE ref_date='${ref_date}' AND nome_perimetro='Individual Corporativo' AND segmento='ESTR' AND ambito='PM' AND entidade='00100')X INNER JOIN (SELECT instrmnt_id AS instrmnt_id_SIMUL, DT_VLTN AS DT_VLTN_SIMUL FROM BU_LOANTAPE_WORK.LT002_INSTRUMENT WHERE ref_date='${ref_date}' AND nome_perimetro='Individual Corporativo' AND segmento='ESTR' AND ambito='PM' AND entidade='00100')Y ON X.INSTRMNT_ID=Y.INSTRMNT_ID_SIMUL</v>
      </c>
      <c r="N270" s="38" t="s">
        <v>46</v>
      </c>
    </row>
    <row r="271" spans="2:14" hidden="1">
      <c r="B271" s="34" t="s">
        <v>126</v>
      </c>
      <c r="C271" s="34" t="s">
        <v>5</v>
      </c>
      <c r="D271" s="34" t="str">
        <f>+UPPER('0. Instruções'!$D$35&amp;"."&amp;VLOOKUP(B271,'0. Instruções'!$C$27:$D$32,2,FALSE))</f>
        <v>CD_LOAN_TAPES_BCE.LT002_INSTRUMENT</v>
      </c>
      <c r="E271" s="34" t="str">
        <f>+UPPER('0. Instruções'!$D$36&amp;"."&amp;VLOOKUP(B271,'0. Instruções'!$C$27:$E$32,3,FALSE))</f>
        <v>BU_LOANTAPE_WORK.LT002_INSTRUMENT</v>
      </c>
      <c r="F271" s="34" t="s">
        <v>554</v>
      </c>
      <c r="G271" s="34"/>
      <c r="H271" s="34" t="s">
        <v>648</v>
      </c>
      <c r="I271" s="34" t="str">
        <f>"(SELECT "&amp;VLOOKUP(B271,'0. Instruções'!$C$27:$G$32,4,FALSE)&amp;", "&amp;F271&amp;" FROM "&amp;D271&amp;" WHERE "&amp;'0. Instruções'!$D$42&amp;")X"</f>
        <v>(SELECT instrmnt_id, ELGBLTY_ECB FROM CD_LOAN_TAPES_BCE.LT002_INSTRUMENT WHERE ref_date='${ref_date}' AND nome_perimetro='Individual Corporativo' AND segmento='ESTR' AND ambito='PM' AND entidade='00100')X</v>
      </c>
      <c r="J271" s="34" t="str">
        <f>"(SELECT "&amp;VLOOKUP(B271,'0. Instruções'!$C$27:$G$32,4,FALSE)&amp;" AS "&amp;VLOOKUP(B271,'0. Instruções'!$C$27:$G$32,4,FALSE)&amp;"_SIMUL, "&amp;F271&amp;" AS "&amp;F271&amp;"_SIMUL FROM "&amp;E271&amp;" WHERE "&amp;'0. Instruções'!$D$43&amp;")Y"</f>
        <v>(SELECT instrmnt_id AS instrmnt_id_SIMUL, ELGBLTY_ECB AS ELGBLTY_ECB_SIMUL FROM BU_LOANTAPE_WORK.LT002_INSTRUMENT WHERE ref_date='${ref_date}' AND nome_perimetro='Individual Corporativo' AND segmento='ESTR' AND ambito='PM' AND entidade='00100')Y</v>
      </c>
      <c r="K271" s="35" t="str">
        <f>+UPPER("ON X."&amp;VLOOKUP(B271,'0. Instruções'!$C$27:$G$32,4,FALSE)&amp;"=Y."&amp;VLOOKUP(B271,'0. Instruções'!$C$27:$G$32,4,FALSE)&amp;"_SIMUL")</f>
        <v>ON X.INSTRMNT_ID=Y.INSTRMNT_ID_SIMUL</v>
      </c>
      <c r="L271" s="35" t="str">
        <f>+IF(C271="Coerência", +IF(LEFT(G271,5)="FLOAT","SELECT '"&amp;UPPER(B271)&amp;"' AS TABELA, '"&amp;UPPER(C271)&amp;"' AS TIPOLOGIA_TESTE,'"&amp;D271&amp;"' AS TABELA_LT,'"&amp;E271&amp;"' AS TABELA_SIMUL,'"&amp;F271&amp;"' AS CAMPO, "&amp;"'${ref_date}' AS REF_DATE, COUNT(*) AS NUM_REG, SUM(IF((ABS(COALESCE(CAST(X."&amp;F271&amp;" AS DECIMAL(18,6)),0)-COALESCE(CAST(Y."&amp;F271&amp;"_SIMUL AS DECIMAL(18,6)),0))&gt;0.000001) OR (X."&amp;F271&amp;" IS NULL AND Y."&amp;F271&amp;"_SIMUL IS NOT NULL ) OR (X."&amp;F271&amp;" IS NOT NULL AND Y."&amp;F271&amp;"_SIMUL IS NULL),1,0)) AS NUM_REG_DIF,'"&amp;MAX('ID1&amp;5'!K:K)+1&amp;"' AS ID_EXEC, CURRENT_TIMESTAMP() AS TIME_EXEC FROM "&amp;I271&amp;" INNER JOIN "&amp;J271&amp;" "&amp;K271,"SELECT '"&amp;UPPER(B271)&amp;"' AS TABELA, '"&amp;UPPER(C271)&amp;"' AS TIPOLOGIA_TESTE,'"&amp;D271&amp;"' AS TABELA_LT,'"&amp;E271&amp;"' AS TABELA_SIMUL,'"&amp;F271&amp;"' AS CAMPO, "&amp;"'${ref_date}' AS REF_DATE, COUNT(*) AS NUM_REG, SUM(IF(COALESCE(CAST(X."&amp;F271&amp;" AS STRING),'')&lt;&gt;COALESCE(CAST(Y."&amp;F271&amp;"_SIMUL AS STRING),'') OR (X."&amp;F271&amp;" IS NULL AND Y."&amp;F271&amp;"_SIMUL IS NOT NULL ) OR (X."&amp;F271&amp;" IS NOT NULL AND Y."&amp;F271&amp;"_SIMUL IS NULL),1,0)) AS NUM_REG_DIF,'"&amp;MAX('ID1&amp;5'!L:L)+1&amp;"' AS ID_EXEC, CURRENT_TIMESTAMP() AS TIME_EXEC FROM "&amp;I271&amp;" INNER JOIN "&amp;J271&amp;" "&amp;K271),
IF(C271="Validade",+IF(G271="Code List","SELECT '"&amp;UPPER(B271)&amp;"' AS TABELA, '"&amp;UPPER(C271)&amp;"' AS TIPOLOGIA_TESTE,'"&amp;D271&amp;"' AS TABELA_LT,'N/A' AS TABELA_SIMUL,'"&amp;F271&amp;"' AS CAMPO, "&amp;"'${ref_date}' AS REF_DATE, COUNT(*) AS NUM_REG, SUM(IF(TRIM(CAST(X."&amp;F271&amp;" AS STRING))='' OR TRIM(CAST(X."&amp;F271&amp;" AS STRING)) IS NULL OR CAST(X."&amp;F271&amp;" AS STRING) NOT "&amp;H271&amp;",1,0)) AS NUM_REG_DIF,'"&amp;MAX('ID1&amp;5'!K:K)+1&amp;"' AS ID_EXEC, CURRENT_TIMESTAMP() AS TIME_EXEC FROM "&amp;I271,"SELECT '"&amp;UPPER(B271)&amp;"' AS TABELA, '"&amp;UPPER(C271)&amp;"' AS TIPOLOGIA_TESTE,'"&amp;D271&amp;"' AS TABELA_LT,'N/A' AS TABELA_SIMUL,'"&amp;F271&amp;"' AS CAMPO, "&amp;"'${ref_date}' AS REF_DATE, COUNT(*) AS NUM_REG, SUM(IF(TRIM(CAST(X."&amp;F271&amp;" AS STRING))='' OR TRIM(CAST(X."&amp;F271&amp;" AS STRING)) IS NULL,1,0)) AS NUM_REG_DIF,'"&amp;MAX('ID1&amp;5'!K:K)+1&amp;"' AS ID_EXEC, CURRENT_TIMESTAMP() AS TIME_EXEC FROM "&amp;I271),
IF(C271="Caracteres Especiais",+"SELECT '"&amp;UPPER(B271)&amp;"' AS TABELA, '"&amp;UPPER(C271)&amp;"' AS TIPOLOGIA_TESTE,'"&amp;D271&amp;"' AS TABELA_LT,'N/A' AS TABELA_SIMUL,'"&amp;F271&amp;"' AS CAMPO, "&amp;"'${ref_date}' AS REF_DATE, COUNT(*) AS NUM_REG, SUM(IF(REGEXP_REPLACE(TRIM(CAST(X."&amp;F271&amp;" AS STRING)),'[^a-zA-Z0-9_\\s]','') &lt;&gt;TRIM(CAST(X."&amp;F271&amp;" AS STRING)),1,0)) AS NUM_REG_DIF,'"&amp;MAX('ID1&amp;5'!K:K)+1&amp;"' AS ID_EXEC, CURRENT_TIMESTAMP() AS TIME_EXEC FROM "&amp;I271,
IF(C271="Missings",+"SELECT '"&amp;UPPER(B271)&amp;"' AS TABELA, '"&amp;UPPER(C271)&amp;"' AS TIPOLOGIA_TESTE,'"&amp;D271&amp;"' AS TABELA_LT,'N/A' AS TABELA_SIMUL,'"&amp;F271&amp;"' AS CAMPO, "&amp;"'${ref_date}' AS REF_DATE, COUNT(*) AS NUM_REG, SUM(IF(TRIM(CAST(X."&amp;F271&amp;" AS STRING)) IN ('0000-00-00','0001-01-01','9999-12-31','MISS','00000','99999999999','99999999999.00','99999999999.000000'),1,0)) AS NUM_REG_DIF,'"&amp;MAX('ID1&amp;5'!K:K)+1&amp;"' AS ID_EXEC, CURRENT_TIMESTAMP() AS TIME_EXEC FROM "&amp;I271,
IF(C271="Not applicable",+"SELECT '"&amp;UPPER(B271)&amp;"' AS TABELA, '"&amp;UPPER(C271)&amp;"' AS TIPOLOGIA_TESTE,'"&amp;D271&amp;"' AS TABELA_LT,'N/A' AS TABELA_SIMUL,'"&amp;F271&amp;"' AS CAMPO, "&amp;"'${ref_date}' AS REF_DATE, COUNT(*) AS NUM_REG, SUM(IF(TRIM(CAST(X."&amp;F271&amp;" AS STRING)) IN ('N/A','11111111111','11111111111.00','11111111111.000000','1111-11-11'),1,0)) AS NUM_REG_DIF,'"&amp;MAX('ID1&amp;5'!K:K)+1&amp;"' AS ID_EXEC, CURRENT_TIMESTAMP() AS TIME_EXEC FROM "&amp;I271,
IF(C271="Valores extremos",+"SELECT '"&amp;UPPER(B271)&amp;"' AS TABELA, '"&amp;UPPER(C271)&amp;"' AS TIPOLOGIA_TESTE,'"&amp;D271&amp;"' AS TABELA_LT,'N/A' AS TABELA_SIMUL,'"&amp;F271&amp;"' AS CAMPO, "&amp;"'${ref_date}' AS REF_DATE, CAST(MIN("&amp;F271&amp;") AS STRING) AS VALOR_MIN, CAST(MAX("&amp;F271&amp;") AS STRING) AS VALOR_MAX,'"&amp;MAX('ID1&amp;5'!K:K)+1&amp;"' AS ID_EXEC, CURRENT_TIMESTAMP() AS TIME_EXEC FROM "&amp;MID(I271,1,LEN(I271)-2)&amp;" AND CAST("&amp;F271&amp;"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TABELA_SIMUL,'ELGBLTY_ECB' AS CAMPO, '${ref_date}' AS REF_DATE, COUNT(*) AS NUM_REG, SUM(IF(COALESCE(CAST(X.ELGBLTY_ECB AS STRING),'')&lt;&gt;COALESCE(CAST(Y.ELGBLTY_ECB_SIMUL AS STRING),'') OR (X.ELGBLTY_ECB IS NULL AND Y.ELGBLTY_ECB_SIMUL IS NOT NULL ) OR (X.ELGBLTY_ECB IS NOT NULL AND Y.ELGBLTY_ECB_SIMUL IS NULL),1,0)) AS NUM_REG_DIF,'1' AS ID_EXEC, CURRENT_TIMESTAMP() AS TIME_EXEC FROM (SELECT instrmnt_id, ELGBLTY_ECB FROM CD_LOAN_TAPES_BCE.LT002_INSTRUMENT WHERE ref_date='${ref_date}' AND nome_perimetro='Individual Corporativo' AND segmento='ESTR' AND ambito='PM' AND entidade='00100')X INNER JOIN (SELECT instrmnt_id AS instrmnt_id_SIMUL, ELGBLTY_ECB AS ELGBLTY_ECB_SIMUL FROM BU_LOANTAPE_WORK.LT002_INSTRUMENT WHERE ref_date='${ref_date}' AND nome_perimetro='Individual Corporativo' AND segmento='ESTR' AND ambito='PM' AND entidade='00100')Y ON X.INSTRMNT_ID=Y.INSTRMNT_ID_SIMUL</v>
      </c>
      <c r="M271" s="36" t="str">
        <f t="shared" si="4"/>
        <v>UNION ALL SELECT 'INSTRUMENT' AS TABELA, 'COERÊNCIA' AS TIPOLOGIA_TESTE,'CD_LOAN_TAPES_BCE.LT002_INSTRUMENT' AS TABELA_LT,'BU_LOANTAPE_WORK.LT002_INSTRUMENT' AS TABELA_SIMUL,'ELGBLTY_ECB' AS CAMPO, '${ref_date}' AS REF_DATE, COUNT(*) AS NUM_REG, SUM(IF(COALESCE(CAST(X.ELGBLTY_ECB AS STRING),'')&lt;&gt;COALESCE(CAST(Y.ELGBLTY_ECB_SIMUL AS STRING),'') OR (X.ELGBLTY_ECB IS NULL AND Y.ELGBLTY_ECB_SIMUL IS NOT NULL ) OR (X.ELGBLTY_ECB IS NOT NULL AND Y.ELGBLTY_ECB_SIMUL IS NULL),1,0)) AS NUM_REG_DIF,'1' AS ID_EXEC, CURRENT_TIMESTAMP() AS TIME_EXEC FROM (SELECT instrmnt_id, ELGBLTY_ECB FROM CD_LOAN_TAPES_BCE.LT002_INSTRUMENT WHERE ref_date='${ref_date}' AND nome_perimetro='Individual Corporativo' AND segmento='ESTR' AND ambito='PM' AND entidade='00100')X INNER JOIN (SELECT instrmnt_id AS instrmnt_id_SIMUL, ELGBLTY_ECB AS ELGBLTY_ECB_SIMUL FROM BU_LOANTAPE_WORK.LT002_INSTRUMENT WHERE ref_date='${ref_date}' AND nome_perimetro='Individual Corporativo' AND segmento='ESTR' AND ambito='PM' AND entidade='00100')Y ON X.INSTRMNT_ID=Y.INSTRMNT_ID_SIMUL</v>
      </c>
      <c r="N271" s="38" t="s">
        <v>46</v>
      </c>
    </row>
    <row r="272" spans="2:14" hidden="1">
      <c r="B272" s="34" t="s">
        <v>126</v>
      </c>
      <c r="C272" s="34" t="s">
        <v>5</v>
      </c>
      <c r="D272" s="34" t="str">
        <f>+UPPER('0. Instruções'!$D$35&amp;"."&amp;VLOOKUP(B272,'0. Instruções'!$C$27:$D$32,2,FALSE))</f>
        <v>CD_LOAN_TAPES_BCE.LT002_INSTRUMENT</v>
      </c>
      <c r="E272" s="34" t="str">
        <f>+UPPER('0. Instruções'!$D$36&amp;"."&amp;VLOOKUP(B272,'0. Instruções'!$C$27:$E$32,3,FALSE))</f>
        <v>BU_LOANTAPE_WORK.LT002_INSTRUMENT</v>
      </c>
      <c r="F272" s="34" t="s">
        <v>555</v>
      </c>
      <c r="G272" s="34"/>
      <c r="H272" s="34" t="s">
        <v>653</v>
      </c>
      <c r="I272" s="34" t="str">
        <f>"(SELECT "&amp;VLOOKUP(B272,'0. Instruções'!$C$27:$G$32,4,FALSE)&amp;", "&amp;F272&amp;" FROM "&amp;D272&amp;" WHERE "&amp;'0. Instruções'!$D$42&amp;")X"</f>
        <v>(SELECT instrmnt_id, GRNTR_ID FROM CD_LOAN_TAPES_BCE.LT002_INSTRUMENT WHERE ref_date='${ref_date}' AND nome_perimetro='Individual Corporativo' AND segmento='ESTR' AND ambito='PM' AND entidade='00100')X</v>
      </c>
      <c r="J272" s="34" t="str">
        <f>"(SELECT "&amp;VLOOKUP(B272,'0. Instruções'!$C$27:$G$32,4,FALSE)&amp;" AS "&amp;VLOOKUP(B272,'0. Instruções'!$C$27:$G$32,4,FALSE)&amp;"_SIMUL, "&amp;F272&amp;" AS "&amp;F272&amp;"_SIMUL FROM "&amp;E272&amp;" WHERE "&amp;'0. Instruções'!$D$43&amp;")Y"</f>
        <v>(SELECT instrmnt_id AS instrmnt_id_SIMUL, GRNTR_ID AS GRNTR_ID_SIMUL FROM BU_LOANTAPE_WORK.LT002_INSTRUMENT WHERE ref_date='${ref_date}' AND nome_perimetro='Individual Corporativo' AND segmento='ESTR' AND ambito='PM' AND entidade='00100')Y</v>
      </c>
      <c r="K272" s="35" t="str">
        <f>+UPPER("ON X."&amp;VLOOKUP(B272,'0. Instruções'!$C$27:$G$32,4,FALSE)&amp;"=Y."&amp;VLOOKUP(B272,'0. Instruções'!$C$27:$G$32,4,FALSE)&amp;"_SIMUL")</f>
        <v>ON X.INSTRMNT_ID=Y.INSTRMNT_ID_SIMUL</v>
      </c>
      <c r="L272" s="35" t="str">
        <f>+IF(C272="Coerência", +IF(LEFT(G272,5)="FLOAT","SELECT '"&amp;UPPER(B272)&amp;"' AS TABELA, '"&amp;UPPER(C272)&amp;"' AS TIPOLOGIA_TESTE,'"&amp;D272&amp;"' AS TABELA_LT,'"&amp;E272&amp;"' AS TABELA_SIMUL,'"&amp;F272&amp;"' AS CAMPO, "&amp;"'${ref_date}' AS REF_DATE, COUNT(*) AS NUM_REG, SUM(IF((ABS(COALESCE(CAST(X."&amp;F272&amp;" AS DECIMAL(18,6)),0)-COALESCE(CAST(Y."&amp;F272&amp;"_SIMUL AS DECIMAL(18,6)),0))&gt;0.000001) OR (X."&amp;F272&amp;" IS NULL AND Y."&amp;F272&amp;"_SIMUL IS NOT NULL ) OR (X."&amp;F272&amp;" IS NOT NULL AND Y."&amp;F272&amp;"_SIMUL IS NULL),1,0)) AS NUM_REG_DIF,'"&amp;MAX('ID1&amp;5'!K:K)+1&amp;"' AS ID_EXEC, CURRENT_TIMESTAMP() AS TIME_EXEC FROM "&amp;I272&amp;" INNER JOIN "&amp;J272&amp;" "&amp;K272,"SELECT '"&amp;UPPER(B272)&amp;"' AS TABELA, '"&amp;UPPER(C272)&amp;"' AS TIPOLOGIA_TESTE,'"&amp;D272&amp;"' AS TABELA_LT,'"&amp;E272&amp;"' AS TABELA_SIMUL,'"&amp;F272&amp;"' AS CAMPO, "&amp;"'${ref_date}' AS REF_DATE, COUNT(*) AS NUM_REG, SUM(IF(COALESCE(CAST(X."&amp;F272&amp;" AS STRING),'')&lt;&gt;COALESCE(CAST(Y."&amp;F272&amp;"_SIMUL AS STRING),'') OR (X."&amp;F272&amp;" IS NULL AND Y."&amp;F272&amp;"_SIMUL IS NOT NULL ) OR (X."&amp;F272&amp;" IS NOT NULL AND Y."&amp;F272&amp;"_SIMUL IS NULL),1,0)) AS NUM_REG_DIF,'"&amp;MAX('ID1&amp;5'!L:L)+1&amp;"' AS ID_EXEC, CURRENT_TIMESTAMP() AS TIME_EXEC FROM "&amp;I272&amp;" INNER JOIN "&amp;J272&amp;" "&amp;K272),
IF(C272="Validade",+IF(G272="Code List","SELECT '"&amp;UPPER(B272)&amp;"' AS TABELA, '"&amp;UPPER(C272)&amp;"' AS TIPOLOGIA_TESTE,'"&amp;D272&amp;"' AS TABELA_LT,'N/A' AS TABELA_SIMUL,'"&amp;F272&amp;"' AS CAMPO, "&amp;"'${ref_date}' AS REF_DATE, COUNT(*) AS NUM_REG, SUM(IF(TRIM(CAST(X."&amp;F272&amp;" AS STRING))='' OR TRIM(CAST(X."&amp;F272&amp;" AS STRING)) IS NULL OR CAST(X."&amp;F272&amp;" AS STRING) NOT "&amp;H272&amp;",1,0)) AS NUM_REG_DIF,'"&amp;MAX('ID1&amp;5'!K:K)+1&amp;"' AS ID_EXEC, CURRENT_TIMESTAMP() AS TIME_EXEC FROM "&amp;I272,"SELECT '"&amp;UPPER(B272)&amp;"' AS TABELA, '"&amp;UPPER(C272)&amp;"' AS TIPOLOGIA_TESTE,'"&amp;D272&amp;"' AS TABELA_LT,'N/A' AS TABELA_SIMUL,'"&amp;F272&amp;"' AS CAMPO, "&amp;"'${ref_date}' AS REF_DATE, COUNT(*) AS NUM_REG, SUM(IF(TRIM(CAST(X."&amp;F272&amp;" AS STRING))='' OR TRIM(CAST(X."&amp;F272&amp;" AS STRING)) IS NULL,1,0)) AS NUM_REG_DIF,'"&amp;MAX('ID1&amp;5'!K:K)+1&amp;"' AS ID_EXEC, CURRENT_TIMESTAMP() AS TIME_EXEC FROM "&amp;I272),
IF(C272="Caracteres Especiais",+"SELECT '"&amp;UPPER(B272)&amp;"' AS TABELA, '"&amp;UPPER(C272)&amp;"' AS TIPOLOGIA_TESTE,'"&amp;D272&amp;"' AS TABELA_LT,'N/A' AS TABELA_SIMUL,'"&amp;F272&amp;"' AS CAMPO, "&amp;"'${ref_date}' AS REF_DATE, COUNT(*) AS NUM_REG, SUM(IF(REGEXP_REPLACE(TRIM(CAST(X."&amp;F272&amp;" AS STRING)),'[^a-zA-Z0-9_\\s]','') &lt;&gt;TRIM(CAST(X."&amp;F272&amp;" AS STRING)),1,0)) AS NUM_REG_DIF,'"&amp;MAX('ID1&amp;5'!K:K)+1&amp;"' AS ID_EXEC, CURRENT_TIMESTAMP() AS TIME_EXEC FROM "&amp;I272,
IF(C272="Missings",+"SELECT '"&amp;UPPER(B272)&amp;"' AS TABELA, '"&amp;UPPER(C272)&amp;"' AS TIPOLOGIA_TESTE,'"&amp;D272&amp;"' AS TABELA_LT,'N/A' AS TABELA_SIMUL,'"&amp;F272&amp;"' AS CAMPO, "&amp;"'${ref_date}' AS REF_DATE, COUNT(*) AS NUM_REG, SUM(IF(TRIM(CAST(X."&amp;F272&amp;" AS STRING)) IN ('0000-00-00','0001-01-01','9999-12-31','MISS','00000','99999999999','99999999999.00','99999999999.000000'),1,0)) AS NUM_REG_DIF,'"&amp;MAX('ID1&amp;5'!K:K)+1&amp;"' AS ID_EXEC, CURRENT_TIMESTAMP() AS TIME_EXEC FROM "&amp;I272,
IF(C272="Not applicable",+"SELECT '"&amp;UPPER(B272)&amp;"' AS TABELA, '"&amp;UPPER(C272)&amp;"' AS TIPOLOGIA_TESTE,'"&amp;D272&amp;"' AS TABELA_LT,'N/A' AS TABELA_SIMUL,'"&amp;F272&amp;"' AS CAMPO, "&amp;"'${ref_date}' AS REF_DATE, COUNT(*) AS NUM_REG, SUM(IF(TRIM(CAST(X."&amp;F272&amp;" AS STRING)) IN ('N/A','11111111111','11111111111.00','11111111111.000000','1111-11-11'),1,0)) AS NUM_REG_DIF,'"&amp;MAX('ID1&amp;5'!K:K)+1&amp;"' AS ID_EXEC, CURRENT_TIMESTAMP() AS TIME_EXEC FROM "&amp;I272,
IF(C272="Valores extremos",+"SELECT '"&amp;UPPER(B272)&amp;"' AS TABELA, '"&amp;UPPER(C272)&amp;"' AS TIPOLOGIA_TESTE,'"&amp;D272&amp;"' AS TABELA_LT,'N/A' AS TABELA_SIMUL,'"&amp;F272&amp;"' AS CAMPO, "&amp;"'${ref_date}' AS REF_DATE, CAST(MIN("&amp;F272&amp;") AS STRING) AS VALOR_MIN, CAST(MAX("&amp;F272&amp;") AS STRING) AS VALOR_MAX,'"&amp;MAX('ID1&amp;5'!K:K)+1&amp;"' AS ID_EXEC, CURRENT_TIMESTAMP() AS TIME_EXEC FROM "&amp;MID(I272,1,LEN(I272)-2)&amp;" AND CAST("&amp;F272&amp;"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TABELA_SIMUL,'GRNTR_ID' AS CAMPO, '${ref_date}' AS REF_DATE, COUNT(*) AS NUM_REG, SUM(IF(COALESCE(CAST(X.GRNTR_ID AS STRING),'')&lt;&gt;COALESCE(CAST(Y.GRNTR_ID_SIMUL AS STRING),'') OR (X.GRNTR_ID IS NULL AND Y.GRNTR_ID_SIMUL IS NOT NULL ) OR (X.GRNTR_ID IS NOT NULL AND Y.GRNTR_ID_SIMUL IS NULL),1,0)) AS NUM_REG_DIF,'1' AS ID_EXEC, CURRENT_TIMESTAMP() AS TIME_EXEC FROM (SELECT instrmnt_id, GRNTR_ID FROM CD_LOAN_TAPES_BCE.LT002_INSTRUMENT WHERE ref_date='${ref_date}' AND nome_perimetro='Individual Corporativo' AND segmento='ESTR' AND ambito='PM' AND entidade='00100')X INNER JOIN (SELECT instrmnt_id AS instrmnt_id_SIMUL, GRNTR_ID AS GRNTR_ID_SIMUL FROM BU_LOANTAPE_WORK.LT002_INSTRUMENT WHERE ref_date='${ref_date}' AND nome_perimetro='Individual Corporativo' AND segmento='ESTR' AND ambito='PM' AND entidade='00100')Y ON X.INSTRMNT_ID=Y.INSTRMNT_ID_SIMUL</v>
      </c>
      <c r="M272" s="36" t="str">
        <f t="shared" si="4"/>
        <v>UNION ALL SELECT 'INSTRUMENT' AS TABELA, 'COERÊNCIA' AS TIPOLOGIA_TESTE,'CD_LOAN_TAPES_BCE.LT002_INSTRUMENT' AS TABELA_LT,'BU_LOANTAPE_WORK.LT002_INSTRUMENT' AS TABELA_SIMUL,'GRNTR_ID' AS CAMPO, '${ref_date}' AS REF_DATE, COUNT(*) AS NUM_REG, SUM(IF(COALESCE(CAST(X.GRNTR_ID AS STRING),'')&lt;&gt;COALESCE(CAST(Y.GRNTR_ID_SIMUL AS STRING),'') OR (X.GRNTR_ID IS NULL AND Y.GRNTR_ID_SIMUL IS NOT NULL ) OR (X.GRNTR_ID IS NOT NULL AND Y.GRNTR_ID_SIMUL IS NULL),1,0)) AS NUM_REG_DIF,'1' AS ID_EXEC, CURRENT_TIMESTAMP() AS TIME_EXEC FROM (SELECT instrmnt_id, GRNTR_ID FROM CD_LOAN_TAPES_BCE.LT002_INSTRUMENT WHERE ref_date='${ref_date}' AND nome_perimetro='Individual Corporativo' AND segmento='ESTR' AND ambito='PM' AND entidade='00100')X INNER JOIN (SELECT instrmnt_id AS instrmnt_id_SIMUL, GRNTR_ID AS GRNTR_ID_SIMUL FROM BU_LOANTAPE_WORK.LT002_INSTRUMENT WHERE ref_date='${ref_date}' AND nome_perimetro='Individual Corporativo' AND segmento='ESTR' AND ambito='PM' AND entidade='00100')Y ON X.INSTRMNT_ID=Y.INSTRMNT_ID_SIMUL</v>
      </c>
      <c r="N272" s="38" t="s">
        <v>46</v>
      </c>
    </row>
    <row r="273" spans="2:14" hidden="1">
      <c r="B273" s="34" t="s">
        <v>126</v>
      </c>
      <c r="C273" s="34" t="s">
        <v>5</v>
      </c>
      <c r="D273" s="34" t="str">
        <f>+UPPER('0. Instruções'!$D$35&amp;"."&amp;VLOOKUP(B273,'0. Instruções'!$C$27:$D$32,2,FALSE))</f>
        <v>CD_LOAN_TAPES_BCE.LT002_INSTRUMENT</v>
      </c>
      <c r="E273" s="34" t="str">
        <f>+UPPER('0. Instruções'!$D$36&amp;"."&amp;VLOOKUP(B273,'0. Instruções'!$C$27:$E$32,3,FALSE))</f>
        <v>BU_LOANTAPE_WORK.LT002_INSTRUMENT</v>
      </c>
      <c r="F273" s="34" t="s">
        <v>556</v>
      </c>
      <c r="G273" s="34"/>
      <c r="H273" s="34" t="s">
        <v>89</v>
      </c>
      <c r="I273" s="34" t="str">
        <f>"(SELECT "&amp;VLOOKUP(B273,'0. Instruções'!$C$27:$G$32,4,FALSE)&amp;", "&amp;F273&amp;" FROM "&amp;D273&amp;" WHERE "&amp;'0. Instruções'!$D$42&amp;")X"</f>
        <v>(SELECT instrmnt_id, GRNTR_ID_TYP FROM CD_LOAN_TAPES_BCE.LT002_INSTRUMENT WHERE ref_date='${ref_date}' AND nome_perimetro='Individual Corporativo' AND segmento='ESTR' AND ambito='PM' AND entidade='00100')X</v>
      </c>
      <c r="J273" s="34" t="str">
        <f>"(SELECT "&amp;VLOOKUP(B273,'0. Instruções'!$C$27:$G$32,4,FALSE)&amp;" AS "&amp;VLOOKUP(B273,'0. Instruções'!$C$27:$G$32,4,FALSE)&amp;"_SIMUL, "&amp;F273&amp;" AS "&amp;F273&amp;"_SIMUL FROM "&amp;E273&amp;" WHERE "&amp;'0. Instruções'!$D$43&amp;")Y"</f>
        <v>(SELECT instrmnt_id AS instrmnt_id_SIMUL, GRNTR_ID_TYP AS GRNTR_ID_TYP_SIMUL FROM BU_LOANTAPE_WORK.LT002_INSTRUMENT WHERE ref_date='${ref_date}' AND nome_perimetro='Individual Corporativo' AND segmento='ESTR' AND ambito='PM' AND entidade='00100')Y</v>
      </c>
      <c r="K273" s="35" t="str">
        <f>+UPPER("ON X."&amp;VLOOKUP(B273,'0. Instruções'!$C$27:$G$32,4,FALSE)&amp;"=Y."&amp;VLOOKUP(B273,'0. Instruções'!$C$27:$G$32,4,FALSE)&amp;"_SIMUL")</f>
        <v>ON X.INSTRMNT_ID=Y.INSTRMNT_ID_SIMUL</v>
      </c>
      <c r="L273" s="35" t="str">
        <f>+IF(C273="Coerência", +IF(LEFT(G273,5)="FLOAT","SELECT '"&amp;UPPER(B273)&amp;"' AS TABELA, '"&amp;UPPER(C273)&amp;"' AS TIPOLOGIA_TESTE,'"&amp;D273&amp;"' AS TABELA_LT,'"&amp;E273&amp;"' AS TABELA_SIMUL,'"&amp;F273&amp;"' AS CAMPO, "&amp;"'${ref_date}' AS REF_DATE, COUNT(*) AS NUM_REG, SUM(IF((ABS(COALESCE(CAST(X."&amp;F273&amp;" AS DECIMAL(18,6)),0)-COALESCE(CAST(Y."&amp;F273&amp;"_SIMUL AS DECIMAL(18,6)),0))&gt;0.000001) OR (X."&amp;F273&amp;" IS NULL AND Y."&amp;F273&amp;"_SIMUL IS NOT NULL ) OR (X."&amp;F273&amp;" IS NOT NULL AND Y."&amp;F273&amp;"_SIMUL IS NULL),1,0)) AS NUM_REG_DIF,'"&amp;MAX('ID1&amp;5'!K:K)+1&amp;"' AS ID_EXEC, CURRENT_TIMESTAMP() AS TIME_EXEC FROM "&amp;I273&amp;" INNER JOIN "&amp;J273&amp;" "&amp;K273,"SELECT '"&amp;UPPER(B273)&amp;"' AS TABELA, '"&amp;UPPER(C273)&amp;"' AS TIPOLOGIA_TESTE,'"&amp;D273&amp;"' AS TABELA_LT,'"&amp;E273&amp;"' AS TABELA_SIMUL,'"&amp;F273&amp;"' AS CAMPO, "&amp;"'${ref_date}' AS REF_DATE, COUNT(*) AS NUM_REG, SUM(IF(COALESCE(CAST(X."&amp;F273&amp;" AS STRING),'')&lt;&gt;COALESCE(CAST(Y."&amp;F273&amp;"_SIMUL AS STRING),'') OR (X."&amp;F273&amp;" IS NULL AND Y."&amp;F273&amp;"_SIMUL IS NOT NULL ) OR (X."&amp;F273&amp;" IS NOT NULL AND Y."&amp;F273&amp;"_SIMUL IS NULL),1,0)) AS NUM_REG_DIF,'"&amp;MAX('ID1&amp;5'!L:L)+1&amp;"' AS ID_EXEC, CURRENT_TIMESTAMP() AS TIME_EXEC FROM "&amp;I273&amp;" INNER JOIN "&amp;J273&amp;" "&amp;K273),
IF(C273="Validade",+IF(G273="Code List","SELECT '"&amp;UPPER(B273)&amp;"' AS TABELA, '"&amp;UPPER(C273)&amp;"' AS TIPOLOGIA_TESTE,'"&amp;D273&amp;"' AS TABELA_LT,'N/A' AS TABELA_SIMUL,'"&amp;F273&amp;"' AS CAMPO, "&amp;"'${ref_date}' AS REF_DATE, COUNT(*) AS NUM_REG, SUM(IF(TRIM(CAST(X."&amp;F273&amp;" AS STRING))='' OR TRIM(CAST(X."&amp;F273&amp;" AS STRING)) IS NULL OR CAST(X."&amp;F273&amp;" AS STRING) NOT "&amp;H273&amp;",1,0)) AS NUM_REG_DIF,'"&amp;MAX('ID1&amp;5'!K:K)+1&amp;"' AS ID_EXEC, CURRENT_TIMESTAMP() AS TIME_EXEC FROM "&amp;I273,"SELECT '"&amp;UPPER(B273)&amp;"' AS TABELA, '"&amp;UPPER(C273)&amp;"' AS TIPOLOGIA_TESTE,'"&amp;D273&amp;"' AS TABELA_LT,'N/A' AS TABELA_SIMUL,'"&amp;F273&amp;"' AS CAMPO, "&amp;"'${ref_date}' AS REF_DATE, COUNT(*) AS NUM_REG, SUM(IF(TRIM(CAST(X."&amp;F273&amp;" AS STRING))='' OR TRIM(CAST(X."&amp;F273&amp;" AS STRING)) IS NULL,1,0)) AS NUM_REG_DIF,'"&amp;MAX('ID1&amp;5'!K:K)+1&amp;"' AS ID_EXEC, CURRENT_TIMESTAMP() AS TIME_EXEC FROM "&amp;I273),
IF(C273="Caracteres Especiais",+"SELECT '"&amp;UPPER(B273)&amp;"' AS TABELA, '"&amp;UPPER(C273)&amp;"' AS TIPOLOGIA_TESTE,'"&amp;D273&amp;"' AS TABELA_LT,'N/A' AS TABELA_SIMUL,'"&amp;F273&amp;"' AS CAMPO, "&amp;"'${ref_date}' AS REF_DATE, COUNT(*) AS NUM_REG, SUM(IF(REGEXP_REPLACE(TRIM(CAST(X."&amp;F273&amp;" AS STRING)),'[^a-zA-Z0-9_\\s]','') &lt;&gt;TRIM(CAST(X."&amp;F273&amp;" AS STRING)),1,0)) AS NUM_REG_DIF,'"&amp;MAX('ID1&amp;5'!K:K)+1&amp;"' AS ID_EXEC, CURRENT_TIMESTAMP() AS TIME_EXEC FROM "&amp;I273,
IF(C273="Missings",+"SELECT '"&amp;UPPER(B273)&amp;"' AS TABELA, '"&amp;UPPER(C273)&amp;"' AS TIPOLOGIA_TESTE,'"&amp;D273&amp;"' AS TABELA_LT,'N/A' AS TABELA_SIMUL,'"&amp;F273&amp;"' AS CAMPO, "&amp;"'${ref_date}' AS REF_DATE, COUNT(*) AS NUM_REG, SUM(IF(TRIM(CAST(X."&amp;F273&amp;" AS STRING)) IN ('0000-00-00','0001-01-01','9999-12-31','MISS','00000','99999999999','99999999999.00','99999999999.000000'),1,0)) AS NUM_REG_DIF,'"&amp;MAX('ID1&amp;5'!K:K)+1&amp;"' AS ID_EXEC, CURRENT_TIMESTAMP() AS TIME_EXEC FROM "&amp;I273,
IF(C273="Not applicable",+"SELECT '"&amp;UPPER(B273)&amp;"' AS TABELA, '"&amp;UPPER(C273)&amp;"' AS TIPOLOGIA_TESTE,'"&amp;D273&amp;"' AS TABELA_LT,'N/A' AS TABELA_SIMUL,'"&amp;F273&amp;"' AS CAMPO, "&amp;"'${ref_date}' AS REF_DATE, COUNT(*) AS NUM_REG, SUM(IF(TRIM(CAST(X."&amp;F273&amp;" AS STRING)) IN ('N/A','11111111111','11111111111.00','11111111111.000000','1111-11-11'),1,0)) AS NUM_REG_DIF,'"&amp;MAX('ID1&amp;5'!K:K)+1&amp;"' AS ID_EXEC, CURRENT_TIMESTAMP() AS TIME_EXEC FROM "&amp;I273,
IF(C273="Valores extremos",+"SELECT '"&amp;UPPER(B273)&amp;"' AS TABELA, '"&amp;UPPER(C273)&amp;"' AS TIPOLOGIA_TESTE,'"&amp;D273&amp;"' AS TABELA_LT,'N/A' AS TABELA_SIMUL,'"&amp;F273&amp;"' AS CAMPO, "&amp;"'${ref_date}' AS REF_DATE, CAST(MIN("&amp;F273&amp;") AS STRING) AS VALOR_MIN, CAST(MAX("&amp;F273&amp;") AS STRING) AS VALOR_MAX,'"&amp;MAX('ID1&amp;5'!K:K)+1&amp;"' AS ID_EXEC, CURRENT_TIMESTAMP() AS TIME_EXEC FROM "&amp;MID(I273,1,LEN(I273)-2)&amp;" AND CAST("&amp;F273&amp;"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TABELA_SIMUL,'GRNTR_ID_TYP' AS CAMPO, '${ref_date}' AS REF_DATE, COUNT(*) AS NUM_REG, SUM(IF(COALESCE(CAST(X.GRNTR_ID_TYP AS STRING),'')&lt;&gt;COALESCE(CAST(Y.GRNTR_ID_TYP_SIMUL AS STRING),'') OR (X.GRNTR_ID_TYP IS NULL AND Y.GRNTR_ID_TYP_SIMUL IS NOT NULL ) OR (X.GRNTR_ID_TYP IS NOT NULL AND Y.GRNTR_ID_TYP_SIMUL IS NULL),1,0)) AS NUM_REG_DIF,'1' AS ID_EXEC, CURRENT_TIMESTAMP() AS TIME_EXEC FROM (SELECT instrmnt_id, GRNTR_ID_TYP FROM CD_LOAN_TAPES_BCE.LT002_INSTRUMENT WHERE ref_date='${ref_date}' AND nome_perimetro='Individual Corporativo' AND segmento='ESTR' AND ambito='PM' AND entidade='00100')X INNER JOIN (SELECT instrmnt_id AS instrmnt_id_SIMUL, GRNTR_ID_TYP AS GRNTR_ID_TYP_SIMUL FROM BU_LOANTAPE_WORK.LT002_INSTRUMENT WHERE ref_date='${ref_date}' AND nome_perimetro='Individual Corporativo' AND segmento='ESTR' AND ambito='PM' AND entidade='00100')Y ON X.INSTRMNT_ID=Y.INSTRMNT_ID_SIMUL</v>
      </c>
      <c r="M273" s="36" t="str">
        <f t="shared" si="4"/>
        <v>UNION ALL SELECT 'INSTRUMENT' AS TABELA, 'COERÊNCIA' AS TIPOLOGIA_TESTE,'CD_LOAN_TAPES_BCE.LT002_INSTRUMENT' AS TABELA_LT,'BU_LOANTAPE_WORK.LT002_INSTRUMENT' AS TABELA_SIMUL,'GRNTR_ID_TYP' AS CAMPO, '${ref_date}' AS REF_DATE, COUNT(*) AS NUM_REG, SUM(IF(COALESCE(CAST(X.GRNTR_ID_TYP AS STRING),'')&lt;&gt;COALESCE(CAST(Y.GRNTR_ID_TYP_SIMUL AS STRING),'') OR (X.GRNTR_ID_TYP IS NULL AND Y.GRNTR_ID_TYP_SIMUL IS NOT NULL ) OR (X.GRNTR_ID_TYP IS NOT NULL AND Y.GRNTR_ID_TYP_SIMUL IS NULL),1,0)) AS NUM_REG_DIF,'1' AS ID_EXEC, CURRENT_TIMESTAMP() AS TIME_EXEC FROM (SELECT instrmnt_id, GRNTR_ID_TYP FROM CD_LOAN_TAPES_BCE.LT002_INSTRUMENT WHERE ref_date='${ref_date}' AND nome_perimetro='Individual Corporativo' AND segmento='ESTR' AND ambito='PM' AND entidade='00100')X INNER JOIN (SELECT instrmnt_id AS instrmnt_id_SIMUL, GRNTR_ID_TYP AS GRNTR_ID_TYP_SIMUL FROM BU_LOANTAPE_WORK.LT002_INSTRUMENT WHERE ref_date='${ref_date}' AND nome_perimetro='Individual Corporativo' AND segmento='ESTR' AND ambito='PM' AND entidade='00100')Y ON X.INSTRMNT_ID=Y.INSTRMNT_ID_SIMUL</v>
      </c>
      <c r="N273" s="38" t="s">
        <v>46</v>
      </c>
    </row>
    <row r="274" spans="2:14" hidden="1">
      <c r="B274" s="34" t="s">
        <v>126</v>
      </c>
      <c r="C274" s="34" t="s">
        <v>5</v>
      </c>
      <c r="D274" s="34" t="str">
        <f>+UPPER('0. Instruções'!$D$35&amp;"."&amp;VLOOKUP(B274,'0. Instruções'!$C$27:$D$32,2,FALSE))</f>
        <v>CD_LOAN_TAPES_BCE.LT002_INSTRUMENT</v>
      </c>
      <c r="E274" s="34" t="str">
        <f>+UPPER('0. Instruções'!$D$36&amp;"."&amp;VLOOKUP(B274,'0. Instruções'!$C$27:$E$32,3,FALSE))</f>
        <v>BU_LOANTAPE_WORK.LT002_INSTRUMENT</v>
      </c>
      <c r="F274" s="34" t="s">
        <v>557</v>
      </c>
      <c r="G274" s="34"/>
      <c r="H274" s="34" t="s">
        <v>653</v>
      </c>
      <c r="I274" s="34" t="str">
        <f>"(SELECT "&amp;VLOOKUP(B274,'0. Instruções'!$C$27:$G$32,4,FALSE)&amp;", "&amp;F274&amp;" FROM "&amp;D274&amp;" WHERE "&amp;'0. Instruções'!$D$42&amp;")X"</f>
        <v>(SELECT instrmnt_id, HEDGE_ID FROM CD_LOAN_TAPES_BCE.LT002_INSTRUMENT WHERE ref_date='${ref_date}' AND nome_perimetro='Individual Corporativo' AND segmento='ESTR' AND ambito='PM' AND entidade='00100')X</v>
      </c>
      <c r="J274" s="34" t="str">
        <f>"(SELECT "&amp;VLOOKUP(B274,'0. Instruções'!$C$27:$G$32,4,FALSE)&amp;" AS "&amp;VLOOKUP(B274,'0. Instruções'!$C$27:$G$32,4,FALSE)&amp;"_SIMUL, "&amp;F274&amp;" AS "&amp;F274&amp;"_SIMUL FROM "&amp;E274&amp;" WHERE "&amp;'0. Instruções'!$D$43&amp;")Y"</f>
        <v>(SELECT instrmnt_id AS instrmnt_id_SIMUL, HEDGE_ID AS HEDGE_ID_SIMUL FROM BU_LOANTAPE_WORK.LT002_INSTRUMENT WHERE ref_date='${ref_date}' AND nome_perimetro='Individual Corporativo' AND segmento='ESTR' AND ambito='PM' AND entidade='00100')Y</v>
      </c>
      <c r="K274" s="35" t="str">
        <f>+UPPER("ON X."&amp;VLOOKUP(B274,'0. Instruções'!$C$27:$G$32,4,FALSE)&amp;"=Y."&amp;VLOOKUP(B274,'0. Instruções'!$C$27:$G$32,4,FALSE)&amp;"_SIMUL")</f>
        <v>ON X.INSTRMNT_ID=Y.INSTRMNT_ID_SIMUL</v>
      </c>
      <c r="L274" s="35" t="str">
        <f>+IF(C274="Coerência", +IF(LEFT(G274,5)="FLOAT","SELECT '"&amp;UPPER(B274)&amp;"' AS TABELA, '"&amp;UPPER(C274)&amp;"' AS TIPOLOGIA_TESTE,'"&amp;D274&amp;"' AS TABELA_LT,'"&amp;E274&amp;"' AS TABELA_SIMUL,'"&amp;F274&amp;"' AS CAMPO, "&amp;"'${ref_date}' AS REF_DATE, COUNT(*) AS NUM_REG, SUM(IF((ABS(COALESCE(CAST(X."&amp;F274&amp;" AS DECIMAL(18,6)),0)-COALESCE(CAST(Y."&amp;F274&amp;"_SIMUL AS DECIMAL(18,6)),0))&gt;0.000001) OR (X."&amp;F274&amp;" IS NULL AND Y."&amp;F274&amp;"_SIMUL IS NOT NULL ) OR (X."&amp;F274&amp;" IS NOT NULL AND Y."&amp;F274&amp;"_SIMUL IS NULL),1,0)) AS NUM_REG_DIF,'"&amp;MAX('ID1&amp;5'!K:K)+1&amp;"' AS ID_EXEC, CURRENT_TIMESTAMP() AS TIME_EXEC FROM "&amp;I274&amp;" INNER JOIN "&amp;J274&amp;" "&amp;K274,"SELECT '"&amp;UPPER(B274)&amp;"' AS TABELA, '"&amp;UPPER(C274)&amp;"' AS TIPOLOGIA_TESTE,'"&amp;D274&amp;"' AS TABELA_LT,'"&amp;E274&amp;"' AS TABELA_SIMUL,'"&amp;F274&amp;"' AS CAMPO, "&amp;"'${ref_date}' AS REF_DATE, COUNT(*) AS NUM_REG, SUM(IF(COALESCE(CAST(X."&amp;F274&amp;" AS STRING),'')&lt;&gt;COALESCE(CAST(Y."&amp;F274&amp;"_SIMUL AS STRING),'') OR (X."&amp;F274&amp;" IS NULL AND Y."&amp;F274&amp;"_SIMUL IS NOT NULL ) OR (X."&amp;F274&amp;" IS NOT NULL AND Y."&amp;F274&amp;"_SIMUL IS NULL),1,0)) AS NUM_REG_DIF,'"&amp;MAX('ID1&amp;5'!L:L)+1&amp;"' AS ID_EXEC, CURRENT_TIMESTAMP() AS TIME_EXEC FROM "&amp;I274&amp;" INNER JOIN "&amp;J274&amp;" "&amp;K274),
IF(C274="Validade",+IF(G274="Code List","SELECT '"&amp;UPPER(B274)&amp;"' AS TABELA, '"&amp;UPPER(C274)&amp;"' AS TIPOLOGIA_TESTE,'"&amp;D274&amp;"' AS TABELA_LT,'N/A' AS TABELA_SIMUL,'"&amp;F274&amp;"' AS CAMPO, "&amp;"'${ref_date}' AS REF_DATE, COUNT(*) AS NUM_REG, SUM(IF(TRIM(CAST(X."&amp;F274&amp;" AS STRING))='' OR TRIM(CAST(X."&amp;F274&amp;" AS STRING)) IS NULL OR CAST(X."&amp;F274&amp;" AS STRING) NOT "&amp;H274&amp;",1,0)) AS NUM_REG_DIF,'"&amp;MAX('ID1&amp;5'!K:K)+1&amp;"' AS ID_EXEC, CURRENT_TIMESTAMP() AS TIME_EXEC FROM "&amp;I274,"SELECT '"&amp;UPPER(B274)&amp;"' AS TABELA, '"&amp;UPPER(C274)&amp;"' AS TIPOLOGIA_TESTE,'"&amp;D274&amp;"' AS TABELA_LT,'N/A' AS TABELA_SIMUL,'"&amp;F274&amp;"' AS CAMPO, "&amp;"'${ref_date}' AS REF_DATE, COUNT(*) AS NUM_REG, SUM(IF(TRIM(CAST(X."&amp;F274&amp;" AS STRING))='' OR TRIM(CAST(X."&amp;F274&amp;" AS STRING)) IS NULL,1,0)) AS NUM_REG_DIF,'"&amp;MAX('ID1&amp;5'!K:K)+1&amp;"' AS ID_EXEC, CURRENT_TIMESTAMP() AS TIME_EXEC FROM "&amp;I274),
IF(C274="Caracteres Especiais",+"SELECT '"&amp;UPPER(B274)&amp;"' AS TABELA, '"&amp;UPPER(C274)&amp;"' AS TIPOLOGIA_TESTE,'"&amp;D274&amp;"' AS TABELA_LT,'N/A' AS TABELA_SIMUL,'"&amp;F274&amp;"' AS CAMPO, "&amp;"'${ref_date}' AS REF_DATE, COUNT(*) AS NUM_REG, SUM(IF(REGEXP_REPLACE(TRIM(CAST(X."&amp;F274&amp;" AS STRING)),'[^a-zA-Z0-9_\\s]','') &lt;&gt;TRIM(CAST(X."&amp;F274&amp;" AS STRING)),1,0)) AS NUM_REG_DIF,'"&amp;MAX('ID1&amp;5'!K:K)+1&amp;"' AS ID_EXEC, CURRENT_TIMESTAMP() AS TIME_EXEC FROM "&amp;I274,
IF(C274="Missings",+"SELECT '"&amp;UPPER(B274)&amp;"' AS TABELA, '"&amp;UPPER(C274)&amp;"' AS TIPOLOGIA_TESTE,'"&amp;D274&amp;"' AS TABELA_LT,'N/A' AS TABELA_SIMUL,'"&amp;F274&amp;"' AS CAMPO, "&amp;"'${ref_date}' AS REF_DATE, COUNT(*) AS NUM_REG, SUM(IF(TRIM(CAST(X."&amp;F274&amp;" AS STRING)) IN ('0000-00-00','0001-01-01','9999-12-31','MISS','00000','99999999999','99999999999.00','99999999999.000000'),1,0)) AS NUM_REG_DIF,'"&amp;MAX('ID1&amp;5'!K:K)+1&amp;"' AS ID_EXEC, CURRENT_TIMESTAMP() AS TIME_EXEC FROM "&amp;I274,
IF(C274="Not applicable",+"SELECT '"&amp;UPPER(B274)&amp;"' AS TABELA, '"&amp;UPPER(C274)&amp;"' AS TIPOLOGIA_TESTE,'"&amp;D274&amp;"' AS TABELA_LT,'N/A' AS TABELA_SIMUL,'"&amp;F274&amp;"' AS CAMPO, "&amp;"'${ref_date}' AS REF_DATE, COUNT(*) AS NUM_REG, SUM(IF(TRIM(CAST(X."&amp;F274&amp;" AS STRING)) IN ('N/A','11111111111','11111111111.00','11111111111.000000','1111-11-11'),1,0)) AS NUM_REG_DIF,'"&amp;MAX('ID1&amp;5'!K:K)+1&amp;"' AS ID_EXEC, CURRENT_TIMESTAMP() AS TIME_EXEC FROM "&amp;I274,
IF(C274="Valores extremos",+"SELECT '"&amp;UPPER(B274)&amp;"' AS TABELA, '"&amp;UPPER(C274)&amp;"' AS TIPOLOGIA_TESTE,'"&amp;D274&amp;"' AS TABELA_LT,'N/A' AS TABELA_SIMUL,'"&amp;F274&amp;"' AS CAMPO, "&amp;"'${ref_date}' AS REF_DATE, CAST(MIN("&amp;F274&amp;") AS STRING) AS VALOR_MIN, CAST(MAX("&amp;F274&amp;") AS STRING) AS VALOR_MAX,'"&amp;MAX('ID1&amp;5'!K:K)+1&amp;"' AS ID_EXEC, CURRENT_TIMESTAMP() AS TIME_EXEC FROM "&amp;MID(I274,1,LEN(I274)-2)&amp;" AND CAST("&amp;F274&amp;"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TABELA_SIMUL,'HEDGE_ID' AS CAMPO, '${ref_date}' AS REF_DATE, COUNT(*) AS NUM_REG, SUM(IF(COALESCE(CAST(X.HEDGE_ID AS STRING),'')&lt;&gt;COALESCE(CAST(Y.HEDGE_ID_SIMUL AS STRING),'') OR (X.HEDGE_ID IS NULL AND Y.HEDGE_ID_SIMUL IS NOT NULL ) OR (X.HEDGE_ID IS NOT NULL AND Y.HEDGE_ID_SIMUL IS NULL),1,0)) AS NUM_REG_DIF,'1' AS ID_EXEC, CURRENT_TIMESTAMP() AS TIME_EXEC FROM (SELECT instrmnt_id, HEDGE_ID FROM CD_LOAN_TAPES_BCE.LT002_INSTRUMENT WHERE ref_date='${ref_date}' AND nome_perimetro='Individual Corporativo' AND segmento='ESTR' AND ambito='PM' AND entidade='00100')X INNER JOIN (SELECT instrmnt_id AS instrmnt_id_SIMUL, HEDGE_ID AS HEDGE_ID_SIMUL FROM BU_LOANTAPE_WORK.LT002_INSTRUMENT WHERE ref_date='${ref_date}' AND nome_perimetro='Individual Corporativo' AND segmento='ESTR' AND ambito='PM' AND entidade='00100')Y ON X.INSTRMNT_ID=Y.INSTRMNT_ID_SIMUL</v>
      </c>
      <c r="M274" s="36" t="str">
        <f t="shared" si="4"/>
        <v>UNION ALL SELECT 'INSTRUMENT' AS TABELA, 'COERÊNCIA' AS TIPOLOGIA_TESTE,'CD_LOAN_TAPES_BCE.LT002_INSTRUMENT' AS TABELA_LT,'BU_LOANTAPE_WORK.LT002_INSTRUMENT' AS TABELA_SIMUL,'HEDGE_ID' AS CAMPO, '${ref_date}' AS REF_DATE, COUNT(*) AS NUM_REG, SUM(IF(COALESCE(CAST(X.HEDGE_ID AS STRING),'')&lt;&gt;COALESCE(CAST(Y.HEDGE_ID_SIMUL AS STRING),'') OR (X.HEDGE_ID IS NULL AND Y.HEDGE_ID_SIMUL IS NOT NULL ) OR (X.HEDGE_ID IS NOT NULL AND Y.HEDGE_ID_SIMUL IS NULL),1,0)) AS NUM_REG_DIF,'1' AS ID_EXEC, CURRENT_TIMESTAMP() AS TIME_EXEC FROM (SELECT instrmnt_id, HEDGE_ID FROM CD_LOAN_TAPES_BCE.LT002_INSTRUMENT WHERE ref_date='${ref_date}' AND nome_perimetro='Individual Corporativo' AND segmento='ESTR' AND ambito='PM' AND entidade='00100')X INNER JOIN (SELECT instrmnt_id AS instrmnt_id_SIMUL, HEDGE_ID AS HEDGE_ID_SIMUL FROM BU_LOANTAPE_WORK.LT002_INSTRUMENT WHERE ref_date='${ref_date}' AND nome_perimetro='Individual Corporativo' AND segmento='ESTR' AND ambito='PM' AND entidade='00100')Y ON X.INSTRMNT_ID=Y.INSTRMNT_ID_SIMUL</v>
      </c>
      <c r="N274" s="38" t="s">
        <v>46</v>
      </c>
    </row>
    <row r="275" spans="2:14" hidden="1">
      <c r="B275" s="34" t="s">
        <v>126</v>
      </c>
      <c r="C275" s="34" t="s">
        <v>5</v>
      </c>
      <c r="D275" s="34" t="str">
        <f>+UPPER('0. Instruções'!$D$35&amp;"."&amp;VLOOKUP(B275,'0. Instruções'!$C$27:$D$32,2,FALSE))</f>
        <v>CD_LOAN_TAPES_BCE.LT002_INSTRUMENT</v>
      </c>
      <c r="E275" s="34" t="str">
        <f>+UPPER('0. Instruções'!$D$36&amp;"."&amp;VLOOKUP(B275,'0. Instruções'!$C$27:$E$32,3,FALSE))</f>
        <v>BU_LOANTAPE_WORK.LT002_INSTRUMENT</v>
      </c>
      <c r="F275" s="34" t="s">
        <v>558</v>
      </c>
      <c r="G275" s="34"/>
      <c r="H275" s="34" t="s">
        <v>89</v>
      </c>
      <c r="I275" s="34" t="str">
        <f>"(SELECT "&amp;VLOOKUP(B275,'0. Instruções'!$C$27:$G$32,4,FALSE)&amp;", "&amp;F275&amp;" FROM "&amp;D275&amp;" WHERE "&amp;'0. Instruções'!$D$42&amp;")X"</f>
        <v>(SELECT instrmnt_id, INSTR_SNRTY_CLSS FROM CD_LOAN_TAPES_BCE.LT002_INSTRUMENT WHERE ref_date='${ref_date}' AND nome_perimetro='Individual Corporativo' AND segmento='ESTR' AND ambito='PM' AND entidade='00100')X</v>
      </c>
      <c r="J275" s="34" t="str">
        <f>"(SELECT "&amp;VLOOKUP(B275,'0. Instruções'!$C$27:$G$32,4,FALSE)&amp;" AS "&amp;VLOOKUP(B275,'0. Instruções'!$C$27:$G$32,4,FALSE)&amp;"_SIMUL, "&amp;F275&amp;" AS "&amp;F275&amp;"_SIMUL FROM "&amp;E275&amp;" WHERE "&amp;'0. Instruções'!$D$43&amp;")Y"</f>
        <v>(SELECT instrmnt_id AS instrmnt_id_SIMUL, INSTR_SNRTY_CLSS AS INSTR_SNRTY_CLSS_SIMUL FROM BU_LOANTAPE_WORK.LT002_INSTRUMENT WHERE ref_date='${ref_date}' AND nome_perimetro='Individual Corporativo' AND segmento='ESTR' AND ambito='PM' AND entidade='00100')Y</v>
      </c>
      <c r="K275" s="35" t="str">
        <f>+UPPER("ON X."&amp;VLOOKUP(B275,'0. Instruções'!$C$27:$G$32,4,FALSE)&amp;"=Y."&amp;VLOOKUP(B275,'0. Instruções'!$C$27:$G$32,4,FALSE)&amp;"_SIMUL")</f>
        <v>ON X.INSTRMNT_ID=Y.INSTRMNT_ID_SIMUL</v>
      </c>
      <c r="L275" s="35" t="str">
        <f>+IF(C275="Coerência", +IF(LEFT(G275,5)="FLOAT","SELECT '"&amp;UPPER(B275)&amp;"' AS TABELA, '"&amp;UPPER(C275)&amp;"' AS TIPOLOGIA_TESTE,'"&amp;D275&amp;"' AS TABELA_LT,'"&amp;E275&amp;"' AS TABELA_SIMUL,'"&amp;F275&amp;"' AS CAMPO, "&amp;"'${ref_date}' AS REF_DATE, COUNT(*) AS NUM_REG, SUM(IF((ABS(COALESCE(CAST(X."&amp;F275&amp;" AS DECIMAL(18,6)),0)-COALESCE(CAST(Y."&amp;F275&amp;"_SIMUL AS DECIMAL(18,6)),0))&gt;0.000001) OR (X."&amp;F275&amp;" IS NULL AND Y."&amp;F275&amp;"_SIMUL IS NOT NULL ) OR (X."&amp;F275&amp;" IS NOT NULL AND Y."&amp;F275&amp;"_SIMUL IS NULL),1,0)) AS NUM_REG_DIF,'"&amp;MAX('ID1&amp;5'!K:K)+1&amp;"' AS ID_EXEC, CURRENT_TIMESTAMP() AS TIME_EXEC FROM "&amp;I275&amp;" INNER JOIN "&amp;J275&amp;" "&amp;K275,"SELECT '"&amp;UPPER(B275)&amp;"' AS TABELA, '"&amp;UPPER(C275)&amp;"' AS TIPOLOGIA_TESTE,'"&amp;D275&amp;"' AS TABELA_LT,'"&amp;E275&amp;"' AS TABELA_SIMUL,'"&amp;F275&amp;"' AS CAMPO, "&amp;"'${ref_date}' AS REF_DATE, COUNT(*) AS NUM_REG, SUM(IF(COALESCE(CAST(X."&amp;F275&amp;" AS STRING),'')&lt;&gt;COALESCE(CAST(Y."&amp;F275&amp;"_SIMUL AS STRING),'') OR (X."&amp;F275&amp;" IS NULL AND Y."&amp;F275&amp;"_SIMUL IS NOT NULL ) OR (X."&amp;F275&amp;" IS NOT NULL AND Y."&amp;F275&amp;"_SIMUL IS NULL),1,0)) AS NUM_REG_DIF,'"&amp;MAX('ID1&amp;5'!L:L)+1&amp;"' AS ID_EXEC, CURRENT_TIMESTAMP() AS TIME_EXEC FROM "&amp;I275&amp;" INNER JOIN "&amp;J275&amp;" "&amp;K275),
IF(C275="Validade",+IF(G275="Code List","SELECT '"&amp;UPPER(B275)&amp;"' AS TABELA, '"&amp;UPPER(C275)&amp;"' AS TIPOLOGIA_TESTE,'"&amp;D275&amp;"' AS TABELA_LT,'N/A' AS TABELA_SIMUL,'"&amp;F275&amp;"' AS CAMPO, "&amp;"'${ref_date}' AS REF_DATE, COUNT(*) AS NUM_REG, SUM(IF(TRIM(CAST(X."&amp;F275&amp;" AS STRING))='' OR TRIM(CAST(X."&amp;F275&amp;" AS STRING)) IS NULL OR CAST(X."&amp;F275&amp;" AS STRING) NOT "&amp;H275&amp;",1,0)) AS NUM_REG_DIF,'"&amp;MAX('ID1&amp;5'!K:K)+1&amp;"' AS ID_EXEC, CURRENT_TIMESTAMP() AS TIME_EXEC FROM "&amp;I275,"SELECT '"&amp;UPPER(B275)&amp;"' AS TABELA, '"&amp;UPPER(C275)&amp;"' AS TIPOLOGIA_TESTE,'"&amp;D275&amp;"' AS TABELA_LT,'N/A' AS TABELA_SIMUL,'"&amp;F275&amp;"' AS CAMPO, "&amp;"'${ref_date}' AS REF_DATE, COUNT(*) AS NUM_REG, SUM(IF(TRIM(CAST(X."&amp;F275&amp;" AS STRING))='' OR TRIM(CAST(X."&amp;F275&amp;" AS STRING)) IS NULL,1,0)) AS NUM_REG_DIF,'"&amp;MAX('ID1&amp;5'!K:K)+1&amp;"' AS ID_EXEC, CURRENT_TIMESTAMP() AS TIME_EXEC FROM "&amp;I275),
IF(C275="Caracteres Especiais",+"SELECT '"&amp;UPPER(B275)&amp;"' AS TABELA, '"&amp;UPPER(C275)&amp;"' AS TIPOLOGIA_TESTE,'"&amp;D275&amp;"' AS TABELA_LT,'N/A' AS TABELA_SIMUL,'"&amp;F275&amp;"' AS CAMPO, "&amp;"'${ref_date}' AS REF_DATE, COUNT(*) AS NUM_REG, SUM(IF(REGEXP_REPLACE(TRIM(CAST(X."&amp;F275&amp;" AS STRING)),'[^a-zA-Z0-9_\\s]','') &lt;&gt;TRIM(CAST(X."&amp;F275&amp;" AS STRING)),1,0)) AS NUM_REG_DIF,'"&amp;MAX('ID1&amp;5'!K:K)+1&amp;"' AS ID_EXEC, CURRENT_TIMESTAMP() AS TIME_EXEC FROM "&amp;I275,
IF(C275="Missings",+"SELECT '"&amp;UPPER(B275)&amp;"' AS TABELA, '"&amp;UPPER(C275)&amp;"' AS TIPOLOGIA_TESTE,'"&amp;D275&amp;"' AS TABELA_LT,'N/A' AS TABELA_SIMUL,'"&amp;F275&amp;"' AS CAMPO, "&amp;"'${ref_date}' AS REF_DATE, COUNT(*) AS NUM_REG, SUM(IF(TRIM(CAST(X."&amp;F275&amp;" AS STRING)) IN ('0000-00-00','0001-01-01','9999-12-31','MISS','00000','99999999999','99999999999.00','99999999999.000000'),1,0)) AS NUM_REG_DIF,'"&amp;MAX('ID1&amp;5'!K:K)+1&amp;"' AS ID_EXEC, CURRENT_TIMESTAMP() AS TIME_EXEC FROM "&amp;I275,
IF(C275="Not applicable",+"SELECT '"&amp;UPPER(B275)&amp;"' AS TABELA, '"&amp;UPPER(C275)&amp;"' AS TIPOLOGIA_TESTE,'"&amp;D275&amp;"' AS TABELA_LT,'N/A' AS TABELA_SIMUL,'"&amp;F275&amp;"' AS CAMPO, "&amp;"'${ref_date}' AS REF_DATE, COUNT(*) AS NUM_REG, SUM(IF(TRIM(CAST(X."&amp;F275&amp;" AS STRING)) IN ('N/A','11111111111','11111111111.00','11111111111.000000','1111-11-11'),1,0)) AS NUM_REG_DIF,'"&amp;MAX('ID1&amp;5'!K:K)+1&amp;"' AS ID_EXEC, CURRENT_TIMESTAMP() AS TIME_EXEC FROM "&amp;I275,
IF(C275="Valores extremos",+"SELECT '"&amp;UPPER(B275)&amp;"' AS TABELA, '"&amp;UPPER(C275)&amp;"' AS TIPOLOGIA_TESTE,'"&amp;D275&amp;"' AS TABELA_LT,'N/A' AS TABELA_SIMUL,'"&amp;F275&amp;"' AS CAMPO, "&amp;"'${ref_date}' AS REF_DATE, CAST(MIN("&amp;F275&amp;") AS STRING) AS VALOR_MIN, CAST(MAX("&amp;F275&amp;") AS STRING) AS VALOR_MAX,'"&amp;MAX('ID1&amp;5'!K:K)+1&amp;"' AS ID_EXEC, CURRENT_TIMESTAMP() AS TIME_EXEC FROM "&amp;MID(I275,1,LEN(I275)-2)&amp;" AND CAST("&amp;F275&amp;"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TABELA_SIMUL,'INSTR_SNRTY_CLSS' AS CAMPO, '${ref_date}' AS REF_DATE, COUNT(*) AS NUM_REG, SUM(IF(COALESCE(CAST(X.INSTR_SNRTY_CLSS AS STRING),'')&lt;&gt;COALESCE(CAST(Y.INSTR_SNRTY_CLSS_SIMUL AS STRING),'') OR (X.INSTR_SNRTY_CLSS IS NULL AND Y.INSTR_SNRTY_CLSS_SIMUL IS NOT NULL ) OR (X.INSTR_SNRTY_CLSS IS NOT NULL AND Y.INSTR_SNRTY_CLSS_SIMUL IS NULL),1,0)) AS NUM_REG_DIF,'1' AS ID_EXEC, CURRENT_TIMESTAMP() AS TIME_EXEC FROM (SELECT instrmnt_id, INSTR_SNRTY_CLSS FROM CD_LOAN_TAPES_BCE.LT002_INSTRUMENT WHERE ref_date='${ref_date}' AND nome_perimetro='Individual Corporativo' AND segmento='ESTR' AND ambito='PM' AND entidade='00100')X INNER JOIN (SELECT instrmnt_id AS instrmnt_id_SIMUL, INSTR_SNRTY_CLSS AS INSTR_SNRTY_CLSS_SIMUL FROM BU_LOANTAPE_WORK.LT002_INSTRUMENT WHERE ref_date='${ref_date}' AND nome_perimetro='Individual Corporativo' AND segmento='ESTR' AND ambito='PM' AND entidade='00100')Y ON X.INSTRMNT_ID=Y.INSTRMNT_ID_SIMUL</v>
      </c>
      <c r="M275" s="36" t="str">
        <f t="shared" si="4"/>
        <v>UNION ALL SELECT 'INSTRUMENT' AS TABELA, 'COERÊNCIA' AS TIPOLOGIA_TESTE,'CD_LOAN_TAPES_BCE.LT002_INSTRUMENT' AS TABELA_LT,'BU_LOANTAPE_WORK.LT002_INSTRUMENT' AS TABELA_SIMUL,'INSTR_SNRTY_CLSS' AS CAMPO, '${ref_date}' AS REF_DATE, COUNT(*) AS NUM_REG, SUM(IF(COALESCE(CAST(X.INSTR_SNRTY_CLSS AS STRING),'')&lt;&gt;COALESCE(CAST(Y.INSTR_SNRTY_CLSS_SIMUL AS STRING),'') OR (X.INSTR_SNRTY_CLSS IS NULL AND Y.INSTR_SNRTY_CLSS_SIMUL IS NOT NULL ) OR (X.INSTR_SNRTY_CLSS IS NOT NULL AND Y.INSTR_SNRTY_CLSS_SIMUL IS NULL),1,0)) AS NUM_REG_DIF,'1' AS ID_EXEC, CURRENT_TIMESTAMP() AS TIME_EXEC FROM (SELECT instrmnt_id, INSTR_SNRTY_CLSS FROM CD_LOAN_TAPES_BCE.LT002_INSTRUMENT WHERE ref_date='${ref_date}' AND nome_perimetro='Individual Corporativo' AND segmento='ESTR' AND ambito='PM' AND entidade='00100')X INNER JOIN (SELECT instrmnt_id AS instrmnt_id_SIMUL, INSTR_SNRTY_CLSS AS INSTR_SNRTY_CLSS_SIMUL FROM BU_LOANTAPE_WORK.LT002_INSTRUMENT WHERE ref_date='${ref_date}' AND nome_perimetro='Individual Corporativo' AND segmento='ESTR' AND ambito='PM' AND entidade='00100')Y ON X.INSTRMNT_ID=Y.INSTRMNT_ID_SIMUL</v>
      </c>
      <c r="N275" s="38" t="s">
        <v>46</v>
      </c>
    </row>
    <row r="276" spans="2:14" hidden="1">
      <c r="B276" s="34" t="s">
        <v>126</v>
      </c>
      <c r="C276" s="34" t="s">
        <v>5</v>
      </c>
      <c r="D276" s="34" t="str">
        <f>+UPPER('0. Instruções'!$D$35&amp;"."&amp;VLOOKUP(B276,'0. Instruções'!$C$27:$D$32,2,FALSE))</f>
        <v>CD_LOAN_TAPES_BCE.LT002_INSTRUMENT</v>
      </c>
      <c r="E276" s="34" t="str">
        <f>+UPPER('0. Instruções'!$D$36&amp;"."&amp;VLOOKUP(B276,'0. Instruções'!$C$27:$E$32,3,FALSE))</f>
        <v>BU_LOANTAPE_WORK.LT002_INSTRUMENT</v>
      </c>
      <c r="F276" s="34" t="s">
        <v>559</v>
      </c>
      <c r="G276" s="34"/>
      <c r="H276" s="34" t="s">
        <v>89</v>
      </c>
      <c r="I276" s="34" t="str">
        <f>"(SELECT "&amp;VLOOKUP(B276,'0. Instruções'!$C$27:$G$32,4,FALSE)&amp;", "&amp;F276&amp;" FROM "&amp;D276&amp;" WHERE "&amp;'0. Instruções'!$D$42&amp;")X"</f>
        <v>(SELECT instrmnt_id, INSTRMNT_CLSS FROM CD_LOAN_TAPES_BCE.LT002_INSTRUMENT WHERE ref_date='${ref_date}' AND nome_perimetro='Individual Corporativo' AND segmento='ESTR' AND ambito='PM' AND entidade='00100')X</v>
      </c>
      <c r="J276" s="34" t="str">
        <f>"(SELECT "&amp;VLOOKUP(B276,'0. Instruções'!$C$27:$G$32,4,FALSE)&amp;" AS "&amp;VLOOKUP(B276,'0. Instruções'!$C$27:$G$32,4,FALSE)&amp;"_SIMUL, "&amp;F276&amp;" AS "&amp;F276&amp;"_SIMUL FROM "&amp;E276&amp;" WHERE "&amp;'0. Instruções'!$D$43&amp;")Y"</f>
        <v>(SELECT instrmnt_id AS instrmnt_id_SIMUL, INSTRMNT_CLSS AS INSTRMNT_CLSS_SIMUL FROM BU_LOANTAPE_WORK.LT002_INSTRUMENT WHERE ref_date='${ref_date}' AND nome_perimetro='Individual Corporativo' AND segmento='ESTR' AND ambito='PM' AND entidade='00100')Y</v>
      </c>
      <c r="K276" s="35" t="str">
        <f>+UPPER("ON X."&amp;VLOOKUP(B276,'0. Instruções'!$C$27:$G$32,4,FALSE)&amp;"=Y."&amp;VLOOKUP(B276,'0. Instruções'!$C$27:$G$32,4,FALSE)&amp;"_SIMUL")</f>
        <v>ON X.INSTRMNT_ID=Y.INSTRMNT_ID_SIMUL</v>
      </c>
      <c r="L276" s="35" t="str">
        <f>+IF(C276="Coerência", +IF(LEFT(G276,5)="FLOAT","SELECT '"&amp;UPPER(B276)&amp;"' AS TABELA, '"&amp;UPPER(C276)&amp;"' AS TIPOLOGIA_TESTE,'"&amp;D276&amp;"' AS TABELA_LT,'"&amp;E276&amp;"' AS TABELA_SIMUL,'"&amp;F276&amp;"' AS CAMPO, "&amp;"'${ref_date}' AS REF_DATE, COUNT(*) AS NUM_REG, SUM(IF((ABS(COALESCE(CAST(X."&amp;F276&amp;" AS DECIMAL(18,6)),0)-COALESCE(CAST(Y."&amp;F276&amp;"_SIMUL AS DECIMAL(18,6)),0))&gt;0.000001) OR (X."&amp;F276&amp;" IS NULL AND Y."&amp;F276&amp;"_SIMUL IS NOT NULL ) OR (X."&amp;F276&amp;" IS NOT NULL AND Y."&amp;F276&amp;"_SIMUL IS NULL),1,0)) AS NUM_REG_DIF,'"&amp;MAX('ID1&amp;5'!K:K)+1&amp;"' AS ID_EXEC, CURRENT_TIMESTAMP() AS TIME_EXEC FROM "&amp;I276&amp;" INNER JOIN "&amp;J276&amp;" "&amp;K276,"SELECT '"&amp;UPPER(B276)&amp;"' AS TABELA, '"&amp;UPPER(C276)&amp;"' AS TIPOLOGIA_TESTE,'"&amp;D276&amp;"' AS TABELA_LT,'"&amp;E276&amp;"' AS TABELA_SIMUL,'"&amp;F276&amp;"' AS CAMPO, "&amp;"'${ref_date}' AS REF_DATE, COUNT(*) AS NUM_REG, SUM(IF(COALESCE(CAST(X."&amp;F276&amp;" AS STRING),'')&lt;&gt;COALESCE(CAST(Y."&amp;F276&amp;"_SIMUL AS STRING),'') OR (X."&amp;F276&amp;" IS NULL AND Y."&amp;F276&amp;"_SIMUL IS NOT NULL ) OR (X."&amp;F276&amp;" IS NOT NULL AND Y."&amp;F276&amp;"_SIMUL IS NULL),1,0)) AS NUM_REG_DIF,'"&amp;MAX('ID1&amp;5'!L:L)+1&amp;"' AS ID_EXEC, CURRENT_TIMESTAMP() AS TIME_EXEC FROM "&amp;I276&amp;" INNER JOIN "&amp;J276&amp;" "&amp;K276),
IF(C276="Validade",+IF(G276="Code List","SELECT '"&amp;UPPER(B276)&amp;"' AS TABELA, '"&amp;UPPER(C276)&amp;"' AS TIPOLOGIA_TESTE,'"&amp;D276&amp;"' AS TABELA_LT,'N/A' AS TABELA_SIMUL,'"&amp;F276&amp;"' AS CAMPO, "&amp;"'${ref_date}' AS REF_DATE, COUNT(*) AS NUM_REG, SUM(IF(TRIM(CAST(X."&amp;F276&amp;" AS STRING))='' OR TRIM(CAST(X."&amp;F276&amp;" AS STRING)) IS NULL OR CAST(X."&amp;F276&amp;" AS STRING) NOT "&amp;H276&amp;",1,0)) AS NUM_REG_DIF,'"&amp;MAX('ID1&amp;5'!K:K)+1&amp;"' AS ID_EXEC, CURRENT_TIMESTAMP() AS TIME_EXEC FROM "&amp;I276,"SELECT '"&amp;UPPER(B276)&amp;"' AS TABELA, '"&amp;UPPER(C276)&amp;"' AS TIPOLOGIA_TESTE,'"&amp;D276&amp;"' AS TABELA_LT,'N/A' AS TABELA_SIMUL,'"&amp;F276&amp;"' AS CAMPO, "&amp;"'${ref_date}' AS REF_DATE, COUNT(*) AS NUM_REG, SUM(IF(TRIM(CAST(X."&amp;F276&amp;" AS STRING))='' OR TRIM(CAST(X."&amp;F276&amp;" AS STRING)) IS NULL,1,0)) AS NUM_REG_DIF,'"&amp;MAX('ID1&amp;5'!K:K)+1&amp;"' AS ID_EXEC, CURRENT_TIMESTAMP() AS TIME_EXEC FROM "&amp;I276),
IF(C276="Caracteres Especiais",+"SELECT '"&amp;UPPER(B276)&amp;"' AS TABELA, '"&amp;UPPER(C276)&amp;"' AS TIPOLOGIA_TESTE,'"&amp;D276&amp;"' AS TABELA_LT,'N/A' AS TABELA_SIMUL,'"&amp;F276&amp;"' AS CAMPO, "&amp;"'${ref_date}' AS REF_DATE, COUNT(*) AS NUM_REG, SUM(IF(REGEXP_REPLACE(TRIM(CAST(X."&amp;F276&amp;" AS STRING)),'[^a-zA-Z0-9_\\s]','') &lt;&gt;TRIM(CAST(X."&amp;F276&amp;" AS STRING)),1,0)) AS NUM_REG_DIF,'"&amp;MAX('ID1&amp;5'!K:K)+1&amp;"' AS ID_EXEC, CURRENT_TIMESTAMP() AS TIME_EXEC FROM "&amp;I276,
IF(C276="Missings",+"SELECT '"&amp;UPPER(B276)&amp;"' AS TABELA, '"&amp;UPPER(C276)&amp;"' AS TIPOLOGIA_TESTE,'"&amp;D276&amp;"' AS TABELA_LT,'N/A' AS TABELA_SIMUL,'"&amp;F276&amp;"' AS CAMPO, "&amp;"'${ref_date}' AS REF_DATE, COUNT(*) AS NUM_REG, SUM(IF(TRIM(CAST(X."&amp;F276&amp;" AS STRING)) IN ('0000-00-00','0001-01-01','9999-12-31','MISS','00000','99999999999','99999999999.00','99999999999.000000'),1,0)) AS NUM_REG_DIF,'"&amp;MAX('ID1&amp;5'!K:K)+1&amp;"' AS ID_EXEC, CURRENT_TIMESTAMP() AS TIME_EXEC FROM "&amp;I276,
IF(C276="Not applicable",+"SELECT '"&amp;UPPER(B276)&amp;"' AS TABELA, '"&amp;UPPER(C276)&amp;"' AS TIPOLOGIA_TESTE,'"&amp;D276&amp;"' AS TABELA_LT,'N/A' AS TABELA_SIMUL,'"&amp;F276&amp;"' AS CAMPO, "&amp;"'${ref_date}' AS REF_DATE, COUNT(*) AS NUM_REG, SUM(IF(TRIM(CAST(X."&amp;F276&amp;" AS STRING)) IN ('N/A','11111111111','11111111111.00','11111111111.000000','1111-11-11'),1,0)) AS NUM_REG_DIF,'"&amp;MAX('ID1&amp;5'!K:K)+1&amp;"' AS ID_EXEC, CURRENT_TIMESTAMP() AS TIME_EXEC FROM "&amp;I276,
IF(C276="Valores extremos",+"SELECT '"&amp;UPPER(B276)&amp;"' AS TABELA, '"&amp;UPPER(C276)&amp;"' AS TIPOLOGIA_TESTE,'"&amp;D276&amp;"' AS TABELA_LT,'N/A' AS TABELA_SIMUL,'"&amp;F276&amp;"' AS CAMPO, "&amp;"'${ref_date}' AS REF_DATE, CAST(MIN("&amp;F276&amp;") AS STRING) AS VALOR_MIN, CAST(MAX("&amp;F276&amp;") AS STRING) AS VALOR_MAX,'"&amp;MAX('ID1&amp;5'!K:K)+1&amp;"' AS ID_EXEC, CURRENT_TIMESTAMP() AS TIME_EXEC FROM "&amp;MID(I276,1,LEN(I276)-2)&amp;" AND CAST("&amp;F276&amp;"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TABELA_SIMUL,'INSTRMNT_CLSS' AS CAMPO, '${ref_date}' AS REF_DATE, COUNT(*) AS NUM_REG, SUM(IF(COALESCE(CAST(X.INSTRMNT_CLSS AS STRING),'')&lt;&gt;COALESCE(CAST(Y.INSTRMNT_CLSS_SIMUL AS STRING),'') OR (X.INSTRMNT_CLSS IS NULL AND Y.INSTRMNT_CLSS_SIMUL IS NOT NULL ) OR (X.INSTRMNT_CLSS IS NOT NULL AND Y.INSTRMNT_CLSS_SIMUL IS NULL),1,0)) AS NUM_REG_DIF,'1' AS ID_EXEC, CURRENT_TIMESTAMP() AS TIME_EXEC FROM (SELECT instrmnt_id, INSTRMNT_CLSS FROM CD_LOAN_TAPES_BCE.LT002_INSTRUMENT WHERE ref_date='${ref_date}' AND nome_perimetro='Individual Corporativo' AND segmento='ESTR' AND ambito='PM' AND entidade='00100')X INNER JOIN (SELECT instrmnt_id AS instrmnt_id_SIMUL, INSTRMNT_CLSS AS INSTRMNT_CLSS_SIMUL FROM BU_LOANTAPE_WORK.LT002_INSTRUMENT WHERE ref_date='${ref_date}' AND nome_perimetro='Individual Corporativo' AND segmento='ESTR' AND ambito='PM' AND entidade='00100')Y ON X.INSTRMNT_ID=Y.INSTRMNT_ID_SIMUL</v>
      </c>
      <c r="M276" s="36" t="str">
        <f t="shared" si="4"/>
        <v>UNION ALL SELECT 'INSTRUMENT' AS TABELA, 'COERÊNCIA' AS TIPOLOGIA_TESTE,'CD_LOAN_TAPES_BCE.LT002_INSTRUMENT' AS TABELA_LT,'BU_LOANTAPE_WORK.LT002_INSTRUMENT' AS TABELA_SIMUL,'INSTRMNT_CLSS' AS CAMPO, '${ref_date}' AS REF_DATE, COUNT(*) AS NUM_REG, SUM(IF(COALESCE(CAST(X.INSTRMNT_CLSS AS STRING),'')&lt;&gt;COALESCE(CAST(Y.INSTRMNT_CLSS_SIMUL AS STRING),'') OR (X.INSTRMNT_CLSS IS NULL AND Y.INSTRMNT_CLSS_SIMUL IS NOT NULL ) OR (X.INSTRMNT_CLSS IS NOT NULL AND Y.INSTRMNT_CLSS_SIMUL IS NULL),1,0)) AS NUM_REG_DIF,'1' AS ID_EXEC, CURRENT_TIMESTAMP() AS TIME_EXEC FROM (SELECT instrmnt_id, INSTRMNT_CLSS FROM CD_LOAN_TAPES_BCE.LT002_INSTRUMENT WHERE ref_date='${ref_date}' AND nome_perimetro='Individual Corporativo' AND segmento='ESTR' AND ambito='PM' AND entidade='00100')X INNER JOIN (SELECT instrmnt_id AS instrmnt_id_SIMUL, INSTRMNT_CLSS AS INSTRMNT_CLSS_SIMUL FROM BU_LOANTAPE_WORK.LT002_INSTRUMENT WHERE ref_date='${ref_date}' AND nome_perimetro='Individual Corporativo' AND segmento='ESTR' AND ambito='PM' AND entidade='00100')Y ON X.INSTRMNT_ID=Y.INSTRMNT_ID_SIMUL</v>
      </c>
      <c r="N276" s="38" t="s">
        <v>46</v>
      </c>
    </row>
    <row r="277" spans="2:14" hidden="1">
      <c r="B277" s="34" t="s">
        <v>126</v>
      </c>
      <c r="C277" s="34" t="s">
        <v>5</v>
      </c>
      <c r="D277" s="34" t="str">
        <f>+UPPER('0. Instruções'!$D$35&amp;"."&amp;VLOOKUP(B277,'0. Instruções'!$C$27:$D$32,2,FALSE))</f>
        <v>CD_LOAN_TAPES_BCE.LT002_INSTRUMENT</v>
      </c>
      <c r="E277" s="34" t="str">
        <f>+UPPER('0. Instruções'!$D$36&amp;"."&amp;VLOOKUP(B277,'0. Instruções'!$C$27:$E$32,3,FALSE))</f>
        <v>BU_LOANTAPE_WORK.LT002_INSTRUMENT</v>
      </c>
      <c r="F277" s="34" t="s">
        <v>112</v>
      </c>
      <c r="G277" s="34"/>
      <c r="H277" s="34" t="s">
        <v>654</v>
      </c>
      <c r="I277" s="34" t="str">
        <f>"(SELECT "&amp;VLOOKUP(B277,'0. Instruções'!$C$27:$G$32,4,FALSE)&amp;", "&amp;F277&amp;" FROM "&amp;D277&amp;" WHERE "&amp;'0. Instruções'!$D$42&amp;")X"</f>
        <v>(SELECT instrmnt_id, ISIN FROM CD_LOAN_TAPES_BCE.LT002_INSTRUMENT WHERE ref_date='${ref_date}' AND nome_perimetro='Individual Corporativo' AND segmento='ESTR' AND ambito='PM' AND entidade='00100')X</v>
      </c>
      <c r="J277" s="34" t="str">
        <f>"(SELECT "&amp;VLOOKUP(B277,'0. Instruções'!$C$27:$G$32,4,FALSE)&amp;" AS "&amp;VLOOKUP(B277,'0. Instruções'!$C$27:$G$32,4,FALSE)&amp;"_SIMUL, "&amp;F277&amp;" AS "&amp;F277&amp;"_SIMUL FROM "&amp;E277&amp;" WHERE "&amp;'0. Instruções'!$D$43&amp;")Y"</f>
        <v>(SELECT instrmnt_id AS instrmnt_id_SIMUL, ISIN AS ISIN_SIMUL FROM BU_LOANTAPE_WORK.LT002_INSTRUMENT WHERE ref_date='${ref_date}' AND nome_perimetro='Individual Corporativo' AND segmento='ESTR' AND ambito='PM' AND entidade='00100')Y</v>
      </c>
      <c r="K277" s="35" t="str">
        <f>+UPPER("ON X."&amp;VLOOKUP(B277,'0. Instruções'!$C$27:$G$32,4,FALSE)&amp;"=Y."&amp;VLOOKUP(B277,'0. Instruções'!$C$27:$G$32,4,FALSE)&amp;"_SIMUL")</f>
        <v>ON X.INSTRMNT_ID=Y.INSTRMNT_ID_SIMUL</v>
      </c>
      <c r="L277" s="35" t="str">
        <f>+IF(C277="Coerência", +IF(LEFT(G277,5)="FLOAT","SELECT '"&amp;UPPER(B277)&amp;"' AS TABELA, '"&amp;UPPER(C277)&amp;"' AS TIPOLOGIA_TESTE,'"&amp;D277&amp;"' AS TABELA_LT,'"&amp;E277&amp;"' AS TABELA_SIMUL,'"&amp;F277&amp;"' AS CAMPO, "&amp;"'${ref_date}' AS REF_DATE, COUNT(*) AS NUM_REG, SUM(IF((ABS(COALESCE(CAST(X."&amp;F277&amp;" AS DECIMAL(18,6)),0)-COALESCE(CAST(Y."&amp;F277&amp;"_SIMUL AS DECIMAL(18,6)),0))&gt;0.000001) OR (X."&amp;F277&amp;" IS NULL AND Y."&amp;F277&amp;"_SIMUL IS NOT NULL ) OR (X."&amp;F277&amp;" IS NOT NULL AND Y."&amp;F277&amp;"_SIMUL IS NULL),1,0)) AS NUM_REG_DIF,'"&amp;MAX('ID1&amp;5'!K:K)+1&amp;"' AS ID_EXEC, CURRENT_TIMESTAMP() AS TIME_EXEC FROM "&amp;I277&amp;" INNER JOIN "&amp;J277&amp;" "&amp;K277,"SELECT '"&amp;UPPER(B277)&amp;"' AS TABELA, '"&amp;UPPER(C277)&amp;"' AS TIPOLOGIA_TESTE,'"&amp;D277&amp;"' AS TABELA_LT,'"&amp;E277&amp;"' AS TABELA_SIMUL,'"&amp;F277&amp;"' AS CAMPO, "&amp;"'${ref_date}' AS REF_DATE, COUNT(*) AS NUM_REG, SUM(IF(COALESCE(CAST(X."&amp;F277&amp;" AS STRING),'')&lt;&gt;COALESCE(CAST(Y."&amp;F277&amp;"_SIMUL AS STRING),'') OR (X."&amp;F277&amp;" IS NULL AND Y."&amp;F277&amp;"_SIMUL IS NOT NULL ) OR (X."&amp;F277&amp;" IS NOT NULL AND Y."&amp;F277&amp;"_SIMUL IS NULL),1,0)) AS NUM_REG_DIF,'"&amp;MAX('ID1&amp;5'!L:L)+1&amp;"' AS ID_EXEC, CURRENT_TIMESTAMP() AS TIME_EXEC FROM "&amp;I277&amp;" INNER JOIN "&amp;J277&amp;" "&amp;K277),
IF(C277="Validade",+IF(G277="Code List","SELECT '"&amp;UPPER(B277)&amp;"' AS TABELA, '"&amp;UPPER(C277)&amp;"' AS TIPOLOGIA_TESTE,'"&amp;D277&amp;"' AS TABELA_LT,'N/A' AS TABELA_SIMUL,'"&amp;F277&amp;"' AS CAMPO, "&amp;"'${ref_date}' AS REF_DATE, COUNT(*) AS NUM_REG, SUM(IF(TRIM(CAST(X."&amp;F277&amp;" AS STRING))='' OR TRIM(CAST(X."&amp;F277&amp;" AS STRING)) IS NULL OR CAST(X."&amp;F277&amp;" AS STRING) NOT "&amp;H277&amp;",1,0)) AS NUM_REG_DIF,'"&amp;MAX('ID1&amp;5'!K:K)+1&amp;"' AS ID_EXEC, CURRENT_TIMESTAMP() AS TIME_EXEC FROM "&amp;I277,"SELECT '"&amp;UPPER(B277)&amp;"' AS TABELA, '"&amp;UPPER(C277)&amp;"' AS TIPOLOGIA_TESTE,'"&amp;D277&amp;"' AS TABELA_LT,'N/A' AS TABELA_SIMUL,'"&amp;F277&amp;"' AS CAMPO, "&amp;"'${ref_date}' AS REF_DATE, COUNT(*) AS NUM_REG, SUM(IF(TRIM(CAST(X."&amp;F277&amp;" AS STRING))='' OR TRIM(CAST(X."&amp;F277&amp;" AS STRING)) IS NULL,1,0)) AS NUM_REG_DIF,'"&amp;MAX('ID1&amp;5'!K:K)+1&amp;"' AS ID_EXEC, CURRENT_TIMESTAMP() AS TIME_EXEC FROM "&amp;I277),
IF(C277="Caracteres Especiais",+"SELECT '"&amp;UPPER(B277)&amp;"' AS TABELA, '"&amp;UPPER(C277)&amp;"' AS TIPOLOGIA_TESTE,'"&amp;D277&amp;"' AS TABELA_LT,'N/A' AS TABELA_SIMUL,'"&amp;F277&amp;"' AS CAMPO, "&amp;"'${ref_date}' AS REF_DATE, COUNT(*) AS NUM_REG, SUM(IF(REGEXP_REPLACE(TRIM(CAST(X."&amp;F277&amp;" AS STRING)),'[^a-zA-Z0-9_\\s]','') &lt;&gt;TRIM(CAST(X."&amp;F277&amp;" AS STRING)),1,0)) AS NUM_REG_DIF,'"&amp;MAX('ID1&amp;5'!K:K)+1&amp;"' AS ID_EXEC, CURRENT_TIMESTAMP() AS TIME_EXEC FROM "&amp;I277,
IF(C277="Missings",+"SELECT '"&amp;UPPER(B277)&amp;"' AS TABELA, '"&amp;UPPER(C277)&amp;"' AS TIPOLOGIA_TESTE,'"&amp;D277&amp;"' AS TABELA_LT,'N/A' AS TABELA_SIMUL,'"&amp;F277&amp;"' AS CAMPO, "&amp;"'${ref_date}' AS REF_DATE, COUNT(*) AS NUM_REG, SUM(IF(TRIM(CAST(X."&amp;F277&amp;" AS STRING)) IN ('0000-00-00','0001-01-01','9999-12-31','MISS','00000','99999999999','99999999999.00','99999999999.000000'),1,0)) AS NUM_REG_DIF,'"&amp;MAX('ID1&amp;5'!K:K)+1&amp;"' AS ID_EXEC, CURRENT_TIMESTAMP() AS TIME_EXEC FROM "&amp;I277,
IF(C277="Not applicable",+"SELECT '"&amp;UPPER(B277)&amp;"' AS TABELA, '"&amp;UPPER(C277)&amp;"' AS TIPOLOGIA_TESTE,'"&amp;D277&amp;"' AS TABELA_LT,'N/A' AS TABELA_SIMUL,'"&amp;F277&amp;"' AS CAMPO, "&amp;"'${ref_date}' AS REF_DATE, COUNT(*) AS NUM_REG, SUM(IF(TRIM(CAST(X."&amp;F277&amp;" AS STRING)) IN ('N/A','11111111111','11111111111.00','11111111111.000000','1111-11-11'),1,0)) AS NUM_REG_DIF,'"&amp;MAX('ID1&amp;5'!K:K)+1&amp;"' AS ID_EXEC, CURRENT_TIMESTAMP() AS TIME_EXEC FROM "&amp;I277,
IF(C277="Valores extremos",+"SELECT '"&amp;UPPER(B277)&amp;"' AS TABELA, '"&amp;UPPER(C277)&amp;"' AS TIPOLOGIA_TESTE,'"&amp;D277&amp;"' AS TABELA_LT,'N/A' AS TABELA_SIMUL,'"&amp;F277&amp;"' AS CAMPO, "&amp;"'${ref_date}' AS REF_DATE, CAST(MIN("&amp;F277&amp;") AS STRING) AS VALOR_MIN, CAST(MAX("&amp;F277&amp;") AS STRING) AS VALOR_MAX,'"&amp;MAX('ID1&amp;5'!K:K)+1&amp;"' AS ID_EXEC, CURRENT_TIMESTAMP() AS TIME_EXEC FROM "&amp;MID(I277,1,LEN(I277)-2)&amp;" AND CAST("&amp;F277&amp;"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TABELA_SIMUL,'ISIN' AS CAMPO, '${ref_date}' AS REF_DATE, COUNT(*) AS NUM_REG, SUM(IF(COALESCE(CAST(X.ISIN AS STRING),'')&lt;&gt;COALESCE(CAST(Y.ISIN_SIMUL AS STRING),'') OR (X.ISIN IS NULL AND Y.ISIN_SIMUL IS NOT NULL ) OR (X.ISIN IS NOT NULL AND Y.ISIN_SIMUL IS NULL),1,0)) AS NUM_REG_DIF,'1' AS ID_EXEC, CURRENT_TIMESTAMP() AS TIME_EXEC FROM (SELECT instrmnt_id, ISIN FROM CD_LOAN_TAPES_BCE.LT002_INSTRUMENT WHERE ref_date='${ref_date}' AND nome_perimetro='Individual Corporativo' AND segmento='ESTR' AND ambito='PM' AND entidade='00100')X INNER JOIN (SELECT instrmnt_id AS instrmnt_id_SIMUL, ISIN AS ISIN_SIMUL FROM BU_LOANTAPE_WORK.LT002_INSTRUMENT WHERE ref_date='${ref_date}' AND nome_perimetro='Individual Corporativo' AND segmento='ESTR' AND ambito='PM' AND entidade='00100')Y ON X.INSTRMNT_ID=Y.INSTRMNT_ID_SIMUL</v>
      </c>
      <c r="M277" s="36" t="str">
        <f t="shared" si="4"/>
        <v>UNION ALL SELECT 'INSTRUMENT' AS TABELA, 'COERÊNCIA' AS TIPOLOGIA_TESTE,'CD_LOAN_TAPES_BCE.LT002_INSTRUMENT' AS TABELA_LT,'BU_LOANTAPE_WORK.LT002_INSTRUMENT' AS TABELA_SIMUL,'ISIN' AS CAMPO, '${ref_date}' AS REF_DATE, COUNT(*) AS NUM_REG, SUM(IF(COALESCE(CAST(X.ISIN AS STRING),'')&lt;&gt;COALESCE(CAST(Y.ISIN_SIMUL AS STRING),'') OR (X.ISIN IS NULL AND Y.ISIN_SIMUL IS NOT NULL ) OR (X.ISIN IS NOT NULL AND Y.ISIN_SIMUL IS NULL),1,0)) AS NUM_REG_DIF,'1' AS ID_EXEC, CURRENT_TIMESTAMP() AS TIME_EXEC FROM (SELECT instrmnt_id, ISIN FROM CD_LOAN_TAPES_BCE.LT002_INSTRUMENT WHERE ref_date='${ref_date}' AND nome_perimetro='Individual Corporativo' AND segmento='ESTR' AND ambito='PM' AND entidade='00100')X INNER JOIN (SELECT instrmnt_id AS instrmnt_id_SIMUL, ISIN AS ISIN_SIMUL FROM BU_LOANTAPE_WORK.LT002_INSTRUMENT WHERE ref_date='${ref_date}' AND nome_perimetro='Individual Corporativo' AND segmento='ESTR' AND ambito='PM' AND entidade='00100')Y ON X.INSTRMNT_ID=Y.INSTRMNT_ID_SIMUL</v>
      </c>
      <c r="N277" s="38" t="s">
        <v>46</v>
      </c>
    </row>
    <row r="278" spans="2:14" hidden="1">
      <c r="B278" s="34" t="s">
        <v>126</v>
      </c>
      <c r="C278" s="34" t="s">
        <v>5</v>
      </c>
      <c r="D278" s="34" t="str">
        <f>+UPPER('0. Instruções'!$D$35&amp;"."&amp;VLOOKUP(B278,'0. Instruções'!$C$27:$D$32,2,FALSE))</f>
        <v>CD_LOAN_TAPES_BCE.LT002_INSTRUMENT</v>
      </c>
      <c r="E278" s="34" t="str">
        <f>+UPPER('0. Instruções'!$D$36&amp;"."&amp;VLOOKUP(B278,'0. Instruções'!$C$27:$E$32,3,FALSE))</f>
        <v>BU_LOANTAPE_WORK.LT002_INSTRUMENT</v>
      </c>
      <c r="F278" s="34" t="s">
        <v>105</v>
      </c>
      <c r="G278" s="34"/>
      <c r="H278" s="34" t="s">
        <v>89</v>
      </c>
      <c r="I278" s="34" t="str">
        <f>"(SELECT "&amp;VLOOKUP(B278,'0. Instruções'!$C$27:$G$32,4,FALSE)&amp;", "&amp;F278&amp;" FROM "&amp;D278&amp;" WHERE "&amp;'0. Instruções'!$D$42&amp;")X"</f>
        <v>(SELECT instrmnt_id, ISSR_CNTRY FROM CD_LOAN_TAPES_BCE.LT002_INSTRUMENT WHERE ref_date='${ref_date}' AND nome_perimetro='Individual Corporativo' AND segmento='ESTR' AND ambito='PM' AND entidade='00100')X</v>
      </c>
      <c r="J278" s="34" t="str">
        <f>"(SELECT "&amp;VLOOKUP(B278,'0. Instruções'!$C$27:$G$32,4,FALSE)&amp;" AS "&amp;VLOOKUP(B278,'0. Instruções'!$C$27:$G$32,4,FALSE)&amp;"_SIMUL, "&amp;F278&amp;" AS "&amp;F278&amp;"_SIMUL FROM "&amp;E278&amp;" WHERE "&amp;'0. Instruções'!$D$43&amp;")Y"</f>
        <v>(SELECT instrmnt_id AS instrmnt_id_SIMUL, ISSR_CNTRY AS ISSR_CNTRY_SIMUL FROM BU_LOANTAPE_WORK.LT002_INSTRUMENT WHERE ref_date='${ref_date}' AND nome_perimetro='Individual Corporativo' AND segmento='ESTR' AND ambito='PM' AND entidade='00100')Y</v>
      </c>
      <c r="K278" s="35" t="str">
        <f>+UPPER("ON X."&amp;VLOOKUP(B278,'0. Instruções'!$C$27:$G$32,4,FALSE)&amp;"=Y."&amp;VLOOKUP(B278,'0. Instruções'!$C$27:$G$32,4,FALSE)&amp;"_SIMUL")</f>
        <v>ON X.INSTRMNT_ID=Y.INSTRMNT_ID_SIMUL</v>
      </c>
      <c r="L278" s="35" t="str">
        <f>+IF(C278="Coerência", +IF(LEFT(G278,5)="FLOAT","SELECT '"&amp;UPPER(B278)&amp;"' AS TABELA, '"&amp;UPPER(C278)&amp;"' AS TIPOLOGIA_TESTE,'"&amp;D278&amp;"' AS TABELA_LT,'"&amp;E278&amp;"' AS TABELA_SIMUL,'"&amp;F278&amp;"' AS CAMPO, "&amp;"'${ref_date}' AS REF_DATE, COUNT(*) AS NUM_REG, SUM(IF((ABS(COALESCE(CAST(X."&amp;F278&amp;" AS DECIMAL(18,6)),0)-COALESCE(CAST(Y."&amp;F278&amp;"_SIMUL AS DECIMAL(18,6)),0))&gt;0.000001) OR (X."&amp;F278&amp;" IS NULL AND Y."&amp;F278&amp;"_SIMUL IS NOT NULL ) OR (X."&amp;F278&amp;" IS NOT NULL AND Y."&amp;F278&amp;"_SIMUL IS NULL),1,0)) AS NUM_REG_DIF,'"&amp;MAX('ID1&amp;5'!K:K)+1&amp;"' AS ID_EXEC, CURRENT_TIMESTAMP() AS TIME_EXEC FROM "&amp;I278&amp;" INNER JOIN "&amp;J278&amp;" "&amp;K278,"SELECT '"&amp;UPPER(B278)&amp;"' AS TABELA, '"&amp;UPPER(C278)&amp;"' AS TIPOLOGIA_TESTE,'"&amp;D278&amp;"' AS TABELA_LT,'"&amp;E278&amp;"' AS TABELA_SIMUL,'"&amp;F278&amp;"' AS CAMPO, "&amp;"'${ref_date}' AS REF_DATE, COUNT(*) AS NUM_REG, SUM(IF(COALESCE(CAST(X."&amp;F278&amp;" AS STRING),'')&lt;&gt;COALESCE(CAST(Y."&amp;F278&amp;"_SIMUL AS STRING),'') OR (X."&amp;F278&amp;" IS NULL AND Y."&amp;F278&amp;"_SIMUL IS NOT NULL ) OR (X."&amp;F278&amp;" IS NOT NULL AND Y."&amp;F278&amp;"_SIMUL IS NULL),1,0)) AS NUM_REG_DIF,'"&amp;MAX('ID1&amp;5'!L:L)+1&amp;"' AS ID_EXEC, CURRENT_TIMESTAMP() AS TIME_EXEC FROM "&amp;I278&amp;" INNER JOIN "&amp;J278&amp;" "&amp;K278),
IF(C278="Validade",+IF(G278="Code List","SELECT '"&amp;UPPER(B278)&amp;"' AS TABELA, '"&amp;UPPER(C278)&amp;"' AS TIPOLOGIA_TESTE,'"&amp;D278&amp;"' AS TABELA_LT,'N/A' AS TABELA_SIMUL,'"&amp;F278&amp;"' AS CAMPO, "&amp;"'${ref_date}' AS REF_DATE, COUNT(*) AS NUM_REG, SUM(IF(TRIM(CAST(X."&amp;F278&amp;" AS STRING))='' OR TRIM(CAST(X."&amp;F278&amp;" AS STRING)) IS NULL OR CAST(X."&amp;F278&amp;" AS STRING) NOT "&amp;H278&amp;",1,0)) AS NUM_REG_DIF,'"&amp;MAX('ID1&amp;5'!K:K)+1&amp;"' AS ID_EXEC, CURRENT_TIMESTAMP() AS TIME_EXEC FROM "&amp;I278,"SELECT '"&amp;UPPER(B278)&amp;"' AS TABELA, '"&amp;UPPER(C278)&amp;"' AS TIPOLOGIA_TESTE,'"&amp;D278&amp;"' AS TABELA_LT,'N/A' AS TABELA_SIMUL,'"&amp;F278&amp;"' AS CAMPO, "&amp;"'${ref_date}' AS REF_DATE, COUNT(*) AS NUM_REG, SUM(IF(TRIM(CAST(X."&amp;F278&amp;" AS STRING))='' OR TRIM(CAST(X."&amp;F278&amp;" AS STRING)) IS NULL,1,0)) AS NUM_REG_DIF,'"&amp;MAX('ID1&amp;5'!K:K)+1&amp;"' AS ID_EXEC, CURRENT_TIMESTAMP() AS TIME_EXEC FROM "&amp;I278),
IF(C278="Caracteres Especiais",+"SELECT '"&amp;UPPER(B278)&amp;"' AS TABELA, '"&amp;UPPER(C278)&amp;"' AS TIPOLOGIA_TESTE,'"&amp;D278&amp;"' AS TABELA_LT,'N/A' AS TABELA_SIMUL,'"&amp;F278&amp;"' AS CAMPO, "&amp;"'${ref_date}' AS REF_DATE, COUNT(*) AS NUM_REG, SUM(IF(REGEXP_REPLACE(TRIM(CAST(X."&amp;F278&amp;" AS STRING)),'[^a-zA-Z0-9_\\s]','') &lt;&gt;TRIM(CAST(X."&amp;F278&amp;" AS STRING)),1,0)) AS NUM_REG_DIF,'"&amp;MAX('ID1&amp;5'!K:K)+1&amp;"' AS ID_EXEC, CURRENT_TIMESTAMP() AS TIME_EXEC FROM "&amp;I278,
IF(C278="Missings",+"SELECT '"&amp;UPPER(B278)&amp;"' AS TABELA, '"&amp;UPPER(C278)&amp;"' AS TIPOLOGIA_TESTE,'"&amp;D278&amp;"' AS TABELA_LT,'N/A' AS TABELA_SIMUL,'"&amp;F278&amp;"' AS CAMPO, "&amp;"'${ref_date}' AS REF_DATE, COUNT(*) AS NUM_REG, SUM(IF(TRIM(CAST(X."&amp;F278&amp;" AS STRING)) IN ('0000-00-00','0001-01-01','9999-12-31','MISS','00000','99999999999','99999999999.00','99999999999.000000'),1,0)) AS NUM_REG_DIF,'"&amp;MAX('ID1&amp;5'!K:K)+1&amp;"' AS ID_EXEC, CURRENT_TIMESTAMP() AS TIME_EXEC FROM "&amp;I278,
IF(C278="Not applicable",+"SELECT '"&amp;UPPER(B278)&amp;"' AS TABELA, '"&amp;UPPER(C278)&amp;"' AS TIPOLOGIA_TESTE,'"&amp;D278&amp;"' AS TABELA_LT,'N/A' AS TABELA_SIMUL,'"&amp;F278&amp;"' AS CAMPO, "&amp;"'${ref_date}' AS REF_DATE, COUNT(*) AS NUM_REG, SUM(IF(TRIM(CAST(X."&amp;F278&amp;" AS STRING)) IN ('N/A','11111111111','11111111111.00','11111111111.000000','1111-11-11'),1,0)) AS NUM_REG_DIF,'"&amp;MAX('ID1&amp;5'!K:K)+1&amp;"' AS ID_EXEC, CURRENT_TIMESTAMP() AS TIME_EXEC FROM "&amp;I278,
IF(C278="Valores extremos",+"SELECT '"&amp;UPPER(B278)&amp;"' AS TABELA, '"&amp;UPPER(C278)&amp;"' AS TIPOLOGIA_TESTE,'"&amp;D278&amp;"' AS TABELA_LT,'N/A' AS TABELA_SIMUL,'"&amp;F278&amp;"' AS CAMPO, "&amp;"'${ref_date}' AS REF_DATE, CAST(MIN("&amp;F278&amp;") AS STRING) AS VALOR_MIN, CAST(MAX("&amp;F278&amp;") AS STRING) AS VALOR_MAX,'"&amp;MAX('ID1&amp;5'!K:K)+1&amp;"' AS ID_EXEC, CURRENT_TIMESTAMP() AS TIME_EXEC FROM "&amp;MID(I278,1,LEN(I278)-2)&amp;" AND CAST("&amp;F278&amp;"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TABELA_SIMUL,'ISSR_CNTRY' AS CAMPO, '${ref_date}' AS REF_DATE, COUNT(*) AS NUM_REG, SUM(IF(COALESCE(CAST(X.ISSR_CNTRY AS STRING),'')&lt;&gt;COALESCE(CAST(Y.ISSR_CNTRY_SIMUL AS STRING),'') OR (X.ISSR_CNTRY IS NULL AND Y.ISSR_CNTRY_SIMUL IS NOT NULL ) OR (X.ISSR_CNTRY IS NOT NULL AND Y.ISSR_CNTRY_SIMUL IS NULL),1,0)) AS NUM_REG_DIF,'1' AS ID_EXEC, CURRENT_TIMESTAMP() AS TIME_EXEC FROM (SELECT instrmnt_id, ISSR_CNTRY FROM CD_LOAN_TAPES_BCE.LT002_INSTRUMENT WHERE ref_date='${ref_date}' AND nome_perimetro='Individual Corporativo' AND segmento='ESTR' AND ambito='PM' AND entidade='00100')X INNER JOIN (SELECT instrmnt_id AS instrmnt_id_SIMUL, ISSR_CNTRY AS ISSR_CNTRY_SIMUL FROM BU_LOANTAPE_WORK.LT002_INSTRUMENT WHERE ref_date='${ref_date}' AND nome_perimetro='Individual Corporativo' AND segmento='ESTR' AND ambito='PM' AND entidade='00100')Y ON X.INSTRMNT_ID=Y.INSTRMNT_ID_SIMUL</v>
      </c>
      <c r="M278" s="36" t="str">
        <f t="shared" si="4"/>
        <v>UNION ALL SELECT 'INSTRUMENT' AS TABELA, 'COERÊNCIA' AS TIPOLOGIA_TESTE,'CD_LOAN_TAPES_BCE.LT002_INSTRUMENT' AS TABELA_LT,'BU_LOANTAPE_WORK.LT002_INSTRUMENT' AS TABELA_SIMUL,'ISSR_CNTRY' AS CAMPO, '${ref_date}' AS REF_DATE, COUNT(*) AS NUM_REG, SUM(IF(COALESCE(CAST(X.ISSR_CNTRY AS STRING),'')&lt;&gt;COALESCE(CAST(Y.ISSR_CNTRY_SIMUL AS STRING),'') OR (X.ISSR_CNTRY IS NULL AND Y.ISSR_CNTRY_SIMUL IS NOT NULL ) OR (X.ISSR_CNTRY IS NOT NULL AND Y.ISSR_CNTRY_SIMUL IS NULL),1,0)) AS NUM_REG_DIF,'1' AS ID_EXEC, CURRENT_TIMESTAMP() AS TIME_EXEC FROM (SELECT instrmnt_id, ISSR_CNTRY FROM CD_LOAN_TAPES_BCE.LT002_INSTRUMENT WHERE ref_date='${ref_date}' AND nome_perimetro='Individual Corporativo' AND segmento='ESTR' AND ambito='PM' AND entidade='00100')X INNER JOIN (SELECT instrmnt_id AS instrmnt_id_SIMUL, ISSR_CNTRY AS ISSR_CNTRY_SIMUL FROM BU_LOANTAPE_WORK.LT002_INSTRUMENT WHERE ref_date='${ref_date}' AND nome_perimetro='Individual Corporativo' AND segmento='ESTR' AND ambito='PM' AND entidade='00100')Y ON X.INSTRMNT_ID=Y.INSTRMNT_ID_SIMUL</v>
      </c>
      <c r="N278" s="38" t="s">
        <v>46</v>
      </c>
    </row>
    <row r="279" spans="2:14" hidden="1">
      <c r="B279" s="34" t="s">
        <v>126</v>
      </c>
      <c r="C279" s="34" t="s">
        <v>5</v>
      </c>
      <c r="D279" s="34" t="str">
        <f>+UPPER('0. Instruções'!$D$35&amp;"."&amp;VLOOKUP(B279,'0. Instruções'!$C$27:$D$32,2,FALSE))</f>
        <v>CD_LOAN_TAPES_BCE.LT002_INSTRUMENT</v>
      </c>
      <c r="E279" s="34" t="str">
        <f>+UPPER('0. Instruções'!$D$36&amp;"."&amp;VLOOKUP(B279,'0. Instruções'!$C$27:$E$32,3,FALSE))</f>
        <v>BU_LOANTAPE_WORK.LT002_INSTRUMENT</v>
      </c>
      <c r="F279" s="34" t="s">
        <v>560</v>
      </c>
      <c r="G279" s="34"/>
      <c r="H279" s="34" t="s">
        <v>89</v>
      </c>
      <c r="I279" s="34" t="str">
        <f>"(SELECT "&amp;VLOOKUP(B279,'0. Instruções'!$C$27:$G$32,4,FALSE)&amp;", "&amp;F279&amp;" FROM "&amp;D279&amp;" WHERE "&amp;'0. Instruções'!$D$42&amp;")X"</f>
        <v>(SELECT instrmnt_id, ISSR_ESA_2010 FROM CD_LOAN_TAPES_BCE.LT002_INSTRUMENT WHERE ref_date='${ref_date}' AND nome_perimetro='Individual Corporativo' AND segmento='ESTR' AND ambito='PM' AND entidade='00100')X</v>
      </c>
      <c r="J279" s="34" t="str">
        <f>"(SELECT "&amp;VLOOKUP(B279,'0. Instruções'!$C$27:$G$32,4,FALSE)&amp;" AS "&amp;VLOOKUP(B279,'0. Instruções'!$C$27:$G$32,4,FALSE)&amp;"_SIMUL, "&amp;F279&amp;" AS "&amp;F279&amp;"_SIMUL FROM "&amp;E279&amp;" WHERE "&amp;'0. Instruções'!$D$43&amp;")Y"</f>
        <v>(SELECT instrmnt_id AS instrmnt_id_SIMUL, ISSR_ESA_2010 AS ISSR_ESA_2010_SIMUL FROM BU_LOANTAPE_WORK.LT002_INSTRUMENT WHERE ref_date='${ref_date}' AND nome_perimetro='Individual Corporativo' AND segmento='ESTR' AND ambito='PM' AND entidade='00100')Y</v>
      </c>
      <c r="K279" s="35" t="str">
        <f>+UPPER("ON X."&amp;VLOOKUP(B279,'0. Instruções'!$C$27:$G$32,4,FALSE)&amp;"=Y."&amp;VLOOKUP(B279,'0. Instruções'!$C$27:$G$32,4,FALSE)&amp;"_SIMUL")</f>
        <v>ON X.INSTRMNT_ID=Y.INSTRMNT_ID_SIMUL</v>
      </c>
      <c r="L279" s="35" t="str">
        <f>+IF(C279="Coerência", +IF(LEFT(G279,5)="FLOAT","SELECT '"&amp;UPPER(B279)&amp;"' AS TABELA, '"&amp;UPPER(C279)&amp;"' AS TIPOLOGIA_TESTE,'"&amp;D279&amp;"' AS TABELA_LT,'"&amp;E279&amp;"' AS TABELA_SIMUL,'"&amp;F279&amp;"' AS CAMPO, "&amp;"'${ref_date}' AS REF_DATE, COUNT(*) AS NUM_REG, SUM(IF((ABS(COALESCE(CAST(X."&amp;F279&amp;" AS DECIMAL(18,6)),0)-COALESCE(CAST(Y."&amp;F279&amp;"_SIMUL AS DECIMAL(18,6)),0))&gt;0.000001) OR (X."&amp;F279&amp;" IS NULL AND Y."&amp;F279&amp;"_SIMUL IS NOT NULL ) OR (X."&amp;F279&amp;" IS NOT NULL AND Y."&amp;F279&amp;"_SIMUL IS NULL),1,0)) AS NUM_REG_DIF,'"&amp;MAX('ID1&amp;5'!K:K)+1&amp;"' AS ID_EXEC, CURRENT_TIMESTAMP() AS TIME_EXEC FROM "&amp;I279&amp;" INNER JOIN "&amp;J279&amp;" "&amp;K279,"SELECT '"&amp;UPPER(B279)&amp;"' AS TABELA, '"&amp;UPPER(C279)&amp;"' AS TIPOLOGIA_TESTE,'"&amp;D279&amp;"' AS TABELA_LT,'"&amp;E279&amp;"' AS TABELA_SIMUL,'"&amp;F279&amp;"' AS CAMPO, "&amp;"'${ref_date}' AS REF_DATE, COUNT(*) AS NUM_REG, SUM(IF(COALESCE(CAST(X."&amp;F279&amp;" AS STRING),'')&lt;&gt;COALESCE(CAST(Y."&amp;F279&amp;"_SIMUL AS STRING),'') OR (X."&amp;F279&amp;" IS NULL AND Y."&amp;F279&amp;"_SIMUL IS NOT NULL ) OR (X."&amp;F279&amp;" IS NOT NULL AND Y."&amp;F279&amp;"_SIMUL IS NULL),1,0)) AS NUM_REG_DIF,'"&amp;MAX('ID1&amp;5'!L:L)+1&amp;"' AS ID_EXEC, CURRENT_TIMESTAMP() AS TIME_EXEC FROM "&amp;I279&amp;" INNER JOIN "&amp;J279&amp;" "&amp;K279),
IF(C279="Validade",+IF(G279="Code List","SELECT '"&amp;UPPER(B279)&amp;"' AS TABELA, '"&amp;UPPER(C279)&amp;"' AS TIPOLOGIA_TESTE,'"&amp;D279&amp;"' AS TABELA_LT,'N/A' AS TABELA_SIMUL,'"&amp;F279&amp;"' AS CAMPO, "&amp;"'${ref_date}' AS REF_DATE, COUNT(*) AS NUM_REG, SUM(IF(TRIM(CAST(X."&amp;F279&amp;" AS STRING))='' OR TRIM(CAST(X."&amp;F279&amp;" AS STRING)) IS NULL OR CAST(X."&amp;F279&amp;" AS STRING) NOT "&amp;H279&amp;",1,0)) AS NUM_REG_DIF,'"&amp;MAX('ID1&amp;5'!K:K)+1&amp;"' AS ID_EXEC, CURRENT_TIMESTAMP() AS TIME_EXEC FROM "&amp;I279,"SELECT '"&amp;UPPER(B279)&amp;"' AS TABELA, '"&amp;UPPER(C279)&amp;"' AS TIPOLOGIA_TESTE,'"&amp;D279&amp;"' AS TABELA_LT,'N/A' AS TABELA_SIMUL,'"&amp;F279&amp;"' AS CAMPO, "&amp;"'${ref_date}' AS REF_DATE, COUNT(*) AS NUM_REG, SUM(IF(TRIM(CAST(X."&amp;F279&amp;" AS STRING))='' OR TRIM(CAST(X."&amp;F279&amp;" AS STRING)) IS NULL,1,0)) AS NUM_REG_DIF,'"&amp;MAX('ID1&amp;5'!K:K)+1&amp;"' AS ID_EXEC, CURRENT_TIMESTAMP() AS TIME_EXEC FROM "&amp;I279),
IF(C279="Caracteres Especiais",+"SELECT '"&amp;UPPER(B279)&amp;"' AS TABELA, '"&amp;UPPER(C279)&amp;"' AS TIPOLOGIA_TESTE,'"&amp;D279&amp;"' AS TABELA_LT,'N/A' AS TABELA_SIMUL,'"&amp;F279&amp;"' AS CAMPO, "&amp;"'${ref_date}' AS REF_DATE, COUNT(*) AS NUM_REG, SUM(IF(REGEXP_REPLACE(TRIM(CAST(X."&amp;F279&amp;" AS STRING)),'[^a-zA-Z0-9_\\s]','') &lt;&gt;TRIM(CAST(X."&amp;F279&amp;" AS STRING)),1,0)) AS NUM_REG_DIF,'"&amp;MAX('ID1&amp;5'!K:K)+1&amp;"' AS ID_EXEC, CURRENT_TIMESTAMP() AS TIME_EXEC FROM "&amp;I279,
IF(C279="Missings",+"SELECT '"&amp;UPPER(B279)&amp;"' AS TABELA, '"&amp;UPPER(C279)&amp;"' AS TIPOLOGIA_TESTE,'"&amp;D279&amp;"' AS TABELA_LT,'N/A' AS TABELA_SIMUL,'"&amp;F279&amp;"' AS CAMPO, "&amp;"'${ref_date}' AS REF_DATE, COUNT(*) AS NUM_REG, SUM(IF(TRIM(CAST(X."&amp;F279&amp;" AS STRING)) IN ('0000-00-00','0001-01-01','9999-12-31','MISS','00000','99999999999','99999999999.00','99999999999.000000'),1,0)) AS NUM_REG_DIF,'"&amp;MAX('ID1&amp;5'!K:K)+1&amp;"' AS ID_EXEC, CURRENT_TIMESTAMP() AS TIME_EXEC FROM "&amp;I279,
IF(C279="Not applicable",+"SELECT '"&amp;UPPER(B279)&amp;"' AS TABELA, '"&amp;UPPER(C279)&amp;"' AS TIPOLOGIA_TESTE,'"&amp;D279&amp;"' AS TABELA_LT,'N/A' AS TABELA_SIMUL,'"&amp;F279&amp;"' AS CAMPO, "&amp;"'${ref_date}' AS REF_DATE, COUNT(*) AS NUM_REG, SUM(IF(TRIM(CAST(X."&amp;F279&amp;" AS STRING)) IN ('N/A','11111111111','11111111111.00','11111111111.000000','1111-11-11'),1,0)) AS NUM_REG_DIF,'"&amp;MAX('ID1&amp;5'!K:K)+1&amp;"' AS ID_EXEC, CURRENT_TIMESTAMP() AS TIME_EXEC FROM "&amp;I279,
IF(C279="Valores extremos",+"SELECT '"&amp;UPPER(B279)&amp;"' AS TABELA, '"&amp;UPPER(C279)&amp;"' AS TIPOLOGIA_TESTE,'"&amp;D279&amp;"' AS TABELA_LT,'N/A' AS TABELA_SIMUL,'"&amp;F279&amp;"' AS CAMPO, "&amp;"'${ref_date}' AS REF_DATE, CAST(MIN("&amp;F279&amp;") AS STRING) AS VALOR_MIN, CAST(MAX("&amp;F279&amp;") AS STRING) AS VALOR_MAX,'"&amp;MAX('ID1&amp;5'!K:K)+1&amp;"' AS ID_EXEC, CURRENT_TIMESTAMP() AS TIME_EXEC FROM "&amp;MID(I279,1,LEN(I279)-2)&amp;" AND CAST("&amp;F279&amp;"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TABELA_SIMUL,'ISSR_ESA_2010' AS CAMPO, '${ref_date}' AS REF_DATE, COUNT(*) AS NUM_REG, SUM(IF(COALESCE(CAST(X.ISSR_ESA_2010 AS STRING),'')&lt;&gt;COALESCE(CAST(Y.ISSR_ESA_2010_SIMUL AS STRING),'') OR (X.ISSR_ESA_2010 IS NULL AND Y.ISSR_ESA_2010_SIMUL IS NOT NULL ) OR (X.ISSR_ESA_2010 IS NOT NULL AND Y.ISSR_ESA_2010_SIMUL IS NULL),1,0)) AS NUM_REG_DIF,'1' AS ID_EXEC, CURRENT_TIMESTAMP() AS TIME_EXEC FROM (SELECT instrmnt_id, ISSR_ESA_2010 FROM CD_LOAN_TAPES_BCE.LT002_INSTRUMENT WHERE ref_date='${ref_date}' AND nome_perimetro='Individual Corporativo' AND segmento='ESTR' AND ambito='PM' AND entidade='00100')X INNER JOIN (SELECT instrmnt_id AS instrmnt_id_SIMUL, ISSR_ESA_2010 AS ISSR_ESA_2010_SIMUL FROM BU_LOANTAPE_WORK.LT002_INSTRUMENT WHERE ref_date='${ref_date}' AND nome_perimetro='Individual Corporativo' AND segmento='ESTR' AND ambito='PM' AND entidade='00100')Y ON X.INSTRMNT_ID=Y.INSTRMNT_ID_SIMUL</v>
      </c>
      <c r="M279" s="36" t="str">
        <f t="shared" si="4"/>
        <v>UNION ALL SELECT 'INSTRUMENT' AS TABELA, 'COERÊNCIA' AS TIPOLOGIA_TESTE,'CD_LOAN_TAPES_BCE.LT002_INSTRUMENT' AS TABELA_LT,'BU_LOANTAPE_WORK.LT002_INSTRUMENT' AS TABELA_SIMUL,'ISSR_ESA_2010' AS CAMPO, '${ref_date}' AS REF_DATE, COUNT(*) AS NUM_REG, SUM(IF(COALESCE(CAST(X.ISSR_ESA_2010 AS STRING),'')&lt;&gt;COALESCE(CAST(Y.ISSR_ESA_2010_SIMUL AS STRING),'') OR (X.ISSR_ESA_2010 IS NULL AND Y.ISSR_ESA_2010_SIMUL IS NOT NULL ) OR (X.ISSR_ESA_2010 IS NOT NULL AND Y.ISSR_ESA_2010_SIMUL IS NULL),1,0)) AS NUM_REG_DIF,'1' AS ID_EXEC, CURRENT_TIMESTAMP() AS TIME_EXEC FROM (SELECT instrmnt_id, ISSR_ESA_2010 FROM CD_LOAN_TAPES_BCE.LT002_INSTRUMENT WHERE ref_date='${ref_date}' AND nome_perimetro='Individual Corporativo' AND segmento='ESTR' AND ambito='PM' AND entidade='00100')X INNER JOIN (SELECT instrmnt_id AS instrmnt_id_SIMUL, ISSR_ESA_2010 AS ISSR_ESA_2010_SIMUL FROM BU_LOANTAPE_WORK.LT002_INSTRUMENT WHERE ref_date='${ref_date}' AND nome_perimetro='Individual Corporativo' AND segmento='ESTR' AND ambito='PM' AND entidade='00100')Y ON X.INSTRMNT_ID=Y.INSTRMNT_ID_SIMUL</v>
      </c>
      <c r="N279" s="38" t="s">
        <v>46</v>
      </c>
    </row>
    <row r="280" spans="2:14" hidden="1">
      <c r="B280" s="34" t="s">
        <v>126</v>
      </c>
      <c r="C280" s="34" t="s">
        <v>5</v>
      </c>
      <c r="D280" s="34" t="str">
        <f>+UPPER('0. Instruções'!$D$35&amp;"."&amp;VLOOKUP(B280,'0. Instruções'!$C$27:$D$32,2,FALSE))</f>
        <v>CD_LOAN_TAPES_BCE.LT002_INSTRUMENT</v>
      </c>
      <c r="E280" s="34" t="str">
        <f>+UPPER('0. Instruções'!$D$36&amp;"."&amp;VLOOKUP(B280,'0. Instruções'!$C$27:$E$32,3,FALSE))</f>
        <v>BU_LOANTAPE_WORK.LT002_INSTRUMENT</v>
      </c>
      <c r="F280" s="34" t="s">
        <v>561</v>
      </c>
      <c r="G280" s="34"/>
      <c r="H280" s="34" t="s">
        <v>653</v>
      </c>
      <c r="I280" s="34" t="str">
        <f>"(SELECT "&amp;VLOOKUP(B280,'0. Instruções'!$C$27:$G$32,4,FALSE)&amp;", "&amp;F280&amp;" FROM "&amp;D280&amp;" WHERE "&amp;'0. Instruções'!$D$42&amp;")X"</f>
        <v>(SELECT instrmnt_id, ISSR_ID FROM CD_LOAN_TAPES_BCE.LT002_INSTRUMENT WHERE ref_date='${ref_date}' AND nome_perimetro='Individual Corporativo' AND segmento='ESTR' AND ambito='PM' AND entidade='00100')X</v>
      </c>
      <c r="J280" s="34" t="str">
        <f>"(SELECT "&amp;VLOOKUP(B280,'0. Instruções'!$C$27:$G$32,4,FALSE)&amp;" AS "&amp;VLOOKUP(B280,'0. Instruções'!$C$27:$G$32,4,FALSE)&amp;"_SIMUL, "&amp;F280&amp;" AS "&amp;F280&amp;"_SIMUL FROM "&amp;E280&amp;" WHERE "&amp;'0. Instruções'!$D$43&amp;")Y"</f>
        <v>(SELECT instrmnt_id AS instrmnt_id_SIMUL, ISSR_ID AS ISSR_ID_SIMUL FROM BU_LOANTAPE_WORK.LT002_INSTRUMENT WHERE ref_date='${ref_date}' AND nome_perimetro='Individual Corporativo' AND segmento='ESTR' AND ambito='PM' AND entidade='00100')Y</v>
      </c>
      <c r="K280" s="35" t="str">
        <f>+UPPER("ON X."&amp;VLOOKUP(B280,'0. Instruções'!$C$27:$G$32,4,FALSE)&amp;"=Y."&amp;VLOOKUP(B280,'0. Instruções'!$C$27:$G$32,4,FALSE)&amp;"_SIMUL")</f>
        <v>ON X.INSTRMNT_ID=Y.INSTRMNT_ID_SIMUL</v>
      </c>
      <c r="L280" s="35" t="str">
        <f>+IF(C280="Coerência", +IF(LEFT(G280,5)="FLOAT","SELECT '"&amp;UPPER(B280)&amp;"' AS TABELA, '"&amp;UPPER(C280)&amp;"' AS TIPOLOGIA_TESTE,'"&amp;D280&amp;"' AS TABELA_LT,'"&amp;E280&amp;"' AS TABELA_SIMUL,'"&amp;F280&amp;"' AS CAMPO, "&amp;"'${ref_date}' AS REF_DATE, COUNT(*) AS NUM_REG, SUM(IF((ABS(COALESCE(CAST(X."&amp;F280&amp;" AS DECIMAL(18,6)),0)-COALESCE(CAST(Y."&amp;F280&amp;"_SIMUL AS DECIMAL(18,6)),0))&gt;0.000001) OR (X."&amp;F280&amp;" IS NULL AND Y."&amp;F280&amp;"_SIMUL IS NOT NULL ) OR (X."&amp;F280&amp;" IS NOT NULL AND Y."&amp;F280&amp;"_SIMUL IS NULL),1,0)) AS NUM_REG_DIF,'"&amp;MAX('ID1&amp;5'!K:K)+1&amp;"' AS ID_EXEC, CURRENT_TIMESTAMP() AS TIME_EXEC FROM "&amp;I280&amp;" INNER JOIN "&amp;J280&amp;" "&amp;K280,"SELECT '"&amp;UPPER(B280)&amp;"' AS TABELA, '"&amp;UPPER(C280)&amp;"' AS TIPOLOGIA_TESTE,'"&amp;D280&amp;"' AS TABELA_LT,'"&amp;E280&amp;"' AS TABELA_SIMUL,'"&amp;F280&amp;"' AS CAMPO, "&amp;"'${ref_date}' AS REF_DATE, COUNT(*) AS NUM_REG, SUM(IF(COALESCE(CAST(X."&amp;F280&amp;" AS STRING),'')&lt;&gt;COALESCE(CAST(Y."&amp;F280&amp;"_SIMUL AS STRING),'') OR (X."&amp;F280&amp;" IS NULL AND Y."&amp;F280&amp;"_SIMUL IS NOT NULL ) OR (X."&amp;F280&amp;" IS NOT NULL AND Y."&amp;F280&amp;"_SIMUL IS NULL),1,0)) AS NUM_REG_DIF,'"&amp;MAX('ID1&amp;5'!L:L)+1&amp;"' AS ID_EXEC, CURRENT_TIMESTAMP() AS TIME_EXEC FROM "&amp;I280&amp;" INNER JOIN "&amp;J280&amp;" "&amp;K280),
IF(C280="Validade",+IF(G280="Code List","SELECT '"&amp;UPPER(B280)&amp;"' AS TABELA, '"&amp;UPPER(C280)&amp;"' AS TIPOLOGIA_TESTE,'"&amp;D280&amp;"' AS TABELA_LT,'N/A' AS TABELA_SIMUL,'"&amp;F280&amp;"' AS CAMPO, "&amp;"'${ref_date}' AS REF_DATE, COUNT(*) AS NUM_REG, SUM(IF(TRIM(CAST(X."&amp;F280&amp;" AS STRING))='' OR TRIM(CAST(X."&amp;F280&amp;" AS STRING)) IS NULL OR CAST(X."&amp;F280&amp;" AS STRING) NOT "&amp;H280&amp;",1,0)) AS NUM_REG_DIF,'"&amp;MAX('ID1&amp;5'!K:K)+1&amp;"' AS ID_EXEC, CURRENT_TIMESTAMP() AS TIME_EXEC FROM "&amp;I280,"SELECT '"&amp;UPPER(B280)&amp;"' AS TABELA, '"&amp;UPPER(C280)&amp;"' AS TIPOLOGIA_TESTE,'"&amp;D280&amp;"' AS TABELA_LT,'N/A' AS TABELA_SIMUL,'"&amp;F280&amp;"' AS CAMPO, "&amp;"'${ref_date}' AS REF_DATE, COUNT(*) AS NUM_REG, SUM(IF(TRIM(CAST(X."&amp;F280&amp;" AS STRING))='' OR TRIM(CAST(X."&amp;F280&amp;" AS STRING)) IS NULL,1,0)) AS NUM_REG_DIF,'"&amp;MAX('ID1&amp;5'!K:K)+1&amp;"' AS ID_EXEC, CURRENT_TIMESTAMP() AS TIME_EXEC FROM "&amp;I280),
IF(C280="Caracteres Especiais",+"SELECT '"&amp;UPPER(B280)&amp;"' AS TABELA, '"&amp;UPPER(C280)&amp;"' AS TIPOLOGIA_TESTE,'"&amp;D280&amp;"' AS TABELA_LT,'N/A' AS TABELA_SIMUL,'"&amp;F280&amp;"' AS CAMPO, "&amp;"'${ref_date}' AS REF_DATE, COUNT(*) AS NUM_REG, SUM(IF(REGEXP_REPLACE(TRIM(CAST(X."&amp;F280&amp;" AS STRING)),'[^a-zA-Z0-9_\\s]','') &lt;&gt;TRIM(CAST(X."&amp;F280&amp;" AS STRING)),1,0)) AS NUM_REG_DIF,'"&amp;MAX('ID1&amp;5'!K:K)+1&amp;"' AS ID_EXEC, CURRENT_TIMESTAMP() AS TIME_EXEC FROM "&amp;I280,
IF(C280="Missings",+"SELECT '"&amp;UPPER(B280)&amp;"' AS TABELA, '"&amp;UPPER(C280)&amp;"' AS TIPOLOGIA_TESTE,'"&amp;D280&amp;"' AS TABELA_LT,'N/A' AS TABELA_SIMUL,'"&amp;F280&amp;"' AS CAMPO, "&amp;"'${ref_date}' AS REF_DATE, COUNT(*) AS NUM_REG, SUM(IF(TRIM(CAST(X."&amp;F280&amp;" AS STRING)) IN ('0000-00-00','0001-01-01','9999-12-31','MISS','00000','99999999999','99999999999.00','99999999999.000000'),1,0)) AS NUM_REG_DIF,'"&amp;MAX('ID1&amp;5'!K:K)+1&amp;"' AS ID_EXEC, CURRENT_TIMESTAMP() AS TIME_EXEC FROM "&amp;I280,
IF(C280="Not applicable",+"SELECT '"&amp;UPPER(B280)&amp;"' AS TABELA, '"&amp;UPPER(C280)&amp;"' AS TIPOLOGIA_TESTE,'"&amp;D280&amp;"' AS TABELA_LT,'N/A' AS TABELA_SIMUL,'"&amp;F280&amp;"' AS CAMPO, "&amp;"'${ref_date}' AS REF_DATE, COUNT(*) AS NUM_REG, SUM(IF(TRIM(CAST(X."&amp;F280&amp;" AS STRING)) IN ('N/A','11111111111','11111111111.00','11111111111.000000','1111-11-11'),1,0)) AS NUM_REG_DIF,'"&amp;MAX('ID1&amp;5'!K:K)+1&amp;"' AS ID_EXEC, CURRENT_TIMESTAMP() AS TIME_EXEC FROM "&amp;I280,
IF(C280="Valores extremos",+"SELECT '"&amp;UPPER(B280)&amp;"' AS TABELA, '"&amp;UPPER(C280)&amp;"' AS TIPOLOGIA_TESTE,'"&amp;D280&amp;"' AS TABELA_LT,'N/A' AS TABELA_SIMUL,'"&amp;F280&amp;"' AS CAMPO, "&amp;"'${ref_date}' AS REF_DATE, CAST(MIN("&amp;F280&amp;") AS STRING) AS VALOR_MIN, CAST(MAX("&amp;F280&amp;") AS STRING) AS VALOR_MAX,'"&amp;MAX('ID1&amp;5'!K:K)+1&amp;"' AS ID_EXEC, CURRENT_TIMESTAMP() AS TIME_EXEC FROM "&amp;MID(I280,1,LEN(I280)-2)&amp;" AND CAST("&amp;F280&amp;"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TABELA_SIMUL,'ISSR_ID' AS CAMPO, '${ref_date}' AS REF_DATE, COUNT(*) AS NUM_REG, SUM(IF(COALESCE(CAST(X.ISSR_ID AS STRING),'')&lt;&gt;COALESCE(CAST(Y.ISSR_ID_SIMUL AS STRING),'') OR (X.ISSR_ID IS NULL AND Y.ISSR_ID_SIMUL IS NOT NULL ) OR (X.ISSR_ID IS NOT NULL AND Y.ISSR_ID_SIMUL IS NULL),1,0)) AS NUM_REG_DIF,'1' AS ID_EXEC, CURRENT_TIMESTAMP() AS TIME_EXEC FROM (SELECT instrmnt_id, ISSR_ID FROM CD_LOAN_TAPES_BCE.LT002_INSTRUMENT WHERE ref_date='${ref_date}' AND nome_perimetro='Individual Corporativo' AND segmento='ESTR' AND ambito='PM' AND entidade='00100')X INNER JOIN (SELECT instrmnt_id AS instrmnt_id_SIMUL, ISSR_ID AS ISSR_ID_SIMUL FROM BU_LOANTAPE_WORK.LT002_INSTRUMENT WHERE ref_date='${ref_date}' AND nome_perimetro='Individual Corporativo' AND segmento='ESTR' AND ambito='PM' AND entidade='00100')Y ON X.INSTRMNT_ID=Y.INSTRMNT_ID_SIMUL</v>
      </c>
      <c r="M280" s="36" t="str">
        <f t="shared" si="4"/>
        <v>UNION ALL SELECT 'INSTRUMENT' AS TABELA, 'COERÊNCIA' AS TIPOLOGIA_TESTE,'CD_LOAN_TAPES_BCE.LT002_INSTRUMENT' AS TABELA_LT,'BU_LOANTAPE_WORK.LT002_INSTRUMENT' AS TABELA_SIMUL,'ISSR_ID' AS CAMPO, '${ref_date}' AS REF_DATE, COUNT(*) AS NUM_REG, SUM(IF(COALESCE(CAST(X.ISSR_ID AS STRING),'')&lt;&gt;COALESCE(CAST(Y.ISSR_ID_SIMUL AS STRING),'') OR (X.ISSR_ID IS NULL AND Y.ISSR_ID_SIMUL IS NOT NULL ) OR (X.ISSR_ID IS NOT NULL AND Y.ISSR_ID_SIMUL IS NULL),1,0)) AS NUM_REG_DIF,'1' AS ID_EXEC, CURRENT_TIMESTAMP() AS TIME_EXEC FROM (SELECT instrmnt_id, ISSR_ID FROM CD_LOAN_TAPES_BCE.LT002_INSTRUMENT WHERE ref_date='${ref_date}' AND nome_perimetro='Individual Corporativo' AND segmento='ESTR' AND ambito='PM' AND entidade='00100')X INNER JOIN (SELECT instrmnt_id AS instrmnt_id_SIMUL, ISSR_ID AS ISSR_ID_SIMUL FROM BU_LOANTAPE_WORK.LT002_INSTRUMENT WHERE ref_date='${ref_date}' AND nome_perimetro='Individual Corporativo' AND segmento='ESTR' AND ambito='PM' AND entidade='00100')Y ON X.INSTRMNT_ID=Y.INSTRMNT_ID_SIMUL</v>
      </c>
      <c r="N280" s="38" t="s">
        <v>46</v>
      </c>
    </row>
    <row r="281" spans="2:14" hidden="1">
      <c r="B281" s="34" t="s">
        <v>126</v>
      </c>
      <c r="C281" s="34" t="s">
        <v>5</v>
      </c>
      <c r="D281" s="34" t="str">
        <f>+UPPER('0. Instruções'!$D$35&amp;"."&amp;VLOOKUP(B281,'0. Instruções'!$C$27:$D$32,2,FALSE))</f>
        <v>CD_LOAN_TAPES_BCE.LT002_INSTRUMENT</v>
      </c>
      <c r="E281" s="34" t="str">
        <f>+UPPER('0. Instruções'!$D$36&amp;"."&amp;VLOOKUP(B281,'0. Instruções'!$C$27:$E$32,3,FALSE))</f>
        <v>BU_LOANTAPE_WORK.LT002_INSTRUMENT</v>
      </c>
      <c r="F281" s="34" t="s">
        <v>562</v>
      </c>
      <c r="G281" s="34"/>
      <c r="H281" s="34" t="s">
        <v>89</v>
      </c>
      <c r="I281" s="34" t="str">
        <f>"(SELECT "&amp;VLOOKUP(B281,'0. Instruções'!$C$27:$G$32,4,FALSE)&amp;", "&amp;F281&amp;" FROM "&amp;D281&amp;" WHERE "&amp;'0. Instruções'!$D$42&amp;")X"</f>
        <v>(SELECT instrmnt_id, ISSR_ID_TYP FROM CD_LOAN_TAPES_BCE.LT002_INSTRUMENT WHERE ref_date='${ref_date}' AND nome_perimetro='Individual Corporativo' AND segmento='ESTR' AND ambito='PM' AND entidade='00100')X</v>
      </c>
      <c r="J281" s="34" t="str">
        <f>"(SELECT "&amp;VLOOKUP(B281,'0. Instruções'!$C$27:$G$32,4,FALSE)&amp;" AS "&amp;VLOOKUP(B281,'0. Instruções'!$C$27:$G$32,4,FALSE)&amp;"_SIMUL, "&amp;F281&amp;" AS "&amp;F281&amp;"_SIMUL FROM "&amp;E281&amp;" WHERE "&amp;'0. Instruções'!$D$43&amp;")Y"</f>
        <v>(SELECT instrmnt_id AS instrmnt_id_SIMUL, ISSR_ID_TYP AS ISSR_ID_TYP_SIMUL FROM BU_LOANTAPE_WORK.LT002_INSTRUMENT WHERE ref_date='${ref_date}' AND nome_perimetro='Individual Corporativo' AND segmento='ESTR' AND ambito='PM' AND entidade='00100')Y</v>
      </c>
      <c r="K281" s="35" t="str">
        <f>+UPPER("ON X."&amp;VLOOKUP(B281,'0. Instruções'!$C$27:$G$32,4,FALSE)&amp;"=Y."&amp;VLOOKUP(B281,'0. Instruções'!$C$27:$G$32,4,FALSE)&amp;"_SIMUL")</f>
        <v>ON X.INSTRMNT_ID=Y.INSTRMNT_ID_SIMUL</v>
      </c>
      <c r="L281" s="35" t="str">
        <f>+IF(C281="Coerência", +IF(LEFT(G281,5)="FLOAT","SELECT '"&amp;UPPER(B281)&amp;"' AS TABELA, '"&amp;UPPER(C281)&amp;"' AS TIPOLOGIA_TESTE,'"&amp;D281&amp;"' AS TABELA_LT,'"&amp;E281&amp;"' AS TABELA_SIMUL,'"&amp;F281&amp;"' AS CAMPO, "&amp;"'${ref_date}' AS REF_DATE, COUNT(*) AS NUM_REG, SUM(IF((ABS(COALESCE(CAST(X."&amp;F281&amp;" AS DECIMAL(18,6)),0)-COALESCE(CAST(Y."&amp;F281&amp;"_SIMUL AS DECIMAL(18,6)),0))&gt;0.000001) OR (X."&amp;F281&amp;" IS NULL AND Y."&amp;F281&amp;"_SIMUL IS NOT NULL ) OR (X."&amp;F281&amp;" IS NOT NULL AND Y."&amp;F281&amp;"_SIMUL IS NULL),1,0)) AS NUM_REG_DIF,'"&amp;MAX('ID1&amp;5'!K:K)+1&amp;"' AS ID_EXEC, CURRENT_TIMESTAMP() AS TIME_EXEC FROM "&amp;I281&amp;" INNER JOIN "&amp;J281&amp;" "&amp;K281,"SELECT '"&amp;UPPER(B281)&amp;"' AS TABELA, '"&amp;UPPER(C281)&amp;"' AS TIPOLOGIA_TESTE,'"&amp;D281&amp;"' AS TABELA_LT,'"&amp;E281&amp;"' AS TABELA_SIMUL,'"&amp;F281&amp;"' AS CAMPO, "&amp;"'${ref_date}' AS REF_DATE, COUNT(*) AS NUM_REG, SUM(IF(COALESCE(CAST(X."&amp;F281&amp;" AS STRING),'')&lt;&gt;COALESCE(CAST(Y."&amp;F281&amp;"_SIMUL AS STRING),'') OR (X."&amp;F281&amp;" IS NULL AND Y."&amp;F281&amp;"_SIMUL IS NOT NULL ) OR (X."&amp;F281&amp;" IS NOT NULL AND Y."&amp;F281&amp;"_SIMUL IS NULL),1,0)) AS NUM_REG_DIF,'"&amp;MAX('ID1&amp;5'!L:L)+1&amp;"' AS ID_EXEC, CURRENT_TIMESTAMP() AS TIME_EXEC FROM "&amp;I281&amp;" INNER JOIN "&amp;J281&amp;" "&amp;K281),
IF(C281="Validade",+IF(G281="Code List","SELECT '"&amp;UPPER(B281)&amp;"' AS TABELA, '"&amp;UPPER(C281)&amp;"' AS TIPOLOGIA_TESTE,'"&amp;D281&amp;"' AS TABELA_LT,'N/A' AS TABELA_SIMUL,'"&amp;F281&amp;"' AS CAMPO, "&amp;"'${ref_date}' AS REF_DATE, COUNT(*) AS NUM_REG, SUM(IF(TRIM(CAST(X."&amp;F281&amp;" AS STRING))='' OR TRIM(CAST(X."&amp;F281&amp;" AS STRING)) IS NULL OR CAST(X."&amp;F281&amp;" AS STRING) NOT "&amp;H281&amp;",1,0)) AS NUM_REG_DIF,'"&amp;MAX('ID1&amp;5'!K:K)+1&amp;"' AS ID_EXEC, CURRENT_TIMESTAMP() AS TIME_EXEC FROM "&amp;I281,"SELECT '"&amp;UPPER(B281)&amp;"' AS TABELA, '"&amp;UPPER(C281)&amp;"' AS TIPOLOGIA_TESTE,'"&amp;D281&amp;"' AS TABELA_LT,'N/A' AS TABELA_SIMUL,'"&amp;F281&amp;"' AS CAMPO, "&amp;"'${ref_date}' AS REF_DATE, COUNT(*) AS NUM_REG, SUM(IF(TRIM(CAST(X."&amp;F281&amp;" AS STRING))='' OR TRIM(CAST(X."&amp;F281&amp;" AS STRING)) IS NULL,1,0)) AS NUM_REG_DIF,'"&amp;MAX('ID1&amp;5'!K:K)+1&amp;"' AS ID_EXEC, CURRENT_TIMESTAMP() AS TIME_EXEC FROM "&amp;I281),
IF(C281="Caracteres Especiais",+"SELECT '"&amp;UPPER(B281)&amp;"' AS TABELA, '"&amp;UPPER(C281)&amp;"' AS TIPOLOGIA_TESTE,'"&amp;D281&amp;"' AS TABELA_LT,'N/A' AS TABELA_SIMUL,'"&amp;F281&amp;"' AS CAMPO, "&amp;"'${ref_date}' AS REF_DATE, COUNT(*) AS NUM_REG, SUM(IF(REGEXP_REPLACE(TRIM(CAST(X."&amp;F281&amp;" AS STRING)),'[^a-zA-Z0-9_\\s]','') &lt;&gt;TRIM(CAST(X."&amp;F281&amp;" AS STRING)),1,0)) AS NUM_REG_DIF,'"&amp;MAX('ID1&amp;5'!K:K)+1&amp;"' AS ID_EXEC, CURRENT_TIMESTAMP() AS TIME_EXEC FROM "&amp;I281,
IF(C281="Missings",+"SELECT '"&amp;UPPER(B281)&amp;"' AS TABELA, '"&amp;UPPER(C281)&amp;"' AS TIPOLOGIA_TESTE,'"&amp;D281&amp;"' AS TABELA_LT,'N/A' AS TABELA_SIMUL,'"&amp;F281&amp;"' AS CAMPO, "&amp;"'${ref_date}' AS REF_DATE, COUNT(*) AS NUM_REG, SUM(IF(TRIM(CAST(X."&amp;F281&amp;" AS STRING)) IN ('0000-00-00','0001-01-01','9999-12-31','MISS','00000','99999999999','99999999999.00','99999999999.000000'),1,0)) AS NUM_REG_DIF,'"&amp;MAX('ID1&amp;5'!K:K)+1&amp;"' AS ID_EXEC, CURRENT_TIMESTAMP() AS TIME_EXEC FROM "&amp;I281,
IF(C281="Not applicable",+"SELECT '"&amp;UPPER(B281)&amp;"' AS TABELA, '"&amp;UPPER(C281)&amp;"' AS TIPOLOGIA_TESTE,'"&amp;D281&amp;"' AS TABELA_LT,'N/A' AS TABELA_SIMUL,'"&amp;F281&amp;"' AS CAMPO, "&amp;"'${ref_date}' AS REF_DATE, COUNT(*) AS NUM_REG, SUM(IF(TRIM(CAST(X."&amp;F281&amp;" AS STRING)) IN ('N/A','11111111111','11111111111.00','11111111111.000000','1111-11-11'),1,0)) AS NUM_REG_DIF,'"&amp;MAX('ID1&amp;5'!K:K)+1&amp;"' AS ID_EXEC, CURRENT_TIMESTAMP() AS TIME_EXEC FROM "&amp;I281,
IF(C281="Valores extremos",+"SELECT '"&amp;UPPER(B281)&amp;"' AS TABELA, '"&amp;UPPER(C281)&amp;"' AS TIPOLOGIA_TESTE,'"&amp;D281&amp;"' AS TABELA_LT,'N/A' AS TABELA_SIMUL,'"&amp;F281&amp;"' AS CAMPO, "&amp;"'${ref_date}' AS REF_DATE, CAST(MIN("&amp;F281&amp;") AS STRING) AS VALOR_MIN, CAST(MAX("&amp;F281&amp;") AS STRING) AS VALOR_MAX,'"&amp;MAX('ID1&amp;5'!K:K)+1&amp;"' AS ID_EXEC, CURRENT_TIMESTAMP() AS TIME_EXEC FROM "&amp;MID(I281,1,LEN(I281)-2)&amp;" AND CAST("&amp;F281&amp;"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TABELA_SIMUL,'ISSR_ID_TYP' AS CAMPO, '${ref_date}' AS REF_DATE, COUNT(*) AS NUM_REG, SUM(IF(COALESCE(CAST(X.ISSR_ID_TYP AS STRING),'')&lt;&gt;COALESCE(CAST(Y.ISSR_ID_TYP_SIMUL AS STRING),'') OR (X.ISSR_ID_TYP IS NULL AND Y.ISSR_ID_TYP_SIMUL IS NOT NULL ) OR (X.ISSR_ID_TYP IS NOT NULL AND Y.ISSR_ID_TYP_SIMUL IS NULL),1,0)) AS NUM_REG_DIF,'1' AS ID_EXEC, CURRENT_TIMESTAMP() AS TIME_EXEC FROM (SELECT instrmnt_id, ISSR_ID_TYP FROM CD_LOAN_TAPES_BCE.LT002_INSTRUMENT WHERE ref_date='${ref_date}' AND nome_perimetro='Individual Corporativo' AND segmento='ESTR' AND ambito='PM' AND entidade='00100')X INNER JOIN (SELECT instrmnt_id AS instrmnt_id_SIMUL, ISSR_ID_TYP AS ISSR_ID_TYP_SIMUL FROM BU_LOANTAPE_WORK.LT002_INSTRUMENT WHERE ref_date='${ref_date}' AND nome_perimetro='Individual Corporativo' AND segmento='ESTR' AND ambito='PM' AND entidade='00100')Y ON X.INSTRMNT_ID=Y.INSTRMNT_ID_SIMUL</v>
      </c>
      <c r="M281" s="36" t="str">
        <f t="shared" si="4"/>
        <v>UNION ALL SELECT 'INSTRUMENT' AS TABELA, 'COERÊNCIA' AS TIPOLOGIA_TESTE,'CD_LOAN_TAPES_BCE.LT002_INSTRUMENT' AS TABELA_LT,'BU_LOANTAPE_WORK.LT002_INSTRUMENT' AS TABELA_SIMUL,'ISSR_ID_TYP' AS CAMPO, '${ref_date}' AS REF_DATE, COUNT(*) AS NUM_REG, SUM(IF(COALESCE(CAST(X.ISSR_ID_TYP AS STRING),'')&lt;&gt;COALESCE(CAST(Y.ISSR_ID_TYP_SIMUL AS STRING),'') OR (X.ISSR_ID_TYP IS NULL AND Y.ISSR_ID_TYP_SIMUL IS NOT NULL ) OR (X.ISSR_ID_TYP IS NOT NULL AND Y.ISSR_ID_TYP_SIMUL IS NULL),1,0)) AS NUM_REG_DIF,'1' AS ID_EXEC, CURRENT_TIMESTAMP() AS TIME_EXEC FROM (SELECT instrmnt_id, ISSR_ID_TYP FROM CD_LOAN_TAPES_BCE.LT002_INSTRUMENT WHERE ref_date='${ref_date}' AND nome_perimetro='Individual Corporativo' AND segmento='ESTR' AND ambito='PM' AND entidade='00100')X INNER JOIN (SELECT instrmnt_id AS instrmnt_id_SIMUL, ISSR_ID_TYP AS ISSR_ID_TYP_SIMUL FROM BU_LOANTAPE_WORK.LT002_INSTRUMENT WHERE ref_date='${ref_date}' AND nome_perimetro='Individual Corporativo' AND segmento='ESTR' AND ambito='PM' AND entidade='00100')Y ON X.INSTRMNT_ID=Y.INSTRMNT_ID_SIMUL</v>
      </c>
      <c r="N281" s="38" t="s">
        <v>46</v>
      </c>
    </row>
    <row r="282" spans="2:14" hidden="1">
      <c r="B282" s="34" t="s">
        <v>126</v>
      </c>
      <c r="C282" s="34" t="s">
        <v>5</v>
      </c>
      <c r="D282" s="34" t="str">
        <f>+UPPER('0. Instruções'!$D$35&amp;"."&amp;VLOOKUP(B282,'0. Instruções'!$C$27:$D$32,2,FALSE))</f>
        <v>CD_LOAN_TAPES_BCE.LT002_INSTRUMENT</v>
      </c>
      <c r="E282" s="34" t="str">
        <f>+UPPER('0. Instruções'!$D$36&amp;"."&amp;VLOOKUP(B282,'0. Instruções'!$C$27:$E$32,3,FALSE))</f>
        <v>BU_LOANTAPE_WORK.LT002_INSTRUMENT</v>
      </c>
      <c r="F282" s="34" t="s">
        <v>106</v>
      </c>
      <c r="G282" s="34"/>
      <c r="H282" s="34" t="s">
        <v>89</v>
      </c>
      <c r="I282" s="34" t="str">
        <f>"(SELECT "&amp;VLOOKUP(B282,'0. Instruções'!$C$27:$G$32,4,FALSE)&amp;", "&amp;F282&amp;" FROM "&amp;D282&amp;" WHERE "&amp;'0. Instruções'!$D$42&amp;")X"</f>
        <v>(SELECT instrmnt_id, ISSR_NACE_SCTR FROM CD_LOAN_TAPES_BCE.LT002_INSTRUMENT WHERE ref_date='${ref_date}' AND nome_perimetro='Individual Corporativo' AND segmento='ESTR' AND ambito='PM' AND entidade='00100')X</v>
      </c>
      <c r="J282" s="34" t="str">
        <f>"(SELECT "&amp;VLOOKUP(B282,'0. Instruções'!$C$27:$G$32,4,FALSE)&amp;" AS "&amp;VLOOKUP(B282,'0. Instruções'!$C$27:$G$32,4,FALSE)&amp;"_SIMUL, "&amp;F282&amp;" AS "&amp;F282&amp;"_SIMUL FROM "&amp;E282&amp;" WHERE "&amp;'0. Instruções'!$D$43&amp;")Y"</f>
        <v>(SELECT instrmnt_id AS instrmnt_id_SIMUL, ISSR_NACE_SCTR AS ISSR_NACE_SCTR_SIMUL FROM BU_LOANTAPE_WORK.LT002_INSTRUMENT WHERE ref_date='${ref_date}' AND nome_perimetro='Individual Corporativo' AND segmento='ESTR' AND ambito='PM' AND entidade='00100')Y</v>
      </c>
      <c r="K282" s="35" t="str">
        <f>+UPPER("ON X."&amp;VLOOKUP(B282,'0. Instruções'!$C$27:$G$32,4,FALSE)&amp;"=Y."&amp;VLOOKUP(B282,'0. Instruções'!$C$27:$G$32,4,FALSE)&amp;"_SIMUL")</f>
        <v>ON X.INSTRMNT_ID=Y.INSTRMNT_ID_SIMUL</v>
      </c>
      <c r="L282" s="35" t="str">
        <f>+IF(C282="Coerência", +IF(LEFT(G282,5)="FLOAT","SELECT '"&amp;UPPER(B282)&amp;"' AS TABELA, '"&amp;UPPER(C282)&amp;"' AS TIPOLOGIA_TESTE,'"&amp;D282&amp;"' AS TABELA_LT,'"&amp;E282&amp;"' AS TABELA_SIMUL,'"&amp;F282&amp;"' AS CAMPO, "&amp;"'${ref_date}' AS REF_DATE, COUNT(*) AS NUM_REG, SUM(IF((ABS(COALESCE(CAST(X."&amp;F282&amp;" AS DECIMAL(18,6)),0)-COALESCE(CAST(Y."&amp;F282&amp;"_SIMUL AS DECIMAL(18,6)),0))&gt;0.000001) OR (X."&amp;F282&amp;" IS NULL AND Y."&amp;F282&amp;"_SIMUL IS NOT NULL ) OR (X."&amp;F282&amp;" IS NOT NULL AND Y."&amp;F282&amp;"_SIMUL IS NULL),1,0)) AS NUM_REG_DIF,'"&amp;MAX('ID1&amp;5'!K:K)+1&amp;"' AS ID_EXEC, CURRENT_TIMESTAMP() AS TIME_EXEC FROM "&amp;I282&amp;" INNER JOIN "&amp;J282&amp;" "&amp;K282,"SELECT '"&amp;UPPER(B282)&amp;"' AS TABELA, '"&amp;UPPER(C282)&amp;"' AS TIPOLOGIA_TESTE,'"&amp;D282&amp;"' AS TABELA_LT,'"&amp;E282&amp;"' AS TABELA_SIMUL,'"&amp;F282&amp;"' AS CAMPO, "&amp;"'${ref_date}' AS REF_DATE, COUNT(*) AS NUM_REG, SUM(IF(COALESCE(CAST(X."&amp;F282&amp;" AS STRING),'')&lt;&gt;COALESCE(CAST(Y."&amp;F282&amp;"_SIMUL AS STRING),'') OR (X."&amp;F282&amp;" IS NULL AND Y."&amp;F282&amp;"_SIMUL IS NOT NULL ) OR (X."&amp;F282&amp;" IS NOT NULL AND Y."&amp;F282&amp;"_SIMUL IS NULL),1,0)) AS NUM_REG_DIF,'"&amp;MAX('ID1&amp;5'!L:L)+1&amp;"' AS ID_EXEC, CURRENT_TIMESTAMP() AS TIME_EXEC FROM "&amp;I282&amp;" INNER JOIN "&amp;J282&amp;" "&amp;K282),
IF(C282="Validade",+IF(G282="Code List","SELECT '"&amp;UPPER(B282)&amp;"' AS TABELA, '"&amp;UPPER(C282)&amp;"' AS TIPOLOGIA_TESTE,'"&amp;D282&amp;"' AS TABELA_LT,'N/A' AS TABELA_SIMUL,'"&amp;F282&amp;"' AS CAMPO, "&amp;"'${ref_date}' AS REF_DATE, COUNT(*) AS NUM_REG, SUM(IF(TRIM(CAST(X."&amp;F282&amp;" AS STRING))='' OR TRIM(CAST(X."&amp;F282&amp;" AS STRING)) IS NULL OR CAST(X."&amp;F282&amp;" AS STRING) NOT "&amp;H282&amp;",1,0)) AS NUM_REG_DIF,'"&amp;MAX('ID1&amp;5'!K:K)+1&amp;"' AS ID_EXEC, CURRENT_TIMESTAMP() AS TIME_EXEC FROM "&amp;I282,"SELECT '"&amp;UPPER(B282)&amp;"' AS TABELA, '"&amp;UPPER(C282)&amp;"' AS TIPOLOGIA_TESTE,'"&amp;D282&amp;"' AS TABELA_LT,'N/A' AS TABELA_SIMUL,'"&amp;F282&amp;"' AS CAMPO, "&amp;"'${ref_date}' AS REF_DATE, COUNT(*) AS NUM_REG, SUM(IF(TRIM(CAST(X."&amp;F282&amp;" AS STRING))='' OR TRIM(CAST(X."&amp;F282&amp;" AS STRING)) IS NULL,1,0)) AS NUM_REG_DIF,'"&amp;MAX('ID1&amp;5'!K:K)+1&amp;"' AS ID_EXEC, CURRENT_TIMESTAMP() AS TIME_EXEC FROM "&amp;I282),
IF(C282="Caracteres Especiais",+"SELECT '"&amp;UPPER(B282)&amp;"' AS TABELA, '"&amp;UPPER(C282)&amp;"' AS TIPOLOGIA_TESTE,'"&amp;D282&amp;"' AS TABELA_LT,'N/A' AS TABELA_SIMUL,'"&amp;F282&amp;"' AS CAMPO, "&amp;"'${ref_date}' AS REF_DATE, COUNT(*) AS NUM_REG, SUM(IF(REGEXP_REPLACE(TRIM(CAST(X."&amp;F282&amp;" AS STRING)),'[^a-zA-Z0-9_\\s]','') &lt;&gt;TRIM(CAST(X."&amp;F282&amp;" AS STRING)),1,0)) AS NUM_REG_DIF,'"&amp;MAX('ID1&amp;5'!K:K)+1&amp;"' AS ID_EXEC, CURRENT_TIMESTAMP() AS TIME_EXEC FROM "&amp;I282,
IF(C282="Missings",+"SELECT '"&amp;UPPER(B282)&amp;"' AS TABELA, '"&amp;UPPER(C282)&amp;"' AS TIPOLOGIA_TESTE,'"&amp;D282&amp;"' AS TABELA_LT,'N/A' AS TABELA_SIMUL,'"&amp;F282&amp;"' AS CAMPO, "&amp;"'${ref_date}' AS REF_DATE, COUNT(*) AS NUM_REG, SUM(IF(TRIM(CAST(X."&amp;F282&amp;" AS STRING)) IN ('0000-00-00','0001-01-01','9999-12-31','MISS','00000','99999999999','99999999999.00','99999999999.000000'),1,0)) AS NUM_REG_DIF,'"&amp;MAX('ID1&amp;5'!K:K)+1&amp;"' AS ID_EXEC, CURRENT_TIMESTAMP() AS TIME_EXEC FROM "&amp;I282,
IF(C282="Not applicable",+"SELECT '"&amp;UPPER(B282)&amp;"' AS TABELA, '"&amp;UPPER(C282)&amp;"' AS TIPOLOGIA_TESTE,'"&amp;D282&amp;"' AS TABELA_LT,'N/A' AS TABELA_SIMUL,'"&amp;F282&amp;"' AS CAMPO, "&amp;"'${ref_date}' AS REF_DATE, COUNT(*) AS NUM_REG, SUM(IF(TRIM(CAST(X."&amp;F282&amp;" AS STRING)) IN ('N/A','11111111111','11111111111.00','11111111111.000000','1111-11-11'),1,0)) AS NUM_REG_DIF,'"&amp;MAX('ID1&amp;5'!K:K)+1&amp;"' AS ID_EXEC, CURRENT_TIMESTAMP() AS TIME_EXEC FROM "&amp;I282,
IF(C282="Valores extremos",+"SELECT '"&amp;UPPER(B282)&amp;"' AS TABELA, '"&amp;UPPER(C282)&amp;"' AS TIPOLOGIA_TESTE,'"&amp;D282&amp;"' AS TABELA_LT,'N/A' AS TABELA_SIMUL,'"&amp;F282&amp;"' AS CAMPO, "&amp;"'${ref_date}' AS REF_DATE, CAST(MIN("&amp;F282&amp;") AS STRING) AS VALOR_MIN, CAST(MAX("&amp;F282&amp;") AS STRING) AS VALOR_MAX,'"&amp;MAX('ID1&amp;5'!K:K)+1&amp;"' AS ID_EXEC, CURRENT_TIMESTAMP() AS TIME_EXEC FROM "&amp;MID(I282,1,LEN(I282)-2)&amp;" AND CAST("&amp;F282&amp;"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TABELA_SIMUL,'ISSR_NACE_SCTR' AS CAMPO, '${ref_date}' AS REF_DATE, COUNT(*) AS NUM_REG, SUM(IF(COALESCE(CAST(X.ISSR_NACE_SCTR AS STRING),'')&lt;&gt;COALESCE(CAST(Y.ISSR_NACE_SCTR_SIMUL AS STRING),'') OR (X.ISSR_NACE_SCTR IS NULL AND Y.ISSR_NACE_SCTR_SIMUL IS NOT NULL ) OR (X.ISSR_NACE_SCTR IS NOT NULL AND Y.ISSR_NACE_SCTR_SIMUL IS NULL),1,0)) AS NUM_REG_DIF,'1' AS ID_EXEC, CURRENT_TIMESTAMP() AS TIME_EXEC FROM (SELECT instrmnt_id, ISSR_NACE_SCTR FROM CD_LOAN_TAPES_BCE.LT002_INSTRUMENT WHERE ref_date='${ref_date}' AND nome_perimetro='Individual Corporativo' AND segmento='ESTR' AND ambito='PM' AND entidade='00100')X INNER JOIN (SELECT instrmnt_id AS instrmnt_id_SIMUL, ISSR_NACE_SCTR AS ISSR_NACE_SCTR_SIMUL FROM BU_LOANTAPE_WORK.LT002_INSTRUMENT WHERE ref_date='${ref_date}' AND nome_perimetro='Individual Corporativo' AND segmento='ESTR' AND ambito='PM' AND entidade='00100')Y ON X.INSTRMNT_ID=Y.INSTRMNT_ID_SIMUL</v>
      </c>
      <c r="M282" s="36" t="str">
        <f t="shared" si="4"/>
        <v>UNION ALL SELECT 'INSTRUMENT' AS TABELA, 'COERÊNCIA' AS TIPOLOGIA_TESTE,'CD_LOAN_TAPES_BCE.LT002_INSTRUMENT' AS TABELA_LT,'BU_LOANTAPE_WORK.LT002_INSTRUMENT' AS TABELA_SIMUL,'ISSR_NACE_SCTR' AS CAMPO, '${ref_date}' AS REF_DATE, COUNT(*) AS NUM_REG, SUM(IF(COALESCE(CAST(X.ISSR_NACE_SCTR AS STRING),'')&lt;&gt;COALESCE(CAST(Y.ISSR_NACE_SCTR_SIMUL AS STRING),'') OR (X.ISSR_NACE_SCTR IS NULL AND Y.ISSR_NACE_SCTR_SIMUL IS NOT NULL ) OR (X.ISSR_NACE_SCTR IS NOT NULL AND Y.ISSR_NACE_SCTR_SIMUL IS NULL),1,0)) AS NUM_REG_DIF,'1' AS ID_EXEC, CURRENT_TIMESTAMP() AS TIME_EXEC FROM (SELECT instrmnt_id, ISSR_NACE_SCTR FROM CD_LOAN_TAPES_BCE.LT002_INSTRUMENT WHERE ref_date='${ref_date}' AND nome_perimetro='Individual Corporativo' AND segmento='ESTR' AND ambito='PM' AND entidade='00100')X INNER JOIN (SELECT instrmnt_id AS instrmnt_id_SIMUL, ISSR_NACE_SCTR AS ISSR_NACE_SCTR_SIMUL FROM BU_LOANTAPE_WORK.LT002_INSTRUMENT WHERE ref_date='${ref_date}' AND nome_perimetro='Individual Corporativo' AND segmento='ESTR' AND ambito='PM' AND entidade='00100')Y ON X.INSTRMNT_ID=Y.INSTRMNT_ID_SIMUL</v>
      </c>
      <c r="N282" s="38" t="s">
        <v>46</v>
      </c>
    </row>
    <row r="283" spans="2:14" hidden="1">
      <c r="B283" s="34" t="s">
        <v>126</v>
      </c>
      <c r="C283" s="34" t="s">
        <v>5</v>
      </c>
      <c r="D283" s="34" t="str">
        <f>+UPPER('0. Instruções'!$D$35&amp;"."&amp;VLOOKUP(B283,'0. Instruções'!$C$27:$D$32,2,FALSE))</f>
        <v>CD_LOAN_TAPES_BCE.LT002_INSTRUMENT</v>
      </c>
      <c r="E283" s="34" t="str">
        <f>+UPPER('0. Instruções'!$D$36&amp;"."&amp;VLOOKUP(B283,'0. Instruções'!$C$27:$E$32,3,FALSE))</f>
        <v>BU_LOANTAPE_WORK.LT002_INSTRUMENT</v>
      </c>
      <c r="F283" s="34" t="s">
        <v>563</v>
      </c>
      <c r="G283" s="34"/>
      <c r="H283" s="34" t="s">
        <v>89</v>
      </c>
      <c r="I283" s="34" t="str">
        <f>"(SELECT "&amp;VLOOKUP(B283,'0. Instruções'!$C$27:$G$32,4,FALSE)&amp;", "&amp;F283&amp;" FROM "&amp;D283&amp;" WHERE "&amp;'0. Instruções'!$D$42&amp;")X"</f>
        <v>(SELECT instrmnt_id, ISSR_RTNG FROM CD_LOAN_TAPES_BCE.LT002_INSTRUMENT WHERE ref_date='${ref_date}' AND nome_perimetro='Individual Corporativo' AND segmento='ESTR' AND ambito='PM' AND entidade='00100')X</v>
      </c>
      <c r="J283" s="34" t="str">
        <f>"(SELECT "&amp;VLOOKUP(B283,'0. Instruções'!$C$27:$G$32,4,FALSE)&amp;" AS "&amp;VLOOKUP(B283,'0. Instruções'!$C$27:$G$32,4,FALSE)&amp;"_SIMUL, "&amp;F283&amp;" AS "&amp;F283&amp;"_SIMUL FROM "&amp;E283&amp;" WHERE "&amp;'0. Instruções'!$D$43&amp;")Y"</f>
        <v>(SELECT instrmnt_id AS instrmnt_id_SIMUL, ISSR_RTNG AS ISSR_RTNG_SIMUL FROM BU_LOANTAPE_WORK.LT002_INSTRUMENT WHERE ref_date='${ref_date}' AND nome_perimetro='Individual Corporativo' AND segmento='ESTR' AND ambito='PM' AND entidade='00100')Y</v>
      </c>
      <c r="K283" s="35" t="str">
        <f>+UPPER("ON X."&amp;VLOOKUP(B283,'0. Instruções'!$C$27:$G$32,4,FALSE)&amp;"=Y."&amp;VLOOKUP(B283,'0. Instruções'!$C$27:$G$32,4,FALSE)&amp;"_SIMUL")</f>
        <v>ON X.INSTRMNT_ID=Y.INSTRMNT_ID_SIMUL</v>
      </c>
      <c r="L283" s="35" t="str">
        <f>+IF(C283="Coerência", +IF(LEFT(G283,5)="FLOAT","SELECT '"&amp;UPPER(B283)&amp;"' AS TABELA, '"&amp;UPPER(C283)&amp;"' AS TIPOLOGIA_TESTE,'"&amp;D283&amp;"' AS TABELA_LT,'"&amp;E283&amp;"' AS TABELA_SIMUL,'"&amp;F283&amp;"' AS CAMPO, "&amp;"'${ref_date}' AS REF_DATE, COUNT(*) AS NUM_REG, SUM(IF((ABS(COALESCE(CAST(X."&amp;F283&amp;" AS DECIMAL(18,6)),0)-COALESCE(CAST(Y."&amp;F283&amp;"_SIMUL AS DECIMAL(18,6)),0))&gt;0.000001) OR (X."&amp;F283&amp;" IS NULL AND Y."&amp;F283&amp;"_SIMUL IS NOT NULL ) OR (X."&amp;F283&amp;" IS NOT NULL AND Y."&amp;F283&amp;"_SIMUL IS NULL),1,0)) AS NUM_REG_DIF,'"&amp;MAX('ID1&amp;5'!K:K)+1&amp;"' AS ID_EXEC, CURRENT_TIMESTAMP() AS TIME_EXEC FROM "&amp;I283&amp;" INNER JOIN "&amp;J283&amp;" "&amp;K283,"SELECT '"&amp;UPPER(B283)&amp;"' AS TABELA, '"&amp;UPPER(C283)&amp;"' AS TIPOLOGIA_TESTE,'"&amp;D283&amp;"' AS TABELA_LT,'"&amp;E283&amp;"' AS TABELA_SIMUL,'"&amp;F283&amp;"' AS CAMPO, "&amp;"'${ref_date}' AS REF_DATE, COUNT(*) AS NUM_REG, SUM(IF(COALESCE(CAST(X."&amp;F283&amp;" AS STRING),'')&lt;&gt;COALESCE(CAST(Y."&amp;F283&amp;"_SIMUL AS STRING),'') OR (X."&amp;F283&amp;" IS NULL AND Y."&amp;F283&amp;"_SIMUL IS NOT NULL ) OR (X."&amp;F283&amp;" IS NOT NULL AND Y."&amp;F283&amp;"_SIMUL IS NULL),1,0)) AS NUM_REG_DIF,'"&amp;MAX('ID1&amp;5'!L:L)+1&amp;"' AS ID_EXEC, CURRENT_TIMESTAMP() AS TIME_EXEC FROM "&amp;I283&amp;" INNER JOIN "&amp;J283&amp;" "&amp;K283),
IF(C283="Validade",+IF(G283="Code List","SELECT '"&amp;UPPER(B283)&amp;"' AS TABELA, '"&amp;UPPER(C283)&amp;"' AS TIPOLOGIA_TESTE,'"&amp;D283&amp;"' AS TABELA_LT,'N/A' AS TABELA_SIMUL,'"&amp;F283&amp;"' AS CAMPO, "&amp;"'${ref_date}' AS REF_DATE, COUNT(*) AS NUM_REG, SUM(IF(TRIM(CAST(X."&amp;F283&amp;" AS STRING))='' OR TRIM(CAST(X."&amp;F283&amp;" AS STRING)) IS NULL OR CAST(X."&amp;F283&amp;" AS STRING) NOT "&amp;H283&amp;",1,0)) AS NUM_REG_DIF,'"&amp;MAX('ID1&amp;5'!K:K)+1&amp;"' AS ID_EXEC, CURRENT_TIMESTAMP() AS TIME_EXEC FROM "&amp;I283,"SELECT '"&amp;UPPER(B283)&amp;"' AS TABELA, '"&amp;UPPER(C283)&amp;"' AS TIPOLOGIA_TESTE,'"&amp;D283&amp;"' AS TABELA_LT,'N/A' AS TABELA_SIMUL,'"&amp;F283&amp;"' AS CAMPO, "&amp;"'${ref_date}' AS REF_DATE, COUNT(*) AS NUM_REG, SUM(IF(TRIM(CAST(X."&amp;F283&amp;" AS STRING))='' OR TRIM(CAST(X."&amp;F283&amp;" AS STRING)) IS NULL,1,0)) AS NUM_REG_DIF,'"&amp;MAX('ID1&amp;5'!K:K)+1&amp;"' AS ID_EXEC, CURRENT_TIMESTAMP() AS TIME_EXEC FROM "&amp;I283),
IF(C283="Caracteres Especiais",+"SELECT '"&amp;UPPER(B283)&amp;"' AS TABELA, '"&amp;UPPER(C283)&amp;"' AS TIPOLOGIA_TESTE,'"&amp;D283&amp;"' AS TABELA_LT,'N/A' AS TABELA_SIMUL,'"&amp;F283&amp;"' AS CAMPO, "&amp;"'${ref_date}' AS REF_DATE, COUNT(*) AS NUM_REG, SUM(IF(REGEXP_REPLACE(TRIM(CAST(X."&amp;F283&amp;" AS STRING)),'[^a-zA-Z0-9_\\s]','') &lt;&gt;TRIM(CAST(X."&amp;F283&amp;" AS STRING)),1,0)) AS NUM_REG_DIF,'"&amp;MAX('ID1&amp;5'!K:K)+1&amp;"' AS ID_EXEC, CURRENT_TIMESTAMP() AS TIME_EXEC FROM "&amp;I283,
IF(C283="Missings",+"SELECT '"&amp;UPPER(B283)&amp;"' AS TABELA, '"&amp;UPPER(C283)&amp;"' AS TIPOLOGIA_TESTE,'"&amp;D283&amp;"' AS TABELA_LT,'N/A' AS TABELA_SIMUL,'"&amp;F283&amp;"' AS CAMPO, "&amp;"'${ref_date}' AS REF_DATE, COUNT(*) AS NUM_REG, SUM(IF(TRIM(CAST(X."&amp;F283&amp;" AS STRING)) IN ('0000-00-00','0001-01-01','9999-12-31','MISS','00000','99999999999','99999999999.00','99999999999.000000'),1,0)) AS NUM_REG_DIF,'"&amp;MAX('ID1&amp;5'!K:K)+1&amp;"' AS ID_EXEC, CURRENT_TIMESTAMP() AS TIME_EXEC FROM "&amp;I283,
IF(C283="Not applicable",+"SELECT '"&amp;UPPER(B283)&amp;"' AS TABELA, '"&amp;UPPER(C283)&amp;"' AS TIPOLOGIA_TESTE,'"&amp;D283&amp;"' AS TABELA_LT,'N/A' AS TABELA_SIMUL,'"&amp;F283&amp;"' AS CAMPO, "&amp;"'${ref_date}' AS REF_DATE, COUNT(*) AS NUM_REG, SUM(IF(TRIM(CAST(X."&amp;F283&amp;" AS STRING)) IN ('N/A','11111111111','11111111111.00','11111111111.000000','1111-11-11'),1,0)) AS NUM_REG_DIF,'"&amp;MAX('ID1&amp;5'!K:K)+1&amp;"' AS ID_EXEC, CURRENT_TIMESTAMP() AS TIME_EXEC FROM "&amp;I283,
IF(C283="Valores extremos",+"SELECT '"&amp;UPPER(B283)&amp;"' AS TABELA, '"&amp;UPPER(C283)&amp;"' AS TIPOLOGIA_TESTE,'"&amp;D283&amp;"' AS TABELA_LT,'N/A' AS TABELA_SIMUL,'"&amp;F283&amp;"' AS CAMPO, "&amp;"'${ref_date}' AS REF_DATE, CAST(MIN("&amp;F283&amp;") AS STRING) AS VALOR_MIN, CAST(MAX("&amp;F283&amp;") AS STRING) AS VALOR_MAX,'"&amp;MAX('ID1&amp;5'!K:K)+1&amp;"' AS ID_EXEC, CURRENT_TIMESTAMP() AS TIME_EXEC FROM "&amp;MID(I283,1,LEN(I283)-2)&amp;" AND CAST("&amp;F283&amp;"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TABELA_SIMUL,'ISSR_RTNG' AS CAMPO, '${ref_date}' AS REF_DATE, COUNT(*) AS NUM_REG, SUM(IF(COALESCE(CAST(X.ISSR_RTNG AS STRING),'')&lt;&gt;COALESCE(CAST(Y.ISSR_RTNG_SIMUL AS STRING),'') OR (X.ISSR_RTNG IS NULL AND Y.ISSR_RTNG_SIMUL IS NOT NULL ) OR (X.ISSR_RTNG IS NOT NULL AND Y.ISSR_RTNG_SIMUL IS NULL),1,0)) AS NUM_REG_DIF,'1' AS ID_EXEC, CURRENT_TIMESTAMP() AS TIME_EXEC FROM (SELECT instrmnt_id, ISSR_RTNG FROM CD_LOAN_TAPES_BCE.LT002_INSTRUMENT WHERE ref_date='${ref_date}' AND nome_perimetro='Individual Corporativo' AND segmento='ESTR' AND ambito='PM' AND entidade='00100')X INNER JOIN (SELECT instrmnt_id AS instrmnt_id_SIMUL, ISSR_RTNG AS ISSR_RTNG_SIMUL FROM BU_LOANTAPE_WORK.LT002_INSTRUMENT WHERE ref_date='${ref_date}' AND nome_perimetro='Individual Corporativo' AND segmento='ESTR' AND ambito='PM' AND entidade='00100')Y ON X.INSTRMNT_ID=Y.INSTRMNT_ID_SIMUL</v>
      </c>
      <c r="M283" s="36" t="str">
        <f t="shared" si="4"/>
        <v>UNION ALL SELECT 'INSTRUMENT' AS TABELA, 'COERÊNCIA' AS TIPOLOGIA_TESTE,'CD_LOAN_TAPES_BCE.LT002_INSTRUMENT' AS TABELA_LT,'BU_LOANTAPE_WORK.LT002_INSTRUMENT' AS TABELA_SIMUL,'ISSR_RTNG' AS CAMPO, '${ref_date}' AS REF_DATE, COUNT(*) AS NUM_REG, SUM(IF(COALESCE(CAST(X.ISSR_RTNG AS STRING),'')&lt;&gt;COALESCE(CAST(Y.ISSR_RTNG_SIMUL AS STRING),'') OR (X.ISSR_RTNG IS NULL AND Y.ISSR_RTNG_SIMUL IS NOT NULL ) OR (X.ISSR_RTNG IS NOT NULL AND Y.ISSR_RTNG_SIMUL IS NULL),1,0)) AS NUM_REG_DIF,'1' AS ID_EXEC, CURRENT_TIMESTAMP() AS TIME_EXEC FROM (SELECT instrmnt_id, ISSR_RTNG FROM CD_LOAN_TAPES_BCE.LT002_INSTRUMENT WHERE ref_date='${ref_date}' AND nome_perimetro='Individual Corporativo' AND segmento='ESTR' AND ambito='PM' AND entidade='00100')X INNER JOIN (SELECT instrmnt_id AS instrmnt_id_SIMUL, ISSR_RTNG AS ISSR_RTNG_SIMUL FROM BU_LOANTAPE_WORK.LT002_INSTRUMENT WHERE ref_date='${ref_date}' AND nome_perimetro='Individual Corporativo' AND segmento='ESTR' AND ambito='PM' AND entidade='00100')Y ON X.INSTRMNT_ID=Y.INSTRMNT_ID_SIMUL</v>
      </c>
      <c r="N283" s="38" t="s">
        <v>46</v>
      </c>
    </row>
    <row r="284" spans="2:14" hidden="1">
      <c r="B284" s="34" t="s">
        <v>126</v>
      </c>
      <c r="C284" s="34" t="s">
        <v>5</v>
      </c>
      <c r="D284" s="34" t="str">
        <f>+UPPER('0. Instruções'!$D$35&amp;"."&amp;VLOOKUP(B284,'0. Instruções'!$C$27:$D$32,2,FALSE))</f>
        <v>CD_LOAN_TAPES_BCE.LT002_INSTRUMENT</v>
      </c>
      <c r="E284" s="34" t="str">
        <f>+UPPER('0. Instruções'!$D$36&amp;"."&amp;VLOOKUP(B284,'0. Instruções'!$C$27:$E$32,3,FALSE))</f>
        <v>BU_LOANTAPE_WORK.LT002_INSTRUMENT</v>
      </c>
      <c r="F284" s="34" t="s">
        <v>564</v>
      </c>
      <c r="G284" s="34"/>
      <c r="H284" s="34" t="s">
        <v>653</v>
      </c>
      <c r="I284" s="34" t="str">
        <f>"(SELECT "&amp;VLOOKUP(B284,'0. Instruções'!$C$27:$G$32,4,FALSE)&amp;", "&amp;F284&amp;" FROM "&amp;D284&amp;" WHERE "&amp;'0. Instruções'!$D$42&amp;")X"</f>
        <v>(SELECT instrmnt_id, ISSR_RTNG_SRC FROM CD_LOAN_TAPES_BCE.LT002_INSTRUMENT WHERE ref_date='${ref_date}' AND nome_perimetro='Individual Corporativo' AND segmento='ESTR' AND ambito='PM' AND entidade='00100')X</v>
      </c>
      <c r="J284" s="34" t="str">
        <f>"(SELECT "&amp;VLOOKUP(B284,'0. Instruções'!$C$27:$G$32,4,FALSE)&amp;" AS "&amp;VLOOKUP(B284,'0. Instruções'!$C$27:$G$32,4,FALSE)&amp;"_SIMUL, "&amp;F284&amp;" AS "&amp;F284&amp;"_SIMUL FROM "&amp;E284&amp;" WHERE "&amp;'0. Instruções'!$D$43&amp;")Y"</f>
        <v>(SELECT instrmnt_id AS instrmnt_id_SIMUL, ISSR_RTNG_SRC AS ISSR_RTNG_SRC_SIMUL FROM BU_LOANTAPE_WORK.LT002_INSTRUMENT WHERE ref_date='${ref_date}' AND nome_perimetro='Individual Corporativo' AND segmento='ESTR' AND ambito='PM' AND entidade='00100')Y</v>
      </c>
      <c r="K284" s="35" t="str">
        <f>+UPPER("ON X."&amp;VLOOKUP(B284,'0. Instruções'!$C$27:$G$32,4,FALSE)&amp;"=Y."&amp;VLOOKUP(B284,'0. Instruções'!$C$27:$G$32,4,FALSE)&amp;"_SIMUL")</f>
        <v>ON X.INSTRMNT_ID=Y.INSTRMNT_ID_SIMUL</v>
      </c>
      <c r="L284" s="35" t="str">
        <f>+IF(C284="Coerência", +IF(LEFT(G284,5)="FLOAT","SELECT '"&amp;UPPER(B284)&amp;"' AS TABELA, '"&amp;UPPER(C284)&amp;"' AS TIPOLOGIA_TESTE,'"&amp;D284&amp;"' AS TABELA_LT,'"&amp;E284&amp;"' AS TABELA_SIMUL,'"&amp;F284&amp;"' AS CAMPO, "&amp;"'${ref_date}' AS REF_DATE, COUNT(*) AS NUM_REG, SUM(IF((ABS(COALESCE(CAST(X."&amp;F284&amp;" AS DECIMAL(18,6)),0)-COALESCE(CAST(Y."&amp;F284&amp;"_SIMUL AS DECIMAL(18,6)),0))&gt;0.000001) OR (X."&amp;F284&amp;" IS NULL AND Y."&amp;F284&amp;"_SIMUL IS NOT NULL ) OR (X."&amp;F284&amp;" IS NOT NULL AND Y."&amp;F284&amp;"_SIMUL IS NULL),1,0)) AS NUM_REG_DIF,'"&amp;MAX('ID1&amp;5'!K:K)+1&amp;"' AS ID_EXEC, CURRENT_TIMESTAMP() AS TIME_EXEC FROM "&amp;I284&amp;" INNER JOIN "&amp;J284&amp;" "&amp;K284,"SELECT '"&amp;UPPER(B284)&amp;"' AS TABELA, '"&amp;UPPER(C284)&amp;"' AS TIPOLOGIA_TESTE,'"&amp;D284&amp;"' AS TABELA_LT,'"&amp;E284&amp;"' AS TABELA_SIMUL,'"&amp;F284&amp;"' AS CAMPO, "&amp;"'${ref_date}' AS REF_DATE, COUNT(*) AS NUM_REG, SUM(IF(COALESCE(CAST(X."&amp;F284&amp;" AS STRING),'')&lt;&gt;COALESCE(CAST(Y."&amp;F284&amp;"_SIMUL AS STRING),'') OR (X."&amp;F284&amp;" IS NULL AND Y."&amp;F284&amp;"_SIMUL IS NOT NULL ) OR (X."&amp;F284&amp;" IS NOT NULL AND Y."&amp;F284&amp;"_SIMUL IS NULL),1,0)) AS NUM_REG_DIF,'"&amp;MAX('ID1&amp;5'!L:L)+1&amp;"' AS ID_EXEC, CURRENT_TIMESTAMP() AS TIME_EXEC FROM "&amp;I284&amp;" INNER JOIN "&amp;J284&amp;" "&amp;K284),
IF(C284="Validade",+IF(G284="Code List","SELECT '"&amp;UPPER(B284)&amp;"' AS TABELA, '"&amp;UPPER(C284)&amp;"' AS TIPOLOGIA_TESTE,'"&amp;D284&amp;"' AS TABELA_LT,'N/A' AS TABELA_SIMUL,'"&amp;F284&amp;"' AS CAMPO, "&amp;"'${ref_date}' AS REF_DATE, COUNT(*) AS NUM_REG, SUM(IF(TRIM(CAST(X."&amp;F284&amp;" AS STRING))='' OR TRIM(CAST(X."&amp;F284&amp;" AS STRING)) IS NULL OR CAST(X."&amp;F284&amp;" AS STRING) NOT "&amp;H284&amp;",1,0)) AS NUM_REG_DIF,'"&amp;MAX('ID1&amp;5'!K:K)+1&amp;"' AS ID_EXEC, CURRENT_TIMESTAMP() AS TIME_EXEC FROM "&amp;I284,"SELECT '"&amp;UPPER(B284)&amp;"' AS TABELA, '"&amp;UPPER(C284)&amp;"' AS TIPOLOGIA_TESTE,'"&amp;D284&amp;"' AS TABELA_LT,'N/A' AS TABELA_SIMUL,'"&amp;F284&amp;"' AS CAMPO, "&amp;"'${ref_date}' AS REF_DATE, COUNT(*) AS NUM_REG, SUM(IF(TRIM(CAST(X."&amp;F284&amp;" AS STRING))='' OR TRIM(CAST(X."&amp;F284&amp;" AS STRING)) IS NULL,1,0)) AS NUM_REG_DIF,'"&amp;MAX('ID1&amp;5'!K:K)+1&amp;"' AS ID_EXEC, CURRENT_TIMESTAMP() AS TIME_EXEC FROM "&amp;I284),
IF(C284="Caracteres Especiais",+"SELECT '"&amp;UPPER(B284)&amp;"' AS TABELA, '"&amp;UPPER(C284)&amp;"' AS TIPOLOGIA_TESTE,'"&amp;D284&amp;"' AS TABELA_LT,'N/A' AS TABELA_SIMUL,'"&amp;F284&amp;"' AS CAMPO, "&amp;"'${ref_date}' AS REF_DATE, COUNT(*) AS NUM_REG, SUM(IF(REGEXP_REPLACE(TRIM(CAST(X."&amp;F284&amp;" AS STRING)),'[^a-zA-Z0-9_\\s]','') &lt;&gt;TRIM(CAST(X."&amp;F284&amp;" AS STRING)),1,0)) AS NUM_REG_DIF,'"&amp;MAX('ID1&amp;5'!K:K)+1&amp;"' AS ID_EXEC, CURRENT_TIMESTAMP() AS TIME_EXEC FROM "&amp;I284,
IF(C284="Missings",+"SELECT '"&amp;UPPER(B284)&amp;"' AS TABELA, '"&amp;UPPER(C284)&amp;"' AS TIPOLOGIA_TESTE,'"&amp;D284&amp;"' AS TABELA_LT,'N/A' AS TABELA_SIMUL,'"&amp;F284&amp;"' AS CAMPO, "&amp;"'${ref_date}' AS REF_DATE, COUNT(*) AS NUM_REG, SUM(IF(TRIM(CAST(X."&amp;F284&amp;" AS STRING)) IN ('0000-00-00','0001-01-01','9999-12-31','MISS','00000','99999999999','99999999999.00','99999999999.000000'),1,0)) AS NUM_REG_DIF,'"&amp;MAX('ID1&amp;5'!K:K)+1&amp;"' AS ID_EXEC, CURRENT_TIMESTAMP() AS TIME_EXEC FROM "&amp;I284,
IF(C284="Not applicable",+"SELECT '"&amp;UPPER(B284)&amp;"' AS TABELA, '"&amp;UPPER(C284)&amp;"' AS TIPOLOGIA_TESTE,'"&amp;D284&amp;"' AS TABELA_LT,'N/A' AS TABELA_SIMUL,'"&amp;F284&amp;"' AS CAMPO, "&amp;"'${ref_date}' AS REF_DATE, COUNT(*) AS NUM_REG, SUM(IF(TRIM(CAST(X."&amp;F284&amp;" AS STRING)) IN ('N/A','11111111111','11111111111.00','11111111111.000000','1111-11-11'),1,0)) AS NUM_REG_DIF,'"&amp;MAX('ID1&amp;5'!K:K)+1&amp;"' AS ID_EXEC, CURRENT_TIMESTAMP() AS TIME_EXEC FROM "&amp;I284,
IF(C284="Valores extremos",+"SELECT '"&amp;UPPER(B284)&amp;"' AS TABELA, '"&amp;UPPER(C284)&amp;"' AS TIPOLOGIA_TESTE,'"&amp;D284&amp;"' AS TABELA_LT,'N/A' AS TABELA_SIMUL,'"&amp;F284&amp;"' AS CAMPO, "&amp;"'${ref_date}' AS REF_DATE, CAST(MIN("&amp;F284&amp;") AS STRING) AS VALOR_MIN, CAST(MAX("&amp;F284&amp;") AS STRING) AS VALOR_MAX,'"&amp;MAX('ID1&amp;5'!K:K)+1&amp;"' AS ID_EXEC, CURRENT_TIMESTAMP() AS TIME_EXEC FROM "&amp;MID(I284,1,LEN(I284)-2)&amp;" AND CAST("&amp;F284&amp;"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TABELA_SIMUL,'ISSR_RTNG_SRC' AS CAMPO, '${ref_date}' AS REF_DATE, COUNT(*) AS NUM_REG, SUM(IF(COALESCE(CAST(X.ISSR_RTNG_SRC AS STRING),'')&lt;&gt;COALESCE(CAST(Y.ISSR_RTNG_SRC_SIMUL AS STRING),'') OR (X.ISSR_RTNG_SRC IS NULL AND Y.ISSR_RTNG_SRC_SIMUL IS NOT NULL ) OR (X.ISSR_RTNG_SRC IS NOT NULL AND Y.ISSR_RTNG_SRC_SIMUL IS NULL),1,0)) AS NUM_REG_DIF,'1' AS ID_EXEC, CURRENT_TIMESTAMP() AS TIME_EXEC FROM (SELECT instrmnt_id, ISSR_RTNG_SRC FROM CD_LOAN_TAPES_BCE.LT002_INSTRUMENT WHERE ref_date='${ref_date}' AND nome_perimetro='Individual Corporativo' AND segmento='ESTR' AND ambito='PM' AND entidade='00100')X INNER JOIN (SELECT instrmnt_id AS instrmnt_id_SIMUL, ISSR_RTNG_SRC AS ISSR_RTNG_SRC_SIMUL FROM BU_LOANTAPE_WORK.LT002_INSTRUMENT WHERE ref_date='${ref_date}' AND nome_perimetro='Individual Corporativo' AND segmento='ESTR' AND ambito='PM' AND entidade='00100')Y ON X.INSTRMNT_ID=Y.INSTRMNT_ID_SIMUL</v>
      </c>
      <c r="M284" s="36" t="str">
        <f t="shared" si="4"/>
        <v>UNION ALL SELECT 'INSTRUMENT' AS TABELA, 'COERÊNCIA' AS TIPOLOGIA_TESTE,'CD_LOAN_TAPES_BCE.LT002_INSTRUMENT' AS TABELA_LT,'BU_LOANTAPE_WORK.LT002_INSTRUMENT' AS TABELA_SIMUL,'ISSR_RTNG_SRC' AS CAMPO, '${ref_date}' AS REF_DATE, COUNT(*) AS NUM_REG, SUM(IF(COALESCE(CAST(X.ISSR_RTNG_SRC AS STRING),'')&lt;&gt;COALESCE(CAST(Y.ISSR_RTNG_SRC_SIMUL AS STRING),'') OR (X.ISSR_RTNG_SRC IS NULL AND Y.ISSR_RTNG_SRC_SIMUL IS NOT NULL ) OR (X.ISSR_RTNG_SRC IS NOT NULL AND Y.ISSR_RTNG_SRC_SIMUL IS NULL),1,0)) AS NUM_REG_DIF,'1' AS ID_EXEC, CURRENT_TIMESTAMP() AS TIME_EXEC FROM (SELECT instrmnt_id, ISSR_RTNG_SRC FROM CD_LOAN_TAPES_BCE.LT002_INSTRUMENT WHERE ref_date='${ref_date}' AND nome_perimetro='Individual Corporativo' AND segmento='ESTR' AND ambito='PM' AND entidade='00100')X INNER JOIN (SELECT instrmnt_id AS instrmnt_id_SIMUL, ISSR_RTNG_SRC AS ISSR_RTNG_SRC_SIMUL FROM BU_LOANTAPE_WORK.LT002_INSTRUMENT WHERE ref_date='${ref_date}' AND nome_perimetro='Individual Corporativo' AND segmento='ESTR' AND ambito='PM' AND entidade='00100')Y ON X.INSTRMNT_ID=Y.INSTRMNT_ID_SIMUL</v>
      </c>
      <c r="N284" s="38" t="s">
        <v>46</v>
      </c>
    </row>
    <row r="285" spans="2:14" hidden="1">
      <c r="B285" s="34" t="s">
        <v>126</v>
      </c>
      <c r="C285" s="34" t="s">
        <v>5</v>
      </c>
      <c r="D285" s="34" t="str">
        <f>+UPPER('0. Instruções'!$D$35&amp;"."&amp;VLOOKUP(B285,'0. Instruções'!$C$27:$D$32,2,FALSE))</f>
        <v>CD_LOAN_TAPES_BCE.LT002_INSTRUMENT</v>
      </c>
      <c r="E285" s="34" t="str">
        <f>+UPPER('0. Instruções'!$D$36&amp;"."&amp;VLOOKUP(B285,'0. Instruções'!$C$27:$E$32,3,FALSE))</f>
        <v>BU_LOANTAPE_WORK.LT002_INSTRUMENT</v>
      </c>
      <c r="F285" s="34" t="s">
        <v>565</v>
      </c>
      <c r="G285" s="34"/>
      <c r="H285" s="34" t="s">
        <v>89</v>
      </c>
      <c r="I285" s="34" t="str">
        <f>"(SELECT "&amp;VLOOKUP(B285,'0. Instruções'!$C$27:$G$32,4,FALSE)&amp;", "&amp;F285&amp;" FROM "&amp;D285&amp;" WHERE "&amp;'0. Instruções'!$D$42&amp;")X"</f>
        <v>(SELECT instrmnt_id, ISSR_TYP FROM CD_LOAN_TAPES_BCE.LT002_INSTRUMENT WHERE ref_date='${ref_date}' AND nome_perimetro='Individual Corporativo' AND segmento='ESTR' AND ambito='PM' AND entidade='00100')X</v>
      </c>
      <c r="J285" s="34" t="str">
        <f>"(SELECT "&amp;VLOOKUP(B285,'0. Instruções'!$C$27:$G$32,4,FALSE)&amp;" AS "&amp;VLOOKUP(B285,'0. Instruções'!$C$27:$G$32,4,FALSE)&amp;"_SIMUL, "&amp;F285&amp;" AS "&amp;F285&amp;"_SIMUL FROM "&amp;E285&amp;" WHERE "&amp;'0. Instruções'!$D$43&amp;")Y"</f>
        <v>(SELECT instrmnt_id AS instrmnt_id_SIMUL, ISSR_TYP AS ISSR_TYP_SIMUL FROM BU_LOANTAPE_WORK.LT002_INSTRUMENT WHERE ref_date='${ref_date}' AND nome_perimetro='Individual Corporativo' AND segmento='ESTR' AND ambito='PM' AND entidade='00100')Y</v>
      </c>
      <c r="K285" s="35" t="str">
        <f>+UPPER("ON X."&amp;VLOOKUP(B285,'0. Instruções'!$C$27:$G$32,4,FALSE)&amp;"=Y."&amp;VLOOKUP(B285,'0. Instruções'!$C$27:$G$32,4,FALSE)&amp;"_SIMUL")</f>
        <v>ON X.INSTRMNT_ID=Y.INSTRMNT_ID_SIMUL</v>
      </c>
      <c r="L285" s="35" t="str">
        <f>+IF(C285="Coerência", +IF(LEFT(G285,5)="FLOAT","SELECT '"&amp;UPPER(B285)&amp;"' AS TABELA, '"&amp;UPPER(C285)&amp;"' AS TIPOLOGIA_TESTE,'"&amp;D285&amp;"' AS TABELA_LT,'"&amp;E285&amp;"' AS TABELA_SIMUL,'"&amp;F285&amp;"' AS CAMPO, "&amp;"'${ref_date}' AS REF_DATE, COUNT(*) AS NUM_REG, SUM(IF((ABS(COALESCE(CAST(X."&amp;F285&amp;" AS DECIMAL(18,6)),0)-COALESCE(CAST(Y."&amp;F285&amp;"_SIMUL AS DECIMAL(18,6)),0))&gt;0.000001) OR (X."&amp;F285&amp;" IS NULL AND Y."&amp;F285&amp;"_SIMUL IS NOT NULL ) OR (X."&amp;F285&amp;" IS NOT NULL AND Y."&amp;F285&amp;"_SIMUL IS NULL),1,0)) AS NUM_REG_DIF,'"&amp;MAX('ID1&amp;5'!K:K)+1&amp;"' AS ID_EXEC, CURRENT_TIMESTAMP() AS TIME_EXEC FROM "&amp;I285&amp;" INNER JOIN "&amp;J285&amp;" "&amp;K285,"SELECT '"&amp;UPPER(B285)&amp;"' AS TABELA, '"&amp;UPPER(C285)&amp;"' AS TIPOLOGIA_TESTE,'"&amp;D285&amp;"' AS TABELA_LT,'"&amp;E285&amp;"' AS TABELA_SIMUL,'"&amp;F285&amp;"' AS CAMPO, "&amp;"'${ref_date}' AS REF_DATE, COUNT(*) AS NUM_REG, SUM(IF(COALESCE(CAST(X."&amp;F285&amp;" AS STRING),'')&lt;&gt;COALESCE(CAST(Y."&amp;F285&amp;"_SIMUL AS STRING),'') OR (X."&amp;F285&amp;" IS NULL AND Y."&amp;F285&amp;"_SIMUL IS NOT NULL ) OR (X."&amp;F285&amp;" IS NOT NULL AND Y."&amp;F285&amp;"_SIMUL IS NULL),1,0)) AS NUM_REG_DIF,'"&amp;MAX('ID1&amp;5'!L:L)+1&amp;"' AS ID_EXEC, CURRENT_TIMESTAMP() AS TIME_EXEC FROM "&amp;I285&amp;" INNER JOIN "&amp;J285&amp;" "&amp;K285),
IF(C285="Validade",+IF(G285="Code List","SELECT '"&amp;UPPER(B285)&amp;"' AS TABELA, '"&amp;UPPER(C285)&amp;"' AS TIPOLOGIA_TESTE,'"&amp;D285&amp;"' AS TABELA_LT,'N/A' AS TABELA_SIMUL,'"&amp;F285&amp;"' AS CAMPO, "&amp;"'${ref_date}' AS REF_DATE, COUNT(*) AS NUM_REG, SUM(IF(TRIM(CAST(X."&amp;F285&amp;" AS STRING))='' OR TRIM(CAST(X."&amp;F285&amp;" AS STRING)) IS NULL OR CAST(X."&amp;F285&amp;" AS STRING) NOT "&amp;H285&amp;",1,0)) AS NUM_REG_DIF,'"&amp;MAX('ID1&amp;5'!K:K)+1&amp;"' AS ID_EXEC, CURRENT_TIMESTAMP() AS TIME_EXEC FROM "&amp;I285,"SELECT '"&amp;UPPER(B285)&amp;"' AS TABELA, '"&amp;UPPER(C285)&amp;"' AS TIPOLOGIA_TESTE,'"&amp;D285&amp;"' AS TABELA_LT,'N/A' AS TABELA_SIMUL,'"&amp;F285&amp;"' AS CAMPO, "&amp;"'${ref_date}' AS REF_DATE, COUNT(*) AS NUM_REG, SUM(IF(TRIM(CAST(X."&amp;F285&amp;" AS STRING))='' OR TRIM(CAST(X."&amp;F285&amp;" AS STRING)) IS NULL,1,0)) AS NUM_REG_DIF,'"&amp;MAX('ID1&amp;5'!K:K)+1&amp;"' AS ID_EXEC, CURRENT_TIMESTAMP() AS TIME_EXEC FROM "&amp;I285),
IF(C285="Caracteres Especiais",+"SELECT '"&amp;UPPER(B285)&amp;"' AS TABELA, '"&amp;UPPER(C285)&amp;"' AS TIPOLOGIA_TESTE,'"&amp;D285&amp;"' AS TABELA_LT,'N/A' AS TABELA_SIMUL,'"&amp;F285&amp;"' AS CAMPO, "&amp;"'${ref_date}' AS REF_DATE, COUNT(*) AS NUM_REG, SUM(IF(REGEXP_REPLACE(TRIM(CAST(X."&amp;F285&amp;" AS STRING)),'[^a-zA-Z0-9_\\s]','') &lt;&gt;TRIM(CAST(X."&amp;F285&amp;" AS STRING)),1,0)) AS NUM_REG_DIF,'"&amp;MAX('ID1&amp;5'!K:K)+1&amp;"' AS ID_EXEC, CURRENT_TIMESTAMP() AS TIME_EXEC FROM "&amp;I285,
IF(C285="Missings",+"SELECT '"&amp;UPPER(B285)&amp;"' AS TABELA, '"&amp;UPPER(C285)&amp;"' AS TIPOLOGIA_TESTE,'"&amp;D285&amp;"' AS TABELA_LT,'N/A' AS TABELA_SIMUL,'"&amp;F285&amp;"' AS CAMPO, "&amp;"'${ref_date}' AS REF_DATE, COUNT(*) AS NUM_REG, SUM(IF(TRIM(CAST(X."&amp;F285&amp;" AS STRING)) IN ('0000-00-00','0001-01-01','9999-12-31','MISS','00000','99999999999','99999999999.00','99999999999.000000'),1,0)) AS NUM_REG_DIF,'"&amp;MAX('ID1&amp;5'!K:K)+1&amp;"' AS ID_EXEC, CURRENT_TIMESTAMP() AS TIME_EXEC FROM "&amp;I285,
IF(C285="Not applicable",+"SELECT '"&amp;UPPER(B285)&amp;"' AS TABELA, '"&amp;UPPER(C285)&amp;"' AS TIPOLOGIA_TESTE,'"&amp;D285&amp;"' AS TABELA_LT,'N/A' AS TABELA_SIMUL,'"&amp;F285&amp;"' AS CAMPO, "&amp;"'${ref_date}' AS REF_DATE, COUNT(*) AS NUM_REG, SUM(IF(TRIM(CAST(X."&amp;F285&amp;" AS STRING)) IN ('N/A','11111111111','11111111111.00','11111111111.000000','1111-11-11'),1,0)) AS NUM_REG_DIF,'"&amp;MAX('ID1&amp;5'!K:K)+1&amp;"' AS ID_EXEC, CURRENT_TIMESTAMP() AS TIME_EXEC FROM "&amp;I285,
IF(C285="Valores extremos",+"SELECT '"&amp;UPPER(B285)&amp;"' AS TABELA, '"&amp;UPPER(C285)&amp;"' AS TIPOLOGIA_TESTE,'"&amp;D285&amp;"' AS TABELA_LT,'N/A' AS TABELA_SIMUL,'"&amp;F285&amp;"' AS CAMPO, "&amp;"'${ref_date}' AS REF_DATE, CAST(MIN("&amp;F285&amp;") AS STRING) AS VALOR_MIN, CAST(MAX("&amp;F285&amp;") AS STRING) AS VALOR_MAX,'"&amp;MAX('ID1&amp;5'!K:K)+1&amp;"' AS ID_EXEC, CURRENT_TIMESTAMP() AS TIME_EXEC FROM "&amp;MID(I285,1,LEN(I285)-2)&amp;" AND CAST("&amp;F285&amp;"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TABELA_SIMUL,'ISSR_TYP' AS CAMPO, '${ref_date}' AS REF_DATE, COUNT(*) AS NUM_REG, SUM(IF(COALESCE(CAST(X.ISSR_TYP AS STRING),'')&lt;&gt;COALESCE(CAST(Y.ISSR_TYP_SIMUL AS STRING),'') OR (X.ISSR_TYP IS NULL AND Y.ISSR_TYP_SIMUL IS NOT NULL ) OR (X.ISSR_TYP IS NOT NULL AND Y.ISSR_TYP_SIMUL IS NULL),1,0)) AS NUM_REG_DIF,'1' AS ID_EXEC, CURRENT_TIMESTAMP() AS TIME_EXEC FROM (SELECT instrmnt_id, ISSR_TYP FROM CD_LOAN_TAPES_BCE.LT002_INSTRUMENT WHERE ref_date='${ref_date}' AND nome_perimetro='Individual Corporativo' AND segmento='ESTR' AND ambito='PM' AND entidade='00100')X INNER JOIN (SELECT instrmnt_id AS instrmnt_id_SIMUL, ISSR_TYP AS ISSR_TYP_SIMUL FROM BU_LOANTAPE_WORK.LT002_INSTRUMENT WHERE ref_date='${ref_date}' AND nome_perimetro='Individual Corporativo' AND segmento='ESTR' AND ambito='PM' AND entidade='00100')Y ON X.INSTRMNT_ID=Y.INSTRMNT_ID_SIMUL</v>
      </c>
      <c r="M285" s="36" t="str">
        <f t="shared" si="4"/>
        <v>UNION ALL SELECT 'INSTRUMENT' AS TABELA, 'COERÊNCIA' AS TIPOLOGIA_TESTE,'CD_LOAN_TAPES_BCE.LT002_INSTRUMENT' AS TABELA_LT,'BU_LOANTAPE_WORK.LT002_INSTRUMENT' AS TABELA_SIMUL,'ISSR_TYP' AS CAMPO, '${ref_date}' AS REF_DATE, COUNT(*) AS NUM_REG, SUM(IF(COALESCE(CAST(X.ISSR_TYP AS STRING),'')&lt;&gt;COALESCE(CAST(Y.ISSR_TYP_SIMUL AS STRING),'') OR (X.ISSR_TYP IS NULL AND Y.ISSR_TYP_SIMUL IS NOT NULL ) OR (X.ISSR_TYP IS NOT NULL AND Y.ISSR_TYP_SIMUL IS NULL),1,0)) AS NUM_REG_DIF,'1' AS ID_EXEC, CURRENT_TIMESTAMP() AS TIME_EXEC FROM (SELECT instrmnt_id, ISSR_TYP FROM CD_LOAN_TAPES_BCE.LT002_INSTRUMENT WHERE ref_date='${ref_date}' AND nome_perimetro='Individual Corporativo' AND segmento='ESTR' AND ambito='PM' AND entidade='00100')X INNER JOIN (SELECT instrmnt_id AS instrmnt_id_SIMUL, ISSR_TYP AS ISSR_TYP_SIMUL FROM BU_LOANTAPE_WORK.LT002_INSTRUMENT WHERE ref_date='${ref_date}' AND nome_perimetro='Individual Corporativo' AND segmento='ESTR' AND ambito='PM' AND entidade='00100')Y ON X.INSTRMNT_ID=Y.INSTRMNT_ID_SIMUL</v>
      </c>
      <c r="N285" s="38" t="s">
        <v>46</v>
      </c>
    </row>
    <row r="286" spans="2:14" hidden="1">
      <c r="B286" s="34" t="s">
        <v>126</v>
      </c>
      <c r="C286" s="34" t="s">
        <v>5</v>
      </c>
      <c r="D286" s="34" t="str">
        <f>+UPPER('0. Instruções'!$D$35&amp;"."&amp;VLOOKUP(B286,'0. Instruções'!$C$27:$D$32,2,FALSE))</f>
        <v>CD_LOAN_TAPES_BCE.LT002_INSTRUMENT</v>
      </c>
      <c r="E286" s="34" t="str">
        <f>+UPPER('0. Instruções'!$D$36&amp;"."&amp;VLOOKUP(B286,'0. Instruções'!$C$27:$E$32,3,FALSE))</f>
        <v>BU_LOANTAPE_WORK.LT002_INSTRUMENT</v>
      </c>
      <c r="F286" s="34" t="s">
        <v>566</v>
      </c>
      <c r="G286" s="34"/>
      <c r="H286" s="34" t="s">
        <v>89</v>
      </c>
      <c r="I286" s="34" t="str">
        <f>"(SELECT "&amp;VLOOKUP(B286,'0. Instruções'!$C$27:$G$32,4,FALSE)&amp;", "&amp;F286&amp;" FROM "&amp;D286&amp;" WHERE "&amp;'0. Instruções'!$D$42&amp;")X"</f>
        <v>(SELECT instrmnt_id, LCR_BFFR_CTGRY FROM CD_LOAN_TAPES_BCE.LT002_INSTRUMENT WHERE ref_date='${ref_date}' AND nome_perimetro='Individual Corporativo' AND segmento='ESTR' AND ambito='PM' AND entidade='00100')X</v>
      </c>
      <c r="J286" s="34" t="str">
        <f>"(SELECT "&amp;VLOOKUP(B286,'0. Instruções'!$C$27:$G$32,4,FALSE)&amp;" AS "&amp;VLOOKUP(B286,'0. Instruções'!$C$27:$G$32,4,FALSE)&amp;"_SIMUL, "&amp;F286&amp;" AS "&amp;F286&amp;"_SIMUL FROM "&amp;E286&amp;" WHERE "&amp;'0. Instruções'!$D$43&amp;")Y"</f>
        <v>(SELECT instrmnt_id AS instrmnt_id_SIMUL, LCR_BFFR_CTGRY AS LCR_BFFR_CTGRY_SIMUL FROM BU_LOANTAPE_WORK.LT002_INSTRUMENT WHERE ref_date='${ref_date}' AND nome_perimetro='Individual Corporativo' AND segmento='ESTR' AND ambito='PM' AND entidade='00100')Y</v>
      </c>
      <c r="K286" s="35" t="str">
        <f>+UPPER("ON X."&amp;VLOOKUP(B286,'0. Instruções'!$C$27:$G$32,4,FALSE)&amp;"=Y."&amp;VLOOKUP(B286,'0. Instruções'!$C$27:$G$32,4,FALSE)&amp;"_SIMUL")</f>
        <v>ON X.INSTRMNT_ID=Y.INSTRMNT_ID_SIMUL</v>
      </c>
      <c r="L286" s="35" t="str">
        <f>+IF(C286="Coerência", +IF(LEFT(G286,5)="FLOAT","SELECT '"&amp;UPPER(B286)&amp;"' AS TABELA, '"&amp;UPPER(C286)&amp;"' AS TIPOLOGIA_TESTE,'"&amp;D286&amp;"' AS TABELA_LT,'"&amp;E286&amp;"' AS TABELA_SIMUL,'"&amp;F286&amp;"' AS CAMPO, "&amp;"'${ref_date}' AS REF_DATE, COUNT(*) AS NUM_REG, SUM(IF((ABS(COALESCE(CAST(X."&amp;F286&amp;" AS DECIMAL(18,6)),0)-COALESCE(CAST(Y."&amp;F286&amp;"_SIMUL AS DECIMAL(18,6)),0))&gt;0.000001) OR (X."&amp;F286&amp;" IS NULL AND Y."&amp;F286&amp;"_SIMUL IS NOT NULL ) OR (X."&amp;F286&amp;" IS NOT NULL AND Y."&amp;F286&amp;"_SIMUL IS NULL),1,0)) AS NUM_REG_DIF,'"&amp;MAX('ID1&amp;5'!K:K)+1&amp;"' AS ID_EXEC, CURRENT_TIMESTAMP() AS TIME_EXEC FROM "&amp;I286&amp;" INNER JOIN "&amp;J286&amp;" "&amp;K286,"SELECT '"&amp;UPPER(B286)&amp;"' AS TABELA, '"&amp;UPPER(C286)&amp;"' AS TIPOLOGIA_TESTE,'"&amp;D286&amp;"' AS TABELA_LT,'"&amp;E286&amp;"' AS TABELA_SIMUL,'"&amp;F286&amp;"' AS CAMPO, "&amp;"'${ref_date}' AS REF_DATE, COUNT(*) AS NUM_REG, SUM(IF(COALESCE(CAST(X."&amp;F286&amp;" AS STRING),'')&lt;&gt;COALESCE(CAST(Y."&amp;F286&amp;"_SIMUL AS STRING),'') OR (X."&amp;F286&amp;" IS NULL AND Y."&amp;F286&amp;"_SIMUL IS NOT NULL ) OR (X."&amp;F286&amp;" IS NOT NULL AND Y."&amp;F286&amp;"_SIMUL IS NULL),1,0)) AS NUM_REG_DIF,'"&amp;MAX('ID1&amp;5'!L:L)+1&amp;"' AS ID_EXEC, CURRENT_TIMESTAMP() AS TIME_EXEC FROM "&amp;I286&amp;" INNER JOIN "&amp;J286&amp;" "&amp;K286),
IF(C286="Validade",+IF(G286="Code List","SELECT '"&amp;UPPER(B286)&amp;"' AS TABELA, '"&amp;UPPER(C286)&amp;"' AS TIPOLOGIA_TESTE,'"&amp;D286&amp;"' AS TABELA_LT,'N/A' AS TABELA_SIMUL,'"&amp;F286&amp;"' AS CAMPO, "&amp;"'${ref_date}' AS REF_DATE, COUNT(*) AS NUM_REG, SUM(IF(TRIM(CAST(X."&amp;F286&amp;" AS STRING))='' OR TRIM(CAST(X."&amp;F286&amp;" AS STRING)) IS NULL OR CAST(X."&amp;F286&amp;" AS STRING) NOT "&amp;H286&amp;",1,0)) AS NUM_REG_DIF,'"&amp;MAX('ID1&amp;5'!K:K)+1&amp;"' AS ID_EXEC, CURRENT_TIMESTAMP() AS TIME_EXEC FROM "&amp;I286,"SELECT '"&amp;UPPER(B286)&amp;"' AS TABELA, '"&amp;UPPER(C286)&amp;"' AS TIPOLOGIA_TESTE,'"&amp;D286&amp;"' AS TABELA_LT,'N/A' AS TABELA_SIMUL,'"&amp;F286&amp;"' AS CAMPO, "&amp;"'${ref_date}' AS REF_DATE, COUNT(*) AS NUM_REG, SUM(IF(TRIM(CAST(X."&amp;F286&amp;" AS STRING))='' OR TRIM(CAST(X."&amp;F286&amp;" AS STRING)) IS NULL,1,0)) AS NUM_REG_DIF,'"&amp;MAX('ID1&amp;5'!K:K)+1&amp;"' AS ID_EXEC, CURRENT_TIMESTAMP() AS TIME_EXEC FROM "&amp;I286),
IF(C286="Caracteres Especiais",+"SELECT '"&amp;UPPER(B286)&amp;"' AS TABELA, '"&amp;UPPER(C286)&amp;"' AS TIPOLOGIA_TESTE,'"&amp;D286&amp;"' AS TABELA_LT,'N/A' AS TABELA_SIMUL,'"&amp;F286&amp;"' AS CAMPO, "&amp;"'${ref_date}' AS REF_DATE, COUNT(*) AS NUM_REG, SUM(IF(REGEXP_REPLACE(TRIM(CAST(X."&amp;F286&amp;" AS STRING)),'[^a-zA-Z0-9_\\s]','') &lt;&gt;TRIM(CAST(X."&amp;F286&amp;" AS STRING)),1,0)) AS NUM_REG_DIF,'"&amp;MAX('ID1&amp;5'!K:K)+1&amp;"' AS ID_EXEC, CURRENT_TIMESTAMP() AS TIME_EXEC FROM "&amp;I286,
IF(C286="Missings",+"SELECT '"&amp;UPPER(B286)&amp;"' AS TABELA, '"&amp;UPPER(C286)&amp;"' AS TIPOLOGIA_TESTE,'"&amp;D286&amp;"' AS TABELA_LT,'N/A' AS TABELA_SIMUL,'"&amp;F286&amp;"' AS CAMPO, "&amp;"'${ref_date}' AS REF_DATE, COUNT(*) AS NUM_REG, SUM(IF(TRIM(CAST(X."&amp;F286&amp;" AS STRING)) IN ('0000-00-00','0001-01-01','9999-12-31','MISS','00000','99999999999','99999999999.00','99999999999.000000'),1,0)) AS NUM_REG_DIF,'"&amp;MAX('ID1&amp;5'!K:K)+1&amp;"' AS ID_EXEC, CURRENT_TIMESTAMP() AS TIME_EXEC FROM "&amp;I286,
IF(C286="Not applicable",+"SELECT '"&amp;UPPER(B286)&amp;"' AS TABELA, '"&amp;UPPER(C286)&amp;"' AS TIPOLOGIA_TESTE,'"&amp;D286&amp;"' AS TABELA_LT,'N/A' AS TABELA_SIMUL,'"&amp;F286&amp;"' AS CAMPO, "&amp;"'${ref_date}' AS REF_DATE, COUNT(*) AS NUM_REG, SUM(IF(TRIM(CAST(X."&amp;F286&amp;" AS STRING)) IN ('N/A','11111111111','11111111111.00','11111111111.000000','1111-11-11'),1,0)) AS NUM_REG_DIF,'"&amp;MAX('ID1&amp;5'!K:K)+1&amp;"' AS ID_EXEC, CURRENT_TIMESTAMP() AS TIME_EXEC FROM "&amp;I286,
IF(C286="Valores extremos",+"SELECT '"&amp;UPPER(B286)&amp;"' AS TABELA, '"&amp;UPPER(C286)&amp;"' AS TIPOLOGIA_TESTE,'"&amp;D286&amp;"' AS TABELA_LT,'N/A' AS TABELA_SIMUL,'"&amp;F286&amp;"' AS CAMPO, "&amp;"'${ref_date}' AS REF_DATE, CAST(MIN("&amp;F286&amp;") AS STRING) AS VALOR_MIN, CAST(MAX("&amp;F286&amp;") AS STRING) AS VALOR_MAX,'"&amp;MAX('ID1&amp;5'!K:K)+1&amp;"' AS ID_EXEC, CURRENT_TIMESTAMP() AS TIME_EXEC FROM "&amp;MID(I286,1,LEN(I286)-2)&amp;" AND CAST("&amp;F286&amp;"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TABELA_SIMUL,'LCR_BFFR_CTGRY' AS CAMPO, '${ref_date}' AS REF_DATE, COUNT(*) AS NUM_REG, SUM(IF(COALESCE(CAST(X.LCR_BFFR_CTGRY AS STRING),'')&lt;&gt;COALESCE(CAST(Y.LCR_BFFR_CTGRY_SIMUL AS STRING),'') OR (X.LCR_BFFR_CTGRY IS NULL AND Y.LCR_BFFR_CTGRY_SIMUL IS NOT NULL ) OR (X.LCR_BFFR_CTGRY IS NOT NULL AND Y.LCR_BFFR_CTGRY_SIMUL IS NULL),1,0)) AS NUM_REG_DIF,'1' AS ID_EXEC, CURRENT_TIMESTAMP() AS TIME_EXEC FROM (SELECT instrmnt_id, LCR_BFFR_CTGRY FROM CD_LOAN_TAPES_BCE.LT002_INSTRUMENT WHERE ref_date='${ref_date}' AND nome_perimetro='Individual Corporativo' AND segmento='ESTR' AND ambito='PM' AND entidade='00100')X INNER JOIN (SELECT instrmnt_id AS instrmnt_id_SIMUL, LCR_BFFR_CTGRY AS LCR_BFFR_CTGRY_SIMUL FROM BU_LOANTAPE_WORK.LT002_INSTRUMENT WHERE ref_date='${ref_date}' AND nome_perimetro='Individual Corporativo' AND segmento='ESTR' AND ambito='PM' AND entidade='00100')Y ON X.INSTRMNT_ID=Y.INSTRMNT_ID_SIMUL</v>
      </c>
      <c r="M286" s="36" t="str">
        <f t="shared" si="4"/>
        <v>UNION ALL SELECT 'INSTRUMENT' AS TABELA, 'COERÊNCIA' AS TIPOLOGIA_TESTE,'CD_LOAN_TAPES_BCE.LT002_INSTRUMENT' AS TABELA_LT,'BU_LOANTAPE_WORK.LT002_INSTRUMENT' AS TABELA_SIMUL,'LCR_BFFR_CTGRY' AS CAMPO, '${ref_date}' AS REF_DATE, COUNT(*) AS NUM_REG, SUM(IF(COALESCE(CAST(X.LCR_BFFR_CTGRY AS STRING),'')&lt;&gt;COALESCE(CAST(Y.LCR_BFFR_CTGRY_SIMUL AS STRING),'') OR (X.LCR_BFFR_CTGRY IS NULL AND Y.LCR_BFFR_CTGRY_SIMUL IS NOT NULL ) OR (X.LCR_BFFR_CTGRY IS NOT NULL AND Y.LCR_BFFR_CTGRY_SIMUL IS NULL),1,0)) AS NUM_REG_DIF,'1' AS ID_EXEC, CURRENT_TIMESTAMP() AS TIME_EXEC FROM (SELECT instrmnt_id, LCR_BFFR_CTGRY FROM CD_LOAN_TAPES_BCE.LT002_INSTRUMENT WHERE ref_date='${ref_date}' AND nome_perimetro='Individual Corporativo' AND segmento='ESTR' AND ambito='PM' AND entidade='00100')X INNER JOIN (SELECT instrmnt_id AS instrmnt_id_SIMUL, LCR_BFFR_CTGRY AS LCR_BFFR_CTGRY_SIMUL FROM BU_LOANTAPE_WORK.LT002_INSTRUMENT WHERE ref_date='${ref_date}' AND nome_perimetro='Individual Corporativo' AND segmento='ESTR' AND ambito='PM' AND entidade='00100')Y ON X.INSTRMNT_ID=Y.INSTRMNT_ID_SIMUL</v>
      </c>
      <c r="N286" s="38" t="s">
        <v>46</v>
      </c>
    </row>
    <row r="287" spans="2:14" hidden="1">
      <c r="B287" s="34" t="s">
        <v>126</v>
      </c>
      <c r="C287" s="34" t="s">
        <v>5</v>
      </c>
      <c r="D287" s="34" t="str">
        <f>+UPPER('0. Instruções'!$D$35&amp;"."&amp;VLOOKUP(B287,'0. Instruções'!$C$27:$D$32,2,FALSE))</f>
        <v>CD_LOAN_TAPES_BCE.LT002_INSTRUMENT</v>
      </c>
      <c r="E287" s="34" t="str">
        <f>+UPPER('0. Instruções'!$D$36&amp;"."&amp;VLOOKUP(B287,'0. Instruções'!$C$27:$E$32,3,FALSE))</f>
        <v>BU_LOANTAPE_WORK.LT002_INSTRUMENT</v>
      </c>
      <c r="F287" s="34" t="s">
        <v>567</v>
      </c>
      <c r="G287" s="34"/>
      <c r="H287" s="34" t="s">
        <v>648</v>
      </c>
      <c r="I287" s="34" t="str">
        <f>"(SELECT "&amp;VLOOKUP(B287,'0. Instruções'!$C$27:$G$32,4,FALSE)&amp;", "&amp;F287&amp;" FROM "&amp;D287&amp;" WHERE "&amp;'0. Instruções'!$D$42&amp;")X"</f>
        <v>(SELECT instrmnt_id, PRCH_UNDR_RSL_AGR FROM CD_LOAN_TAPES_BCE.LT002_INSTRUMENT WHERE ref_date='${ref_date}' AND nome_perimetro='Individual Corporativo' AND segmento='ESTR' AND ambito='PM' AND entidade='00100')X</v>
      </c>
      <c r="J287" s="34" t="str">
        <f>"(SELECT "&amp;VLOOKUP(B287,'0. Instruções'!$C$27:$G$32,4,FALSE)&amp;" AS "&amp;VLOOKUP(B287,'0. Instruções'!$C$27:$G$32,4,FALSE)&amp;"_SIMUL, "&amp;F287&amp;" AS "&amp;F287&amp;"_SIMUL FROM "&amp;E287&amp;" WHERE "&amp;'0. Instruções'!$D$43&amp;")Y"</f>
        <v>(SELECT instrmnt_id AS instrmnt_id_SIMUL, PRCH_UNDR_RSL_AGR AS PRCH_UNDR_RSL_AGR_SIMUL FROM BU_LOANTAPE_WORK.LT002_INSTRUMENT WHERE ref_date='${ref_date}' AND nome_perimetro='Individual Corporativo' AND segmento='ESTR' AND ambito='PM' AND entidade='00100')Y</v>
      </c>
      <c r="K287" s="35" t="str">
        <f>+UPPER("ON X."&amp;VLOOKUP(B287,'0. Instruções'!$C$27:$G$32,4,FALSE)&amp;"=Y."&amp;VLOOKUP(B287,'0. Instruções'!$C$27:$G$32,4,FALSE)&amp;"_SIMUL")</f>
        <v>ON X.INSTRMNT_ID=Y.INSTRMNT_ID_SIMUL</v>
      </c>
      <c r="L287" s="35" t="str">
        <f>+IF(C287="Coerência", +IF(LEFT(G287,5)="FLOAT","SELECT '"&amp;UPPER(B287)&amp;"' AS TABELA, '"&amp;UPPER(C287)&amp;"' AS TIPOLOGIA_TESTE,'"&amp;D287&amp;"' AS TABELA_LT,'"&amp;E287&amp;"' AS TABELA_SIMUL,'"&amp;F287&amp;"' AS CAMPO, "&amp;"'${ref_date}' AS REF_DATE, COUNT(*) AS NUM_REG, SUM(IF((ABS(COALESCE(CAST(X."&amp;F287&amp;" AS DECIMAL(18,6)),0)-COALESCE(CAST(Y."&amp;F287&amp;"_SIMUL AS DECIMAL(18,6)),0))&gt;0.000001) OR (X."&amp;F287&amp;" IS NULL AND Y."&amp;F287&amp;"_SIMUL IS NOT NULL ) OR (X."&amp;F287&amp;" IS NOT NULL AND Y."&amp;F287&amp;"_SIMUL IS NULL),1,0)) AS NUM_REG_DIF,'"&amp;MAX('ID1&amp;5'!K:K)+1&amp;"' AS ID_EXEC, CURRENT_TIMESTAMP() AS TIME_EXEC FROM "&amp;I287&amp;" INNER JOIN "&amp;J287&amp;" "&amp;K287,"SELECT '"&amp;UPPER(B287)&amp;"' AS TABELA, '"&amp;UPPER(C287)&amp;"' AS TIPOLOGIA_TESTE,'"&amp;D287&amp;"' AS TABELA_LT,'"&amp;E287&amp;"' AS TABELA_SIMUL,'"&amp;F287&amp;"' AS CAMPO, "&amp;"'${ref_date}' AS REF_DATE, COUNT(*) AS NUM_REG, SUM(IF(COALESCE(CAST(X."&amp;F287&amp;" AS STRING),'')&lt;&gt;COALESCE(CAST(Y."&amp;F287&amp;"_SIMUL AS STRING),'') OR (X."&amp;F287&amp;" IS NULL AND Y."&amp;F287&amp;"_SIMUL IS NOT NULL ) OR (X."&amp;F287&amp;" IS NOT NULL AND Y."&amp;F287&amp;"_SIMUL IS NULL),1,0)) AS NUM_REG_DIF,'"&amp;MAX('ID1&amp;5'!L:L)+1&amp;"' AS ID_EXEC, CURRENT_TIMESTAMP() AS TIME_EXEC FROM "&amp;I287&amp;" INNER JOIN "&amp;J287&amp;" "&amp;K287),
IF(C287="Validade",+IF(G287="Code List","SELECT '"&amp;UPPER(B287)&amp;"' AS TABELA, '"&amp;UPPER(C287)&amp;"' AS TIPOLOGIA_TESTE,'"&amp;D287&amp;"' AS TABELA_LT,'N/A' AS TABELA_SIMUL,'"&amp;F287&amp;"' AS CAMPO, "&amp;"'${ref_date}' AS REF_DATE, COUNT(*) AS NUM_REG, SUM(IF(TRIM(CAST(X."&amp;F287&amp;" AS STRING))='' OR TRIM(CAST(X."&amp;F287&amp;" AS STRING)) IS NULL OR CAST(X."&amp;F287&amp;" AS STRING) NOT "&amp;H287&amp;",1,0)) AS NUM_REG_DIF,'"&amp;MAX('ID1&amp;5'!K:K)+1&amp;"' AS ID_EXEC, CURRENT_TIMESTAMP() AS TIME_EXEC FROM "&amp;I287,"SELECT '"&amp;UPPER(B287)&amp;"' AS TABELA, '"&amp;UPPER(C287)&amp;"' AS TIPOLOGIA_TESTE,'"&amp;D287&amp;"' AS TABELA_LT,'N/A' AS TABELA_SIMUL,'"&amp;F287&amp;"' AS CAMPO, "&amp;"'${ref_date}' AS REF_DATE, COUNT(*) AS NUM_REG, SUM(IF(TRIM(CAST(X."&amp;F287&amp;" AS STRING))='' OR TRIM(CAST(X."&amp;F287&amp;" AS STRING)) IS NULL,1,0)) AS NUM_REG_DIF,'"&amp;MAX('ID1&amp;5'!K:K)+1&amp;"' AS ID_EXEC, CURRENT_TIMESTAMP() AS TIME_EXEC FROM "&amp;I287),
IF(C287="Caracteres Especiais",+"SELECT '"&amp;UPPER(B287)&amp;"' AS TABELA, '"&amp;UPPER(C287)&amp;"' AS TIPOLOGIA_TESTE,'"&amp;D287&amp;"' AS TABELA_LT,'N/A' AS TABELA_SIMUL,'"&amp;F287&amp;"' AS CAMPO, "&amp;"'${ref_date}' AS REF_DATE, COUNT(*) AS NUM_REG, SUM(IF(REGEXP_REPLACE(TRIM(CAST(X."&amp;F287&amp;" AS STRING)),'[^a-zA-Z0-9_\\s]','') &lt;&gt;TRIM(CAST(X."&amp;F287&amp;" AS STRING)),1,0)) AS NUM_REG_DIF,'"&amp;MAX('ID1&amp;5'!K:K)+1&amp;"' AS ID_EXEC, CURRENT_TIMESTAMP() AS TIME_EXEC FROM "&amp;I287,
IF(C287="Missings",+"SELECT '"&amp;UPPER(B287)&amp;"' AS TABELA, '"&amp;UPPER(C287)&amp;"' AS TIPOLOGIA_TESTE,'"&amp;D287&amp;"' AS TABELA_LT,'N/A' AS TABELA_SIMUL,'"&amp;F287&amp;"' AS CAMPO, "&amp;"'${ref_date}' AS REF_DATE, COUNT(*) AS NUM_REG, SUM(IF(TRIM(CAST(X."&amp;F287&amp;" AS STRING)) IN ('0000-00-00','0001-01-01','9999-12-31','MISS','00000','99999999999','99999999999.00','99999999999.000000'),1,0)) AS NUM_REG_DIF,'"&amp;MAX('ID1&amp;5'!K:K)+1&amp;"' AS ID_EXEC, CURRENT_TIMESTAMP() AS TIME_EXEC FROM "&amp;I287,
IF(C287="Not applicable",+"SELECT '"&amp;UPPER(B287)&amp;"' AS TABELA, '"&amp;UPPER(C287)&amp;"' AS TIPOLOGIA_TESTE,'"&amp;D287&amp;"' AS TABELA_LT,'N/A' AS TABELA_SIMUL,'"&amp;F287&amp;"' AS CAMPO, "&amp;"'${ref_date}' AS REF_DATE, COUNT(*) AS NUM_REG, SUM(IF(TRIM(CAST(X."&amp;F287&amp;" AS STRING)) IN ('N/A','11111111111','11111111111.00','11111111111.000000','1111-11-11'),1,0)) AS NUM_REG_DIF,'"&amp;MAX('ID1&amp;5'!K:K)+1&amp;"' AS ID_EXEC, CURRENT_TIMESTAMP() AS TIME_EXEC FROM "&amp;I287,
IF(C287="Valores extremos",+"SELECT '"&amp;UPPER(B287)&amp;"' AS TABELA, '"&amp;UPPER(C287)&amp;"' AS TIPOLOGIA_TESTE,'"&amp;D287&amp;"' AS TABELA_LT,'N/A' AS TABELA_SIMUL,'"&amp;F287&amp;"' AS CAMPO, "&amp;"'${ref_date}' AS REF_DATE, CAST(MIN("&amp;F287&amp;") AS STRING) AS VALOR_MIN, CAST(MAX("&amp;F287&amp;") AS STRING) AS VALOR_MAX,'"&amp;MAX('ID1&amp;5'!K:K)+1&amp;"' AS ID_EXEC, CURRENT_TIMESTAMP() AS TIME_EXEC FROM "&amp;MID(I287,1,LEN(I287)-2)&amp;" AND CAST("&amp;F287&amp;"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TABELA_SIMUL,'PRCH_UNDR_RSL_AGR' AS CAMPO, '${ref_date}' AS REF_DATE, COUNT(*) AS NUM_REG, SUM(IF(COALESCE(CAST(X.PRCH_UNDR_RSL_AGR AS STRING),'')&lt;&gt;COALESCE(CAST(Y.PRCH_UNDR_RSL_AGR_SIMUL AS STRING),'') OR (X.PRCH_UNDR_RSL_AGR IS NULL AND Y.PRCH_UNDR_RSL_AGR_SIMUL IS NOT NULL ) OR (X.PRCH_UNDR_RSL_AGR IS NOT NULL AND Y.PRCH_UNDR_RSL_AGR_SIMUL IS NULL),1,0)) AS NUM_REG_DIF,'1' AS ID_EXEC, CURRENT_TIMESTAMP() AS TIME_EXEC FROM (SELECT instrmnt_id, PRCH_UNDR_RSL_AGR FROM CD_LOAN_TAPES_BCE.LT002_INSTRUMENT WHERE ref_date='${ref_date}' AND nome_perimetro='Individual Corporativo' AND segmento='ESTR' AND ambito='PM' AND entidade='00100')X INNER JOIN (SELECT instrmnt_id AS instrmnt_id_SIMUL, PRCH_UNDR_RSL_AGR AS PRCH_UNDR_RSL_AGR_SIMUL FROM BU_LOANTAPE_WORK.LT002_INSTRUMENT WHERE ref_date='${ref_date}' AND nome_perimetro='Individual Corporativo' AND segmento='ESTR' AND ambito='PM' AND entidade='00100')Y ON X.INSTRMNT_ID=Y.INSTRMNT_ID_SIMUL</v>
      </c>
      <c r="M287" s="36" t="str">
        <f t="shared" si="4"/>
        <v>UNION ALL SELECT 'INSTRUMENT' AS TABELA, 'COERÊNCIA' AS TIPOLOGIA_TESTE,'CD_LOAN_TAPES_BCE.LT002_INSTRUMENT' AS TABELA_LT,'BU_LOANTAPE_WORK.LT002_INSTRUMENT' AS TABELA_SIMUL,'PRCH_UNDR_RSL_AGR' AS CAMPO, '${ref_date}' AS REF_DATE, COUNT(*) AS NUM_REG, SUM(IF(COALESCE(CAST(X.PRCH_UNDR_RSL_AGR AS STRING),'')&lt;&gt;COALESCE(CAST(Y.PRCH_UNDR_RSL_AGR_SIMUL AS STRING),'') OR (X.PRCH_UNDR_RSL_AGR IS NULL AND Y.PRCH_UNDR_RSL_AGR_SIMUL IS NOT NULL ) OR (X.PRCH_UNDR_RSL_AGR IS NOT NULL AND Y.PRCH_UNDR_RSL_AGR_SIMUL IS NULL),1,0)) AS NUM_REG_DIF,'1' AS ID_EXEC, CURRENT_TIMESTAMP() AS TIME_EXEC FROM (SELECT instrmnt_id, PRCH_UNDR_RSL_AGR FROM CD_LOAN_TAPES_BCE.LT002_INSTRUMENT WHERE ref_date='${ref_date}' AND nome_perimetro='Individual Corporativo' AND segmento='ESTR' AND ambito='PM' AND entidade='00100')X INNER JOIN (SELECT instrmnt_id AS instrmnt_id_SIMUL, PRCH_UNDR_RSL_AGR AS PRCH_UNDR_RSL_AGR_SIMUL FROM BU_LOANTAPE_WORK.LT002_INSTRUMENT WHERE ref_date='${ref_date}' AND nome_perimetro='Individual Corporativo' AND segmento='ESTR' AND ambito='PM' AND entidade='00100')Y ON X.INSTRMNT_ID=Y.INSTRMNT_ID_SIMUL</v>
      </c>
      <c r="N287" s="38" t="s">
        <v>46</v>
      </c>
    </row>
    <row r="288" spans="2:14" hidden="1">
      <c r="B288" s="34" t="s">
        <v>126</v>
      </c>
      <c r="C288" s="34" t="s">
        <v>5</v>
      </c>
      <c r="D288" s="34" t="str">
        <f>+UPPER('0. Instruções'!$D$35&amp;"."&amp;VLOOKUP(B288,'0. Instruções'!$C$27:$D$32,2,FALSE))</f>
        <v>CD_LOAN_TAPES_BCE.LT002_INSTRUMENT</v>
      </c>
      <c r="E288" s="34" t="str">
        <f>+UPPER('0. Instruções'!$D$36&amp;"."&amp;VLOOKUP(B288,'0. Instruções'!$C$27:$E$32,3,FALSE))</f>
        <v>BU_LOANTAPE_WORK.LT002_INSTRUMENT</v>
      </c>
      <c r="F288" s="34" t="s">
        <v>568</v>
      </c>
      <c r="G288" s="34"/>
      <c r="H288" s="34" t="s">
        <v>89</v>
      </c>
      <c r="I288" s="34" t="str">
        <f>"(SELECT "&amp;VLOOKUP(B288,'0. Instruções'!$C$27:$G$32,4,FALSE)&amp;", "&amp;F288&amp;" FROM "&amp;D288&amp;" WHERE "&amp;'0. Instruções'!$D$42&amp;")X"</f>
        <v>(SELECT instrmnt_id, PRDNTL_PRTFL FROM CD_LOAN_TAPES_BCE.LT002_INSTRUMENT WHERE ref_date='${ref_date}' AND nome_perimetro='Individual Corporativo' AND segmento='ESTR' AND ambito='PM' AND entidade='00100')X</v>
      </c>
      <c r="J288" s="34" t="str">
        <f>"(SELECT "&amp;VLOOKUP(B288,'0. Instruções'!$C$27:$G$32,4,FALSE)&amp;" AS "&amp;VLOOKUP(B288,'0. Instruções'!$C$27:$G$32,4,FALSE)&amp;"_SIMUL, "&amp;F288&amp;" AS "&amp;F288&amp;"_SIMUL FROM "&amp;E288&amp;" WHERE "&amp;'0. Instruções'!$D$43&amp;")Y"</f>
        <v>(SELECT instrmnt_id AS instrmnt_id_SIMUL, PRDNTL_PRTFL AS PRDNTL_PRTFL_SIMUL FROM BU_LOANTAPE_WORK.LT002_INSTRUMENT WHERE ref_date='${ref_date}' AND nome_perimetro='Individual Corporativo' AND segmento='ESTR' AND ambito='PM' AND entidade='00100')Y</v>
      </c>
      <c r="K288" s="35" t="str">
        <f>+UPPER("ON X."&amp;VLOOKUP(B288,'0. Instruções'!$C$27:$G$32,4,FALSE)&amp;"=Y."&amp;VLOOKUP(B288,'0. Instruções'!$C$27:$G$32,4,FALSE)&amp;"_SIMUL")</f>
        <v>ON X.INSTRMNT_ID=Y.INSTRMNT_ID_SIMUL</v>
      </c>
      <c r="L288" s="35" t="str">
        <f>+IF(C288="Coerência", +IF(LEFT(G288,5)="FLOAT","SELECT '"&amp;UPPER(B288)&amp;"' AS TABELA, '"&amp;UPPER(C288)&amp;"' AS TIPOLOGIA_TESTE,'"&amp;D288&amp;"' AS TABELA_LT,'"&amp;E288&amp;"' AS TABELA_SIMUL,'"&amp;F288&amp;"' AS CAMPO, "&amp;"'${ref_date}' AS REF_DATE, COUNT(*) AS NUM_REG, SUM(IF((ABS(COALESCE(CAST(X."&amp;F288&amp;" AS DECIMAL(18,6)),0)-COALESCE(CAST(Y."&amp;F288&amp;"_SIMUL AS DECIMAL(18,6)),0))&gt;0.000001) OR (X."&amp;F288&amp;" IS NULL AND Y."&amp;F288&amp;"_SIMUL IS NOT NULL ) OR (X."&amp;F288&amp;" IS NOT NULL AND Y."&amp;F288&amp;"_SIMUL IS NULL),1,0)) AS NUM_REG_DIF,'"&amp;MAX('ID1&amp;5'!K:K)+1&amp;"' AS ID_EXEC, CURRENT_TIMESTAMP() AS TIME_EXEC FROM "&amp;I288&amp;" INNER JOIN "&amp;J288&amp;" "&amp;K288,"SELECT '"&amp;UPPER(B288)&amp;"' AS TABELA, '"&amp;UPPER(C288)&amp;"' AS TIPOLOGIA_TESTE,'"&amp;D288&amp;"' AS TABELA_LT,'"&amp;E288&amp;"' AS TABELA_SIMUL,'"&amp;F288&amp;"' AS CAMPO, "&amp;"'${ref_date}' AS REF_DATE, COUNT(*) AS NUM_REG, SUM(IF(COALESCE(CAST(X."&amp;F288&amp;" AS STRING),'')&lt;&gt;COALESCE(CAST(Y."&amp;F288&amp;"_SIMUL AS STRING),'') OR (X."&amp;F288&amp;" IS NULL AND Y."&amp;F288&amp;"_SIMUL IS NOT NULL ) OR (X."&amp;F288&amp;" IS NOT NULL AND Y."&amp;F288&amp;"_SIMUL IS NULL),1,0)) AS NUM_REG_DIF,'"&amp;MAX('ID1&amp;5'!L:L)+1&amp;"' AS ID_EXEC, CURRENT_TIMESTAMP() AS TIME_EXEC FROM "&amp;I288&amp;" INNER JOIN "&amp;J288&amp;" "&amp;K288),
IF(C288="Validade",+IF(G288="Code List","SELECT '"&amp;UPPER(B288)&amp;"' AS TABELA, '"&amp;UPPER(C288)&amp;"' AS TIPOLOGIA_TESTE,'"&amp;D288&amp;"' AS TABELA_LT,'N/A' AS TABELA_SIMUL,'"&amp;F288&amp;"' AS CAMPO, "&amp;"'${ref_date}' AS REF_DATE, COUNT(*) AS NUM_REG, SUM(IF(TRIM(CAST(X."&amp;F288&amp;" AS STRING))='' OR TRIM(CAST(X."&amp;F288&amp;" AS STRING)) IS NULL OR CAST(X."&amp;F288&amp;" AS STRING) NOT "&amp;H288&amp;",1,0)) AS NUM_REG_DIF,'"&amp;MAX('ID1&amp;5'!K:K)+1&amp;"' AS ID_EXEC, CURRENT_TIMESTAMP() AS TIME_EXEC FROM "&amp;I288,"SELECT '"&amp;UPPER(B288)&amp;"' AS TABELA, '"&amp;UPPER(C288)&amp;"' AS TIPOLOGIA_TESTE,'"&amp;D288&amp;"' AS TABELA_LT,'N/A' AS TABELA_SIMUL,'"&amp;F288&amp;"' AS CAMPO, "&amp;"'${ref_date}' AS REF_DATE, COUNT(*) AS NUM_REG, SUM(IF(TRIM(CAST(X."&amp;F288&amp;" AS STRING))='' OR TRIM(CAST(X."&amp;F288&amp;" AS STRING)) IS NULL,1,0)) AS NUM_REG_DIF,'"&amp;MAX('ID1&amp;5'!K:K)+1&amp;"' AS ID_EXEC, CURRENT_TIMESTAMP() AS TIME_EXEC FROM "&amp;I288),
IF(C288="Caracteres Especiais",+"SELECT '"&amp;UPPER(B288)&amp;"' AS TABELA, '"&amp;UPPER(C288)&amp;"' AS TIPOLOGIA_TESTE,'"&amp;D288&amp;"' AS TABELA_LT,'N/A' AS TABELA_SIMUL,'"&amp;F288&amp;"' AS CAMPO, "&amp;"'${ref_date}' AS REF_DATE, COUNT(*) AS NUM_REG, SUM(IF(REGEXP_REPLACE(TRIM(CAST(X."&amp;F288&amp;" AS STRING)),'[^a-zA-Z0-9_\\s]','') &lt;&gt;TRIM(CAST(X."&amp;F288&amp;" AS STRING)),1,0)) AS NUM_REG_DIF,'"&amp;MAX('ID1&amp;5'!K:K)+1&amp;"' AS ID_EXEC, CURRENT_TIMESTAMP() AS TIME_EXEC FROM "&amp;I288,
IF(C288="Missings",+"SELECT '"&amp;UPPER(B288)&amp;"' AS TABELA, '"&amp;UPPER(C288)&amp;"' AS TIPOLOGIA_TESTE,'"&amp;D288&amp;"' AS TABELA_LT,'N/A' AS TABELA_SIMUL,'"&amp;F288&amp;"' AS CAMPO, "&amp;"'${ref_date}' AS REF_DATE, COUNT(*) AS NUM_REG, SUM(IF(TRIM(CAST(X."&amp;F288&amp;" AS STRING)) IN ('0000-00-00','0001-01-01','9999-12-31','MISS','00000','99999999999','99999999999.00','99999999999.000000'),1,0)) AS NUM_REG_DIF,'"&amp;MAX('ID1&amp;5'!K:K)+1&amp;"' AS ID_EXEC, CURRENT_TIMESTAMP() AS TIME_EXEC FROM "&amp;I288,
IF(C288="Not applicable",+"SELECT '"&amp;UPPER(B288)&amp;"' AS TABELA, '"&amp;UPPER(C288)&amp;"' AS TIPOLOGIA_TESTE,'"&amp;D288&amp;"' AS TABELA_LT,'N/A' AS TABELA_SIMUL,'"&amp;F288&amp;"' AS CAMPO, "&amp;"'${ref_date}' AS REF_DATE, COUNT(*) AS NUM_REG, SUM(IF(TRIM(CAST(X."&amp;F288&amp;" AS STRING)) IN ('N/A','11111111111','11111111111.00','11111111111.000000','1111-11-11'),1,0)) AS NUM_REG_DIF,'"&amp;MAX('ID1&amp;5'!K:K)+1&amp;"' AS ID_EXEC, CURRENT_TIMESTAMP() AS TIME_EXEC FROM "&amp;I288,
IF(C288="Valores extremos",+"SELECT '"&amp;UPPER(B288)&amp;"' AS TABELA, '"&amp;UPPER(C288)&amp;"' AS TIPOLOGIA_TESTE,'"&amp;D288&amp;"' AS TABELA_LT,'N/A' AS TABELA_SIMUL,'"&amp;F288&amp;"' AS CAMPO, "&amp;"'${ref_date}' AS REF_DATE, CAST(MIN("&amp;F288&amp;") AS STRING) AS VALOR_MIN, CAST(MAX("&amp;F288&amp;") AS STRING) AS VALOR_MAX,'"&amp;MAX('ID1&amp;5'!K:K)+1&amp;"' AS ID_EXEC, CURRENT_TIMESTAMP() AS TIME_EXEC FROM "&amp;MID(I288,1,LEN(I288)-2)&amp;" AND CAST("&amp;F288&amp;"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TABELA_SIMUL,'PRDNTL_PRTFL' AS CAMPO, '${ref_date}' AS REF_DATE, COUNT(*) AS NUM_REG, SUM(IF(COALESCE(CAST(X.PRDNTL_PRTFL AS STRING),'')&lt;&gt;COALESCE(CAST(Y.PRDNTL_PRTFL_SIMUL AS STRING),'') OR (X.PRDNTL_PRTFL IS NULL AND Y.PRDNTL_PRTFL_SIMUL IS NOT NULL ) OR (X.PRDNTL_PRTFL IS NOT NULL AND Y.PRDNTL_PRTFL_SIMUL IS NULL),1,0)) AS NUM_REG_DIF,'1' AS ID_EXEC, CURRENT_TIMESTAMP() AS TIME_EXEC FROM (SELECT instrmnt_id, PRDNTL_PRTFL FROM CD_LOAN_TAPES_BCE.LT002_INSTRUMENT WHERE ref_date='${ref_date}' AND nome_perimetro='Individual Corporativo' AND segmento='ESTR' AND ambito='PM' AND entidade='00100')X INNER JOIN (SELECT instrmnt_id AS instrmnt_id_SIMUL, PRDNTL_PRTFL AS PRDNTL_PRTFL_SIMUL FROM BU_LOANTAPE_WORK.LT002_INSTRUMENT WHERE ref_date='${ref_date}' AND nome_perimetro='Individual Corporativo' AND segmento='ESTR' AND ambito='PM' AND entidade='00100')Y ON X.INSTRMNT_ID=Y.INSTRMNT_ID_SIMUL</v>
      </c>
      <c r="M288" s="36" t="str">
        <f t="shared" si="4"/>
        <v>UNION ALL SELECT 'INSTRUMENT' AS TABELA, 'COERÊNCIA' AS TIPOLOGIA_TESTE,'CD_LOAN_TAPES_BCE.LT002_INSTRUMENT' AS TABELA_LT,'BU_LOANTAPE_WORK.LT002_INSTRUMENT' AS TABELA_SIMUL,'PRDNTL_PRTFL' AS CAMPO, '${ref_date}' AS REF_DATE, COUNT(*) AS NUM_REG, SUM(IF(COALESCE(CAST(X.PRDNTL_PRTFL AS STRING),'')&lt;&gt;COALESCE(CAST(Y.PRDNTL_PRTFL_SIMUL AS STRING),'') OR (X.PRDNTL_PRTFL IS NULL AND Y.PRDNTL_PRTFL_SIMUL IS NOT NULL ) OR (X.PRDNTL_PRTFL IS NOT NULL AND Y.PRDNTL_PRTFL_SIMUL IS NULL),1,0)) AS NUM_REG_DIF,'1' AS ID_EXEC, CURRENT_TIMESTAMP() AS TIME_EXEC FROM (SELECT instrmnt_id, PRDNTL_PRTFL FROM CD_LOAN_TAPES_BCE.LT002_INSTRUMENT WHERE ref_date='${ref_date}' AND nome_perimetro='Individual Corporativo' AND segmento='ESTR' AND ambito='PM' AND entidade='00100')X INNER JOIN (SELECT instrmnt_id AS instrmnt_id_SIMUL, PRDNTL_PRTFL AS PRDNTL_PRTFL_SIMUL FROM BU_LOANTAPE_WORK.LT002_INSTRUMENT WHERE ref_date='${ref_date}' AND nome_perimetro='Individual Corporativo' AND segmento='ESTR' AND ambito='PM' AND entidade='00100')Y ON X.INSTRMNT_ID=Y.INSTRMNT_ID_SIMUL</v>
      </c>
      <c r="N288" s="38" t="s">
        <v>46</v>
      </c>
    </row>
    <row r="289" spans="2:14" hidden="1">
      <c r="B289" s="34" t="s">
        <v>126</v>
      </c>
      <c r="C289" s="34" t="s">
        <v>5</v>
      </c>
      <c r="D289" s="34" t="str">
        <f>+UPPER('0. Instruções'!$D$35&amp;"."&amp;VLOOKUP(B289,'0. Instruções'!$C$27:$D$32,2,FALSE))</f>
        <v>CD_LOAN_TAPES_BCE.LT002_INSTRUMENT</v>
      </c>
      <c r="E289" s="34" t="str">
        <f>+UPPER('0. Instruções'!$D$36&amp;"."&amp;VLOOKUP(B289,'0. Instruções'!$C$27:$E$32,3,FALSE))</f>
        <v>BU_LOANTAPE_WORK.LT002_INSTRUMENT</v>
      </c>
      <c r="F289" s="34" t="s">
        <v>107</v>
      </c>
      <c r="G289" s="34"/>
      <c r="H289" s="34" t="s">
        <v>89</v>
      </c>
      <c r="I289" s="34" t="str">
        <f>"(SELECT "&amp;VLOOKUP(B289,'0. Instruções'!$C$27:$G$32,4,FALSE)&amp;", "&amp;F289&amp;" FROM "&amp;D289&amp;" WHERE "&amp;'0. Instruções'!$D$42&amp;")X"</f>
        <v>(SELECT instrmnt_id, PRMRY_ASST_CLSSF FROM CD_LOAN_TAPES_BCE.LT002_INSTRUMENT WHERE ref_date='${ref_date}' AND nome_perimetro='Individual Corporativo' AND segmento='ESTR' AND ambito='PM' AND entidade='00100')X</v>
      </c>
      <c r="J289" s="34" t="str">
        <f>"(SELECT "&amp;VLOOKUP(B289,'0. Instruções'!$C$27:$G$32,4,FALSE)&amp;" AS "&amp;VLOOKUP(B289,'0. Instruções'!$C$27:$G$32,4,FALSE)&amp;"_SIMUL, "&amp;F289&amp;" AS "&amp;F289&amp;"_SIMUL FROM "&amp;E289&amp;" WHERE "&amp;'0. Instruções'!$D$43&amp;")Y"</f>
        <v>(SELECT instrmnt_id AS instrmnt_id_SIMUL, PRMRY_ASST_CLSSF AS PRMRY_ASST_CLSSF_SIMUL FROM BU_LOANTAPE_WORK.LT002_INSTRUMENT WHERE ref_date='${ref_date}' AND nome_perimetro='Individual Corporativo' AND segmento='ESTR' AND ambito='PM' AND entidade='00100')Y</v>
      </c>
      <c r="K289" s="35" t="str">
        <f>+UPPER("ON X."&amp;VLOOKUP(B289,'0. Instruções'!$C$27:$G$32,4,FALSE)&amp;"=Y."&amp;VLOOKUP(B289,'0. Instruções'!$C$27:$G$32,4,FALSE)&amp;"_SIMUL")</f>
        <v>ON X.INSTRMNT_ID=Y.INSTRMNT_ID_SIMUL</v>
      </c>
      <c r="L289" s="35" t="str">
        <f>+IF(C289="Coerência", +IF(LEFT(G289,5)="FLOAT","SELECT '"&amp;UPPER(B289)&amp;"' AS TABELA, '"&amp;UPPER(C289)&amp;"' AS TIPOLOGIA_TESTE,'"&amp;D289&amp;"' AS TABELA_LT,'"&amp;E289&amp;"' AS TABELA_SIMUL,'"&amp;F289&amp;"' AS CAMPO, "&amp;"'${ref_date}' AS REF_DATE, COUNT(*) AS NUM_REG, SUM(IF((ABS(COALESCE(CAST(X."&amp;F289&amp;" AS DECIMAL(18,6)),0)-COALESCE(CAST(Y."&amp;F289&amp;"_SIMUL AS DECIMAL(18,6)),0))&gt;0.000001) OR (X."&amp;F289&amp;" IS NULL AND Y."&amp;F289&amp;"_SIMUL IS NOT NULL ) OR (X."&amp;F289&amp;" IS NOT NULL AND Y."&amp;F289&amp;"_SIMUL IS NULL),1,0)) AS NUM_REG_DIF,'"&amp;MAX('ID1&amp;5'!K:K)+1&amp;"' AS ID_EXEC, CURRENT_TIMESTAMP() AS TIME_EXEC FROM "&amp;I289&amp;" INNER JOIN "&amp;J289&amp;" "&amp;K289,"SELECT '"&amp;UPPER(B289)&amp;"' AS TABELA, '"&amp;UPPER(C289)&amp;"' AS TIPOLOGIA_TESTE,'"&amp;D289&amp;"' AS TABELA_LT,'"&amp;E289&amp;"' AS TABELA_SIMUL,'"&amp;F289&amp;"' AS CAMPO, "&amp;"'${ref_date}' AS REF_DATE, COUNT(*) AS NUM_REG, SUM(IF(COALESCE(CAST(X."&amp;F289&amp;" AS STRING),'')&lt;&gt;COALESCE(CAST(Y."&amp;F289&amp;"_SIMUL AS STRING),'') OR (X."&amp;F289&amp;" IS NULL AND Y."&amp;F289&amp;"_SIMUL IS NOT NULL ) OR (X."&amp;F289&amp;" IS NOT NULL AND Y."&amp;F289&amp;"_SIMUL IS NULL),1,0)) AS NUM_REG_DIF,'"&amp;MAX('ID1&amp;5'!L:L)+1&amp;"' AS ID_EXEC, CURRENT_TIMESTAMP() AS TIME_EXEC FROM "&amp;I289&amp;" INNER JOIN "&amp;J289&amp;" "&amp;K289),
IF(C289="Validade",+IF(G289="Code List","SELECT '"&amp;UPPER(B289)&amp;"' AS TABELA, '"&amp;UPPER(C289)&amp;"' AS TIPOLOGIA_TESTE,'"&amp;D289&amp;"' AS TABELA_LT,'N/A' AS TABELA_SIMUL,'"&amp;F289&amp;"' AS CAMPO, "&amp;"'${ref_date}' AS REF_DATE, COUNT(*) AS NUM_REG, SUM(IF(TRIM(CAST(X."&amp;F289&amp;" AS STRING))='' OR TRIM(CAST(X."&amp;F289&amp;" AS STRING)) IS NULL OR CAST(X."&amp;F289&amp;" AS STRING) NOT "&amp;H289&amp;",1,0)) AS NUM_REG_DIF,'"&amp;MAX('ID1&amp;5'!K:K)+1&amp;"' AS ID_EXEC, CURRENT_TIMESTAMP() AS TIME_EXEC FROM "&amp;I289,"SELECT '"&amp;UPPER(B289)&amp;"' AS TABELA, '"&amp;UPPER(C289)&amp;"' AS TIPOLOGIA_TESTE,'"&amp;D289&amp;"' AS TABELA_LT,'N/A' AS TABELA_SIMUL,'"&amp;F289&amp;"' AS CAMPO, "&amp;"'${ref_date}' AS REF_DATE, COUNT(*) AS NUM_REG, SUM(IF(TRIM(CAST(X."&amp;F289&amp;" AS STRING))='' OR TRIM(CAST(X."&amp;F289&amp;" AS STRING)) IS NULL,1,0)) AS NUM_REG_DIF,'"&amp;MAX('ID1&amp;5'!K:K)+1&amp;"' AS ID_EXEC, CURRENT_TIMESTAMP() AS TIME_EXEC FROM "&amp;I289),
IF(C289="Caracteres Especiais",+"SELECT '"&amp;UPPER(B289)&amp;"' AS TABELA, '"&amp;UPPER(C289)&amp;"' AS TIPOLOGIA_TESTE,'"&amp;D289&amp;"' AS TABELA_LT,'N/A' AS TABELA_SIMUL,'"&amp;F289&amp;"' AS CAMPO, "&amp;"'${ref_date}' AS REF_DATE, COUNT(*) AS NUM_REG, SUM(IF(REGEXP_REPLACE(TRIM(CAST(X."&amp;F289&amp;" AS STRING)),'[^a-zA-Z0-9_\\s]','') &lt;&gt;TRIM(CAST(X."&amp;F289&amp;" AS STRING)),1,0)) AS NUM_REG_DIF,'"&amp;MAX('ID1&amp;5'!K:K)+1&amp;"' AS ID_EXEC, CURRENT_TIMESTAMP() AS TIME_EXEC FROM "&amp;I289,
IF(C289="Missings",+"SELECT '"&amp;UPPER(B289)&amp;"' AS TABELA, '"&amp;UPPER(C289)&amp;"' AS TIPOLOGIA_TESTE,'"&amp;D289&amp;"' AS TABELA_LT,'N/A' AS TABELA_SIMUL,'"&amp;F289&amp;"' AS CAMPO, "&amp;"'${ref_date}' AS REF_DATE, COUNT(*) AS NUM_REG, SUM(IF(TRIM(CAST(X."&amp;F289&amp;" AS STRING)) IN ('0000-00-00','0001-01-01','9999-12-31','MISS','00000','99999999999','99999999999.00','99999999999.000000'),1,0)) AS NUM_REG_DIF,'"&amp;MAX('ID1&amp;5'!K:K)+1&amp;"' AS ID_EXEC, CURRENT_TIMESTAMP() AS TIME_EXEC FROM "&amp;I289,
IF(C289="Not applicable",+"SELECT '"&amp;UPPER(B289)&amp;"' AS TABELA, '"&amp;UPPER(C289)&amp;"' AS TIPOLOGIA_TESTE,'"&amp;D289&amp;"' AS TABELA_LT,'N/A' AS TABELA_SIMUL,'"&amp;F289&amp;"' AS CAMPO, "&amp;"'${ref_date}' AS REF_DATE, COUNT(*) AS NUM_REG, SUM(IF(TRIM(CAST(X."&amp;F289&amp;" AS STRING)) IN ('N/A','11111111111','11111111111.00','11111111111.000000','1111-11-11'),1,0)) AS NUM_REG_DIF,'"&amp;MAX('ID1&amp;5'!K:K)+1&amp;"' AS ID_EXEC, CURRENT_TIMESTAMP() AS TIME_EXEC FROM "&amp;I289,
IF(C289="Valores extremos",+"SELECT '"&amp;UPPER(B289)&amp;"' AS TABELA, '"&amp;UPPER(C289)&amp;"' AS TIPOLOGIA_TESTE,'"&amp;D289&amp;"' AS TABELA_LT,'N/A' AS TABELA_SIMUL,'"&amp;F289&amp;"' AS CAMPO, "&amp;"'${ref_date}' AS REF_DATE, CAST(MIN("&amp;F289&amp;") AS STRING) AS VALOR_MIN, CAST(MAX("&amp;F289&amp;") AS STRING) AS VALOR_MAX,'"&amp;MAX('ID1&amp;5'!K:K)+1&amp;"' AS ID_EXEC, CURRENT_TIMESTAMP() AS TIME_EXEC FROM "&amp;MID(I289,1,LEN(I289)-2)&amp;" AND CAST("&amp;F289&amp;"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TABELA_SIMUL,'PRMRY_ASST_CLSSF' AS CAMPO, '${ref_date}' AS REF_DATE, COUNT(*) AS NUM_REG, SUM(IF(COALESCE(CAST(X.PRMRY_ASST_CLSSF AS STRING),'')&lt;&gt;COALESCE(CAST(Y.PRMRY_ASST_CLSSF_SIMUL AS STRING),'') OR (X.PRMRY_ASST_CLSSF IS NULL AND Y.PRMRY_ASST_CLSSF_SIMUL IS NOT NULL ) OR (X.PRMRY_ASST_CLSSF IS NOT NULL AND Y.PRMRY_ASST_CLSSF_SIMUL IS NULL),1,0)) AS NUM_REG_DIF,'1' AS ID_EXEC, CURRENT_TIMESTAMP() AS TIME_EXEC FROM (SELECT instrmnt_id, PRMRY_ASST_CLSSF FROM CD_LOAN_TAPES_BCE.LT002_INSTRUMENT WHERE ref_date='${ref_date}' AND nome_perimetro='Individual Corporativo' AND segmento='ESTR' AND ambito='PM' AND entidade='00100')X INNER JOIN (SELECT instrmnt_id AS instrmnt_id_SIMUL, PRMRY_ASST_CLSSF AS PRMRY_ASST_CLSSF_SIMUL FROM BU_LOANTAPE_WORK.LT002_INSTRUMENT WHERE ref_date='${ref_date}' AND nome_perimetro='Individual Corporativo' AND segmento='ESTR' AND ambito='PM' AND entidade='00100')Y ON X.INSTRMNT_ID=Y.INSTRMNT_ID_SIMUL</v>
      </c>
      <c r="M289" s="36" t="str">
        <f t="shared" si="4"/>
        <v>UNION ALL SELECT 'INSTRUMENT' AS TABELA, 'COERÊNCIA' AS TIPOLOGIA_TESTE,'CD_LOAN_TAPES_BCE.LT002_INSTRUMENT' AS TABELA_LT,'BU_LOANTAPE_WORK.LT002_INSTRUMENT' AS TABELA_SIMUL,'PRMRY_ASST_CLSSF' AS CAMPO, '${ref_date}' AS REF_DATE, COUNT(*) AS NUM_REG, SUM(IF(COALESCE(CAST(X.PRMRY_ASST_CLSSF AS STRING),'')&lt;&gt;COALESCE(CAST(Y.PRMRY_ASST_CLSSF_SIMUL AS STRING),'') OR (X.PRMRY_ASST_CLSSF IS NULL AND Y.PRMRY_ASST_CLSSF_SIMUL IS NOT NULL ) OR (X.PRMRY_ASST_CLSSF IS NOT NULL AND Y.PRMRY_ASST_CLSSF_SIMUL IS NULL),1,0)) AS NUM_REG_DIF,'1' AS ID_EXEC, CURRENT_TIMESTAMP() AS TIME_EXEC FROM (SELECT instrmnt_id, PRMRY_ASST_CLSSF FROM CD_LOAN_TAPES_BCE.LT002_INSTRUMENT WHERE ref_date='${ref_date}' AND nome_perimetro='Individual Corporativo' AND segmento='ESTR' AND ambito='PM' AND entidade='00100')X INNER JOIN (SELECT instrmnt_id AS instrmnt_id_SIMUL, PRMRY_ASST_CLSSF AS PRMRY_ASST_CLSSF_SIMUL FROM BU_LOANTAPE_WORK.LT002_INSTRUMENT WHERE ref_date='${ref_date}' AND nome_perimetro='Individual Corporativo' AND segmento='ESTR' AND ambito='PM' AND entidade='00100')Y ON X.INSTRMNT_ID=Y.INSTRMNT_ID_SIMUL</v>
      </c>
      <c r="N289" s="38" t="s">
        <v>46</v>
      </c>
    </row>
    <row r="290" spans="2:14" hidden="1">
      <c r="B290" s="34" t="s">
        <v>126</v>
      </c>
      <c r="C290" s="34" t="s">
        <v>5</v>
      </c>
      <c r="D290" s="34" t="str">
        <f>+UPPER('0. Instruções'!$D$35&amp;"."&amp;VLOOKUP(B290,'0. Instruções'!$C$27:$D$32,2,FALSE))</f>
        <v>CD_LOAN_TAPES_BCE.LT002_INSTRUMENT</v>
      </c>
      <c r="E290" s="34" t="str">
        <f>+UPPER('0. Instruções'!$D$36&amp;"."&amp;VLOOKUP(B290,'0. Instruções'!$C$27:$E$32,3,FALSE))</f>
        <v>BU_LOANTAPE_WORK.LT002_INSTRUMENT</v>
      </c>
      <c r="F290" s="34" t="s">
        <v>569</v>
      </c>
      <c r="G290" s="34"/>
      <c r="H290" s="34" t="s">
        <v>648</v>
      </c>
      <c r="I290" s="34" t="str">
        <f>"(SELECT "&amp;VLOOKUP(B290,'0. Instruções'!$C$27:$G$32,4,FALSE)&amp;", "&amp;F290&amp;" FROM "&amp;D290&amp;" WHERE "&amp;'0. Instruções'!$D$42&amp;")X"</f>
        <v>(SELECT instrmnt_id, PRT_LCR_BFFR FROM CD_LOAN_TAPES_BCE.LT002_INSTRUMENT WHERE ref_date='${ref_date}' AND nome_perimetro='Individual Corporativo' AND segmento='ESTR' AND ambito='PM' AND entidade='00100')X</v>
      </c>
      <c r="J290" s="34" t="str">
        <f>"(SELECT "&amp;VLOOKUP(B290,'0. Instruções'!$C$27:$G$32,4,FALSE)&amp;" AS "&amp;VLOOKUP(B290,'0. Instruções'!$C$27:$G$32,4,FALSE)&amp;"_SIMUL, "&amp;F290&amp;" AS "&amp;F290&amp;"_SIMUL FROM "&amp;E290&amp;" WHERE "&amp;'0. Instruções'!$D$43&amp;")Y"</f>
        <v>(SELECT instrmnt_id AS instrmnt_id_SIMUL, PRT_LCR_BFFR AS PRT_LCR_BFFR_SIMUL FROM BU_LOANTAPE_WORK.LT002_INSTRUMENT WHERE ref_date='${ref_date}' AND nome_perimetro='Individual Corporativo' AND segmento='ESTR' AND ambito='PM' AND entidade='00100')Y</v>
      </c>
      <c r="K290" s="35" t="str">
        <f>+UPPER("ON X."&amp;VLOOKUP(B290,'0. Instruções'!$C$27:$G$32,4,FALSE)&amp;"=Y."&amp;VLOOKUP(B290,'0. Instruções'!$C$27:$G$32,4,FALSE)&amp;"_SIMUL")</f>
        <v>ON X.INSTRMNT_ID=Y.INSTRMNT_ID_SIMUL</v>
      </c>
      <c r="L290" s="35" t="str">
        <f>+IF(C290="Coerência", +IF(LEFT(G290,5)="FLOAT","SELECT '"&amp;UPPER(B290)&amp;"' AS TABELA, '"&amp;UPPER(C290)&amp;"' AS TIPOLOGIA_TESTE,'"&amp;D290&amp;"' AS TABELA_LT,'"&amp;E290&amp;"' AS TABELA_SIMUL,'"&amp;F290&amp;"' AS CAMPO, "&amp;"'${ref_date}' AS REF_DATE, COUNT(*) AS NUM_REG, SUM(IF((ABS(COALESCE(CAST(X."&amp;F290&amp;" AS DECIMAL(18,6)),0)-COALESCE(CAST(Y."&amp;F290&amp;"_SIMUL AS DECIMAL(18,6)),0))&gt;0.000001) OR (X."&amp;F290&amp;" IS NULL AND Y."&amp;F290&amp;"_SIMUL IS NOT NULL ) OR (X."&amp;F290&amp;" IS NOT NULL AND Y."&amp;F290&amp;"_SIMUL IS NULL),1,0)) AS NUM_REG_DIF,'"&amp;MAX('ID1&amp;5'!K:K)+1&amp;"' AS ID_EXEC, CURRENT_TIMESTAMP() AS TIME_EXEC FROM "&amp;I290&amp;" INNER JOIN "&amp;J290&amp;" "&amp;K290,"SELECT '"&amp;UPPER(B290)&amp;"' AS TABELA, '"&amp;UPPER(C290)&amp;"' AS TIPOLOGIA_TESTE,'"&amp;D290&amp;"' AS TABELA_LT,'"&amp;E290&amp;"' AS TABELA_SIMUL,'"&amp;F290&amp;"' AS CAMPO, "&amp;"'${ref_date}' AS REF_DATE, COUNT(*) AS NUM_REG, SUM(IF(COALESCE(CAST(X."&amp;F290&amp;" AS STRING),'')&lt;&gt;COALESCE(CAST(Y."&amp;F290&amp;"_SIMUL AS STRING),'') OR (X."&amp;F290&amp;" IS NULL AND Y."&amp;F290&amp;"_SIMUL IS NOT NULL ) OR (X."&amp;F290&amp;" IS NOT NULL AND Y."&amp;F290&amp;"_SIMUL IS NULL),1,0)) AS NUM_REG_DIF,'"&amp;MAX('ID1&amp;5'!L:L)+1&amp;"' AS ID_EXEC, CURRENT_TIMESTAMP() AS TIME_EXEC FROM "&amp;I290&amp;" INNER JOIN "&amp;J290&amp;" "&amp;K290),
IF(C290="Validade",+IF(G290="Code List","SELECT '"&amp;UPPER(B290)&amp;"' AS TABELA, '"&amp;UPPER(C290)&amp;"' AS TIPOLOGIA_TESTE,'"&amp;D290&amp;"' AS TABELA_LT,'N/A' AS TABELA_SIMUL,'"&amp;F290&amp;"' AS CAMPO, "&amp;"'${ref_date}' AS REF_DATE, COUNT(*) AS NUM_REG, SUM(IF(TRIM(CAST(X."&amp;F290&amp;" AS STRING))='' OR TRIM(CAST(X."&amp;F290&amp;" AS STRING)) IS NULL OR CAST(X."&amp;F290&amp;" AS STRING) NOT "&amp;H290&amp;",1,0)) AS NUM_REG_DIF,'"&amp;MAX('ID1&amp;5'!K:K)+1&amp;"' AS ID_EXEC, CURRENT_TIMESTAMP() AS TIME_EXEC FROM "&amp;I290,"SELECT '"&amp;UPPER(B290)&amp;"' AS TABELA, '"&amp;UPPER(C290)&amp;"' AS TIPOLOGIA_TESTE,'"&amp;D290&amp;"' AS TABELA_LT,'N/A' AS TABELA_SIMUL,'"&amp;F290&amp;"' AS CAMPO, "&amp;"'${ref_date}' AS REF_DATE, COUNT(*) AS NUM_REG, SUM(IF(TRIM(CAST(X."&amp;F290&amp;" AS STRING))='' OR TRIM(CAST(X."&amp;F290&amp;" AS STRING)) IS NULL,1,0)) AS NUM_REG_DIF,'"&amp;MAX('ID1&amp;5'!K:K)+1&amp;"' AS ID_EXEC, CURRENT_TIMESTAMP() AS TIME_EXEC FROM "&amp;I290),
IF(C290="Caracteres Especiais",+"SELECT '"&amp;UPPER(B290)&amp;"' AS TABELA, '"&amp;UPPER(C290)&amp;"' AS TIPOLOGIA_TESTE,'"&amp;D290&amp;"' AS TABELA_LT,'N/A' AS TABELA_SIMUL,'"&amp;F290&amp;"' AS CAMPO, "&amp;"'${ref_date}' AS REF_DATE, COUNT(*) AS NUM_REG, SUM(IF(REGEXP_REPLACE(TRIM(CAST(X."&amp;F290&amp;" AS STRING)),'[^a-zA-Z0-9_\\s]','') &lt;&gt;TRIM(CAST(X."&amp;F290&amp;" AS STRING)),1,0)) AS NUM_REG_DIF,'"&amp;MAX('ID1&amp;5'!K:K)+1&amp;"' AS ID_EXEC, CURRENT_TIMESTAMP() AS TIME_EXEC FROM "&amp;I290,
IF(C290="Missings",+"SELECT '"&amp;UPPER(B290)&amp;"' AS TABELA, '"&amp;UPPER(C290)&amp;"' AS TIPOLOGIA_TESTE,'"&amp;D290&amp;"' AS TABELA_LT,'N/A' AS TABELA_SIMUL,'"&amp;F290&amp;"' AS CAMPO, "&amp;"'${ref_date}' AS REF_DATE, COUNT(*) AS NUM_REG, SUM(IF(TRIM(CAST(X."&amp;F290&amp;" AS STRING)) IN ('0000-00-00','0001-01-01','9999-12-31','MISS','00000','99999999999','99999999999.00','99999999999.000000'),1,0)) AS NUM_REG_DIF,'"&amp;MAX('ID1&amp;5'!K:K)+1&amp;"' AS ID_EXEC, CURRENT_TIMESTAMP() AS TIME_EXEC FROM "&amp;I290,
IF(C290="Not applicable",+"SELECT '"&amp;UPPER(B290)&amp;"' AS TABELA, '"&amp;UPPER(C290)&amp;"' AS TIPOLOGIA_TESTE,'"&amp;D290&amp;"' AS TABELA_LT,'N/A' AS TABELA_SIMUL,'"&amp;F290&amp;"' AS CAMPO, "&amp;"'${ref_date}' AS REF_DATE, COUNT(*) AS NUM_REG, SUM(IF(TRIM(CAST(X."&amp;F290&amp;" AS STRING)) IN ('N/A','11111111111','11111111111.00','11111111111.000000','1111-11-11'),1,0)) AS NUM_REG_DIF,'"&amp;MAX('ID1&amp;5'!K:K)+1&amp;"' AS ID_EXEC, CURRENT_TIMESTAMP() AS TIME_EXEC FROM "&amp;I290,
IF(C290="Valores extremos",+"SELECT '"&amp;UPPER(B290)&amp;"' AS TABELA, '"&amp;UPPER(C290)&amp;"' AS TIPOLOGIA_TESTE,'"&amp;D290&amp;"' AS TABELA_LT,'N/A' AS TABELA_SIMUL,'"&amp;F290&amp;"' AS CAMPO, "&amp;"'${ref_date}' AS REF_DATE, CAST(MIN("&amp;F290&amp;") AS STRING) AS VALOR_MIN, CAST(MAX("&amp;F290&amp;") AS STRING) AS VALOR_MAX,'"&amp;MAX('ID1&amp;5'!K:K)+1&amp;"' AS ID_EXEC, CURRENT_TIMESTAMP() AS TIME_EXEC FROM "&amp;MID(I290,1,LEN(I290)-2)&amp;" AND CAST("&amp;F290&amp;"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TABELA_SIMUL,'PRT_LCR_BFFR' AS CAMPO, '${ref_date}' AS REF_DATE, COUNT(*) AS NUM_REG, SUM(IF(COALESCE(CAST(X.PRT_LCR_BFFR AS STRING),'')&lt;&gt;COALESCE(CAST(Y.PRT_LCR_BFFR_SIMUL AS STRING),'') OR (X.PRT_LCR_BFFR IS NULL AND Y.PRT_LCR_BFFR_SIMUL IS NOT NULL ) OR (X.PRT_LCR_BFFR IS NOT NULL AND Y.PRT_LCR_BFFR_SIMUL IS NULL),1,0)) AS NUM_REG_DIF,'1' AS ID_EXEC, CURRENT_TIMESTAMP() AS TIME_EXEC FROM (SELECT instrmnt_id, PRT_LCR_BFFR FROM CD_LOAN_TAPES_BCE.LT002_INSTRUMENT WHERE ref_date='${ref_date}' AND nome_perimetro='Individual Corporativo' AND segmento='ESTR' AND ambito='PM' AND entidade='00100')X INNER JOIN (SELECT instrmnt_id AS instrmnt_id_SIMUL, PRT_LCR_BFFR AS PRT_LCR_BFFR_SIMUL FROM BU_LOANTAPE_WORK.LT002_INSTRUMENT WHERE ref_date='${ref_date}' AND nome_perimetro='Individual Corporativo' AND segmento='ESTR' AND ambito='PM' AND entidade='00100')Y ON X.INSTRMNT_ID=Y.INSTRMNT_ID_SIMUL</v>
      </c>
      <c r="M290" s="36" t="str">
        <f t="shared" si="4"/>
        <v>UNION ALL SELECT 'INSTRUMENT' AS TABELA, 'COERÊNCIA' AS TIPOLOGIA_TESTE,'CD_LOAN_TAPES_BCE.LT002_INSTRUMENT' AS TABELA_LT,'BU_LOANTAPE_WORK.LT002_INSTRUMENT' AS TABELA_SIMUL,'PRT_LCR_BFFR' AS CAMPO, '${ref_date}' AS REF_DATE, COUNT(*) AS NUM_REG, SUM(IF(COALESCE(CAST(X.PRT_LCR_BFFR AS STRING),'')&lt;&gt;COALESCE(CAST(Y.PRT_LCR_BFFR_SIMUL AS STRING),'') OR (X.PRT_LCR_BFFR IS NULL AND Y.PRT_LCR_BFFR_SIMUL IS NOT NULL ) OR (X.PRT_LCR_BFFR IS NOT NULL AND Y.PRT_LCR_BFFR_SIMUL IS NULL),1,0)) AS NUM_REG_DIF,'1' AS ID_EXEC, CURRENT_TIMESTAMP() AS TIME_EXEC FROM (SELECT instrmnt_id, PRT_LCR_BFFR FROM CD_LOAN_TAPES_BCE.LT002_INSTRUMENT WHERE ref_date='${ref_date}' AND nome_perimetro='Individual Corporativo' AND segmento='ESTR' AND ambito='PM' AND entidade='00100')X INNER JOIN (SELECT instrmnt_id AS instrmnt_id_SIMUL, PRT_LCR_BFFR AS PRT_LCR_BFFR_SIMUL FROM BU_LOANTAPE_WORK.LT002_INSTRUMENT WHERE ref_date='${ref_date}' AND nome_perimetro='Individual Corporativo' AND segmento='ESTR' AND ambito='PM' AND entidade='00100')Y ON X.INSTRMNT_ID=Y.INSTRMNT_ID_SIMUL</v>
      </c>
      <c r="N290" s="38" t="s">
        <v>46</v>
      </c>
    </row>
    <row r="291" spans="2:14" hidden="1">
      <c r="B291" s="34" t="s">
        <v>126</v>
      </c>
      <c r="C291" s="34" t="s">
        <v>5</v>
      </c>
      <c r="D291" s="34" t="str">
        <f>+UPPER('0. Instruções'!$D$35&amp;"."&amp;VLOOKUP(B291,'0. Instruções'!$C$27:$D$32,2,FALSE))</f>
        <v>CD_LOAN_TAPES_BCE.LT002_INSTRUMENT</v>
      </c>
      <c r="E291" s="34" t="str">
        <f>+UPPER('0. Instruções'!$D$36&amp;"."&amp;VLOOKUP(B291,'0. Instruções'!$C$27:$E$32,3,FALSE))</f>
        <v>BU_LOANTAPE_WORK.LT002_INSTRUMENT</v>
      </c>
      <c r="F291" s="34" t="s">
        <v>571</v>
      </c>
      <c r="G291" s="34"/>
      <c r="H291" s="34" t="s">
        <v>91</v>
      </c>
      <c r="I291" s="34" t="str">
        <f>"(SELECT "&amp;VLOOKUP(B291,'0. Instruções'!$C$27:$G$32,4,FALSE)&amp;", "&amp;F291&amp;" FROM "&amp;D291&amp;" WHERE "&amp;'0. Instruções'!$D$42&amp;")X"</f>
        <v>(SELECT instrmnt_id, SPRD FROM CD_LOAN_TAPES_BCE.LT002_INSTRUMENT WHERE ref_date='${ref_date}' AND nome_perimetro='Individual Corporativo' AND segmento='ESTR' AND ambito='PM' AND entidade='00100')X</v>
      </c>
      <c r="J291" s="34" t="str">
        <f>"(SELECT "&amp;VLOOKUP(B291,'0. Instruções'!$C$27:$G$32,4,FALSE)&amp;" AS "&amp;VLOOKUP(B291,'0. Instruções'!$C$27:$G$32,4,FALSE)&amp;"_SIMUL, "&amp;F291&amp;" AS "&amp;F291&amp;"_SIMUL FROM "&amp;E291&amp;" WHERE "&amp;'0. Instruções'!$D$43&amp;")Y"</f>
        <v>(SELECT instrmnt_id AS instrmnt_id_SIMUL, SPRD AS SPRD_SIMUL FROM BU_LOANTAPE_WORK.LT002_INSTRUMENT WHERE ref_date='${ref_date}' AND nome_perimetro='Individual Corporativo' AND segmento='ESTR' AND ambito='PM' AND entidade='00100')Y</v>
      </c>
      <c r="K291" s="35" t="str">
        <f>+UPPER("ON X."&amp;VLOOKUP(B291,'0. Instruções'!$C$27:$G$32,4,FALSE)&amp;"=Y."&amp;VLOOKUP(B291,'0. Instruções'!$C$27:$G$32,4,FALSE)&amp;"_SIMUL")</f>
        <v>ON X.INSTRMNT_ID=Y.INSTRMNT_ID_SIMUL</v>
      </c>
      <c r="L291" s="35" t="str">
        <f>+IF(C291="Coerência", +IF(LEFT(G291,5)="FLOAT","SELECT '"&amp;UPPER(B291)&amp;"' AS TABELA, '"&amp;UPPER(C291)&amp;"' AS TIPOLOGIA_TESTE,'"&amp;D291&amp;"' AS TABELA_LT,'"&amp;E291&amp;"' AS TABELA_SIMUL,'"&amp;F291&amp;"' AS CAMPO, "&amp;"'${ref_date}' AS REF_DATE, COUNT(*) AS NUM_REG, SUM(IF((ABS(COALESCE(CAST(X."&amp;F291&amp;" AS DECIMAL(18,6)),0)-COALESCE(CAST(Y."&amp;F291&amp;"_SIMUL AS DECIMAL(18,6)),0))&gt;0.000001) OR (X."&amp;F291&amp;" IS NULL AND Y."&amp;F291&amp;"_SIMUL IS NOT NULL ) OR (X."&amp;F291&amp;" IS NOT NULL AND Y."&amp;F291&amp;"_SIMUL IS NULL),1,0)) AS NUM_REG_DIF,'"&amp;MAX('ID1&amp;5'!K:K)+1&amp;"' AS ID_EXEC, CURRENT_TIMESTAMP() AS TIME_EXEC FROM "&amp;I291&amp;" INNER JOIN "&amp;J291&amp;" "&amp;K291,"SELECT '"&amp;UPPER(B291)&amp;"' AS TABELA, '"&amp;UPPER(C291)&amp;"' AS TIPOLOGIA_TESTE,'"&amp;D291&amp;"' AS TABELA_LT,'"&amp;E291&amp;"' AS TABELA_SIMUL,'"&amp;F291&amp;"' AS CAMPO, "&amp;"'${ref_date}' AS REF_DATE, COUNT(*) AS NUM_REG, SUM(IF(COALESCE(CAST(X."&amp;F291&amp;" AS STRING),'')&lt;&gt;COALESCE(CAST(Y."&amp;F291&amp;"_SIMUL AS STRING),'') OR (X."&amp;F291&amp;" IS NULL AND Y."&amp;F291&amp;"_SIMUL IS NOT NULL ) OR (X."&amp;F291&amp;" IS NOT NULL AND Y."&amp;F291&amp;"_SIMUL IS NULL),1,0)) AS NUM_REG_DIF,'"&amp;MAX('ID1&amp;5'!L:L)+1&amp;"' AS ID_EXEC, CURRENT_TIMESTAMP() AS TIME_EXEC FROM "&amp;I291&amp;" INNER JOIN "&amp;J291&amp;" "&amp;K291),
IF(C291="Validade",+IF(G291="Code List","SELECT '"&amp;UPPER(B291)&amp;"' AS TABELA, '"&amp;UPPER(C291)&amp;"' AS TIPOLOGIA_TESTE,'"&amp;D291&amp;"' AS TABELA_LT,'N/A' AS TABELA_SIMUL,'"&amp;F291&amp;"' AS CAMPO, "&amp;"'${ref_date}' AS REF_DATE, COUNT(*) AS NUM_REG, SUM(IF(TRIM(CAST(X."&amp;F291&amp;" AS STRING))='' OR TRIM(CAST(X."&amp;F291&amp;" AS STRING)) IS NULL OR CAST(X."&amp;F291&amp;" AS STRING) NOT "&amp;H291&amp;",1,0)) AS NUM_REG_DIF,'"&amp;MAX('ID1&amp;5'!K:K)+1&amp;"' AS ID_EXEC, CURRENT_TIMESTAMP() AS TIME_EXEC FROM "&amp;I291,"SELECT '"&amp;UPPER(B291)&amp;"' AS TABELA, '"&amp;UPPER(C291)&amp;"' AS TIPOLOGIA_TESTE,'"&amp;D291&amp;"' AS TABELA_LT,'N/A' AS TABELA_SIMUL,'"&amp;F291&amp;"' AS CAMPO, "&amp;"'${ref_date}' AS REF_DATE, COUNT(*) AS NUM_REG, SUM(IF(TRIM(CAST(X."&amp;F291&amp;" AS STRING))='' OR TRIM(CAST(X."&amp;F291&amp;" AS STRING)) IS NULL,1,0)) AS NUM_REG_DIF,'"&amp;MAX('ID1&amp;5'!K:K)+1&amp;"' AS ID_EXEC, CURRENT_TIMESTAMP() AS TIME_EXEC FROM "&amp;I291),
IF(C291="Caracteres Especiais",+"SELECT '"&amp;UPPER(B291)&amp;"' AS TABELA, '"&amp;UPPER(C291)&amp;"' AS TIPOLOGIA_TESTE,'"&amp;D291&amp;"' AS TABELA_LT,'N/A' AS TABELA_SIMUL,'"&amp;F291&amp;"' AS CAMPO, "&amp;"'${ref_date}' AS REF_DATE, COUNT(*) AS NUM_REG, SUM(IF(REGEXP_REPLACE(TRIM(CAST(X."&amp;F291&amp;" AS STRING)),'[^a-zA-Z0-9_\\s]','') &lt;&gt;TRIM(CAST(X."&amp;F291&amp;" AS STRING)),1,0)) AS NUM_REG_DIF,'"&amp;MAX('ID1&amp;5'!K:K)+1&amp;"' AS ID_EXEC, CURRENT_TIMESTAMP() AS TIME_EXEC FROM "&amp;I291,
IF(C291="Missings",+"SELECT '"&amp;UPPER(B291)&amp;"' AS TABELA, '"&amp;UPPER(C291)&amp;"' AS TIPOLOGIA_TESTE,'"&amp;D291&amp;"' AS TABELA_LT,'N/A' AS TABELA_SIMUL,'"&amp;F291&amp;"' AS CAMPO, "&amp;"'${ref_date}' AS REF_DATE, COUNT(*) AS NUM_REG, SUM(IF(TRIM(CAST(X."&amp;F291&amp;" AS STRING)) IN ('0000-00-00','0001-01-01','9999-12-31','MISS','00000','99999999999','99999999999.00','99999999999.000000'),1,0)) AS NUM_REG_DIF,'"&amp;MAX('ID1&amp;5'!K:K)+1&amp;"' AS ID_EXEC, CURRENT_TIMESTAMP() AS TIME_EXEC FROM "&amp;I291,
IF(C291="Not applicable",+"SELECT '"&amp;UPPER(B291)&amp;"' AS TABELA, '"&amp;UPPER(C291)&amp;"' AS TIPOLOGIA_TESTE,'"&amp;D291&amp;"' AS TABELA_LT,'N/A' AS TABELA_SIMUL,'"&amp;F291&amp;"' AS CAMPO, "&amp;"'${ref_date}' AS REF_DATE, COUNT(*) AS NUM_REG, SUM(IF(TRIM(CAST(X."&amp;F291&amp;" AS STRING)) IN ('N/A','11111111111','11111111111.00','11111111111.000000','1111-11-11'),1,0)) AS NUM_REG_DIF,'"&amp;MAX('ID1&amp;5'!K:K)+1&amp;"' AS ID_EXEC, CURRENT_TIMESTAMP() AS TIME_EXEC FROM "&amp;I291,
IF(C291="Valores extremos",+"SELECT '"&amp;UPPER(B291)&amp;"' AS TABELA, '"&amp;UPPER(C291)&amp;"' AS TIPOLOGIA_TESTE,'"&amp;D291&amp;"' AS TABELA_LT,'N/A' AS TABELA_SIMUL,'"&amp;F291&amp;"' AS CAMPO, "&amp;"'${ref_date}' AS REF_DATE, CAST(MIN("&amp;F291&amp;") AS STRING) AS VALOR_MIN, CAST(MAX("&amp;F291&amp;") AS STRING) AS VALOR_MAX,'"&amp;MAX('ID1&amp;5'!K:K)+1&amp;"' AS ID_EXEC, CURRENT_TIMESTAMP() AS TIME_EXEC FROM "&amp;MID(I291,1,LEN(I291)-2)&amp;" AND CAST("&amp;F291&amp;"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TABELA_SIMUL,'SPRD' AS CAMPO, '${ref_date}' AS REF_DATE, COUNT(*) AS NUM_REG, SUM(IF(COALESCE(CAST(X.SPRD AS STRING),'')&lt;&gt;COALESCE(CAST(Y.SPRD_SIMUL AS STRING),'') OR (X.SPRD IS NULL AND Y.SPRD_SIMUL IS NOT NULL ) OR (X.SPRD IS NOT NULL AND Y.SPRD_SIMUL IS NULL),1,0)) AS NUM_REG_DIF,'1' AS ID_EXEC, CURRENT_TIMESTAMP() AS TIME_EXEC FROM (SELECT instrmnt_id, SPRD FROM CD_LOAN_TAPES_BCE.LT002_INSTRUMENT WHERE ref_date='${ref_date}' AND nome_perimetro='Individual Corporativo' AND segmento='ESTR' AND ambito='PM' AND entidade='00100')X INNER JOIN (SELECT instrmnt_id AS instrmnt_id_SIMUL, SPRD AS SPRD_SIMUL FROM BU_LOANTAPE_WORK.LT002_INSTRUMENT WHERE ref_date='${ref_date}' AND nome_perimetro='Individual Corporativo' AND segmento='ESTR' AND ambito='PM' AND entidade='00100')Y ON X.INSTRMNT_ID=Y.INSTRMNT_ID_SIMUL</v>
      </c>
      <c r="M291" s="36" t="str">
        <f t="shared" si="4"/>
        <v>UNION ALL SELECT 'INSTRUMENT' AS TABELA, 'COERÊNCIA' AS TIPOLOGIA_TESTE,'CD_LOAN_TAPES_BCE.LT002_INSTRUMENT' AS TABELA_LT,'BU_LOANTAPE_WORK.LT002_INSTRUMENT' AS TABELA_SIMUL,'SPRD' AS CAMPO, '${ref_date}' AS REF_DATE, COUNT(*) AS NUM_REG, SUM(IF(COALESCE(CAST(X.SPRD AS STRING),'')&lt;&gt;COALESCE(CAST(Y.SPRD_SIMUL AS STRING),'') OR (X.SPRD IS NULL AND Y.SPRD_SIMUL IS NOT NULL ) OR (X.SPRD IS NOT NULL AND Y.SPRD_SIMUL IS NULL),1,0)) AS NUM_REG_DIF,'1' AS ID_EXEC, CURRENT_TIMESTAMP() AS TIME_EXEC FROM (SELECT instrmnt_id, SPRD FROM CD_LOAN_TAPES_BCE.LT002_INSTRUMENT WHERE ref_date='${ref_date}' AND nome_perimetro='Individual Corporativo' AND segmento='ESTR' AND ambito='PM' AND entidade='00100')X INNER JOIN (SELECT instrmnt_id AS instrmnt_id_SIMUL, SPRD AS SPRD_SIMUL FROM BU_LOANTAPE_WORK.LT002_INSTRUMENT WHERE ref_date='${ref_date}' AND nome_perimetro='Individual Corporativo' AND segmento='ESTR' AND ambito='PM' AND entidade='00100')Y ON X.INSTRMNT_ID=Y.INSTRMNT_ID_SIMUL</v>
      </c>
      <c r="N291" s="38" t="s">
        <v>46</v>
      </c>
    </row>
    <row r="292" spans="2:14" hidden="1">
      <c r="B292" s="34" t="s">
        <v>126</v>
      </c>
      <c r="C292" s="34" t="s">
        <v>5</v>
      </c>
      <c r="D292" s="34" t="str">
        <f>+UPPER('0. Instruções'!$D$35&amp;"."&amp;VLOOKUP(B292,'0. Instruções'!$C$27:$D$32,2,FALSE))</f>
        <v>CD_LOAN_TAPES_BCE.LT002_INSTRUMENT</v>
      </c>
      <c r="E292" s="34" t="str">
        <f>+UPPER('0. Instruções'!$D$36&amp;"."&amp;VLOOKUP(B292,'0. Instruções'!$C$27:$E$32,3,FALSE))</f>
        <v>BU_LOANTAPE_WORK.LT002_INSTRUMENT</v>
      </c>
      <c r="F292" s="34" t="s">
        <v>572</v>
      </c>
      <c r="G292" s="34"/>
      <c r="H292" s="34" t="s">
        <v>89</v>
      </c>
      <c r="I292" s="34" t="str">
        <f>"(SELECT "&amp;VLOOKUP(B292,'0. Instruções'!$C$27:$G$32,4,FALSE)&amp;", "&amp;F292&amp;" FROM "&amp;D292&amp;" WHERE "&amp;'0. Instruções'!$D$42&amp;")X"</f>
        <v>(SELECT instrmnt_id, SRCS_ENCMBRNC FROM CD_LOAN_TAPES_BCE.LT002_INSTRUMENT WHERE ref_date='${ref_date}' AND nome_perimetro='Individual Corporativo' AND segmento='ESTR' AND ambito='PM' AND entidade='00100')X</v>
      </c>
      <c r="J292" s="34" t="str">
        <f>"(SELECT "&amp;VLOOKUP(B292,'0. Instruções'!$C$27:$G$32,4,FALSE)&amp;" AS "&amp;VLOOKUP(B292,'0. Instruções'!$C$27:$G$32,4,FALSE)&amp;"_SIMUL, "&amp;F292&amp;" AS "&amp;F292&amp;"_SIMUL FROM "&amp;E292&amp;" WHERE "&amp;'0. Instruções'!$D$43&amp;")Y"</f>
        <v>(SELECT instrmnt_id AS instrmnt_id_SIMUL, SRCS_ENCMBRNC AS SRCS_ENCMBRNC_SIMUL FROM BU_LOANTAPE_WORK.LT002_INSTRUMENT WHERE ref_date='${ref_date}' AND nome_perimetro='Individual Corporativo' AND segmento='ESTR' AND ambito='PM' AND entidade='00100')Y</v>
      </c>
      <c r="K292" s="35" t="str">
        <f>+UPPER("ON X."&amp;VLOOKUP(B292,'0. Instruções'!$C$27:$G$32,4,FALSE)&amp;"=Y."&amp;VLOOKUP(B292,'0. Instruções'!$C$27:$G$32,4,FALSE)&amp;"_SIMUL")</f>
        <v>ON X.INSTRMNT_ID=Y.INSTRMNT_ID_SIMUL</v>
      </c>
      <c r="L292" s="35" t="str">
        <f>+IF(C292="Coerência", +IF(LEFT(G292,5)="FLOAT","SELECT '"&amp;UPPER(B292)&amp;"' AS TABELA, '"&amp;UPPER(C292)&amp;"' AS TIPOLOGIA_TESTE,'"&amp;D292&amp;"' AS TABELA_LT,'"&amp;E292&amp;"' AS TABELA_SIMUL,'"&amp;F292&amp;"' AS CAMPO, "&amp;"'${ref_date}' AS REF_DATE, COUNT(*) AS NUM_REG, SUM(IF((ABS(COALESCE(CAST(X."&amp;F292&amp;" AS DECIMAL(18,6)),0)-COALESCE(CAST(Y."&amp;F292&amp;"_SIMUL AS DECIMAL(18,6)),0))&gt;0.000001) OR (X."&amp;F292&amp;" IS NULL AND Y."&amp;F292&amp;"_SIMUL IS NOT NULL ) OR (X."&amp;F292&amp;" IS NOT NULL AND Y."&amp;F292&amp;"_SIMUL IS NULL),1,0)) AS NUM_REG_DIF,'"&amp;MAX('ID1&amp;5'!K:K)+1&amp;"' AS ID_EXEC, CURRENT_TIMESTAMP() AS TIME_EXEC FROM "&amp;I292&amp;" INNER JOIN "&amp;J292&amp;" "&amp;K292,"SELECT '"&amp;UPPER(B292)&amp;"' AS TABELA, '"&amp;UPPER(C292)&amp;"' AS TIPOLOGIA_TESTE,'"&amp;D292&amp;"' AS TABELA_LT,'"&amp;E292&amp;"' AS TABELA_SIMUL,'"&amp;F292&amp;"' AS CAMPO, "&amp;"'${ref_date}' AS REF_DATE, COUNT(*) AS NUM_REG, SUM(IF(COALESCE(CAST(X."&amp;F292&amp;" AS STRING),'')&lt;&gt;COALESCE(CAST(Y."&amp;F292&amp;"_SIMUL AS STRING),'') OR (X."&amp;F292&amp;" IS NULL AND Y."&amp;F292&amp;"_SIMUL IS NOT NULL ) OR (X."&amp;F292&amp;" IS NOT NULL AND Y."&amp;F292&amp;"_SIMUL IS NULL),1,0)) AS NUM_REG_DIF,'"&amp;MAX('ID1&amp;5'!L:L)+1&amp;"' AS ID_EXEC, CURRENT_TIMESTAMP() AS TIME_EXEC FROM "&amp;I292&amp;" INNER JOIN "&amp;J292&amp;" "&amp;K292),
IF(C292="Validade",+IF(G292="Code List","SELECT '"&amp;UPPER(B292)&amp;"' AS TABELA, '"&amp;UPPER(C292)&amp;"' AS TIPOLOGIA_TESTE,'"&amp;D292&amp;"' AS TABELA_LT,'N/A' AS TABELA_SIMUL,'"&amp;F292&amp;"' AS CAMPO, "&amp;"'${ref_date}' AS REF_DATE, COUNT(*) AS NUM_REG, SUM(IF(TRIM(CAST(X."&amp;F292&amp;" AS STRING))='' OR TRIM(CAST(X."&amp;F292&amp;" AS STRING)) IS NULL OR CAST(X."&amp;F292&amp;" AS STRING) NOT "&amp;H292&amp;",1,0)) AS NUM_REG_DIF,'"&amp;MAX('ID1&amp;5'!K:K)+1&amp;"' AS ID_EXEC, CURRENT_TIMESTAMP() AS TIME_EXEC FROM "&amp;I292,"SELECT '"&amp;UPPER(B292)&amp;"' AS TABELA, '"&amp;UPPER(C292)&amp;"' AS TIPOLOGIA_TESTE,'"&amp;D292&amp;"' AS TABELA_LT,'N/A' AS TABELA_SIMUL,'"&amp;F292&amp;"' AS CAMPO, "&amp;"'${ref_date}' AS REF_DATE, COUNT(*) AS NUM_REG, SUM(IF(TRIM(CAST(X."&amp;F292&amp;" AS STRING))='' OR TRIM(CAST(X."&amp;F292&amp;" AS STRING)) IS NULL,1,0)) AS NUM_REG_DIF,'"&amp;MAX('ID1&amp;5'!K:K)+1&amp;"' AS ID_EXEC, CURRENT_TIMESTAMP() AS TIME_EXEC FROM "&amp;I292),
IF(C292="Caracteres Especiais",+"SELECT '"&amp;UPPER(B292)&amp;"' AS TABELA, '"&amp;UPPER(C292)&amp;"' AS TIPOLOGIA_TESTE,'"&amp;D292&amp;"' AS TABELA_LT,'N/A' AS TABELA_SIMUL,'"&amp;F292&amp;"' AS CAMPO, "&amp;"'${ref_date}' AS REF_DATE, COUNT(*) AS NUM_REG, SUM(IF(REGEXP_REPLACE(TRIM(CAST(X."&amp;F292&amp;" AS STRING)),'[^a-zA-Z0-9_\\s]','') &lt;&gt;TRIM(CAST(X."&amp;F292&amp;" AS STRING)),1,0)) AS NUM_REG_DIF,'"&amp;MAX('ID1&amp;5'!K:K)+1&amp;"' AS ID_EXEC, CURRENT_TIMESTAMP() AS TIME_EXEC FROM "&amp;I292,
IF(C292="Missings",+"SELECT '"&amp;UPPER(B292)&amp;"' AS TABELA, '"&amp;UPPER(C292)&amp;"' AS TIPOLOGIA_TESTE,'"&amp;D292&amp;"' AS TABELA_LT,'N/A' AS TABELA_SIMUL,'"&amp;F292&amp;"' AS CAMPO, "&amp;"'${ref_date}' AS REF_DATE, COUNT(*) AS NUM_REG, SUM(IF(TRIM(CAST(X."&amp;F292&amp;" AS STRING)) IN ('0000-00-00','0001-01-01','9999-12-31','MISS','00000','99999999999','99999999999.00','99999999999.000000'),1,0)) AS NUM_REG_DIF,'"&amp;MAX('ID1&amp;5'!K:K)+1&amp;"' AS ID_EXEC, CURRENT_TIMESTAMP() AS TIME_EXEC FROM "&amp;I292,
IF(C292="Not applicable",+"SELECT '"&amp;UPPER(B292)&amp;"' AS TABELA, '"&amp;UPPER(C292)&amp;"' AS TIPOLOGIA_TESTE,'"&amp;D292&amp;"' AS TABELA_LT,'N/A' AS TABELA_SIMUL,'"&amp;F292&amp;"' AS CAMPO, "&amp;"'${ref_date}' AS REF_DATE, COUNT(*) AS NUM_REG, SUM(IF(TRIM(CAST(X."&amp;F292&amp;" AS STRING)) IN ('N/A','11111111111','11111111111.00','11111111111.000000','1111-11-11'),1,0)) AS NUM_REG_DIF,'"&amp;MAX('ID1&amp;5'!K:K)+1&amp;"' AS ID_EXEC, CURRENT_TIMESTAMP() AS TIME_EXEC FROM "&amp;I292,
IF(C292="Valores extremos",+"SELECT '"&amp;UPPER(B292)&amp;"' AS TABELA, '"&amp;UPPER(C292)&amp;"' AS TIPOLOGIA_TESTE,'"&amp;D292&amp;"' AS TABELA_LT,'N/A' AS TABELA_SIMUL,'"&amp;F292&amp;"' AS CAMPO, "&amp;"'${ref_date}' AS REF_DATE, CAST(MIN("&amp;F292&amp;") AS STRING) AS VALOR_MIN, CAST(MAX("&amp;F292&amp;") AS STRING) AS VALOR_MAX,'"&amp;MAX('ID1&amp;5'!K:K)+1&amp;"' AS ID_EXEC, CURRENT_TIMESTAMP() AS TIME_EXEC FROM "&amp;MID(I292,1,LEN(I292)-2)&amp;" AND CAST("&amp;F292&amp;"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TABELA_SIMUL,'SRCS_ENCMBRNC' AS CAMPO, '${ref_date}' AS REF_DATE, COUNT(*) AS NUM_REG, SUM(IF(COALESCE(CAST(X.SRCS_ENCMBRNC AS STRING),'')&lt;&gt;COALESCE(CAST(Y.SRCS_ENCMBRNC_SIMUL AS STRING),'') OR (X.SRCS_ENCMBRNC IS NULL AND Y.SRCS_ENCMBRNC_SIMUL IS NOT NULL ) OR (X.SRCS_ENCMBRNC IS NOT NULL AND Y.SRCS_ENCMBRNC_SIMUL IS NULL),1,0)) AS NUM_REG_DIF,'1' AS ID_EXEC, CURRENT_TIMESTAMP() AS TIME_EXEC FROM (SELECT instrmnt_id, SRCS_ENCMBRNC FROM CD_LOAN_TAPES_BCE.LT002_INSTRUMENT WHERE ref_date='${ref_date}' AND nome_perimetro='Individual Corporativo' AND segmento='ESTR' AND ambito='PM' AND entidade='00100')X INNER JOIN (SELECT instrmnt_id AS instrmnt_id_SIMUL, SRCS_ENCMBRNC AS SRCS_ENCMBRNC_SIMUL FROM BU_LOANTAPE_WORK.LT002_INSTRUMENT WHERE ref_date='${ref_date}' AND nome_perimetro='Individual Corporativo' AND segmento='ESTR' AND ambito='PM' AND entidade='00100')Y ON X.INSTRMNT_ID=Y.INSTRMNT_ID_SIMUL</v>
      </c>
      <c r="M292" s="36" t="str">
        <f t="shared" si="4"/>
        <v>UNION ALL SELECT 'INSTRUMENT' AS TABELA, 'COERÊNCIA' AS TIPOLOGIA_TESTE,'CD_LOAN_TAPES_BCE.LT002_INSTRUMENT' AS TABELA_LT,'BU_LOANTAPE_WORK.LT002_INSTRUMENT' AS TABELA_SIMUL,'SRCS_ENCMBRNC' AS CAMPO, '${ref_date}' AS REF_DATE, COUNT(*) AS NUM_REG, SUM(IF(COALESCE(CAST(X.SRCS_ENCMBRNC AS STRING),'')&lt;&gt;COALESCE(CAST(Y.SRCS_ENCMBRNC_SIMUL AS STRING),'') OR (X.SRCS_ENCMBRNC IS NULL AND Y.SRCS_ENCMBRNC_SIMUL IS NOT NULL ) OR (X.SRCS_ENCMBRNC IS NOT NULL AND Y.SRCS_ENCMBRNC_SIMUL IS NULL),1,0)) AS NUM_REG_DIF,'1' AS ID_EXEC, CURRENT_TIMESTAMP() AS TIME_EXEC FROM (SELECT instrmnt_id, SRCS_ENCMBRNC FROM CD_LOAN_TAPES_BCE.LT002_INSTRUMENT WHERE ref_date='${ref_date}' AND nome_perimetro='Individual Corporativo' AND segmento='ESTR' AND ambito='PM' AND entidade='00100')X INNER JOIN (SELECT instrmnt_id AS instrmnt_id_SIMUL, SRCS_ENCMBRNC AS SRCS_ENCMBRNC_SIMUL FROM BU_LOANTAPE_WORK.LT002_INSTRUMENT WHERE ref_date='${ref_date}' AND nome_perimetro='Individual Corporativo' AND segmento='ESTR' AND ambito='PM' AND entidade='00100')Y ON X.INSTRMNT_ID=Y.INSTRMNT_ID_SIMUL</v>
      </c>
      <c r="N292" s="38" t="s">
        <v>46</v>
      </c>
    </row>
    <row r="293" spans="2:14" hidden="1">
      <c r="B293" s="34" t="s">
        <v>126</v>
      </c>
      <c r="C293" s="34" t="s">
        <v>5</v>
      </c>
      <c r="D293" s="34" t="str">
        <f>+UPPER('0. Instruções'!$D$35&amp;"."&amp;VLOOKUP(B293,'0. Instruções'!$C$27:$D$32,2,FALSE))</f>
        <v>CD_LOAN_TAPES_BCE.LT002_INSTRUMENT</v>
      </c>
      <c r="E293" s="34" t="str">
        <f>+UPPER('0. Instruções'!$D$36&amp;"."&amp;VLOOKUP(B293,'0. Instruções'!$C$27:$E$32,3,FALSE))</f>
        <v>BU_LOANTAPE_WORK.LT002_INSTRUMENT</v>
      </c>
      <c r="F293" s="34" t="s">
        <v>573</v>
      </c>
      <c r="G293" s="34"/>
      <c r="H293" s="34" t="s">
        <v>89</v>
      </c>
      <c r="I293" s="34" t="str">
        <f>"(SELECT "&amp;VLOOKUP(B293,'0. Instruções'!$C$27:$G$32,4,FALSE)&amp;", "&amp;F293&amp;" FROM "&amp;D293&amp;" WHERE "&amp;'0. Instruções'!$D$42&amp;")X"</f>
        <v>(SELECT instrmnt_id, TYPE_OF_PLCMNT FROM CD_LOAN_TAPES_BCE.LT002_INSTRUMENT WHERE ref_date='${ref_date}' AND nome_perimetro='Individual Corporativo' AND segmento='ESTR' AND ambito='PM' AND entidade='00100')X</v>
      </c>
      <c r="J293" s="34" t="str">
        <f>"(SELECT "&amp;VLOOKUP(B293,'0. Instruções'!$C$27:$G$32,4,FALSE)&amp;" AS "&amp;VLOOKUP(B293,'0. Instruções'!$C$27:$G$32,4,FALSE)&amp;"_SIMUL, "&amp;F293&amp;" AS "&amp;F293&amp;"_SIMUL FROM "&amp;E293&amp;" WHERE "&amp;'0. Instruções'!$D$43&amp;")Y"</f>
        <v>(SELECT instrmnt_id AS instrmnt_id_SIMUL, TYPE_OF_PLCMNT AS TYPE_OF_PLCMNT_SIMUL FROM BU_LOANTAPE_WORK.LT002_INSTRUMENT WHERE ref_date='${ref_date}' AND nome_perimetro='Individual Corporativo' AND segmento='ESTR' AND ambito='PM' AND entidade='00100')Y</v>
      </c>
      <c r="K293" s="35" t="str">
        <f>+UPPER("ON X."&amp;VLOOKUP(B293,'0. Instruções'!$C$27:$G$32,4,FALSE)&amp;"=Y."&amp;VLOOKUP(B293,'0. Instruções'!$C$27:$G$32,4,FALSE)&amp;"_SIMUL")</f>
        <v>ON X.INSTRMNT_ID=Y.INSTRMNT_ID_SIMUL</v>
      </c>
      <c r="L293" s="35" t="str">
        <f>+IF(C293="Coerência", +IF(LEFT(G293,5)="FLOAT","SELECT '"&amp;UPPER(B293)&amp;"' AS TABELA, '"&amp;UPPER(C293)&amp;"' AS TIPOLOGIA_TESTE,'"&amp;D293&amp;"' AS TABELA_LT,'"&amp;E293&amp;"' AS TABELA_SIMUL,'"&amp;F293&amp;"' AS CAMPO, "&amp;"'${ref_date}' AS REF_DATE, COUNT(*) AS NUM_REG, SUM(IF((ABS(COALESCE(CAST(X."&amp;F293&amp;" AS DECIMAL(18,6)),0)-COALESCE(CAST(Y."&amp;F293&amp;"_SIMUL AS DECIMAL(18,6)),0))&gt;0.000001) OR (X."&amp;F293&amp;" IS NULL AND Y."&amp;F293&amp;"_SIMUL IS NOT NULL ) OR (X."&amp;F293&amp;" IS NOT NULL AND Y."&amp;F293&amp;"_SIMUL IS NULL),1,0)) AS NUM_REG_DIF,'"&amp;MAX('ID1&amp;5'!K:K)+1&amp;"' AS ID_EXEC, CURRENT_TIMESTAMP() AS TIME_EXEC FROM "&amp;I293&amp;" INNER JOIN "&amp;J293&amp;" "&amp;K293,"SELECT '"&amp;UPPER(B293)&amp;"' AS TABELA, '"&amp;UPPER(C293)&amp;"' AS TIPOLOGIA_TESTE,'"&amp;D293&amp;"' AS TABELA_LT,'"&amp;E293&amp;"' AS TABELA_SIMUL,'"&amp;F293&amp;"' AS CAMPO, "&amp;"'${ref_date}' AS REF_DATE, COUNT(*) AS NUM_REG, SUM(IF(COALESCE(CAST(X."&amp;F293&amp;" AS STRING),'')&lt;&gt;COALESCE(CAST(Y."&amp;F293&amp;"_SIMUL AS STRING),'') OR (X."&amp;F293&amp;" IS NULL AND Y."&amp;F293&amp;"_SIMUL IS NOT NULL ) OR (X."&amp;F293&amp;" IS NOT NULL AND Y."&amp;F293&amp;"_SIMUL IS NULL),1,0)) AS NUM_REG_DIF,'"&amp;MAX('ID1&amp;5'!L:L)+1&amp;"' AS ID_EXEC, CURRENT_TIMESTAMP() AS TIME_EXEC FROM "&amp;I293&amp;" INNER JOIN "&amp;J293&amp;" "&amp;K293),
IF(C293="Validade",+IF(G293="Code List","SELECT '"&amp;UPPER(B293)&amp;"' AS TABELA, '"&amp;UPPER(C293)&amp;"' AS TIPOLOGIA_TESTE,'"&amp;D293&amp;"' AS TABELA_LT,'N/A' AS TABELA_SIMUL,'"&amp;F293&amp;"' AS CAMPO, "&amp;"'${ref_date}' AS REF_DATE, COUNT(*) AS NUM_REG, SUM(IF(TRIM(CAST(X."&amp;F293&amp;" AS STRING))='' OR TRIM(CAST(X."&amp;F293&amp;" AS STRING)) IS NULL OR CAST(X."&amp;F293&amp;" AS STRING) NOT "&amp;H293&amp;",1,0)) AS NUM_REG_DIF,'"&amp;MAX('ID1&amp;5'!K:K)+1&amp;"' AS ID_EXEC, CURRENT_TIMESTAMP() AS TIME_EXEC FROM "&amp;I293,"SELECT '"&amp;UPPER(B293)&amp;"' AS TABELA, '"&amp;UPPER(C293)&amp;"' AS TIPOLOGIA_TESTE,'"&amp;D293&amp;"' AS TABELA_LT,'N/A' AS TABELA_SIMUL,'"&amp;F293&amp;"' AS CAMPO, "&amp;"'${ref_date}' AS REF_DATE, COUNT(*) AS NUM_REG, SUM(IF(TRIM(CAST(X."&amp;F293&amp;" AS STRING))='' OR TRIM(CAST(X."&amp;F293&amp;" AS STRING)) IS NULL,1,0)) AS NUM_REG_DIF,'"&amp;MAX('ID1&amp;5'!K:K)+1&amp;"' AS ID_EXEC, CURRENT_TIMESTAMP() AS TIME_EXEC FROM "&amp;I293),
IF(C293="Caracteres Especiais",+"SELECT '"&amp;UPPER(B293)&amp;"' AS TABELA, '"&amp;UPPER(C293)&amp;"' AS TIPOLOGIA_TESTE,'"&amp;D293&amp;"' AS TABELA_LT,'N/A' AS TABELA_SIMUL,'"&amp;F293&amp;"' AS CAMPO, "&amp;"'${ref_date}' AS REF_DATE, COUNT(*) AS NUM_REG, SUM(IF(REGEXP_REPLACE(TRIM(CAST(X."&amp;F293&amp;" AS STRING)),'[^a-zA-Z0-9_\\s]','') &lt;&gt;TRIM(CAST(X."&amp;F293&amp;" AS STRING)),1,0)) AS NUM_REG_DIF,'"&amp;MAX('ID1&amp;5'!K:K)+1&amp;"' AS ID_EXEC, CURRENT_TIMESTAMP() AS TIME_EXEC FROM "&amp;I293,
IF(C293="Missings",+"SELECT '"&amp;UPPER(B293)&amp;"' AS TABELA, '"&amp;UPPER(C293)&amp;"' AS TIPOLOGIA_TESTE,'"&amp;D293&amp;"' AS TABELA_LT,'N/A' AS TABELA_SIMUL,'"&amp;F293&amp;"' AS CAMPO, "&amp;"'${ref_date}' AS REF_DATE, COUNT(*) AS NUM_REG, SUM(IF(TRIM(CAST(X."&amp;F293&amp;" AS STRING)) IN ('0000-00-00','0001-01-01','9999-12-31','MISS','00000','99999999999','99999999999.00','99999999999.000000'),1,0)) AS NUM_REG_DIF,'"&amp;MAX('ID1&amp;5'!K:K)+1&amp;"' AS ID_EXEC, CURRENT_TIMESTAMP() AS TIME_EXEC FROM "&amp;I293,
IF(C293="Not applicable",+"SELECT '"&amp;UPPER(B293)&amp;"' AS TABELA, '"&amp;UPPER(C293)&amp;"' AS TIPOLOGIA_TESTE,'"&amp;D293&amp;"' AS TABELA_LT,'N/A' AS TABELA_SIMUL,'"&amp;F293&amp;"' AS CAMPO, "&amp;"'${ref_date}' AS REF_DATE, COUNT(*) AS NUM_REG, SUM(IF(TRIM(CAST(X."&amp;F293&amp;" AS STRING)) IN ('N/A','11111111111','11111111111.00','11111111111.000000','1111-11-11'),1,0)) AS NUM_REG_DIF,'"&amp;MAX('ID1&amp;5'!K:K)+1&amp;"' AS ID_EXEC, CURRENT_TIMESTAMP() AS TIME_EXEC FROM "&amp;I293,
IF(C293="Valores extremos",+"SELECT '"&amp;UPPER(B293)&amp;"' AS TABELA, '"&amp;UPPER(C293)&amp;"' AS TIPOLOGIA_TESTE,'"&amp;D293&amp;"' AS TABELA_LT,'N/A' AS TABELA_SIMUL,'"&amp;F293&amp;"' AS CAMPO, "&amp;"'${ref_date}' AS REF_DATE, CAST(MIN("&amp;F293&amp;") AS STRING) AS VALOR_MIN, CAST(MAX("&amp;F293&amp;") AS STRING) AS VALOR_MAX,'"&amp;MAX('ID1&amp;5'!K:K)+1&amp;"' AS ID_EXEC, CURRENT_TIMESTAMP() AS TIME_EXEC FROM "&amp;MID(I293,1,LEN(I293)-2)&amp;" AND CAST("&amp;F293&amp;"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TABELA_SIMUL,'TYPE_OF_PLCMNT' AS CAMPO, '${ref_date}' AS REF_DATE, COUNT(*) AS NUM_REG, SUM(IF(COALESCE(CAST(X.TYPE_OF_PLCMNT AS STRING),'')&lt;&gt;COALESCE(CAST(Y.TYPE_OF_PLCMNT_SIMUL AS STRING),'') OR (X.TYPE_OF_PLCMNT IS NULL AND Y.TYPE_OF_PLCMNT_SIMUL IS NOT NULL ) OR (X.TYPE_OF_PLCMNT IS NOT NULL AND Y.TYPE_OF_PLCMNT_SIMUL IS NULL),1,0)) AS NUM_REG_DIF,'1' AS ID_EXEC, CURRENT_TIMESTAMP() AS TIME_EXEC FROM (SELECT instrmnt_id, TYPE_OF_PLCMNT FROM CD_LOAN_TAPES_BCE.LT002_INSTRUMENT WHERE ref_date='${ref_date}' AND nome_perimetro='Individual Corporativo' AND segmento='ESTR' AND ambito='PM' AND entidade='00100')X INNER JOIN (SELECT instrmnt_id AS instrmnt_id_SIMUL, TYPE_OF_PLCMNT AS TYPE_OF_PLCMNT_SIMUL FROM BU_LOANTAPE_WORK.LT002_INSTRUMENT WHERE ref_date='${ref_date}' AND nome_perimetro='Individual Corporativo' AND segmento='ESTR' AND ambito='PM' AND entidade='00100')Y ON X.INSTRMNT_ID=Y.INSTRMNT_ID_SIMUL</v>
      </c>
      <c r="M293" s="36" t="str">
        <f t="shared" si="4"/>
        <v>UNION ALL SELECT 'INSTRUMENT' AS TABELA, 'COERÊNCIA' AS TIPOLOGIA_TESTE,'CD_LOAN_TAPES_BCE.LT002_INSTRUMENT' AS TABELA_LT,'BU_LOANTAPE_WORK.LT002_INSTRUMENT' AS TABELA_SIMUL,'TYPE_OF_PLCMNT' AS CAMPO, '${ref_date}' AS REF_DATE, COUNT(*) AS NUM_REG, SUM(IF(COALESCE(CAST(X.TYPE_OF_PLCMNT AS STRING),'')&lt;&gt;COALESCE(CAST(Y.TYPE_OF_PLCMNT_SIMUL AS STRING),'') OR (X.TYPE_OF_PLCMNT IS NULL AND Y.TYPE_OF_PLCMNT_SIMUL IS NOT NULL ) OR (X.TYPE_OF_PLCMNT IS NOT NULL AND Y.TYPE_OF_PLCMNT_SIMUL IS NULL),1,0)) AS NUM_REG_DIF,'1' AS ID_EXEC, CURRENT_TIMESTAMP() AS TIME_EXEC FROM (SELECT instrmnt_id, TYPE_OF_PLCMNT FROM CD_LOAN_TAPES_BCE.LT002_INSTRUMENT WHERE ref_date='${ref_date}' AND nome_perimetro='Individual Corporativo' AND segmento='ESTR' AND ambito='PM' AND entidade='00100')X INNER JOIN (SELECT instrmnt_id AS instrmnt_id_SIMUL, TYPE_OF_PLCMNT AS TYPE_OF_PLCMNT_SIMUL FROM BU_LOANTAPE_WORK.LT002_INSTRUMENT WHERE ref_date='${ref_date}' AND nome_perimetro='Individual Corporativo' AND segmento='ESTR' AND ambito='PM' AND entidade='00100')Y ON X.INSTRMNT_ID=Y.INSTRMNT_ID_SIMUL</v>
      </c>
      <c r="N293" s="38" t="s">
        <v>46</v>
      </c>
    </row>
    <row r="294" spans="2:14" hidden="1">
      <c r="B294" s="34" t="s">
        <v>126</v>
      </c>
      <c r="C294" s="34" t="s">
        <v>5</v>
      </c>
      <c r="D294" s="34" t="str">
        <f>+UPPER('0. Instruções'!$D$35&amp;"."&amp;VLOOKUP(B294,'0. Instruções'!$C$27:$D$32,2,FALSE))</f>
        <v>CD_LOAN_TAPES_BCE.LT002_INSTRUMENT</v>
      </c>
      <c r="E294" s="34" t="str">
        <f>+UPPER('0. Instruções'!$D$36&amp;"."&amp;VLOOKUP(B294,'0. Instruções'!$C$27:$E$32,3,FALSE))</f>
        <v>BU_LOANTAPE_WORK.LT002_INSTRUMENT</v>
      </c>
      <c r="F294" s="34" t="s">
        <v>574</v>
      </c>
      <c r="G294" s="34"/>
      <c r="H294" s="34" t="s">
        <v>89</v>
      </c>
      <c r="I294" s="34" t="str">
        <f>"(SELECT "&amp;VLOOKUP(B294,'0. Instruções'!$C$27:$G$32,4,FALSE)&amp;", "&amp;F294&amp;" FROM "&amp;D294&amp;" WHERE "&amp;'0. Instruções'!$D$42&amp;")X"</f>
        <v>(SELECT instrmnt_id, VLTN_CRRNCY FROM CD_LOAN_TAPES_BCE.LT002_INSTRUMENT WHERE ref_date='${ref_date}' AND nome_perimetro='Individual Corporativo' AND segmento='ESTR' AND ambito='PM' AND entidade='00100')X</v>
      </c>
      <c r="J294" s="34" t="str">
        <f>"(SELECT "&amp;VLOOKUP(B294,'0. Instruções'!$C$27:$G$32,4,FALSE)&amp;" AS "&amp;VLOOKUP(B294,'0. Instruções'!$C$27:$G$32,4,FALSE)&amp;"_SIMUL, "&amp;F294&amp;" AS "&amp;F294&amp;"_SIMUL FROM "&amp;E294&amp;" WHERE "&amp;'0. Instruções'!$D$43&amp;")Y"</f>
        <v>(SELECT instrmnt_id AS instrmnt_id_SIMUL, VLTN_CRRNCY AS VLTN_CRRNCY_SIMUL FROM BU_LOANTAPE_WORK.LT002_INSTRUMENT WHERE ref_date='${ref_date}' AND nome_perimetro='Individual Corporativo' AND segmento='ESTR' AND ambito='PM' AND entidade='00100')Y</v>
      </c>
      <c r="K294" s="35" t="str">
        <f>+UPPER("ON X."&amp;VLOOKUP(B294,'0. Instruções'!$C$27:$G$32,4,FALSE)&amp;"=Y."&amp;VLOOKUP(B294,'0. Instruções'!$C$27:$G$32,4,FALSE)&amp;"_SIMUL")</f>
        <v>ON X.INSTRMNT_ID=Y.INSTRMNT_ID_SIMUL</v>
      </c>
      <c r="L294" s="35" t="str">
        <f>+IF(C294="Coerência", +IF(LEFT(G294,5)="FLOAT","SELECT '"&amp;UPPER(B294)&amp;"' AS TABELA, '"&amp;UPPER(C294)&amp;"' AS TIPOLOGIA_TESTE,'"&amp;D294&amp;"' AS TABELA_LT,'"&amp;E294&amp;"' AS TABELA_SIMUL,'"&amp;F294&amp;"' AS CAMPO, "&amp;"'${ref_date}' AS REF_DATE, COUNT(*) AS NUM_REG, SUM(IF((ABS(COALESCE(CAST(X."&amp;F294&amp;" AS DECIMAL(18,6)),0)-COALESCE(CAST(Y."&amp;F294&amp;"_SIMUL AS DECIMAL(18,6)),0))&gt;0.000001) OR (X."&amp;F294&amp;" IS NULL AND Y."&amp;F294&amp;"_SIMUL IS NOT NULL ) OR (X."&amp;F294&amp;" IS NOT NULL AND Y."&amp;F294&amp;"_SIMUL IS NULL),1,0)) AS NUM_REG_DIF,'"&amp;MAX('ID1&amp;5'!K:K)+1&amp;"' AS ID_EXEC, CURRENT_TIMESTAMP() AS TIME_EXEC FROM "&amp;I294&amp;" INNER JOIN "&amp;J294&amp;" "&amp;K294,"SELECT '"&amp;UPPER(B294)&amp;"' AS TABELA, '"&amp;UPPER(C294)&amp;"' AS TIPOLOGIA_TESTE,'"&amp;D294&amp;"' AS TABELA_LT,'"&amp;E294&amp;"' AS TABELA_SIMUL,'"&amp;F294&amp;"' AS CAMPO, "&amp;"'${ref_date}' AS REF_DATE, COUNT(*) AS NUM_REG, SUM(IF(COALESCE(CAST(X."&amp;F294&amp;" AS STRING),'')&lt;&gt;COALESCE(CAST(Y."&amp;F294&amp;"_SIMUL AS STRING),'') OR (X."&amp;F294&amp;" IS NULL AND Y."&amp;F294&amp;"_SIMUL IS NOT NULL ) OR (X."&amp;F294&amp;" IS NOT NULL AND Y."&amp;F294&amp;"_SIMUL IS NULL),1,0)) AS NUM_REG_DIF,'"&amp;MAX('ID1&amp;5'!L:L)+1&amp;"' AS ID_EXEC, CURRENT_TIMESTAMP() AS TIME_EXEC FROM "&amp;I294&amp;" INNER JOIN "&amp;J294&amp;" "&amp;K294),
IF(C294="Validade",+IF(G294="Code List","SELECT '"&amp;UPPER(B294)&amp;"' AS TABELA, '"&amp;UPPER(C294)&amp;"' AS TIPOLOGIA_TESTE,'"&amp;D294&amp;"' AS TABELA_LT,'N/A' AS TABELA_SIMUL,'"&amp;F294&amp;"' AS CAMPO, "&amp;"'${ref_date}' AS REF_DATE, COUNT(*) AS NUM_REG, SUM(IF(TRIM(CAST(X."&amp;F294&amp;" AS STRING))='' OR TRIM(CAST(X."&amp;F294&amp;" AS STRING)) IS NULL OR CAST(X."&amp;F294&amp;" AS STRING) NOT "&amp;H294&amp;",1,0)) AS NUM_REG_DIF,'"&amp;MAX('ID1&amp;5'!K:K)+1&amp;"' AS ID_EXEC, CURRENT_TIMESTAMP() AS TIME_EXEC FROM "&amp;I294,"SELECT '"&amp;UPPER(B294)&amp;"' AS TABELA, '"&amp;UPPER(C294)&amp;"' AS TIPOLOGIA_TESTE,'"&amp;D294&amp;"' AS TABELA_LT,'N/A' AS TABELA_SIMUL,'"&amp;F294&amp;"' AS CAMPO, "&amp;"'${ref_date}' AS REF_DATE, COUNT(*) AS NUM_REG, SUM(IF(TRIM(CAST(X."&amp;F294&amp;" AS STRING))='' OR TRIM(CAST(X."&amp;F294&amp;" AS STRING)) IS NULL,1,0)) AS NUM_REG_DIF,'"&amp;MAX('ID1&amp;5'!K:K)+1&amp;"' AS ID_EXEC, CURRENT_TIMESTAMP() AS TIME_EXEC FROM "&amp;I294),
IF(C294="Caracteres Especiais",+"SELECT '"&amp;UPPER(B294)&amp;"' AS TABELA, '"&amp;UPPER(C294)&amp;"' AS TIPOLOGIA_TESTE,'"&amp;D294&amp;"' AS TABELA_LT,'N/A' AS TABELA_SIMUL,'"&amp;F294&amp;"' AS CAMPO, "&amp;"'${ref_date}' AS REF_DATE, COUNT(*) AS NUM_REG, SUM(IF(REGEXP_REPLACE(TRIM(CAST(X."&amp;F294&amp;" AS STRING)),'[^a-zA-Z0-9_\\s]','') &lt;&gt;TRIM(CAST(X."&amp;F294&amp;" AS STRING)),1,0)) AS NUM_REG_DIF,'"&amp;MAX('ID1&amp;5'!K:K)+1&amp;"' AS ID_EXEC, CURRENT_TIMESTAMP() AS TIME_EXEC FROM "&amp;I294,
IF(C294="Missings",+"SELECT '"&amp;UPPER(B294)&amp;"' AS TABELA, '"&amp;UPPER(C294)&amp;"' AS TIPOLOGIA_TESTE,'"&amp;D294&amp;"' AS TABELA_LT,'N/A' AS TABELA_SIMUL,'"&amp;F294&amp;"' AS CAMPO, "&amp;"'${ref_date}' AS REF_DATE, COUNT(*) AS NUM_REG, SUM(IF(TRIM(CAST(X."&amp;F294&amp;" AS STRING)) IN ('0000-00-00','0001-01-01','9999-12-31','MISS','00000','99999999999','99999999999.00','99999999999.000000'),1,0)) AS NUM_REG_DIF,'"&amp;MAX('ID1&amp;5'!K:K)+1&amp;"' AS ID_EXEC, CURRENT_TIMESTAMP() AS TIME_EXEC FROM "&amp;I294,
IF(C294="Not applicable",+"SELECT '"&amp;UPPER(B294)&amp;"' AS TABELA, '"&amp;UPPER(C294)&amp;"' AS TIPOLOGIA_TESTE,'"&amp;D294&amp;"' AS TABELA_LT,'N/A' AS TABELA_SIMUL,'"&amp;F294&amp;"' AS CAMPO, "&amp;"'${ref_date}' AS REF_DATE, COUNT(*) AS NUM_REG, SUM(IF(TRIM(CAST(X."&amp;F294&amp;" AS STRING)) IN ('N/A','11111111111','11111111111.00','11111111111.000000','1111-11-11'),1,0)) AS NUM_REG_DIF,'"&amp;MAX('ID1&amp;5'!K:K)+1&amp;"' AS ID_EXEC, CURRENT_TIMESTAMP() AS TIME_EXEC FROM "&amp;I294,
IF(C294="Valores extremos",+"SELECT '"&amp;UPPER(B294)&amp;"' AS TABELA, '"&amp;UPPER(C294)&amp;"' AS TIPOLOGIA_TESTE,'"&amp;D294&amp;"' AS TABELA_LT,'N/A' AS TABELA_SIMUL,'"&amp;F294&amp;"' AS CAMPO, "&amp;"'${ref_date}' AS REF_DATE, CAST(MIN("&amp;F294&amp;") AS STRING) AS VALOR_MIN, CAST(MAX("&amp;F294&amp;") AS STRING) AS VALOR_MAX,'"&amp;MAX('ID1&amp;5'!K:K)+1&amp;"' AS ID_EXEC, CURRENT_TIMESTAMP() AS TIME_EXEC FROM "&amp;MID(I294,1,LEN(I294)-2)&amp;" AND CAST("&amp;F294&amp;"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TABELA_SIMUL,'VLTN_CRRNCY' AS CAMPO, '${ref_date}' AS REF_DATE, COUNT(*) AS NUM_REG, SUM(IF(COALESCE(CAST(X.VLTN_CRRNCY AS STRING),'')&lt;&gt;COALESCE(CAST(Y.VLTN_CRRNCY_SIMUL AS STRING),'') OR (X.VLTN_CRRNCY IS NULL AND Y.VLTN_CRRNCY_SIMUL IS NOT NULL ) OR (X.VLTN_CRRNCY IS NOT NULL AND Y.VLTN_CRRNCY_SIMUL IS NULL),1,0)) AS NUM_REG_DIF,'1' AS ID_EXEC, CURRENT_TIMESTAMP() AS TIME_EXEC FROM (SELECT instrmnt_id, VLTN_CRRNCY FROM CD_LOAN_TAPES_BCE.LT002_INSTRUMENT WHERE ref_date='${ref_date}' AND nome_perimetro='Individual Corporativo' AND segmento='ESTR' AND ambito='PM' AND entidade='00100')X INNER JOIN (SELECT instrmnt_id AS instrmnt_id_SIMUL, VLTN_CRRNCY AS VLTN_CRRNCY_SIMUL FROM BU_LOANTAPE_WORK.LT002_INSTRUMENT WHERE ref_date='${ref_date}' AND nome_perimetro='Individual Corporativo' AND segmento='ESTR' AND ambito='PM' AND entidade='00100')Y ON X.INSTRMNT_ID=Y.INSTRMNT_ID_SIMUL</v>
      </c>
      <c r="M294" s="36" t="str">
        <f t="shared" si="4"/>
        <v>UNION ALL SELECT 'INSTRUMENT' AS TABELA, 'COERÊNCIA' AS TIPOLOGIA_TESTE,'CD_LOAN_TAPES_BCE.LT002_INSTRUMENT' AS TABELA_LT,'BU_LOANTAPE_WORK.LT002_INSTRUMENT' AS TABELA_SIMUL,'VLTN_CRRNCY' AS CAMPO, '${ref_date}' AS REF_DATE, COUNT(*) AS NUM_REG, SUM(IF(COALESCE(CAST(X.VLTN_CRRNCY AS STRING),'')&lt;&gt;COALESCE(CAST(Y.VLTN_CRRNCY_SIMUL AS STRING),'') OR (X.VLTN_CRRNCY IS NULL AND Y.VLTN_CRRNCY_SIMUL IS NOT NULL ) OR (X.VLTN_CRRNCY IS NOT NULL AND Y.VLTN_CRRNCY_SIMUL IS NULL),1,0)) AS NUM_REG_DIF,'1' AS ID_EXEC, CURRENT_TIMESTAMP() AS TIME_EXEC FROM (SELECT instrmnt_id, VLTN_CRRNCY FROM CD_LOAN_TAPES_BCE.LT002_INSTRUMENT WHERE ref_date='${ref_date}' AND nome_perimetro='Individual Corporativo' AND segmento='ESTR' AND ambito='PM' AND entidade='00100')X INNER JOIN (SELECT instrmnt_id AS instrmnt_id_SIMUL, VLTN_CRRNCY AS VLTN_CRRNCY_SIMUL FROM BU_LOANTAPE_WORK.LT002_INSTRUMENT WHERE ref_date='${ref_date}' AND nome_perimetro='Individual Corporativo' AND segmento='ESTR' AND ambito='PM' AND entidade='00100')Y ON X.INSTRMNT_ID=Y.INSTRMNT_ID_SIMUL</v>
      </c>
      <c r="N294" s="38" t="s">
        <v>46</v>
      </c>
    </row>
    <row r="295" spans="2:14" hidden="1">
      <c r="B295" s="34" t="s">
        <v>126</v>
      </c>
      <c r="C295" s="34" t="s">
        <v>5</v>
      </c>
      <c r="D295" s="34" t="str">
        <f>+UPPER('0. Instruções'!$D$35&amp;"."&amp;VLOOKUP(B295,'0. Instruções'!$C$27:$D$32,2,FALSE))</f>
        <v>CD_LOAN_TAPES_BCE.LT002_INSTRUMENT</v>
      </c>
      <c r="E295" s="34" t="str">
        <f>+UPPER('0. Instruções'!$D$36&amp;"."&amp;VLOOKUP(B295,'0. Instruções'!$C$27:$E$32,3,FALSE))</f>
        <v>BU_LOANTAPE_WORK.LT002_INSTRUMENT</v>
      </c>
      <c r="F295" s="34" t="s">
        <v>575</v>
      </c>
      <c r="G295" s="34"/>
      <c r="H295" s="34" t="s">
        <v>89</v>
      </c>
      <c r="I295" s="34" t="str">
        <f>"(SELECT "&amp;VLOOKUP(B295,'0. Instruções'!$C$27:$G$32,4,FALSE)&amp;", "&amp;F295&amp;" FROM "&amp;D295&amp;" WHERE "&amp;'0. Instruções'!$D$42&amp;")X"</f>
        <v>(SELECT instrmnt_id, VLTN_TYP FROM CD_LOAN_TAPES_BCE.LT002_INSTRUMENT WHERE ref_date='${ref_date}' AND nome_perimetro='Individual Corporativo' AND segmento='ESTR' AND ambito='PM' AND entidade='00100')X</v>
      </c>
      <c r="J295" s="34" t="str">
        <f>"(SELECT "&amp;VLOOKUP(B295,'0. Instruções'!$C$27:$G$32,4,FALSE)&amp;" AS "&amp;VLOOKUP(B295,'0. Instruções'!$C$27:$G$32,4,FALSE)&amp;"_SIMUL, "&amp;F295&amp;" AS "&amp;F295&amp;"_SIMUL FROM "&amp;E295&amp;" WHERE "&amp;'0. Instruções'!$D$43&amp;")Y"</f>
        <v>(SELECT instrmnt_id AS instrmnt_id_SIMUL, VLTN_TYP AS VLTN_TYP_SIMUL FROM BU_LOANTAPE_WORK.LT002_INSTRUMENT WHERE ref_date='${ref_date}' AND nome_perimetro='Individual Corporativo' AND segmento='ESTR' AND ambito='PM' AND entidade='00100')Y</v>
      </c>
      <c r="K295" s="35" t="str">
        <f>+UPPER("ON X."&amp;VLOOKUP(B295,'0. Instruções'!$C$27:$G$32,4,FALSE)&amp;"=Y."&amp;VLOOKUP(B295,'0. Instruções'!$C$27:$G$32,4,FALSE)&amp;"_SIMUL")</f>
        <v>ON X.INSTRMNT_ID=Y.INSTRMNT_ID_SIMUL</v>
      </c>
      <c r="L295" s="35" t="str">
        <f>+IF(C295="Coerência", +IF(LEFT(G295,5)="FLOAT","SELECT '"&amp;UPPER(B295)&amp;"' AS TABELA, '"&amp;UPPER(C295)&amp;"' AS TIPOLOGIA_TESTE,'"&amp;D295&amp;"' AS TABELA_LT,'"&amp;E295&amp;"' AS TABELA_SIMUL,'"&amp;F295&amp;"' AS CAMPO, "&amp;"'${ref_date}' AS REF_DATE, COUNT(*) AS NUM_REG, SUM(IF((ABS(COALESCE(CAST(X."&amp;F295&amp;" AS DECIMAL(18,6)),0)-COALESCE(CAST(Y."&amp;F295&amp;"_SIMUL AS DECIMAL(18,6)),0))&gt;0.000001) OR (X."&amp;F295&amp;" IS NULL AND Y."&amp;F295&amp;"_SIMUL IS NOT NULL ) OR (X."&amp;F295&amp;" IS NOT NULL AND Y."&amp;F295&amp;"_SIMUL IS NULL),1,0)) AS NUM_REG_DIF,'"&amp;MAX('ID1&amp;5'!K:K)+1&amp;"' AS ID_EXEC, CURRENT_TIMESTAMP() AS TIME_EXEC FROM "&amp;I295&amp;" INNER JOIN "&amp;J295&amp;" "&amp;K295,"SELECT '"&amp;UPPER(B295)&amp;"' AS TABELA, '"&amp;UPPER(C295)&amp;"' AS TIPOLOGIA_TESTE,'"&amp;D295&amp;"' AS TABELA_LT,'"&amp;E295&amp;"' AS TABELA_SIMUL,'"&amp;F295&amp;"' AS CAMPO, "&amp;"'${ref_date}' AS REF_DATE, COUNT(*) AS NUM_REG, SUM(IF(COALESCE(CAST(X."&amp;F295&amp;" AS STRING),'')&lt;&gt;COALESCE(CAST(Y."&amp;F295&amp;"_SIMUL AS STRING),'') OR (X."&amp;F295&amp;" IS NULL AND Y."&amp;F295&amp;"_SIMUL IS NOT NULL ) OR (X."&amp;F295&amp;" IS NOT NULL AND Y."&amp;F295&amp;"_SIMUL IS NULL),1,0)) AS NUM_REG_DIF,'"&amp;MAX('ID1&amp;5'!L:L)+1&amp;"' AS ID_EXEC, CURRENT_TIMESTAMP() AS TIME_EXEC FROM "&amp;I295&amp;" INNER JOIN "&amp;J295&amp;" "&amp;K295),
IF(C295="Validade",+IF(G295="Code List","SELECT '"&amp;UPPER(B295)&amp;"' AS TABELA, '"&amp;UPPER(C295)&amp;"' AS TIPOLOGIA_TESTE,'"&amp;D295&amp;"' AS TABELA_LT,'N/A' AS TABELA_SIMUL,'"&amp;F295&amp;"' AS CAMPO, "&amp;"'${ref_date}' AS REF_DATE, COUNT(*) AS NUM_REG, SUM(IF(TRIM(CAST(X."&amp;F295&amp;" AS STRING))='' OR TRIM(CAST(X."&amp;F295&amp;" AS STRING)) IS NULL OR CAST(X."&amp;F295&amp;" AS STRING) NOT "&amp;H295&amp;",1,0)) AS NUM_REG_DIF,'"&amp;MAX('ID1&amp;5'!K:K)+1&amp;"' AS ID_EXEC, CURRENT_TIMESTAMP() AS TIME_EXEC FROM "&amp;I295,"SELECT '"&amp;UPPER(B295)&amp;"' AS TABELA, '"&amp;UPPER(C295)&amp;"' AS TIPOLOGIA_TESTE,'"&amp;D295&amp;"' AS TABELA_LT,'N/A' AS TABELA_SIMUL,'"&amp;F295&amp;"' AS CAMPO, "&amp;"'${ref_date}' AS REF_DATE, COUNT(*) AS NUM_REG, SUM(IF(TRIM(CAST(X."&amp;F295&amp;" AS STRING))='' OR TRIM(CAST(X."&amp;F295&amp;" AS STRING)) IS NULL,1,0)) AS NUM_REG_DIF,'"&amp;MAX('ID1&amp;5'!K:K)+1&amp;"' AS ID_EXEC, CURRENT_TIMESTAMP() AS TIME_EXEC FROM "&amp;I295),
IF(C295="Caracteres Especiais",+"SELECT '"&amp;UPPER(B295)&amp;"' AS TABELA, '"&amp;UPPER(C295)&amp;"' AS TIPOLOGIA_TESTE,'"&amp;D295&amp;"' AS TABELA_LT,'N/A' AS TABELA_SIMUL,'"&amp;F295&amp;"' AS CAMPO, "&amp;"'${ref_date}' AS REF_DATE, COUNT(*) AS NUM_REG, SUM(IF(REGEXP_REPLACE(TRIM(CAST(X."&amp;F295&amp;" AS STRING)),'[^a-zA-Z0-9_\\s]','') &lt;&gt;TRIM(CAST(X."&amp;F295&amp;" AS STRING)),1,0)) AS NUM_REG_DIF,'"&amp;MAX('ID1&amp;5'!K:K)+1&amp;"' AS ID_EXEC, CURRENT_TIMESTAMP() AS TIME_EXEC FROM "&amp;I295,
IF(C295="Missings",+"SELECT '"&amp;UPPER(B295)&amp;"' AS TABELA, '"&amp;UPPER(C295)&amp;"' AS TIPOLOGIA_TESTE,'"&amp;D295&amp;"' AS TABELA_LT,'N/A' AS TABELA_SIMUL,'"&amp;F295&amp;"' AS CAMPO, "&amp;"'${ref_date}' AS REF_DATE, COUNT(*) AS NUM_REG, SUM(IF(TRIM(CAST(X."&amp;F295&amp;" AS STRING)) IN ('0000-00-00','0001-01-01','9999-12-31','MISS','00000','99999999999','99999999999.00','99999999999.000000'),1,0)) AS NUM_REG_DIF,'"&amp;MAX('ID1&amp;5'!K:K)+1&amp;"' AS ID_EXEC, CURRENT_TIMESTAMP() AS TIME_EXEC FROM "&amp;I295,
IF(C295="Not applicable",+"SELECT '"&amp;UPPER(B295)&amp;"' AS TABELA, '"&amp;UPPER(C295)&amp;"' AS TIPOLOGIA_TESTE,'"&amp;D295&amp;"' AS TABELA_LT,'N/A' AS TABELA_SIMUL,'"&amp;F295&amp;"' AS CAMPO, "&amp;"'${ref_date}' AS REF_DATE, COUNT(*) AS NUM_REG, SUM(IF(TRIM(CAST(X."&amp;F295&amp;" AS STRING)) IN ('N/A','11111111111','11111111111.00','11111111111.000000','1111-11-11'),1,0)) AS NUM_REG_DIF,'"&amp;MAX('ID1&amp;5'!K:K)+1&amp;"' AS ID_EXEC, CURRENT_TIMESTAMP() AS TIME_EXEC FROM "&amp;I295,
IF(C295="Valores extremos",+"SELECT '"&amp;UPPER(B295)&amp;"' AS TABELA, '"&amp;UPPER(C295)&amp;"' AS TIPOLOGIA_TESTE,'"&amp;D295&amp;"' AS TABELA_LT,'N/A' AS TABELA_SIMUL,'"&amp;F295&amp;"' AS CAMPO, "&amp;"'${ref_date}' AS REF_DATE, CAST(MIN("&amp;F295&amp;") AS STRING) AS VALOR_MIN, CAST(MAX("&amp;F295&amp;") AS STRING) AS VALOR_MAX,'"&amp;MAX('ID1&amp;5'!K:K)+1&amp;"' AS ID_EXEC, CURRENT_TIMESTAMP() AS TIME_EXEC FROM "&amp;MID(I295,1,LEN(I295)-2)&amp;" AND CAST("&amp;F295&amp;"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TABELA_SIMUL,'VLTN_TYP' AS CAMPO, '${ref_date}' AS REF_DATE, COUNT(*) AS NUM_REG, SUM(IF(COALESCE(CAST(X.VLTN_TYP AS STRING),'')&lt;&gt;COALESCE(CAST(Y.VLTN_TYP_SIMUL AS STRING),'') OR (X.VLTN_TYP IS NULL AND Y.VLTN_TYP_SIMUL IS NOT NULL ) OR (X.VLTN_TYP IS NOT NULL AND Y.VLTN_TYP_SIMUL IS NULL),1,0)) AS NUM_REG_DIF,'1' AS ID_EXEC, CURRENT_TIMESTAMP() AS TIME_EXEC FROM (SELECT instrmnt_id, VLTN_TYP FROM CD_LOAN_TAPES_BCE.LT002_INSTRUMENT WHERE ref_date='${ref_date}' AND nome_perimetro='Individual Corporativo' AND segmento='ESTR' AND ambito='PM' AND entidade='00100')X INNER JOIN (SELECT instrmnt_id AS instrmnt_id_SIMUL, VLTN_TYP AS VLTN_TYP_SIMUL FROM BU_LOANTAPE_WORK.LT002_INSTRUMENT WHERE ref_date='${ref_date}' AND nome_perimetro='Individual Corporativo' AND segmento='ESTR' AND ambito='PM' AND entidade='00100')Y ON X.INSTRMNT_ID=Y.INSTRMNT_ID_SIMUL</v>
      </c>
      <c r="M295" s="36" t="str">
        <f t="shared" si="4"/>
        <v>UNION ALL SELECT 'INSTRUMENT' AS TABELA, 'COERÊNCIA' AS TIPOLOGIA_TESTE,'CD_LOAN_TAPES_BCE.LT002_INSTRUMENT' AS TABELA_LT,'BU_LOANTAPE_WORK.LT002_INSTRUMENT' AS TABELA_SIMUL,'VLTN_TYP' AS CAMPO, '${ref_date}' AS REF_DATE, COUNT(*) AS NUM_REG, SUM(IF(COALESCE(CAST(X.VLTN_TYP AS STRING),'')&lt;&gt;COALESCE(CAST(Y.VLTN_TYP_SIMUL AS STRING),'') OR (X.VLTN_TYP IS NULL AND Y.VLTN_TYP_SIMUL IS NOT NULL ) OR (X.VLTN_TYP IS NOT NULL AND Y.VLTN_TYP_SIMUL IS NULL),1,0)) AS NUM_REG_DIF,'1' AS ID_EXEC, CURRENT_TIMESTAMP() AS TIME_EXEC FROM (SELECT instrmnt_id, VLTN_TYP FROM CD_LOAN_TAPES_BCE.LT002_INSTRUMENT WHERE ref_date='${ref_date}' AND nome_perimetro='Individual Corporativo' AND segmento='ESTR' AND ambito='PM' AND entidade='00100')X INNER JOIN (SELECT instrmnt_id AS instrmnt_id_SIMUL, VLTN_TYP AS VLTN_TYP_SIMUL FROM BU_LOANTAPE_WORK.LT002_INSTRUMENT WHERE ref_date='${ref_date}' AND nome_perimetro='Individual Corporativo' AND segmento='ESTR' AND ambito='PM' AND entidade='00100')Y ON X.INSTRMNT_ID=Y.INSTRMNT_ID_SIMUL</v>
      </c>
      <c r="N295" s="38" t="s">
        <v>46</v>
      </c>
    </row>
    <row r="296" spans="2:14" hidden="1">
      <c r="B296" s="34" t="s">
        <v>126</v>
      </c>
      <c r="C296" s="34" t="s">
        <v>5</v>
      </c>
      <c r="D296" s="34" t="str">
        <f>+UPPER('0. Instruções'!$D$35&amp;"."&amp;VLOOKUP(B296,'0. Instruções'!$C$27:$D$32,2,FALSE))</f>
        <v>CD_LOAN_TAPES_BCE.LT002_INSTRUMENT</v>
      </c>
      <c r="E296" s="34" t="str">
        <f>+UPPER('0. Instruções'!$D$36&amp;"."&amp;VLOOKUP(B296,'0. Instruções'!$C$27:$E$32,3,FALSE))</f>
        <v>BU_LOANTAPE_WORK.LT002_INSTRUMENT</v>
      </c>
      <c r="F296" s="34" t="s">
        <v>576</v>
      </c>
      <c r="G296" s="34"/>
      <c r="H296" s="34" t="s">
        <v>648</v>
      </c>
      <c r="I296" s="34" t="str">
        <f>"(SELECT "&amp;VLOOKUP(B296,'0. Instruções'!$C$27:$G$32,4,FALSE)&amp;", "&amp;F296&amp;" FROM "&amp;D296&amp;" WHERE "&amp;'0. Instruções'!$D$42&amp;")X"</f>
        <v>(SELECT instrmnt_id, LVRG_FNNC_FLG FROM CD_LOAN_TAPES_BCE.LT002_INSTRUMENT WHERE ref_date='${ref_date}' AND nome_perimetro='Individual Corporativo' AND segmento='ESTR' AND ambito='PM' AND entidade='00100')X</v>
      </c>
      <c r="J296" s="34" t="str">
        <f>"(SELECT "&amp;VLOOKUP(B296,'0. Instruções'!$C$27:$G$32,4,FALSE)&amp;" AS "&amp;VLOOKUP(B296,'0. Instruções'!$C$27:$G$32,4,FALSE)&amp;"_SIMUL, "&amp;F296&amp;" AS "&amp;F296&amp;"_SIMUL FROM "&amp;E296&amp;" WHERE "&amp;'0. Instruções'!$D$43&amp;")Y"</f>
        <v>(SELECT instrmnt_id AS instrmnt_id_SIMUL, LVRG_FNNC_FLG AS LVRG_FNNC_FLG_SIMUL FROM BU_LOANTAPE_WORK.LT002_INSTRUMENT WHERE ref_date='${ref_date}' AND nome_perimetro='Individual Corporativo' AND segmento='ESTR' AND ambito='PM' AND entidade='00100')Y</v>
      </c>
      <c r="K296" s="35" t="str">
        <f>+UPPER("ON X."&amp;VLOOKUP(B296,'0. Instruções'!$C$27:$G$32,4,FALSE)&amp;"=Y."&amp;VLOOKUP(B296,'0. Instruções'!$C$27:$G$32,4,FALSE)&amp;"_SIMUL")</f>
        <v>ON X.INSTRMNT_ID=Y.INSTRMNT_ID_SIMUL</v>
      </c>
      <c r="L296" s="35" t="str">
        <f>+IF(C296="Coerência", +IF(LEFT(G296,5)="FLOAT","SELECT '"&amp;UPPER(B296)&amp;"' AS TABELA, '"&amp;UPPER(C296)&amp;"' AS TIPOLOGIA_TESTE,'"&amp;D296&amp;"' AS TABELA_LT,'"&amp;E296&amp;"' AS TABELA_SIMUL,'"&amp;F296&amp;"' AS CAMPO, "&amp;"'${ref_date}' AS REF_DATE, COUNT(*) AS NUM_REG, SUM(IF((ABS(COALESCE(CAST(X."&amp;F296&amp;" AS DECIMAL(18,6)),0)-COALESCE(CAST(Y."&amp;F296&amp;"_SIMUL AS DECIMAL(18,6)),0))&gt;0.000001) OR (X."&amp;F296&amp;" IS NULL AND Y."&amp;F296&amp;"_SIMUL IS NOT NULL ) OR (X."&amp;F296&amp;" IS NOT NULL AND Y."&amp;F296&amp;"_SIMUL IS NULL),1,0)) AS NUM_REG_DIF,'"&amp;MAX('ID1&amp;5'!K:K)+1&amp;"' AS ID_EXEC, CURRENT_TIMESTAMP() AS TIME_EXEC FROM "&amp;I296&amp;" INNER JOIN "&amp;J296&amp;" "&amp;K296,"SELECT '"&amp;UPPER(B296)&amp;"' AS TABELA, '"&amp;UPPER(C296)&amp;"' AS TIPOLOGIA_TESTE,'"&amp;D296&amp;"' AS TABELA_LT,'"&amp;E296&amp;"' AS TABELA_SIMUL,'"&amp;F296&amp;"' AS CAMPO, "&amp;"'${ref_date}' AS REF_DATE, COUNT(*) AS NUM_REG, SUM(IF(COALESCE(CAST(X."&amp;F296&amp;" AS STRING),'')&lt;&gt;COALESCE(CAST(Y."&amp;F296&amp;"_SIMUL AS STRING),'') OR (X."&amp;F296&amp;" IS NULL AND Y."&amp;F296&amp;"_SIMUL IS NOT NULL ) OR (X."&amp;F296&amp;" IS NOT NULL AND Y."&amp;F296&amp;"_SIMUL IS NULL),1,0)) AS NUM_REG_DIF,'"&amp;MAX('ID1&amp;5'!L:L)+1&amp;"' AS ID_EXEC, CURRENT_TIMESTAMP() AS TIME_EXEC FROM "&amp;I296&amp;" INNER JOIN "&amp;J296&amp;" "&amp;K296),
IF(C296="Validade",+IF(G296="Code List","SELECT '"&amp;UPPER(B296)&amp;"' AS TABELA, '"&amp;UPPER(C296)&amp;"' AS TIPOLOGIA_TESTE,'"&amp;D296&amp;"' AS TABELA_LT,'N/A' AS TABELA_SIMUL,'"&amp;F296&amp;"' AS CAMPO, "&amp;"'${ref_date}' AS REF_DATE, COUNT(*) AS NUM_REG, SUM(IF(TRIM(CAST(X."&amp;F296&amp;" AS STRING))='' OR TRIM(CAST(X."&amp;F296&amp;" AS STRING)) IS NULL OR CAST(X."&amp;F296&amp;" AS STRING) NOT "&amp;H296&amp;",1,0)) AS NUM_REG_DIF,'"&amp;MAX('ID1&amp;5'!K:K)+1&amp;"' AS ID_EXEC, CURRENT_TIMESTAMP() AS TIME_EXEC FROM "&amp;I296,"SELECT '"&amp;UPPER(B296)&amp;"' AS TABELA, '"&amp;UPPER(C296)&amp;"' AS TIPOLOGIA_TESTE,'"&amp;D296&amp;"' AS TABELA_LT,'N/A' AS TABELA_SIMUL,'"&amp;F296&amp;"' AS CAMPO, "&amp;"'${ref_date}' AS REF_DATE, COUNT(*) AS NUM_REG, SUM(IF(TRIM(CAST(X."&amp;F296&amp;" AS STRING))='' OR TRIM(CAST(X."&amp;F296&amp;" AS STRING)) IS NULL,1,0)) AS NUM_REG_DIF,'"&amp;MAX('ID1&amp;5'!K:K)+1&amp;"' AS ID_EXEC, CURRENT_TIMESTAMP() AS TIME_EXEC FROM "&amp;I296),
IF(C296="Caracteres Especiais",+"SELECT '"&amp;UPPER(B296)&amp;"' AS TABELA, '"&amp;UPPER(C296)&amp;"' AS TIPOLOGIA_TESTE,'"&amp;D296&amp;"' AS TABELA_LT,'N/A' AS TABELA_SIMUL,'"&amp;F296&amp;"' AS CAMPO, "&amp;"'${ref_date}' AS REF_DATE, COUNT(*) AS NUM_REG, SUM(IF(REGEXP_REPLACE(TRIM(CAST(X."&amp;F296&amp;" AS STRING)),'[^a-zA-Z0-9_\\s]','') &lt;&gt;TRIM(CAST(X."&amp;F296&amp;" AS STRING)),1,0)) AS NUM_REG_DIF,'"&amp;MAX('ID1&amp;5'!K:K)+1&amp;"' AS ID_EXEC, CURRENT_TIMESTAMP() AS TIME_EXEC FROM "&amp;I296,
IF(C296="Missings",+"SELECT '"&amp;UPPER(B296)&amp;"' AS TABELA, '"&amp;UPPER(C296)&amp;"' AS TIPOLOGIA_TESTE,'"&amp;D296&amp;"' AS TABELA_LT,'N/A' AS TABELA_SIMUL,'"&amp;F296&amp;"' AS CAMPO, "&amp;"'${ref_date}' AS REF_DATE, COUNT(*) AS NUM_REG, SUM(IF(TRIM(CAST(X."&amp;F296&amp;" AS STRING)) IN ('0000-00-00','0001-01-01','9999-12-31','MISS','00000','99999999999','99999999999.00','99999999999.000000'),1,0)) AS NUM_REG_DIF,'"&amp;MAX('ID1&amp;5'!K:K)+1&amp;"' AS ID_EXEC, CURRENT_TIMESTAMP() AS TIME_EXEC FROM "&amp;I296,
IF(C296="Not applicable",+"SELECT '"&amp;UPPER(B296)&amp;"' AS TABELA, '"&amp;UPPER(C296)&amp;"' AS TIPOLOGIA_TESTE,'"&amp;D296&amp;"' AS TABELA_LT,'N/A' AS TABELA_SIMUL,'"&amp;F296&amp;"' AS CAMPO, "&amp;"'${ref_date}' AS REF_DATE, COUNT(*) AS NUM_REG, SUM(IF(TRIM(CAST(X."&amp;F296&amp;" AS STRING)) IN ('N/A','11111111111','11111111111.00','11111111111.000000','1111-11-11'),1,0)) AS NUM_REG_DIF,'"&amp;MAX('ID1&amp;5'!K:K)+1&amp;"' AS ID_EXEC, CURRENT_TIMESTAMP() AS TIME_EXEC FROM "&amp;I296,
IF(C296="Valores extremos",+"SELECT '"&amp;UPPER(B296)&amp;"' AS TABELA, '"&amp;UPPER(C296)&amp;"' AS TIPOLOGIA_TESTE,'"&amp;D296&amp;"' AS TABELA_LT,'N/A' AS TABELA_SIMUL,'"&amp;F296&amp;"' AS CAMPO, "&amp;"'${ref_date}' AS REF_DATE, CAST(MIN("&amp;F296&amp;") AS STRING) AS VALOR_MIN, CAST(MAX("&amp;F296&amp;") AS STRING) AS VALOR_MAX,'"&amp;MAX('ID1&amp;5'!K:K)+1&amp;"' AS ID_EXEC, CURRENT_TIMESTAMP() AS TIME_EXEC FROM "&amp;MID(I296,1,LEN(I296)-2)&amp;" AND CAST("&amp;F296&amp;"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TABELA_SIMUL,'LVRG_FNNC_FLG' AS CAMPO, '${ref_date}' AS REF_DATE, COUNT(*) AS NUM_REG, SUM(IF(COALESCE(CAST(X.LVRG_FNNC_FLG AS STRING),'')&lt;&gt;COALESCE(CAST(Y.LVRG_FNNC_FLG_SIMUL AS STRING),'') OR (X.LVRG_FNNC_FLG IS NULL AND Y.LVRG_FNNC_FLG_SIMUL IS NOT NULL ) OR (X.LVRG_FNNC_FLG IS NOT NULL AND Y.LVRG_FNNC_FLG_SIMUL IS NULL),1,0)) AS NUM_REG_DIF,'1' AS ID_EXEC, CURRENT_TIMESTAMP() AS TIME_EXEC FROM (SELECT instrmnt_id, LVRG_FNNC_FLG FROM CD_LOAN_TAPES_BCE.LT002_INSTRUMENT WHERE ref_date='${ref_date}' AND nome_perimetro='Individual Corporativo' AND segmento='ESTR' AND ambito='PM' AND entidade='00100')X INNER JOIN (SELECT instrmnt_id AS instrmnt_id_SIMUL, LVRG_FNNC_FLG AS LVRG_FNNC_FLG_SIMUL FROM BU_LOANTAPE_WORK.LT002_INSTRUMENT WHERE ref_date='${ref_date}' AND nome_perimetro='Individual Corporativo' AND segmento='ESTR' AND ambito='PM' AND entidade='00100')Y ON X.INSTRMNT_ID=Y.INSTRMNT_ID_SIMUL</v>
      </c>
      <c r="M296" s="36" t="str">
        <f t="shared" si="4"/>
        <v>UNION ALL SELECT 'INSTRUMENT' AS TABELA, 'COERÊNCIA' AS TIPOLOGIA_TESTE,'CD_LOAN_TAPES_BCE.LT002_INSTRUMENT' AS TABELA_LT,'BU_LOANTAPE_WORK.LT002_INSTRUMENT' AS TABELA_SIMUL,'LVRG_FNNC_FLG' AS CAMPO, '${ref_date}' AS REF_DATE, COUNT(*) AS NUM_REG, SUM(IF(COALESCE(CAST(X.LVRG_FNNC_FLG AS STRING),'')&lt;&gt;COALESCE(CAST(Y.LVRG_FNNC_FLG_SIMUL AS STRING),'') OR (X.LVRG_FNNC_FLG IS NULL AND Y.LVRG_FNNC_FLG_SIMUL IS NOT NULL ) OR (X.LVRG_FNNC_FLG IS NOT NULL AND Y.LVRG_FNNC_FLG_SIMUL IS NULL),1,0)) AS NUM_REG_DIF,'1' AS ID_EXEC, CURRENT_TIMESTAMP() AS TIME_EXEC FROM (SELECT instrmnt_id, LVRG_FNNC_FLG FROM CD_LOAN_TAPES_BCE.LT002_INSTRUMENT WHERE ref_date='${ref_date}' AND nome_perimetro='Individual Corporativo' AND segmento='ESTR' AND ambito='PM' AND entidade='00100')X INNER JOIN (SELECT instrmnt_id AS instrmnt_id_SIMUL, LVRG_FNNC_FLG AS LVRG_FNNC_FLG_SIMUL FROM BU_LOANTAPE_WORK.LT002_INSTRUMENT WHERE ref_date='${ref_date}' AND nome_perimetro='Individual Corporativo' AND segmento='ESTR' AND ambito='PM' AND entidade='00100')Y ON X.INSTRMNT_ID=Y.INSTRMNT_ID_SIMUL</v>
      </c>
      <c r="N296" s="38" t="s">
        <v>46</v>
      </c>
    </row>
    <row r="297" spans="2:14" hidden="1">
      <c r="B297" s="34" t="s">
        <v>126</v>
      </c>
      <c r="C297" s="34" t="s">
        <v>5</v>
      </c>
      <c r="D297" s="34" t="str">
        <f>+UPPER('0. Instruções'!$D$35&amp;"."&amp;VLOOKUP(B297,'0. Instruções'!$C$27:$D$32,2,FALSE))</f>
        <v>CD_LOAN_TAPES_BCE.LT002_INSTRUMENT</v>
      </c>
      <c r="E297" s="34" t="str">
        <f>+UPPER('0. Instruções'!$D$36&amp;"."&amp;VLOOKUP(B297,'0. Instruções'!$C$27:$E$32,3,FALSE))</f>
        <v>BU_LOANTAPE_WORK.LT002_INSTRUMENT</v>
      </c>
      <c r="F297" s="34" t="s">
        <v>577</v>
      </c>
      <c r="G297" s="34"/>
      <c r="H297" s="34" t="s">
        <v>646</v>
      </c>
      <c r="I297" s="34" t="str">
        <f>"(SELECT "&amp;VLOOKUP(B297,'0. Instruções'!$C$27:$G$32,4,FALSE)&amp;", "&amp;F297&amp;" FROM "&amp;D297&amp;" WHERE "&amp;'0. Instruções'!$D$42&amp;")X"</f>
        <v>(SELECT instrmnt_id, INTRNL_SGMNT_IFRS9 FROM CD_LOAN_TAPES_BCE.LT002_INSTRUMENT WHERE ref_date='${ref_date}' AND nome_perimetro='Individual Corporativo' AND segmento='ESTR' AND ambito='PM' AND entidade='00100')X</v>
      </c>
      <c r="J297" s="34" t="str">
        <f>"(SELECT "&amp;VLOOKUP(B297,'0. Instruções'!$C$27:$G$32,4,FALSE)&amp;" AS "&amp;VLOOKUP(B297,'0. Instruções'!$C$27:$G$32,4,FALSE)&amp;"_SIMUL, "&amp;F297&amp;" AS "&amp;F297&amp;"_SIMUL FROM "&amp;E297&amp;" WHERE "&amp;'0. Instruções'!$D$43&amp;")Y"</f>
        <v>(SELECT instrmnt_id AS instrmnt_id_SIMUL, INTRNL_SGMNT_IFRS9 AS INTRNL_SGMNT_IFRS9_SIMUL FROM BU_LOANTAPE_WORK.LT002_INSTRUMENT WHERE ref_date='${ref_date}' AND nome_perimetro='Individual Corporativo' AND segmento='ESTR' AND ambito='PM' AND entidade='00100')Y</v>
      </c>
      <c r="K297" s="35" t="str">
        <f>+UPPER("ON X."&amp;VLOOKUP(B297,'0. Instruções'!$C$27:$G$32,4,FALSE)&amp;"=Y."&amp;VLOOKUP(B297,'0. Instruções'!$C$27:$G$32,4,FALSE)&amp;"_SIMUL")</f>
        <v>ON X.INSTRMNT_ID=Y.INSTRMNT_ID_SIMUL</v>
      </c>
      <c r="L297" s="35" t="str">
        <f>+IF(C297="Coerência", +IF(LEFT(G297,5)="FLOAT","SELECT '"&amp;UPPER(B297)&amp;"' AS TABELA, '"&amp;UPPER(C297)&amp;"' AS TIPOLOGIA_TESTE,'"&amp;D297&amp;"' AS TABELA_LT,'"&amp;E297&amp;"' AS TABELA_SIMUL,'"&amp;F297&amp;"' AS CAMPO, "&amp;"'${ref_date}' AS REF_DATE, COUNT(*) AS NUM_REG, SUM(IF((ABS(COALESCE(CAST(X."&amp;F297&amp;" AS DECIMAL(18,6)),0)-COALESCE(CAST(Y."&amp;F297&amp;"_SIMUL AS DECIMAL(18,6)),0))&gt;0.000001) OR (X."&amp;F297&amp;" IS NULL AND Y."&amp;F297&amp;"_SIMUL IS NOT NULL ) OR (X."&amp;F297&amp;" IS NOT NULL AND Y."&amp;F297&amp;"_SIMUL IS NULL),1,0)) AS NUM_REG_DIF,'"&amp;MAX('ID1&amp;5'!K:K)+1&amp;"' AS ID_EXEC, CURRENT_TIMESTAMP() AS TIME_EXEC FROM "&amp;I297&amp;" INNER JOIN "&amp;J297&amp;" "&amp;K297,"SELECT '"&amp;UPPER(B297)&amp;"' AS TABELA, '"&amp;UPPER(C297)&amp;"' AS TIPOLOGIA_TESTE,'"&amp;D297&amp;"' AS TABELA_LT,'"&amp;E297&amp;"' AS TABELA_SIMUL,'"&amp;F297&amp;"' AS CAMPO, "&amp;"'${ref_date}' AS REF_DATE, COUNT(*) AS NUM_REG, SUM(IF(COALESCE(CAST(X."&amp;F297&amp;" AS STRING),'')&lt;&gt;COALESCE(CAST(Y."&amp;F297&amp;"_SIMUL AS STRING),'') OR (X."&amp;F297&amp;" IS NULL AND Y."&amp;F297&amp;"_SIMUL IS NOT NULL ) OR (X."&amp;F297&amp;" IS NOT NULL AND Y."&amp;F297&amp;"_SIMUL IS NULL),1,0)) AS NUM_REG_DIF,'"&amp;MAX('ID1&amp;5'!L:L)+1&amp;"' AS ID_EXEC, CURRENT_TIMESTAMP() AS TIME_EXEC FROM "&amp;I297&amp;" INNER JOIN "&amp;J297&amp;" "&amp;K297),
IF(C297="Validade",+IF(G297="Code List","SELECT '"&amp;UPPER(B297)&amp;"' AS TABELA, '"&amp;UPPER(C297)&amp;"' AS TIPOLOGIA_TESTE,'"&amp;D297&amp;"' AS TABELA_LT,'N/A' AS TABELA_SIMUL,'"&amp;F297&amp;"' AS CAMPO, "&amp;"'${ref_date}' AS REF_DATE, COUNT(*) AS NUM_REG, SUM(IF(TRIM(CAST(X."&amp;F297&amp;" AS STRING))='' OR TRIM(CAST(X."&amp;F297&amp;" AS STRING)) IS NULL OR CAST(X."&amp;F297&amp;" AS STRING) NOT "&amp;H297&amp;",1,0)) AS NUM_REG_DIF,'"&amp;MAX('ID1&amp;5'!K:K)+1&amp;"' AS ID_EXEC, CURRENT_TIMESTAMP() AS TIME_EXEC FROM "&amp;I297,"SELECT '"&amp;UPPER(B297)&amp;"' AS TABELA, '"&amp;UPPER(C297)&amp;"' AS TIPOLOGIA_TESTE,'"&amp;D297&amp;"' AS TABELA_LT,'N/A' AS TABELA_SIMUL,'"&amp;F297&amp;"' AS CAMPO, "&amp;"'${ref_date}' AS REF_DATE, COUNT(*) AS NUM_REG, SUM(IF(TRIM(CAST(X."&amp;F297&amp;" AS STRING))='' OR TRIM(CAST(X."&amp;F297&amp;" AS STRING)) IS NULL,1,0)) AS NUM_REG_DIF,'"&amp;MAX('ID1&amp;5'!K:K)+1&amp;"' AS ID_EXEC, CURRENT_TIMESTAMP() AS TIME_EXEC FROM "&amp;I297),
IF(C297="Caracteres Especiais",+"SELECT '"&amp;UPPER(B297)&amp;"' AS TABELA, '"&amp;UPPER(C297)&amp;"' AS TIPOLOGIA_TESTE,'"&amp;D297&amp;"' AS TABELA_LT,'N/A' AS TABELA_SIMUL,'"&amp;F297&amp;"' AS CAMPO, "&amp;"'${ref_date}' AS REF_DATE, COUNT(*) AS NUM_REG, SUM(IF(REGEXP_REPLACE(TRIM(CAST(X."&amp;F297&amp;" AS STRING)),'[^a-zA-Z0-9_\\s]','') &lt;&gt;TRIM(CAST(X."&amp;F297&amp;" AS STRING)),1,0)) AS NUM_REG_DIF,'"&amp;MAX('ID1&amp;5'!K:K)+1&amp;"' AS ID_EXEC, CURRENT_TIMESTAMP() AS TIME_EXEC FROM "&amp;I297,
IF(C297="Missings",+"SELECT '"&amp;UPPER(B297)&amp;"' AS TABELA, '"&amp;UPPER(C297)&amp;"' AS TIPOLOGIA_TESTE,'"&amp;D297&amp;"' AS TABELA_LT,'N/A' AS TABELA_SIMUL,'"&amp;F297&amp;"' AS CAMPO, "&amp;"'${ref_date}' AS REF_DATE, COUNT(*) AS NUM_REG, SUM(IF(TRIM(CAST(X."&amp;F297&amp;" AS STRING)) IN ('0000-00-00','0001-01-01','9999-12-31','MISS','00000','99999999999','99999999999.00','99999999999.000000'),1,0)) AS NUM_REG_DIF,'"&amp;MAX('ID1&amp;5'!K:K)+1&amp;"' AS ID_EXEC, CURRENT_TIMESTAMP() AS TIME_EXEC FROM "&amp;I297,
IF(C297="Not applicable",+"SELECT '"&amp;UPPER(B297)&amp;"' AS TABELA, '"&amp;UPPER(C297)&amp;"' AS TIPOLOGIA_TESTE,'"&amp;D297&amp;"' AS TABELA_LT,'N/A' AS TABELA_SIMUL,'"&amp;F297&amp;"' AS CAMPO, "&amp;"'${ref_date}' AS REF_DATE, COUNT(*) AS NUM_REG, SUM(IF(TRIM(CAST(X."&amp;F297&amp;" AS STRING)) IN ('N/A','11111111111','11111111111.00','11111111111.000000','1111-11-11'),1,0)) AS NUM_REG_DIF,'"&amp;MAX('ID1&amp;5'!K:K)+1&amp;"' AS ID_EXEC, CURRENT_TIMESTAMP() AS TIME_EXEC FROM "&amp;I297,
IF(C297="Valores extremos",+"SELECT '"&amp;UPPER(B297)&amp;"' AS TABELA, '"&amp;UPPER(C297)&amp;"' AS TIPOLOGIA_TESTE,'"&amp;D297&amp;"' AS TABELA_LT,'N/A' AS TABELA_SIMUL,'"&amp;F297&amp;"' AS CAMPO, "&amp;"'${ref_date}' AS REF_DATE, CAST(MIN("&amp;F297&amp;") AS STRING) AS VALOR_MIN, CAST(MAX("&amp;F297&amp;") AS STRING) AS VALOR_MAX,'"&amp;MAX('ID1&amp;5'!K:K)+1&amp;"' AS ID_EXEC, CURRENT_TIMESTAMP() AS TIME_EXEC FROM "&amp;MID(I297,1,LEN(I297)-2)&amp;" AND CAST("&amp;F297&amp;"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TABELA_SIMUL,'INTRNL_SGMNT_IFRS9' AS CAMPO, '${ref_date}' AS REF_DATE, COUNT(*) AS NUM_REG, SUM(IF(COALESCE(CAST(X.INTRNL_SGMNT_IFRS9 AS STRING),'')&lt;&gt;COALESCE(CAST(Y.INTRNL_SGMNT_IFRS9_SIMUL AS STRING),'') OR (X.INTRNL_SGMNT_IFRS9 IS NULL AND Y.INTRNL_SGMNT_IFRS9_SIMUL IS NOT NULL ) OR (X.INTRNL_SGMNT_IFRS9 IS NOT NULL AND Y.INTRNL_SGMNT_IFRS9_SIMUL IS NULL),1,0)) AS NUM_REG_DIF,'1' AS ID_EXEC, CURRENT_TIMESTAMP() AS TIME_EXEC FROM (SELECT instrmnt_id, INTRNL_SGMNT_IFRS9 FROM CD_LOAN_TAPES_BCE.LT002_INSTRUMENT WHERE ref_date='${ref_date}' AND nome_perimetro='Individual Corporativo' AND segmento='ESTR' AND ambito='PM' AND entidade='00100')X INNER JOIN (SELECT instrmnt_id AS instrmnt_id_SIMUL, INTRNL_SGMNT_IFRS9 AS INTRNL_SGMNT_IFRS9_SIMUL FROM BU_LOANTAPE_WORK.LT002_INSTRUMENT WHERE ref_date='${ref_date}' AND nome_perimetro='Individual Corporativo' AND segmento='ESTR' AND ambito='PM' AND entidade='00100')Y ON X.INSTRMNT_ID=Y.INSTRMNT_ID_SIMUL</v>
      </c>
      <c r="M297" s="36" t="str">
        <f t="shared" si="4"/>
        <v>UNION ALL SELECT 'INSTRUMENT' AS TABELA, 'COERÊNCIA' AS TIPOLOGIA_TESTE,'CD_LOAN_TAPES_BCE.LT002_INSTRUMENT' AS TABELA_LT,'BU_LOANTAPE_WORK.LT002_INSTRUMENT' AS TABELA_SIMUL,'INTRNL_SGMNT_IFRS9' AS CAMPO, '${ref_date}' AS REF_DATE, COUNT(*) AS NUM_REG, SUM(IF(COALESCE(CAST(X.INTRNL_SGMNT_IFRS9 AS STRING),'')&lt;&gt;COALESCE(CAST(Y.INTRNL_SGMNT_IFRS9_SIMUL AS STRING),'') OR (X.INTRNL_SGMNT_IFRS9 IS NULL AND Y.INTRNL_SGMNT_IFRS9_SIMUL IS NOT NULL ) OR (X.INTRNL_SGMNT_IFRS9 IS NOT NULL AND Y.INTRNL_SGMNT_IFRS9_SIMUL IS NULL),1,0)) AS NUM_REG_DIF,'1' AS ID_EXEC, CURRENT_TIMESTAMP() AS TIME_EXEC FROM (SELECT instrmnt_id, INTRNL_SGMNT_IFRS9 FROM CD_LOAN_TAPES_BCE.LT002_INSTRUMENT WHERE ref_date='${ref_date}' AND nome_perimetro='Individual Corporativo' AND segmento='ESTR' AND ambito='PM' AND entidade='00100')X INNER JOIN (SELECT instrmnt_id AS instrmnt_id_SIMUL, INTRNL_SGMNT_IFRS9 AS INTRNL_SGMNT_IFRS9_SIMUL FROM BU_LOANTAPE_WORK.LT002_INSTRUMENT WHERE ref_date='${ref_date}' AND nome_perimetro='Individual Corporativo' AND segmento='ESTR' AND ambito='PM' AND entidade='00100')Y ON X.INSTRMNT_ID=Y.INSTRMNT_ID_SIMUL</v>
      </c>
      <c r="N297" s="38" t="s">
        <v>46</v>
      </c>
    </row>
    <row r="298" spans="2:14" hidden="1">
      <c r="B298" s="34" t="s">
        <v>126</v>
      </c>
      <c r="C298" s="34" t="s">
        <v>5</v>
      </c>
      <c r="D298" s="34" t="str">
        <f>+UPPER('0. Instruções'!$D$35&amp;"."&amp;VLOOKUP(B298,'0. Instruções'!$C$27:$D$32,2,FALSE))</f>
        <v>CD_LOAN_TAPES_BCE.LT002_INSTRUMENT</v>
      </c>
      <c r="E298" s="34" t="str">
        <f>+UPPER('0. Instruções'!$D$36&amp;"."&amp;VLOOKUP(B298,'0. Instruções'!$C$27:$E$32,3,FALSE))</f>
        <v>BU_LOANTAPE_WORK.LT002_INSTRUMENT</v>
      </c>
      <c r="F298" s="34" t="s">
        <v>578</v>
      </c>
      <c r="G298" s="34"/>
      <c r="H298" s="34" t="s">
        <v>89</v>
      </c>
      <c r="I298" s="34" t="str">
        <f>"(SELECT "&amp;VLOOKUP(B298,'0. Instruções'!$C$27:$G$32,4,FALSE)&amp;", "&amp;F298&amp;" FROM "&amp;D298&amp;" WHERE "&amp;'0. Instruções'!$D$42&amp;")X"</f>
        <v>(SELECT instrmnt_id, INTRNL_SGMNT_CAT_MSTA FROM CD_LOAN_TAPES_BCE.LT002_INSTRUMENT WHERE ref_date='${ref_date}' AND nome_perimetro='Individual Corporativo' AND segmento='ESTR' AND ambito='PM' AND entidade='00100')X</v>
      </c>
      <c r="J298" s="34" t="str">
        <f>"(SELECT "&amp;VLOOKUP(B298,'0. Instruções'!$C$27:$G$32,4,FALSE)&amp;" AS "&amp;VLOOKUP(B298,'0. Instruções'!$C$27:$G$32,4,FALSE)&amp;"_SIMUL, "&amp;F298&amp;" AS "&amp;F298&amp;"_SIMUL FROM "&amp;E298&amp;" WHERE "&amp;'0. Instruções'!$D$43&amp;")Y"</f>
        <v>(SELECT instrmnt_id AS instrmnt_id_SIMUL, INTRNL_SGMNT_CAT_MSTA AS INTRNL_SGMNT_CAT_MSTA_SIMUL FROM BU_LOANTAPE_WORK.LT002_INSTRUMENT WHERE ref_date='${ref_date}' AND nome_perimetro='Individual Corporativo' AND segmento='ESTR' AND ambito='PM' AND entidade='00100')Y</v>
      </c>
      <c r="K298" s="35" t="str">
        <f>+UPPER("ON X."&amp;VLOOKUP(B298,'0. Instruções'!$C$27:$G$32,4,FALSE)&amp;"=Y."&amp;VLOOKUP(B298,'0. Instruções'!$C$27:$G$32,4,FALSE)&amp;"_SIMUL")</f>
        <v>ON X.INSTRMNT_ID=Y.INSTRMNT_ID_SIMUL</v>
      </c>
      <c r="L298" s="35" t="str">
        <f>+IF(C298="Coerência", +IF(LEFT(G298,5)="FLOAT","SELECT '"&amp;UPPER(B298)&amp;"' AS TABELA, '"&amp;UPPER(C298)&amp;"' AS TIPOLOGIA_TESTE,'"&amp;D298&amp;"' AS TABELA_LT,'"&amp;E298&amp;"' AS TABELA_SIMUL,'"&amp;F298&amp;"' AS CAMPO, "&amp;"'${ref_date}' AS REF_DATE, COUNT(*) AS NUM_REG, SUM(IF((ABS(COALESCE(CAST(X."&amp;F298&amp;" AS DECIMAL(18,6)),0)-COALESCE(CAST(Y."&amp;F298&amp;"_SIMUL AS DECIMAL(18,6)),0))&gt;0.000001) OR (X."&amp;F298&amp;" IS NULL AND Y."&amp;F298&amp;"_SIMUL IS NOT NULL ) OR (X."&amp;F298&amp;" IS NOT NULL AND Y."&amp;F298&amp;"_SIMUL IS NULL),1,0)) AS NUM_REG_DIF,'"&amp;MAX('ID1&amp;5'!K:K)+1&amp;"' AS ID_EXEC, CURRENT_TIMESTAMP() AS TIME_EXEC FROM "&amp;I298&amp;" INNER JOIN "&amp;J298&amp;" "&amp;K298,"SELECT '"&amp;UPPER(B298)&amp;"' AS TABELA, '"&amp;UPPER(C298)&amp;"' AS TIPOLOGIA_TESTE,'"&amp;D298&amp;"' AS TABELA_LT,'"&amp;E298&amp;"' AS TABELA_SIMUL,'"&amp;F298&amp;"' AS CAMPO, "&amp;"'${ref_date}' AS REF_DATE, COUNT(*) AS NUM_REG, SUM(IF(COALESCE(CAST(X."&amp;F298&amp;" AS STRING),'')&lt;&gt;COALESCE(CAST(Y."&amp;F298&amp;"_SIMUL AS STRING),'') OR (X."&amp;F298&amp;" IS NULL AND Y."&amp;F298&amp;"_SIMUL IS NOT NULL ) OR (X."&amp;F298&amp;" IS NOT NULL AND Y."&amp;F298&amp;"_SIMUL IS NULL),1,0)) AS NUM_REG_DIF,'"&amp;MAX('ID1&amp;5'!L:L)+1&amp;"' AS ID_EXEC, CURRENT_TIMESTAMP() AS TIME_EXEC FROM "&amp;I298&amp;" INNER JOIN "&amp;J298&amp;" "&amp;K298),
IF(C298="Validade",+IF(G298="Code List","SELECT '"&amp;UPPER(B298)&amp;"' AS TABELA, '"&amp;UPPER(C298)&amp;"' AS TIPOLOGIA_TESTE,'"&amp;D298&amp;"' AS TABELA_LT,'N/A' AS TABELA_SIMUL,'"&amp;F298&amp;"' AS CAMPO, "&amp;"'${ref_date}' AS REF_DATE, COUNT(*) AS NUM_REG, SUM(IF(TRIM(CAST(X."&amp;F298&amp;" AS STRING))='' OR TRIM(CAST(X."&amp;F298&amp;" AS STRING)) IS NULL OR CAST(X."&amp;F298&amp;" AS STRING) NOT "&amp;H298&amp;",1,0)) AS NUM_REG_DIF,'"&amp;MAX('ID1&amp;5'!K:K)+1&amp;"' AS ID_EXEC, CURRENT_TIMESTAMP() AS TIME_EXEC FROM "&amp;I298,"SELECT '"&amp;UPPER(B298)&amp;"' AS TABELA, '"&amp;UPPER(C298)&amp;"' AS TIPOLOGIA_TESTE,'"&amp;D298&amp;"' AS TABELA_LT,'N/A' AS TABELA_SIMUL,'"&amp;F298&amp;"' AS CAMPO, "&amp;"'${ref_date}' AS REF_DATE, COUNT(*) AS NUM_REG, SUM(IF(TRIM(CAST(X."&amp;F298&amp;" AS STRING))='' OR TRIM(CAST(X."&amp;F298&amp;" AS STRING)) IS NULL,1,0)) AS NUM_REG_DIF,'"&amp;MAX('ID1&amp;5'!K:K)+1&amp;"' AS ID_EXEC, CURRENT_TIMESTAMP() AS TIME_EXEC FROM "&amp;I298),
IF(C298="Caracteres Especiais",+"SELECT '"&amp;UPPER(B298)&amp;"' AS TABELA, '"&amp;UPPER(C298)&amp;"' AS TIPOLOGIA_TESTE,'"&amp;D298&amp;"' AS TABELA_LT,'N/A' AS TABELA_SIMUL,'"&amp;F298&amp;"' AS CAMPO, "&amp;"'${ref_date}' AS REF_DATE, COUNT(*) AS NUM_REG, SUM(IF(REGEXP_REPLACE(TRIM(CAST(X."&amp;F298&amp;" AS STRING)),'[^a-zA-Z0-9_\\s]','') &lt;&gt;TRIM(CAST(X."&amp;F298&amp;" AS STRING)),1,0)) AS NUM_REG_DIF,'"&amp;MAX('ID1&amp;5'!K:K)+1&amp;"' AS ID_EXEC, CURRENT_TIMESTAMP() AS TIME_EXEC FROM "&amp;I298,
IF(C298="Missings",+"SELECT '"&amp;UPPER(B298)&amp;"' AS TABELA, '"&amp;UPPER(C298)&amp;"' AS TIPOLOGIA_TESTE,'"&amp;D298&amp;"' AS TABELA_LT,'N/A' AS TABELA_SIMUL,'"&amp;F298&amp;"' AS CAMPO, "&amp;"'${ref_date}' AS REF_DATE, COUNT(*) AS NUM_REG, SUM(IF(TRIM(CAST(X."&amp;F298&amp;" AS STRING)) IN ('0000-00-00','0001-01-01','9999-12-31','MISS','00000','99999999999','99999999999.00','99999999999.000000'),1,0)) AS NUM_REG_DIF,'"&amp;MAX('ID1&amp;5'!K:K)+1&amp;"' AS ID_EXEC, CURRENT_TIMESTAMP() AS TIME_EXEC FROM "&amp;I298,
IF(C298="Not applicable",+"SELECT '"&amp;UPPER(B298)&amp;"' AS TABELA, '"&amp;UPPER(C298)&amp;"' AS TIPOLOGIA_TESTE,'"&amp;D298&amp;"' AS TABELA_LT,'N/A' AS TABELA_SIMUL,'"&amp;F298&amp;"' AS CAMPO, "&amp;"'${ref_date}' AS REF_DATE, COUNT(*) AS NUM_REG, SUM(IF(TRIM(CAST(X."&amp;F298&amp;" AS STRING)) IN ('N/A','11111111111','11111111111.00','11111111111.000000','1111-11-11'),1,0)) AS NUM_REG_DIF,'"&amp;MAX('ID1&amp;5'!K:K)+1&amp;"' AS ID_EXEC, CURRENT_TIMESTAMP() AS TIME_EXEC FROM "&amp;I298,
IF(C298="Valores extremos",+"SELECT '"&amp;UPPER(B298)&amp;"' AS TABELA, '"&amp;UPPER(C298)&amp;"' AS TIPOLOGIA_TESTE,'"&amp;D298&amp;"' AS TABELA_LT,'N/A' AS TABELA_SIMUL,'"&amp;F298&amp;"' AS CAMPO, "&amp;"'${ref_date}' AS REF_DATE, CAST(MIN("&amp;F298&amp;") AS STRING) AS VALOR_MIN, CAST(MAX("&amp;F298&amp;") AS STRING) AS VALOR_MAX,'"&amp;MAX('ID1&amp;5'!K:K)+1&amp;"' AS ID_EXEC, CURRENT_TIMESTAMP() AS TIME_EXEC FROM "&amp;MID(I298,1,LEN(I298)-2)&amp;" AND CAST("&amp;F298&amp;"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TABELA_SIMUL,'INTRNL_SGMNT_CAT_MSTA' AS CAMPO, '${ref_date}' AS REF_DATE, COUNT(*) AS NUM_REG, SUM(IF(COALESCE(CAST(X.INTRNL_SGMNT_CAT_MSTA AS STRING),'')&lt;&gt;COALESCE(CAST(Y.INTRNL_SGMNT_CAT_MSTA_SIMUL AS STRING),'') OR (X.INTRNL_SGMNT_CAT_MSTA IS NULL AND Y.INTRNL_SGMNT_CAT_MSTA_SIMUL IS NOT NULL ) OR (X.INTRNL_SGMNT_CAT_MSTA IS NOT NULL AND Y.INTRNL_SGMNT_CAT_MSTA_SIMUL IS NULL),1,0)) AS NUM_REG_DIF,'1' AS ID_EXEC, CURRENT_TIMESTAMP() AS TIME_EXEC FROM (SELECT instrmnt_id, INTRNL_SGMNT_CAT_MSTA FROM CD_LOAN_TAPES_BCE.LT002_INSTRUMENT WHERE ref_date='${ref_date}' AND nome_perimetro='Individual Corporativo' AND segmento='ESTR' AND ambito='PM' AND entidade='00100')X INNER JOIN (SELECT instrmnt_id AS instrmnt_id_SIMUL, INTRNL_SGMNT_CAT_MSTA AS INTRNL_SGMNT_CAT_MSTA_SIMUL FROM BU_LOANTAPE_WORK.LT002_INSTRUMENT WHERE ref_date='${ref_date}' AND nome_perimetro='Individual Corporativo' AND segmento='ESTR' AND ambito='PM' AND entidade='00100')Y ON X.INSTRMNT_ID=Y.INSTRMNT_ID_SIMUL</v>
      </c>
      <c r="M298" s="36" t="str">
        <f t="shared" si="4"/>
        <v>UNION ALL SELECT 'INSTRUMENT' AS TABELA, 'COERÊNCIA' AS TIPOLOGIA_TESTE,'CD_LOAN_TAPES_BCE.LT002_INSTRUMENT' AS TABELA_LT,'BU_LOANTAPE_WORK.LT002_INSTRUMENT' AS TABELA_SIMUL,'INTRNL_SGMNT_CAT_MSTA' AS CAMPO, '${ref_date}' AS REF_DATE, COUNT(*) AS NUM_REG, SUM(IF(COALESCE(CAST(X.INTRNL_SGMNT_CAT_MSTA AS STRING),'')&lt;&gt;COALESCE(CAST(Y.INTRNL_SGMNT_CAT_MSTA_SIMUL AS STRING),'') OR (X.INTRNL_SGMNT_CAT_MSTA IS NULL AND Y.INTRNL_SGMNT_CAT_MSTA_SIMUL IS NOT NULL ) OR (X.INTRNL_SGMNT_CAT_MSTA IS NOT NULL AND Y.INTRNL_SGMNT_CAT_MSTA_SIMUL IS NULL),1,0)) AS NUM_REG_DIF,'1' AS ID_EXEC, CURRENT_TIMESTAMP() AS TIME_EXEC FROM (SELECT instrmnt_id, INTRNL_SGMNT_CAT_MSTA FROM CD_LOAN_TAPES_BCE.LT002_INSTRUMENT WHERE ref_date='${ref_date}' AND nome_perimetro='Individual Corporativo' AND segmento='ESTR' AND ambito='PM' AND entidade='00100')X INNER JOIN (SELECT instrmnt_id AS instrmnt_id_SIMUL, INTRNL_SGMNT_CAT_MSTA AS INTRNL_SGMNT_CAT_MSTA_SIMUL FROM BU_LOANTAPE_WORK.LT002_INSTRUMENT WHERE ref_date='${ref_date}' AND nome_perimetro='Individual Corporativo' AND segmento='ESTR' AND ambito='PM' AND entidade='00100')Y ON X.INSTRMNT_ID=Y.INSTRMNT_ID_SIMUL</v>
      </c>
      <c r="N298" s="38" t="s">
        <v>46</v>
      </c>
    </row>
    <row r="299" spans="2:14" hidden="1">
      <c r="B299" s="34" t="s">
        <v>126</v>
      </c>
      <c r="C299" s="34" t="s">
        <v>5</v>
      </c>
      <c r="D299" s="34" t="str">
        <f>+UPPER('0. Instruções'!$D$35&amp;"."&amp;VLOOKUP(B299,'0. Instruções'!$C$27:$D$32,2,FALSE))</f>
        <v>CD_LOAN_TAPES_BCE.LT002_INSTRUMENT</v>
      </c>
      <c r="E299" s="34" t="str">
        <f>+UPPER('0. Instruções'!$D$36&amp;"."&amp;VLOOKUP(B299,'0. Instruções'!$C$27:$E$32,3,FALSE))</f>
        <v>BU_LOANTAPE_WORK.LT002_INSTRUMENT</v>
      </c>
      <c r="F299" s="34" t="s">
        <v>579</v>
      </c>
      <c r="G299" s="34"/>
      <c r="H299" s="34" t="s">
        <v>89</v>
      </c>
      <c r="I299" s="34" t="str">
        <f>"(SELECT "&amp;VLOOKUP(B299,'0. Instruções'!$C$27:$G$32,4,FALSE)&amp;", "&amp;F299&amp;" FROM "&amp;D299&amp;" WHERE "&amp;'0. Instruções'!$D$42&amp;")X"</f>
        <v>(SELECT instrmnt_id, INTRNL_SGMNT_CATGSUB FROM CD_LOAN_TAPES_BCE.LT002_INSTRUMENT WHERE ref_date='${ref_date}' AND nome_perimetro='Individual Corporativo' AND segmento='ESTR' AND ambito='PM' AND entidade='00100')X</v>
      </c>
      <c r="J299" s="34" t="str">
        <f>"(SELECT "&amp;VLOOKUP(B299,'0. Instruções'!$C$27:$G$32,4,FALSE)&amp;" AS "&amp;VLOOKUP(B299,'0. Instruções'!$C$27:$G$32,4,FALSE)&amp;"_SIMUL, "&amp;F299&amp;" AS "&amp;F299&amp;"_SIMUL FROM "&amp;E299&amp;" WHERE "&amp;'0. Instruções'!$D$43&amp;")Y"</f>
        <v>(SELECT instrmnt_id AS instrmnt_id_SIMUL, INTRNL_SGMNT_CATGSUB AS INTRNL_SGMNT_CATGSUB_SIMUL FROM BU_LOANTAPE_WORK.LT002_INSTRUMENT WHERE ref_date='${ref_date}' AND nome_perimetro='Individual Corporativo' AND segmento='ESTR' AND ambito='PM' AND entidade='00100')Y</v>
      </c>
      <c r="K299" s="35" t="str">
        <f>+UPPER("ON X."&amp;VLOOKUP(B299,'0. Instruções'!$C$27:$G$32,4,FALSE)&amp;"=Y."&amp;VLOOKUP(B299,'0. Instruções'!$C$27:$G$32,4,FALSE)&amp;"_SIMUL")</f>
        <v>ON X.INSTRMNT_ID=Y.INSTRMNT_ID_SIMUL</v>
      </c>
      <c r="L299" s="35" t="str">
        <f>+IF(C299="Coerência", +IF(LEFT(G299,5)="FLOAT","SELECT '"&amp;UPPER(B299)&amp;"' AS TABELA, '"&amp;UPPER(C299)&amp;"' AS TIPOLOGIA_TESTE,'"&amp;D299&amp;"' AS TABELA_LT,'"&amp;E299&amp;"' AS TABELA_SIMUL,'"&amp;F299&amp;"' AS CAMPO, "&amp;"'${ref_date}' AS REF_DATE, COUNT(*) AS NUM_REG, SUM(IF((ABS(COALESCE(CAST(X."&amp;F299&amp;" AS DECIMAL(18,6)),0)-COALESCE(CAST(Y."&amp;F299&amp;"_SIMUL AS DECIMAL(18,6)),0))&gt;0.000001) OR (X."&amp;F299&amp;" IS NULL AND Y."&amp;F299&amp;"_SIMUL IS NOT NULL ) OR (X."&amp;F299&amp;" IS NOT NULL AND Y."&amp;F299&amp;"_SIMUL IS NULL),1,0)) AS NUM_REG_DIF,'"&amp;MAX('ID1&amp;5'!K:K)+1&amp;"' AS ID_EXEC, CURRENT_TIMESTAMP() AS TIME_EXEC FROM "&amp;I299&amp;" INNER JOIN "&amp;J299&amp;" "&amp;K299,"SELECT '"&amp;UPPER(B299)&amp;"' AS TABELA, '"&amp;UPPER(C299)&amp;"' AS TIPOLOGIA_TESTE,'"&amp;D299&amp;"' AS TABELA_LT,'"&amp;E299&amp;"' AS TABELA_SIMUL,'"&amp;F299&amp;"' AS CAMPO, "&amp;"'${ref_date}' AS REF_DATE, COUNT(*) AS NUM_REG, SUM(IF(COALESCE(CAST(X."&amp;F299&amp;" AS STRING),'')&lt;&gt;COALESCE(CAST(Y."&amp;F299&amp;"_SIMUL AS STRING),'') OR (X."&amp;F299&amp;" IS NULL AND Y."&amp;F299&amp;"_SIMUL IS NOT NULL ) OR (X."&amp;F299&amp;" IS NOT NULL AND Y."&amp;F299&amp;"_SIMUL IS NULL),1,0)) AS NUM_REG_DIF,'"&amp;MAX('ID1&amp;5'!L:L)+1&amp;"' AS ID_EXEC, CURRENT_TIMESTAMP() AS TIME_EXEC FROM "&amp;I299&amp;" INNER JOIN "&amp;J299&amp;" "&amp;K299),
IF(C299="Validade",+IF(G299="Code List","SELECT '"&amp;UPPER(B299)&amp;"' AS TABELA, '"&amp;UPPER(C299)&amp;"' AS TIPOLOGIA_TESTE,'"&amp;D299&amp;"' AS TABELA_LT,'N/A' AS TABELA_SIMUL,'"&amp;F299&amp;"' AS CAMPO, "&amp;"'${ref_date}' AS REF_DATE, COUNT(*) AS NUM_REG, SUM(IF(TRIM(CAST(X."&amp;F299&amp;" AS STRING))='' OR TRIM(CAST(X."&amp;F299&amp;" AS STRING)) IS NULL OR CAST(X."&amp;F299&amp;" AS STRING) NOT "&amp;H299&amp;",1,0)) AS NUM_REG_DIF,'"&amp;MAX('ID1&amp;5'!K:K)+1&amp;"' AS ID_EXEC, CURRENT_TIMESTAMP() AS TIME_EXEC FROM "&amp;I299,"SELECT '"&amp;UPPER(B299)&amp;"' AS TABELA, '"&amp;UPPER(C299)&amp;"' AS TIPOLOGIA_TESTE,'"&amp;D299&amp;"' AS TABELA_LT,'N/A' AS TABELA_SIMUL,'"&amp;F299&amp;"' AS CAMPO, "&amp;"'${ref_date}' AS REF_DATE, COUNT(*) AS NUM_REG, SUM(IF(TRIM(CAST(X."&amp;F299&amp;" AS STRING))='' OR TRIM(CAST(X."&amp;F299&amp;" AS STRING)) IS NULL,1,0)) AS NUM_REG_DIF,'"&amp;MAX('ID1&amp;5'!K:K)+1&amp;"' AS ID_EXEC, CURRENT_TIMESTAMP() AS TIME_EXEC FROM "&amp;I299),
IF(C299="Caracteres Especiais",+"SELECT '"&amp;UPPER(B299)&amp;"' AS TABELA, '"&amp;UPPER(C299)&amp;"' AS TIPOLOGIA_TESTE,'"&amp;D299&amp;"' AS TABELA_LT,'N/A' AS TABELA_SIMUL,'"&amp;F299&amp;"' AS CAMPO, "&amp;"'${ref_date}' AS REF_DATE, COUNT(*) AS NUM_REG, SUM(IF(REGEXP_REPLACE(TRIM(CAST(X."&amp;F299&amp;" AS STRING)),'[^a-zA-Z0-9_\\s]','') &lt;&gt;TRIM(CAST(X."&amp;F299&amp;" AS STRING)),1,0)) AS NUM_REG_DIF,'"&amp;MAX('ID1&amp;5'!K:K)+1&amp;"' AS ID_EXEC, CURRENT_TIMESTAMP() AS TIME_EXEC FROM "&amp;I299,
IF(C299="Missings",+"SELECT '"&amp;UPPER(B299)&amp;"' AS TABELA, '"&amp;UPPER(C299)&amp;"' AS TIPOLOGIA_TESTE,'"&amp;D299&amp;"' AS TABELA_LT,'N/A' AS TABELA_SIMUL,'"&amp;F299&amp;"' AS CAMPO, "&amp;"'${ref_date}' AS REF_DATE, COUNT(*) AS NUM_REG, SUM(IF(TRIM(CAST(X."&amp;F299&amp;" AS STRING)) IN ('0000-00-00','0001-01-01','9999-12-31','MISS','00000','99999999999','99999999999.00','99999999999.000000'),1,0)) AS NUM_REG_DIF,'"&amp;MAX('ID1&amp;5'!K:K)+1&amp;"' AS ID_EXEC, CURRENT_TIMESTAMP() AS TIME_EXEC FROM "&amp;I299,
IF(C299="Not applicable",+"SELECT '"&amp;UPPER(B299)&amp;"' AS TABELA, '"&amp;UPPER(C299)&amp;"' AS TIPOLOGIA_TESTE,'"&amp;D299&amp;"' AS TABELA_LT,'N/A' AS TABELA_SIMUL,'"&amp;F299&amp;"' AS CAMPO, "&amp;"'${ref_date}' AS REF_DATE, COUNT(*) AS NUM_REG, SUM(IF(TRIM(CAST(X."&amp;F299&amp;" AS STRING)) IN ('N/A','11111111111','11111111111.00','11111111111.000000','1111-11-11'),1,0)) AS NUM_REG_DIF,'"&amp;MAX('ID1&amp;5'!K:K)+1&amp;"' AS ID_EXEC, CURRENT_TIMESTAMP() AS TIME_EXEC FROM "&amp;I299,
IF(C299="Valores extremos",+"SELECT '"&amp;UPPER(B299)&amp;"' AS TABELA, '"&amp;UPPER(C299)&amp;"' AS TIPOLOGIA_TESTE,'"&amp;D299&amp;"' AS TABELA_LT,'N/A' AS TABELA_SIMUL,'"&amp;F299&amp;"' AS CAMPO, "&amp;"'${ref_date}' AS REF_DATE, CAST(MIN("&amp;F299&amp;") AS STRING) AS VALOR_MIN, CAST(MAX("&amp;F299&amp;") AS STRING) AS VALOR_MAX,'"&amp;MAX('ID1&amp;5'!K:K)+1&amp;"' AS ID_EXEC, CURRENT_TIMESTAMP() AS TIME_EXEC FROM "&amp;MID(I299,1,LEN(I299)-2)&amp;" AND CAST("&amp;F299&amp;"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TABELA_SIMUL,'INTRNL_SGMNT_CATGSUB' AS CAMPO, '${ref_date}' AS REF_DATE, COUNT(*) AS NUM_REG, SUM(IF(COALESCE(CAST(X.INTRNL_SGMNT_CATGSUB AS STRING),'')&lt;&gt;COALESCE(CAST(Y.INTRNL_SGMNT_CATGSUB_SIMUL AS STRING),'') OR (X.INTRNL_SGMNT_CATGSUB IS NULL AND Y.INTRNL_SGMNT_CATGSUB_SIMUL IS NOT NULL ) OR (X.INTRNL_SGMNT_CATGSUB IS NOT NULL AND Y.INTRNL_SGMNT_CATGSUB_SIMUL IS NULL),1,0)) AS NUM_REG_DIF,'1' AS ID_EXEC, CURRENT_TIMESTAMP() AS TIME_EXEC FROM (SELECT instrmnt_id, INTRNL_SGMNT_CATGSUB FROM CD_LOAN_TAPES_BCE.LT002_INSTRUMENT WHERE ref_date='${ref_date}' AND nome_perimetro='Individual Corporativo' AND segmento='ESTR' AND ambito='PM' AND entidade='00100')X INNER JOIN (SELECT instrmnt_id AS instrmnt_id_SIMUL, INTRNL_SGMNT_CATGSUB AS INTRNL_SGMNT_CATGSUB_SIMUL FROM BU_LOANTAPE_WORK.LT002_INSTRUMENT WHERE ref_date='${ref_date}' AND nome_perimetro='Individual Corporativo' AND segmento='ESTR' AND ambito='PM' AND entidade='00100')Y ON X.INSTRMNT_ID=Y.INSTRMNT_ID_SIMUL</v>
      </c>
      <c r="M299" s="36" t="str">
        <f t="shared" si="4"/>
        <v>UNION ALL SELECT 'INSTRUMENT' AS TABELA, 'COERÊNCIA' AS TIPOLOGIA_TESTE,'CD_LOAN_TAPES_BCE.LT002_INSTRUMENT' AS TABELA_LT,'BU_LOANTAPE_WORK.LT002_INSTRUMENT' AS TABELA_SIMUL,'INTRNL_SGMNT_CATGSUB' AS CAMPO, '${ref_date}' AS REF_DATE, COUNT(*) AS NUM_REG, SUM(IF(COALESCE(CAST(X.INTRNL_SGMNT_CATGSUB AS STRING),'')&lt;&gt;COALESCE(CAST(Y.INTRNL_SGMNT_CATGSUB_SIMUL AS STRING),'') OR (X.INTRNL_SGMNT_CATGSUB IS NULL AND Y.INTRNL_SGMNT_CATGSUB_SIMUL IS NOT NULL ) OR (X.INTRNL_SGMNT_CATGSUB IS NOT NULL AND Y.INTRNL_SGMNT_CATGSUB_SIMUL IS NULL),1,0)) AS NUM_REG_DIF,'1' AS ID_EXEC, CURRENT_TIMESTAMP() AS TIME_EXEC FROM (SELECT instrmnt_id, INTRNL_SGMNT_CATGSUB FROM CD_LOAN_TAPES_BCE.LT002_INSTRUMENT WHERE ref_date='${ref_date}' AND nome_perimetro='Individual Corporativo' AND segmento='ESTR' AND ambito='PM' AND entidade='00100')X INNER JOIN (SELECT instrmnt_id AS instrmnt_id_SIMUL, INTRNL_SGMNT_CATGSUB AS INTRNL_SGMNT_CATGSUB_SIMUL FROM BU_LOANTAPE_WORK.LT002_INSTRUMENT WHERE ref_date='${ref_date}' AND nome_perimetro='Individual Corporativo' AND segmento='ESTR' AND ambito='PM' AND entidade='00100')Y ON X.INSTRMNT_ID=Y.INSTRMNT_ID_SIMUL</v>
      </c>
      <c r="N299" s="38" t="s">
        <v>46</v>
      </c>
    </row>
    <row r="300" spans="2:14" hidden="1">
      <c r="B300" s="34" t="s">
        <v>126</v>
      </c>
      <c r="C300" s="34" t="s">
        <v>5</v>
      </c>
      <c r="D300" s="34" t="str">
        <f>+UPPER('0. Instruções'!$D$35&amp;"."&amp;VLOOKUP(B300,'0. Instruções'!$C$27:$D$32,2,FALSE))</f>
        <v>CD_LOAN_TAPES_BCE.LT002_INSTRUMENT</v>
      </c>
      <c r="E300" s="34" t="str">
        <f>+UPPER('0. Instruções'!$D$36&amp;"."&amp;VLOOKUP(B300,'0. Instruções'!$C$27:$E$32,3,FALSE))</f>
        <v>BU_LOANTAPE_WORK.LT002_INSTRUMENT</v>
      </c>
      <c r="F300" s="34" t="s">
        <v>580</v>
      </c>
      <c r="G300" s="34"/>
      <c r="H300" s="34" t="s">
        <v>91</v>
      </c>
      <c r="I300" s="34" t="str">
        <f>"(SELECT "&amp;VLOOKUP(B300,'0. Instruções'!$C$27:$G$32,4,FALSE)&amp;", "&amp;F300&amp;" FROM "&amp;D300&amp;" WHERE "&amp;'0. Instruções'!$D$42&amp;")X"</f>
        <v>(SELECT instrmnt_id, CRRLTN_CFFCNT FROM CD_LOAN_TAPES_BCE.LT002_INSTRUMENT WHERE ref_date='${ref_date}' AND nome_perimetro='Individual Corporativo' AND segmento='ESTR' AND ambito='PM' AND entidade='00100')X</v>
      </c>
      <c r="J300" s="34" t="str">
        <f>"(SELECT "&amp;VLOOKUP(B300,'0. Instruções'!$C$27:$G$32,4,FALSE)&amp;" AS "&amp;VLOOKUP(B300,'0. Instruções'!$C$27:$G$32,4,FALSE)&amp;"_SIMUL, "&amp;F300&amp;" AS "&amp;F300&amp;"_SIMUL FROM "&amp;E300&amp;" WHERE "&amp;'0. Instruções'!$D$43&amp;")Y"</f>
        <v>(SELECT instrmnt_id AS instrmnt_id_SIMUL, CRRLTN_CFFCNT AS CRRLTN_CFFCNT_SIMUL FROM BU_LOANTAPE_WORK.LT002_INSTRUMENT WHERE ref_date='${ref_date}' AND nome_perimetro='Individual Corporativo' AND segmento='ESTR' AND ambito='PM' AND entidade='00100')Y</v>
      </c>
      <c r="K300" s="35" t="str">
        <f>+UPPER("ON X."&amp;VLOOKUP(B300,'0. Instruções'!$C$27:$G$32,4,FALSE)&amp;"=Y."&amp;VLOOKUP(B300,'0. Instruções'!$C$27:$G$32,4,FALSE)&amp;"_SIMUL")</f>
        <v>ON X.INSTRMNT_ID=Y.INSTRMNT_ID_SIMUL</v>
      </c>
      <c r="L300" s="35" t="str">
        <f>+IF(C300="Coerência", +IF(LEFT(G300,5)="FLOAT","SELECT '"&amp;UPPER(B300)&amp;"' AS TABELA, '"&amp;UPPER(C300)&amp;"' AS TIPOLOGIA_TESTE,'"&amp;D300&amp;"' AS TABELA_LT,'"&amp;E300&amp;"' AS TABELA_SIMUL,'"&amp;F300&amp;"' AS CAMPO, "&amp;"'${ref_date}' AS REF_DATE, COUNT(*) AS NUM_REG, SUM(IF((ABS(COALESCE(CAST(X."&amp;F300&amp;" AS DECIMAL(18,6)),0)-COALESCE(CAST(Y."&amp;F300&amp;"_SIMUL AS DECIMAL(18,6)),0))&gt;0.000001) OR (X."&amp;F300&amp;" IS NULL AND Y."&amp;F300&amp;"_SIMUL IS NOT NULL ) OR (X."&amp;F300&amp;" IS NOT NULL AND Y."&amp;F300&amp;"_SIMUL IS NULL),1,0)) AS NUM_REG_DIF,'"&amp;MAX('ID1&amp;5'!K:K)+1&amp;"' AS ID_EXEC, CURRENT_TIMESTAMP() AS TIME_EXEC FROM "&amp;I300&amp;" INNER JOIN "&amp;J300&amp;" "&amp;K300,"SELECT '"&amp;UPPER(B300)&amp;"' AS TABELA, '"&amp;UPPER(C300)&amp;"' AS TIPOLOGIA_TESTE,'"&amp;D300&amp;"' AS TABELA_LT,'"&amp;E300&amp;"' AS TABELA_SIMUL,'"&amp;F300&amp;"' AS CAMPO, "&amp;"'${ref_date}' AS REF_DATE, COUNT(*) AS NUM_REG, SUM(IF(COALESCE(CAST(X."&amp;F300&amp;" AS STRING),'')&lt;&gt;COALESCE(CAST(Y."&amp;F300&amp;"_SIMUL AS STRING),'') OR (X."&amp;F300&amp;" IS NULL AND Y."&amp;F300&amp;"_SIMUL IS NOT NULL ) OR (X."&amp;F300&amp;" IS NOT NULL AND Y."&amp;F300&amp;"_SIMUL IS NULL),1,0)) AS NUM_REG_DIF,'"&amp;MAX('ID1&amp;5'!L:L)+1&amp;"' AS ID_EXEC, CURRENT_TIMESTAMP() AS TIME_EXEC FROM "&amp;I300&amp;" INNER JOIN "&amp;J300&amp;" "&amp;K300),
IF(C300="Validade",+IF(G300="Code List","SELECT '"&amp;UPPER(B300)&amp;"' AS TABELA, '"&amp;UPPER(C300)&amp;"' AS TIPOLOGIA_TESTE,'"&amp;D300&amp;"' AS TABELA_LT,'N/A' AS TABELA_SIMUL,'"&amp;F300&amp;"' AS CAMPO, "&amp;"'${ref_date}' AS REF_DATE, COUNT(*) AS NUM_REG, SUM(IF(TRIM(CAST(X."&amp;F300&amp;" AS STRING))='' OR TRIM(CAST(X."&amp;F300&amp;" AS STRING)) IS NULL OR CAST(X."&amp;F300&amp;" AS STRING) NOT "&amp;H300&amp;",1,0)) AS NUM_REG_DIF,'"&amp;MAX('ID1&amp;5'!K:K)+1&amp;"' AS ID_EXEC, CURRENT_TIMESTAMP() AS TIME_EXEC FROM "&amp;I300,"SELECT '"&amp;UPPER(B300)&amp;"' AS TABELA, '"&amp;UPPER(C300)&amp;"' AS TIPOLOGIA_TESTE,'"&amp;D300&amp;"' AS TABELA_LT,'N/A' AS TABELA_SIMUL,'"&amp;F300&amp;"' AS CAMPO, "&amp;"'${ref_date}' AS REF_DATE, COUNT(*) AS NUM_REG, SUM(IF(TRIM(CAST(X."&amp;F300&amp;" AS STRING))='' OR TRIM(CAST(X."&amp;F300&amp;" AS STRING)) IS NULL,1,0)) AS NUM_REG_DIF,'"&amp;MAX('ID1&amp;5'!K:K)+1&amp;"' AS ID_EXEC, CURRENT_TIMESTAMP() AS TIME_EXEC FROM "&amp;I300),
IF(C300="Caracteres Especiais",+"SELECT '"&amp;UPPER(B300)&amp;"' AS TABELA, '"&amp;UPPER(C300)&amp;"' AS TIPOLOGIA_TESTE,'"&amp;D300&amp;"' AS TABELA_LT,'N/A' AS TABELA_SIMUL,'"&amp;F300&amp;"' AS CAMPO, "&amp;"'${ref_date}' AS REF_DATE, COUNT(*) AS NUM_REG, SUM(IF(REGEXP_REPLACE(TRIM(CAST(X."&amp;F300&amp;" AS STRING)),'[^a-zA-Z0-9_\\s]','') &lt;&gt;TRIM(CAST(X."&amp;F300&amp;" AS STRING)),1,0)) AS NUM_REG_DIF,'"&amp;MAX('ID1&amp;5'!K:K)+1&amp;"' AS ID_EXEC, CURRENT_TIMESTAMP() AS TIME_EXEC FROM "&amp;I300,
IF(C300="Missings",+"SELECT '"&amp;UPPER(B300)&amp;"' AS TABELA, '"&amp;UPPER(C300)&amp;"' AS TIPOLOGIA_TESTE,'"&amp;D300&amp;"' AS TABELA_LT,'N/A' AS TABELA_SIMUL,'"&amp;F300&amp;"' AS CAMPO, "&amp;"'${ref_date}' AS REF_DATE, COUNT(*) AS NUM_REG, SUM(IF(TRIM(CAST(X."&amp;F300&amp;" AS STRING)) IN ('0000-00-00','0001-01-01','9999-12-31','MISS','00000','99999999999','99999999999.00','99999999999.000000'),1,0)) AS NUM_REG_DIF,'"&amp;MAX('ID1&amp;5'!K:K)+1&amp;"' AS ID_EXEC, CURRENT_TIMESTAMP() AS TIME_EXEC FROM "&amp;I300,
IF(C300="Not applicable",+"SELECT '"&amp;UPPER(B300)&amp;"' AS TABELA, '"&amp;UPPER(C300)&amp;"' AS TIPOLOGIA_TESTE,'"&amp;D300&amp;"' AS TABELA_LT,'N/A' AS TABELA_SIMUL,'"&amp;F300&amp;"' AS CAMPO, "&amp;"'${ref_date}' AS REF_DATE, COUNT(*) AS NUM_REG, SUM(IF(TRIM(CAST(X."&amp;F300&amp;" AS STRING)) IN ('N/A','11111111111','11111111111.00','11111111111.000000','1111-11-11'),1,0)) AS NUM_REG_DIF,'"&amp;MAX('ID1&amp;5'!K:K)+1&amp;"' AS ID_EXEC, CURRENT_TIMESTAMP() AS TIME_EXEC FROM "&amp;I300,
IF(C300="Valores extremos",+"SELECT '"&amp;UPPER(B300)&amp;"' AS TABELA, '"&amp;UPPER(C300)&amp;"' AS TIPOLOGIA_TESTE,'"&amp;D300&amp;"' AS TABELA_LT,'N/A' AS TABELA_SIMUL,'"&amp;F300&amp;"' AS CAMPO, "&amp;"'${ref_date}' AS REF_DATE, CAST(MIN("&amp;F300&amp;") AS STRING) AS VALOR_MIN, CAST(MAX("&amp;F300&amp;") AS STRING) AS VALOR_MAX,'"&amp;MAX('ID1&amp;5'!K:K)+1&amp;"' AS ID_EXEC, CURRENT_TIMESTAMP() AS TIME_EXEC FROM "&amp;MID(I300,1,LEN(I300)-2)&amp;" AND CAST("&amp;F300&amp;"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TABELA_SIMUL,'CRRLTN_CFFCNT' AS CAMPO, '${ref_date}' AS REF_DATE, COUNT(*) AS NUM_REG, SUM(IF(COALESCE(CAST(X.CRRLTN_CFFCNT AS STRING),'')&lt;&gt;COALESCE(CAST(Y.CRRLTN_CFFCNT_SIMUL AS STRING),'') OR (X.CRRLTN_CFFCNT IS NULL AND Y.CRRLTN_CFFCNT_SIMUL IS NOT NULL ) OR (X.CRRLTN_CFFCNT IS NOT NULL AND Y.CRRLTN_CFFCNT_SIMUL IS NULL),1,0)) AS NUM_REG_DIF,'1' AS ID_EXEC, CURRENT_TIMESTAMP() AS TIME_EXEC FROM (SELECT instrmnt_id, CRRLTN_CFFCNT FROM CD_LOAN_TAPES_BCE.LT002_INSTRUMENT WHERE ref_date='${ref_date}' AND nome_perimetro='Individual Corporativo' AND segmento='ESTR' AND ambito='PM' AND entidade='00100')X INNER JOIN (SELECT instrmnt_id AS instrmnt_id_SIMUL, CRRLTN_CFFCNT AS CRRLTN_CFFCNT_SIMUL FROM BU_LOANTAPE_WORK.LT002_INSTRUMENT WHERE ref_date='${ref_date}' AND nome_perimetro='Individual Corporativo' AND segmento='ESTR' AND ambito='PM' AND entidade='00100')Y ON X.INSTRMNT_ID=Y.INSTRMNT_ID_SIMUL</v>
      </c>
      <c r="M300" s="36" t="str">
        <f t="shared" si="4"/>
        <v>UNION ALL SELECT 'INSTRUMENT' AS TABELA, 'COERÊNCIA' AS TIPOLOGIA_TESTE,'CD_LOAN_TAPES_BCE.LT002_INSTRUMENT' AS TABELA_LT,'BU_LOANTAPE_WORK.LT002_INSTRUMENT' AS TABELA_SIMUL,'CRRLTN_CFFCNT' AS CAMPO, '${ref_date}' AS REF_DATE, COUNT(*) AS NUM_REG, SUM(IF(COALESCE(CAST(X.CRRLTN_CFFCNT AS STRING),'')&lt;&gt;COALESCE(CAST(Y.CRRLTN_CFFCNT_SIMUL AS STRING),'') OR (X.CRRLTN_CFFCNT IS NULL AND Y.CRRLTN_CFFCNT_SIMUL IS NOT NULL ) OR (X.CRRLTN_CFFCNT IS NOT NULL AND Y.CRRLTN_CFFCNT_SIMUL IS NULL),1,0)) AS NUM_REG_DIF,'1' AS ID_EXEC, CURRENT_TIMESTAMP() AS TIME_EXEC FROM (SELECT instrmnt_id, CRRLTN_CFFCNT FROM CD_LOAN_TAPES_BCE.LT002_INSTRUMENT WHERE ref_date='${ref_date}' AND nome_perimetro='Individual Corporativo' AND segmento='ESTR' AND ambito='PM' AND entidade='00100')X INNER JOIN (SELECT instrmnt_id AS instrmnt_id_SIMUL, CRRLTN_CFFCNT AS CRRLTN_CFFCNT_SIMUL FROM BU_LOANTAPE_WORK.LT002_INSTRUMENT WHERE ref_date='${ref_date}' AND nome_perimetro='Individual Corporativo' AND segmento='ESTR' AND ambito='PM' AND entidade='00100')Y ON X.INSTRMNT_ID=Y.INSTRMNT_ID_SIMUL</v>
      </c>
      <c r="N300" s="38" t="s">
        <v>46</v>
      </c>
    </row>
    <row r="301" spans="2:14" hidden="1">
      <c r="B301" s="34" t="s">
        <v>126</v>
      </c>
      <c r="C301" s="34" t="s">
        <v>5</v>
      </c>
      <c r="D301" s="34" t="str">
        <f>+UPPER('0. Instruções'!$D$35&amp;"."&amp;VLOOKUP(B301,'0. Instruções'!$C$27:$D$32,2,FALSE))</f>
        <v>CD_LOAN_TAPES_BCE.LT002_INSTRUMENT</v>
      </c>
      <c r="E301" s="34" t="str">
        <f>+UPPER('0. Instruções'!$D$36&amp;"."&amp;VLOOKUP(B301,'0. Instruções'!$C$27:$E$32,3,FALSE))</f>
        <v>BU_LOANTAPE_WORK.LT002_INSTRUMENT</v>
      </c>
      <c r="F301" s="34" t="s">
        <v>581</v>
      </c>
      <c r="G301" s="34"/>
      <c r="H301" s="34" t="s">
        <v>646</v>
      </c>
      <c r="I301" s="34" t="str">
        <f>"(SELECT "&amp;VLOOKUP(B301,'0. Instruções'!$C$27:$G$32,4,FALSE)&amp;", "&amp;F301&amp;" FROM "&amp;D301&amp;" WHERE "&amp;'0. Instruções'!$D$42&amp;")X"</f>
        <v>(SELECT instrmnt_id, ISIN_SCRTSTN FROM CD_LOAN_TAPES_BCE.LT002_INSTRUMENT WHERE ref_date='${ref_date}' AND nome_perimetro='Individual Corporativo' AND segmento='ESTR' AND ambito='PM' AND entidade='00100')X</v>
      </c>
      <c r="J301" s="34" t="str">
        <f>"(SELECT "&amp;VLOOKUP(B301,'0. Instruções'!$C$27:$G$32,4,FALSE)&amp;" AS "&amp;VLOOKUP(B301,'0. Instruções'!$C$27:$G$32,4,FALSE)&amp;"_SIMUL, "&amp;F301&amp;" AS "&amp;F301&amp;"_SIMUL FROM "&amp;E301&amp;" WHERE "&amp;'0. Instruções'!$D$43&amp;")Y"</f>
        <v>(SELECT instrmnt_id AS instrmnt_id_SIMUL, ISIN_SCRTSTN AS ISIN_SCRTSTN_SIMUL FROM BU_LOANTAPE_WORK.LT002_INSTRUMENT WHERE ref_date='${ref_date}' AND nome_perimetro='Individual Corporativo' AND segmento='ESTR' AND ambito='PM' AND entidade='00100')Y</v>
      </c>
      <c r="K301" s="35" t="str">
        <f>+UPPER("ON X."&amp;VLOOKUP(B301,'0. Instruções'!$C$27:$G$32,4,FALSE)&amp;"=Y."&amp;VLOOKUP(B301,'0. Instruções'!$C$27:$G$32,4,FALSE)&amp;"_SIMUL")</f>
        <v>ON X.INSTRMNT_ID=Y.INSTRMNT_ID_SIMUL</v>
      </c>
      <c r="L301" s="35" t="str">
        <f>+IF(C301="Coerência", +IF(LEFT(G301,5)="FLOAT","SELECT '"&amp;UPPER(B301)&amp;"' AS TABELA, '"&amp;UPPER(C301)&amp;"' AS TIPOLOGIA_TESTE,'"&amp;D301&amp;"' AS TABELA_LT,'"&amp;E301&amp;"' AS TABELA_SIMUL,'"&amp;F301&amp;"' AS CAMPO, "&amp;"'${ref_date}' AS REF_DATE, COUNT(*) AS NUM_REG, SUM(IF((ABS(COALESCE(CAST(X."&amp;F301&amp;" AS DECIMAL(18,6)),0)-COALESCE(CAST(Y."&amp;F301&amp;"_SIMUL AS DECIMAL(18,6)),0))&gt;0.000001) OR (X."&amp;F301&amp;" IS NULL AND Y."&amp;F301&amp;"_SIMUL IS NOT NULL ) OR (X."&amp;F301&amp;" IS NOT NULL AND Y."&amp;F301&amp;"_SIMUL IS NULL),1,0)) AS NUM_REG_DIF,'"&amp;MAX('ID1&amp;5'!K:K)+1&amp;"' AS ID_EXEC, CURRENT_TIMESTAMP() AS TIME_EXEC FROM "&amp;I301&amp;" INNER JOIN "&amp;J301&amp;" "&amp;K301,"SELECT '"&amp;UPPER(B301)&amp;"' AS TABELA, '"&amp;UPPER(C301)&amp;"' AS TIPOLOGIA_TESTE,'"&amp;D301&amp;"' AS TABELA_LT,'"&amp;E301&amp;"' AS TABELA_SIMUL,'"&amp;F301&amp;"' AS CAMPO, "&amp;"'${ref_date}' AS REF_DATE, COUNT(*) AS NUM_REG, SUM(IF(COALESCE(CAST(X."&amp;F301&amp;" AS STRING),'')&lt;&gt;COALESCE(CAST(Y."&amp;F301&amp;"_SIMUL AS STRING),'') OR (X."&amp;F301&amp;" IS NULL AND Y."&amp;F301&amp;"_SIMUL IS NOT NULL ) OR (X."&amp;F301&amp;" IS NOT NULL AND Y."&amp;F301&amp;"_SIMUL IS NULL),1,0)) AS NUM_REG_DIF,'"&amp;MAX('ID1&amp;5'!L:L)+1&amp;"' AS ID_EXEC, CURRENT_TIMESTAMP() AS TIME_EXEC FROM "&amp;I301&amp;" INNER JOIN "&amp;J301&amp;" "&amp;K301),
IF(C301="Validade",+IF(G301="Code List","SELECT '"&amp;UPPER(B301)&amp;"' AS TABELA, '"&amp;UPPER(C301)&amp;"' AS TIPOLOGIA_TESTE,'"&amp;D301&amp;"' AS TABELA_LT,'N/A' AS TABELA_SIMUL,'"&amp;F301&amp;"' AS CAMPO, "&amp;"'${ref_date}' AS REF_DATE, COUNT(*) AS NUM_REG, SUM(IF(TRIM(CAST(X."&amp;F301&amp;" AS STRING))='' OR TRIM(CAST(X."&amp;F301&amp;" AS STRING)) IS NULL OR CAST(X."&amp;F301&amp;" AS STRING) NOT "&amp;H301&amp;",1,0)) AS NUM_REG_DIF,'"&amp;MAX('ID1&amp;5'!K:K)+1&amp;"' AS ID_EXEC, CURRENT_TIMESTAMP() AS TIME_EXEC FROM "&amp;I301,"SELECT '"&amp;UPPER(B301)&amp;"' AS TABELA, '"&amp;UPPER(C301)&amp;"' AS TIPOLOGIA_TESTE,'"&amp;D301&amp;"' AS TABELA_LT,'N/A' AS TABELA_SIMUL,'"&amp;F301&amp;"' AS CAMPO, "&amp;"'${ref_date}' AS REF_DATE, COUNT(*) AS NUM_REG, SUM(IF(TRIM(CAST(X."&amp;F301&amp;" AS STRING))='' OR TRIM(CAST(X."&amp;F301&amp;" AS STRING)) IS NULL,1,0)) AS NUM_REG_DIF,'"&amp;MAX('ID1&amp;5'!K:K)+1&amp;"' AS ID_EXEC, CURRENT_TIMESTAMP() AS TIME_EXEC FROM "&amp;I301),
IF(C301="Caracteres Especiais",+"SELECT '"&amp;UPPER(B301)&amp;"' AS TABELA, '"&amp;UPPER(C301)&amp;"' AS TIPOLOGIA_TESTE,'"&amp;D301&amp;"' AS TABELA_LT,'N/A' AS TABELA_SIMUL,'"&amp;F301&amp;"' AS CAMPO, "&amp;"'${ref_date}' AS REF_DATE, COUNT(*) AS NUM_REG, SUM(IF(REGEXP_REPLACE(TRIM(CAST(X."&amp;F301&amp;" AS STRING)),'[^a-zA-Z0-9_\\s]','') &lt;&gt;TRIM(CAST(X."&amp;F301&amp;" AS STRING)),1,0)) AS NUM_REG_DIF,'"&amp;MAX('ID1&amp;5'!K:K)+1&amp;"' AS ID_EXEC, CURRENT_TIMESTAMP() AS TIME_EXEC FROM "&amp;I301,
IF(C301="Missings",+"SELECT '"&amp;UPPER(B301)&amp;"' AS TABELA, '"&amp;UPPER(C301)&amp;"' AS TIPOLOGIA_TESTE,'"&amp;D301&amp;"' AS TABELA_LT,'N/A' AS TABELA_SIMUL,'"&amp;F301&amp;"' AS CAMPO, "&amp;"'${ref_date}' AS REF_DATE, COUNT(*) AS NUM_REG, SUM(IF(TRIM(CAST(X."&amp;F301&amp;" AS STRING)) IN ('0000-00-00','0001-01-01','9999-12-31','MISS','00000','99999999999','99999999999.00','99999999999.000000'),1,0)) AS NUM_REG_DIF,'"&amp;MAX('ID1&amp;5'!K:K)+1&amp;"' AS ID_EXEC, CURRENT_TIMESTAMP() AS TIME_EXEC FROM "&amp;I301,
IF(C301="Not applicable",+"SELECT '"&amp;UPPER(B301)&amp;"' AS TABELA, '"&amp;UPPER(C301)&amp;"' AS TIPOLOGIA_TESTE,'"&amp;D301&amp;"' AS TABELA_LT,'N/A' AS TABELA_SIMUL,'"&amp;F301&amp;"' AS CAMPO, "&amp;"'${ref_date}' AS REF_DATE, COUNT(*) AS NUM_REG, SUM(IF(TRIM(CAST(X."&amp;F301&amp;" AS STRING)) IN ('N/A','11111111111','11111111111.00','11111111111.000000','1111-11-11'),1,0)) AS NUM_REG_DIF,'"&amp;MAX('ID1&amp;5'!K:K)+1&amp;"' AS ID_EXEC, CURRENT_TIMESTAMP() AS TIME_EXEC FROM "&amp;I301,
IF(C301="Valores extremos",+"SELECT '"&amp;UPPER(B301)&amp;"' AS TABELA, '"&amp;UPPER(C301)&amp;"' AS TIPOLOGIA_TESTE,'"&amp;D301&amp;"' AS TABELA_LT,'N/A' AS TABELA_SIMUL,'"&amp;F301&amp;"' AS CAMPO, "&amp;"'${ref_date}' AS REF_DATE, CAST(MIN("&amp;F301&amp;") AS STRING) AS VALOR_MIN, CAST(MAX("&amp;F301&amp;") AS STRING) AS VALOR_MAX,'"&amp;MAX('ID1&amp;5'!K:K)+1&amp;"' AS ID_EXEC, CURRENT_TIMESTAMP() AS TIME_EXEC FROM "&amp;MID(I301,1,LEN(I301)-2)&amp;" AND CAST("&amp;F301&amp;"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TABELA_SIMUL,'ISIN_SCRTSTN' AS CAMPO, '${ref_date}' AS REF_DATE, COUNT(*) AS NUM_REG, SUM(IF(COALESCE(CAST(X.ISIN_SCRTSTN AS STRING),'')&lt;&gt;COALESCE(CAST(Y.ISIN_SCRTSTN_SIMUL AS STRING),'') OR (X.ISIN_SCRTSTN IS NULL AND Y.ISIN_SCRTSTN_SIMUL IS NOT NULL ) OR (X.ISIN_SCRTSTN IS NOT NULL AND Y.ISIN_SCRTSTN_SIMUL IS NULL),1,0)) AS NUM_REG_DIF,'1' AS ID_EXEC, CURRENT_TIMESTAMP() AS TIME_EXEC FROM (SELECT instrmnt_id, ISIN_SCRTSTN FROM CD_LOAN_TAPES_BCE.LT002_INSTRUMENT WHERE ref_date='${ref_date}' AND nome_perimetro='Individual Corporativo' AND segmento='ESTR' AND ambito='PM' AND entidade='00100')X INNER JOIN (SELECT instrmnt_id AS instrmnt_id_SIMUL, ISIN_SCRTSTN AS ISIN_SCRTSTN_SIMUL FROM BU_LOANTAPE_WORK.LT002_INSTRUMENT WHERE ref_date='${ref_date}' AND nome_perimetro='Individual Corporativo' AND segmento='ESTR' AND ambito='PM' AND entidade='00100')Y ON X.INSTRMNT_ID=Y.INSTRMNT_ID_SIMUL</v>
      </c>
      <c r="M301" s="36" t="str">
        <f t="shared" si="4"/>
        <v>UNION ALL SELECT 'INSTRUMENT' AS TABELA, 'COERÊNCIA' AS TIPOLOGIA_TESTE,'CD_LOAN_TAPES_BCE.LT002_INSTRUMENT' AS TABELA_LT,'BU_LOANTAPE_WORK.LT002_INSTRUMENT' AS TABELA_SIMUL,'ISIN_SCRTSTN' AS CAMPO, '${ref_date}' AS REF_DATE, COUNT(*) AS NUM_REG, SUM(IF(COALESCE(CAST(X.ISIN_SCRTSTN AS STRING),'')&lt;&gt;COALESCE(CAST(Y.ISIN_SCRTSTN_SIMUL AS STRING),'') OR (X.ISIN_SCRTSTN IS NULL AND Y.ISIN_SCRTSTN_SIMUL IS NOT NULL ) OR (X.ISIN_SCRTSTN IS NOT NULL AND Y.ISIN_SCRTSTN_SIMUL IS NULL),1,0)) AS NUM_REG_DIF,'1' AS ID_EXEC, CURRENT_TIMESTAMP() AS TIME_EXEC FROM (SELECT instrmnt_id, ISIN_SCRTSTN FROM CD_LOAN_TAPES_BCE.LT002_INSTRUMENT WHERE ref_date='${ref_date}' AND nome_perimetro='Individual Corporativo' AND segmento='ESTR' AND ambito='PM' AND entidade='00100')X INNER JOIN (SELECT instrmnt_id AS instrmnt_id_SIMUL, ISIN_SCRTSTN AS ISIN_SCRTSTN_SIMUL FROM BU_LOANTAPE_WORK.LT002_INSTRUMENT WHERE ref_date='${ref_date}' AND nome_perimetro='Individual Corporativo' AND segmento='ESTR' AND ambito='PM' AND entidade='00100')Y ON X.INSTRMNT_ID=Y.INSTRMNT_ID_SIMUL</v>
      </c>
      <c r="N301" s="38" t="s">
        <v>46</v>
      </c>
    </row>
    <row r="302" spans="2:14" hidden="1">
      <c r="B302" s="34" t="s">
        <v>126</v>
      </c>
      <c r="C302" s="34" t="s">
        <v>5</v>
      </c>
      <c r="D302" s="34" t="str">
        <f>+UPPER('0. Instruções'!$D$35&amp;"."&amp;VLOOKUP(B302,'0. Instruções'!$C$27:$D$32,2,FALSE))</f>
        <v>CD_LOAN_TAPES_BCE.LT002_INSTRUMENT</v>
      </c>
      <c r="E302" s="34" t="str">
        <f>+UPPER('0. Instruções'!$D$36&amp;"."&amp;VLOOKUP(B302,'0. Instruções'!$C$27:$E$32,3,FALSE))</f>
        <v>BU_LOANTAPE_WORK.LT002_INSTRUMENT</v>
      </c>
      <c r="F302" s="34" t="s">
        <v>582</v>
      </c>
      <c r="G302" s="34"/>
      <c r="H302" s="34" t="s">
        <v>650</v>
      </c>
      <c r="I302" s="34" t="str">
        <f>"(SELECT "&amp;VLOOKUP(B302,'0. Instruções'!$C$27:$G$32,4,FALSE)&amp;", "&amp;F302&amp;" FROM "&amp;D302&amp;" WHERE "&amp;'0. Instruções'!$D$42&amp;")X"</f>
        <v>(SELECT instrmnt_id, CNTRCT_ID_BDR FROM CD_LOAN_TAPES_BCE.LT002_INSTRUMENT WHERE ref_date='${ref_date}' AND nome_perimetro='Individual Corporativo' AND segmento='ESTR' AND ambito='PM' AND entidade='00100')X</v>
      </c>
      <c r="J302" s="34" t="str">
        <f>"(SELECT "&amp;VLOOKUP(B302,'0. Instruções'!$C$27:$G$32,4,FALSE)&amp;" AS "&amp;VLOOKUP(B302,'0. Instruções'!$C$27:$G$32,4,FALSE)&amp;"_SIMUL, "&amp;F302&amp;" AS "&amp;F302&amp;"_SIMUL FROM "&amp;E302&amp;" WHERE "&amp;'0. Instruções'!$D$43&amp;")Y"</f>
        <v>(SELECT instrmnt_id AS instrmnt_id_SIMUL, CNTRCT_ID_BDR AS CNTRCT_ID_BDR_SIMUL FROM BU_LOANTAPE_WORK.LT002_INSTRUMENT WHERE ref_date='${ref_date}' AND nome_perimetro='Individual Corporativo' AND segmento='ESTR' AND ambito='PM' AND entidade='00100')Y</v>
      </c>
      <c r="K302" s="35" t="str">
        <f>+UPPER("ON X."&amp;VLOOKUP(B302,'0. Instruções'!$C$27:$G$32,4,FALSE)&amp;"=Y."&amp;VLOOKUP(B302,'0. Instruções'!$C$27:$G$32,4,FALSE)&amp;"_SIMUL")</f>
        <v>ON X.INSTRMNT_ID=Y.INSTRMNT_ID_SIMUL</v>
      </c>
      <c r="L302" s="35" t="str">
        <f>+IF(C302="Coerência", +IF(LEFT(G302,5)="FLOAT","SELECT '"&amp;UPPER(B302)&amp;"' AS TABELA, '"&amp;UPPER(C302)&amp;"' AS TIPOLOGIA_TESTE,'"&amp;D302&amp;"' AS TABELA_LT,'"&amp;E302&amp;"' AS TABELA_SIMUL,'"&amp;F302&amp;"' AS CAMPO, "&amp;"'${ref_date}' AS REF_DATE, COUNT(*) AS NUM_REG, SUM(IF((ABS(COALESCE(CAST(X."&amp;F302&amp;" AS DECIMAL(18,6)),0)-COALESCE(CAST(Y."&amp;F302&amp;"_SIMUL AS DECIMAL(18,6)),0))&gt;0.000001) OR (X."&amp;F302&amp;" IS NULL AND Y."&amp;F302&amp;"_SIMUL IS NOT NULL ) OR (X."&amp;F302&amp;" IS NOT NULL AND Y."&amp;F302&amp;"_SIMUL IS NULL),1,0)) AS NUM_REG_DIF,'"&amp;MAX('ID1&amp;5'!K:K)+1&amp;"' AS ID_EXEC, CURRENT_TIMESTAMP() AS TIME_EXEC FROM "&amp;I302&amp;" INNER JOIN "&amp;J302&amp;" "&amp;K302,"SELECT '"&amp;UPPER(B302)&amp;"' AS TABELA, '"&amp;UPPER(C302)&amp;"' AS TIPOLOGIA_TESTE,'"&amp;D302&amp;"' AS TABELA_LT,'"&amp;E302&amp;"' AS TABELA_SIMUL,'"&amp;F302&amp;"' AS CAMPO, "&amp;"'${ref_date}' AS REF_DATE, COUNT(*) AS NUM_REG, SUM(IF(COALESCE(CAST(X."&amp;F302&amp;" AS STRING),'')&lt;&gt;COALESCE(CAST(Y."&amp;F302&amp;"_SIMUL AS STRING),'') OR (X."&amp;F302&amp;" IS NULL AND Y."&amp;F302&amp;"_SIMUL IS NOT NULL ) OR (X."&amp;F302&amp;" IS NOT NULL AND Y."&amp;F302&amp;"_SIMUL IS NULL),1,0)) AS NUM_REG_DIF,'"&amp;MAX('ID1&amp;5'!L:L)+1&amp;"' AS ID_EXEC, CURRENT_TIMESTAMP() AS TIME_EXEC FROM "&amp;I302&amp;" INNER JOIN "&amp;J302&amp;" "&amp;K302),
IF(C302="Validade",+IF(G302="Code List","SELECT '"&amp;UPPER(B302)&amp;"' AS TABELA, '"&amp;UPPER(C302)&amp;"' AS TIPOLOGIA_TESTE,'"&amp;D302&amp;"' AS TABELA_LT,'N/A' AS TABELA_SIMUL,'"&amp;F302&amp;"' AS CAMPO, "&amp;"'${ref_date}' AS REF_DATE, COUNT(*) AS NUM_REG, SUM(IF(TRIM(CAST(X."&amp;F302&amp;" AS STRING))='' OR TRIM(CAST(X."&amp;F302&amp;" AS STRING)) IS NULL OR CAST(X."&amp;F302&amp;" AS STRING) NOT "&amp;H302&amp;",1,0)) AS NUM_REG_DIF,'"&amp;MAX('ID1&amp;5'!K:K)+1&amp;"' AS ID_EXEC, CURRENT_TIMESTAMP() AS TIME_EXEC FROM "&amp;I302,"SELECT '"&amp;UPPER(B302)&amp;"' AS TABELA, '"&amp;UPPER(C302)&amp;"' AS TIPOLOGIA_TESTE,'"&amp;D302&amp;"' AS TABELA_LT,'N/A' AS TABELA_SIMUL,'"&amp;F302&amp;"' AS CAMPO, "&amp;"'${ref_date}' AS REF_DATE, COUNT(*) AS NUM_REG, SUM(IF(TRIM(CAST(X."&amp;F302&amp;" AS STRING))='' OR TRIM(CAST(X."&amp;F302&amp;" AS STRING)) IS NULL,1,0)) AS NUM_REG_DIF,'"&amp;MAX('ID1&amp;5'!K:K)+1&amp;"' AS ID_EXEC, CURRENT_TIMESTAMP() AS TIME_EXEC FROM "&amp;I302),
IF(C302="Caracteres Especiais",+"SELECT '"&amp;UPPER(B302)&amp;"' AS TABELA, '"&amp;UPPER(C302)&amp;"' AS TIPOLOGIA_TESTE,'"&amp;D302&amp;"' AS TABELA_LT,'N/A' AS TABELA_SIMUL,'"&amp;F302&amp;"' AS CAMPO, "&amp;"'${ref_date}' AS REF_DATE, COUNT(*) AS NUM_REG, SUM(IF(REGEXP_REPLACE(TRIM(CAST(X."&amp;F302&amp;" AS STRING)),'[^a-zA-Z0-9_\\s]','') &lt;&gt;TRIM(CAST(X."&amp;F302&amp;" AS STRING)),1,0)) AS NUM_REG_DIF,'"&amp;MAX('ID1&amp;5'!K:K)+1&amp;"' AS ID_EXEC, CURRENT_TIMESTAMP() AS TIME_EXEC FROM "&amp;I302,
IF(C302="Missings",+"SELECT '"&amp;UPPER(B302)&amp;"' AS TABELA, '"&amp;UPPER(C302)&amp;"' AS TIPOLOGIA_TESTE,'"&amp;D302&amp;"' AS TABELA_LT,'N/A' AS TABELA_SIMUL,'"&amp;F302&amp;"' AS CAMPO, "&amp;"'${ref_date}' AS REF_DATE, COUNT(*) AS NUM_REG, SUM(IF(TRIM(CAST(X."&amp;F302&amp;" AS STRING)) IN ('0000-00-00','0001-01-01','9999-12-31','MISS','00000','99999999999','99999999999.00','99999999999.000000'),1,0)) AS NUM_REG_DIF,'"&amp;MAX('ID1&amp;5'!K:K)+1&amp;"' AS ID_EXEC, CURRENT_TIMESTAMP() AS TIME_EXEC FROM "&amp;I302,
IF(C302="Not applicable",+"SELECT '"&amp;UPPER(B302)&amp;"' AS TABELA, '"&amp;UPPER(C302)&amp;"' AS TIPOLOGIA_TESTE,'"&amp;D302&amp;"' AS TABELA_LT,'N/A' AS TABELA_SIMUL,'"&amp;F302&amp;"' AS CAMPO, "&amp;"'${ref_date}' AS REF_DATE, COUNT(*) AS NUM_REG, SUM(IF(TRIM(CAST(X."&amp;F302&amp;" AS STRING)) IN ('N/A','11111111111','11111111111.00','11111111111.000000','1111-11-11'),1,0)) AS NUM_REG_DIF,'"&amp;MAX('ID1&amp;5'!K:K)+1&amp;"' AS ID_EXEC, CURRENT_TIMESTAMP() AS TIME_EXEC FROM "&amp;I302,
IF(C302="Valores extremos",+"SELECT '"&amp;UPPER(B302)&amp;"' AS TABELA, '"&amp;UPPER(C302)&amp;"' AS TIPOLOGIA_TESTE,'"&amp;D302&amp;"' AS TABELA_LT,'N/A' AS TABELA_SIMUL,'"&amp;F302&amp;"' AS CAMPO, "&amp;"'${ref_date}' AS REF_DATE, CAST(MIN("&amp;F302&amp;") AS STRING) AS VALOR_MIN, CAST(MAX("&amp;F302&amp;") AS STRING) AS VALOR_MAX,'"&amp;MAX('ID1&amp;5'!K:K)+1&amp;"' AS ID_EXEC, CURRENT_TIMESTAMP() AS TIME_EXEC FROM "&amp;MID(I302,1,LEN(I302)-2)&amp;" AND CAST("&amp;F302&amp;"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TABELA_SIMUL,'CNTRCT_ID_BDR' AS CAMPO, '${ref_date}' AS REF_DATE, COUNT(*) AS NUM_REG, SUM(IF(COALESCE(CAST(X.CNTRCT_ID_BDR AS STRING),'')&lt;&gt;COALESCE(CAST(Y.CNTRCT_ID_BDR_SIMUL AS STRING),'') OR (X.CNTRCT_ID_BDR IS NULL AND Y.CNTRCT_ID_BDR_SIMUL IS NOT NULL ) OR (X.CNTRCT_ID_BDR IS NOT NULL AND Y.CNTRCT_ID_BDR_SIMUL IS NULL),1,0)) AS NUM_REG_DIF,'1' AS ID_EXEC, CURRENT_TIMESTAMP() AS TIME_EXEC FROM (SELECT instrmnt_id, CNTRCT_ID_BDR FROM CD_LOAN_TAPES_BCE.LT002_INSTRUMENT WHERE ref_date='${ref_date}' AND nome_perimetro='Individual Corporativo' AND segmento='ESTR' AND ambito='PM' AND entidade='00100')X INNER JOIN (SELECT instrmnt_id AS instrmnt_id_SIMUL, CNTRCT_ID_BDR AS CNTRCT_ID_BDR_SIMUL FROM BU_LOANTAPE_WORK.LT002_INSTRUMENT WHERE ref_date='${ref_date}' AND nome_perimetro='Individual Corporativo' AND segmento='ESTR' AND ambito='PM' AND entidade='00100')Y ON X.INSTRMNT_ID=Y.INSTRMNT_ID_SIMUL</v>
      </c>
      <c r="M302" s="36" t="str">
        <f t="shared" si="4"/>
        <v>UNION ALL SELECT 'INSTRUMENT' AS TABELA, 'COERÊNCIA' AS TIPOLOGIA_TESTE,'CD_LOAN_TAPES_BCE.LT002_INSTRUMENT' AS TABELA_LT,'BU_LOANTAPE_WORK.LT002_INSTRUMENT' AS TABELA_SIMUL,'CNTRCT_ID_BDR' AS CAMPO, '${ref_date}' AS REF_DATE, COUNT(*) AS NUM_REG, SUM(IF(COALESCE(CAST(X.CNTRCT_ID_BDR AS STRING),'')&lt;&gt;COALESCE(CAST(Y.CNTRCT_ID_BDR_SIMUL AS STRING),'') OR (X.CNTRCT_ID_BDR IS NULL AND Y.CNTRCT_ID_BDR_SIMUL IS NOT NULL ) OR (X.CNTRCT_ID_BDR IS NOT NULL AND Y.CNTRCT_ID_BDR_SIMUL IS NULL),1,0)) AS NUM_REG_DIF,'1' AS ID_EXEC, CURRENT_TIMESTAMP() AS TIME_EXEC FROM (SELECT instrmnt_id, CNTRCT_ID_BDR FROM CD_LOAN_TAPES_BCE.LT002_INSTRUMENT WHERE ref_date='${ref_date}' AND nome_perimetro='Individual Corporativo' AND segmento='ESTR' AND ambito='PM' AND entidade='00100')X INNER JOIN (SELECT instrmnt_id AS instrmnt_id_SIMUL, CNTRCT_ID_BDR AS CNTRCT_ID_BDR_SIMUL FROM BU_LOANTAPE_WORK.LT002_INSTRUMENT WHERE ref_date='${ref_date}' AND nome_perimetro='Individual Corporativo' AND segmento='ESTR' AND ambito='PM' AND entidade='00100')Y ON X.INSTRMNT_ID=Y.INSTRMNT_ID_SIMUL</v>
      </c>
      <c r="N302" s="38" t="s">
        <v>46</v>
      </c>
    </row>
    <row r="303" spans="2:14" hidden="1">
      <c r="B303" s="34" t="s">
        <v>126</v>
      </c>
      <c r="C303" s="34" t="s">
        <v>5</v>
      </c>
      <c r="D303" s="34" t="str">
        <f>+UPPER('0. Instruções'!$D$35&amp;"."&amp;VLOOKUP(B303,'0. Instruções'!$C$27:$D$32,2,FALSE))</f>
        <v>CD_LOAN_TAPES_BCE.LT002_INSTRUMENT</v>
      </c>
      <c r="E303" s="34" t="str">
        <f>+UPPER('0. Instruções'!$D$36&amp;"."&amp;VLOOKUP(B303,'0. Instruções'!$C$27:$E$32,3,FALSE))</f>
        <v>BU_LOANTAPE_WORK.LT002_INSTRUMENT</v>
      </c>
      <c r="F303" s="34" t="s">
        <v>583</v>
      </c>
      <c r="G303" s="34"/>
      <c r="H303" s="34" t="s">
        <v>644</v>
      </c>
      <c r="I303" s="34" t="str">
        <f>"(SELECT "&amp;VLOOKUP(B303,'0. Instruções'!$C$27:$G$32,4,FALSE)&amp;", "&amp;F303&amp;" FROM "&amp;D303&amp;" WHERE "&amp;'0. Instruções'!$D$42&amp;")X"</f>
        <v>(SELECT instrmnt_id, COD_SOC_INTRGRP FROM CD_LOAN_TAPES_BCE.LT002_INSTRUMENT WHERE ref_date='${ref_date}' AND nome_perimetro='Individual Corporativo' AND segmento='ESTR' AND ambito='PM' AND entidade='00100')X</v>
      </c>
      <c r="J303" s="34" t="str">
        <f>"(SELECT "&amp;VLOOKUP(B303,'0. Instruções'!$C$27:$G$32,4,FALSE)&amp;" AS "&amp;VLOOKUP(B303,'0. Instruções'!$C$27:$G$32,4,FALSE)&amp;"_SIMUL, "&amp;F303&amp;" AS "&amp;F303&amp;"_SIMUL FROM "&amp;E303&amp;" WHERE "&amp;'0. Instruções'!$D$43&amp;")Y"</f>
        <v>(SELECT instrmnt_id AS instrmnt_id_SIMUL, COD_SOC_INTRGRP AS COD_SOC_INTRGRP_SIMUL FROM BU_LOANTAPE_WORK.LT002_INSTRUMENT WHERE ref_date='${ref_date}' AND nome_perimetro='Individual Corporativo' AND segmento='ESTR' AND ambito='PM' AND entidade='00100')Y</v>
      </c>
      <c r="K303" s="35" t="str">
        <f>+UPPER("ON X."&amp;VLOOKUP(B303,'0. Instruções'!$C$27:$G$32,4,FALSE)&amp;"=Y."&amp;VLOOKUP(B303,'0. Instruções'!$C$27:$G$32,4,FALSE)&amp;"_SIMUL")</f>
        <v>ON X.INSTRMNT_ID=Y.INSTRMNT_ID_SIMUL</v>
      </c>
      <c r="L303" s="35" t="str">
        <f>+IF(C303="Coerência", +IF(LEFT(G303,5)="FLOAT","SELECT '"&amp;UPPER(B303)&amp;"' AS TABELA, '"&amp;UPPER(C303)&amp;"' AS TIPOLOGIA_TESTE,'"&amp;D303&amp;"' AS TABELA_LT,'"&amp;E303&amp;"' AS TABELA_SIMUL,'"&amp;F303&amp;"' AS CAMPO, "&amp;"'${ref_date}' AS REF_DATE, COUNT(*) AS NUM_REG, SUM(IF((ABS(COALESCE(CAST(X."&amp;F303&amp;" AS DECIMAL(18,6)),0)-COALESCE(CAST(Y."&amp;F303&amp;"_SIMUL AS DECIMAL(18,6)),0))&gt;0.000001) OR (X."&amp;F303&amp;" IS NULL AND Y."&amp;F303&amp;"_SIMUL IS NOT NULL ) OR (X."&amp;F303&amp;" IS NOT NULL AND Y."&amp;F303&amp;"_SIMUL IS NULL),1,0)) AS NUM_REG_DIF,'"&amp;MAX('ID1&amp;5'!K:K)+1&amp;"' AS ID_EXEC, CURRENT_TIMESTAMP() AS TIME_EXEC FROM "&amp;I303&amp;" INNER JOIN "&amp;J303&amp;" "&amp;K303,"SELECT '"&amp;UPPER(B303)&amp;"' AS TABELA, '"&amp;UPPER(C303)&amp;"' AS TIPOLOGIA_TESTE,'"&amp;D303&amp;"' AS TABELA_LT,'"&amp;E303&amp;"' AS TABELA_SIMUL,'"&amp;F303&amp;"' AS CAMPO, "&amp;"'${ref_date}' AS REF_DATE, COUNT(*) AS NUM_REG, SUM(IF(COALESCE(CAST(X."&amp;F303&amp;" AS STRING),'')&lt;&gt;COALESCE(CAST(Y."&amp;F303&amp;"_SIMUL AS STRING),'') OR (X."&amp;F303&amp;" IS NULL AND Y."&amp;F303&amp;"_SIMUL IS NOT NULL ) OR (X."&amp;F303&amp;" IS NOT NULL AND Y."&amp;F303&amp;"_SIMUL IS NULL),1,0)) AS NUM_REG_DIF,'"&amp;MAX('ID1&amp;5'!L:L)+1&amp;"' AS ID_EXEC, CURRENT_TIMESTAMP() AS TIME_EXEC FROM "&amp;I303&amp;" INNER JOIN "&amp;J303&amp;" "&amp;K303),
IF(C303="Validade",+IF(G303="Code List","SELECT '"&amp;UPPER(B303)&amp;"' AS TABELA, '"&amp;UPPER(C303)&amp;"' AS TIPOLOGIA_TESTE,'"&amp;D303&amp;"' AS TABELA_LT,'N/A' AS TABELA_SIMUL,'"&amp;F303&amp;"' AS CAMPO, "&amp;"'${ref_date}' AS REF_DATE, COUNT(*) AS NUM_REG, SUM(IF(TRIM(CAST(X."&amp;F303&amp;" AS STRING))='' OR TRIM(CAST(X."&amp;F303&amp;" AS STRING)) IS NULL OR CAST(X."&amp;F303&amp;" AS STRING) NOT "&amp;H303&amp;",1,0)) AS NUM_REG_DIF,'"&amp;MAX('ID1&amp;5'!K:K)+1&amp;"' AS ID_EXEC, CURRENT_TIMESTAMP() AS TIME_EXEC FROM "&amp;I303,"SELECT '"&amp;UPPER(B303)&amp;"' AS TABELA, '"&amp;UPPER(C303)&amp;"' AS TIPOLOGIA_TESTE,'"&amp;D303&amp;"' AS TABELA_LT,'N/A' AS TABELA_SIMUL,'"&amp;F303&amp;"' AS CAMPO, "&amp;"'${ref_date}' AS REF_DATE, COUNT(*) AS NUM_REG, SUM(IF(TRIM(CAST(X."&amp;F303&amp;" AS STRING))='' OR TRIM(CAST(X."&amp;F303&amp;" AS STRING)) IS NULL,1,0)) AS NUM_REG_DIF,'"&amp;MAX('ID1&amp;5'!K:K)+1&amp;"' AS ID_EXEC, CURRENT_TIMESTAMP() AS TIME_EXEC FROM "&amp;I303),
IF(C303="Caracteres Especiais",+"SELECT '"&amp;UPPER(B303)&amp;"' AS TABELA, '"&amp;UPPER(C303)&amp;"' AS TIPOLOGIA_TESTE,'"&amp;D303&amp;"' AS TABELA_LT,'N/A' AS TABELA_SIMUL,'"&amp;F303&amp;"' AS CAMPO, "&amp;"'${ref_date}' AS REF_DATE, COUNT(*) AS NUM_REG, SUM(IF(REGEXP_REPLACE(TRIM(CAST(X."&amp;F303&amp;" AS STRING)),'[^a-zA-Z0-9_\\s]','') &lt;&gt;TRIM(CAST(X."&amp;F303&amp;" AS STRING)),1,0)) AS NUM_REG_DIF,'"&amp;MAX('ID1&amp;5'!K:K)+1&amp;"' AS ID_EXEC, CURRENT_TIMESTAMP() AS TIME_EXEC FROM "&amp;I303,
IF(C303="Missings",+"SELECT '"&amp;UPPER(B303)&amp;"' AS TABELA, '"&amp;UPPER(C303)&amp;"' AS TIPOLOGIA_TESTE,'"&amp;D303&amp;"' AS TABELA_LT,'N/A' AS TABELA_SIMUL,'"&amp;F303&amp;"' AS CAMPO, "&amp;"'${ref_date}' AS REF_DATE, COUNT(*) AS NUM_REG, SUM(IF(TRIM(CAST(X."&amp;F303&amp;" AS STRING)) IN ('0000-00-00','0001-01-01','9999-12-31','MISS','00000','99999999999','99999999999.00','99999999999.000000'),1,0)) AS NUM_REG_DIF,'"&amp;MAX('ID1&amp;5'!K:K)+1&amp;"' AS ID_EXEC, CURRENT_TIMESTAMP() AS TIME_EXEC FROM "&amp;I303,
IF(C303="Not applicable",+"SELECT '"&amp;UPPER(B303)&amp;"' AS TABELA, '"&amp;UPPER(C303)&amp;"' AS TIPOLOGIA_TESTE,'"&amp;D303&amp;"' AS TABELA_LT,'N/A' AS TABELA_SIMUL,'"&amp;F303&amp;"' AS CAMPO, "&amp;"'${ref_date}' AS REF_DATE, COUNT(*) AS NUM_REG, SUM(IF(TRIM(CAST(X."&amp;F303&amp;" AS STRING)) IN ('N/A','11111111111','11111111111.00','11111111111.000000','1111-11-11'),1,0)) AS NUM_REG_DIF,'"&amp;MAX('ID1&amp;5'!K:K)+1&amp;"' AS ID_EXEC, CURRENT_TIMESTAMP() AS TIME_EXEC FROM "&amp;I303,
IF(C303="Valores extremos",+"SELECT '"&amp;UPPER(B303)&amp;"' AS TABELA, '"&amp;UPPER(C303)&amp;"' AS TIPOLOGIA_TESTE,'"&amp;D303&amp;"' AS TABELA_LT,'N/A' AS TABELA_SIMUL,'"&amp;F303&amp;"' AS CAMPO, "&amp;"'${ref_date}' AS REF_DATE, CAST(MIN("&amp;F303&amp;") AS STRING) AS VALOR_MIN, CAST(MAX("&amp;F303&amp;") AS STRING) AS VALOR_MAX,'"&amp;MAX('ID1&amp;5'!K:K)+1&amp;"' AS ID_EXEC, CURRENT_TIMESTAMP() AS TIME_EXEC FROM "&amp;MID(I303,1,LEN(I303)-2)&amp;" AND CAST("&amp;F303&amp;"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TABELA_SIMUL,'COD_SOC_INTRGRP' AS CAMPO, '${ref_date}' AS REF_DATE, COUNT(*) AS NUM_REG, SUM(IF(COALESCE(CAST(X.COD_SOC_INTRGRP AS STRING),'')&lt;&gt;COALESCE(CAST(Y.COD_SOC_INTRGRP_SIMUL AS STRING),'') OR (X.COD_SOC_INTRGRP IS NULL AND Y.COD_SOC_INTRGRP_SIMUL IS NOT NULL ) OR (X.COD_SOC_INTRGRP IS NOT NULL AND Y.COD_SOC_INTRGRP_SIMUL IS NULL),1,0)) AS NUM_REG_DIF,'1' AS ID_EXEC, CURRENT_TIMESTAMP() AS TIME_EXEC FROM (SELECT instrmnt_id, COD_SOC_INTRGRP FROM CD_LOAN_TAPES_BCE.LT002_INSTRUMENT WHERE ref_date='${ref_date}' AND nome_perimetro='Individual Corporativo' AND segmento='ESTR' AND ambito='PM' AND entidade='00100')X INNER JOIN (SELECT instrmnt_id AS instrmnt_id_SIMUL, COD_SOC_INTRGRP AS COD_SOC_INTRGRP_SIMUL FROM BU_LOANTAPE_WORK.LT002_INSTRUMENT WHERE ref_date='${ref_date}' AND nome_perimetro='Individual Corporativo' AND segmento='ESTR' AND ambito='PM' AND entidade='00100')Y ON X.INSTRMNT_ID=Y.INSTRMNT_ID_SIMUL</v>
      </c>
      <c r="M303" s="36" t="str">
        <f t="shared" si="4"/>
        <v>UNION ALL SELECT 'INSTRUMENT' AS TABELA, 'COERÊNCIA' AS TIPOLOGIA_TESTE,'CD_LOAN_TAPES_BCE.LT002_INSTRUMENT' AS TABELA_LT,'BU_LOANTAPE_WORK.LT002_INSTRUMENT' AS TABELA_SIMUL,'COD_SOC_INTRGRP' AS CAMPO, '${ref_date}' AS REF_DATE, COUNT(*) AS NUM_REG, SUM(IF(COALESCE(CAST(X.COD_SOC_INTRGRP AS STRING),'')&lt;&gt;COALESCE(CAST(Y.COD_SOC_INTRGRP_SIMUL AS STRING),'') OR (X.COD_SOC_INTRGRP IS NULL AND Y.COD_SOC_INTRGRP_SIMUL IS NOT NULL ) OR (X.COD_SOC_INTRGRP IS NOT NULL AND Y.COD_SOC_INTRGRP_SIMUL IS NULL),1,0)) AS NUM_REG_DIF,'1' AS ID_EXEC, CURRENT_TIMESTAMP() AS TIME_EXEC FROM (SELECT instrmnt_id, COD_SOC_INTRGRP FROM CD_LOAN_TAPES_BCE.LT002_INSTRUMENT WHERE ref_date='${ref_date}' AND nome_perimetro='Individual Corporativo' AND segmento='ESTR' AND ambito='PM' AND entidade='00100')X INNER JOIN (SELECT instrmnt_id AS instrmnt_id_SIMUL, COD_SOC_INTRGRP AS COD_SOC_INTRGRP_SIMUL FROM BU_LOANTAPE_WORK.LT002_INSTRUMENT WHERE ref_date='${ref_date}' AND nome_perimetro='Individual Corporativo' AND segmento='ESTR' AND ambito='PM' AND entidade='00100')Y ON X.INSTRMNT_ID=Y.INSTRMNT_ID_SIMUL</v>
      </c>
      <c r="N303" s="38" t="s">
        <v>46</v>
      </c>
    </row>
    <row r="304" spans="2:14" hidden="1">
      <c r="B304" s="34" t="s">
        <v>126</v>
      </c>
      <c r="C304" s="34" t="s">
        <v>5</v>
      </c>
      <c r="D304" s="34" t="str">
        <f>+UPPER('0. Instruções'!$D$35&amp;"."&amp;VLOOKUP(B304,'0. Instruções'!$C$27:$D$32,2,FALSE))</f>
        <v>CD_LOAN_TAPES_BCE.LT002_INSTRUMENT</v>
      </c>
      <c r="E304" s="34" t="str">
        <f>+UPPER('0. Instruções'!$D$36&amp;"."&amp;VLOOKUP(B304,'0. Instruções'!$C$27:$E$32,3,FALSE))</f>
        <v>BU_LOANTAPE_WORK.LT002_INSTRUMENT</v>
      </c>
      <c r="F304" s="34" t="s">
        <v>110</v>
      </c>
      <c r="G304" s="34"/>
      <c r="H304" s="34" t="s">
        <v>650</v>
      </c>
      <c r="I304" s="34" t="str">
        <f>"(SELECT "&amp;VLOOKUP(B304,'0. Instruções'!$C$27:$G$32,4,FALSE)&amp;", "&amp;F304&amp;" FROM "&amp;D304&amp;" WHERE "&amp;'0. Instruções'!$D$42&amp;")X"</f>
        <v>(SELECT instrmnt_id, LCL_INSTMRNT_ID FROM CD_LOAN_TAPES_BCE.LT002_INSTRUMENT WHERE ref_date='${ref_date}' AND nome_perimetro='Individual Corporativo' AND segmento='ESTR' AND ambito='PM' AND entidade='00100')X</v>
      </c>
      <c r="J304" s="34" t="str">
        <f>"(SELECT "&amp;VLOOKUP(B304,'0. Instruções'!$C$27:$G$32,4,FALSE)&amp;" AS "&amp;VLOOKUP(B304,'0. Instruções'!$C$27:$G$32,4,FALSE)&amp;"_SIMUL, "&amp;F304&amp;" AS "&amp;F304&amp;"_SIMUL FROM "&amp;E304&amp;" WHERE "&amp;'0. Instruções'!$D$43&amp;")Y"</f>
        <v>(SELECT instrmnt_id AS instrmnt_id_SIMUL, LCL_INSTMRNT_ID AS LCL_INSTMRNT_ID_SIMUL FROM BU_LOANTAPE_WORK.LT002_INSTRUMENT WHERE ref_date='${ref_date}' AND nome_perimetro='Individual Corporativo' AND segmento='ESTR' AND ambito='PM' AND entidade='00100')Y</v>
      </c>
      <c r="K304" s="35" t="str">
        <f>+UPPER("ON X."&amp;VLOOKUP(B304,'0. Instruções'!$C$27:$G$32,4,FALSE)&amp;"=Y."&amp;VLOOKUP(B304,'0. Instruções'!$C$27:$G$32,4,FALSE)&amp;"_SIMUL")</f>
        <v>ON X.INSTRMNT_ID=Y.INSTRMNT_ID_SIMUL</v>
      </c>
      <c r="L304" s="35" t="str">
        <f>+IF(C304="Coerência", +IF(LEFT(G304,5)="FLOAT","SELECT '"&amp;UPPER(B304)&amp;"' AS TABELA, '"&amp;UPPER(C304)&amp;"' AS TIPOLOGIA_TESTE,'"&amp;D304&amp;"' AS TABELA_LT,'"&amp;E304&amp;"' AS TABELA_SIMUL,'"&amp;F304&amp;"' AS CAMPO, "&amp;"'${ref_date}' AS REF_DATE, COUNT(*) AS NUM_REG, SUM(IF((ABS(COALESCE(CAST(X."&amp;F304&amp;" AS DECIMAL(18,6)),0)-COALESCE(CAST(Y."&amp;F304&amp;"_SIMUL AS DECIMAL(18,6)),0))&gt;0.000001) OR (X."&amp;F304&amp;" IS NULL AND Y."&amp;F304&amp;"_SIMUL IS NOT NULL ) OR (X."&amp;F304&amp;" IS NOT NULL AND Y."&amp;F304&amp;"_SIMUL IS NULL),1,0)) AS NUM_REG_DIF,'"&amp;MAX('ID1&amp;5'!K:K)+1&amp;"' AS ID_EXEC, CURRENT_TIMESTAMP() AS TIME_EXEC FROM "&amp;I304&amp;" INNER JOIN "&amp;J304&amp;" "&amp;K304,"SELECT '"&amp;UPPER(B304)&amp;"' AS TABELA, '"&amp;UPPER(C304)&amp;"' AS TIPOLOGIA_TESTE,'"&amp;D304&amp;"' AS TABELA_LT,'"&amp;E304&amp;"' AS TABELA_SIMUL,'"&amp;F304&amp;"' AS CAMPO, "&amp;"'${ref_date}' AS REF_DATE, COUNT(*) AS NUM_REG, SUM(IF(COALESCE(CAST(X."&amp;F304&amp;" AS STRING),'')&lt;&gt;COALESCE(CAST(Y."&amp;F304&amp;"_SIMUL AS STRING),'') OR (X."&amp;F304&amp;" IS NULL AND Y."&amp;F304&amp;"_SIMUL IS NOT NULL ) OR (X."&amp;F304&amp;" IS NOT NULL AND Y."&amp;F304&amp;"_SIMUL IS NULL),1,0)) AS NUM_REG_DIF,'"&amp;MAX('ID1&amp;5'!L:L)+1&amp;"' AS ID_EXEC, CURRENT_TIMESTAMP() AS TIME_EXEC FROM "&amp;I304&amp;" INNER JOIN "&amp;J304&amp;" "&amp;K304),
IF(C304="Validade",+IF(G304="Code List","SELECT '"&amp;UPPER(B304)&amp;"' AS TABELA, '"&amp;UPPER(C304)&amp;"' AS TIPOLOGIA_TESTE,'"&amp;D304&amp;"' AS TABELA_LT,'N/A' AS TABELA_SIMUL,'"&amp;F304&amp;"' AS CAMPO, "&amp;"'${ref_date}' AS REF_DATE, COUNT(*) AS NUM_REG, SUM(IF(TRIM(CAST(X."&amp;F304&amp;" AS STRING))='' OR TRIM(CAST(X."&amp;F304&amp;" AS STRING)) IS NULL OR CAST(X."&amp;F304&amp;" AS STRING) NOT "&amp;H304&amp;",1,0)) AS NUM_REG_DIF,'"&amp;MAX('ID1&amp;5'!K:K)+1&amp;"' AS ID_EXEC, CURRENT_TIMESTAMP() AS TIME_EXEC FROM "&amp;I304,"SELECT '"&amp;UPPER(B304)&amp;"' AS TABELA, '"&amp;UPPER(C304)&amp;"' AS TIPOLOGIA_TESTE,'"&amp;D304&amp;"' AS TABELA_LT,'N/A' AS TABELA_SIMUL,'"&amp;F304&amp;"' AS CAMPO, "&amp;"'${ref_date}' AS REF_DATE, COUNT(*) AS NUM_REG, SUM(IF(TRIM(CAST(X."&amp;F304&amp;" AS STRING))='' OR TRIM(CAST(X."&amp;F304&amp;" AS STRING)) IS NULL,1,0)) AS NUM_REG_DIF,'"&amp;MAX('ID1&amp;5'!K:K)+1&amp;"' AS ID_EXEC, CURRENT_TIMESTAMP() AS TIME_EXEC FROM "&amp;I304),
IF(C304="Caracteres Especiais",+"SELECT '"&amp;UPPER(B304)&amp;"' AS TABELA, '"&amp;UPPER(C304)&amp;"' AS TIPOLOGIA_TESTE,'"&amp;D304&amp;"' AS TABELA_LT,'N/A' AS TABELA_SIMUL,'"&amp;F304&amp;"' AS CAMPO, "&amp;"'${ref_date}' AS REF_DATE, COUNT(*) AS NUM_REG, SUM(IF(REGEXP_REPLACE(TRIM(CAST(X."&amp;F304&amp;" AS STRING)),'[^a-zA-Z0-9_\\s]','') &lt;&gt;TRIM(CAST(X."&amp;F304&amp;" AS STRING)),1,0)) AS NUM_REG_DIF,'"&amp;MAX('ID1&amp;5'!K:K)+1&amp;"' AS ID_EXEC, CURRENT_TIMESTAMP() AS TIME_EXEC FROM "&amp;I304,
IF(C304="Missings",+"SELECT '"&amp;UPPER(B304)&amp;"' AS TABELA, '"&amp;UPPER(C304)&amp;"' AS TIPOLOGIA_TESTE,'"&amp;D304&amp;"' AS TABELA_LT,'N/A' AS TABELA_SIMUL,'"&amp;F304&amp;"' AS CAMPO, "&amp;"'${ref_date}' AS REF_DATE, COUNT(*) AS NUM_REG, SUM(IF(TRIM(CAST(X."&amp;F304&amp;" AS STRING)) IN ('0000-00-00','0001-01-01','9999-12-31','MISS','00000','99999999999','99999999999.00','99999999999.000000'),1,0)) AS NUM_REG_DIF,'"&amp;MAX('ID1&amp;5'!K:K)+1&amp;"' AS ID_EXEC, CURRENT_TIMESTAMP() AS TIME_EXEC FROM "&amp;I304,
IF(C304="Not applicable",+"SELECT '"&amp;UPPER(B304)&amp;"' AS TABELA, '"&amp;UPPER(C304)&amp;"' AS TIPOLOGIA_TESTE,'"&amp;D304&amp;"' AS TABELA_LT,'N/A' AS TABELA_SIMUL,'"&amp;F304&amp;"' AS CAMPO, "&amp;"'${ref_date}' AS REF_DATE, COUNT(*) AS NUM_REG, SUM(IF(TRIM(CAST(X."&amp;F304&amp;" AS STRING)) IN ('N/A','11111111111','11111111111.00','11111111111.000000','1111-11-11'),1,0)) AS NUM_REG_DIF,'"&amp;MAX('ID1&amp;5'!K:K)+1&amp;"' AS ID_EXEC, CURRENT_TIMESTAMP() AS TIME_EXEC FROM "&amp;I304,
IF(C304="Valores extremos",+"SELECT '"&amp;UPPER(B304)&amp;"' AS TABELA, '"&amp;UPPER(C304)&amp;"' AS TIPOLOGIA_TESTE,'"&amp;D304&amp;"' AS TABELA_LT,'N/A' AS TABELA_SIMUL,'"&amp;F304&amp;"' AS CAMPO, "&amp;"'${ref_date}' AS REF_DATE, CAST(MIN("&amp;F304&amp;") AS STRING) AS VALOR_MIN, CAST(MAX("&amp;F304&amp;") AS STRING) AS VALOR_MAX,'"&amp;MAX('ID1&amp;5'!K:K)+1&amp;"' AS ID_EXEC, CURRENT_TIMESTAMP() AS TIME_EXEC FROM "&amp;MID(I304,1,LEN(I304)-2)&amp;" AND CAST("&amp;F304&amp;"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TABELA_SIMUL,'LCL_INSTMRNT_ID' AS CAMPO, '${ref_date}' AS REF_DATE, COUNT(*) AS NUM_REG, SUM(IF(COALESCE(CAST(X.LCL_INSTMRNT_ID AS STRING),'')&lt;&gt;COALESCE(CAST(Y.LCL_INSTMRNT_ID_SIMUL AS STRING),'') OR (X.LCL_INSTMRNT_ID IS NULL AND Y.LCL_INSTMRNT_ID_SIMUL IS NOT NULL ) OR (X.LCL_INSTMRNT_ID IS NOT NULL AND Y.LCL_INSTMRNT_ID_SIMUL IS NULL),1,0)) AS NUM_REG_DIF,'1' AS ID_EXEC, CURRENT_TIMESTAMP() AS TIME_EXEC FROM (SELECT instrmnt_id, LCL_INSTMRNT_ID FROM CD_LOAN_TAPES_BCE.LT002_INSTRUMENT WHERE ref_date='${ref_date}' AND nome_perimetro='Individual Corporativo' AND segmento='ESTR' AND ambito='PM' AND entidade='00100')X INNER JOIN (SELECT instrmnt_id AS instrmnt_id_SIMUL, LCL_INSTMRNT_ID AS LCL_INSTMRNT_ID_SIMUL FROM BU_LOANTAPE_WORK.LT002_INSTRUMENT WHERE ref_date='${ref_date}' AND nome_perimetro='Individual Corporativo' AND segmento='ESTR' AND ambito='PM' AND entidade='00100')Y ON X.INSTRMNT_ID=Y.INSTRMNT_ID_SIMUL</v>
      </c>
      <c r="M304" s="36" t="str">
        <f t="shared" si="4"/>
        <v>UNION ALL SELECT 'INSTRUMENT' AS TABELA, 'COERÊNCIA' AS TIPOLOGIA_TESTE,'CD_LOAN_TAPES_BCE.LT002_INSTRUMENT' AS TABELA_LT,'BU_LOANTAPE_WORK.LT002_INSTRUMENT' AS TABELA_SIMUL,'LCL_INSTMRNT_ID' AS CAMPO, '${ref_date}' AS REF_DATE, COUNT(*) AS NUM_REG, SUM(IF(COALESCE(CAST(X.LCL_INSTMRNT_ID AS STRING),'')&lt;&gt;COALESCE(CAST(Y.LCL_INSTMRNT_ID_SIMUL AS STRING),'') OR (X.LCL_INSTMRNT_ID IS NULL AND Y.LCL_INSTMRNT_ID_SIMUL IS NOT NULL ) OR (X.LCL_INSTMRNT_ID IS NOT NULL AND Y.LCL_INSTMRNT_ID_SIMUL IS NULL),1,0)) AS NUM_REG_DIF,'1' AS ID_EXEC, CURRENT_TIMESTAMP() AS TIME_EXEC FROM (SELECT instrmnt_id, LCL_INSTMRNT_ID FROM CD_LOAN_TAPES_BCE.LT002_INSTRUMENT WHERE ref_date='${ref_date}' AND nome_perimetro='Individual Corporativo' AND segmento='ESTR' AND ambito='PM' AND entidade='00100')X INNER JOIN (SELECT instrmnt_id AS instrmnt_id_SIMUL, LCL_INSTMRNT_ID AS LCL_INSTMRNT_ID_SIMUL FROM BU_LOANTAPE_WORK.LT002_INSTRUMENT WHERE ref_date='${ref_date}' AND nome_perimetro='Individual Corporativo' AND segmento='ESTR' AND ambito='PM' AND entidade='00100')Y ON X.INSTRMNT_ID=Y.INSTRMNT_ID_SIMUL</v>
      </c>
      <c r="N304" s="38" t="s">
        <v>46</v>
      </c>
    </row>
    <row r="305" spans="2:14" hidden="1">
      <c r="B305" s="34" t="s">
        <v>126</v>
      </c>
      <c r="C305" s="34" t="s">
        <v>5</v>
      </c>
      <c r="D305" s="34" t="str">
        <f>+UPPER('0. Instruções'!$D$35&amp;"."&amp;VLOOKUP(B305,'0. Instruções'!$C$27:$D$32,2,FALSE))</f>
        <v>CD_LOAN_TAPES_BCE.LT002_INSTRUMENT</v>
      </c>
      <c r="E305" s="34" t="str">
        <f>+UPPER('0. Instruções'!$D$36&amp;"."&amp;VLOOKUP(B305,'0. Instruções'!$C$27:$E$32,3,FALSE))</f>
        <v>BU_LOANTAPE_WORK.LT002_INSTRUMENT</v>
      </c>
      <c r="F305" s="34" t="s">
        <v>111</v>
      </c>
      <c r="G305" s="34"/>
      <c r="H305" s="34" t="s">
        <v>646</v>
      </c>
      <c r="I305" s="34" t="str">
        <f>"(SELECT "&amp;VLOOKUP(B305,'0. Instruções'!$C$27:$G$32,4,FALSE)&amp;", "&amp;F305&amp;" FROM "&amp;D305&amp;" WHERE "&amp;'0. Instruções'!$D$42&amp;")X"</f>
        <v>(SELECT instrmnt_id, IDCMB FROM CD_LOAN_TAPES_BCE.LT002_INSTRUMENT WHERE ref_date='${ref_date}' AND nome_perimetro='Individual Corporativo' AND segmento='ESTR' AND ambito='PM' AND entidade='00100')X</v>
      </c>
      <c r="J305" s="34" t="str">
        <f>"(SELECT "&amp;VLOOKUP(B305,'0. Instruções'!$C$27:$G$32,4,FALSE)&amp;" AS "&amp;VLOOKUP(B305,'0. Instruções'!$C$27:$G$32,4,FALSE)&amp;"_SIMUL, "&amp;F305&amp;" AS "&amp;F305&amp;"_SIMUL FROM "&amp;E305&amp;" WHERE "&amp;'0. Instruções'!$D$43&amp;")Y"</f>
        <v>(SELECT instrmnt_id AS instrmnt_id_SIMUL, IDCMB AS IDCMB_SIMUL FROM BU_LOANTAPE_WORK.LT002_INSTRUMENT WHERE ref_date='${ref_date}' AND nome_perimetro='Individual Corporativo' AND segmento='ESTR' AND ambito='PM' AND entidade='00100')Y</v>
      </c>
      <c r="K305" s="35" t="str">
        <f>+UPPER("ON X."&amp;VLOOKUP(B305,'0. Instruções'!$C$27:$G$32,4,FALSE)&amp;"=Y."&amp;VLOOKUP(B305,'0. Instruções'!$C$27:$G$32,4,FALSE)&amp;"_SIMUL")</f>
        <v>ON X.INSTRMNT_ID=Y.INSTRMNT_ID_SIMUL</v>
      </c>
      <c r="L305" s="35" t="str">
        <f>+IF(C305="Coerência", +IF(LEFT(G305,5)="FLOAT","SELECT '"&amp;UPPER(B305)&amp;"' AS TABELA, '"&amp;UPPER(C305)&amp;"' AS TIPOLOGIA_TESTE,'"&amp;D305&amp;"' AS TABELA_LT,'"&amp;E305&amp;"' AS TABELA_SIMUL,'"&amp;F305&amp;"' AS CAMPO, "&amp;"'${ref_date}' AS REF_DATE, COUNT(*) AS NUM_REG, SUM(IF((ABS(COALESCE(CAST(X."&amp;F305&amp;" AS DECIMAL(18,6)),0)-COALESCE(CAST(Y."&amp;F305&amp;"_SIMUL AS DECIMAL(18,6)),0))&gt;0.000001) OR (X."&amp;F305&amp;" IS NULL AND Y."&amp;F305&amp;"_SIMUL IS NOT NULL ) OR (X."&amp;F305&amp;" IS NOT NULL AND Y."&amp;F305&amp;"_SIMUL IS NULL),1,0)) AS NUM_REG_DIF,'"&amp;MAX('ID1&amp;5'!K:K)+1&amp;"' AS ID_EXEC, CURRENT_TIMESTAMP() AS TIME_EXEC FROM "&amp;I305&amp;" INNER JOIN "&amp;J305&amp;" "&amp;K305,"SELECT '"&amp;UPPER(B305)&amp;"' AS TABELA, '"&amp;UPPER(C305)&amp;"' AS TIPOLOGIA_TESTE,'"&amp;D305&amp;"' AS TABELA_LT,'"&amp;E305&amp;"' AS TABELA_SIMUL,'"&amp;F305&amp;"' AS CAMPO, "&amp;"'${ref_date}' AS REF_DATE, COUNT(*) AS NUM_REG, SUM(IF(COALESCE(CAST(X."&amp;F305&amp;" AS STRING),'')&lt;&gt;COALESCE(CAST(Y."&amp;F305&amp;"_SIMUL AS STRING),'') OR (X."&amp;F305&amp;" IS NULL AND Y."&amp;F305&amp;"_SIMUL IS NOT NULL ) OR (X."&amp;F305&amp;" IS NOT NULL AND Y."&amp;F305&amp;"_SIMUL IS NULL),1,0)) AS NUM_REG_DIF,'"&amp;MAX('ID1&amp;5'!L:L)+1&amp;"' AS ID_EXEC, CURRENT_TIMESTAMP() AS TIME_EXEC FROM "&amp;I305&amp;" INNER JOIN "&amp;J305&amp;" "&amp;K305),
IF(C305="Validade",+IF(G305="Code List","SELECT '"&amp;UPPER(B305)&amp;"' AS TABELA, '"&amp;UPPER(C305)&amp;"' AS TIPOLOGIA_TESTE,'"&amp;D305&amp;"' AS TABELA_LT,'N/A' AS TABELA_SIMUL,'"&amp;F305&amp;"' AS CAMPO, "&amp;"'${ref_date}' AS REF_DATE, COUNT(*) AS NUM_REG, SUM(IF(TRIM(CAST(X."&amp;F305&amp;" AS STRING))='' OR TRIM(CAST(X."&amp;F305&amp;" AS STRING)) IS NULL OR CAST(X."&amp;F305&amp;" AS STRING) NOT "&amp;H305&amp;",1,0)) AS NUM_REG_DIF,'"&amp;MAX('ID1&amp;5'!K:K)+1&amp;"' AS ID_EXEC, CURRENT_TIMESTAMP() AS TIME_EXEC FROM "&amp;I305,"SELECT '"&amp;UPPER(B305)&amp;"' AS TABELA, '"&amp;UPPER(C305)&amp;"' AS TIPOLOGIA_TESTE,'"&amp;D305&amp;"' AS TABELA_LT,'N/A' AS TABELA_SIMUL,'"&amp;F305&amp;"' AS CAMPO, "&amp;"'${ref_date}' AS REF_DATE, COUNT(*) AS NUM_REG, SUM(IF(TRIM(CAST(X."&amp;F305&amp;" AS STRING))='' OR TRIM(CAST(X."&amp;F305&amp;" AS STRING)) IS NULL,1,0)) AS NUM_REG_DIF,'"&amp;MAX('ID1&amp;5'!K:K)+1&amp;"' AS ID_EXEC, CURRENT_TIMESTAMP() AS TIME_EXEC FROM "&amp;I305),
IF(C305="Caracteres Especiais",+"SELECT '"&amp;UPPER(B305)&amp;"' AS TABELA, '"&amp;UPPER(C305)&amp;"' AS TIPOLOGIA_TESTE,'"&amp;D305&amp;"' AS TABELA_LT,'N/A' AS TABELA_SIMUL,'"&amp;F305&amp;"' AS CAMPO, "&amp;"'${ref_date}' AS REF_DATE, COUNT(*) AS NUM_REG, SUM(IF(REGEXP_REPLACE(TRIM(CAST(X."&amp;F305&amp;" AS STRING)),'[^a-zA-Z0-9_\\s]','') &lt;&gt;TRIM(CAST(X."&amp;F305&amp;" AS STRING)),1,0)) AS NUM_REG_DIF,'"&amp;MAX('ID1&amp;5'!K:K)+1&amp;"' AS ID_EXEC, CURRENT_TIMESTAMP() AS TIME_EXEC FROM "&amp;I305,
IF(C305="Missings",+"SELECT '"&amp;UPPER(B305)&amp;"' AS TABELA, '"&amp;UPPER(C305)&amp;"' AS TIPOLOGIA_TESTE,'"&amp;D305&amp;"' AS TABELA_LT,'N/A' AS TABELA_SIMUL,'"&amp;F305&amp;"' AS CAMPO, "&amp;"'${ref_date}' AS REF_DATE, COUNT(*) AS NUM_REG, SUM(IF(TRIM(CAST(X."&amp;F305&amp;" AS STRING)) IN ('0000-00-00','0001-01-01','9999-12-31','MISS','00000','99999999999','99999999999.00','99999999999.000000'),1,0)) AS NUM_REG_DIF,'"&amp;MAX('ID1&amp;5'!K:K)+1&amp;"' AS ID_EXEC, CURRENT_TIMESTAMP() AS TIME_EXEC FROM "&amp;I305,
IF(C305="Not applicable",+"SELECT '"&amp;UPPER(B305)&amp;"' AS TABELA, '"&amp;UPPER(C305)&amp;"' AS TIPOLOGIA_TESTE,'"&amp;D305&amp;"' AS TABELA_LT,'N/A' AS TABELA_SIMUL,'"&amp;F305&amp;"' AS CAMPO, "&amp;"'${ref_date}' AS REF_DATE, COUNT(*) AS NUM_REG, SUM(IF(TRIM(CAST(X."&amp;F305&amp;" AS STRING)) IN ('N/A','11111111111','11111111111.00','11111111111.000000','1111-11-11'),1,0)) AS NUM_REG_DIF,'"&amp;MAX('ID1&amp;5'!K:K)+1&amp;"' AS ID_EXEC, CURRENT_TIMESTAMP() AS TIME_EXEC FROM "&amp;I305,
IF(C305="Valores extremos",+"SELECT '"&amp;UPPER(B305)&amp;"' AS TABELA, '"&amp;UPPER(C305)&amp;"' AS TIPOLOGIA_TESTE,'"&amp;D305&amp;"' AS TABELA_LT,'N/A' AS TABELA_SIMUL,'"&amp;F305&amp;"' AS CAMPO, "&amp;"'${ref_date}' AS REF_DATE, CAST(MIN("&amp;F305&amp;") AS STRING) AS VALOR_MIN, CAST(MAX("&amp;F305&amp;") AS STRING) AS VALOR_MAX,'"&amp;MAX('ID1&amp;5'!K:K)+1&amp;"' AS ID_EXEC, CURRENT_TIMESTAMP() AS TIME_EXEC FROM "&amp;MID(I305,1,LEN(I305)-2)&amp;" AND CAST("&amp;F305&amp;"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TABELA_SIMUL,'IDCMB' AS CAMPO, '${ref_date}' AS REF_DATE, COUNT(*) AS NUM_REG, SUM(IF(COALESCE(CAST(X.IDCMB AS STRING),'')&lt;&gt;COALESCE(CAST(Y.IDCMB_SIMUL AS STRING),'') OR (X.IDCMB IS NULL AND Y.IDCMB_SIMUL IS NOT NULL ) OR (X.IDCMB IS NOT NULL AND Y.IDCMB_SIMUL IS NULL),1,0)) AS NUM_REG_DIF,'1' AS ID_EXEC, CURRENT_TIMESTAMP() AS TIME_EXEC FROM (SELECT instrmnt_id, IDCMB FROM CD_LOAN_TAPES_BCE.LT002_INSTRUMENT WHERE ref_date='${ref_date}' AND nome_perimetro='Individual Corporativo' AND segmento='ESTR' AND ambito='PM' AND entidade='00100')X INNER JOIN (SELECT instrmnt_id AS instrmnt_id_SIMUL, IDCMB AS IDCMB_SIMUL FROM BU_LOANTAPE_WORK.LT002_INSTRUMENT WHERE ref_date='${ref_date}' AND nome_perimetro='Individual Corporativo' AND segmento='ESTR' AND ambito='PM' AND entidade='00100')Y ON X.INSTRMNT_ID=Y.INSTRMNT_ID_SIMUL</v>
      </c>
      <c r="M305" s="36" t="str">
        <f t="shared" si="4"/>
        <v>UNION ALL SELECT 'INSTRUMENT' AS TABELA, 'COERÊNCIA' AS TIPOLOGIA_TESTE,'CD_LOAN_TAPES_BCE.LT002_INSTRUMENT' AS TABELA_LT,'BU_LOANTAPE_WORK.LT002_INSTRUMENT' AS TABELA_SIMUL,'IDCMB' AS CAMPO, '${ref_date}' AS REF_DATE, COUNT(*) AS NUM_REG, SUM(IF(COALESCE(CAST(X.IDCMB AS STRING),'')&lt;&gt;COALESCE(CAST(Y.IDCMB_SIMUL AS STRING),'') OR (X.IDCMB IS NULL AND Y.IDCMB_SIMUL IS NOT NULL ) OR (X.IDCMB IS NOT NULL AND Y.IDCMB_SIMUL IS NULL),1,0)) AS NUM_REG_DIF,'1' AS ID_EXEC, CURRENT_TIMESTAMP() AS TIME_EXEC FROM (SELECT instrmnt_id, IDCMB FROM CD_LOAN_TAPES_BCE.LT002_INSTRUMENT WHERE ref_date='${ref_date}' AND nome_perimetro='Individual Corporativo' AND segmento='ESTR' AND ambito='PM' AND entidade='00100')X INNER JOIN (SELECT instrmnt_id AS instrmnt_id_SIMUL, IDCMB AS IDCMB_SIMUL FROM BU_LOANTAPE_WORK.LT002_INSTRUMENT WHERE ref_date='${ref_date}' AND nome_perimetro='Individual Corporativo' AND segmento='ESTR' AND ambito='PM' AND entidade='00100')Y ON X.INSTRMNT_ID=Y.INSTRMNT_ID_SIMUL</v>
      </c>
      <c r="N305" s="38" t="s">
        <v>46</v>
      </c>
    </row>
    <row r="306" spans="2:14" hidden="1">
      <c r="B306" s="34" t="s">
        <v>126</v>
      </c>
      <c r="C306" s="34" t="s">
        <v>5</v>
      </c>
      <c r="D306" s="34" t="str">
        <f>+UPPER('0. Instruções'!$D$35&amp;"."&amp;VLOOKUP(B306,'0. Instruções'!$C$27:$D$32,2,FALSE))</f>
        <v>CD_LOAN_TAPES_BCE.LT002_INSTRUMENT</v>
      </c>
      <c r="E306" s="34" t="str">
        <f>+UPPER('0. Instruções'!$D$36&amp;"."&amp;VLOOKUP(B306,'0. Instruções'!$C$27:$E$32,3,FALSE))</f>
        <v>BU_LOANTAPE_WORK.LT002_INSTRUMENT</v>
      </c>
      <c r="F306" s="34" t="s">
        <v>584</v>
      </c>
      <c r="G306" s="34"/>
      <c r="H306" s="34" t="s">
        <v>92</v>
      </c>
      <c r="I306" s="34" t="str">
        <f>"(SELECT "&amp;VLOOKUP(B306,'0. Instruções'!$C$27:$G$32,4,FALSE)&amp;", "&amp;F306&amp;" FROM "&amp;D306&amp;" WHERE "&amp;'0. Instruções'!$D$42&amp;")X"</f>
        <v>(SELECT instrmnt_id, EXPCTD_LSS_CRR FROM CD_LOAN_TAPES_BCE.LT002_INSTRUMENT WHERE ref_date='${ref_date}' AND nome_perimetro='Individual Corporativo' AND segmento='ESTR' AND ambito='PM' AND entidade='00100')X</v>
      </c>
      <c r="J306" s="34" t="str">
        <f>"(SELECT "&amp;VLOOKUP(B306,'0. Instruções'!$C$27:$G$32,4,FALSE)&amp;" AS "&amp;VLOOKUP(B306,'0. Instruções'!$C$27:$G$32,4,FALSE)&amp;"_SIMUL, "&amp;F306&amp;" AS "&amp;F306&amp;"_SIMUL FROM "&amp;E306&amp;" WHERE "&amp;'0. Instruções'!$D$43&amp;")Y"</f>
        <v>(SELECT instrmnt_id AS instrmnt_id_SIMUL, EXPCTD_LSS_CRR AS EXPCTD_LSS_CRR_SIMUL FROM BU_LOANTAPE_WORK.LT002_INSTRUMENT WHERE ref_date='${ref_date}' AND nome_perimetro='Individual Corporativo' AND segmento='ESTR' AND ambito='PM' AND entidade='00100')Y</v>
      </c>
      <c r="K306" s="35" t="str">
        <f>+UPPER("ON X."&amp;VLOOKUP(B306,'0. Instruções'!$C$27:$G$32,4,FALSE)&amp;"=Y."&amp;VLOOKUP(B306,'0. Instruções'!$C$27:$G$32,4,FALSE)&amp;"_SIMUL")</f>
        <v>ON X.INSTRMNT_ID=Y.INSTRMNT_ID_SIMUL</v>
      </c>
      <c r="L306" s="35" t="str">
        <f>+IF(C306="Coerência", +IF(LEFT(G306,5)="FLOAT","SELECT '"&amp;UPPER(B306)&amp;"' AS TABELA, '"&amp;UPPER(C306)&amp;"' AS TIPOLOGIA_TESTE,'"&amp;D306&amp;"' AS TABELA_LT,'"&amp;E306&amp;"' AS TABELA_SIMUL,'"&amp;F306&amp;"' AS CAMPO, "&amp;"'${ref_date}' AS REF_DATE, COUNT(*) AS NUM_REG, SUM(IF((ABS(COALESCE(CAST(X."&amp;F306&amp;" AS DECIMAL(18,6)),0)-COALESCE(CAST(Y."&amp;F306&amp;"_SIMUL AS DECIMAL(18,6)),0))&gt;0.000001) OR (X."&amp;F306&amp;" IS NULL AND Y."&amp;F306&amp;"_SIMUL IS NOT NULL ) OR (X."&amp;F306&amp;" IS NOT NULL AND Y."&amp;F306&amp;"_SIMUL IS NULL),1,0)) AS NUM_REG_DIF,'"&amp;MAX('ID1&amp;5'!K:K)+1&amp;"' AS ID_EXEC, CURRENT_TIMESTAMP() AS TIME_EXEC FROM "&amp;I306&amp;" INNER JOIN "&amp;J306&amp;" "&amp;K306,"SELECT '"&amp;UPPER(B306)&amp;"' AS TABELA, '"&amp;UPPER(C306)&amp;"' AS TIPOLOGIA_TESTE,'"&amp;D306&amp;"' AS TABELA_LT,'"&amp;E306&amp;"' AS TABELA_SIMUL,'"&amp;F306&amp;"' AS CAMPO, "&amp;"'${ref_date}' AS REF_DATE, COUNT(*) AS NUM_REG, SUM(IF(COALESCE(CAST(X."&amp;F306&amp;" AS STRING),'')&lt;&gt;COALESCE(CAST(Y."&amp;F306&amp;"_SIMUL AS STRING),'') OR (X."&amp;F306&amp;" IS NULL AND Y."&amp;F306&amp;"_SIMUL IS NOT NULL ) OR (X."&amp;F306&amp;" IS NOT NULL AND Y."&amp;F306&amp;"_SIMUL IS NULL),1,0)) AS NUM_REG_DIF,'"&amp;MAX('ID1&amp;5'!L:L)+1&amp;"' AS ID_EXEC, CURRENT_TIMESTAMP() AS TIME_EXEC FROM "&amp;I306&amp;" INNER JOIN "&amp;J306&amp;" "&amp;K306),
IF(C306="Validade",+IF(G306="Code List","SELECT '"&amp;UPPER(B306)&amp;"' AS TABELA, '"&amp;UPPER(C306)&amp;"' AS TIPOLOGIA_TESTE,'"&amp;D306&amp;"' AS TABELA_LT,'N/A' AS TABELA_SIMUL,'"&amp;F306&amp;"' AS CAMPO, "&amp;"'${ref_date}' AS REF_DATE, COUNT(*) AS NUM_REG, SUM(IF(TRIM(CAST(X."&amp;F306&amp;" AS STRING))='' OR TRIM(CAST(X."&amp;F306&amp;" AS STRING)) IS NULL OR CAST(X."&amp;F306&amp;" AS STRING) NOT "&amp;H306&amp;",1,0)) AS NUM_REG_DIF,'"&amp;MAX('ID1&amp;5'!K:K)+1&amp;"' AS ID_EXEC, CURRENT_TIMESTAMP() AS TIME_EXEC FROM "&amp;I306,"SELECT '"&amp;UPPER(B306)&amp;"' AS TABELA, '"&amp;UPPER(C306)&amp;"' AS TIPOLOGIA_TESTE,'"&amp;D306&amp;"' AS TABELA_LT,'N/A' AS TABELA_SIMUL,'"&amp;F306&amp;"' AS CAMPO, "&amp;"'${ref_date}' AS REF_DATE, COUNT(*) AS NUM_REG, SUM(IF(TRIM(CAST(X."&amp;F306&amp;" AS STRING))='' OR TRIM(CAST(X."&amp;F306&amp;" AS STRING)) IS NULL,1,0)) AS NUM_REG_DIF,'"&amp;MAX('ID1&amp;5'!K:K)+1&amp;"' AS ID_EXEC, CURRENT_TIMESTAMP() AS TIME_EXEC FROM "&amp;I306),
IF(C306="Caracteres Especiais",+"SELECT '"&amp;UPPER(B306)&amp;"' AS TABELA, '"&amp;UPPER(C306)&amp;"' AS TIPOLOGIA_TESTE,'"&amp;D306&amp;"' AS TABELA_LT,'N/A' AS TABELA_SIMUL,'"&amp;F306&amp;"' AS CAMPO, "&amp;"'${ref_date}' AS REF_DATE, COUNT(*) AS NUM_REG, SUM(IF(REGEXP_REPLACE(TRIM(CAST(X."&amp;F306&amp;" AS STRING)),'[^a-zA-Z0-9_\\s]','') &lt;&gt;TRIM(CAST(X."&amp;F306&amp;" AS STRING)),1,0)) AS NUM_REG_DIF,'"&amp;MAX('ID1&amp;5'!K:K)+1&amp;"' AS ID_EXEC, CURRENT_TIMESTAMP() AS TIME_EXEC FROM "&amp;I306,
IF(C306="Missings",+"SELECT '"&amp;UPPER(B306)&amp;"' AS TABELA, '"&amp;UPPER(C306)&amp;"' AS TIPOLOGIA_TESTE,'"&amp;D306&amp;"' AS TABELA_LT,'N/A' AS TABELA_SIMUL,'"&amp;F306&amp;"' AS CAMPO, "&amp;"'${ref_date}' AS REF_DATE, COUNT(*) AS NUM_REG, SUM(IF(TRIM(CAST(X."&amp;F306&amp;" AS STRING)) IN ('0000-00-00','0001-01-01','9999-12-31','MISS','00000','99999999999','99999999999.00','99999999999.000000'),1,0)) AS NUM_REG_DIF,'"&amp;MAX('ID1&amp;5'!K:K)+1&amp;"' AS ID_EXEC, CURRENT_TIMESTAMP() AS TIME_EXEC FROM "&amp;I306,
IF(C306="Not applicable",+"SELECT '"&amp;UPPER(B306)&amp;"' AS TABELA, '"&amp;UPPER(C306)&amp;"' AS TIPOLOGIA_TESTE,'"&amp;D306&amp;"' AS TABELA_LT,'N/A' AS TABELA_SIMUL,'"&amp;F306&amp;"' AS CAMPO, "&amp;"'${ref_date}' AS REF_DATE, COUNT(*) AS NUM_REG, SUM(IF(TRIM(CAST(X."&amp;F306&amp;" AS STRING)) IN ('N/A','11111111111','11111111111.00','11111111111.000000','1111-11-11'),1,0)) AS NUM_REG_DIF,'"&amp;MAX('ID1&amp;5'!K:K)+1&amp;"' AS ID_EXEC, CURRENT_TIMESTAMP() AS TIME_EXEC FROM "&amp;I306,
IF(C306="Valores extremos",+"SELECT '"&amp;UPPER(B306)&amp;"' AS TABELA, '"&amp;UPPER(C306)&amp;"' AS TIPOLOGIA_TESTE,'"&amp;D306&amp;"' AS TABELA_LT,'N/A' AS TABELA_SIMUL,'"&amp;F306&amp;"' AS CAMPO, "&amp;"'${ref_date}' AS REF_DATE, CAST(MIN("&amp;F306&amp;") AS STRING) AS VALOR_MIN, CAST(MAX("&amp;F306&amp;") AS STRING) AS VALOR_MAX,'"&amp;MAX('ID1&amp;5'!K:K)+1&amp;"' AS ID_EXEC, CURRENT_TIMESTAMP() AS TIME_EXEC FROM "&amp;MID(I306,1,LEN(I306)-2)&amp;" AND CAST("&amp;F306&amp;"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TABELA_SIMUL,'EXPCTD_LSS_CRR' AS CAMPO, '${ref_date}' AS REF_DATE, COUNT(*) AS NUM_REG, SUM(IF(COALESCE(CAST(X.EXPCTD_LSS_CRR AS STRING),'')&lt;&gt;COALESCE(CAST(Y.EXPCTD_LSS_CRR_SIMUL AS STRING),'') OR (X.EXPCTD_LSS_CRR IS NULL AND Y.EXPCTD_LSS_CRR_SIMUL IS NOT NULL ) OR (X.EXPCTD_LSS_CRR IS NOT NULL AND Y.EXPCTD_LSS_CRR_SIMUL IS NULL),1,0)) AS NUM_REG_DIF,'1' AS ID_EXEC, CURRENT_TIMESTAMP() AS TIME_EXEC FROM (SELECT instrmnt_id, EXPCTD_LSS_CRR FROM CD_LOAN_TAPES_BCE.LT002_INSTRUMENT WHERE ref_date='${ref_date}' AND nome_perimetro='Individual Corporativo' AND segmento='ESTR' AND ambito='PM' AND entidade='00100')X INNER JOIN (SELECT instrmnt_id AS instrmnt_id_SIMUL, EXPCTD_LSS_CRR AS EXPCTD_LSS_CRR_SIMUL FROM BU_LOANTAPE_WORK.LT002_INSTRUMENT WHERE ref_date='${ref_date}' AND nome_perimetro='Individual Corporativo' AND segmento='ESTR' AND ambito='PM' AND entidade='00100')Y ON X.INSTRMNT_ID=Y.INSTRMNT_ID_SIMUL</v>
      </c>
      <c r="M306" s="36" t="str">
        <f t="shared" si="4"/>
        <v>UNION ALL SELECT 'INSTRUMENT' AS TABELA, 'COERÊNCIA' AS TIPOLOGIA_TESTE,'CD_LOAN_TAPES_BCE.LT002_INSTRUMENT' AS TABELA_LT,'BU_LOANTAPE_WORK.LT002_INSTRUMENT' AS TABELA_SIMUL,'EXPCTD_LSS_CRR' AS CAMPO, '${ref_date}' AS REF_DATE, COUNT(*) AS NUM_REG, SUM(IF(COALESCE(CAST(X.EXPCTD_LSS_CRR AS STRING),'')&lt;&gt;COALESCE(CAST(Y.EXPCTD_LSS_CRR_SIMUL AS STRING),'') OR (X.EXPCTD_LSS_CRR IS NULL AND Y.EXPCTD_LSS_CRR_SIMUL IS NOT NULL ) OR (X.EXPCTD_LSS_CRR IS NOT NULL AND Y.EXPCTD_LSS_CRR_SIMUL IS NULL),1,0)) AS NUM_REG_DIF,'1' AS ID_EXEC, CURRENT_TIMESTAMP() AS TIME_EXEC FROM (SELECT instrmnt_id, EXPCTD_LSS_CRR FROM CD_LOAN_TAPES_BCE.LT002_INSTRUMENT WHERE ref_date='${ref_date}' AND nome_perimetro='Individual Corporativo' AND segmento='ESTR' AND ambito='PM' AND entidade='00100')X INNER JOIN (SELECT instrmnt_id AS instrmnt_id_SIMUL, EXPCTD_LSS_CRR AS EXPCTD_LSS_CRR_SIMUL FROM BU_LOANTAPE_WORK.LT002_INSTRUMENT WHERE ref_date='${ref_date}' AND nome_perimetro='Individual Corporativo' AND segmento='ESTR' AND ambito='PM' AND entidade='00100')Y ON X.INSTRMNT_ID=Y.INSTRMNT_ID_SIMUL</v>
      </c>
      <c r="N306" s="38" t="s">
        <v>46</v>
      </c>
    </row>
    <row r="307" spans="2:14" hidden="1">
      <c r="B307" s="34" t="s">
        <v>126</v>
      </c>
      <c r="C307" s="34" t="s">
        <v>5</v>
      </c>
      <c r="D307" s="34" t="str">
        <f>+UPPER('0. Instruções'!$D$35&amp;"."&amp;VLOOKUP(B307,'0. Instruções'!$C$27:$D$32,2,FALSE))</f>
        <v>CD_LOAN_TAPES_BCE.LT002_INSTRUMENT</v>
      </c>
      <c r="E307" s="34" t="str">
        <f>+UPPER('0. Instruções'!$D$36&amp;"."&amp;VLOOKUP(B307,'0. Instruções'!$C$27:$E$32,3,FALSE))</f>
        <v>BU_LOANTAPE_WORK.LT002_INSTRUMENT</v>
      </c>
      <c r="F307" s="34" t="s">
        <v>585</v>
      </c>
      <c r="G307" s="34"/>
      <c r="H307" s="34" t="s">
        <v>91</v>
      </c>
      <c r="I307" s="34" t="str">
        <f>"(SELECT "&amp;VLOOKUP(B307,'0. Instruções'!$C$27:$G$32,4,FALSE)&amp;", "&amp;F307&amp;" FROM "&amp;D307&amp;" WHERE "&amp;'0. Instruções'!$D$42&amp;")X"</f>
        <v>(SELECT instrmnt_id, LSTI FROM CD_LOAN_TAPES_BCE.LT002_INSTRUMENT WHERE ref_date='${ref_date}' AND nome_perimetro='Individual Corporativo' AND segmento='ESTR' AND ambito='PM' AND entidade='00100')X</v>
      </c>
      <c r="J307" s="34" t="str">
        <f>"(SELECT "&amp;VLOOKUP(B307,'0. Instruções'!$C$27:$G$32,4,FALSE)&amp;" AS "&amp;VLOOKUP(B307,'0. Instruções'!$C$27:$G$32,4,FALSE)&amp;"_SIMUL, "&amp;F307&amp;" AS "&amp;F307&amp;"_SIMUL FROM "&amp;E307&amp;" WHERE "&amp;'0. Instruções'!$D$43&amp;")Y"</f>
        <v>(SELECT instrmnt_id AS instrmnt_id_SIMUL, LSTI AS LSTI_SIMUL FROM BU_LOANTAPE_WORK.LT002_INSTRUMENT WHERE ref_date='${ref_date}' AND nome_perimetro='Individual Corporativo' AND segmento='ESTR' AND ambito='PM' AND entidade='00100')Y</v>
      </c>
      <c r="K307" s="35" t="str">
        <f>+UPPER("ON X."&amp;VLOOKUP(B307,'0. Instruções'!$C$27:$G$32,4,FALSE)&amp;"=Y."&amp;VLOOKUP(B307,'0. Instruções'!$C$27:$G$32,4,FALSE)&amp;"_SIMUL")</f>
        <v>ON X.INSTRMNT_ID=Y.INSTRMNT_ID_SIMUL</v>
      </c>
      <c r="L307" s="35" t="str">
        <f>+IF(C307="Coerência", +IF(LEFT(G307,5)="FLOAT","SELECT '"&amp;UPPER(B307)&amp;"' AS TABELA, '"&amp;UPPER(C307)&amp;"' AS TIPOLOGIA_TESTE,'"&amp;D307&amp;"' AS TABELA_LT,'"&amp;E307&amp;"' AS TABELA_SIMUL,'"&amp;F307&amp;"' AS CAMPO, "&amp;"'${ref_date}' AS REF_DATE, COUNT(*) AS NUM_REG, SUM(IF((ABS(COALESCE(CAST(X."&amp;F307&amp;" AS DECIMAL(18,6)),0)-COALESCE(CAST(Y."&amp;F307&amp;"_SIMUL AS DECIMAL(18,6)),0))&gt;0.000001) OR (X."&amp;F307&amp;" IS NULL AND Y."&amp;F307&amp;"_SIMUL IS NOT NULL ) OR (X."&amp;F307&amp;" IS NOT NULL AND Y."&amp;F307&amp;"_SIMUL IS NULL),1,0)) AS NUM_REG_DIF,'"&amp;MAX('ID1&amp;5'!K:K)+1&amp;"' AS ID_EXEC, CURRENT_TIMESTAMP() AS TIME_EXEC FROM "&amp;I307&amp;" INNER JOIN "&amp;J307&amp;" "&amp;K307,"SELECT '"&amp;UPPER(B307)&amp;"' AS TABELA, '"&amp;UPPER(C307)&amp;"' AS TIPOLOGIA_TESTE,'"&amp;D307&amp;"' AS TABELA_LT,'"&amp;E307&amp;"' AS TABELA_SIMUL,'"&amp;F307&amp;"' AS CAMPO, "&amp;"'${ref_date}' AS REF_DATE, COUNT(*) AS NUM_REG, SUM(IF(COALESCE(CAST(X."&amp;F307&amp;" AS STRING),'')&lt;&gt;COALESCE(CAST(Y."&amp;F307&amp;"_SIMUL AS STRING),'') OR (X."&amp;F307&amp;" IS NULL AND Y."&amp;F307&amp;"_SIMUL IS NOT NULL ) OR (X."&amp;F307&amp;" IS NOT NULL AND Y."&amp;F307&amp;"_SIMUL IS NULL),1,0)) AS NUM_REG_DIF,'"&amp;MAX('ID1&amp;5'!L:L)+1&amp;"' AS ID_EXEC, CURRENT_TIMESTAMP() AS TIME_EXEC FROM "&amp;I307&amp;" INNER JOIN "&amp;J307&amp;" "&amp;K307),
IF(C307="Validade",+IF(G307="Code List","SELECT '"&amp;UPPER(B307)&amp;"' AS TABELA, '"&amp;UPPER(C307)&amp;"' AS TIPOLOGIA_TESTE,'"&amp;D307&amp;"' AS TABELA_LT,'N/A' AS TABELA_SIMUL,'"&amp;F307&amp;"' AS CAMPO, "&amp;"'${ref_date}' AS REF_DATE, COUNT(*) AS NUM_REG, SUM(IF(TRIM(CAST(X."&amp;F307&amp;" AS STRING))='' OR TRIM(CAST(X."&amp;F307&amp;" AS STRING)) IS NULL OR CAST(X."&amp;F307&amp;" AS STRING) NOT "&amp;H307&amp;",1,0)) AS NUM_REG_DIF,'"&amp;MAX('ID1&amp;5'!K:K)+1&amp;"' AS ID_EXEC, CURRENT_TIMESTAMP() AS TIME_EXEC FROM "&amp;I307,"SELECT '"&amp;UPPER(B307)&amp;"' AS TABELA, '"&amp;UPPER(C307)&amp;"' AS TIPOLOGIA_TESTE,'"&amp;D307&amp;"' AS TABELA_LT,'N/A' AS TABELA_SIMUL,'"&amp;F307&amp;"' AS CAMPO, "&amp;"'${ref_date}' AS REF_DATE, COUNT(*) AS NUM_REG, SUM(IF(TRIM(CAST(X."&amp;F307&amp;" AS STRING))='' OR TRIM(CAST(X."&amp;F307&amp;" AS STRING)) IS NULL,1,0)) AS NUM_REG_DIF,'"&amp;MAX('ID1&amp;5'!K:K)+1&amp;"' AS ID_EXEC, CURRENT_TIMESTAMP() AS TIME_EXEC FROM "&amp;I307),
IF(C307="Caracteres Especiais",+"SELECT '"&amp;UPPER(B307)&amp;"' AS TABELA, '"&amp;UPPER(C307)&amp;"' AS TIPOLOGIA_TESTE,'"&amp;D307&amp;"' AS TABELA_LT,'N/A' AS TABELA_SIMUL,'"&amp;F307&amp;"' AS CAMPO, "&amp;"'${ref_date}' AS REF_DATE, COUNT(*) AS NUM_REG, SUM(IF(REGEXP_REPLACE(TRIM(CAST(X."&amp;F307&amp;" AS STRING)),'[^a-zA-Z0-9_\\s]','') &lt;&gt;TRIM(CAST(X."&amp;F307&amp;" AS STRING)),1,0)) AS NUM_REG_DIF,'"&amp;MAX('ID1&amp;5'!K:K)+1&amp;"' AS ID_EXEC, CURRENT_TIMESTAMP() AS TIME_EXEC FROM "&amp;I307,
IF(C307="Missings",+"SELECT '"&amp;UPPER(B307)&amp;"' AS TABELA, '"&amp;UPPER(C307)&amp;"' AS TIPOLOGIA_TESTE,'"&amp;D307&amp;"' AS TABELA_LT,'N/A' AS TABELA_SIMUL,'"&amp;F307&amp;"' AS CAMPO, "&amp;"'${ref_date}' AS REF_DATE, COUNT(*) AS NUM_REG, SUM(IF(TRIM(CAST(X."&amp;F307&amp;" AS STRING)) IN ('0000-00-00','0001-01-01','9999-12-31','MISS','00000','99999999999','99999999999.00','99999999999.000000'),1,0)) AS NUM_REG_DIF,'"&amp;MAX('ID1&amp;5'!K:K)+1&amp;"' AS ID_EXEC, CURRENT_TIMESTAMP() AS TIME_EXEC FROM "&amp;I307,
IF(C307="Not applicable",+"SELECT '"&amp;UPPER(B307)&amp;"' AS TABELA, '"&amp;UPPER(C307)&amp;"' AS TIPOLOGIA_TESTE,'"&amp;D307&amp;"' AS TABELA_LT,'N/A' AS TABELA_SIMUL,'"&amp;F307&amp;"' AS CAMPO, "&amp;"'${ref_date}' AS REF_DATE, COUNT(*) AS NUM_REG, SUM(IF(TRIM(CAST(X."&amp;F307&amp;" AS STRING)) IN ('N/A','11111111111','11111111111.00','11111111111.000000','1111-11-11'),1,0)) AS NUM_REG_DIF,'"&amp;MAX('ID1&amp;5'!K:K)+1&amp;"' AS ID_EXEC, CURRENT_TIMESTAMP() AS TIME_EXEC FROM "&amp;I307,
IF(C307="Valores extremos",+"SELECT '"&amp;UPPER(B307)&amp;"' AS TABELA, '"&amp;UPPER(C307)&amp;"' AS TIPOLOGIA_TESTE,'"&amp;D307&amp;"' AS TABELA_LT,'N/A' AS TABELA_SIMUL,'"&amp;F307&amp;"' AS CAMPO, "&amp;"'${ref_date}' AS REF_DATE, CAST(MIN("&amp;F307&amp;") AS STRING) AS VALOR_MIN, CAST(MAX("&amp;F307&amp;") AS STRING) AS VALOR_MAX,'"&amp;MAX('ID1&amp;5'!K:K)+1&amp;"' AS ID_EXEC, CURRENT_TIMESTAMP() AS TIME_EXEC FROM "&amp;MID(I307,1,LEN(I307)-2)&amp;" AND CAST("&amp;F307&amp;"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TABELA_SIMUL,'LSTI' AS CAMPO, '${ref_date}' AS REF_DATE, COUNT(*) AS NUM_REG, SUM(IF(COALESCE(CAST(X.LSTI AS STRING),'')&lt;&gt;COALESCE(CAST(Y.LSTI_SIMUL AS STRING),'') OR (X.LSTI IS NULL AND Y.LSTI_SIMUL IS NOT NULL ) OR (X.LSTI IS NOT NULL AND Y.LSTI_SIMUL IS NULL),1,0)) AS NUM_REG_DIF,'1' AS ID_EXEC, CURRENT_TIMESTAMP() AS TIME_EXEC FROM (SELECT instrmnt_id, LSTI FROM CD_LOAN_TAPES_BCE.LT002_INSTRUMENT WHERE ref_date='${ref_date}' AND nome_perimetro='Individual Corporativo' AND segmento='ESTR' AND ambito='PM' AND entidade='00100')X INNER JOIN (SELECT instrmnt_id AS instrmnt_id_SIMUL, LSTI AS LSTI_SIMUL FROM BU_LOANTAPE_WORK.LT002_INSTRUMENT WHERE ref_date='${ref_date}' AND nome_perimetro='Individual Corporativo' AND segmento='ESTR' AND ambito='PM' AND entidade='00100')Y ON X.INSTRMNT_ID=Y.INSTRMNT_ID_SIMUL</v>
      </c>
      <c r="M307" s="36" t="str">
        <f t="shared" si="4"/>
        <v>UNION ALL SELECT 'INSTRUMENT' AS TABELA, 'COERÊNCIA' AS TIPOLOGIA_TESTE,'CD_LOAN_TAPES_BCE.LT002_INSTRUMENT' AS TABELA_LT,'BU_LOANTAPE_WORK.LT002_INSTRUMENT' AS TABELA_SIMUL,'LSTI' AS CAMPO, '${ref_date}' AS REF_DATE, COUNT(*) AS NUM_REG, SUM(IF(COALESCE(CAST(X.LSTI AS STRING),'')&lt;&gt;COALESCE(CAST(Y.LSTI_SIMUL AS STRING),'') OR (X.LSTI IS NULL AND Y.LSTI_SIMUL IS NOT NULL ) OR (X.LSTI IS NOT NULL AND Y.LSTI_SIMUL IS NULL),1,0)) AS NUM_REG_DIF,'1' AS ID_EXEC, CURRENT_TIMESTAMP() AS TIME_EXEC FROM (SELECT instrmnt_id, LSTI FROM CD_LOAN_TAPES_BCE.LT002_INSTRUMENT WHERE ref_date='${ref_date}' AND nome_perimetro='Individual Corporativo' AND segmento='ESTR' AND ambito='PM' AND entidade='00100')X INNER JOIN (SELECT instrmnt_id AS instrmnt_id_SIMUL, LSTI AS LSTI_SIMUL FROM BU_LOANTAPE_WORK.LT002_INSTRUMENT WHERE ref_date='${ref_date}' AND nome_perimetro='Individual Corporativo' AND segmento='ESTR' AND ambito='PM' AND entidade='00100')Y ON X.INSTRMNT_ID=Y.INSTRMNT_ID_SIMUL</v>
      </c>
      <c r="N307" s="38" t="s">
        <v>46</v>
      </c>
    </row>
    <row r="308" spans="2:14" hidden="1">
      <c r="B308" s="34" t="s">
        <v>126</v>
      </c>
      <c r="C308" s="34" t="s">
        <v>5</v>
      </c>
      <c r="D308" s="34" t="str">
        <f>+UPPER('0. Instruções'!$D$35&amp;"."&amp;VLOOKUP(B308,'0. Instruções'!$C$27:$D$32,2,FALSE))</f>
        <v>CD_LOAN_TAPES_BCE.LT002_INSTRUMENT</v>
      </c>
      <c r="E308" s="34" t="str">
        <f>+UPPER('0. Instruções'!$D$36&amp;"."&amp;VLOOKUP(B308,'0. Instruções'!$C$27:$E$32,3,FALSE))</f>
        <v>BU_LOANTAPE_WORK.LT002_INSTRUMENT</v>
      </c>
      <c r="F308" s="34" t="s">
        <v>586</v>
      </c>
      <c r="G308" s="34"/>
      <c r="H308" s="34" t="s">
        <v>91</v>
      </c>
      <c r="I308" s="34" t="str">
        <f>"(SELECT "&amp;VLOOKUP(B308,'0. Instruções'!$C$27:$G$32,4,FALSE)&amp;", "&amp;F308&amp;" FROM "&amp;D308&amp;" WHERE "&amp;'0. Instruções'!$D$42&amp;")X"</f>
        <v>(SELECT instrmnt_id, DSTI FROM CD_LOAN_TAPES_BCE.LT002_INSTRUMENT WHERE ref_date='${ref_date}' AND nome_perimetro='Individual Corporativo' AND segmento='ESTR' AND ambito='PM' AND entidade='00100')X</v>
      </c>
      <c r="J308" s="34" t="str">
        <f>"(SELECT "&amp;VLOOKUP(B308,'0. Instruções'!$C$27:$G$32,4,FALSE)&amp;" AS "&amp;VLOOKUP(B308,'0. Instruções'!$C$27:$G$32,4,FALSE)&amp;"_SIMUL, "&amp;F308&amp;" AS "&amp;F308&amp;"_SIMUL FROM "&amp;E308&amp;" WHERE "&amp;'0. Instruções'!$D$43&amp;")Y"</f>
        <v>(SELECT instrmnt_id AS instrmnt_id_SIMUL, DSTI AS DSTI_SIMUL FROM BU_LOANTAPE_WORK.LT002_INSTRUMENT WHERE ref_date='${ref_date}' AND nome_perimetro='Individual Corporativo' AND segmento='ESTR' AND ambito='PM' AND entidade='00100')Y</v>
      </c>
      <c r="K308" s="35" t="str">
        <f>+UPPER("ON X."&amp;VLOOKUP(B308,'0. Instruções'!$C$27:$G$32,4,FALSE)&amp;"=Y."&amp;VLOOKUP(B308,'0. Instruções'!$C$27:$G$32,4,FALSE)&amp;"_SIMUL")</f>
        <v>ON X.INSTRMNT_ID=Y.INSTRMNT_ID_SIMUL</v>
      </c>
      <c r="L308" s="35" t="str">
        <f>+IF(C308="Coerência", +IF(LEFT(G308,5)="FLOAT","SELECT '"&amp;UPPER(B308)&amp;"' AS TABELA, '"&amp;UPPER(C308)&amp;"' AS TIPOLOGIA_TESTE,'"&amp;D308&amp;"' AS TABELA_LT,'"&amp;E308&amp;"' AS TABELA_SIMUL,'"&amp;F308&amp;"' AS CAMPO, "&amp;"'${ref_date}' AS REF_DATE, COUNT(*) AS NUM_REG, SUM(IF((ABS(COALESCE(CAST(X."&amp;F308&amp;" AS DECIMAL(18,6)),0)-COALESCE(CAST(Y."&amp;F308&amp;"_SIMUL AS DECIMAL(18,6)),0))&gt;0.000001) OR (X."&amp;F308&amp;" IS NULL AND Y."&amp;F308&amp;"_SIMUL IS NOT NULL ) OR (X."&amp;F308&amp;" IS NOT NULL AND Y."&amp;F308&amp;"_SIMUL IS NULL),1,0)) AS NUM_REG_DIF,'"&amp;MAX('ID1&amp;5'!K:K)+1&amp;"' AS ID_EXEC, CURRENT_TIMESTAMP() AS TIME_EXEC FROM "&amp;I308&amp;" INNER JOIN "&amp;J308&amp;" "&amp;K308,"SELECT '"&amp;UPPER(B308)&amp;"' AS TABELA, '"&amp;UPPER(C308)&amp;"' AS TIPOLOGIA_TESTE,'"&amp;D308&amp;"' AS TABELA_LT,'"&amp;E308&amp;"' AS TABELA_SIMUL,'"&amp;F308&amp;"' AS CAMPO, "&amp;"'${ref_date}' AS REF_DATE, COUNT(*) AS NUM_REG, SUM(IF(COALESCE(CAST(X."&amp;F308&amp;" AS STRING),'')&lt;&gt;COALESCE(CAST(Y."&amp;F308&amp;"_SIMUL AS STRING),'') OR (X."&amp;F308&amp;" IS NULL AND Y."&amp;F308&amp;"_SIMUL IS NOT NULL ) OR (X."&amp;F308&amp;" IS NOT NULL AND Y."&amp;F308&amp;"_SIMUL IS NULL),1,0)) AS NUM_REG_DIF,'"&amp;MAX('ID1&amp;5'!L:L)+1&amp;"' AS ID_EXEC, CURRENT_TIMESTAMP() AS TIME_EXEC FROM "&amp;I308&amp;" INNER JOIN "&amp;J308&amp;" "&amp;K308),
IF(C308="Validade",+IF(G308="Code List","SELECT '"&amp;UPPER(B308)&amp;"' AS TABELA, '"&amp;UPPER(C308)&amp;"' AS TIPOLOGIA_TESTE,'"&amp;D308&amp;"' AS TABELA_LT,'N/A' AS TABELA_SIMUL,'"&amp;F308&amp;"' AS CAMPO, "&amp;"'${ref_date}' AS REF_DATE, COUNT(*) AS NUM_REG, SUM(IF(TRIM(CAST(X."&amp;F308&amp;" AS STRING))='' OR TRIM(CAST(X."&amp;F308&amp;" AS STRING)) IS NULL OR CAST(X."&amp;F308&amp;" AS STRING) NOT "&amp;H308&amp;",1,0)) AS NUM_REG_DIF,'"&amp;MAX('ID1&amp;5'!K:K)+1&amp;"' AS ID_EXEC, CURRENT_TIMESTAMP() AS TIME_EXEC FROM "&amp;I308,"SELECT '"&amp;UPPER(B308)&amp;"' AS TABELA, '"&amp;UPPER(C308)&amp;"' AS TIPOLOGIA_TESTE,'"&amp;D308&amp;"' AS TABELA_LT,'N/A' AS TABELA_SIMUL,'"&amp;F308&amp;"' AS CAMPO, "&amp;"'${ref_date}' AS REF_DATE, COUNT(*) AS NUM_REG, SUM(IF(TRIM(CAST(X."&amp;F308&amp;" AS STRING))='' OR TRIM(CAST(X."&amp;F308&amp;" AS STRING)) IS NULL,1,0)) AS NUM_REG_DIF,'"&amp;MAX('ID1&amp;5'!K:K)+1&amp;"' AS ID_EXEC, CURRENT_TIMESTAMP() AS TIME_EXEC FROM "&amp;I308),
IF(C308="Caracteres Especiais",+"SELECT '"&amp;UPPER(B308)&amp;"' AS TABELA, '"&amp;UPPER(C308)&amp;"' AS TIPOLOGIA_TESTE,'"&amp;D308&amp;"' AS TABELA_LT,'N/A' AS TABELA_SIMUL,'"&amp;F308&amp;"' AS CAMPO, "&amp;"'${ref_date}' AS REF_DATE, COUNT(*) AS NUM_REG, SUM(IF(REGEXP_REPLACE(TRIM(CAST(X."&amp;F308&amp;" AS STRING)),'[^a-zA-Z0-9_\\s]','') &lt;&gt;TRIM(CAST(X."&amp;F308&amp;" AS STRING)),1,0)) AS NUM_REG_DIF,'"&amp;MAX('ID1&amp;5'!K:K)+1&amp;"' AS ID_EXEC, CURRENT_TIMESTAMP() AS TIME_EXEC FROM "&amp;I308,
IF(C308="Missings",+"SELECT '"&amp;UPPER(B308)&amp;"' AS TABELA, '"&amp;UPPER(C308)&amp;"' AS TIPOLOGIA_TESTE,'"&amp;D308&amp;"' AS TABELA_LT,'N/A' AS TABELA_SIMUL,'"&amp;F308&amp;"' AS CAMPO, "&amp;"'${ref_date}' AS REF_DATE, COUNT(*) AS NUM_REG, SUM(IF(TRIM(CAST(X."&amp;F308&amp;" AS STRING)) IN ('0000-00-00','0001-01-01','9999-12-31','MISS','00000','99999999999','99999999999.00','99999999999.000000'),1,0)) AS NUM_REG_DIF,'"&amp;MAX('ID1&amp;5'!K:K)+1&amp;"' AS ID_EXEC, CURRENT_TIMESTAMP() AS TIME_EXEC FROM "&amp;I308,
IF(C308="Not applicable",+"SELECT '"&amp;UPPER(B308)&amp;"' AS TABELA, '"&amp;UPPER(C308)&amp;"' AS TIPOLOGIA_TESTE,'"&amp;D308&amp;"' AS TABELA_LT,'N/A' AS TABELA_SIMUL,'"&amp;F308&amp;"' AS CAMPO, "&amp;"'${ref_date}' AS REF_DATE, COUNT(*) AS NUM_REG, SUM(IF(TRIM(CAST(X."&amp;F308&amp;" AS STRING)) IN ('N/A','11111111111','11111111111.00','11111111111.000000','1111-11-11'),1,0)) AS NUM_REG_DIF,'"&amp;MAX('ID1&amp;5'!K:K)+1&amp;"' AS ID_EXEC, CURRENT_TIMESTAMP() AS TIME_EXEC FROM "&amp;I308,
IF(C308="Valores extremos",+"SELECT '"&amp;UPPER(B308)&amp;"' AS TABELA, '"&amp;UPPER(C308)&amp;"' AS TIPOLOGIA_TESTE,'"&amp;D308&amp;"' AS TABELA_LT,'N/A' AS TABELA_SIMUL,'"&amp;F308&amp;"' AS CAMPO, "&amp;"'${ref_date}' AS REF_DATE, CAST(MIN("&amp;F308&amp;") AS STRING) AS VALOR_MIN, CAST(MAX("&amp;F308&amp;") AS STRING) AS VALOR_MAX,'"&amp;MAX('ID1&amp;5'!K:K)+1&amp;"' AS ID_EXEC, CURRENT_TIMESTAMP() AS TIME_EXEC FROM "&amp;MID(I308,1,LEN(I308)-2)&amp;" AND CAST("&amp;F308&amp;"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TABELA_SIMUL,'DSTI' AS CAMPO, '${ref_date}' AS REF_DATE, COUNT(*) AS NUM_REG, SUM(IF(COALESCE(CAST(X.DSTI AS STRING),'')&lt;&gt;COALESCE(CAST(Y.DSTI_SIMUL AS STRING),'') OR (X.DSTI IS NULL AND Y.DSTI_SIMUL IS NOT NULL ) OR (X.DSTI IS NOT NULL AND Y.DSTI_SIMUL IS NULL),1,0)) AS NUM_REG_DIF,'1' AS ID_EXEC, CURRENT_TIMESTAMP() AS TIME_EXEC FROM (SELECT instrmnt_id, DSTI FROM CD_LOAN_TAPES_BCE.LT002_INSTRUMENT WHERE ref_date='${ref_date}' AND nome_perimetro='Individual Corporativo' AND segmento='ESTR' AND ambito='PM' AND entidade='00100')X INNER JOIN (SELECT instrmnt_id AS instrmnt_id_SIMUL, DSTI AS DSTI_SIMUL FROM BU_LOANTAPE_WORK.LT002_INSTRUMENT WHERE ref_date='${ref_date}' AND nome_perimetro='Individual Corporativo' AND segmento='ESTR' AND ambito='PM' AND entidade='00100')Y ON X.INSTRMNT_ID=Y.INSTRMNT_ID_SIMUL</v>
      </c>
      <c r="M308" s="36" t="str">
        <f t="shared" ref="M308:M330" si="5">+"UNION ALL "&amp;L308</f>
        <v>UNION ALL SELECT 'INSTRUMENT' AS TABELA, 'COERÊNCIA' AS TIPOLOGIA_TESTE,'CD_LOAN_TAPES_BCE.LT002_INSTRUMENT' AS TABELA_LT,'BU_LOANTAPE_WORK.LT002_INSTRUMENT' AS TABELA_SIMUL,'DSTI' AS CAMPO, '${ref_date}' AS REF_DATE, COUNT(*) AS NUM_REG, SUM(IF(COALESCE(CAST(X.DSTI AS STRING),'')&lt;&gt;COALESCE(CAST(Y.DSTI_SIMUL AS STRING),'') OR (X.DSTI IS NULL AND Y.DSTI_SIMUL IS NOT NULL ) OR (X.DSTI IS NOT NULL AND Y.DSTI_SIMUL IS NULL),1,0)) AS NUM_REG_DIF,'1' AS ID_EXEC, CURRENT_TIMESTAMP() AS TIME_EXEC FROM (SELECT instrmnt_id, DSTI FROM CD_LOAN_TAPES_BCE.LT002_INSTRUMENT WHERE ref_date='${ref_date}' AND nome_perimetro='Individual Corporativo' AND segmento='ESTR' AND ambito='PM' AND entidade='00100')X INNER JOIN (SELECT instrmnt_id AS instrmnt_id_SIMUL, DSTI AS DSTI_SIMUL FROM BU_LOANTAPE_WORK.LT002_INSTRUMENT WHERE ref_date='${ref_date}' AND nome_perimetro='Individual Corporativo' AND segmento='ESTR' AND ambito='PM' AND entidade='00100')Y ON X.INSTRMNT_ID=Y.INSTRMNT_ID_SIMUL</v>
      </c>
      <c r="N308" s="38" t="s">
        <v>46</v>
      </c>
    </row>
    <row r="309" spans="2:14" hidden="1">
      <c r="B309" s="34" t="s">
        <v>126</v>
      </c>
      <c r="C309" s="34" t="s">
        <v>5</v>
      </c>
      <c r="D309" s="34" t="str">
        <f>+UPPER('0. Instruções'!$D$35&amp;"."&amp;VLOOKUP(B309,'0. Instruções'!$C$27:$D$32,2,FALSE))</f>
        <v>CD_LOAN_TAPES_BCE.LT002_INSTRUMENT</v>
      </c>
      <c r="E309" s="34" t="str">
        <f>+UPPER('0. Instruções'!$D$36&amp;"."&amp;VLOOKUP(B309,'0. Instruções'!$C$27:$E$32,3,FALSE))</f>
        <v>BU_LOANTAPE_WORK.LT002_INSTRUMENT</v>
      </c>
      <c r="F309" s="34" t="s">
        <v>587</v>
      </c>
      <c r="G309" s="34"/>
      <c r="H309" s="34" t="s">
        <v>91</v>
      </c>
      <c r="I309" s="34" t="str">
        <f>"(SELECT "&amp;VLOOKUP(B309,'0. Instruções'!$C$27:$G$32,4,FALSE)&amp;", "&amp;F309&amp;" FROM "&amp;D309&amp;" WHERE "&amp;'0. Instruções'!$D$42&amp;")X"</f>
        <v>(SELECT instrmnt_id, LTI_INSTRMNT FROM CD_LOAN_TAPES_BCE.LT002_INSTRUMENT WHERE ref_date='${ref_date}' AND nome_perimetro='Individual Corporativo' AND segmento='ESTR' AND ambito='PM' AND entidade='00100')X</v>
      </c>
      <c r="J309" s="34" t="str">
        <f>"(SELECT "&amp;VLOOKUP(B309,'0. Instruções'!$C$27:$G$32,4,FALSE)&amp;" AS "&amp;VLOOKUP(B309,'0. Instruções'!$C$27:$G$32,4,FALSE)&amp;"_SIMUL, "&amp;F309&amp;" AS "&amp;F309&amp;"_SIMUL FROM "&amp;E309&amp;" WHERE "&amp;'0. Instruções'!$D$43&amp;")Y"</f>
        <v>(SELECT instrmnt_id AS instrmnt_id_SIMUL, LTI_INSTRMNT AS LTI_INSTRMNT_SIMUL FROM BU_LOANTAPE_WORK.LT002_INSTRUMENT WHERE ref_date='${ref_date}' AND nome_perimetro='Individual Corporativo' AND segmento='ESTR' AND ambito='PM' AND entidade='00100')Y</v>
      </c>
      <c r="K309" s="35" t="str">
        <f>+UPPER("ON X."&amp;VLOOKUP(B309,'0. Instruções'!$C$27:$G$32,4,FALSE)&amp;"=Y."&amp;VLOOKUP(B309,'0. Instruções'!$C$27:$G$32,4,FALSE)&amp;"_SIMUL")</f>
        <v>ON X.INSTRMNT_ID=Y.INSTRMNT_ID_SIMUL</v>
      </c>
      <c r="L309" s="35" t="str">
        <f>+IF(C309="Coerência", +IF(LEFT(G309,5)="FLOAT","SELECT '"&amp;UPPER(B309)&amp;"' AS TABELA, '"&amp;UPPER(C309)&amp;"' AS TIPOLOGIA_TESTE,'"&amp;D309&amp;"' AS TABELA_LT,'"&amp;E309&amp;"' AS TABELA_SIMUL,'"&amp;F309&amp;"' AS CAMPO, "&amp;"'${ref_date}' AS REF_DATE, COUNT(*) AS NUM_REG, SUM(IF((ABS(COALESCE(CAST(X."&amp;F309&amp;" AS DECIMAL(18,6)),0)-COALESCE(CAST(Y."&amp;F309&amp;"_SIMUL AS DECIMAL(18,6)),0))&gt;0.000001) OR (X."&amp;F309&amp;" IS NULL AND Y."&amp;F309&amp;"_SIMUL IS NOT NULL ) OR (X."&amp;F309&amp;" IS NOT NULL AND Y."&amp;F309&amp;"_SIMUL IS NULL),1,0)) AS NUM_REG_DIF,'"&amp;MAX('ID1&amp;5'!K:K)+1&amp;"' AS ID_EXEC, CURRENT_TIMESTAMP() AS TIME_EXEC FROM "&amp;I309&amp;" INNER JOIN "&amp;J309&amp;" "&amp;K309,"SELECT '"&amp;UPPER(B309)&amp;"' AS TABELA, '"&amp;UPPER(C309)&amp;"' AS TIPOLOGIA_TESTE,'"&amp;D309&amp;"' AS TABELA_LT,'"&amp;E309&amp;"' AS TABELA_SIMUL,'"&amp;F309&amp;"' AS CAMPO, "&amp;"'${ref_date}' AS REF_DATE, COUNT(*) AS NUM_REG, SUM(IF(COALESCE(CAST(X."&amp;F309&amp;" AS STRING),'')&lt;&gt;COALESCE(CAST(Y."&amp;F309&amp;"_SIMUL AS STRING),'') OR (X."&amp;F309&amp;" IS NULL AND Y."&amp;F309&amp;"_SIMUL IS NOT NULL ) OR (X."&amp;F309&amp;" IS NOT NULL AND Y."&amp;F309&amp;"_SIMUL IS NULL),1,0)) AS NUM_REG_DIF,'"&amp;MAX('ID1&amp;5'!L:L)+1&amp;"' AS ID_EXEC, CURRENT_TIMESTAMP() AS TIME_EXEC FROM "&amp;I309&amp;" INNER JOIN "&amp;J309&amp;" "&amp;K309),
IF(C309="Validade",+IF(G309="Code List","SELECT '"&amp;UPPER(B309)&amp;"' AS TABELA, '"&amp;UPPER(C309)&amp;"' AS TIPOLOGIA_TESTE,'"&amp;D309&amp;"' AS TABELA_LT,'N/A' AS TABELA_SIMUL,'"&amp;F309&amp;"' AS CAMPO, "&amp;"'${ref_date}' AS REF_DATE, COUNT(*) AS NUM_REG, SUM(IF(TRIM(CAST(X."&amp;F309&amp;" AS STRING))='' OR TRIM(CAST(X."&amp;F309&amp;" AS STRING)) IS NULL OR CAST(X."&amp;F309&amp;" AS STRING) NOT "&amp;H309&amp;",1,0)) AS NUM_REG_DIF,'"&amp;MAX('ID1&amp;5'!K:K)+1&amp;"' AS ID_EXEC, CURRENT_TIMESTAMP() AS TIME_EXEC FROM "&amp;I309,"SELECT '"&amp;UPPER(B309)&amp;"' AS TABELA, '"&amp;UPPER(C309)&amp;"' AS TIPOLOGIA_TESTE,'"&amp;D309&amp;"' AS TABELA_LT,'N/A' AS TABELA_SIMUL,'"&amp;F309&amp;"' AS CAMPO, "&amp;"'${ref_date}' AS REF_DATE, COUNT(*) AS NUM_REG, SUM(IF(TRIM(CAST(X."&amp;F309&amp;" AS STRING))='' OR TRIM(CAST(X."&amp;F309&amp;" AS STRING)) IS NULL,1,0)) AS NUM_REG_DIF,'"&amp;MAX('ID1&amp;5'!K:K)+1&amp;"' AS ID_EXEC, CURRENT_TIMESTAMP() AS TIME_EXEC FROM "&amp;I309),
IF(C309="Caracteres Especiais",+"SELECT '"&amp;UPPER(B309)&amp;"' AS TABELA, '"&amp;UPPER(C309)&amp;"' AS TIPOLOGIA_TESTE,'"&amp;D309&amp;"' AS TABELA_LT,'N/A' AS TABELA_SIMUL,'"&amp;F309&amp;"' AS CAMPO, "&amp;"'${ref_date}' AS REF_DATE, COUNT(*) AS NUM_REG, SUM(IF(REGEXP_REPLACE(TRIM(CAST(X."&amp;F309&amp;" AS STRING)),'[^a-zA-Z0-9_\\s]','') &lt;&gt;TRIM(CAST(X."&amp;F309&amp;" AS STRING)),1,0)) AS NUM_REG_DIF,'"&amp;MAX('ID1&amp;5'!K:K)+1&amp;"' AS ID_EXEC, CURRENT_TIMESTAMP() AS TIME_EXEC FROM "&amp;I309,
IF(C309="Missings",+"SELECT '"&amp;UPPER(B309)&amp;"' AS TABELA, '"&amp;UPPER(C309)&amp;"' AS TIPOLOGIA_TESTE,'"&amp;D309&amp;"' AS TABELA_LT,'N/A' AS TABELA_SIMUL,'"&amp;F309&amp;"' AS CAMPO, "&amp;"'${ref_date}' AS REF_DATE, COUNT(*) AS NUM_REG, SUM(IF(TRIM(CAST(X."&amp;F309&amp;" AS STRING)) IN ('0000-00-00','0001-01-01','9999-12-31','MISS','00000','99999999999','99999999999.00','99999999999.000000'),1,0)) AS NUM_REG_DIF,'"&amp;MAX('ID1&amp;5'!K:K)+1&amp;"' AS ID_EXEC, CURRENT_TIMESTAMP() AS TIME_EXEC FROM "&amp;I309,
IF(C309="Not applicable",+"SELECT '"&amp;UPPER(B309)&amp;"' AS TABELA, '"&amp;UPPER(C309)&amp;"' AS TIPOLOGIA_TESTE,'"&amp;D309&amp;"' AS TABELA_LT,'N/A' AS TABELA_SIMUL,'"&amp;F309&amp;"' AS CAMPO, "&amp;"'${ref_date}' AS REF_DATE, COUNT(*) AS NUM_REG, SUM(IF(TRIM(CAST(X."&amp;F309&amp;" AS STRING)) IN ('N/A','11111111111','11111111111.00','11111111111.000000','1111-11-11'),1,0)) AS NUM_REG_DIF,'"&amp;MAX('ID1&amp;5'!K:K)+1&amp;"' AS ID_EXEC, CURRENT_TIMESTAMP() AS TIME_EXEC FROM "&amp;I309,
IF(C309="Valores extremos",+"SELECT '"&amp;UPPER(B309)&amp;"' AS TABELA, '"&amp;UPPER(C309)&amp;"' AS TIPOLOGIA_TESTE,'"&amp;D309&amp;"' AS TABELA_LT,'N/A' AS TABELA_SIMUL,'"&amp;F309&amp;"' AS CAMPO, "&amp;"'${ref_date}' AS REF_DATE, CAST(MIN("&amp;F309&amp;") AS STRING) AS VALOR_MIN, CAST(MAX("&amp;F309&amp;") AS STRING) AS VALOR_MAX,'"&amp;MAX('ID1&amp;5'!K:K)+1&amp;"' AS ID_EXEC, CURRENT_TIMESTAMP() AS TIME_EXEC FROM "&amp;MID(I309,1,LEN(I309)-2)&amp;" AND CAST("&amp;F309&amp;"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TABELA_SIMUL,'LTI_INSTRMNT' AS CAMPO, '${ref_date}' AS REF_DATE, COUNT(*) AS NUM_REG, SUM(IF(COALESCE(CAST(X.LTI_INSTRMNT AS STRING),'')&lt;&gt;COALESCE(CAST(Y.LTI_INSTRMNT_SIMUL AS STRING),'') OR (X.LTI_INSTRMNT IS NULL AND Y.LTI_INSTRMNT_SIMUL IS NOT NULL ) OR (X.LTI_INSTRMNT IS NOT NULL AND Y.LTI_INSTRMNT_SIMUL IS NULL),1,0)) AS NUM_REG_DIF,'1' AS ID_EXEC, CURRENT_TIMESTAMP() AS TIME_EXEC FROM (SELECT instrmnt_id, LTI_INSTRMNT FROM CD_LOAN_TAPES_BCE.LT002_INSTRUMENT WHERE ref_date='${ref_date}' AND nome_perimetro='Individual Corporativo' AND segmento='ESTR' AND ambito='PM' AND entidade='00100')X INNER JOIN (SELECT instrmnt_id AS instrmnt_id_SIMUL, LTI_INSTRMNT AS LTI_INSTRMNT_SIMUL FROM BU_LOANTAPE_WORK.LT002_INSTRUMENT WHERE ref_date='${ref_date}' AND nome_perimetro='Individual Corporativo' AND segmento='ESTR' AND ambito='PM' AND entidade='00100')Y ON X.INSTRMNT_ID=Y.INSTRMNT_ID_SIMUL</v>
      </c>
      <c r="M309" s="36" t="str">
        <f t="shared" si="5"/>
        <v>UNION ALL SELECT 'INSTRUMENT' AS TABELA, 'COERÊNCIA' AS TIPOLOGIA_TESTE,'CD_LOAN_TAPES_BCE.LT002_INSTRUMENT' AS TABELA_LT,'BU_LOANTAPE_WORK.LT002_INSTRUMENT' AS TABELA_SIMUL,'LTI_INSTRMNT' AS CAMPO, '${ref_date}' AS REF_DATE, COUNT(*) AS NUM_REG, SUM(IF(COALESCE(CAST(X.LTI_INSTRMNT AS STRING),'')&lt;&gt;COALESCE(CAST(Y.LTI_INSTRMNT_SIMUL AS STRING),'') OR (X.LTI_INSTRMNT IS NULL AND Y.LTI_INSTRMNT_SIMUL IS NOT NULL ) OR (X.LTI_INSTRMNT IS NOT NULL AND Y.LTI_INSTRMNT_SIMUL IS NULL),1,0)) AS NUM_REG_DIF,'1' AS ID_EXEC, CURRENT_TIMESTAMP() AS TIME_EXEC FROM (SELECT instrmnt_id, LTI_INSTRMNT FROM CD_LOAN_TAPES_BCE.LT002_INSTRUMENT WHERE ref_date='${ref_date}' AND nome_perimetro='Individual Corporativo' AND segmento='ESTR' AND ambito='PM' AND entidade='00100')X INNER JOIN (SELECT instrmnt_id AS instrmnt_id_SIMUL, LTI_INSTRMNT AS LTI_INSTRMNT_SIMUL FROM BU_LOANTAPE_WORK.LT002_INSTRUMENT WHERE ref_date='${ref_date}' AND nome_perimetro='Individual Corporativo' AND segmento='ESTR' AND ambito='PM' AND entidade='00100')Y ON X.INSTRMNT_ID=Y.INSTRMNT_ID_SIMUL</v>
      </c>
      <c r="N309" s="38" t="s">
        <v>46</v>
      </c>
    </row>
    <row r="310" spans="2:14" hidden="1">
      <c r="B310" s="34" t="s">
        <v>126</v>
      </c>
      <c r="C310" s="34" t="s">
        <v>5</v>
      </c>
      <c r="D310" s="34" t="str">
        <f>+UPPER('0. Instruções'!$D$35&amp;"."&amp;VLOOKUP(B310,'0. Instruções'!$C$27:$D$32,2,FALSE))</f>
        <v>CD_LOAN_TAPES_BCE.LT002_INSTRUMENT</v>
      </c>
      <c r="E310" s="34" t="str">
        <f>+UPPER('0. Instruções'!$D$36&amp;"."&amp;VLOOKUP(B310,'0. Instruções'!$C$27:$E$32,3,FALSE))</f>
        <v>BU_LOANTAPE_WORK.LT002_INSTRUMENT</v>
      </c>
      <c r="F310" s="34" t="s">
        <v>656</v>
      </c>
      <c r="G310" s="34"/>
      <c r="H310" s="34"/>
      <c r="I310" s="34" t="str">
        <f>"(SELECT "&amp;VLOOKUP(B310,'0. Instruções'!$C$27:$G$32,4,FALSE)&amp;", "&amp;F310&amp;" FROM "&amp;D310&amp;" WHERE "&amp;'0. Instruções'!$D$42&amp;")X"</f>
        <v>(SELECT instrmnt_id, CPN_RT FROM CD_LOAN_TAPES_BCE.LT002_INSTRUMENT WHERE ref_date='${ref_date}' AND nome_perimetro='Individual Corporativo' AND segmento='ESTR' AND ambito='PM' AND entidade='00100')X</v>
      </c>
      <c r="J310" s="34" t="str">
        <f>"(SELECT "&amp;VLOOKUP(B310,'0. Instruções'!$C$27:$G$32,4,FALSE)&amp;" AS "&amp;VLOOKUP(B310,'0. Instruções'!$C$27:$G$32,4,FALSE)&amp;"_SIMUL, "&amp;F310&amp;" AS "&amp;F310&amp;"_SIMUL FROM "&amp;E310&amp;" WHERE "&amp;'0. Instruções'!$D$43&amp;")Y"</f>
        <v>(SELECT instrmnt_id AS instrmnt_id_SIMUL, CPN_RT AS CPN_RT_SIMUL FROM BU_LOANTAPE_WORK.LT002_INSTRUMENT WHERE ref_date='${ref_date}' AND nome_perimetro='Individual Corporativo' AND segmento='ESTR' AND ambito='PM' AND entidade='00100')Y</v>
      </c>
      <c r="K310" s="35" t="str">
        <f>+UPPER("ON X."&amp;VLOOKUP(B310,'0. Instruções'!$C$27:$G$32,4,FALSE)&amp;"=Y."&amp;VLOOKUP(B310,'0. Instruções'!$C$27:$G$32,4,FALSE)&amp;"_SIMUL")</f>
        <v>ON X.INSTRMNT_ID=Y.INSTRMNT_ID_SIMUL</v>
      </c>
      <c r="L310" s="35" t="str">
        <f>+IF(C310="Coerência", +IF(LEFT(G310,5)="FLOAT","SELECT '"&amp;UPPER(B310)&amp;"' AS TABELA, '"&amp;UPPER(C310)&amp;"' AS TIPOLOGIA_TESTE,'"&amp;D310&amp;"' AS TABELA_LT,'"&amp;E310&amp;"' AS TABELA_SIMUL,'"&amp;F310&amp;"' AS CAMPO, "&amp;"'${ref_date}' AS REF_DATE, COUNT(*) AS NUM_REG, SUM(IF((ABS(COALESCE(CAST(X."&amp;F310&amp;" AS DECIMAL(18,6)),0)-COALESCE(CAST(Y."&amp;F310&amp;"_SIMUL AS DECIMAL(18,6)),0))&gt;0.000001) OR (X."&amp;F310&amp;" IS NULL AND Y."&amp;F310&amp;"_SIMUL IS NOT NULL ) OR (X."&amp;F310&amp;" IS NOT NULL AND Y."&amp;F310&amp;"_SIMUL IS NULL),1,0)) AS NUM_REG_DIF,'"&amp;MAX('ID1&amp;5'!K:K)+1&amp;"' AS ID_EXEC, CURRENT_TIMESTAMP() AS TIME_EXEC FROM "&amp;I310&amp;" INNER JOIN "&amp;J310&amp;" "&amp;K310,"SELECT '"&amp;UPPER(B310)&amp;"' AS TABELA, '"&amp;UPPER(C310)&amp;"' AS TIPOLOGIA_TESTE,'"&amp;D310&amp;"' AS TABELA_LT,'"&amp;E310&amp;"' AS TABELA_SIMUL,'"&amp;F310&amp;"' AS CAMPO, "&amp;"'${ref_date}' AS REF_DATE, COUNT(*) AS NUM_REG, SUM(IF(COALESCE(CAST(X."&amp;F310&amp;" AS STRING),'')&lt;&gt;COALESCE(CAST(Y."&amp;F310&amp;"_SIMUL AS STRING),'') OR (X."&amp;F310&amp;" IS NULL AND Y."&amp;F310&amp;"_SIMUL IS NOT NULL ) OR (X."&amp;F310&amp;" IS NOT NULL AND Y."&amp;F310&amp;"_SIMUL IS NULL),1,0)) AS NUM_REG_DIF,'"&amp;MAX('ID1&amp;5'!L:L)+1&amp;"' AS ID_EXEC, CURRENT_TIMESTAMP() AS TIME_EXEC FROM "&amp;I310&amp;" INNER JOIN "&amp;J310&amp;" "&amp;K310),
IF(C310="Validade",+IF(G310="Code List","SELECT '"&amp;UPPER(B310)&amp;"' AS TABELA, '"&amp;UPPER(C310)&amp;"' AS TIPOLOGIA_TESTE,'"&amp;D310&amp;"' AS TABELA_LT,'N/A' AS TABELA_SIMUL,'"&amp;F310&amp;"' AS CAMPO, "&amp;"'${ref_date}' AS REF_DATE, COUNT(*) AS NUM_REG, SUM(IF(TRIM(CAST(X."&amp;F310&amp;" AS STRING))='' OR TRIM(CAST(X."&amp;F310&amp;" AS STRING)) IS NULL OR CAST(X."&amp;F310&amp;" AS STRING) NOT "&amp;H310&amp;",1,0)) AS NUM_REG_DIF,'"&amp;MAX('ID1&amp;5'!K:K)+1&amp;"' AS ID_EXEC, CURRENT_TIMESTAMP() AS TIME_EXEC FROM "&amp;I310,"SELECT '"&amp;UPPER(B310)&amp;"' AS TABELA, '"&amp;UPPER(C310)&amp;"' AS TIPOLOGIA_TESTE,'"&amp;D310&amp;"' AS TABELA_LT,'N/A' AS TABELA_SIMUL,'"&amp;F310&amp;"' AS CAMPO, "&amp;"'${ref_date}' AS REF_DATE, COUNT(*) AS NUM_REG, SUM(IF(TRIM(CAST(X."&amp;F310&amp;" AS STRING))='' OR TRIM(CAST(X."&amp;F310&amp;" AS STRING)) IS NULL,1,0)) AS NUM_REG_DIF,'"&amp;MAX('ID1&amp;5'!K:K)+1&amp;"' AS ID_EXEC, CURRENT_TIMESTAMP() AS TIME_EXEC FROM "&amp;I310),
IF(C310="Caracteres Especiais",+"SELECT '"&amp;UPPER(B310)&amp;"' AS TABELA, '"&amp;UPPER(C310)&amp;"' AS TIPOLOGIA_TESTE,'"&amp;D310&amp;"' AS TABELA_LT,'N/A' AS TABELA_SIMUL,'"&amp;F310&amp;"' AS CAMPO, "&amp;"'${ref_date}' AS REF_DATE, COUNT(*) AS NUM_REG, SUM(IF(REGEXP_REPLACE(TRIM(CAST(X."&amp;F310&amp;" AS STRING)),'[^a-zA-Z0-9_\\s]','') &lt;&gt;TRIM(CAST(X."&amp;F310&amp;" AS STRING)),1,0)) AS NUM_REG_DIF,'"&amp;MAX('ID1&amp;5'!K:K)+1&amp;"' AS ID_EXEC, CURRENT_TIMESTAMP() AS TIME_EXEC FROM "&amp;I310,
IF(C310="Missings",+"SELECT '"&amp;UPPER(B310)&amp;"' AS TABELA, '"&amp;UPPER(C310)&amp;"' AS TIPOLOGIA_TESTE,'"&amp;D310&amp;"' AS TABELA_LT,'N/A' AS TABELA_SIMUL,'"&amp;F310&amp;"' AS CAMPO, "&amp;"'${ref_date}' AS REF_DATE, COUNT(*) AS NUM_REG, SUM(IF(TRIM(CAST(X."&amp;F310&amp;" AS STRING)) IN ('0000-00-00','0001-01-01','9999-12-31','MISS','00000','99999999999','99999999999.00','99999999999.000000'),1,0)) AS NUM_REG_DIF,'"&amp;MAX('ID1&amp;5'!K:K)+1&amp;"' AS ID_EXEC, CURRENT_TIMESTAMP() AS TIME_EXEC FROM "&amp;I310,
IF(C310="Not applicable",+"SELECT '"&amp;UPPER(B310)&amp;"' AS TABELA, '"&amp;UPPER(C310)&amp;"' AS TIPOLOGIA_TESTE,'"&amp;D310&amp;"' AS TABELA_LT,'N/A' AS TABELA_SIMUL,'"&amp;F310&amp;"' AS CAMPO, "&amp;"'${ref_date}' AS REF_DATE, COUNT(*) AS NUM_REG, SUM(IF(TRIM(CAST(X."&amp;F310&amp;" AS STRING)) IN ('N/A','11111111111','11111111111.00','11111111111.000000','1111-11-11'),1,0)) AS NUM_REG_DIF,'"&amp;MAX('ID1&amp;5'!K:K)+1&amp;"' AS ID_EXEC, CURRENT_TIMESTAMP() AS TIME_EXEC FROM "&amp;I310,
IF(C310="Valores extremos",+"SELECT '"&amp;UPPER(B310)&amp;"' AS TABELA, '"&amp;UPPER(C310)&amp;"' AS TIPOLOGIA_TESTE,'"&amp;D310&amp;"' AS TABELA_LT,'N/A' AS TABELA_SIMUL,'"&amp;F310&amp;"' AS CAMPO, "&amp;"'${ref_date}' AS REF_DATE, CAST(MIN("&amp;F310&amp;") AS STRING) AS VALOR_MIN, CAST(MAX("&amp;F310&amp;") AS STRING) AS VALOR_MAX,'"&amp;MAX('ID1&amp;5'!K:K)+1&amp;"' AS ID_EXEC, CURRENT_TIMESTAMP() AS TIME_EXEC FROM "&amp;MID(I310,1,LEN(I310)-2)&amp;" AND CAST("&amp;F310&amp;"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TABELA_SIMUL,'CPN_RT' AS CAMPO, '${ref_date}' AS REF_DATE, COUNT(*) AS NUM_REG, SUM(IF(COALESCE(CAST(X.CPN_RT AS STRING),'')&lt;&gt;COALESCE(CAST(Y.CPN_RT_SIMUL AS STRING),'') OR (X.CPN_RT IS NULL AND Y.CPN_RT_SIMUL IS NOT NULL ) OR (X.CPN_RT IS NOT NULL AND Y.CPN_RT_SIMUL IS NULL),1,0)) AS NUM_REG_DIF,'1' AS ID_EXEC, CURRENT_TIMESTAMP() AS TIME_EXEC FROM (SELECT instrmnt_id, CPN_RT FROM CD_LOAN_TAPES_BCE.LT002_INSTRUMENT WHERE ref_date='${ref_date}' AND nome_perimetro='Individual Corporativo' AND segmento='ESTR' AND ambito='PM' AND entidade='00100')X INNER JOIN (SELECT instrmnt_id AS instrmnt_id_SIMUL, CPN_RT AS CPN_RT_SIMUL FROM BU_LOANTAPE_WORK.LT002_INSTRUMENT WHERE ref_date='${ref_date}' AND nome_perimetro='Individual Corporativo' AND segmento='ESTR' AND ambito='PM' AND entidade='00100')Y ON X.INSTRMNT_ID=Y.INSTRMNT_ID_SIMUL</v>
      </c>
      <c r="M310" s="36" t="str">
        <f t="shared" si="5"/>
        <v>UNION ALL SELECT 'INSTRUMENT' AS TABELA, 'COERÊNCIA' AS TIPOLOGIA_TESTE,'CD_LOAN_TAPES_BCE.LT002_INSTRUMENT' AS TABELA_LT,'BU_LOANTAPE_WORK.LT002_INSTRUMENT' AS TABELA_SIMUL,'CPN_RT' AS CAMPO, '${ref_date}' AS REF_DATE, COUNT(*) AS NUM_REG, SUM(IF(COALESCE(CAST(X.CPN_RT AS STRING),'')&lt;&gt;COALESCE(CAST(Y.CPN_RT_SIMUL AS STRING),'') OR (X.CPN_RT IS NULL AND Y.CPN_RT_SIMUL IS NOT NULL ) OR (X.CPN_RT IS NOT NULL AND Y.CPN_RT_SIMUL IS NULL),1,0)) AS NUM_REG_DIF,'1' AS ID_EXEC, CURRENT_TIMESTAMP() AS TIME_EXEC FROM (SELECT instrmnt_id, CPN_RT FROM CD_LOAN_TAPES_BCE.LT002_INSTRUMENT WHERE ref_date='${ref_date}' AND nome_perimetro='Individual Corporativo' AND segmento='ESTR' AND ambito='PM' AND entidade='00100')X INNER JOIN (SELECT instrmnt_id AS instrmnt_id_SIMUL, CPN_RT AS CPN_RT_SIMUL FROM BU_LOANTAPE_WORK.LT002_INSTRUMENT WHERE ref_date='${ref_date}' AND nome_perimetro='Individual Corporativo' AND segmento='ESTR' AND ambito='PM' AND entidade='00100')Y ON X.INSTRMNT_ID=Y.INSTRMNT_ID_SIMUL</v>
      </c>
      <c r="N310" s="38" t="s">
        <v>46</v>
      </c>
    </row>
    <row r="311" spans="2:14" hidden="1">
      <c r="B311" s="34" t="s">
        <v>126</v>
      </c>
      <c r="C311" s="34" t="s">
        <v>5</v>
      </c>
      <c r="D311" s="34" t="str">
        <f>+UPPER('0. Instruções'!$D$35&amp;"."&amp;VLOOKUP(B311,'0. Instruções'!$C$27:$D$32,2,FALSE))</f>
        <v>CD_LOAN_TAPES_BCE.LT002_INSTRUMENT</v>
      </c>
      <c r="E311" s="34" t="str">
        <f>+UPPER('0. Instruções'!$D$36&amp;"."&amp;VLOOKUP(B311,'0. Instruções'!$C$27:$E$32,3,FALSE))</f>
        <v>BU_LOANTAPE_WORK.LT002_INSTRUMENT</v>
      </c>
      <c r="F311" s="34" t="s">
        <v>591</v>
      </c>
      <c r="G311" s="34"/>
      <c r="H311" s="34" t="s">
        <v>89</v>
      </c>
      <c r="I311" s="34" t="str">
        <f>"(SELECT "&amp;VLOOKUP(B311,'0. Instruções'!$C$27:$G$32,4,FALSE)&amp;", "&amp;F311&amp;" FROM "&amp;D311&amp;" WHERE "&amp;'0. Instruções'!$D$42&amp;")X"</f>
        <v>(SELECT instrmnt_id, RFRNC_RT FROM CD_LOAN_TAPES_BCE.LT002_INSTRUMENT WHERE ref_date='${ref_date}' AND nome_perimetro='Individual Corporativo' AND segmento='ESTR' AND ambito='PM' AND entidade='00100')X</v>
      </c>
      <c r="J311" s="34" t="str">
        <f>"(SELECT "&amp;VLOOKUP(B311,'0. Instruções'!$C$27:$G$32,4,FALSE)&amp;" AS "&amp;VLOOKUP(B311,'0. Instruções'!$C$27:$G$32,4,FALSE)&amp;"_SIMUL, "&amp;F311&amp;" AS "&amp;F311&amp;"_SIMUL FROM "&amp;E311&amp;" WHERE "&amp;'0. Instruções'!$D$43&amp;")Y"</f>
        <v>(SELECT instrmnt_id AS instrmnt_id_SIMUL, RFRNC_RT AS RFRNC_RT_SIMUL FROM BU_LOANTAPE_WORK.LT002_INSTRUMENT WHERE ref_date='${ref_date}' AND nome_perimetro='Individual Corporativo' AND segmento='ESTR' AND ambito='PM' AND entidade='00100')Y</v>
      </c>
      <c r="K311" s="35" t="str">
        <f>+UPPER("ON X."&amp;VLOOKUP(B311,'0. Instruções'!$C$27:$G$32,4,FALSE)&amp;"=Y."&amp;VLOOKUP(B311,'0. Instruções'!$C$27:$G$32,4,FALSE)&amp;"_SIMUL")</f>
        <v>ON X.INSTRMNT_ID=Y.INSTRMNT_ID_SIMUL</v>
      </c>
      <c r="L311" s="35" t="str">
        <f>+IF(C311="Coerência", +IF(LEFT(G311,5)="FLOAT","SELECT '"&amp;UPPER(B311)&amp;"' AS TABELA, '"&amp;UPPER(C311)&amp;"' AS TIPOLOGIA_TESTE,'"&amp;D311&amp;"' AS TABELA_LT,'"&amp;E311&amp;"' AS TABELA_SIMUL,'"&amp;F311&amp;"' AS CAMPO, "&amp;"'${ref_date}' AS REF_DATE, COUNT(*) AS NUM_REG, SUM(IF((ABS(COALESCE(CAST(X."&amp;F311&amp;" AS DECIMAL(18,6)),0)-COALESCE(CAST(Y."&amp;F311&amp;"_SIMUL AS DECIMAL(18,6)),0))&gt;0.000001) OR (X."&amp;F311&amp;" IS NULL AND Y."&amp;F311&amp;"_SIMUL IS NOT NULL ) OR (X."&amp;F311&amp;" IS NOT NULL AND Y."&amp;F311&amp;"_SIMUL IS NULL),1,0)) AS NUM_REG_DIF,'"&amp;MAX('ID1&amp;5'!K:K)+1&amp;"' AS ID_EXEC, CURRENT_TIMESTAMP() AS TIME_EXEC FROM "&amp;I311&amp;" INNER JOIN "&amp;J311&amp;" "&amp;K311,"SELECT '"&amp;UPPER(B311)&amp;"' AS TABELA, '"&amp;UPPER(C311)&amp;"' AS TIPOLOGIA_TESTE,'"&amp;D311&amp;"' AS TABELA_LT,'"&amp;E311&amp;"' AS TABELA_SIMUL,'"&amp;F311&amp;"' AS CAMPO, "&amp;"'${ref_date}' AS REF_DATE, COUNT(*) AS NUM_REG, SUM(IF(COALESCE(CAST(X."&amp;F311&amp;" AS STRING),'')&lt;&gt;COALESCE(CAST(Y."&amp;F311&amp;"_SIMUL AS STRING),'') OR (X."&amp;F311&amp;" IS NULL AND Y."&amp;F311&amp;"_SIMUL IS NOT NULL ) OR (X."&amp;F311&amp;" IS NOT NULL AND Y."&amp;F311&amp;"_SIMUL IS NULL),1,0)) AS NUM_REG_DIF,'"&amp;MAX('ID1&amp;5'!L:L)+1&amp;"' AS ID_EXEC, CURRENT_TIMESTAMP() AS TIME_EXEC FROM "&amp;I311&amp;" INNER JOIN "&amp;J311&amp;" "&amp;K311),
IF(C311="Validade",+IF(G311="Code List","SELECT '"&amp;UPPER(B311)&amp;"' AS TABELA, '"&amp;UPPER(C311)&amp;"' AS TIPOLOGIA_TESTE,'"&amp;D311&amp;"' AS TABELA_LT,'N/A' AS TABELA_SIMUL,'"&amp;F311&amp;"' AS CAMPO, "&amp;"'${ref_date}' AS REF_DATE, COUNT(*) AS NUM_REG, SUM(IF(TRIM(CAST(X."&amp;F311&amp;" AS STRING))='' OR TRIM(CAST(X."&amp;F311&amp;" AS STRING)) IS NULL OR CAST(X."&amp;F311&amp;" AS STRING) NOT "&amp;H311&amp;",1,0)) AS NUM_REG_DIF,'"&amp;MAX('ID1&amp;5'!K:K)+1&amp;"' AS ID_EXEC, CURRENT_TIMESTAMP() AS TIME_EXEC FROM "&amp;I311,"SELECT '"&amp;UPPER(B311)&amp;"' AS TABELA, '"&amp;UPPER(C311)&amp;"' AS TIPOLOGIA_TESTE,'"&amp;D311&amp;"' AS TABELA_LT,'N/A' AS TABELA_SIMUL,'"&amp;F311&amp;"' AS CAMPO, "&amp;"'${ref_date}' AS REF_DATE, COUNT(*) AS NUM_REG, SUM(IF(TRIM(CAST(X."&amp;F311&amp;" AS STRING))='' OR TRIM(CAST(X."&amp;F311&amp;" AS STRING)) IS NULL,1,0)) AS NUM_REG_DIF,'"&amp;MAX('ID1&amp;5'!K:K)+1&amp;"' AS ID_EXEC, CURRENT_TIMESTAMP() AS TIME_EXEC FROM "&amp;I311),
IF(C311="Caracteres Especiais",+"SELECT '"&amp;UPPER(B311)&amp;"' AS TABELA, '"&amp;UPPER(C311)&amp;"' AS TIPOLOGIA_TESTE,'"&amp;D311&amp;"' AS TABELA_LT,'N/A' AS TABELA_SIMUL,'"&amp;F311&amp;"' AS CAMPO, "&amp;"'${ref_date}' AS REF_DATE, COUNT(*) AS NUM_REG, SUM(IF(REGEXP_REPLACE(TRIM(CAST(X."&amp;F311&amp;" AS STRING)),'[^a-zA-Z0-9_\\s]','') &lt;&gt;TRIM(CAST(X."&amp;F311&amp;" AS STRING)),1,0)) AS NUM_REG_DIF,'"&amp;MAX('ID1&amp;5'!K:K)+1&amp;"' AS ID_EXEC, CURRENT_TIMESTAMP() AS TIME_EXEC FROM "&amp;I311,
IF(C311="Missings",+"SELECT '"&amp;UPPER(B311)&amp;"' AS TABELA, '"&amp;UPPER(C311)&amp;"' AS TIPOLOGIA_TESTE,'"&amp;D311&amp;"' AS TABELA_LT,'N/A' AS TABELA_SIMUL,'"&amp;F311&amp;"' AS CAMPO, "&amp;"'${ref_date}' AS REF_DATE, COUNT(*) AS NUM_REG, SUM(IF(TRIM(CAST(X."&amp;F311&amp;" AS STRING)) IN ('0000-00-00','0001-01-01','9999-12-31','MISS','00000','99999999999','99999999999.00','99999999999.000000'),1,0)) AS NUM_REG_DIF,'"&amp;MAX('ID1&amp;5'!K:K)+1&amp;"' AS ID_EXEC, CURRENT_TIMESTAMP() AS TIME_EXEC FROM "&amp;I311,
IF(C311="Not applicable",+"SELECT '"&amp;UPPER(B311)&amp;"' AS TABELA, '"&amp;UPPER(C311)&amp;"' AS TIPOLOGIA_TESTE,'"&amp;D311&amp;"' AS TABELA_LT,'N/A' AS TABELA_SIMUL,'"&amp;F311&amp;"' AS CAMPO, "&amp;"'${ref_date}' AS REF_DATE, COUNT(*) AS NUM_REG, SUM(IF(TRIM(CAST(X."&amp;F311&amp;" AS STRING)) IN ('N/A','11111111111','11111111111.00','11111111111.000000','1111-11-11'),1,0)) AS NUM_REG_DIF,'"&amp;MAX('ID1&amp;5'!K:K)+1&amp;"' AS ID_EXEC, CURRENT_TIMESTAMP() AS TIME_EXEC FROM "&amp;I311,
IF(C311="Valores extremos",+"SELECT '"&amp;UPPER(B311)&amp;"' AS TABELA, '"&amp;UPPER(C311)&amp;"' AS TIPOLOGIA_TESTE,'"&amp;D311&amp;"' AS TABELA_LT,'N/A' AS TABELA_SIMUL,'"&amp;F311&amp;"' AS CAMPO, "&amp;"'${ref_date}' AS REF_DATE, CAST(MIN("&amp;F311&amp;") AS STRING) AS VALOR_MIN, CAST(MAX("&amp;F311&amp;") AS STRING) AS VALOR_MAX,'"&amp;MAX('ID1&amp;5'!K:K)+1&amp;"' AS ID_EXEC, CURRENT_TIMESTAMP() AS TIME_EXEC FROM "&amp;MID(I311,1,LEN(I311)-2)&amp;" AND CAST("&amp;F311&amp;"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TABELA_SIMUL,'RFRNC_RT' AS CAMPO, '${ref_date}' AS REF_DATE, COUNT(*) AS NUM_REG, SUM(IF(COALESCE(CAST(X.RFRNC_RT AS STRING),'')&lt;&gt;COALESCE(CAST(Y.RFRNC_RT_SIMUL AS STRING),'') OR (X.RFRNC_RT IS NULL AND Y.RFRNC_RT_SIMUL IS NOT NULL ) OR (X.RFRNC_RT IS NOT NULL AND Y.RFRNC_RT_SIMUL IS NULL),1,0)) AS NUM_REG_DIF,'1' AS ID_EXEC, CURRENT_TIMESTAMP() AS TIME_EXEC FROM (SELECT instrmnt_id, RFRNC_RT FROM CD_LOAN_TAPES_BCE.LT002_INSTRUMENT WHERE ref_date='${ref_date}' AND nome_perimetro='Individual Corporativo' AND segmento='ESTR' AND ambito='PM' AND entidade='00100')X INNER JOIN (SELECT instrmnt_id AS instrmnt_id_SIMUL, RFRNC_RT AS RFRNC_RT_SIMUL FROM BU_LOANTAPE_WORK.LT002_INSTRUMENT WHERE ref_date='${ref_date}' AND nome_perimetro='Individual Corporativo' AND segmento='ESTR' AND ambito='PM' AND entidade='00100')Y ON X.INSTRMNT_ID=Y.INSTRMNT_ID_SIMUL</v>
      </c>
      <c r="M311" s="36" t="str">
        <f t="shared" si="5"/>
        <v>UNION ALL SELECT 'INSTRUMENT' AS TABELA, 'COERÊNCIA' AS TIPOLOGIA_TESTE,'CD_LOAN_TAPES_BCE.LT002_INSTRUMENT' AS TABELA_LT,'BU_LOANTAPE_WORK.LT002_INSTRUMENT' AS TABELA_SIMUL,'RFRNC_RT' AS CAMPO, '${ref_date}' AS REF_DATE, COUNT(*) AS NUM_REG, SUM(IF(COALESCE(CAST(X.RFRNC_RT AS STRING),'')&lt;&gt;COALESCE(CAST(Y.RFRNC_RT_SIMUL AS STRING),'') OR (X.RFRNC_RT IS NULL AND Y.RFRNC_RT_SIMUL IS NOT NULL ) OR (X.RFRNC_RT IS NOT NULL AND Y.RFRNC_RT_SIMUL IS NULL),1,0)) AS NUM_REG_DIF,'1' AS ID_EXEC, CURRENT_TIMESTAMP() AS TIME_EXEC FROM (SELECT instrmnt_id, RFRNC_RT FROM CD_LOAN_TAPES_BCE.LT002_INSTRUMENT WHERE ref_date='${ref_date}' AND nome_perimetro='Individual Corporativo' AND segmento='ESTR' AND ambito='PM' AND entidade='00100')X INNER JOIN (SELECT instrmnt_id AS instrmnt_id_SIMUL, RFRNC_RT AS RFRNC_RT_SIMUL FROM BU_LOANTAPE_WORK.LT002_INSTRUMENT WHERE ref_date='${ref_date}' AND nome_perimetro='Individual Corporativo' AND segmento='ESTR' AND ambito='PM' AND entidade='00100')Y ON X.INSTRMNT_ID=Y.INSTRMNT_ID_SIMUL</v>
      </c>
      <c r="N311" s="38" t="s">
        <v>46</v>
      </c>
    </row>
    <row r="312" spans="2:14" hidden="1">
      <c r="B312" s="34" t="s">
        <v>126</v>
      </c>
      <c r="C312" s="34" t="s">
        <v>5</v>
      </c>
      <c r="D312" s="34" t="str">
        <f>+UPPER('0. Instruções'!$D$35&amp;"."&amp;VLOOKUP(B312,'0. Instruções'!$C$27:$D$32,2,FALSE))</f>
        <v>CD_LOAN_TAPES_BCE.LT002_INSTRUMENT</v>
      </c>
      <c r="E312" s="34" t="str">
        <f>+UPPER('0. Instruções'!$D$36&amp;"."&amp;VLOOKUP(B312,'0. Instruções'!$C$27:$E$32,3,FALSE))</f>
        <v>BU_LOANTAPE_WORK.LT002_INSTRUMENT</v>
      </c>
      <c r="F312" s="92" t="s">
        <v>552</v>
      </c>
      <c r="G312" s="34"/>
      <c r="H312" s="34" t="s">
        <v>91</v>
      </c>
      <c r="I312" s="34" t="str">
        <f>"(SELECT "&amp;VLOOKUP(B312,'0. Instruções'!$C$27:$G$32,4,FALSE)&amp;", "&amp;F312&amp;" FROM "&amp;D312&amp;" WHERE "&amp;'0. Instruções'!$D$42&amp;")X"</f>
        <v>(SELECT instrmnt_id, CPN_RT_FXD FROM CD_LOAN_TAPES_BCE.LT002_INSTRUMENT WHERE ref_date='${ref_date}' AND nome_perimetro='Individual Corporativo' AND segmento='ESTR' AND ambito='PM' AND entidade='00100')X</v>
      </c>
      <c r="J312" s="34" t="str">
        <f>"(SELECT "&amp;VLOOKUP(B312,'0. Instruções'!$C$27:$G$32,4,FALSE)&amp;" AS "&amp;VLOOKUP(B312,'0. Instruções'!$C$27:$G$32,4,FALSE)&amp;"_SIMUL, "&amp;F312&amp;" AS "&amp;F312&amp;"_SIMUL FROM "&amp;E312&amp;" WHERE "&amp;'0. Instruções'!$D$43&amp;")Y"</f>
        <v>(SELECT instrmnt_id AS instrmnt_id_SIMUL, CPN_RT_FXD AS CPN_RT_FXD_SIMUL FROM BU_LOANTAPE_WORK.LT002_INSTRUMENT WHERE ref_date='${ref_date}' AND nome_perimetro='Individual Corporativo' AND segmento='ESTR' AND ambito='PM' AND entidade='00100')Y</v>
      </c>
      <c r="K312" s="35" t="str">
        <f>+UPPER("ON X."&amp;VLOOKUP(B312,'0. Instruções'!$C$27:$G$32,4,FALSE)&amp;"=Y."&amp;VLOOKUP(B312,'0. Instruções'!$C$27:$G$32,4,FALSE)&amp;"_SIMUL")</f>
        <v>ON X.INSTRMNT_ID=Y.INSTRMNT_ID_SIMUL</v>
      </c>
      <c r="L312" s="35" t="str">
        <f>+IF(C312="Coerência", +IF(LEFT(G312,5)="FLOAT","SELECT '"&amp;UPPER(B312)&amp;"' AS TABELA, '"&amp;UPPER(C312)&amp;"' AS TIPOLOGIA_TESTE,'"&amp;D312&amp;"' AS TABELA_LT,'"&amp;E312&amp;"' AS TABELA_SIMUL,'"&amp;F312&amp;"' AS CAMPO, "&amp;"'${ref_date}' AS REF_DATE, COUNT(*) AS NUM_REG, SUM(IF((ABS(COALESCE(CAST(X."&amp;F312&amp;" AS DECIMAL(18,6)),0)-COALESCE(CAST(Y."&amp;F312&amp;"_SIMUL AS DECIMAL(18,6)),0))&gt;0.000001) OR (X."&amp;F312&amp;" IS NULL AND Y."&amp;F312&amp;"_SIMUL IS NOT NULL ) OR (X."&amp;F312&amp;" IS NOT NULL AND Y."&amp;F312&amp;"_SIMUL IS NULL),1,0)) AS NUM_REG_DIF,'"&amp;MAX('ID1&amp;5'!K:K)+1&amp;"' AS ID_EXEC, CURRENT_TIMESTAMP() AS TIME_EXEC FROM "&amp;I312&amp;" INNER JOIN "&amp;J312&amp;" "&amp;K312,"SELECT '"&amp;UPPER(B312)&amp;"' AS TABELA, '"&amp;UPPER(C312)&amp;"' AS TIPOLOGIA_TESTE,'"&amp;D312&amp;"' AS TABELA_LT,'"&amp;E312&amp;"' AS TABELA_SIMUL,'"&amp;F312&amp;"' AS CAMPO, "&amp;"'${ref_date}' AS REF_DATE, COUNT(*) AS NUM_REG, SUM(IF(COALESCE(CAST(X."&amp;F312&amp;" AS STRING),'')&lt;&gt;COALESCE(CAST(Y."&amp;F312&amp;"_SIMUL AS STRING),'') OR (X."&amp;F312&amp;" IS NULL AND Y."&amp;F312&amp;"_SIMUL IS NOT NULL ) OR (X."&amp;F312&amp;" IS NOT NULL AND Y."&amp;F312&amp;"_SIMUL IS NULL),1,0)) AS NUM_REG_DIF,'"&amp;MAX('ID1&amp;5'!L:L)+1&amp;"' AS ID_EXEC, CURRENT_TIMESTAMP() AS TIME_EXEC FROM "&amp;I312&amp;" INNER JOIN "&amp;J312&amp;" "&amp;K312),
IF(C312="Validade",+IF(G312="Code List","SELECT '"&amp;UPPER(B312)&amp;"' AS TABELA, '"&amp;UPPER(C312)&amp;"' AS TIPOLOGIA_TESTE,'"&amp;D312&amp;"' AS TABELA_LT,'N/A' AS TABELA_SIMUL,'"&amp;F312&amp;"' AS CAMPO, "&amp;"'${ref_date}' AS REF_DATE, COUNT(*) AS NUM_REG, SUM(IF(TRIM(CAST(X."&amp;F312&amp;" AS STRING))='' OR TRIM(CAST(X."&amp;F312&amp;" AS STRING)) IS NULL OR CAST(X."&amp;F312&amp;" AS STRING) NOT "&amp;H312&amp;",1,0)) AS NUM_REG_DIF,'"&amp;MAX('ID1&amp;5'!K:K)+1&amp;"' AS ID_EXEC, CURRENT_TIMESTAMP() AS TIME_EXEC FROM "&amp;I312,"SELECT '"&amp;UPPER(B312)&amp;"' AS TABELA, '"&amp;UPPER(C312)&amp;"' AS TIPOLOGIA_TESTE,'"&amp;D312&amp;"' AS TABELA_LT,'N/A' AS TABELA_SIMUL,'"&amp;F312&amp;"' AS CAMPO, "&amp;"'${ref_date}' AS REF_DATE, COUNT(*) AS NUM_REG, SUM(IF(TRIM(CAST(X."&amp;F312&amp;" AS STRING))='' OR TRIM(CAST(X."&amp;F312&amp;" AS STRING)) IS NULL,1,0)) AS NUM_REG_DIF,'"&amp;MAX('ID1&amp;5'!K:K)+1&amp;"' AS ID_EXEC, CURRENT_TIMESTAMP() AS TIME_EXEC FROM "&amp;I312),
IF(C312="Caracteres Especiais",+"SELECT '"&amp;UPPER(B312)&amp;"' AS TABELA, '"&amp;UPPER(C312)&amp;"' AS TIPOLOGIA_TESTE,'"&amp;D312&amp;"' AS TABELA_LT,'N/A' AS TABELA_SIMUL,'"&amp;F312&amp;"' AS CAMPO, "&amp;"'${ref_date}' AS REF_DATE, COUNT(*) AS NUM_REG, SUM(IF(REGEXP_REPLACE(TRIM(CAST(X."&amp;F312&amp;" AS STRING)),'[^a-zA-Z0-9_\\s]','') &lt;&gt;TRIM(CAST(X."&amp;F312&amp;" AS STRING)),1,0)) AS NUM_REG_DIF,'"&amp;MAX('ID1&amp;5'!K:K)+1&amp;"' AS ID_EXEC, CURRENT_TIMESTAMP() AS TIME_EXEC FROM "&amp;I312,
IF(C312="Missings",+"SELECT '"&amp;UPPER(B312)&amp;"' AS TABELA, '"&amp;UPPER(C312)&amp;"' AS TIPOLOGIA_TESTE,'"&amp;D312&amp;"' AS TABELA_LT,'N/A' AS TABELA_SIMUL,'"&amp;F312&amp;"' AS CAMPO, "&amp;"'${ref_date}' AS REF_DATE, COUNT(*) AS NUM_REG, SUM(IF(TRIM(CAST(X."&amp;F312&amp;" AS STRING)) IN ('0000-00-00','0001-01-01','9999-12-31','MISS','00000','99999999999','99999999999.00','99999999999.000000'),1,0)) AS NUM_REG_DIF,'"&amp;MAX('ID1&amp;5'!K:K)+1&amp;"' AS ID_EXEC, CURRENT_TIMESTAMP() AS TIME_EXEC FROM "&amp;I312,
IF(C312="Not applicable",+"SELECT '"&amp;UPPER(B312)&amp;"' AS TABELA, '"&amp;UPPER(C312)&amp;"' AS TIPOLOGIA_TESTE,'"&amp;D312&amp;"' AS TABELA_LT,'N/A' AS TABELA_SIMUL,'"&amp;F312&amp;"' AS CAMPO, "&amp;"'${ref_date}' AS REF_DATE, COUNT(*) AS NUM_REG, SUM(IF(TRIM(CAST(X."&amp;F312&amp;" AS STRING)) IN ('N/A','11111111111','11111111111.00','11111111111.000000','1111-11-11'),1,0)) AS NUM_REG_DIF,'"&amp;MAX('ID1&amp;5'!K:K)+1&amp;"' AS ID_EXEC, CURRENT_TIMESTAMP() AS TIME_EXEC FROM "&amp;I312,
IF(C312="Valores extremos",+"SELECT '"&amp;UPPER(B312)&amp;"' AS TABELA, '"&amp;UPPER(C312)&amp;"' AS TIPOLOGIA_TESTE,'"&amp;D312&amp;"' AS TABELA_LT,'N/A' AS TABELA_SIMUL,'"&amp;F312&amp;"' AS CAMPO, "&amp;"'${ref_date}' AS REF_DATE, CAST(MIN("&amp;F312&amp;") AS STRING) AS VALOR_MIN, CAST(MAX("&amp;F312&amp;") AS STRING) AS VALOR_MAX,'"&amp;MAX('ID1&amp;5'!K:K)+1&amp;"' AS ID_EXEC, CURRENT_TIMESTAMP() AS TIME_EXEC FROM "&amp;MID(I312,1,LEN(I312)-2)&amp;" AND CAST("&amp;F312&amp;"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TABELA_SIMUL,'CPN_RT_FXD' AS CAMPO, '${ref_date}' AS REF_DATE, COUNT(*) AS NUM_REG, SUM(IF(COALESCE(CAST(X.CPN_RT_FXD AS STRING),'')&lt;&gt;COALESCE(CAST(Y.CPN_RT_FXD_SIMUL AS STRING),'') OR (X.CPN_RT_FXD IS NULL AND Y.CPN_RT_FXD_SIMUL IS NOT NULL ) OR (X.CPN_RT_FXD IS NOT NULL AND Y.CPN_RT_FXD_SIMUL IS NULL),1,0)) AS NUM_REG_DIF,'1' AS ID_EXEC, CURRENT_TIMESTAMP() AS TIME_EXEC FROM (SELECT instrmnt_id, CPN_RT_FXD FROM CD_LOAN_TAPES_BCE.LT002_INSTRUMENT WHERE ref_date='${ref_date}' AND nome_perimetro='Individual Corporativo' AND segmento='ESTR' AND ambito='PM' AND entidade='00100')X INNER JOIN (SELECT instrmnt_id AS instrmnt_id_SIMUL, CPN_RT_FXD AS CPN_RT_FXD_SIMUL FROM BU_LOANTAPE_WORK.LT002_INSTRUMENT WHERE ref_date='${ref_date}' AND nome_perimetro='Individual Corporativo' AND segmento='ESTR' AND ambito='PM' AND entidade='00100')Y ON X.INSTRMNT_ID=Y.INSTRMNT_ID_SIMUL</v>
      </c>
      <c r="M312" s="36" t="str">
        <f t="shared" si="5"/>
        <v>UNION ALL SELECT 'INSTRUMENT' AS TABELA, 'COERÊNCIA' AS TIPOLOGIA_TESTE,'CD_LOAN_TAPES_BCE.LT002_INSTRUMENT' AS TABELA_LT,'BU_LOANTAPE_WORK.LT002_INSTRUMENT' AS TABELA_SIMUL,'CPN_RT_FXD' AS CAMPO, '${ref_date}' AS REF_DATE, COUNT(*) AS NUM_REG, SUM(IF(COALESCE(CAST(X.CPN_RT_FXD AS STRING),'')&lt;&gt;COALESCE(CAST(Y.CPN_RT_FXD_SIMUL AS STRING),'') OR (X.CPN_RT_FXD IS NULL AND Y.CPN_RT_FXD_SIMUL IS NOT NULL ) OR (X.CPN_RT_FXD IS NOT NULL AND Y.CPN_RT_FXD_SIMUL IS NULL),1,0)) AS NUM_REG_DIF,'1' AS ID_EXEC, CURRENT_TIMESTAMP() AS TIME_EXEC FROM (SELECT instrmnt_id, CPN_RT_FXD FROM CD_LOAN_TAPES_BCE.LT002_INSTRUMENT WHERE ref_date='${ref_date}' AND nome_perimetro='Individual Corporativo' AND segmento='ESTR' AND ambito='PM' AND entidade='00100')X INNER JOIN (SELECT instrmnt_id AS instrmnt_id_SIMUL, CPN_RT_FXD AS CPN_RT_FXD_SIMUL FROM BU_LOANTAPE_WORK.LT002_INSTRUMENT WHERE ref_date='${ref_date}' AND nome_perimetro='Individual Corporativo' AND segmento='ESTR' AND ambito='PM' AND entidade='00100')Y ON X.INSTRMNT_ID=Y.INSTRMNT_ID_SIMUL</v>
      </c>
      <c r="N312" s="38" t="s">
        <v>46</v>
      </c>
    </row>
    <row r="313" spans="2:14" hidden="1">
      <c r="B313" s="34" t="s">
        <v>126</v>
      </c>
      <c r="C313" s="34" t="s">
        <v>5</v>
      </c>
      <c r="D313" s="34" t="str">
        <f>+UPPER('0. Instruções'!$D$35&amp;"."&amp;VLOOKUP(B313,'0. Instruções'!$C$27:$D$32,2,FALSE))</f>
        <v>CD_LOAN_TAPES_BCE.LT002_INSTRUMENT</v>
      </c>
      <c r="E313" s="34" t="str">
        <f>+UPPER('0. Instruções'!$D$36&amp;"."&amp;VLOOKUP(B313,'0. Instruções'!$C$27:$E$32,3,FALSE))</f>
        <v>BU_LOANTAPE_WORK.LT002_INSTRUMENT</v>
      </c>
      <c r="F313" s="92" t="s">
        <v>570</v>
      </c>
      <c r="G313" s="34"/>
      <c r="H313" s="34" t="s">
        <v>91</v>
      </c>
      <c r="I313" s="34" t="str">
        <f>"(SELECT "&amp;VLOOKUP(B313,'0. Instruções'!$C$27:$G$32,4,FALSE)&amp;", "&amp;F313&amp;" FROM "&amp;D313&amp;" WHERE "&amp;'0. Instruções'!$D$42&amp;")X"</f>
        <v>(SELECT instrmnt_id, CPN_RT_FLTNG FROM CD_LOAN_TAPES_BCE.LT002_INSTRUMENT WHERE ref_date='${ref_date}' AND nome_perimetro='Individual Corporativo' AND segmento='ESTR' AND ambito='PM' AND entidade='00100')X</v>
      </c>
      <c r="J313" s="34" t="str">
        <f>"(SELECT "&amp;VLOOKUP(B313,'0. Instruções'!$C$27:$G$32,4,FALSE)&amp;" AS "&amp;VLOOKUP(B313,'0. Instruções'!$C$27:$G$32,4,FALSE)&amp;"_SIMUL, "&amp;F313&amp;" AS "&amp;F313&amp;"_SIMUL FROM "&amp;E313&amp;" WHERE "&amp;'0. Instruções'!$D$43&amp;")Y"</f>
        <v>(SELECT instrmnt_id AS instrmnt_id_SIMUL, CPN_RT_FLTNG AS CPN_RT_FLTNG_SIMUL FROM BU_LOANTAPE_WORK.LT002_INSTRUMENT WHERE ref_date='${ref_date}' AND nome_perimetro='Individual Corporativo' AND segmento='ESTR' AND ambito='PM' AND entidade='00100')Y</v>
      </c>
      <c r="K313" s="35" t="str">
        <f>+UPPER("ON X."&amp;VLOOKUP(B313,'0. Instruções'!$C$27:$G$32,4,FALSE)&amp;"=Y."&amp;VLOOKUP(B313,'0. Instruções'!$C$27:$G$32,4,FALSE)&amp;"_SIMUL")</f>
        <v>ON X.INSTRMNT_ID=Y.INSTRMNT_ID_SIMUL</v>
      </c>
      <c r="L313" s="35" t="str">
        <f>+IF(C313="Coerência", +IF(LEFT(G313,5)="FLOAT","SELECT '"&amp;UPPER(B313)&amp;"' AS TABELA, '"&amp;UPPER(C313)&amp;"' AS TIPOLOGIA_TESTE,'"&amp;D313&amp;"' AS TABELA_LT,'"&amp;E313&amp;"' AS TABELA_SIMUL,'"&amp;F313&amp;"' AS CAMPO, "&amp;"'${ref_date}' AS REF_DATE, COUNT(*) AS NUM_REG, SUM(IF((ABS(COALESCE(CAST(X."&amp;F313&amp;" AS DECIMAL(18,6)),0)-COALESCE(CAST(Y."&amp;F313&amp;"_SIMUL AS DECIMAL(18,6)),0))&gt;0.000001) OR (X."&amp;F313&amp;" IS NULL AND Y."&amp;F313&amp;"_SIMUL IS NOT NULL ) OR (X."&amp;F313&amp;" IS NOT NULL AND Y."&amp;F313&amp;"_SIMUL IS NULL),1,0)) AS NUM_REG_DIF,'"&amp;MAX('ID1&amp;5'!K:K)+1&amp;"' AS ID_EXEC, CURRENT_TIMESTAMP() AS TIME_EXEC FROM "&amp;I313&amp;" INNER JOIN "&amp;J313&amp;" "&amp;K313,"SELECT '"&amp;UPPER(B313)&amp;"' AS TABELA, '"&amp;UPPER(C313)&amp;"' AS TIPOLOGIA_TESTE,'"&amp;D313&amp;"' AS TABELA_LT,'"&amp;E313&amp;"' AS TABELA_SIMUL,'"&amp;F313&amp;"' AS CAMPO, "&amp;"'${ref_date}' AS REF_DATE, COUNT(*) AS NUM_REG, SUM(IF(COALESCE(CAST(X."&amp;F313&amp;" AS STRING),'')&lt;&gt;COALESCE(CAST(Y."&amp;F313&amp;"_SIMUL AS STRING),'') OR (X."&amp;F313&amp;" IS NULL AND Y."&amp;F313&amp;"_SIMUL IS NOT NULL ) OR (X."&amp;F313&amp;" IS NOT NULL AND Y."&amp;F313&amp;"_SIMUL IS NULL),1,0)) AS NUM_REG_DIF,'"&amp;MAX('ID1&amp;5'!L:L)+1&amp;"' AS ID_EXEC, CURRENT_TIMESTAMP() AS TIME_EXEC FROM "&amp;I313&amp;" INNER JOIN "&amp;J313&amp;" "&amp;K313),
IF(C313="Validade",+IF(G313="Code List","SELECT '"&amp;UPPER(B313)&amp;"' AS TABELA, '"&amp;UPPER(C313)&amp;"' AS TIPOLOGIA_TESTE,'"&amp;D313&amp;"' AS TABELA_LT,'N/A' AS TABELA_SIMUL,'"&amp;F313&amp;"' AS CAMPO, "&amp;"'${ref_date}' AS REF_DATE, COUNT(*) AS NUM_REG, SUM(IF(TRIM(CAST(X."&amp;F313&amp;" AS STRING))='' OR TRIM(CAST(X."&amp;F313&amp;" AS STRING)) IS NULL OR CAST(X."&amp;F313&amp;" AS STRING) NOT "&amp;H313&amp;",1,0)) AS NUM_REG_DIF,'"&amp;MAX('ID1&amp;5'!K:K)+1&amp;"' AS ID_EXEC, CURRENT_TIMESTAMP() AS TIME_EXEC FROM "&amp;I313,"SELECT '"&amp;UPPER(B313)&amp;"' AS TABELA, '"&amp;UPPER(C313)&amp;"' AS TIPOLOGIA_TESTE,'"&amp;D313&amp;"' AS TABELA_LT,'N/A' AS TABELA_SIMUL,'"&amp;F313&amp;"' AS CAMPO, "&amp;"'${ref_date}' AS REF_DATE, COUNT(*) AS NUM_REG, SUM(IF(TRIM(CAST(X."&amp;F313&amp;" AS STRING))='' OR TRIM(CAST(X."&amp;F313&amp;" AS STRING)) IS NULL,1,0)) AS NUM_REG_DIF,'"&amp;MAX('ID1&amp;5'!K:K)+1&amp;"' AS ID_EXEC, CURRENT_TIMESTAMP() AS TIME_EXEC FROM "&amp;I313),
IF(C313="Caracteres Especiais",+"SELECT '"&amp;UPPER(B313)&amp;"' AS TABELA, '"&amp;UPPER(C313)&amp;"' AS TIPOLOGIA_TESTE,'"&amp;D313&amp;"' AS TABELA_LT,'N/A' AS TABELA_SIMUL,'"&amp;F313&amp;"' AS CAMPO, "&amp;"'${ref_date}' AS REF_DATE, COUNT(*) AS NUM_REG, SUM(IF(REGEXP_REPLACE(TRIM(CAST(X."&amp;F313&amp;" AS STRING)),'[^a-zA-Z0-9_\\s]','') &lt;&gt;TRIM(CAST(X."&amp;F313&amp;" AS STRING)),1,0)) AS NUM_REG_DIF,'"&amp;MAX('ID1&amp;5'!K:K)+1&amp;"' AS ID_EXEC, CURRENT_TIMESTAMP() AS TIME_EXEC FROM "&amp;I313,
IF(C313="Missings",+"SELECT '"&amp;UPPER(B313)&amp;"' AS TABELA, '"&amp;UPPER(C313)&amp;"' AS TIPOLOGIA_TESTE,'"&amp;D313&amp;"' AS TABELA_LT,'N/A' AS TABELA_SIMUL,'"&amp;F313&amp;"' AS CAMPO, "&amp;"'${ref_date}' AS REF_DATE, COUNT(*) AS NUM_REG, SUM(IF(TRIM(CAST(X."&amp;F313&amp;" AS STRING)) IN ('0000-00-00','0001-01-01','9999-12-31','MISS','00000','99999999999','99999999999.00','99999999999.000000'),1,0)) AS NUM_REG_DIF,'"&amp;MAX('ID1&amp;5'!K:K)+1&amp;"' AS ID_EXEC, CURRENT_TIMESTAMP() AS TIME_EXEC FROM "&amp;I313,
IF(C313="Not applicable",+"SELECT '"&amp;UPPER(B313)&amp;"' AS TABELA, '"&amp;UPPER(C313)&amp;"' AS TIPOLOGIA_TESTE,'"&amp;D313&amp;"' AS TABELA_LT,'N/A' AS TABELA_SIMUL,'"&amp;F313&amp;"' AS CAMPO, "&amp;"'${ref_date}' AS REF_DATE, COUNT(*) AS NUM_REG, SUM(IF(TRIM(CAST(X."&amp;F313&amp;" AS STRING)) IN ('N/A','11111111111','11111111111.00','11111111111.000000','1111-11-11'),1,0)) AS NUM_REG_DIF,'"&amp;MAX('ID1&amp;5'!K:K)+1&amp;"' AS ID_EXEC, CURRENT_TIMESTAMP() AS TIME_EXEC FROM "&amp;I313,
IF(C313="Valores extremos",+"SELECT '"&amp;UPPER(B313)&amp;"' AS TABELA, '"&amp;UPPER(C313)&amp;"' AS TIPOLOGIA_TESTE,'"&amp;D313&amp;"' AS TABELA_LT,'N/A' AS TABELA_SIMUL,'"&amp;F313&amp;"' AS CAMPO, "&amp;"'${ref_date}' AS REF_DATE, CAST(MIN("&amp;F313&amp;") AS STRING) AS VALOR_MIN, CAST(MAX("&amp;F313&amp;") AS STRING) AS VALOR_MAX,'"&amp;MAX('ID1&amp;5'!K:K)+1&amp;"' AS ID_EXEC, CURRENT_TIMESTAMP() AS TIME_EXEC FROM "&amp;MID(I313,1,LEN(I313)-2)&amp;" AND CAST("&amp;F313&amp;"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TABELA_SIMUL,'CPN_RT_FLTNG' AS CAMPO, '${ref_date}' AS REF_DATE, COUNT(*) AS NUM_REG, SUM(IF(COALESCE(CAST(X.CPN_RT_FLTNG AS STRING),'')&lt;&gt;COALESCE(CAST(Y.CPN_RT_FLTNG_SIMUL AS STRING),'') OR (X.CPN_RT_FLTNG IS NULL AND Y.CPN_RT_FLTNG_SIMUL IS NOT NULL ) OR (X.CPN_RT_FLTNG IS NOT NULL AND Y.CPN_RT_FLTNG_SIMUL IS NULL),1,0)) AS NUM_REG_DIF,'1' AS ID_EXEC, CURRENT_TIMESTAMP() AS TIME_EXEC FROM (SELECT instrmnt_id, CPN_RT_FLTNG FROM CD_LOAN_TAPES_BCE.LT002_INSTRUMENT WHERE ref_date='${ref_date}' AND nome_perimetro='Individual Corporativo' AND segmento='ESTR' AND ambito='PM' AND entidade='00100')X INNER JOIN (SELECT instrmnt_id AS instrmnt_id_SIMUL, CPN_RT_FLTNG AS CPN_RT_FLTNG_SIMUL FROM BU_LOANTAPE_WORK.LT002_INSTRUMENT WHERE ref_date='${ref_date}' AND nome_perimetro='Individual Corporativo' AND segmento='ESTR' AND ambito='PM' AND entidade='00100')Y ON X.INSTRMNT_ID=Y.INSTRMNT_ID_SIMUL</v>
      </c>
      <c r="M313" s="36" t="str">
        <f t="shared" si="5"/>
        <v>UNION ALL SELECT 'INSTRUMENT' AS TABELA, 'COERÊNCIA' AS TIPOLOGIA_TESTE,'CD_LOAN_TAPES_BCE.LT002_INSTRUMENT' AS TABELA_LT,'BU_LOANTAPE_WORK.LT002_INSTRUMENT' AS TABELA_SIMUL,'CPN_RT_FLTNG' AS CAMPO, '${ref_date}' AS REF_DATE, COUNT(*) AS NUM_REG, SUM(IF(COALESCE(CAST(X.CPN_RT_FLTNG AS STRING),'')&lt;&gt;COALESCE(CAST(Y.CPN_RT_FLTNG_SIMUL AS STRING),'') OR (X.CPN_RT_FLTNG IS NULL AND Y.CPN_RT_FLTNG_SIMUL IS NOT NULL ) OR (X.CPN_RT_FLTNG IS NOT NULL AND Y.CPN_RT_FLTNG_SIMUL IS NULL),1,0)) AS NUM_REG_DIF,'1' AS ID_EXEC, CURRENT_TIMESTAMP() AS TIME_EXEC FROM (SELECT instrmnt_id, CPN_RT_FLTNG FROM CD_LOAN_TAPES_BCE.LT002_INSTRUMENT WHERE ref_date='${ref_date}' AND nome_perimetro='Individual Corporativo' AND segmento='ESTR' AND ambito='PM' AND entidade='00100')X INNER JOIN (SELECT instrmnt_id AS instrmnt_id_SIMUL, CPN_RT_FLTNG AS CPN_RT_FLTNG_SIMUL FROM BU_LOANTAPE_WORK.LT002_INSTRUMENT WHERE ref_date='${ref_date}' AND nome_perimetro='Individual Corporativo' AND segmento='ESTR' AND ambito='PM' AND entidade='00100')Y ON X.INSTRMNT_ID=Y.INSTRMNT_ID_SIMUL</v>
      </c>
      <c r="N313" s="38" t="s">
        <v>46</v>
      </c>
    </row>
    <row r="314" spans="2:14" hidden="1">
      <c r="B314" s="34" t="s">
        <v>126</v>
      </c>
      <c r="C314" s="34" t="s">
        <v>5</v>
      </c>
      <c r="D314" s="34" t="str">
        <f>+UPPER('0. Instruções'!$D$35&amp;"."&amp;VLOOKUP(B314,'0. Instruções'!$C$27:$D$32,2,FALSE))</f>
        <v>CD_LOAN_TAPES_BCE.LT002_INSTRUMENT</v>
      </c>
      <c r="E314" s="34" t="str">
        <f>+UPPER('0. Instruções'!$D$36&amp;"."&amp;VLOOKUP(B314,'0. Instruções'!$C$27:$E$32,3,FALSE))</f>
        <v>BU_LOANTAPE_WORK.LT002_INSTRUMENT</v>
      </c>
      <c r="F314" s="92" t="s">
        <v>588</v>
      </c>
      <c r="G314" s="34"/>
      <c r="H314" s="34" t="s">
        <v>91</v>
      </c>
      <c r="I314" s="34" t="str">
        <f>"(SELECT "&amp;VLOOKUP(B314,'0. Instruções'!$C$27:$G$32,4,FALSE)&amp;", "&amp;F314&amp;" FROM "&amp;D314&amp;" WHERE "&amp;'0. Instruções'!$D$42&amp;")X"</f>
        <v>(SELECT instrmnt_id, INTRST_RT_CP FROM CD_LOAN_TAPES_BCE.LT002_INSTRUMENT WHERE ref_date='${ref_date}' AND nome_perimetro='Individual Corporativo' AND segmento='ESTR' AND ambito='PM' AND entidade='00100')X</v>
      </c>
      <c r="J314" s="34" t="str">
        <f>"(SELECT "&amp;VLOOKUP(B314,'0. Instruções'!$C$27:$G$32,4,FALSE)&amp;" AS "&amp;VLOOKUP(B314,'0. Instruções'!$C$27:$G$32,4,FALSE)&amp;"_SIMUL, "&amp;F314&amp;" AS "&amp;F314&amp;"_SIMUL FROM "&amp;E314&amp;" WHERE "&amp;'0. Instruções'!$D$43&amp;")Y"</f>
        <v>(SELECT instrmnt_id AS instrmnt_id_SIMUL, INTRST_RT_CP AS INTRST_RT_CP_SIMUL FROM BU_LOANTAPE_WORK.LT002_INSTRUMENT WHERE ref_date='${ref_date}' AND nome_perimetro='Individual Corporativo' AND segmento='ESTR' AND ambito='PM' AND entidade='00100')Y</v>
      </c>
      <c r="K314" s="35" t="str">
        <f>+UPPER("ON X."&amp;VLOOKUP(B314,'0. Instruções'!$C$27:$G$32,4,FALSE)&amp;"=Y."&amp;VLOOKUP(B314,'0. Instruções'!$C$27:$G$32,4,FALSE)&amp;"_SIMUL")</f>
        <v>ON X.INSTRMNT_ID=Y.INSTRMNT_ID_SIMUL</v>
      </c>
      <c r="L314" s="35" t="str">
        <f>+IF(C314="Coerência", +IF(LEFT(G314,5)="FLOAT","SELECT '"&amp;UPPER(B314)&amp;"' AS TABELA, '"&amp;UPPER(C314)&amp;"' AS TIPOLOGIA_TESTE,'"&amp;D314&amp;"' AS TABELA_LT,'"&amp;E314&amp;"' AS TABELA_SIMUL,'"&amp;F314&amp;"' AS CAMPO, "&amp;"'${ref_date}' AS REF_DATE, COUNT(*) AS NUM_REG, SUM(IF((ABS(COALESCE(CAST(X."&amp;F314&amp;" AS DECIMAL(18,6)),0)-COALESCE(CAST(Y."&amp;F314&amp;"_SIMUL AS DECIMAL(18,6)),0))&gt;0.000001) OR (X."&amp;F314&amp;" IS NULL AND Y."&amp;F314&amp;"_SIMUL IS NOT NULL ) OR (X."&amp;F314&amp;" IS NOT NULL AND Y."&amp;F314&amp;"_SIMUL IS NULL),1,0)) AS NUM_REG_DIF,'"&amp;MAX('ID1&amp;5'!K:K)+1&amp;"' AS ID_EXEC, CURRENT_TIMESTAMP() AS TIME_EXEC FROM "&amp;I314&amp;" INNER JOIN "&amp;J314&amp;" "&amp;K314,"SELECT '"&amp;UPPER(B314)&amp;"' AS TABELA, '"&amp;UPPER(C314)&amp;"' AS TIPOLOGIA_TESTE,'"&amp;D314&amp;"' AS TABELA_LT,'"&amp;E314&amp;"' AS TABELA_SIMUL,'"&amp;F314&amp;"' AS CAMPO, "&amp;"'${ref_date}' AS REF_DATE, COUNT(*) AS NUM_REG, SUM(IF(COALESCE(CAST(X."&amp;F314&amp;" AS STRING),'')&lt;&gt;COALESCE(CAST(Y."&amp;F314&amp;"_SIMUL AS STRING),'') OR (X."&amp;F314&amp;" IS NULL AND Y."&amp;F314&amp;"_SIMUL IS NOT NULL ) OR (X."&amp;F314&amp;" IS NOT NULL AND Y."&amp;F314&amp;"_SIMUL IS NULL),1,0)) AS NUM_REG_DIF,'"&amp;MAX('ID1&amp;5'!L:L)+1&amp;"' AS ID_EXEC, CURRENT_TIMESTAMP() AS TIME_EXEC FROM "&amp;I314&amp;" INNER JOIN "&amp;J314&amp;" "&amp;K314),
IF(C314="Validade",+IF(G314="Code List","SELECT '"&amp;UPPER(B314)&amp;"' AS TABELA, '"&amp;UPPER(C314)&amp;"' AS TIPOLOGIA_TESTE,'"&amp;D314&amp;"' AS TABELA_LT,'N/A' AS TABELA_SIMUL,'"&amp;F314&amp;"' AS CAMPO, "&amp;"'${ref_date}' AS REF_DATE, COUNT(*) AS NUM_REG, SUM(IF(TRIM(CAST(X."&amp;F314&amp;" AS STRING))='' OR TRIM(CAST(X."&amp;F314&amp;" AS STRING)) IS NULL OR CAST(X."&amp;F314&amp;" AS STRING) NOT "&amp;H314&amp;",1,0)) AS NUM_REG_DIF,'"&amp;MAX('ID1&amp;5'!K:K)+1&amp;"' AS ID_EXEC, CURRENT_TIMESTAMP() AS TIME_EXEC FROM "&amp;I314,"SELECT '"&amp;UPPER(B314)&amp;"' AS TABELA, '"&amp;UPPER(C314)&amp;"' AS TIPOLOGIA_TESTE,'"&amp;D314&amp;"' AS TABELA_LT,'N/A' AS TABELA_SIMUL,'"&amp;F314&amp;"' AS CAMPO, "&amp;"'${ref_date}' AS REF_DATE, COUNT(*) AS NUM_REG, SUM(IF(TRIM(CAST(X."&amp;F314&amp;" AS STRING))='' OR TRIM(CAST(X."&amp;F314&amp;" AS STRING)) IS NULL,1,0)) AS NUM_REG_DIF,'"&amp;MAX('ID1&amp;5'!K:K)+1&amp;"' AS ID_EXEC, CURRENT_TIMESTAMP() AS TIME_EXEC FROM "&amp;I314),
IF(C314="Caracteres Especiais",+"SELECT '"&amp;UPPER(B314)&amp;"' AS TABELA, '"&amp;UPPER(C314)&amp;"' AS TIPOLOGIA_TESTE,'"&amp;D314&amp;"' AS TABELA_LT,'N/A' AS TABELA_SIMUL,'"&amp;F314&amp;"' AS CAMPO, "&amp;"'${ref_date}' AS REF_DATE, COUNT(*) AS NUM_REG, SUM(IF(REGEXP_REPLACE(TRIM(CAST(X."&amp;F314&amp;" AS STRING)),'[^a-zA-Z0-9_\\s]','') &lt;&gt;TRIM(CAST(X."&amp;F314&amp;" AS STRING)),1,0)) AS NUM_REG_DIF,'"&amp;MAX('ID1&amp;5'!K:K)+1&amp;"' AS ID_EXEC, CURRENT_TIMESTAMP() AS TIME_EXEC FROM "&amp;I314,
IF(C314="Missings",+"SELECT '"&amp;UPPER(B314)&amp;"' AS TABELA, '"&amp;UPPER(C314)&amp;"' AS TIPOLOGIA_TESTE,'"&amp;D314&amp;"' AS TABELA_LT,'N/A' AS TABELA_SIMUL,'"&amp;F314&amp;"' AS CAMPO, "&amp;"'${ref_date}' AS REF_DATE, COUNT(*) AS NUM_REG, SUM(IF(TRIM(CAST(X."&amp;F314&amp;" AS STRING)) IN ('0000-00-00','0001-01-01','9999-12-31','MISS','00000','99999999999','99999999999.00','99999999999.000000'),1,0)) AS NUM_REG_DIF,'"&amp;MAX('ID1&amp;5'!K:K)+1&amp;"' AS ID_EXEC, CURRENT_TIMESTAMP() AS TIME_EXEC FROM "&amp;I314,
IF(C314="Not applicable",+"SELECT '"&amp;UPPER(B314)&amp;"' AS TABELA, '"&amp;UPPER(C314)&amp;"' AS TIPOLOGIA_TESTE,'"&amp;D314&amp;"' AS TABELA_LT,'N/A' AS TABELA_SIMUL,'"&amp;F314&amp;"' AS CAMPO, "&amp;"'${ref_date}' AS REF_DATE, COUNT(*) AS NUM_REG, SUM(IF(TRIM(CAST(X."&amp;F314&amp;" AS STRING)) IN ('N/A','11111111111','11111111111.00','11111111111.000000','1111-11-11'),1,0)) AS NUM_REG_DIF,'"&amp;MAX('ID1&amp;5'!K:K)+1&amp;"' AS ID_EXEC, CURRENT_TIMESTAMP() AS TIME_EXEC FROM "&amp;I314,
IF(C314="Valores extremos",+"SELECT '"&amp;UPPER(B314)&amp;"' AS TABELA, '"&amp;UPPER(C314)&amp;"' AS TIPOLOGIA_TESTE,'"&amp;D314&amp;"' AS TABELA_LT,'N/A' AS TABELA_SIMUL,'"&amp;F314&amp;"' AS CAMPO, "&amp;"'${ref_date}' AS REF_DATE, CAST(MIN("&amp;F314&amp;") AS STRING) AS VALOR_MIN, CAST(MAX("&amp;F314&amp;") AS STRING) AS VALOR_MAX,'"&amp;MAX('ID1&amp;5'!K:K)+1&amp;"' AS ID_EXEC, CURRENT_TIMESTAMP() AS TIME_EXEC FROM "&amp;MID(I314,1,LEN(I314)-2)&amp;" AND CAST("&amp;F314&amp;"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TABELA_SIMUL,'INTRST_RT_CP' AS CAMPO, '${ref_date}' AS REF_DATE, COUNT(*) AS NUM_REG, SUM(IF(COALESCE(CAST(X.INTRST_RT_CP AS STRING),'')&lt;&gt;COALESCE(CAST(Y.INTRST_RT_CP_SIMUL AS STRING),'') OR (X.INTRST_RT_CP IS NULL AND Y.INTRST_RT_CP_SIMUL IS NOT NULL ) OR (X.INTRST_RT_CP IS NOT NULL AND Y.INTRST_RT_CP_SIMUL IS NULL),1,0)) AS NUM_REG_DIF,'1' AS ID_EXEC, CURRENT_TIMESTAMP() AS TIME_EXEC FROM (SELECT instrmnt_id, INTRST_RT_CP FROM CD_LOAN_TAPES_BCE.LT002_INSTRUMENT WHERE ref_date='${ref_date}' AND nome_perimetro='Individual Corporativo' AND segmento='ESTR' AND ambito='PM' AND entidade='00100')X INNER JOIN (SELECT instrmnt_id AS instrmnt_id_SIMUL, INTRST_RT_CP AS INTRST_RT_CP_SIMUL FROM BU_LOANTAPE_WORK.LT002_INSTRUMENT WHERE ref_date='${ref_date}' AND nome_perimetro='Individual Corporativo' AND segmento='ESTR' AND ambito='PM' AND entidade='00100')Y ON X.INSTRMNT_ID=Y.INSTRMNT_ID_SIMUL</v>
      </c>
      <c r="M314" s="36" t="str">
        <f t="shared" si="5"/>
        <v>UNION ALL SELECT 'INSTRUMENT' AS TABELA, 'COERÊNCIA' AS TIPOLOGIA_TESTE,'CD_LOAN_TAPES_BCE.LT002_INSTRUMENT' AS TABELA_LT,'BU_LOANTAPE_WORK.LT002_INSTRUMENT' AS TABELA_SIMUL,'INTRST_RT_CP' AS CAMPO, '${ref_date}' AS REF_DATE, COUNT(*) AS NUM_REG, SUM(IF(COALESCE(CAST(X.INTRST_RT_CP AS STRING),'')&lt;&gt;COALESCE(CAST(Y.INTRST_RT_CP_SIMUL AS STRING),'') OR (X.INTRST_RT_CP IS NULL AND Y.INTRST_RT_CP_SIMUL IS NOT NULL ) OR (X.INTRST_RT_CP IS NOT NULL AND Y.INTRST_RT_CP_SIMUL IS NULL),1,0)) AS NUM_REG_DIF,'1' AS ID_EXEC, CURRENT_TIMESTAMP() AS TIME_EXEC FROM (SELECT instrmnt_id, INTRST_RT_CP FROM CD_LOAN_TAPES_BCE.LT002_INSTRUMENT WHERE ref_date='${ref_date}' AND nome_perimetro='Individual Corporativo' AND segmento='ESTR' AND ambito='PM' AND entidade='00100')X INNER JOIN (SELECT instrmnt_id AS instrmnt_id_SIMUL, INTRST_RT_CP AS INTRST_RT_CP_SIMUL FROM BU_LOANTAPE_WORK.LT002_INSTRUMENT WHERE ref_date='${ref_date}' AND nome_perimetro='Individual Corporativo' AND segmento='ESTR' AND ambito='PM' AND entidade='00100')Y ON X.INSTRMNT_ID=Y.INSTRMNT_ID_SIMUL</v>
      </c>
      <c r="N314" s="38" t="s">
        <v>46</v>
      </c>
    </row>
    <row r="315" spans="2:14" hidden="1">
      <c r="B315" s="34" t="s">
        <v>126</v>
      </c>
      <c r="C315" s="34" t="s">
        <v>5</v>
      </c>
      <c r="D315" s="34" t="str">
        <f>+UPPER('0. Instruções'!$D$35&amp;"."&amp;VLOOKUP(B315,'0. Instruções'!$C$27:$D$32,2,FALSE))</f>
        <v>CD_LOAN_TAPES_BCE.LT002_INSTRUMENT</v>
      </c>
      <c r="E315" s="34" t="str">
        <f>+UPPER('0. Instruções'!$D$36&amp;"."&amp;VLOOKUP(B315,'0. Instruções'!$C$27:$E$32,3,FALSE))</f>
        <v>BU_LOANTAPE_WORK.LT002_INSTRUMENT</v>
      </c>
      <c r="F315" s="92" t="s">
        <v>589</v>
      </c>
      <c r="G315" s="34"/>
      <c r="H315" s="34" t="s">
        <v>91</v>
      </c>
      <c r="I315" s="34" t="str">
        <f>"(SELECT "&amp;VLOOKUP(B315,'0. Instruções'!$C$27:$G$32,4,FALSE)&amp;", "&amp;F315&amp;" FROM "&amp;D315&amp;" WHERE "&amp;'0. Instruções'!$D$42&amp;")X"</f>
        <v>(SELECT instrmnt_id, INTRST_RT_FLR FROM CD_LOAN_TAPES_BCE.LT002_INSTRUMENT WHERE ref_date='${ref_date}' AND nome_perimetro='Individual Corporativo' AND segmento='ESTR' AND ambito='PM' AND entidade='00100')X</v>
      </c>
      <c r="J315" s="34" t="str">
        <f>"(SELECT "&amp;VLOOKUP(B315,'0. Instruções'!$C$27:$G$32,4,FALSE)&amp;" AS "&amp;VLOOKUP(B315,'0. Instruções'!$C$27:$G$32,4,FALSE)&amp;"_SIMUL, "&amp;F315&amp;" AS "&amp;F315&amp;"_SIMUL FROM "&amp;E315&amp;" WHERE "&amp;'0. Instruções'!$D$43&amp;")Y"</f>
        <v>(SELECT instrmnt_id AS instrmnt_id_SIMUL, INTRST_RT_FLR AS INTRST_RT_FLR_SIMUL FROM BU_LOANTAPE_WORK.LT002_INSTRUMENT WHERE ref_date='${ref_date}' AND nome_perimetro='Individual Corporativo' AND segmento='ESTR' AND ambito='PM' AND entidade='00100')Y</v>
      </c>
      <c r="K315" s="35" t="str">
        <f>+UPPER("ON X."&amp;VLOOKUP(B315,'0. Instruções'!$C$27:$G$32,4,FALSE)&amp;"=Y."&amp;VLOOKUP(B315,'0. Instruções'!$C$27:$G$32,4,FALSE)&amp;"_SIMUL")</f>
        <v>ON X.INSTRMNT_ID=Y.INSTRMNT_ID_SIMUL</v>
      </c>
      <c r="L315" s="35" t="str">
        <f>+IF(C315="Coerência", +IF(LEFT(G315,5)="FLOAT","SELECT '"&amp;UPPER(B315)&amp;"' AS TABELA, '"&amp;UPPER(C315)&amp;"' AS TIPOLOGIA_TESTE,'"&amp;D315&amp;"' AS TABELA_LT,'"&amp;E315&amp;"' AS TABELA_SIMUL,'"&amp;F315&amp;"' AS CAMPO, "&amp;"'${ref_date}' AS REF_DATE, COUNT(*) AS NUM_REG, SUM(IF((ABS(COALESCE(CAST(X."&amp;F315&amp;" AS DECIMAL(18,6)),0)-COALESCE(CAST(Y."&amp;F315&amp;"_SIMUL AS DECIMAL(18,6)),0))&gt;0.000001) OR (X."&amp;F315&amp;" IS NULL AND Y."&amp;F315&amp;"_SIMUL IS NOT NULL ) OR (X."&amp;F315&amp;" IS NOT NULL AND Y."&amp;F315&amp;"_SIMUL IS NULL),1,0)) AS NUM_REG_DIF,'"&amp;MAX('ID1&amp;5'!K:K)+1&amp;"' AS ID_EXEC, CURRENT_TIMESTAMP() AS TIME_EXEC FROM "&amp;I315&amp;" INNER JOIN "&amp;J315&amp;" "&amp;K315,"SELECT '"&amp;UPPER(B315)&amp;"' AS TABELA, '"&amp;UPPER(C315)&amp;"' AS TIPOLOGIA_TESTE,'"&amp;D315&amp;"' AS TABELA_LT,'"&amp;E315&amp;"' AS TABELA_SIMUL,'"&amp;F315&amp;"' AS CAMPO, "&amp;"'${ref_date}' AS REF_DATE, COUNT(*) AS NUM_REG, SUM(IF(COALESCE(CAST(X."&amp;F315&amp;" AS STRING),'')&lt;&gt;COALESCE(CAST(Y."&amp;F315&amp;"_SIMUL AS STRING),'') OR (X."&amp;F315&amp;" IS NULL AND Y."&amp;F315&amp;"_SIMUL IS NOT NULL ) OR (X."&amp;F315&amp;" IS NOT NULL AND Y."&amp;F315&amp;"_SIMUL IS NULL),1,0)) AS NUM_REG_DIF,'"&amp;MAX('ID1&amp;5'!L:L)+1&amp;"' AS ID_EXEC, CURRENT_TIMESTAMP() AS TIME_EXEC FROM "&amp;I315&amp;" INNER JOIN "&amp;J315&amp;" "&amp;K315),
IF(C315="Validade",+IF(G315="Code List","SELECT '"&amp;UPPER(B315)&amp;"' AS TABELA, '"&amp;UPPER(C315)&amp;"' AS TIPOLOGIA_TESTE,'"&amp;D315&amp;"' AS TABELA_LT,'N/A' AS TABELA_SIMUL,'"&amp;F315&amp;"' AS CAMPO, "&amp;"'${ref_date}' AS REF_DATE, COUNT(*) AS NUM_REG, SUM(IF(TRIM(CAST(X."&amp;F315&amp;" AS STRING))='' OR TRIM(CAST(X."&amp;F315&amp;" AS STRING)) IS NULL OR CAST(X."&amp;F315&amp;" AS STRING) NOT "&amp;H315&amp;",1,0)) AS NUM_REG_DIF,'"&amp;MAX('ID1&amp;5'!K:K)+1&amp;"' AS ID_EXEC, CURRENT_TIMESTAMP() AS TIME_EXEC FROM "&amp;I315,"SELECT '"&amp;UPPER(B315)&amp;"' AS TABELA, '"&amp;UPPER(C315)&amp;"' AS TIPOLOGIA_TESTE,'"&amp;D315&amp;"' AS TABELA_LT,'N/A' AS TABELA_SIMUL,'"&amp;F315&amp;"' AS CAMPO, "&amp;"'${ref_date}' AS REF_DATE, COUNT(*) AS NUM_REG, SUM(IF(TRIM(CAST(X."&amp;F315&amp;" AS STRING))='' OR TRIM(CAST(X."&amp;F315&amp;" AS STRING)) IS NULL,1,0)) AS NUM_REG_DIF,'"&amp;MAX('ID1&amp;5'!K:K)+1&amp;"' AS ID_EXEC, CURRENT_TIMESTAMP() AS TIME_EXEC FROM "&amp;I315),
IF(C315="Caracteres Especiais",+"SELECT '"&amp;UPPER(B315)&amp;"' AS TABELA, '"&amp;UPPER(C315)&amp;"' AS TIPOLOGIA_TESTE,'"&amp;D315&amp;"' AS TABELA_LT,'N/A' AS TABELA_SIMUL,'"&amp;F315&amp;"' AS CAMPO, "&amp;"'${ref_date}' AS REF_DATE, COUNT(*) AS NUM_REG, SUM(IF(REGEXP_REPLACE(TRIM(CAST(X."&amp;F315&amp;" AS STRING)),'[^a-zA-Z0-9_\\s]','') &lt;&gt;TRIM(CAST(X."&amp;F315&amp;" AS STRING)),1,0)) AS NUM_REG_DIF,'"&amp;MAX('ID1&amp;5'!K:K)+1&amp;"' AS ID_EXEC, CURRENT_TIMESTAMP() AS TIME_EXEC FROM "&amp;I315,
IF(C315="Missings",+"SELECT '"&amp;UPPER(B315)&amp;"' AS TABELA, '"&amp;UPPER(C315)&amp;"' AS TIPOLOGIA_TESTE,'"&amp;D315&amp;"' AS TABELA_LT,'N/A' AS TABELA_SIMUL,'"&amp;F315&amp;"' AS CAMPO, "&amp;"'${ref_date}' AS REF_DATE, COUNT(*) AS NUM_REG, SUM(IF(TRIM(CAST(X."&amp;F315&amp;" AS STRING)) IN ('0000-00-00','0001-01-01','9999-12-31','MISS','00000','99999999999','99999999999.00','99999999999.000000'),1,0)) AS NUM_REG_DIF,'"&amp;MAX('ID1&amp;5'!K:K)+1&amp;"' AS ID_EXEC, CURRENT_TIMESTAMP() AS TIME_EXEC FROM "&amp;I315,
IF(C315="Not applicable",+"SELECT '"&amp;UPPER(B315)&amp;"' AS TABELA, '"&amp;UPPER(C315)&amp;"' AS TIPOLOGIA_TESTE,'"&amp;D315&amp;"' AS TABELA_LT,'N/A' AS TABELA_SIMUL,'"&amp;F315&amp;"' AS CAMPO, "&amp;"'${ref_date}' AS REF_DATE, COUNT(*) AS NUM_REG, SUM(IF(TRIM(CAST(X."&amp;F315&amp;" AS STRING)) IN ('N/A','11111111111','11111111111.00','11111111111.000000','1111-11-11'),1,0)) AS NUM_REG_DIF,'"&amp;MAX('ID1&amp;5'!K:K)+1&amp;"' AS ID_EXEC, CURRENT_TIMESTAMP() AS TIME_EXEC FROM "&amp;I315,
IF(C315="Valores extremos",+"SELECT '"&amp;UPPER(B315)&amp;"' AS TABELA, '"&amp;UPPER(C315)&amp;"' AS TIPOLOGIA_TESTE,'"&amp;D315&amp;"' AS TABELA_LT,'N/A' AS TABELA_SIMUL,'"&amp;F315&amp;"' AS CAMPO, "&amp;"'${ref_date}' AS REF_DATE, CAST(MIN("&amp;F315&amp;") AS STRING) AS VALOR_MIN, CAST(MAX("&amp;F315&amp;") AS STRING) AS VALOR_MAX,'"&amp;MAX('ID1&amp;5'!K:K)+1&amp;"' AS ID_EXEC, CURRENT_TIMESTAMP() AS TIME_EXEC FROM "&amp;MID(I315,1,LEN(I315)-2)&amp;" AND CAST("&amp;F315&amp;"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TABELA_SIMUL,'INTRST_RT_FLR' AS CAMPO, '${ref_date}' AS REF_DATE, COUNT(*) AS NUM_REG, SUM(IF(COALESCE(CAST(X.INTRST_RT_FLR AS STRING),'')&lt;&gt;COALESCE(CAST(Y.INTRST_RT_FLR_SIMUL AS STRING),'') OR (X.INTRST_RT_FLR IS NULL AND Y.INTRST_RT_FLR_SIMUL IS NOT NULL ) OR (X.INTRST_RT_FLR IS NOT NULL AND Y.INTRST_RT_FLR_SIMUL IS NULL),1,0)) AS NUM_REG_DIF,'1' AS ID_EXEC, CURRENT_TIMESTAMP() AS TIME_EXEC FROM (SELECT instrmnt_id, INTRST_RT_FLR FROM CD_LOAN_TAPES_BCE.LT002_INSTRUMENT WHERE ref_date='${ref_date}' AND nome_perimetro='Individual Corporativo' AND segmento='ESTR' AND ambito='PM' AND entidade='00100')X INNER JOIN (SELECT instrmnt_id AS instrmnt_id_SIMUL, INTRST_RT_FLR AS INTRST_RT_FLR_SIMUL FROM BU_LOANTAPE_WORK.LT002_INSTRUMENT WHERE ref_date='${ref_date}' AND nome_perimetro='Individual Corporativo' AND segmento='ESTR' AND ambito='PM' AND entidade='00100')Y ON X.INSTRMNT_ID=Y.INSTRMNT_ID_SIMUL</v>
      </c>
      <c r="M315" s="36" t="str">
        <f t="shared" si="5"/>
        <v>UNION ALL SELECT 'INSTRUMENT' AS TABELA, 'COERÊNCIA' AS TIPOLOGIA_TESTE,'CD_LOAN_TAPES_BCE.LT002_INSTRUMENT' AS TABELA_LT,'BU_LOANTAPE_WORK.LT002_INSTRUMENT' AS TABELA_SIMUL,'INTRST_RT_FLR' AS CAMPO, '${ref_date}' AS REF_DATE, COUNT(*) AS NUM_REG, SUM(IF(COALESCE(CAST(X.INTRST_RT_FLR AS STRING),'')&lt;&gt;COALESCE(CAST(Y.INTRST_RT_FLR_SIMUL AS STRING),'') OR (X.INTRST_RT_FLR IS NULL AND Y.INTRST_RT_FLR_SIMUL IS NOT NULL ) OR (X.INTRST_RT_FLR IS NOT NULL AND Y.INTRST_RT_FLR_SIMUL IS NULL),1,0)) AS NUM_REG_DIF,'1' AS ID_EXEC, CURRENT_TIMESTAMP() AS TIME_EXEC FROM (SELECT instrmnt_id, INTRST_RT_FLR FROM CD_LOAN_TAPES_BCE.LT002_INSTRUMENT WHERE ref_date='${ref_date}' AND nome_perimetro='Individual Corporativo' AND segmento='ESTR' AND ambito='PM' AND entidade='00100')X INNER JOIN (SELECT instrmnt_id AS instrmnt_id_SIMUL, INTRST_RT_FLR AS INTRST_RT_FLR_SIMUL FROM BU_LOANTAPE_WORK.LT002_INSTRUMENT WHERE ref_date='${ref_date}' AND nome_perimetro='Individual Corporativo' AND segmento='ESTR' AND ambito='PM' AND entidade='00100')Y ON X.INSTRMNT_ID=Y.INSTRMNT_ID_SIMUL</v>
      </c>
      <c r="N315" s="38" t="s">
        <v>46</v>
      </c>
    </row>
    <row r="316" spans="2:14" hidden="1">
      <c r="B316" s="34" t="s">
        <v>126</v>
      </c>
      <c r="C316" s="34" t="s">
        <v>5</v>
      </c>
      <c r="D316" s="34" t="str">
        <f>+UPPER('0. Instruções'!$D$35&amp;"."&amp;VLOOKUP(B316,'0. Instruções'!$C$27:$D$32,2,FALSE))</f>
        <v>CD_LOAN_TAPES_BCE.LT002_INSTRUMENT</v>
      </c>
      <c r="E316" s="34" t="str">
        <f>+UPPER('0. Instruções'!$D$36&amp;"."&amp;VLOOKUP(B316,'0. Instruções'!$C$27:$E$32,3,FALSE))</f>
        <v>BU_LOANTAPE_WORK.LT002_INSTRUMENT</v>
      </c>
      <c r="F316" s="92" t="s">
        <v>590</v>
      </c>
      <c r="G316" s="34"/>
      <c r="H316" s="34" t="s">
        <v>91</v>
      </c>
      <c r="I316" s="34" t="str">
        <f>"(SELECT "&amp;VLOOKUP(B316,'0. Instruções'!$C$27:$G$32,4,FALSE)&amp;", "&amp;F316&amp;" FROM "&amp;D316&amp;" WHERE "&amp;'0. Instruções'!$D$42&amp;")X"</f>
        <v>(SELECT instrmnt_id, NMNL_INTRST_RT_FEE FROM CD_LOAN_TAPES_BCE.LT002_INSTRUMENT WHERE ref_date='${ref_date}' AND nome_perimetro='Individual Corporativo' AND segmento='ESTR' AND ambito='PM' AND entidade='00100')X</v>
      </c>
      <c r="J316" s="34" t="str">
        <f>"(SELECT "&amp;VLOOKUP(B316,'0. Instruções'!$C$27:$G$32,4,FALSE)&amp;" AS "&amp;VLOOKUP(B316,'0. Instruções'!$C$27:$G$32,4,FALSE)&amp;"_SIMUL, "&amp;F316&amp;" AS "&amp;F316&amp;"_SIMUL FROM "&amp;E316&amp;" WHERE "&amp;'0. Instruções'!$D$43&amp;")Y"</f>
        <v>(SELECT instrmnt_id AS instrmnt_id_SIMUL, NMNL_INTRST_RT_FEE AS NMNL_INTRST_RT_FEE_SIMUL FROM BU_LOANTAPE_WORK.LT002_INSTRUMENT WHERE ref_date='${ref_date}' AND nome_perimetro='Individual Corporativo' AND segmento='ESTR' AND ambito='PM' AND entidade='00100')Y</v>
      </c>
      <c r="K316" s="35" t="str">
        <f>+UPPER("ON X."&amp;VLOOKUP(B316,'0. Instruções'!$C$27:$G$32,4,FALSE)&amp;"=Y."&amp;VLOOKUP(B316,'0. Instruções'!$C$27:$G$32,4,FALSE)&amp;"_SIMUL")</f>
        <v>ON X.INSTRMNT_ID=Y.INSTRMNT_ID_SIMUL</v>
      </c>
      <c r="L316" s="35" t="str">
        <f>+IF(C316="Coerência", +IF(LEFT(G316,5)="FLOAT","SELECT '"&amp;UPPER(B316)&amp;"' AS TABELA, '"&amp;UPPER(C316)&amp;"' AS TIPOLOGIA_TESTE,'"&amp;D316&amp;"' AS TABELA_LT,'"&amp;E316&amp;"' AS TABELA_SIMUL,'"&amp;F316&amp;"' AS CAMPO, "&amp;"'${ref_date}' AS REF_DATE, COUNT(*) AS NUM_REG, SUM(IF((ABS(COALESCE(CAST(X."&amp;F316&amp;" AS DECIMAL(18,6)),0)-COALESCE(CAST(Y."&amp;F316&amp;"_SIMUL AS DECIMAL(18,6)),0))&gt;0.000001) OR (X."&amp;F316&amp;" IS NULL AND Y."&amp;F316&amp;"_SIMUL IS NOT NULL ) OR (X."&amp;F316&amp;" IS NOT NULL AND Y."&amp;F316&amp;"_SIMUL IS NULL),1,0)) AS NUM_REG_DIF,'"&amp;MAX('ID1&amp;5'!K:K)+1&amp;"' AS ID_EXEC, CURRENT_TIMESTAMP() AS TIME_EXEC FROM "&amp;I316&amp;" INNER JOIN "&amp;J316&amp;" "&amp;K316,"SELECT '"&amp;UPPER(B316)&amp;"' AS TABELA, '"&amp;UPPER(C316)&amp;"' AS TIPOLOGIA_TESTE,'"&amp;D316&amp;"' AS TABELA_LT,'"&amp;E316&amp;"' AS TABELA_SIMUL,'"&amp;F316&amp;"' AS CAMPO, "&amp;"'${ref_date}' AS REF_DATE, COUNT(*) AS NUM_REG, SUM(IF(COALESCE(CAST(X."&amp;F316&amp;" AS STRING),'')&lt;&gt;COALESCE(CAST(Y."&amp;F316&amp;"_SIMUL AS STRING),'') OR (X."&amp;F316&amp;" IS NULL AND Y."&amp;F316&amp;"_SIMUL IS NOT NULL ) OR (X."&amp;F316&amp;" IS NOT NULL AND Y."&amp;F316&amp;"_SIMUL IS NULL),1,0)) AS NUM_REG_DIF,'"&amp;MAX('ID1&amp;5'!L:L)+1&amp;"' AS ID_EXEC, CURRENT_TIMESTAMP() AS TIME_EXEC FROM "&amp;I316&amp;" INNER JOIN "&amp;J316&amp;" "&amp;K316),
IF(C316="Validade",+IF(G316="Code List","SELECT '"&amp;UPPER(B316)&amp;"' AS TABELA, '"&amp;UPPER(C316)&amp;"' AS TIPOLOGIA_TESTE,'"&amp;D316&amp;"' AS TABELA_LT,'N/A' AS TABELA_SIMUL,'"&amp;F316&amp;"' AS CAMPO, "&amp;"'${ref_date}' AS REF_DATE, COUNT(*) AS NUM_REG, SUM(IF(TRIM(CAST(X."&amp;F316&amp;" AS STRING))='' OR TRIM(CAST(X."&amp;F316&amp;" AS STRING)) IS NULL OR CAST(X."&amp;F316&amp;" AS STRING) NOT "&amp;H316&amp;",1,0)) AS NUM_REG_DIF,'"&amp;MAX('ID1&amp;5'!K:K)+1&amp;"' AS ID_EXEC, CURRENT_TIMESTAMP() AS TIME_EXEC FROM "&amp;I316,"SELECT '"&amp;UPPER(B316)&amp;"' AS TABELA, '"&amp;UPPER(C316)&amp;"' AS TIPOLOGIA_TESTE,'"&amp;D316&amp;"' AS TABELA_LT,'N/A' AS TABELA_SIMUL,'"&amp;F316&amp;"' AS CAMPO, "&amp;"'${ref_date}' AS REF_DATE, COUNT(*) AS NUM_REG, SUM(IF(TRIM(CAST(X."&amp;F316&amp;" AS STRING))='' OR TRIM(CAST(X."&amp;F316&amp;" AS STRING)) IS NULL,1,0)) AS NUM_REG_DIF,'"&amp;MAX('ID1&amp;5'!K:K)+1&amp;"' AS ID_EXEC, CURRENT_TIMESTAMP() AS TIME_EXEC FROM "&amp;I316),
IF(C316="Caracteres Especiais",+"SELECT '"&amp;UPPER(B316)&amp;"' AS TABELA, '"&amp;UPPER(C316)&amp;"' AS TIPOLOGIA_TESTE,'"&amp;D316&amp;"' AS TABELA_LT,'N/A' AS TABELA_SIMUL,'"&amp;F316&amp;"' AS CAMPO, "&amp;"'${ref_date}' AS REF_DATE, COUNT(*) AS NUM_REG, SUM(IF(REGEXP_REPLACE(TRIM(CAST(X."&amp;F316&amp;" AS STRING)),'[^a-zA-Z0-9_\\s]','') &lt;&gt;TRIM(CAST(X."&amp;F316&amp;" AS STRING)),1,0)) AS NUM_REG_DIF,'"&amp;MAX('ID1&amp;5'!K:K)+1&amp;"' AS ID_EXEC, CURRENT_TIMESTAMP() AS TIME_EXEC FROM "&amp;I316,
IF(C316="Missings",+"SELECT '"&amp;UPPER(B316)&amp;"' AS TABELA, '"&amp;UPPER(C316)&amp;"' AS TIPOLOGIA_TESTE,'"&amp;D316&amp;"' AS TABELA_LT,'N/A' AS TABELA_SIMUL,'"&amp;F316&amp;"' AS CAMPO, "&amp;"'${ref_date}' AS REF_DATE, COUNT(*) AS NUM_REG, SUM(IF(TRIM(CAST(X."&amp;F316&amp;" AS STRING)) IN ('0000-00-00','0001-01-01','9999-12-31','MISS','00000','99999999999','99999999999.00','99999999999.000000'),1,0)) AS NUM_REG_DIF,'"&amp;MAX('ID1&amp;5'!K:K)+1&amp;"' AS ID_EXEC, CURRENT_TIMESTAMP() AS TIME_EXEC FROM "&amp;I316,
IF(C316="Not applicable",+"SELECT '"&amp;UPPER(B316)&amp;"' AS TABELA, '"&amp;UPPER(C316)&amp;"' AS TIPOLOGIA_TESTE,'"&amp;D316&amp;"' AS TABELA_LT,'N/A' AS TABELA_SIMUL,'"&amp;F316&amp;"' AS CAMPO, "&amp;"'${ref_date}' AS REF_DATE, COUNT(*) AS NUM_REG, SUM(IF(TRIM(CAST(X."&amp;F316&amp;" AS STRING)) IN ('N/A','11111111111','11111111111.00','11111111111.000000','1111-11-11'),1,0)) AS NUM_REG_DIF,'"&amp;MAX('ID1&amp;5'!K:K)+1&amp;"' AS ID_EXEC, CURRENT_TIMESTAMP() AS TIME_EXEC FROM "&amp;I316,
IF(C316="Valores extremos",+"SELECT '"&amp;UPPER(B316)&amp;"' AS TABELA, '"&amp;UPPER(C316)&amp;"' AS TIPOLOGIA_TESTE,'"&amp;D316&amp;"' AS TABELA_LT,'N/A' AS TABELA_SIMUL,'"&amp;F316&amp;"' AS CAMPO, "&amp;"'${ref_date}' AS REF_DATE, CAST(MIN("&amp;F316&amp;") AS STRING) AS VALOR_MIN, CAST(MAX("&amp;F316&amp;") AS STRING) AS VALOR_MAX,'"&amp;MAX('ID1&amp;5'!K:K)+1&amp;"' AS ID_EXEC, CURRENT_TIMESTAMP() AS TIME_EXEC FROM "&amp;MID(I316,1,LEN(I316)-2)&amp;" AND CAST("&amp;F316&amp;"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TABELA_SIMUL,'NMNL_INTRST_RT_FEE' AS CAMPO, '${ref_date}' AS REF_DATE, COUNT(*) AS NUM_REG, SUM(IF(COALESCE(CAST(X.NMNL_INTRST_RT_FEE AS STRING),'')&lt;&gt;COALESCE(CAST(Y.NMNL_INTRST_RT_FEE_SIMUL AS STRING),'') OR (X.NMNL_INTRST_RT_FEE IS NULL AND Y.NMNL_INTRST_RT_FEE_SIMUL IS NOT NULL ) OR (X.NMNL_INTRST_RT_FEE IS NOT NULL AND Y.NMNL_INTRST_RT_FEE_SIMUL IS NULL),1,0)) AS NUM_REG_DIF,'1' AS ID_EXEC, CURRENT_TIMESTAMP() AS TIME_EXEC FROM (SELECT instrmnt_id, NMNL_INTRST_RT_FEE FROM CD_LOAN_TAPES_BCE.LT002_INSTRUMENT WHERE ref_date='${ref_date}' AND nome_perimetro='Individual Corporativo' AND segmento='ESTR' AND ambito='PM' AND entidade='00100')X INNER JOIN (SELECT instrmnt_id AS instrmnt_id_SIMUL, NMNL_INTRST_RT_FEE AS NMNL_INTRST_RT_FEE_SIMUL FROM BU_LOANTAPE_WORK.LT002_INSTRUMENT WHERE ref_date='${ref_date}' AND nome_perimetro='Individual Corporativo' AND segmento='ESTR' AND ambito='PM' AND entidade='00100')Y ON X.INSTRMNT_ID=Y.INSTRMNT_ID_SIMUL</v>
      </c>
      <c r="M316" s="36" t="str">
        <f t="shared" si="5"/>
        <v>UNION ALL SELECT 'INSTRUMENT' AS TABELA, 'COERÊNCIA' AS TIPOLOGIA_TESTE,'CD_LOAN_TAPES_BCE.LT002_INSTRUMENT' AS TABELA_LT,'BU_LOANTAPE_WORK.LT002_INSTRUMENT' AS TABELA_SIMUL,'NMNL_INTRST_RT_FEE' AS CAMPO, '${ref_date}' AS REF_DATE, COUNT(*) AS NUM_REG, SUM(IF(COALESCE(CAST(X.NMNL_INTRST_RT_FEE AS STRING),'')&lt;&gt;COALESCE(CAST(Y.NMNL_INTRST_RT_FEE_SIMUL AS STRING),'') OR (X.NMNL_INTRST_RT_FEE IS NULL AND Y.NMNL_INTRST_RT_FEE_SIMUL IS NOT NULL ) OR (X.NMNL_INTRST_RT_FEE IS NOT NULL AND Y.NMNL_INTRST_RT_FEE_SIMUL IS NULL),1,0)) AS NUM_REG_DIF,'1' AS ID_EXEC, CURRENT_TIMESTAMP() AS TIME_EXEC FROM (SELECT instrmnt_id, NMNL_INTRST_RT_FEE FROM CD_LOAN_TAPES_BCE.LT002_INSTRUMENT WHERE ref_date='${ref_date}' AND nome_perimetro='Individual Corporativo' AND segmento='ESTR' AND ambito='PM' AND entidade='00100')X INNER JOIN (SELECT instrmnt_id AS instrmnt_id_SIMUL, NMNL_INTRST_RT_FEE AS NMNL_INTRST_RT_FEE_SIMUL FROM BU_LOANTAPE_WORK.LT002_INSTRUMENT WHERE ref_date='${ref_date}' AND nome_perimetro='Individual Corporativo' AND segmento='ESTR' AND ambito='PM' AND entidade='00100')Y ON X.INSTRMNT_ID=Y.INSTRMNT_ID_SIMUL</v>
      </c>
      <c r="N316" s="38" t="s">
        <v>46</v>
      </c>
    </row>
    <row r="317" spans="2:14" hidden="1">
      <c r="B317" s="34" t="s">
        <v>126</v>
      </c>
      <c r="C317" s="34" t="s">
        <v>5</v>
      </c>
      <c r="D317" s="34" t="str">
        <f>+UPPER('0. Instruções'!$D$35&amp;"."&amp;VLOOKUP(B317,'0. Instruções'!$C$27:$D$32,2,FALSE))</f>
        <v>CD_LOAN_TAPES_BCE.LT002_INSTRUMENT</v>
      </c>
      <c r="E317" s="34" t="str">
        <f>+UPPER('0. Instruções'!$D$36&amp;"."&amp;VLOOKUP(B317,'0. Instruções'!$C$27:$E$32,3,FALSE))</f>
        <v>BU_LOANTAPE_WORK.LT002_INSTRUMENT</v>
      </c>
      <c r="F317" s="92" t="s">
        <v>592</v>
      </c>
      <c r="G317" s="34"/>
      <c r="H317" s="34" t="s">
        <v>645</v>
      </c>
      <c r="I317" s="34" t="str">
        <f>"(SELECT "&amp;VLOOKUP(B317,'0. Instruções'!$C$27:$G$32,4,FALSE)&amp;", "&amp;F317&amp;" FROM "&amp;D317&amp;" WHERE "&amp;'0. Instruções'!$D$42&amp;")X"</f>
        <v>(SELECT instrmnt_id, DT_STTLMNT FROM CD_LOAN_TAPES_BCE.LT002_INSTRUMENT WHERE ref_date='${ref_date}' AND nome_perimetro='Individual Corporativo' AND segmento='ESTR' AND ambito='PM' AND entidade='00100')X</v>
      </c>
      <c r="J317" s="34" t="str">
        <f>"(SELECT "&amp;VLOOKUP(B317,'0. Instruções'!$C$27:$G$32,4,FALSE)&amp;" AS "&amp;VLOOKUP(B317,'0. Instruções'!$C$27:$G$32,4,FALSE)&amp;"_SIMUL, "&amp;F317&amp;" AS "&amp;F317&amp;"_SIMUL FROM "&amp;E317&amp;" WHERE "&amp;'0. Instruções'!$D$43&amp;")Y"</f>
        <v>(SELECT instrmnt_id AS instrmnt_id_SIMUL, DT_STTLMNT AS DT_STTLMNT_SIMUL FROM BU_LOANTAPE_WORK.LT002_INSTRUMENT WHERE ref_date='${ref_date}' AND nome_perimetro='Individual Corporativo' AND segmento='ESTR' AND ambito='PM' AND entidade='00100')Y</v>
      </c>
      <c r="K317" s="35" t="str">
        <f>+UPPER("ON X."&amp;VLOOKUP(B317,'0. Instruções'!$C$27:$G$32,4,FALSE)&amp;"=Y."&amp;VLOOKUP(B317,'0. Instruções'!$C$27:$G$32,4,FALSE)&amp;"_SIMUL")</f>
        <v>ON X.INSTRMNT_ID=Y.INSTRMNT_ID_SIMUL</v>
      </c>
      <c r="L317" s="35" t="str">
        <f>+IF(C317="Coerência", +IF(LEFT(G317,5)="FLOAT","SELECT '"&amp;UPPER(B317)&amp;"' AS TABELA, '"&amp;UPPER(C317)&amp;"' AS TIPOLOGIA_TESTE,'"&amp;D317&amp;"' AS TABELA_LT,'"&amp;E317&amp;"' AS TABELA_SIMUL,'"&amp;F317&amp;"' AS CAMPO, "&amp;"'${ref_date}' AS REF_DATE, COUNT(*) AS NUM_REG, SUM(IF((ABS(COALESCE(CAST(X."&amp;F317&amp;" AS DECIMAL(18,6)),0)-COALESCE(CAST(Y."&amp;F317&amp;"_SIMUL AS DECIMAL(18,6)),0))&gt;0.000001) OR (X."&amp;F317&amp;" IS NULL AND Y."&amp;F317&amp;"_SIMUL IS NOT NULL ) OR (X."&amp;F317&amp;" IS NOT NULL AND Y."&amp;F317&amp;"_SIMUL IS NULL),1,0)) AS NUM_REG_DIF,'"&amp;MAX('ID1&amp;5'!K:K)+1&amp;"' AS ID_EXEC, CURRENT_TIMESTAMP() AS TIME_EXEC FROM "&amp;I317&amp;" INNER JOIN "&amp;J317&amp;" "&amp;K317,"SELECT '"&amp;UPPER(B317)&amp;"' AS TABELA, '"&amp;UPPER(C317)&amp;"' AS TIPOLOGIA_TESTE,'"&amp;D317&amp;"' AS TABELA_LT,'"&amp;E317&amp;"' AS TABELA_SIMUL,'"&amp;F317&amp;"' AS CAMPO, "&amp;"'${ref_date}' AS REF_DATE, COUNT(*) AS NUM_REG, SUM(IF(COALESCE(CAST(X."&amp;F317&amp;" AS STRING),'')&lt;&gt;COALESCE(CAST(Y."&amp;F317&amp;"_SIMUL AS STRING),'') OR (X."&amp;F317&amp;" IS NULL AND Y."&amp;F317&amp;"_SIMUL IS NOT NULL ) OR (X."&amp;F317&amp;" IS NOT NULL AND Y."&amp;F317&amp;"_SIMUL IS NULL),1,0)) AS NUM_REG_DIF,'"&amp;MAX('ID1&amp;5'!L:L)+1&amp;"' AS ID_EXEC, CURRENT_TIMESTAMP() AS TIME_EXEC FROM "&amp;I317&amp;" INNER JOIN "&amp;J317&amp;" "&amp;K317),
IF(C317="Validade",+IF(G317="Code List","SELECT '"&amp;UPPER(B317)&amp;"' AS TABELA, '"&amp;UPPER(C317)&amp;"' AS TIPOLOGIA_TESTE,'"&amp;D317&amp;"' AS TABELA_LT,'N/A' AS TABELA_SIMUL,'"&amp;F317&amp;"' AS CAMPO, "&amp;"'${ref_date}' AS REF_DATE, COUNT(*) AS NUM_REG, SUM(IF(TRIM(CAST(X."&amp;F317&amp;" AS STRING))='' OR TRIM(CAST(X."&amp;F317&amp;" AS STRING)) IS NULL OR CAST(X."&amp;F317&amp;" AS STRING) NOT "&amp;H317&amp;",1,0)) AS NUM_REG_DIF,'"&amp;MAX('ID1&amp;5'!K:K)+1&amp;"' AS ID_EXEC, CURRENT_TIMESTAMP() AS TIME_EXEC FROM "&amp;I317,"SELECT '"&amp;UPPER(B317)&amp;"' AS TABELA, '"&amp;UPPER(C317)&amp;"' AS TIPOLOGIA_TESTE,'"&amp;D317&amp;"' AS TABELA_LT,'N/A' AS TABELA_SIMUL,'"&amp;F317&amp;"' AS CAMPO, "&amp;"'${ref_date}' AS REF_DATE, COUNT(*) AS NUM_REG, SUM(IF(TRIM(CAST(X."&amp;F317&amp;" AS STRING))='' OR TRIM(CAST(X."&amp;F317&amp;" AS STRING)) IS NULL,1,0)) AS NUM_REG_DIF,'"&amp;MAX('ID1&amp;5'!K:K)+1&amp;"' AS ID_EXEC, CURRENT_TIMESTAMP() AS TIME_EXEC FROM "&amp;I317),
IF(C317="Caracteres Especiais",+"SELECT '"&amp;UPPER(B317)&amp;"' AS TABELA, '"&amp;UPPER(C317)&amp;"' AS TIPOLOGIA_TESTE,'"&amp;D317&amp;"' AS TABELA_LT,'N/A' AS TABELA_SIMUL,'"&amp;F317&amp;"' AS CAMPO, "&amp;"'${ref_date}' AS REF_DATE, COUNT(*) AS NUM_REG, SUM(IF(REGEXP_REPLACE(TRIM(CAST(X."&amp;F317&amp;" AS STRING)),'[^a-zA-Z0-9_\\s]','') &lt;&gt;TRIM(CAST(X."&amp;F317&amp;" AS STRING)),1,0)) AS NUM_REG_DIF,'"&amp;MAX('ID1&amp;5'!K:K)+1&amp;"' AS ID_EXEC, CURRENT_TIMESTAMP() AS TIME_EXEC FROM "&amp;I317,
IF(C317="Missings",+"SELECT '"&amp;UPPER(B317)&amp;"' AS TABELA, '"&amp;UPPER(C317)&amp;"' AS TIPOLOGIA_TESTE,'"&amp;D317&amp;"' AS TABELA_LT,'N/A' AS TABELA_SIMUL,'"&amp;F317&amp;"' AS CAMPO, "&amp;"'${ref_date}' AS REF_DATE, COUNT(*) AS NUM_REG, SUM(IF(TRIM(CAST(X."&amp;F317&amp;" AS STRING)) IN ('0000-00-00','0001-01-01','9999-12-31','MISS','00000','99999999999','99999999999.00','99999999999.000000'),1,0)) AS NUM_REG_DIF,'"&amp;MAX('ID1&amp;5'!K:K)+1&amp;"' AS ID_EXEC, CURRENT_TIMESTAMP() AS TIME_EXEC FROM "&amp;I317,
IF(C317="Not applicable",+"SELECT '"&amp;UPPER(B317)&amp;"' AS TABELA, '"&amp;UPPER(C317)&amp;"' AS TIPOLOGIA_TESTE,'"&amp;D317&amp;"' AS TABELA_LT,'N/A' AS TABELA_SIMUL,'"&amp;F317&amp;"' AS CAMPO, "&amp;"'${ref_date}' AS REF_DATE, COUNT(*) AS NUM_REG, SUM(IF(TRIM(CAST(X."&amp;F317&amp;" AS STRING)) IN ('N/A','11111111111','11111111111.00','11111111111.000000','1111-11-11'),1,0)) AS NUM_REG_DIF,'"&amp;MAX('ID1&amp;5'!K:K)+1&amp;"' AS ID_EXEC, CURRENT_TIMESTAMP() AS TIME_EXEC FROM "&amp;I317,
IF(C317="Valores extremos",+"SELECT '"&amp;UPPER(B317)&amp;"' AS TABELA, '"&amp;UPPER(C317)&amp;"' AS TIPOLOGIA_TESTE,'"&amp;D317&amp;"' AS TABELA_LT,'N/A' AS TABELA_SIMUL,'"&amp;F317&amp;"' AS CAMPO, "&amp;"'${ref_date}' AS REF_DATE, CAST(MIN("&amp;F317&amp;") AS STRING) AS VALOR_MIN, CAST(MAX("&amp;F317&amp;") AS STRING) AS VALOR_MAX,'"&amp;MAX('ID1&amp;5'!K:K)+1&amp;"' AS ID_EXEC, CURRENT_TIMESTAMP() AS TIME_EXEC FROM "&amp;MID(I317,1,LEN(I317)-2)&amp;" AND CAST("&amp;F317&amp;"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TABELA_SIMUL,'DT_STTLMNT' AS CAMPO, '${ref_date}' AS REF_DATE, COUNT(*) AS NUM_REG, SUM(IF(COALESCE(CAST(X.DT_STTLMNT AS STRING),'')&lt;&gt;COALESCE(CAST(Y.DT_STTLMNT_SIMUL AS STRING),'') OR (X.DT_STTLMNT IS NULL AND Y.DT_STTLMNT_SIMUL IS NOT NULL ) OR (X.DT_STTLMNT IS NOT NULL AND Y.DT_STTLMNT_SIMUL IS NULL),1,0)) AS NUM_REG_DIF,'1' AS ID_EXEC, CURRENT_TIMESTAMP() AS TIME_EXEC FROM (SELECT instrmnt_id, DT_STTLMNT FROM CD_LOAN_TAPES_BCE.LT002_INSTRUMENT WHERE ref_date='${ref_date}' AND nome_perimetro='Individual Corporativo' AND segmento='ESTR' AND ambito='PM' AND entidade='00100')X INNER JOIN (SELECT instrmnt_id AS instrmnt_id_SIMUL, DT_STTLMNT AS DT_STTLMNT_SIMUL FROM BU_LOANTAPE_WORK.LT002_INSTRUMENT WHERE ref_date='${ref_date}' AND nome_perimetro='Individual Corporativo' AND segmento='ESTR' AND ambito='PM' AND entidade='00100')Y ON X.INSTRMNT_ID=Y.INSTRMNT_ID_SIMUL</v>
      </c>
      <c r="M317" s="36" t="str">
        <f t="shared" si="5"/>
        <v>UNION ALL SELECT 'INSTRUMENT' AS TABELA, 'COERÊNCIA' AS TIPOLOGIA_TESTE,'CD_LOAN_TAPES_BCE.LT002_INSTRUMENT' AS TABELA_LT,'BU_LOANTAPE_WORK.LT002_INSTRUMENT' AS TABELA_SIMUL,'DT_STTLMNT' AS CAMPO, '${ref_date}' AS REF_DATE, COUNT(*) AS NUM_REG, SUM(IF(COALESCE(CAST(X.DT_STTLMNT AS STRING),'')&lt;&gt;COALESCE(CAST(Y.DT_STTLMNT_SIMUL AS STRING),'') OR (X.DT_STTLMNT IS NULL AND Y.DT_STTLMNT_SIMUL IS NOT NULL ) OR (X.DT_STTLMNT IS NOT NULL AND Y.DT_STTLMNT_SIMUL IS NULL),1,0)) AS NUM_REG_DIF,'1' AS ID_EXEC, CURRENT_TIMESTAMP() AS TIME_EXEC FROM (SELECT instrmnt_id, DT_STTLMNT FROM CD_LOAN_TAPES_BCE.LT002_INSTRUMENT WHERE ref_date='${ref_date}' AND nome_perimetro='Individual Corporativo' AND segmento='ESTR' AND ambito='PM' AND entidade='00100')X INNER JOIN (SELECT instrmnt_id AS instrmnt_id_SIMUL, DT_STTLMNT AS DT_STTLMNT_SIMUL FROM BU_LOANTAPE_WORK.LT002_INSTRUMENT WHERE ref_date='${ref_date}' AND nome_perimetro='Individual Corporativo' AND segmento='ESTR' AND ambito='PM' AND entidade='00100')Y ON X.INSTRMNT_ID=Y.INSTRMNT_ID_SIMUL</v>
      </c>
      <c r="N317" s="38" t="s">
        <v>46</v>
      </c>
    </row>
    <row r="318" spans="2:14" hidden="1">
      <c r="B318" s="34" t="s">
        <v>126</v>
      </c>
      <c r="C318" s="34" t="s">
        <v>5</v>
      </c>
      <c r="D318" s="34" t="str">
        <f>+UPPER('0. Instruções'!$D$35&amp;"."&amp;VLOOKUP(B318,'0. Instruções'!$C$27:$D$32,2,FALSE))</f>
        <v>CD_LOAN_TAPES_BCE.LT002_INSTRUMENT</v>
      </c>
      <c r="E318" s="34" t="str">
        <f>+UPPER('0. Instruções'!$D$36&amp;"."&amp;VLOOKUP(B318,'0. Instruções'!$C$27:$E$32,3,FALSE))</f>
        <v>BU_LOANTAPE_WORK.LT002_INSTRUMENT</v>
      </c>
      <c r="F318" s="92" t="s">
        <v>593</v>
      </c>
      <c r="G318" s="34"/>
      <c r="H318" s="34" t="s">
        <v>92</v>
      </c>
      <c r="I318" s="34" t="str">
        <f>"(SELECT "&amp;VLOOKUP(B318,'0. Instruções'!$C$27:$G$32,4,FALSE)&amp;", "&amp;F318&amp;" FROM "&amp;D318&amp;" WHERE "&amp;'0. Instruções'!$D$42&amp;")X"</f>
        <v>(SELECT instrmnt_id, TRNSFRRD_AMNT FROM CD_LOAN_TAPES_BCE.LT002_INSTRUMENT WHERE ref_date='${ref_date}' AND nome_perimetro='Individual Corporativo' AND segmento='ESTR' AND ambito='PM' AND entidade='00100')X</v>
      </c>
      <c r="J318" s="34" t="str">
        <f>"(SELECT "&amp;VLOOKUP(B318,'0. Instruções'!$C$27:$G$32,4,FALSE)&amp;" AS "&amp;VLOOKUP(B318,'0. Instruções'!$C$27:$G$32,4,FALSE)&amp;"_SIMUL, "&amp;F318&amp;" AS "&amp;F318&amp;"_SIMUL FROM "&amp;E318&amp;" WHERE "&amp;'0. Instruções'!$D$43&amp;")Y"</f>
        <v>(SELECT instrmnt_id AS instrmnt_id_SIMUL, TRNSFRRD_AMNT AS TRNSFRRD_AMNT_SIMUL FROM BU_LOANTAPE_WORK.LT002_INSTRUMENT WHERE ref_date='${ref_date}' AND nome_perimetro='Individual Corporativo' AND segmento='ESTR' AND ambito='PM' AND entidade='00100')Y</v>
      </c>
      <c r="K318" s="35" t="str">
        <f>+UPPER("ON X."&amp;VLOOKUP(B318,'0. Instruções'!$C$27:$G$32,4,FALSE)&amp;"=Y."&amp;VLOOKUP(B318,'0. Instruções'!$C$27:$G$32,4,FALSE)&amp;"_SIMUL")</f>
        <v>ON X.INSTRMNT_ID=Y.INSTRMNT_ID_SIMUL</v>
      </c>
      <c r="L318" s="35" t="str">
        <f>+IF(C318="Coerência", +IF(LEFT(G318,5)="FLOAT","SELECT '"&amp;UPPER(B318)&amp;"' AS TABELA, '"&amp;UPPER(C318)&amp;"' AS TIPOLOGIA_TESTE,'"&amp;D318&amp;"' AS TABELA_LT,'"&amp;E318&amp;"' AS TABELA_SIMUL,'"&amp;F318&amp;"' AS CAMPO, "&amp;"'${ref_date}' AS REF_DATE, COUNT(*) AS NUM_REG, SUM(IF((ABS(COALESCE(CAST(X."&amp;F318&amp;" AS DECIMAL(18,6)),0)-COALESCE(CAST(Y."&amp;F318&amp;"_SIMUL AS DECIMAL(18,6)),0))&gt;0.000001) OR (X."&amp;F318&amp;" IS NULL AND Y."&amp;F318&amp;"_SIMUL IS NOT NULL ) OR (X."&amp;F318&amp;" IS NOT NULL AND Y."&amp;F318&amp;"_SIMUL IS NULL),1,0)) AS NUM_REG_DIF,'"&amp;MAX('ID1&amp;5'!K:K)+1&amp;"' AS ID_EXEC, CURRENT_TIMESTAMP() AS TIME_EXEC FROM "&amp;I318&amp;" INNER JOIN "&amp;J318&amp;" "&amp;K318,"SELECT '"&amp;UPPER(B318)&amp;"' AS TABELA, '"&amp;UPPER(C318)&amp;"' AS TIPOLOGIA_TESTE,'"&amp;D318&amp;"' AS TABELA_LT,'"&amp;E318&amp;"' AS TABELA_SIMUL,'"&amp;F318&amp;"' AS CAMPO, "&amp;"'${ref_date}' AS REF_DATE, COUNT(*) AS NUM_REG, SUM(IF(COALESCE(CAST(X."&amp;F318&amp;" AS STRING),'')&lt;&gt;COALESCE(CAST(Y."&amp;F318&amp;"_SIMUL AS STRING),'') OR (X."&amp;F318&amp;" IS NULL AND Y."&amp;F318&amp;"_SIMUL IS NOT NULL ) OR (X."&amp;F318&amp;" IS NOT NULL AND Y."&amp;F318&amp;"_SIMUL IS NULL),1,0)) AS NUM_REG_DIF,'"&amp;MAX('ID1&amp;5'!L:L)+1&amp;"' AS ID_EXEC, CURRENT_TIMESTAMP() AS TIME_EXEC FROM "&amp;I318&amp;" INNER JOIN "&amp;J318&amp;" "&amp;K318),
IF(C318="Validade",+IF(G318="Code List","SELECT '"&amp;UPPER(B318)&amp;"' AS TABELA, '"&amp;UPPER(C318)&amp;"' AS TIPOLOGIA_TESTE,'"&amp;D318&amp;"' AS TABELA_LT,'N/A' AS TABELA_SIMUL,'"&amp;F318&amp;"' AS CAMPO, "&amp;"'${ref_date}' AS REF_DATE, COUNT(*) AS NUM_REG, SUM(IF(TRIM(CAST(X."&amp;F318&amp;" AS STRING))='' OR TRIM(CAST(X."&amp;F318&amp;" AS STRING)) IS NULL OR CAST(X."&amp;F318&amp;" AS STRING) NOT "&amp;H318&amp;",1,0)) AS NUM_REG_DIF,'"&amp;MAX('ID1&amp;5'!K:K)+1&amp;"' AS ID_EXEC, CURRENT_TIMESTAMP() AS TIME_EXEC FROM "&amp;I318,"SELECT '"&amp;UPPER(B318)&amp;"' AS TABELA, '"&amp;UPPER(C318)&amp;"' AS TIPOLOGIA_TESTE,'"&amp;D318&amp;"' AS TABELA_LT,'N/A' AS TABELA_SIMUL,'"&amp;F318&amp;"' AS CAMPO, "&amp;"'${ref_date}' AS REF_DATE, COUNT(*) AS NUM_REG, SUM(IF(TRIM(CAST(X."&amp;F318&amp;" AS STRING))='' OR TRIM(CAST(X."&amp;F318&amp;" AS STRING)) IS NULL,1,0)) AS NUM_REG_DIF,'"&amp;MAX('ID1&amp;5'!K:K)+1&amp;"' AS ID_EXEC, CURRENT_TIMESTAMP() AS TIME_EXEC FROM "&amp;I318),
IF(C318="Caracteres Especiais",+"SELECT '"&amp;UPPER(B318)&amp;"' AS TABELA, '"&amp;UPPER(C318)&amp;"' AS TIPOLOGIA_TESTE,'"&amp;D318&amp;"' AS TABELA_LT,'N/A' AS TABELA_SIMUL,'"&amp;F318&amp;"' AS CAMPO, "&amp;"'${ref_date}' AS REF_DATE, COUNT(*) AS NUM_REG, SUM(IF(REGEXP_REPLACE(TRIM(CAST(X."&amp;F318&amp;" AS STRING)),'[^a-zA-Z0-9_\\s]','') &lt;&gt;TRIM(CAST(X."&amp;F318&amp;" AS STRING)),1,0)) AS NUM_REG_DIF,'"&amp;MAX('ID1&amp;5'!K:K)+1&amp;"' AS ID_EXEC, CURRENT_TIMESTAMP() AS TIME_EXEC FROM "&amp;I318,
IF(C318="Missings",+"SELECT '"&amp;UPPER(B318)&amp;"' AS TABELA, '"&amp;UPPER(C318)&amp;"' AS TIPOLOGIA_TESTE,'"&amp;D318&amp;"' AS TABELA_LT,'N/A' AS TABELA_SIMUL,'"&amp;F318&amp;"' AS CAMPO, "&amp;"'${ref_date}' AS REF_DATE, COUNT(*) AS NUM_REG, SUM(IF(TRIM(CAST(X."&amp;F318&amp;" AS STRING)) IN ('0000-00-00','0001-01-01','9999-12-31','MISS','00000','99999999999','99999999999.00','99999999999.000000'),1,0)) AS NUM_REG_DIF,'"&amp;MAX('ID1&amp;5'!K:K)+1&amp;"' AS ID_EXEC, CURRENT_TIMESTAMP() AS TIME_EXEC FROM "&amp;I318,
IF(C318="Not applicable",+"SELECT '"&amp;UPPER(B318)&amp;"' AS TABELA, '"&amp;UPPER(C318)&amp;"' AS TIPOLOGIA_TESTE,'"&amp;D318&amp;"' AS TABELA_LT,'N/A' AS TABELA_SIMUL,'"&amp;F318&amp;"' AS CAMPO, "&amp;"'${ref_date}' AS REF_DATE, COUNT(*) AS NUM_REG, SUM(IF(TRIM(CAST(X."&amp;F318&amp;" AS STRING)) IN ('N/A','11111111111','11111111111.00','11111111111.000000','1111-11-11'),1,0)) AS NUM_REG_DIF,'"&amp;MAX('ID1&amp;5'!K:K)+1&amp;"' AS ID_EXEC, CURRENT_TIMESTAMP() AS TIME_EXEC FROM "&amp;I318,
IF(C318="Valores extremos",+"SELECT '"&amp;UPPER(B318)&amp;"' AS TABELA, '"&amp;UPPER(C318)&amp;"' AS TIPOLOGIA_TESTE,'"&amp;D318&amp;"' AS TABELA_LT,'N/A' AS TABELA_SIMUL,'"&amp;F318&amp;"' AS CAMPO, "&amp;"'${ref_date}' AS REF_DATE, CAST(MIN("&amp;F318&amp;") AS STRING) AS VALOR_MIN, CAST(MAX("&amp;F318&amp;") AS STRING) AS VALOR_MAX,'"&amp;MAX('ID1&amp;5'!K:K)+1&amp;"' AS ID_EXEC, CURRENT_TIMESTAMP() AS TIME_EXEC FROM "&amp;MID(I318,1,LEN(I318)-2)&amp;" AND CAST("&amp;F318&amp;"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TABELA_SIMUL,'TRNSFRRD_AMNT' AS CAMPO, '${ref_date}' AS REF_DATE, COUNT(*) AS NUM_REG, SUM(IF(COALESCE(CAST(X.TRNSFRRD_AMNT AS STRING),'')&lt;&gt;COALESCE(CAST(Y.TRNSFRRD_AMNT_SIMUL AS STRING),'') OR (X.TRNSFRRD_AMNT IS NULL AND Y.TRNSFRRD_AMNT_SIMUL IS NOT NULL ) OR (X.TRNSFRRD_AMNT IS NOT NULL AND Y.TRNSFRRD_AMNT_SIMUL IS NULL),1,0)) AS NUM_REG_DIF,'1' AS ID_EXEC, CURRENT_TIMESTAMP() AS TIME_EXEC FROM (SELECT instrmnt_id, TRNSFRRD_AMNT FROM CD_LOAN_TAPES_BCE.LT002_INSTRUMENT WHERE ref_date='${ref_date}' AND nome_perimetro='Individual Corporativo' AND segmento='ESTR' AND ambito='PM' AND entidade='00100')X INNER JOIN (SELECT instrmnt_id AS instrmnt_id_SIMUL, TRNSFRRD_AMNT AS TRNSFRRD_AMNT_SIMUL FROM BU_LOANTAPE_WORK.LT002_INSTRUMENT WHERE ref_date='${ref_date}' AND nome_perimetro='Individual Corporativo' AND segmento='ESTR' AND ambito='PM' AND entidade='00100')Y ON X.INSTRMNT_ID=Y.INSTRMNT_ID_SIMUL</v>
      </c>
      <c r="M318" s="36" t="str">
        <f t="shared" si="5"/>
        <v>UNION ALL SELECT 'INSTRUMENT' AS TABELA, 'COERÊNCIA' AS TIPOLOGIA_TESTE,'CD_LOAN_TAPES_BCE.LT002_INSTRUMENT' AS TABELA_LT,'BU_LOANTAPE_WORK.LT002_INSTRUMENT' AS TABELA_SIMUL,'TRNSFRRD_AMNT' AS CAMPO, '${ref_date}' AS REF_DATE, COUNT(*) AS NUM_REG, SUM(IF(COALESCE(CAST(X.TRNSFRRD_AMNT AS STRING),'')&lt;&gt;COALESCE(CAST(Y.TRNSFRRD_AMNT_SIMUL AS STRING),'') OR (X.TRNSFRRD_AMNT IS NULL AND Y.TRNSFRRD_AMNT_SIMUL IS NOT NULL ) OR (X.TRNSFRRD_AMNT IS NOT NULL AND Y.TRNSFRRD_AMNT_SIMUL IS NULL),1,0)) AS NUM_REG_DIF,'1' AS ID_EXEC, CURRENT_TIMESTAMP() AS TIME_EXEC FROM (SELECT instrmnt_id, TRNSFRRD_AMNT FROM CD_LOAN_TAPES_BCE.LT002_INSTRUMENT WHERE ref_date='${ref_date}' AND nome_perimetro='Individual Corporativo' AND segmento='ESTR' AND ambito='PM' AND entidade='00100')X INNER JOIN (SELECT instrmnt_id AS instrmnt_id_SIMUL, TRNSFRRD_AMNT AS TRNSFRRD_AMNT_SIMUL FROM BU_LOANTAPE_WORK.LT002_INSTRUMENT WHERE ref_date='${ref_date}' AND nome_perimetro='Individual Corporativo' AND segmento='ESTR' AND ambito='PM' AND entidade='00100')Y ON X.INSTRMNT_ID=Y.INSTRMNT_ID_SIMUL</v>
      </c>
      <c r="N318" s="38" t="s">
        <v>46</v>
      </c>
    </row>
    <row r="319" spans="2:14" hidden="1">
      <c r="B319" s="34" t="s">
        <v>126</v>
      </c>
      <c r="C319" s="34" t="s">
        <v>5</v>
      </c>
      <c r="D319" s="34" t="str">
        <f>+UPPER('0. Instruções'!$D$35&amp;"."&amp;VLOOKUP(B319,'0. Instruções'!$C$27:$D$32,2,FALSE))</f>
        <v>CD_LOAN_TAPES_BCE.LT002_INSTRUMENT</v>
      </c>
      <c r="E319" s="34" t="str">
        <f>+UPPER('0. Instruções'!$D$36&amp;"."&amp;VLOOKUP(B319,'0. Instruções'!$C$27:$E$32,3,FALSE))</f>
        <v>BU_LOANTAPE_WORK.LT002_INSTRUMENT</v>
      </c>
      <c r="F319" s="92" t="s">
        <v>594</v>
      </c>
      <c r="G319" s="34"/>
      <c r="H319" s="34" t="s">
        <v>89</v>
      </c>
      <c r="I319" s="34" t="str">
        <f>"(SELECT "&amp;VLOOKUP(B319,'0. Instruções'!$C$27:$G$32,4,FALSE)&amp;", "&amp;F319&amp;" FROM "&amp;D319&amp;" WHERE "&amp;'0. Instruções'!$D$42&amp;")X"</f>
        <v>(SELECT instrmnt_id, TYP_SCRTZTN FROM CD_LOAN_TAPES_BCE.LT002_INSTRUMENT WHERE ref_date='${ref_date}' AND nome_perimetro='Individual Corporativo' AND segmento='ESTR' AND ambito='PM' AND entidade='00100')X</v>
      </c>
      <c r="J319" s="34" t="str">
        <f>"(SELECT "&amp;VLOOKUP(B319,'0. Instruções'!$C$27:$G$32,4,FALSE)&amp;" AS "&amp;VLOOKUP(B319,'0. Instruções'!$C$27:$G$32,4,FALSE)&amp;"_SIMUL, "&amp;F319&amp;" AS "&amp;F319&amp;"_SIMUL FROM "&amp;E319&amp;" WHERE "&amp;'0. Instruções'!$D$43&amp;")Y"</f>
        <v>(SELECT instrmnt_id AS instrmnt_id_SIMUL, TYP_SCRTZTN AS TYP_SCRTZTN_SIMUL FROM BU_LOANTAPE_WORK.LT002_INSTRUMENT WHERE ref_date='${ref_date}' AND nome_perimetro='Individual Corporativo' AND segmento='ESTR' AND ambito='PM' AND entidade='00100')Y</v>
      </c>
      <c r="K319" s="35" t="str">
        <f>+UPPER("ON X."&amp;VLOOKUP(B319,'0. Instruções'!$C$27:$G$32,4,FALSE)&amp;"=Y."&amp;VLOOKUP(B319,'0. Instruções'!$C$27:$G$32,4,FALSE)&amp;"_SIMUL")</f>
        <v>ON X.INSTRMNT_ID=Y.INSTRMNT_ID_SIMUL</v>
      </c>
      <c r="L319" s="35" t="str">
        <f>+IF(C319="Coerência", +IF(LEFT(G319,5)="FLOAT","SELECT '"&amp;UPPER(B319)&amp;"' AS TABELA, '"&amp;UPPER(C319)&amp;"' AS TIPOLOGIA_TESTE,'"&amp;D319&amp;"' AS TABELA_LT,'"&amp;E319&amp;"' AS TABELA_SIMUL,'"&amp;F319&amp;"' AS CAMPO, "&amp;"'${ref_date}' AS REF_DATE, COUNT(*) AS NUM_REG, SUM(IF((ABS(COALESCE(CAST(X."&amp;F319&amp;" AS DECIMAL(18,6)),0)-COALESCE(CAST(Y."&amp;F319&amp;"_SIMUL AS DECIMAL(18,6)),0))&gt;0.000001) OR (X."&amp;F319&amp;" IS NULL AND Y."&amp;F319&amp;"_SIMUL IS NOT NULL ) OR (X."&amp;F319&amp;" IS NOT NULL AND Y."&amp;F319&amp;"_SIMUL IS NULL),1,0)) AS NUM_REG_DIF,'"&amp;MAX('ID1&amp;5'!K:K)+1&amp;"' AS ID_EXEC, CURRENT_TIMESTAMP() AS TIME_EXEC FROM "&amp;I319&amp;" INNER JOIN "&amp;J319&amp;" "&amp;K319,"SELECT '"&amp;UPPER(B319)&amp;"' AS TABELA, '"&amp;UPPER(C319)&amp;"' AS TIPOLOGIA_TESTE,'"&amp;D319&amp;"' AS TABELA_LT,'"&amp;E319&amp;"' AS TABELA_SIMUL,'"&amp;F319&amp;"' AS CAMPO, "&amp;"'${ref_date}' AS REF_DATE, COUNT(*) AS NUM_REG, SUM(IF(COALESCE(CAST(X."&amp;F319&amp;" AS STRING),'')&lt;&gt;COALESCE(CAST(Y."&amp;F319&amp;"_SIMUL AS STRING),'') OR (X."&amp;F319&amp;" IS NULL AND Y."&amp;F319&amp;"_SIMUL IS NOT NULL ) OR (X."&amp;F319&amp;" IS NOT NULL AND Y."&amp;F319&amp;"_SIMUL IS NULL),1,0)) AS NUM_REG_DIF,'"&amp;MAX('ID1&amp;5'!L:L)+1&amp;"' AS ID_EXEC, CURRENT_TIMESTAMP() AS TIME_EXEC FROM "&amp;I319&amp;" INNER JOIN "&amp;J319&amp;" "&amp;K319),
IF(C319="Validade",+IF(G319="Code List","SELECT '"&amp;UPPER(B319)&amp;"' AS TABELA, '"&amp;UPPER(C319)&amp;"' AS TIPOLOGIA_TESTE,'"&amp;D319&amp;"' AS TABELA_LT,'N/A' AS TABELA_SIMUL,'"&amp;F319&amp;"' AS CAMPO, "&amp;"'${ref_date}' AS REF_DATE, COUNT(*) AS NUM_REG, SUM(IF(TRIM(CAST(X."&amp;F319&amp;" AS STRING))='' OR TRIM(CAST(X."&amp;F319&amp;" AS STRING)) IS NULL OR CAST(X."&amp;F319&amp;" AS STRING) NOT "&amp;H319&amp;",1,0)) AS NUM_REG_DIF,'"&amp;MAX('ID1&amp;5'!K:K)+1&amp;"' AS ID_EXEC, CURRENT_TIMESTAMP() AS TIME_EXEC FROM "&amp;I319,"SELECT '"&amp;UPPER(B319)&amp;"' AS TABELA, '"&amp;UPPER(C319)&amp;"' AS TIPOLOGIA_TESTE,'"&amp;D319&amp;"' AS TABELA_LT,'N/A' AS TABELA_SIMUL,'"&amp;F319&amp;"' AS CAMPO, "&amp;"'${ref_date}' AS REF_DATE, COUNT(*) AS NUM_REG, SUM(IF(TRIM(CAST(X."&amp;F319&amp;" AS STRING))='' OR TRIM(CAST(X."&amp;F319&amp;" AS STRING)) IS NULL,1,0)) AS NUM_REG_DIF,'"&amp;MAX('ID1&amp;5'!K:K)+1&amp;"' AS ID_EXEC, CURRENT_TIMESTAMP() AS TIME_EXEC FROM "&amp;I319),
IF(C319="Caracteres Especiais",+"SELECT '"&amp;UPPER(B319)&amp;"' AS TABELA, '"&amp;UPPER(C319)&amp;"' AS TIPOLOGIA_TESTE,'"&amp;D319&amp;"' AS TABELA_LT,'N/A' AS TABELA_SIMUL,'"&amp;F319&amp;"' AS CAMPO, "&amp;"'${ref_date}' AS REF_DATE, COUNT(*) AS NUM_REG, SUM(IF(REGEXP_REPLACE(TRIM(CAST(X."&amp;F319&amp;" AS STRING)),'[^a-zA-Z0-9_\\s]','') &lt;&gt;TRIM(CAST(X."&amp;F319&amp;" AS STRING)),1,0)) AS NUM_REG_DIF,'"&amp;MAX('ID1&amp;5'!K:K)+1&amp;"' AS ID_EXEC, CURRENT_TIMESTAMP() AS TIME_EXEC FROM "&amp;I319,
IF(C319="Missings",+"SELECT '"&amp;UPPER(B319)&amp;"' AS TABELA, '"&amp;UPPER(C319)&amp;"' AS TIPOLOGIA_TESTE,'"&amp;D319&amp;"' AS TABELA_LT,'N/A' AS TABELA_SIMUL,'"&amp;F319&amp;"' AS CAMPO, "&amp;"'${ref_date}' AS REF_DATE, COUNT(*) AS NUM_REG, SUM(IF(TRIM(CAST(X."&amp;F319&amp;" AS STRING)) IN ('0000-00-00','0001-01-01','9999-12-31','MISS','00000','99999999999','99999999999.00','99999999999.000000'),1,0)) AS NUM_REG_DIF,'"&amp;MAX('ID1&amp;5'!K:K)+1&amp;"' AS ID_EXEC, CURRENT_TIMESTAMP() AS TIME_EXEC FROM "&amp;I319,
IF(C319="Not applicable",+"SELECT '"&amp;UPPER(B319)&amp;"' AS TABELA, '"&amp;UPPER(C319)&amp;"' AS TIPOLOGIA_TESTE,'"&amp;D319&amp;"' AS TABELA_LT,'N/A' AS TABELA_SIMUL,'"&amp;F319&amp;"' AS CAMPO, "&amp;"'${ref_date}' AS REF_DATE, COUNT(*) AS NUM_REG, SUM(IF(TRIM(CAST(X."&amp;F319&amp;" AS STRING)) IN ('N/A','11111111111','11111111111.00','11111111111.000000','1111-11-11'),1,0)) AS NUM_REG_DIF,'"&amp;MAX('ID1&amp;5'!K:K)+1&amp;"' AS ID_EXEC, CURRENT_TIMESTAMP() AS TIME_EXEC FROM "&amp;I319,
IF(C319="Valores extremos",+"SELECT '"&amp;UPPER(B319)&amp;"' AS TABELA, '"&amp;UPPER(C319)&amp;"' AS TIPOLOGIA_TESTE,'"&amp;D319&amp;"' AS TABELA_LT,'N/A' AS TABELA_SIMUL,'"&amp;F319&amp;"' AS CAMPO, "&amp;"'${ref_date}' AS REF_DATE, CAST(MIN("&amp;F319&amp;") AS STRING) AS VALOR_MIN, CAST(MAX("&amp;F319&amp;") AS STRING) AS VALOR_MAX,'"&amp;MAX('ID1&amp;5'!K:K)+1&amp;"' AS ID_EXEC, CURRENT_TIMESTAMP() AS TIME_EXEC FROM "&amp;MID(I319,1,LEN(I319)-2)&amp;" AND CAST("&amp;F319&amp;"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TABELA_SIMUL,'TYP_SCRTZTN' AS CAMPO, '${ref_date}' AS REF_DATE, COUNT(*) AS NUM_REG, SUM(IF(COALESCE(CAST(X.TYP_SCRTZTN AS STRING),'')&lt;&gt;COALESCE(CAST(Y.TYP_SCRTZTN_SIMUL AS STRING),'') OR (X.TYP_SCRTZTN IS NULL AND Y.TYP_SCRTZTN_SIMUL IS NOT NULL ) OR (X.TYP_SCRTZTN IS NOT NULL AND Y.TYP_SCRTZTN_SIMUL IS NULL),1,0)) AS NUM_REG_DIF,'1' AS ID_EXEC, CURRENT_TIMESTAMP() AS TIME_EXEC FROM (SELECT instrmnt_id, TYP_SCRTZTN FROM CD_LOAN_TAPES_BCE.LT002_INSTRUMENT WHERE ref_date='${ref_date}' AND nome_perimetro='Individual Corporativo' AND segmento='ESTR' AND ambito='PM' AND entidade='00100')X INNER JOIN (SELECT instrmnt_id AS instrmnt_id_SIMUL, TYP_SCRTZTN AS TYP_SCRTZTN_SIMUL FROM BU_LOANTAPE_WORK.LT002_INSTRUMENT WHERE ref_date='${ref_date}' AND nome_perimetro='Individual Corporativo' AND segmento='ESTR' AND ambito='PM' AND entidade='00100')Y ON X.INSTRMNT_ID=Y.INSTRMNT_ID_SIMUL</v>
      </c>
      <c r="M319" s="36" t="str">
        <f t="shared" si="5"/>
        <v>UNION ALL SELECT 'INSTRUMENT' AS TABELA, 'COERÊNCIA' AS TIPOLOGIA_TESTE,'CD_LOAN_TAPES_BCE.LT002_INSTRUMENT' AS TABELA_LT,'BU_LOANTAPE_WORK.LT002_INSTRUMENT' AS TABELA_SIMUL,'TYP_SCRTZTN' AS CAMPO, '${ref_date}' AS REF_DATE, COUNT(*) AS NUM_REG, SUM(IF(COALESCE(CAST(X.TYP_SCRTZTN AS STRING),'')&lt;&gt;COALESCE(CAST(Y.TYP_SCRTZTN_SIMUL AS STRING),'') OR (X.TYP_SCRTZTN IS NULL AND Y.TYP_SCRTZTN_SIMUL IS NOT NULL ) OR (X.TYP_SCRTZTN IS NOT NULL AND Y.TYP_SCRTZTN_SIMUL IS NULL),1,0)) AS NUM_REG_DIF,'1' AS ID_EXEC, CURRENT_TIMESTAMP() AS TIME_EXEC FROM (SELECT instrmnt_id, TYP_SCRTZTN FROM CD_LOAN_TAPES_BCE.LT002_INSTRUMENT WHERE ref_date='${ref_date}' AND nome_perimetro='Individual Corporativo' AND segmento='ESTR' AND ambito='PM' AND entidade='00100')X INNER JOIN (SELECT instrmnt_id AS instrmnt_id_SIMUL, TYP_SCRTZTN AS TYP_SCRTZTN_SIMUL FROM BU_LOANTAPE_WORK.LT002_INSTRUMENT WHERE ref_date='${ref_date}' AND nome_perimetro='Individual Corporativo' AND segmento='ESTR' AND ambito='PM' AND entidade='00100')Y ON X.INSTRMNT_ID=Y.INSTRMNT_ID_SIMUL</v>
      </c>
      <c r="N319" s="38" t="s">
        <v>46</v>
      </c>
    </row>
    <row r="320" spans="2:14" hidden="1">
      <c r="B320" s="34" t="s">
        <v>126</v>
      </c>
      <c r="C320" s="34" t="s">
        <v>5</v>
      </c>
      <c r="D320" s="34" t="str">
        <f>+UPPER('0. Instruções'!$D$35&amp;"."&amp;VLOOKUP(B320,'0. Instruções'!$C$27:$D$32,2,FALSE))</f>
        <v>CD_LOAN_TAPES_BCE.LT002_INSTRUMENT</v>
      </c>
      <c r="E320" s="34" t="str">
        <f>+UPPER('0. Instruções'!$D$36&amp;"."&amp;VLOOKUP(B320,'0. Instruções'!$C$27:$E$32,3,FALSE))</f>
        <v>BU_LOANTAPE_WORK.LT002_INSTRUMENT</v>
      </c>
      <c r="F320" s="92" t="s">
        <v>595</v>
      </c>
      <c r="G320" s="34"/>
      <c r="H320" s="34" t="s">
        <v>89</v>
      </c>
      <c r="I320" s="34" t="str">
        <f>"(SELECT "&amp;VLOOKUP(B320,'0. Instruções'!$C$27:$G$32,4,FALSE)&amp;", "&amp;F320&amp;" FROM "&amp;D320&amp;" WHERE "&amp;'0. Instruções'!$D$42&amp;")X"</f>
        <v>(SELECT instrmnt_id, TYP_OFF_BLNC_PRDCT FROM CD_LOAN_TAPES_BCE.LT002_INSTRUMENT WHERE ref_date='${ref_date}' AND nome_perimetro='Individual Corporativo' AND segmento='ESTR' AND ambito='PM' AND entidade='00100')X</v>
      </c>
      <c r="J320" s="34" t="str">
        <f>"(SELECT "&amp;VLOOKUP(B320,'0. Instruções'!$C$27:$G$32,4,FALSE)&amp;" AS "&amp;VLOOKUP(B320,'0. Instruções'!$C$27:$G$32,4,FALSE)&amp;"_SIMUL, "&amp;F320&amp;" AS "&amp;F320&amp;"_SIMUL FROM "&amp;E320&amp;" WHERE "&amp;'0. Instruções'!$D$43&amp;")Y"</f>
        <v>(SELECT instrmnt_id AS instrmnt_id_SIMUL, TYP_OFF_BLNC_PRDCT AS TYP_OFF_BLNC_PRDCT_SIMUL FROM BU_LOANTAPE_WORK.LT002_INSTRUMENT WHERE ref_date='${ref_date}' AND nome_perimetro='Individual Corporativo' AND segmento='ESTR' AND ambito='PM' AND entidade='00100')Y</v>
      </c>
      <c r="K320" s="35" t="str">
        <f>+UPPER("ON X."&amp;VLOOKUP(B320,'0. Instruções'!$C$27:$G$32,4,FALSE)&amp;"=Y."&amp;VLOOKUP(B320,'0. Instruções'!$C$27:$G$32,4,FALSE)&amp;"_SIMUL")</f>
        <v>ON X.INSTRMNT_ID=Y.INSTRMNT_ID_SIMUL</v>
      </c>
      <c r="L320" s="35" t="str">
        <f>+IF(C320="Coerência", +IF(LEFT(G320,5)="FLOAT","SELECT '"&amp;UPPER(B320)&amp;"' AS TABELA, '"&amp;UPPER(C320)&amp;"' AS TIPOLOGIA_TESTE,'"&amp;D320&amp;"' AS TABELA_LT,'"&amp;E320&amp;"' AS TABELA_SIMUL,'"&amp;F320&amp;"' AS CAMPO, "&amp;"'${ref_date}' AS REF_DATE, COUNT(*) AS NUM_REG, SUM(IF((ABS(COALESCE(CAST(X."&amp;F320&amp;" AS DECIMAL(18,6)),0)-COALESCE(CAST(Y."&amp;F320&amp;"_SIMUL AS DECIMAL(18,6)),0))&gt;0.000001) OR (X."&amp;F320&amp;" IS NULL AND Y."&amp;F320&amp;"_SIMUL IS NOT NULL ) OR (X."&amp;F320&amp;" IS NOT NULL AND Y."&amp;F320&amp;"_SIMUL IS NULL),1,0)) AS NUM_REG_DIF,'"&amp;MAX('ID1&amp;5'!K:K)+1&amp;"' AS ID_EXEC, CURRENT_TIMESTAMP() AS TIME_EXEC FROM "&amp;I320&amp;" INNER JOIN "&amp;J320&amp;" "&amp;K320,"SELECT '"&amp;UPPER(B320)&amp;"' AS TABELA, '"&amp;UPPER(C320)&amp;"' AS TIPOLOGIA_TESTE,'"&amp;D320&amp;"' AS TABELA_LT,'"&amp;E320&amp;"' AS TABELA_SIMUL,'"&amp;F320&amp;"' AS CAMPO, "&amp;"'${ref_date}' AS REF_DATE, COUNT(*) AS NUM_REG, SUM(IF(COALESCE(CAST(X."&amp;F320&amp;" AS STRING),'')&lt;&gt;COALESCE(CAST(Y."&amp;F320&amp;"_SIMUL AS STRING),'') OR (X."&amp;F320&amp;" IS NULL AND Y."&amp;F320&amp;"_SIMUL IS NOT NULL ) OR (X."&amp;F320&amp;" IS NOT NULL AND Y."&amp;F320&amp;"_SIMUL IS NULL),1,0)) AS NUM_REG_DIF,'"&amp;MAX('ID1&amp;5'!L:L)+1&amp;"' AS ID_EXEC, CURRENT_TIMESTAMP() AS TIME_EXEC FROM "&amp;I320&amp;" INNER JOIN "&amp;J320&amp;" "&amp;K320),
IF(C320="Validade",+IF(G320="Code List","SELECT '"&amp;UPPER(B320)&amp;"' AS TABELA, '"&amp;UPPER(C320)&amp;"' AS TIPOLOGIA_TESTE,'"&amp;D320&amp;"' AS TABELA_LT,'N/A' AS TABELA_SIMUL,'"&amp;F320&amp;"' AS CAMPO, "&amp;"'${ref_date}' AS REF_DATE, COUNT(*) AS NUM_REG, SUM(IF(TRIM(CAST(X."&amp;F320&amp;" AS STRING))='' OR TRIM(CAST(X."&amp;F320&amp;" AS STRING)) IS NULL OR CAST(X."&amp;F320&amp;" AS STRING) NOT "&amp;H320&amp;",1,0)) AS NUM_REG_DIF,'"&amp;MAX('ID1&amp;5'!K:K)+1&amp;"' AS ID_EXEC, CURRENT_TIMESTAMP() AS TIME_EXEC FROM "&amp;I320,"SELECT '"&amp;UPPER(B320)&amp;"' AS TABELA, '"&amp;UPPER(C320)&amp;"' AS TIPOLOGIA_TESTE,'"&amp;D320&amp;"' AS TABELA_LT,'N/A' AS TABELA_SIMUL,'"&amp;F320&amp;"' AS CAMPO, "&amp;"'${ref_date}' AS REF_DATE, COUNT(*) AS NUM_REG, SUM(IF(TRIM(CAST(X."&amp;F320&amp;" AS STRING))='' OR TRIM(CAST(X."&amp;F320&amp;" AS STRING)) IS NULL,1,0)) AS NUM_REG_DIF,'"&amp;MAX('ID1&amp;5'!K:K)+1&amp;"' AS ID_EXEC, CURRENT_TIMESTAMP() AS TIME_EXEC FROM "&amp;I320),
IF(C320="Caracteres Especiais",+"SELECT '"&amp;UPPER(B320)&amp;"' AS TABELA, '"&amp;UPPER(C320)&amp;"' AS TIPOLOGIA_TESTE,'"&amp;D320&amp;"' AS TABELA_LT,'N/A' AS TABELA_SIMUL,'"&amp;F320&amp;"' AS CAMPO, "&amp;"'${ref_date}' AS REF_DATE, COUNT(*) AS NUM_REG, SUM(IF(REGEXP_REPLACE(TRIM(CAST(X."&amp;F320&amp;" AS STRING)),'[^a-zA-Z0-9_\\s]','') &lt;&gt;TRIM(CAST(X."&amp;F320&amp;" AS STRING)),1,0)) AS NUM_REG_DIF,'"&amp;MAX('ID1&amp;5'!K:K)+1&amp;"' AS ID_EXEC, CURRENT_TIMESTAMP() AS TIME_EXEC FROM "&amp;I320,
IF(C320="Missings",+"SELECT '"&amp;UPPER(B320)&amp;"' AS TABELA, '"&amp;UPPER(C320)&amp;"' AS TIPOLOGIA_TESTE,'"&amp;D320&amp;"' AS TABELA_LT,'N/A' AS TABELA_SIMUL,'"&amp;F320&amp;"' AS CAMPO, "&amp;"'${ref_date}' AS REF_DATE, COUNT(*) AS NUM_REG, SUM(IF(TRIM(CAST(X."&amp;F320&amp;" AS STRING)) IN ('0000-00-00','0001-01-01','9999-12-31','MISS','00000','99999999999','99999999999.00','99999999999.000000'),1,0)) AS NUM_REG_DIF,'"&amp;MAX('ID1&amp;5'!K:K)+1&amp;"' AS ID_EXEC, CURRENT_TIMESTAMP() AS TIME_EXEC FROM "&amp;I320,
IF(C320="Not applicable",+"SELECT '"&amp;UPPER(B320)&amp;"' AS TABELA, '"&amp;UPPER(C320)&amp;"' AS TIPOLOGIA_TESTE,'"&amp;D320&amp;"' AS TABELA_LT,'N/A' AS TABELA_SIMUL,'"&amp;F320&amp;"' AS CAMPO, "&amp;"'${ref_date}' AS REF_DATE, COUNT(*) AS NUM_REG, SUM(IF(TRIM(CAST(X."&amp;F320&amp;" AS STRING)) IN ('N/A','11111111111','11111111111.00','11111111111.000000','1111-11-11'),1,0)) AS NUM_REG_DIF,'"&amp;MAX('ID1&amp;5'!K:K)+1&amp;"' AS ID_EXEC, CURRENT_TIMESTAMP() AS TIME_EXEC FROM "&amp;I320,
IF(C320="Valores extremos",+"SELECT '"&amp;UPPER(B320)&amp;"' AS TABELA, '"&amp;UPPER(C320)&amp;"' AS TIPOLOGIA_TESTE,'"&amp;D320&amp;"' AS TABELA_LT,'N/A' AS TABELA_SIMUL,'"&amp;F320&amp;"' AS CAMPO, "&amp;"'${ref_date}' AS REF_DATE, CAST(MIN("&amp;F320&amp;") AS STRING) AS VALOR_MIN, CAST(MAX("&amp;F320&amp;") AS STRING) AS VALOR_MAX,'"&amp;MAX('ID1&amp;5'!K:K)+1&amp;"' AS ID_EXEC, CURRENT_TIMESTAMP() AS TIME_EXEC FROM "&amp;MID(I320,1,LEN(I320)-2)&amp;" AND CAST("&amp;F320&amp;"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TABELA_SIMUL,'TYP_OFF_BLNC_PRDCT' AS CAMPO, '${ref_date}' AS REF_DATE, COUNT(*) AS NUM_REG, SUM(IF(COALESCE(CAST(X.TYP_OFF_BLNC_PRDCT AS STRING),'')&lt;&gt;COALESCE(CAST(Y.TYP_OFF_BLNC_PRDCT_SIMUL AS STRING),'') OR (X.TYP_OFF_BLNC_PRDCT IS NULL AND Y.TYP_OFF_BLNC_PRDCT_SIMUL IS NOT NULL ) OR (X.TYP_OFF_BLNC_PRDCT IS NOT NULL AND Y.TYP_OFF_BLNC_PRDCT_SIMUL IS NULL),1,0)) AS NUM_REG_DIF,'1' AS ID_EXEC, CURRENT_TIMESTAMP() AS TIME_EXEC FROM (SELECT instrmnt_id, TYP_OFF_BLNC_PRDCT FROM CD_LOAN_TAPES_BCE.LT002_INSTRUMENT WHERE ref_date='${ref_date}' AND nome_perimetro='Individual Corporativo' AND segmento='ESTR' AND ambito='PM' AND entidade='00100')X INNER JOIN (SELECT instrmnt_id AS instrmnt_id_SIMUL, TYP_OFF_BLNC_PRDCT AS TYP_OFF_BLNC_PRDCT_SIMUL FROM BU_LOANTAPE_WORK.LT002_INSTRUMENT WHERE ref_date='${ref_date}' AND nome_perimetro='Individual Corporativo' AND segmento='ESTR' AND ambito='PM' AND entidade='00100')Y ON X.INSTRMNT_ID=Y.INSTRMNT_ID_SIMUL</v>
      </c>
      <c r="M320" s="36" t="str">
        <f t="shared" si="5"/>
        <v>UNION ALL SELECT 'INSTRUMENT' AS TABELA, 'COERÊNCIA' AS TIPOLOGIA_TESTE,'CD_LOAN_TAPES_BCE.LT002_INSTRUMENT' AS TABELA_LT,'BU_LOANTAPE_WORK.LT002_INSTRUMENT' AS TABELA_SIMUL,'TYP_OFF_BLNC_PRDCT' AS CAMPO, '${ref_date}' AS REF_DATE, COUNT(*) AS NUM_REG, SUM(IF(COALESCE(CAST(X.TYP_OFF_BLNC_PRDCT AS STRING),'')&lt;&gt;COALESCE(CAST(Y.TYP_OFF_BLNC_PRDCT_SIMUL AS STRING),'') OR (X.TYP_OFF_BLNC_PRDCT IS NULL AND Y.TYP_OFF_BLNC_PRDCT_SIMUL IS NOT NULL ) OR (X.TYP_OFF_BLNC_PRDCT IS NOT NULL AND Y.TYP_OFF_BLNC_PRDCT_SIMUL IS NULL),1,0)) AS NUM_REG_DIF,'1' AS ID_EXEC, CURRENT_TIMESTAMP() AS TIME_EXEC FROM (SELECT instrmnt_id, TYP_OFF_BLNC_PRDCT FROM CD_LOAN_TAPES_BCE.LT002_INSTRUMENT WHERE ref_date='${ref_date}' AND nome_perimetro='Individual Corporativo' AND segmento='ESTR' AND ambito='PM' AND entidade='00100')X INNER JOIN (SELECT instrmnt_id AS instrmnt_id_SIMUL, TYP_OFF_BLNC_PRDCT AS TYP_OFF_BLNC_PRDCT_SIMUL FROM BU_LOANTAPE_WORK.LT002_INSTRUMENT WHERE ref_date='${ref_date}' AND nome_perimetro='Individual Corporativo' AND segmento='ESTR' AND ambito='PM' AND entidade='00100')Y ON X.INSTRMNT_ID=Y.INSTRMNT_ID_SIMUL</v>
      </c>
      <c r="N320" s="38" t="s">
        <v>46</v>
      </c>
    </row>
    <row r="321" spans="2:14" hidden="1">
      <c r="B321" s="34" t="s">
        <v>126</v>
      </c>
      <c r="C321" s="34" t="s">
        <v>5</v>
      </c>
      <c r="D321" s="34" t="str">
        <f>+UPPER('0. Instruções'!$D$35&amp;"."&amp;VLOOKUP(B321,'0. Instruções'!$C$27:$D$32,2,FALSE))</f>
        <v>CD_LOAN_TAPES_BCE.LT002_INSTRUMENT</v>
      </c>
      <c r="E321" s="34" t="str">
        <f>+UPPER('0. Instruções'!$D$36&amp;"."&amp;VLOOKUP(B321,'0. Instruções'!$C$27:$E$32,3,FALSE))</f>
        <v>BU_LOANTAPE_WORK.LT002_INSTRUMENT</v>
      </c>
      <c r="F321" s="92" t="s">
        <v>596</v>
      </c>
      <c r="G321" s="34"/>
      <c r="H321" s="34" t="s">
        <v>89</v>
      </c>
      <c r="I321" s="34" t="str">
        <f>"(SELECT "&amp;VLOOKUP(B321,'0. Instruções'!$C$27:$G$32,4,FALSE)&amp;", "&amp;F321&amp;" FROM "&amp;D321&amp;" WHERE "&amp;'0. Instruções'!$D$42&amp;")X"</f>
        <v>(SELECT instrmnt_id, BLNC_SHT_RCGNTN FROM CD_LOAN_TAPES_BCE.LT002_INSTRUMENT WHERE ref_date='${ref_date}' AND nome_perimetro='Individual Corporativo' AND segmento='ESTR' AND ambito='PM' AND entidade='00100')X</v>
      </c>
      <c r="J321" s="34" t="str">
        <f>"(SELECT "&amp;VLOOKUP(B321,'0. Instruções'!$C$27:$G$32,4,FALSE)&amp;" AS "&amp;VLOOKUP(B321,'0. Instruções'!$C$27:$G$32,4,FALSE)&amp;"_SIMUL, "&amp;F321&amp;" AS "&amp;F321&amp;"_SIMUL FROM "&amp;E321&amp;" WHERE "&amp;'0. Instruções'!$D$43&amp;")Y"</f>
        <v>(SELECT instrmnt_id AS instrmnt_id_SIMUL, BLNC_SHT_RCGNTN AS BLNC_SHT_RCGNTN_SIMUL FROM BU_LOANTAPE_WORK.LT002_INSTRUMENT WHERE ref_date='${ref_date}' AND nome_perimetro='Individual Corporativo' AND segmento='ESTR' AND ambito='PM' AND entidade='00100')Y</v>
      </c>
      <c r="K321" s="35" t="str">
        <f>+UPPER("ON X."&amp;VLOOKUP(B321,'0. Instruções'!$C$27:$G$32,4,FALSE)&amp;"=Y."&amp;VLOOKUP(B321,'0. Instruções'!$C$27:$G$32,4,FALSE)&amp;"_SIMUL")</f>
        <v>ON X.INSTRMNT_ID=Y.INSTRMNT_ID_SIMUL</v>
      </c>
      <c r="L321" s="35" t="str">
        <f>+IF(C321="Coerência", +IF(LEFT(G321,5)="FLOAT","SELECT '"&amp;UPPER(B321)&amp;"' AS TABELA, '"&amp;UPPER(C321)&amp;"' AS TIPOLOGIA_TESTE,'"&amp;D321&amp;"' AS TABELA_LT,'"&amp;E321&amp;"' AS TABELA_SIMUL,'"&amp;F321&amp;"' AS CAMPO, "&amp;"'${ref_date}' AS REF_DATE, COUNT(*) AS NUM_REG, SUM(IF((ABS(COALESCE(CAST(X."&amp;F321&amp;" AS DECIMAL(18,6)),0)-COALESCE(CAST(Y."&amp;F321&amp;"_SIMUL AS DECIMAL(18,6)),0))&gt;0.000001) OR (X."&amp;F321&amp;" IS NULL AND Y."&amp;F321&amp;"_SIMUL IS NOT NULL ) OR (X."&amp;F321&amp;" IS NOT NULL AND Y."&amp;F321&amp;"_SIMUL IS NULL),1,0)) AS NUM_REG_DIF,'"&amp;MAX('ID1&amp;5'!K:K)+1&amp;"' AS ID_EXEC, CURRENT_TIMESTAMP() AS TIME_EXEC FROM "&amp;I321&amp;" INNER JOIN "&amp;J321&amp;" "&amp;K321,"SELECT '"&amp;UPPER(B321)&amp;"' AS TABELA, '"&amp;UPPER(C321)&amp;"' AS TIPOLOGIA_TESTE,'"&amp;D321&amp;"' AS TABELA_LT,'"&amp;E321&amp;"' AS TABELA_SIMUL,'"&amp;F321&amp;"' AS CAMPO, "&amp;"'${ref_date}' AS REF_DATE, COUNT(*) AS NUM_REG, SUM(IF(COALESCE(CAST(X."&amp;F321&amp;" AS STRING),'')&lt;&gt;COALESCE(CAST(Y."&amp;F321&amp;"_SIMUL AS STRING),'') OR (X."&amp;F321&amp;" IS NULL AND Y."&amp;F321&amp;"_SIMUL IS NOT NULL ) OR (X."&amp;F321&amp;" IS NOT NULL AND Y."&amp;F321&amp;"_SIMUL IS NULL),1,0)) AS NUM_REG_DIF,'"&amp;MAX('ID1&amp;5'!L:L)+1&amp;"' AS ID_EXEC, CURRENT_TIMESTAMP() AS TIME_EXEC FROM "&amp;I321&amp;" INNER JOIN "&amp;J321&amp;" "&amp;K321),
IF(C321="Validade",+IF(G321="Code List","SELECT '"&amp;UPPER(B321)&amp;"' AS TABELA, '"&amp;UPPER(C321)&amp;"' AS TIPOLOGIA_TESTE,'"&amp;D321&amp;"' AS TABELA_LT,'N/A' AS TABELA_SIMUL,'"&amp;F321&amp;"' AS CAMPO, "&amp;"'${ref_date}' AS REF_DATE, COUNT(*) AS NUM_REG, SUM(IF(TRIM(CAST(X."&amp;F321&amp;" AS STRING))='' OR TRIM(CAST(X."&amp;F321&amp;" AS STRING)) IS NULL OR CAST(X."&amp;F321&amp;" AS STRING) NOT "&amp;H321&amp;",1,0)) AS NUM_REG_DIF,'"&amp;MAX('ID1&amp;5'!K:K)+1&amp;"' AS ID_EXEC, CURRENT_TIMESTAMP() AS TIME_EXEC FROM "&amp;I321,"SELECT '"&amp;UPPER(B321)&amp;"' AS TABELA, '"&amp;UPPER(C321)&amp;"' AS TIPOLOGIA_TESTE,'"&amp;D321&amp;"' AS TABELA_LT,'N/A' AS TABELA_SIMUL,'"&amp;F321&amp;"' AS CAMPO, "&amp;"'${ref_date}' AS REF_DATE, COUNT(*) AS NUM_REG, SUM(IF(TRIM(CAST(X."&amp;F321&amp;" AS STRING))='' OR TRIM(CAST(X."&amp;F321&amp;" AS STRING)) IS NULL,1,0)) AS NUM_REG_DIF,'"&amp;MAX('ID1&amp;5'!K:K)+1&amp;"' AS ID_EXEC, CURRENT_TIMESTAMP() AS TIME_EXEC FROM "&amp;I321),
IF(C321="Caracteres Especiais",+"SELECT '"&amp;UPPER(B321)&amp;"' AS TABELA, '"&amp;UPPER(C321)&amp;"' AS TIPOLOGIA_TESTE,'"&amp;D321&amp;"' AS TABELA_LT,'N/A' AS TABELA_SIMUL,'"&amp;F321&amp;"' AS CAMPO, "&amp;"'${ref_date}' AS REF_DATE, COUNT(*) AS NUM_REG, SUM(IF(REGEXP_REPLACE(TRIM(CAST(X."&amp;F321&amp;" AS STRING)),'[^a-zA-Z0-9_\\s]','') &lt;&gt;TRIM(CAST(X."&amp;F321&amp;" AS STRING)),1,0)) AS NUM_REG_DIF,'"&amp;MAX('ID1&amp;5'!K:K)+1&amp;"' AS ID_EXEC, CURRENT_TIMESTAMP() AS TIME_EXEC FROM "&amp;I321,
IF(C321="Missings",+"SELECT '"&amp;UPPER(B321)&amp;"' AS TABELA, '"&amp;UPPER(C321)&amp;"' AS TIPOLOGIA_TESTE,'"&amp;D321&amp;"' AS TABELA_LT,'N/A' AS TABELA_SIMUL,'"&amp;F321&amp;"' AS CAMPO, "&amp;"'${ref_date}' AS REF_DATE, COUNT(*) AS NUM_REG, SUM(IF(TRIM(CAST(X."&amp;F321&amp;" AS STRING)) IN ('0000-00-00','0001-01-01','9999-12-31','MISS','00000','99999999999','99999999999.00','99999999999.000000'),1,0)) AS NUM_REG_DIF,'"&amp;MAX('ID1&amp;5'!K:K)+1&amp;"' AS ID_EXEC, CURRENT_TIMESTAMP() AS TIME_EXEC FROM "&amp;I321,
IF(C321="Not applicable",+"SELECT '"&amp;UPPER(B321)&amp;"' AS TABELA, '"&amp;UPPER(C321)&amp;"' AS TIPOLOGIA_TESTE,'"&amp;D321&amp;"' AS TABELA_LT,'N/A' AS TABELA_SIMUL,'"&amp;F321&amp;"' AS CAMPO, "&amp;"'${ref_date}' AS REF_DATE, COUNT(*) AS NUM_REG, SUM(IF(TRIM(CAST(X."&amp;F321&amp;" AS STRING)) IN ('N/A','11111111111','11111111111.00','11111111111.000000','1111-11-11'),1,0)) AS NUM_REG_DIF,'"&amp;MAX('ID1&amp;5'!K:K)+1&amp;"' AS ID_EXEC, CURRENT_TIMESTAMP() AS TIME_EXEC FROM "&amp;I321,
IF(C321="Valores extremos",+"SELECT '"&amp;UPPER(B321)&amp;"' AS TABELA, '"&amp;UPPER(C321)&amp;"' AS TIPOLOGIA_TESTE,'"&amp;D321&amp;"' AS TABELA_LT,'N/A' AS TABELA_SIMUL,'"&amp;F321&amp;"' AS CAMPO, "&amp;"'${ref_date}' AS REF_DATE, CAST(MIN("&amp;F321&amp;") AS STRING) AS VALOR_MIN, CAST(MAX("&amp;F321&amp;") AS STRING) AS VALOR_MAX,'"&amp;MAX('ID1&amp;5'!K:K)+1&amp;"' AS ID_EXEC, CURRENT_TIMESTAMP() AS TIME_EXEC FROM "&amp;MID(I321,1,LEN(I321)-2)&amp;" AND CAST("&amp;F321&amp;"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TABELA_SIMUL,'BLNC_SHT_RCGNTN' AS CAMPO, '${ref_date}' AS REF_DATE, COUNT(*) AS NUM_REG, SUM(IF(COALESCE(CAST(X.BLNC_SHT_RCGNTN AS STRING),'')&lt;&gt;COALESCE(CAST(Y.BLNC_SHT_RCGNTN_SIMUL AS STRING),'') OR (X.BLNC_SHT_RCGNTN IS NULL AND Y.BLNC_SHT_RCGNTN_SIMUL IS NOT NULL ) OR (X.BLNC_SHT_RCGNTN IS NOT NULL AND Y.BLNC_SHT_RCGNTN_SIMUL IS NULL),1,0)) AS NUM_REG_DIF,'1' AS ID_EXEC, CURRENT_TIMESTAMP() AS TIME_EXEC FROM (SELECT instrmnt_id, BLNC_SHT_RCGNTN FROM CD_LOAN_TAPES_BCE.LT002_INSTRUMENT WHERE ref_date='${ref_date}' AND nome_perimetro='Individual Corporativo' AND segmento='ESTR' AND ambito='PM' AND entidade='00100')X INNER JOIN (SELECT instrmnt_id AS instrmnt_id_SIMUL, BLNC_SHT_RCGNTN AS BLNC_SHT_RCGNTN_SIMUL FROM BU_LOANTAPE_WORK.LT002_INSTRUMENT WHERE ref_date='${ref_date}' AND nome_perimetro='Individual Corporativo' AND segmento='ESTR' AND ambito='PM' AND entidade='00100')Y ON X.INSTRMNT_ID=Y.INSTRMNT_ID_SIMUL</v>
      </c>
      <c r="M321" s="36" t="str">
        <f t="shared" si="5"/>
        <v>UNION ALL SELECT 'INSTRUMENT' AS TABELA, 'COERÊNCIA' AS TIPOLOGIA_TESTE,'CD_LOAN_TAPES_BCE.LT002_INSTRUMENT' AS TABELA_LT,'BU_LOANTAPE_WORK.LT002_INSTRUMENT' AS TABELA_SIMUL,'BLNC_SHT_RCGNTN' AS CAMPO, '${ref_date}' AS REF_DATE, COUNT(*) AS NUM_REG, SUM(IF(COALESCE(CAST(X.BLNC_SHT_RCGNTN AS STRING),'')&lt;&gt;COALESCE(CAST(Y.BLNC_SHT_RCGNTN_SIMUL AS STRING),'') OR (X.BLNC_SHT_RCGNTN IS NULL AND Y.BLNC_SHT_RCGNTN_SIMUL IS NOT NULL ) OR (X.BLNC_SHT_RCGNTN IS NOT NULL AND Y.BLNC_SHT_RCGNTN_SIMUL IS NULL),1,0)) AS NUM_REG_DIF,'1' AS ID_EXEC, CURRENT_TIMESTAMP() AS TIME_EXEC FROM (SELECT instrmnt_id, BLNC_SHT_RCGNTN FROM CD_LOAN_TAPES_BCE.LT002_INSTRUMENT WHERE ref_date='${ref_date}' AND nome_perimetro='Individual Corporativo' AND segmento='ESTR' AND ambito='PM' AND entidade='00100')X INNER JOIN (SELECT instrmnt_id AS instrmnt_id_SIMUL, BLNC_SHT_RCGNTN AS BLNC_SHT_RCGNTN_SIMUL FROM BU_LOANTAPE_WORK.LT002_INSTRUMENT WHERE ref_date='${ref_date}' AND nome_perimetro='Individual Corporativo' AND segmento='ESTR' AND ambito='PM' AND entidade='00100')Y ON X.INSTRMNT_ID=Y.INSTRMNT_ID_SIMUL</v>
      </c>
      <c r="N321" s="38" t="s">
        <v>46</v>
      </c>
    </row>
    <row r="322" spans="2:14" hidden="1">
      <c r="B322" s="34" t="s">
        <v>126</v>
      </c>
      <c r="C322" s="34" t="s">
        <v>5</v>
      </c>
      <c r="D322" s="34" t="str">
        <f>+UPPER('0. Instruções'!$D$35&amp;"."&amp;VLOOKUP(B322,'0. Instruções'!$C$27:$D$32,2,FALSE))</f>
        <v>CD_LOAN_TAPES_BCE.LT002_INSTRUMENT</v>
      </c>
      <c r="E322" s="34" t="str">
        <f>+UPPER('0. Instruções'!$D$36&amp;"."&amp;VLOOKUP(B322,'0. Instruções'!$C$27:$E$32,3,FALSE))</f>
        <v>BU_LOANTAPE_WORK.LT002_INSTRUMENT</v>
      </c>
      <c r="F322" s="92" t="s">
        <v>597</v>
      </c>
      <c r="G322" s="34"/>
      <c r="H322" s="34" t="s">
        <v>648</v>
      </c>
      <c r="I322" s="34" t="str">
        <f>"(SELECT "&amp;VLOOKUP(B322,'0. Instruções'!$C$27:$G$32,4,FALSE)&amp;", "&amp;F322&amp;" FROM "&amp;D322&amp;" WHERE "&amp;'0. Instruções'!$D$42&amp;")X"</f>
        <v>(SELECT instrmnt_id, FLG_DFLT FROM CD_LOAN_TAPES_BCE.LT002_INSTRUMENT WHERE ref_date='${ref_date}' AND nome_perimetro='Individual Corporativo' AND segmento='ESTR' AND ambito='PM' AND entidade='00100')X</v>
      </c>
      <c r="J322" s="34" t="str">
        <f>"(SELECT "&amp;VLOOKUP(B322,'0. Instruções'!$C$27:$G$32,4,FALSE)&amp;" AS "&amp;VLOOKUP(B322,'0. Instruções'!$C$27:$G$32,4,FALSE)&amp;"_SIMUL, "&amp;F322&amp;" AS "&amp;F322&amp;"_SIMUL FROM "&amp;E322&amp;" WHERE "&amp;'0. Instruções'!$D$43&amp;")Y"</f>
        <v>(SELECT instrmnt_id AS instrmnt_id_SIMUL, FLG_DFLT AS FLG_DFLT_SIMUL FROM BU_LOANTAPE_WORK.LT002_INSTRUMENT WHERE ref_date='${ref_date}' AND nome_perimetro='Individual Corporativo' AND segmento='ESTR' AND ambito='PM' AND entidade='00100')Y</v>
      </c>
      <c r="K322" s="35" t="str">
        <f>+UPPER("ON X."&amp;VLOOKUP(B322,'0. Instruções'!$C$27:$G$32,4,FALSE)&amp;"=Y."&amp;VLOOKUP(B322,'0. Instruções'!$C$27:$G$32,4,FALSE)&amp;"_SIMUL")</f>
        <v>ON X.INSTRMNT_ID=Y.INSTRMNT_ID_SIMUL</v>
      </c>
      <c r="L322" s="35" t="str">
        <f>+IF(C322="Coerência", +IF(LEFT(G322,5)="FLOAT","SELECT '"&amp;UPPER(B322)&amp;"' AS TABELA, '"&amp;UPPER(C322)&amp;"' AS TIPOLOGIA_TESTE,'"&amp;D322&amp;"' AS TABELA_LT,'"&amp;E322&amp;"' AS TABELA_SIMUL,'"&amp;F322&amp;"' AS CAMPO, "&amp;"'${ref_date}' AS REF_DATE, COUNT(*) AS NUM_REG, SUM(IF((ABS(COALESCE(CAST(X."&amp;F322&amp;" AS DECIMAL(18,6)),0)-COALESCE(CAST(Y."&amp;F322&amp;"_SIMUL AS DECIMAL(18,6)),0))&gt;0.000001) OR (X."&amp;F322&amp;" IS NULL AND Y."&amp;F322&amp;"_SIMUL IS NOT NULL ) OR (X."&amp;F322&amp;" IS NOT NULL AND Y."&amp;F322&amp;"_SIMUL IS NULL),1,0)) AS NUM_REG_DIF,'"&amp;MAX('ID1&amp;5'!K:K)+1&amp;"' AS ID_EXEC, CURRENT_TIMESTAMP() AS TIME_EXEC FROM "&amp;I322&amp;" INNER JOIN "&amp;J322&amp;" "&amp;K322,"SELECT '"&amp;UPPER(B322)&amp;"' AS TABELA, '"&amp;UPPER(C322)&amp;"' AS TIPOLOGIA_TESTE,'"&amp;D322&amp;"' AS TABELA_LT,'"&amp;E322&amp;"' AS TABELA_SIMUL,'"&amp;F322&amp;"' AS CAMPO, "&amp;"'${ref_date}' AS REF_DATE, COUNT(*) AS NUM_REG, SUM(IF(COALESCE(CAST(X."&amp;F322&amp;" AS STRING),'')&lt;&gt;COALESCE(CAST(Y."&amp;F322&amp;"_SIMUL AS STRING),'') OR (X."&amp;F322&amp;" IS NULL AND Y."&amp;F322&amp;"_SIMUL IS NOT NULL ) OR (X."&amp;F322&amp;" IS NOT NULL AND Y."&amp;F322&amp;"_SIMUL IS NULL),1,0)) AS NUM_REG_DIF,'"&amp;MAX('ID1&amp;5'!L:L)+1&amp;"' AS ID_EXEC, CURRENT_TIMESTAMP() AS TIME_EXEC FROM "&amp;I322&amp;" INNER JOIN "&amp;J322&amp;" "&amp;K322),
IF(C322="Validade",+IF(G322="Code List","SELECT '"&amp;UPPER(B322)&amp;"' AS TABELA, '"&amp;UPPER(C322)&amp;"' AS TIPOLOGIA_TESTE,'"&amp;D322&amp;"' AS TABELA_LT,'N/A' AS TABELA_SIMUL,'"&amp;F322&amp;"' AS CAMPO, "&amp;"'${ref_date}' AS REF_DATE, COUNT(*) AS NUM_REG, SUM(IF(TRIM(CAST(X."&amp;F322&amp;" AS STRING))='' OR TRIM(CAST(X."&amp;F322&amp;" AS STRING)) IS NULL OR CAST(X."&amp;F322&amp;" AS STRING) NOT "&amp;H322&amp;",1,0)) AS NUM_REG_DIF,'"&amp;MAX('ID1&amp;5'!K:K)+1&amp;"' AS ID_EXEC, CURRENT_TIMESTAMP() AS TIME_EXEC FROM "&amp;I322,"SELECT '"&amp;UPPER(B322)&amp;"' AS TABELA, '"&amp;UPPER(C322)&amp;"' AS TIPOLOGIA_TESTE,'"&amp;D322&amp;"' AS TABELA_LT,'N/A' AS TABELA_SIMUL,'"&amp;F322&amp;"' AS CAMPO, "&amp;"'${ref_date}' AS REF_DATE, COUNT(*) AS NUM_REG, SUM(IF(TRIM(CAST(X."&amp;F322&amp;" AS STRING))='' OR TRIM(CAST(X."&amp;F322&amp;" AS STRING)) IS NULL,1,0)) AS NUM_REG_DIF,'"&amp;MAX('ID1&amp;5'!K:K)+1&amp;"' AS ID_EXEC, CURRENT_TIMESTAMP() AS TIME_EXEC FROM "&amp;I322),
IF(C322="Caracteres Especiais",+"SELECT '"&amp;UPPER(B322)&amp;"' AS TABELA, '"&amp;UPPER(C322)&amp;"' AS TIPOLOGIA_TESTE,'"&amp;D322&amp;"' AS TABELA_LT,'N/A' AS TABELA_SIMUL,'"&amp;F322&amp;"' AS CAMPO, "&amp;"'${ref_date}' AS REF_DATE, COUNT(*) AS NUM_REG, SUM(IF(REGEXP_REPLACE(TRIM(CAST(X."&amp;F322&amp;" AS STRING)),'[^a-zA-Z0-9_\\s]','') &lt;&gt;TRIM(CAST(X."&amp;F322&amp;" AS STRING)),1,0)) AS NUM_REG_DIF,'"&amp;MAX('ID1&amp;5'!K:K)+1&amp;"' AS ID_EXEC, CURRENT_TIMESTAMP() AS TIME_EXEC FROM "&amp;I322,
IF(C322="Missings",+"SELECT '"&amp;UPPER(B322)&amp;"' AS TABELA, '"&amp;UPPER(C322)&amp;"' AS TIPOLOGIA_TESTE,'"&amp;D322&amp;"' AS TABELA_LT,'N/A' AS TABELA_SIMUL,'"&amp;F322&amp;"' AS CAMPO, "&amp;"'${ref_date}' AS REF_DATE, COUNT(*) AS NUM_REG, SUM(IF(TRIM(CAST(X."&amp;F322&amp;" AS STRING)) IN ('0000-00-00','0001-01-01','9999-12-31','MISS','00000','99999999999','99999999999.00','99999999999.000000'),1,0)) AS NUM_REG_DIF,'"&amp;MAX('ID1&amp;5'!K:K)+1&amp;"' AS ID_EXEC, CURRENT_TIMESTAMP() AS TIME_EXEC FROM "&amp;I322,
IF(C322="Not applicable",+"SELECT '"&amp;UPPER(B322)&amp;"' AS TABELA, '"&amp;UPPER(C322)&amp;"' AS TIPOLOGIA_TESTE,'"&amp;D322&amp;"' AS TABELA_LT,'N/A' AS TABELA_SIMUL,'"&amp;F322&amp;"' AS CAMPO, "&amp;"'${ref_date}' AS REF_DATE, COUNT(*) AS NUM_REG, SUM(IF(TRIM(CAST(X."&amp;F322&amp;" AS STRING)) IN ('N/A','11111111111','11111111111.00','11111111111.000000','1111-11-11'),1,0)) AS NUM_REG_DIF,'"&amp;MAX('ID1&amp;5'!K:K)+1&amp;"' AS ID_EXEC, CURRENT_TIMESTAMP() AS TIME_EXEC FROM "&amp;I322,
IF(C322="Valores extremos",+"SELECT '"&amp;UPPER(B322)&amp;"' AS TABELA, '"&amp;UPPER(C322)&amp;"' AS TIPOLOGIA_TESTE,'"&amp;D322&amp;"' AS TABELA_LT,'N/A' AS TABELA_SIMUL,'"&amp;F322&amp;"' AS CAMPO, "&amp;"'${ref_date}' AS REF_DATE, CAST(MIN("&amp;F322&amp;") AS STRING) AS VALOR_MIN, CAST(MAX("&amp;F322&amp;") AS STRING) AS VALOR_MAX,'"&amp;MAX('ID1&amp;5'!K:K)+1&amp;"' AS ID_EXEC, CURRENT_TIMESTAMP() AS TIME_EXEC FROM "&amp;MID(I322,1,LEN(I322)-2)&amp;" AND CAST("&amp;F322&amp;"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TABELA_SIMUL,'FLG_DFLT' AS CAMPO, '${ref_date}' AS REF_DATE, COUNT(*) AS NUM_REG, SUM(IF(COALESCE(CAST(X.FLG_DFLT AS STRING),'')&lt;&gt;COALESCE(CAST(Y.FLG_DFLT_SIMUL AS STRING),'') OR (X.FLG_DFLT IS NULL AND Y.FLG_DFLT_SIMUL IS NOT NULL ) OR (X.FLG_DFLT IS NOT NULL AND Y.FLG_DFLT_SIMUL IS NULL),1,0)) AS NUM_REG_DIF,'1' AS ID_EXEC, CURRENT_TIMESTAMP() AS TIME_EXEC FROM (SELECT instrmnt_id, FLG_DFLT FROM CD_LOAN_TAPES_BCE.LT002_INSTRUMENT WHERE ref_date='${ref_date}' AND nome_perimetro='Individual Corporativo' AND segmento='ESTR' AND ambito='PM' AND entidade='00100')X INNER JOIN (SELECT instrmnt_id AS instrmnt_id_SIMUL, FLG_DFLT AS FLG_DFLT_SIMUL FROM BU_LOANTAPE_WORK.LT002_INSTRUMENT WHERE ref_date='${ref_date}' AND nome_perimetro='Individual Corporativo' AND segmento='ESTR' AND ambito='PM' AND entidade='00100')Y ON X.INSTRMNT_ID=Y.INSTRMNT_ID_SIMUL</v>
      </c>
      <c r="M322" s="36" t="str">
        <f t="shared" si="5"/>
        <v>UNION ALL SELECT 'INSTRUMENT' AS TABELA, 'COERÊNCIA' AS TIPOLOGIA_TESTE,'CD_LOAN_TAPES_BCE.LT002_INSTRUMENT' AS TABELA_LT,'BU_LOANTAPE_WORK.LT002_INSTRUMENT' AS TABELA_SIMUL,'FLG_DFLT' AS CAMPO, '${ref_date}' AS REF_DATE, COUNT(*) AS NUM_REG, SUM(IF(COALESCE(CAST(X.FLG_DFLT AS STRING),'')&lt;&gt;COALESCE(CAST(Y.FLG_DFLT_SIMUL AS STRING),'') OR (X.FLG_DFLT IS NULL AND Y.FLG_DFLT_SIMUL IS NOT NULL ) OR (X.FLG_DFLT IS NOT NULL AND Y.FLG_DFLT_SIMUL IS NULL),1,0)) AS NUM_REG_DIF,'1' AS ID_EXEC, CURRENT_TIMESTAMP() AS TIME_EXEC FROM (SELECT instrmnt_id, FLG_DFLT FROM CD_LOAN_TAPES_BCE.LT002_INSTRUMENT WHERE ref_date='${ref_date}' AND nome_perimetro='Individual Corporativo' AND segmento='ESTR' AND ambito='PM' AND entidade='00100')X INNER JOIN (SELECT instrmnt_id AS instrmnt_id_SIMUL, FLG_DFLT AS FLG_DFLT_SIMUL FROM BU_LOANTAPE_WORK.LT002_INSTRUMENT WHERE ref_date='${ref_date}' AND nome_perimetro='Individual Corporativo' AND segmento='ESTR' AND ambito='PM' AND entidade='00100')Y ON X.INSTRMNT_ID=Y.INSTRMNT_ID_SIMUL</v>
      </c>
      <c r="N322" s="38" t="s">
        <v>46</v>
      </c>
    </row>
    <row r="323" spans="2:14" hidden="1">
      <c r="B323" s="34" t="s">
        <v>126</v>
      </c>
      <c r="C323" s="34" t="s">
        <v>5</v>
      </c>
      <c r="D323" s="34" t="str">
        <f>+UPPER('0. Instruções'!$D$35&amp;"."&amp;VLOOKUP(B323,'0. Instruções'!$C$27:$D$32,2,FALSE))</f>
        <v>CD_LOAN_TAPES_BCE.LT002_INSTRUMENT</v>
      </c>
      <c r="E323" s="34" t="str">
        <f>+UPPER('0. Instruções'!$D$36&amp;"."&amp;VLOOKUP(B323,'0. Instruções'!$C$27:$E$32,3,FALSE))</f>
        <v>BU_LOANTAPE_WORK.LT002_INSTRUMENT</v>
      </c>
      <c r="F323" s="92" t="s">
        <v>598</v>
      </c>
      <c r="G323" s="34"/>
      <c r="H323" s="34" t="s">
        <v>648</v>
      </c>
      <c r="I323" s="34" t="str">
        <f>"(SELECT "&amp;VLOOKUP(B323,'0. Instruções'!$C$27:$G$32,4,FALSE)&amp;", "&amp;F323&amp;" FROM "&amp;D323&amp;" WHERE "&amp;'0. Instruções'!$D$42&amp;")X"</f>
        <v>(SELECT instrmnt_id, FLG_HGH_RSK FROM CD_LOAN_TAPES_BCE.LT002_INSTRUMENT WHERE ref_date='${ref_date}' AND nome_perimetro='Individual Corporativo' AND segmento='ESTR' AND ambito='PM' AND entidade='00100')X</v>
      </c>
      <c r="J323" s="34" t="str">
        <f>"(SELECT "&amp;VLOOKUP(B323,'0. Instruções'!$C$27:$G$32,4,FALSE)&amp;" AS "&amp;VLOOKUP(B323,'0. Instruções'!$C$27:$G$32,4,FALSE)&amp;"_SIMUL, "&amp;F323&amp;" AS "&amp;F323&amp;"_SIMUL FROM "&amp;E323&amp;" WHERE "&amp;'0. Instruções'!$D$43&amp;")Y"</f>
        <v>(SELECT instrmnt_id AS instrmnt_id_SIMUL, FLG_HGH_RSK AS FLG_HGH_RSK_SIMUL FROM BU_LOANTAPE_WORK.LT002_INSTRUMENT WHERE ref_date='${ref_date}' AND nome_perimetro='Individual Corporativo' AND segmento='ESTR' AND ambito='PM' AND entidade='00100')Y</v>
      </c>
      <c r="K323" s="35" t="str">
        <f>+UPPER("ON X."&amp;VLOOKUP(B323,'0. Instruções'!$C$27:$G$32,4,FALSE)&amp;"=Y."&amp;VLOOKUP(B323,'0. Instruções'!$C$27:$G$32,4,FALSE)&amp;"_SIMUL")</f>
        <v>ON X.INSTRMNT_ID=Y.INSTRMNT_ID_SIMUL</v>
      </c>
      <c r="L323" s="35" t="str">
        <f>+IF(C323="Coerência", +IF(LEFT(G323,5)="FLOAT","SELECT '"&amp;UPPER(B323)&amp;"' AS TABELA, '"&amp;UPPER(C323)&amp;"' AS TIPOLOGIA_TESTE,'"&amp;D323&amp;"' AS TABELA_LT,'"&amp;E323&amp;"' AS TABELA_SIMUL,'"&amp;F323&amp;"' AS CAMPO, "&amp;"'${ref_date}' AS REF_DATE, COUNT(*) AS NUM_REG, SUM(IF((ABS(COALESCE(CAST(X."&amp;F323&amp;" AS DECIMAL(18,6)),0)-COALESCE(CAST(Y."&amp;F323&amp;"_SIMUL AS DECIMAL(18,6)),0))&gt;0.000001) OR (X."&amp;F323&amp;" IS NULL AND Y."&amp;F323&amp;"_SIMUL IS NOT NULL ) OR (X."&amp;F323&amp;" IS NOT NULL AND Y."&amp;F323&amp;"_SIMUL IS NULL),1,0)) AS NUM_REG_DIF,'"&amp;MAX('ID1&amp;5'!K:K)+1&amp;"' AS ID_EXEC, CURRENT_TIMESTAMP() AS TIME_EXEC FROM "&amp;I323&amp;" INNER JOIN "&amp;J323&amp;" "&amp;K323,"SELECT '"&amp;UPPER(B323)&amp;"' AS TABELA, '"&amp;UPPER(C323)&amp;"' AS TIPOLOGIA_TESTE,'"&amp;D323&amp;"' AS TABELA_LT,'"&amp;E323&amp;"' AS TABELA_SIMUL,'"&amp;F323&amp;"' AS CAMPO, "&amp;"'${ref_date}' AS REF_DATE, COUNT(*) AS NUM_REG, SUM(IF(COALESCE(CAST(X."&amp;F323&amp;" AS STRING),'')&lt;&gt;COALESCE(CAST(Y."&amp;F323&amp;"_SIMUL AS STRING),'') OR (X."&amp;F323&amp;" IS NULL AND Y."&amp;F323&amp;"_SIMUL IS NOT NULL ) OR (X."&amp;F323&amp;" IS NOT NULL AND Y."&amp;F323&amp;"_SIMUL IS NULL),1,0)) AS NUM_REG_DIF,'"&amp;MAX('ID1&amp;5'!L:L)+1&amp;"' AS ID_EXEC, CURRENT_TIMESTAMP() AS TIME_EXEC FROM "&amp;I323&amp;" INNER JOIN "&amp;J323&amp;" "&amp;K323),
IF(C323="Validade",+IF(G323="Code List","SELECT '"&amp;UPPER(B323)&amp;"' AS TABELA, '"&amp;UPPER(C323)&amp;"' AS TIPOLOGIA_TESTE,'"&amp;D323&amp;"' AS TABELA_LT,'N/A' AS TABELA_SIMUL,'"&amp;F323&amp;"' AS CAMPO, "&amp;"'${ref_date}' AS REF_DATE, COUNT(*) AS NUM_REG, SUM(IF(TRIM(CAST(X."&amp;F323&amp;" AS STRING))='' OR TRIM(CAST(X."&amp;F323&amp;" AS STRING)) IS NULL OR CAST(X."&amp;F323&amp;" AS STRING) NOT "&amp;H323&amp;",1,0)) AS NUM_REG_DIF,'"&amp;MAX('ID1&amp;5'!K:K)+1&amp;"' AS ID_EXEC, CURRENT_TIMESTAMP() AS TIME_EXEC FROM "&amp;I323,"SELECT '"&amp;UPPER(B323)&amp;"' AS TABELA, '"&amp;UPPER(C323)&amp;"' AS TIPOLOGIA_TESTE,'"&amp;D323&amp;"' AS TABELA_LT,'N/A' AS TABELA_SIMUL,'"&amp;F323&amp;"' AS CAMPO, "&amp;"'${ref_date}' AS REF_DATE, COUNT(*) AS NUM_REG, SUM(IF(TRIM(CAST(X."&amp;F323&amp;" AS STRING))='' OR TRIM(CAST(X."&amp;F323&amp;" AS STRING)) IS NULL,1,0)) AS NUM_REG_DIF,'"&amp;MAX('ID1&amp;5'!K:K)+1&amp;"' AS ID_EXEC, CURRENT_TIMESTAMP() AS TIME_EXEC FROM "&amp;I323),
IF(C323="Caracteres Especiais",+"SELECT '"&amp;UPPER(B323)&amp;"' AS TABELA, '"&amp;UPPER(C323)&amp;"' AS TIPOLOGIA_TESTE,'"&amp;D323&amp;"' AS TABELA_LT,'N/A' AS TABELA_SIMUL,'"&amp;F323&amp;"' AS CAMPO, "&amp;"'${ref_date}' AS REF_DATE, COUNT(*) AS NUM_REG, SUM(IF(REGEXP_REPLACE(TRIM(CAST(X."&amp;F323&amp;" AS STRING)),'[^a-zA-Z0-9_\\s]','') &lt;&gt;TRIM(CAST(X."&amp;F323&amp;" AS STRING)),1,0)) AS NUM_REG_DIF,'"&amp;MAX('ID1&amp;5'!K:K)+1&amp;"' AS ID_EXEC, CURRENT_TIMESTAMP() AS TIME_EXEC FROM "&amp;I323,
IF(C323="Missings",+"SELECT '"&amp;UPPER(B323)&amp;"' AS TABELA, '"&amp;UPPER(C323)&amp;"' AS TIPOLOGIA_TESTE,'"&amp;D323&amp;"' AS TABELA_LT,'N/A' AS TABELA_SIMUL,'"&amp;F323&amp;"' AS CAMPO, "&amp;"'${ref_date}' AS REF_DATE, COUNT(*) AS NUM_REG, SUM(IF(TRIM(CAST(X."&amp;F323&amp;" AS STRING)) IN ('0000-00-00','0001-01-01','9999-12-31','MISS','00000','99999999999','99999999999.00','99999999999.000000'),1,0)) AS NUM_REG_DIF,'"&amp;MAX('ID1&amp;5'!K:K)+1&amp;"' AS ID_EXEC, CURRENT_TIMESTAMP() AS TIME_EXEC FROM "&amp;I323,
IF(C323="Not applicable",+"SELECT '"&amp;UPPER(B323)&amp;"' AS TABELA, '"&amp;UPPER(C323)&amp;"' AS TIPOLOGIA_TESTE,'"&amp;D323&amp;"' AS TABELA_LT,'N/A' AS TABELA_SIMUL,'"&amp;F323&amp;"' AS CAMPO, "&amp;"'${ref_date}' AS REF_DATE, COUNT(*) AS NUM_REG, SUM(IF(TRIM(CAST(X."&amp;F323&amp;" AS STRING)) IN ('N/A','11111111111','11111111111.00','11111111111.000000','1111-11-11'),1,0)) AS NUM_REG_DIF,'"&amp;MAX('ID1&amp;5'!K:K)+1&amp;"' AS ID_EXEC, CURRENT_TIMESTAMP() AS TIME_EXEC FROM "&amp;I323,
IF(C323="Valores extremos",+"SELECT '"&amp;UPPER(B323)&amp;"' AS TABELA, '"&amp;UPPER(C323)&amp;"' AS TIPOLOGIA_TESTE,'"&amp;D323&amp;"' AS TABELA_LT,'N/A' AS TABELA_SIMUL,'"&amp;F323&amp;"' AS CAMPO, "&amp;"'${ref_date}' AS REF_DATE, CAST(MIN("&amp;F323&amp;") AS STRING) AS VALOR_MIN, CAST(MAX("&amp;F323&amp;") AS STRING) AS VALOR_MAX,'"&amp;MAX('ID1&amp;5'!K:K)+1&amp;"' AS ID_EXEC, CURRENT_TIMESTAMP() AS TIME_EXEC FROM "&amp;MID(I323,1,LEN(I323)-2)&amp;" AND CAST("&amp;F323&amp;"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TABELA_SIMUL,'FLG_HGH_RSK' AS CAMPO, '${ref_date}' AS REF_DATE, COUNT(*) AS NUM_REG, SUM(IF(COALESCE(CAST(X.FLG_HGH_RSK AS STRING),'')&lt;&gt;COALESCE(CAST(Y.FLG_HGH_RSK_SIMUL AS STRING),'') OR (X.FLG_HGH_RSK IS NULL AND Y.FLG_HGH_RSK_SIMUL IS NOT NULL ) OR (X.FLG_HGH_RSK IS NOT NULL AND Y.FLG_HGH_RSK_SIMUL IS NULL),1,0)) AS NUM_REG_DIF,'1' AS ID_EXEC, CURRENT_TIMESTAMP() AS TIME_EXEC FROM (SELECT instrmnt_id, FLG_HGH_RSK FROM CD_LOAN_TAPES_BCE.LT002_INSTRUMENT WHERE ref_date='${ref_date}' AND nome_perimetro='Individual Corporativo' AND segmento='ESTR' AND ambito='PM' AND entidade='00100')X INNER JOIN (SELECT instrmnt_id AS instrmnt_id_SIMUL, FLG_HGH_RSK AS FLG_HGH_RSK_SIMUL FROM BU_LOANTAPE_WORK.LT002_INSTRUMENT WHERE ref_date='${ref_date}' AND nome_perimetro='Individual Corporativo' AND segmento='ESTR' AND ambito='PM' AND entidade='00100')Y ON X.INSTRMNT_ID=Y.INSTRMNT_ID_SIMUL</v>
      </c>
      <c r="M323" s="36" t="str">
        <f t="shared" si="5"/>
        <v>UNION ALL SELECT 'INSTRUMENT' AS TABELA, 'COERÊNCIA' AS TIPOLOGIA_TESTE,'CD_LOAN_TAPES_BCE.LT002_INSTRUMENT' AS TABELA_LT,'BU_LOANTAPE_WORK.LT002_INSTRUMENT' AS TABELA_SIMUL,'FLG_HGH_RSK' AS CAMPO, '${ref_date}' AS REF_DATE, COUNT(*) AS NUM_REG, SUM(IF(COALESCE(CAST(X.FLG_HGH_RSK AS STRING),'')&lt;&gt;COALESCE(CAST(Y.FLG_HGH_RSK_SIMUL AS STRING),'') OR (X.FLG_HGH_RSK IS NULL AND Y.FLG_HGH_RSK_SIMUL IS NOT NULL ) OR (X.FLG_HGH_RSK IS NOT NULL AND Y.FLG_HGH_RSK_SIMUL IS NULL),1,0)) AS NUM_REG_DIF,'1' AS ID_EXEC, CURRENT_TIMESTAMP() AS TIME_EXEC FROM (SELECT instrmnt_id, FLG_HGH_RSK FROM CD_LOAN_TAPES_BCE.LT002_INSTRUMENT WHERE ref_date='${ref_date}' AND nome_perimetro='Individual Corporativo' AND segmento='ESTR' AND ambito='PM' AND entidade='00100')X INNER JOIN (SELECT instrmnt_id AS instrmnt_id_SIMUL, FLG_HGH_RSK AS FLG_HGH_RSK_SIMUL FROM BU_LOANTAPE_WORK.LT002_INSTRUMENT WHERE ref_date='${ref_date}' AND nome_perimetro='Individual Corporativo' AND segmento='ESTR' AND ambito='PM' AND entidade='00100')Y ON X.INSTRMNT_ID=Y.INSTRMNT_ID_SIMUL</v>
      </c>
      <c r="N323" s="38" t="s">
        <v>46</v>
      </c>
    </row>
    <row r="324" spans="2:14" hidden="1">
      <c r="B324" s="34" t="s">
        <v>126</v>
      </c>
      <c r="C324" s="34" t="s">
        <v>5</v>
      </c>
      <c r="D324" s="34" t="str">
        <f>+UPPER('0. Instruções'!$D$35&amp;"."&amp;VLOOKUP(B324,'0. Instruções'!$C$27:$D$32,2,FALSE))</f>
        <v>CD_LOAN_TAPES_BCE.LT002_INSTRUMENT</v>
      </c>
      <c r="E324" s="34" t="str">
        <f>+UPPER('0. Instruções'!$D$36&amp;"."&amp;VLOOKUP(B324,'0. Instruções'!$C$27:$E$32,3,FALSE))</f>
        <v>BU_LOANTAPE_WORK.LT002_INSTRUMENT</v>
      </c>
      <c r="F324" s="92" t="s">
        <v>599</v>
      </c>
      <c r="G324" s="34"/>
      <c r="H324" s="34" t="s">
        <v>646</v>
      </c>
      <c r="I324" s="34" t="str">
        <f>"(SELECT "&amp;VLOOKUP(B324,'0. Instruções'!$C$27:$G$32,4,FALSE)&amp;", "&amp;F324&amp;" FROM "&amp;D324&amp;" WHERE "&amp;'0. Instruções'!$D$42&amp;")X"</f>
        <v>(SELECT instrmnt_id, PRTNR FROM CD_LOAN_TAPES_BCE.LT002_INSTRUMENT WHERE ref_date='${ref_date}' AND nome_perimetro='Individual Corporativo' AND segmento='ESTR' AND ambito='PM' AND entidade='00100')X</v>
      </c>
      <c r="J324" s="34" t="str">
        <f>"(SELECT "&amp;VLOOKUP(B324,'0. Instruções'!$C$27:$G$32,4,FALSE)&amp;" AS "&amp;VLOOKUP(B324,'0. Instruções'!$C$27:$G$32,4,FALSE)&amp;"_SIMUL, "&amp;F324&amp;" AS "&amp;F324&amp;"_SIMUL FROM "&amp;E324&amp;" WHERE "&amp;'0. Instruções'!$D$43&amp;")Y"</f>
        <v>(SELECT instrmnt_id AS instrmnt_id_SIMUL, PRTNR AS PRTNR_SIMUL FROM BU_LOANTAPE_WORK.LT002_INSTRUMENT WHERE ref_date='${ref_date}' AND nome_perimetro='Individual Corporativo' AND segmento='ESTR' AND ambito='PM' AND entidade='00100')Y</v>
      </c>
      <c r="K324" s="35" t="str">
        <f>+UPPER("ON X."&amp;VLOOKUP(B324,'0. Instruções'!$C$27:$G$32,4,FALSE)&amp;"=Y."&amp;VLOOKUP(B324,'0. Instruções'!$C$27:$G$32,4,FALSE)&amp;"_SIMUL")</f>
        <v>ON X.INSTRMNT_ID=Y.INSTRMNT_ID_SIMUL</v>
      </c>
      <c r="L324" s="35" t="str">
        <f>+IF(C324="Coerência", +IF(LEFT(G324,5)="FLOAT","SELECT '"&amp;UPPER(B324)&amp;"' AS TABELA, '"&amp;UPPER(C324)&amp;"' AS TIPOLOGIA_TESTE,'"&amp;D324&amp;"' AS TABELA_LT,'"&amp;E324&amp;"' AS TABELA_SIMUL,'"&amp;F324&amp;"' AS CAMPO, "&amp;"'${ref_date}' AS REF_DATE, COUNT(*) AS NUM_REG, SUM(IF((ABS(COALESCE(CAST(X."&amp;F324&amp;" AS DECIMAL(18,6)),0)-COALESCE(CAST(Y."&amp;F324&amp;"_SIMUL AS DECIMAL(18,6)),0))&gt;0.000001) OR (X."&amp;F324&amp;" IS NULL AND Y."&amp;F324&amp;"_SIMUL IS NOT NULL ) OR (X."&amp;F324&amp;" IS NOT NULL AND Y."&amp;F324&amp;"_SIMUL IS NULL),1,0)) AS NUM_REG_DIF,'"&amp;MAX('ID1&amp;5'!K:K)+1&amp;"' AS ID_EXEC, CURRENT_TIMESTAMP() AS TIME_EXEC FROM "&amp;I324&amp;" INNER JOIN "&amp;J324&amp;" "&amp;K324,"SELECT '"&amp;UPPER(B324)&amp;"' AS TABELA, '"&amp;UPPER(C324)&amp;"' AS TIPOLOGIA_TESTE,'"&amp;D324&amp;"' AS TABELA_LT,'"&amp;E324&amp;"' AS TABELA_SIMUL,'"&amp;F324&amp;"' AS CAMPO, "&amp;"'${ref_date}' AS REF_DATE, COUNT(*) AS NUM_REG, SUM(IF(COALESCE(CAST(X."&amp;F324&amp;" AS STRING),'')&lt;&gt;COALESCE(CAST(Y."&amp;F324&amp;"_SIMUL AS STRING),'') OR (X."&amp;F324&amp;" IS NULL AND Y."&amp;F324&amp;"_SIMUL IS NOT NULL ) OR (X."&amp;F324&amp;" IS NOT NULL AND Y."&amp;F324&amp;"_SIMUL IS NULL),1,0)) AS NUM_REG_DIF,'"&amp;MAX('ID1&amp;5'!L:L)+1&amp;"' AS ID_EXEC, CURRENT_TIMESTAMP() AS TIME_EXEC FROM "&amp;I324&amp;" INNER JOIN "&amp;J324&amp;" "&amp;K324),
IF(C324="Validade",+IF(G324="Code List","SELECT '"&amp;UPPER(B324)&amp;"' AS TABELA, '"&amp;UPPER(C324)&amp;"' AS TIPOLOGIA_TESTE,'"&amp;D324&amp;"' AS TABELA_LT,'N/A' AS TABELA_SIMUL,'"&amp;F324&amp;"' AS CAMPO, "&amp;"'${ref_date}' AS REF_DATE, COUNT(*) AS NUM_REG, SUM(IF(TRIM(CAST(X."&amp;F324&amp;" AS STRING))='' OR TRIM(CAST(X."&amp;F324&amp;" AS STRING)) IS NULL OR CAST(X."&amp;F324&amp;" AS STRING) NOT "&amp;H324&amp;",1,0)) AS NUM_REG_DIF,'"&amp;MAX('ID1&amp;5'!K:K)+1&amp;"' AS ID_EXEC, CURRENT_TIMESTAMP() AS TIME_EXEC FROM "&amp;I324,"SELECT '"&amp;UPPER(B324)&amp;"' AS TABELA, '"&amp;UPPER(C324)&amp;"' AS TIPOLOGIA_TESTE,'"&amp;D324&amp;"' AS TABELA_LT,'N/A' AS TABELA_SIMUL,'"&amp;F324&amp;"' AS CAMPO, "&amp;"'${ref_date}' AS REF_DATE, COUNT(*) AS NUM_REG, SUM(IF(TRIM(CAST(X."&amp;F324&amp;" AS STRING))='' OR TRIM(CAST(X."&amp;F324&amp;" AS STRING)) IS NULL,1,0)) AS NUM_REG_DIF,'"&amp;MAX('ID1&amp;5'!K:K)+1&amp;"' AS ID_EXEC, CURRENT_TIMESTAMP() AS TIME_EXEC FROM "&amp;I324),
IF(C324="Caracteres Especiais",+"SELECT '"&amp;UPPER(B324)&amp;"' AS TABELA, '"&amp;UPPER(C324)&amp;"' AS TIPOLOGIA_TESTE,'"&amp;D324&amp;"' AS TABELA_LT,'N/A' AS TABELA_SIMUL,'"&amp;F324&amp;"' AS CAMPO, "&amp;"'${ref_date}' AS REF_DATE, COUNT(*) AS NUM_REG, SUM(IF(REGEXP_REPLACE(TRIM(CAST(X."&amp;F324&amp;" AS STRING)),'[^a-zA-Z0-9_\\s]','') &lt;&gt;TRIM(CAST(X."&amp;F324&amp;" AS STRING)),1,0)) AS NUM_REG_DIF,'"&amp;MAX('ID1&amp;5'!K:K)+1&amp;"' AS ID_EXEC, CURRENT_TIMESTAMP() AS TIME_EXEC FROM "&amp;I324,
IF(C324="Missings",+"SELECT '"&amp;UPPER(B324)&amp;"' AS TABELA, '"&amp;UPPER(C324)&amp;"' AS TIPOLOGIA_TESTE,'"&amp;D324&amp;"' AS TABELA_LT,'N/A' AS TABELA_SIMUL,'"&amp;F324&amp;"' AS CAMPO, "&amp;"'${ref_date}' AS REF_DATE, COUNT(*) AS NUM_REG, SUM(IF(TRIM(CAST(X."&amp;F324&amp;" AS STRING)) IN ('0000-00-00','0001-01-01','9999-12-31','MISS','00000','99999999999','99999999999.00','99999999999.000000'),1,0)) AS NUM_REG_DIF,'"&amp;MAX('ID1&amp;5'!K:K)+1&amp;"' AS ID_EXEC, CURRENT_TIMESTAMP() AS TIME_EXEC FROM "&amp;I324,
IF(C324="Not applicable",+"SELECT '"&amp;UPPER(B324)&amp;"' AS TABELA, '"&amp;UPPER(C324)&amp;"' AS TIPOLOGIA_TESTE,'"&amp;D324&amp;"' AS TABELA_LT,'N/A' AS TABELA_SIMUL,'"&amp;F324&amp;"' AS CAMPO, "&amp;"'${ref_date}' AS REF_DATE, COUNT(*) AS NUM_REG, SUM(IF(TRIM(CAST(X."&amp;F324&amp;" AS STRING)) IN ('N/A','11111111111','11111111111.00','11111111111.000000','1111-11-11'),1,0)) AS NUM_REG_DIF,'"&amp;MAX('ID1&amp;5'!K:K)+1&amp;"' AS ID_EXEC, CURRENT_TIMESTAMP() AS TIME_EXEC FROM "&amp;I324,
IF(C324="Valores extremos",+"SELECT '"&amp;UPPER(B324)&amp;"' AS TABELA, '"&amp;UPPER(C324)&amp;"' AS TIPOLOGIA_TESTE,'"&amp;D324&amp;"' AS TABELA_LT,'N/A' AS TABELA_SIMUL,'"&amp;F324&amp;"' AS CAMPO, "&amp;"'${ref_date}' AS REF_DATE, CAST(MIN("&amp;F324&amp;") AS STRING) AS VALOR_MIN, CAST(MAX("&amp;F324&amp;") AS STRING) AS VALOR_MAX,'"&amp;MAX('ID1&amp;5'!K:K)+1&amp;"' AS ID_EXEC, CURRENT_TIMESTAMP() AS TIME_EXEC FROM "&amp;MID(I324,1,LEN(I324)-2)&amp;" AND CAST("&amp;F324&amp;"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TABELA_SIMUL,'PRTNR' AS CAMPO, '${ref_date}' AS REF_DATE, COUNT(*) AS NUM_REG, SUM(IF(COALESCE(CAST(X.PRTNR AS STRING),'')&lt;&gt;COALESCE(CAST(Y.PRTNR_SIMUL AS STRING),'') OR (X.PRTNR IS NULL AND Y.PRTNR_SIMUL IS NOT NULL ) OR (X.PRTNR IS NOT NULL AND Y.PRTNR_SIMUL IS NULL),1,0)) AS NUM_REG_DIF,'1' AS ID_EXEC, CURRENT_TIMESTAMP() AS TIME_EXEC FROM (SELECT instrmnt_id, PRTNR FROM CD_LOAN_TAPES_BCE.LT002_INSTRUMENT WHERE ref_date='${ref_date}' AND nome_perimetro='Individual Corporativo' AND segmento='ESTR' AND ambito='PM' AND entidade='00100')X INNER JOIN (SELECT instrmnt_id AS instrmnt_id_SIMUL, PRTNR AS PRTNR_SIMUL FROM BU_LOANTAPE_WORK.LT002_INSTRUMENT WHERE ref_date='${ref_date}' AND nome_perimetro='Individual Corporativo' AND segmento='ESTR' AND ambito='PM' AND entidade='00100')Y ON X.INSTRMNT_ID=Y.INSTRMNT_ID_SIMUL</v>
      </c>
      <c r="M324" s="36" t="str">
        <f t="shared" si="5"/>
        <v>UNION ALL SELECT 'INSTRUMENT' AS TABELA, 'COERÊNCIA' AS TIPOLOGIA_TESTE,'CD_LOAN_TAPES_BCE.LT002_INSTRUMENT' AS TABELA_LT,'BU_LOANTAPE_WORK.LT002_INSTRUMENT' AS TABELA_SIMUL,'PRTNR' AS CAMPO, '${ref_date}' AS REF_DATE, COUNT(*) AS NUM_REG, SUM(IF(COALESCE(CAST(X.PRTNR AS STRING),'')&lt;&gt;COALESCE(CAST(Y.PRTNR_SIMUL AS STRING),'') OR (X.PRTNR IS NULL AND Y.PRTNR_SIMUL IS NOT NULL ) OR (X.PRTNR IS NOT NULL AND Y.PRTNR_SIMUL IS NULL),1,0)) AS NUM_REG_DIF,'1' AS ID_EXEC, CURRENT_TIMESTAMP() AS TIME_EXEC FROM (SELECT instrmnt_id, PRTNR FROM CD_LOAN_TAPES_BCE.LT002_INSTRUMENT WHERE ref_date='${ref_date}' AND nome_perimetro='Individual Corporativo' AND segmento='ESTR' AND ambito='PM' AND entidade='00100')X INNER JOIN (SELECT instrmnt_id AS instrmnt_id_SIMUL, PRTNR AS PRTNR_SIMUL FROM BU_LOANTAPE_WORK.LT002_INSTRUMENT WHERE ref_date='${ref_date}' AND nome_perimetro='Individual Corporativo' AND segmento='ESTR' AND ambito='PM' AND entidade='00100')Y ON X.INSTRMNT_ID=Y.INSTRMNT_ID_SIMUL</v>
      </c>
      <c r="N324" s="38" t="s">
        <v>46</v>
      </c>
    </row>
    <row r="325" spans="2:14" hidden="1">
      <c r="B325" s="34" t="s">
        <v>126</v>
      </c>
      <c r="C325" s="34" t="s">
        <v>5</v>
      </c>
      <c r="D325" s="34" t="str">
        <f>+UPPER('0. Instruções'!$D$35&amp;"."&amp;VLOOKUP(B325,'0. Instruções'!$C$27:$D$32,2,FALSE))</f>
        <v>CD_LOAN_TAPES_BCE.LT002_INSTRUMENT</v>
      </c>
      <c r="E325" s="34" t="str">
        <f>+UPPER('0. Instruções'!$D$36&amp;"."&amp;VLOOKUP(B325,'0. Instruções'!$C$27:$E$32,3,FALSE))</f>
        <v>BU_LOANTAPE_WORK.LT002_INSTRUMENT</v>
      </c>
      <c r="F325" s="92" t="s">
        <v>600</v>
      </c>
      <c r="G325" s="34"/>
      <c r="H325" s="34" t="s">
        <v>92</v>
      </c>
      <c r="I325" s="34" t="str">
        <f>"(SELECT "&amp;VLOOKUP(B325,'0. Instruções'!$C$27:$G$32,4,FALSE)&amp;", "&amp;F325&amp;" FROM "&amp;D325&amp;" WHERE "&amp;'0. Instruções'!$D$42&amp;")X"</f>
        <v>(SELECT instrmnt_id, INCNTVS FROM CD_LOAN_TAPES_BCE.LT002_INSTRUMENT WHERE ref_date='${ref_date}' AND nome_perimetro='Individual Corporativo' AND segmento='ESTR' AND ambito='PM' AND entidade='00100')X</v>
      </c>
      <c r="J325" s="34" t="str">
        <f>"(SELECT "&amp;VLOOKUP(B325,'0. Instruções'!$C$27:$G$32,4,FALSE)&amp;" AS "&amp;VLOOKUP(B325,'0. Instruções'!$C$27:$G$32,4,FALSE)&amp;"_SIMUL, "&amp;F325&amp;" AS "&amp;F325&amp;"_SIMUL FROM "&amp;E325&amp;" WHERE "&amp;'0. Instruções'!$D$43&amp;")Y"</f>
        <v>(SELECT instrmnt_id AS instrmnt_id_SIMUL, INCNTVS AS INCNTVS_SIMUL FROM BU_LOANTAPE_WORK.LT002_INSTRUMENT WHERE ref_date='${ref_date}' AND nome_perimetro='Individual Corporativo' AND segmento='ESTR' AND ambito='PM' AND entidade='00100')Y</v>
      </c>
      <c r="K325" s="35" t="str">
        <f>+UPPER("ON X."&amp;VLOOKUP(B325,'0. Instruções'!$C$27:$G$32,4,FALSE)&amp;"=Y."&amp;VLOOKUP(B325,'0. Instruções'!$C$27:$G$32,4,FALSE)&amp;"_SIMUL")</f>
        <v>ON X.INSTRMNT_ID=Y.INSTRMNT_ID_SIMUL</v>
      </c>
      <c r="L325" s="35" t="str">
        <f>+IF(C325="Coerência", +IF(LEFT(G325,5)="FLOAT","SELECT '"&amp;UPPER(B325)&amp;"' AS TABELA, '"&amp;UPPER(C325)&amp;"' AS TIPOLOGIA_TESTE,'"&amp;D325&amp;"' AS TABELA_LT,'"&amp;E325&amp;"' AS TABELA_SIMUL,'"&amp;F325&amp;"' AS CAMPO, "&amp;"'${ref_date}' AS REF_DATE, COUNT(*) AS NUM_REG, SUM(IF((ABS(COALESCE(CAST(X."&amp;F325&amp;" AS DECIMAL(18,6)),0)-COALESCE(CAST(Y."&amp;F325&amp;"_SIMUL AS DECIMAL(18,6)),0))&gt;0.000001) OR (X."&amp;F325&amp;" IS NULL AND Y."&amp;F325&amp;"_SIMUL IS NOT NULL ) OR (X."&amp;F325&amp;" IS NOT NULL AND Y."&amp;F325&amp;"_SIMUL IS NULL),1,0)) AS NUM_REG_DIF,'"&amp;MAX('ID1&amp;5'!K:K)+1&amp;"' AS ID_EXEC, CURRENT_TIMESTAMP() AS TIME_EXEC FROM "&amp;I325&amp;" INNER JOIN "&amp;J325&amp;" "&amp;K325,"SELECT '"&amp;UPPER(B325)&amp;"' AS TABELA, '"&amp;UPPER(C325)&amp;"' AS TIPOLOGIA_TESTE,'"&amp;D325&amp;"' AS TABELA_LT,'"&amp;E325&amp;"' AS TABELA_SIMUL,'"&amp;F325&amp;"' AS CAMPO, "&amp;"'${ref_date}' AS REF_DATE, COUNT(*) AS NUM_REG, SUM(IF(COALESCE(CAST(X."&amp;F325&amp;" AS STRING),'')&lt;&gt;COALESCE(CAST(Y."&amp;F325&amp;"_SIMUL AS STRING),'') OR (X."&amp;F325&amp;" IS NULL AND Y."&amp;F325&amp;"_SIMUL IS NOT NULL ) OR (X."&amp;F325&amp;" IS NOT NULL AND Y."&amp;F325&amp;"_SIMUL IS NULL),1,0)) AS NUM_REG_DIF,'"&amp;MAX('ID1&amp;5'!L:L)+1&amp;"' AS ID_EXEC, CURRENT_TIMESTAMP() AS TIME_EXEC FROM "&amp;I325&amp;" INNER JOIN "&amp;J325&amp;" "&amp;K325),
IF(C325="Validade",+IF(G325="Code List","SELECT '"&amp;UPPER(B325)&amp;"' AS TABELA, '"&amp;UPPER(C325)&amp;"' AS TIPOLOGIA_TESTE,'"&amp;D325&amp;"' AS TABELA_LT,'N/A' AS TABELA_SIMUL,'"&amp;F325&amp;"' AS CAMPO, "&amp;"'${ref_date}' AS REF_DATE, COUNT(*) AS NUM_REG, SUM(IF(TRIM(CAST(X."&amp;F325&amp;" AS STRING))='' OR TRIM(CAST(X."&amp;F325&amp;" AS STRING)) IS NULL OR CAST(X."&amp;F325&amp;" AS STRING) NOT "&amp;H325&amp;",1,0)) AS NUM_REG_DIF,'"&amp;MAX('ID1&amp;5'!K:K)+1&amp;"' AS ID_EXEC, CURRENT_TIMESTAMP() AS TIME_EXEC FROM "&amp;I325,"SELECT '"&amp;UPPER(B325)&amp;"' AS TABELA, '"&amp;UPPER(C325)&amp;"' AS TIPOLOGIA_TESTE,'"&amp;D325&amp;"' AS TABELA_LT,'N/A' AS TABELA_SIMUL,'"&amp;F325&amp;"' AS CAMPO, "&amp;"'${ref_date}' AS REF_DATE, COUNT(*) AS NUM_REG, SUM(IF(TRIM(CAST(X."&amp;F325&amp;" AS STRING))='' OR TRIM(CAST(X."&amp;F325&amp;" AS STRING)) IS NULL,1,0)) AS NUM_REG_DIF,'"&amp;MAX('ID1&amp;5'!K:K)+1&amp;"' AS ID_EXEC, CURRENT_TIMESTAMP() AS TIME_EXEC FROM "&amp;I325),
IF(C325="Caracteres Especiais",+"SELECT '"&amp;UPPER(B325)&amp;"' AS TABELA, '"&amp;UPPER(C325)&amp;"' AS TIPOLOGIA_TESTE,'"&amp;D325&amp;"' AS TABELA_LT,'N/A' AS TABELA_SIMUL,'"&amp;F325&amp;"' AS CAMPO, "&amp;"'${ref_date}' AS REF_DATE, COUNT(*) AS NUM_REG, SUM(IF(REGEXP_REPLACE(TRIM(CAST(X."&amp;F325&amp;" AS STRING)),'[^a-zA-Z0-9_\\s]','') &lt;&gt;TRIM(CAST(X."&amp;F325&amp;" AS STRING)),1,0)) AS NUM_REG_DIF,'"&amp;MAX('ID1&amp;5'!K:K)+1&amp;"' AS ID_EXEC, CURRENT_TIMESTAMP() AS TIME_EXEC FROM "&amp;I325,
IF(C325="Missings",+"SELECT '"&amp;UPPER(B325)&amp;"' AS TABELA, '"&amp;UPPER(C325)&amp;"' AS TIPOLOGIA_TESTE,'"&amp;D325&amp;"' AS TABELA_LT,'N/A' AS TABELA_SIMUL,'"&amp;F325&amp;"' AS CAMPO, "&amp;"'${ref_date}' AS REF_DATE, COUNT(*) AS NUM_REG, SUM(IF(TRIM(CAST(X."&amp;F325&amp;" AS STRING)) IN ('0000-00-00','0001-01-01','9999-12-31','MISS','00000','99999999999','99999999999.00','99999999999.000000'),1,0)) AS NUM_REG_DIF,'"&amp;MAX('ID1&amp;5'!K:K)+1&amp;"' AS ID_EXEC, CURRENT_TIMESTAMP() AS TIME_EXEC FROM "&amp;I325,
IF(C325="Not applicable",+"SELECT '"&amp;UPPER(B325)&amp;"' AS TABELA, '"&amp;UPPER(C325)&amp;"' AS TIPOLOGIA_TESTE,'"&amp;D325&amp;"' AS TABELA_LT,'N/A' AS TABELA_SIMUL,'"&amp;F325&amp;"' AS CAMPO, "&amp;"'${ref_date}' AS REF_DATE, COUNT(*) AS NUM_REG, SUM(IF(TRIM(CAST(X."&amp;F325&amp;" AS STRING)) IN ('N/A','11111111111','11111111111.00','11111111111.000000','1111-11-11'),1,0)) AS NUM_REG_DIF,'"&amp;MAX('ID1&amp;5'!K:K)+1&amp;"' AS ID_EXEC, CURRENT_TIMESTAMP() AS TIME_EXEC FROM "&amp;I325,
IF(C325="Valores extremos",+"SELECT '"&amp;UPPER(B325)&amp;"' AS TABELA, '"&amp;UPPER(C325)&amp;"' AS TIPOLOGIA_TESTE,'"&amp;D325&amp;"' AS TABELA_LT,'N/A' AS TABELA_SIMUL,'"&amp;F325&amp;"' AS CAMPO, "&amp;"'${ref_date}' AS REF_DATE, CAST(MIN("&amp;F325&amp;") AS STRING) AS VALOR_MIN, CAST(MAX("&amp;F325&amp;") AS STRING) AS VALOR_MAX,'"&amp;MAX('ID1&amp;5'!K:K)+1&amp;"' AS ID_EXEC, CURRENT_TIMESTAMP() AS TIME_EXEC FROM "&amp;MID(I325,1,LEN(I325)-2)&amp;" AND CAST("&amp;F325&amp;"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TABELA_SIMUL,'INCNTVS' AS CAMPO, '${ref_date}' AS REF_DATE, COUNT(*) AS NUM_REG, SUM(IF(COALESCE(CAST(X.INCNTVS AS STRING),'')&lt;&gt;COALESCE(CAST(Y.INCNTVS_SIMUL AS STRING),'') OR (X.INCNTVS IS NULL AND Y.INCNTVS_SIMUL IS NOT NULL ) OR (X.INCNTVS IS NOT NULL AND Y.INCNTVS_SIMUL IS NULL),1,0)) AS NUM_REG_DIF,'1' AS ID_EXEC, CURRENT_TIMESTAMP() AS TIME_EXEC FROM (SELECT instrmnt_id, INCNTVS FROM CD_LOAN_TAPES_BCE.LT002_INSTRUMENT WHERE ref_date='${ref_date}' AND nome_perimetro='Individual Corporativo' AND segmento='ESTR' AND ambito='PM' AND entidade='00100')X INNER JOIN (SELECT instrmnt_id AS instrmnt_id_SIMUL, INCNTVS AS INCNTVS_SIMUL FROM BU_LOANTAPE_WORK.LT002_INSTRUMENT WHERE ref_date='${ref_date}' AND nome_perimetro='Individual Corporativo' AND segmento='ESTR' AND ambito='PM' AND entidade='00100')Y ON X.INSTRMNT_ID=Y.INSTRMNT_ID_SIMUL</v>
      </c>
      <c r="M325" s="36" t="str">
        <f t="shared" si="5"/>
        <v>UNION ALL SELECT 'INSTRUMENT' AS TABELA, 'COERÊNCIA' AS TIPOLOGIA_TESTE,'CD_LOAN_TAPES_BCE.LT002_INSTRUMENT' AS TABELA_LT,'BU_LOANTAPE_WORK.LT002_INSTRUMENT' AS TABELA_SIMUL,'INCNTVS' AS CAMPO, '${ref_date}' AS REF_DATE, COUNT(*) AS NUM_REG, SUM(IF(COALESCE(CAST(X.INCNTVS AS STRING),'')&lt;&gt;COALESCE(CAST(Y.INCNTVS_SIMUL AS STRING),'') OR (X.INCNTVS IS NULL AND Y.INCNTVS_SIMUL IS NOT NULL ) OR (X.INCNTVS IS NOT NULL AND Y.INCNTVS_SIMUL IS NULL),1,0)) AS NUM_REG_DIF,'1' AS ID_EXEC, CURRENT_TIMESTAMP() AS TIME_EXEC FROM (SELECT instrmnt_id, INCNTVS FROM CD_LOAN_TAPES_BCE.LT002_INSTRUMENT WHERE ref_date='${ref_date}' AND nome_perimetro='Individual Corporativo' AND segmento='ESTR' AND ambito='PM' AND entidade='00100')X INNER JOIN (SELECT instrmnt_id AS instrmnt_id_SIMUL, INCNTVS AS INCNTVS_SIMUL FROM BU_LOANTAPE_WORK.LT002_INSTRUMENT WHERE ref_date='${ref_date}' AND nome_perimetro='Individual Corporativo' AND segmento='ESTR' AND ambito='PM' AND entidade='00100')Y ON X.INSTRMNT_ID=Y.INSTRMNT_ID_SIMUL</v>
      </c>
      <c r="N325" s="38" t="s">
        <v>46</v>
      </c>
    </row>
    <row r="326" spans="2:14" hidden="1">
      <c r="B326" s="34" t="s">
        <v>126</v>
      </c>
      <c r="C326" s="34" t="s">
        <v>5</v>
      </c>
      <c r="D326" s="34" t="str">
        <f>+UPPER('0. Instruções'!$D$35&amp;"."&amp;VLOOKUP(B326,'0. Instruções'!$C$27:$D$32,2,FALSE))</f>
        <v>CD_LOAN_TAPES_BCE.LT002_INSTRUMENT</v>
      </c>
      <c r="E326" s="34" t="str">
        <f>+UPPER('0. Instruções'!$D$36&amp;"."&amp;VLOOKUP(B326,'0. Instruções'!$C$27:$E$32,3,FALSE))</f>
        <v>BU_LOANTAPE_WORK.LT002_INSTRUMENT</v>
      </c>
      <c r="F326" s="92" t="s">
        <v>601</v>
      </c>
      <c r="G326" s="34"/>
      <c r="H326" s="34" t="s">
        <v>92</v>
      </c>
      <c r="I326" s="34" t="str">
        <f>"(SELECT "&amp;VLOOKUP(B326,'0. Instruções'!$C$27:$G$32,4,FALSE)&amp;", "&amp;F326&amp;" FROM "&amp;D326&amp;" WHERE "&amp;'0. Instruções'!$D$42&amp;")X"</f>
        <v>(SELECT instrmnt_id, OTHR_OPRTNG_INCM FROM CD_LOAN_TAPES_BCE.LT002_INSTRUMENT WHERE ref_date='${ref_date}' AND nome_perimetro='Individual Corporativo' AND segmento='ESTR' AND ambito='PM' AND entidade='00100')X</v>
      </c>
      <c r="J326" s="34" t="str">
        <f>"(SELECT "&amp;VLOOKUP(B326,'0. Instruções'!$C$27:$G$32,4,FALSE)&amp;" AS "&amp;VLOOKUP(B326,'0. Instruções'!$C$27:$G$32,4,FALSE)&amp;"_SIMUL, "&amp;F326&amp;" AS "&amp;F326&amp;"_SIMUL FROM "&amp;E326&amp;" WHERE "&amp;'0. Instruções'!$D$43&amp;")Y"</f>
        <v>(SELECT instrmnt_id AS instrmnt_id_SIMUL, OTHR_OPRTNG_INCM AS OTHR_OPRTNG_INCM_SIMUL FROM BU_LOANTAPE_WORK.LT002_INSTRUMENT WHERE ref_date='${ref_date}' AND nome_perimetro='Individual Corporativo' AND segmento='ESTR' AND ambito='PM' AND entidade='00100')Y</v>
      </c>
      <c r="K326" s="35" t="str">
        <f>+UPPER("ON X."&amp;VLOOKUP(B326,'0. Instruções'!$C$27:$G$32,4,FALSE)&amp;"=Y."&amp;VLOOKUP(B326,'0. Instruções'!$C$27:$G$32,4,FALSE)&amp;"_SIMUL")</f>
        <v>ON X.INSTRMNT_ID=Y.INSTRMNT_ID_SIMUL</v>
      </c>
      <c r="L326" s="35" t="str">
        <f>+IF(C326="Coerência", +IF(LEFT(G326,5)="FLOAT","SELECT '"&amp;UPPER(B326)&amp;"' AS TABELA, '"&amp;UPPER(C326)&amp;"' AS TIPOLOGIA_TESTE,'"&amp;D326&amp;"' AS TABELA_LT,'"&amp;E326&amp;"' AS TABELA_SIMUL,'"&amp;F326&amp;"' AS CAMPO, "&amp;"'${ref_date}' AS REF_DATE, COUNT(*) AS NUM_REG, SUM(IF((ABS(COALESCE(CAST(X."&amp;F326&amp;" AS DECIMAL(18,6)),0)-COALESCE(CAST(Y."&amp;F326&amp;"_SIMUL AS DECIMAL(18,6)),0))&gt;0.000001) OR (X."&amp;F326&amp;" IS NULL AND Y."&amp;F326&amp;"_SIMUL IS NOT NULL ) OR (X."&amp;F326&amp;" IS NOT NULL AND Y."&amp;F326&amp;"_SIMUL IS NULL),1,0)) AS NUM_REG_DIF,'"&amp;MAX('ID1&amp;5'!K:K)+1&amp;"' AS ID_EXEC, CURRENT_TIMESTAMP() AS TIME_EXEC FROM "&amp;I326&amp;" INNER JOIN "&amp;J326&amp;" "&amp;K326,"SELECT '"&amp;UPPER(B326)&amp;"' AS TABELA, '"&amp;UPPER(C326)&amp;"' AS TIPOLOGIA_TESTE,'"&amp;D326&amp;"' AS TABELA_LT,'"&amp;E326&amp;"' AS TABELA_SIMUL,'"&amp;F326&amp;"' AS CAMPO, "&amp;"'${ref_date}' AS REF_DATE, COUNT(*) AS NUM_REG, SUM(IF(COALESCE(CAST(X."&amp;F326&amp;" AS STRING),'')&lt;&gt;COALESCE(CAST(Y."&amp;F326&amp;"_SIMUL AS STRING),'') OR (X."&amp;F326&amp;" IS NULL AND Y."&amp;F326&amp;"_SIMUL IS NOT NULL ) OR (X."&amp;F326&amp;" IS NOT NULL AND Y."&amp;F326&amp;"_SIMUL IS NULL),1,0)) AS NUM_REG_DIF,'"&amp;MAX('ID1&amp;5'!L:L)+1&amp;"' AS ID_EXEC, CURRENT_TIMESTAMP() AS TIME_EXEC FROM "&amp;I326&amp;" INNER JOIN "&amp;J326&amp;" "&amp;K326),
IF(C326="Validade",+IF(G326="Code List","SELECT '"&amp;UPPER(B326)&amp;"' AS TABELA, '"&amp;UPPER(C326)&amp;"' AS TIPOLOGIA_TESTE,'"&amp;D326&amp;"' AS TABELA_LT,'N/A' AS TABELA_SIMUL,'"&amp;F326&amp;"' AS CAMPO, "&amp;"'${ref_date}' AS REF_DATE, COUNT(*) AS NUM_REG, SUM(IF(TRIM(CAST(X."&amp;F326&amp;" AS STRING))='' OR TRIM(CAST(X."&amp;F326&amp;" AS STRING)) IS NULL OR CAST(X."&amp;F326&amp;" AS STRING) NOT "&amp;H326&amp;",1,0)) AS NUM_REG_DIF,'"&amp;MAX('ID1&amp;5'!K:K)+1&amp;"' AS ID_EXEC, CURRENT_TIMESTAMP() AS TIME_EXEC FROM "&amp;I326,"SELECT '"&amp;UPPER(B326)&amp;"' AS TABELA, '"&amp;UPPER(C326)&amp;"' AS TIPOLOGIA_TESTE,'"&amp;D326&amp;"' AS TABELA_LT,'N/A' AS TABELA_SIMUL,'"&amp;F326&amp;"' AS CAMPO, "&amp;"'${ref_date}' AS REF_DATE, COUNT(*) AS NUM_REG, SUM(IF(TRIM(CAST(X."&amp;F326&amp;" AS STRING))='' OR TRIM(CAST(X."&amp;F326&amp;" AS STRING)) IS NULL,1,0)) AS NUM_REG_DIF,'"&amp;MAX('ID1&amp;5'!K:K)+1&amp;"' AS ID_EXEC, CURRENT_TIMESTAMP() AS TIME_EXEC FROM "&amp;I326),
IF(C326="Caracteres Especiais",+"SELECT '"&amp;UPPER(B326)&amp;"' AS TABELA, '"&amp;UPPER(C326)&amp;"' AS TIPOLOGIA_TESTE,'"&amp;D326&amp;"' AS TABELA_LT,'N/A' AS TABELA_SIMUL,'"&amp;F326&amp;"' AS CAMPO, "&amp;"'${ref_date}' AS REF_DATE, COUNT(*) AS NUM_REG, SUM(IF(REGEXP_REPLACE(TRIM(CAST(X."&amp;F326&amp;" AS STRING)),'[^a-zA-Z0-9_\\s]','') &lt;&gt;TRIM(CAST(X."&amp;F326&amp;" AS STRING)),1,0)) AS NUM_REG_DIF,'"&amp;MAX('ID1&amp;5'!K:K)+1&amp;"' AS ID_EXEC, CURRENT_TIMESTAMP() AS TIME_EXEC FROM "&amp;I326,
IF(C326="Missings",+"SELECT '"&amp;UPPER(B326)&amp;"' AS TABELA, '"&amp;UPPER(C326)&amp;"' AS TIPOLOGIA_TESTE,'"&amp;D326&amp;"' AS TABELA_LT,'N/A' AS TABELA_SIMUL,'"&amp;F326&amp;"' AS CAMPO, "&amp;"'${ref_date}' AS REF_DATE, COUNT(*) AS NUM_REG, SUM(IF(TRIM(CAST(X."&amp;F326&amp;" AS STRING)) IN ('0000-00-00','0001-01-01','9999-12-31','MISS','00000','99999999999','99999999999.00','99999999999.000000'),1,0)) AS NUM_REG_DIF,'"&amp;MAX('ID1&amp;5'!K:K)+1&amp;"' AS ID_EXEC, CURRENT_TIMESTAMP() AS TIME_EXEC FROM "&amp;I326,
IF(C326="Not applicable",+"SELECT '"&amp;UPPER(B326)&amp;"' AS TABELA, '"&amp;UPPER(C326)&amp;"' AS TIPOLOGIA_TESTE,'"&amp;D326&amp;"' AS TABELA_LT,'N/A' AS TABELA_SIMUL,'"&amp;F326&amp;"' AS CAMPO, "&amp;"'${ref_date}' AS REF_DATE, COUNT(*) AS NUM_REG, SUM(IF(TRIM(CAST(X."&amp;F326&amp;" AS STRING)) IN ('N/A','11111111111','11111111111.00','11111111111.000000','1111-11-11'),1,0)) AS NUM_REG_DIF,'"&amp;MAX('ID1&amp;5'!K:K)+1&amp;"' AS ID_EXEC, CURRENT_TIMESTAMP() AS TIME_EXEC FROM "&amp;I326,
IF(C326="Valores extremos",+"SELECT '"&amp;UPPER(B326)&amp;"' AS TABELA, '"&amp;UPPER(C326)&amp;"' AS TIPOLOGIA_TESTE,'"&amp;D326&amp;"' AS TABELA_LT,'N/A' AS TABELA_SIMUL,'"&amp;F326&amp;"' AS CAMPO, "&amp;"'${ref_date}' AS REF_DATE, CAST(MIN("&amp;F326&amp;") AS STRING) AS VALOR_MIN, CAST(MAX("&amp;F326&amp;") AS STRING) AS VALOR_MAX,'"&amp;MAX('ID1&amp;5'!K:K)+1&amp;"' AS ID_EXEC, CURRENT_TIMESTAMP() AS TIME_EXEC FROM "&amp;MID(I326,1,LEN(I326)-2)&amp;" AND CAST("&amp;F326&amp;"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TABELA_SIMUL,'OTHR_OPRTNG_INCM' AS CAMPO, '${ref_date}' AS REF_DATE, COUNT(*) AS NUM_REG, SUM(IF(COALESCE(CAST(X.OTHR_OPRTNG_INCM AS STRING),'')&lt;&gt;COALESCE(CAST(Y.OTHR_OPRTNG_INCM_SIMUL AS STRING),'') OR (X.OTHR_OPRTNG_INCM IS NULL AND Y.OTHR_OPRTNG_INCM_SIMUL IS NOT NULL ) OR (X.OTHR_OPRTNG_INCM IS NOT NULL AND Y.OTHR_OPRTNG_INCM_SIMUL IS NULL),1,0)) AS NUM_REG_DIF,'1' AS ID_EXEC, CURRENT_TIMESTAMP() AS TIME_EXEC FROM (SELECT instrmnt_id, OTHR_OPRTNG_INCM FROM CD_LOAN_TAPES_BCE.LT002_INSTRUMENT WHERE ref_date='${ref_date}' AND nome_perimetro='Individual Corporativo' AND segmento='ESTR' AND ambito='PM' AND entidade='00100')X INNER JOIN (SELECT instrmnt_id AS instrmnt_id_SIMUL, OTHR_OPRTNG_INCM AS OTHR_OPRTNG_INCM_SIMUL FROM BU_LOANTAPE_WORK.LT002_INSTRUMENT WHERE ref_date='${ref_date}' AND nome_perimetro='Individual Corporativo' AND segmento='ESTR' AND ambito='PM' AND entidade='00100')Y ON X.INSTRMNT_ID=Y.INSTRMNT_ID_SIMUL</v>
      </c>
      <c r="M326" s="36" t="str">
        <f t="shared" si="5"/>
        <v>UNION ALL SELECT 'INSTRUMENT' AS TABELA, 'COERÊNCIA' AS TIPOLOGIA_TESTE,'CD_LOAN_TAPES_BCE.LT002_INSTRUMENT' AS TABELA_LT,'BU_LOANTAPE_WORK.LT002_INSTRUMENT' AS TABELA_SIMUL,'OTHR_OPRTNG_INCM' AS CAMPO, '${ref_date}' AS REF_DATE, COUNT(*) AS NUM_REG, SUM(IF(COALESCE(CAST(X.OTHR_OPRTNG_INCM AS STRING),'')&lt;&gt;COALESCE(CAST(Y.OTHR_OPRTNG_INCM_SIMUL AS STRING),'') OR (X.OTHR_OPRTNG_INCM IS NULL AND Y.OTHR_OPRTNG_INCM_SIMUL IS NOT NULL ) OR (X.OTHR_OPRTNG_INCM IS NOT NULL AND Y.OTHR_OPRTNG_INCM_SIMUL IS NULL),1,0)) AS NUM_REG_DIF,'1' AS ID_EXEC, CURRENT_TIMESTAMP() AS TIME_EXEC FROM (SELECT instrmnt_id, OTHR_OPRTNG_INCM FROM CD_LOAN_TAPES_BCE.LT002_INSTRUMENT WHERE ref_date='${ref_date}' AND nome_perimetro='Individual Corporativo' AND segmento='ESTR' AND ambito='PM' AND entidade='00100')X INNER JOIN (SELECT instrmnt_id AS instrmnt_id_SIMUL, OTHR_OPRTNG_INCM AS OTHR_OPRTNG_INCM_SIMUL FROM BU_LOANTAPE_WORK.LT002_INSTRUMENT WHERE ref_date='${ref_date}' AND nome_perimetro='Individual Corporativo' AND segmento='ESTR' AND ambito='PM' AND entidade='00100')Y ON X.INSTRMNT_ID=Y.INSTRMNT_ID_SIMUL</v>
      </c>
      <c r="N326" s="38" t="s">
        <v>46</v>
      </c>
    </row>
    <row r="327" spans="2:14" hidden="1">
      <c r="B327" s="34" t="s">
        <v>126</v>
      </c>
      <c r="C327" s="34" t="s">
        <v>5</v>
      </c>
      <c r="D327" s="34" t="str">
        <f>+UPPER('0. Instruções'!$D$35&amp;"."&amp;VLOOKUP(B327,'0. Instruções'!$C$27:$D$32,2,FALSE))</f>
        <v>CD_LOAN_TAPES_BCE.LT002_INSTRUMENT</v>
      </c>
      <c r="E327" s="34" t="str">
        <f>+UPPER('0. Instruções'!$D$36&amp;"."&amp;VLOOKUP(B327,'0. Instruções'!$C$27:$E$32,3,FALSE))</f>
        <v>BU_LOANTAPE_WORK.LT002_INSTRUMENT</v>
      </c>
      <c r="F327" s="92" t="s">
        <v>602</v>
      </c>
      <c r="G327" s="34"/>
      <c r="H327" s="34" t="s">
        <v>92</v>
      </c>
      <c r="I327" s="34" t="str">
        <f>"(SELECT "&amp;VLOOKUP(B327,'0. Instruções'!$C$27:$G$32,4,FALSE)&amp;", "&amp;F327&amp;" FROM "&amp;D327&amp;" WHERE "&amp;'0. Instruções'!$D$42&amp;")X"</f>
        <v>(SELECT instrmnt_id, RFRRL_FS FROM CD_LOAN_TAPES_BCE.LT002_INSTRUMENT WHERE ref_date='${ref_date}' AND nome_perimetro='Individual Corporativo' AND segmento='ESTR' AND ambito='PM' AND entidade='00100')X</v>
      </c>
      <c r="J327" s="34" t="str">
        <f>"(SELECT "&amp;VLOOKUP(B327,'0. Instruções'!$C$27:$G$32,4,FALSE)&amp;" AS "&amp;VLOOKUP(B327,'0. Instruções'!$C$27:$G$32,4,FALSE)&amp;"_SIMUL, "&amp;F327&amp;" AS "&amp;F327&amp;"_SIMUL FROM "&amp;E327&amp;" WHERE "&amp;'0. Instruções'!$D$43&amp;")Y"</f>
        <v>(SELECT instrmnt_id AS instrmnt_id_SIMUL, RFRRL_FS AS RFRRL_FS_SIMUL FROM BU_LOANTAPE_WORK.LT002_INSTRUMENT WHERE ref_date='${ref_date}' AND nome_perimetro='Individual Corporativo' AND segmento='ESTR' AND ambito='PM' AND entidade='00100')Y</v>
      </c>
      <c r="K327" s="35" t="str">
        <f>+UPPER("ON X."&amp;VLOOKUP(B327,'0. Instruções'!$C$27:$G$32,4,FALSE)&amp;"=Y."&amp;VLOOKUP(B327,'0. Instruções'!$C$27:$G$32,4,FALSE)&amp;"_SIMUL")</f>
        <v>ON X.INSTRMNT_ID=Y.INSTRMNT_ID_SIMUL</v>
      </c>
      <c r="L327" s="35" t="str">
        <f>+IF(C327="Coerência", +IF(LEFT(G327,5)="FLOAT","SELECT '"&amp;UPPER(B327)&amp;"' AS TABELA, '"&amp;UPPER(C327)&amp;"' AS TIPOLOGIA_TESTE,'"&amp;D327&amp;"' AS TABELA_LT,'"&amp;E327&amp;"' AS TABELA_SIMUL,'"&amp;F327&amp;"' AS CAMPO, "&amp;"'${ref_date}' AS REF_DATE, COUNT(*) AS NUM_REG, SUM(IF((ABS(COALESCE(CAST(X."&amp;F327&amp;" AS DECIMAL(18,6)),0)-COALESCE(CAST(Y."&amp;F327&amp;"_SIMUL AS DECIMAL(18,6)),0))&gt;0.000001) OR (X."&amp;F327&amp;" IS NULL AND Y."&amp;F327&amp;"_SIMUL IS NOT NULL ) OR (X."&amp;F327&amp;" IS NOT NULL AND Y."&amp;F327&amp;"_SIMUL IS NULL),1,0)) AS NUM_REG_DIF,'"&amp;MAX('ID1&amp;5'!K:K)+1&amp;"' AS ID_EXEC, CURRENT_TIMESTAMP() AS TIME_EXEC FROM "&amp;I327&amp;" INNER JOIN "&amp;J327&amp;" "&amp;K327,"SELECT '"&amp;UPPER(B327)&amp;"' AS TABELA, '"&amp;UPPER(C327)&amp;"' AS TIPOLOGIA_TESTE,'"&amp;D327&amp;"' AS TABELA_LT,'"&amp;E327&amp;"' AS TABELA_SIMUL,'"&amp;F327&amp;"' AS CAMPO, "&amp;"'${ref_date}' AS REF_DATE, COUNT(*) AS NUM_REG, SUM(IF(COALESCE(CAST(X."&amp;F327&amp;" AS STRING),'')&lt;&gt;COALESCE(CAST(Y."&amp;F327&amp;"_SIMUL AS STRING),'') OR (X."&amp;F327&amp;" IS NULL AND Y."&amp;F327&amp;"_SIMUL IS NOT NULL ) OR (X."&amp;F327&amp;" IS NOT NULL AND Y."&amp;F327&amp;"_SIMUL IS NULL),1,0)) AS NUM_REG_DIF,'"&amp;MAX('ID1&amp;5'!L:L)+1&amp;"' AS ID_EXEC, CURRENT_TIMESTAMP() AS TIME_EXEC FROM "&amp;I327&amp;" INNER JOIN "&amp;J327&amp;" "&amp;K327),
IF(C327="Validade",+IF(G327="Code List","SELECT '"&amp;UPPER(B327)&amp;"' AS TABELA, '"&amp;UPPER(C327)&amp;"' AS TIPOLOGIA_TESTE,'"&amp;D327&amp;"' AS TABELA_LT,'N/A' AS TABELA_SIMUL,'"&amp;F327&amp;"' AS CAMPO, "&amp;"'${ref_date}' AS REF_DATE, COUNT(*) AS NUM_REG, SUM(IF(TRIM(CAST(X."&amp;F327&amp;" AS STRING))='' OR TRIM(CAST(X."&amp;F327&amp;" AS STRING)) IS NULL OR CAST(X."&amp;F327&amp;" AS STRING) NOT "&amp;H327&amp;",1,0)) AS NUM_REG_DIF,'"&amp;MAX('ID1&amp;5'!K:K)+1&amp;"' AS ID_EXEC, CURRENT_TIMESTAMP() AS TIME_EXEC FROM "&amp;I327,"SELECT '"&amp;UPPER(B327)&amp;"' AS TABELA, '"&amp;UPPER(C327)&amp;"' AS TIPOLOGIA_TESTE,'"&amp;D327&amp;"' AS TABELA_LT,'N/A' AS TABELA_SIMUL,'"&amp;F327&amp;"' AS CAMPO, "&amp;"'${ref_date}' AS REF_DATE, COUNT(*) AS NUM_REG, SUM(IF(TRIM(CAST(X."&amp;F327&amp;" AS STRING))='' OR TRIM(CAST(X."&amp;F327&amp;" AS STRING)) IS NULL,1,0)) AS NUM_REG_DIF,'"&amp;MAX('ID1&amp;5'!K:K)+1&amp;"' AS ID_EXEC, CURRENT_TIMESTAMP() AS TIME_EXEC FROM "&amp;I327),
IF(C327="Caracteres Especiais",+"SELECT '"&amp;UPPER(B327)&amp;"' AS TABELA, '"&amp;UPPER(C327)&amp;"' AS TIPOLOGIA_TESTE,'"&amp;D327&amp;"' AS TABELA_LT,'N/A' AS TABELA_SIMUL,'"&amp;F327&amp;"' AS CAMPO, "&amp;"'${ref_date}' AS REF_DATE, COUNT(*) AS NUM_REG, SUM(IF(REGEXP_REPLACE(TRIM(CAST(X."&amp;F327&amp;" AS STRING)),'[^a-zA-Z0-9_\\s]','') &lt;&gt;TRIM(CAST(X."&amp;F327&amp;" AS STRING)),1,0)) AS NUM_REG_DIF,'"&amp;MAX('ID1&amp;5'!K:K)+1&amp;"' AS ID_EXEC, CURRENT_TIMESTAMP() AS TIME_EXEC FROM "&amp;I327,
IF(C327="Missings",+"SELECT '"&amp;UPPER(B327)&amp;"' AS TABELA, '"&amp;UPPER(C327)&amp;"' AS TIPOLOGIA_TESTE,'"&amp;D327&amp;"' AS TABELA_LT,'N/A' AS TABELA_SIMUL,'"&amp;F327&amp;"' AS CAMPO, "&amp;"'${ref_date}' AS REF_DATE, COUNT(*) AS NUM_REG, SUM(IF(TRIM(CAST(X."&amp;F327&amp;" AS STRING)) IN ('0000-00-00','0001-01-01','9999-12-31','MISS','00000','99999999999','99999999999.00','99999999999.000000'),1,0)) AS NUM_REG_DIF,'"&amp;MAX('ID1&amp;5'!K:K)+1&amp;"' AS ID_EXEC, CURRENT_TIMESTAMP() AS TIME_EXEC FROM "&amp;I327,
IF(C327="Not applicable",+"SELECT '"&amp;UPPER(B327)&amp;"' AS TABELA, '"&amp;UPPER(C327)&amp;"' AS TIPOLOGIA_TESTE,'"&amp;D327&amp;"' AS TABELA_LT,'N/A' AS TABELA_SIMUL,'"&amp;F327&amp;"' AS CAMPO, "&amp;"'${ref_date}' AS REF_DATE, COUNT(*) AS NUM_REG, SUM(IF(TRIM(CAST(X."&amp;F327&amp;" AS STRING)) IN ('N/A','11111111111','11111111111.00','11111111111.000000','1111-11-11'),1,0)) AS NUM_REG_DIF,'"&amp;MAX('ID1&amp;5'!K:K)+1&amp;"' AS ID_EXEC, CURRENT_TIMESTAMP() AS TIME_EXEC FROM "&amp;I327,
IF(C327="Valores extremos",+"SELECT '"&amp;UPPER(B327)&amp;"' AS TABELA, '"&amp;UPPER(C327)&amp;"' AS TIPOLOGIA_TESTE,'"&amp;D327&amp;"' AS TABELA_LT,'N/A' AS TABELA_SIMUL,'"&amp;F327&amp;"' AS CAMPO, "&amp;"'${ref_date}' AS REF_DATE, CAST(MIN("&amp;F327&amp;") AS STRING) AS VALOR_MIN, CAST(MAX("&amp;F327&amp;") AS STRING) AS VALOR_MAX,'"&amp;MAX('ID1&amp;5'!K:K)+1&amp;"' AS ID_EXEC, CURRENT_TIMESTAMP() AS TIME_EXEC FROM "&amp;MID(I327,1,LEN(I327)-2)&amp;" AND CAST("&amp;F327&amp;"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TABELA_SIMUL,'RFRRL_FS' AS CAMPO, '${ref_date}' AS REF_DATE, COUNT(*) AS NUM_REG, SUM(IF(COALESCE(CAST(X.RFRRL_FS AS STRING),'')&lt;&gt;COALESCE(CAST(Y.RFRRL_FS_SIMUL AS STRING),'') OR (X.RFRRL_FS IS NULL AND Y.RFRRL_FS_SIMUL IS NOT NULL ) OR (X.RFRRL_FS IS NOT NULL AND Y.RFRRL_FS_SIMUL IS NULL),1,0)) AS NUM_REG_DIF,'1' AS ID_EXEC, CURRENT_TIMESTAMP() AS TIME_EXEC FROM (SELECT instrmnt_id, RFRRL_FS FROM CD_LOAN_TAPES_BCE.LT002_INSTRUMENT WHERE ref_date='${ref_date}' AND nome_perimetro='Individual Corporativo' AND segmento='ESTR' AND ambito='PM' AND entidade='00100')X INNER JOIN (SELECT instrmnt_id AS instrmnt_id_SIMUL, RFRRL_FS AS RFRRL_FS_SIMUL FROM BU_LOANTAPE_WORK.LT002_INSTRUMENT WHERE ref_date='${ref_date}' AND nome_perimetro='Individual Corporativo' AND segmento='ESTR' AND ambito='PM' AND entidade='00100')Y ON X.INSTRMNT_ID=Y.INSTRMNT_ID_SIMUL</v>
      </c>
      <c r="M327" s="36" t="str">
        <f t="shared" si="5"/>
        <v>UNION ALL SELECT 'INSTRUMENT' AS TABELA, 'COERÊNCIA' AS TIPOLOGIA_TESTE,'CD_LOAN_TAPES_BCE.LT002_INSTRUMENT' AS TABELA_LT,'BU_LOANTAPE_WORK.LT002_INSTRUMENT' AS TABELA_SIMUL,'RFRRL_FS' AS CAMPO, '${ref_date}' AS REF_DATE, COUNT(*) AS NUM_REG, SUM(IF(COALESCE(CAST(X.RFRRL_FS AS STRING),'')&lt;&gt;COALESCE(CAST(Y.RFRRL_FS_SIMUL AS STRING),'') OR (X.RFRRL_FS IS NULL AND Y.RFRRL_FS_SIMUL IS NOT NULL ) OR (X.RFRRL_FS IS NOT NULL AND Y.RFRRL_FS_SIMUL IS NULL),1,0)) AS NUM_REG_DIF,'1' AS ID_EXEC, CURRENT_TIMESTAMP() AS TIME_EXEC FROM (SELECT instrmnt_id, RFRRL_FS FROM CD_LOAN_TAPES_BCE.LT002_INSTRUMENT WHERE ref_date='${ref_date}' AND nome_perimetro='Individual Corporativo' AND segmento='ESTR' AND ambito='PM' AND entidade='00100')X INNER JOIN (SELECT instrmnt_id AS instrmnt_id_SIMUL, RFRRL_FS AS RFRRL_FS_SIMUL FROM BU_LOANTAPE_WORK.LT002_INSTRUMENT WHERE ref_date='${ref_date}' AND nome_perimetro='Individual Corporativo' AND segmento='ESTR' AND ambito='PM' AND entidade='00100')Y ON X.INSTRMNT_ID=Y.INSTRMNT_ID_SIMUL</v>
      </c>
      <c r="N327" s="38" t="s">
        <v>46</v>
      </c>
    </row>
    <row r="328" spans="2:14" hidden="1">
      <c r="B328" s="34" t="s">
        <v>126</v>
      </c>
      <c r="C328" s="34" t="s">
        <v>5</v>
      </c>
      <c r="D328" s="34" t="str">
        <f>+UPPER('0. Instruções'!$D$35&amp;"."&amp;VLOOKUP(B328,'0. Instruções'!$C$27:$D$32,2,FALSE))</f>
        <v>CD_LOAN_TAPES_BCE.LT002_INSTRUMENT</v>
      </c>
      <c r="E328" s="34" t="str">
        <f>+UPPER('0. Instruções'!$D$36&amp;"."&amp;VLOOKUP(B328,'0. Instruções'!$C$27:$E$32,3,FALSE))</f>
        <v>BU_LOANTAPE_WORK.LT002_INSTRUMENT</v>
      </c>
      <c r="F328" s="92" t="s">
        <v>603</v>
      </c>
      <c r="G328" s="34"/>
      <c r="H328" s="34" t="s">
        <v>92</v>
      </c>
      <c r="I328" s="34" t="str">
        <f>"(SELECT "&amp;VLOOKUP(B328,'0. Instruções'!$C$27:$G$32,4,FALSE)&amp;", "&amp;F328&amp;" FROM "&amp;D328&amp;" WHERE "&amp;'0. Instruções'!$D$42&amp;")X"</f>
        <v>(SELECT instrmnt_id, INSRNC_CMSSNS FROM CD_LOAN_TAPES_BCE.LT002_INSTRUMENT WHERE ref_date='${ref_date}' AND nome_perimetro='Individual Corporativo' AND segmento='ESTR' AND ambito='PM' AND entidade='00100')X</v>
      </c>
      <c r="J328" s="34" t="str">
        <f>"(SELECT "&amp;VLOOKUP(B328,'0. Instruções'!$C$27:$G$32,4,FALSE)&amp;" AS "&amp;VLOOKUP(B328,'0. Instruções'!$C$27:$G$32,4,FALSE)&amp;"_SIMUL, "&amp;F328&amp;" AS "&amp;F328&amp;"_SIMUL FROM "&amp;E328&amp;" WHERE "&amp;'0. Instruções'!$D$43&amp;")Y"</f>
        <v>(SELECT instrmnt_id AS instrmnt_id_SIMUL, INSRNC_CMSSNS AS INSRNC_CMSSNS_SIMUL FROM BU_LOANTAPE_WORK.LT002_INSTRUMENT WHERE ref_date='${ref_date}' AND nome_perimetro='Individual Corporativo' AND segmento='ESTR' AND ambito='PM' AND entidade='00100')Y</v>
      </c>
      <c r="K328" s="35" t="str">
        <f>+UPPER("ON X."&amp;VLOOKUP(B328,'0. Instruções'!$C$27:$G$32,4,FALSE)&amp;"=Y."&amp;VLOOKUP(B328,'0. Instruções'!$C$27:$G$32,4,FALSE)&amp;"_SIMUL")</f>
        <v>ON X.INSTRMNT_ID=Y.INSTRMNT_ID_SIMUL</v>
      </c>
      <c r="L328" s="35" t="str">
        <f>+IF(C328="Coerência", +IF(LEFT(G328,5)="FLOAT","SELECT '"&amp;UPPER(B328)&amp;"' AS TABELA, '"&amp;UPPER(C328)&amp;"' AS TIPOLOGIA_TESTE,'"&amp;D328&amp;"' AS TABELA_LT,'"&amp;E328&amp;"' AS TABELA_SIMUL,'"&amp;F328&amp;"' AS CAMPO, "&amp;"'${ref_date}' AS REF_DATE, COUNT(*) AS NUM_REG, SUM(IF((ABS(COALESCE(CAST(X."&amp;F328&amp;" AS DECIMAL(18,6)),0)-COALESCE(CAST(Y."&amp;F328&amp;"_SIMUL AS DECIMAL(18,6)),0))&gt;0.000001) OR (X."&amp;F328&amp;" IS NULL AND Y."&amp;F328&amp;"_SIMUL IS NOT NULL ) OR (X."&amp;F328&amp;" IS NOT NULL AND Y."&amp;F328&amp;"_SIMUL IS NULL),1,0)) AS NUM_REG_DIF,'"&amp;MAX('ID1&amp;5'!K:K)+1&amp;"' AS ID_EXEC, CURRENT_TIMESTAMP() AS TIME_EXEC FROM "&amp;I328&amp;" INNER JOIN "&amp;J328&amp;" "&amp;K328,"SELECT '"&amp;UPPER(B328)&amp;"' AS TABELA, '"&amp;UPPER(C328)&amp;"' AS TIPOLOGIA_TESTE,'"&amp;D328&amp;"' AS TABELA_LT,'"&amp;E328&amp;"' AS TABELA_SIMUL,'"&amp;F328&amp;"' AS CAMPO, "&amp;"'${ref_date}' AS REF_DATE, COUNT(*) AS NUM_REG, SUM(IF(COALESCE(CAST(X."&amp;F328&amp;" AS STRING),'')&lt;&gt;COALESCE(CAST(Y."&amp;F328&amp;"_SIMUL AS STRING),'') OR (X."&amp;F328&amp;" IS NULL AND Y."&amp;F328&amp;"_SIMUL IS NOT NULL ) OR (X."&amp;F328&amp;" IS NOT NULL AND Y."&amp;F328&amp;"_SIMUL IS NULL),1,0)) AS NUM_REG_DIF,'"&amp;MAX('ID1&amp;5'!L:L)+1&amp;"' AS ID_EXEC, CURRENT_TIMESTAMP() AS TIME_EXEC FROM "&amp;I328&amp;" INNER JOIN "&amp;J328&amp;" "&amp;K328),
IF(C328="Validade",+IF(G328="Code List","SELECT '"&amp;UPPER(B328)&amp;"' AS TABELA, '"&amp;UPPER(C328)&amp;"' AS TIPOLOGIA_TESTE,'"&amp;D328&amp;"' AS TABELA_LT,'N/A' AS TABELA_SIMUL,'"&amp;F328&amp;"' AS CAMPO, "&amp;"'${ref_date}' AS REF_DATE, COUNT(*) AS NUM_REG, SUM(IF(TRIM(CAST(X."&amp;F328&amp;" AS STRING))='' OR TRIM(CAST(X."&amp;F328&amp;" AS STRING)) IS NULL OR CAST(X."&amp;F328&amp;" AS STRING) NOT "&amp;H328&amp;",1,0)) AS NUM_REG_DIF,'"&amp;MAX('ID1&amp;5'!K:K)+1&amp;"' AS ID_EXEC, CURRENT_TIMESTAMP() AS TIME_EXEC FROM "&amp;I328,"SELECT '"&amp;UPPER(B328)&amp;"' AS TABELA, '"&amp;UPPER(C328)&amp;"' AS TIPOLOGIA_TESTE,'"&amp;D328&amp;"' AS TABELA_LT,'N/A' AS TABELA_SIMUL,'"&amp;F328&amp;"' AS CAMPO, "&amp;"'${ref_date}' AS REF_DATE, COUNT(*) AS NUM_REG, SUM(IF(TRIM(CAST(X."&amp;F328&amp;" AS STRING))='' OR TRIM(CAST(X."&amp;F328&amp;" AS STRING)) IS NULL,1,0)) AS NUM_REG_DIF,'"&amp;MAX('ID1&amp;5'!K:K)+1&amp;"' AS ID_EXEC, CURRENT_TIMESTAMP() AS TIME_EXEC FROM "&amp;I328),
IF(C328="Caracteres Especiais",+"SELECT '"&amp;UPPER(B328)&amp;"' AS TABELA, '"&amp;UPPER(C328)&amp;"' AS TIPOLOGIA_TESTE,'"&amp;D328&amp;"' AS TABELA_LT,'N/A' AS TABELA_SIMUL,'"&amp;F328&amp;"' AS CAMPO, "&amp;"'${ref_date}' AS REF_DATE, COUNT(*) AS NUM_REG, SUM(IF(REGEXP_REPLACE(TRIM(CAST(X."&amp;F328&amp;" AS STRING)),'[^a-zA-Z0-9_\\s]','') &lt;&gt;TRIM(CAST(X."&amp;F328&amp;" AS STRING)),1,0)) AS NUM_REG_DIF,'"&amp;MAX('ID1&amp;5'!K:K)+1&amp;"' AS ID_EXEC, CURRENT_TIMESTAMP() AS TIME_EXEC FROM "&amp;I328,
IF(C328="Missings",+"SELECT '"&amp;UPPER(B328)&amp;"' AS TABELA, '"&amp;UPPER(C328)&amp;"' AS TIPOLOGIA_TESTE,'"&amp;D328&amp;"' AS TABELA_LT,'N/A' AS TABELA_SIMUL,'"&amp;F328&amp;"' AS CAMPO, "&amp;"'${ref_date}' AS REF_DATE, COUNT(*) AS NUM_REG, SUM(IF(TRIM(CAST(X."&amp;F328&amp;" AS STRING)) IN ('0000-00-00','0001-01-01','9999-12-31','MISS','00000','99999999999','99999999999.00','99999999999.000000'),1,0)) AS NUM_REG_DIF,'"&amp;MAX('ID1&amp;5'!K:K)+1&amp;"' AS ID_EXEC, CURRENT_TIMESTAMP() AS TIME_EXEC FROM "&amp;I328,
IF(C328="Not applicable",+"SELECT '"&amp;UPPER(B328)&amp;"' AS TABELA, '"&amp;UPPER(C328)&amp;"' AS TIPOLOGIA_TESTE,'"&amp;D328&amp;"' AS TABELA_LT,'N/A' AS TABELA_SIMUL,'"&amp;F328&amp;"' AS CAMPO, "&amp;"'${ref_date}' AS REF_DATE, COUNT(*) AS NUM_REG, SUM(IF(TRIM(CAST(X."&amp;F328&amp;" AS STRING)) IN ('N/A','11111111111','11111111111.00','11111111111.000000','1111-11-11'),1,0)) AS NUM_REG_DIF,'"&amp;MAX('ID1&amp;5'!K:K)+1&amp;"' AS ID_EXEC, CURRENT_TIMESTAMP() AS TIME_EXEC FROM "&amp;I328,
IF(C328="Valores extremos",+"SELECT '"&amp;UPPER(B328)&amp;"' AS TABELA, '"&amp;UPPER(C328)&amp;"' AS TIPOLOGIA_TESTE,'"&amp;D328&amp;"' AS TABELA_LT,'N/A' AS TABELA_SIMUL,'"&amp;F328&amp;"' AS CAMPO, "&amp;"'${ref_date}' AS REF_DATE, CAST(MIN("&amp;F328&amp;") AS STRING) AS VALOR_MIN, CAST(MAX("&amp;F328&amp;") AS STRING) AS VALOR_MAX,'"&amp;MAX('ID1&amp;5'!K:K)+1&amp;"' AS ID_EXEC, CURRENT_TIMESTAMP() AS TIME_EXEC FROM "&amp;MID(I328,1,LEN(I328)-2)&amp;" AND CAST("&amp;F328&amp;"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TABELA_SIMUL,'INSRNC_CMSSNS' AS CAMPO, '${ref_date}' AS REF_DATE, COUNT(*) AS NUM_REG, SUM(IF(COALESCE(CAST(X.INSRNC_CMSSNS AS STRING),'')&lt;&gt;COALESCE(CAST(Y.INSRNC_CMSSNS_SIMUL AS STRING),'') OR (X.INSRNC_CMSSNS IS NULL AND Y.INSRNC_CMSSNS_SIMUL IS NOT NULL ) OR (X.INSRNC_CMSSNS IS NOT NULL AND Y.INSRNC_CMSSNS_SIMUL IS NULL),1,0)) AS NUM_REG_DIF,'1' AS ID_EXEC, CURRENT_TIMESTAMP() AS TIME_EXEC FROM (SELECT instrmnt_id, INSRNC_CMSSNS FROM CD_LOAN_TAPES_BCE.LT002_INSTRUMENT WHERE ref_date='${ref_date}' AND nome_perimetro='Individual Corporativo' AND segmento='ESTR' AND ambito='PM' AND entidade='00100')X INNER JOIN (SELECT instrmnt_id AS instrmnt_id_SIMUL, INSRNC_CMSSNS AS INSRNC_CMSSNS_SIMUL FROM BU_LOANTAPE_WORK.LT002_INSTRUMENT WHERE ref_date='${ref_date}' AND nome_perimetro='Individual Corporativo' AND segmento='ESTR' AND ambito='PM' AND entidade='00100')Y ON X.INSTRMNT_ID=Y.INSTRMNT_ID_SIMUL</v>
      </c>
      <c r="M328" s="36" t="str">
        <f t="shared" si="5"/>
        <v>UNION ALL SELECT 'INSTRUMENT' AS TABELA, 'COERÊNCIA' AS TIPOLOGIA_TESTE,'CD_LOAN_TAPES_BCE.LT002_INSTRUMENT' AS TABELA_LT,'BU_LOANTAPE_WORK.LT002_INSTRUMENT' AS TABELA_SIMUL,'INSRNC_CMSSNS' AS CAMPO, '${ref_date}' AS REF_DATE, COUNT(*) AS NUM_REG, SUM(IF(COALESCE(CAST(X.INSRNC_CMSSNS AS STRING),'')&lt;&gt;COALESCE(CAST(Y.INSRNC_CMSSNS_SIMUL AS STRING),'') OR (X.INSRNC_CMSSNS IS NULL AND Y.INSRNC_CMSSNS_SIMUL IS NOT NULL ) OR (X.INSRNC_CMSSNS IS NOT NULL AND Y.INSRNC_CMSSNS_SIMUL IS NULL),1,0)) AS NUM_REG_DIF,'1' AS ID_EXEC, CURRENT_TIMESTAMP() AS TIME_EXEC FROM (SELECT instrmnt_id, INSRNC_CMSSNS FROM CD_LOAN_TAPES_BCE.LT002_INSTRUMENT WHERE ref_date='${ref_date}' AND nome_perimetro='Individual Corporativo' AND segmento='ESTR' AND ambito='PM' AND entidade='00100')X INNER JOIN (SELECT instrmnt_id AS instrmnt_id_SIMUL, INSRNC_CMSSNS AS INSRNC_CMSSNS_SIMUL FROM BU_LOANTAPE_WORK.LT002_INSTRUMENT WHERE ref_date='${ref_date}' AND nome_perimetro='Individual Corporativo' AND segmento='ESTR' AND ambito='PM' AND entidade='00100')Y ON X.INSTRMNT_ID=Y.INSTRMNT_ID_SIMUL</v>
      </c>
      <c r="N328" s="38" t="s">
        <v>46</v>
      </c>
    </row>
    <row r="329" spans="2:14" hidden="1">
      <c r="B329" s="34" t="s">
        <v>126</v>
      </c>
      <c r="C329" s="34" t="s">
        <v>5</v>
      </c>
      <c r="D329" s="34" t="str">
        <f>+UPPER('0. Instruções'!$D$35&amp;"."&amp;VLOOKUP(B329,'0. Instruções'!$C$27:$D$32,2,FALSE))</f>
        <v>CD_LOAN_TAPES_BCE.LT002_INSTRUMENT</v>
      </c>
      <c r="E329" s="34" t="str">
        <f>+UPPER('0. Instruções'!$D$36&amp;"."&amp;VLOOKUP(B329,'0. Instruções'!$C$27:$E$32,3,FALSE))</f>
        <v>BU_LOANTAPE_WORK.LT002_INSTRUMENT</v>
      </c>
      <c r="F329" s="92" t="s">
        <v>604</v>
      </c>
      <c r="G329" s="34"/>
      <c r="H329" s="34" t="s">
        <v>92</v>
      </c>
      <c r="I329" s="34" t="str">
        <f>"(SELECT "&amp;VLOOKUP(B329,'0. Instruções'!$C$27:$G$32,4,FALSE)&amp;", "&amp;F329&amp;" FROM "&amp;D329&amp;" WHERE "&amp;'0. Instruções'!$D$42&amp;")X"</f>
        <v>(SELECT instrmnt_id, OTHR_INCM_AND_CHRGS FROM CD_LOAN_TAPES_BCE.LT002_INSTRUMENT WHERE ref_date='${ref_date}' AND nome_perimetro='Individual Corporativo' AND segmento='ESTR' AND ambito='PM' AND entidade='00100')X</v>
      </c>
      <c r="J329" s="34" t="str">
        <f>"(SELECT "&amp;VLOOKUP(B329,'0. Instruções'!$C$27:$G$32,4,FALSE)&amp;" AS "&amp;VLOOKUP(B329,'0. Instruções'!$C$27:$G$32,4,FALSE)&amp;"_SIMUL, "&amp;F329&amp;" AS "&amp;F329&amp;"_SIMUL FROM "&amp;E329&amp;" WHERE "&amp;'0. Instruções'!$D$43&amp;")Y"</f>
        <v>(SELECT instrmnt_id AS instrmnt_id_SIMUL, OTHR_INCM_AND_CHRGS AS OTHR_INCM_AND_CHRGS_SIMUL FROM BU_LOANTAPE_WORK.LT002_INSTRUMENT WHERE ref_date='${ref_date}' AND nome_perimetro='Individual Corporativo' AND segmento='ESTR' AND ambito='PM' AND entidade='00100')Y</v>
      </c>
      <c r="K329" s="35" t="str">
        <f>+UPPER("ON X."&amp;VLOOKUP(B329,'0. Instruções'!$C$27:$G$32,4,FALSE)&amp;"=Y."&amp;VLOOKUP(B329,'0. Instruções'!$C$27:$G$32,4,FALSE)&amp;"_SIMUL")</f>
        <v>ON X.INSTRMNT_ID=Y.INSTRMNT_ID_SIMUL</v>
      </c>
      <c r="L329" s="35" t="str">
        <f>+IF(C329="Coerência", +IF(LEFT(G329,5)="FLOAT","SELECT '"&amp;UPPER(B329)&amp;"' AS TABELA, '"&amp;UPPER(C329)&amp;"' AS TIPOLOGIA_TESTE,'"&amp;D329&amp;"' AS TABELA_LT,'"&amp;E329&amp;"' AS TABELA_SIMUL,'"&amp;F329&amp;"' AS CAMPO, "&amp;"'${ref_date}' AS REF_DATE, COUNT(*) AS NUM_REG, SUM(IF((ABS(COALESCE(CAST(X."&amp;F329&amp;" AS DECIMAL(18,6)),0)-COALESCE(CAST(Y."&amp;F329&amp;"_SIMUL AS DECIMAL(18,6)),0))&gt;0.000001) OR (X."&amp;F329&amp;" IS NULL AND Y."&amp;F329&amp;"_SIMUL IS NOT NULL ) OR (X."&amp;F329&amp;" IS NOT NULL AND Y."&amp;F329&amp;"_SIMUL IS NULL),1,0)) AS NUM_REG_DIF,'"&amp;MAX('ID1&amp;5'!K:K)+1&amp;"' AS ID_EXEC, CURRENT_TIMESTAMP() AS TIME_EXEC FROM "&amp;I329&amp;" INNER JOIN "&amp;J329&amp;" "&amp;K329,"SELECT '"&amp;UPPER(B329)&amp;"' AS TABELA, '"&amp;UPPER(C329)&amp;"' AS TIPOLOGIA_TESTE,'"&amp;D329&amp;"' AS TABELA_LT,'"&amp;E329&amp;"' AS TABELA_SIMUL,'"&amp;F329&amp;"' AS CAMPO, "&amp;"'${ref_date}' AS REF_DATE, COUNT(*) AS NUM_REG, SUM(IF(COALESCE(CAST(X."&amp;F329&amp;" AS STRING),'')&lt;&gt;COALESCE(CAST(Y."&amp;F329&amp;"_SIMUL AS STRING),'') OR (X."&amp;F329&amp;" IS NULL AND Y."&amp;F329&amp;"_SIMUL IS NOT NULL ) OR (X."&amp;F329&amp;" IS NOT NULL AND Y."&amp;F329&amp;"_SIMUL IS NULL),1,0)) AS NUM_REG_DIF,'"&amp;MAX('ID1&amp;5'!L:L)+1&amp;"' AS ID_EXEC, CURRENT_TIMESTAMP() AS TIME_EXEC FROM "&amp;I329&amp;" INNER JOIN "&amp;J329&amp;" "&amp;K329),
IF(C329="Validade",+IF(G329="Code List","SELECT '"&amp;UPPER(B329)&amp;"' AS TABELA, '"&amp;UPPER(C329)&amp;"' AS TIPOLOGIA_TESTE,'"&amp;D329&amp;"' AS TABELA_LT,'N/A' AS TABELA_SIMUL,'"&amp;F329&amp;"' AS CAMPO, "&amp;"'${ref_date}' AS REF_DATE, COUNT(*) AS NUM_REG, SUM(IF(TRIM(CAST(X."&amp;F329&amp;" AS STRING))='' OR TRIM(CAST(X."&amp;F329&amp;" AS STRING)) IS NULL OR CAST(X."&amp;F329&amp;" AS STRING) NOT "&amp;H329&amp;",1,0)) AS NUM_REG_DIF,'"&amp;MAX('ID1&amp;5'!K:K)+1&amp;"' AS ID_EXEC, CURRENT_TIMESTAMP() AS TIME_EXEC FROM "&amp;I329,"SELECT '"&amp;UPPER(B329)&amp;"' AS TABELA, '"&amp;UPPER(C329)&amp;"' AS TIPOLOGIA_TESTE,'"&amp;D329&amp;"' AS TABELA_LT,'N/A' AS TABELA_SIMUL,'"&amp;F329&amp;"' AS CAMPO, "&amp;"'${ref_date}' AS REF_DATE, COUNT(*) AS NUM_REG, SUM(IF(TRIM(CAST(X."&amp;F329&amp;" AS STRING))='' OR TRIM(CAST(X."&amp;F329&amp;" AS STRING)) IS NULL,1,0)) AS NUM_REG_DIF,'"&amp;MAX('ID1&amp;5'!K:K)+1&amp;"' AS ID_EXEC, CURRENT_TIMESTAMP() AS TIME_EXEC FROM "&amp;I329),
IF(C329="Caracteres Especiais",+"SELECT '"&amp;UPPER(B329)&amp;"' AS TABELA, '"&amp;UPPER(C329)&amp;"' AS TIPOLOGIA_TESTE,'"&amp;D329&amp;"' AS TABELA_LT,'N/A' AS TABELA_SIMUL,'"&amp;F329&amp;"' AS CAMPO, "&amp;"'${ref_date}' AS REF_DATE, COUNT(*) AS NUM_REG, SUM(IF(REGEXP_REPLACE(TRIM(CAST(X."&amp;F329&amp;" AS STRING)),'[^a-zA-Z0-9_\\s]','') &lt;&gt;TRIM(CAST(X."&amp;F329&amp;" AS STRING)),1,0)) AS NUM_REG_DIF,'"&amp;MAX('ID1&amp;5'!K:K)+1&amp;"' AS ID_EXEC, CURRENT_TIMESTAMP() AS TIME_EXEC FROM "&amp;I329,
IF(C329="Missings",+"SELECT '"&amp;UPPER(B329)&amp;"' AS TABELA, '"&amp;UPPER(C329)&amp;"' AS TIPOLOGIA_TESTE,'"&amp;D329&amp;"' AS TABELA_LT,'N/A' AS TABELA_SIMUL,'"&amp;F329&amp;"' AS CAMPO, "&amp;"'${ref_date}' AS REF_DATE, COUNT(*) AS NUM_REG, SUM(IF(TRIM(CAST(X."&amp;F329&amp;" AS STRING)) IN ('0000-00-00','0001-01-01','9999-12-31','MISS','00000','99999999999','99999999999.00','99999999999.000000'),1,0)) AS NUM_REG_DIF,'"&amp;MAX('ID1&amp;5'!K:K)+1&amp;"' AS ID_EXEC, CURRENT_TIMESTAMP() AS TIME_EXEC FROM "&amp;I329,
IF(C329="Not applicable",+"SELECT '"&amp;UPPER(B329)&amp;"' AS TABELA, '"&amp;UPPER(C329)&amp;"' AS TIPOLOGIA_TESTE,'"&amp;D329&amp;"' AS TABELA_LT,'N/A' AS TABELA_SIMUL,'"&amp;F329&amp;"' AS CAMPO, "&amp;"'${ref_date}' AS REF_DATE, COUNT(*) AS NUM_REG, SUM(IF(TRIM(CAST(X."&amp;F329&amp;" AS STRING)) IN ('N/A','11111111111','11111111111.00','11111111111.000000','1111-11-11'),1,0)) AS NUM_REG_DIF,'"&amp;MAX('ID1&amp;5'!K:K)+1&amp;"' AS ID_EXEC, CURRENT_TIMESTAMP() AS TIME_EXEC FROM "&amp;I329,
IF(C329="Valores extremos",+"SELECT '"&amp;UPPER(B329)&amp;"' AS TABELA, '"&amp;UPPER(C329)&amp;"' AS TIPOLOGIA_TESTE,'"&amp;D329&amp;"' AS TABELA_LT,'N/A' AS TABELA_SIMUL,'"&amp;F329&amp;"' AS CAMPO, "&amp;"'${ref_date}' AS REF_DATE, CAST(MIN("&amp;F329&amp;") AS STRING) AS VALOR_MIN, CAST(MAX("&amp;F329&amp;") AS STRING) AS VALOR_MAX,'"&amp;MAX('ID1&amp;5'!K:K)+1&amp;"' AS ID_EXEC, CURRENT_TIMESTAMP() AS TIME_EXEC FROM "&amp;MID(I329,1,LEN(I329)-2)&amp;" AND CAST("&amp;F329&amp;"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TABELA_SIMUL,'OTHR_INCM_AND_CHRGS' AS CAMPO, '${ref_date}' AS REF_DATE, COUNT(*) AS NUM_REG, SUM(IF(COALESCE(CAST(X.OTHR_INCM_AND_CHRGS AS STRING),'')&lt;&gt;COALESCE(CAST(Y.OTHR_INCM_AND_CHRGS_SIMUL AS STRING),'') OR (X.OTHR_INCM_AND_CHRGS IS NULL AND Y.OTHR_INCM_AND_CHRGS_SIMUL IS NOT NULL ) OR (X.OTHR_INCM_AND_CHRGS IS NOT NULL AND Y.OTHR_INCM_AND_CHRGS_SIMUL IS NULL),1,0)) AS NUM_REG_DIF,'1' AS ID_EXEC, CURRENT_TIMESTAMP() AS TIME_EXEC FROM (SELECT instrmnt_id, OTHR_INCM_AND_CHRGS FROM CD_LOAN_TAPES_BCE.LT002_INSTRUMENT WHERE ref_date='${ref_date}' AND nome_perimetro='Individual Corporativo' AND segmento='ESTR' AND ambito='PM' AND entidade='00100')X INNER JOIN (SELECT instrmnt_id AS instrmnt_id_SIMUL, OTHR_INCM_AND_CHRGS AS OTHR_INCM_AND_CHRGS_SIMUL FROM BU_LOANTAPE_WORK.LT002_INSTRUMENT WHERE ref_date='${ref_date}' AND nome_perimetro='Individual Corporativo' AND segmento='ESTR' AND ambito='PM' AND entidade='00100')Y ON X.INSTRMNT_ID=Y.INSTRMNT_ID_SIMUL</v>
      </c>
      <c r="M329" s="36" t="str">
        <f t="shared" si="5"/>
        <v>UNION ALL SELECT 'INSTRUMENT' AS TABELA, 'COERÊNCIA' AS TIPOLOGIA_TESTE,'CD_LOAN_TAPES_BCE.LT002_INSTRUMENT' AS TABELA_LT,'BU_LOANTAPE_WORK.LT002_INSTRUMENT' AS TABELA_SIMUL,'OTHR_INCM_AND_CHRGS' AS CAMPO, '${ref_date}' AS REF_DATE, COUNT(*) AS NUM_REG, SUM(IF(COALESCE(CAST(X.OTHR_INCM_AND_CHRGS AS STRING),'')&lt;&gt;COALESCE(CAST(Y.OTHR_INCM_AND_CHRGS_SIMUL AS STRING),'') OR (X.OTHR_INCM_AND_CHRGS IS NULL AND Y.OTHR_INCM_AND_CHRGS_SIMUL IS NOT NULL ) OR (X.OTHR_INCM_AND_CHRGS IS NOT NULL AND Y.OTHR_INCM_AND_CHRGS_SIMUL IS NULL),1,0)) AS NUM_REG_DIF,'1' AS ID_EXEC, CURRENT_TIMESTAMP() AS TIME_EXEC FROM (SELECT instrmnt_id, OTHR_INCM_AND_CHRGS FROM CD_LOAN_TAPES_BCE.LT002_INSTRUMENT WHERE ref_date='${ref_date}' AND nome_perimetro='Individual Corporativo' AND segmento='ESTR' AND ambito='PM' AND entidade='00100')X INNER JOIN (SELECT instrmnt_id AS instrmnt_id_SIMUL, OTHR_INCM_AND_CHRGS AS OTHR_INCM_AND_CHRGS_SIMUL FROM BU_LOANTAPE_WORK.LT002_INSTRUMENT WHERE ref_date='${ref_date}' AND nome_perimetro='Individual Corporativo' AND segmento='ESTR' AND ambito='PM' AND entidade='00100')Y ON X.INSTRMNT_ID=Y.INSTRMNT_ID_SIMUL</v>
      </c>
      <c r="N329" s="38" t="s">
        <v>46</v>
      </c>
    </row>
    <row r="330" spans="2:14" hidden="1">
      <c r="B330" s="34" t="s">
        <v>126</v>
      </c>
      <c r="C330" s="34" t="s">
        <v>5</v>
      </c>
      <c r="D330" s="34" t="str">
        <f>+UPPER('0. Instruções'!$D$35&amp;"."&amp;VLOOKUP(B330,'0. Instruções'!$C$27:$D$32,2,FALSE))</f>
        <v>CD_LOAN_TAPES_BCE.LT002_INSTRUMENT</v>
      </c>
      <c r="E330" s="34" t="str">
        <f>+UPPER('0. Instruções'!$D$36&amp;"."&amp;VLOOKUP(B330,'0. Instruções'!$C$27:$E$32,3,FALSE))</f>
        <v>BU_LOANTAPE_WORK.LT002_INSTRUMENT</v>
      </c>
      <c r="F330" s="92" t="s">
        <v>605</v>
      </c>
      <c r="G330" s="34"/>
      <c r="H330" s="34" t="s">
        <v>92</v>
      </c>
      <c r="I330" s="34" t="str">
        <f>"(SELECT "&amp;VLOOKUP(B330,'0. Instruções'!$C$27:$G$32,4,FALSE)&amp;", "&amp;F330&amp;" FROM "&amp;D330&amp;" WHERE "&amp;'0. Instruções'!$D$42&amp;")X"</f>
        <v>(SELECT instrmnt_id, TX_ON_PRFT FROM CD_LOAN_TAPES_BCE.LT002_INSTRUMENT WHERE ref_date='${ref_date}' AND nome_perimetro='Individual Corporativo' AND segmento='ESTR' AND ambito='PM' AND entidade='00100')X</v>
      </c>
      <c r="J330" s="34" t="str">
        <f>"(SELECT "&amp;VLOOKUP(B330,'0. Instruções'!$C$27:$G$32,4,FALSE)&amp;" AS "&amp;VLOOKUP(B330,'0. Instruções'!$C$27:$G$32,4,FALSE)&amp;"_SIMUL, "&amp;F330&amp;" AS "&amp;F330&amp;"_SIMUL FROM "&amp;E330&amp;" WHERE "&amp;'0. Instruções'!$D$43&amp;")Y"</f>
        <v>(SELECT instrmnt_id AS instrmnt_id_SIMUL, TX_ON_PRFT AS TX_ON_PRFT_SIMUL FROM BU_LOANTAPE_WORK.LT002_INSTRUMENT WHERE ref_date='${ref_date}' AND nome_perimetro='Individual Corporativo' AND segmento='ESTR' AND ambito='PM' AND entidade='00100')Y</v>
      </c>
      <c r="K330" s="35" t="str">
        <f>+UPPER("ON X."&amp;VLOOKUP(B330,'0. Instruções'!$C$27:$G$32,4,FALSE)&amp;"=Y."&amp;VLOOKUP(B330,'0. Instruções'!$C$27:$G$32,4,FALSE)&amp;"_SIMUL")</f>
        <v>ON X.INSTRMNT_ID=Y.INSTRMNT_ID_SIMUL</v>
      </c>
      <c r="L330" s="35" t="str">
        <f>+IF(C330="Coerência", +IF(LEFT(G330,5)="FLOAT","SELECT '"&amp;UPPER(B330)&amp;"' AS TABELA, '"&amp;UPPER(C330)&amp;"' AS TIPOLOGIA_TESTE,'"&amp;D330&amp;"' AS TABELA_LT,'"&amp;E330&amp;"' AS TABELA_SIMUL,'"&amp;F330&amp;"' AS CAMPO, "&amp;"'${ref_date}' AS REF_DATE, COUNT(*) AS NUM_REG, SUM(IF((ABS(COALESCE(CAST(X."&amp;F330&amp;" AS DECIMAL(18,6)),0)-COALESCE(CAST(Y."&amp;F330&amp;"_SIMUL AS DECIMAL(18,6)),0))&gt;0.000001) OR (X."&amp;F330&amp;" IS NULL AND Y."&amp;F330&amp;"_SIMUL IS NOT NULL ) OR (X."&amp;F330&amp;" IS NOT NULL AND Y."&amp;F330&amp;"_SIMUL IS NULL),1,0)) AS NUM_REG_DIF,'"&amp;MAX('ID1&amp;5'!K:K)+1&amp;"' AS ID_EXEC, CURRENT_TIMESTAMP() AS TIME_EXEC FROM "&amp;I330&amp;" INNER JOIN "&amp;J330&amp;" "&amp;K330,"SELECT '"&amp;UPPER(B330)&amp;"' AS TABELA, '"&amp;UPPER(C330)&amp;"' AS TIPOLOGIA_TESTE,'"&amp;D330&amp;"' AS TABELA_LT,'"&amp;E330&amp;"' AS TABELA_SIMUL,'"&amp;F330&amp;"' AS CAMPO, "&amp;"'${ref_date}' AS REF_DATE, COUNT(*) AS NUM_REG, SUM(IF(COALESCE(CAST(X."&amp;F330&amp;" AS STRING),'')&lt;&gt;COALESCE(CAST(Y."&amp;F330&amp;"_SIMUL AS STRING),'') OR (X."&amp;F330&amp;" IS NULL AND Y."&amp;F330&amp;"_SIMUL IS NOT NULL ) OR (X."&amp;F330&amp;" IS NOT NULL AND Y."&amp;F330&amp;"_SIMUL IS NULL),1,0)) AS NUM_REG_DIF,'"&amp;MAX('ID1&amp;5'!L:L)+1&amp;"' AS ID_EXEC, CURRENT_TIMESTAMP() AS TIME_EXEC FROM "&amp;I330&amp;" INNER JOIN "&amp;J330&amp;" "&amp;K330),
IF(C330="Validade",+IF(G330="Code List","SELECT '"&amp;UPPER(B330)&amp;"' AS TABELA, '"&amp;UPPER(C330)&amp;"' AS TIPOLOGIA_TESTE,'"&amp;D330&amp;"' AS TABELA_LT,'N/A' AS TABELA_SIMUL,'"&amp;F330&amp;"' AS CAMPO, "&amp;"'${ref_date}' AS REF_DATE, COUNT(*) AS NUM_REG, SUM(IF(TRIM(CAST(X."&amp;F330&amp;" AS STRING))='' OR TRIM(CAST(X."&amp;F330&amp;" AS STRING)) IS NULL OR CAST(X."&amp;F330&amp;" AS STRING) NOT "&amp;H330&amp;",1,0)) AS NUM_REG_DIF,'"&amp;MAX('ID1&amp;5'!K:K)+1&amp;"' AS ID_EXEC, CURRENT_TIMESTAMP() AS TIME_EXEC FROM "&amp;I330,"SELECT '"&amp;UPPER(B330)&amp;"' AS TABELA, '"&amp;UPPER(C330)&amp;"' AS TIPOLOGIA_TESTE,'"&amp;D330&amp;"' AS TABELA_LT,'N/A' AS TABELA_SIMUL,'"&amp;F330&amp;"' AS CAMPO, "&amp;"'${ref_date}' AS REF_DATE, COUNT(*) AS NUM_REG, SUM(IF(TRIM(CAST(X."&amp;F330&amp;" AS STRING))='' OR TRIM(CAST(X."&amp;F330&amp;" AS STRING)) IS NULL,1,0)) AS NUM_REG_DIF,'"&amp;MAX('ID1&amp;5'!K:K)+1&amp;"' AS ID_EXEC, CURRENT_TIMESTAMP() AS TIME_EXEC FROM "&amp;I330),
IF(C330="Caracteres Especiais",+"SELECT '"&amp;UPPER(B330)&amp;"' AS TABELA, '"&amp;UPPER(C330)&amp;"' AS TIPOLOGIA_TESTE,'"&amp;D330&amp;"' AS TABELA_LT,'N/A' AS TABELA_SIMUL,'"&amp;F330&amp;"' AS CAMPO, "&amp;"'${ref_date}' AS REF_DATE, COUNT(*) AS NUM_REG, SUM(IF(REGEXP_REPLACE(TRIM(CAST(X."&amp;F330&amp;" AS STRING)),'[^a-zA-Z0-9_\\s]','') &lt;&gt;TRIM(CAST(X."&amp;F330&amp;" AS STRING)),1,0)) AS NUM_REG_DIF,'"&amp;MAX('ID1&amp;5'!K:K)+1&amp;"' AS ID_EXEC, CURRENT_TIMESTAMP() AS TIME_EXEC FROM "&amp;I330,
IF(C330="Missings",+"SELECT '"&amp;UPPER(B330)&amp;"' AS TABELA, '"&amp;UPPER(C330)&amp;"' AS TIPOLOGIA_TESTE,'"&amp;D330&amp;"' AS TABELA_LT,'N/A' AS TABELA_SIMUL,'"&amp;F330&amp;"' AS CAMPO, "&amp;"'${ref_date}' AS REF_DATE, COUNT(*) AS NUM_REG, SUM(IF(TRIM(CAST(X."&amp;F330&amp;" AS STRING)) IN ('0000-00-00','0001-01-01','9999-12-31','MISS','00000','99999999999','99999999999.00','99999999999.000000'),1,0)) AS NUM_REG_DIF,'"&amp;MAX('ID1&amp;5'!K:K)+1&amp;"' AS ID_EXEC, CURRENT_TIMESTAMP() AS TIME_EXEC FROM "&amp;I330,
IF(C330="Not applicable",+"SELECT '"&amp;UPPER(B330)&amp;"' AS TABELA, '"&amp;UPPER(C330)&amp;"' AS TIPOLOGIA_TESTE,'"&amp;D330&amp;"' AS TABELA_LT,'N/A' AS TABELA_SIMUL,'"&amp;F330&amp;"' AS CAMPO, "&amp;"'${ref_date}' AS REF_DATE, COUNT(*) AS NUM_REG, SUM(IF(TRIM(CAST(X."&amp;F330&amp;" AS STRING)) IN ('N/A','11111111111','11111111111.00','11111111111.000000','1111-11-11'),1,0)) AS NUM_REG_DIF,'"&amp;MAX('ID1&amp;5'!K:K)+1&amp;"' AS ID_EXEC, CURRENT_TIMESTAMP() AS TIME_EXEC FROM "&amp;I330,
IF(C330="Valores extremos",+"SELECT '"&amp;UPPER(B330)&amp;"' AS TABELA, '"&amp;UPPER(C330)&amp;"' AS TIPOLOGIA_TESTE,'"&amp;D330&amp;"' AS TABELA_LT,'N/A' AS TABELA_SIMUL,'"&amp;F330&amp;"' AS CAMPO, "&amp;"'${ref_date}' AS REF_DATE, CAST(MIN("&amp;F330&amp;") AS STRING) AS VALOR_MIN, CAST(MAX("&amp;F330&amp;") AS STRING) AS VALOR_MAX,'"&amp;MAX('ID1&amp;5'!K:K)+1&amp;"' AS ID_EXEC, CURRENT_TIMESTAMP() AS TIME_EXEC FROM "&amp;MID(I330,1,LEN(I330)-2)&amp;" AND CAST("&amp;F330&amp;" AS STRING) NOT IN ('0000-00-00','0001-01-01','9999-12-31','MISS','00000','99999999999','99999999999.00','99999999999.000000','N/A','11111111111','11111111111.00','11111111111.000000','1111-11-11'))X"))))))</f>
        <v>SELECT 'INSTRUMENT' AS TABELA, 'COERÊNCIA' AS TIPOLOGIA_TESTE,'CD_LOAN_TAPES_BCE.LT002_INSTRUMENT' AS TABELA_LT,'BU_LOANTAPE_WORK.LT002_INSTRUMENT' AS TABELA_SIMUL,'TX_ON_PRFT' AS CAMPO, '${ref_date}' AS REF_DATE, COUNT(*) AS NUM_REG, SUM(IF(COALESCE(CAST(X.TX_ON_PRFT AS STRING),'')&lt;&gt;COALESCE(CAST(Y.TX_ON_PRFT_SIMUL AS STRING),'') OR (X.TX_ON_PRFT IS NULL AND Y.TX_ON_PRFT_SIMUL IS NOT NULL ) OR (X.TX_ON_PRFT IS NOT NULL AND Y.TX_ON_PRFT_SIMUL IS NULL),1,0)) AS NUM_REG_DIF,'1' AS ID_EXEC, CURRENT_TIMESTAMP() AS TIME_EXEC FROM (SELECT instrmnt_id, TX_ON_PRFT FROM CD_LOAN_TAPES_BCE.LT002_INSTRUMENT WHERE ref_date='${ref_date}' AND nome_perimetro='Individual Corporativo' AND segmento='ESTR' AND ambito='PM' AND entidade='00100')X INNER JOIN (SELECT instrmnt_id AS instrmnt_id_SIMUL, TX_ON_PRFT AS TX_ON_PRFT_SIMUL FROM BU_LOANTAPE_WORK.LT002_INSTRUMENT WHERE ref_date='${ref_date}' AND nome_perimetro='Individual Corporativo' AND segmento='ESTR' AND ambito='PM' AND entidade='00100')Y ON X.INSTRMNT_ID=Y.INSTRMNT_ID_SIMUL</v>
      </c>
      <c r="M330" s="36" t="str">
        <f t="shared" si="5"/>
        <v>UNION ALL SELECT 'INSTRUMENT' AS TABELA, 'COERÊNCIA' AS TIPOLOGIA_TESTE,'CD_LOAN_TAPES_BCE.LT002_INSTRUMENT' AS TABELA_LT,'BU_LOANTAPE_WORK.LT002_INSTRUMENT' AS TABELA_SIMUL,'TX_ON_PRFT' AS CAMPO, '${ref_date}' AS REF_DATE, COUNT(*) AS NUM_REG, SUM(IF(COALESCE(CAST(X.TX_ON_PRFT AS STRING),'')&lt;&gt;COALESCE(CAST(Y.TX_ON_PRFT_SIMUL AS STRING),'') OR (X.TX_ON_PRFT IS NULL AND Y.TX_ON_PRFT_SIMUL IS NOT NULL ) OR (X.TX_ON_PRFT IS NOT NULL AND Y.TX_ON_PRFT_SIMUL IS NULL),1,0)) AS NUM_REG_DIF,'1' AS ID_EXEC, CURRENT_TIMESTAMP() AS TIME_EXEC FROM (SELECT instrmnt_id, TX_ON_PRFT FROM CD_LOAN_TAPES_BCE.LT002_INSTRUMENT WHERE ref_date='${ref_date}' AND nome_perimetro='Individual Corporativo' AND segmento='ESTR' AND ambito='PM' AND entidade='00100')X INNER JOIN (SELECT instrmnt_id AS instrmnt_id_SIMUL, TX_ON_PRFT AS TX_ON_PRFT_SIMUL FROM BU_LOANTAPE_WORK.LT002_INSTRUMENT WHERE ref_date='${ref_date}' AND nome_perimetro='Individual Corporativo' AND segmento='ESTR' AND ambito='PM' AND entidade='00100')Y ON X.INSTRMNT_ID=Y.INSTRMNT_ID_SIMUL</v>
      </c>
      <c r="N330" s="38" t="s">
        <v>46</v>
      </c>
    </row>
    <row r="331" spans="2:14" hidden="1">
      <c r="B331" s="34" t="s">
        <v>322</v>
      </c>
      <c r="C331" s="34" t="s">
        <v>5</v>
      </c>
      <c r="D331" s="34" t="str">
        <f>+UPPER('0. Instruções'!$D$35&amp;"."&amp;VLOOKUP(B331,'0. Instruções'!$C$27:$D$32,2,FALSE))</f>
        <v>CD_LOAN_TAPES_BCE.LT006_INSTR_PROT</v>
      </c>
      <c r="E331" s="34" t="str">
        <f>+UPPER('0. Instruções'!$D$36&amp;"."&amp;VLOOKUP(B331,'0. Instruções'!$C$27:$E$32,3,FALSE))</f>
        <v>BU_LOANTAPE_WORK.LT006_INSTR_PROT</v>
      </c>
      <c r="F331" s="34" t="s">
        <v>109</v>
      </c>
      <c r="G331" s="34"/>
      <c r="H331" s="34" t="s">
        <v>644</v>
      </c>
      <c r="I331" s="34" t="str">
        <f>"(SELECT "&amp;VLOOKUP(B331,'0. Instruções'!$C$27:$G$32,4,FALSE)&amp;", "&amp;F331&amp;" FROM "&amp;D331&amp;" WHERE "&amp;'0. Instruções'!$D$42&amp;")X"</f>
        <v>(SELECT instrmnt_id, COD_SOC FROM CD_LOAN_TAPES_BCE.LT006_INSTR_PROT WHERE ref_date='${ref_date}' AND nome_perimetro='Individual Corporativo' AND segmento='ESTR' AND ambito='PM' AND entidade='00100')X</v>
      </c>
      <c r="J331" s="34" t="str">
        <f>"(SELECT "&amp;VLOOKUP(B331,'0. Instruções'!$C$27:$G$32,4,FALSE)&amp;" AS "&amp;VLOOKUP(B331,'0. Instruções'!$C$27:$G$32,4,FALSE)&amp;"_SIMUL, "&amp;F331&amp;" AS "&amp;F331&amp;"_SIMUL FROM "&amp;E331&amp;" WHERE "&amp;'0. Instruções'!$D$43&amp;")Y"</f>
        <v>(SELECT instrmnt_id AS instrmnt_id_SIMUL, COD_SOC AS COD_SOC_SIMUL FROM BU_LOANTAPE_WORK.LT006_INSTR_PROT WHERE ref_date='${ref_date}' AND nome_perimetro='Individual Corporativo' AND segmento='ESTR' AND ambito='PM' AND entidade='00100')Y</v>
      </c>
      <c r="K331" s="35" t="s">
        <v>658</v>
      </c>
      <c r="L331" s="35" t="str">
        <f>+IF(C331="Coerência", +IF(LEFT(G331,5)="FLOAT","SELECT '"&amp;UPPER(B331)&amp;"' AS TABELA, '"&amp;UPPER(C331)&amp;"' AS TIPOLOGIA_TESTE,'"&amp;D331&amp;"' AS TABELA_LT,'"&amp;E331&amp;"' AS TABELA_SIMUL,'"&amp;F331&amp;"' AS CAMPO, "&amp;"'${ref_date}' AS REF_DATE, COUNT(*) AS NUM_REG, SUM(IF((ABS(COALESCE(CAST(X."&amp;F331&amp;" AS DECIMAL(18,6)),0)-COALESCE(CAST(Y."&amp;F331&amp;"_SIMUL AS DECIMAL(18,6)),0))&gt;0.000001) OR (X."&amp;F331&amp;" IS NULL AND Y."&amp;F331&amp;"_SIMUL IS NOT NULL ) OR (X."&amp;F331&amp;" IS NOT NULL AND Y."&amp;F331&amp;"_SIMUL IS NULL),1,0)) AS NUM_REG_DIF,'"&amp;MAX('ID1&amp;5'!K:K)+1&amp;"' AS ID_EXEC, CURRENT_TIMESTAMP() AS TIME_EXEC FROM "&amp;I331&amp;" INNER JOIN "&amp;J331&amp;" "&amp;K331,"SELECT '"&amp;UPPER(B331)&amp;"' AS TABELA, '"&amp;UPPER(C331)&amp;"' AS TIPOLOGIA_TESTE,'"&amp;D331&amp;"' AS TABELA_LT,'"&amp;E331&amp;"' AS TABELA_SIMUL,'"&amp;F331&amp;"' AS CAMPO, "&amp;"'${ref_date}' AS REF_DATE, COUNT(*) AS NUM_REG, SUM(IF(COALESCE(CAST(X."&amp;F331&amp;" AS STRING),'')&lt;&gt;COALESCE(CAST(Y."&amp;F331&amp;"_SIMUL AS STRING),'') OR (X."&amp;F331&amp;" IS NULL AND Y."&amp;F331&amp;"_SIMUL IS NOT NULL ) OR (X."&amp;F331&amp;" IS NOT NULL AND Y."&amp;F331&amp;"_SIMUL IS NULL),1,0)) AS NUM_REG_DIF,'"&amp;MAX('ID1&amp;5'!L:L)+1&amp;"' AS ID_EXEC, CURRENT_TIMESTAMP() AS TIME_EXEC FROM "&amp;I331&amp;" INNER JOIN "&amp;J331&amp;" "&amp;K331),
IF(C331="Validade",+IF(G331="Code List","SELECT '"&amp;UPPER(B331)&amp;"' AS TABELA, '"&amp;UPPER(C331)&amp;"' AS TIPOLOGIA_TESTE,'"&amp;D331&amp;"' AS TABELA_LT,'N/A' AS TABELA_SIMUL,'"&amp;F331&amp;"' AS CAMPO, "&amp;"'${ref_date}' AS REF_DATE, COUNT(*) AS NUM_REG, SUM(IF(TRIM(CAST(X."&amp;F331&amp;" AS STRING))='' OR TRIM(CAST(X."&amp;F331&amp;" AS STRING)) IS NULL OR CAST(X."&amp;F331&amp;" AS STRING) NOT "&amp;H331&amp;",1,0)) AS NUM_REG_DIF,'"&amp;MAX('ID1&amp;5'!K:K)+1&amp;"' AS ID_EXEC, CURRENT_TIMESTAMP() AS TIME_EXEC FROM "&amp;I331,"SELECT '"&amp;UPPER(B331)&amp;"' AS TABELA, '"&amp;UPPER(C331)&amp;"' AS TIPOLOGIA_TESTE,'"&amp;D331&amp;"' AS TABELA_LT,'N/A' AS TABELA_SIMUL,'"&amp;F331&amp;"' AS CAMPO, "&amp;"'${ref_date}' AS REF_DATE, COUNT(*) AS NUM_REG, SUM(IF(TRIM(CAST(X."&amp;F331&amp;" AS STRING))='' OR TRIM(CAST(X."&amp;F331&amp;" AS STRING)) IS NULL,1,0)) AS NUM_REG_DIF,'"&amp;MAX('ID1&amp;5'!K:K)+1&amp;"' AS ID_EXEC, CURRENT_TIMESTAMP() AS TIME_EXEC FROM "&amp;I331),
IF(C331="Caracteres Especiais",+"SELECT '"&amp;UPPER(B331)&amp;"' AS TABELA, '"&amp;UPPER(C331)&amp;"' AS TIPOLOGIA_TESTE,'"&amp;D331&amp;"' AS TABELA_LT,'N/A' AS TABELA_SIMUL,'"&amp;F331&amp;"' AS CAMPO, "&amp;"'${ref_date}' AS REF_DATE, COUNT(*) AS NUM_REG, SUM(IF(REGEXP_REPLACE(TRIM(CAST(X."&amp;F331&amp;" AS STRING)),'[^a-zA-Z0-9_\\s]','') &lt;&gt;TRIM(CAST(X."&amp;F331&amp;" AS STRING)),1,0)) AS NUM_REG_DIF,'"&amp;MAX('ID1&amp;5'!K:K)+1&amp;"' AS ID_EXEC, CURRENT_TIMESTAMP() AS TIME_EXEC FROM "&amp;I331,
IF(C331="Missings",+"SELECT '"&amp;UPPER(B331)&amp;"' AS TABELA, '"&amp;UPPER(C331)&amp;"' AS TIPOLOGIA_TESTE,'"&amp;D331&amp;"' AS TABELA_LT,'N/A' AS TABELA_SIMUL,'"&amp;F331&amp;"' AS CAMPO, "&amp;"'${ref_date}' AS REF_DATE, COUNT(*) AS NUM_REG, SUM(IF(TRIM(CAST(X."&amp;F331&amp;" AS STRING)) IN ('0000-00-00','0001-01-01','9999-12-31','MISS','00000','99999999999','99999999999.00','99999999999.000000'),1,0)) AS NUM_REG_DIF,'"&amp;MAX('ID1&amp;5'!K:K)+1&amp;"' AS ID_EXEC, CURRENT_TIMESTAMP() AS TIME_EXEC FROM "&amp;I331,
IF(C331="Not applicable",+"SELECT '"&amp;UPPER(B331)&amp;"' AS TABELA, '"&amp;UPPER(C331)&amp;"' AS TIPOLOGIA_TESTE,'"&amp;D331&amp;"' AS TABELA_LT,'N/A' AS TABELA_SIMUL,'"&amp;F331&amp;"' AS CAMPO, "&amp;"'${ref_date}' AS REF_DATE, COUNT(*) AS NUM_REG, SUM(IF(TRIM(CAST(X."&amp;F331&amp;" AS STRING)) IN ('N/A','11111111111','11111111111.00','11111111111.000000','1111-11-11'),1,0)) AS NUM_REG_DIF,'"&amp;MAX('ID1&amp;5'!K:K)+1&amp;"' AS ID_EXEC, CURRENT_TIMESTAMP() AS TIME_EXEC FROM "&amp;I331,
IF(C331="Valores extremos",+"SELECT '"&amp;UPPER(B331)&amp;"' AS TABELA, '"&amp;UPPER(C331)&amp;"' AS TIPOLOGIA_TESTE,'"&amp;D331&amp;"' AS TABELA_LT,'N/A' AS TABELA_SIMUL,'"&amp;F331&amp;"' AS CAMPO, "&amp;"'${ref_date}' AS REF_DATE, CAST(MIN("&amp;F331&amp;") AS STRING) AS VALOR_MIN, CAST(MAX("&amp;F331&amp;") AS STRING) AS VALOR_MAX,'"&amp;MAX('ID1&amp;5'!K:K)+1&amp;"' AS ID_EXEC, CURRENT_TIMESTAMP() AS TIME_EXEC FROM "&amp;MID(I331,1,LEN(I331)-2)&amp;" AND CAST("&amp;F331&amp;" AS STRING) NOT IN ('0000-00-00','0001-01-01','9999-12-31','MISS','00000','99999999999','99999999999.00','99999999999.000000','N/A','11111111111','11111111111.00','11111111111.000000','1111-11-11'))X"))))))</f>
        <v>SELECT 'INSTR_PROTECTION' AS TABELA, 'COERÊNCIA' AS TIPOLOGIA_TESTE,'CD_LOAN_TAPES_BCE.LT006_INSTR_PROT' AS TABELA_LT,'BU_LOANTAPE_WORK.LT006_INSTR_PROT' AS TABELA_SIMUL,'COD_SOC' AS CAMPO, '${ref_date}' AS REF_DATE, COUNT(*) AS NUM_REG, SUM(IF(COALESCE(CAST(X.COD_SOC AS STRING),'')&lt;&gt;COALESCE(CAST(Y.COD_SOC_SIMUL AS STRING),'') OR (X.COD_SOC IS NULL AND Y.COD_SOC_SIMUL IS NOT NULL ) OR (X.COD_SOC IS NOT NULL AND Y.COD_SOC_SIMUL IS NULL),1,0)) AS NUM_REG_DIF,'1' AS ID_EXEC, CURRENT_TIMESTAMP() AS TIME_EXEC FROM (SELECT instrmnt_id, COD_SOC FROM CD_LOAN_TAPES_BCE.LT006_INSTR_PROT WHERE ref_date='${ref_date}' AND nome_perimetro='Individual Corporativo' AND segmento='ESTR' AND ambito='PM' AND entidade='00100')X INNER JOIN (SELECT instrmnt_id AS instrmnt_id_SIMUL, COD_SOC AS COD_SOC_SIMUL FROM BU_LOANTAPE_WORK.LT006_INSTR_PROT WHERE ref_date='${ref_date}' AND nome_perimetro='Individual Corporativo' AND segmento='ESTR' AND ambito='PM' AND entidade='00100')Y ON X.INSTRMNT_ID=Y.INSTRMNT_ID_SIMUL AND X.prtctn_id=Y.prtctn_id_SIMUL</v>
      </c>
      <c r="M331" s="36" t="str">
        <f t="shared" ref="M331:M348" si="6">+"UNION ALL "&amp;L331</f>
        <v>UNION ALL SELECT 'INSTR_PROTECTION' AS TABELA, 'COERÊNCIA' AS TIPOLOGIA_TESTE,'CD_LOAN_TAPES_BCE.LT006_INSTR_PROT' AS TABELA_LT,'BU_LOANTAPE_WORK.LT006_INSTR_PROT' AS TABELA_SIMUL,'COD_SOC' AS CAMPO, '${ref_date}' AS REF_DATE, COUNT(*) AS NUM_REG, SUM(IF(COALESCE(CAST(X.COD_SOC AS STRING),'')&lt;&gt;COALESCE(CAST(Y.COD_SOC_SIMUL AS STRING),'') OR (X.COD_SOC IS NULL AND Y.COD_SOC_SIMUL IS NOT NULL ) OR (X.COD_SOC IS NOT NULL AND Y.COD_SOC_SIMUL IS NULL),1,0)) AS NUM_REG_DIF,'1' AS ID_EXEC, CURRENT_TIMESTAMP() AS TIME_EXEC FROM (SELECT instrmnt_id, COD_SOC FROM CD_LOAN_TAPES_BCE.LT006_INSTR_PROT WHERE ref_date='${ref_date}' AND nome_perimetro='Individual Corporativo' AND segmento='ESTR' AND ambito='PM' AND entidade='00100')X INNER JOIN (SELECT instrmnt_id AS instrmnt_id_SIMUL, COD_SOC AS COD_SOC_SIMUL FROM BU_LOANTAPE_WORK.LT006_INSTR_PROT WHERE ref_date='${ref_date}' AND nome_perimetro='Individual Corporativo' AND segmento='ESTR' AND ambito='PM' AND entidade='00100')Y ON X.INSTRMNT_ID=Y.INSTRMNT_ID_SIMUL AND X.prtctn_id=Y.prtctn_id_SIMUL</v>
      </c>
      <c r="N331" s="38" t="s">
        <v>46</v>
      </c>
    </row>
    <row r="332" spans="2:14" hidden="1">
      <c r="B332" s="34" t="s">
        <v>322</v>
      </c>
      <c r="C332" s="34" t="s">
        <v>5</v>
      </c>
      <c r="D332" s="34" t="str">
        <f>+UPPER('0. Instruções'!$D$35&amp;"."&amp;VLOOKUP(B332,'0. Instruções'!$C$27:$D$32,2,FALSE))</f>
        <v>CD_LOAN_TAPES_BCE.LT006_INSTR_PROT</v>
      </c>
      <c r="E332" s="34" t="str">
        <f>+UPPER('0. Instruções'!$D$36&amp;"."&amp;VLOOKUP(B332,'0. Instruções'!$C$27:$E$32,3,FALSE))</f>
        <v>BU_LOANTAPE_WORK.LT006_INSTR_PROT</v>
      </c>
      <c r="F332" s="34" t="s">
        <v>606</v>
      </c>
      <c r="G332" s="34"/>
      <c r="H332" s="34" t="s">
        <v>92</v>
      </c>
      <c r="I332" s="34" t="str">
        <f>"(SELECT "&amp;VLOOKUP(B332,'0. Instruções'!$C$27:$G$32,4,FALSE)&amp;", "&amp;F332&amp;" FROM "&amp;D332&amp;" WHERE "&amp;'0. Instruções'!$D$42&amp;")X"</f>
        <v>(SELECT instrmnt_id, PRTCTN_ALLCTD_VL FROM CD_LOAN_TAPES_BCE.LT006_INSTR_PROT WHERE ref_date='${ref_date}' AND nome_perimetro='Individual Corporativo' AND segmento='ESTR' AND ambito='PM' AND entidade='00100')X</v>
      </c>
      <c r="J332" s="34" t="str">
        <f>"(SELECT "&amp;VLOOKUP(B332,'0. Instruções'!$C$27:$G$32,4,FALSE)&amp;" AS "&amp;VLOOKUP(B332,'0. Instruções'!$C$27:$G$32,4,FALSE)&amp;"_SIMUL, "&amp;F332&amp;" AS "&amp;F332&amp;"_SIMUL FROM "&amp;E332&amp;" WHERE "&amp;'0. Instruções'!$D$43&amp;")Y"</f>
        <v>(SELECT instrmnt_id AS instrmnt_id_SIMUL, PRTCTN_ALLCTD_VL AS PRTCTN_ALLCTD_VL_SIMUL FROM BU_LOANTAPE_WORK.LT006_INSTR_PROT WHERE ref_date='${ref_date}' AND nome_perimetro='Individual Corporativo' AND segmento='ESTR' AND ambito='PM' AND entidade='00100')Y</v>
      </c>
      <c r="K332" s="35" t="s">
        <v>658</v>
      </c>
      <c r="L332" s="35" t="str">
        <f>+IF(C332="Coerência", +IF(LEFT(G332,5)="FLOAT","SELECT '"&amp;UPPER(B332)&amp;"' AS TABELA, '"&amp;UPPER(C332)&amp;"' AS TIPOLOGIA_TESTE,'"&amp;D332&amp;"' AS TABELA_LT,'"&amp;E332&amp;"' AS TABELA_SIMUL,'"&amp;F332&amp;"' AS CAMPO, "&amp;"'${ref_date}' AS REF_DATE, COUNT(*) AS NUM_REG, SUM(IF((ABS(COALESCE(CAST(X."&amp;F332&amp;" AS DECIMAL(18,6)),0)-COALESCE(CAST(Y."&amp;F332&amp;"_SIMUL AS DECIMAL(18,6)),0))&gt;0.000001) OR (X."&amp;F332&amp;" IS NULL AND Y."&amp;F332&amp;"_SIMUL IS NOT NULL ) OR (X."&amp;F332&amp;" IS NOT NULL AND Y."&amp;F332&amp;"_SIMUL IS NULL),1,0)) AS NUM_REG_DIF,'"&amp;MAX('ID1&amp;5'!K:K)+1&amp;"' AS ID_EXEC, CURRENT_TIMESTAMP() AS TIME_EXEC FROM "&amp;I332&amp;" INNER JOIN "&amp;J332&amp;" "&amp;K332,"SELECT '"&amp;UPPER(B332)&amp;"' AS TABELA, '"&amp;UPPER(C332)&amp;"' AS TIPOLOGIA_TESTE,'"&amp;D332&amp;"' AS TABELA_LT,'"&amp;E332&amp;"' AS TABELA_SIMUL,'"&amp;F332&amp;"' AS CAMPO, "&amp;"'${ref_date}' AS REF_DATE, COUNT(*) AS NUM_REG, SUM(IF(COALESCE(CAST(X."&amp;F332&amp;" AS STRING),'')&lt;&gt;COALESCE(CAST(Y."&amp;F332&amp;"_SIMUL AS STRING),'') OR (X."&amp;F332&amp;" IS NULL AND Y."&amp;F332&amp;"_SIMUL IS NOT NULL ) OR (X."&amp;F332&amp;" IS NOT NULL AND Y."&amp;F332&amp;"_SIMUL IS NULL),1,0)) AS NUM_REG_DIF,'"&amp;MAX('ID1&amp;5'!L:L)+1&amp;"' AS ID_EXEC, CURRENT_TIMESTAMP() AS TIME_EXEC FROM "&amp;I332&amp;" INNER JOIN "&amp;J332&amp;" "&amp;K332),
IF(C332="Validade",+IF(G332="Code List","SELECT '"&amp;UPPER(B332)&amp;"' AS TABELA, '"&amp;UPPER(C332)&amp;"' AS TIPOLOGIA_TESTE,'"&amp;D332&amp;"' AS TABELA_LT,'N/A' AS TABELA_SIMUL,'"&amp;F332&amp;"' AS CAMPO, "&amp;"'${ref_date}' AS REF_DATE, COUNT(*) AS NUM_REG, SUM(IF(TRIM(CAST(X."&amp;F332&amp;" AS STRING))='' OR TRIM(CAST(X."&amp;F332&amp;" AS STRING)) IS NULL OR CAST(X."&amp;F332&amp;" AS STRING) NOT "&amp;H332&amp;",1,0)) AS NUM_REG_DIF,'"&amp;MAX('ID1&amp;5'!K:K)+1&amp;"' AS ID_EXEC, CURRENT_TIMESTAMP() AS TIME_EXEC FROM "&amp;I332,"SELECT '"&amp;UPPER(B332)&amp;"' AS TABELA, '"&amp;UPPER(C332)&amp;"' AS TIPOLOGIA_TESTE,'"&amp;D332&amp;"' AS TABELA_LT,'N/A' AS TABELA_SIMUL,'"&amp;F332&amp;"' AS CAMPO, "&amp;"'${ref_date}' AS REF_DATE, COUNT(*) AS NUM_REG, SUM(IF(TRIM(CAST(X."&amp;F332&amp;" AS STRING))='' OR TRIM(CAST(X."&amp;F332&amp;" AS STRING)) IS NULL,1,0)) AS NUM_REG_DIF,'"&amp;MAX('ID1&amp;5'!K:K)+1&amp;"' AS ID_EXEC, CURRENT_TIMESTAMP() AS TIME_EXEC FROM "&amp;I332),
IF(C332="Caracteres Especiais",+"SELECT '"&amp;UPPER(B332)&amp;"' AS TABELA, '"&amp;UPPER(C332)&amp;"' AS TIPOLOGIA_TESTE,'"&amp;D332&amp;"' AS TABELA_LT,'N/A' AS TABELA_SIMUL,'"&amp;F332&amp;"' AS CAMPO, "&amp;"'${ref_date}' AS REF_DATE, COUNT(*) AS NUM_REG, SUM(IF(REGEXP_REPLACE(TRIM(CAST(X."&amp;F332&amp;" AS STRING)),'[^a-zA-Z0-9_\\s]','') &lt;&gt;TRIM(CAST(X."&amp;F332&amp;" AS STRING)),1,0)) AS NUM_REG_DIF,'"&amp;MAX('ID1&amp;5'!K:K)+1&amp;"' AS ID_EXEC, CURRENT_TIMESTAMP() AS TIME_EXEC FROM "&amp;I332,
IF(C332="Missings",+"SELECT '"&amp;UPPER(B332)&amp;"' AS TABELA, '"&amp;UPPER(C332)&amp;"' AS TIPOLOGIA_TESTE,'"&amp;D332&amp;"' AS TABELA_LT,'N/A' AS TABELA_SIMUL,'"&amp;F332&amp;"' AS CAMPO, "&amp;"'${ref_date}' AS REF_DATE, COUNT(*) AS NUM_REG, SUM(IF(TRIM(CAST(X."&amp;F332&amp;" AS STRING)) IN ('0000-00-00','0001-01-01','9999-12-31','MISS','00000','99999999999','99999999999.00','99999999999.000000'),1,0)) AS NUM_REG_DIF,'"&amp;MAX('ID1&amp;5'!K:K)+1&amp;"' AS ID_EXEC, CURRENT_TIMESTAMP() AS TIME_EXEC FROM "&amp;I332,
IF(C332="Not applicable",+"SELECT '"&amp;UPPER(B332)&amp;"' AS TABELA, '"&amp;UPPER(C332)&amp;"' AS TIPOLOGIA_TESTE,'"&amp;D332&amp;"' AS TABELA_LT,'N/A' AS TABELA_SIMUL,'"&amp;F332&amp;"' AS CAMPO, "&amp;"'${ref_date}' AS REF_DATE, COUNT(*) AS NUM_REG, SUM(IF(TRIM(CAST(X."&amp;F332&amp;" AS STRING)) IN ('N/A','11111111111','11111111111.00','11111111111.000000','1111-11-11'),1,0)) AS NUM_REG_DIF,'"&amp;MAX('ID1&amp;5'!K:K)+1&amp;"' AS ID_EXEC, CURRENT_TIMESTAMP() AS TIME_EXEC FROM "&amp;I332,
IF(C332="Valores extremos",+"SELECT '"&amp;UPPER(B332)&amp;"' AS TABELA, '"&amp;UPPER(C332)&amp;"' AS TIPOLOGIA_TESTE,'"&amp;D332&amp;"' AS TABELA_LT,'N/A' AS TABELA_SIMUL,'"&amp;F332&amp;"' AS CAMPO, "&amp;"'${ref_date}' AS REF_DATE, CAST(MIN("&amp;F332&amp;") AS STRING) AS VALOR_MIN, CAST(MAX("&amp;F332&amp;") AS STRING) AS VALOR_MAX,'"&amp;MAX('ID1&amp;5'!K:K)+1&amp;"' AS ID_EXEC, CURRENT_TIMESTAMP() AS TIME_EXEC FROM "&amp;MID(I332,1,LEN(I332)-2)&amp;" AND CAST("&amp;F332&amp;" AS STRING) NOT IN ('0000-00-00','0001-01-01','9999-12-31','MISS','00000','99999999999','99999999999.00','99999999999.000000','N/A','11111111111','11111111111.00','11111111111.000000','1111-11-11'))X"))))))</f>
        <v>SELECT 'INSTR_PROTECTION' AS TABELA, 'COERÊNCIA' AS TIPOLOGIA_TESTE,'CD_LOAN_TAPES_BCE.LT006_INSTR_PROT' AS TABELA_LT,'BU_LOANTAPE_WORK.LT006_INSTR_PROT' AS TABELA_SIMUL,'PRTCTN_ALLCTD_VL' AS CAMPO, '${ref_date}' AS REF_DATE, COUNT(*) AS NUM_REG, SUM(IF(COALESCE(CAST(X.PRTCTN_ALLCTD_VL AS STRING),'')&lt;&gt;COALESCE(CAST(Y.PRTCTN_ALLCTD_VL_SIMUL AS STRING),'') OR (X.PRTCTN_ALLCTD_VL IS NULL AND Y.PRTCTN_ALLCTD_VL_SIMUL IS NOT NULL ) OR (X.PRTCTN_ALLCTD_VL IS NOT NULL AND Y.PRTCTN_ALLCTD_VL_SIMUL IS NULL),1,0)) AS NUM_REG_DIF,'1' AS ID_EXEC, CURRENT_TIMESTAMP() AS TIME_EXEC FROM (SELECT instrmnt_id, PRTCTN_ALLCTD_VL FROM CD_LOAN_TAPES_BCE.LT006_INSTR_PROT WHERE ref_date='${ref_date}' AND nome_perimetro='Individual Corporativo' AND segmento='ESTR' AND ambito='PM' AND entidade='00100')X INNER JOIN (SELECT instrmnt_id AS instrmnt_id_SIMUL, PRTCTN_ALLCTD_VL AS PRTCTN_ALLCTD_VL_SIMUL FROM BU_LOANTAPE_WORK.LT006_INSTR_PROT WHERE ref_date='${ref_date}' AND nome_perimetro='Individual Corporativo' AND segmento='ESTR' AND ambito='PM' AND entidade='00100')Y ON X.INSTRMNT_ID=Y.INSTRMNT_ID_SIMUL AND X.prtctn_id=Y.prtctn_id_SIMUL</v>
      </c>
      <c r="M332" s="36" t="str">
        <f t="shared" si="6"/>
        <v>UNION ALL SELECT 'INSTR_PROTECTION' AS TABELA, 'COERÊNCIA' AS TIPOLOGIA_TESTE,'CD_LOAN_TAPES_BCE.LT006_INSTR_PROT' AS TABELA_LT,'BU_LOANTAPE_WORK.LT006_INSTR_PROT' AS TABELA_SIMUL,'PRTCTN_ALLCTD_VL' AS CAMPO, '${ref_date}' AS REF_DATE, COUNT(*) AS NUM_REG, SUM(IF(COALESCE(CAST(X.PRTCTN_ALLCTD_VL AS STRING),'')&lt;&gt;COALESCE(CAST(Y.PRTCTN_ALLCTD_VL_SIMUL AS STRING),'') OR (X.PRTCTN_ALLCTD_VL IS NULL AND Y.PRTCTN_ALLCTD_VL_SIMUL IS NOT NULL ) OR (X.PRTCTN_ALLCTD_VL IS NOT NULL AND Y.PRTCTN_ALLCTD_VL_SIMUL IS NULL),1,0)) AS NUM_REG_DIF,'1' AS ID_EXEC, CURRENT_TIMESTAMP() AS TIME_EXEC FROM (SELECT instrmnt_id, PRTCTN_ALLCTD_VL FROM CD_LOAN_TAPES_BCE.LT006_INSTR_PROT WHERE ref_date='${ref_date}' AND nome_perimetro='Individual Corporativo' AND segmento='ESTR' AND ambito='PM' AND entidade='00100')X INNER JOIN (SELECT instrmnt_id AS instrmnt_id_SIMUL, PRTCTN_ALLCTD_VL AS PRTCTN_ALLCTD_VL_SIMUL FROM BU_LOANTAPE_WORK.LT006_INSTR_PROT WHERE ref_date='${ref_date}' AND nome_perimetro='Individual Corporativo' AND segmento='ESTR' AND ambito='PM' AND entidade='00100')Y ON X.INSTRMNT_ID=Y.INSTRMNT_ID_SIMUL AND X.prtctn_id=Y.prtctn_id_SIMUL</v>
      </c>
      <c r="N332" s="38" t="s">
        <v>46</v>
      </c>
    </row>
    <row r="333" spans="2:14" hidden="1">
      <c r="B333" s="34" t="s">
        <v>322</v>
      </c>
      <c r="C333" s="34" t="s">
        <v>5</v>
      </c>
      <c r="D333" s="34" t="str">
        <f>+UPPER('0. Instruções'!$D$35&amp;"."&amp;VLOOKUP(B333,'0. Instruções'!$C$27:$D$32,2,FALSE))</f>
        <v>CD_LOAN_TAPES_BCE.LT006_INSTR_PROT</v>
      </c>
      <c r="E333" s="34" t="str">
        <f>+UPPER('0. Instruções'!$D$36&amp;"."&amp;VLOOKUP(B333,'0. Instruções'!$C$27:$E$32,3,FALSE))</f>
        <v>BU_LOANTAPE_WORK.LT006_INSTR_PROT</v>
      </c>
      <c r="F333" s="34" t="s">
        <v>607</v>
      </c>
      <c r="G333" s="34"/>
      <c r="H333" s="34" t="s">
        <v>92</v>
      </c>
      <c r="I333" s="34" t="str">
        <f>"(SELECT "&amp;VLOOKUP(B333,'0. Instruções'!$C$27:$G$32,4,FALSE)&amp;", "&amp;F333&amp;" FROM "&amp;D333&amp;" WHERE "&amp;'0. Instruções'!$D$42&amp;")X"</f>
        <v>(SELECT instrmnt_id, THRD_PRTY_PRRTY_CLMS FROM CD_LOAN_TAPES_BCE.LT006_INSTR_PROT WHERE ref_date='${ref_date}' AND nome_perimetro='Individual Corporativo' AND segmento='ESTR' AND ambito='PM' AND entidade='00100')X</v>
      </c>
      <c r="J333" s="34" t="str">
        <f>"(SELECT "&amp;VLOOKUP(B333,'0. Instruções'!$C$27:$G$32,4,FALSE)&amp;" AS "&amp;VLOOKUP(B333,'0. Instruções'!$C$27:$G$32,4,FALSE)&amp;"_SIMUL, "&amp;F333&amp;" AS "&amp;F333&amp;"_SIMUL FROM "&amp;E333&amp;" WHERE "&amp;'0. Instruções'!$D$43&amp;")Y"</f>
        <v>(SELECT instrmnt_id AS instrmnt_id_SIMUL, THRD_PRTY_PRRTY_CLMS AS THRD_PRTY_PRRTY_CLMS_SIMUL FROM BU_LOANTAPE_WORK.LT006_INSTR_PROT WHERE ref_date='${ref_date}' AND nome_perimetro='Individual Corporativo' AND segmento='ESTR' AND ambito='PM' AND entidade='00100')Y</v>
      </c>
      <c r="K333" s="35" t="s">
        <v>658</v>
      </c>
      <c r="L333" s="35" t="str">
        <f>+IF(C333="Coerência", +IF(LEFT(G333,5)="FLOAT","SELECT '"&amp;UPPER(B333)&amp;"' AS TABELA, '"&amp;UPPER(C333)&amp;"' AS TIPOLOGIA_TESTE,'"&amp;D333&amp;"' AS TABELA_LT,'"&amp;E333&amp;"' AS TABELA_SIMUL,'"&amp;F333&amp;"' AS CAMPO, "&amp;"'${ref_date}' AS REF_DATE, COUNT(*) AS NUM_REG, SUM(IF((ABS(COALESCE(CAST(X."&amp;F333&amp;" AS DECIMAL(18,6)),0)-COALESCE(CAST(Y."&amp;F333&amp;"_SIMUL AS DECIMAL(18,6)),0))&gt;0.000001) OR (X."&amp;F333&amp;" IS NULL AND Y."&amp;F333&amp;"_SIMUL IS NOT NULL ) OR (X."&amp;F333&amp;" IS NOT NULL AND Y."&amp;F333&amp;"_SIMUL IS NULL),1,0)) AS NUM_REG_DIF,'"&amp;MAX('ID1&amp;5'!K:K)+1&amp;"' AS ID_EXEC, CURRENT_TIMESTAMP() AS TIME_EXEC FROM "&amp;I333&amp;" INNER JOIN "&amp;J333&amp;" "&amp;K333,"SELECT '"&amp;UPPER(B333)&amp;"' AS TABELA, '"&amp;UPPER(C333)&amp;"' AS TIPOLOGIA_TESTE,'"&amp;D333&amp;"' AS TABELA_LT,'"&amp;E333&amp;"' AS TABELA_SIMUL,'"&amp;F333&amp;"' AS CAMPO, "&amp;"'${ref_date}' AS REF_DATE, COUNT(*) AS NUM_REG, SUM(IF(COALESCE(CAST(X."&amp;F333&amp;" AS STRING),'')&lt;&gt;COALESCE(CAST(Y."&amp;F333&amp;"_SIMUL AS STRING),'') OR (X."&amp;F333&amp;" IS NULL AND Y."&amp;F333&amp;"_SIMUL IS NOT NULL ) OR (X."&amp;F333&amp;" IS NOT NULL AND Y."&amp;F333&amp;"_SIMUL IS NULL),1,0)) AS NUM_REG_DIF,'"&amp;MAX('ID1&amp;5'!L:L)+1&amp;"' AS ID_EXEC, CURRENT_TIMESTAMP() AS TIME_EXEC FROM "&amp;I333&amp;" INNER JOIN "&amp;J333&amp;" "&amp;K333),
IF(C333="Validade",+IF(G333="Code List","SELECT '"&amp;UPPER(B333)&amp;"' AS TABELA, '"&amp;UPPER(C333)&amp;"' AS TIPOLOGIA_TESTE,'"&amp;D333&amp;"' AS TABELA_LT,'N/A' AS TABELA_SIMUL,'"&amp;F333&amp;"' AS CAMPO, "&amp;"'${ref_date}' AS REF_DATE, COUNT(*) AS NUM_REG, SUM(IF(TRIM(CAST(X."&amp;F333&amp;" AS STRING))='' OR TRIM(CAST(X."&amp;F333&amp;" AS STRING)) IS NULL OR CAST(X."&amp;F333&amp;" AS STRING) NOT "&amp;H333&amp;",1,0)) AS NUM_REG_DIF,'"&amp;MAX('ID1&amp;5'!K:K)+1&amp;"' AS ID_EXEC, CURRENT_TIMESTAMP() AS TIME_EXEC FROM "&amp;I333,"SELECT '"&amp;UPPER(B333)&amp;"' AS TABELA, '"&amp;UPPER(C333)&amp;"' AS TIPOLOGIA_TESTE,'"&amp;D333&amp;"' AS TABELA_LT,'N/A' AS TABELA_SIMUL,'"&amp;F333&amp;"' AS CAMPO, "&amp;"'${ref_date}' AS REF_DATE, COUNT(*) AS NUM_REG, SUM(IF(TRIM(CAST(X."&amp;F333&amp;" AS STRING))='' OR TRIM(CAST(X."&amp;F333&amp;" AS STRING)) IS NULL,1,0)) AS NUM_REG_DIF,'"&amp;MAX('ID1&amp;5'!K:K)+1&amp;"' AS ID_EXEC, CURRENT_TIMESTAMP() AS TIME_EXEC FROM "&amp;I333),
IF(C333="Caracteres Especiais",+"SELECT '"&amp;UPPER(B333)&amp;"' AS TABELA, '"&amp;UPPER(C333)&amp;"' AS TIPOLOGIA_TESTE,'"&amp;D333&amp;"' AS TABELA_LT,'N/A' AS TABELA_SIMUL,'"&amp;F333&amp;"' AS CAMPO, "&amp;"'${ref_date}' AS REF_DATE, COUNT(*) AS NUM_REG, SUM(IF(REGEXP_REPLACE(TRIM(CAST(X."&amp;F333&amp;" AS STRING)),'[^a-zA-Z0-9_\\s]','') &lt;&gt;TRIM(CAST(X."&amp;F333&amp;" AS STRING)),1,0)) AS NUM_REG_DIF,'"&amp;MAX('ID1&amp;5'!K:K)+1&amp;"' AS ID_EXEC, CURRENT_TIMESTAMP() AS TIME_EXEC FROM "&amp;I333,
IF(C333="Missings",+"SELECT '"&amp;UPPER(B333)&amp;"' AS TABELA, '"&amp;UPPER(C333)&amp;"' AS TIPOLOGIA_TESTE,'"&amp;D333&amp;"' AS TABELA_LT,'N/A' AS TABELA_SIMUL,'"&amp;F333&amp;"' AS CAMPO, "&amp;"'${ref_date}' AS REF_DATE, COUNT(*) AS NUM_REG, SUM(IF(TRIM(CAST(X."&amp;F333&amp;" AS STRING)) IN ('0000-00-00','0001-01-01','9999-12-31','MISS','00000','99999999999','99999999999.00','99999999999.000000'),1,0)) AS NUM_REG_DIF,'"&amp;MAX('ID1&amp;5'!K:K)+1&amp;"' AS ID_EXEC, CURRENT_TIMESTAMP() AS TIME_EXEC FROM "&amp;I333,
IF(C333="Not applicable",+"SELECT '"&amp;UPPER(B333)&amp;"' AS TABELA, '"&amp;UPPER(C333)&amp;"' AS TIPOLOGIA_TESTE,'"&amp;D333&amp;"' AS TABELA_LT,'N/A' AS TABELA_SIMUL,'"&amp;F333&amp;"' AS CAMPO, "&amp;"'${ref_date}' AS REF_DATE, COUNT(*) AS NUM_REG, SUM(IF(TRIM(CAST(X."&amp;F333&amp;" AS STRING)) IN ('N/A','11111111111','11111111111.00','11111111111.000000','1111-11-11'),1,0)) AS NUM_REG_DIF,'"&amp;MAX('ID1&amp;5'!K:K)+1&amp;"' AS ID_EXEC, CURRENT_TIMESTAMP() AS TIME_EXEC FROM "&amp;I333,
IF(C333="Valores extremos",+"SELECT '"&amp;UPPER(B333)&amp;"' AS TABELA, '"&amp;UPPER(C333)&amp;"' AS TIPOLOGIA_TESTE,'"&amp;D333&amp;"' AS TABELA_LT,'N/A' AS TABELA_SIMUL,'"&amp;F333&amp;"' AS CAMPO, "&amp;"'${ref_date}' AS REF_DATE, CAST(MIN("&amp;F333&amp;") AS STRING) AS VALOR_MIN, CAST(MAX("&amp;F333&amp;") AS STRING) AS VALOR_MAX,'"&amp;MAX('ID1&amp;5'!K:K)+1&amp;"' AS ID_EXEC, CURRENT_TIMESTAMP() AS TIME_EXEC FROM "&amp;MID(I333,1,LEN(I333)-2)&amp;" AND CAST("&amp;F333&amp;" AS STRING) NOT IN ('0000-00-00','0001-01-01','9999-12-31','MISS','00000','99999999999','99999999999.00','99999999999.000000','N/A','11111111111','11111111111.00','11111111111.000000','1111-11-11'))X"))))))</f>
        <v>SELECT 'INSTR_PROTECTION' AS TABELA, 'COERÊNCIA' AS TIPOLOGIA_TESTE,'CD_LOAN_TAPES_BCE.LT006_INSTR_PROT' AS TABELA_LT,'BU_LOANTAPE_WORK.LT006_INSTR_PROT' AS TABELA_SIMUL,'THRD_PRTY_PRRTY_CLMS' AS CAMPO, '${ref_date}' AS REF_DATE, COUNT(*) AS NUM_REG, SUM(IF(COALESCE(CAST(X.THRD_PRTY_PRRTY_CLMS AS STRING),'')&lt;&gt;COALESCE(CAST(Y.THRD_PRTY_PRRTY_CLMS_SIMUL AS STRING),'') OR (X.THRD_PRTY_PRRTY_CLMS IS NULL AND Y.THRD_PRTY_PRRTY_CLMS_SIMUL IS NOT NULL ) OR (X.THRD_PRTY_PRRTY_CLMS IS NOT NULL AND Y.THRD_PRTY_PRRTY_CLMS_SIMUL IS NULL),1,0)) AS NUM_REG_DIF,'1' AS ID_EXEC, CURRENT_TIMESTAMP() AS TIME_EXEC FROM (SELECT instrmnt_id, THRD_PRTY_PRRTY_CLMS FROM CD_LOAN_TAPES_BCE.LT006_INSTR_PROT WHERE ref_date='${ref_date}' AND nome_perimetro='Individual Corporativo' AND segmento='ESTR' AND ambito='PM' AND entidade='00100')X INNER JOIN (SELECT instrmnt_id AS instrmnt_id_SIMUL, THRD_PRTY_PRRTY_CLMS AS THRD_PRTY_PRRTY_CLMS_SIMUL FROM BU_LOANTAPE_WORK.LT006_INSTR_PROT WHERE ref_date='${ref_date}' AND nome_perimetro='Individual Corporativo' AND segmento='ESTR' AND ambito='PM' AND entidade='00100')Y ON X.INSTRMNT_ID=Y.INSTRMNT_ID_SIMUL AND X.prtctn_id=Y.prtctn_id_SIMUL</v>
      </c>
      <c r="M333" s="36" t="str">
        <f t="shared" si="6"/>
        <v>UNION ALL SELECT 'INSTR_PROTECTION' AS TABELA, 'COERÊNCIA' AS TIPOLOGIA_TESTE,'CD_LOAN_TAPES_BCE.LT006_INSTR_PROT' AS TABELA_LT,'BU_LOANTAPE_WORK.LT006_INSTR_PROT' AS TABELA_SIMUL,'THRD_PRTY_PRRTY_CLMS' AS CAMPO, '${ref_date}' AS REF_DATE, COUNT(*) AS NUM_REG, SUM(IF(COALESCE(CAST(X.THRD_PRTY_PRRTY_CLMS AS STRING),'')&lt;&gt;COALESCE(CAST(Y.THRD_PRTY_PRRTY_CLMS_SIMUL AS STRING),'') OR (X.THRD_PRTY_PRRTY_CLMS IS NULL AND Y.THRD_PRTY_PRRTY_CLMS_SIMUL IS NOT NULL ) OR (X.THRD_PRTY_PRRTY_CLMS IS NOT NULL AND Y.THRD_PRTY_PRRTY_CLMS_SIMUL IS NULL),1,0)) AS NUM_REG_DIF,'1' AS ID_EXEC, CURRENT_TIMESTAMP() AS TIME_EXEC FROM (SELECT instrmnt_id, THRD_PRTY_PRRTY_CLMS FROM CD_LOAN_TAPES_BCE.LT006_INSTR_PROT WHERE ref_date='${ref_date}' AND nome_perimetro='Individual Corporativo' AND segmento='ESTR' AND ambito='PM' AND entidade='00100')X INNER JOIN (SELECT instrmnt_id AS instrmnt_id_SIMUL, THRD_PRTY_PRRTY_CLMS AS THRD_PRTY_PRRTY_CLMS_SIMUL FROM BU_LOANTAPE_WORK.LT006_INSTR_PROT WHERE ref_date='${ref_date}' AND nome_perimetro='Individual Corporativo' AND segmento='ESTR' AND ambito='PM' AND entidade='00100')Y ON X.INSTRMNT_ID=Y.INSTRMNT_ID_SIMUL AND X.prtctn_id=Y.prtctn_id_SIMUL</v>
      </c>
      <c r="N333" s="38" t="s">
        <v>46</v>
      </c>
    </row>
    <row r="334" spans="2:14" hidden="1">
      <c r="B334" s="34" t="s">
        <v>128</v>
      </c>
      <c r="C334" s="34" t="s">
        <v>5</v>
      </c>
      <c r="D334" s="34" t="str">
        <f>+UPPER('0. Instruções'!$D$35&amp;"."&amp;VLOOKUP(B334,'0. Instruções'!$C$27:$D$32,2,FALSE))</f>
        <v>CD_LOAN_TAPES_BCE.LT004_PROTECTION</v>
      </c>
      <c r="E334" s="34" t="str">
        <f>+UPPER('0. Instruções'!$D$36&amp;"."&amp;VLOOKUP(B334,'0. Instruções'!$C$27:$E$32,3,FALSE))</f>
        <v>BU_LOANTAPE_WORK.LT004_PROTECTION</v>
      </c>
      <c r="F334" s="34" t="s">
        <v>109</v>
      </c>
      <c r="G334" s="34"/>
      <c r="H334" s="34" t="s">
        <v>644</v>
      </c>
      <c r="I334" s="34" t="str">
        <f>"(SELECT "&amp;VLOOKUP(B334,'0. Instruções'!$C$27:$G$32,4,FALSE)&amp;", "&amp;F334&amp;" FROM "&amp;D334&amp;" WHERE "&amp;'0. Instruções'!$D$42&amp;")X"</f>
        <v>(SELECT prtctn_id, COD_SOC FROM CD_LOAN_TAPES_BCE.LT004_PROTECTION WHERE ref_date='${ref_date}' AND nome_perimetro='Individual Corporativo' AND segmento='ESTR' AND ambito='PM' AND entidade='00100')X</v>
      </c>
      <c r="J334" s="34" t="str">
        <f>"(SELECT "&amp;VLOOKUP(B334,'0. Instruções'!$C$27:$G$32,4,FALSE)&amp;" AS "&amp;VLOOKUP(B334,'0. Instruções'!$C$27:$G$32,4,FALSE)&amp;"_SIMUL, "&amp;F334&amp;" AS "&amp;F334&amp;"_SIMUL FROM "&amp;E334&amp;" WHERE "&amp;'0. Instruções'!$D$43&amp;")Y"</f>
        <v>(SELECT prtctn_id AS prtctn_id_SIMUL, COD_SOC AS COD_SOC_SIMUL FROM BU_LOANTAPE_WORK.LT004_PROTECTION WHERE ref_date='${ref_date}' AND nome_perimetro='Individual Corporativo' AND segmento='ESTR' AND ambito='PM' AND entidade='00100')Y</v>
      </c>
      <c r="K334" s="35" t="str">
        <f>+UPPER("ON X."&amp;VLOOKUP(B334,'0. Instruções'!$C$27:$G$32,4,FALSE)&amp;"=Y."&amp;VLOOKUP(B334,'0. Instruções'!$C$27:$G$32,4,FALSE)&amp;"_SIMUL")</f>
        <v>ON X.PRTCTN_ID=Y.PRTCTN_ID_SIMUL</v>
      </c>
      <c r="L334" s="35" t="str">
        <f>+IF(C334="Coerência", +IF(LEFT(G334,5)="FLOAT","SELECT '"&amp;UPPER(B334)&amp;"' AS TABELA, '"&amp;UPPER(C334)&amp;"' AS TIPOLOGIA_TESTE,'"&amp;D334&amp;"' AS TABELA_LT,'"&amp;E334&amp;"' AS TABELA_SIMUL,'"&amp;F334&amp;"' AS CAMPO, "&amp;"'${ref_date}' AS REF_DATE, COUNT(*) AS NUM_REG, SUM(IF((ABS(COALESCE(CAST(X."&amp;F334&amp;" AS DECIMAL(18,6)),0)-COALESCE(CAST(Y."&amp;F334&amp;"_SIMUL AS DECIMAL(18,6)),0))&gt;0.000001) OR (X."&amp;F334&amp;" IS NULL AND Y."&amp;F334&amp;"_SIMUL IS NOT NULL ) OR (X."&amp;F334&amp;" IS NOT NULL AND Y."&amp;F334&amp;"_SIMUL IS NULL),1,0)) AS NUM_REG_DIF,'"&amp;MAX('ID1&amp;5'!K:K)+1&amp;"' AS ID_EXEC, CURRENT_TIMESTAMP() AS TIME_EXEC FROM "&amp;I334&amp;" INNER JOIN "&amp;J334&amp;" "&amp;K334,"SELECT '"&amp;UPPER(B334)&amp;"' AS TABELA, '"&amp;UPPER(C334)&amp;"' AS TIPOLOGIA_TESTE,'"&amp;D334&amp;"' AS TABELA_LT,'"&amp;E334&amp;"' AS TABELA_SIMUL,'"&amp;F334&amp;"' AS CAMPO, "&amp;"'${ref_date}' AS REF_DATE, COUNT(*) AS NUM_REG, SUM(IF(COALESCE(CAST(X."&amp;F334&amp;" AS STRING),'')&lt;&gt;COALESCE(CAST(Y."&amp;F334&amp;"_SIMUL AS STRING),'') OR (X."&amp;F334&amp;" IS NULL AND Y."&amp;F334&amp;"_SIMUL IS NOT NULL ) OR (X."&amp;F334&amp;" IS NOT NULL AND Y."&amp;F334&amp;"_SIMUL IS NULL),1,0)) AS NUM_REG_DIF,'"&amp;MAX('ID1&amp;5'!L:L)+1&amp;"' AS ID_EXEC, CURRENT_TIMESTAMP() AS TIME_EXEC FROM "&amp;I334&amp;" INNER JOIN "&amp;J334&amp;" "&amp;K334),
IF(C334="Validade",+IF(G334="Code List","SELECT '"&amp;UPPER(B334)&amp;"' AS TABELA, '"&amp;UPPER(C334)&amp;"' AS TIPOLOGIA_TESTE,'"&amp;D334&amp;"' AS TABELA_LT,'N/A' AS TABELA_SIMUL,'"&amp;F334&amp;"' AS CAMPO, "&amp;"'${ref_date}' AS REF_DATE, COUNT(*) AS NUM_REG, SUM(IF(TRIM(CAST(X."&amp;F334&amp;" AS STRING))='' OR TRIM(CAST(X."&amp;F334&amp;" AS STRING)) IS NULL OR CAST(X."&amp;F334&amp;" AS STRING) NOT "&amp;H334&amp;",1,0)) AS NUM_REG_DIF,'"&amp;MAX('ID1&amp;5'!K:K)+1&amp;"' AS ID_EXEC, CURRENT_TIMESTAMP() AS TIME_EXEC FROM "&amp;I334,"SELECT '"&amp;UPPER(B334)&amp;"' AS TABELA, '"&amp;UPPER(C334)&amp;"' AS TIPOLOGIA_TESTE,'"&amp;D334&amp;"' AS TABELA_LT,'N/A' AS TABELA_SIMUL,'"&amp;F334&amp;"' AS CAMPO, "&amp;"'${ref_date}' AS REF_DATE, COUNT(*) AS NUM_REG, SUM(IF(TRIM(CAST(X."&amp;F334&amp;" AS STRING))='' OR TRIM(CAST(X."&amp;F334&amp;" AS STRING)) IS NULL,1,0)) AS NUM_REG_DIF,'"&amp;MAX('ID1&amp;5'!K:K)+1&amp;"' AS ID_EXEC, CURRENT_TIMESTAMP() AS TIME_EXEC FROM "&amp;I334),
IF(C334="Caracteres Especiais",+"SELECT '"&amp;UPPER(B334)&amp;"' AS TABELA, '"&amp;UPPER(C334)&amp;"' AS TIPOLOGIA_TESTE,'"&amp;D334&amp;"' AS TABELA_LT,'N/A' AS TABELA_SIMUL,'"&amp;F334&amp;"' AS CAMPO, "&amp;"'${ref_date}' AS REF_DATE, COUNT(*) AS NUM_REG, SUM(IF(REGEXP_REPLACE(TRIM(CAST(X."&amp;F334&amp;" AS STRING)),'[^a-zA-Z0-9_\\s]','') &lt;&gt;TRIM(CAST(X."&amp;F334&amp;" AS STRING)),1,0)) AS NUM_REG_DIF,'"&amp;MAX('ID1&amp;5'!K:K)+1&amp;"' AS ID_EXEC, CURRENT_TIMESTAMP() AS TIME_EXEC FROM "&amp;I334,
IF(C334="Missings",+"SELECT '"&amp;UPPER(B334)&amp;"' AS TABELA, '"&amp;UPPER(C334)&amp;"' AS TIPOLOGIA_TESTE,'"&amp;D334&amp;"' AS TABELA_LT,'N/A' AS TABELA_SIMUL,'"&amp;F334&amp;"' AS CAMPO, "&amp;"'${ref_date}' AS REF_DATE, COUNT(*) AS NUM_REG, SUM(IF(TRIM(CAST(X."&amp;F334&amp;" AS STRING)) IN ('0000-00-00','0001-01-01','9999-12-31','MISS','00000','99999999999','99999999999.00','99999999999.000000'),1,0)) AS NUM_REG_DIF,'"&amp;MAX('ID1&amp;5'!K:K)+1&amp;"' AS ID_EXEC, CURRENT_TIMESTAMP() AS TIME_EXEC FROM "&amp;I334,
IF(C334="Not applicable",+"SELECT '"&amp;UPPER(B334)&amp;"' AS TABELA, '"&amp;UPPER(C334)&amp;"' AS TIPOLOGIA_TESTE,'"&amp;D334&amp;"' AS TABELA_LT,'N/A' AS TABELA_SIMUL,'"&amp;F334&amp;"' AS CAMPO, "&amp;"'${ref_date}' AS REF_DATE, COUNT(*) AS NUM_REG, SUM(IF(TRIM(CAST(X."&amp;F334&amp;" AS STRING)) IN ('N/A','11111111111','11111111111.00','11111111111.000000','1111-11-11'),1,0)) AS NUM_REG_DIF,'"&amp;MAX('ID1&amp;5'!K:K)+1&amp;"' AS ID_EXEC, CURRENT_TIMESTAMP() AS TIME_EXEC FROM "&amp;I334,
IF(C334="Valores extremos",+"SELECT '"&amp;UPPER(B334)&amp;"' AS TABELA, '"&amp;UPPER(C334)&amp;"' AS TIPOLOGIA_TESTE,'"&amp;D334&amp;"' AS TABELA_LT,'N/A' AS TABELA_SIMUL,'"&amp;F334&amp;"' AS CAMPO, "&amp;"'${ref_date}' AS REF_DATE, CAST(MIN("&amp;F334&amp;") AS STRING) AS VALOR_MIN, CAST(MAX("&amp;F334&amp;") AS STRING) AS VALOR_MAX,'"&amp;MAX('ID1&amp;5'!K:K)+1&amp;"' AS ID_EXEC, CURRENT_TIMESTAMP() AS TIME_EXEC FROM "&amp;MID(I334,1,LEN(I334)-2)&amp;" AND CAST("&amp;F334&amp;"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TABELA_SIMUL,'COD_SOC' AS CAMPO, '${ref_date}' AS REF_DATE, COUNT(*) AS NUM_REG, SUM(IF(COALESCE(CAST(X.COD_SOC AS STRING),'')&lt;&gt;COALESCE(CAST(Y.COD_SOC_SIMUL AS STRING),'') OR (X.COD_SOC IS NULL AND Y.COD_SOC_SIMUL IS NOT NULL ) OR (X.COD_SOC IS NOT NULL AND Y.COD_SOC_SIMUL IS NULL),1,0)) AS NUM_REG_DIF,'1' AS ID_EXEC, CURRENT_TIMESTAMP() AS TIME_EXEC FROM (SELECT prtctn_id, COD_SOC FROM CD_LOAN_TAPES_BCE.LT004_PROTECTION WHERE ref_date='${ref_date}' AND nome_perimetro='Individual Corporativo' AND segmento='ESTR' AND ambito='PM' AND entidade='00100')X INNER JOIN (SELECT prtctn_id AS prtctn_id_SIMUL, COD_SOC AS COD_SOC_SIMUL FROM BU_LOANTAPE_WORK.LT004_PROTECTION WHERE ref_date='${ref_date}' AND nome_perimetro='Individual Corporativo' AND segmento='ESTR' AND ambito='PM' AND entidade='00100')Y ON X.PRTCTN_ID=Y.PRTCTN_ID_SIMUL</v>
      </c>
      <c r="M334" s="36" t="str">
        <f t="shared" si="6"/>
        <v>UNION ALL SELECT 'PROTECTION' AS TABELA, 'COERÊNCIA' AS TIPOLOGIA_TESTE,'CD_LOAN_TAPES_BCE.LT004_PROTECTION' AS TABELA_LT,'BU_LOANTAPE_WORK.LT004_PROTECTION' AS TABELA_SIMUL,'COD_SOC' AS CAMPO, '${ref_date}' AS REF_DATE, COUNT(*) AS NUM_REG, SUM(IF(COALESCE(CAST(X.COD_SOC AS STRING),'')&lt;&gt;COALESCE(CAST(Y.COD_SOC_SIMUL AS STRING),'') OR (X.COD_SOC IS NULL AND Y.COD_SOC_SIMUL IS NOT NULL ) OR (X.COD_SOC IS NOT NULL AND Y.COD_SOC_SIMUL IS NULL),1,0)) AS NUM_REG_DIF,'1' AS ID_EXEC, CURRENT_TIMESTAMP() AS TIME_EXEC FROM (SELECT prtctn_id, COD_SOC FROM CD_LOAN_TAPES_BCE.LT004_PROTECTION WHERE ref_date='${ref_date}' AND nome_perimetro='Individual Corporativo' AND segmento='ESTR' AND ambito='PM' AND entidade='00100')X INNER JOIN (SELECT prtctn_id AS prtctn_id_SIMUL, COD_SOC AS COD_SOC_SIMUL FROM BU_LOANTAPE_WORK.LT004_PROTECTION WHERE ref_date='${ref_date}' AND nome_perimetro='Individual Corporativo' AND segmento='ESTR' AND ambito='PM' AND entidade='00100')Y ON X.PRTCTN_ID=Y.PRTCTN_ID_SIMUL</v>
      </c>
      <c r="N334" s="38" t="s">
        <v>46</v>
      </c>
    </row>
    <row r="335" spans="2:14" hidden="1">
      <c r="B335" s="34" t="s">
        <v>128</v>
      </c>
      <c r="C335" s="34" t="s">
        <v>5</v>
      </c>
      <c r="D335" s="34" t="str">
        <f>+UPPER('0. Instruções'!$D$35&amp;"."&amp;VLOOKUP(B335,'0. Instruções'!$C$27:$D$32,2,FALSE))</f>
        <v>CD_LOAN_TAPES_BCE.LT004_PROTECTION</v>
      </c>
      <c r="E335" s="34" t="str">
        <f>+UPPER('0. Instruções'!$D$36&amp;"."&amp;VLOOKUP(B335,'0. Instruções'!$C$27:$E$32,3,FALSE))</f>
        <v>BU_LOANTAPE_WORK.LT004_PROTECTION</v>
      </c>
      <c r="F335" s="34" t="s">
        <v>608</v>
      </c>
      <c r="G335" s="34"/>
      <c r="H335" s="34" t="s">
        <v>645</v>
      </c>
      <c r="I335" s="34" t="str">
        <f>"(SELECT "&amp;VLOOKUP(B335,'0. Instruções'!$C$27:$G$32,4,FALSE)&amp;", "&amp;F335&amp;" FROM "&amp;D335&amp;" WHERE "&amp;'0. Instruções'!$D$42&amp;")X"</f>
        <v>(SELECT prtctn_id, DT_MTRTY_PRTCTN FROM CD_LOAN_TAPES_BCE.LT004_PROTECTION WHERE ref_date='${ref_date}' AND nome_perimetro='Individual Corporativo' AND segmento='ESTR' AND ambito='PM' AND entidade='00100')X</v>
      </c>
      <c r="J335" s="34" t="str">
        <f>"(SELECT "&amp;VLOOKUP(B335,'0. Instruções'!$C$27:$G$32,4,FALSE)&amp;" AS "&amp;VLOOKUP(B335,'0. Instruções'!$C$27:$G$32,4,FALSE)&amp;"_SIMUL, "&amp;F335&amp;" AS "&amp;F335&amp;"_SIMUL FROM "&amp;E335&amp;" WHERE "&amp;'0. Instruções'!$D$43&amp;")Y"</f>
        <v>(SELECT prtctn_id AS prtctn_id_SIMUL, DT_MTRTY_PRTCTN AS DT_MTRTY_PRTCTN_SIMUL FROM BU_LOANTAPE_WORK.LT004_PROTECTION WHERE ref_date='${ref_date}' AND nome_perimetro='Individual Corporativo' AND segmento='ESTR' AND ambito='PM' AND entidade='00100')Y</v>
      </c>
      <c r="K335" s="35" t="str">
        <f>+UPPER("ON X."&amp;VLOOKUP(B335,'0. Instruções'!$C$27:$G$32,4,FALSE)&amp;"=Y."&amp;VLOOKUP(B335,'0. Instruções'!$C$27:$G$32,4,FALSE)&amp;"_SIMUL")</f>
        <v>ON X.PRTCTN_ID=Y.PRTCTN_ID_SIMUL</v>
      </c>
      <c r="L335" s="35" t="str">
        <f>+IF(C335="Coerência", +IF(LEFT(G335,5)="FLOAT","SELECT '"&amp;UPPER(B335)&amp;"' AS TABELA, '"&amp;UPPER(C335)&amp;"' AS TIPOLOGIA_TESTE,'"&amp;D335&amp;"' AS TABELA_LT,'"&amp;E335&amp;"' AS TABELA_SIMUL,'"&amp;F335&amp;"' AS CAMPO, "&amp;"'${ref_date}' AS REF_DATE, COUNT(*) AS NUM_REG, SUM(IF((ABS(COALESCE(CAST(X."&amp;F335&amp;" AS DECIMAL(18,6)),0)-COALESCE(CAST(Y."&amp;F335&amp;"_SIMUL AS DECIMAL(18,6)),0))&gt;0.000001) OR (X."&amp;F335&amp;" IS NULL AND Y."&amp;F335&amp;"_SIMUL IS NOT NULL ) OR (X."&amp;F335&amp;" IS NOT NULL AND Y."&amp;F335&amp;"_SIMUL IS NULL),1,0)) AS NUM_REG_DIF,'"&amp;MAX('ID1&amp;5'!K:K)+1&amp;"' AS ID_EXEC, CURRENT_TIMESTAMP() AS TIME_EXEC FROM "&amp;I335&amp;" INNER JOIN "&amp;J335&amp;" "&amp;K335,"SELECT '"&amp;UPPER(B335)&amp;"' AS TABELA, '"&amp;UPPER(C335)&amp;"' AS TIPOLOGIA_TESTE,'"&amp;D335&amp;"' AS TABELA_LT,'"&amp;E335&amp;"' AS TABELA_SIMUL,'"&amp;F335&amp;"' AS CAMPO, "&amp;"'${ref_date}' AS REF_DATE, COUNT(*) AS NUM_REG, SUM(IF(COALESCE(CAST(X."&amp;F335&amp;" AS STRING),'')&lt;&gt;COALESCE(CAST(Y."&amp;F335&amp;"_SIMUL AS STRING),'') OR (X."&amp;F335&amp;" IS NULL AND Y."&amp;F335&amp;"_SIMUL IS NOT NULL ) OR (X."&amp;F335&amp;" IS NOT NULL AND Y."&amp;F335&amp;"_SIMUL IS NULL),1,0)) AS NUM_REG_DIF,'"&amp;MAX('ID1&amp;5'!L:L)+1&amp;"' AS ID_EXEC, CURRENT_TIMESTAMP() AS TIME_EXEC FROM "&amp;I335&amp;" INNER JOIN "&amp;J335&amp;" "&amp;K335),
IF(C335="Validade",+IF(G335="Code List","SELECT '"&amp;UPPER(B335)&amp;"' AS TABELA, '"&amp;UPPER(C335)&amp;"' AS TIPOLOGIA_TESTE,'"&amp;D335&amp;"' AS TABELA_LT,'N/A' AS TABELA_SIMUL,'"&amp;F335&amp;"' AS CAMPO, "&amp;"'${ref_date}' AS REF_DATE, COUNT(*) AS NUM_REG, SUM(IF(TRIM(CAST(X."&amp;F335&amp;" AS STRING))='' OR TRIM(CAST(X."&amp;F335&amp;" AS STRING)) IS NULL OR CAST(X."&amp;F335&amp;" AS STRING) NOT "&amp;H335&amp;",1,0)) AS NUM_REG_DIF,'"&amp;MAX('ID1&amp;5'!K:K)+1&amp;"' AS ID_EXEC, CURRENT_TIMESTAMP() AS TIME_EXEC FROM "&amp;I335,"SELECT '"&amp;UPPER(B335)&amp;"' AS TABELA, '"&amp;UPPER(C335)&amp;"' AS TIPOLOGIA_TESTE,'"&amp;D335&amp;"' AS TABELA_LT,'N/A' AS TABELA_SIMUL,'"&amp;F335&amp;"' AS CAMPO, "&amp;"'${ref_date}' AS REF_DATE, COUNT(*) AS NUM_REG, SUM(IF(TRIM(CAST(X."&amp;F335&amp;" AS STRING))='' OR TRIM(CAST(X."&amp;F335&amp;" AS STRING)) IS NULL,1,0)) AS NUM_REG_DIF,'"&amp;MAX('ID1&amp;5'!K:K)+1&amp;"' AS ID_EXEC, CURRENT_TIMESTAMP() AS TIME_EXEC FROM "&amp;I335),
IF(C335="Caracteres Especiais",+"SELECT '"&amp;UPPER(B335)&amp;"' AS TABELA, '"&amp;UPPER(C335)&amp;"' AS TIPOLOGIA_TESTE,'"&amp;D335&amp;"' AS TABELA_LT,'N/A' AS TABELA_SIMUL,'"&amp;F335&amp;"' AS CAMPO, "&amp;"'${ref_date}' AS REF_DATE, COUNT(*) AS NUM_REG, SUM(IF(REGEXP_REPLACE(TRIM(CAST(X."&amp;F335&amp;" AS STRING)),'[^a-zA-Z0-9_\\s]','') &lt;&gt;TRIM(CAST(X."&amp;F335&amp;" AS STRING)),1,0)) AS NUM_REG_DIF,'"&amp;MAX('ID1&amp;5'!K:K)+1&amp;"' AS ID_EXEC, CURRENT_TIMESTAMP() AS TIME_EXEC FROM "&amp;I335,
IF(C335="Missings",+"SELECT '"&amp;UPPER(B335)&amp;"' AS TABELA, '"&amp;UPPER(C335)&amp;"' AS TIPOLOGIA_TESTE,'"&amp;D335&amp;"' AS TABELA_LT,'N/A' AS TABELA_SIMUL,'"&amp;F335&amp;"' AS CAMPO, "&amp;"'${ref_date}' AS REF_DATE, COUNT(*) AS NUM_REG, SUM(IF(TRIM(CAST(X."&amp;F335&amp;" AS STRING)) IN ('0000-00-00','0001-01-01','9999-12-31','MISS','00000','99999999999','99999999999.00','99999999999.000000'),1,0)) AS NUM_REG_DIF,'"&amp;MAX('ID1&amp;5'!K:K)+1&amp;"' AS ID_EXEC, CURRENT_TIMESTAMP() AS TIME_EXEC FROM "&amp;I335,
IF(C335="Not applicable",+"SELECT '"&amp;UPPER(B335)&amp;"' AS TABELA, '"&amp;UPPER(C335)&amp;"' AS TIPOLOGIA_TESTE,'"&amp;D335&amp;"' AS TABELA_LT,'N/A' AS TABELA_SIMUL,'"&amp;F335&amp;"' AS CAMPO, "&amp;"'${ref_date}' AS REF_DATE, COUNT(*) AS NUM_REG, SUM(IF(TRIM(CAST(X."&amp;F335&amp;" AS STRING)) IN ('N/A','11111111111','11111111111.00','11111111111.000000','1111-11-11'),1,0)) AS NUM_REG_DIF,'"&amp;MAX('ID1&amp;5'!K:K)+1&amp;"' AS ID_EXEC, CURRENT_TIMESTAMP() AS TIME_EXEC FROM "&amp;I335,
IF(C335="Valores extremos",+"SELECT '"&amp;UPPER(B335)&amp;"' AS TABELA, '"&amp;UPPER(C335)&amp;"' AS TIPOLOGIA_TESTE,'"&amp;D335&amp;"' AS TABELA_LT,'N/A' AS TABELA_SIMUL,'"&amp;F335&amp;"' AS CAMPO, "&amp;"'${ref_date}' AS REF_DATE, CAST(MIN("&amp;F335&amp;") AS STRING) AS VALOR_MIN, CAST(MAX("&amp;F335&amp;") AS STRING) AS VALOR_MAX,'"&amp;MAX('ID1&amp;5'!K:K)+1&amp;"' AS ID_EXEC, CURRENT_TIMESTAMP() AS TIME_EXEC FROM "&amp;MID(I335,1,LEN(I335)-2)&amp;" AND CAST("&amp;F335&amp;"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TABELA_SIMUL,'DT_MTRTY_PRTCTN' AS CAMPO, '${ref_date}' AS REF_DATE, COUNT(*) AS NUM_REG, SUM(IF(COALESCE(CAST(X.DT_MTRTY_PRTCTN AS STRING),'')&lt;&gt;COALESCE(CAST(Y.DT_MTRTY_PRTCTN_SIMUL AS STRING),'') OR (X.DT_MTRTY_PRTCTN IS NULL AND Y.DT_MTRTY_PRTCTN_SIMUL IS NOT NULL ) OR (X.DT_MTRTY_PRTCTN IS NOT NULL AND Y.DT_MTRTY_PRTCTN_SIMUL IS NULL),1,0)) AS NUM_REG_DIF,'1' AS ID_EXEC, CURRENT_TIMESTAMP() AS TIME_EXEC FROM (SELECT prtctn_id, DT_MTRTY_PRTCTN FROM CD_LOAN_TAPES_BCE.LT004_PROTECTION WHERE ref_date='${ref_date}' AND nome_perimetro='Individual Corporativo' AND segmento='ESTR' AND ambito='PM' AND entidade='00100')X INNER JOIN (SELECT prtctn_id AS prtctn_id_SIMUL, DT_MTRTY_PRTCTN AS DT_MTRTY_PRTCTN_SIMUL FROM BU_LOANTAPE_WORK.LT004_PROTECTION WHERE ref_date='${ref_date}' AND nome_perimetro='Individual Corporativo' AND segmento='ESTR' AND ambito='PM' AND entidade='00100')Y ON X.PRTCTN_ID=Y.PRTCTN_ID_SIMUL</v>
      </c>
      <c r="M335" s="36" t="str">
        <f t="shared" si="6"/>
        <v>UNION ALL SELECT 'PROTECTION' AS TABELA, 'COERÊNCIA' AS TIPOLOGIA_TESTE,'CD_LOAN_TAPES_BCE.LT004_PROTECTION' AS TABELA_LT,'BU_LOANTAPE_WORK.LT004_PROTECTION' AS TABELA_SIMUL,'DT_MTRTY_PRTCTN' AS CAMPO, '${ref_date}' AS REF_DATE, COUNT(*) AS NUM_REG, SUM(IF(COALESCE(CAST(X.DT_MTRTY_PRTCTN AS STRING),'')&lt;&gt;COALESCE(CAST(Y.DT_MTRTY_PRTCTN_SIMUL AS STRING),'') OR (X.DT_MTRTY_PRTCTN IS NULL AND Y.DT_MTRTY_PRTCTN_SIMUL IS NOT NULL ) OR (X.DT_MTRTY_PRTCTN IS NOT NULL AND Y.DT_MTRTY_PRTCTN_SIMUL IS NULL),1,0)) AS NUM_REG_DIF,'1' AS ID_EXEC, CURRENT_TIMESTAMP() AS TIME_EXEC FROM (SELECT prtctn_id, DT_MTRTY_PRTCTN FROM CD_LOAN_TAPES_BCE.LT004_PROTECTION WHERE ref_date='${ref_date}' AND nome_perimetro='Individual Corporativo' AND segmento='ESTR' AND ambito='PM' AND entidade='00100')X INNER JOIN (SELECT prtctn_id AS prtctn_id_SIMUL, DT_MTRTY_PRTCTN AS DT_MTRTY_PRTCTN_SIMUL FROM BU_LOANTAPE_WORK.LT004_PROTECTION WHERE ref_date='${ref_date}' AND nome_perimetro='Individual Corporativo' AND segmento='ESTR' AND ambito='PM' AND entidade='00100')Y ON X.PRTCTN_ID=Y.PRTCTN_ID_SIMUL</v>
      </c>
      <c r="N335" s="38" t="s">
        <v>46</v>
      </c>
    </row>
    <row r="336" spans="2:14" hidden="1">
      <c r="B336" s="34" t="s">
        <v>128</v>
      </c>
      <c r="C336" s="34" t="s">
        <v>5</v>
      </c>
      <c r="D336" s="34" t="str">
        <f>+UPPER('0. Instruções'!$D$35&amp;"."&amp;VLOOKUP(B336,'0. Instruções'!$C$27:$D$32,2,FALSE))</f>
        <v>CD_LOAN_TAPES_BCE.LT004_PROTECTION</v>
      </c>
      <c r="E336" s="34" t="str">
        <f>+UPPER('0. Instruções'!$D$36&amp;"."&amp;VLOOKUP(B336,'0. Instruções'!$C$27:$E$32,3,FALSE))</f>
        <v>BU_LOANTAPE_WORK.LT004_PROTECTION</v>
      </c>
      <c r="F336" s="34" t="s">
        <v>609</v>
      </c>
      <c r="G336" s="34"/>
      <c r="H336" s="34" t="s">
        <v>646</v>
      </c>
      <c r="I336" s="34" t="str">
        <f>"(SELECT "&amp;VLOOKUP(B336,'0. Instruções'!$C$27:$G$32,4,FALSE)&amp;", "&amp;F336&amp;" FROM "&amp;D336&amp;" WHERE "&amp;'0. Instruções'!$D$42&amp;")X"</f>
        <v>(SELECT prtctn_id, NTNL_ID FROM CD_LOAN_TAPES_BCE.LT004_PROTECTION WHERE ref_date='${ref_date}' AND nome_perimetro='Individual Corporativo' AND segmento='ESTR' AND ambito='PM' AND entidade='00100')X</v>
      </c>
      <c r="J336" s="34" t="str">
        <f>"(SELECT "&amp;VLOOKUP(B336,'0. Instruções'!$C$27:$G$32,4,FALSE)&amp;" AS "&amp;VLOOKUP(B336,'0. Instruções'!$C$27:$G$32,4,FALSE)&amp;"_SIMUL, "&amp;F336&amp;" AS "&amp;F336&amp;"_SIMUL FROM "&amp;E336&amp;" WHERE "&amp;'0. Instruções'!$D$43&amp;")Y"</f>
        <v>(SELECT prtctn_id AS prtctn_id_SIMUL, NTNL_ID AS NTNL_ID_SIMUL FROM BU_LOANTAPE_WORK.LT004_PROTECTION WHERE ref_date='${ref_date}' AND nome_perimetro='Individual Corporativo' AND segmento='ESTR' AND ambito='PM' AND entidade='00100')Y</v>
      </c>
      <c r="K336" s="35" t="str">
        <f>+UPPER("ON X."&amp;VLOOKUP(B336,'0. Instruções'!$C$27:$G$32,4,FALSE)&amp;"=Y."&amp;VLOOKUP(B336,'0. Instruções'!$C$27:$G$32,4,FALSE)&amp;"_SIMUL")</f>
        <v>ON X.PRTCTN_ID=Y.PRTCTN_ID_SIMUL</v>
      </c>
      <c r="L336" s="35" t="str">
        <f>+IF(C336="Coerência", +IF(LEFT(G336,5)="FLOAT","SELECT '"&amp;UPPER(B336)&amp;"' AS TABELA, '"&amp;UPPER(C336)&amp;"' AS TIPOLOGIA_TESTE,'"&amp;D336&amp;"' AS TABELA_LT,'"&amp;E336&amp;"' AS TABELA_SIMUL,'"&amp;F336&amp;"' AS CAMPO, "&amp;"'${ref_date}' AS REF_DATE, COUNT(*) AS NUM_REG, SUM(IF((ABS(COALESCE(CAST(X."&amp;F336&amp;" AS DECIMAL(18,6)),0)-COALESCE(CAST(Y."&amp;F336&amp;"_SIMUL AS DECIMAL(18,6)),0))&gt;0.000001) OR (X."&amp;F336&amp;" IS NULL AND Y."&amp;F336&amp;"_SIMUL IS NOT NULL ) OR (X."&amp;F336&amp;" IS NOT NULL AND Y."&amp;F336&amp;"_SIMUL IS NULL),1,0)) AS NUM_REG_DIF,'"&amp;MAX('ID1&amp;5'!K:K)+1&amp;"' AS ID_EXEC, CURRENT_TIMESTAMP() AS TIME_EXEC FROM "&amp;I336&amp;" INNER JOIN "&amp;J336&amp;" "&amp;K336,"SELECT '"&amp;UPPER(B336)&amp;"' AS TABELA, '"&amp;UPPER(C336)&amp;"' AS TIPOLOGIA_TESTE,'"&amp;D336&amp;"' AS TABELA_LT,'"&amp;E336&amp;"' AS TABELA_SIMUL,'"&amp;F336&amp;"' AS CAMPO, "&amp;"'${ref_date}' AS REF_DATE, COUNT(*) AS NUM_REG, SUM(IF(COALESCE(CAST(X."&amp;F336&amp;" AS STRING),'')&lt;&gt;COALESCE(CAST(Y."&amp;F336&amp;"_SIMUL AS STRING),'') OR (X."&amp;F336&amp;" IS NULL AND Y."&amp;F336&amp;"_SIMUL IS NOT NULL ) OR (X."&amp;F336&amp;" IS NOT NULL AND Y."&amp;F336&amp;"_SIMUL IS NULL),1,0)) AS NUM_REG_DIF,'"&amp;MAX('ID1&amp;5'!L:L)+1&amp;"' AS ID_EXEC, CURRENT_TIMESTAMP() AS TIME_EXEC FROM "&amp;I336&amp;" INNER JOIN "&amp;J336&amp;" "&amp;K336),
IF(C336="Validade",+IF(G336="Code List","SELECT '"&amp;UPPER(B336)&amp;"' AS TABELA, '"&amp;UPPER(C336)&amp;"' AS TIPOLOGIA_TESTE,'"&amp;D336&amp;"' AS TABELA_LT,'N/A' AS TABELA_SIMUL,'"&amp;F336&amp;"' AS CAMPO, "&amp;"'${ref_date}' AS REF_DATE, COUNT(*) AS NUM_REG, SUM(IF(TRIM(CAST(X."&amp;F336&amp;" AS STRING))='' OR TRIM(CAST(X."&amp;F336&amp;" AS STRING)) IS NULL OR CAST(X."&amp;F336&amp;" AS STRING) NOT "&amp;H336&amp;",1,0)) AS NUM_REG_DIF,'"&amp;MAX('ID1&amp;5'!K:K)+1&amp;"' AS ID_EXEC, CURRENT_TIMESTAMP() AS TIME_EXEC FROM "&amp;I336,"SELECT '"&amp;UPPER(B336)&amp;"' AS TABELA, '"&amp;UPPER(C336)&amp;"' AS TIPOLOGIA_TESTE,'"&amp;D336&amp;"' AS TABELA_LT,'N/A' AS TABELA_SIMUL,'"&amp;F336&amp;"' AS CAMPO, "&amp;"'${ref_date}' AS REF_DATE, COUNT(*) AS NUM_REG, SUM(IF(TRIM(CAST(X."&amp;F336&amp;" AS STRING))='' OR TRIM(CAST(X."&amp;F336&amp;" AS STRING)) IS NULL,1,0)) AS NUM_REG_DIF,'"&amp;MAX('ID1&amp;5'!K:K)+1&amp;"' AS ID_EXEC, CURRENT_TIMESTAMP() AS TIME_EXEC FROM "&amp;I336),
IF(C336="Caracteres Especiais",+"SELECT '"&amp;UPPER(B336)&amp;"' AS TABELA, '"&amp;UPPER(C336)&amp;"' AS TIPOLOGIA_TESTE,'"&amp;D336&amp;"' AS TABELA_LT,'N/A' AS TABELA_SIMUL,'"&amp;F336&amp;"' AS CAMPO, "&amp;"'${ref_date}' AS REF_DATE, COUNT(*) AS NUM_REG, SUM(IF(REGEXP_REPLACE(TRIM(CAST(X."&amp;F336&amp;" AS STRING)),'[^a-zA-Z0-9_\\s]','') &lt;&gt;TRIM(CAST(X."&amp;F336&amp;" AS STRING)),1,0)) AS NUM_REG_DIF,'"&amp;MAX('ID1&amp;5'!K:K)+1&amp;"' AS ID_EXEC, CURRENT_TIMESTAMP() AS TIME_EXEC FROM "&amp;I336,
IF(C336="Missings",+"SELECT '"&amp;UPPER(B336)&amp;"' AS TABELA, '"&amp;UPPER(C336)&amp;"' AS TIPOLOGIA_TESTE,'"&amp;D336&amp;"' AS TABELA_LT,'N/A' AS TABELA_SIMUL,'"&amp;F336&amp;"' AS CAMPO, "&amp;"'${ref_date}' AS REF_DATE, COUNT(*) AS NUM_REG, SUM(IF(TRIM(CAST(X."&amp;F336&amp;" AS STRING)) IN ('0000-00-00','0001-01-01','9999-12-31','MISS','00000','99999999999','99999999999.00','99999999999.000000'),1,0)) AS NUM_REG_DIF,'"&amp;MAX('ID1&amp;5'!K:K)+1&amp;"' AS ID_EXEC, CURRENT_TIMESTAMP() AS TIME_EXEC FROM "&amp;I336,
IF(C336="Not applicable",+"SELECT '"&amp;UPPER(B336)&amp;"' AS TABELA, '"&amp;UPPER(C336)&amp;"' AS TIPOLOGIA_TESTE,'"&amp;D336&amp;"' AS TABELA_LT,'N/A' AS TABELA_SIMUL,'"&amp;F336&amp;"' AS CAMPO, "&amp;"'${ref_date}' AS REF_DATE, COUNT(*) AS NUM_REG, SUM(IF(TRIM(CAST(X."&amp;F336&amp;" AS STRING)) IN ('N/A','11111111111','11111111111.00','11111111111.000000','1111-11-11'),1,0)) AS NUM_REG_DIF,'"&amp;MAX('ID1&amp;5'!K:K)+1&amp;"' AS ID_EXEC, CURRENT_TIMESTAMP() AS TIME_EXEC FROM "&amp;I336,
IF(C336="Valores extremos",+"SELECT '"&amp;UPPER(B336)&amp;"' AS TABELA, '"&amp;UPPER(C336)&amp;"' AS TIPOLOGIA_TESTE,'"&amp;D336&amp;"' AS TABELA_LT,'N/A' AS TABELA_SIMUL,'"&amp;F336&amp;"' AS CAMPO, "&amp;"'${ref_date}' AS REF_DATE, CAST(MIN("&amp;F336&amp;") AS STRING) AS VALOR_MIN, CAST(MAX("&amp;F336&amp;") AS STRING) AS VALOR_MAX,'"&amp;MAX('ID1&amp;5'!K:K)+1&amp;"' AS ID_EXEC, CURRENT_TIMESTAMP() AS TIME_EXEC FROM "&amp;MID(I336,1,LEN(I336)-2)&amp;" AND CAST("&amp;F336&amp;"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TABELA_SIMUL,'NTNL_ID' AS CAMPO, '${ref_date}' AS REF_DATE, COUNT(*) AS NUM_REG, SUM(IF(COALESCE(CAST(X.NTNL_ID AS STRING),'')&lt;&gt;COALESCE(CAST(Y.NTNL_ID_SIMUL AS STRING),'') OR (X.NTNL_ID IS NULL AND Y.NTNL_ID_SIMUL IS NOT NULL ) OR (X.NTNL_ID IS NOT NULL AND Y.NTNL_ID_SIMUL IS NULL),1,0)) AS NUM_REG_DIF,'1' AS ID_EXEC, CURRENT_TIMESTAMP() AS TIME_EXEC FROM (SELECT prtctn_id, NTNL_ID FROM CD_LOAN_TAPES_BCE.LT004_PROTECTION WHERE ref_date='${ref_date}' AND nome_perimetro='Individual Corporativo' AND segmento='ESTR' AND ambito='PM' AND entidade='00100')X INNER JOIN (SELECT prtctn_id AS prtctn_id_SIMUL, NTNL_ID AS NTNL_ID_SIMUL FROM BU_LOANTAPE_WORK.LT004_PROTECTION WHERE ref_date='${ref_date}' AND nome_perimetro='Individual Corporativo' AND segmento='ESTR' AND ambito='PM' AND entidade='00100')Y ON X.PRTCTN_ID=Y.PRTCTN_ID_SIMUL</v>
      </c>
      <c r="M336" s="36" t="str">
        <f t="shared" si="6"/>
        <v>UNION ALL SELECT 'PROTECTION' AS TABELA, 'COERÊNCIA' AS TIPOLOGIA_TESTE,'CD_LOAN_TAPES_BCE.LT004_PROTECTION' AS TABELA_LT,'BU_LOANTAPE_WORK.LT004_PROTECTION' AS TABELA_SIMUL,'NTNL_ID' AS CAMPO, '${ref_date}' AS REF_DATE, COUNT(*) AS NUM_REG, SUM(IF(COALESCE(CAST(X.NTNL_ID AS STRING),'')&lt;&gt;COALESCE(CAST(Y.NTNL_ID_SIMUL AS STRING),'') OR (X.NTNL_ID IS NULL AND Y.NTNL_ID_SIMUL IS NOT NULL ) OR (X.NTNL_ID IS NOT NULL AND Y.NTNL_ID_SIMUL IS NULL),1,0)) AS NUM_REG_DIF,'1' AS ID_EXEC, CURRENT_TIMESTAMP() AS TIME_EXEC FROM (SELECT prtctn_id, NTNL_ID FROM CD_LOAN_TAPES_BCE.LT004_PROTECTION WHERE ref_date='${ref_date}' AND nome_perimetro='Individual Corporativo' AND segmento='ESTR' AND ambito='PM' AND entidade='00100')X INNER JOIN (SELECT prtctn_id AS prtctn_id_SIMUL, NTNL_ID AS NTNL_ID_SIMUL FROM BU_LOANTAPE_WORK.LT004_PROTECTION WHERE ref_date='${ref_date}' AND nome_perimetro='Individual Corporativo' AND segmento='ESTR' AND ambito='PM' AND entidade='00100')Y ON X.PRTCTN_ID=Y.PRTCTN_ID_SIMUL</v>
      </c>
      <c r="N336" s="38" t="s">
        <v>46</v>
      </c>
    </row>
    <row r="337" spans="2:14" hidden="1">
      <c r="B337" s="34" t="s">
        <v>128</v>
      </c>
      <c r="C337" s="34" t="s">
        <v>5</v>
      </c>
      <c r="D337" s="34" t="str">
        <f>+UPPER('0. Instruções'!$D$35&amp;"."&amp;VLOOKUP(B337,'0. Instruções'!$C$27:$D$32,2,FALSE))</f>
        <v>CD_LOAN_TAPES_BCE.LT004_PROTECTION</v>
      </c>
      <c r="E337" s="34" t="str">
        <f>+UPPER('0. Instruções'!$D$36&amp;"."&amp;VLOOKUP(B337,'0. Instruções'!$C$27:$E$32,3,FALSE))</f>
        <v>BU_LOANTAPE_WORK.LT004_PROTECTION</v>
      </c>
      <c r="F337" s="34" t="s">
        <v>610</v>
      </c>
      <c r="G337" s="34"/>
      <c r="H337" s="34" t="s">
        <v>651</v>
      </c>
      <c r="I337" s="34" t="str">
        <f>"(SELECT "&amp;VLOOKUP(B337,'0. Instruções'!$C$27:$G$32,4,FALSE)&amp;", "&amp;F337&amp;" FROM "&amp;D337&amp;" WHERE "&amp;'0. Instruções'!$D$42&amp;")X"</f>
        <v>(SELECT prtctn_id, PRTCTN_PRVDR_ID FROM CD_LOAN_TAPES_BCE.LT004_PROTECTION WHERE ref_date='${ref_date}' AND nome_perimetro='Individual Corporativo' AND segmento='ESTR' AND ambito='PM' AND entidade='00100')X</v>
      </c>
      <c r="J337" s="34" t="str">
        <f>"(SELECT "&amp;VLOOKUP(B337,'0. Instruções'!$C$27:$G$32,4,FALSE)&amp;" AS "&amp;VLOOKUP(B337,'0. Instruções'!$C$27:$G$32,4,FALSE)&amp;"_SIMUL, "&amp;F337&amp;" AS "&amp;F337&amp;"_SIMUL FROM "&amp;E337&amp;" WHERE "&amp;'0. Instruções'!$D$43&amp;")Y"</f>
        <v>(SELECT prtctn_id AS prtctn_id_SIMUL, PRTCTN_PRVDR_ID AS PRTCTN_PRVDR_ID_SIMUL FROM BU_LOANTAPE_WORK.LT004_PROTECTION WHERE ref_date='${ref_date}' AND nome_perimetro='Individual Corporativo' AND segmento='ESTR' AND ambito='PM' AND entidade='00100')Y</v>
      </c>
      <c r="K337" s="35" t="str">
        <f>+UPPER("ON X."&amp;VLOOKUP(B337,'0. Instruções'!$C$27:$G$32,4,FALSE)&amp;"=Y."&amp;VLOOKUP(B337,'0. Instruções'!$C$27:$G$32,4,FALSE)&amp;"_SIMUL")</f>
        <v>ON X.PRTCTN_ID=Y.PRTCTN_ID_SIMUL</v>
      </c>
      <c r="L337" s="35" t="str">
        <f>+IF(C337="Coerência", +IF(LEFT(G337,5)="FLOAT","SELECT '"&amp;UPPER(B337)&amp;"' AS TABELA, '"&amp;UPPER(C337)&amp;"' AS TIPOLOGIA_TESTE,'"&amp;D337&amp;"' AS TABELA_LT,'"&amp;E337&amp;"' AS TABELA_SIMUL,'"&amp;F337&amp;"' AS CAMPO, "&amp;"'${ref_date}' AS REF_DATE, COUNT(*) AS NUM_REG, SUM(IF((ABS(COALESCE(CAST(X."&amp;F337&amp;" AS DECIMAL(18,6)),0)-COALESCE(CAST(Y."&amp;F337&amp;"_SIMUL AS DECIMAL(18,6)),0))&gt;0.000001) OR (X."&amp;F337&amp;" IS NULL AND Y."&amp;F337&amp;"_SIMUL IS NOT NULL ) OR (X."&amp;F337&amp;" IS NOT NULL AND Y."&amp;F337&amp;"_SIMUL IS NULL),1,0)) AS NUM_REG_DIF,'"&amp;MAX('ID1&amp;5'!K:K)+1&amp;"' AS ID_EXEC, CURRENT_TIMESTAMP() AS TIME_EXEC FROM "&amp;I337&amp;" INNER JOIN "&amp;J337&amp;" "&amp;K337,"SELECT '"&amp;UPPER(B337)&amp;"' AS TABELA, '"&amp;UPPER(C337)&amp;"' AS TIPOLOGIA_TESTE,'"&amp;D337&amp;"' AS TABELA_LT,'"&amp;E337&amp;"' AS TABELA_SIMUL,'"&amp;F337&amp;"' AS CAMPO, "&amp;"'${ref_date}' AS REF_DATE, COUNT(*) AS NUM_REG, SUM(IF(COALESCE(CAST(X."&amp;F337&amp;" AS STRING),'')&lt;&gt;COALESCE(CAST(Y."&amp;F337&amp;"_SIMUL AS STRING),'') OR (X."&amp;F337&amp;" IS NULL AND Y."&amp;F337&amp;"_SIMUL IS NOT NULL ) OR (X."&amp;F337&amp;" IS NOT NULL AND Y."&amp;F337&amp;"_SIMUL IS NULL),1,0)) AS NUM_REG_DIF,'"&amp;MAX('ID1&amp;5'!L:L)+1&amp;"' AS ID_EXEC, CURRENT_TIMESTAMP() AS TIME_EXEC FROM "&amp;I337&amp;" INNER JOIN "&amp;J337&amp;" "&amp;K337),
IF(C337="Validade",+IF(G337="Code List","SELECT '"&amp;UPPER(B337)&amp;"' AS TABELA, '"&amp;UPPER(C337)&amp;"' AS TIPOLOGIA_TESTE,'"&amp;D337&amp;"' AS TABELA_LT,'N/A' AS TABELA_SIMUL,'"&amp;F337&amp;"' AS CAMPO, "&amp;"'${ref_date}' AS REF_DATE, COUNT(*) AS NUM_REG, SUM(IF(TRIM(CAST(X."&amp;F337&amp;" AS STRING))='' OR TRIM(CAST(X."&amp;F337&amp;" AS STRING)) IS NULL OR CAST(X."&amp;F337&amp;" AS STRING) NOT "&amp;H337&amp;",1,0)) AS NUM_REG_DIF,'"&amp;MAX('ID1&amp;5'!K:K)+1&amp;"' AS ID_EXEC, CURRENT_TIMESTAMP() AS TIME_EXEC FROM "&amp;I337,"SELECT '"&amp;UPPER(B337)&amp;"' AS TABELA, '"&amp;UPPER(C337)&amp;"' AS TIPOLOGIA_TESTE,'"&amp;D337&amp;"' AS TABELA_LT,'N/A' AS TABELA_SIMUL,'"&amp;F337&amp;"' AS CAMPO, "&amp;"'${ref_date}' AS REF_DATE, COUNT(*) AS NUM_REG, SUM(IF(TRIM(CAST(X."&amp;F337&amp;" AS STRING))='' OR TRIM(CAST(X."&amp;F337&amp;" AS STRING)) IS NULL,1,0)) AS NUM_REG_DIF,'"&amp;MAX('ID1&amp;5'!K:K)+1&amp;"' AS ID_EXEC, CURRENT_TIMESTAMP() AS TIME_EXEC FROM "&amp;I337),
IF(C337="Caracteres Especiais",+"SELECT '"&amp;UPPER(B337)&amp;"' AS TABELA, '"&amp;UPPER(C337)&amp;"' AS TIPOLOGIA_TESTE,'"&amp;D337&amp;"' AS TABELA_LT,'N/A' AS TABELA_SIMUL,'"&amp;F337&amp;"' AS CAMPO, "&amp;"'${ref_date}' AS REF_DATE, COUNT(*) AS NUM_REG, SUM(IF(REGEXP_REPLACE(TRIM(CAST(X."&amp;F337&amp;" AS STRING)),'[^a-zA-Z0-9_\\s]','') &lt;&gt;TRIM(CAST(X."&amp;F337&amp;" AS STRING)),1,0)) AS NUM_REG_DIF,'"&amp;MAX('ID1&amp;5'!K:K)+1&amp;"' AS ID_EXEC, CURRENT_TIMESTAMP() AS TIME_EXEC FROM "&amp;I337,
IF(C337="Missings",+"SELECT '"&amp;UPPER(B337)&amp;"' AS TABELA, '"&amp;UPPER(C337)&amp;"' AS TIPOLOGIA_TESTE,'"&amp;D337&amp;"' AS TABELA_LT,'N/A' AS TABELA_SIMUL,'"&amp;F337&amp;"' AS CAMPO, "&amp;"'${ref_date}' AS REF_DATE, COUNT(*) AS NUM_REG, SUM(IF(TRIM(CAST(X."&amp;F337&amp;" AS STRING)) IN ('0000-00-00','0001-01-01','9999-12-31','MISS','00000','99999999999','99999999999.00','99999999999.000000'),1,0)) AS NUM_REG_DIF,'"&amp;MAX('ID1&amp;5'!K:K)+1&amp;"' AS ID_EXEC, CURRENT_TIMESTAMP() AS TIME_EXEC FROM "&amp;I337,
IF(C337="Not applicable",+"SELECT '"&amp;UPPER(B337)&amp;"' AS TABELA, '"&amp;UPPER(C337)&amp;"' AS TIPOLOGIA_TESTE,'"&amp;D337&amp;"' AS TABELA_LT,'N/A' AS TABELA_SIMUL,'"&amp;F337&amp;"' AS CAMPO, "&amp;"'${ref_date}' AS REF_DATE, COUNT(*) AS NUM_REG, SUM(IF(TRIM(CAST(X."&amp;F337&amp;" AS STRING)) IN ('N/A','11111111111','11111111111.00','11111111111.000000','1111-11-11'),1,0)) AS NUM_REG_DIF,'"&amp;MAX('ID1&amp;5'!K:K)+1&amp;"' AS ID_EXEC, CURRENT_TIMESTAMP() AS TIME_EXEC FROM "&amp;I337,
IF(C337="Valores extremos",+"SELECT '"&amp;UPPER(B337)&amp;"' AS TABELA, '"&amp;UPPER(C337)&amp;"' AS TIPOLOGIA_TESTE,'"&amp;D337&amp;"' AS TABELA_LT,'N/A' AS TABELA_SIMUL,'"&amp;F337&amp;"' AS CAMPO, "&amp;"'${ref_date}' AS REF_DATE, CAST(MIN("&amp;F337&amp;") AS STRING) AS VALOR_MIN, CAST(MAX("&amp;F337&amp;") AS STRING) AS VALOR_MAX,'"&amp;MAX('ID1&amp;5'!K:K)+1&amp;"' AS ID_EXEC, CURRENT_TIMESTAMP() AS TIME_EXEC FROM "&amp;MID(I337,1,LEN(I337)-2)&amp;" AND CAST("&amp;F337&amp;"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TABELA_SIMUL,'PRTCTN_PRVDR_ID' AS CAMPO, '${ref_date}' AS REF_DATE, COUNT(*) AS NUM_REG, SUM(IF(COALESCE(CAST(X.PRTCTN_PRVDR_ID AS STRING),'')&lt;&gt;COALESCE(CAST(Y.PRTCTN_PRVDR_ID_SIMUL AS STRING),'') OR (X.PRTCTN_PRVDR_ID IS NULL AND Y.PRTCTN_PRVDR_ID_SIMUL IS NOT NULL ) OR (X.PRTCTN_PRVDR_ID IS NOT NULL AND Y.PRTCTN_PRVDR_ID_SIMUL IS NULL),1,0)) AS NUM_REG_DIF,'1' AS ID_EXEC, CURRENT_TIMESTAMP() AS TIME_EXEC FROM (SELECT prtctn_id, PRTCTN_PRVDR_ID FROM CD_LOAN_TAPES_BCE.LT004_PROTECTION WHERE ref_date='${ref_date}' AND nome_perimetro='Individual Corporativo' AND segmento='ESTR' AND ambito='PM' AND entidade='00100')X INNER JOIN (SELECT prtctn_id AS prtctn_id_SIMUL, PRTCTN_PRVDR_ID AS PRTCTN_PRVDR_ID_SIMUL FROM BU_LOANTAPE_WORK.LT004_PROTECTION WHERE ref_date='${ref_date}' AND nome_perimetro='Individual Corporativo' AND segmento='ESTR' AND ambito='PM' AND entidade='00100')Y ON X.PRTCTN_ID=Y.PRTCTN_ID_SIMUL</v>
      </c>
      <c r="M337" s="36" t="str">
        <f t="shared" si="6"/>
        <v>UNION ALL SELECT 'PROTECTION' AS TABELA, 'COERÊNCIA' AS TIPOLOGIA_TESTE,'CD_LOAN_TAPES_BCE.LT004_PROTECTION' AS TABELA_LT,'BU_LOANTAPE_WORK.LT004_PROTECTION' AS TABELA_SIMUL,'PRTCTN_PRVDR_ID' AS CAMPO, '${ref_date}' AS REF_DATE, COUNT(*) AS NUM_REG, SUM(IF(COALESCE(CAST(X.PRTCTN_PRVDR_ID AS STRING),'')&lt;&gt;COALESCE(CAST(Y.PRTCTN_PRVDR_ID_SIMUL AS STRING),'') OR (X.PRTCTN_PRVDR_ID IS NULL AND Y.PRTCTN_PRVDR_ID_SIMUL IS NOT NULL ) OR (X.PRTCTN_PRVDR_ID IS NOT NULL AND Y.PRTCTN_PRVDR_ID_SIMUL IS NULL),1,0)) AS NUM_REG_DIF,'1' AS ID_EXEC, CURRENT_TIMESTAMP() AS TIME_EXEC FROM (SELECT prtctn_id, PRTCTN_PRVDR_ID FROM CD_LOAN_TAPES_BCE.LT004_PROTECTION WHERE ref_date='${ref_date}' AND nome_perimetro='Individual Corporativo' AND segmento='ESTR' AND ambito='PM' AND entidade='00100')X INNER JOIN (SELECT prtctn_id AS prtctn_id_SIMUL, PRTCTN_PRVDR_ID AS PRTCTN_PRVDR_ID_SIMUL FROM BU_LOANTAPE_WORK.LT004_PROTECTION WHERE ref_date='${ref_date}' AND nome_perimetro='Individual Corporativo' AND segmento='ESTR' AND ambito='PM' AND entidade='00100')Y ON X.PRTCTN_ID=Y.PRTCTN_ID_SIMUL</v>
      </c>
      <c r="N337" s="38" t="s">
        <v>46</v>
      </c>
    </row>
    <row r="338" spans="2:14" hidden="1">
      <c r="B338" s="34" t="s">
        <v>128</v>
      </c>
      <c r="C338" s="34" t="s">
        <v>5</v>
      </c>
      <c r="D338" s="34" t="str">
        <f>+UPPER('0. Instruções'!$D$35&amp;"."&amp;VLOOKUP(B338,'0. Instruções'!$C$27:$D$32,2,FALSE))</f>
        <v>CD_LOAN_TAPES_BCE.LT004_PROTECTION</v>
      </c>
      <c r="E338" s="34" t="str">
        <f>+UPPER('0. Instruções'!$D$36&amp;"."&amp;VLOOKUP(B338,'0. Instruções'!$C$27:$E$32,3,FALSE))</f>
        <v>BU_LOANTAPE_WORK.LT004_PROTECTION</v>
      </c>
      <c r="F338" s="34" t="s">
        <v>611</v>
      </c>
      <c r="G338" s="34"/>
      <c r="H338" s="34" t="s">
        <v>646</v>
      </c>
      <c r="I338" s="34" t="str">
        <f>"(SELECT "&amp;VLOOKUP(B338,'0. Instruções'!$C$27:$G$32,4,FALSE)&amp;", "&amp;F338&amp;" FROM "&amp;D338&amp;" WHERE "&amp;'0. Instruções'!$D$42&amp;")X"</f>
        <v>(SELECT prtctn_id, RL_ESTT_ADDRSS FROM CD_LOAN_TAPES_BCE.LT004_PROTECTION WHERE ref_date='${ref_date}' AND nome_perimetro='Individual Corporativo' AND segmento='ESTR' AND ambito='PM' AND entidade='00100')X</v>
      </c>
      <c r="J338" s="34" t="str">
        <f>"(SELECT "&amp;VLOOKUP(B338,'0. Instruções'!$C$27:$G$32,4,FALSE)&amp;" AS "&amp;VLOOKUP(B338,'0. Instruções'!$C$27:$G$32,4,FALSE)&amp;"_SIMUL, "&amp;F338&amp;" AS "&amp;F338&amp;"_SIMUL FROM "&amp;E338&amp;" WHERE "&amp;'0. Instruções'!$D$43&amp;")Y"</f>
        <v>(SELECT prtctn_id AS prtctn_id_SIMUL, RL_ESTT_ADDRSS AS RL_ESTT_ADDRSS_SIMUL FROM BU_LOANTAPE_WORK.LT004_PROTECTION WHERE ref_date='${ref_date}' AND nome_perimetro='Individual Corporativo' AND segmento='ESTR' AND ambito='PM' AND entidade='00100')Y</v>
      </c>
      <c r="K338" s="35" t="str">
        <f>+UPPER("ON X."&amp;VLOOKUP(B338,'0. Instruções'!$C$27:$G$32,4,FALSE)&amp;"=Y."&amp;VLOOKUP(B338,'0. Instruções'!$C$27:$G$32,4,FALSE)&amp;"_SIMUL")</f>
        <v>ON X.PRTCTN_ID=Y.PRTCTN_ID_SIMUL</v>
      </c>
      <c r="L338" s="35" t="str">
        <f>+IF(C338="Coerência", +IF(LEFT(G338,5)="FLOAT","SELECT '"&amp;UPPER(B338)&amp;"' AS TABELA, '"&amp;UPPER(C338)&amp;"' AS TIPOLOGIA_TESTE,'"&amp;D338&amp;"' AS TABELA_LT,'"&amp;E338&amp;"' AS TABELA_SIMUL,'"&amp;F338&amp;"' AS CAMPO, "&amp;"'${ref_date}' AS REF_DATE, COUNT(*) AS NUM_REG, SUM(IF((ABS(COALESCE(CAST(X."&amp;F338&amp;" AS DECIMAL(18,6)),0)-COALESCE(CAST(Y."&amp;F338&amp;"_SIMUL AS DECIMAL(18,6)),0))&gt;0.000001) OR (X."&amp;F338&amp;" IS NULL AND Y."&amp;F338&amp;"_SIMUL IS NOT NULL ) OR (X."&amp;F338&amp;" IS NOT NULL AND Y."&amp;F338&amp;"_SIMUL IS NULL),1,0)) AS NUM_REG_DIF,'"&amp;MAX('ID1&amp;5'!K:K)+1&amp;"' AS ID_EXEC, CURRENT_TIMESTAMP() AS TIME_EXEC FROM "&amp;I338&amp;" INNER JOIN "&amp;J338&amp;" "&amp;K338,"SELECT '"&amp;UPPER(B338)&amp;"' AS TABELA, '"&amp;UPPER(C338)&amp;"' AS TIPOLOGIA_TESTE,'"&amp;D338&amp;"' AS TABELA_LT,'"&amp;E338&amp;"' AS TABELA_SIMUL,'"&amp;F338&amp;"' AS CAMPO, "&amp;"'${ref_date}' AS REF_DATE, COUNT(*) AS NUM_REG, SUM(IF(COALESCE(CAST(X."&amp;F338&amp;" AS STRING),'')&lt;&gt;COALESCE(CAST(Y."&amp;F338&amp;"_SIMUL AS STRING),'') OR (X."&amp;F338&amp;" IS NULL AND Y."&amp;F338&amp;"_SIMUL IS NOT NULL ) OR (X."&amp;F338&amp;" IS NOT NULL AND Y."&amp;F338&amp;"_SIMUL IS NULL),1,0)) AS NUM_REG_DIF,'"&amp;MAX('ID1&amp;5'!L:L)+1&amp;"' AS ID_EXEC, CURRENT_TIMESTAMP() AS TIME_EXEC FROM "&amp;I338&amp;" INNER JOIN "&amp;J338&amp;" "&amp;K338),
IF(C338="Validade",+IF(G338="Code List","SELECT '"&amp;UPPER(B338)&amp;"' AS TABELA, '"&amp;UPPER(C338)&amp;"' AS TIPOLOGIA_TESTE,'"&amp;D338&amp;"' AS TABELA_LT,'N/A' AS TABELA_SIMUL,'"&amp;F338&amp;"' AS CAMPO, "&amp;"'${ref_date}' AS REF_DATE, COUNT(*) AS NUM_REG, SUM(IF(TRIM(CAST(X."&amp;F338&amp;" AS STRING))='' OR TRIM(CAST(X."&amp;F338&amp;" AS STRING)) IS NULL OR CAST(X."&amp;F338&amp;" AS STRING) NOT "&amp;H338&amp;",1,0)) AS NUM_REG_DIF,'"&amp;MAX('ID1&amp;5'!K:K)+1&amp;"' AS ID_EXEC, CURRENT_TIMESTAMP() AS TIME_EXEC FROM "&amp;I338,"SELECT '"&amp;UPPER(B338)&amp;"' AS TABELA, '"&amp;UPPER(C338)&amp;"' AS TIPOLOGIA_TESTE,'"&amp;D338&amp;"' AS TABELA_LT,'N/A' AS TABELA_SIMUL,'"&amp;F338&amp;"' AS CAMPO, "&amp;"'${ref_date}' AS REF_DATE, COUNT(*) AS NUM_REG, SUM(IF(TRIM(CAST(X."&amp;F338&amp;" AS STRING))='' OR TRIM(CAST(X."&amp;F338&amp;" AS STRING)) IS NULL,1,0)) AS NUM_REG_DIF,'"&amp;MAX('ID1&amp;5'!K:K)+1&amp;"' AS ID_EXEC, CURRENT_TIMESTAMP() AS TIME_EXEC FROM "&amp;I338),
IF(C338="Caracteres Especiais",+"SELECT '"&amp;UPPER(B338)&amp;"' AS TABELA, '"&amp;UPPER(C338)&amp;"' AS TIPOLOGIA_TESTE,'"&amp;D338&amp;"' AS TABELA_LT,'N/A' AS TABELA_SIMUL,'"&amp;F338&amp;"' AS CAMPO, "&amp;"'${ref_date}' AS REF_DATE, COUNT(*) AS NUM_REG, SUM(IF(REGEXP_REPLACE(TRIM(CAST(X."&amp;F338&amp;" AS STRING)),'[^a-zA-Z0-9_\\s]','') &lt;&gt;TRIM(CAST(X."&amp;F338&amp;" AS STRING)),1,0)) AS NUM_REG_DIF,'"&amp;MAX('ID1&amp;5'!K:K)+1&amp;"' AS ID_EXEC, CURRENT_TIMESTAMP() AS TIME_EXEC FROM "&amp;I338,
IF(C338="Missings",+"SELECT '"&amp;UPPER(B338)&amp;"' AS TABELA, '"&amp;UPPER(C338)&amp;"' AS TIPOLOGIA_TESTE,'"&amp;D338&amp;"' AS TABELA_LT,'N/A' AS TABELA_SIMUL,'"&amp;F338&amp;"' AS CAMPO, "&amp;"'${ref_date}' AS REF_DATE, COUNT(*) AS NUM_REG, SUM(IF(TRIM(CAST(X."&amp;F338&amp;" AS STRING)) IN ('0000-00-00','0001-01-01','9999-12-31','MISS','00000','99999999999','99999999999.00','99999999999.000000'),1,0)) AS NUM_REG_DIF,'"&amp;MAX('ID1&amp;5'!K:K)+1&amp;"' AS ID_EXEC, CURRENT_TIMESTAMP() AS TIME_EXEC FROM "&amp;I338,
IF(C338="Not applicable",+"SELECT '"&amp;UPPER(B338)&amp;"' AS TABELA, '"&amp;UPPER(C338)&amp;"' AS TIPOLOGIA_TESTE,'"&amp;D338&amp;"' AS TABELA_LT,'N/A' AS TABELA_SIMUL,'"&amp;F338&amp;"' AS CAMPO, "&amp;"'${ref_date}' AS REF_DATE, COUNT(*) AS NUM_REG, SUM(IF(TRIM(CAST(X."&amp;F338&amp;" AS STRING)) IN ('N/A','11111111111','11111111111.00','11111111111.000000','1111-11-11'),1,0)) AS NUM_REG_DIF,'"&amp;MAX('ID1&amp;5'!K:K)+1&amp;"' AS ID_EXEC, CURRENT_TIMESTAMP() AS TIME_EXEC FROM "&amp;I338,
IF(C338="Valores extremos",+"SELECT '"&amp;UPPER(B338)&amp;"' AS TABELA, '"&amp;UPPER(C338)&amp;"' AS TIPOLOGIA_TESTE,'"&amp;D338&amp;"' AS TABELA_LT,'N/A' AS TABELA_SIMUL,'"&amp;F338&amp;"' AS CAMPO, "&amp;"'${ref_date}' AS REF_DATE, CAST(MIN("&amp;F338&amp;") AS STRING) AS VALOR_MIN, CAST(MAX("&amp;F338&amp;") AS STRING) AS VALOR_MAX,'"&amp;MAX('ID1&amp;5'!K:K)+1&amp;"' AS ID_EXEC, CURRENT_TIMESTAMP() AS TIME_EXEC FROM "&amp;MID(I338,1,LEN(I338)-2)&amp;" AND CAST("&amp;F338&amp;"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TABELA_SIMUL,'RL_ESTT_ADDRSS' AS CAMPO, '${ref_date}' AS REF_DATE, COUNT(*) AS NUM_REG, SUM(IF(COALESCE(CAST(X.RL_ESTT_ADDRSS AS STRING),'')&lt;&gt;COALESCE(CAST(Y.RL_ESTT_ADDRSS_SIMUL AS STRING),'') OR (X.RL_ESTT_ADDRSS IS NULL AND Y.RL_ESTT_ADDRSS_SIMUL IS NOT NULL ) OR (X.RL_ESTT_ADDRSS IS NOT NULL AND Y.RL_ESTT_ADDRSS_SIMUL IS NULL),1,0)) AS NUM_REG_DIF,'1' AS ID_EXEC, CURRENT_TIMESTAMP() AS TIME_EXEC FROM (SELECT prtctn_id, RL_ESTT_ADDRSS FROM CD_LOAN_TAPES_BCE.LT004_PROTECTION WHERE ref_date='${ref_date}' AND nome_perimetro='Individual Corporativo' AND segmento='ESTR' AND ambito='PM' AND entidade='00100')X INNER JOIN (SELECT prtctn_id AS prtctn_id_SIMUL, RL_ESTT_ADDRSS AS RL_ESTT_ADDRSS_SIMUL FROM BU_LOANTAPE_WORK.LT004_PROTECTION WHERE ref_date='${ref_date}' AND nome_perimetro='Individual Corporativo' AND segmento='ESTR' AND ambito='PM' AND entidade='00100')Y ON X.PRTCTN_ID=Y.PRTCTN_ID_SIMUL</v>
      </c>
      <c r="M338" s="36" t="str">
        <f t="shared" si="6"/>
        <v>UNION ALL SELECT 'PROTECTION' AS TABELA, 'COERÊNCIA' AS TIPOLOGIA_TESTE,'CD_LOAN_TAPES_BCE.LT004_PROTECTION' AS TABELA_LT,'BU_LOANTAPE_WORK.LT004_PROTECTION' AS TABELA_SIMUL,'RL_ESTT_ADDRSS' AS CAMPO, '${ref_date}' AS REF_DATE, COUNT(*) AS NUM_REG, SUM(IF(COALESCE(CAST(X.RL_ESTT_ADDRSS AS STRING),'')&lt;&gt;COALESCE(CAST(Y.RL_ESTT_ADDRSS_SIMUL AS STRING),'') OR (X.RL_ESTT_ADDRSS IS NULL AND Y.RL_ESTT_ADDRSS_SIMUL IS NOT NULL ) OR (X.RL_ESTT_ADDRSS IS NOT NULL AND Y.RL_ESTT_ADDRSS_SIMUL IS NULL),1,0)) AS NUM_REG_DIF,'1' AS ID_EXEC, CURRENT_TIMESTAMP() AS TIME_EXEC FROM (SELECT prtctn_id, RL_ESTT_ADDRSS FROM CD_LOAN_TAPES_BCE.LT004_PROTECTION WHERE ref_date='${ref_date}' AND nome_perimetro='Individual Corporativo' AND segmento='ESTR' AND ambito='PM' AND entidade='00100')X INNER JOIN (SELECT prtctn_id AS prtctn_id_SIMUL, RL_ESTT_ADDRSS AS RL_ESTT_ADDRSS_SIMUL FROM BU_LOANTAPE_WORK.LT004_PROTECTION WHERE ref_date='${ref_date}' AND nome_perimetro='Individual Corporativo' AND segmento='ESTR' AND ambito='PM' AND entidade='00100')Y ON X.PRTCTN_ID=Y.PRTCTN_ID_SIMUL</v>
      </c>
      <c r="N338" s="38" t="s">
        <v>46</v>
      </c>
    </row>
    <row r="339" spans="2:14" hidden="1">
      <c r="B339" s="34" t="s">
        <v>128</v>
      </c>
      <c r="C339" s="34" t="s">
        <v>5</v>
      </c>
      <c r="D339" s="34" t="str">
        <f>+UPPER('0. Instruções'!$D$35&amp;"."&amp;VLOOKUP(B339,'0. Instruções'!$C$27:$D$32,2,FALSE))</f>
        <v>CD_LOAN_TAPES_BCE.LT004_PROTECTION</v>
      </c>
      <c r="E339" s="34" t="str">
        <f>+UPPER('0. Instruções'!$D$36&amp;"."&amp;VLOOKUP(B339,'0. Instruções'!$C$27:$E$32,3,FALSE))</f>
        <v>BU_LOANTAPE_WORK.LT004_PROTECTION</v>
      </c>
      <c r="F339" s="34" t="s">
        <v>121</v>
      </c>
      <c r="G339" s="34"/>
      <c r="H339" s="34" t="s">
        <v>89</v>
      </c>
      <c r="I339" s="34" t="str">
        <f>"(SELECT "&amp;VLOOKUP(B339,'0. Instruções'!$C$27:$G$32,4,FALSE)&amp;", "&amp;F339&amp;" FROM "&amp;D339&amp;" WHERE "&amp;'0. Instruções'!$D$42&amp;")X"</f>
        <v>(SELECT prtctn_id, RL_ESTT_CLLTRL_LCTN FROM CD_LOAN_TAPES_BCE.LT004_PROTECTION WHERE ref_date='${ref_date}' AND nome_perimetro='Individual Corporativo' AND segmento='ESTR' AND ambito='PM' AND entidade='00100')X</v>
      </c>
      <c r="J339" s="34" t="str">
        <f>"(SELECT "&amp;VLOOKUP(B339,'0. Instruções'!$C$27:$G$32,4,FALSE)&amp;" AS "&amp;VLOOKUP(B339,'0. Instruções'!$C$27:$G$32,4,FALSE)&amp;"_SIMUL, "&amp;F339&amp;" AS "&amp;F339&amp;"_SIMUL FROM "&amp;E339&amp;" WHERE "&amp;'0. Instruções'!$D$43&amp;")Y"</f>
        <v>(SELECT prtctn_id AS prtctn_id_SIMUL, RL_ESTT_CLLTRL_LCTN AS RL_ESTT_CLLTRL_LCTN_SIMUL FROM BU_LOANTAPE_WORK.LT004_PROTECTION WHERE ref_date='${ref_date}' AND nome_perimetro='Individual Corporativo' AND segmento='ESTR' AND ambito='PM' AND entidade='00100')Y</v>
      </c>
      <c r="K339" s="35" t="str">
        <f>+UPPER("ON X."&amp;VLOOKUP(B339,'0. Instruções'!$C$27:$G$32,4,FALSE)&amp;"=Y."&amp;VLOOKUP(B339,'0. Instruções'!$C$27:$G$32,4,FALSE)&amp;"_SIMUL")</f>
        <v>ON X.PRTCTN_ID=Y.PRTCTN_ID_SIMUL</v>
      </c>
      <c r="L339" s="35" t="str">
        <f>+IF(C339="Coerência", +IF(LEFT(G339,5)="FLOAT","SELECT '"&amp;UPPER(B339)&amp;"' AS TABELA, '"&amp;UPPER(C339)&amp;"' AS TIPOLOGIA_TESTE,'"&amp;D339&amp;"' AS TABELA_LT,'"&amp;E339&amp;"' AS TABELA_SIMUL,'"&amp;F339&amp;"' AS CAMPO, "&amp;"'${ref_date}' AS REF_DATE, COUNT(*) AS NUM_REG, SUM(IF((ABS(COALESCE(CAST(X."&amp;F339&amp;" AS DECIMAL(18,6)),0)-COALESCE(CAST(Y."&amp;F339&amp;"_SIMUL AS DECIMAL(18,6)),0))&gt;0.000001) OR (X."&amp;F339&amp;" IS NULL AND Y."&amp;F339&amp;"_SIMUL IS NOT NULL ) OR (X."&amp;F339&amp;" IS NOT NULL AND Y."&amp;F339&amp;"_SIMUL IS NULL),1,0)) AS NUM_REG_DIF,'"&amp;MAX('ID1&amp;5'!K:K)+1&amp;"' AS ID_EXEC, CURRENT_TIMESTAMP() AS TIME_EXEC FROM "&amp;I339&amp;" INNER JOIN "&amp;J339&amp;" "&amp;K339,"SELECT '"&amp;UPPER(B339)&amp;"' AS TABELA, '"&amp;UPPER(C339)&amp;"' AS TIPOLOGIA_TESTE,'"&amp;D339&amp;"' AS TABELA_LT,'"&amp;E339&amp;"' AS TABELA_SIMUL,'"&amp;F339&amp;"' AS CAMPO, "&amp;"'${ref_date}' AS REF_DATE, COUNT(*) AS NUM_REG, SUM(IF(COALESCE(CAST(X."&amp;F339&amp;" AS STRING),'')&lt;&gt;COALESCE(CAST(Y."&amp;F339&amp;"_SIMUL AS STRING),'') OR (X."&amp;F339&amp;" IS NULL AND Y."&amp;F339&amp;"_SIMUL IS NOT NULL ) OR (X."&amp;F339&amp;" IS NOT NULL AND Y."&amp;F339&amp;"_SIMUL IS NULL),1,0)) AS NUM_REG_DIF,'"&amp;MAX('ID1&amp;5'!L:L)+1&amp;"' AS ID_EXEC, CURRENT_TIMESTAMP() AS TIME_EXEC FROM "&amp;I339&amp;" INNER JOIN "&amp;J339&amp;" "&amp;K339),
IF(C339="Validade",+IF(G339="Code List","SELECT '"&amp;UPPER(B339)&amp;"' AS TABELA, '"&amp;UPPER(C339)&amp;"' AS TIPOLOGIA_TESTE,'"&amp;D339&amp;"' AS TABELA_LT,'N/A' AS TABELA_SIMUL,'"&amp;F339&amp;"' AS CAMPO, "&amp;"'${ref_date}' AS REF_DATE, COUNT(*) AS NUM_REG, SUM(IF(TRIM(CAST(X."&amp;F339&amp;" AS STRING))='' OR TRIM(CAST(X."&amp;F339&amp;" AS STRING)) IS NULL OR CAST(X."&amp;F339&amp;" AS STRING) NOT "&amp;H339&amp;",1,0)) AS NUM_REG_DIF,'"&amp;MAX('ID1&amp;5'!K:K)+1&amp;"' AS ID_EXEC, CURRENT_TIMESTAMP() AS TIME_EXEC FROM "&amp;I339,"SELECT '"&amp;UPPER(B339)&amp;"' AS TABELA, '"&amp;UPPER(C339)&amp;"' AS TIPOLOGIA_TESTE,'"&amp;D339&amp;"' AS TABELA_LT,'N/A' AS TABELA_SIMUL,'"&amp;F339&amp;"' AS CAMPO, "&amp;"'${ref_date}' AS REF_DATE, COUNT(*) AS NUM_REG, SUM(IF(TRIM(CAST(X."&amp;F339&amp;" AS STRING))='' OR TRIM(CAST(X."&amp;F339&amp;" AS STRING)) IS NULL,1,0)) AS NUM_REG_DIF,'"&amp;MAX('ID1&amp;5'!K:K)+1&amp;"' AS ID_EXEC, CURRENT_TIMESTAMP() AS TIME_EXEC FROM "&amp;I339),
IF(C339="Caracteres Especiais",+"SELECT '"&amp;UPPER(B339)&amp;"' AS TABELA, '"&amp;UPPER(C339)&amp;"' AS TIPOLOGIA_TESTE,'"&amp;D339&amp;"' AS TABELA_LT,'N/A' AS TABELA_SIMUL,'"&amp;F339&amp;"' AS CAMPO, "&amp;"'${ref_date}' AS REF_DATE, COUNT(*) AS NUM_REG, SUM(IF(REGEXP_REPLACE(TRIM(CAST(X."&amp;F339&amp;" AS STRING)),'[^a-zA-Z0-9_\\s]','') &lt;&gt;TRIM(CAST(X."&amp;F339&amp;" AS STRING)),1,0)) AS NUM_REG_DIF,'"&amp;MAX('ID1&amp;5'!K:K)+1&amp;"' AS ID_EXEC, CURRENT_TIMESTAMP() AS TIME_EXEC FROM "&amp;I339,
IF(C339="Missings",+"SELECT '"&amp;UPPER(B339)&amp;"' AS TABELA, '"&amp;UPPER(C339)&amp;"' AS TIPOLOGIA_TESTE,'"&amp;D339&amp;"' AS TABELA_LT,'N/A' AS TABELA_SIMUL,'"&amp;F339&amp;"' AS CAMPO, "&amp;"'${ref_date}' AS REF_DATE, COUNT(*) AS NUM_REG, SUM(IF(TRIM(CAST(X."&amp;F339&amp;" AS STRING)) IN ('0000-00-00','0001-01-01','9999-12-31','MISS','00000','99999999999','99999999999.00','99999999999.000000'),1,0)) AS NUM_REG_DIF,'"&amp;MAX('ID1&amp;5'!K:K)+1&amp;"' AS ID_EXEC, CURRENT_TIMESTAMP() AS TIME_EXEC FROM "&amp;I339,
IF(C339="Not applicable",+"SELECT '"&amp;UPPER(B339)&amp;"' AS TABELA, '"&amp;UPPER(C339)&amp;"' AS TIPOLOGIA_TESTE,'"&amp;D339&amp;"' AS TABELA_LT,'N/A' AS TABELA_SIMUL,'"&amp;F339&amp;"' AS CAMPO, "&amp;"'${ref_date}' AS REF_DATE, COUNT(*) AS NUM_REG, SUM(IF(TRIM(CAST(X."&amp;F339&amp;" AS STRING)) IN ('N/A','11111111111','11111111111.00','11111111111.000000','1111-11-11'),1,0)) AS NUM_REG_DIF,'"&amp;MAX('ID1&amp;5'!K:K)+1&amp;"' AS ID_EXEC, CURRENT_TIMESTAMP() AS TIME_EXEC FROM "&amp;I339,
IF(C339="Valores extremos",+"SELECT '"&amp;UPPER(B339)&amp;"' AS TABELA, '"&amp;UPPER(C339)&amp;"' AS TIPOLOGIA_TESTE,'"&amp;D339&amp;"' AS TABELA_LT,'N/A' AS TABELA_SIMUL,'"&amp;F339&amp;"' AS CAMPO, "&amp;"'${ref_date}' AS REF_DATE, CAST(MIN("&amp;F339&amp;") AS STRING) AS VALOR_MIN, CAST(MAX("&amp;F339&amp;") AS STRING) AS VALOR_MAX,'"&amp;MAX('ID1&amp;5'!K:K)+1&amp;"' AS ID_EXEC, CURRENT_TIMESTAMP() AS TIME_EXEC FROM "&amp;MID(I339,1,LEN(I339)-2)&amp;" AND CAST("&amp;F339&amp;"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TABELA_SIMUL,'RL_ESTT_CLLTRL_LCTN' AS CAMPO, '${ref_date}' AS REF_DATE, COUNT(*) AS NUM_REG, SUM(IF(COALESCE(CAST(X.RL_ESTT_CLLTRL_LCTN AS STRING),'')&lt;&gt;COALESCE(CAST(Y.RL_ESTT_CLLTRL_LCTN_SIMUL AS STRING),'') OR (X.RL_ESTT_CLLTRL_LCTN IS NULL AND Y.RL_ESTT_CLLTRL_LCTN_SIMUL IS NOT NULL ) OR (X.RL_ESTT_CLLTRL_LCTN IS NOT NULL AND Y.RL_ESTT_CLLTRL_LCTN_SIMUL IS NULL),1,0)) AS NUM_REG_DIF,'1' AS ID_EXEC, CURRENT_TIMESTAMP() AS TIME_EXEC FROM (SELECT prtctn_id, RL_ESTT_CLLTRL_LCTN FROM CD_LOAN_TAPES_BCE.LT004_PROTECTION WHERE ref_date='${ref_date}' AND nome_perimetro='Individual Corporativo' AND segmento='ESTR' AND ambito='PM' AND entidade='00100')X INNER JOIN (SELECT prtctn_id AS prtctn_id_SIMUL, RL_ESTT_CLLTRL_LCTN AS RL_ESTT_CLLTRL_LCTN_SIMUL FROM BU_LOANTAPE_WORK.LT004_PROTECTION WHERE ref_date='${ref_date}' AND nome_perimetro='Individual Corporativo' AND segmento='ESTR' AND ambito='PM' AND entidade='00100')Y ON X.PRTCTN_ID=Y.PRTCTN_ID_SIMUL</v>
      </c>
      <c r="M339" s="36" t="str">
        <f t="shared" si="6"/>
        <v>UNION ALL SELECT 'PROTECTION' AS TABELA, 'COERÊNCIA' AS TIPOLOGIA_TESTE,'CD_LOAN_TAPES_BCE.LT004_PROTECTION' AS TABELA_LT,'BU_LOANTAPE_WORK.LT004_PROTECTION' AS TABELA_SIMUL,'RL_ESTT_CLLTRL_LCTN' AS CAMPO, '${ref_date}' AS REF_DATE, COUNT(*) AS NUM_REG, SUM(IF(COALESCE(CAST(X.RL_ESTT_CLLTRL_LCTN AS STRING),'')&lt;&gt;COALESCE(CAST(Y.RL_ESTT_CLLTRL_LCTN_SIMUL AS STRING),'') OR (X.RL_ESTT_CLLTRL_LCTN IS NULL AND Y.RL_ESTT_CLLTRL_LCTN_SIMUL IS NOT NULL ) OR (X.RL_ESTT_CLLTRL_LCTN IS NOT NULL AND Y.RL_ESTT_CLLTRL_LCTN_SIMUL IS NULL),1,0)) AS NUM_REG_DIF,'1' AS ID_EXEC, CURRENT_TIMESTAMP() AS TIME_EXEC FROM (SELECT prtctn_id, RL_ESTT_CLLTRL_LCTN FROM CD_LOAN_TAPES_BCE.LT004_PROTECTION WHERE ref_date='${ref_date}' AND nome_perimetro='Individual Corporativo' AND segmento='ESTR' AND ambito='PM' AND entidade='00100')X INNER JOIN (SELECT prtctn_id AS prtctn_id_SIMUL, RL_ESTT_CLLTRL_LCTN AS RL_ESTT_CLLTRL_LCTN_SIMUL FROM BU_LOANTAPE_WORK.LT004_PROTECTION WHERE ref_date='${ref_date}' AND nome_perimetro='Individual Corporativo' AND segmento='ESTR' AND ambito='PM' AND entidade='00100')Y ON X.PRTCTN_ID=Y.PRTCTN_ID_SIMUL</v>
      </c>
      <c r="N339" s="38" t="s">
        <v>46</v>
      </c>
    </row>
    <row r="340" spans="2:14" hidden="1">
      <c r="B340" s="34" t="s">
        <v>128</v>
      </c>
      <c r="C340" s="34" t="s">
        <v>5</v>
      </c>
      <c r="D340" s="34" t="str">
        <f>+UPPER('0. Instruções'!$D$35&amp;"."&amp;VLOOKUP(B340,'0. Instruções'!$C$27:$D$32,2,FALSE))</f>
        <v>CD_LOAN_TAPES_BCE.LT004_PROTECTION</v>
      </c>
      <c r="E340" s="34" t="str">
        <f>+UPPER('0. Instruções'!$D$36&amp;"."&amp;VLOOKUP(B340,'0. Instruções'!$C$27:$E$32,3,FALSE))</f>
        <v>BU_LOANTAPE_WORK.LT004_PROTECTION</v>
      </c>
      <c r="F340" s="34" t="s">
        <v>612</v>
      </c>
      <c r="G340" s="34"/>
      <c r="H340" s="34" t="s">
        <v>646</v>
      </c>
      <c r="I340" s="34" t="str">
        <f>"(SELECT "&amp;VLOOKUP(B340,'0. Instruções'!$C$27:$G$32,4,FALSE)&amp;", "&amp;F340&amp;" FROM "&amp;D340&amp;" WHERE "&amp;'0. Instruções'!$D$42&amp;")X"</f>
        <v>(SELECT prtctn_id, RL_ESTT_CLLTRL_LCTN_INT FROM CD_LOAN_TAPES_BCE.LT004_PROTECTION WHERE ref_date='${ref_date}' AND nome_perimetro='Individual Corporativo' AND segmento='ESTR' AND ambito='PM' AND entidade='00100')X</v>
      </c>
      <c r="J340" s="34" t="str">
        <f>"(SELECT "&amp;VLOOKUP(B340,'0. Instruções'!$C$27:$G$32,4,FALSE)&amp;" AS "&amp;VLOOKUP(B340,'0. Instruções'!$C$27:$G$32,4,FALSE)&amp;"_SIMUL, "&amp;F340&amp;" AS "&amp;F340&amp;"_SIMUL FROM "&amp;E340&amp;" WHERE "&amp;'0. Instruções'!$D$43&amp;")Y"</f>
        <v>(SELECT prtctn_id AS prtctn_id_SIMUL, RL_ESTT_CLLTRL_LCTN_INT AS RL_ESTT_CLLTRL_LCTN_INT_SIMUL FROM BU_LOANTAPE_WORK.LT004_PROTECTION WHERE ref_date='${ref_date}' AND nome_perimetro='Individual Corporativo' AND segmento='ESTR' AND ambito='PM' AND entidade='00100')Y</v>
      </c>
      <c r="K340" s="35" t="str">
        <f>+UPPER("ON X."&amp;VLOOKUP(B340,'0. Instruções'!$C$27:$G$32,4,FALSE)&amp;"=Y."&amp;VLOOKUP(B340,'0. Instruções'!$C$27:$G$32,4,FALSE)&amp;"_SIMUL")</f>
        <v>ON X.PRTCTN_ID=Y.PRTCTN_ID_SIMUL</v>
      </c>
      <c r="L340" s="35" t="str">
        <f>+IF(C340="Coerência", +IF(LEFT(G340,5)="FLOAT","SELECT '"&amp;UPPER(B340)&amp;"' AS TABELA, '"&amp;UPPER(C340)&amp;"' AS TIPOLOGIA_TESTE,'"&amp;D340&amp;"' AS TABELA_LT,'"&amp;E340&amp;"' AS TABELA_SIMUL,'"&amp;F340&amp;"' AS CAMPO, "&amp;"'${ref_date}' AS REF_DATE, COUNT(*) AS NUM_REG, SUM(IF((ABS(COALESCE(CAST(X."&amp;F340&amp;" AS DECIMAL(18,6)),0)-COALESCE(CAST(Y."&amp;F340&amp;"_SIMUL AS DECIMAL(18,6)),0))&gt;0.000001) OR (X."&amp;F340&amp;" IS NULL AND Y."&amp;F340&amp;"_SIMUL IS NOT NULL ) OR (X."&amp;F340&amp;" IS NOT NULL AND Y."&amp;F340&amp;"_SIMUL IS NULL),1,0)) AS NUM_REG_DIF,'"&amp;MAX('ID1&amp;5'!K:K)+1&amp;"' AS ID_EXEC, CURRENT_TIMESTAMP() AS TIME_EXEC FROM "&amp;I340&amp;" INNER JOIN "&amp;J340&amp;" "&amp;K340,"SELECT '"&amp;UPPER(B340)&amp;"' AS TABELA, '"&amp;UPPER(C340)&amp;"' AS TIPOLOGIA_TESTE,'"&amp;D340&amp;"' AS TABELA_LT,'"&amp;E340&amp;"' AS TABELA_SIMUL,'"&amp;F340&amp;"' AS CAMPO, "&amp;"'${ref_date}' AS REF_DATE, COUNT(*) AS NUM_REG, SUM(IF(COALESCE(CAST(X."&amp;F340&amp;" AS STRING),'')&lt;&gt;COALESCE(CAST(Y."&amp;F340&amp;"_SIMUL AS STRING),'') OR (X."&amp;F340&amp;" IS NULL AND Y."&amp;F340&amp;"_SIMUL IS NOT NULL ) OR (X."&amp;F340&amp;" IS NOT NULL AND Y."&amp;F340&amp;"_SIMUL IS NULL),1,0)) AS NUM_REG_DIF,'"&amp;MAX('ID1&amp;5'!L:L)+1&amp;"' AS ID_EXEC, CURRENT_TIMESTAMP() AS TIME_EXEC FROM "&amp;I340&amp;" INNER JOIN "&amp;J340&amp;" "&amp;K340),
IF(C340="Validade",+IF(G340="Code List","SELECT '"&amp;UPPER(B340)&amp;"' AS TABELA, '"&amp;UPPER(C340)&amp;"' AS TIPOLOGIA_TESTE,'"&amp;D340&amp;"' AS TABELA_LT,'N/A' AS TABELA_SIMUL,'"&amp;F340&amp;"' AS CAMPO, "&amp;"'${ref_date}' AS REF_DATE, COUNT(*) AS NUM_REG, SUM(IF(TRIM(CAST(X."&amp;F340&amp;" AS STRING))='' OR TRIM(CAST(X."&amp;F340&amp;" AS STRING)) IS NULL OR CAST(X."&amp;F340&amp;" AS STRING) NOT "&amp;H340&amp;",1,0)) AS NUM_REG_DIF,'"&amp;MAX('ID1&amp;5'!K:K)+1&amp;"' AS ID_EXEC, CURRENT_TIMESTAMP() AS TIME_EXEC FROM "&amp;I340,"SELECT '"&amp;UPPER(B340)&amp;"' AS TABELA, '"&amp;UPPER(C340)&amp;"' AS TIPOLOGIA_TESTE,'"&amp;D340&amp;"' AS TABELA_LT,'N/A' AS TABELA_SIMUL,'"&amp;F340&amp;"' AS CAMPO, "&amp;"'${ref_date}' AS REF_DATE, COUNT(*) AS NUM_REG, SUM(IF(TRIM(CAST(X."&amp;F340&amp;" AS STRING))='' OR TRIM(CAST(X."&amp;F340&amp;" AS STRING)) IS NULL,1,0)) AS NUM_REG_DIF,'"&amp;MAX('ID1&amp;5'!K:K)+1&amp;"' AS ID_EXEC, CURRENT_TIMESTAMP() AS TIME_EXEC FROM "&amp;I340),
IF(C340="Caracteres Especiais",+"SELECT '"&amp;UPPER(B340)&amp;"' AS TABELA, '"&amp;UPPER(C340)&amp;"' AS TIPOLOGIA_TESTE,'"&amp;D340&amp;"' AS TABELA_LT,'N/A' AS TABELA_SIMUL,'"&amp;F340&amp;"' AS CAMPO, "&amp;"'${ref_date}' AS REF_DATE, COUNT(*) AS NUM_REG, SUM(IF(REGEXP_REPLACE(TRIM(CAST(X."&amp;F340&amp;" AS STRING)),'[^a-zA-Z0-9_\\s]','') &lt;&gt;TRIM(CAST(X."&amp;F340&amp;" AS STRING)),1,0)) AS NUM_REG_DIF,'"&amp;MAX('ID1&amp;5'!K:K)+1&amp;"' AS ID_EXEC, CURRENT_TIMESTAMP() AS TIME_EXEC FROM "&amp;I340,
IF(C340="Missings",+"SELECT '"&amp;UPPER(B340)&amp;"' AS TABELA, '"&amp;UPPER(C340)&amp;"' AS TIPOLOGIA_TESTE,'"&amp;D340&amp;"' AS TABELA_LT,'N/A' AS TABELA_SIMUL,'"&amp;F340&amp;"' AS CAMPO, "&amp;"'${ref_date}' AS REF_DATE, COUNT(*) AS NUM_REG, SUM(IF(TRIM(CAST(X."&amp;F340&amp;" AS STRING)) IN ('0000-00-00','0001-01-01','9999-12-31','MISS','00000','99999999999','99999999999.00','99999999999.000000'),1,0)) AS NUM_REG_DIF,'"&amp;MAX('ID1&amp;5'!K:K)+1&amp;"' AS ID_EXEC, CURRENT_TIMESTAMP() AS TIME_EXEC FROM "&amp;I340,
IF(C340="Not applicable",+"SELECT '"&amp;UPPER(B340)&amp;"' AS TABELA, '"&amp;UPPER(C340)&amp;"' AS TIPOLOGIA_TESTE,'"&amp;D340&amp;"' AS TABELA_LT,'N/A' AS TABELA_SIMUL,'"&amp;F340&amp;"' AS CAMPO, "&amp;"'${ref_date}' AS REF_DATE, COUNT(*) AS NUM_REG, SUM(IF(TRIM(CAST(X."&amp;F340&amp;" AS STRING)) IN ('N/A','11111111111','11111111111.00','11111111111.000000','1111-11-11'),1,0)) AS NUM_REG_DIF,'"&amp;MAX('ID1&amp;5'!K:K)+1&amp;"' AS ID_EXEC, CURRENT_TIMESTAMP() AS TIME_EXEC FROM "&amp;I340,
IF(C340="Valores extremos",+"SELECT '"&amp;UPPER(B340)&amp;"' AS TABELA, '"&amp;UPPER(C340)&amp;"' AS TIPOLOGIA_TESTE,'"&amp;D340&amp;"' AS TABELA_LT,'N/A' AS TABELA_SIMUL,'"&amp;F340&amp;"' AS CAMPO, "&amp;"'${ref_date}' AS REF_DATE, CAST(MIN("&amp;F340&amp;") AS STRING) AS VALOR_MIN, CAST(MAX("&amp;F340&amp;") AS STRING) AS VALOR_MAX,'"&amp;MAX('ID1&amp;5'!K:K)+1&amp;"' AS ID_EXEC, CURRENT_TIMESTAMP() AS TIME_EXEC FROM "&amp;MID(I340,1,LEN(I340)-2)&amp;" AND CAST("&amp;F340&amp;"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TABELA_SIMUL,'RL_ESTT_CLLTRL_LCTN_INT' AS CAMPO, '${ref_date}' AS REF_DATE, COUNT(*) AS NUM_REG, SUM(IF(COALESCE(CAST(X.RL_ESTT_CLLTRL_LCTN_INT AS STRING),'')&lt;&gt;COALESCE(CAST(Y.RL_ESTT_CLLTRL_LCTN_INT_SIMUL AS STRING),'') OR (X.RL_ESTT_CLLTRL_LCTN_INT IS NULL AND Y.RL_ESTT_CLLTRL_LCTN_INT_SIMUL IS NOT NULL ) OR (X.RL_ESTT_CLLTRL_LCTN_INT IS NOT NULL AND Y.RL_ESTT_CLLTRL_LCTN_INT_SIMUL IS NULL),1,0)) AS NUM_REG_DIF,'1' AS ID_EXEC, CURRENT_TIMESTAMP() AS TIME_EXEC FROM (SELECT prtctn_id, RL_ESTT_CLLTRL_LCTN_INT FROM CD_LOAN_TAPES_BCE.LT004_PROTECTION WHERE ref_date='${ref_date}' AND nome_perimetro='Individual Corporativo' AND segmento='ESTR' AND ambito='PM' AND entidade='00100')X INNER JOIN (SELECT prtctn_id AS prtctn_id_SIMUL, RL_ESTT_CLLTRL_LCTN_INT AS RL_ESTT_CLLTRL_LCTN_INT_SIMUL FROM BU_LOANTAPE_WORK.LT004_PROTECTION WHERE ref_date='${ref_date}' AND nome_perimetro='Individual Corporativo' AND segmento='ESTR' AND ambito='PM' AND entidade='00100')Y ON X.PRTCTN_ID=Y.PRTCTN_ID_SIMUL</v>
      </c>
      <c r="M340" s="36" t="str">
        <f t="shared" si="6"/>
        <v>UNION ALL SELECT 'PROTECTION' AS TABELA, 'COERÊNCIA' AS TIPOLOGIA_TESTE,'CD_LOAN_TAPES_BCE.LT004_PROTECTION' AS TABELA_LT,'BU_LOANTAPE_WORK.LT004_PROTECTION' AS TABELA_SIMUL,'RL_ESTT_CLLTRL_LCTN_INT' AS CAMPO, '${ref_date}' AS REF_DATE, COUNT(*) AS NUM_REG, SUM(IF(COALESCE(CAST(X.RL_ESTT_CLLTRL_LCTN_INT AS STRING),'')&lt;&gt;COALESCE(CAST(Y.RL_ESTT_CLLTRL_LCTN_INT_SIMUL AS STRING),'') OR (X.RL_ESTT_CLLTRL_LCTN_INT IS NULL AND Y.RL_ESTT_CLLTRL_LCTN_INT_SIMUL IS NOT NULL ) OR (X.RL_ESTT_CLLTRL_LCTN_INT IS NOT NULL AND Y.RL_ESTT_CLLTRL_LCTN_INT_SIMUL IS NULL),1,0)) AS NUM_REG_DIF,'1' AS ID_EXEC, CURRENT_TIMESTAMP() AS TIME_EXEC FROM (SELECT prtctn_id, RL_ESTT_CLLTRL_LCTN_INT FROM CD_LOAN_TAPES_BCE.LT004_PROTECTION WHERE ref_date='${ref_date}' AND nome_perimetro='Individual Corporativo' AND segmento='ESTR' AND ambito='PM' AND entidade='00100')X INNER JOIN (SELECT prtctn_id AS prtctn_id_SIMUL, RL_ESTT_CLLTRL_LCTN_INT AS RL_ESTT_CLLTRL_LCTN_INT_SIMUL FROM BU_LOANTAPE_WORK.LT004_PROTECTION WHERE ref_date='${ref_date}' AND nome_perimetro='Individual Corporativo' AND segmento='ESTR' AND ambito='PM' AND entidade='00100')Y ON X.PRTCTN_ID=Y.PRTCTN_ID_SIMUL</v>
      </c>
      <c r="N340" s="38" t="s">
        <v>46</v>
      </c>
    </row>
    <row r="341" spans="2:14" hidden="1">
      <c r="B341" s="34" t="s">
        <v>128</v>
      </c>
      <c r="C341" s="34" t="s">
        <v>5</v>
      </c>
      <c r="D341" s="34" t="str">
        <f>+UPPER('0. Instruções'!$D$35&amp;"."&amp;VLOOKUP(B341,'0. Instruções'!$C$27:$D$32,2,FALSE))</f>
        <v>CD_LOAN_TAPES_BCE.LT004_PROTECTION</v>
      </c>
      <c r="E341" s="34" t="str">
        <f>+UPPER('0. Instruções'!$D$36&amp;"."&amp;VLOOKUP(B341,'0. Instruções'!$C$27:$E$32,3,FALSE))</f>
        <v>BU_LOANTAPE_WORK.LT004_PROTECTION</v>
      </c>
      <c r="F341" s="34" t="s">
        <v>613</v>
      </c>
      <c r="G341" s="34"/>
      <c r="H341" s="34" t="s">
        <v>646</v>
      </c>
      <c r="I341" s="34" t="str">
        <f>"(SELECT "&amp;VLOOKUP(B341,'0. Instruções'!$C$27:$G$32,4,FALSE)&amp;", "&amp;F341&amp;" FROM "&amp;D341&amp;" WHERE "&amp;'0. Instruções'!$D$42&amp;")X"</f>
        <v>(SELECT prtctn_id, RL_ESTT_CTY FROM CD_LOAN_TAPES_BCE.LT004_PROTECTION WHERE ref_date='${ref_date}' AND nome_perimetro='Individual Corporativo' AND segmento='ESTR' AND ambito='PM' AND entidade='00100')X</v>
      </c>
      <c r="J341" s="34" t="str">
        <f>"(SELECT "&amp;VLOOKUP(B341,'0. Instruções'!$C$27:$G$32,4,FALSE)&amp;" AS "&amp;VLOOKUP(B341,'0. Instruções'!$C$27:$G$32,4,FALSE)&amp;"_SIMUL, "&amp;F341&amp;" AS "&amp;F341&amp;"_SIMUL FROM "&amp;E341&amp;" WHERE "&amp;'0. Instruções'!$D$43&amp;")Y"</f>
        <v>(SELECT prtctn_id AS prtctn_id_SIMUL, RL_ESTT_CTY AS RL_ESTT_CTY_SIMUL FROM BU_LOANTAPE_WORK.LT004_PROTECTION WHERE ref_date='${ref_date}' AND nome_perimetro='Individual Corporativo' AND segmento='ESTR' AND ambito='PM' AND entidade='00100')Y</v>
      </c>
      <c r="K341" s="35" t="str">
        <f>+UPPER("ON X."&amp;VLOOKUP(B341,'0. Instruções'!$C$27:$G$32,4,FALSE)&amp;"=Y."&amp;VLOOKUP(B341,'0. Instruções'!$C$27:$G$32,4,FALSE)&amp;"_SIMUL")</f>
        <v>ON X.PRTCTN_ID=Y.PRTCTN_ID_SIMUL</v>
      </c>
      <c r="L341" s="35" t="str">
        <f>+IF(C341="Coerência", +IF(LEFT(G341,5)="FLOAT","SELECT '"&amp;UPPER(B341)&amp;"' AS TABELA, '"&amp;UPPER(C341)&amp;"' AS TIPOLOGIA_TESTE,'"&amp;D341&amp;"' AS TABELA_LT,'"&amp;E341&amp;"' AS TABELA_SIMUL,'"&amp;F341&amp;"' AS CAMPO, "&amp;"'${ref_date}' AS REF_DATE, COUNT(*) AS NUM_REG, SUM(IF((ABS(COALESCE(CAST(X."&amp;F341&amp;" AS DECIMAL(18,6)),0)-COALESCE(CAST(Y."&amp;F341&amp;"_SIMUL AS DECIMAL(18,6)),0))&gt;0.000001) OR (X."&amp;F341&amp;" IS NULL AND Y."&amp;F341&amp;"_SIMUL IS NOT NULL ) OR (X."&amp;F341&amp;" IS NOT NULL AND Y."&amp;F341&amp;"_SIMUL IS NULL),1,0)) AS NUM_REG_DIF,'"&amp;MAX('ID1&amp;5'!K:K)+1&amp;"' AS ID_EXEC, CURRENT_TIMESTAMP() AS TIME_EXEC FROM "&amp;I341&amp;" INNER JOIN "&amp;J341&amp;" "&amp;K341,"SELECT '"&amp;UPPER(B341)&amp;"' AS TABELA, '"&amp;UPPER(C341)&amp;"' AS TIPOLOGIA_TESTE,'"&amp;D341&amp;"' AS TABELA_LT,'"&amp;E341&amp;"' AS TABELA_SIMUL,'"&amp;F341&amp;"' AS CAMPO, "&amp;"'${ref_date}' AS REF_DATE, COUNT(*) AS NUM_REG, SUM(IF(COALESCE(CAST(X."&amp;F341&amp;" AS STRING),'')&lt;&gt;COALESCE(CAST(Y."&amp;F341&amp;"_SIMUL AS STRING),'') OR (X."&amp;F341&amp;" IS NULL AND Y."&amp;F341&amp;"_SIMUL IS NOT NULL ) OR (X."&amp;F341&amp;" IS NOT NULL AND Y."&amp;F341&amp;"_SIMUL IS NULL),1,0)) AS NUM_REG_DIF,'"&amp;MAX('ID1&amp;5'!L:L)+1&amp;"' AS ID_EXEC, CURRENT_TIMESTAMP() AS TIME_EXEC FROM "&amp;I341&amp;" INNER JOIN "&amp;J341&amp;" "&amp;K341),
IF(C341="Validade",+IF(G341="Code List","SELECT '"&amp;UPPER(B341)&amp;"' AS TABELA, '"&amp;UPPER(C341)&amp;"' AS TIPOLOGIA_TESTE,'"&amp;D341&amp;"' AS TABELA_LT,'N/A' AS TABELA_SIMUL,'"&amp;F341&amp;"' AS CAMPO, "&amp;"'${ref_date}' AS REF_DATE, COUNT(*) AS NUM_REG, SUM(IF(TRIM(CAST(X."&amp;F341&amp;" AS STRING))='' OR TRIM(CAST(X."&amp;F341&amp;" AS STRING)) IS NULL OR CAST(X."&amp;F341&amp;" AS STRING) NOT "&amp;H341&amp;",1,0)) AS NUM_REG_DIF,'"&amp;MAX('ID1&amp;5'!K:K)+1&amp;"' AS ID_EXEC, CURRENT_TIMESTAMP() AS TIME_EXEC FROM "&amp;I341,"SELECT '"&amp;UPPER(B341)&amp;"' AS TABELA, '"&amp;UPPER(C341)&amp;"' AS TIPOLOGIA_TESTE,'"&amp;D341&amp;"' AS TABELA_LT,'N/A' AS TABELA_SIMUL,'"&amp;F341&amp;"' AS CAMPO, "&amp;"'${ref_date}' AS REF_DATE, COUNT(*) AS NUM_REG, SUM(IF(TRIM(CAST(X."&amp;F341&amp;" AS STRING))='' OR TRIM(CAST(X."&amp;F341&amp;" AS STRING)) IS NULL,1,0)) AS NUM_REG_DIF,'"&amp;MAX('ID1&amp;5'!K:K)+1&amp;"' AS ID_EXEC, CURRENT_TIMESTAMP() AS TIME_EXEC FROM "&amp;I341),
IF(C341="Caracteres Especiais",+"SELECT '"&amp;UPPER(B341)&amp;"' AS TABELA, '"&amp;UPPER(C341)&amp;"' AS TIPOLOGIA_TESTE,'"&amp;D341&amp;"' AS TABELA_LT,'N/A' AS TABELA_SIMUL,'"&amp;F341&amp;"' AS CAMPO, "&amp;"'${ref_date}' AS REF_DATE, COUNT(*) AS NUM_REG, SUM(IF(REGEXP_REPLACE(TRIM(CAST(X."&amp;F341&amp;" AS STRING)),'[^a-zA-Z0-9_\\s]','') &lt;&gt;TRIM(CAST(X."&amp;F341&amp;" AS STRING)),1,0)) AS NUM_REG_DIF,'"&amp;MAX('ID1&amp;5'!K:K)+1&amp;"' AS ID_EXEC, CURRENT_TIMESTAMP() AS TIME_EXEC FROM "&amp;I341,
IF(C341="Missings",+"SELECT '"&amp;UPPER(B341)&amp;"' AS TABELA, '"&amp;UPPER(C341)&amp;"' AS TIPOLOGIA_TESTE,'"&amp;D341&amp;"' AS TABELA_LT,'N/A' AS TABELA_SIMUL,'"&amp;F341&amp;"' AS CAMPO, "&amp;"'${ref_date}' AS REF_DATE, COUNT(*) AS NUM_REG, SUM(IF(TRIM(CAST(X."&amp;F341&amp;" AS STRING)) IN ('0000-00-00','0001-01-01','9999-12-31','MISS','00000','99999999999','99999999999.00','99999999999.000000'),1,0)) AS NUM_REG_DIF,'"&amp;MAX('ID1&amp;5'!K:K)+1&amp;"' AS ID_EXEC, CURRENT_TIMESTAMP() AS TIME_EXEC FROM "&amp;I341,
IF(C341="Not applicable",+"SELECT '"&amp;UPPER(B341)&amp;"' AS TABELA, '"&amp;UPPER(C341)&amp;"' AS TIPOLOGIA_TESTE,'"&amp;D341&amp;"' AS TABELA_LT,'N/A' AS TABELA_SIMUL,'"&amp;F341&amp;"' AS CAMPO, "&amp;"'${ref_date}' AS REF_DATE, COUNT(*) AS NUM_REG, SUM(IF(TRIM(CAST(X."&amp;F341&amp;" AS STRING)) IN ('N/A','11111111111','11111111111.00','11111111111.000000','1111-11-11'),1,0)) AS NUM_REG_DIF,'"&amp;MAX('ID1&amp;5'!K:K)+1&amp;"' AS ID_EXEC, CURRENT_TIMESTAMP() AS TIME_EXEC FROM "&amp;I341,
IF(C341="Valores extremos",+"SELECT '"&amp;UPPER(B341)&amp;"' AS TABELA, '"&amp;UPPER(C341)&amp;"' AS TIPOLOGIA_TESTE,'"&amp;D341&amp;"' AS TABELA_LT,'N/A' AS TABELA_SIMUL,'"&amp;F341&amp;"' AS CAMPO, "&amp;"'${ref_date}' AS REF_DATE, CAST(MIN("&amp;F341&amp;") AS STRING) AS VALOR_MIN, CAST(MAX("&amp;F341&amp;") AS STRING) AS VALOR_MAX,'"&amp;MAX('ID1&amp;5'!K:K)+1&amp;"' AS ID_EXEC, CURRENT_TIMESTAMP() AS TIME_EXEC FROM "&amp;MID(I341,1,LEN(I341)-2)&amp;" AND CAST("&amp;F341&amp;"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TABELA_SIMUL,'RL_ESTT_CTY' AS CAMPO, '${ref_date}' AS REF_DATE, COUNT(*) AS NUM_REG, SUM(IF(COALESCE(CAST(X.RL_ESTT_CTY AS STRING),'')&lt;&gt;COALESCE(CAST(Y.RL_ESTT_CTY_SIMUL AS STRING),'') OR (X.RL_ESTT_CTY IS NULL AND Y.RL_ESTT_CTY_SIMUL IS NOT NULL ) OR (X.RL_ESTT_CTY IS NOT NULL AND Y.RL_ESTT_CTY_SIMUL IS NULL),1,0)) AS NUM_REG_DIF,'1' AS ID_EXEC, CURRENT_TIMESTAMP() AS TIME_EXEC FROM (SELECT prtctn_id, RL_ESTT_CTY FROM CD_LOAN_TAPES_BCE.LT004_PROTECTION WHERE ref_date='${ref_date}' AND nome_perimetro='Individual Corporativo' AND segmento='ESTR' AND ambito='PM' AND entidade='00100')X INNER JOIN (SELECT prtctn_id AS prtctn_id_SIMUL, RL_ESTT_CTY AS RL_ESTT_CTY_SIMUL FROM BU_LOANTAPE_WORK.LT004_PROTECTION WHERE ref_date='${ref_date}' AND nome_perimetro='Individual Corporativo' AND segmento='ESTR' AND ambito='PM' AND entidade='00100')Y ON X.PRTCTN_ID=Y.PRTCTN_ID_SIMUL</v>
      </c>
      <c r="M341" s="36" t="str">
        <f t="shared" si="6"/>
        <v>UNION ALL SELECT 'PROTECTION' AS TABELA, 'COERÊNCIA' AS TIPOLOGIA_TESTE,'CD_LOAN_TAPES_BCE.LT004_PROTECTION' AS TABELA_LT,'BU_LOANTAPE_WORK.LT004_PROTECTION' AS TABELA_SIMUL,'RL_ESTT_CTY' AS CAMPO, '${ref_date}' AS REF_DATE, COUNT(*) AS NUM_REG, SUM(IF(COALESCE(CAST(X.RL_ESTT_CTY AS STRING),'')&lt;&gt;COALESCE(CAST(Y.RL_ESTT_CTY_SIMUL AS STRING),'') OR (X.RL_ESTT_CTY IS NULL AND Y.RL_ESTT_CTY_SIMUL IS NOT NULL ) OR (X.RL_ESTT_CTY IS NOT NULL AND Y.RL_ESTT_CTY_SIMUL IS NULL),1,0)) AS NUM_REG_DIF,'1' AS ID_EXEC, CURRENT_TIMESTAMP() AS TIME_EXEC FROM (SELECT prtctn_id, RL_ESTT_CTY FROM CD_LOAN_TAPES_BCE.LT004_PROTECTION WHERE ref_date='${ref_date}' AND nome_perimetro='Individual Corporativo' AND segmento='ESTR' AND ambito='PM' AND entidade='00100')X INNER JOIN (SELECT prtctn_id AS prtctn_id_SIMUL, RL_ESTT_CTY AS RL_ESTT_CTY_SIMUL FROM BU_LOANTAPE_WORK.LT004_PROTECTION WHERE ref_date='${ref_date}' AND nome_perimetro='Individual Corporativo' AND segmento='ESTR' AND ambito='PM' AND entidade='00100')Y ON X.PRTCTN_ID=Y.PRTCTN_ID_SIMUL</v>
      </c>
      <c r="N341" s="38" t="s">
        <v>46</v>
      </c>
    </row>
    <row r="342" spans="2:14" hidden="1">
      <c r="B342" s="34" t="s">
        <v>128</v>
      </c>
      <c r="C342" s="34" t="s">
        <v>5</v>
      </c>
      <c r="D342" s="34" t="str">
        <f>+UPPER('0. Instruções'!$D$35&amp;"."&amp;VLOOKUP(B342,'0. Instruções'!$C$27:$D$32,2,FALSE))</f>
        <v>CD_LOAN_TAPES_BCE.LT004_PROTECTION</v>
      </c>
      <c r="E342" s="34" t="str">
        <f>+UPPER('0. Instruções'!$D$36&amp;"."&amp;VLOOKUP(B342,'0. Instruções'!$C$27:$E$32,3,FALSE))</f>
        <v>BU_LOANTAPE_WORK.LT004_PROTECTION</v>
      </c>
      <c r="F342" s="34" t="s">
        <v>122</v>
      </c>
      <c r="G342" s="34"/>
      <c r="H342" s="34" t="s">
        <v>646</v>
      </c>
      <c r="I342" s="34" t="str">
        <f>"(SELECT "&amp;VLOOKUP(B342,'0. Instruções'!$C$27:$G$32,4,FALSE)&amp;", "&amp;F342&amp;" FROM "&amp;D342&amp;" WHERE "&amp;'0. Instruções'!$D$42&amp;")X"</f>
        <v>(SELECT prtctn_id, RL_ESTT_PST_CD FROM CD_LOAN_TAPES_BCE.LT004_PROTECTION WHERE ref_date='${ref_date}' AND nome_perimetro='Individual Corporativo' AND segmento='ESTR' AND ambito='PM' AND entidade='00100')X</v>
      </c>
      <c r="J342" s="34" t="str">
        <f>"(SELECT "&amp;VLOOKUP(B342,'0. Instruções'!$C$27:$G$32,4,FALSE)&amp;" AS "&amp;VLOOKUP(B342,'0. Instruções'!$C$27:$G$32,4,FALSE)&amp;"_SIMUL, "&amp;F342&amp;" AS "&amp;F342&amp;"_SIMUL FROM "&amp;E342&amp;" WHERE "&amp;'0. Instruções'!$D$43&amp;")Y"</f>
        <v>(SELECT prtctn_id AS prtctn_id_SIMUL, RL_ESTT_PST_CD AS RL_ESTT_PST_CD_SIMUL FROM BU_LOANTAPE_WORK.LT004_PROTECTION WHERE ref_date='${ref_date}' AND nome_perimetro='Individual Corporativo' AND segmento='ESTR' AND ambito='PM' AND entidade='00100')Y</v>
      </c>
      <c r="K342" s="35" t="str">
        <f>+UPPER("ON X."&amp;VLOOKUP(B342,'0. Instruções'!$C$27:$G$32,4,FALSE)&amp;"=Y."&amp;VLOOKUP(B342,'0. Instruções'!$C$27:$G$32,4,FALSE)&amp;"_SIMUL")</f>
        <v>ON X.PRTCTN_ID=Y.PRTCTN_ID_SIMUL</v>
      </c>
      <c r="L342" s="35" t="str">
        <f>+IF(C342="Coerência", +IF(LEFT(G342,5)="FLOAT","SELECT '"&amp;UPPER(B342)&amp;"' AS TABELA, '"&amp;UPPER(C342)&amp;"' AS TIPOLOGIA_TESTE,'"&amp;D342&amp;"' AS TABELA_LT,'"&amp;E342&amp;"' AS TABELA_SIMUL,'"&amp;F342&amp;"' AS CAMPO, "&amp;"'${ref_date}' AS REF_DATE, COUNT(*) AS NUM_REG, SUM(IF((ABS(COALESCE(CAST(X."&amp;F342&amp;" AS DECIMAL(18,6)),0)-COALESCE(CAST(Y."&amp;F342&amp;"_SIMUL AS DECIMAL(18,6)),0))&gt;0.000001) OR (X."&amp;F342&amp;" IS NULL AND Y."&amp;F342&amp;"_SIMUL IS NOT NULL ) OR (X."&amp;F342&amp;" IS NOT NULL AND Y."&amp;F342&amp;"_SIMUL IS NULL),1,0)) AS NUM_REG_DIF,'"&amp;MAX('ID1&amp;5'!K:K)+1&amp;"' AS ID_EXEC, CURRENT_TIMESTAMP() AS TIME_EXEC FROM "&amp;I342&amp;" INNER JOIN "&amp;J342&amp;" "&amp;K342,"SELECT '"&amp;UPPER(B342)&amp;"' AS TABELA, '"&amp;UPPER(C342)&amp;"' AS TIPOLOGIA_TESTE,'"&amp;D342&amp;"' AS TABELA_LT,'"&amp;E342&amp;"' AS TABELA_SIMUL,'"&amp;F342&amp;"' AS CAMPO, "&amp;"'${ref_date}' AS REF_DATE, COUNT(*) AS NUM_REG, SUM(IF(COALESCE(CAST(X."&amp;F342&amp;" AS STRING),'')&lt;&gt;COALESCE(CAST(Y."&amp;F342&amp;"_SIMUL AS STRING),'') OR (X."&amp;F342&amp;" IS NULL AND Y."&amp;F342&amp;"_SIMUL IS NOT NULL ) OR (X."&amp;F342&amp;" IS NOT NULL AND Y."&amp;F342&amp;"_SIMUL IS NULL),1,0)) AS NUM_REG_DIF,'"&amp;MAX('ID1&amp;5'!L:L)+1&amp;"' AS ID_EXEC, CURRENT_TIMESTAMP() AS TIME_EXEC FROM "&amp;I342&amp;" INNER JOIN "&amp;J342&amp;" "&amp;K342),
IF(C342="Validade",+IF(G342="Code List","SELECT '"&amp;UPPER(B342)&amp;"' AS TABELA, '"&amp;UPPER(C342)&amp;"' AS TIPOLOGIA_TESTE,'"&amp;D342&amp;"' AS TABELA_LT,'N/A' AS TABELA_SIMUL,'"&amp;F342&amp;"' AS CAMPO, "&amp;"'${ref_date}' AS REF_DATE, COUNT(*) AS NUM_REG, SUM(IF(TRIM(CAST(X."&amp;F342&amp;" AS STRING))='' OR TRIM(CAST(X."&amp;F342&amp;" AS STRING)) IS NULL OR CAST(X."&amp;F342&amp;" AS STRING) NOT "&amp;H342&amp;",1,0)) AS NUM_REG_DIF,'"&amp;MAX('ID1&amp;5'!K:K)+1&amp;"' AS ID_EXEC, CURRENT_TIMESTAMP() AS TIME_EXEC FROM "&amp;I342,"SELECT '"&amp;UPPER(B342)&amp;"' AS TABELA, '"&amp;UPPER(C342)&amp;"' AS TIPOLOGIA_TESTE,'"&amp;D342&amp;"' AS TABELA_LT,'N/A' AS TABELA_SIMUL,'"&amp;F342&amp;"' AS CAMPO, "&amp;"'${ref_date}' AS REF_DATE, COUNT(*) AS NUM_REG, SUM(IF(TRIM(CAST(X."&amp;F342&amp;" AS STRING))='' OR TRIM(CAST(X."&amp;F342&amp;" AS STRING)) IS NULL,1,0)) AS NUM_REG_DIF,'"&amp;MAX('ID1&amp;5'!K:K)+1&amp;"' AS ID_EXEC, CURRENT_TIMESTAMP() AS TIME_EXEC FROM "&amp;I342),
IF(C342="Caracteres Especiais",+"SELECT '"&amp;UPPER(B342)&amp;"' AS TABELA, '"&amp;UPPER(C342)&amp;"' AS TIPOLOGIA_TESTE,'"&amp;D342&amp;"' AS TABELA_LT,'N/A' AS TABELA_SIMUL,'"&amp;F342&amp;"' AS CAMPO, "&amp;"'${ref_date}' AS REF_DATE, COUNT(*) AS NUM_REG, SUM(IF(REGEXP_REPLACE(TRIM(CAST(X."&amp;F342&amp;" AS STRING)),'[^a-zA-Z0-9_\\s]','') &lt;&gt;TRIM(CAST(X."&amp;F342&amp;" AS STRING)),1,0)) AS NUM_REG_DIF,'"&amp;MAX('ID1&amp;5'!K:K)+1&amp;"' AS ID_EXEC, CURRENT_TIMESTAMP() AS TIME_EXEC FROM "&amp;I342,
IF(C342="Missings",+"SELECT '"&amp;UPPER(B342)&amp;"' AS TABELA, '"&amp;UPPER(C342)&amp;"' AS TIPOLOGIA_TESTE,'"&amp;D342&amp;"' AS TABELA_LT,'N/A' AS TABELA_SIMUL,'"&amp;F342&amp;"' AS CAMPO, "&amp;"'${ref_date}' AS REF_DATE, COUNT(*) AS NUM_REG, SUM(IF(TRIM(CAST(X."&amp;F342&amp;" AS STRING)) IN ('0000-00-00','0001-01-01','9999-12-31','MISS','00000','99999999999','99999999999.00','99999999999.000000'),1,0)) AS NUM_REG_DIF,'"&amp;MAX('ID1&amp;5'!K:K)+1&amp;"' AS ID_EXEC, CURRENT_TIMESTAMP() AS TIME_EXEC FROM "&amp;I342,
IF(C342="Not applicable",+"SELECT '"&amp;UPPER(B342)&amp;"' AS TABELA, '"&amp;UPPER(C342)&amp;"' AS TIPOLOGIA_TESTE,'"&amp;D342&amp;"' AS TABELA_LT,'N/A' AS TABELA_SIMUL,'"&amp;F342&amp;"' AS CAMPO, "&amp;"'${ref_date}' AS REF_DATE, COUNT(*) AS NUM_REG, SUM(IF(TRIM(CAST(X."&amp;F342&amp;" AS STRING)) IN ('N/A','11111111111','11111111111.00','11111111111.000000','1111-11-11'),1,0)) AS NUM_REG_DIF,'"&amp;MAX('ID1&amp;5'!K:K)+1&amp;"' AS ID_EXEC, CURRENT_TIMESTAMP() AS TIME_EXEC FROM "&amp;I342,
IF(C342="Valores extremos",+"SELECT '"&amp;UPPER(B342)&amp;"' AS TABELA, '"&amp;UPPER(C342)&amp;"' AS TIPOLOGIA_TESTE,'"&amp;D342&amp;"' AS TABELA_LT,'N/A' AS TABELA_SIMUL,'"&amp;F342&amp;"' AS CAMPO, "&amp;"'${ref_date}' AS REF_DATE, CAST(MIN("&amp;F342&amp;") AS STRING) AS VALOR_MIN, CAST(MAX("&amp;F342&amp;") AS STRING) AS VALOR_MAX,'"&amp;MAX('ID1&amp;5'!K:K)+1&amp;"' AS ID_EXEC, CURRENT_TIMESTAMP() AS TIME_EXEC FROM "&amp;MID(I342,1,LEN(I342)-2)&amp;" AND CAST("&amp;F342&amp;"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TABELA_SIMUL,'RL_ESTT_PST_CD' AS CAMPO, '${ref_date}' AS REF_DATE, COUNT(*) AS NUM_REG, SUM(IF(COALESCE(CAST(X.RL_ESTT_PST_CD AS STRING),'')&lt;&gt;COALESCE(CAST(Y.RL_ESTT_PST_CD_SIMUL AS STRING),'') OR (X.RL_ESTT_PST_CD IS NULL AND Y.RL_ESTT_PST_CD_SIMUL IS NOT NULL ) OR (X.RL_ESTT_PST_CD IS NOT NULL AND Y.RL_ESTT_PST_CD_SIMUL IS NULL),1,0)) AS NUM_REG_DIF,'1' AS ID_EXEC, CURRENT_TIMESTAMP() AS TIME_EXEC FROM (SELECT prtctn_id, RL_ESTT_PST_CD FROM CD_LOAN_TAPES_BCE.LT004_PROTECTION WHERE ref_date='${ref_date}' AND nome_perimetro='Individual Corporativo' AND segmento='ESTR' AND ambito='PM' AND entidade='00100')X INNER JOIN (SELECT prtctn_id AS prtctn_id_SIMUL, RL_ESTT_PST_CD AS RL_ESTT_PST_CD_SIMUL FROM BU_LOANTAPE_WORK.LT004_PROTECTION WHERE ref_date='${ref_date}' AND nome_perimetro='Individual Corporativo' AND segmento='ESTR' AND ambito='PM' AND entidade='00100')Y ON X.PRTCTN_ID=Y.PRTCTN_ID_SIMUL</v>
      </c>
      <c r="M342" s="36" t="str">
        <f t="shared" si="6"/>
        <v>UNION ALL SELECT 'PROTECTION' AS TABELA, 'COERÊNCIA' AS TIPOLOGIA_TESTE,'CD_LOAN_TAPES_BCE.LT004_PROTECTION' AS TABELA_LT,'BU_LOANTAPE_WORK.LT004_PROTECTION' AS TABELA_SIMUL,'RL_ESTT_PST_CD' AS CAMPO, '${ref_date}' AS REF_DATE, COUNT(*) AS NUM_REG, SUM(IF(COALESCE(CAST(X.RL_ESTT_PST_CD AS STRING),'')&lt;&gt;COALESCE(CAST(Y.RL_ESTT_PST_CD_SIMUL AS STRING),'') OR (X.RL_ESTT_PST_CD IS NULL AND Y.RL_ESTT_PST_CD_SIMUL IS NOT NULL ) OR (X.RL_ESTT_PST_CD IS NOT NULL AND Y.RL_ESTT_PST_CD_SIMUL IS NULL),1,0)) AS NUM_REG_DIF,'1' AS ID_EXEC, CURRENT_TIMESTAMP() AS TIME_EXEC FROM (SELECT prtctn_id, RL_ESTT_PST_CD FROM CD_LOAN_TAPES_BCE.LT004_PROTECTION WHERE ref_date='${ref_date}' AND nome_perimetro='Individual Corporativo' AND segmento='ESTR' AND ambito='PM' AND entidade='00100')X INNER JOIN (SELECT prtctn_id AS prtctn_id_SIMUL, RL_ESTT_PST_CD AS RL_ESTT_PST_CD_SIMUL FROM BU_LOANTAPE_WORK.LT004_PROTECTION WHERE ref_date='${ref_date}' AND nome_perimetro='Individual Corporativo' AND segmento='ESTR' AND ambito='PM' AND entidade='00100')Y ON X.PRTCTN_ID=Y.PRTCTN_ID_SIMUL</v>
      </c>
      <c r="N342" s="38" t="s">
        <v>46</v>
      </c>
    </row>
    <row r="343" spans="2:14" hidden="1">
      <c r="B343" s="34" t="s">
        <v>128</v>
      </c>
      <c r="C343" s="34" t="s">
        <v>5</v>
      </c>
      <c r="D343" s="34" t="str">
        <f>+UPPER('0. Instruções'!$D$35&amp;"."&amp;VLOOKUP(B343,'0. Instruções'!$C$27:$D$32,2,FALSE))</f>
        <v>CD_LOAN_TAPES_BCE.LT004_PROTECTION</v>
      </c>
      <c r="E343" s="34" t="str">
        <f>+UPPER('0. Instruções'!$D$36&amp;"."&amp;VLOOKUP(B343,'0. Instruções'!$C$27:$E$32,3,FALSE))</f>
        <v>BU_LOANTAPE_WORK.LT004_PROTECTION</v>
      </c>
      <c r="F343" s="34" t="s">
        <v>614</v>
      </c>
      <c r="G343" s="34"/>
      <c r="H343" s="34" t="s">
        <v>91</v>
      </c>
      <c r="I343" s="34" t="str">
        <f>"(SELECT "&amp;VLOOKUP(B343,'0. Instruções'!$C$27:$G$32,4,FALSE)&amp;", "&amp;F343&amp;" FROM "&amp;D343&amp;" WHERE "&amp;'0. Instruções'!$D$42&amp;")X"</f>
        <v>(SELECT prtctn_id, HRCT_MV FROM CD_LOAN_TAPES_BCE.LT004_PROTECTION WHERE ref_date='${ref_date}' AND nome_perimetro='Individual Corporativo' AND segmento='ESTR' AND ambito='PM' AND entidade='00100')X</v>
      </c>
      <c r="J343" s="34" t="str">
        <f>"(SELECT "&amp;VLOOKUP(B343,'0. Instruções'!$C$27:$G$32,4,FALSE)&amp;" AS "&amp;VLOOKUP(B343,'0. Instruções'!$C$27:$G$32,4,FALSE)&amp;"_SIMUL, "&amp;F343&amp;" AS "&amp;F343&amp;"_SIMUL FROM "&amp;E343&amp;" WHERE "&amp;'0. Instruções'!$D$43&amp;")Y"</f>
        <v>(SELECT prtctn_id AS prtctn_id_SIMUL, HRCT_MV AS HRCT_MV_SIMUL FROM BU_LOANTAPE_WORK.LT004_PROTECTION WHERE ref_date='${ref_date}' AND nome_perimetro='Individual Corporativo' AND segmento='ESTR' AND ambito='PM' AND entidade='00100')Y</v>
      </c>
      <c r="K343" s="35" t="str">
        <f>+UPPER("ON X."&amp;VLOOKUP(B343,'0. Instruções'!$C$27:$G$32,4,FALSE)&amp;"=Y."&amp;VLOOKUP(B343,'0. Instruções'!$C$27:$G$32,4,FALSE)&amp;"_SIMUL")</f>
        <v>ON X.PRTCTN_ID=Y.PRTCTN_ID_SIMUL</v>
      </c>
      <c r="L343" s="35" t="str">
        <f>+IF(C343="Coerência", +IF(LEFT(G343,5)="FLOAT","SELECT '"&amp;UPPER(B343)&amp;"' AS TABELA, '"&amp;UPPER(C343)&amp;"' AS TIPOLOGIA_TESTE,'"&amp;D343&amp;"' AS TABELA_LT,'"&amp;E343&amp;"' AS TABELA_SIMUL,'"&amp;F343&amp;"' AS CAMPO, "&amp;"'${ref_date}' AS REF_DATE, COUNT(*) AS NUM_REG, SUM(IF((ABS(COALESCE(CAST(X."&amp;F343&amp;" AS DECIMAL(18,6)),0)-COALESCE(CAST(Y."&amp;F343&amp;"_SIMUL AS DECIMAL(18,6)),0))&gt;0.000001) OR (X."&amp;F343&amp;" IS NULL AND Y."&amp;F343&amp;"_SIMUL IS NOT NULL ) OR (X."&amp;F343&amp;" IS NOT NULL AND Y."&amp;F343&amp;"_SIMUL IS NULL),1,0)) AS NUM_REG_DIF,'"&amp;MAX('ID1&amp;5'!K:K)+1&amp;"' AS ID_EXEC, CURRENT_TIMESTAMP() AS TIME_EXEC FROM "&amp;I343&amp;" INNER JOIN "&amp;J343&amp;" "&amp;K343,"SELECT '"&amp;UPPER(B343)&amp;"' AS TABELA, '"&amp;UPPER(C343)&amp;"' AS TIPOLOGIA_TESTE,'"&amp;D343&amp;"' AS TABELA_LT,'"&amp;E343&amp;"' AS TABELA_SIMUL,'"&amp;F343&amp;"' AS CAMPO, "&amp;"'${ref_date}' AS REF_DATE, COUNT(*) AS NUM_REG, SUM(IF(COALESCE(CAST(X."&amp;F343&amp;" AS STRING),'')&lt;&gt;COALESCE(CAST(Y."&amp;F343&amp;"_SIMUL AS STRING),'') OR (X."&amp;F343&amp;" IS NULL AND Y."&amp;F343&amp;"_SIMUL IS NOT NULL ) OR (X."&amp;F343&amp;" IS NOT NULL AND Y."&amp;F343&amp;"_SIMUL IS NULL),1,0)) AS NUM_REG_DIF,'"&amp;MAX('ID1&amp;5'!L:L)+1&amp;"' AS ID_EXEC, CURRENT_TIMESTAMP() AS TIME_EXEC FROM "&amp;I343&amp;" INNER JOIN "&amp;J343&amp;" "&amp;K343),
IF(C343="Validade",+IF(G343="Code List","SELECT '"&amp;UPPER(B343)&amp;"' AS TABELA, '"&amp;UPPER(C343)&amp;"' AS TIPOLOGIA_TESTE,'"&amp;D343&amp;"' AS TABELA_LT,'N/A' AS TABELA_SIMUL,'"&amp;F343&amp;"' AS CAMPO, "&amp;"'${ref_date}' AS REF_DATE, COUNT(*) AS NUM_REG, SUM(IF(TRIM(CAST(X."&amp;F343&amp;" AS STRING))='' OR TRIM(CAST(X."&amp;F343&amp;" AS STRING)) IS NULL OR CAST(X."&amp;F343&amp;" AS STRING) NOT "&amp;H343&amp;",1,0)) AS NUM_REG_DIF,'"&amp;MAX('ID1&amp;5'!K:K)+1&amp;"' AS ID_EXEC, CURRENT_TIMESTAMP() AS TIME_EXEC FROM "&amp;I343,"SELECT '"&amp;UPPER(B343)&amp;"' AS TABELA, '"&amp;UPPER(C343)&amp;"' AS TIPOLOGIA_TESTE,'"&amp;D343&amp;"' AS TABELA_LT,'N/A' AS TABELA_SIMUL,'"&amp;F343&amp;"' AS CAMPO, "&amp;"'${ref_date}' AS REF_DATE, COUNT(*) AS NUM_REG, SUM(IF(TRIM(CAST(X."&amp;F343&amp;" AS STRING))='' OR TRIM(CAST(X."&amp;F343&amp;" AS STRING)) IS NULL,1,0)) AS NUM_REG_DIF,'"&amp;MAX('ID1&amp;5'!K:K)+1&amp;"' AS ID_EXEC, CURRENT_TIMESTAMP() AS TIME_EXEC FROM "&amp;I343),
IF(C343="Caracteres Especiais",+"SELECT '"&amp;UPPER(B343)&amp;"' AS TABELA, '"&amp;UPPER(C343)&amp;"' AS TIPOLOGIA_TESTE,'"&amp;D343&amp;"' AS TABELA_LT,'N/A' AS TABELA_SIMUL,'"&amp;F343&amp;"' AS CAMPO, "&amp;"'${ref_date}' AS REF_DATE, COUNT(*) AS NUM_REG, SUM(IF(REGEXP_REPLACE(TRIM(CAST(X."&amp;F343&amp;" AS STRING)),'[^a-zA-Z0-9_\\s]','') &lt;&gt;TRIM(CAST(X."&amp;F343&amp;" AS STRING)),1,0)) AS NUM_REG_DIF,'"&amp;MAX('ID1&amp;5'!K:K)+1&amp;"' AS ID_EXEC, CURRENT_TIMESTAMP() AS TIME_EXEC FROM "&amp;I343,
IF(C343="Missings",+"SELECT '"&amp;UPPER(B343)&amp;"' AS TABELA, '"&amp;UPPER(C343)&amp;"' AS TIPOLOGIA_TESTE,'"&amp;D343&amp;"' AS TABELA_LT,'N/A' AS TABELA_SIMUL,'"&amp;F343&amp;"' AS CAMPO, "&amp;"'${ref_date}' AS REF_DATE, COUNT(*) AS NUM_REG, SUM(IF(TRIM(CAST(X."&amp;F343&amp;" AS STRING)) IN ('0000-00-00','0001-01-01','9999-12-31','MISS','00000','99999999999','99999999999.00','99999999999.000000'),1,0)) AS NUM_REG_DIF,'"&amp;MAX('ID1&amp;5'!K:K)+1&amp;"' AS ID_EXEC, CURRENT_TIMESTAMP() AS TIME_EXEC FROM "&amp;I343,
IF(C343="Not applicable",+"SELECT '"&amp;UPPER(B343)&amp;"' AS TABELA, '"&amp;UPPER(C343)&amp;"' AS TIPOLOGIA_TESTE,'"&amp;D343&amp;"' AS TABELA_LT,'N/A' AS TABELA_SIMUL,'"&amp;F343&amp;"' AS CAMPO, "&amp;"'${ref_date}' AS REF_DATE, COUNT(*) AS NUM_REG, SUM(IF(TRIM(CAST(X."&amp;F343&amp;" AS STRING)) IN ('N/A','11111111111','11111111111.00','11111111111.000000','1111-11-11'),1,0)) AS NUM_REG_DIF,'"&amp;MAX('ID1&amp;5'!K:K)+1&amp;"' AS ID_EXEC, CURRENT_TIMESTAMP() AS TIME_EXEC FROM "&amp;I343,
IF(C343="Valores extremos",+"SELECT '"&amp;UPPER(B343)&amp;"' AS TABELA, '"&amp;UPPER(C343)&amp;"' AS TIPOLOGIA_TESTE,'"&amp;D343&amp;"' AS TABELA_LT,'N/A' AS TABELA_SIMUL,'"&amp;F343&amp;"' AS CAMPO, "&amp;"'${ref_date}' AS REF_DATE, CAST(MIN("&amp;F343&amp;") AS STRING) AS VALOR_MIN, CAST(MAX("&amp;F343&amp;") AS STRING) AS VALOR_MAX,'"&amp;MAX('ID1&amp;5'!K:K)+1&amp;"' AS ID_EXEC, CURRENT_TIMESTAMP() AS TIME_EXEC FROM "&amp;MID(I343,1,LEN(I343)-2)&amp;" AND CAST("&amp;F343&amp;"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TABELA_SIMUL,'HRCT_MV' AS CAMPO, '${ref_date}' AS REF_DATE, COUNT(*) AS NUM_REG, SUM(IF(COALESCE(CAST(X.HRCT_MV AS STRING),'')&lt;&gt;COALESCE(CAST(Y.HRCT_MV_SIMUL AS STRING),'') OR (X.HRCT_MV IS NULL AND Y.HRCT_MV_SIMUL IS NOT NULL ) OR (X.HRCT_MV IS NOT NULL AND Y.HRCT_MV_SIMUL IS NULL),1,0)) AS NUM_REG_DIF,'1' AS ID_EXEC, CURRENT_TIMESTAMP() AS TIME_EXEC FROM (SELECT prtctn_id, HRCT_MV FROM CD_LOAN_TAPES_BCE.LT004_PROTECTION WHERE ref_date='${ref_date}' AND nome_perimetro='Individual Corporativo' AND segmento='ESTR' AND ambito='PM' AND entidade='00100')X INNER JOIN (SELECT prtctn_id AS prtctn_id_SIMUL, HRCT_MV AS HRCT_MV_SIMUL FROM BU_LOANTAPE_WORK.LT004_PROTECTION WHERE ref_date='${ref_date}' AND nome_perimetro='Individual Corporativo' AND segmento='ESTR' AND ambito='PM' AND entidade='00100')Y ON X.PRTCTN_ID=Y.PRTCTN_ID_SIMUL</v>
      </c>
      <c r="M343" s="36" t="str">
        <f t="shared" si="6"/>
        <v>UNION ALL SELECT 'PROTECTION' AS TABELA, 'COERÊNCIA' AS TIPOLOGIA_TESTE,'CD_LOAN_TAPES_BCE.LT004_PROTECTION' AS TABELA_LT,'BU_LOANTAPE_WORK.LT004_PROTECTION' AS TABELA_SIMUL,'HRCT_MV' AS CAMPO, '${ref_date}' AS REF_DATE, COUNT(*) AS NUM_REG, SUM(IF(COALESCE(CAST(X.HRCT_MV AS STRING),'')&lt;&gt;COALESCE(CAST(Y.HRCT_MV_SIMUL AS STRING),'') OR (X.HRCT_MV IS NULL AND Y.HRCT_MV_SIMUL IS NOT NULL ) OR (X.HRCT_MV IS NOT NULL AND Y.HRCT_MV_SIMUL IS NULL),1,0)) AS NUM_REG_DIF,'1' AS ID_EXEC, CURRENT_TIMESTAMP() AS TIME_EXEC FROM (SELECT prtctn_id, HRCT_MV FROM CD_LOAN_TAPES_BCE.LT004_PROTECTION WHERE ref_date='${ref_date}' AND nome_perimetro='Individual Corporativo' AND segmento='ESTR' AND ambito='PM' AND entidade='00100')X INNER JOIN (SELECT prtctn_id AS prtctn_id_SIMUL, HRCT_MV AS HRCT_MV_SIMUL FROM BU_LOANTAPE_WORK.LT004_PROTECTION WHERE ref_date='${ref_date}' AND nome_perimetro='Individual Corporativo' AND segmento='ESTR' AND ambito='PM' AND entidade='00100')Y ON X.PRTCTN_ID=Y.PRTCTN_ID_SIMUL</v>
      </c>
      <c r="N343" s="38" t="s">
        <v>46</v>
      </c>
    </row>
    <row r="344" spans="2:14" hidden="1">
      <c r="B344" s="34" t="s">
        <v>128</v>
      </c>
      <c r="C344" s="34" t="s">
        <v>5</v>
      </c>
      <c r="D344" s="34" t="str">
        <f>+UPPER('0. Instruções'!$D$35&amp;"."&amp;VLOOKUP(B344,'0. Instruções'!$C$27:$D$32,2,FALSE))</f>
        <v>CD_LOAN_TAPES_BCE.LT004_PROTECTION</v>
      </c>
      <c r="E344" s="34" t="str">
        <f>+UPPER('0. Instruções'!$D$36&amp;"."&amp;VLOOKUP(B344,'0. Instruções'!$C$27:$E$32,3,FALSE))</f>
        <v>BU_LOANTAPE_WORK.LT004_PROTECTION</v>
      </c>
      <c r="F344" s="34" t="s">
        <v>615</v>
      </c>
      <c r="G344" s="34"/>
      <c r="H344" s="34" t="s">
        <v>648</v>
      </c>
      <c r="I344" s="34" t="str">
        <f>"(SELECT "&amp;VLOOKUP(B344,'0. Instruções'!$C$27:$G$32,4,FALSE)&amp;", "&amp;F344&amp;" FROM "&amp;D344&amp;" WHERE "&amp;'0. Instruções'!$D$42&amp;")X"</f>
        <v>(SELECT prtctn_id, PRTCTN_CLLD FROM CD_LOAN_TAPES_BCE.LT004_PROTECTION WHERE ref_date='${ref_date}' AND nome_perimetro='Individual Corporativo' AND segmento='ESTR' AND ambito='PM' AND entidade='00100')X</v>
      </c>
      <c r="J344" s="34" t="str">
        <f>"(SELECT "&amp;VLOOKUP(B344,'0. Instruções'!$C$27:$G$32,4,FALSE)&amp;" AS "&amp;VLOOKUP(B344,'0. Instruções'!$C$27:$G$32,4,FALSE)&amp;"_SIMUL, "&amp;F344&amp;" AS "&amp;F344&amp;"_SIMUL FROM "&amp;E344&amp;" WHERE "&amp;'0. Instruções'!$D$43&amp;")Y"</f>
        <v>(SELECT prtctn_id AS prtctn_id_SIMUL, PRTCTN_CLLD AS PRTCTN_CLLD_SIMUL FROM BU_LOANTAPE_WORK.LT004_PROTECTION WHERE ref_date='${ref_date}' AND nome_perimetro='Individual Corporativo' AND segmento='ESTR' AND ambito='PM' AND entidade='00100')Y</v>
      </c>
      <c r="K344" s="35" t="str">
        <f>+UPPER("ON X."&amp;VLOOKUP(B344,'0. Instruções'!$C$27:$G$32,4,FALSE)&amp;"=Y."&amp;VLOOKUP(B344,'0. Instruções'!$C$27:$G$32,4,FALSE)&amp;"_SIMUL")</f>
        <v>ON X.PRTCTN_ID=Y.PRTCTN_ID_SIMUL</v>
      </c>
      <c r="L344" s="35" t="str">
        <f>+IF(C344="Coerência", +IF(LEFT(G344,5)="FLOAT","SELECT '"&amp;UPPER(B344)&amp;"' AS TABELA, '"&amp;UPPER(C344)&amp;"' AS TIPOLOGIA_TESTE,'"&amp;D344&amp;"' AS TABELA_LT,'"&amp;E344&amp;"' AS TABELA_SIMUL,'"&amp;F344&amp;"' AS CAMPO, "&amp;"'${ref_date}' AS REF_DATE, COUNT(*) AS NUM_REG, SUM(IF((ABS(COALESCE(CAST(X."&amp;F344&amp;" AS DECIMAL(18,6)),0)-COALESCE(CAST(Y."&amp;F344&amp;"_SIMUL AS DECIMAL(18,6)),0))&gt;0.000001) OR (X."&amp;F344&amp;" IS NULL AND Y."&amp;F344&amp;"_SIMUL IS NOT NULL ) OR (X."&amp;F344&amp;" IS NOT NULL AND Y."&amp;F344&amp;"_SIMUL IS NULL),1,0)) AS NUM_REG_DIF,'"&amp;MAX('ID1&amp;5'!K:K)+1&amp;"' AS ID_EXEC, CURRENT_TIMESTAMP() AS TIME_EXEC FROM "&amp;I344&amp;" INNER JOIN "&amp;J344&amp;" "&amp;K344,"SELECT '"&amp;UPPER(B344)&amp;"' AS TABELA, '"&amp;UPPER(C344)&amp;"' AS TIPOLOGIA_TESTE,'"&amp;D344&amp;"' AS TABELA_LT,'"&amp;E344&amp;"' AS TABELA_SIMUL,'"&amp;F344&amp;"' AS CAMPO, "&amp;"'${ref_date}' AS REF_DATE, COUNT(*) AS NUM_REG, SUM(IF(COALESCE(CAST(X."&amp;F344&amp;" AS STRING),'')&lt;&gt;COALESCE(CAST(Y."&amp;F344&amp;"_SIMUL AS STRING),'') OR (X."&amp;F344&amp;" IS NULL AND Y."&amp;F344&amp;"_SIMUL IS NOT NULL ) OR (X."&amp;F344&amp;" IS NOT NULL AND Y."&amp;F344&amp;"_SIMUL IS NULL),1,0)) AS NUM_REG_DIF,'"&amp;MAX('ID1&amp;5'!L:L)+1&amp;"' AS ID_EXEC, CURRENT_TIMESTAMP() AS TIME_EXEC FROM "&amp;I344&amp;" INNER JOIN "&amp;J344&amp;" "&amp;K344),
IF(C344="Validade",+IF(G344="Code List","SELECT '"&amp;UPPER(B344)&amp;"' AS TABELA, '"&amp;UPPER(C344)&amp;"' AS TIPOLOGIA_TESTE,'"&amp;D344&amp;"' AS TABELA_LT,'N/A' AS TABELA_SIMUL,'"&amp;F344&amp;"' AS CAMPO, "&amp;"'${ref_date}' AS REF_DATE, COUNT(*) AS NUM_REG, SUM(IF(TRIM(CAST(X."&amp;F344&amp;" AS STRING))='' OR TRIM(CAST(X."&amp;F344&amp;" AS STRING)) IS NULL OR CAST(X."&amp;F344&amp;" AS STRING) NOT "&amp;H344&amp;",1,0)) AS NUM_REG_DIF,'"&amp;MAX('ID1&amp;5'!K:K)+1&amp;"' AS ID_EXEC, CURRENT_TIMESTAMP() AS TIME_EXEC FROM "&amp;I344,"SELECT '"&amp;UPPER(B344)&amp;"' AS TABELA, '"&amp;UPPER(C344)&amp;"' AS TIPOLOGIA_TESTE,'"&amp;D344&amp;"' AS TABELA_LT,'N/A' AS TABELA_SIMUL,'"&amp;F344&amp;"' AS CAMPO, "&amp;"'${ref_date}' AS REF_DATE, COUNT(*) AS NUM_REG, SUM(IF(TRIM(CAST(X."&amp;F344&amp;" AS STRING))='' OR TRIM(CAST(X."&amp;F344&amp;" AS STRING)) IS NULL,1,0)) AS NUM_REG_DIF,'"&amp;MAX('ID1&amp;5'!K:K)+1&amp;"' AS ID_EXEC, CURRENT_TIMESTAMP() AS TIME_EXEC FROM "&amp;I344),
IF(C344="Caracteres Especiais",+"SELECT '"&amp;UPPER(B344)&amp;"' AS TABELA, '"&amp;UPPER(C344)&amp;"' AS TIPOLOGIA_TESTE,'"&amp;D344&amp;"' AS TABELA_LT,'N/A' AS TABELA_SIMUL,'"&amp;F344&amp;"' AS CAMPO, "&amp;"'${ref_date}' AS REF_DATE, COUNT(*) AS NUM_REG, SUM(IF(REGEXP_REPLACE(TRIM(CAST(X."&amp;F344&amp;" AS STRING)),'[^a-zA-Z0-9_\\s]','') &lt;&gt;TRIM(CAST(X."&amp;F344&amp;" AS STRING)),1,0)) AS NUM_REG_DIF,'"&amp;MAX('ID1&amp;5'!K:K)+1&amp;"' AS ID_EXEC, CURRENT_TIMESTAMP() AS TIME_EXEC FROM "&amp;I344,
IF(C344="Missings",+"SELECT '"&amp;UPPER(B344)&amp;"' AS TABELA, '"&amp;UPPER(C344)&amp;"' AS TIPOLOGIA_TESTE,'"&amp;D344&amp;"' AS TABELA_LT,'N/A' AS TABELA_SIMUL,'"&amp;F344&amp;"' AS CAMPO, "&amp;"'${ref_date}' AS REF_DATE, COUNT(*) AS NUM_REG, SUM(IF(TRIM(CAST(X."&amp;F344&amp;" AS STRING)) IN ('0000-00-00','0001-01-01','9999-12-31','MISS','00000','99999999999','99999999999.00','99999999999.000000'),1,0)) AS NUM_REG_DIF,'"&amp;MAX('ID1&amp;5'!K:K)+1&amp;"' AS ID_EXEC, CURRENT_TIMESTAMP() AS TIME_EXEC FROM "&amp;I344,
IF(C344="Not applicable",+"SELECT '"&amp;UPPER(B344)&amp;"' AS TABELA, '"&amp;UPPER(C344)&amp;"' AS TIPOLOGIA_TESTE,'"&amp;D344&amp;"' AS TABELA_LT,'N/A' AS TABELA_SIMUL,'"&amp;F344&amp;"' AS CAMPO, "&amp;"'${ref_date}' AS REF_DATE, COUNT(*) AS NUM_REG, SUM(IF(TRIM(CAST(X."&amp;F344&amp;" AS STRING)) IN ('N/A','11111111111','11111111111.00','11111111111.000000','1111-11-11'),1,0)) AS NUM_REG_DIF,'"&amp;MAX('ID1&amp;5'!K:K)+1&amp;"' AS ID_EXEC, CURRENT_TIMESTAMP() AS TIME_EXEC FROM "&amp;I344,
IF(C344="Valores extremos",+"SELECT '"&amp;UPPER(B344)&amp;"' AS TABELA, '"&amp;UPPER(C344)&amp;"' AS TIPOLOGIA_TESTE,'"&amp;D344&amp;"' AS TABELA_LT,'N/A' AS TABELA_SIMUL,'"&amp;F344&amp;"' AS CAMPO, "&amp;"'${ref_date}' AS REF_DATE, CAST(MIN("&amp;F344&amp;") AS STRING) AS VALOR_MIN, CAST(MAX("&amp;F344&amp;") AS STRING) AS VALOR_MAX,'"&amp;MAX('ID1&amp;5'!K:K)+1&amp;"' AS ID_EXEC, CURRENT_TIMESTAMP() AS TIME_EXEC FROM "&amp;MID(I344,1,LEN(I344)-2)&amp;" AND CAST("&amp;F344&amp;"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TABELA_SIMUL,'PRTCTN_CLLD' AS CAMPO, '${ref_date}' AS REF_DATE, COUNT(*) AS NUM_REG, SUM(IF(COALESCE(CAST(X.PRTCTN_CLLD AS STRING),'')&lt;&gt;COALESCE(CAST(Y.PRTCTN_CLLD_SIMUL AS STRING),'') OR (X.PRTCTN_CLLD IS NULL AND Y.PRTCTN_CLLD_SIMUL IS NOT NULL ) OR (X.PRTCTN_CLLD IS NOT NULL AND Y.PRTCTN_CLLD_SIMUL IS NULL),1,0)) AS NUM_REG_DIF,'1' AS ID_EXEC, CURRENT_TIMESTAMP() AS TIME_EXEC FROM (SELECT prtctn_id, PRTCTN_CLLD FROM CD_LOAN_TAPES_BCE.LT004_PROTECTION WHERE ref_date='${ref_date}' AND nome_perimetro='Individual Corporativo' AND segmento='ESTR' AND ambito='PM' AND entidade='00100')X INNER JOIN (SELECT prtctn_id AS prtctn_id_SIMUL, PRTCTN_CLLD AS PRTCTN_CLLD_SIMUL FROM BU_LOANTAPE_WORK.LT004_PROTECTION WHERE ref_date='${ref_date}' AND nome_perimetro='Individual Corporativo' AND segmento='ESTR' AND ambito='PM' AND entidade='00100')Y ON X.PRTCTN_ID=Y.PRTCTN_ID_SIMUL</v>
      </c>
      <c r="M344" s="36" t="str">
        <f t="shared" si="6"/>
        <v>UNION ALL SELECT 'PROTECTION' AS TABELA, 'COERÊNCIA' AS TIPOLOGIA_TESTE,'CD_LOAN_TAPES_BCE.LT004_PROTECTION' AS TABELA_LT,'BU_LOANTAPE_WORK.LT004_PROTECTION' AS TABELA_SIMUL,'PRTCTN_CLLD' AS CAMPO, '${ref_date}' AS REF_DATE, COUNT(*) AS NUM_REG, SUM(IF(COALESCE(CAST(X.PRTCTN_CLLD AS STRING),'')&lt;&gt;COALESCE(CAST(Y.PRTCTN_CLLD_SIMUL AS STRING),'') OR (X.PRTCTN_CLLD IS NULL AND Y.PRTCTN_CLLD_SIMUL IS NOT NULL ) OR (X.PRTCTN_CLLD IS NOT NULL AND Y.PRTCTN_CLLD_SIMUL IS NULL),1,0)) AS NUM_REG_DIF,'1' AS ID_EXEC, CURRENT_TIMESTAMP() AS TIME_EXEC FROM (SELECT prtctn_id, PRTCTN_CLLD FROM CD_LOAN_TAPES_BCE.LT004_PROTECTION WHERE ref_date='${ref_date}' AND nome_perimetro='Individual Corporativo' AND segmento='ESTR' AND ambito='PM' AND entidade='00100')X INNER JOIN (SELECT prtctn_id AS prtctn_id_SIMUL, PRTCTN_CLLD AS PRTCTN_CLLD_SIMUL FROM BU_LOANTAPE_WORK.LT004_PROTECTION WHERE ref_date='${ref_date}' AND nome_perimetro='Individual Corporativo' AND segmento='ESTR' AND ambito='PM' AND entidade='00100')Y ON X.PRTCTN_ID=Y.PRTCTN_ID_SIMUL</v>
      </c>
      <c r="N344" s="38" t="s">
        <v>46</v>
      </c>
    </row>
    <row r="345" spans="2:14" hidden="1">
      <c r="B345" s="34" t="s">
        <v>128</v>
      </c>
      <c r="C345" s="34" t="s">
        <v>5</v>
      </c>
      <c r="D345" s="34" t="str">
        <f>+UPPER('0. Instruções'!$D$35&amp;"."&amp;VLOOKUP(B345,'0. Instruções'!$C$27:$D$32,2,FALSE))</f>
        <v>CD_LOAN_TAPES_BCE.LT004_PROTECTION</v>
      </c>
      <c r="E345" s="34" t="str">
        <f>+UPPER('0. Instruções'!$D$36&amp;"."&amp;VLOOKUP(B345,'0. Instruções'!$C$27:$E$32,3,FALSE))</f>
        <v>BU_LOANTAPE_WORK.LT004_PROTECTION</v>
      </c>
      <c r="F345" s="34" t="s">
        <v>123</v>
      </c>
      <c r="G345" s="34"/>
      <c r="H345" s="34" t="s">
        <v>89</v>
      </c>
      <c r="I345" s="34" t="str">
        <f>"(SELECT "&amp;VLOOKUP(B345,'0. Instruções'!$C$27:$G$32,4,FALSE)&amp;", "&amp;F345&amp;" FROM "&amp;D345&amp;" WHERE "&amp;'0. Instruções'!$D$42&amp;")X"</f>
        <v>(SELECT prtctn_id, TYP_PRTCTN FROM CD_LOAN_TAPES_BCE.LT004_PROTECTION WHERE ref_date='${ref_date}' AND nome_perimetro='Individual Corporativo' AND segmento='ESTR' AND ambito='PM' AND entidade='00100')X</v>
      </c>
      <c r="J345" s="34" t="str">
        <f>"(SELECT "&amp;VLOOKUP(B345,'0. Instruções'!$C$27:$G$32,4,FALSE)&amp;" AS "&amp;VLOOKUP(B345,'0. Instruções'!$C$27:$G$32,4,FALSE)&amp;"_SIMUL, "&amp;F345&amp;" AS "&amp;F345&amp;"_SIMUL FROM "&amp;E345&amp;" WHERE "&amp;'0. Instruções'!$D$43&amp;")Y"</f>
        <v>(SELECT prtctn_id AS prtctn_id_SIMUL, TYP_PRTCTN AS TYP_PRTCTN_SIMUL FROM BU_LOANTAPE_WORK.LT004_PROTECTION WHERE ref_date='${ref_date}' AND nome_perimetro='Individual Corporativo' AND segmento='ESTR' AND ambito='PM' AND entidade='00100')Y</v>
      </c>
      <c r="K345" s="35" t="str">
        <f>+UPPER("ON X."&amp;VLOOKUP(B345,'0. Instruções'!$C$27:$G$32,4,FALSE)&amp;"=Y."&amp;VLOOKUP(B345,'0. Instruções'!$C$27:$G$32,4,FALSE)&amp;"_SIMUL")</f>
        <v>ON X.PRTCTN_ID=Y.PRTCTN_ID_SIMUL</v>
      </c>
      <c r="L345" s="35" t="str">
        <f>+IF(C345="Coerência", +IF(LEFT(G345,5)="FLOAT","SELECT '"&amp;UPPER(B345)&amp;"' AS TABELA, '"&amp;UPPER(C345)&amp;"' AS TIPOLOGIA_TESTE,'"&amp;D345&amp;"' AS TABELA_LT,'"&amp;E345&amp;"' AS TABELA_SIMUL,'"&amp;F345&amp;"' AS CAMPO, "&amp;"'${ref_date}' AS REF_DATE, COUNT(*) AS NUM_REG, SUM(IF((ABS(COALESCE(CAST(X."&amp;F345&amp;" AS DECIMAL(18,6)),0)-COALESCE(CAST(Y."&amp;F345&amp;"_SIMUL AS DECIMAL(18,6)),0))&gt;0.000001) OR (X."&amp;F345&amp;" IS NULL AND Y."&amp;F345&amp;"_SIMUL IS NOT NULL ) OR (X."&amp;F345&amp;" IS NOT NULL AND Y."&amp;F345&amp;"_SIMUL IS NULL),1,0)) AS NUM_REG_DIF,'"&amp;MAX('ID1&amp;5'!K:K)+1&amp;"' AS ID_EXEC, CURRENT_TIMESTAMP() AS TIME_EXEC FROM "&amp;I345&amp;" INNER JOIN "&amp;J345&amp;" "&amp;K345,"SELECT '"&amp;UPPER(B345)&amp;"' AS TABELA, '"&amp;UPPER(C345)&amp;"' AS TIPOLOGIA_TESTE,'"&amp;D345&amp;"' AS TABELA_LT,'"&amp;E345&amp;"' AS TABELA_SIMUL,'"&amp;F345&amp;"' AS CAMPO, "&amp;"'${ref_date}' AS REF_DATE, COUNT(*) AS NUM_REG, SUM(IF(COALESCE(CAST(X."&amp;F345&amp;" AS STRING),'')&lt;&gt;COALESCE(CAST(Y."&amp;F345&amp;"_SIMUL AS STRING),'') OR (X."&amp;F345&amp;" IS NULL AND Y."&amp;F345&amp;"_SIMUL IS NOT NULL ) OR (X."&amp;F345&amp;" IS NOT NULL AND Y."&amp;F345&amp;"_SIMUL IS NULL),1,0)) AS NUM_REG_DIF,'"&amp;MAX('ID1&amp;5'!L:L)+1&amp;"' AS ID_EXEC, CURRENT_TIMESTAMP() AS TIME_EXEC FROM "&amp;I345&amp;" INNER JOIN "&amp;J345&amp;" "&amp;K345),
IF(C345="Validade",+IF(G345="Code List","SELECT '"&amp;UPPER(B345)&amp;"' AS TABELA, '"&amp;UPPER(C345)&amp;"' AS TIPOLOGIA_TESTE,'"&amp;D345&amp;"' AS TABELA_LT,'N/A' AS TABELA_SIMUL,'"&amp;F345&amp;"' AS CAMPO, "&amp;"'${ref_date}' AS REF_DATE, COUNT(*) AS NUM_REG, SUM(IF(TRIM(CAST(X."&amp;F345&amp;" AS STRING))='' OR TRIM(CAST(X."&amp;F345&amp;" AS STRING)) IS NULL OR CAST(X."&amp;F345&amp;" AS STRING) NOT "&amp;H345&amp;",1,0)) AS NUM_REG_DIF,'"&amp;MAX('ID1&amp;5'!K:K)+1&amp;"' AS ID_EXEC, CURRENT_TIMESTAMP() AS TIME_EXEC FROM "&amp;I345,"SELECT '"&amp;UPPER(B345)&amp;"' AS TABELA, '"&amp;UPPER(C345)&amp;"' AS TIPOLOGIA_TESTE,'"&amp;D345&amp;"' AS TABELA_LT,'N/A' AS TABELA_SIMUL,'"&amp;F345&amp;"' AS CAMPO, "&amp;"'${ref_date}' AS REF_DATE, COUNT(*) AS NUM_REG, SUM(IF(TRIM(CAST(X."&amp;F345&amp;" AS STRING))='' OR TRIM(CAST(X."&amp;F345&amp;" AS STRING)) IS NULL,1,0)) AS NUM_REG_DIF,'"&amp;MAX('ID1&amp;5'!K:K)+1&amp;"' AS ID_EXEC, CURRENT_TIMESTAMP() AS TIME_EXEC FROM "&amp;I345),
IF(C345="Caracteres Especiais",+"SELECT '"&amp;UPPER(B345)&amp;"' AS TABELA, '"&amp;UPPER(C345)&amp;"' AS TIPOLOGIA_TESTE,'"&amp;D345&amp;"' AS TABELA_LT,'N/A' AS TABELA_SIMUL,'"&amp;F345&amp;"' AS CAMPO, "&amp;"'${ref_date}' AS REF_DATE, COUNT(*) AS NUM_REG, SUM(IF(REGEXP_REPLACE(TRIM(CAST(X."&amp;F345&amp;" AS STRING)),'[^a-zA-Z0-9_\\s]','') &lt;&gt;TRIM(CAST(X."&amp;F345&amp;" AS STRING)),1,0)) AS NUM_REG_DIF,'"&amp;MAX('ID1&amp;5'!K:K)+1&amp;"' AS ID_EXEC, CURRENT_TIMESTAMP() AS TIME_EXEC FROM "&amp;I345,
IF(C345="Missings",+"SELECT '"&amp;UPPER(B345)&amp;"' AS TABELA, '"&amp;UPPER(C345)&amp;"' AS TIPOLOGIA_TESTE,'"&amp;D345&amp;"' AS TABELA_LT,'N/A' AS TABELA_SIMUL,'"&amp;F345&amp;"' AS CAMPO, "&amp;"'${ref_date}' AS REF_DATE, COUNT(*) AS NUM_REG, SUM(IF(TRIM(CAST(X."&amp;F345&amp;" AS STRING)) IN ('0000-00-00','0001-01-01','9999-12-31','MISS','00000','99999999999','99999999999.00','99999999999.000000'),1,0)) AS NUM_REG_DIF,'"&amp;MAX('ID1&amp;5'!K:K)+1&amp;"' AS ID_EXEC, CURRENT_TIMESTAMP() AS TIME_EXEC FROM "&amp;I345,
IF(C345="Not applicable",+"SELECT '"&amp;UPPER(B345)&amp;"' AS TABELA, '"&amp;UPPER(C345)&amp;"' AS TIPOLOGIA_TESTE,'"&amp;D345&amp;"' AS TABELA_LT,'N/A' AS TABELA_SIMUL,'"&amp;F345&amp;"' AS CAMPO, "&amp;"'${ref_date}' AS REF_DATE, COUNT(*) AS NUM_REG, SUM(IF(TRIM(CAST(X."&amp;F345&amp;" AS STRING)) IN ('N/A','11111111111','11111111111.00','11111111111.000000','1111-11-11'),1,0)) AS NUM_REG_DIF,'"&amp;MAX('ID1&amp;5'!K:K)+1&amp;"' AS ID_EXEC, CURRENT_TIMESTAMP() AS TIME_EXEC FROM "&amp;I345,
IF(C345="Valores extremos",+"SELECT '"&amp;UPPER(B345)&amp;"' AS TABELA, '"&amp;UPPER(C345)&amp;"' AS TIPOLOGIA_TESTE,'"&amp;D345&amp;"' AS TABELA_LT,'N/A' AS TABELA_SIMUL,'"&amp;F345&amp;"' AS CAMPO, "&amp;"'${ref_date}' AS REF_DATE, CAST(MIN("&amp;F345&amp;") AS STRING) AS VALOR_MIN, CAST(MAX("&amp;F345&amp;") AS STRING) AS VALOR_MAX,'"&amp;MAX('ID1&amp;5'!K:K)+1&amp;"' AS ID_EXEC, CURRENT_TIMESTAMP() AS TIME_EXEC FROM "&amp;MID(I345,1,LEN(I345)-2)&amp;" AND CAST("&amp;F345&amp;"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TABELA_SIMUL,'TYP_PRTCTN' AS CAMPO, '${ref_date}' AS REF_DATE, COUNT(*) AS NUM_REG, SUM(IF(COALESCE(CAST(X.TYP_PRTCTN AS STRING),'')&lt;&gt;COALESCE(CAST(Y.TYP_PRTCTN_SIMUL AS STRING),'') OR (X.TYP_PRTCTN IS NULL AND Y.TYP_PRTCTN_SIMUL IS NOT NULL ) OR (X.TYP_PRTCTN IS NOT NULL AND Y.TYP_PRTCTN_SIMUL IS NULL),1,0)) AS NUM_REG_DIF,'1' AS ID_EXEC, CURRENT_TIMESTAMP() AS TIME_EXEC FROM (SELECT prtctn_id, TYP_PRTCTN FROM CD_LOAN_TAPES_BCE.LT004_PROTECTION WHERE ref_date='${ref_date}' AND nome_perimetro='Individual Corporativo' AND segmento='ESTR' AND ambito='PM' AND entidade='00100')X INNER JOIN (SELECT prtctn_id AS prtctn_id_SIMUL, TYP_PRTCTN AS TYP_PRTCTN_SIMUL FROM BU_LOANTAPE_WORK.LT004_PROTECTION WHERE ref_date='${ref_date}' AND nome_perimetro='Individual Corporativo' AND segmento='ESTR' AND ambito='PM' AND entidade='00100')Y ON X.PRTCTN_ID=Y.PRTCTN_ID_SIMUL</v>
      </c>
      <c r="M345" s="36" t="str">
        <f t="shared" si="6"/>
        <v>UNION ALL SELECT 'PROTECTION' AS TABELA, 'COERÊNCIA' AS TIPOLOGIA_TESTE,'CD_LOAN_TAPES_BCE.LT004_PROTECTION' AS TABELA_LT,'BU_LOANTAPE_WORK.LT004_PROTECTION' AS TABELA_SIMUL,'TYP_PRTCTN' AS CAMPO, '${ref_date}' AS REF_DATE, COUNT(*) AS NUM_REG, SUM(IF(COALESCE(CAST(X.TYP_PRTCTN AS STRING),'')&lt;&gt;COALESCE(CAST(Y.TYP_PRTCTN_SIMUL AS STRING),'') OR (X.TYP_PRTCTN IS NULL AND Y.TYP_PRTCTN_SIMUL IS NOT NULL ) OR (X.TYP_PRTCTN IS NOT NULL AND Y.TYP_PRTCTN_SIMUL IS NULL),1,0)) AS NUM_REG_DIF,'1' AS ID_EXEC, CURRENT_TIMESTAMP() AS TIME_EXEC FROM (SELECT prtctn_id, TYP_PRTCTN FROM CD_LOAN_TAPES_BCE.LT004_PROTECTION WHERE ref_date='${ref_date}' AND nome_perimetro='Individual Corporativo' AND segmento='ESTR' AND ambito='PM' AND entidade='00100')X INNER JOIN (SELECT prtctn_id AS prtctn_id_SIMUL, TYP_PRTCTN AS TYP_PRTCTN_SIMUL FROM BU_LOANTAPE_WORK.LT004_PROTECTION WHERE ref_date='${ref_date}' AND nome_perimetro='Individual Corporativo' AND segmento='ESTR' AND ambito='PM' AND entidade='00100')Y ON X.PRTCTN_ID=Y.PRTCTN_ID_SIMUL</v>
      </c>
      <c r="N345" s="38" t="s">
        <v>46</v>
      </c>
    </row>
    <row r="346" spans="2:14" hidden="1">
      <c r="B346" s="34" t="s">
        <v>128</v>
      </c>
      <c r="C346" s="34" t="s">
        <v>5</v>
      </c>
      <c r="D346" s="34" t="str">
        <f>+UPPER('0. Instruções'!$D$35&amp;"."&amp;VLOOKUP(B346,'0. Instruções'!$C$27:$D$32,2,FALSE))</f>
        <v>CD_LOAN_TAPES_BCE.LT004_PROTECTION</v>
      </c>
      <c r="E346" s="34" t="str">
        <f>+UPPER('0. Instruções'!$D$36&amp;"."&amp;VLOOKUP(B346,'0. Instruções'!$C$27:$E$32,3,FALSE))</f>
        <v>BU_LOANTAPE_WORK.LT004_PROTECTION</v>
      </c>
      <c r="F346" s="34" t="s">
        <v>616</v>
      </c>
      <c r="G346" s="34"/>
      <c r="H346" s="34" t="s">
        <v>646</v>
      </c>
      <c r="I346" s="34" t="str">
        <f>"(SELECT "&amp;VLOOKUP(B346,'0. Instruções'!$C$27:$G$32,4,FALSE)&amp;", "&amp;F346&amp;" FROM "&amp;D346&amp;" WHERE "&amp;'0. Instruções'!$D$42&amp;")X"</f>
        <v>(SELECT prtctn_id, TYP_PRTCTN_INTRNL FROM CD_LOAN_TAPES_BCE.LT004_PROTECTION WHERE ref_date='${ref_date}' AND nome_perimetro='Individual Corporativo' AND segmento='ESTR' AND ambito='PM' AND entidade='00100')X</v>
      </c>
      <c r="J346" s="34" t="str">
        <f>"(SELECT "&amp;VLOOKUP(B346,'0. Instruções'!$C$27:$G$32,4,FALSE)&amp;" AS "&amp;VLOOKUP(B346,'0. Instruções'!$C$27:$G$32,4,FALSE)&amp;"_SIMUL, "&amp;F346&amp;" AS "&amp;F346&amp;"_SIMUL FROM "&amp;E346&amp;" WHERE "&amp;'0. Instruções'!$D$43&amp;")Y"</f>
        <v>(SELECT prtctn_id AS prtctn_id_SIMUL, TYP_PRTCTN_INTRNL AS TYP_PRTCTN_INTRNL_SIMUL FROM BU_LOANTAPE_WORK.LT004_PROTECTION WHERE ref_date='${ref_date}' AND nome_perimetro='Individual Corporativo' AND segmento='ESTR' AND ambito='PM' AND entidade='00100')Y</v>
      </c>
      <c r="K346" s="35" t="str">
        <f>+UPPER("ON X."&amp;VLOOKUP(B346,'0. Instruções'!$C$27:$G$32,4,FALSE)&amp;"=Y."&amp;VLOOKUP(B346,'0. Instruções'!$C$27:$G$32,4,FALSE)&amp;"_SIMUL")</f>
        <v>ON X.PRTCTN_ID=Y.PRTCTN_ID_SIMUL</v>
      </c>
      <c r="L346" s="35" t="str">
        <f>+IF(C346="Coerência", +IF(LEFT(G346,5)="FLOAT","SELECT '"&amp;UPPER(B346)&amp;"' AS TABELA, '"&amp;UPPER(C346)&amp;"' AS TIPOLOGIA_TESTE,'"&amp;D346&amp;"' AS TABELA_LT,'"&amp;E346&amp;"' AS TABELA_SIMUL,'"&amp;F346&amp;"' AS CAMPO, "&amp;"'${ref_date}' AS REF_DATE, COUNT(*) AS NUM_REG, SUM(IF((ABS(COALESCE(CAST(X."&amp;F346&amp;" AS DECIMAL(18,6)),0)-COALESCE(CAST(Y."&amp;F346&amp;"_SIMUL AS DECIMAL(18,6)),0))&gt;0.000001) OR (X."&amp;F346&amp;" IS NULL AND Y."&amp;F346&amp;"_SIMUL IS NOT NULL ) OR (X."&amp;F346&amp;" IS NOT NULL AND Y."&amp;F346&amp;"_SIMUL IS NULL),1,0)) AS NUM_REG_DIF,'"&amp;MAX('ID1&amp;5'!K:K)+1&amp;"' AS ID_EXEC, CURRENT_TIMESTAMP() AS TIME_EXEC FROM "&amp;I346&amp;" INNER JOIN "&amp;J346&amp;" "&amp;K346,"SELECT '"&amp;UPPER(B346)&amp;"' AS TABELA, '"&amp;UPPER(C346)&amp;"' AS TIPOLOGIA_TESTE,'"&amp;D346&amp;"' AS TABELA_LT,'"&amp;E346&amp;"' AS TABELA_SIMUL,'"&amp;F346&amp;"' AS CAMPO, "&amp;"'${ref_date}' AS REF_DATE, COUNT(*) AS NUM_REG, SUM(IF(COALESCE(CAST(X."&amp;F346&amp;" AS STRING),'')&lt;&gt;COALESCE(CAST(Y."&amp;F346&amp;"_SIMUL AS STRING),'') OR (X."&amp;F346&amp;" IS NULL AND Y."&amp;F346&amp;"_SIMUL IS NOT NULL ) OR (X."&amp;F346&amp;" IS NOT NULL AND Y."&amp;F346&amp;"_SIMUL IS NULL),1,0)) AS NUM_REG_DIF,'"&amp;MAX('ID1&amp;5'!L:L)+1&amp;"' AS ID_EXEC, CURRENT_TIMESTAMP() AS TIME_EXEC FROM "&amp;I346&amp;" INNER JOIN "&amp;J346&amp;" "&amp;K346),
IF(C346="Validade",+IF(G346="Code List","SELECT '"&amp;UPPER(B346)&amp;"' AS TABELA, '"&amp;UPPER(C346)&amp;"' AS TIPOLOGIA_TESTE,'"&amp;D346&amp;"' AS TABELA_LT,'N/A' AS TABELA_SIMUL,'"&amp;F346&amp;"' AS CAMPO, "&amp;"'${ref_date}' AS REF_DATE, COUNT(*) AS NUM_REG, SUM(IF(TRIM(CAST(X."&amp;F346&amp;" AS STRING))='' OR TRIM(CAST(X."&amp;F346&amp;" AS STRING)) IS NULL OR CAST(X."&amp;F346&amp;" AS STRING) NOT "&amp;H346&amp;",1,0)) AS NUM_REG_DIF,'"&amp;MAX('ID1&amp;5'!K:K)+1&amp;"' AS ID_EXEC, CURRENT_TIMESTAMP() AS TIME_EXEC FROM "&amp;I346,"SELECT '"&amp;UPPER(B346)&amp;"' AS TABELA, '"&amp;UPPER(C346)&amp;"' AS TIPOLOGIA_TESTE,'"&amp;D346&amp;"' AS TABELA_LT,'N/A' AS TABELA_SIMUL,'"&amp;F346&amp;"' AS CAMPO, "&amp;"'${ref_date}' AS REF_DATE, COUNT(*) AS NUM_REG, SUM(IF(TRIM(CAST(X."&amp;F346&amp;" AS STRING))='' OR TRIM(CAST(X."&amp;F346&amp;" AS STRING)) IS NULL,1,0)) AS NUM_REG_DIF,'"&amp;MAX('ID1&amp;5'!K:K)+1&amp;"' AS ID_EXEC, CURRENT_TIMESTAMP() AS TIME_EXEC FROM "&amp;I346),
IF(C346="Caracteres Especiais",+"SELECT '"&amp;UPPER(B346)&amp;"' AS TABELA, '"&amp;UPPER(C346)&amp;"' AS TIPOLOGIA_TESTE,'"&amp;D346&amp;"' AS TABELA_LT,'N/A' AS TABELA_SIMUL,'"&amp;F346&amp;"' AS CAMPO, "&amp;"'${ref_date}' AS REF_DATE, COUNT(*) AS NUM_REG, SUM(IF(REGEXP_REPLACE(TRIM(CAST(X."&amp;F346&amp;" AS STRING)),'[^a-zA-Z0-9_\\s]','') &lt;&gt;TRIM(CAST(X."&amp;F346&amp;" AS STRING)),1,0)) AS NUM_REG_DIF,'"&amp;MAX('ID1&amp;5'!K:K)+1&amp;"' AS ID_EXEC, CURRENT_TIMESTAMP() AS TIME_EXEC FROM "&amp;I346,
IF(C346="Missings",+"SELECT '"&amp;UPPER(B346)&amp;"' AS TABELA, '"&amp;UPPER(C346)&amp;"' AS TIPOLOGIA_TESTE,'"&amp;D346&amp;"' AS TABELA_LT,'N/A' AS TABELA_SIMUL,'"&amp;F346&amp;"' AS CAMPO, "&amp;"'${ref_date}' AS REF_DATE, COUNT(*) AS NUM_REG, SUM(IF(TRIM(CAST(X."&amp;F346&amp;" AS STRING)) IN ('0000-00-00','0001-01-01','9999-12-31','MISS','00000','99999999999','99999999999.00','99999999999.000000'),1,0)) AS NUM_REG_DIF,'"&amp;MAX('ID1&amp;5'!K:K)+1&amp;"' AS ID_EXEC, CURRENT_TIMESTAMP() AS TIME_EXEC FROM "&amp;I346,
IF(C346="Not applicable",+"SELECT '"&amp;UPPER(B346)&amp;"' AS TABELA, '"&amp;UPPER(C346)&amp;"' AS TIPOLOGIA_TESTE,'"&amp;D346&amp;"' AS TABELA_LT,'N/A' AS TABELA_SIMUL,'"&amp;F346&amp;"' AS CAMPO, "&amp;"'${ref_date}' AS REF_DATE, COUNT(*) AS NUM_REG, SUM(IF(TRIM(CAST(X."&amp;F346&amp;" AS STRING)) IN ('N/A','11111111111','11111111111.00','11111111111.000000','1111-11-11'),1,0)) AS NUM_REG_DIF,'"&amp;MAX('ID1&amp;5'!K:K)+1&amp;"' AS ID_EXEC, CURRENT_TIMESTAMP() AS TIME_EXEC FROM "&amp;I346,
IF(C346="Valores extremos",+"SELECT '"&amp;UPPER(B346)&amp;"' AS TABELA, '"&amp;UPPER(C346)&amp;"' AS TIPOLOGIA_TESTE,'"&amp;D346&amp;"' AS TABELA_LT,'N/A' AS TABELA_SIMUL,'"&amp;F346&amp;"' AS CAMPO, "&amp;"'${ref_date}' AS REF_DATE, CAST(MIN("&amp;F346&amp;") AS STRING) AS VALOR_MIN, CAST(MAX("&amp;F346&amp;") AS STRING) AS VALOR_MAX,'"&amp;MAX('ID1&amp;5'!K:K)+1&amp;"' AS ID_EXEC, CURRENT_TIMESTAMP() AS TIME_EXEC FROM "&amp;MID(I346,1,LEN(I346)-2)&amp;" AND CAST("&amp;F346&amp;"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TABELA_SIMUL,'TYP_PRTCTN_INTRNL' AS CAMPO, '${ref_date}' AS REF_DATE, COUNT(*) AS NUM_REG, SUM(IF(COALESCE(CAST(X.TYP_PRTCTN_INTRNL AS STRING),'')&lt;&gt;COALESCE(CAST(Y.TYP_PRTCTN_INTRNL_SIMUL AS STRING),'') OR (X.TYP_PRTCTN_INTRNL IS NULL AND Y.TYP_PRTCTN_INTRNL_SIMUL IS NOT NULL ) OR (X.TYP_PRTCTN_INTRNL IS NOT NULL AND Y.TYP_PRTCTN_INTRNL_SIMUL IS NULL),1,0)) AS NUM_REG_DIF,'1' AS ID_EXEC, CURRENT_TIMESTAMP() AS TIME_EXEC FROM (SELECT prtctn_id, TYP_PRTCTN_INTRNL FROM CD_LOAN_TAPES_BCE.LT004_PROTECTION WHERE ref_date='${ref_date}' AND nome_perimetro='Individual Corporativo' AND segmento='ESTR' AND ambito='PM' AND entidade='00100')X INNER JOIN (SELECT prtctn_id AS prtctn_id_SIMUL, TYP_PRTCTN_INTRNL AS TYP_PRTCTN_INTRNL_SIMUL FROM BU_LOANTAPE_WORK.LT004_PROTECTION WHERE ref_date='${ref_date}' AND nome_perimetro='Individual Corporativo' AND segmento='ESTR' AND ambito='PM' AND entidade='00100')Y ON X.PRTCTN_ID=Y.PRTCTN_ID_SIMUL</v>
      </c>
      <c r="M346" s="36" t="str">
        <f t="shared" si="6"/>
        <v>UNION ALL SELECT 'PROTECTION' AS TABELA, 'COERÊNCIA' AS TIPOLOGIA_TESTE,'CD_LOAN_TAPES_BCE.LT004_PROTECTION' AS TABELA_LT,'BU_LOANTAPE_WORK.LT004_PROTECTION' AS TABELA_SIMUL,'TYP_PRTCTN_INTRNL' AS CAMPO, '${ref_date}' AS REF_DATE, COUNT(*) AS NUM_REG, SUM(IF(COALESCE(CAST(X.TYP_PRTCTN_INTRNL AS STRING),'')&lt;&gt;COALESCE(CAST(Y.TYP_PRTCTN_INTRNL_SIMUL AS STRING),'') OR (X.TYP_PRTCTN_INTRNL IS NULL AND Y.TYP_PRTCTN_INTRNL_SIMUL IS NOT NULL ) OR (X.TYP_PRTCTN_INTRNL IS NOT NULL AND Y.TYP_PRTCTN_INTRNL_SIMUL IS NULL),1,0)) AS NUM_REG_DIF,'1' AS ID_EXEC, CURRENT_TIMESTAMP() AS TIME_EXEC FROM (SELECT prtctn_id, TYP_PRTCTN_INTRNL FROM CD_LOAN_TAPES_BCE.LT004_PROTECTION WHERE ref_date='${ref_date}' AND nome_perimetro='Individual Corporativo' AND segmento='ESTR' AND ambito='PM' AND entidade='00100')X INNER JOIN (SELECT prtctn_id AS prtctn_id_SIMUL, TYP_PRTCTN_INTRNL AS TYP_PRTCTN_INTRNL_SIMUL FROM BU_LOANTAPE_WORK.LT004_PROTECTION WHERE ref_date='${ref_date}' AND nome_perimetro='Individual Corporativo' AND segmento='ESTR' AND ambito='PM' AND entidade='00100')Y ON X.PRTCTN_ID=Y.PRTCTN_ID_SIMUL</v>
      </c>
      <c r="N346" s="38" t="s">
        <v>46</v>
      </c>
    </row>
    <row r="347" spans="2:14" hidden="1">
      <c r="B347" s="34" t="s">
        <v>128</v>
      </c>
      <c r="C347" s="34" t="s">
        <v>5</v>
      </c>
      <c r="D347" s="34" t="str">
        <f>+UPPER('0. Instruções'!$D$35&amp;"."&amp;VLOOKUP(B347,'0. Instruções'!$C$27:$D$32,2,FALSE))</f>
        <v>CD_LOAN_TAPES_BCE.LT004_PROTECTION</v>
      </c>
      <c r="E347" s="34" t="str">
        <f>+UPPER('0. Instruções'!$D$36&amp;"."&amp;VLOOKUP(B347,'0. Instruções'!$C$27:$E$32,3,FALSE))</f>
        <v>BU_LOANTAPE_WORK.LT004_PROTECTION</v>
      </c>
      <c r="F347" s="34" t="s">
        <v>617</v>
      </c>
      <c r="G347" s="34"/>
      <c r="H347" s="34" t="s">
        <v>89</v>
      </c>
      <c r="I347" s="34" t="str">
        <f>"(SELECT "&amp;VLOOKUP(B347,'0. Instruções'!$C$27:$G$32,4,FALSE)&amp;", "&amp;F347&amp;" FROM "&amp;D347&amp;" WHERE "&amp;'0. Instruções'!$D$42&amp;")X"</f>
        <v>(SELECT prtctn_id, TYP_PRTCTN_VL FROM CD_LOAN_TAPES_BCE.LT004_PROTECTION WHERE ref_date='${ref_date}' AND nome_perimetro='Individual Corporativo' AND segmento='ESTR' AND ambito='PM' AND entidade='00100')X</v>
      </c>
      <c r="J347" s="34" t="str">
        <f>"(SELECT "&amp;VLOOKUP(B347,'0. Instruções'!$C$27:$G$32,4,FALSE)&amp;" AS "&amp;VLOOKUP(B347,'0. Instruções'!$C$27:$G$32,4,FALSE)&amp;"_SIMUL, "&amp;F347&amp;" AS "&amp;F347&amp;"_SIMUL FROM "&amp;E347&amp;" WHERE "&amp;'0. Instruções'!$D$43&amp;")Y"</f>
        <v>(SELECT prtctn_id AS prtctn_id_SIMUL, TYP_PRTCTN_VL AS TYP_PRTCTN_VL_SIMUL FROM BU_LOANTAPE_WORK.LT004_PROTECTION WHERE ref_date='${ref_date}' AND nome_perimetro='Individual Corporativo' AND segmento='ESTR' AND ambito='PM' AND entidade='00100')Y</v>
      </c>
      <c r="K347" s="35" t="str">
        <f>+UPPER("ON X."&amp;VLOOKUP(B347,'0. Instruções'!$C$27:$G$32,4,FALSE)&amp;"=Y."&amp;VLOOKUP(B347,'0. Instruções'!$C$27:$G$32,4,FALSE)&amp;"_SIMUL")</f>
        <v>ON X.PRTCTN_ID=Y.PRTCTN_ID_SIMUL</v>
      </c>
      <c r="L347" s="35" t="str">
        <f>+IF(C347="Coerência", +IF(LEFT(G347,5)="FLOAT","SELECT '"&amp;UPPER(B347)&amp;"' AS TABELA, '"&amp;UPPER(C347)&amp;"' AS TIPOLOGIA_TESTE,'"&amp;D347&amp;"' AS TABELA_LT,'"&amp;E347&amp;"' AS TABELA_SIMUL,'"&amp;F347&amp;"' AS CAMPO, "&amp;"'${ref_date}' AS REF_DATE, COUNT(*) AS NUM_REG, SUM(IF((ABS(COALESCE(CAST(X."&amp;F347&amp;" AS DECIMAL(18,6)),0)-COALESCE(CAST(Y."&amp;F347&amp;"_SIMUL AS DECIMAL(18,6)),0))&gt;0.000001) OR (X."&amp;F347&amp;" IS NULL AND Y."&amp;F347&amp;"_SIMUL IS NOT NULL ) OR (X."&amp;F347&amp;" IS NOT NULL AND Y."&amp;F347&amp;"_SIMUL IS NULL),1,0)) AS NUM_REG_DIF,'"&amp;MAX('ID1&amp;5'!K:K)+1&amp;"' AS ID_EXEC, CURRENT_TIMESTAMP() AS TIME_EXEC FROM "&amp;I347&amp;" INNER JOIN "&amp;J347&amp;" "&amp;K347,"SELECT '"&amp;UPPER(B347)&amp;"' AS TABELA, '"&amp;UPPER(C347)&amp;"' AS TIPOLOGIA_TESTE,'"&amp;D347&amp;"' AS TABELA_LT,'"&amp;E347&amp;"' AS TABELA_SIMUL,'"&amp;F347&amp;"' AS CAMPO, "&amp;"'${ref_date}' AS REF_DATE, COUNT(*) AS NUM_REG, SUM(IF(COALESCE(CAST(X."&amp;F347&amp;" AS STRING),'')&lt;&gt;COALESCE(CAST(Y."&amp;F347&amp;"_SIMUL AS STRING),'') OR (X."&amp;F347&amp;" IS NULL AND Y."&amp;F347&amp;"_SIMUL IS NOT NULL ) OR (X."&amp;F347&amp;" IS NOT NULL AND Y."&amp;F347&amp;"_SIMUL IS NULL),1,0)) AS NUM_REG_DIF,'"&amp;MAX('ID1&amp;5'!L:L)+1&amp;"' AS ID_EXEC, CURRENT_TIMESTAMP() AS TIME_EXEC FROM "&amp;I347&amp;" INNER JOIN "&amp;J347&amp;" "&amp;K347),
IF(C347="Validade",+IF(G347="Code List","SELECT '"&amp;UPPER(B347)&amp;"' AS TABELA, '"&amp;UPPER(C347)&amp;"' AS TIPOLOGIA_TESTE,'"&amp;D347&amp;"' AS TABELA_LT,'N/A' AS TABELA_SIMUL,'"&amp;F347&amp;"' AS CAMPO, "&amp;"'${ref_date}' AS REF_DATE, COUNT(*) AS NUM_REG, SUM(IF(TRIM(CAST(X."&amp;F347&amp;" AS STRING))='' OR TRIM(CAST(X."&amp;F347&amp;" AS STRING)) IS NULL OR CAST(X."&amp;F347&amp;" AS STRING) NOT "&amp;H347&amp;",1,0)) AS NUM_REG_DIF,'"&amp;MAX('ID1&amp;5'!K:K)+1&amp;"' AS ID_EXEC, CURRENT_TIMESTAMP() AS TIME_EXEC FROM "&amp;I347,"SELECT '"&amp;UPPER(B347)&amp;"' AS TABELA, '"&amp;UPPER(C347)&amp;"' AS TIPOLOGIA_TESTE,'"&amp;D347&amp;"' AS TABELA_LT,'N/A' AS TABELA_SIMUL,'"&amp;F347&amp;"' AS CAMPO, "&amp;"'${ref_date}' AS REF_DATE, COUNT(*) AS NUM_REG, SUM(IF(TRIM(CAST(X."&amp;F347&amp;" AS STRING))='' OR TRIM(CAST(X."&amp;F347&amp;" AS STRING)) IS NULL,1,0)) AS NUM_REG_DIF,'"&amp;MAX('ID1&amp;5'!K:K)+1&amp;"' AS ID_EXEC, CURRENT_TIMESTAMP() AS TIME_EXEC FROM "&amp;I347),
IF(C347="Caracteres Especiais",+"SELECT '"&amp;UPPER(B347)&amp;"' AS TABELA, '"&amp;UPPER(C347)&amp;"' AS TIPOLOGIA_TESTE,'"&amp;D347&amp;"' AS TABELA_LT,'N/A' AS TABELA_SIMUL,'"&amp;F347&amp;"' AS CAMPO, "&amp;"'${ref_date}' AS REF_DATE, COUNT(*) AS NUM_REG, SUM(IF(REGEXP_REPLACE(TRIM(CAST(X."&amp;F347&amp;" AS STRING)),'[^a-zA-Z0-9_\\s]','') &lt;&gt;TRIM(CAST(X."&amp;F347&amp;" AS STRING)),1,0)) AS NUM_REG_DIF,'"&amp;MAX('ID1&amp;5'!K:K)+1&amp;"' AS ID_EXEC, CURRENT_TIMESTAMP() AS TIME_EXEC FROM "&amp;I347,
IF(C347="Missings",+"SELECT '"&amp;UPPER(B347)&amp;"' AS TABELA, '"&amp;UPPER(C347)&amp;"' AS TIPOLOGIA_TESTE,'"&amp;D347&amp;"' AS TABELA_LT,'N/A' AS TABELA_SIMUL,'"&amp;F347&amp;"' AS CAMPO, "&amp;"'${ref_date}' AS REF_DATE, COUNT(*) AS NUM_REG, SUM(IF(TRIM(CAST(X."&amp;F347&amp;" AS STRING)) IN ('0000-00-00','0001-01-01','9999-12-31','MISS','00000','99999999999','99999999999.00','99999999999.000000'),1,0)) AS NUM_REG_DIF,'"&amp;MAX('ID1&amp;5'!K:K)+1&amp;"' AS ID_EXEC, CURRENT_TIMESTAMP() AS TIME_EXEC FROM "&amp;I347,
IF(C347="Not applicable",+"SELECT '"&amp;UPPER(B347)&amp;"' AS TABELA, '"&amp;UPPER(C347)&amp;"' AS TIPOLOGIA_TESTE,'"&amp;D347&amp;"' AS TABELA_LT,'N/A' AS TABELA_SIMUL,'"&amp;F347&amp;"' AS CAMPO, "&amp;"'${ref_date}' AS REF_DATE, COUNT(*) AS NUM_REG, SUM(IF(TRIM(CAST(X."&amp;F347&amp;" AS STRING)) IN ('N/A','11111111111','11111111111.00','11111111111.000000','1111-11-11'),1,0)) AS NUM_REG_DIF,'"&amp;MAX('ID1&amp;5'!K:K)+1&amp;"' AS ID_EXEC, CURRENT_TIMESTAMP() AS TIME_EXEC FROM "&amp;I347,
IF(C347="Valores extremos",+"SELECT '"&amp;UPPER(B347)&amp;"' AS TABELA, '"&amp;UPPER(C347)&amp;"' AS TIPOLOGIA_TESTE,'"&amp;D347&amp;"' AS TABELA_LT,'N/A' AS TABELA_SIMUL,'"&amp;F347&amp;"' AS CAMPO, "&amp;"'${ref_date}' AS REF_DATE, CAST(MIN("&amp;F347&amp;") AS STRING) AS VALOR_MIN, CAST(MAX("&amp;F347&amp;") AS STRING) AS VALOR_MAX,'"&amp;MAX('ID1&amp;5'!K:K)+1&amp;"' AS ID_EXEC, CURRENT_TIMESTAMP() AS TIME_EXEC FROM "&amp;MID(I347,1,LEN(I347)-2)&amp;" AND CAST("&amp;F347&amp;"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TABELA_SIMUL,'TYP_PRTCTN_VL' AS CAMPO, '${ref_date}' AS REF_DATE, COUNT(*) AS NUM_REG, SUM(IF(COALESCE(CAST(X.TYP_PRTCTN_VL AS STRING),'')&lt;&gt;COALESCE(CAST(Y.TYP_PRTCTN_VL_SIMUL AS STRING),'') OR (X.TYP_PRTCTN_VL IS NULL AND Y.TYP_PRTCTN_VL_SIMUL IS NOT NULL ) OR (X.TYP_PRTCTN_VL IS NOT NULL AND Y.TYP_PRTCTN_VL_SIMUL IS NULL),1,0)) AS NUM_REG_DIF,'1' AS ID_EXEC, CURRENT_TIMESTAMP() AS TIME_EXEC FROM (SELECT prtctn_id, TYP_PRTCTN_VL FROM CD_LOAN_TAPES_BCE.LT004_PROTECTION WHERE ref_date='${ref_date}' AND nome_perimetro='Individual Corporativo' AND segmento='ESTR' AND ambito='PM' AND entidade='00100')X INNER JOIN (SELECT prtctn_id AS prtctn_id_SIMUL, TYP_PRTCTN_VL AS TYP_PRTCTN_VL_SIMUL FROM BU_LOANTAPE_WORK.LT004_PROTECTION WHERE ref_date='${ref_date}' AND nome_perimetro='Individual Corporativo' AND segmento='ESTR' AND ambito='PM' AND entidade='00100')Y ON X.PRTCTN_ID=Y.PRTCTN_ID_SIMUL</v>
      </c>
      <c r="M347" s="36" t="str">
        <f t="shared" si="6"/>
        <v>UNION ALL SELECT 'PROTECTION' AS TABELA, 'COERÊNCIA' AS TIPOLOGIA_TESTE,'CD_LOAN_TAPES_BCE.LT004_PROTECTION' AS TABELA_LT,'BU_LOANTAPE_WORK.LT004_PROTECTION' AS TABELA_SIMUL,'TYP_PRTCTN_VL' AS CAMPO, '${ref_date}' AS REF_DATE, COUNT(*) AS NUM_REG, SUM(IF(COALESCE(CAST(X.TYP_PRTCTN_VL AS STRING),'')&lt;&gt;COALESCE(CAST(Y.TYP_PRTCTN_VL_SIMUL AS STRING),'') OR (X.TYP_PRTCTN_VL IS NULL AND Y.TYP_PRTCTN_VL_SIMUL IS NOT NULL ) OR (X.TYP_PRTCTN_VL IS NOT NULL AND Y.TYP_PRTCTN_VL_SIMUL IS NULL),1,0)) AS NUM_REG_DIF,'1' AS ID_EXEC, CURRENT_TIMESTAMP() AS TIME_EXEC FROM (SELECT prtctn_id, TYP_PRTCTN_VL FROM CD_LOAN_TAPES_BCE.LT004_PROTECTION WHERE ref_date='${ref_date}' AND nome_perimetro='Individual Corporativo' AND segmento='ESTR' AND ambito='PM' AND entidade='00100')X INNER JOIN (SELECT prtctn_id AS prtctn_id_SIMUL, TYP_PRTCTN_VL AS TYP_PRTCTN_VL_SIMUL FROM BU_LOANTAPE_WORK.LT004_PROTECTION WHERE ref_date='${ref_date}' AND nome_perimetro='Individual Corporativo' AND segmento='ESTR' AND ambito='PM' AND entidade='00100')Y ON X.PRTCTN_ID=Y.PRTCTN_ID_SIMUL</v>
      </c>
      <c r="N347" s="38" t="s">
        <v>46</v>
      </c>
    </row>
    <row r="348" spans="2:14" hidden="1">
      <c r="B348" s="34" t="s">
        <v>128</v>
      </c>
      <c r="C348" s="34" t="s">
        <v>5</v>
      </c>
      <c r="D348" s="34" t="str">
        <f>+UPPER('0. Instruções'!$D$35&amp;"."&amp;VLOOKUP(B348,'0. Instruções'!$C$27:$D$32,2,FALSE))</f>
        <v>CD_LOAN_TAPES_BCE.LT004_PROTECTION</v>
      </c>
      <c r="E348" s="34" t="str">
        <f>+UPPER('0. Instruções'!$D$36&amp;"."&amp;VLOOKUP(B348,'0. Instruções'!$C$27:$E$32,3,FALSE))</f>
        <v>BU_LOANTAPE_WORK.LT004_PROTECTION</v>
      </c>
      <c r="F348" s="34" t="s">
        <v>618</v>
      </c>
      <c r="G348" s="34"/>
      <c r="H348" s="34" t="s">
        <v>89</v>
      </c>
      <c r="I348" s="34" t="str">
        <f>"(SELECT "&amp;VLOOKUP(B348,'0. Instruções'!$C$27:$G$32,4,FALSE)&amp;", "&amp;F348&amp;" FROM "&amp;D348&amp;" WHERE "&amp;'0. Instruções'!$D$42&amp;")X"</f>
        <v>(SELECT prtctn_id, APPRSL_CRRNCY FROM CD_LOAN_TAPES_BCE.LT004_PROTECTION WHERE ref_date='${ref_date}' AND nome_perimetro='Individual Corporativo' AND segmento='ESTR' AND ambito='PM' AND entidade='00100')X</v>
      </c>
      <c r="J348" s="34" t="str">
        <f>"(SELECT "&amp;VLOOKUP(B348,'0. Instruções'!$C$27:$G$32,4,FALSE)&amp;" AS "&amp;VLOOKUP(B348,'0. Instruções'!$C$27:$G$32,4,FALSE)&amp;"_SIMUL, "&amp;F348&amp;" AS "&amp;F348&amp;"_SIMUL FROM "&amp;E348&amp;" WHERE "&amp;'0. Instruções'!$D$43&amp;")Y"</f>
        <v>(SELECT prtctn_id AS prtctn_id_SIMUL, APPRSL_CRRNCY AS APPRSL_CRRNCY_SIMUL FROM BU_LOANTAPE_WORK.LT004_PROTECTION WHERE ref_date='${ref_date}' AND nome_perimetro='Individual Corporativo' AND segmento='ESTR' AND ambito='PM' AND entidade='00100')Y</v>
      </c>
      <c r="K348" s="35" t="str">
        <f>+UPPER("ON X."&amp;VLOOKUP(B348,'0. Instruções'!$C$27:$G$32,4,FALSE)&amp;"=Y."&amp;VLOOKUP(B348,'0. Instruções'!$C$27:$G$32,4,FALSE)&amp;"_SIMUL")</f>
        <v>ON X.PRTCTN_ID=Y.PRTCTN_ID_SIMUL</v>
      </c>
      <c r="L348" s="35" t="str">
        <f>+IF(C348="Coerência", +IF(LEFT(G348,5)="FLOAT","SELECT '"&amp;UPPER(B348)&amp;"' AS TABELA, '"&amp;UPPER(C348)&amp;"' AS TIPOLOGIA_TESTE,'"&amp;D348&amp;"' AS TABELA_LT,'"&amp;E348&amp;"' AS TABELA_SIMUL,'"&amp;F348&amp;"' AS CAMPO, "&amp;"'${ref_date}' AS REF_DATE, COUNT(*) AS NUM_REG, SUM(IF((ABS(COALESCE(CAST(X."&amp;F348&amp;" AS DECIMAL(18,6)),0)-COALESCE(CAST(Y."&amp;F348&amp;"_SIMUL AS DECIMAL(18,6)),0))&gt;0.000001) OR (X."&amp;F348&amp;" IS NULL AND Y."&amp;F348&amp;"_SIMUL IS NOT NULL ) OR (X."&amp;F348&amp;" IS NOT NULL AND Y."&amp;F348&amp;"_SIMUL IS NULL),1,0)) AS NUM_REG_DIF,'"&amp;MAX('ID1&amp;5'!K:K)+1&amp;"' AS ID_EXEC, CURRENT_TIMESTAMP() AS TIME_EXEC FROM "&amp;I348&amp;" INNER JOIN "&amp;J348&amp;" "&amp;K348,"SELECT '"&amp;UPPER(B348)&amp;"' AS TABELA, '"&amp;UPPER(C348)&amp;"' AS TIPOLOGIA_TESTE,'"&amp;D348&amp;"' AS TABELA_LT,'"&amp;E348&amp;"' AS TABELA_SIMUL,'"&amp;F348&amp;"' AS CAMPO, "&amp;"'${ref_date}' AS REF_DATE, COUNT(*) AS NUM_REG, SUM(IF(COALESCE(CAST(X."&amp;F348&amp;" AS STRING),'')&lt;&gt;COALESCE(CAST(Y."&amp;F348&amp;"_SIMUL AS STRING),'') OR (X."&amp;F348&amp;" IS NULL AND Y."&amp;F348&amp;"_SIMUL IS NOT NULL ) OR (X."&amp;F348&amp;" IS NOT NULL AND Y."&amp;F348&amp;"_SIMUL IS NULL),1,0)) AS NUM_REG_DIF,'"&amp;MAX('ID1&amp;5'!L:L)+1&amp;"' AS ID_EXEC, CURRENT_TIMESTAMP() AS TIME_EXEC FROM "&amp;I348&amp;" INNER JOIN "&amp;J348&amp;" "&amp;K348),
IF(C348="Validade",+IF(G348="Code List","SELECT '"&amp;UPPER(B348)&amp;"' AS TABELA, '"&amp;UPPER(C348)&amp;"' AS TIPOLOGIA_TESTE,'"&amp;D348&amp;"' AS TABELA_LT,'N/A' AS TABELA_SIMUL,'"&amp;F348&amp;"' AS CAMPO, "&amp;"'${ref_date}' AS REF_DATE, COUNT(*) AS NUM_REG, SUM(IF(TRIM(CAST(X."&amp;F348&amp;" AS STRING))='' OR TRIM(CAST(X."&amp;F348&amp;" AS STRING)) IS NULL OR CAST(X."&amp;F348&amp;" AS STRING) NOT "&amp;H348&amp;",1,0)) AS NUM_REG_DIF,'"&amp;MAX('ID1&amp;5'!K:K)+1&amp;"' AS ID_EXEC, CURRENT_TIMESTAMP() AS TIME_EXEC FROM "&amp;I348,"SELECT '"&amp;UPPER(B348)&amp;"' AS TABELA, '"&amp;UPPER(C348)&amp;"' AS TIPOLOGIA_TESTE,'"&amp;D348&amp;"' AS TABELA_LT,'N/A' AS TABELA_SIMUL,'"&amp;F348&amp;"' AS CAMPO, "&amp;"'${ref_date}' AS REF_DATE, COUNT(*) AS NUM_REG, SUM(IF(TRIM(CAST(X."&amp;F348&amp;" AS STRING))='' OR TRIM(CAST(X."&amp;F348&amp;" AS STRING)) IS NULL,1,0)) AS NUM_REG_DIF,'"&amp;MAX('ID1&amp;5'!K:K)+1&amp;"' AS ID_EXEC, CURRENT_TIMESTAMP() AS TIME_EXEC FROM "&amp;I348),
IF(C348="Caracteres Especiais",+"SELECT '"&amp;UPPER(B348)&amp;"' AS TABELA, '"&amp;UPPER(C348)&amp;"' AS TIPOLOGIA_TESTE,'"&amp;D348&amp;"' AS TABELA_LT,'N/A' AS TABELA_SIMUL,'"&amp;F348&amp;"' AS CAMPO, "&amp;"'${ref_date}' AS REF_DATE, COUNT(*) AS NUM_REG, SUM(IF(REGEXP_REPLACE(TRIM(CAST(X."&amp;F348&amp;" AS STRING)),'[^a-zA-Z0-9_\\s]','') &lt;&gt;TRIM(CAST(X."&amp;F348&amp;" AS STRING)),1,0)) AS NUM_REG_DIF,'"&amp;MAX('ID1&amp;5'!K:K)+1&amp;"' AS ID_EXEC, CURRENT_TIMESTAMP() AS TIME_EXEC FROM "&amp;I348,
IF(C348="Missings",+"SELECT '"&amp;UPPER(B348)&amp;"' AS TABELA, '"&amp;UPPER(C348)&amp;"' AS TIPOLOGIA_TESTE,'"&amp;D348&amp;"' AS TABELA_LT,'N/A' AS TABELA_SIMUL,'"&amp;F348&amp;"' AS CAMPO, "&amp;"'${ref_date}' AS REF_DATE, COUNT(*) AS NUM_REG, SUM(IF(TRIM(CAST(X."&amp;F348&amp;" AS STRING)) IN ('0000-00-00','0001-01-01','9999-12-31','MISS','00000','99999999999','99999999999.00','99999999999.000000'),1,0)) AS NUM_REG_DIF,'"&amp;MAX('ID1&amp;5'!K:K)+1&amp;"' AS ID_EXEC, CURRENT_TIMESTAMP() AS TIME_EXEC FROM "&amp;I348,
IF(C348="Not applicable",+"SELECT '"&amp;UPPER(B348)&amp;"' AS TABELA, '"&amp;UPPER(C348)&amp;"' AS TIPOLOGIA_TESTE,'"&amp;D348&amp;"' AS TABELA_LT,'N/A' AS TABELA_SIMUL,'"&amp;F348&amp;"' AS CAMPO, "&amp;"'${ref_date}' AS REF_DATE, COUNT(*) AS NUM_REG, SUM(IF(TRIM(CAST(X."&amp;F348&amp;" AS STRING)) IN ('N/A','11111111111','11111111111.00','11111111111.000000','1111-11-11'),1,0)) AS NUM_REG_DIF,'"&amp;MAX('ID1&amp;5'!K:K)+1&amp;"' AS ID_EXEC, CURRENT_TIMESTAMP() AS TIME_EXEC FROM "&amp;I348,
IF(C348="Valores extremos",+"SELECT '"&amp;UPPER(B348)&amp;"' AS TABELA, '"&amp;UPPER(C348)&amp;"' AS TIPOLOGIA_TESTE,'"&amp;D348&amp;"' AS TABELA_LT,'N/A' AS TABELA_SIMUL,'"&amp;F348&amp;"' AS CAMPO, "&amp;"'${ref_date}' AS REF_DATE, CAST(MIN("&amp;F348&amp;") AS STRING) AS VALOR_MIN, CAST(MAX("&amp;F348&amp;") AS STRING) AS VALOR_MAX,'"&amp;MAX('ID1&amp;5'!K:K)+1&amp;"' AS ID_EXEC, CURRENT_TIMESTAMP() AS TIME_EXEC FROM "&amp;MID(I348,1,LEN(I348)-2)&amp;" AND CAST("&amp;F348&amp;"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TABELA_SIMUL,'APPRSL_CRRNCY' AS CAMPO, '${ref_date}' AS REF_DATE, COUNT(*) AS NUM_REG, SUM(IF(COALESCE(CAST(X.APPRSL_CRRNCY AS STRING),'')&lt;&gt;COALESCE(CAST(Y.APPRSL_CRRNCY_SIMUL AS STRING),'') OR (X.APPRSL_CRRNCY IS NULL AND Y.APPRSL_CRRNCY_SIMUL IS NOT NULL ) OR (X.APPRSL_CRRNCY IS NOT NULL AND Y.APPRSL_CRRNCY_SIMUL IS NULL),1,0)) AS NUM_REG_DIF,'1' AS ID_EXEC, CURRENT_TIMESTAMP() AS TIME_EXEC FROM (SELECT prtctn_id, APPRSL_CRRNCY FROM CD_LOAN_TAPES_BCE.LT004_PROTECTION WHERE ref_date='${ref_date}' AND nome_perimetro='Individual Corporativo' AND segmento='ESTR' AND ambito='PM' AND entidade='00100')X INNER JOIN (SELECT prtctn_id AS prtctn_id_SIMUL, APPRSL_CRRNCY AS APPRSL_CRRNCY_SIMUL FROM BU_LOANTAPE_WORK.LT004_PROTECTION WHERE ref_date='${ref_date}' AND nome_perimetro='Individual Corporativo' AND segmento='ESTR' AND ambito='PM' AND entidade='00100')Y ON X.PRTCTN_ID=Y.PRTCTN_ID_SIMUL</v>
      </c>
      <c r="M348" s="36" t="str">
        <f t="shared" si="6"/>
        <v>UNION ALL SELECT 'PROTECTION' AS TABELA, 'COERÊNCIA' AS TIPOLOGIA_TESTE,'CD_LOAN_TAPES_BCE.LT004_PROTECTION' AS TABELA_LT,'BU_LOANTAPE_WORK.LT004_PROTECTION' AS TABELA_SIMUL,'APPRSL_CRRNCY' AS CAMPO, '${ref_date}' AS REF_DATE, COUNT(*) AS NUM_REG, SUM(IF(COALESCE(CAST(X.APPRSL_CRRNCY AS STRING),'')&lt;&gt;COALESCE(CAST(Y.APPRSL_CRRNCY_SIMUL AS STRING),'') OR (X.APPRSL_CRRNCY IS NULL AND Y.APPRSL_CRRNCY_SIMUL IS NOT NULL ) OR (X.APPRSL_CRRNCY IS NOT NULL AND Y.APPRSL_CRRNCY_SIMUL IS NULL),1,0)) AS NUM_REG_DIF,'1' AS ID_EXEC, CURRENT_TIMESTAMP() AS TIME_EXEC FROM (SELECT prtctn_id, APPRSL_CRRNCY FROM CD_LOAN_TAPES_BCE.LT004_PROTECTION WHERE ref_date='${ref_date}' AND nome_perimetro='Individual Corporativo' AND segmento='ESTR' AND ambito='PM' AND entidade='00100')X INNER JOIN (SELECT prtctn_id AS prtctn_id_SIMUL, APPRSL_CRRNCY AS APPRSL_CRRNCY_SIMUL FROM BU_LOANTAPE_WORK.LT004_PROTECTION WHERE ref_date='${ref_date}' AND nome_perimetro='Individual Corporativo' AND segmento='ESTR' AND ambito='PM' AND entidade='00100')Y ON X.PRTCTN_ID=Y.PRTCTN_ID_SIMUL</v>
      </c>
      <c r="N348" s="38" t="s">
        <v>46</v>
      </c>
    </row>
    <row r="349" spans="2:14" hidden="1">
      <c r="B349" s="34" t="s">
        <v>128</v>
      </c>
      <c r="C349" s="34" t="s">
        <v>5</v>
      </c>
      <c r="D349" s="34" t="str">
        <f>+UPPER('0. Instruções'!$D$35&amp;"."&amp;VLOOKUP(B349,'0. Instruções'!$C$27:$D$32,2,FALSE))</f>
        <v>CD_LOAN_TAPES_BCE.LT004_PROTECTION</v>
      </c>
      <c r="E349" s="34" t="str">
        <f>+UPPER('0. Instruções'!$D$36&amp;"."&amp;VLOOKUP(B349,'0. Instruções'!$C$27:$E$32,3,FALSE))</f>
        <v>BU_LOANTAPE_WORK.LT004_PROTECTION</v>
      </c>
      <c r="F349" s="34" t="s">
        <v>619</v>
      </c>
      <c r="G349" s="34"/>
      <c r="H349" s="34" t="s">
        <v>646</v>
      </c>
      <c r="I349" s="34" t="str">
        <f>"(SELECT "&amp;VLOOKUP(B349,'0. Instruções'!$C$27:$G$32,4,FALSE)&amp;", "&amp;F349&amp;" FROM "&amp;D349&amp;" WHERE "&amp;'0. Instruções'!$D$42&amp;")X"</f>
        <v>(SELECT prtctn_id, APPRSR FROM CD_LOAN_TAPES_BCE.LT004_PROTECTION WHERE ref_date='${ref_date}' AND nome_perimetro='Individual Corporativo' AND segmento='ESTR' AND ambito='PM' AND entidade='00100')X</v>
      </c>
      <c r="J349" s="34" t="str">
        <f>"(SELECT "&amp;VLOOKUP(B349,'0. Instruções'!$C$27:$G$32,4,FALSE)&amp;" AS "&amp;VLOOKUP(B349,'0. Instruções'!$C$27:$G$32,4,FALSE)&amp;"_SIMUL, "&amp;F349&amp;" AS "&amp;F349&amp;"_SIMUL FROM "&amp;E349&amp;" WHERE "&amp;'0. Instruções'!$D$43&amp;")Y"</f>
        <v>(SELECT prtctn_id AS prtctn_id_SIMUL, APPRSR AS APPRSR_SIMUL FROM BU_LOANTAPE_WORK.LT004_PROTECTION WHERE ref_date='${ref_date}' AND nome_perimetro='Individual Corporativo' AND segmento='ESTR' AND ambito='PM' AND entidade='00100')Y</v>
      </c>
      <c r="K349" s="35" t="str">
        <f>+UPPER("ON X."&amp;VLOOKUP(B349,'0. Instruções'!$C$27:$G$32,4,FALSE)&amp;"=Y."&amp;VLOOKUP(B349,'0. Instruções'!$C$27:$G$32,4,FALSE)&amp;"_SIMUL")</f>
        <v>ON X.PRTCTN_ID=Y.PRTCTN_ID_SIMUL</v>
      </c>
      <c r="L349" s="35" t="str">
        <f>+IF(C349="Coerência", +IF(LEFT(G349,5)="FLOAT","SELECT '"&amp;UPPER(B349)&amp;"' AS TABELA, '"&amp;UPPER(C349)&amp;"' AS TIPOLOGIA_TESTE,'"&amp;D349&amp;"' AS TABELA_LT,'"&amp;E349&amp;"' AS TABELA_SIMUL,'"&amp;F349&amp;"' AS CAMPO, "&amp;"'${ref_date}' AS REF_DATE, COUNT(*) AS NUM_REG, SUM(IF((ABS(COALESCE(CAST(X."&amp;F349&amp;" AS DECIMAL(18,6)),0)-COALESCE(CAST(Y."&amp;F349&amp;"_SIMUL AS DECIMAL(18,6)),0))&gt;0.000001) OR (X."&amp;F349&amp;" IS NULL AND Y."&amp;F349&amp;"_SIMUL IS NOT NULL ) OR (X."&amp;F349&amp;" IS NOT NULL AND Y."&amp;F349&amp;"_SIMUL IS NULL),1,0)) AS NUM_REG_DIF,'"&amp;MAX('ID1&amp;5'!K:K)+1&amp;"' AS ID_EXEC, CURRENT_TIMESTAMP() AS TIME_EXEC FROM "&amp;I349&amp;" INNER JOIN "&amp;J349&amp;" "&amp;K349,"SELECT '"&amp;UPPER(B349)&amp;"' AS TABELA, '"&amp;UPPER(C349)&amp;"' AS TIPOLOGIA_TESTE,'"&amp;D349&amp;"' AS TABELA_LT,'"&amp;E349&amp;"' AS TABELA_SIMUL,'"&amp;F349&amp;"' AS CAMPO, "&amp;"'${ref_date}' AS REF_DATE, COUNT(*) AS NUM_REG, SUM(IF(COALESCE(CAST(X."&amp;F349&amp;" AS STRING),'')&lt;&gt;COALESCE(CAST(Y."&amp;F349&amp;"_SIMUL AS STRING),'') OR (X."&amp;F349&amp;" IS NULL AND Y."&amp;F349&amp;"_SIMUL IS NOT NULL ) OR (X."&amp;F349&amp;" IS NOT NULL AND Y."&amp;F349&amp;"_SIMUL IS NULL),1,0)) AS NUM_REG_DIF,'"&amp;MAX('ID1&amp;5'!L:L)+1&amp;"' AS ID_EXEC, CURRENT_TIMESTAMP() AS TIME_EXEC FROM "&amp;I349&amp;" INNER JOIN "&amp;J349&amp;" "&amp;K349),
IF(C349="Validade",+IF(G349="Code List","SELECT '"&amp;UPPER(B349)&amp;"' AS TABELA, '"&amp;UPPER(C349)&amp;"' AS TIPOLOGIA_TESTE,'"&amp;D349&amp;"' AS TABELA_LT,'N/A' AS TABELA_SIMUL,'"&amp;F349&amp;"' AS CAMPO, "&amp;"'${ref_date}' AS REF_DATE, COUNT(*) AS NUM_REG, SUM(IF(TRIM(CAST(X."&amp;F349&amp;" AS STRING))='' OR TRIM(CAST(X."&amp;F349&amp;" AS STRING)) IS NULL OR CAST(X."&amp;F349&amp;" AS STRING) NOT "&amp;H349&amp;",1,0)) AS NUM_REG_DIF,'"&amp;MAX('ID1&amp;5'!K:K)+1&amp;"' AS ID_EXEC, CURRENT_TIMESTAMP() AS TIME_EXEC FROM "&amp;I349,"SELECT '"&amp;UPPER(B349)&amp;"' AS TABELA, '"&amp;UPPER(C349)&amp;"' AS TIPOLOGIA_TESTE,'"&amp;D349&amp;"' AS TABELA_LT,'N/A' AS TABELA_SIMUL,'"&amp;F349&amp;"' AS CAMPO, "&amp;"'${ref_date}' AS REF_DATE, COUNT(*) AS NUM_REG, SUM(IF(TRIM(CAST(X."&amp;F349&amp;" AS STRING))='' OR TRIM(CAST(X."&amp;F349&amp;" AS STRING)) IS NULL,1,0)) AS NUM_REG_DIF,'"&amp;MAX('ID1&amp;5'!K:K)+1&amp;"' AS ID_EXEC, CURRENT_TIMESTAMP() AS TIME_EXEC FROM "&amp;I349),
IF(C349="Caracteres Especiais",+"SELECT '"&amp;UPPER(B349)&amp;"' AS TABELA, '"&amp;UPPER(C349)&amp;"' AS TIPOLOGIA_TESTE,'"&amp;D349&amp;"' AS TABELA_LT,'N/A' AS TABELA_SIMUL,'"&amp;F349&amp;"' AS CAMPO, "&amp;"'${ref_date}' AS REF_DATE, COUNT(*) AS NUM_REG, SUM(IF(REGEXP_REPLACE(TRIM(CAST(X."&amp;F349&amp;" AS STRING)),'[^a-zA-Z0-9_\\s]','') &lt;&gt;TRIM(CAST(X."&amp;F349&amp;" AS STRING)),1,0)) AS NUM_REG_DIF,'"&amp;MAX('ID1&amp;5'!K:K)+1&amp;"' AS ID_EXEC, CURRENT_TIMESTAMP() AS TIME_EXEC FROM "&amp;I349,
IF(C349="Missings",+"SELECT '"&amp;UPPER(B349)&amp;"' AS TABELA, '"&amp;UPPER(C349)&amp;"' AS TIPOLOGIA_TESTE,'"&amp;D349&amp;"' AS TABELA_LT,'N/A' AS TABELA_SIMUL,'"&amp;F349&amp;"' AS CAMPO, "&amp;"'${ref_date}' AS REF_DATE, COUNT(*) AS NUM_REG, SUM(IF(TRIM(CAST(X."&amp;F349&amp;" AS STRING)) IN ('0000-00-00','0001-01-01','9999-12-31','MISS','00000','99999999999','99999999999.00','99999999999.000000'),1,0)) AS NUM_REG_DIF,'"&amp;MAX('ID1&amp;5'!K:K)+1&amp;"' AS ID_EXEC, CURRENT_TIMESTAMP() AS TIME_EXEC FROM "&amp;I349,
IF(C349="Not applicable",+"SELECT '"&amp;UPPER(B349)&amp;"' AS TABELA, '"&amp;UPPER(C349)&amp;"' AS TIPOLOGIA_TESTE,'"&amp;D349&amp;"' AS TABELA_LT,'N/A' AS TABELA_SIMUL,'"&amp;F349&amp;"' AS CAMPO, "&amp;"'${ref_date}' AS REF_DATE, COUNT(*) AS NUM_REG, SUM(IF(TRIM(CAST(X."&amp;F349&amp;" AS STRING)) IN ('N/A','11111111111','11111111111.00','11111111111.000000','1111-11-11'),1,0)) AS NUM_REG_DIF,'"&amp;MAX('ID1&amp;5'!K:K)+1&amp;"' AS ID_EXEC, CURRENT_TIMESTAMP() AS TIME_EXEC FROM "&amp;I349,
IF(C349="Valores extremos",+"SELECT '"&amp;UPPER(B349)&amp;"' AS TABELA, '"&amp;UPPER(C349)&amp;"' AS TIPOLOGIA_TESTE,'"&amp;D349&amp;"' AS TABELA_LT,'N/A' AS TABELA_SIMUL,'"&amp;F349&amp;"' AS CAMPO, "&amp;"'${ref_date}' AS REF_DATE, CAST(MIN("&amp;F349&amp;") AS STRING) AS VALOR_MIN, CAST(MAX("&amp;F349&amp;") AS STRING) AS VALOR_MAX,'"&amp;MAX('ID1&amp;5'!K:K)+1&amp;"' AS ID_EXEC, CURRENT_TIMESTAMP() AS TIME_EXEC FROM "&amp;MID(I349,1,LEN(I349)-2)&amp;" AND CAST("&amp;F349&amp;"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TABELA_SIMUL,'APPRSR' AS CAMPO, '${ref_date}' AS REF_DATE, COUNT(*) AS NUM_REG, SUM(IF(COALESCE(CAST(X.APPRSR AS STRING),'')&lt;&gt;COALESCE(CAST(Y.APPRSR_SIMUL AS STRING),'') OR (X.APPRSR IS NULL AND Y.APPRSR_SIMUL IS NOT NULL ) OR (X.APPRSR IS NOT NULL AND Y.APPRSR_SIMUL IS NULL),1,0)) AS NUM_REG_DIF,'1' AS ID_EXEC, CURRENT_TIMESTAMP() AS TIME_EXEC FROM (SELECT prtctn_id, APPRSR FROM CD_LOAN_TAPES_BCE.LT004_PROTECTION WHERE ref_date='${ref_date}' AND nome_perimetro='Individual Corporativo' AND segmento='ESTR' AND ambito='PM' AND entidade='00100')X INNER JOIN (SELECT prtctn_id AS prtctn_id_SIMUL, APPRSR AS APPRSR_SIMUL FROM BU_LOANTAPE_WORK.LT004_PROTECTION WHERE ref_date='${ref_date}' AND nome_perimetro='Individual Corporativo' AND segmento='ESTR' AND ambito='PM' AND entidade='00100')Y ON X.PRTCTN_ID=Y.PRTCTN_ID_SIMUL</v>
      </c>
      <c r="M349" s="36" t="str">
        <f t="shared" ref="M349:M376" si="7">+"UNION ALL "&amp;L349</f>
        <v>UNION ALL SELECT 'PROTECTION' AS TABELA, 'COERÊNCIA' AS TIPOLOGIA_TESTE,'CD_LOAN_TAPES_BCE.LT004_PROTECTION' AS TABELA_LT,'BU_LOANTAPE_WORK.LT004_PROTECTION' AS TABELA_SIMUL,'APPRSR' AS CAMPO, '${ref_date}' AS REF_DATE, COUNT(*) AS NUM_REG, SUM(IF(COALESCE(CAST(X.APPRSR AS STRING),'')&lt;&gt;COALESCE(CAST(Y.APPRSR_SIMUL AS STRING),'') OR (X.APPRSR IS NULL AND Y.APPRSR_SIMUL IS NOT NULL ) OR (X.APPRSR IS NOT NULL AND Y.APPRSR_SIMUL IS NULL),1,0)) AS NUM_REG_DIF,'1' AS ID_EXEC, CURRENT_TIMESTAMP() AS TIME_EXEC FROM (SELECT prtctn_id, APPRSR FROM CD_LOAN_TAPES_BCE.LT004_PROTECTION WHERE ref_date='${ref_date}' AND nome_perimetro='Individual Corporativo' AND segmento='ESTR' AND ambito='PM' AND entidade='00100')X INNER JOIN (SELECT prtctn_id AS prtctn_id_SIMUL, APPRSR AS APPRSR_SIMUL FROM BU_LOANTAPE_WORK.LT004_PROTECTION WHERE ref_date='${ref_date}' AND nome_perimetro='Individual Corporativo' AND segmento='ESTR' AND ambito='PM' AND entidade='00100')Y ON X.PRTCTN_ID=Y.PRTCTN_ID_SIMUL</v>
      </c>
      <c r="N349" s="38" t="s">
        <v>46</v>
      </c>
    </row>
    <row r="350" spans="2:14" hidden="1">
      <c r="B350" s="34" t="s">
        <v>128</v>
      </c>
      <c r="C350" s="34" t="s">
        <v>5</v>
      </c>
      <c r="D350" s="34" t="str">
        <f>+UPPER('0. Instruções'!$D$35&amp;"."&amp;VLOOKUP(B350,'0. Instruções'!$C$27:$D$32,2,FALSE))</f>
        <v>CD_LOAN_TAPES_BCE.LT004_PROTECTION</v>
      </c>
      <c r="E350" s="34" t="str">
        <f>+UPPER('0. Instruções'!$D$36&amp;"."&amp;VLOOKUP(B350,'0. Instruções'!$C$27:$E$32,3,FALSE))</f>
        <v>BU_LOANTAPE_WORK.LT004_PROTECTION</v>
      </c>
      <c r="F350" s="34" t="s">
        <v>620</v>
      </c>
      <c r="G350" s="34"/>
      <c r="H350" s="34" t="s">
        <v>645</v>
      </c>
      <c r="I350" s="34" t="str">
        <f>"(SELECT "&amp;VLOOKUP(B350,'0. Instruções'!$C$27:$G$32,4,FALSE)&amp;", "&amp;F350&amp;" FROM "&amp;D350&amp;" WHERE "&amp;'0. Instruções'!$D$42&amp;")X"</f>
        <v>(SELECT prtctn_id, DT_LST_FLL_APPRSL FROM CD_LOAN_TAPES_BCE.LT004_PROTECTION WHERE ref_date='${ref_date}' AND nome_perimetro='Individual Corporativo' AND segmento='ESTR' AND ambito='PM' AND entidade='00100')X</v>
      </c>
      <c r="J350" s="34" t="str">
        <f>"(SELECT "&amp;VLOOKUP(B350,'0. Instruções'!$C$27:$G$32,4,FALSE)&amp;" AS "&amp;VLOOKUP(B350,'0. Instruções'!$C$27:$G$32,4,FALSE)&amp;"_SIMUL, "&amp;F350&amp;" AS "&amp;F350&amp;"_SIMUL FROM "&amp;E350&amp;" WHERE "&amp;'0. Instruções'!$D$43&amp;")Y"</f>
        <v>(SELECT prtctn_id AS prtctn_id_SIMUL, DT_LST_FLL_APPRSL AS DT_LST_FLL_APPRSL_SIMUL FROM BU_LOANTAPE_WORK.LT004_PROTECTION WHERE ref_date='${ref_date}' AND nome_perimetro='Individual Corporativo' AND segmento='ESTR' AND ambito='PM' AND entidade='00100')Y</v>
      </c>
      <c r="K350" s="35" t="str">
        <f>+UPPER("ON X."&amp;VLOOKUP(B350,'0. Instruções'!$C$27:$G$32,4,FALSE)&amp;"=Y."&amp;VLOOKUP(B350,'0. Instruções'!$C$27:$G$32,4,FALSE)&amp;"_SIMUL")</f>
        <v>ON X.PRTCTN_ID=Y.PRTCTN_ID_SIMUL</v>
      </c>
      <c r="L350" s="35" t="str">
        <f>+IF(C350="Coerência", +IF(LEFT(G350,5)="FLOAT","SELECT '"&amp;UPPER(B350)&amp;"' AS TABELA, '"&amp;UPPER(C350)&amp;"' AS TIPOLOGIA_TESTE,'"&amp;D350&amp;"' AS TABELA_LT,'"&amp;E350&amp;"' AS TABELA_SIMUL,'"&amp;F350&amp;"' AS CAMPO, "&amp;"'${ref_date}' AS REF_DATE, COUNT(*) AS NUM_REG, SUM(IF((ABS(COALESCE(CAST(X."&amp;F350&amp;" AS DECIMAL(18,6)),0)-COALESCE(CAST(Y."&amp;F350&amp;"_SIMUL AS DECIMAL(18,6)),0))&gt;0.000001) OR (X."&amp;F350&amp;" IS NULL AND Y."&amp;F350&amp;"_SIMUL IS NOT NULL ) OR (X."&amp;F350&amp;" IS NOT NULL AND Y."&amp;F350&amp;"_SIMUL IS NULL),1,0)) AS NUM_REG_DIF,'"&amp;MAX('ID1&amp;5'!K:K)+1&amp;"' AS ID_EXEC, CURRENT_TIMESTAMP() AS TIME_EXEC FROM "&amp;I350&amp;" INNER JOIN "&amp;J350&amp;" "&amp;K350,"SELECT '"&amp;UPPER(B350)&amp;"' AS TABELA, '"&amp;UPPER(C350)&amp;"' AS TIPOLOGIA_TESTE,'"&amp;D350&amp;"' AS TABELA_LT,'"&amp;E350&amp;"' AS TABELA_SIMUL,'"&amp;F350&amp;"' AS CAMPO, "&amp;"'${ref_date}' AS REF_DATE, COUNT(*) AS NUM_REG, SUM(IF(COALESCE(CAST(X."&amp;F350&amp;" AS STRING),'')&lt;&gt;COALESCE(CAST(Y."&amp;F350&amp;"_SIMUL AS STRING),'') OR (X."&amp;F350&amp;" IS NULL AND Y."&amp;F350&amp;"_SIMUL IS NOT NULL ) OR (X."&amp;F350&amp;" IS NOT NULL AND Y."&amp;F350&amp;"_SIMUL IS NULL),1,0)) AS NUM_REG_DIF,'"&amp;MAX('ID1&amp;5'!L:L)+1&amp;"' AS ID_EXEC, CURRENT_TIMESTAMP() AS TIME_EXEC FROM "&amp;I350&amp;" INNER JOIN "&amp;J350&amp;" "&amp;K350),
IF(C350="Validade",+IF(G350="Code List","SELECT '"&amp;UPPER(B350)&amp;"' AS TABELA, '"&amp;UPPER(C350)&amp;"' AS TIPOLOGIA_TESTE,'"&amp;D350&amp;"' AS TABELA_LT,'N/A' AS TABELA_SIMUL,'"&amp;F350&amp;"' AS CAMPO, "&amp;"'${ref_date}' AS REF_DATE, COUNT(*) AS NUM_REG, SUM(IF(TRIM(CAST(X."&amp;F350&amp;" AS STRING))='' OR TRIM(CAST(X."&amp;F350&amp;" AS STRING)) IS NULL OR CAST(X."&amp;F350&amp;" AS STRING) NOT "&amp;H350&amp;",1,0)) AS NUM_REG_DIF,'"&amp;MAX('ID1&amp;5'!K:K)+1&amp;"' AS ID_EXEC, CURRENT_TIMESTAMP() AS TIME_EXEC FROM "&amp;I350,"SELECT '"&amp;UPPER(B350)&amp;"' AS TABELA, '"&amp;UPPER(C350)&amp;"' AS TIPOLOGIA_TESTE,'"&amp;D350&amp;"' AS TABELA_LT,'N/A' AS TABELA_SIMUL,'"&amp;F350&amp;"' AS CAMPO, "&amp;"'${ref_date}' AS REF_DATE, COUNT(*) AS NUM_REG, SUM(IF(TRIM(CAST(X."&amp;F350&amp;" AS STRING))='' OR TRIM(CAST(X."&amp;F350&amp;" AS STRING)) IS NULL,1,0)) AS NUM_REG_DIF,'"&amp;MAX('ID1&amp;5'!K:K)+1&amp;"' AS ID_EXEC, CURRENT_TIMESTAMP() AS TIME_EXEC FROM "&amp;I350),
IF(C350="Caracteres Especiais",+"SELECT '"&amp;UPPER(B350)&amp;"' AS TABELA, '"&amp;UPPER(C350)&amp;"' AS TIPOLOGIA_TESTE,'"&amp;D350&amp;"' AS TABELA_LT,'N/A' AS TABELA_SIMUL,'"&amp;F350&amp;"' AS CAMPO, "&amp;"'${ref_date}' AS REF_DATE, COUNT(*) AS NUM_REG, SUM(IF(REGEXP_REPLACE(TRIM(CAST(X."&amp;F350&amp;" AS STRING)),'[^a-zA-Z0-9_\\s]','') &lt;&gt;TRIM(CAST(X."&amp;F350&amp;" AS STRING)),1,0)) AS NUM_REG_DIF,'"&amp;MAX('ID1&amp;5'!K:K)+1&amp;"' AS ID_EXEC, CURRENT_TIMESTAMP() AS TIME_EXEC FROM "&amp;I350,
IF(C350="Missings",+"SELECT '"&amp;UPPER(B350)&amp;"' AS TABELA, '"&amp;UPPER(C350)&amp;"' AS TIPOLOGIA_TESTE,'"&amp;D350&amp;"' AS TABELA_LT,'N/A' AS TABELA_SIMUL,'"&amp;F350&amp;"' AS CAMPO, "&amp;"'${ref_date}' AS REF_DATE, COUNT(*) AS NUM_REG, SUM(IF(TRIM(CAST(X."&amp;F350&amp;" AS STRING)) IN ('0000-00-00','0001-01-01','9999-12-31','MISS','00000','99999999999','99999999999.00','99999999999.000000'),1,0)) AS NUM_REG_DIF,'"&amp;MAX('ID1&amp;5'!K:K)+1&amp;"' AS ID_EXEC, CURRENT_TIMESTAMP() AS TIME_EXEC FROM "&amp;I350,
IF(C350="Not applicable",+"SELECT '"&amp;UPPER(B350)&amp;"' AS TABELA, '"&amp;UPPER(C350)&amp;"' AS TIPOLOGIA_TESTE,'"&amp;D350&amp;"' AS TABELA_LT,'N/A' AS TABELA_SIMUL,'"&amp;F350&amp;"' AS CAMPO, "&amp;"'${ref_date}' AS REF_DATE, COUNT(*) AS NUM_REG, SUM(IF(TRIM(CAST(X."&amp;F350&amp;" AS STRING)) IN ('N/A','11111111111','11111111111.00','11111111111.000000','1111-11-11'),1,0)) AS NUM_REG_DIF,'"&amp;MAX('ID1&amp;5'!K:K)+1&amp;"' AS ID_EXEC, CURRENT_TIMESTAMP() AS TIME_EXEC FROM "&amp;I350,
IF(C350="Valores extremos",+"SELECT '"&amp;UPPER(B350)&amp;"' AS TABELA, '"&amp;UPPER(C350)&amp;"' AS TIPOLOGIA_TESTE,'"&amp;D350&amp;"' AS TABELA_LT,'N/A' AS TABELA_SIMUL,'"&amp;F350&amp;"' AS CAMPO, "&amp;"'${ref_date}' AS REF_DATE, CAST(MIN("&amp;F350&amp;") AS STRING) AS VALOR_MIN, CAST(MAX("&amp;F350&amp;") AS STRING) AS VALOR_MAX,'"&amp;MAX('ID1&amp;5'!K:K)+1&amp;"' AS ID_EXEC, CURRENT_TIMESTAMP() AS TIME_EXEC FROM "&amp;MID(I350,1,LEN(I350)-2)&amp;" AND CAST("&amp;F350&amp;"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TABELA_SIMUL,'DT_LST_FLL_APPRSL' AS CAMPO, '${ref_date}' AS REF_DATE, COUNT(*) AS NUM_REG, SUM(IF(COALESCE(CAST(X.DT_LST_FLL_APPRSL AS STRING),'')&lt;&gt;COALESCE(CAST(Y.DT_LST_FLL_APPRSL_SIMUL AS STRING),'') OR (X.DT_LST_FLL_APPRSL IS NULL AND Y.DT_LST_FLL_APPRSL_SIMUL IS NOT NULL ) OR (X.DT_LST_FLL_APPRSL IS NOT NULL AND Y.DT_LST_FLL_APPRSL_SIMUL IS NULL),1,0)) AS NUM_REG_DIF,'1' AS ID_EXEC, CURRENT_TIMESTAMP() AS TIME_EXEC FROM (SELECT prtctn_id, DT_LST_FLL_APPRSL FROM CD_LOAN_TAPES_BCE.LT004_PROTECTION WHERE ref_date='${ref_date}' AND nome_perimetro='Individual Corporativo' AND segmento='ESTR' AND ambito='PM' AND entidade='00100')X INNER JOIN (SELECT prtctn_id AS prtctn_id_SIMUL, DT_LST_FLL_APPRSL AS DT_LST_FLL_APPRSL_SIMUL FROM BU_LOANTAPE_WORK.LT004_PROTECTION WHERE ref_date='${ref_date}' AND nome_perimetro='Individual Corporativo' AND segmento='ESTR' AND ambito='PM' AND entidade='00100')Y ON X.PRTCTN_ID=Y.PRTCTN_ID_SIMUL</v>
      </c>
      <c r="M350" s="36" t="str">
        <f t="shared" si="7"/>
        <v>UNION ALL SELECT 'PROTECTION' AS TABELA, 'COERÊNCIA' AS TIPOLOGIA_TESTE,'CD_LOAN_TAPES_BCE.LT004_PROTECTION' AS TABELA_LT,'BU_LOANTAPE_WORK.LT004_PROTECTION' AS TABELA_SIMUL,'DT_LST_FLL_APPRSL' AS CAMPO, '${ref_date}' AS REF_DATE, COUNT(*) AS NUM_REG, SUM(IF(COALESCE(CAST(X.DT_LST_FLL_APPRSL AS STRING),'')&lt;&gt;COALESCE(CAST(Y.DT_LST_FLL_APPRSL_SIMUL AS STRING),'') OR (X.DT_LST_FLL_APPRSL IS NULL AND Y.DT_LST_FLL_APPRSL_SIMUL IS NOT NULL ) OR (X.DT_LST_FLL_APPRSL IS NOT NULL AND Y.DT_LST_FLL_APPRSL_SIMUL IS NULL),1,0)) AS NUM_REG_DIF,'1' AS ID_EXEC, CURRENT_TIMESTAMP() AS TIME_EXEC FROM (SELECT prtctn_id, DT_LST_FLL_APPRSL FROM CD_LOAN_TAPES_BCE.LT004_PROTECTION WHERE ref_date='${ref_date}' AND nome_perimetro='Individual Corporativo' AND segmento='ESTR' AND ambito='PM' AND entidade='00100')X INNER JOIN (SELECT prtctn_id AS prtctn_id_SIMUL, DT_LST_FLL_APPRSL AS DT_LST_FLL_APPRSL_SIMUL FROM BU_LOANTAPE_WORK.LT004_PROTECTION WHERE ref_date='${ref_date}' AND nome_perimetro='Individual Corporativo' AND segmento='ESTR' AND ambito='PM' AND entidade='00100')Y ON X.PRTCTN_ID=Y.PRTCTN_ID_SIMUL</v>
      </c>
      <c r="N350" s="38" t="s">
        <v>46</v>
      </c>
    </row>
    <row r="351" spans="2:14" hidden="1">
      <c r="B351" s="34" t="s">
        <v>128</v>
      </c>
      <c r="C351" s="34" t="s">
        <v>5</v>
      </c>
      <c r="D351" s="34" t="str">
        <f>+UPPER('0. Instruções'!$D$35&amp;"."&amp;VLOOKUP(B351,'0. Instruções'!$C$27:$D$32,2,FALSE))</f>
        <v>CD_LOAN_TAPES_BCE.LT004_PROTECTION</v>
      </c>
      <c r="E351" s="34" t="str">
        <f>+UPPER('0. Instruções'!$D$36&amp;"."&amp;VLOOKUP(B351,'0. Instruções'!$C$27:$E$32,3,FALSE))</f>
        <v>BU_LOANTAPE_WORK.LT004_PROTECTION</v>
      </c>
      <c r="F351" s="34" t="s">
        <v>621</v>
      </c>
      <c r="G351" s="34"/>
      <c r="H351" s="34" t="s">
        <v>645</v>
      </c>
      <c r="I351" s="34" t="str">
        <f>"(SELECT "&amp;VLOOKUP(B351,'0. Instruções'!$C$27:$G$32,4,FALSE)&amp;", "&amp;F351&amp;" FROM "&amp;D351&amp;" WHERE "&amp;'0. Instruções'!$D$42&amp;")X"</f>
        <v>(SELECT prtctn_id, DT_ORGNL_PRTCTN_VL FROM CD_LOAN_TAPES_BCE.LT004_PROTECTION WHERE ref_date='${ref_date}' AND nome_perimetro='Individual Corporativo' AND segmento='ESTR' AND ambito='PM' AND entidade='00100')X</v>
      </c>
      <c r="J351" s="34" t="str">
        <f>"(SELECT "&amp;VLOOKUP(B351,'0. Instruções'!$C$27:$G$32,4,FALSE)&amp;" AS "&amp;VLOOKUP(B351,'0. Instruções'!$C$27:$G$32,4,FALSE)&amp;"_SIMUL, "&amp;F351&amp;" AS "&amp;F351&amp;"_SIMUL FROM "&amp;E351&amp;" WHERE "&amp;'0. Instruções'!$D$43&amp;")Y"</f>
        <v>(SELECT prtctn_id AS prtctn_id_SIMUL, DT_ORGNL_PRTCTN_VL AS DT_ORGNL_PRTCTN_VL_SIMUL FROM BU_LOANTAPE_WORK.LT004_PROTECTION WHERE ref_date='${ref_date}' AND nome_perimetro='Individual Corporativo' AND segmento='ESTR' AND ambito='PM' AND entidade='00100')Y</v>
      </c>
      <c r="K351" s="35" t="str">
        <f>+UPPER("ON X."&amp;VLOOKUP(B351,'0. Instruções'!$C$27:$G$32,4,FALSE)&amp;"=Y."&amp;VLOOKUP(B351,'0. Instruções'!$C$27:$G$32,4,FALSE)&amp;"_SIMUL")</f>
        <v>ON X.PRTCTN_ID=Y.PRTCTN_ID_SIMUL</v>
      </c>
      <c r="L351" s="35" t="str">
        <f>+IF(C351="Coerência", +IF(LEFT(G351,5)="FLOAT","SELECT '"&amp;UPPER(B351)&amp;"' AS TABELA, '"&amp;UPPER(C351)&amp;"' AS TIPOLOGIA_TESTE,'"&amp;D351&amp;"' AS TABELA_LT,'"&amp;E351&amp;"' AS TABELA_SIMUL,'"&amp;F351&amp;"' AS CAMPO, "&amp;"'${ref_date}' AS REF_DATE, COUNT(*) AS NUM_REG, SUM(IF((ABS(COALESCE(CAST(X."&amp;F351&amp;" AS DECIMAL(18,6)),0)-COALESCE(CAST(Y."&amp;F351&amp;"_SIMUL AS DECIMAL(18,6)),0))&gt;0.000001) OR (X."&amp;F351&amp;" IS NULL AND Y."&amp;F351&amp;"_SIMUL IS NOT NULL ) OR (X."&amp;F351&amp;" IS NOT NULL AND Y."&amp;F351&amp;"_SIMUL IS NULL),1,0)) AS NUM_REG_DIF,'"&amp;MAX('ID1&amp;5'!K:K)+1&amp;"' AS ID_EXEC, CURRENT_TIMESTAMP() AS TIME_EXEC FROM "&amp;I351&amp;" INNER JOIN "&amp;J351&amp;" "&amp;K351,"SELECT '"&amp;UPPER(B351)&amp;"' AS TABELA, '"&amp;UPPER(C351)&amp;"' AS TIPOLOGIA_TESTE,'"&amp;D351&amp;"' AS TABELA_LT,'"&amp;E351&amp;"' AS TABELA_SIMUL,'"&amp;F351&amp;"' AS CAMPO, "&amp;"'${ref_date}' AS REF_DATE, COUNT(*) AS NUM_REG, SUM(IF(COALESCE(CAST(X."&amp;F351&amp;" AS STRING),'')&lt;&gt;COALESCE(CAST(Y."&amp;F351&amp;"_SIMUL AS STRING),'') OR (X."&amp;F351&amp;" IS NULL AND Y."&amp;F351&amp;"_SIMUL IS NOT NULL ) OR (X."&amp;F351&amp;" IS NOT NULL AND Y."&amp;F351&amp;"_SIMUL IS NULL),1,0)) AS NUM_REG_DIF,'"&amp;MAX('ID1&amp;5'!L:L)+1&amp;"' AS ID_EXEC, CURRENT_TIMESTAMP() AS TIME_EXEC FROM "&amp;I351&amp;" INNER JOIN "&amp;J351&amp;" "&amp;K351),
IF(C351="Validade",+IF(G351="Code List","SELECT '"&amp;UPPER(B351)&amp;"' AS TABELA, '"&amp;UPPER(C351)&amp;"' AS TIPOLOGIA_TESTE,'"&amp;D351&amp;"' AS TABELA_LT,'N/A' AS TABELA_SIMUL,'"&amp;F351&amp;"' AS CAMPO, "&amp;"'${ref_date}' AS REF_DATE, COUNT(*) AS NUM_REG, SUM(IF(TRIM(CAST(X."&amp;F351&amp;" AS STRING))='' OR TRIM(CAST(X."&amp;F351&amp;" AS STRING)) IS NULL OR CAST(X."&amp;F351&amp;" AS STRING) NOT "&amp;H351&amp;",1,0)) AS NUM_REG_DIF,'"&amp;MAX('ID1&amp;5'!K:K)+1&amp;"' AS ID_EXEC, CURRENT_TIMESTAMP() AS TIME_EXEC FROM "&amp;I351,"SELECT '"&amp;UPPER(B351)&amp;"' AS TABELA, '"&amp;UPPER(C351)&amp;"' AS TIPOLOGIA_TESTE,'"&amp;D351&amp;"' AS TABELA_LT,'N/A' AS TABELA_SIMUL,'"&amp;F351&amp;"' AS CAMPO, "&amp;"'${ref_date}' AS REF_DATE, COUNT(*) AS NUM_REG, SUM(IF(TRIM(CAST(X."&amp;F351&amp;" AS STRING))='' OR TRIM(CAST(X."&amp;F351&amp;" AS STRING)) IS NULL,1,0)) AS NUM_REG_DIF,'"&amp;MAX('ID1&amp;5'!K:K)+1&amp;"' AS ID_EXEC, CURRENT_TIMESTAMP() AS TIME_EXEC FROM "&amp;I351),
IF(C351="Caracteres Especiais",+"SELECT '"&amp;UPPER(B351)&amp;"' AS TABELA, '"&amp;UPPER(C351)&amp;"' AS TIPOLOGIA_TESTE,'"&amp;D351&amp;"' AS TABELA_LT,'N/A' AS TABELA_SIMUL,'"&amp;F351&amp;"' AS CAMPO, "&amp;"'${ref_date}' AS REF_DATE, COUNT(*) AS NUM_REG, SUM(IF(REGEXP_REPLACE(TRIM(CAST(X."&amp;F351&amp;" AS STRING)),'[^a-zA-Z0-9_\\s]','') &lt;&gt;TRIM(CAST(X."&amp;F351&amp;" AS STRING)),1,0)) AS NUM_REG_DIF,'"&amp;MAX('ID1&amp;5'!K:K)+1&amp;"' AS ID_EXEC, CURRENT_TIMESTAMP() AS TIME_EXEC FROM "&amp;I351,
IF(C351="Missings",+"SELECT '"&amp;UPPER(B351)&amp;"' AS TABELA, '"&amp;UPPER(C351)&amp;"' AS TIPOLOGIA_TESTE,'"&amp;D351&amp;"' AS TABELA_LT,'N/A' AS TABELA_SIMUL,'"&amp;F351&amp;"' AS CAMPO, "&amp;"'${ref_date}' AS REF_DATE, COUNT(*) AS NUM_REG, SUM(IF(TRIM(CAST(X."&amp;F351&amp;" AS STRING)) IN ('0000-00-00','0001-01-01','9999-12-31','MISS','00000','99999999999','99999999999.00','99999999999.000000'),1,0)) AS NUM_REG_DIF,'"&amp;MAX('ID1&amp;5'!K:K)+1&amp;"' AS ID_EXEC, CURRENT_TIMESTAMP() AS TIME_EXEC FROM "&amp;I351,
IF(C351="Not applicable",+"SELECT '"&amp;UPPER(B351)&amp;"' AS TABELA, '"&amp;UPPER(C351)&amp;"' AS TIPOLOGIA_TESTE,'"&amp;D351&amp;"' AS TABELA_LT,'N/A' AS TABELA_SIMUL,'"&amp;F351&amp;"' AS CAMPO, "&amp;"'${ref_date}' AS REF_DATE, COUNT(*) AS NUM_REG, SUM(IF(TRIM(CAST(X."&amp;F351&amp;" AS STRING)) IN ('N/A','11111111111','11111111111.00','11111111111.000000','1111-11-11'),1,0)) AS NUM_REG_DIF,'"&amp;MAX('ID1&amp;5'!K:K)+1&amp;"' AS ID_EXEC, CURRENT_TIMESTAMP() AS TIME_EXEC FROM "&amp;I351,
IF(C351="Valores extremos",+"SELECT '"&amp;UPPER(B351)&amp;"' AS TABELA, '"&amp;UPPER(C351)&amp;"' AS TIPOLOGIA_TESTE,'"&amp;D351&amp;"' AS TABELA_LT,'N/A' AS TABELA_SIMUL,'"&amp;F351&amp;"' AS CAMPO, "&amp;"'${ref_date}' AS REF_DATE, CAST(MIN("&amp;F351&amp;") AS STRING) AS VALOR_MIN, CAST(MAX("&amp;F351&amp;") AS STRING) AS VALOR_MAX,'"&amp;MAX('ID1&amp;5'!K:K)+1&amp;"' AS ID_EXEC, CURRENT_TIMESTAMP() AS TIME_EXEC FROM "&amp;MID(I351,1,LEN(I351)-2)&amp;" AND CAST("&amp;F351&amp;"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TABELA_SIMUL,'DT_ORGNL_PRTCTN_VL' AS CAMPO, '${ref_date}' AS REF_DATE, COUNT(*) AS NUM_REG, SUM(IF(COALESCE(CAST(X.DT_ORGNL_PRTCTN_VL AS STRING),'')&lt;&gt;COALESCE(CAST(Y.DT_ORGNL_PRTCTN_VL_SIMUL AS STRING),'') OR (X.DT_ORGNL_PRTCTN_VL IS NULL AND Y.DT_ORGNL_PRTCTN_VL_SIMUL IS NOT NULL ) OR (X.DT_ORGNL_PRTCTN_VL IS NOT NULL AND Y.DT_ORGNL_PRTCTN_VL_SIMUL IS NULL),1,0)) AS NUM_REG_DIF,'1' AS ID_EXEC, CURRENT_TIMESTAMP() AS TIME_EXEC FROM (SELECT prtctn_id, DT_ORGNL_PRTCTN_VL FROM CD_LOAN_TAPES_BCE.LT004_PROTECTION WHERE ref_date='${ref_date}' AND nome_perimetro='Individual Corporativo' AND segmento='ESTR' AND ambito='PM' AND entidade='00100')X INNER JOIN (SELECT prtctn_id AS prtctn_id_SIMUL, DT_ORGNL_PRTCTN_VL AS DT_ORGNL_PRTCTN_VL_SIMUL FROM BU_LOANTAPE_WORK.LT004_PROTECTION WHERE ref_date='${ref_date}' AND nome_perimetro='Individual Corporativo' AND segmento='ESTR' AND ambito='PM' AND entidade='00100')Y ON X.PRTCTN_ID=Y.PRTCTN_ID_SIMUL</v>
      </c>
      <c r="M351" s="36" t="str">
        <f t="shared" si="7"/>
        <v>UNION ALL SELECT 'PROTECTION' AS TABELA, 'COERÊNCIA' AS TIPOLOGIA_TESTE,'CD_LOAN_TAPES_BCE.LT004_PROTECTION' AS TABELA_LT,'BU_LOANTAPE_WORK.LT004_PROTECTION' AS TABELA_SIMUL,'DT_ORGNL_PRTCTN_VL' AS CAMPO, '${ref_date}' AS REF_DATE, COUNT(*) AS NUM_REG, SUM(IF(COALESCE(CAST(X.DT_ORGNL_PRTCTN_VL AS STRING),'')&lt;&gt;COALESCE(CAST(Y.DT_ORGNL_PRTCTN_VL_SIMUL AS STRING),'') OR (X.DT_ORGNL_PRTCTN_VL IS NULL AND Y.DT_ORGNL_PRTCTN_VL_SIMUL IS NOT NULL ) OR (X.DT_ORGNL_PRTCTN_VL IS NOT NULL AND Y.DT_ORGNL_PRTCTN_VL_SIMUL IS NULL),1,0)) AS NUM_REG_DIF,'1' AS ID_EXEC, CURRENT_TIMESTAMP() AS TIME_EXEC FROM (SELECT prtctn_id, DT_ORGNL_PRTCTN_VL FROM CD_LOAN_TAPES_BCE.LT004_PROTECTION WHERE ref_date='${ref_date}' AND nome_perimetro='Individual Corporativo' AND segmento='ESTR' AND ambito='PM' AND entidade='00100')X INNER JOIN (SELECT prtctn_id AS prtctn_id_SIMUL, DT_ORGNL_PRTCTN_VL AS DT_ORGNL_PRTCTN_VL_SIMUL FROM BU_LOANTAPE_WORK.LT004_PROTECTION WHERE ref_date='${ref_date}' AND nome_perimetro='Individual Corporativo' AND segmento='ESTR' AND ambito='PM' AND entidade='00100')Y ON X.PRTCTN_ID=Y.PRTCTN_ID_SIMUL</v>
      </c>
      <c r="N351" s="38" t="s">
        <v>46</v>
      </c>
    </row>
    <row r="352" spans="2:14" hidden="1">
      <c r="B352" s="34" t="s">
        <v>128</v>
      </c>
      <c r="C352" s="34" t="s">
        <v>5</v>
      </c>
      <c r="D352" s="34" t="str">
        <f>+UPPER('0. Instruções'!$D$35&amp;"."&amp;VLOOKUP(B352,'0. Instruções'!$C$27:$D$32,2,FALSE))</f>
        <v>CD_LOAN_TAPES_BCE.LT004_PROTECTION</v>
      </c>
      <c r="E352" s="34" t="str">
        <f>+UPPER('0. Instruções'!$D$36&amp;"."&amp;VLOOKUP(B352,'0. Instruções'!$C$27:$E$32,3,FALSE))</f>
        <v>BU_LOANTAPE_WORK.LT004_PROTECTION</v>
      </c>
      <c r="F352" s="34" t="s">
        <v>622</v>
      </c>
      <c r="G352" s="34"/>
      <c r="H352" s="34" t="s">
        <v>645</v>
      </c>
      <c r="I352" s="34" t="str">
        <f>"(SELECT "&amp;VLOOKUP(B352,'0. Instruções'!$C$27:$G$32,4,FALSE)&amp;", "&amp;F352&amp;" FROM "&amp;D352&amp;" WHERE "&amp;'0. Instruções'!$D$42&amp;")X"</f>
        <v>(SELECT prtctn_id, DT_PRTCTN_VL FROM CD_LOAN_TAPES_BCE.LT004_PROTECTION WHERE ref_date='${ref_date}' AND nome_perimetro='Individual Corporativo' AND segmento='ESTR' AND ambito='PM' AND entidade='00100')X</v>
      </c>
      <c r="J352" s="34" t="str">
        <f>"(SELECT "&amp;VLOOKUP(B352,'0. Instruções'!$C$27:$G$32,4,FALSE)&amp;" AS "&amp;VLOOKUP(B352,'0. Instruções'!$C$27:$G$32,4,FALSE)&amp;"_SIMUL, "&amp;F352&amp;" AS "&amp;F352&amp;"_SIMUL FROM "&amp;E352&amp;" WHERE "&amp;'0. Instruções'!$D$43&amp;")Y"</f>
        <v>(SELECT prtctn_id AS prtctn_id_SIMUL, DT_PRTCTN_VL AS DT_PRTCTN_VL_SIMUL FROM BU_LOANTAPE_WORK.LT004_PROTECTION WHERE ref_date='${ref_date}' AND nome_perimetro='Individual Corporativo' AND segmento='ESTR' AND ambito='PM' AND entidade='00100')Y</v>
      </c>
      <c r="K352" s="35" t="str">
        <f>+UPPER("ON X."&amp;VLOOKUP(B352,'0. Instruções'!$C$27:$G$32,4,FALSE)&amp;"=Y."&amp;VLOOKUP(B352,'0. Instruções'!$C$27:$G$32,4,FALSE)&amp;"_SIMUL")</f>
        <v>ON X.PRTCTN_ID=Y.PRTCTN_ID_SIMUL</v>
      </c>
      <c r="L352" s="35" t="str">
        <f>+IF(C352="Coerência", +IF(LEFT(G352,5)="FLOAT","SELECT '"&amp;UPPER(B352)&amp;"' AS TABELA, '"&amp;UPPER(C352)&amp;"' AS TIPOLOGIA_TESTE,'"&amp;D352&amp;"' AS TABELA_LT,'"&amp;E352&amp;"' AS TABELA_SIMUL,'"&amp;F352&amp;"' AS CAMPO, "&amp;"'${ref_date}' AS REF_DATE, COUNT(*) AS NUM_REG, SUM(IF((ABS(COALESCE(CAST(X."&amp;F352&amp;" AS DECIMAL(18,6)),0)-COALESCE(CAST(Y."&amp;F352&amp;"_SIMUL AS DECIMAL(18,6)),0))&gt;0.000001) OR (X."&amp;F352&amp;" IS NULL AND Y."&amp;F352&amp;"_SIMUL IS NOT NULL ) OR (X."&amp;F352&amp;" IS NOT NULL AND Y."&amp;F352&amp;"_SIMUL IS NULL),1,0)) AS NUM_REG_DIF,'"&amp;MAX('ID1&amp;5'!K:K)+1&amp;"' AS ID_EXEC, CURRENT_TIMESTAMP() AS TIME_EXEC FROM "&amp;I352&amp;" INNER JOIN "&amp;J352&amp;" "&amp;K352,"SELECT '"&amp;UPPER(B352)&amp;"' AS TABELA, '"&amp;UPPER(C352)&amp;"' AS TIPOLOGIA_TESTE,'"&amp;D352&amp;"' AS TABELA_LT,'"&amp;E352&amp;"' AS TABELA_SIMUL,'"&amp;F352&amp;"' AS CAMPO, "&amp;"'${ref_date}' AS REF_DATE, COUNT(*) AS NUM_REG, SUM(IF(COALESCE(CAST(X."&amp;F352&amp;" AS STRING),'')&lt;&gt;COALESCE(CAST(Y."&amp;F352&amp;"_SIMUL AS STRING),'') OR (X."&amp;F352&amp;" IS NULL AND Y."&amp;F352&amp;"_SIMUL IS NOT NULL ) OR (X."&amp;F352&amp;" IS NOT NULL AND Y."&amp;F352&amp;"_SIMUL IS NULL),1,0)) AS NUM_REG_DIF,'"&amp;MAX('ID1&amp;5'!L:L)+1&amp;"' AS ID_EXEC, CURRENT_TIMESTAMP() AS TIME_EXEC FROM "&amp;I352&amp;" INNER JOIN "&amp;J352&amp;" "&amp;K352),
IF(C352="Validade",+IF(G352="Code List","SELECT '"&amp;UPPER(B352)&amp;"' AS TABELA, '"&amp;UPPER(C352)&amp;"' AS TIPOLOGIA_TESTE,'"&amp;D352&amp;"' AS TABELA_LT,'N/A' AS TABELA_SIMUL,'"&amp;F352&amp;"' AS CAMPO, "&amp;"'${ref_date}' AS REF_DATE, COUNT(*) AS NUM_REG, SUM(IF(TRIM(CAST(X."&amp;F352&amp;" AS STRING))='' OR TRIM(CAST(X."&amp;F352&amp;" AS STRING)) IS NULL OR CAST(X."&amp;F352&amp;" AS STRING) NOT "&amp;H352&amp;",1,0)) AS NUM_REG_DIF,'"&amp;MAX('ID1&amp;5'!K:K)+1&amp;"' AS ID_EXEC, CURRENT_TIMESTAMP() AS TIME_EXEC FROM "&amp;I352,"SELECT '"&amp;UPPER(B352)&amp;"' AS TABELA, '"&amp;UPPER(C352)&amp;"' AS TIPOLOGIA_TESTE,'"&amp;D352&amp;"' AS TABELA_LT,'N/A' AS TABELA_SIMUL,'"&amp;F352&amp;"' AS CAMPO, "&amp;"'${ref_date}' AS REF_DATE, COUNT(*) AS NUM_REG, SUM(IF(TRIM(CAST(X."&amp;F352&amp;" AS STRING))='' OR TRIM(CAST(X."&amp;F352&amp;" AS STRING)) IS NULL,1,0)) AS NUM_REG_DIF,'"&amp;MAX('ID1&amp;5'!K:K)+1&amp;"' AS ID_EXEC, CURRENT_TIMESTAMP() AS TIME_EXEC FROM "&amp;I352),
IF(C352="Caracteres Especiais",+"SELECT '"&amp;UPPER(B352)&amp;"' AS TABELA, '"&amp;UPPER(C352)&amp;"' AS TIPOLOGIA_TESTE,'"&amp;D352&amp;"' AS TABELA_LT,'N/A' AS TABELA_SIMUL,'"&amp;F352&amp;"' AS CAMPO, "&amp;"'${ref_date}' AS REF_DATE, COUNT(*) AS NUM_REG, SUM(IF(REGEXP_REPLACE(TRIM(CAST(X."&amp;F352&amp;" AS STRING)),'[^a-zA-Z0-9_\\s]','') &lt;&gt;TRIM(CAST(X."&amp;F352&amp;" AS STRING)),1,0)) AS NUM_REG_DIF,'"&amp;MAX('ID1&amp;5'!K:K)+1&amp;"' AS ID_EXEC, CURRENT_TIMESTAMP() AS TIME_EXEC FROM "&amp;I352,
IF(C352="Missings",+"SELECT '"&amp;UPPER(B352)&amp;"' AS TABELA, '"&amp;UPPER(C352)&amp;"' AS TIPOLOGIA_TESTE,'"&amp;D352&amp;"' AS TABELA_LT,'N/A' AS TABELA_SIMUL,'"&amp;F352&amp;"' AS CAMPO, "&amp;"'${ref_date}' AS REF_DATE, COUNT(*) AS NUM_REG, SUM(IF(TRIM(CAST(X."&amp;F352&amp;" AS STRING)) IN ('0000-00-00','0001-01-01','9999-12-31','MISS','00000','99999999999','99999999999.00','99999999999.000000'),1,0)) AS NUM_REG_DIF,'"&amp;MAX('ID1&amp;5'!K:K)+1&amp;"' AS ID_EXEC, CURRENT_TIMESTAMP() AS TIME_EXEC FROM "&amp;I352,
IF(C352="Not applicable",+"SELECT '"&amp;UPPER(B352)&amp;"' AS TABELA, '"&amp;UPPER(C352)&amp;"' AS TIPOLOGIA_TESTE,'"&amp;D352&amp;"' AS TABELA_LT,'N/A' AS TABELA_SIMUL,'"&amp;F352&amp;"' AS CAMPO, "&amp;"'${ref_date}' AS REF_DATE, COUNT(*) AS NUM_REG, SUM(IF(TRIM(CAST(X."&amp;F352&amp;" AS STRING)) IN ('N/A','11111111111','11111111111.00','11111111111.000000','1111-11-11'),1,0)) AS NUM_REG_DIF,'"&amp;MAX('ID1&amp;5'!K:K)+1&amp;"' AS ID_EXEC, CURRENT_TIMESTAMP() AS TIME_EXEC FROM "&amp;I352,
IF(C352="Valores extremos",+"SELECT '"&amp;UPPER(B352)&amp;"' AS TABELA, '"&amp;UPPER(C352)&amp;"' AS TIPOLOGIA_TESTE,'"&amp;D352&amp;"' AS TABELA_LT,'N/A' AS TABELA_SIMUL,'"&amp;F352&amp;"' AS CAMPO, "&amp;"'${ref_date}' AS REF_DATE, CAST(MIN("&amp;F352&amp;") AS STRING) AS VALOR_MIN, CAST(MAX("&amp;F352&amp;") AS STRING) AS VALOR_MAX,'"&amp;MAX('ID1&amp;5'!K:K)+1&amp;"' AS ID_EXEC, CURRENT_TIMESTAMP() AS TIME_EXEC FROM "&amp;MID(I352,1,LEN(I352)-2)&amp;" AND CAST("&amp;F352&amp;"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TABELA_SIMUL,'DT_PRTCTN_VL' AS CAMPO, '${ref_date}' AS REF_DATE, COUNT(*) AS NUM_REG, SUM(IF(COALESCE(CAST(X.DT_PRTCTN_VL AS STRING),'')&lt;&gt;COALESCE(CAST(Y.DT_PRTCTN_VL_SIMUL AS STRING),'') OR (X.DT_PRTCTN_VL IS NULL AND Y.DT_PRTCTN_VL_SIMUL IS NOT NULL ) OR (X.DT_PRTCTN_VL IS NOT NULL AND Y.DT_PRTCTN_VL_SIMUL IS NULL),1,0)) AS NUM_REG_DIF,'1' AS ID_EXEC, CURRENT_TIMESTAMP() AS TIME_EXEC FROM (SELECT prtctn_id, DT_PRTCTN_VL FROM CD_LOAN_TAPES_BCE.LT004_PROTECTION WHERE ref_date='${ref_date}' AND nome_perimetro='Individual Corporativo' AND segmento='ESTR' AND ambito='PM' AND entidade='00100')X INNER JOIN (SELECT prtctn_id AS prtctn_id_SIMUL, DT_PRTCTN_VL AS DT_PRTCTN_VL_SIMUL FROM BU_LOANTAPE_WORK.LT004_PROTECTION WHERE ref_date='${ref_date}' AND nome_perimetro='Individual Corporativo' AND segmento='ESTR' AND ambito='PM' AND entidade='00100')Y ON X.PRTCTN_ID=Y.PRTCTN_ID_SIMUL</v>
      </c>
      <c r="M352" s="36" t="str">
        <f t="shared" si="7"/>
        <v>UNION ALL SELECT 'PROTECTION' AS TABELA, 'COERÊNCIA' AS TIPOLOGIA_TESTE,'CD_LOAN_TAPES_BCE.LT004_PROTECTION' AS TABELA_LT,'BU_LOANTAPE_WORK.LT004_PROTECTION' AS TABELA_SIMUL,'DT_PRTCTN_VL' AS CAMPO, '${ref_date}' AS REF_DATE, COUNT(*) AS NUM_REG, SUM(IF(COALESCE(CAST(X.DT_PRTCTN_VL AS STRING),'')&lt;&gt;COALESCE(CAST(Y.DT_PRTCTN_VL_SIMUL AS STRING),'') OR (X.DT_PRTCTN_VL IS NULL AND Y.DT_PRTCTN_VL_SIMUL IS NOT NULL ) OR (X.DT_PRTCTN_VL IS NOT NULL AND Y.DT_PRTCTN_VL_SIMUL IS NULL),1,0)) AS NUM_REG_DIF,'1' AS ID_EXEC, CURRENT_TIMESTAMP() AS TIME_EXEC FROM (SELECT prtctn_id, DT_PRTCTN_VL FROM CD_LOAN_TAPES_BCE.LT004_PROTECTION WHERE ref_date='${ref_date}' AND nome_perimetro='Individual Corporativo' AND segmento='ESTR' AND ambito='PM' AND entidade='00100')X INNER JOIN (SELECT prtctn_id AS prtctn_id_SIMUL, DT_PRTCTN_VL AS DT_PRTCTN_VL_SIMUL FROM BU_LOANTAPE_WORK.LT004_PROTECTION WHERE ref_date='${ref_date}' AND nome_perimetro='Individual Corporativo' AND segmento='ESTR' AND ambito='PM' AND entidade='00100')Y ON X.PRTCTN_ID=Y.PRTCTN_ID_SIMUL</v>
      </c>
      <c r="N352" s="38" t="s">
        <v>46</v>
      </c>
    </row>
    <row r="353" spans="2:14" hidden="1">
      <c r="B353" s="34" t="s">
        <v>128</v>
      </c>
      <c r="C353" s="34" t="s">
        <v>5</v>
      </c>
      <c r="D353" s="34" t="str">
        <f>+UPPER('0. Instruções'!$D$35&amp;"."&amp;VLOOKUP(B353,'0. Instruções'!$C$27:$D$32,2,FALSE))</f>
        <v>CD_LOAN_TAPES_BCE.LT004_PROTECTION</v>
      </c>
      <c r="E353" s="34" t="str">
        <f>+UPPER('0. Instruções'!$D$36&amp;"."&amp;VLOOKUP(B353,'0. Instruções'!$C$27:$E$32,3,FALSE))</f>
        <v>BU_LOANTAPE_WORK.LT004_PROTECTION</v>
      </c>
      <c r="F353" s="34" t="s">
        <v>124</v>
      </c>
      <c r="G353" s="34"/>
      <c r="H353" s="34" t="s">
        <v>92</v>
      </c>
      <c r="I353" s="34" t="str">
        <f>"(SELECT "&amp;VLOOKUP(B353,'0. Instruções'!$C$27:$G$32,4,FALSE)&amp;", "&amp;F353&amp;" FROM "&amp;D353&amp;" WHERE "&amp;'0. Instruções'!$D$42&amp;")X"</f>
        <v>(SELECT prtctn_id, ORGNL_PRTCTN_VL FROM CD_LOAN_TAPES_BCE.LT004_PROTECTION WHERE ref_date='${ref_date}' AND nome_perimetro='Individual Corporativo' AND segmento='ESTR' AND ambito='PM' AND entidade='00100')X</v>
      </c>
      <c r="J353" s="34" t="str">
        <f>"(SELECT "&amp;VLOOKUP(B353,'0. Instruções'!$C$27:$G$32,4,FALSE)&amp;" AS "&amp;VLOOKUP(B353,'0. Instruções'!$C$27:$G$32,4,FALSE)&amp;"_SIMUL, "&amp;F353&amp;" AS "&amp;F353&amp;"_SIMUL FROM "&amp;E353&amp;" WHERE "&amp;'0. Instruções'!$D$43&amp;")Y"</f>
        <v>(SELECT prtctn_id AS prtctn_id_SIMUL, ORGNL_PRTCTN_VL AS ORGNL_PRTCTN_VL_SIMUL FROM BU_LOANTAPE_WORK.LT004_PROTECTION WHERE ref_date='${ref_date}' AND nome_perimetro='Individual Corporativo' AND segmento='ESTR' AND ambito='PM' AND entidade='00100')Y</v>
      </c>
      <c r="K353" s="35" t="str">
        <f>+UPPER("ON X."&amp;VLOOKUP(B353,'0. Instruções'!$C$27:$G$32,4,FALSE)&amp;"=Y."&amp;VLOOKUP(B353,'0. Instruções'!$C$27:$G$32,4,FALSE)&amp;"_SIMUL")</f>
        <v>ON X.PRTCTN_ID=Y.PRTCTN_ID_SIMUL</v>
      </c>
      <c r="L353" s="35" t="str">
        <f>+IF(C353="Coerência", +IF(LEFT(G353,5)="FLOAT","SELECT '"&amp;UPPER(B353)&amp;"' AS TABELA, '"&amp;UPPER(C353)&amp;"' AS TIPOLOGIA_TESTE,'"&amp;D353&amp;"' AS TABELA_LT,'"&amp;E353&amp;"' AS TABELA_SIMUL,'"&amp;F353&amp;"' AS CAMPO, "&amp;"'${ref_date}' AS REF_DATE, COUNT(*) AS NUM_REG, SUM(IF((ABS(COALESCE(CAST(X."&amp;F353&amp;" AS DECIMAL(18,6)),0)-COALESCE(CAST(Y."&amp;F353&amp;"_SIMUL AS DECIMAL(18,6)),0))&gt;0.000001) OR (X."&amp;F353&amp;" IS NULL AND Y."&amp;F353&amp;"_SIMUL IS NOT NULL ) OR (X."&amp;F353&amp;" IS NOT NULL AND Y."&amp;F353&amp;"_SIMUL IS NULL),1,0)) AS NUM_REG_DIF,'"&amp;MAX('ID1&amp;5'!K:K)+1&amp;"' AS ID_EXEC, CURRENT_TIMESTAMP() AS TIME_EXEC FROM "&amp;I353&amp;" INNER JOIN "&amp;J353&amp;" "&amp;K353,"SELECT '"&amp;UPPER(B353)&amp;"' AS TABELA, '"&amp;UPPER(C353)&amp;"' AS TIPOLOGIA_TESTE,'"&amp;D353&amp;"' AS TABELA_LT,'"&amp;E353&amp;"' AS TABELA_SIMUL,'"&amp;F353&amp;"' AS CAMPO, "&amp;"'${ref_date}' AS REF_DATE, COUNT(*) AS NUM_REG, SUM(IF(COALESCE(CAST(X."&amp;F353&amp;" AS STRING),'')&lt;&gt;COALESCE(CAST(Y."&amp;F353&amp;"_SIMUL AS STRING),'') OR (X."&amp;F353&amp;" IS NULL AND Y."&amp;F353&amp;"_SIMUL IS NOT NULL ) OR (X."&amp;F353&amp;" IS NOT NULL AND Y."&amp;F353&amp;"_SIMUL IS NULL),1,0)) AS NUM_REG_DIF,'"&amp;MAX('ID1&amp;5'!L:L)+1&amp;"' AS ID_EXEC, CURRENT_TIMESTAMP() AS TIME_EXEC FROM "&amp;I353&amp;" INNER JOIN "&amp;J353&amp;" "&amp;K353),
IF(C353="Validade",+IF(G353="Code List","SELECT '"&amp;UPPER(B353)&amp;"' AS TABELA, '"&amp;UPPER(C353)&amp;"' AS TIPOLOGIA_TESTE,'"&amp;D353&amp;"' AS TABELA_LT,'N/A' AS TABELA_SIMUL,'"&amp;F353&amp;"' AS CAMPO, "&amp;"'${ref_date}' AS REF_DATE, COUNT(*) AS NUM_REG, SUM(IF(TRIM(CAST(X."&amp;F353&amp;" AS STRING))='' OR TRIM(CAST(X."&amp;F353&amp;" AS STRING)) IS NULL OR CAST(X."&amp;F353&amp;" AS STRING) NOT "&amp;H353&amp;",1,0)) AS NUM_REG_DIF,'"&amp;MAX('ID1&amp;5'!K:K)+1&amp;"' AS ID_EXEC, CURRENT_TIMESTAMP() AS TIME_EXEC FROM "&amp;I353,"SELECT '"&amp;UPPER(B353)&amp;"' AS TABELA, '"&amp;UPPER(C353)&amp;"' AS TIPOLOGIA_TESTE,'"&amp;D353&amp;"' AS TABELA_LT,'N/A' AS TABELA_SIMUL,'"&amp;F353&amp;"' AS CAMPO, "&amp;"'${ref_date}' AS REF_DATE, COUNT(*) AS NUM_REG, SUM(IF(TRIM(CAST(X."&amp;F353&amp;" AS STRING))='' OR TRIM(CAST(X."&amp;F353&amp;" AS STRING)) IS NULL,1,0)) AS NUM_REG_DIF,'"&amp;MAX('ID1&amp;5'!K:K)+1&amp;"' AS ID_EXEC, CURRENT_TIMESTAMP() AS TIME_EXEC FROM "&amp;I353),
IF(C353="Caracteres Especiais",+"SELECT '"&amp;UPPER(B353)&amp;"' AS TABELA, '"&amp;UPPER(C353)&amp;"' AS TIPOLOGIA_TESTE,'"&amp;D353&amp;"' AS TABELA_LT,'N/A' AS TABELA_SIMUL,'"&amp;F353&amp;"' AS CAMPO, "&amp;"'${ref_date}' AS REF_DATE, COUNT(*) AS NUM_REG, SUM(IF(REGEXP_REPLACE(TRIM(CAST(X."&amp;F353&amp;" AS STRING)),'[^a-zA-Z0-9_\\s]','') &lt;&gt;TRIM(CAST(X."&amp;F353&amp;" AS STRING)),1,0)) AS NUM_REG_DIF,'"&amp;MAX('ID1&amp;5'!K:K)+1&amp;"' AS ID_EXEC, CURRENT_TIMESTAMP() AS TIME_EXEC FROM "&amp;I353,
IF(C353="Missings",+"SELECT '"&amp;UPPER(B353)&amp;"' AS TABELA, '"&amp;UPPER(C353)&amp;"' AS TIPOLOGIA_TESTE,'"&amp;D353&amp;"' AS TABELA_LT,'N/A' AS TABELA_SIMUL,'"&amp;F353&amp;"' AS CAMPO, "&amp;"'${ref_date}' AS REF_DATE, COUNT(*) AS NUM_REG, SUM(IF(TRIM(CAST(X."&amp;F353&amp;" AS STRING)) IN ('0000-00-00','0001-01-01','9999-12-31','MISS','00000','99999999999','99999999999.00','99999999999.000000'),1,0)) AS NUM_REG_DIF,'"&amp;MAX('ID1&amp;5'!K:K)+1&amp;"' AS ID_EXEC, CURRENT_TIMESTAMP() AS TIME_EXEC FROM "&amp;I353,
IF(C353="Not applicable",+"SELECT '"&amp;UPPER(B353)&amp;"' AS TABELA, '"&amp;UPPER(C353)&amp;"' AS TIPOLOGIA_TESTE,'"&amp;D353&amp;"' AS TABELA_LT,'N/A' AS TABELA_SIMUL,'"&amp;F353&amp;"' AS CAMPO, "&amp;"'${ref_date}' AS REF_DATE, COUNT(*) AS NUM_REG, SUM(IF(TRIM(CAST(X."&amp;F353&amp;" AS STRING)) IN ('N/A','11111111111','11111111111.00','11111111111.000000','1111-11-11'),1,0)) AS NUM_REG_DIF,'"&amp;MAX('ID1&amp;5'!K:K)+1&amp;"' AS ID_EXEC, CURRENT_TIMESTAMP() AS TIME_EXEC FROM "&amp;I353,
IF(C353="Valores extremos",+"SELECT '"&amp;UPPER(B353)&amp;"' AS TABELA, '"&amp;UPPER(C353)&amp;"' AS TIPOLOGIA_TESTE,'"&amp;D353&amp;"' AS TABELA_LT,'N/A' AS TABELA_SIMUL,'"&amp;F353&amp;"' AS CAMPO, "&amp;"'${ref_date}' AS REF_DATE, CAST(MIN("&amp;F353&amp;") AS STRING) AS VALOR_MIN, CAST(MAX("&amp;F353&amp;") AS STRING) AS VALOR_MAX,'"&amp;MAX('ID1&amp;5'!K:K)+1&amp;"' AS ID_EXEC, CURRENT_TIMESTAMP() AS TIME_EXEC FROM "&amp;MID(I353,1,LEN(I353)-2)&amp;" AND CAST("&amp;F353&amp;"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TABELA_SIMUL,'ORGNL_PRTCTN_VL' AS CAMPO, '${ref_date}' AS REF_DATE, COUNT(*) AS NUM_REG, SUM(IF(COALESCE(CAST(X.ORGNL_PRTCTN_VL AS STRING),'')&lt;&gt;COALESCE(CAST(Y.ORGNL_PRTCTN_VL_SIMUL AS STRING),'') OR (X.ORGNL_PRTCTN_VL IS NULL AND Y.ORGNL_PRTCTN_VL_SIMUL IS NOT NULL ) OR (X.ORGNL_PRTCTN_VL IS NOT NULL AND Y.ORGNL_PRTCTN_VL_SIMUL IS NULL),1,0)) AS NUM_REG_DIF,'1' AS ID_EXEC, CURRENT_TIMESTAMP() AS TIME_EXEC FROM (SELECT prtctn_id, ORGNL_PRTCTN_VL FROM CD_LOAN_TAPES_BCE.LT004_PROTECTION WHERE ref_date='${ref_date}' AND nome_perimetro='Individual Corporativo' AND segmento='ESTR' AND ambito='PM' AND entidade='00100')X INNER JOIN (SELECT prtctn_id AS prtctn_id_SIMUL, ORGNL_PRTCTN_VL AS ORGNL_PRTCTN_VL_SIMUL FROM BU_LOANTAPE_WORK.LT004_PROTECTION WHERE ref_date='${ref_date}' AND nome_perimetro='Individual Corporativo' AND segmento='ESTR' AND ambito='PM' AND entidade='00100')Y ON X.PRTCTN_ID=Y.PRTCTN_ID_SIMUL</v>
      </c>
      <c r="M353" s="36" t="str">
        <f t="shared" si="7"/>
        <v>UNION ALL SELECT 'PROTECTION' AS TABELA, 'COERÊNCIA' AS TIPOLOGIA_TESTE,'CD_LOAN_TAPES_BCE.LT004_PROTECTION' AS TABELA_LT,'BU_LOANTAPE_WORK.LT004_PROTECTION' AS TABELA_SIMUL,'ORGNL_PRTCTN_VL' AS CAMPO, '${ref_date}' AS REF_DATE, COUNT(*) AS NUM_REG, SUM(IF(COALESCE(CAST(X.ORGNL_PRTCTN_VL AS STRING),'')&lt;&gt;COALESCE(CAST(Y.ORGNL_PRTCTN_VL_SIMUL AS STRING),'') OR (X.ORGNL_PRTCTN_VL IS NULL AND Y.ORGNL_PRTCTN_VL_SIMUL IS NOT NULL ) OR (X.ORGNL_PRTCTN_VL IS NOT NULL AND Y.ORGNL_PRTCTN_VL_SIMUL IS NULL),1,0)) AS NUM_REG_DIF,'1' AS ID_EXEC, CURRENT_TIMESTAMP() AS TIME_EXEC FROM (SELECT prtctn_id, ORGNL_PRTCTN_VL FROM CD_LOAN_TAPES_BCE.LT004_PROTECTION WHERE ref_date='${ref_date}' AND nome_perimetro='Individual Corporativo' AND segmento='ESTR' AND ambito='PM' AND entidade='00100')X INNER JOIN (SELECT prtctn_id AS prtctn_id_SIMUL, ORGNL_PRTCTN_VL AS ORGNL_PRTCTN_VL_SIMUL FROM BU_LOANTAPE_WORK.LT004_PROTECTION WHERE ref_date='${ref_date}' AND nome_perimetro='Individual Corporativo' AND segmento='ESTR' AND ambito='PM' AND entidade='00100')Y ON X.PRTCTN_ID=Y.PRTCTN_ID_SIMUL</v>
      </c>
      <c r="N353" s="38" t="s">
        <v>46</v>
      </c>
    </row>
    <row r="354" spans="2:14" hidden="1">
      <c r="B354" s="34" t="s">
        <v>128</v>
      </c>
      <c r="C354" s="34" t="s">
        <v>5</v>
      </c>
      <c r="D354" s="34" t="str">
        <f>+UPPER('0. Instruções'!$D$35&amp;"."&amp;VLOOKUP(B354,'0. Instruções'!$C$27:$D$32,2,FALSE))</f>
        <v>CD_LOAN_TAPES_BCE.LT004_PROTECTION</v>
      </c>
      <c r="E354" s="34" t="str">
        <f>+UPPER('0. Instruções'!$D$36&amp;"."&amp;VLOOKUP(B354,'0. Instruções'!$C$27:$E$32,3,FALSE))</f>
        <v>BU_LOANTAPE_WORK.LT004_PROTECTION</v>
      </c>
      <c r="F354" s="34" t="s">
        <v>623</v>
      </c>
      <c r="G354" s="34"/>
      <c r="H354" s="34" t="s">
        <v>92</v>
      </c>
      <c r="I354" s="34" t="str">
        <f>"(SELECT "&amp;VLOOKUP(B354,'0. Instruções'!$C$27:$G$32,4,FALSE)&amp;", "&amp;F354&amp;" FROM "&amp;D354&amp;" WHERE "&amp;'0. Instruções'!$D$42&amp;")X"</f>
        <v>(SELECT prtctn_id, PRTCTN_FRCD_SL_VL FROM CD_LOAN_TAPES_BCE.LT004_PROTECTION WHERE ref_date='${ref_date}' AND nome_perimetro='Individual Corporativo' AND segmento='ESTR' AND ambito='PM' AND entidade='00100')X</v>
      </c>
      <c r="J354" s="34" t="str">
        <f>"(SELECT "&amp;VLOOKUP(B354,'0. Instruções'!$C$27:$G$32,4,FALSE)&amp;" AS "&amp;VLOOKUP(B354,'0. Instruções'!$C$27:$G$32,4,FALSE)&amp;"_SIMUL, "&amp;F354&amp;" AS "&amp;F354&amp;"_SIMUL FROM "&amp;E354&amp;" WHERE "&amp;'0. Instruções'!$D$43&amp;")Y"</f>
        <v>(SELECT prtctn_id AS prtctn_id_SIMUL, PRTCTN_FRCD_SL_VL AS PRTCTN_FRCD_SL_VL_SIMUL FROM BU_LOANTAPE_WORK.LT004_PROTECTION WHERE ref_date='${ref_date}' AND nome_perimetro='Individual Corporativo' AND segmento='ESTR' AND ambito='PM' AND entidade='00100')Y</v>
      </c>
      <c r="K354" s="35" t="str">
        <f>+UPPER("ON X."&amp;VLOOKUP(B354,'0. Instruções'!$C$27:$G$32,4,FALSE)&amp;"=Y."&amp;VLOOKUP(B354,'0. Instruções'!$C$27:$G$32,4,FALSE)&amp;"_SIMUL")</f>
        <v>ON X.PRTCTN_ID=Y.PRTCTN_ID_SIMUL</v>
      </c>
      <c r="L354" s="35" t="str">
        <f>+IF(C354="Coerência", +IF(LEFT(G354,5)="FLOAT","SELECT '"&amp;UPPER(B354)&amp;"' AS TABELA, '"&amp;UPPER(C354)&amp;"' AS TIPOLOGIA_TESTE,'"&amp;D354&amp;"' AS TABELA_LT,'"&amp;E354&amp;"' AS TABELA_SIMUL,'"&amp;F354&amp;"' AS CAMPO, "&amp;"'${ref_date}' AS REF_DATE, COUNT(*) AS NUM_REG, SUM(IF((ABS(COALESCE(CAST(X."&amp;F354&amp;" AS DECIMAL(18,6)),0)-COALESCE(CAST(Y."&amp;F354&amp;"_SIMUL AS DECIMAL(18,6)),0))&gt;0.000001) OR (X."&amp;F354&amp;" IS NULL AND Y."&amp;F354&amp;"_SIMUL IS NOT NULL ) OR (X."&amp;F354&amp;" IS NOT NULL AND Y."&amp;F354&amp;"_SIMUL IS NULL),1,0)) AS NUM_REG_DIF,'"&amp;MAX('ID1&amp;5'!K:K)+1&amp;"' AS ID_EXEC, CURRENT_TIMESTAMP() AS TIME_EXEC FROM "&amp;I354&amp;" INNER JOIN "&amp;J354&amp;" "&amp;K354,"SELECT '"&amp;UPPER(B354)&amp;"' AS TABELA, '"&amp;UPPER(C354)&amp;"' AS TIPOLOGIA_TESTE,'"&amp;D354&amp;"' AS TABELA_LT,'"&amp;E354&amp;"' AS TABELA_SIMUL,'"&amp;F354&amp;"' AS CAMPO, "&amp;"'${ref_date}' AS REF_DATE, COUNT(*) AS NUM_REG, SUM(IF(COALESCE(CAST(X."&amp;F354&amp;" AS STRING),'')&lt;&gt;COALESCE(CAST(Y."&amp;F354&amp;"_SIMUL AS STRING),'') OR (X."&amp;F354&amp;" IS NULL AND Y."&amp;F354&amp;"_SIMUL IS NOT NULL ) OR (X."&amp;F354&amp;" IS NOT NULL AND Y."&amp;F354&amp;"_SIMUL IS NULL),1,0)) AS NUM_REG_DIF,'"&amp;MAX('ID1&amp;5'!L:L)+1&amp;"' AS ID_EXEC, CURRENT_TIMESTAMP() AS TIME_EXEC FROM "&amp;I354&amp;" INNER JOIN "&amp;J354&amp;" "&amp;K354),
IF(C354="Validade",+IF(G354="Code List","SELECT '"&amp;UPPER(B354)&amp;"' AS TABELA, '"&amp;UPPER(C354)&amp;"' AS TIPOLOGIA_TESTE,'"&amp;D354&amp;"' AS TABELA_LT,'N/A' AS TABELA_SIMUL,'"&amp;F354&amp;"' AS CAMPO, "&amp;"'${ref_date}' AS REF_DATE, COUNT(*) AS NUM_REG, SUM(IF(TRIM(CAST(X."&amp;F354&amp;" AS STRING))='' OR TRIM(CAST(X."&amp;F354&amp;" AS STRING)) IS NULL OR CAST(X."&amp;F354&amp;" AS STRING) NOT "&amp;H354&amp;",1,0)) AS NUM_REG_DIF,'"&amp;MAX('ID1&amp;5'!K:K)+1&amp;"' AS ID_EXEC, CURRENT_TIMESTAMP() AS TIME_EXEC FROM "&amp;I354,"SELECT '"&amp;UPPER(B354)&amp;"' AS TABELA, '"&amp;UPPER(C354)&amp;"' AS TIPOLOGIA_TESTE,'"&amp;D354&amp;"' AS TABELA_LT,'N/A' AS TABELA_SIMUL,'"&amp;F354&amp;"' AS CAMPO, "&amp;"'${ref_date}' AS REF_DATE, COUNT(*) AS NUM_REG, SUM(IF(TRIM(CAST(X."&amp;F354&amp;" AS STRING))='' OR TRIM(CAST(X."&amp;F354&amp;" AS STRING)) IS NULL,1,0)) AS NUM_REG_DIF,'"&amp;MAX('ID1&amp;5'!K:K)+1&amp;"' AS ID_EXEC, CURRENT_TIMESTAMP() AS TIME_EXEC FROM "&amp;I354),
IF(C354="Caracteres Especiais",+"SELECT '"&amp;UPPER(B354)&amp;"' AS TABELA, '"&amp;UPPER(C354)&amp;"' AS TIPOLOGIA_TESTE,'"&amp;D354&amp;"' AS TABELA_LT,'N/A' AS TABELA_SIMUL,'"&amp;F354&amp;"' AS CAMPO, "&amp;"'${ref_date}' AS REF_DATE, COUNT(*) AS NUM_REG, SUM(IF(REGEXP_REPLACE(TRIM(CAST(X."&amp;F354&amp;" AS STRING)),'[^a-zA-Z0-9_\\s]','') &lt;&gt;TRIM(CAST(X."&amp;F354&amp;" AS STRING)),1,0)) AS NUM_REG_DIF,'"&amp;MAX('ID1&amp;5'!K:K)+1&amp;"' AS ID_EXEC, CURRENT_TIMESTAMP() AS TIME_EXEC FROM "&amp;I354,
IF(C354="Missings",+"SELECT '"&amp;UPPER(B354)&amp;"' AS TABELA, '"&amp;UPPER(C354)&amp;"' AS TIPOLOGIA_TESTE,'"&amp;D354&amp;"' AS TABELA_LT,'N/A' AS TABELA_SIMUL,'"&amp;F354&amp;"' AS CAMPO, "&amp;"'${ref_date}' AS REF_DATE, COUNT(*) AS NUM_REG, SUM(IF(TRIM(CAST(X."&amp;F354&amp;" AS STRING)) IN ('0000-00-00','0001-01-01','9999-12-31','MISS','00000','99999999999','99999999999.00','99999999999.000000'),1,0)) AS NUM_REG_DIF,'"&amp;MAX('ID1&amp;5'!K:K)+1&amp;"' AS ID_EXEC, CURRENT_TIMESTAMP() AS TIME_EXEC FROM "&amp;I354,
IF(C354="Not applicable",+"SELECT '"&amp;UPPER(B354)&amp;"' AS TABELA, '"&amp;UPPER(C354)&amp;"' AS TIPOLOGIA_TESTE,'"&amp;D354&amp;"' AS TABELA_LT,'N/A' AS TABELA_SIMUL,'"&amp;F354&amp;"' AS CAMPO, "&amp;"'${ref_date}' AS REF_DATE, COUNT(*) AS NUM_REG, SUM(IF(TRIM(CAST(X."&amp;F354&amp;" AS STRING)) IN ('N/A','11111111111','11111111111.00','11111111111.000000','1111-11-11'),1,0)) AS NUM_REG_DIF,'"&amp;MAX('ID1&amp;5'!K:K)+1&amp;"' AS ID_EXEC, CURRENT_TIMESTAMP() AS TIME_EXEC FROM "&amp;I354,
IF(C354="Valores extremos",+"SELECT '"&amp;UPPER(B354)&amp;"' AS TABELA, '"&amp;UPPER(C354)&amp;"' AS TIPOLOGIA_TESTE,'"&amp;D354&amp;"' AS TABELA_LT,'N/A' AS TABELA_SIMUL,'"&amp;F354&amp;"' AS CAMPO, "&amp;"'${ref_date}' AS REF_DATE, CAST(MIN("&amp;F354&amp;") AS STRING) AS VALOR_MIN, CAST(MAX("&amp;F354&amp;") AS STRING) AS VALOR_MAX,'"&amp;MAX('ID1&amp;5'!K:K)+1&amp;"' AS ID_EXEC, CURRENT_TIMESTAMP() AS TIME_EXEC FROM "&amp;MID(I354,1,LEN(I354)-2)&amp;" AND CAST("&amp;F354&amp;"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TABELA_SIMUL,'PRTCTN_FRCD_SL_VL' AS CAMPO, '${ref_date}' AS REF_DATE, COUNT(*) AS NUM_REG, SUM(IF(COALESCE(CAST(X.PRTCTN_FRCD_SL_VL AS STRING),'')&lt;&gt;COALESCE(CAST(Y.PRTCTN_FRCD_SL_VL_SIMUL AS STRING),'') OR (X.PRTCTN_FRCD_SL_VL IS NULL AND Y.PRTCTN_FRCD_SL_VL_SIMUL IS NOT NULL ) OR (X.PRTCTN_FRCD_SL_VL IS NOT NULL AND Y.PRTCTN_FRCD_SL_VL_SIMUL IS NULL),1,0)) AS NUM_REG_DIF,'1' AS ID_EXEC, CURRENT_TIMESTAMP() AS TIME_EXEC FROM (SELECT prtctn_id, PRTCTN_FRCD_SL_VL FROM CD_LOAN_TAPES_BCE.LT004_PROTECTION WHERE ref_date='${ref_date}' AND nome_perimetro='Individual Corporativo' AND segmento='ESTR' AND ambito='PM' AND entidade='00100')X INNER JOIN (SELECT prtctn_id AS prtctn_id_SIMUL, PRTCTN_FRCD_SL_VL AS PRTCTN_FRCD_SL_VL_SIMUL FROM BU_LOANTAPE_WORK.LT004_PROTECTION WHERE ref_date='${ref_date}' AND nome_perimetro='Individual Corporativo' AND segmento='ESTR' AND ambito='PM' AND entidade='00100')Y ON X.PRTCTN_ID=Y.PRTCTN_ID_SIMUL</v>
      </c>
      <c r="M354" s="36" t="str">
        <f t="shared" si="7"/>
        <v>UNION ALL SELECT 'PROTECTION' AS TABELA, 'COERÊNCIA' AS TIPOLOGIA_TESTE,'CD_LOAN_TAPES_BCE.LT004_PROTECTION' AS TABELA_LT,'BU_LOANTAPE_WORK.LT004_PROTECTION' AS TABELA_SIMUL,'PRTCTN_FRCD_SL_VL' AS CAMPO, '${ref_date}' AS REF_DATE, COUNT(*) AS NUM_REG, SUM(IF(COALESCE(CAST(X.PRTCTN_FRCD_SL_VL AS STRING),'')&lt;&gt;COALESCE(CAST(Y.PRTCTN_FRCD_SL_VL_SIMUL AS STRING),'') OR (X.PRTCTN_FRCD_SL_VL IS NULL AND Y.PRTCTN_FRCD_SL_VL_SIMUL IS NOT NULL ) OR (X.PRTCTN_FRCD_SL_VL IS NOT NULL AND Y.PRTCTN_FRCD_SL_VL_SIMUL IS NULL),1,0)) AS NUM_REG_DIF,'1' AS ID_EXEC, CURRENT_TIMESTAMP() AS TIME_EXEC FROM (SELECT prtctn_id, PRTCTN_FRCD_SL_VL FROM CD_LOAN_TAPES_BCE.LT004_PROTECTION WHERE ref_date='${ref_date}' AND nome_perimetro='Individual Corporativo' AND segmento='ESTR' AND ambito='PM' AND entidade='00100')X INNER JOIN (SELECT prtctn_id AS prtctn_id_SIMUL, PRTCTN_FRCD_SL_VL AS PRTCTN_FRCD_SL_VL_SIMUL FROM BU_LOANTAPE_WORK.LT004_PROTECTION WHERE ref_date='${ref_date}' AND nome_perimetro='Individual Corporativo' AND segmento='ESTR' AND ambito='PM' AND entidade='00100')Y ON X.PRTCTN_ID=Y.PRTCTN_ID_SIMUL</v>
      </c>
      <c r="N354" s="38" t="s">
        <v>46</v>
      </c>
    </row>
    <row r="355" spans="2:14" hidden="1">
      <c r="B355" s="34" t="s">
        <v>128</v>
      </c>
      <c r="C355" s="34" t="s">
        <v>5</v>
      </c>
      <c r="D355" s="34" t="str">
        <f>+UPPER('0. Instruções'!$D$35&amp;"."&amp;VLOOKUP(B355,'0. Instruções'!$C$27:$D$32,2,FALSE))</f>
        <v>CD_LOAN_TAPES_BCE.LT004_PROTECTION</v>
      </c>
      <c r="E355" s="34" t="str">
        <f>+UPPER('0. Instruções'!$D$36&amp;"."&amp;VLOOKUP(B355,'0. Instruções'!$C$27:$E$32,3,FALSE))</f>
        <v>BU_LOANTAPE_WORK.LT004_PROTECTION</v>
      </c>
      <c r="F355" s="34" t="s">
        <v>125</v>
      </c>
      <c r="G355" s="34"/>
      <c r="H355" s="34" t="s">
        <v>92</v>
      </c>
      <c r="I355" s="34" t="str">
        <f>"(SELECT "&amp;VLOOKUP(B355,'0. Instruções'!$C$27:$G$32,4,FALSE)&amp;", "&amp;F355&amp;" FROM "&amp;D355&amp;" WHERE "&amp;'0. Instruções'!$D$42&amp;")X"</f>
        <v>(SELECT prtctn_id, PRTCTN_VL FROM CD_LOAN_TAPES_BCE.LT004_PROTECTION WHERE ref_date='${ref_date}' AND nome_perimetro='Individual Corporativo' AND segmento='ESTR' AND ambito='PM' AND entidade='00100')X</v>
      </c>
      <c r="J355" s="34" t="str">
        <f>"(SELECT "&amp;VLOOKUP(B355,'0. Instruções'!$C$27:$G$32,4,FALSE)&amp;" AS "&amp;VLOOKUP(B355,'0. Instruções'!$C$27:$G$32,4,FALSE)&amp;"_SIMUL, "&amp;F355&amp;" AS "&amp;F355&amp;"_SIMUL FROM "&amp;E355&amp;" WHERE "&amp;'0. Instruções'!$D$43&amp;")Y"</f>
        <v>(SELECT prtctn_id AS prtctn_id_SIMUL, PRTCTN_VL AS PRTCTN_VL_SIMUL FROM BU_LOANTAPE_WORK.LT004_PROTECTION WHERE ref_date='${ref_date}' AND nome_perimetro='Individual Corporativo' AND segmento='ESTR' AND ambito='PM' AND entidade='00100')Y</v>
      </c>
      <c r="K355" s="35" t="str">
        <f>+UPPER("ON X."&amp;VLOOKUP(B355,'0. Instruções'!$C$27:$G$32,4,FALSE)&amp;"=Y."&amp;VLOOKUP(B355,'0. Instruções'!$C$27:$G$32,4,FALSE)&amp;"_SIMUL")</f>
        <v>ON X.PRTCTN_ID=Y.PRTCTN_ID_SIMUL</v>
      </c>
      <c r="L355" s="35" t="str">
        <f>+IF(C355="Coerência", +IF(LEFT(G355,5)="FLOAT","SELECT '"&amp;UPPER(B355)&amp;"' AS TABELA, '"&amp;UPPER(C355)&amp;"' AS TIPOLOGIA_TESTE,'"&amp;D355&amp;"' AS TABELA_LT,'"&amp;E355&amp;"' AS TABELA_SIMUL,'"&amp;F355&amp;"' AS CAMPO, "&amp;"'${ref_date}' AS REF_DATE, COUNT(*) AS NUM_REG, SUM(IF((ABS(COALESCE(CAST(X."&amp;F355&amp;" AS DECIMAL(18,6)),0)-COALESCE(CAST(Y."&amp;F355&amp;"_SIMUL AS DECIMAL(18,6)),0))&gt;0.000001) OR (X."&amp;F355&amp;" IS NULL AND Y."&amp;F355&amp;"_SIMUL IS NOT NULL ) OR (X."&amp;F355&amp;" IS NOT NULL AND Y."&amp;F355&amp;"_SIMUL IS NULL),1,0)) AS NUM_REG_DIF,'"&amp;MAX('ID1&amp;5'!K:K)+1&amp;"' AS ID_EXEC, CURRENT_TIMESTAMP() AS TIME_EXEC FROM "&amp;I355&amp;" INNER JOIN "&amp;J355&amp;" "&amp;K355,"SELECT '"&amp;UPPER(B355)&amp;"' AS TABELA, '"&amp;UPPER(C355)&amp;"' AS TIPOLOGIA_TESTE,'"&amp;D355&amp;"' AS TABELA_LT,'"&amp;E355&amp;"' AS TABELA_SIMUL,'"&amp;F355&amp;"' AS CAMPO, "&amp;"'${ref_date}' AS REF_DATE, COUNT(*) AS NUM_REG, SUM(IF(COALESCE(CAST(X."&amp;F355&amp;" AS STRING),'')&lt;&gt;COALESCE(CAST(Y."&amp;F355&amp;"_SIMUL AS STRING),'') OR (X."&amp;F355&amp;" IS NULL AND Y."&amp;F355&amp;"_SIMUL IS NOT NULL ) OR (X."&amp;F355&amp;" IS NOT NULL AND Y."&amp;F355&amp;"_SIMUL IS NULL),1,0)) AS NUM_REG_DIF,'"&amp;MAX('ID1&amp;5'!L:L)+1&amp;"' AS ID_EXEC, CURRENT_TIMESTAMP() AS TIME_EXEC FROM "&amp;I355&amp;" INNER JOIN "&amp;J355&amp;" "&amp;K355),
IF(C355="Validade",+IF(G355="Code List","SELECT '"&amp;UPPER(B355)&amp;"' AS TABELA, '"&amp;UPPER(C355)&amp;"' AS TIPOLOGIA_TESTE,'"&amp;D355&amp;"' AS TABELA_LT,'N/A' AS TABELA_SIMUL,'"&amp;F355&amp;"' AS CAMPO, "&amp;"'${ref_date}' AS REF_DATE, COUNT(*) AS NUM_REG, SUM(IF(TRIM(CAST(X."&amp;F355&amp;" AS STRING))='' OR TRIM(CAST(X."&amp;F355&amp;" AS STRING)) IS NULL OR CAST(X."&amp;F355&amp;" AS STRING) NOT "&amp;H355&amp;",1,0)) AS NUM_REG_DIF,'"&amp;MAX('ID1&amp;5'!K:K)+1&amp;"' AS ID_EXEC, CURRENT_TIMESTAMP() AS TIME_EXEC FROM "&amp;I355,"SELECT '"&amp;UPPER(B355)&amp;"' AS TABELA, '"&amp;UPPER(C355)&amp;"' AS TIPOLOGIA_TESTE,'"&amp;D355&amp;"' AS TABELA_LT,'N/A' AS TABELA_SIMUL,'"&amp;F355&amp;"' AS CAMPO, "&amp;"'${ref_date}' AS REF_DATE, COUNT(*) AS NUM_REG, SUM(IF(TRIM(CAST(X."&amp;F355&amp;" AS STRING))='' OR TRIM(CAST(X."&amp;F355&amp;" AS STRING)) IS NULL,1,0)) AS NUM_REG_DIF,'"&amp;MAX('ID1&amp;5'!K:K)+1&amp;"' AS ID_EXEC, CURRENT_TIMESTAMP() AS TIME_EXEC FROM "&amp;I355),
IF(C355="Caracteres Especiais",+"SELECT '"&amp;UPPER(B355)&amp;"' AS TABELA, '"&amp;UPPER(C355)&amp;"' AS TIPOLOGIA_TESTE,'"&amp;D355&amp;"' AS TABELA_LT,'N/A' AS TABELA_SIMUL,'"&amp;F355&amp;"' AS CAMPO, "&amp;"'${ref_date}' AS REF_DATE, COUNT(*) AS NUM_REG, SUM(IF(REGEXP_REPLACE(TRIM(CAST(X."&amp;F355&amp;" AS STRING)),'[^a-zA-Z0-9_\\s]','') &lt;&gt;TRIM(CAST(X."&amp;F355&amp;" AS STRING)),1,0)) AS NUM_REG_DIF,'"&amp;MAX('ID1&amp;5'!K:K)+1&amp;"' AS ID_EXEC, CURRENT_TIMESTAMP() AS TIME_EXEC FROM "&amp;I355,
IF(C355="Missings",+"SELECT '"&amp;UPPER(B355)&amp;"' AS TABELA, '"&amp;UPPER(C355)&amp;"' AS TIPOLOGIA_TESTE,'"&amp;D355&amp;"' AS TABELA_LT,'N/A' AS TABELA_SIMUL,'"&amp;F355&amp;"' AS CAMPO, "&amp;"'${ref_date}' AS REF_DATE, COUNT(*) AS NUM_REG, SUM(IF(TRIM(CAST(X."&amp;F355&amp;" AS STRING)) IN ('0000-00-00','0001-01-01','9999-12-31','MISS','00000','99999999999','99999999999.00','99999999999.000000'),1,0)) AS NUM_REG_DIF,'"&amp;MAX('ID1&amp;5'!K:K)+1&amp;"' AS ID_EXEC, CURRENT_TIMESTAMP() AS TIME_EXEC FROM "&amp;I355,
IF(C355="Not applicable",+"SELECT '"&amp;UPPER(B355)&amp;"' AS TABELA, '"&amp;UPPER(C355)&amp;"' AS TIPOLOGIA_TESTE,'"&amp;D355&amp;"' AS TABELA_LT,'N/A' AS TABELA_SIMUL,'"&amp;F355&amp;"' AS CAMPO, "&amp;"'${ref_date}' AS REF_DATE, COUNT(*) AS NUM_REG, SUM(IF(TRIM(CAST(X."&amp;F355&amp;" AS STRING)) IN ('N/A','11111111111','11111111111.00','11111111111.000000','1111-11-11'),1,0)) AS NUM_REG_DIF,'"&amp;MAX('ID1&amp;5'!K:K)+1&amp;"' AS ID_EXEC, CURRENT_TIMESTAMP() AS TIME_EXEC FROM "&amp;I355,
IF(C355="Valores extremos",+"SELECT '"&amp;UPPER(B355)&amp;"' AS TABELA, '"&amp;UPPER(C355)&amp;"' AS TIPOLOGIA_TESTE,'"&amp;D355&amp;"' AS TABELA_LT,'N/A' AS TABELA_SIMUL,'"&amp;F355&amp;"' AS CAMPO, "&amp;"'${ref_date}' AS REF_DATE, CAST(MIN("&amp;F355&amp;") AS STRING) AS VALOR_MIN, CAST(MAX("&amp;F355&amp;") AS STRING) AS VALOR_MAX,'"&amp;MAX('ID1&amp;5'!K:K)+1&amp;"' AS ID_EXEC, CURRENT_TIMESTAMP() AS TIME_EXEC FROM "&amp;MID(I355,1,LEN(I355)-2)&amp;" AND CAST("&amp;F355&amp;"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TABELA_SIMUL,'PRTCTN_VL' AS CAMPO, '${ref_date}' AS REF_DATE, COUNT(*) AS NUM_REG, SUM(IF(COALESCE(CAST(X.PRTCTN_VL AS STRING),'')&lt;&gt;COALESCE(CAST(Y.PRTCTN_VL_SIMUL AS STRING),'') OR (X.PRTCTN_VL IS NULL AND Y.PRTCTN_VL_SIMUL IS NOT NULL ) OR (X.PRTCTN_VL IS NOT NULL AND Y.PRTCTN_VL_SIMUL IS NULL),1,0)) AS NUM_REG_DIF,'1' AS ID_EXEC, CURRENT_TIMESTAMP() AS TIME_EXEC FROM (SELECT prtctn_id, PRTCTN_VL FROM CD_LOAN_TAPES_BCE.LT004_PROTECTION WHERE ref_date='${ref_date}' AND nome_perimetro='Individual Corporativo' AND segmento='ESTR' AND ambito='PM' AND entidade='00100')X INNER JOIN (SELECT prtctn_id AS prtctn_id_SIMUL, PRTCTN_VL AS PRTCTN_VL_SIMUL FROM BU_LOANTAPE_WORK.LT004_PROTECTION WHERE ref_date='${ref_date}' AND nome_perimetro='Individual Corporativo' AND segmento='ESTR' AND ambito='PM' AND entidade='00100')Y ON X.PRTCTN_ID=Y.PRTCTN_ID_SIMUL</v>
      </c>
      <c r="M355" s="36" t="str">
        <f t="shared" si="7"/>
        <v>UNION ALL SELECT 'PROTECTION' AS TABELA, 'COERÊNCIA' AS TIPOLOGIA_TESTE,'CD_LOAN_TAPES_BCE.LT004_PROTECTION' AS TABELA_LT,'BU_LOANTAPE_WORK.LT004_PROTECTION' AS TABELA_SIMUL,'PRTCTN_VL' AS CAMPO, '${ref_date}' AS REF_DATE, COUNT(*) AS NUM_REG, SUM(IF(COALESCE(CAST(X.PRTCTN_VL AS STRING),'')&lt;&gt;COALESCE(CAST(Y.PRTCTN_VL_SIMUL AS STRING),'') OR (X.PRTCTN_VL IS NULL AND Y.PRTCTN_VL_SIMUL IS NOT NULL ) OR (X.PRTCTN_VL IS NOT NULL AND Y.PRTCTN_VL_SIMUL IS NULL),1,0)) AS NUM_REG_DIF,'1' AS ID_EXEC, CURRENT_TIMESTAMP() AS TIME_EXEC FROM (SELECT prtctn_id, PRTCTN_VL FROM CD_LOAN_TAPES_BCE.LT004_PROTECTION WHERE ref_date='${ref_date}' AND nome_perimetro='Individual Corporativo' AND segmento='ESTR' AND ambito='PM' AND entidade='00100')X INNER JOIN (SELECT prtctn_id AS prtctn_id_SIMUL, PRTCTN_VL AS PRTCTN_VL_SIMUL FROM BU_LOANTAPE_WORK.LT004_PROTECTION WHERE ref_date='${ref_date}' AND nome_perimetro='Individual Corporativo' AND segmento='ESTR' AND ambito='PM' AND entidade='00100')Y ON X.PRTCTN_ID=Y.PRTCTN_ID_SIMUL</v>
      </c>
      <c r="N355" s="38" t="s">
        <v>46</v>
      </c>
    </row>
    <row r="356" spans="2:14" hidden="1">
      <c r="B356" s="34" t="s">
        <v>128</v>
      </c>
      <c r="C356" s="34" t="s">
        <v>5</v>
      </c>
      <c r="D356" s="34" t="str">
        <f>+UPPER('0. Instruções'!$D$35&amp;"."&amp;VLOOKUP(B356,'0. Instruções'!$C$27:$D$32,2,FALSE))</f>
        <v>CD_LOAN_TAPES_BCE.LT004_PROTECTION</v>
      </c>
      <c r="E356" s="34" t="str">
        <f>+UPPER('0. Instruções'!$D$36&amp;"."&amp;VLOOKUP(B356,'0. Instruções'!$C$27:$E$32,3,FALSE))</f>
        <v>BU_LOANTAPE_WORK.LT004_PROTECTION</v>
      </c>
      <c r="F356" s="34" t="s">
        <v>624</v>
      </c>
      <c r="G356" s="34"/>
      <c r="H356" s="34" t="s">
        <v>92</v>
      </c>
      <c r="I356" s="34" t="str">
        <f>"(SELECT "&amp;VLOOKUP(B356,'0. Instruções'!$C$27:$G$32,4,FALSE)&amp;", "&amp;F356&amp;" FROM "&amp;D356&amp;" WHERE "&amp;'0. Instruções'!$D$42&amp;")X"</f>
        <v>(SELECT prtctn_id, PRTCTN_VL_NPE FROM CD_LOAN_TAPES_BCE.LT004_PROTECTION WHERE ref_date='${ref_date}' AND nome_perimetro='Individual Corporativo' AND segmento='ESTR' AND ambito='PM' AND entidade='00100')X</v>
      </c>
      <c r="J356" s="34" t="str">
        <f>"(SELECT "&amp;VLOOKUP(B356,'0. Instruções'!$C$27:$G$32,4,FALSE)&amp;" AS "&amp;VLOOKUP(B356,'0. Instruções'!$C$27:$G$32,4,FALSE)&amp;"_SIMUL, "&amp;F356&amp;" AS "&amp;F356&amp;"_SIMUL FROM "&amp;E356&amp;" WHERE "&amp;'0. Instruções'!$D$43&amp;")Y"</f>
        <v>(SELECT prtctn_id AS prtctn_id_SIMUL, PRTCTN_VL_NPE AS PRTCTN_VL_NPE_SIMUL FROM BU_LOANTAPE_WORK.LT004_PROTECTION WHERE ref_date='${ref_date}' AND nome_perimetro='Individual Corporativo' AND segmento='ESTR' AND ambito='PM' AND entidade='00100')Y</v>
      </c>
      <c r="K356" s="35" t="str">
        <f>+UPPER("ON X."&amp;VLOOKUP(B356,'0. Instruções'!$C$27:$G$32,4,FALSE)&amp;"=Y."&amp;VLOOKUP(B356,'0. Instruções'!$C$27:$G$32,4,FALSE)&amp;"_SIMUL")</f>
        <v>ON X.PRTCTN_ID=Y.PRTCTN_ID_SIMUL</v>
      </c>
      <c r="L356" s="35" t="str">
        <f>+IF(C356="Coerência", +IF(LEFT(G356,5)="FLOAT","SELECT '"&amp;UPPER(B356)&amp;"' AS TABELA, '"&amp;UPPER(C356)&amp;"' AS TIPOLOGIA_TESTE,'"&amp;D356&amp;"' AS TABELA_LT,'"&amp;E356&amp;"' AS TABELA_SIMUL,'"&amp;F356&amp;"' AS CAMPO, "&amp;"'${ref_date}' AS REF_DATE, COUNT(*) AS NUM_REG, SUM(IF((ABS(COALESCE(CAST(X."&amp;F356&amp;" AS DECIMAL(18,6)),0)-COALESCE(CAST(Y."&amp;F356&amp;"_SIMUL AS DECIMAL(18,6)),0))&gt;0.000001) OR (X."&amp;F356&amp;" IS NULL AND Y."&amp;F356&amp;"_SIMUL IS NOT NULL ) OR (X."&amp;F356&amp;" IS NOT NULL AND Y."&amp;F356&amp;"_SIMUL IS NULL),1,0)) AS NUM_REG_DIF,'"&amp;MAX('ID1&amp;5'!K:K)+1&amp;"' AS ID_EXEC, CURRENT_TIMESTAMP() AS TIME_EXEC FROM "&amp;I356&amp;" INNER JOIN "&amp;J356&amp;" "&amp;K356,"SELECT '"&amp;UPPER(B356)&amp;"' AS TABELA, '"&amp;UPPER(C356)&amp;"' AS TIPOLOGIA_TESTE,'"&amp;D356&amp;"' AS TABELA_LT,'"&amp;E356&amp;"' AS TABELA_SIMUL,'"&amp;F356&amp;"' AS CAMPO, "&amp;"'${ref_date}' AS REF_DATE, COUNT(*) AS NUM_REG, SUM(IF(COALESCE(CAST(X."&amp;F356&amp;" AS STRING),'')&lt;&gt;COALESCE(CAST(Y."&amp;F356&amp;"_SIMUL AS STRING),'') OR (X."&amp;F356&amp;" IS NULL AND Y."&amp;F356&amp;"_SIMUL IS NOT NULL ) OR (X."&amp;F356&amp;" IS NOT NULL AND Y."&amp;F356&amp;"_SIMUL IS NULL),1,0)) AS NUM_REG_DIF,'"&amp;MAX('ID1&amp;5'!L:L)+1&amp;"' AS ID_EXEC, CURRENT_TIMESTAMP() AS TIME_EXEC FROM "&amp;I356&amp;" INNER JOIN "&amp;J356&amp;" "&amp;K356),
IF(C356="Validade",+IF(G356="Code List","SELECT '"&amp;UPPER(B356)&amp;"' AS TABELA, '"&amp;UPPER(C356)&amp;"' AS TIPOLOGIA_TESTE,'"&amp;D356&amp;"' AS TABELA_LT,'N/A' AS TABELA_SIMUL,'"&amp;F356&amp;"' AS CAMPO, "&amp;"'${ref_date}' AS REF_DATE, COUNT(*) AS NUM_REG, SUM(IF(TRIM(CAST(X."&amp;F356&amp;" AS STRING))='' OR TRIM(CAST(X."&amp;F356&amp;" AS STRING)) IS NULL OR CAST(X."&amp;F356&amp;" AS STRING) NOT "&amp;H356&amp;",1,0)) AS NUM_REG_DIF,'"&amp;MAX('ID1&amp;5'!K:K)+1&amp;"' AS ID_EXEC, CURRENT_TIMESTAMP() AS TIME_EXEC FROM "&amp;I356,"SELECT '"&amp;UPPER(B356)&amp;"' AS TABELA, '"&amp;UPPER(C356)&amp;"' AS TIPOLOGIA_TESTE,'"&amp;D356&amp;"' AS TABELA_LT,'N/A' AS TABELA_SIMUL,'"&amp;F356&amp;"' AS CAMPO, "&amp;"'${ref_date}' AS REF_DATE, COUNT(*) AS NUM_REG, SUM(IF(TRIM(CAST(X."&amp;F356&amp;" AS STRING))='' OR TRIM(CAST(X."&amp;F356&amp;" AS STRING)) IS NULL,1,0)) AS NUM_REG_DIF,'"&amp;MAX('ID1&amp;5'!K:K)+1&amp;"' AS ID_EXEC, CURRENT_TIMESTAMP() AS TIME_EXEC FROM "&amp;I356),
IF(C356="Caracteres Especiais",+"SELECT '"&amp;UPPER(B356)&amp;"' AS TABELA, '"&amp;UPPER(C356)&amp;"' AS TIPOLOGIA_TESTE,'"&amp;D356&amp;"' AS TABELA_LT,'N/A' AS TABELA_SIMUL,'"&amp;F356&amp;"' AS CAMPO, "&amp;"'${ref_date}' AS REF_DATE, COUNT(*) AS NUM_REG, SUM(IF(REGEXP_REPLACE(TRIM(CAST(X."&amp;F356&amp;" AS STRING)),'[^a-zA-Z0-9_\\s]','') &lt;&gt;TRIM(CAST(X."&amp;F356&amp;" AS STRING)),1,0)) AS NUM_REG_DIF,'"&amp;MAX('ID1&amp;5'!K:K)+1&amp;"' AS ID_EXEC, CURRENT_TIMESTAMP() AS TIME_EXEC FROM "&amp;I356,
IF(C356="Missings",+"SELECT '"&amp;UPPER(B356)&amp;"' AS TABELA, '"&amp;UPPER(C356)&amp;"' AS TIPOLOGIA_TESTE,'"&amp;D356&amp;"' AS TABELA_LT,'N/A' AS TABELA_SIMUL,'"&amp;F356&amp;"' AS CAMPO, "&amp;"'${ref_date}' AS REF_DATE, COUNT(*) AS NUM_REG, SUM(IF(TRIM(CAST(X."&amp;F356&amp;" AS STRING)) IN ('0000-00-00','0001-01-01','9999-12-31','MISS','00000','99999999999','99999999999.00','99999999999.000000'),1,0)) AS NUM_REG_DIF,'"&amp;MAX('ID1&amp;5'!K:K)+1&amp;"' AS ID_EXEC, CURRENT_TIMESTAMP() AS TIME_EXEC FROM "&amp;I356,
IF(C356="Not applicable",+"SELECT '"&amp;UPPER(B356)&amp;"' AS TABELA, '"&amp;UPPER(C356)&amp;"' AS TIPOLOGIA_TESTE,'"&amp;D356&amp;"' AS TABELA_LT,'N/A' AS TABELA_SIMUL,'"&amp;F356&amp;"' AS CAMPO, "&amp;"'${ref_date}' AS REF_DATE, COUNT(*) AS NUM_REG, SUM(IF(TRIM(CAST(X."&amp;F356&amp;" AS STRING)) IN ('N/A','11111111111','11111111111.00','11111111111.000000','1111-11-11'),1,0)) AS NUM_REG_DIF,'"&amp;MAX('ID1&amp;5'!K:K)+1&amp;"' AS ID_EXEC, CURRENT_TIMESTAMP() AS TIME_EXEC FROM "&amp;I356,
IF(C356="Valores extremos",+"SELECT '"&amp;UPPER(B356)&amp;"' AS TABELA, '"&amp;UPPER(C356)&amp;"' AS TIPOLOGIA_TESTE,'"&amp;D356&amp;"' AS TABELA_LT,'N/A' AS TABELA_SIMUL,'"&amp;F356&amp;"' AS CAMPO, "&amp;"'${ref_date}' AS REF_DATE, CAST(MIN("&amp;F356&amp;") AS STRING) AS VALOR_MIN, CAST(MAX("&amp;F356&amp;") AS STRING) AS VALOR_MAX,'"&amp;MAX('ID1&amp;5'!K:K)+1&amp;"' AS ID_EXEC, CURRENT_TIMESTAMP() AS TIME_EXEC FROM "&amp;MID(I356,1,LEN(I356)-2)&amp;" AND CAST("&amp;F356&amp;"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TABELA_SIMUL,'PRTCTN_VL_NPE' AS CAMPO, '${ref_date}' AS REF_DATE, COUNT(*) AS NUM_REG, SUM(IF(COALESCE(CAST(X.PRTCTN_VL_NPE AS STRING),'')&lt;&gt;COALESCE(CAST(Y.PRTCTN_VL_NPE_SIMUL AS STRING),'') OR (X.PRTCTN_VL_NPE IS NULL AND Y.PRTCTN_VL_NPE_SIMUL IS NOT NULL ) OR (X.PRTCTN_VL_NPE IS NOT NULL AND Y.PRTCTN_VL_NPE_SIMUL IS NULL),1,0)) AS NUM_REG_DIF,'1' AS ID_EXEC, CURRENT_TIMESTAMP() AS TIME_EXEC FROM (SELECT prtctn_id, PRTCTN_VL_NPE FROM CD_LOAN_TAPES_BCE.LT004_PROTECTION WHERE ref_date='${ref_date}' AND nome_perimetro='Individual Corporativo' AND segmento='ESTR' AND ambito='PM' AND entidade='00100')X INNER JOIN (SELECT prtctn_id AS prtctn_id_SIMUL, PRTCTN_VL_NPE AS PRTCTN_VL_NPE_SIMUL FROM BU_LOANTAPE_WORK.LT004_PROTECTION WHERE ref_date='${ref_date}' AND nome_perimetro='Individual Corporativo' AND segmento='ESTR' AND ambito='PM' AND entidade='00100')Y ON X.PRTCTN_ID=Y.PRTCTN_ID_SIMUL</v>
      </c>
      <c r="M356" s="36" t="str">
        <f t="shared" si="7"/>
        <v>UNION ALL SELECT 'PROTECTION' AS TABELA, 'COERÊNCIA' AS TIPOLOGIA_TESTE,'CD_LOAN_TAPES_BCE.LT004_PROTECTION' AS TABELA_LT,'BU_LOANTAPE_WORK.LT004_PROTECTION' AS TABELA_SIMUL,'PRTCTN_VL_NPE' AS CAMPO, '${ref_date}' AS REF_DATE, COUNT(*) AS NUM_REG, SUM(IF(COALESCE(CAST(X.PRTCTN_VL_NPE AS STRING),'')&lt;&gt;COALESCE(CAST(Y.PRTCTN_VL_NPE_SIMUL AS STRING),'') OR (X.PRTCTN_VL_NPE IS NULL AND Y.PRTCTN_VL_NPE_SIMUL IS NOT NULL ) OR (X.PRTCTN_VL_NPE IS NOT NULL AND Y.PRTCTN_VL_NPE_SIMUL IS NULL),1,0)) AS NUM_REG_DIF,'1' AS ID_EXEC, CURRENT_TIMESTAMP() AS TIME_EXEC FROM (SELECT prtctn_id, PRTCTN_VL_NPE FROM CD_LOAN_TAPES_BCE.LT004_PROTECTION WHERE ref_date='${ref_date}' AND nome_perimetro='Individual Corporativo' AND segmento='ESTR' AND ambito='PM' AND entidade='00100')X INNER JOIN (SELECT prtctn_id AS prtctn_id_SIMUL, PRTCTN_VL_NPE AS PRTCTN_VL_NPE_SIMUL FROM BU_LOANTAPE_WORK.LT004_PROTECTION WHERE ref_date='${ref_date}' AND nome_perimetro='Individual Corporativo' AND segmento='ESTR' AND ambito='PM' AND entidade='00100')Y ON X.PRTCTN_ID=Y.PRTCTN_ID_SIMUL</v>
      </c>
      <c r="N356" s="38" t="s">
        <v>46</v>
      </c>
    </row>
    <row r="357" spans="2:14" hidden="1">
      <c r="B357" s="34" t="s">
        <v>128</v>
      </c>
      <c r="C357" s="34" t="s">
        <v>5</v>
      </c>
      <c r="D357" s="34" t="str">
        <f>+UPPER('0. Instruções'!$D$35&amp;"."&amp;VLOOKUP(B357,'0. Instruções'!$C$27:$D$32,2,FALSE))</f>
        <v>CD_LOAN_TAPES_BCE.LT004_PROTECTION</v>
      </c>
      <c r="E357" s="34" t="str">
        <f>+UPPER('0. Instruções'!$D$36&amp;"."&amp;VLOOKUP(B357,'0. Instruções'!$C$27:$E$32,3,FALSE))</f>
        <v>BU_LOANTAPE_WORK.LT004_PROTECTION</v>
      </c>
      <c r="F357" s="34" t="s">
        <v>625</v>
      </c>
      <c r="G357" s="34"/>
      <c r="H357" s="34" t="s">
        <v>89</v>
      </c>
      <c r="I357" s="34" t="str">
        <f>"(SELECT "&amp;VLOOKUP(B357,'0. Instruções'!$C$27:$G$32,4,FALSE)&amp;", "&amp;F357&amp;" FROM "&amp;D357&amp;" WHERE "&amp;'0. Instruções'!$D$42&amp;")X"</f>
        <v>(SELECT prtctn_id, PRTCTN_VLTN_APPRCH FROM CD_LOAN_TAPES_BCE.LT004_PROTECTION WHERE ref_date='${ref_date}' AND nome_perimetro='Individual Corporativo' AND segmento='ESTR' AND ambito='PM' AND entidade='00100')X</v>
      </c>
      <c r="J357" s="34" t="str">
        <f>"(SELECT "&amp;VLOOKUP(B357,'0. Instruções'!$C$27:$G$32,4,FALSE)&amp;" AS "&amp;VLOOKUP(B357,'0. Instruções'!$C$27:$G$32,4,FALSE)&amp;"_SIMUL, "&amp;F357&amp;" AS "&amp;F357&amp;"_SIMUL FROM "&amp;E357&amp;" WHERE "&amp;'0. Instruções'!$D$43&amp;")Y"</f>
        <v>(SELECT prtctn_id AS prtctn_id_SIMUL, PRTCTN_VLTN_APPRCH AS PRTCTN_VLTN_APPRCH_SIMUL FROM BU_LOANTAPE_WORK.LT004_PROTECTION WHERE ref_date='${ref_date}' AND nome_perimetro='Individual Corporativo' AND segmento='ESTR' AND ambito='PM' AND entidade='00100')Y</v>
      </c>
      <c r="K357" s="35" t="str">
        <f>+UPPER("ON X."&amp;VLOOKUP(B357,'0. Instruções'!$C$27:$G$32,4,FALSE)&amp;"=Y."&amp;VLOOKUP(B357,'0. Instruções'!$C$27:$G$32,4,FALSE)&amp;"_SIMUL")</f>
        <v>ON X.PRTCTN_ID=Y.PRTCTN_ID_SIMUL</v>
      </c>
      <c r="L357" s="35" t="str">
        <f>+IF(C357="Coerência", +IF(LEFT(G357,5)="FLOAT","SELECT '"&amp;UPPER(B357)&amp;"' AS TABELA, '"&amp;UPPER(C357)&amp;"' AS TIPOLOGIA_TESTE,'"&amp;D357&amp;"' AS TABELA_LT,'"&amp;E357&amp;"' AS TABELA_SIMUL,'"&amp;F357&amp;"' AS CAMPO, "&amp;"'${ref_date}' AS REF_DATE, COUNT(*) AS NUM_REG, SUM(IF((ABS(COALESCE(CAST(X."&amp;F357&amp;" AS DECIMAL(18,6)),0)-COALESCE(CAST(Y."&amp;F357&amp;"_SIMUL AS DECIMAL(18,6)),0))&gt;0.000001) OR (X."&amp;F357&amp;" IS NULL AND Y."&amp;F357&amp;"_SIMUL IS NOT NULL ) OR (X."&amp;F357&amp;" IS NOT NULL AND Y."&amp;F357&amp;"_SIMUL IS NULL),1,0)) AS NUM_REG_DIF,'"&amp;MAX('ID1&amp;5'!K:K)+1&amp;"' AS ID_EXEC, CURRENT_TIMESTAMP() AS TIME_EXEC FROM "&amp;I357&amp;" INNER JOIN "&amp;J357&amp;" "&amp;K357,"SELECT '"&amp;UPPER(B357)&amp;"' AS TABELA, '"&amp;UPPER(C357)&amp;"' AS TIPOLOGIA_TESTE,'"&amp;D357&amp;"' AS TABELA_LT,'"&amp;E357&amp;"' AS TABELA_SIMUL,'"&amp;F357&amp;"' AS CAMPO, "&amp;"'${ref_date}' AS REF_DATE, COUNT(*) AS NUM_REG, SUM(IF(COALESCE(CAST(X."&amp;F357&amp;" AS STRING),'')&lt;&gt;COALESCE(CAST(Y."&amp;F357&amp;"_SIMUL AS STRING),'') OR (X."&amp;F357&amp;" IS NULL AND Y."&amp;F357&amp;"_SIMUL IS NOT NULL ) OR (X."&amp;F357&amp;" IS NOT NULL AND Y."&amp;F357&amp;"_SIMUL IS NULL),1,0)) AS NUM_REG_DIF,'"&amp;MAX('ID1&amp;5'!L:L)+1&amp;"' AS ID_EXEC, CURRENT_TIMESTAMP() AS TIME_EXEC FROM "&amp;I357&amp;" INNER JOIN "&amp;J357&amp;" "&amp;K357),
IF(C357="Validade",+IF(G357="Code List","SELECT '"&amp;UPPER(B357)&amp;"' AS TABELA, '"&amp;UPPER(C357)&amp;"' AS TIPOLOGIA_TESTE,'"&amp;D357&amp;"' AS TABELA_LT,'N/A' AS TABELA_SIMUL,'"&amp;F357&amp;"' AS CAMPO, "&amp;"'${ref_date}' AS REF_DATE, COUNT(*) AS NUM_REG, SUM(IF(TRIM(CAST(X."&amp;F357&amp;" AS STRING))='' OR TRIM(CAST(X."&amp;F357&amp;" AS STRING)) IS NULL OR CAST(X."&amp;F357&amp;" AS STRING) NOT "&amp;H357&amp;",1,0)) AS NUM_REG_DIF,'"&amp;MAX('ID1&amp;5'!K:K)+1&amp;"' AS ID_EXEC, CURRENT_TIMESTAMP() AS TIME_EXEC FROM "&amp;I357,"SELECT '"&amp;UPPER(B357)&amp;"' AS TABELA, '"&amp;UPPER(C357)&amp;"' AS TIPOLOGIA_TESTE,'"&amp;D357&amp;"' AS TABELA_LT,'N/A' AS TABELA_SIMUL,'"&amp;F357&amp;"' AS CAMPO, "&amp;"'${ref_date}' AS REF_DATE, COUNT(*) AS NUM_REG, SUM(IF(TRIM(CAST(X."&amp;F357&amp;" AS STRING))='' OR TRIM(CAST(X."&amp;F357&amp;" AS STRING)) IS NULL,1,0)) AS NUM_REG_DIF,'"&amp;MAX('ID1&amp;5'!K:K)+1&amp;"' AS ID_EXEC, CURRENT_TIMESTAMP() AS TIME_EXEC FROM "&amp;I357),
IF(C357="Caracteres Especiais",+"SELECT '"&amp;UPPER(B357)&amp;"' AS TABELA, '"&amp;UPPER(C357)&amp;"' AS TIPOLOGIA_TESTE,'"&amp;D357&amp;"' AS TABELA_LT,'N/A' AS TABELA_SIMUL,'"&amp;F357&amp;"' AS CAMPO, "&amp;"'${ref_date}' AS REF_DATE, COUNT(*) AS NUM_REG, SUM(IF(REGEXP_REPLACE(TRIM(CAST(X."&amp;F357&amp;" AS STRING)),'[^a-zA-Z0-9_\\s]','') &lt;&gt;TRIM(CAST(X."&amp;F357&amp;" AS STRING)),1,0)) AS NUM_REG_DIF,'"&amp;MAX('ID1&amp;5'!K:K)+1&amp;"' AS ID_EXEC, CURRENT_TIMESTAMP() AS TIME_EXEC FROM "&amp;I357,
IF(C357="Missings",+"SELECT '"&amp;UPPER(B357)&amp;"' AS TABELA, '"&amp;UPPER(C357)&amp;"' AS TIPOLOGIA_TESTE,'"&amp;D357&amp;"' AS TABELA_LT,'N/A' AS TABELA_SIMUL,'"&amp;F357&amp;"' AS CAMPO, "&amp;"'${ref_date}' AS REF_DATE, COUNT(*) AS NUM_REG, SUM(IF(TRIM(CAST(X."&amp;F357&amp;" AS STRING)) IN ('0000-00-00','0001-01-01','9999-12-31','MISS','00000','99999999999','99999999999.00','99999999999.000000'),1,0)) AS NUM_REG_DIF,'"&amp;MAX('ID1&amp;5'!K:K)+1&amp;"' AS ID_EXEC, CURRENT_TIMESTAMP() AS TIME_EXEC FROM "&amp;I357,
IF(C357="Not applicable",+"SELECT '"&amp;UPPER(B357)&amp;"' AS TABELA, '"&amp;UPPER(C357)&amp;"' AS TIPOLOGIA_TESTE,'"&amp;D357&amp;"' AS TABELA_LT,'N/A' AS TABELA_SIMUL,'"&amp;F357&amp;"' AS CAMPO, "&amp;"'${ref_date}' AS REF_DATE, COUNT(*) AS NUM_REG, SUM(IF(TRIM(CAST(X."&amp;F357&amp;" AS STRING)) IN ('N/A','11111111111','11111111111.00','11111111111.000000','1111-11-11'),1,0)) AS NUM_REG_DIF,'"&amp;MAX('ID1&amp;5'!K:K)+1&amp;"' AS ID_EXEC, CURRENT_TIMESTAMP() AS TIME_EXEC FROM "&amp;I357,
IF(C357="Valores extremos",+"SELECT '"&amp;UPPER(B357)&amp;"' AS TABELA, '"&amp;UPPER(C357)&amp;"' AS TIPOLOGIA_TESTE,'"&amp;D357&amp;"' AS TABELA_LT,'N/A' AS TABELA_SIMUL,'"&amp;F357&amp;"' AS CAMPO, "&amp;"'${ref_date}' AS REF_DATE, CAST(MIN("&amp;F357&amp;") AS STRING) AS VALOR_MIN, CAST(MAX("&amp;F357&amp;") AS STRING) AS VALOR_MAX,'"&amp;MAX('ID1&amp;5'!K:K)+1&amp;"' AS ID_EXEC, CURRENT_TIMESTAMP() AS TIME_EXEC FROM "&amp;MID(I357,1,LEN(I357)-2)&amp;" AND CAST("&amp;F357&amp;"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TABELA_SIMUL,'PRTCTN_VLTN_APPRCH' AS CAMPO, '${ref_date}' AS REF_DATE, COUNT(*) AS NUM_REG, SUM(IF(COALESCE(CAST(X.PRTCTN_VLTN_APPRCH AS STRING),'')&lt;&gt;COALESCE(CAST(Y.PRTCTN_VLTN_APPRCH_SIMUL AS STRING),'') OR (X.PRTCTN_VLTN_APPRCH IS NULL AND Y.PRTCTN_VLTN_APPRCH_SIMUL IS NOT NULL ) OR (X.PRTCTN_VLTN_APPRCH IS NOT NULL AND Y.PRTCTN_VLTN_APPRCH_SIMUL IS NULL),1,0)) AS NUM_REG_DIF,'1' AS ID_EXEC, CURRENT_TIMESTAMP() AS TIME_EXEC FROM (SELECT prtctn_id, PRTCTN_VLTN_APPRCH FROM CD_LOAN_TAPES_BCE.LT004_PROTECTION WHERE ref_date='${ref_date}' AND nome_perimetro='Individual Corporativo' AND segmento='ESTR' AND ambito='PM' AND entidade='00100')X INNER JOIN (SELECT prtctn_id AS prtctn_id_SIMUL, PRTCTN_VLTN_APPRCH AS PRTCTN_VLTN_APPRCH_SIMUL FROM BU_LOANTAPE_WORK.LT004_PROTECTION WHERE ref_date='${ref_date}' AND nome_perimetro='Individual Corporativo' AND segmento='ESTR' AND ambito='PM' AND entidade='00100')Y ON X.PRTCTN_ID=Y.PRTCTN_ID_SIMUL</v>
      </c>
      <c r="M357" s="36" t="str">
        <f t="shared" si="7"/>
        <v>UNION ALL SELECT 'PROTECTION' AS TABELA, 'COERÊNCIA' AS TIPOLOGIA_TESTE,'CD_LOAN_TAPES_BCE.LT004_PROTECTION' AS TABELA_LT,'BU_LOANTAPE_WORK.LT004_PROTECTION' AS TABELA_SIMUL,'PRTCTN_VLTN_APPRCH' AS CAMPO, '${ref_date}' AS REF_DATE, COUNT(*) AS NUM_REG, SUM(IF(COALESCE(CAST(X.PRTCTN_VLTN_APPRCH AS STRING),'')&lt;&gt;COALESCE(CAST(Y.PRTCTN_VLTN_APPRCH_SIMUL AS STRING),'') OR (X.PRTCTN_VLTN_APPRCH IS NULL AND Y.PRTCTN_VLTN_APPRCH_SIMUL IS NOT NULL ) OR (X.PRTCTN_VLTN_APPRCH IS NOT NULL AND Y.PRTCTN_VLTN_APPRCH_SIMUL IS NULL),1,0)) AS NUM_REG_DIF,'1' AS ID_EXEC, CURRENT_TIMESTAMP() AS TIME_EXEC FROM (SELECT prtctn_id, PRTCTN_VLTN_APPRCH FROM CD_LOAN_TAPES_BCE.LT004_PROTECTION WHERE ref_date='${ref_date}' AND nome_perimetro='Individual Corporativo' AND segmento='ESTR' AND ambito='PM' AND entidade='00100')X INNER JOIN (SELECT prtctn_id AS prtctn_id_SIMUL, PRTCTN_VLTN_APPRCH AS PRTCTN_VLTN_APPRCH_SIMUL FROM BU_LOANTAPE_WORK.LT004_PROTECTION WHERE ref_date='${ref_date}' AND nome_perimetro='Individual Corporativo' AND segmento='ESTR' AND ambito='PM' AND entidade='00100')Y ON X.PRTCTN_ID=Y.PRTCTN_ID_SIMUL</v>
      </c>
      <c r="N357" s="38" t="s">
        <v>46</v>
      </c>
    </row>
    <row r="358" spans="2:14" hidden="1">
      <c r="B358" s="34" t="s">
        <v>128</v>
      </c>
      <c r="C358" s="34" t="s">
        <v>5</v>
      </c>
      <c r="D358" s="34" t="str">
        <f>+UPPER('0. Instruções'!$D$35&amp;"."&amp;VLOOKUP(B358,'0. Instruções'!$C$27:$D$32,2,FALSE))</f>
        <v>CD_LOAN_TAPES_BCE.LT004_PROTECTION</v>
      </c>
      <c r="E358" s="34" t="str">
        <f>+UPPER('0. Instruções'!$D$36&amp;"."&amp;VLOOKUP(B358,'0. Instruções'!$C$27:$E$32,3,FALSE))</f>
        <v>BU_LOANTAPE_WORK.LT004_PROTECTION</v>
      </c>
      <c r="F358" s="34" t="s">
        <v>626</v>
      </c>
      <c r="G358" s="34"/>
      <c r="H358" s="34" t="s">
        <v>645</v>
      </c>
      <c r="I358" s="34" t="str">
        <f>"(SELECT "&amp;VLOOKUP(B358,'0. Instruções'!$C$27:$G$32,4,FALSE)&amp;", "&amp;F358&amp;" FROM "&amp;D358&amp;" WHERE "&amp;'0. Instruções'!$D$42&amp;")X"</f>
        <v>(SELECT prtctn_id, DT_APPRSL_PRVS FROM CD_LOAN_TAPES_BCE.LT004_PROTECTION WHERE ref_date='${ref_date}' AND nome_perimetro='Individual Corporativo' AND segmento='ESTR' AND ambito='PM' AND entidade='00100')X</v>
      </c>
      <c r="J358" s="34" t="str">
        <f>"(SELECT "&amp;VLOOKUP(B358,'0. Instruções'!$C$27:$G$32,4,FALSE)&amp;" AS "&amp;VLOOKUP(B358,'0. Instruções'!$C$27:$G$32,4,FALSE)&amp;"_SIMUL, "&amp;F358&amp;" AS "&amp;F358&amp;"_SIMUL FROM "&amp;E358&amp;" WHERE "&amp;'0. Instruções'!$D$43&amp;")Y"</f>
        <v>(SELECT prtctn_id AS prtctn_id_SIMUL, DT_APPRSL_PRVS AS DT_APPRSL_PRVS_SIMUL FROM BU_LOANTAPE_WORK.LT004_PROTECTION WHERE ref_date='${ref_date}' AND nome_perimetro='Individual Corporativo' AND segmento='ESTR' AND ambito='PM' AND entidade='00100')Y</v>
      </c>
      <c r="K358" s="35" t="str">
        <f>+UPPER("ON X."&amp;VLOOKUP(B358,'0. Instruções'!$C$27:$G$32,4,FALSE)&amp;"=Y."&amp;VLOOKUP(B358,'0. Instruções'!$C$27:$G$32,4,FALSE)&amp;"_SIMUL")</f>
        <v>ON X.PRTCTN_ID=Y.PRTCTN_ID_SIMUL</v>
      </c>
      <c r="L358" s="35" t="str">
        <f>+IF(C358="Coerência", +IF(LEFT(G358,5)="FLOAT","SELECT '"&amp;UPPER(B358)&amp;"' AS TABELA, '"&amp;UPPER(C358)&amp;"' AS TIPOLOGIA_TESTE,'"&amp;D358&amp;"' AS TABELA_LT,'"&amp;E358&amp;"' AS TABELA_SIMUL,'"&amp;F358&amp;"' AS CAMPO, "&amp;"'${ref_date}' AS REF_DATE, COUNT(*) AS NUM_REG, SUM(IF((ABS(COALESCE(CAST(X."&amp;F358&amp;" AS DECIMAL(18,6)),0)-COALESCE(CAST(Y."&amp;F358&amp;"_SIMUL AS DECIMAL(18,6)),0))&gt;0.000001) OR (X."&amp;F358&amp;" IS NULL AND Y."&amp;F358&amp;"_SIMUL IS NOT NULL ) OR (X."&amp;F358&amp;" IS NOT NULL AND Y."&amp;F358&amp;"_SIMUL IS NULL),1,0)) AS NUM_REG_DIF,'"&amp;MAX('ID1&amp;5'!K:K)+1&amp;"' AS ID_EXEC, CURRENT_TIMESTAMP() AS TIME_EXEC FROM "&amp;I358&amp;" INNER JOIN "&amp;J358&amp;" "&amp;K358,"SELECT '"&amp;UPPER(B358)&amp;"' AS TABELA, '"&amp;UPPER(C358)&amp;"' AS TIPOLOGIA_TESTE,'"&amp;D358&amp;"' AS TABELA_LT,'"&amp;E358&amp;"' AS TABELA_SIMUL,'"&amp;F358&amp;"' AS CAMPO, "&amp;"'${ref_date}' AS REF_DATE, COUNT(*) AS NUM_REG, SUM(IF(COALESCE(CAST(X."&amp;F358&amp;" AS STRING),'')&lt;&gt;COALESCE(CAST(Y."&amp;F358&amp;"_SIMUL AS STRING),'') OR (X."&amp;F358&amp;" IS NULL AND Y."&amp;F358&amp;"_SIMUL IS NOT NULL ) OR (X."&amp;F358&amp;" IS NOT NULL AND Y."&amp;F358&amp;"_SIMUL IS NULL),1,0)) AS NUM_REG_DIF,'"&amp;MAX('ID1&amp;5'!L:L)+1&amp;"' AS ID_EXEC, CURRENT_TIMESTAMP() AS TIME_EXEC FROM "&amp;I358&amp;" INNER JOIN "&amp;J358&amp;" "&amp;K358),
IF(C358="Validade",+IF(G358="Code List","SELECT '"&amp;UPPER(B358)&amp;"' AS TABELA, '"&amp;UPPER(C358)&amp;"' AS TIPOLOGIA_TESTE,'"&amp;D358&amp;"' AS TABELA_LT,'N/A' AS TABELA_SIMUL,'"&amp;F358&amp;"' AS CAMPO, "&amp;"'${ref_date}' AS REF_DATE, COUNT(*) AS NUM_REG, SUM(IF(TRIM(CAST(X."&amp;F358&amp;" AS STRING))='' OR TRIM(CAST(X."&amp;F358&amp;" AS STRING)) IS NULL OR CAST(X."&amp;F358&amp;" AS STRING) NOT "&amp;H358&amp;",1,0)) AS NUM_REG_DIF,'"&amp;MAX('ID1&amp;5'!K:K)+1&amp;"' AS ID_EXEC, CURRENT_TIMESTAMP() AS TIME_EXEC FROM "&amp;I358,"SELECT '"&amp;UPPER(B358)&amp;"' AS TABELA, '"&amp;UPPER(C358)&amp;"' AS TIPOLOGIA_TESTE,'"&amp;D358&amp;"' AS TABELA_LT,'N/A' AS TABELA_SIMUL,'"&amp;F358&amp;"' AS CAMPO, "&amp;"'${ref_date}' AS REF_DATE, COUNT(*) AS NUM_REG, SUM(IF(TRIM(CAST(X."&amp;F358&amp;" AS STRING))='' OR TRIM(CAST(X."&amp;F358&amp;" AS STRING)) IS NULL,1,0)) AS NUM_REG_DIF,'"&amp;MAX('ID1&amp;5'!K:K)+1&amp;"' AS ID_EXEC, CURRENT_TIMESTAMP() AS TIME_EXEC FROM "&amp;I358),
IF(C358="Caracteres Especiais",+"SELECT '"&amp;UPPER(B358)&amp;"' AS TABELA, '"&amp;UPPER(C358)&amp;"' AS TIPOLOGIA_TESTE,'"&amp;D358&amp;"' AS TABELA_LT,'N/A' AS TABELA_SIMUL,'"&amp;F358&amp;"' AS CAMPO, "&amp;"'${ref_date}' AS REF_DATE, COUNT(*) AS NUM_REG, SUM(IF(REGEXP_REPLACE(TRIM(CAST(X."&amp;F358&amp;" AS STRING)),'[^a-zA-Z0-9_\\s]','') &lt;&gt;TRIM(CAST(X."&amp;F358&amp;" AS STRING)),1,0)) AS NUM_REG_DIF,'"&amp;MAX('ID1&amp;5'!K:K)+1&amp;"' AS ID_EXEC, CURRENT_TIMESTAMP() AS TIME_EXEC FROM "&amp;I358,
IF(C358="Missings",+"SELECT '"&amp;UPPER(B358)&amp;"' AS TABELA, '"&amp;UPPER(C358)&amp;"' AS TIPOLOGIA_TESTE,'"&amp;D358&amp;"' AS TABELA_LT,'N/A' AS TABELA_SIMUL,'"&amp;F358&amp;"' AS CAMPO, "&amp;"'${ref_date}' AS REF_DATE, COUNT(*) AS NUM_REG, SUM(IF(TRIM(CAST(X."&amp;F358&amp;" AS STRING)) IN ('0000-00-00','0001-01-01','9999-12-31','MISS','00000','99999999999','99999999999.00','99999999999.000000'),1,0)) AS NUM_REG_DIF,'"&amp;MAX('ID1&amp;5'!K:K)+1&amp;"' AS ID_EXEC, CURRENT_TIMESTAMP() AS TIME_EXEC FROM "&amp;I358,
IF(C358="Not applicable",+"SELECT '"&amp;UPPER(B358)&amp;"' AS TABELA, '"&amp;UPPER(C358)&amp;"' AS TIPOLOGIA_TESTE,'"&amp;D358&amp;"' AS TABELA_LT,'N/A' AS TABELA_SIMUL,'"&amp;F358&amp;"' AS CAMPO, "&amp;"'${ref_date}' AS REF_DATE, COUNT(*) AS NUM_REG, SUM(IF(TRIM(CAST(X."&amp;F358&amp;" AS STRING)) IN ('N/A','11111111111','11111111111.00','11111111111.000000','1111-11-11'),1,0)) AS NUM_REG_DIF,'"&amp;MAX('ID1&amp;5'!K:K)+1&amp;"' AS ID_EXEC, CURRENT_TIMESTAMP() AS TIME_EXEC FROM "&amp;I358,
IF(C358="Valores extremos",+"SELECT '"&amp;UPPER(B358)&amp;"' AS TABELA, '"&amp;UPPER(C358)&amp;"' AS TIPOLOGIA_TESTE,'"&amp;D358&amp;"' AS TABELA_LT,'N/A' AS TABELA_SIMUL,'"&amp;F358&amp;"' AS CAMPO, "&amp;"'${ref_date}' AS REF_DATE, CAST(MIN("&amp;F358&amp;") AS STRING) AS VALOR_MIN, CAST(MAX("&amp;F358&amp;") AS STRING) AS VALOR_MAX,'"&amp;MAX('ID1&amp;5'!K:K)+1&amp;"' AS ID_EXEC, CURRENT_TIMESTAMP() AS TIME_EXEC FROM "&amp;MID(I358,1,LEN(I358)-2)&amp;" AND CAST("&amp;F358&amp;"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TABELA_SIMUL,'DT_APPRSL_PRVS' AS CAMPO, '${ref_date}' AS REF_DATE, COUNT(*) AS NUM_REG, SUM(IF(COALESCE(CAST(X.DT_APPRSL_PRVS AS STRING),'')&lt;&gt;COALESCE(CAST(Y.DT_APPRSL_PRVS_SIMUL AS STRING),'') OR (X.DT_APPRSL_PRVS IS NULL AND Y.DT_APPRSL_PRVS_SIMUL IS NOT NULL ) OR (X.DT_APPRSL_PRVS IS NOT NULL AND Y.DT_APPRSL_PRVS_SIMUL IS NULL),1,0)) AS NUM_REG_DIF,'1' AS ID_EXEC, CURRENT_TIMESTAMP() AS TIME_EXEC FROM (SELECT prtctn_id, DT_APPRSL_PRVS FROM CD_LOAN_TAPES_BCE.LT004_PROTECTION WHERE ref_date='${ref_date}' AND nome_perimetro='Individual Corporativo' AND segmento='ESTR' AND ambito='PM' AND entidade='00100')X INNER JOIN (SELECT prtctn_id AS prtctn_id_SIMUL, DT_APPRSL_PRVS AS DT_APPRSL_PRVS_SIMUL FROM BU_LOANTAPE_WORK.LT004_PROTECTION WHERE ref_date='${ref_date}' AND nome_perimetro='Individual Corporativo' AND segmento='ESTR' AND ambito='PM' AND entidade='00100')Y ON X.PRTCTN_ID=Y.PRTCTN_ID_SIMUL</v>
      </c>
      <c r="M358" s="36" t="str">
        <f t="shared" si="7"/>
        <v>UNION ALL SELECT 'PROTECTION' AS TABELA, 'COERÊNCIA' AS TIPOLOGIA_TESTE,'CD_LOAN_TAPES_BCE.LT004_PROTECTION' AS TABELA_LT,'BU_LOANTAPE_WORK.LT004_PROTECTION' AS TABELA_SIMUL,'DT_APPRSL_PRVS' AS CAMPO, '${ref_date}' AS REF_DATE, COUNT(*) AS NUM_REG, SUM(IF(COALESCE(CAST(X.DT_APPRSL_PRVS AS STRING),'')&lt;&gt;COALESCE(CAST(Y.DT_APPRSL_PRVS_SIMUL AS STRING),'') OR (X.DT_APPRSL_PRVS IS NULL AND Y.DT_APPRSL_PRVS_SIMUL IS NOT NULL ) OR (X.DT_APPRSL_PRVS IS NOT NULL AND Y.DT_APPRSL_PRVS_SIMUL IS NULL),1,0)) AS NUM_REG_DIF,'1' AS ID_EXEC, CURRENT_TIMESTAMP() AS TIME_EXEC FROM (SELECT prtctn_id, DT_APPRSL_PRVS FROM CD_LOAN_TAPES_BCE.LT004_PROTECTION WHERE ref_date='${ref_date}' AND nome_perimetro='Individual Corporativo' AND segmento='ESTR' AND ambito='PM' AND entidade='00100')X INNER JOIN (SELECT prtctn_id AS prtctn_id_SIMUL, DT_APPRSL_PRVS AS DT_APPRSL_PRVS_SIMUL FROM BU_LOANTAPE_WORK.LT004_PROTECTION WHERE ref_date='${ref_date}' AND nome_perimetro='Individual Corporativo' AND segmento='ESTR' AND ambito='PM' AND entidade='00100')Y ON X.PRTCTN_ID=Y.PRTCTN_ID_SIMUL</v>
      </c>
      <c r="N358" s="38" t="s">
        <v>46</v>
      </c>
    </row>
    <row r="359" spans="2:14" hidden="1">
      <c r="B359" s="34" t="s">
        <v>128</v>
      </c>
      <c r="C359" s="34" t="s">
        <v>5</v>
      </c>
      <c r="D359" s="34" t="str">
        <f>+UPPER('0. Instruções'!$D$35&amp;"."&amp;VLOOKUP(B359,'0. Instruções'!$C$27:$D$32,2,FALSE))</f>
        <v>CD_LOAN_TAPES_BCE.LT004_PROTECTION</v>
      </c>
      <c r="E359" s="34" t="str">
        <f>+UPPER('0. Instruções'!$D$36&amp;"."&amp;VLOOKUP(B359,'0. Instruções'!$C$27:$E$32,3,FALSE))</f>
        <v>BU_LOANTAPE_WORK.LT004_PROTECTION</v>
      </c>
      <c r="F359" s="34" t="s">
        <v>627</v>
      </c>
      <c r="G359" s="34"/>
      <c r="H359" s="34" t="s">
        <v>92</v>
      </c>
      <c r="I359" s="34" t="str">
        <f>"(SELECT "&amp;VLOOKUP(B359,'0. Instruções'!$C$27:$G$32,4,FALSE)&amp;", "&amp;F359&amp;" FROM "&amp;D359&amp;" WHERE "&amp;'0. Instruções'!$D$42&amp;")X"</f>
        <v>(SELECT prtctn_id, PRTCTN_VL_PRVS FROM CD_LOAN_TAPES_BCE.LT004_PROTECTION WHERE ref_date='${ref_date}' AND nome_perimetro='Individual Corporativo' AND segmento='ESTR' AND ambito='PM' AND entidade='00100')X</v>
      </c>
      <c r="J359" s="34" t="str">
        <f>"(SELECT "&amp;VLOOKUP(B359,'0. Instruções'!$C$27:$G$32,4,FALSE)&amp;" AS "&amp;VLOOKUP(B359,'0. Instruções'!$C$27:$G$32,4,FALSE)&amp;"_SIMUL, "&amp;F359&amp;" AS "&amp;F359&amp;"_SIMUL FROM "&amp;E359&amp;" WHERE "&amp;'0. Instruções'!$D$43&amp;")Y"</f>
        <v>(SELECT prtctn_id AS prtctn_id_SIMUL, PRTCTN_VL_PRVS AS PRTCTN_VL_PRVS_SIMUL FROM BU_LOANTAPE_WORK.LT004_PROTECTION WHERE ref_date='${ref_date}' AND nome_perimetro='Individual Corporativo' AND segmento='ESTR' AND ambito='PM' AND entidade='00100')Y</v>
      </c>
      <c r="K359" s="35" t="str">
        <f>+UPPER("ON X."&amp;VLOOKUP(B359,'0. Instruções'!$C$27:$G$32,4,FALSE)&amp;"=Y."&amp;VLOOKUP(B359,'0. Instruções'!$C$27:$G$32,4,FALSE)&amp;"_SIMUL")</f>
        <v>ON X.PRTCTN_ID=Y.PRTCTN_ID_SIMUL</v>
      </c>
      <c r="L359" s="35" t="str">
        <f>+IF(C359="Coerência", +IF(LEFT(G359,5)="FLOAT","SELECT '"&amp;UPPER(B359)&amp;"' AS TABELA, '"&amp;UPPER(C359)&amp;"' AS TIPOLOGIA_TESTE,'"&amp;D359&amp;"' AS TABELA_LT,'"&amp;E359&amp;"' AS TABELA_SIMUL,'"&amp;F359&amp;"' AS CAMPO, "&amp;"'${ref_date}' AS REF_DATE, COUNT(*) AS NUM_REG, SUM(IF((ABS(COALESCE(CAST(X."&amp;F359&amp;" AS DECIMAL(18,6)),0)-COALESCE(CAST(Y."&amp;F359&amp;"_SIMUL AS DECIMAL(18,6)),0))&gt;0.000001) OR (X."&amp;F359&amp;" IS NULL AND Y."&amp;F359&amp;"_SIMUL IS NOT NULL ) OR (X."&amp;F359&amp;" IS NOT NULL AND Y."&amp;F359&amp;"_SIMUL IS NULL),1,0)) AS NUM_REG_DIF,'"&amp;MAX('ID1&amp;5'!K:K)+1&amp;"' AS ID_EXEC, CURRENT_TIMESTAMP() AS TIME_EXEC FROM "&amp;I359&amp;" INNER JOIN "&amp;J359&amp;" "&amp;K359,"SELECT '"&amp;UPPER(B359)&amp;"' AS TABELA, '"&amp;UPPER(C359)&amp;"' AS TIPOLOGIA_TESTE,'"&amp;D359&amp;"' AS TABELA_LT,'"&amp;E359&amp;"' AS TABELA_SIMUL,'"&amp;F359&amp;"' AS CAMPO, "&amp;"'${ref_date}' AS REF_DATE, COUNT(*) AS NUM_REG, SUM(IF(COALESCE(CAST(X."&amp;F359&amp;" AS STRING),'')&lt;&gt;COALESCE(CAST(Y."&amp;F359&amp;"_SIMUL AS STRING),'') OR (X."&amp;F359&amp;" IS NULL AND Y."&amp;F359&amp;"_SIMUL IS NOT NULL ) OR (X."&amp;F359&amp;" IS NOT NULL AND Y."&amp;F359&amp;"_SIMUL IS NULL),1,0)) AS NUM_REG_DIF,'"&amp;MAX('ID1&amp;5'!L:L)+1&amp;"' AS ID_EXEC, CURRENT_TIMESTAMP() AS TIME_EXEC FROM "&amp;I359&amp;" INNER JOIN "&amp;J359&amp;" "&amp;K359),
IF(C359="Validade",+IF(G359="Code List","SELECT '"&amp;UPPER(B359)&amp;"' AS TABELA, '"&amp;UPPER(C359)&amp;"' AS TIPOLOGIA_TESTE,'"&amp;D359&amp;"' AS TABELA_LT,'N/A' AS TABELA_SIMUL,'"&amp;F359&amp;"' AS CAMPO, "&amp;"'${ref_date}' AS REF_DATE, COUNT(*) AS NUM_REG, SUM(IF(TRIM(CAST(X."&amp;F359&amp;" AS STRING))='' OR TRIM(CAST(X."&amp;F359&amp;" AS STRING)) IS NULL OR CAST(X."&amp;F359&amp;" AS STRING) NOT "&amp;H359&amp;",1,0)) AS NUM_REG_DIF,'"&amp;MAX('ID1&amp;5'!K:K)+1&amp;"' AS ID_EXEC, CURRENT_TIMESTAMP() AS TIME_EXEC FROM "&amp;I359,"SELECT '"&amp;UPPER(B359)&amp;"' AS TABELA, '"&amp;UPPER(C359)&amp;"' AS TIPOLOGIA_TESTE,'"&amp;D359&amp;"' AS TABELA_LT,'N/A' AS TABELA_SIMUL,'"&amp;F359&amp;"' AS CAMPO, "&amp;"'${ref_date}' AS REF_DATE, COUNT(*) AS NUM_REG, SUM(IF(TRIM(CAST(X."&amp;F359&amp;" AS STRING))='' OR TRIM(CAST(X."&amp;F359&amp;" AS STRING)) IS NULL,1,0)) AS NUM_REG_DIF,'"&amp;MAX('ID1&amp;5'!K:K)+1&amp;"' AS ID_EXEC, CURRENT_TIMESTAMP() AS TIME_EXEC FROM "&amp;I359),
IF(C359="Caracteres Especiais",+"SELECT '"&amp;UPPER(B359)&amp;"' AS TABELA, '"&amp;UPPER(C359)&amp;"' AS TIPOLOGIA_TESTE,'"&amp;D359&amp;"' AS TABELA_LT,'N/A' AS TABELA_SIMUL,'"&amp;F359&amp;"' AS CAMPO, "&amp;"'${ref_date}' AS REF_DATE, COUNT(*) AS NUM_REG, SUM(IF(REGEXP_REPLACE(TRIM(CAST(X."&amp;F359&amp;" AS STRING)),'[^a-zA-Z0-9_\\s]','') &lt;&gt;TRIM(CAST(X."&amp;F359&amp;" AS STRING)),1,0)) AS NUM_REG_DIF,'"&amp;MAX('ID1&amp;5'!K:K)+1&amp;"' AS ID_EXEC, CURRENT_TIMESTAMP() AS TIME_EXEC FROM "&amp;I359,
IF(C359="Missings",+"SELECT '"&amp;UPPER(B359)&amp;"' AS TABELA, '"&amp;UPPER(C359)&amp;"' AS TIPOLOGIA_TESTE,'"&amp;D359&amp;"' AS TABELA_LT,'N/A' AS TABELA_SIMUL,'"&amp;F359&amp;"' AS CAMPO, "&amp;"'${ref_date}' AS REF_DATE, COUNT(*) AS NUM_REG, SUM(IF(TRIM(CAST(X."&amp;F359&amp;" AS STRING)) IN ('0000-00-00','0001-01-01','9999-12-31','MISS','00000','99999999999','99999999999.00','99999999999.000000'),1,0)) AS NUM_REG_DIF,'"&amp;MAX('ID1&amp;5'!K:K)+1&amp;"' AS ID_EXEC, CURRENT_TIMESTAMP() AS TIME_EXEC FROM "&amp;I359,
IF(C359="Not applicable",+"SELECT '"&amp;UPPER(B359)&amp;"' AS TABELA, '"&amp;UPPER(C359)&amp;"' AS TIPOLOGIA_TESTE,'"&amp;D359&amp;"' AS TABELA_LT,'N/A' AS TABELA_SIMUL,'"&amp;F359&amp;"' AS CAMPO, "&amp;"'${ref_date}' AS REF_DATE, COUNT(*) AS NUM_REG, SUM(IF(TRIM(CAST(X."&amp;F359&amp;" AS STRING)) IN ('N/A','11111111111','11111111111.00','11111111111.000000','1111-11-11'),1,0)) AS NUM_REG_DIF,'"&amp;MAX('ID1&amp;5'!K:K)+1&amp;"' AS ID_EXEC, CURRENT_TIMESTAMP() AS TIME_EXEC FROM "&amp;I359,
IF(C359="Valores extremos",+"SELECT '"&amp;UPPER(B359)&amp;"' AS TABELA, '"&amp;UPPER(C359)&amp;"' AS TIPOLOGIA_TESTE,'"&amp;D359&amp;"' AS TABELA_LT,'N/A' AS TABELA_SIMUL,'"&amp;F359&amp;"' AS CAMPO, "&amp;"'${ref_date}' AS REF_DATE, CAST(MIN("&amp;F359&amp;") AS STRING) AS VALOR_MIN, CAST(MAX("&amp;F359&amp;") AS STRING) AS VALOR_MAX,'"&amp;MAX('ID1&amp;5'!K:K)+1&amp;"' AS ID_EXEC, CURRENT_TIMESTAMP() AS TIME_EXEC FROM "&amp;MID(I359,1,LEN(I359)-2)&amp;" AND CAST("&amp;F359&amp;"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TABELA_SIMUL,'PRTCTN_VL_PRVS' AS CAMPO, '${ref_date}' AS REF_DATE, COUNT(*) AS NUM_REG, SUM(IF(COALESCE(CAST(X.PRTCTN_VL_PRVS AS STRING),'')&lt;&gt;COALESCE(CAST(Y.PRTCTN_VL_PRVS_SIMUL AS STRING),'') OR (X.PRTCTN_VL_PRVS IS NULL AND Y.PRTCTN_VL_PRVS_SIMUL IS NOT NULL ) OR (X.PRTCTN_VL_PRVS IS NOT NULL AND Y.PRTCTN_VL_PRVS_SIMUL IS NULL),1,0)) AS NUM_REG_DIF,'1' AS ID_EXEC, CURRENT_TIMESTAMP() AS TIME_EXEC FROM (SELECT prtctn_id, PRTCTN_VL_PRVS FROM CD_LOAN_TAPES_BCE.LT004_PROTECTION WHERE ref_date='${ref_date}' AND nome_perimetro='Individual Corporativo' AND segmento='ESTR' AND ambito='PM' AND entidade='00100')X INNER JOIN (SELECT prtctn_id AS prtctn_id_SIMUL, PRTCTN_VL_PRVS AS PRTCTN_VL_PRVS_SIMUL FROM BU_LOANTAPE_WORK.LT004_PROTECTION WHERE ref_date='${ref_date}' AND nome_perimetro='Individual Corporativo' AND segmento='ESTR' AND ambito='PM' AND entidade='00100')Y ON X.PRTCTN_ID=Y.PRTCTN_ID_SIMUL</v>
      </c>
      <c r="M359" s="36" t="str">
        <f t="shared" si="7"/>
        <v>UNION ALL SELECT 'PROTECTION' AS TABELA, 'COERÊNCIA' AS TIPOLOGIA_TESTE,'CD_LOAN_TAPES_BCE.LT004_PROTECTION' AS TABELA_LT,'BU_LOANTAPE_WORK.LT004_PROTECTION' AS TABELA_SIMUL,'PRTCTN_VL_PRVS' AS CAMPO, '${ref_date}' AS REF_DATE, COUNT(*) AS NUM_REG, SUM(IF(COALESCE(CAST(X.PRTCTN_VL_PRVS AS STRING),'')&lt;&gt;COALESCE(CAST(Y.PRTCTN_VL_PRVS_SIMUL AS STRING),'') OR (X.PRTCTN_VL_PRVS IS NULL AND Y.PRTCTN_VL_PRVS_SIMUL IS NOT NULL ) OR (X.PRTCTN_VL_PRVS IS NOT NULL AND Y.PRTCTN_VL_PRVS_SIMUL IS NULL),1,0)) AS NUM_REG_DIF,'1' AS ID_EXEC, CURRENT_TIMESTAMP() AS TIME_EXEC FROM (SELECT prtctn_id, PRTCTN_VL_PRVS FROM CD_LOAN_TAPES_BCE.LT004_PROTECTION WHERE ref_date='${ref_date}' AND nome_perimetro='Individual Corporativo' AND segmento='ESTR' AND ambito='PM' AND entidade='00100')X INNER JOIN (SELECT prtctn_id AS prtctn_id_SIMUL, PRTCTN_VL_PRVS AS PRTCTN_VL_PRVS_SIMUL FROM BU_LOANTAPE_WORK.LT004_PROTECTION WHERE ref_date='${ref_date}' AND nome_perimetro='Individual Corporativo' AND segmento='ESTR' AND ambito='PM' AND entidade='00100')Y ON X.PRTCTN_ID=Y.PRTCTN_ID_SIMUL</v>
      </c>
      <c r="N359" s="38" t="s">
        <v>46</v>
      </c>
    </row>
    <row r="360" spans="2:14" hidden="1">
      <c r="B360" s="34" t="s">
        <v>128</v>
      </c>
      <c r="C360" s="34" t="s">
        <v>5</v>
      </c>
      <c r="D360" s="34" t="str">
        <f>+UPPER('0. Instruções'!$D$35&amp;"."&amp;VLOOKUP(B360,'0. Instruções'!$C$27:$D$32,2,FALSE))</f>
        <v>CD_LOAN_TAPES_BCE.LT004_PROTECTION</v>
      </c>
      <c r="E360" s="34" t="str">
        <f>+UPPER('0. Instruções'!$D$36&amp;"."&amp;VLOOKUP(B360,'0. Instruções'!$C$27:$E$32,3,FALSE))</f>
        <v>BU_LOANTAPE_WORK.LT004_PROTECTION</v>
      </c>
      <c r="F360" s="34" t="s">
        <v>628</v>
      </c>
      <c r="G360" s="34"/>
      <c r="H360" s="34" t="s">
        <v>89</v>
      </c>
      <c r="I360" s="34" t="str">
        <f>"(SELECT "&amp;VLOOKUP(B360,'0. Instruções'!$C$27:$G$32,4,FALSE)&amp;", "&amp;F360&amp;" FROM "&amp;D360&amp;" WHERE "&amp;'0. Instruções'!$D$42&amp;")X"</f>
        <v>(SELECT prtctn_id, CNSTRCTN_STTS FROM CD_LOAN_TAPES_BCE.LT004_PROTECTION WHERE ref_date='${ref_date}' AND nome_perimetro='Individual Corporativo' AND segmento='ESTR' AND ambito='PM' AND entidade='00100')X</v>
      </c>
      <c r="J360" s="34" t="str">
        <f>"(SELECT "&amp;VLOOKUP(B360,'0. Instruções'!$C$27:$G$32,4,FALSE)&amp;" AS "&amp;VLOOKUP(B360,'0. Instruções'!$C$27:$G$32,4,FALSE)&amp;"_SIMUL, "&amp;F360&amp;" AS "&amp;F360&amp;"_SIMUL FROM "&amp;E360&amp;" WHERE "&amp;'0. Instruções'!$D$43&amp;")Y"</f>
        <v>(SELECT prtctn_id AS prtctn_id_SIMUL, CNSTRCTN_STTS AS CNSTRCTN_STTS_SIMUL FROM BU_LOANTAPE_WORK.LT004_PROTECTION WHERE ref_date='${ref_date}' AND nome_perimetro='Individual Corporativo' AND segmento='ESTR' AND ambito='PM' AND entidade='00100')Y</v>
      </c>
      <c r="K360" s="35" t="str">
        <f>+UPPER("ON X."&amp;VLOOKUP(B360,'0. Instruções'!$C$27:$G$32,4,FALSE)&amp;"=Y."&amp;VLOOKUP(B360,'0. Instruções'!$C$27:$G$32,4,FALSE)&amp;"_SIMUL")</f>
        <v>ON X.PRTCTN_ID=Y.PRTCTN_ID_SIMUL</v>
      </c>
      <c r="L360" s="35" t="str">
        <f>+IF(C360="Coerência", +IF(LEFT(G360,5)="FLOAT","SELECT '"&amp;UPPER(B360)&amp;"' AS TABELA, '"&amp;UPPER(C360)&amp;"' AS TIPOLOGIA_TESTE,'"&amp;D360&amp;"' AS TABELA_LT,'"&amp;E360&amp;"' AS TABELA_SIMUL,'"&amp;F360&amp;"' AS CAMPO, "&amp;"'${ref_date}' AS REF_DATE, COUNT(*) AS NUM_REG, SUM(IF((ABS(COALESCE(CAST(X."&amp;F360&amp;" AS DECIMAL(18,6)),0)-COALESCE(CAST(Y."&amp;F360&amp;"_SIMUL AS DECIMAL(18,6)),0))&gt;0.000001) OR (X."&amp;F360&amp;" IS NULL AND Y."&amp;F360&amp;"_SIMUL IS NOT NULL ) OR (X."&amp;F360&amp;" IS NOT NULL AND Y."&amp;F360&amp;"_SIMUL IS NULL),1,0)) AS NUM_REG_DIF,'"&amp;MAX('ID1&amp;5'!K:K)+1&amp;"' AS ID_EXEC, CURRENT_TIMESTAMP() AS TIME_EXEC FROM "&amp;I360&amp;" INNER JOIN "&amp;J360&amp;" "&amp;K360,"SELECT '"&amp;UPPER(B360)&amp;"' AS TABELA, '"&amp;UPPER(C360)&amp;"' AS TIPOLOGIA_TESTE,'"&amp;D360&amp;"' AS TABELA_LT,'"&amp;E360&amp;"' AS TABELA_SIMUL,'"&amp;F360&amp;"' AS CAMPO, "&amp;"'${ref_date}' AS REF_DATE, COUNT(*) AS NUM_REG, SUM(IF(COALESCE(CAST(X."&amp;F360&amp;" AS STRING),'')&lt;&gt;COALESCE(CAST(Y."&amp;F360&amp;"_SIMUL AS STRING),'') OR (X."&amp;F360&amp;" IS NULL AND Y."&amp;F360&amp;"_SIMUL IS NOT NULL ) OR (X."&amp;F360&amp;" IS NOT NULL AND Y."&amp;F360&amp;"_SIMUL IS NULL),1,0)) AS NUM_REG_DIF,'"&amp;MAX('ID1&amp;5'!L:L)+1&amp;"' AS ID_EXEC, CURRENT_TIMESTAMP() AS TIME_EXEC FROM "&amp;I360&amp;" INNER JOIN "&amp;J360&amp;" "&amp;K360),
IF(C360="Validade",+IF(G360="Code List","SELECT '"&amp;UPPER(B360)&amp;"' AS TABELA, '"&amp;UPPER(C360)&amp;"' AS TIPOLOGIA_TESTE,'"&amp;D360&amp;"' AS TABELA_LT,'N/A' AS TABELA_SIMUL,'"&amp;F360&amp;"' AS CAMPO, "&amp;"'${ref_date}' AS REF_DATE, COUNT(*) AS NUM_REG, SUM(IF(TRIM(CAST(X."&amp;F360&amp;" AS STRING))='' OR TRIM(CAST(X."&amp;F360&amp;" AS STRING)) IS NULL OR CAST(X."&amp;F360&amp;" AS STRING) NOT "&amp;H360&amp;",1,0)) AS NUM_REG_DIF,'"&amp;MAX('ID1&amp;5'!K:K)+1&amp;"' AS ID_EXEC, CURRENT_TIMESTAMP() AS TIME_EXEC FROM "&amp;I360,"SELECT '"&amp;UPPER(B360)&amp;"' AS TABELA, '"&amp;UPPER(C360)&amp;"' AS TIPOLOGIA_TESTE,'"&amp;D360&amp;"' AS TABELA_LT,'N/A' AS TABELA_SIMUL,'"&amp;F360&amp;"' AS CAMPO, "&amp;"'${ref_date}' AS REF_DATE, COUNT(*) AS NUM_REG, SUM(IF(TRIM(CAST(X."&amp;F360&amp;" AS STRING))='' OR TRIM(CAST(X."&amp;F360&amp;" AS STRING)) IS NULL,1,0)) AS NUM_REG_DIF,'"&amp;MAX('ID1&amp;5'!K:K)+1&amp;"' AS ID_EXEC, CURRENT_TIMESTAMP() AS TIME_EXEC FROM "&amp;I360),
IF(C360="Caracteres Especiais",+"SELECT '"&amp;UPPER(B360)&amp;"' AS TABELA, '"&amp;UPPER(C360)&amp;"' AS TIPOLOGIA_TESTE,'"&amp;D360&amp;"' AS TABELA_LT,'N/A' AS TABELA_SIMUL,'"&amp;F360&amp;"' AS CAMPO, "&amp;"'${ref_date}' AS REF_DATE, COUNT(*) AS NUM_REG, SUM(IF(REGEXP_REPLACE(TRIM(CAST(X."&amp;F360&amp;" AS STRING)),'[^a-zA-Z0-9_\\s]','') &lt;&gt;TRIM(CAST(X."&amp;F360&amp;" AS STRING)),1,0)) AS NUM_REG_DIF,'"&amp;MAX('ID1&amp;5'!K:K)+1&amp;"' AS ID_EXEC, CURRENT_TIMESTAMP() AS TIME_EXEC FROM "&amp;I360,
IF(C360="Missings",+"SELECT '"&amp;UPPER(B360)&amp;"' AS TABELA, '"&amp;UPPER(C360)&amp;"' AS TIPOLOGIA_TESTE,'"&amp;D360&amp;"' AS TABELA_LT,'N/A' AS TABELA_SIMUL,'"&amp;F360&amp;"' AS CAMPO, "&amp;"'${ref_date}' AS REF_DATE, COUNT(*) AS NUM_REG, SUM(IF(TRIM(CAST(X."&amp;F360&amp;" AS STRING)) IN ('0000-00-00','0001-01-01','9999-12-31','MISS','00000','99999999999','99999999999.00','99999999999.000000'),1,0)) AS NUM_REG_DIF,'"&amp;MAX('ID1&amp;5'!K:K)+1&amp;"' AS ID_EXEC, CURRENT_TIMESTAMP() AS TIME_EXEC FROM "&amp;I360,
IF(C360="Not applicable",+"SELECT '"&amp;UPPER(B360)&amp;"' AS TABELA, '"&amp;UPPER(C360)&amp;"' AS TIPOLOGIA_TESTE,'"&amp;D360&amp;"' AS TABELA_LT,'N/A' AS TABELA_SIMUL,'"&amp;F360&amp;"' AS CAMPO, "&amp;"'${ref_date}' AS REF_DATE, COUNT(*) AS NUM_REG, SUM(IF(TRIM(CAST(X."&amp;F360&amp;" AS STRING)) IN ('N/A','11111111111','11111111111.00','11111111111.000000','1111-11-11'),1,0)) AS NUM_REG_DIF,'"&amp;MAX('ID1&amp;5'!K:K)+1&amp;"' AS ID_EXEC, CURRENT_TIMESTAMP() AS TIME_EXEC FROM "&amp;I360,
IF(C360="Valores extremos",+"SELECT '"&amp;UPPER(B360)&amp;"' AS TABELA, '"&amp;UPPER(C360)&amp;"' AS TIPOLOGIA_TESTE,'"&amp;D360&amp;"' AS TABELA_LT,'N/A' AS TABELA_SIMUL,'"&amp;F360&amp;"' AS CAMPO, "&amp;"'${ref_date}' AS REF_DATE, CAST(MIN("&amp;F360&amp;") AS STRING) AS VALOR_MIN, CAST(MAX("&amp;F360&amp;") AS STRING) AS VALOR_MAX,'"&amp;MAX('ID1&amp;5'!K:K)+1&amp;"' AS ID_EXEC, CURRENT_TIMESTAMP() AS TIME_EXEC FROM "&amp;MID(I360,1,LEN(I360)-2)&amp;" AND CAST("&amp;F360&amp;"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TABELA_SIMUL,'CNSTRCTN_STTS' AS CAMPO, '${ref_date}' AS REF_DATE, COUNT(*) AS NUM_REG, SUM(IF(COALESCE(CAST(X.CNSTRCTN_STTS AS STRING),'')&lt;&gt;COALESCE(CAST(Y.CNSTRCTN_STTS_SIMUL AS STRING),'') OR (X.CNSTRCTN_STTS IS NULL AND Y.CNSTRCTN_STTS_SIMUL IS NOT NULL ) OR (X.CNSTRCTN_STTS IS NOT NULL AND Y.CNSTRCTN_STTS_SIMUL IS NULL),1,0)) AS NUM_REG_DIF,'1' AS ID_EXEC, CURRENT_TIMESTAMP() AS TIME_EXEC FROM (SELECT prtctn_id, CNSTRCTN_STTS FROM CD_LOAN_TAPES_BCE.LT004_PROTECTION WHERE ref_date='${ref_date}' AND nome_perimetro='Individual Corporativo' AND segmento='ESTR' AND ambito='PM' AND entidade='00100')X INNER JOIN (SELECT prtctn_id AS prtctn_id_SIMUL, CNSTRCTN_STTS AS CNSTRCTN_STTS_SIMUL FROM BU_LOANTAPE_WORK.LT004_PROTECTION WHERE ref_date='${ref_date}' AND nome_perimetro='Individual Corporativo' AND segmento='ESTR' AND ambito='PM' AND entidade='00100')Y ON X.PRTCTN_ID=Y.PRTCTN_ID_SIMUL</v>
      </c>
      <c r="M360" s="36" t="str">
        <f t="shared" si="7"/>
        <v>UNION ALL SELECT 'PROTECTION' AS TABELA, 'COERÊNCIA' AS TIPOLOGIA_TESTE,'CD_LOAN_TAPES_BCE.LT004_PROTECTION' AS TABELA_LT,'BU_LOANTAPE_WORK.LT004_PROTECTION' AS TABELA_SIMUL,'CNSTRCTN_STTS' AS CAMPO, '${ref_date}' AS REF_DATE, COUNT(*) AS NUM_REG, SUM(IF(COALESCE(CAST(X.CNSTRCTN_STTS AS STRING),'')&lt;&gt;COALESCE(CAST(Y.CNSTRCTN_STTS_SIMUL AS STRING),'') OR (X.CNSTRCTN_STTS IS NULL AND Y.CNSTRCTN_STTS_SIMUL IS NOT NULL ) OR (X.CNSTRCTN_STTS IS NOT NULL AND Y.CNSTRCTN_STTS_SIMUL IS NULL),1,0)) AS NUM_REG_DIF,'1' AS ID_EXEC, CURRENT_TIMESTAMP() AS TIME_EXEC FROM (SELECT prtctn_id, CNSTRCTN_STTS FROM CD_LOAN_TAPES_BCE.LT004_PROTECTION WHERE ref_date='${ref_date}' AND nome_perimetro='Individual Corporativo' AND segmento='ESTR' AND ambito='PM' AND entidade='00100')X INNER JOIN (SELECT prtctn_id AS prtctn_id_SIMUL, CNSTRCTN_STTS AS CNSTRCTN_STTS_SIMUL FROM BU_LOANTAPE_WORK.LT004_PROTECTION WHERE ref_date='${ref_date}' AND nome_perimetro='Individual Corporativo' AND segmento='ESTR' AND ambito='PM' AND entidade='00100')Y ON X.PRTCTN_ID=Y.PRTCTN_ID_SIMUL</v>
      </c>
      <c r="N360" s="38" t="s">
        <v>46</v>
      </c>
    </row>
    <row r="361" spans="2:14" hidden="1">
      <c r="B361" s="34" t="s">
        <v>128</v>
      </c>
      <c r="C361" s="34" t="s">
        <v>5</v>
      </c>
      <c r="D361" s="34" t="str">
        <f>+UPPER('0. Instruções'!$D$35&amp;"."&amp;VLOOKUP(B361,'0. Instruções'!$C$27:$D$32,2,FALSE))</f>
        <v>CD_LOAN_TAPES_BCE.LT004_PROTECTION</v>
      </c>
      <c r="E361" s="34" t="str">
        <f>+UPPER('0. Instruções'!$D$36&amp;"."&amp;VLOOKUP(B361,'0. Instruções'!$C$27:$E$32,3,FALSE))</f>
        <v>BU_LOANTAPE_WORK.LT004_PROTECTION</v>
      </c>
      <c r="F361" s="34" t="s">
        <v>629</v>
      </c>
      <c r="G361" s="34"/>
      <c r="H361" s="34" t="s">
        <v>645</v>
      </c>
      <c r="I361" s="34" t="str">
        <f>"(SELECT "&amp;VLOOKUP(B361,'0. Instruções'!$C$27:$G$32,4,FALSE)&amp;", "&amp;F361&amp;" FROM "&amp;D361&amp;" WHERE "&amp;'0. Instruções'!$D$42&amp;")X"</f>
        <v>(SELECT prtctn_id, DT_CNSTRCTN_STTS FROM CD_LOAN_TAPES_BCE.LT004_PROTECTION WHERE ref_date='${ref_date}' AND nome_perimetro='Individual Corporativo' AND segmento='ESTR' AND ambito='PM' AND entidade='00100')X</v>
      </c>
      <c r="J361" s="34" t="str">
        <f>"(SELECT "&amp;VLOOKUP(B361,'0. Instruções'!$C$27:$G$32,4,FALSE)&amp;" AS "&amp;VLOOKUP(B361,'0. Instruções'!$C$27:$G$32,4,FALSE)&amp;"_SIMUL, "&amp;F361&amp;" AS "&amp;F361&amp;"_SIMUL FROM "&amp;E361&amp;" WHERE "&amp;'0. Instruções'!$D$43&amp;")Y"</f>
        <v>(SELECT prtctn_id AS prtctn_id_SIMUL, DT_CNSTRCTN_STTS AS DT_CNSTRCTN_STTS_SIMUL FROM BU_LOANTAPE_WORK.LT004_PROTECTION WHERE ref_date='${ref_date}' AND nome_perimetro='Individual Corporativo' AND segmento='ESTR' AND ambito='PM' AND entidade='00100')Y</v>
      </c>
      <c r="K361" s="35" t="str">
        <f>+UPPER("ON X."&amp;VLOOKUP(B361,'0. Instruções'!$C$27:$G$32,4,FALSE)&amp;"=Y."&amp;VLOOKUP(B361,'0. Instruções'!$C$27:$G$32,4,FALSE)&amp;"_SIMUL")</f>
        <v>ON X.PRTCTN_ID=Y.PRTCTN_ID_SIMUL</v>
      </c>
      <c r="L361" s="35" t="str">
        <f>+IF(C361="Coerência", +IF(LEFT(G361,5)="FLOAT","SELECT '"&amp;UPPER(B361)&amp;"' AS TABELA, '"&amp;UPPER(C361)&amp;"' AS TIPOLOGIA_TESTE,'"&amp;D361&amp;"' AS TABELA_LT,'"&amp;E361&amp;"' AS TABELA_SIMUL,'"&amp;F361&amp;"' AS CAMPO, "&amp;"'${ref_date}' AS REF_DATE, COUNT(*) AS NUM_REG, SUM(IF((ABS(COALESCE(CAST(X."&amp;F361&amp;" AS DECIMAL(18,6)),0)-COALESCE(CAST(Y."&amp;F361&amp;"_SIMUL AS DECIMAL(18,6)),0))&gt;0.000001) OR (X."&amp;F361&amp;" IS NULL AND Y."&amp;F361&amp;"_SIMUL IS NOT NULL ) OR (X."&amp;F361&amp;" IS NOT NULL AND Y."&amp;F361&amp;"_SIMUL IS NULL),1,0)) AS NUM_REG_DIF,'"&amp;MAX('ID1&amp;5'!K:K)+1&amp;"' AS ID_EXEC, CURRENT_TIMESTAMP() AS TIME_EXEC FROM "&amp;I361&amp;" INNER JOIN "&amp;J361&amp;" "&amp;K361,"SELECT '"&amp;UPPER(B361)&amp;"' AS TABELA, '"&amp;UPPER(C361)&amp;"' AS TIPOLOGIA_TESTE,'"&amp;D361&amp;"' AS TABELA_LT,'"&amp;E361&amp;"' AS TABELA_SIMUL,'"&amp;F361&amp;"' AS CAMPO, "&amp;"'${ref_date}' AS REF_DATE, COUNT(*) AS NUM_REG, SUM(IF(COALESCE(CAST(X."&amp;F361&amp;" AS STRING),'')&lt;&gt;COALESCE(CAST(Y."&amp;F361&amp;"_SIMUL AS STRING),'') OR (X."&amp;F361&amp;" IS NULL AND Y."&amp;F361&amp;"_SIMUL IS NOT NULL ) OR (X."&amp;F361&amp;" IS NOT NULL AND Y."&amp;F361&amp;"_SIMUL IS NULL),1,0)) AS NUM_REG_DIF,'"&amp;MAX('ID1&amp;5'!L:L)+1&amp;"' AS ID_EXEC, CURRENT_TIMESTAMP() AS TIME_EXEC FROM "&amp;I361&amp;" INNER JOIN "&amp;J361&amp;" "&amp;K361),
IF(C361="Validade",+IF(G361="Code List","SELECT '"&amp;UPPER(B361)&amp;"' AS TABELA, '"&amp;UPPER(C361)&amp;"' AS TIPOLOGIA_TESTE,'"&amp;D361&amp;"' AS TABELA_LT,'N/A' AS TABELA_SIMUL,'"&amp;F361&amp;"' AS CAMPO, "&amp;"'${ref_date}' AS REF_DATE, COUNT(*) AS NUM_REG, SUM(IF(TRIM(CAST(X."&amp;F361&amp;" AS STRING))='' OR TRIM(CAST(X."&amp;F361&amp;" AS STRING)) IS NULL OR CAST(X."&amp;F361&amp;" AS STRING) NOT "&amp;H361&amp;",1,0)) AS NUM_REG_DIF,'"&amp;MAX('ID1&amp;5'!K:K)+1&amp;"' AS ID_EXEC, CURRENT_TIMESTAMP() AS TIME_EXEC FROM "&amp;I361,"SELECT '"&amp;UPPER(B361)&amp;"' AS TABELA, '"&amp;UPPER(C361)&amp;"' AS TIPOLOGIA_TESTE,'"&amp;D361&amp;"' AS TABELA_LT,'N/A' AS TABELA_SIMUL,'"&amp;F361&amp;"' AS CAMPO, "&amp;"'${ref_date}' AS REF_DATE, COUNT(*) AS NUM_REG, SUM(IF(TRIM(CAST(X."&amp;F361&amp;" AS STRING))='' OR TRIM(CAST(X."&amp;F361&amp;" AS STRING)) IS NULL,1,0)) AS NUM_REG_DIF,'"&amp;MAX('ID1&amp;5'!K:K)+1&amp;"' AS ID_EXEC, CURRENT_TIMESTAMP() AS TIME_EXEC FROM "&amp;I361),
IF(C361="Caracteres Especiais",+"SELECT '"&amp;UPPER(B361)&amp;"' AS TABELA, '"&amp;UPPER(C361)&amp;"' AS TIPOLOGIA_TESTE,'"&amp;D361&amp;"' AS TABELA_LT,'N/A' AS TABELA_SIMUL,'"&amp;F361&amp;"' AS CAMPO, "&amp;"'${ref_date}' AS REF_DATE, COUNT(*) AS NUM_REG, SUM(IF(REGEXP_REPLACE(TRIM(CAST(X."&amp;F361&amp;" AS STRING)),'[^a-zA-Z0-9_\\s]','') &lt;&gt;TRIM(CAST(X."&amp;F361&amp;" AS STRING)),1,0)) AS NUM_REG_DIF,'"&amp;MAX('ID1&amp;5'!K:K)+1&amp;"' AS ID_EXEC, CURRENT_TIMESTAMP() AS TIME_EXEC FROM "&amp;I361,
IF(C361="Missings",+"SELECT '"&amp;UPPER(B361)&amp;"' AS TABELA, '"&amp;UPPER(C361)&amp;"' AS TIPOLOGIA_TESTE,'"&amp;D361&amp;"' AS TABELA_LT,'N/A' AS TABELA_SIMUL,'"&amp;F361&amp;"' AS CAMPO, "&amp;"'${ref_date}' AS REF_DATE, COUNT(*) AS NUM_REG, SUM(IF(TRIM(CAST(X."&amp;F361&amp;" AS STRING)) IN ('0000-00-00','0001-01-01','9999-12-31','MISS','00000','99999999999','99999999999.00','99999999999.000000'),1,0)) AS NUM_REG_DIF,'"&amp;MAX('ID1&amp;5'!K:K)+1&amp;"' AS ID_EXEC, CURRENT_TIMESTAMP() AS TIME_EXEC FROM "&amp;I361,
IF(C361="Not applicable",+"SELECT '"&amp;UPPER(B361)&amp;"' AS TABELA, '"&amp;UPPER(C361)&amp;"' AS TIPOLOGIA_TESTE,'"&amp;D361&amp;"' AS TABELA_LT,'N/A' AS TABELA_SIMUL,'"&amp;F361&amp;"' AS CAMPO, "&amp;"'${ref_date}' AS REF_DATE, COUNT(*) AS NUM_REG, SUM(IF(TRIM(CAST(X."&amp;F361&amp;" AS STRING)) IN ('N/A','11111111111','11111111111.00','11111111111.000000','1111-11-11'),1,0)) AS NUM_REG_DIF,'"&amp;MAX('ID1&amp;5'!K:K)+1&amp;"' AS ID_EXEC, CURRENT_TIMESTAMP() AS TIME_EXEC FROM "&amp;I361,
IF(C361="Valores extremos",+"SELECT '"&amp;UPPER(B361)&amp;"' AS TABELA, '"&amp;UPPER(C361)&amp;"' AS TIPOLOGIA_TESTE,'"&amp;D361&amp;"' AS TABELA_LT,'N/A' AS TABELA_SIMUL,'"&amp;F361&amp;"' AS CAMPO, "&amp;"'${ref_date}' AS REF_DATE, CAST(MIN("&amp;F361&amp;") AS STRING) AS VALOR_MIN, CAST(MAX("&amp;F361&amp;") AS STRING) AS VALOR_MAX,'"&amp;MAX('ID1&amp;5'!K:K)+1&amp;"' AS ID_EXEC, CURRENT_TIMESTAMP() AS TIME_EXEC FROM "&amp;MID(I361,1,LEN(I361)-2)&amp;" AND CAST("&amp;F361&amp;"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TABELA_SIMUL,'DT_CNSTRCTN_STTS' AS CAMPO, '${ref_date}' AS REF_DATE, COUNT(*) AS NUM_REG, SUM(IF(COALESCE(CAST(X.DT_CNSTRCTN_STTS AS STRING),'')&lt;&gt;COALESCE(CAST(Y.DT_CNSTRCTN_STTS_SIMUL AS STRING),'') OR (X.DT_CNSTRCTN_STTS IS NULL AND Y.DT_CNSTRCTN_STTS_SIMUL IS NOT NULL ) OR (X.DT_CNSTRCTN_STTS IS NOT NULL AND Y.DT_CNSTRCTN_STTS_SIMUL IS NULL),1,0)) AS NUM_REG_DIF,'1' AS ID_EXEC, CURRENT_TIMESTAMP() AS TIME_EXEC FROM (SELECT prtctn_id, DT_CNSTRCTN_STTS FROM CD_LOAN_TAPES_BCE.LT004_PROTECTION WHERE ref_date='${ref_date}' AND nome_perimetro='Individual Corporativo' AND segmento='ESTR' AND ambito='PM' AND entidade='00100')X INNER JOIN (SELECT prtctn_id AS prtctn_id_SIMUL, DT_CNSTRCTN_STTS AS DT_CNSTRCTN_STTS_SIMUL FROM BU_LOANTAPE_WORK.LT004_PROTECTION WHERE ref_date='${ref_date}' AND nome_perimetro='Individual Corporativo' AND segmento='ESTR' AND ambito='PM' AND entidade='00100')Y ON X.PRTCTN_ID=Y.PRTCTN_ID_SIMUL</v>
      </c>
      <c r="M361" s="36" t="str">
        <f t="shared" si="7"/>
        <v>UNION ALL SELECT 'PROTECTION' AS TABELA, 'COERÊNCIA' AS TIPOLOGIA_TESTE,'CD_LOAN_TAPES_BCE.LT004_PROTECTION' AS TABELA_LT,'BU_LOANTAPE_WORK.LT004_PROTECTION' AS TABELA_SIMUL,'DT_CNSTRCTN_STTS' AS CAMPO, '${ref_date}' AS REF_DATE, COUNT(*) AS NUM_REG, SUM(IF(COALESCE(CAST(X.DT_CNSTRCTN_STTS AS STRING),'')&lt;&gt;COALESCE(CAST(Y.DT_CNSTRCTN_STTS_SIMUL AS STRING),'') OR (X.DT_CNSTRCTN_STTS IS NULL AND Y.DT_CNSTRCTN_STTS_SIMUL IS NOT NULL ) OR (X.DT_CNSTRCTN_STTS IS NOT NULL AND Y.DT_CNSTRCTN_STTS_SIMUL IS NULL),1,0)) AS NUM_REG_DIF,'1' AS ID_EXEC, CURRENT_TIMESTAMP() AS TIME_EXEC FROM (SELECT prtctn_id, DT_CNSTRCTN_STTS FROM CD_LOAN_TAPES_BCE.LT004_PROTECTION WHERE ref_date='${ref_date}' AND nome_perimetro='Individual Corporativo' AND segmento='ESTR' AND ambito='PM' AND entidade='00100')X INNER JOIN (SELECT prtctn_id AS prtctn_id_SIMUL, DT_CNSTRCTN_STTS AS DT_CNSTRCTN_STTS_SIMUL FROM BU_LOANTAPE_WORK.LT004_PROTECTION WHERE ref_date='${ref_date}' AND nome_perimetro='Individual Corporativo' AND segmento='ESTR' AND ambito='PM' AND entidade='00100')Y ON X.PRTCTN_ID=Y.PRTCTN_ID_SIMUL</v>
      </c>
      <c r="N361" s="38" t="s">
        <v>46</v>
      </c>
    </row>
    <row r="362" spans="2:14" hidden="1">
      <c r="B362" s="34" t="s">
        <v>128</v>
      </c>
      <c r="C362" s="34" t="s">
        <v>5</v>
      </c>
      <c r="D362" s="34" t="str">
        <f>+UPPER('0. Instruções'!$D$35&amp;"."&amp;VLOOKUP(B362,'0. Instruções'!$C$27:$D$32,2,FALSE))</f>
        <v>CD_LOAN_TAPES_BCE.LT004_PROTECTION</v>
      </c>
      <c r="E362" s="34" t="str">
        <f>+UPPER('0. Instruções'!$D$36&amp;"."&amp;VLOOKUP(B362,'0. Instruções'!$C$27:$E$32,3,FALSE))</f>
        <v>BU_LOANTAPE_WORK.LT004_PROTECTION</v>
      </c>
      <c r="F362" s="34" t="s">
        <v>630</v>
      </c>
      <c r="G362" s="34"/>
      <c r="H362" s="34" t="s">
        <v>645</v>
      </c>
      <c r="I362" s="34" t="str">
        <f>"(SELECT "&amp;VLOOKUP(B362,'0. Instruções'!$C$27:$G$32,4,FALSE)&amp;", "&amp;F362&amp;" FROM "&amp;D362&amp;" WHERE "&amp;'0. Instruções'!$D$42&amp;")X"</f>
        <v>(SELECT prtctn_id, DT_FRST_USG FROM CD_LOAN_TAPES_BCE.LT004_PROTECTION WHERE ref_date='${ref_date}' AND nome_perimetro='Individual Corporativo' AND segmento='ESTR' AND ambito='PM' AND entidade='00100')X</v>
      </c>
      <c r="J362" s="34" t="str">
        <f>"(SELECT "&amp;VLOOKUP(B362,'0. Instruções'!$C$27:$G$32,4,FALSE)&amp;" AS "&amp;VLOOKUP(B362,'0. Instruções'!$C$27:$G$32,4,FALSE)&amp;"_SIMUL, "&amp;F362&amp;" AS "&amp;F362&amp;"_SIMUL FROM "&amp;E362&amp;" WHERE "&amp;'0. Instruções'!$D$43&amp;")Y"</f>
        <v>(SELECT prtctn_id AS prtctn_id_SIMUL, DT_FRST_USG AS DT_FRST_USG_SIMUL FROM BU_LOANTAPE_WORK.LT004_PROTECTION WHERE ref_date='${ref_date}' AND nome_perimetro='Individual Corporativo' AND segmento='ESTR' AND ambito='PM' AND entidade='00100')Y</v>
      </c>
      <c r="K362" s="35" t="str">
        <f>+UPPER("ON X."&amp;VLOOKUP(B362,'0. Instruções'!$C$27:$G$32,4,FALSE)&amp;"=Y."&amp;VLOOKUP(B362,'0. Instruções'!$C$27:$G$32,4,FALSE)&amp;"_SIMUL")</f>
        <v>ON X.PRTCTN_ID=Y.PRTCTN_ID_SIMUL</v>
      </c>
      <c r="L362" s="35" t="str">
        <f>+IF(C362="Coerência", +IF(LEFT(G362,5)="FLOAT","SELECT '"&amp;UPPER(B362)&amp;"' AS TABELA, '"&amp;UPPER(C362)&amp;"' AS TIPOLOGIA_TESTE,'"&amp;D362&amp;"' AS TABELA_LT,'"&amp;E362&amp;"' AS TABELA_SIMUL,'"&amp;F362&amp;"' AS CAMPO, "&amp;"'${ref_date}' AS REF_DATE, COUNT(*) AS NUM_REG, SUM(IF((ABS(COALESCE(CAST(X."&amp;F362&amp;" AS DECIMAL(18,6)),0)-COALESCE(CAST(Y."&amp;F362&amp;"_SIMUL AS DECIMAL(18,6)),0))&gt;0.000001) OR (X."&amp;F362&amp;" IS NULL AND Y."&amp;F362&amp;"_SIMUL IS NOT NULL ) OR (X."&amp;F362&amp;" IS NOT NULL AND Y."&amp;F362&amp;"_SIMUL IS NULL),1,0)) AS NUM_REG_DIF,'"&amp;MAX('ID1&amp;5'!K:K)+1&amp;"' AS ID_EXEC, CURRENT_TIMESTAMP() AS TIME_EXEC FROM "&amp;I362&amp;" INNER JOIN "&amp;J362&amp;" "&amp;K362,"SELECT '"&amp;UPPER(B362)&amp;"' AS TABELA, '"&amp;UPPER(C362)&amp;"' AS TIPOLOGIA_TESTE,'"&amp;D362&amp;"' AS TABELA_LT,'"&amp;E362&amp;"' AS TABELA_SIMUL,'"&amp;F362&amp;"' AS CAMPO, "&amp;"'${ref_date}' AS REF_DATE, COUNT(*) AS NUM_REG, SUM(IF(COALESCE(CAST(X."&amp;F362&amp;" AS STRING),'')&lt;&gt;COALESCE(CAST(Y."&amp;F362&amp;"_SIMUL AS STRING),'') OR (X."&amp;F362&amp;" IS NULL AND Y."&amp;F362&amp;"_SIMUL IS NOT NULL ) OR (X."&amp;F362&amp;" IS NOT NULL AND Y."&amp;F362&amp;"_SIMUL IS NULL),1,0)) AS NUM_REG_DIF,'"&amp;MAX('ID1&amp;5'!L:L)+1&amp;"' AS ID_EXEC, CURRENT_TIMESTAMP() AS TIME_EXEC FROM "&amp;I362&amp;" INNER JOIN "&amp;J362&amp;" "&amp;K362),
IF(C362="Validade",+IF(G362="Code List","SELECT '"&amp;UPPER(B362)&amp;"' AS TABELA, '"&amp;UPPER(C362)&amp;"' AS TIPOLOGIA_TESTE,'"&amp;D362&amp;"' AS TABELA_LT,'N/A' AS TABELA_SIMUL,'"&amp;F362&amp;"' AS CAMPO, "&amp;"'${ref_date}' AS REF_DATE, COUNT(*) AS NUM_REG, SUM(IF(TRIM(CAST(X."&amp;F362&amp;" AS STRING))='' OR TRIM(CAST(X."&amp;F362&amp;" AS STRING)) IS NULL OR CAST(X."&amp;F362&amp;" AS STRING) NOT "&amp;H362&amp;",1,0)) AS NUM_REG_DIF,'"&amp;MAX('ID1&amp;5'!K:K)+1&amp;"' AS ID_EXEC, CURRENT_TIMESTAMP() AS TIME_EXEC FROM "&amp;I362,"SELECT '"&amp;UPPER(B362)&amp;"' AS TABELA, '"&amp;UPPER(C362)&amp;"' AS TIPOLOGIA_TESTE,'"&amp;D362&amp;"' AS TABELA_LT,'N/A' AS TABELA_SIMUL,'"&amp;F362&amp;"' AS CAMPO, "&amp;"'${ref_date}' AS REF_DATE, COUNT(*) AS NUM_REG, SUM(IF(TRIM(CAST(X."&amp;F362&amp;" AS STRING))='' OR TRIM(CAST(X."&amp;F362&amp;" AS STRING)) IS NULL,1,0)) AS NUM_REG_DIF,'"&amp;MAX('ID1&amp;5'!K:K)+1&amp;"' AS ID_EXEC, CURRENT_TIMESTAMP() AS TIME_EXEC FROM "&amp;I362),
IF(C362="Caracteres Especiais",+"SELECT '"&amp;UPPER(B362)&amp;"' AS TABELA, '"&amp;UPPER(C362)&amp;"' AS TIPOLOGIA_TESTE,'"&amp;D362&amp;"' AS TABELA_LT,'N/A' AS TABELA_SIMUL,'"&amp;F362&amp;"' AS CAMPO, "&amp;"'${ref_date}' AS REF_DATE, COUNT(*) AS NUM_REG, SUM(IF(REGEXP_REPLACE(TRIM(CAST(X."&amp;F362&amp;" AS STRING)),'[^a-zA-Z0-9_\\s]','') &lt;&gt;TRIM(CAST(X."&amp;F362&amp;" AS STRING)),1,0)) AS NUM_REG_DIF,'"&amp;MAX('ID1&amp;5'!K:K)+1&amp;"' AS ID_EXEC, CURRENT_TIMESTAMP() AS TIME_EXEC FROM "&amp;I362,
IF(C362="Missings",+"SELECT '"&amp;UPPER(B362)&amp;"' AS TABELA, '"&amp;UPPER(C362)&amp;"' AS TIPOLOGIA_TESTE,'"&amp;D362&amp;"' AS TABELA_LT,'N/A' AS TABELA_SIMUL,'"&amp;F362&amp;"' AS CAMPO, "&amp;"'${ref_date}' AS REF_DATE, COUNT(*) AS NUM_REG, SUM(IF(TRIM(CAST(X."&amp;F362&amp;" AS STRING)) IN ('0000-00-00','0001-01-01','9999-12-31','MISS','00000','99999999999','99999999999.00','99999999999.000000'),1,0)) AS NUM_REG_DIF,'"&amp;MAX('ID1&amp;5'!K:K)+1&amp;"' AS ID_EXEC, CURRENT_TIMESTAMP() AS TIME_EXEC FROM "&amp;I362,
IF(C362="Not applicable",+"SELECT '"&amp;UPPER(B362)&amp;"' AS TABELA, '"&amp;UPPER(C362)&amp;"' AS TIPOLOGIA_TESTE,'"&amp;D362&amp;"' AS TABELA_LT,'N/A' AS TABELA_SIMUL,'"&amp;F362&amp;"' AS CAMPO, "&amp;"'${ref_date}' AS REF_DATE, COUNT(*) AS NUM_REG, SUM(IF(TRIM(CAST(X."&amp;F362&amp;" AS STRING)) IN ('N/A','11111111111','11111111111.00','11111111111.000000','1111-11-11'),1,0)) AS NUM_REG_DIF,'"&amp;MAX('ID1&amp;5'!K:K)+1&amp;"' AS ID_EXEC, CURRENT_TIMESTAMP() AS TIME_EXEC FROM "&amp;I362,
IF(C362="Valores extremos",+"SELECT '"&amp;UPPER(B362)&amp;"' AS TABELA, '"&amp;UPPER(C362)&amp;"' AS TIPOLOGIA_TESTE,'"&amp;D362&amp;"' AS TABELA_LT,'N/A' AS TABELA_SIMUL,'"&amp;F362&amp;"' AS CAMPO, "&amp;"'${ref_date}' AS REF_DATE, CAST(MIN("&amp;F362&amp;") AS STRING) AS VALOR_MIN, CAST(MAX("&amp;F362&amp;") AS STRING) AS VALOR_MAX,'"&amp;MAX('ID1&amp;5'!K:K)+1&amp;"' AS ID_EXEC, CURRENT_TIMESTAMP() AS TIME_EXEC FROM "&amp;MID(I362,1,LEN(I362)-2)&amp;" AND CAST("&amp;F362&amp;"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TABELA_SIMUL,'DT_FRST_USG' AS CAMPO, '${ref_date}' AS REF_DATE, COUNT(*) AS NUM_REG, SUM(IF(COALESCE(CAST(X.DT_FRST_USG AS STRING),'')&lt;&gt;COALESCE(CAST(Y.DT_FRST_USG_SIMUL AS STRING),'') OR (X.DT_FRST_USG IS NULL AND Y.DT_FRST_USG_SIMUL IS NOT NULL ) OR (X.DT_FRST_USG IS NOT NULL AND Y.DT_FRST_USG_SIMUL IS NULL),1,0)) AS NUM_REG_DIF,'1' AS ID_EXEC, CURRENT_TIMESTAMP() AS TIME_EXEC FROM (SELECT prtctn_id, DT_FRST_USG FROM CD_LOAN_TAPES_BCE.LT004_PROTECTION WHERE ref_date='${ref_date}' AND nome_perimetro='Individual Corporativo' AND segmento='ESTR' AND ambito='PM' AND entidade='00100')X INNER JOIN (SELECT prtctn_id AS prtctn_id_SIMUL, DT_FRST_USG AS DT_FRST_USG_SIMUL FROM BU_LOANTAPE_WORK.LT004_PROTECTION WHERE ref_date='${ref_date}' AND nome_perimetro='Individual Corporativo' AND segmento='ESTR' AND ambito='PM' AND entidade='00100')Y ON X.PRTCTN_ID=Y.PRTCTN_ID_SIMUL</v>
      </c>
      <c r="M362" s="36" t="str">
        <f t="shared" si="7"/>
        <v>UNION ALL SELECT 'PROTECTION' AS TABELA, 'COERÊNCIA' AS TIPOLOGIA_TESTE,'CD_LOAN_TAPES_BCE.LT004_PROTECTION' AS TABELA_LT,'BU_LOANTAPE_WORK.LT004_PROTECTION' AS TABELA_SIMUL,'DT_FRST_USG' AS CAMPO, '${ref_date}' AS REF_DATE, COUNT(*) AS NUM_REG, SUM(IF(COALESCE(CAST(X.DT_FRST_USG AS STRING),'')&lt;&gt;COALESCE(CAST(Y.DT_FRST_USG_SIMUL AS STRING),'') OR (X.DT_FRST_USG IS NULL AND Y.DT_FRST_USG_SIMUL IS NOT NULL ) OR (X.DT_FRST_USG IS NOT NULL AND Y.DT_FRST_USG_SIMUL IS NULL),1,0)) AS NUM_REG_DIF,'1' AS ID_EXEC, CURRENT_TIMESTAMP() AS TIME_EXEC FROM (SELECT prtctn_id, DT_FRST_USG FROM CD_LOAN_TAPES_BCE.LT004_PROTECTION WHERE ref_date='${ref_date}' AND nome_perimetro='Individual Corporativo' AND segmento='ESTR' AND ambito='PM' AND entidade='00100')X INNER JOIN (SELECT prtctn_id AS prtctn_id_SIMUL, DT_FRST_USG AS DT_FRST_USG_SIMUL FROM BU_LOANTAPE_WORK.LT004_PROTECTION WHERE ref_date='${ref_date}' AND nome_perimetro='Individual Corporativo' AND segmento='ESTR' AND ambito='PM' AND entidade='00100')Y ON X.PRTCTN_ID=Y.PRTCTN_ID_SIMUL</v>
      </c>
      <c r="N362" s="38" t="s">
        <v>46</v>
      </c>
    </row>
    <row r="363" spans="2:14" hidden="1">
      <c r="B363" s="34" t="s">
        <v>128</v>
      </c>
      <c r="C363" s="34" t="s">
        <v>5</v>
      </c>
      <c r="D363" s="34" t="str">
        <f>+UPPER('0. Instruções'!$D$35&amp;"."&amp;VLOOKUP(B363,'0. Instruções'!$C$27:$D$32,2,FALSE))</f>
        <v>CD_LOAN_TAPES_BCE.LT004_PROTECTION</v>
      </c>
      <c r="E363" s="34" t="str">
        <f>+UPPER('0. Instruções'!$D$36&amp;"."&amp;VLOOKUP(B363,'0. Instruções'!$C$27:$E$32,3,FALSE))</f>
        <v>BU_LOANTAPE_WORK.LT004_PROTECTION</v>
      </c>
      <c r="F363" s="34" t="s">
        <v>631</v>
      </c>
      <c r="G363" s="34"/>
      <c r="H363" s="34" t="s">
        <v>89</v>
      </c>
      <c r="I363" s="34" t="str">
        <f>"(SELECT "&amp;VLOOKUP(B363,'0. Instruções'!$C$27:$G$32,4,FALSE)&amp;", "&amp;F363&amp;" FROM "&amp;D363&amp;" WHERE "&amp;'0. Instruções'!$D$42&amp;")X"</f>
        <v>(SELECT prtctn_id, DVLPMNT_STTS FROM CD_LOAN_TAPES_BCE.LT004_PROTECTION WHERE ref_date='${ref_date}' AND nome_perimetro='Individual Corporativo' AND segmento='ESTR' AND ambito='PM' AND entidade='00100')X</v>
      </c>
      <c r="J363" s="34" t="str">
        <f>"(SELECT "&amp;VLOOKUP(B363,'0. Instruções'!$C$27:$G$32,4,FALSE)&amp;" AS "&amp;VLOOKUP(B363,'0. Instruções'!$C$27:$G$32,4,FALSE)&amp;"_SIMUL, "&amp;F363&amp;" AS "&amp;F363&amp;"_SIMUL FROM "&amp;E363&amp;" WHERE "&amp;'0. Instruções'!$D$43&amp;")Y"</f>
        <v>(SELECT prtctn_id AS prtctn_id_SIMUL, DVLPMNT_STTS AS DVLPMNT_STTS_SIMUL FROM BU_LOANTAPE_WORK.LT004_PROTECTION WHERE ref_date='${ref_date}' AND nome_perimetro='Individual Corporativo' AND segmento='ESTR' AND ambito='PM' AND entidade='00100')Y</v>
      </c>
      <c r="K363" s="35" t="str">
        <f>+UPPER("ON X."&amp;VLOOKUP(B363,'0. Instruções'!$C$27:$G$32,4,FALSE)&amp;"=Y."&amp;VLOOKUP(B363,'0. Instruções'!$C$27:$G$32,4,FALSE)&amp;"_SIMUL")</f>
        <v>ON X.PRTCTN_ID=Y.PRTCTN_ID_SIMUL</v>
      </c>
      <c r="L363" s="35" t="str">
        <f>+IF(C363="Coerência", +IF(LEFT(G363,5)="FLOAT","SELECT '"&amp;UPPER(B363)&amp;"' AS TABELA, '"&amp;UPPER(C363)&amp;"' AS TIPOLOGIA_TESTE,'"&amp;D363&amp;"' AS TABELA_LT,'"&amp;E363&amp;"' AS TABELA_SIMUL,'"&amp;F363&amp;"' AS CAMPO, "&amp;"'${ref_date}' AS REF_DATE, COUNT(*) AS NUM_REG, SUM(IF((ABS(COALESCE(CAST(X."&amp;F363&amp;" AS DECIMAL(18,6)),0)-COALESCE(CAST(Y."&amp;F363&amp;"_SIMUL AS DECIMAL(18,6)),0))&gt;0.000001) OR (X."&amp;F363&amp;" IS NULL AND Y."&amp;F363&amp;"_SIMUL IS NOT NULL ) OR (X."&amp;F363&amp;" IS NOT NULL AND Y."&amp;F363&amp;"_SIMUL IS NULL),1,0)) AS NUM_REG_DIF,'"&amp;MAX('ID1&amp;5'!K:K)+1&amp;"' AS ID_EXEC, CURRENT_TIMESTAMP() AS TIME_EXEC FROM "&amp;I363&amp;" INNER JOIN "&amp;J363&amp;" "&amp;K363,"SELECT '"&amp;UPPER(B363)&amp;"' AS TABELA, '"&amp;UPPER(C363)&amp;"' AS TIPOLOGIA_TESTE,'"&amp;D363&amp;"' AS TABELA_LT,'"&amp;E363&amp;"' AS TABELA_SIMUL,'"&amp;F363&amp;"' AS CAMPO, "&amp;"'${ref_date}' AS REF_DATE, COUNT(*) AS NUM_REG, SUM(IF(COALESCE(CAST(X."&amp;F363&amp;" AS STRING),'')&lt;&gt;COALESCE(CAST(Y."&amp;F363&amp;"_SIMUL AS STRING),'') OR (X."&amp;F363&amp;" IS NULL AND Y."&amp;F363&amp;"_SIMUL IS NOT NULL ) OR (X."&amp;F363&amp;" IS NOT NULL AND Y."&amp;F363&amp;"_SIMUL IS NULL),1,0)) AS NUM_REG_DIF,'"&amp;MAX('ID1&amp;5'!L:L)+1&amp;"' AS ID_EXEC, CURRENT_TIMESTAMP() AS TIME_EXEC FROM "&amp;I363&amp;" INNER JOIN "&amp;J363&amp;" "&amp;K363),
IF(C363="Validade",+IF(G363="Code List","SELECT '"&amp;UPPER(B363)&amp;"' AS TABELA, '"&amp;UPPER(C363)&amp;"' AS TIPOLOGIA_TESTE,'"&amp;D363&amp;"' AS TABELA_LT,'N/A' AS TABELA_SIMUL,'"&amp;F363&amp;"' AS CAMPO, "&amp;"'${ref_date}' AS REF_DATE, COUNT(*) AS NUM_REG, SUM(IF(TRIM(CAST(X."&amp;F363&amp;" AS STRING))='' OR TRIM(CAST(X."&amp;F363&amp;" AS STRING)) IS NULL OR CAST(X."&amp;F363&amp;" AS STRING) NOT "&amp;H363&amp;",1,0)) AS NUM_REG_DIF,'"&amp;MAX('ID1&amp;5'!K:K)+1&amp;"' AS ID_EXEC, CURRENT_TIMESTAMP() AS TIME_EXEC FROM "&amp;I363,"SELECT '"&amp;UPPER(B363)&amp;"' AS TABELA, '"&amp;UPPER(C363)&amp;"' AS TIPOLOGIA_TESTE,'"&amp;D363&amp;"' AS TABELA_LT,'N/A' AS TABELA_SIMUL,'"&amp;F363&amp;"' AS CAMPO, "&amp;"'${ref_date}' AS REF_DATE, COUNT(*) AS NUM_REG, SUM(IF(TRIM(CAST(X."&amp;F363&amp;" AS STRING))='' OR TRIM(CAST(X."&amp;F363&amp;" AS STRING)) IS NULL,1,0)) AS NUM_REG_DIF,'"&amp;MAX('ID1&amp;5'!K:K)+1&amp;"' AS ID_EXEC, CURRENT_TIMESTAMP() AS TIME_EXEC FROM "&amp;I363),
IF(C363="Caracteres Especiais",+"SELECT '"&amp;UPPER(B363)&amp;"' AS TABELA, '"&amp;UPPER(C363)&amp;"' AS TIPOLOGIA_TESTE,'"&amp;D363&amp;"' AS TABELA_LT,'N/A' AS TABELA_SIMUL,'"&amp;F363&amp;"' AS CAMPO, "&amp;"'${ref_date}' AS REF_DATE, COUNT(*) AS NUM_REG, SUM(IF(REGEXP_REPLACE(TRIM(CAST(X."&amp;F363&amp;" AS STRING)),'[^a-zA-Z0-9_\\s]','') &lt;&gt;TRIM(CAST(X."&amp;F363&amp;" AS STRING)),1,0)) AS NUM_REG_DIF,'"&amp;MAX('ID1&amp;5'!K:K)+1&amp;"' AS ID_EXEC, CURRENT_TIMESTAMP() AS TIME_EXEC FROM "&amp;I363,
IF(C363="Missings",+"SELECT '"&amp;UPPER(B363)&amp;"' AS TABELA, '"&amp;UPPER(C363)&amp;"' AS TIPOLOGIA_TESTE,'"&amp;D363&amp;"' AS TABELA_LT,'N/A' AS TABELA_SIMUL,'"&amp;F363&amp;"' AS CAMPO, "&amp;"'${ref_date}' AS REF_DATE, COUNT(*) AS NUM_REG, SUM(IF(TRIM(CAST(X."&amp;F363&amp;" AS STRING)) IN ('0000-00-00','0001-01-01','9999-12-31','MISS','00000','99999999999','99999999999.00','99999999999.000000'),1,0)) AS NUM_REG_DIF,'"&amp;MAX('ID1&amp;5'!K:K)+1&amp;"' AS ID_EXEC, CURRENT_TIMESTAMP() AS TIME_EXEC FROM "&amp;I363,
IF(C363="Not applicable",+"SELECT '"&amp;UPPER(B363)&amp;"' AS TABELA, '"&amp;UPPER(C363)&amp;"' AS TIPOLOGIA_TESTE,'"&amp;D363&amp;"' AS TABELA_LT,'N/A' AS TABELA_SIMUL,'"&amp;F363&amp;"' AS CAMPO, "&amp;"'${ref_date}' AS REF_DATE, COUNT(*) AS NUM_REG, SUM(IF(TRIM(CAST(X."&amp;F363&amp;" AS STRING)) IN ('N/A','11111111111','11111111111.00','11111111111.000000','1111-11-11'),1,0)) AS NUM_REG_DIF,'"&amp;MAX('ID1&amp;5'!K:K)+1&amp;"' AS ID_EXEC, CURRENT_TIMESTAMP() AS TIME_EXEC FROM "&amp;I363,
IF(C363="Valores extremos",+"SELECT '"&amp;UPPER(B363)&amp;"' AS TABELA, '"&amp;UPPER(C363)&amp;"' AS TIPOLOGIA_TESTE,'"&amp;D363&amp;"' AS TABELA_LT,'N/A' AS TABELA_SIMUL,'"&amp;F363&amp;"' AS CAMPO, "&amp;"'${ref_date}' AS REF_DATE, CAST(MIN("&amp;F363&amp;") AS STRING) AS VALOR_MIN, CAST(MAX("&amp;F363&amp;") AS STRING) AS VALOR_MAX,'"&amp;MAX('ID1&amp;5'!K:K)+1&amp;"' AS ID_EXEC, CURRENT_TIMESTAMP() AS TIME_EXEC FROM "&amp;MID(I363,1,LEN(I363)-2)&amp;" AND CAST("&amp;F363&amp;"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TABELA_SIMUL,'DVLPMNT_STTS' AS CAMPO, '${ref_date}' AS REF_DATE, COUNT(*) AS NUM_REG, SUM(IF(COALESCE(CAST(X.DVLPMNT_STTS AS STRING),'')&lt;&gt;COALESCE(CAST(Y.DVLPMNT_STTS_SIMUL AS STRING),'') OR (X.DVLPMNT_STTS IS NULL AND Y.DVLPMNT_STTS_SIMUL IS NOT NULL ) OR (X.DVLPMNT_STTS IS NOT NULL AND Y.DVLPMNT_STTS_SIMUL IS NULL),1,0)) AS NUM_REG_DIF,'1' AS ID_EXEC, CURRENT_TIMESTAMP() AS TIME_EXEC FROM (SELECT prtctn_id, DVLPMNT_STTS FROM CD_LOAN_TAPES_BCE.LT004_PROTECTION WHERE ref_date='${ref_date}' AND nome_perimetro='Individual Corporativo' AND segmento='ESTR' AND ambito='PM' AND entidade='00100')X INNER JOIN (SELECT prtctn_id AS prtctn_id_SIMUL, DVLPMNT_STTS AS DVLPMNT_STTS_SIMUL FROM BU_LOANTAPE_WORK.LT004_PROTECTION WHERE ref_date='${ref_date}' AND nome_perimetro='Individual Corporativo' AND segmento='ESTR' AND ambito='PM' AND entidade='00100')Y ON X.PRTCTN_ID=Y.PRTCTN_ID_SIMUL</v>
      </c>
      <c r="M363" s="36" t="str">
        <f t="shared" si="7"/>
        <v>UNION ALL SELECT 'PROTECTION' AS TABELA, 'COERÊNCIA' AS TIPOLOGIA_TESTE,'CD_LOAN_TAPES_BCE.LT004_PROTECTION' AS TABELA_LT,'BU_LOANTAPE_WORK.LT004_PROTECTION' AS TABELA_SIMUL,'DVLPMNT_STTS' AS CAMPO, '${ref_date}' AS REF_DATE, COUNT(*) AS NUM_REG, SUM(IF(COALESCE(CAST(X.DVLPMNT_STTS AS STRING),'')&lt;&gt;COALESCE(CAST(Y.DVLPMNT_STTS_SIMUL AS STRING),'') OR (X.DVLPMNT_STTS IS NULL AND Y.DVLPMNT_STTS_SIMUL IS NOT NULL ) OR (X.DVLPMNT_STTS IS NOT NULL AND Y.DVLPMNT_STTS_SIMUL IS NULL),1,0)) AS NUM_REG_DIF,'1' AS ID_EXEC, CURRENT_TIMESTAMP() AS TIME_EXEC FROM (SELECT prtctn_id, DVLPMNT_STTS FROM CD_LOAN_TAPES_BCE.LT004_PROTECTION WHERE ref_date='${ref_date}' AND nome_perimetro='Individual Corporativo' AND segmento='ESTR' AND ambito='PM' AND entidade='00100')X INNER JOIN (SELECT prtctn_id AS prtctn_id_SIMUL, DVLPMNT_STTS AS DVLPMNT_STTS_SIMUL FROM BU_LOANTAPE_WORK.LT004_PROTECTION WHERE ref_date='${ref_date}' AND nome_perimetro='Individual Corporativo' AND segmento='ESTR' AND ambito='PM' AND entidade='00100')Y ON X.PRTCTN_ID=Y.PRTCTN_ID_SIMUL</v>
      </c>
      <c r="N363" s="38" t="s">
        <v>46</v>
      </c>
    </row>
    <row r="364" spans="2:14" hidden="1">
      <c r="B364" s="34" t="s">
        <v>128</v>
      </c>
      <c r="C364" s="34" t="s">
        <v>5</v>
      </c>
      <c r="D364" s="34" t="str">
        <f>+UPPER('0. Instruções'!$D$35&amp;"."&amp;VLOOKUP(B364,'0. Instruções'!$C$27:$D$32,2,FALSE))</f>
        <v>CD_LOAN_TAPES_BCE.LT004_PROTECTION</v>
      </c>
      <c r="E364" s="34" t="str">
        <f>+UPPER('0. Instruções'!$D$36&amp;"."&amp;VLOOKUP(B364,'0. Instruções'!$C$27:$E$32,3,FALSE))</f>
        <v>BU_LOANTAPE_WORK.LT004_PROTECTION</v>
      </c>
      <c r="F364" s="34" t="s">
        <v>632</v>
      </c>
      <c r="G364" s="34"/>
      <c r="H364" s="34" t="s">
        <v>89</v>
      </c>
      <c r="I364" s="34" t="str">
        <f>"(SELECT "&amp;VLOOKUP(B364,'0. Instruções'!$C$27:$G$32,4,FALSE)&amp;", "&amp;F364&amp;" FROM "&amp;D364&amp;" WHERE "&amp;'0. Instruções'!$D$42&amp;")X"</f>
        <v>(SELECT prtctn_id, MN_PRPS FROM CD_LOAN_TAPES_BCE.LT004_PROTECTION WHERE ref_date='${ref_date}' AND nome_perimetro='Individual Corporativo' AND segmento='ESTR' AND ambito='PM' AND entidade='00100')X</v>
      </c>
      <c r="J364" s="34" t="str">
        <f>"(SELECT "&amp;VLOOKUP(B364,'0. Instruções'!$C$27:$G$32,4,FALSE)&amp;" AS "&amp;VLOOKUP(B364,'0. Instruções'!$C$27:$G$32,4,FALSE)&amp;"_SIMUL, "&amp;F364&amp;" AS "&amp;F364&amp;"_SIMUL FROM "&amp;E364&amp;" WHERE "&amp;'0. Instruções'!$D$43&amp;")Y"</f>
        <v>(SELECT prtctn_id AS prtctn_id_SIMUL, MN_PRPS AS MN_PRPS_SIMUL FROM BU_LOANTAPE_WORK.LT004_PROTECTION WHERE ref_date='${ref_date}' AND nome_perimetro='Individual Corporativo' AND segmento='ESTR' AND ambito='PM' AND entidade='00100')Y</v>
      </c>
      <c r="K364" s="35" t="str">
        <f>+UPPER("ON X."&amp;VLOOKUP(B364,'0. Instruções'!$C$27:$G$32,4,FALSE)&amp;"=Y."&amp;VLOOKUP(B364,'0. Instruções'!$C$27:$G$32,4,FALSE)&amp;"_SIMUL")</f>
        <v>ON X.PRTCTN_ID=Y.PRTCTN_ID_SIMUL</v>
      </c>
      <c r="L364" s="35" t="str">
        <f>+IF(C364="Coerência", +IF(LEFT(G364,5)="FLOAT","SELECT '"&amp;UPPER(B364)&amp;"' AS TABELA, '"&amp;UPPER(C364)&amp;"' AS TIPOLOGIA_TESTE,'"&amp;D364&amp;"' AS TABELA_LT,'"&amp;E364&amp;"' AS TABELA_SIMUL,'"&amp;F364&amp;"' AS CAMPO, "&amp;"'${ref_date}' AS REF_DATE, COUNT(*) AS NUM_REG, SUM(IF((ABS(COALESCE(CAST(X."&amp;F364&amp;" AS DECIMAL(18,6)),0)-COALESCE(CAST(Y."&amp;F364&amp;"_SIMUL AS DECIMAL(18,6)),0))&gt;0.000001) OR (X."&amp;F364&amp;" IS NULL AND Y."&amp;F364&amp;"_SIMUL IS NOT NULL ) OR (X."&amp;F364&amp;" IS NOT NULL AND Y."&amp;F364&amp;"_SIMUL IS NULL),1,0)) AS NUM_REG_DIF,'"&amp;MAX('ID1&amp;5'!K:K)+1&amp;"' AS ID_EXEC, CURRENT_TIMESTAMP() AS TIME_EXEC FROM "&amp;I364&amp;" INNER JOIN "&amp;J364&amp;" "&amp;K364,"SELECT '"&amp;UPPER(B364)&amp;"' AS TABELA, '"&amp;UPPER(C364)&amp;"' AS TIPOLOGIA_TESTE,'"&amp;D364&amp;"' AS TABELA_LT,'"&amp;E364&amp;"' AS TABELA_SIMUL,'"&amp;F364&amp;"' AS CAMPO, "&amp;"'${ref_date}' AS REF_DATE, COUNT(*) AS NUM_REG, SUM(IF(COALESCE(CAST(X."&amp;F364&amp;" AS STRING),'')&lt;&gt;COALESCE(CAST(Y."&amp;F364&amp;"_SIMUL AS STRING),'') OR (X."&amp;F364&amp;" IS NULL AND Y."&amp;F364&amp;"_SIMUL IS NOT NULL ) OR (X."&amp;F364&amp;" IS NOT NULL AND Y."&amp;F364&amp;"_SIMUL IS NULL),1,0)) AS NUM_REG_DIF,'"&amp;MAX('ID1&amp;5'!L:L)+1&amp;"' AS ID_EXEC, CURRENT_TIMESTAMP() AS TIME_EXEC FROM "&amp;I364&amp;" INNER JOIN "&amp;J364&amp;" "&amp;K364),
IF(C364="Validade",+IF(G364="Code List","SELECT '"&amp;UPPER(B364)&amp;"' AS TABELA, '"&amp;UPPER(C364)&amp;"' AS TIPOLOGIA_TESTE,'"&amp;D364&amp;"' AS TABELA_LT,'N/A' AS TABELA_SIMUL,'"&amp;F364&amp;"' AS CAMPO, "&amp;"'${ref_date}' AS REF_DATE, COUNT(*) AS NUM_REG, SUM(IF(TRIM(CAST(X."&amp;F364&amp;" AS STRING))='' OR TRIM(CAST(X."&amp;F364&amp;" AS STRING)) IS NULL OR CAST(X."&amp;F364&amp;" AS STRING) NOT "&amp;H364&amp;",1,0)) AS NUM_REG_DIF,'"&amp;MAX('ID1&amp;5'!K:K)+1&amp;"' AS ID_EXEC, CURRENT_TIMESTAMP() AS TIME_EXEC FROM "&amp;I364,"SELECT '"&amp;UPPER(B364)&amp;"' AS TABELA, '"&amp;UPPER(C364)&amp;"' AS TIPOLOGIA_TESTE,'"&amp;D364&amp;"' AS TABELA_LT,'N/A' AS TABELA_SIMUL,'"&amp;F364&amp;"' AS CAMPO, "&amp;"'${ref_date}' AS REF_DATE, COUNT(*) AS NUM_REG, SUM(IF(TRIM(CAST(X."&amp;F364&amp;" AS STRING))='' OR TRIM(CAST(X."&amp;F364&amp;" AS STRING)) IS NULL,1,0)) AS NUM_REG_DIF,'"&amp;MAX('ID1&amp;5'!K:K)+1&amp;"' AS ID_EXEC, CURRENT_TIMESTAMP() AS TIME_EXEC FROM "&amp;I364),
IF(C364="Caracteres Especiais",+"SELECT '"&amp;UPPER(B364)&amp;"' AS TABELA, '"&amp;UPPER(C364)&amp;"' AS TIPOLOGIA_TESTE,'"&amp;D364&amp;"' AS TABELA_LT,'N/A' AS TABELA_SIMUL,'"&amp;F364&amp;"' AS CAMPO, "&amp;"'${ref_date}' AS REF_DATE, COUNT(*) AS NUM_REG, SUM(IF(REGEXP_REPLACE(TRIM(CAST(X."&amp;F364&amp;" AS STRING)),'[^a-zA-Z0-9_\\s]','') &lt;&gt;TRIM(CAST(X."&amp;F364&amp;" AS STRING)),1,0)) AS NUM_REG_DIF,'"&amp;MAX('ID1&amp;5'!K:K)+1&amp;"' AS ID_EXEC, CURRENT_TIMESTAMP() AS TIME_EXEC FROM "&amp;I364,
IF(C364="Missings",+"SELECT '"&amp;UPPER(B364)&amp;"' AS TABELA, '"&amp;UPPER(C364)&amp;"' AS TIPOLOGIA_TESTE,'"&amp;D364&amp;"' AS TABELA_LT,'N/A' AS TABELA_SIMUL,'"&amp;F364&amp;"' AS CAMPO, "&amp;"'${ref_date}' AS REF_DATE, COUNT(*) AS NUM_REG, SUM(IF(TRIM(CAST(X."&amp;F364&amp;" AS STRING)) IN ('0000-00-00','0001-01-01','9999-12-31','MISS','00000','99999999999','99999999999.00','99999999999.000000'),1,0)) AS NUM_REG_DIF,'"&amp;MAX('ID1&amp;5'!K:K)+1&amp;"' AS ID_EXEC, CURRENT_TIMESTAMP() AS TIME_EXEC FROM "&amp;I364,
IF(C364="Not applicable",+"SELECT '"&amp;UPPER(B364)&amp;"' AS TABELA, '"&amp;UPPER(C364)&amp;"' AS TIPOLOGIA_TESTE,'"&amp;D364&amp;"' AS TABELA_LT,'N/A' AS TABELA_SIMUL,'"&amp;F364&amp;"' AS CAMPO, "&amp;"'${ref_date}' AS REF_DATE, COUNT(*) AS NUM_REG, SUM(IF(TRIM(CAST(X."&amp;F364&amp;" AS STRING)) IN ('N/A','11111111111','11111111111.00','11111111111.000000','1111-11-11'),1,0)) AS NUM_REG_DIF,'"&amp;MAX('ID1&amp;5'!K:K)+1&amp;"' AS ID_EXEC, CURRENT_TIMESTAMP() AS TIME_EXEC FROM "&amp;I364,
IF(C364="Valores extremos",+"SELECT '"&amp;UPPER(B364)&amp;"' AS TABELA, '"&amp;UPPER(C364)&amp;"' AS TIPOLOGIA_TESTE,'"&amp;D364&amp;"' AS TABELA_LT,'N/A' AS TABELA_SIMUL,'"&amp;F364&amp;"' AS CAMPO, "&amp;"'${ref_date}' AS REF_DATE, CAST(MIN("&amp;F364&amp;") AS STRING) AS VALOR_MIN, CAST(MAX("&amp;F364&amp;") AS STRING) AS VALOR_MAX,'"&amp;MAX('ID1&amp;5'!K:K)+1&amp;"' AS ID_EXEC, CURRENT_TIMESTAMP() AS TIME_EXEC FROM "&amp;MID(I364,1,LEN(I364)-2)&amp;" AND CAST("&amp;F364&amp;"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TABELA_SIMUL,'MN_PRPS' AS CAMPO, '${ref_date}' AS REF_DATE, COUNT(*) AS NUM_REG, SUM(IF(COALESCE(CAST(X.MN_PRPS AS STRING),'')&lt;&gt;COALESCE(CAST(Y.MN_PRPS_SIMUL AS STRING),'') OR (X.MN_PRPS IS NULL AND Y.MN_PRPS_SIMUL IS NOT NULL ) OR (X.MN_PRPS IS NOT NULL AND Y.MN_PRPS_SIMUL IS NULL),1,0)) AS NUM_REG_DIF,'1' AS ID_EXEC, CURRENT_TIMESTAMP() AS TIME_EXEC FROM (SELECT prtctn_id, MN_PRPS FROM CD_LOAN_TAPES_BCE.LT004_PROTECTION WHERE ref_date='${ref_date}' AND nome_perimetro='Individual Corporativo' AND segmento='ESTR' AND ambito='PM' AND entidade='00100')X INNER JOIN (SELECT prtctn_id AS prtctn_id_SIMUL, MN_PRPS AS MN_PRPS_SIMUL FROM BU_LOANTAPE_WORK.LT004_PROTECTION WHERE ref_date='${ref_date}' AND nome_perimetro='Individual Corporativo' AND segmento='ESTR' AND ambito='PM' AND entidade='00100')Y ON X.PRTCTN_ID=Y.PRTCTN_ID_SIMUL</v>
      </c>
      <c r="M364" s="36" t="str">
        <f t="shared" si="7"/>
        <v>UNION ALL SELECT 'PROTECTION' AS TABELA, 'COERÊNCIA' AS TIPOLOGIA_TESTE,'CD_LOAN_TAPES_BCE.LT004_PROTECTION' AS TABELA_LT,'BU_LOANTAPE_WORK.LT004_PROTECTION' AS TABELA_SIMUL,'MN_PRPS' AS CAMPO, '${ref_date}' AS REF_DATE, COUNT(*) AS NUM_REG, SUM(IF(COALESCE(CAST(X.MN_PRPS AS STRING),'')&lt;&gt;COALESCE(CAST(Y.MN_PRPS_SIMUL AS STRING),'') OR (X.MN_PRPS IS NULL AND Y.MN_PRPS_SIMUL IS NOT NULL ) OR (X.MN_PRPS IS NOT NULL AND Y.MN_PRPS_SIMUL IS NULL),1,0)) AS NUM_REG_DIF,'1' AS ID_EXEC, CURRENT_TIMESTAMP() AS TIME_EXEC FROM (SELECT prtctn_id, MN_PRPS FROM CD_LOAN_TAPES_BCE.LT004_PROTECTION WHERE ref_date='${ref_date}' AND nome_perimetro='Individual Corporativo' AND segmento='ESTR' AND ambito='PM' AND entidade='00100')X INNER JOIN (SELECT prtctn_id AS prtctn_id_SIMUL, MN_PRPS AS MN_PRPS_SIMUL FROM BU_LOANTAPE_WORK.LT004_PROTECTION WHERE ref_date='${ref_date}' AND nome_perimetro='Individual Corporativo' AND segmento='ESTR' AND ambito='PM' AND entidade='00100')Y ON X.PRTCTN_ID=Y.PRTCTN_ID_SIMUL</v>
      </c>
      <c r="N364" s="38" t="s">
        <v>46</v>
      </c>
    </row>
    <row r="365" spans="2:14" hidden="1">
      <c r="B365" s="34" t="s">
        <v>128</v>
      </c>
      <c r="C365" s="34" t="s">
        <v>5</v>
      </c>
      <c r="D365" s="34" t="str">
        <f>+UPPER('0. Instruções'!$D$35&amp;"."&amp;VLOOKUP(B365,'0. Instruções'!$C$27:$D$32,2,FALSE))</f>
        <v>CD_LOAN_TAPES_BCE.LT004_PROTECTION</v>
      </c>
      <c r="E365" s="34" t="str">
        <f>+UPPER('0. Instruções'!$D$36&amp;"."&amp;VLOOKUP(B365,'0. Instruções'!$C$27:$E$32,3,FALSE))</f>
        <v>BU_LOANTAPE_WORK.LT004_PROTECTION</v>
      </c>
      <c r="F365" s="34" t="s">
        <v>633</v>
      </c>
      <c r="G365" s="34"/>
      <c r="H365" s="34" t="s">
        <v>648</v>
      </c>
      <c r="I365" s="34" t="str">
        <f>"(SELECT "&amp;VLOOKUP(B365,'0. Instruções'!$C$27:$G$32,4,FALSE)&amp;", "&amp;F365&amp;" FROM "&amp;D365&amp;" WHERE "&amp;'0. Instruções'!$D$42&amp;")X"</f>
        <v>(SELECT prtctn_id, PRM_LCTN FROM CD_LOAN_TAPES_BCE.LT004_PROTECTION WHERE ref_date='${ref_date}' AND nome_perimetro='Individual Corporativo' AND segmento='ESTR' AND ambito='PM' AND entidade='00100')X</v>
      </c>
      <c r="J365" s="34" t="str">
        <f>"(SELECT "&amp;VLOOKUP(B365,'0. Instruções'!$C$27:$G$32,4,FALSE)&amp;" AS "&amp;VLOOKUP(B365,'0. Instruções'!$C$27:$G$32,4,FALSE)&amp;"_SIMUL, "&amp;F365&amp;" AS "&amp;F365&amp;"_SIMUL FROM "&amp;E365&amp;" WHERE "&amp;'0. Instruções'!$D$43&amp;")Y"</f>
        <v>(SELECT prtctn_id AS prtctn_id_SIMUL, PRM_LCTN AS PRM_LCTN_SIMUL FROM BU_LOANTAPE_WORK.LT004_PROTECTION WHERE ref_date='${ref_date}' AND nome_perimetro='Individual Corporativo' AND segmento='ESTR' AND ambito='PM' AND entidade='00100')Y</v>
      </c>
      <c r="K365" s="35" t="str">
        <f>+UPPER("ON X."&amp;VLOOKUP(B365,'0. Instruções'!$C$27:$G$32,4,FALSE)&amp;"=Y."&amp;VLOOKUP(B365,'0. Instruções'!$C$27:$G$32,4,FALSE)&amp;"_SIMUL")</f>
        <v>ON X.PRTCTN_ID=Y.PRTCTN_ID_SIMUL</v>
      </c>
      <c r="L365" s="35" t="str">
        <f>+IF(C365="Coerência", +IF(LEFT(G365,5)="FLOAT","SELECT '"&amp;UPPER(B365)&amp;"' AS TABELA, '"&amp;UPPER(C365)&amp;"' AS TIPOLOGIA_TESTE,'"&amp;D365&amp;"' AS TABELA_LT,'"&amp;E365&amp;"' AS TABELA_SIMUL,'"&amp;F365&amp;"' AS CAMPO, "&amp;"'${ref_date}' AS REF_DATE, COUNT(*) AS NUM_REG, SUM(IF((ABS(COALESCE(CAST(X."&amp;F365&amp;" AS DECIMAL(18,6)),0)-COALESCE(CAST(Y."&amp;F365&amp;"_SIMUL AS DECIMAL(18,6)),0))&gt;0.000001) OR (X."&amp;F365&amp;" IS NULL AND Y."&amp;F365&amp;"_SIMUL IS NOT NULL ) OR (X."&amp;F365&amp;" IS NOT NULL AND Y."&amp;F365&amp;"_SIMUL IS NULL),1,0)) AS NUM_REG_DIF,'"&amp;MAX('ID1&amp;5'!K:K)+1&amp;"' AS ID_EXEC, CURRENT_TIMESTAMP() AS TIME_EXEC FROM "&amp;I365&amp;" INNER JOIN "&amp;J365&amp;" "&amp;K365,"SELECT '"&amp;UPPER(B365)&amp;"' AS TABELA, '"&amp;UPPER(C365)&amp;"' AS TIPOLOGIA_TESTE,'"&amp;D365&amp;"' AS TABELA_LT,'"&amp;E365&amp;"' AS TABELA_SIMUL,'"&amp;F365&amp;"' AS CAMPO, "&amp;"'${ref_date}' AS REF_DATE, COUNT(*) AS NUM_REG, SUM(IF(COALESCE(CAST(X."&amp;F365&amp;" AS STRING),'')&lt;&gt;COALESCE(CAST(Y."&amp;F365&amp;"_SIMUL AS STRING),'') OR (X."&amp;F365&amp;" IS NULL AND Y."&amp;F365&amp;"_SIMUL IS NOT NULL ) OR (X."&amp;F365&amp;" IS NOT NULL AND Y."&amp;F365&amp;"_SIMUL IS NULL),1,0)) AS NUM_REG_DIF,'"&amp;MAX('ID1&amp;5'!L:L)+1&amp;"' AS ID_EXEC, CURRENT_TIMESTAMP() AS TIME_EXEC FROM "&amp;I365&amp;" INNER JOIN "&amp;J365&amp;" "&amp;K365),
IF(C365="Validade",+IF(G365="Code List","SELECT '"&amp;UPPER(B365)&amp;"' AS TABELA, '"&amp;UPPER(C365)&amp;"' AS TIPOLOGIA_TESTE,'"&amp;D365&amp;"' AS TABELA_LT,'N/A' AS TABELA_SIMUL,'"&amp;F365&amp;"' AS CAMPO, "&amp;"'${ref_date}' AS REF_DATE, COUNT(*) AS NUM_REG, SUM(IF(TRIM(CAST(X."&amp;F365&amp;" AS STRING))='' OR TRIM(CAST(X."&amp;F365&amp;" AS STRING)) IS NULL OR CAST(X."&amp;F365&amp;" AS STRING) NOT "&amp;H365&amp;",1,0)) AS NUM_REG_DIF,'"&amp;MAX('ID1&amp;5'!K:K)+1&amp;"' AS ID_EXEC, CURRENT_TIMESTAMP() AS TIME_EXEC FROM "&amp;I365,"SELECT '"&amp;UPPER(B365)&amp;"' AS TABELA, '"&amp;UPPER(C365)&amp;"' AS TIPOLOGIA_TESTE,'"&amp;D365&amp;"' AS TABELA_LT,'N/A' AS TABELA_SIMUL,'"&amp;F365&amp;"' AS CAMPO, "&amp;"'${ref_date}' AS REF_DATE, COUNT(*) AS NUM_REG, SUM(IF(TRIM(CAST(X."&amp;F365&amp;" AS STRING))='' OR TRIM(CAST(X."&amp;F365&amp;" AS STRING)) IS NULL,1,0)) AS NUM_REG_DIF,'"&amp;MAX('ID1&amp;5'!K:K)+1&amp;"' AS ID_EXEC, CURRENT_TIMESTAMP() AS TIME_EXEC FROM "&amp;I365),
IF(C365="Caracteres Especiais",+"SELECT '"&amp;UPPER(B365)&amp;"' AS TABELA, '"&amp;UPPER(C365)&amp;"' AS TIPOLOGIA_TESTE,'"&amp;D365&amp;"' AS TABELA_LT,'N/A' AS TABELA_SIMUL,'"&amp;F365&amp;"' AS CAMPO, "&amp;"'${ref_date}' AS REF_DATE, COUNT(*) AS NUM_REG, SUM(IF(REGEXP_REPLACE(TRIM(CAST(X."&amp;F365&amp;" AS STRING)),'[^a-zA-Z0-9_\\s]','') &lt;&gt;TRIM(CAST(X."&amp;F365&amp;" AS STRING)),1,0)) AS NUM_REG_DIF,'"&amp;MAX('ID1&amp;5'!K:K)+1&amp;"' AS ID_EXEC, CURRENT_TIMESTAMP() AS TIME_EXEC FROM "&amp;I365,
IF(C365="Missings",+"SELECT '"&amp;UPPER(B365)&amp;"' AS TABELA, '"&amp;UPPER(C365)&amp;"' AS TIPOLOGIA_TESTE,'"&amp;D365&amp;"' AS TABELA_LT,'N/A' AS TABELA_SIMUL,'"&amp;F365&amp;"' AS CAMPO, "&amp;"'${ref_date}' AS REF_DATE, COUNT(*) AS NUM_REG, SUM(IF(TRIM(CAST(X."&amp;F365&amp;" AS STRING)) IN ('0000-00-00','0001-01-01','9999-12-31','MISS','00000','99999999999','99999999999.00','99999999999.000000'),1,0)) AS NUM_REG_DIF,'"&amp;MAX('ID1&amp;5'!K:K)+1&amp;"' AS ID_EXEC, CURRENT_TIMESTAMP() AS TIME_EXEC FROM "&amp;I365,
IF(C365="Not applicable",+"SELECT '"&amp;UPPER(B365)&amp;"' AS TABELA, '"&amp;UPPER(C365)&amp;"' AS TIPOLOGIA_TESTE,'"&amp;D365&amp;"' AS TABELA_LT,'N/A' AS TABELA_SIMUL,'"&amp;F365&amp;"' AS CAMPO, "&amp;"'${ref_date}' AS REF_DATE, COUNT(*) AS NUM_REG, SUM(IF(TRIM(CAST(X."&amp;F365&amp;" AS STRING)) IN ('N/A','11111111111','11111111111.00','11111111111.000000','1111-11-11'),1,0)) AS NUM_REG_DIF,'"&amp;MAX('ID1&amp;5'!K:K)+1&amp;"' AS ID_EXEC, CURRENT_TIMESTAMP() AS TIME_EXEC FROM "&amp;I365,
IF(C365="Valores extremos",+"SELECT '"&amp;UPPER(B365)&amp;"' AS TABELA, '"&amp;UPPER(C365)&amp;"' AS TIPOLOGIA_TESTE,'"&amp;D365&amp;"' AS TABELA_LT,'N/A' AS TABELA_SIMUL,'"&amp;F365&amp;"' AS CAMPO, "&amp;"'${ref_date}' AS REF_DATE, CAST(MIN("&amp;F365&amp;") AS STRING) AS VALOR_MIN, CAST(MAX("&amp;F365&amp;") AS STRING) AS VALOR_MAX,'"&amp;MAX('ID1&amp;5'!K:K)+1&amp;"' AS ID_EXEC, CURRENT_TIMESTAMP() AS TIME_EXEC FROM "&amp;MID(I365,1,LEN(I365)-2)&amp;" AND CAST("&amp;F365&amp;"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TABELA_SIMUL,'PRM_LCTN' AS CAMPO, '${ref_date}' AS REF_DATE, COUNT(*) AS NUM_REG, SUM(IF(COALESCE(CAST(X.PRM_LCTN AS STRING),'')&lt;&gt;COALESCE(CAST(Y.PRM_LCTN_SIMUL AS STRING),'') OR (X.PRM_LCTN IS NULL AND Y.PRM_LCTN_SIMUL IS NOT NULL ) OR (X.PRM_LCTN IS NOT NULL AND Y.PRM_LCTN_SIMUL IS NULL),1,0)) AS NUM_REG_DIF,'1' AS ID_EXEC, CURRENT_TIMESTAMP() AS TIME_EXEC FROM (SELECT prtctn_id, PRM_LCTN FROM CD_LOAN_TAPES_BCE.LT004_PROTECTION WHERE ref_date='${ref_date}' AND nome_perimetro='Individual Corporativo' AND segmento='ESTR' AND ambito='PM' AND entidade='00100')X INNER JOIN (SELECT prtctn_id AS prtctn_id_SIMUL, PRM_LCTN AS PRM_LCTN_SIMUL FROM BU_LOANTAPE_WORK.LT004_PROTECTION WHERE ref_date='${ref_date}' AND nome_perimetro='Individual Corporativo' AND segmento='ESTR' AND ambito='PM' AND entidade='00100')Y ON X.PRTCTN_ID=Y.PRTCTN_ID_SIMUL</v>
      </c>
      <c r="M365" s="36" t="str">
        <f t="shared" si="7"/>
        <v>UNION ALL SELECT 'PROTECTION' AS TABELA, 'COERÊNCIA' AS TIPOLOGIA_TESTE,'CD_LOAN_TAPES_BCE.LT004_PROTECTION' AS TABELA_LT,'BU_LOANTAPE_WORK.LT004_PROTECTION' AS TABELA_SIMUL,'PRM_LCTN' AS CAMPO, '${ref_date}' AS REF_DATE, COUNT(*) AS NUM_REG, SUM(IF(COALESCE(CAST(X.PRM_LCTN AS STRING),'')&lt;&gt;COALESCE(CAST(Y.PRM_LCTN_SIMUL AS STRING),'') OR (X.PRM_LCTN IS NULL AND Y.PRM_LCTN_SIMUL IS NOT NULL ) OR (X.PRM_LCTN IS NOT NULL AND Y.PRM_LCTN_SIMUL IS NULL),1,0)) AS NUM_REG_DIF,'1' AS ID_EXEC, CURRENT_TIMESTAMP() AS TIME_EXEC FROM (SELECT prtctn_id, PRM_LCTN FROM CD_LOAN_TAPES_BCE.LT004_PROTECTION WHERE ref_date='${ref_date}' AND nome_perimetro='Individual Corporativo' AND segmento='ESTR' AND ambito='PM' AND entidade='00100')X INNER JOIN (SELECT prtctn_id AS prtctn_id_SIMUL, PRM_LCTN AS PRM_LCTN_SIMUL FROM BU_LOANTAPE_WORK.LT004_PROTECTION WHERE ref_date='${ref_date}' AND nome_perimetro='Individual Corporativo' AND segmento='ESTR' AND ambito='PM' AND entidade='00100')Y ON X.PRTCTN_ID=Y.PRTCTN_ID_SIMUL</v>
      </c>
      <c r="N365" s="38" t="s">
        <v>46</v>
      </c>
    </row>
    <row r="366" spans="2:14" hidden="1">
      <c r="B366" s="34" t="s">
        <v>128</v>
      </c>
      <c r="C366" s="34" t="s">
        <v>5</v>
      </c>
      <c r="D366" s="34" t="str">
        <f>+UPPER('0. Instruções'!$D$35&amp;"."&amp;VLOOKUP(B366,'0. Instruções'!$C$27:$D$32,2,FALSE))</f>
        <v>CD_LOAN_TAPES_BCE.LT004_PROTECTION</v>
      </c>
      <c r="E366" s="34" t="str">
        <f>+UPPER('0. Instruções'!$D$36&amp;"."&amp;VLOOKUP(B366,'0. Instruções'!$C$27:$E$32,3,FALSE))</f>
        <v>BU_LOANTAPE_WORK.LT004_PROTECTION</v>
      </c>
      <c r="F366" s="34" t="s">
        <v>634</v>
      </c>
      <c r="G366" s="34"/>
      <c r="H366" s="34" t="s">
        <v>89</v>
      </c>
      <c r="I366" s="34" t="str">
        <f>"(SELECT "&amp;VLOOKUP(B366,'0. Instruções'!$C$27:$G$32,4,FALSE)&amp;", "&amp;F366&amp;" FROM "&amp;D366&amp;" WHERE "&amp;'0. Instruções'!$D$42&amp;")X"</f>
        <v>(SELECT prtctn_id, CRE_INCM_CRRNCY FROM CD_LOAN_TAPES_BCE.LT004_PROTECTION WHERE ref_date='${ref_date}' AND nome_perimetro='Individual Corporativo' AND segmento='ESTR' AND ambito='PM' AND entidade='00100')X</v>
      </c>
      <c r="J366" s="34" t="str">
        <f>"(SELECT "&amp;VLOOKUP(B366,'0. Instruções'!$C$27:$G$32,4,FALSE)&amp;" AS "&amp;VLOOKUP(B366,'0. Instruções'!$C$27:$G$32,4,FALSE)&amp;"_SIMUL, "&amp;F366&amp;" AS "&amp;F366&amp;"_SIMUL FROM "&amp;E366&amp;" WHERE "&amp;'0. Instruções'!$D$43&amp;")Y"</f>
        <v>(SELECT prtctn_id AS prtctn_id_SIMUL, CRE_INCM_CRRNCY AS CRE_INCM_CRRNCY_SIMUL FROM BU_LOANTAPE_WORK.LT004_PROTECTION WHERE ref_date='${ref_date}' AND nome_perimetro='Individual Corporativo' AND segmento='ESTR' AND ambito='PM' AND entidade='00100')Y</v>
      </c>
      <c r="K366" s="35" t="str">
        <f>+UPPER("ON X."&amp;VLOOKUP(B366,'0. Instruções'!$C$27:$G$32,4,FALSE)&amp;"=Y."&amp;VLOOKUP(B366,'0. Instruções'!$C$27:$G$32,4,FALSE)&amp;"_SIMUL")</f>
        <v>ON X.PRTCTN_ID=Y.PRTCTN_ID_SIMUL</v>
      </c>
      <c r="L366" s="35" t="str">
        <f>+IF(C366="Coerência", +IF(LEFT(G366,5)="FLOAT","SELECT '"&amp;UPPER(B366)&amp;"' AS TABELA, '"&amp;UPPER(C366)&amp;"' AS TIPOLOGIA_TESTE,'"&amp;D366&amp;"' AS TABELA_LT,'"&amp;E366&amp;"' AS TABELA_SIMUL,'"&amp;F366&amp;"' AS CAMPO, "&amp;"'${ref_date}' AS REF_DATE, COUNT(*) AS NUM_REG, SUM(IF((ABS(COALESCE(CAST(X."&amp;F366&amp;" AS DECIMAL(18,6)),0)-COALESCE(CAST(Y."&amp;F366&amp;"_SIMUL AS DECIMAL(18,6)),0))&gt;0.000001) OR (X."&amp;F366&amp;" IS NULL AND Y."&amp;F366&amp;"_SIMUL IS NOT NULL ) OR (X."&amp;F366&amp;" IS NOT NULL AND Y."&amp;F366&amp;"_SIMUL IS NULL),1,0)) AS NUM_REG_DIF,'"&amp;MAX('ID1&amp;5'!K:K)+1&amp;"' AS ID_EXEC, CURRENT_TIMESTAMP() AS TIME_EXEC FROM "&amp;I366&amp;" INNER JOIN "&amp;J366&amp;" "&amp;K366,"SELECT '"&amp;UPPER(B366)&amp;"' AS TABELA, '"&amp;UPPER(C366)&amp;"' AS TIPOLOGIA_TESTE,'"&amp;D366&amp;"' AS TABELA_LT,'"&amp;E366&amp;"' AS TABELA_SIMUL,'"&amp;F366&amp;"' AS CAMPO, "&amp;"'${ref_date}' AS REF_DATE, COUNT(*) AS NUM_REG, SUM(IF(COALESCE(CAST(X."&amp;F366&amp;" AS STRING),'')&lt;&gt;COALESCE(CAST(Y."&amp;F366&amp;"_SIMUL AS STRING),'') OR (X."&amp;F366&amp;" IS NULL AND Y."&amp;F366&amp;"_SIMUL IS NOT NULL ) OR (X."&amp;F366&amp;" IS NOT NULL AND Y."&amp;F366&amp;"_SIMUL IS NULL),1,0)) AS NUM_REG_DIF,'"&amp;MAX('ID1&amp;5'!L:L)+1&amp;"' AS ID_EXEC, CURRENT_TIMESTAMP() AS TIME_EXEC FROM "&amp;I366&amp;" INNER JOIN "&amp;J366&amp;" "&amp;K366),
IF(C366="Validade",+IF(G366="Code List","SELECT '"&amp;UPPER(B366)&amp;"' AS TABELA, '"&amp;UPPER(C366)&amp;"' AS TIPOLOGIA_TESTE,'"&amp;D366&amp;"' AS TABELA_LT,'N/A' AS TABELA_SIMUL,'"&amp;F366&amp;"' AS CAMPO, "&amp;"'${ref_date}' AS REF_DATE, COUNT(*) AS NUM_REG, SUM(IF(TRIM(CAST(X."&amp;F366&amp;" AS STRING))='' OR TRIM(CAST(X."&amp;F366&amp;" AS STRING)) IS NULL OR CAST(X."&amp;F366&amp;" AS STRING) NOT "&amp;H366&amp;",1,0)) AS NUM_REG_DIF,'"&amp;MAX('ID1&amp;5'!K:K)+1&amp;"' AS ID_EXEC, CURRENT_TIMESTAMP() AS TIME_EXEC FROM "&amp;I366,"SELECT '"&amp;UPPER(B366)&amp;"' AS TABELA, '"&amp;UPPER(C366)&amp;"' AS TIPOLOGIA_TESTE,'"&amp;D366&amp;"' AS TABELA_LT,'N/A' AS TABELA_SIMUL,'"&amp;F366&amp;"' AS CAMPO, "&amp;"'${ref_date}' AS REF_DATE, COUNT(*) AS NUM_REG, SUM(IF(TRIM(CAST(X."&amp;F366&amp;" AS STRING))='' OR TRIM(CAST(X."&amp;F366&amp;" AS STRING)) IS NULL,1,0)) AS NUM_REG_DIF,'"&amp;MAX('ID1&amp;5'!K:K)+1&amp;"' AS ID_EXEC, CURRENT_TIMESTAMP() AS TIME_EXEC FROM "&amp;I366),
IF(C366="Caracteres Especiais",+"SELECT '"&amp;UPPER(B366)&amp;"' AS TABELA, '"&amp;UPPER(C366)&amp;"' AS TIPOLOGIA_TESTE,'"&amp;D366&amp;"' AS TABELA_LT,'N/A' AS TABELA_SIMUL,'"&amp;F366&amp;"' AS CAMPO, "&amp;"'${ref_date}' AS REF_DATE, COUNT(*) AS NUM_REG, SUM(IF(REGEXP_REPLACE(TRIM(CAST(X."&amp;F366&amp;" AS STRING)),'[^a-zA-Z0-9_\\s]','') &lt;&gt;TRIM(CAST(X."&amp;F366&amp;" AS STRING)),1,0)) AS NUM_REG_DIF,'"&amp;MAX('ID1&amp;5'!K:K)+1&amp;"' AS ID_EXEC, CURRENT_TIMESTAMP() AS TIME_EXEC FROM "&amp;I366,
IF(C366="Missings",+"SELECT '"&amp;UPPER(B366)&amp;"' AS TABELA, '"&amp;UPPER(C366)&amp;"' AS TIPOLOGIA_TESTE,'"&amp;D366&amp;"' AS TABELA_LT,'N/A' AS TABELA_SIMUL,'"&amp;F366&amp;"' AS CAMPO, "&amp;"'${ref_date}' AS REF_DATE, COUNT(*) AS NUM_REG, SUM(IF(TRIM(CAST(X."&amp;F366&amp;" AS STRING)) IN ('0000-00-00','0001-01-01','9999-12-31','MISS','00000','99999999999','99999999999.00','99999999999.000000'),1,0)) AS NUM_REG_DIF,'"&amp;MAX('ID1&amp;5'!K:K)+1&amp;"' AS ID_EXEC, CURRENT_TIMESTAMP() AS TIME_EXEC FROM "&amp;I366,
IF(C366="Not applicable",+"SELECT '"&amp;UPPER(B366)&amp;"' AS TABELA, '"&amp;UPPER(C366)&amp;"' AS TIPOLOGIA_TESTE,'"&amp;D366&amp;"' AS TABELA_LT,'N/A' AS TABELA_SIMUL,'"&amp;F366&amp;"' AS CAMPO, "&amp;"'${ref_date}' AS REF_DATE, COUNT(*) AS NUM_REG, SUM(IF(TRIM(CAST(X."&amp;F366&amp;" AS STRING)) IN ('N/A','11111111111','11111111111.00','11111111111.000000','1111-11-11'),1,0)) AS NUM_REG_DIF,'"&amp;MAX('ID1&amp;5'!K:K)+1&amp;"' AS ID_EXEC, CURRENT_TIMESTAMP() AS TIME_EXEC FROM "&amp;I366,
IF(C366="Valores extremos",+"SELECT '"&amp;UPPER(B366)&amp;"' AS TABELA, '"&amp;UPPER(C366)&amp;"' AS TIPOLOGIA_TESTE,'"&amp;D366&amp;"' AS TABELA_LT,'N/A' AS TABELA_SIMUL,'"&amp;F366&amp;"' AS CAMPO, "&amp;"'${ref_date}' AS REF_DATE, CAST(MIN("&amp;F366&amp;") AS STRING) AS VALOR_MIN, CAST(MAX("&amp;F366&amp;") AS STRING) AS VALOR_MAX,'"&amp;MAX('ID1&amp;5'!K:K)+1&amp;"' AS ID_EXEC, CURRENT_TIMESTAMP() AS TIME_EXEC FROM "&amp;MID(I366,1,LEN(I366)-2)&amp;" AND CAST("&amp;F366&amp;"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TABELA_SIMUL,'CRE_INCM_CRRNCY' AS CAMPO, '${ref_date}' AS REF_DATE, COUNT(*) AS NUM_REG, SUM(IF(COALESCE(CAST(X.CRE_INCM_CRRNCY AS STRING),'')&lt;&gt;COALESCE(CAST(Y.CRE_INCM_CRRNCY_SIMUL AS STRING),'') OR (X.CRE_INCM_CRRNCY IS NULL AND Y.CRE_INCM_CRRNCY_SIMUL IS NOT NULL ) OR (X.CRE_INCM_CRRNCY IS NOT NULL AND Y.CRE_INCM_CRRNCY_SIMUL IS NULL),1,0)) AS NUM_REG_DIF,'1' AS ID_EXEC, CURRENT_TIMESTAMP() AS TIME_EXEC FROM (SELECT prtctn_id, CRE_INCM_CRRNCY FROM CD_LOAN_TAPES_BCE.LT004_PROTECTION WHERE ref_date='${ref_date}' AND nome_perimetro='Individual Corporativo' AND segmento='ESTR' AND ambito='PM' AND entidade='00100')X INNER JOIN (SELECT prtctn_id AS prtctn_id_SIMUL, CRE_INCM_CRRNCY AS CRE_INCM_CRRNCY_SIMUL FROM BU_LOANTAPE_WORK.LT004_PROTECTION WHERE ref_date='${ref_date}' AND nome_perimetro='Individual Corporativo' AND segmento='ESTR' AND ambito='PM' AND entidade='00100')Y ON X.PRTCTN_ID=Y.PRTCTN_ID_SIMUL</v>
      </c>
      <c r="M366" s="36" t="str">
        <f t="shared" si="7"/>
        <v>UNION ALL SELECT 'PROTECTION' AS TABELA, 'COERÊNCIA' AS TIPOLOGIA_TESTE,'CD_LOAN_TAPES_BCE.LT004_PROTECTION' AS TABELA_LT,'BU_LOANTAPE_WORK.LT004_PROTECTION' AS TABELA_SIMUL,'CRE_INCM_CRRNCY' AS CAMPO, '${ref_date}' AS REF_DATE, COUNT(*) AS NUM_REG, SUM(IF(COALESCE(CAST(X.CRE_INCM_CRRNCY AS STRING),'')&lt;&gt;COALESCE(CAST(Y.CRE_INCM_CRRNCY_SIMUL AS STRING),'') OR (X.CRE_INCM_CRRNCY IS NULL AND Y.CRE_INCM_CRRNCY_SIMUL IS NOT NULL ) OR (X.CRE_INCM_CRRNCY IS NOT NULL AND Y.CRE_INCM_CRRNCY_SIMUL IS NULL),1,0)) AS NUM_REG_DIF,'1' AS ID_EXEC, CURRENT_TIMESTAMP() AS TIME_EXEC FROM (SELECT prtctn_id, CRE_INCM_CRRNCY FROM CD_LOAN_TAPES_BCE.LT004_PROTECTION WHERE ref_date='${ref_date}' AND nome_perimetro='Individual Corporativo' AND segmento='ESTR' AND ambito='PM' AND entidade='00100')X INNER JOIN (SELECT prtctn_id AS prtctn_id_SIMUL, CRE_INCM_CRRNCY AS CRE_INCM_CRRNCY_SIMUL FROM BU_LOANTAPE_WORK.LT004_PROTECTION WHERE ref_date='${ref_date}' AND nome_perimetro='Individual Corporativo' AND segmento='ESTR' AND ambito='PM' AND entidade='00100')Y ON X.PRTCTN_ID=Y.PRTCTN_ID_SIMUL</v>
      </c>
      <c r="N366" s="38" t="s">
        <v>46</v>
      </c>
    </row>
    <row r="367" spans="2:14" hidden="1">
      <c r="B367" s="34" t="s">
        <v>128</v>
      </c>
      <c r="C367" s="34" t="s">
        <v>5</v>
      </c>
      <c r="D367" s="34" t="str">
        <f>+UPPER('0. Instruções'!$D$35&amp;"."&amp;VLOOKUP(B367,'0. Instruções'!$C$27:$D$32,2,FALSE))</f>
        <v>CD_LOAN_TAPES_BCE.LT004_PROTECTION</v>
      </c>
      <c r="E367" s="34" t="str">
        <f>+UPPER('0. Instruções'!$D$36&amp;"."&amp;VLOOKUP(B367,'0. Instruções'!$C$27:$E$32,3,FALSE))</f>
        <v>BU_LOANTAPE_WORK.LT004_PROTECTION</v>
      </c>
      <c r="F367" s="34" t="s">
        <v>635</v>
      </c>
      <c r="G367" s="34"/>
      <c r="H367" s="34" t="s">
        <v>92</v>
      </c>
      <c r="I367" s="34" t="str">
        <f>"(SELECT "&amp;VLOOKUP(B367,'0. Instruções'!$C$27:$G$32,4,FALSE)&amp;", "&amp;F367&amp;" FROM "&amp;D367&amp;" WHERE "&amp;'0. Instruções'!$D$42&amp;")X"</f>
        <v>(SELECT prtctn_id, CRE_YRLY_EXPNSS FROM CD_LOAN_TAPES_BCE.LT004_PROTECTION WHERE ref_date='${ref_date}' AND nome_perimetro='Individual Corporativo' AND segmento='ESTR' AND ambito='PM' AND entidade='00100')X</v>
      </c>
      <c r="J367" s="34" t="str">
        <f>"(SELECT "&amp;VLOOKUP(B367,'0. Instruções'!$C$27:$G$32,4,FALSE)&amp;" AS "&amp;VLOOKUP(B367,'0. Instruções'!$C$27:$G$32,4,FALSE)&amp;"_SIMUL, "&amp;F367&amp;" AS "&amp;F367&amp;"_SIMUL FROM "&amp;E367&amp;" WHERE "&amp;'0. Instruções'!$D$43&amp;")Y"</f>
        <v>(SELECT prtctn_id AS prtctn_id_SIMUL, CRE_YRLY_EXPNSS AS CRE_YRLY_EXPNSS_SIMUL FROM BU_LOANTAPE_WORK.LT004_PROTECTION WHERE ref_date='${ref_date}' AND nome_perimetro='Individual Corporativo' AND segmento='ESTR' AND ambito='PM' AND entidade='00100')Y</v>
      </c>
      <c r="K367" s="35" t="str">
        <f>+UPPER("ON X."&amp;VLOOKUP(B367,'0. Instruções'!$C$27:$G$32,4,FALSE)&amp;"=Y."&amp;VLOOKUP(B367,'0. Instruções'!$C$27:$G$32,4,FALSE)&amp;"_SIMUL")</f>
        <v>ON X.PRTCTN_ID=Y.PRTCTN_ID_SIMUL</v>
      </c>
      <c r="L367" s="35" t="str">
        <f>+IF(C367="Coerência", +IF(LEFT(G367,5)="FLOAT","SELECT '"&amp;UPPER(B367)&amp;"' AS TABELA, '"&amp;UPPER(C367)&amp;"' AS TIPOLOGIA_TESTE,'"&amp;D367&amp;"' AS TABELA_LT,'"&amp;E367&amp;"' AS TABELA_SIMUL,'"&amp;F367&amp;"' AS CAMPO, "&amp;"'${ref_date}' AS REF_DATE, COUNT(*) AS NUM_REG, SUM(IF((ABS(COALESCE(CAST(X."&amp;F367&amp;" AS DECIMAL(18,6)),0)-COALESCE(CAST(Y."&amp;F367&amp;"_SIMUL AS DECIMAL(18,6)),0))&gt;0.000001) OR (X."&amp;F367&amp;" IS NULL AND Y."&amp;F367&amp;"_SIMUL IS NOT NULL ) OR (X."&amp;F367&amp;" IS NOT NULL AND Y."&amp;F367&amp;"_SIMUL IS NULL),1,0)) AS NUM_REG_DIF,'"&amp;MAX('ID1&amp;5'!K:K)+1&amp;"' AS ID_EXEC, CURRENT_TIMESTAMP() AS TIME_EXEC FROM "&amp;I367&amp;" INNER JOIN "&amp;J367&amp;" "&amp;K367,"SELECT '"&amp;UPPER(B367)&amp;"' AS TABELA, '"&amp;UPPER(C367)&amp;"' AS TIPOLOGIA_TESTE,'"&amp;D367&amp;"' AS TABELA_LT,'"&amp;E367&amp;"' AS TABELA_SIMUL,'"&amp;F367&amp;"' AS CAMPO, "&amp;"'${ref_date}' AS REF_DATE, COUNT(*) AS NUM_REG, SUM(IF(COALESCE(CAST(X."&amp;F367&amp;" AS STRING),'')&lt;&gt;COALESCE(CAST(Y."&amp;F367&amp;"_SIMUL AS STRING),'') OR (X."&amp;F367&amp;" IS NULL AND Y."&amp;F367&amp;"_SIMUL IS NOT NULL ) OR (X."&amp;F367&amp;" IS NOT NULL AND Y."&amp;F367&amp;"_SIMUL IS NULL),1,0)) AS NUM_REG_DIF,'"&amp;MAX('ID1&amp;5'!L:L)+1&amp;"' AS ID_EXEC, CURRENT_TIMESTAMP() AS TIME_EXEC FROM "&amp;I367&amp;" INNER JOIN "&amp;J367&amp;" "&amp;K367),
IF(C367="Validade",+IF(G367="Code List","SELECT '"&amp;UPPER(B367)&amp;"' AS TABELA, '"&amp;UPPER(C367)&amp;"' AS TIPOLOGIA_TESTE,'"&amp;D367&amp;"' AS TABELA_LT,'N/A' AS TABELA_SIMUL,'"&amp;F367&amp;"' AS CAMPO, "&amp;"'${ref_date}' AS REF_DATE, COUNT(*) AS NUM_REG, SUM(IF(TRIM(CAST(X."&amp;F367&amp;" AS STRING))='' OR TRIM(CAST(X."&amp;F367&amp;" AS STRING)) IS NULL OR CAST(X."&amp;F367&amp;" AS STRING) NOT "&amp;H367&amp;",1,0)) AS NUM_REG_DIF,'"&amp;MAX('ID1&amp;5'!K:K)+1&amp;"' AS ID_EXEC, CURRENT_TIMESTAMP() AS TIME_EXEC FROM "&amp;I367,"SELECT '"&amp;UPPER(B367)&amp;"' AS TABELA, '"&amp;UPPER(C367)&amp;"' AS TIPOLOGIA_TESTE,'"&amp;D367&amp;"' AS TABELA_LT,'N/A' AS TABELA_SIMUL,'"&amp;F367&amp;"' AS CAMPO, "&amp;"'${ref_date}' AS REF_DATE, COUNT(*) AS NUM_REG, SUM(IF(TRIM(CAST(X."&amp;F367&amp;" AS STRING))='' OR TRIM(CAST(X."&amp;F367&amp;" AS STRING)) IS NULL,1,0)) AS NUM_REG_DIF,'"&amp;MAX('ID1&amp;5'!K:K)+1&amp;"' AS ID_EXEC, CURRENT_TIMESTAMP() AS TIME_EXEC FROM "&amp;I367),
IF(C367="Caracteres Especiais",+"SELECT '"&amp;UPPER(B367)&amp;"' AS TABELA, '"&amp;UPPER(C367)&amp;"' AS TIPOLOGIA_TESTE,'"&amp;D367&amp;"' AS TABELA_LT,'N/A' AS TABELA_SIMUL,'"&amp;F367&amp;"' AS CAMPO, "&amp;"'${ref_date}' AS REF_DATE, COUNT(*) AS NUM_REG, SUM(IF(REGEXP_REPLACE(TRIM(CAST(X."&amp;F367&amp;" AS STRING)),'[^a-zA-Z0-9_\\s]','') &lt;&gt;TRIM(CAST(X."&amp;F367&amp;" AS STRING)),1,0)) AS NUM_REG_DIF,'"&amp;MAX('ID1&amp;5'!K:K)+1&amp;"' AS ID_EXEC, CURRENT_TIMESTAMP() AS TIME_EXEC FROM "&amp;I367,
IF(C367="Missings",+"SELECT '"&amp;UPPER(B367)&amp;"' AS TABELA, '"&amp;UPPER(C367)&amp;"' AS TIPOLOGIA_TESTE,'"&amp;D367&amp;"' AS TABELA_LT,'N/A' AS TABELA_SIMUL,'"&amp;F367&amp;"' AS CAMPO, "&amp;"'${ref_date}' AS REF_DATE, COUNT(*) AS NUM_REG, SUM(IF(TRIM(CAST(X."&amp;F367&amp;" AS STRING)) IN ('0000-00-00','0001-01-01','9999-12-31','MISS','00000','99999999999','99999999999.00','99999999999.000000'),1,0)) AS NUM_REG_DIF,'"&amp;MAX('ID1&amp;5'!K:K)+1&amp;"' AS ID_EXEC, CURRENT_TIMESTAMP() AS TIME_EXEC FROM "&amp;I367,
IF(C367="Not applicable",+"SELECT '"&amp;UPPER(B367)&amp;"' AS TABELA, '"&amp;UPPER(C367)&amp;"' AS TIPOLOGIA_TESTE,'"&amp;D367&amp;"' AS TABELA_LT,'N/A' AS TABELA_SIMUL,'"&amp;F367&amp;"' AS CAMPO, "&amp;"'${ref_date}' AS REF_DATE, COUNT(*) AS NUM_REG, SUM(IF(TRIM(CAST(X."&amp;F367&amp;" AS STRING)) IN ('N/A','11111111111','11111111111.00','11111111111.000000','1111-11-11'),1,0)) AS NUM_REG_DIF,'"&amp;MAX('ID1&amp;5'!K:K)+1&amp;"' AS ID_EXEC, CURRENT_TIMESTAMP() AS TIME_EXEC FROM "&amp;I367,
IF(C367="Valores extremos",+"SELECT '"&amp;UPPER(B367)&amp;"' AS TABELA, '"&amp;UPPER(C367)&amp;"' AS TIPOLOGIA_TESTE,'"&amp;D367&amp;"' AS TABELA_LT,'N/A' AS TABELA_SIMUL,'"&amp;F367&amp;"' AS CAMPO, "&amp;"'${ref_date}' AS REF_DATE, CAST(MIN("&amp;F367&amp;") AS STRING) AS VALOR_MIN, CAST(MAX("&amp;F367&amp;") AS STRING) AS VALOR_MAX,'"&amp;MAX('ID1&amp;5'!K:K)+1&amp;"' AS ID_EXEC, CURRENT_TIMESTAMP() AS TIME_EXEC FROM "&amp;MID(I367,1,LEN(I367)-2)&amp;" AND CAST("&amp;F367&amp;"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TABELA_SIMUL,'CRE_YRLY_EXPNSS' AS CAMPO, '${ref_date}' AS REF_DATE, COUNT(*) AS NUM_REG, SUM(IF(COALESCE(CAST(X.CRE_YRLY_EXPNSS AS STRING),'')&lt;&gt;COALESCE(CAST(Y.CRE_YRLY_EXPNSS_SIMUL AS STRING),'') OR (X.CRE_YRLY_EXPNSS IS NULL AND Y.CRE_YRLY_EXPNSS_SIMUL IS NOT NULL ) OR (X.CRE_YRLY_EXPNSS IS NOT NULL AND Y.CRE_YRLY_EXPNSS_SIMUL IS NULL),1,0)) AS NUM_REG_DIF,'1' AS ID_EXEC, CURRENT_TIMESTAMP() AS TIME_EXEC FROM (SELECT prtctn_id, CRE_YRLY_EXPNSS FROM CD_LOAN_TAPES_BCE.LT004_PROTECTION WHERE ref_date='${ref_date}' AND nome_perimetro='Individual Corporativo' AND segmento='ESTR' AND ambito='PM' AND entidade='00100')X INNER JOIN (SELECT prtctn_id AS prtctn_id_SIMUL, CRE_YRLY_EXPNSS AS CRE_YRLY_EXPNSS_SIMUL FROM BU_LOANTAPE_WORK.LT004_PROTECTION WHERE ref_date='${ref_date}' AND nome_perimetro='Individual Corporativo' AND segmento='ESTR' AND ambito='PM' AND entidade='00100')Y ON X.PRTCTN_ID=Y.PRTCTN_ID_SIMUL</v>
      </c>
      <c r="M367" s="36" t="str">
        <f t="shared" si="7"/>
        <v>UNION ALL SELECT 'PROTECTION' AS TABELA, 'COERÊNCIA' AS TIPOLOGIA_TESTE,'CD_LOAN_TAPES_BCE.LT004_PROTECTION' AS TABELA_LT,'BU_LOANTAPE_WORK.LT004_PROTECTION' AS TABELA_SIMUL,'CRE_YRLY_EXPNSS' AS CAMPO, '${ref_date}' AS REF_DATE, COUNT(*) AS NUM_REG, SUM(IF(COALESCE(CAST(X.CRE_YRLY_EXPNSS AS STRING),'')&lt;&gt;COALESCE(CAST(Y.CRE_YRLY_EXPNSS_SIMUL AS STRING),'') OR (X.CRE_YRLY_EXPNSS IS NULL AND Y.CRE_YRLY_EXPNSS_SIMUL IS NOT NULL ) OR (X.CRE_YRLY_EXPNSS IS NOT NULL AND Y.CRE_YRLY_EXPNSS_SIMUL IS NULL),1,0)) AS NUM_REG_DIF,'1' AS ID_EXEC, CURRENT_TIMESTAMP() AS TIME_EXEC FROM (SELECT prtctn_id, CRE_YRLY_EXPNSS FROM CD_LOAN_TAPES_BCE.LT004_PROTECTION WHERE ref_date='${ref_date}' AND nome_perimetro='Individual Corporativo' AND segmento='ESTR' AND ambito='PM' AND entidade='00100')X INNER JOIN (SELECT prtctn_id AS prtctn_id_SIMUL, CRE_YRLY_EXPNSS AS CRE_YRLY_EXPNSS_SIMUL FROM BU_LOANTAPE_WORK.LT004_PROTECTION WHERE ref_date='${ref_date}' AND nome_perimetro='Individual Corporativo' AND segmento='ESTR' AND ambito='PM' AND entidade='00100')Y ON X.PRTCTN_ID=Y.PRTCTN_ID_SIMUL</v>
      </c>
      <c r="N367" s="38" t="s">
        <v>46</v>
      </c>
    </row>
    <row r="368" spans="2:14" hidden="1">
      <c r="B368" s="34" t="s">
        <v>128</v>
      </c>
      <c r="C368" s="34" t="s">
        <v>5</v>
      </c>
      <c r="D368" s="34" t="str">
        <f>+UPPER('0. Instruções'!$D$35&amp;"."&amp;VLOOKUP(B368,'0. Instruções'!$C$27:$D$32,2,FALSE))</f>
        <v>CD_LOAN_TAPES_BCE.LT004_PROTECTION</v>
      </c>
      <c r="E368" s="34" t="str">
        <f>+UPPER('0. Instruções'!$D$36&amp;"."&amp;VLOOKUP(B368,'0. Instruções'!$C$27:$E$32,3,FALSE))</f>
        <v>BU_LOANTAPE_WORK.LT004_PROTECTION</v>
      </c>
      <c r="F368" s="34" t="s">
        <v>636</v>
      </c>
      <c r="G368" s="34"/>
      <c r="H368" s="34" t="s">
        <v>92</v>
      </c>
      <c r="I368" s="34" t="str">
        <f>"(SELECT "&amp;VLOOKUP(B368,'0. Instruções'!$C$27:$G$32,4,FALSE)&amp;", "&amp;F368&amp;" FROM "&amp;D368&amp;" WHERE "&amp;'0. Instruções'!$D$42&amp;")X"</f>
        <v>(SELECT prtctn_id, CRE_YRLY_INCM FROM CD_LOAN_TAPES_BCE.LT004_PROTECTION WHERE ref_date='${ref_date}' AND nome_perimetro='Individual Corporativo' AND segmento='ESTR' AND ambito='PM' AND entidade='00100')X</v>
      </c>
      <c r="J368" s="34" t="str">
        <f>"(SELECT "&amp;VLOOKUP(B368,'0. Instruções'!$C$27:$G$32,4,FALSE)&amp;" AS "&amp;VLOOKUP(B368,'0. Instruções'!$C$27:$G$32,4,FALSE)&amp;"_SIMUL, "&amp;F368&amp;" AS "&amp;F368&amp;"_SIMUL FROM "&amp;E368&amp;" WHERE "&amp;'0. Instruções'!$D$43&amp;")Y"</f>
        <v>(SELECT prtctn_id AS prtctn_id_SIMUL, CRE_YRLY_INCM AS CRE_YRLY_INCM_SIMUL FROM BU_LOANTAPE_WORK.LT004_PROTECTION WHERE ref_date='${ref_date}' AND nome_perimetro='Individual Corporativo' AND segmento='ESTR' AND ambito='PM' AND entidade='00100')Y</v>
      </c>
      <c r="K368" s="35" t="str">
        <f>+UPPER("ON X."&amp;VLOOKUP(B368,'0. Instruções'!$C$27:$G$32,4,FALSE)&amp;"=Y."&amp;VLOOKUP(B368,'0. Instruções'!$C$27:$G$32,4,FALSE)&amp;"_SIMUL")</f>
        <v>ON X.PRTCTN_ID=Y.PRTCTN_ID_SIMUL</v>
      </c>
      <c r="L368" s="35" t="str">
        <f>+IF(C368="Coerência", +IF(LEFT(G368,5)="FLOAT","SELECT '"&amp;UPPER(B368)&amp;"' AS TABELA, '"&amp;UPPER(C368)&amp;"' AS TIPOLOGIA_TESTE,'"&amp;D368&amp;"' AS TABELA_LT,'"&amp;E368&amp;"' AS TABELA_SIMUL,'"&amp;F368&amp;"' AS CAMPO, "&amp;"'${ref_date}' AS REF_DATE, COUNT(*) AS NUM_REG, SUM(IF((ABS(COALESCE(CAST(X."&amp;F368&amp;" AS DECIMAL(18,6)),0)-COALESCE(CAST(Y."&amp;F368&amp;"_SIMUL AS DECIMAL(18,6)),0))&gt;0.000001) OR (X."&amp;F368&amp;" IS NULL AND Y."&amp;F368&amp;"_SIMUL IS NOT NULL ) OR (X."&amp;F368&amp;" IS NOT NULL AND Y."&amp;F368&amp;"_SIMUL IS NULL),1,0)) AS NUM_REG_DIF,'"&amp;MAX('ID1&amp;5'!K:K)+1&amp;"' AS ID_EXEC, CURRENT_TIMESTAMP() AS TIME_EXEC FROM "&amp;I368&amp;" INNER JOIN "&amp;J368&amp;" "&amp;K368,"SELECT '"&amp;UPPER(B368)&amp;"' AS TABELA, '"&amp;UPPER(C368)&amp;"' AS TIPOLOGIA_TESTE,'"&amp;D368&amp;"' AS TABELA_LT,'"&amp;E368&amp;"' AS TABELA_SIMUL,'"&amp;F368&amp;"' AS CAMPO, "&amp;"'${ref_date}' AS REF_DATE, COUNT(*) AS NUM_REG, SUM(IF(COALESCE(CAST(X."&amp;F368&amp;" AS STRING),'')&lt;&gt;COALESCE(CAST(Y."&amp;F368&amp;"_SIMUL AS STRING),'') OR (X."&amp;F368&amp;" IS NULL AND Y."&amp;F368&amp;"_SIMUL IS NOT NULL ) OR (X."&amp;F368&amp;" IS NOT NULL AND Y."&amp;F368&amp;"_SIMUL IS NULL),1,0)) AS NUM_REG_DIF,'"&amp;MAX('ID1&amp;5'!L:L)+1&amp;"' AS ID_EXEC, CURRENT_TIMESTAMP() AS TIME_EXEC FROM "&amp;I368&amp;" INNER JOIN "&amp;J368&amp;" "&amp;K368),
IF(C368="Validade",+IF(G368="Code List","SELECT '"&amp;UPPER(B368)&amp;"' AS TABELA, '"&amp;UPPER(C368)&amp;"' AS TIPOLOGIA_TESTE,'"&amp;D368&amp;"' AS TABELA_LT,'N/A' AS TABELA_SIMUL,'"&amp;F368&amp;"' AS CAMPO, "&amp;"'${ref_date}' AS REF_DATE, COUNT(*) AS NUM_REG, SUM(IF(TRIM(CAST(X."&amp;F368&amp;" AS STRING))='' OR TRIM(CAST(X."&amp;F368&amp;" AS STRING)) IS NULL OR CAST(X."&amp;F368&amp;" AS STRING) NOT "&amp;H368&amp;",1,0)) AS NUM_REG_DIF,'"&amp;MAX('ID1&amp;5'!K:K)+1&amp;"' AS ID_EXEC, CURRENT_TIMESTAMP() AS TIME_EXEC FROM "&amp;I368,"SELECT '"&amp;UPPER(B368)&amp;"' AS TABELA, '"&amp;UPPER(C368)&amp;"' AS TIPOLOGIA_TESTE,'"&amp;D368&amp;"' AS TABELA_LT,'N/A' AS TABELA_SIMUL,'"&amp;F368&amp;"' AS CAMPO, "&amp;"'${ref_date}' AS REF_DATE, COUNT(*) AS NUM_REG, SUM(IF(TRIM(CAST(X."&amp;F368&amp;" AS STRING))='' OR TRIM(CAST(X."&amp;F368&amp;" AS STRING)) IS NULL,1,0)) AS NUM_REG_DIF,'"&amp;MAX('ID1&amp;5'!K:K)+1&amp;"' AS ID_EXEC, CURRENT_TIMESTAMP() AS TIME_EXEC FROM "&amp;I368),
IF(C368="Caracteres Especiais",+"SELECT '"&amp;UPPER(B368)&amp;"' AS TABELA, '"&amp;UPPER(C368)&amp;"' AS TIPOLOGIA_TESTE,'"&amp;D368&amp;"' AS TABELA_LT,'N/A' AS TABELA_SIMUL,'"&amp;F368&amp;"' AS CAMPO, "&amp;"'${ref_date}' AS REF_DATE, COUNT(*) AS NUM_REG, SUM(IF(REGEXP_REPLACE(TRIM(CAST(X."&amp;F368&amp;" AS STRING)),'[^a-zA-Z0-9_\\s]','') &lt;&gt;TRIM(CAST(X."&amp;F368&amp;" AS STRING)),1,0)) AS NUM_REG_DIF,'"&amp;MAX('ID1&amp;5'!K:K)+1&amp;"' AS ID_EXEC, CURRENT_TIMESTAMP() AS TIME_EXEC FROM "&amp;I368,
IF(C368="Missings",+"SELECT '"&amp;UPPER(B368)&amp;"' AS TABELA, '"&amp;UPPER(C368)&amp;"' AS TIPOLOGIA_TESTE,'"&amp;D368&amp;"' AS TABELA_LT,'N/A' AS TABELA_SIMUL,'"&amp;F368&amp;"' AS CAMPO, "&amp;"'${ref_date}' AS REF_DATE, COUNT(*) AS NUM_REG, SUM(IF(TRIM(CAST(X."&amp;F368&amp;" AS STRING)) IN ('0000-00-00','0001-01-01','9999-12-31','MISS','00000','99999999999','99999999999.00','99999999999.000000'),1,0)) AS NUM_REG_DIF,'"&amp;MAX('ID1&amp;5'!K:K)+1&amp;"' AS ID_EXEC, CURRENT_TIMESTAMP() AS TIME_EXEC FROM "&amp;I368,
IF(C368="Not applicable",+"SELECT '"&amp;UPPER(B368)&amp;"' AS TABELA, '"&amp;UPPER(C368)&amp;"' AS TIPOLOGIA_TESTE,'"&amp;D368&amp;"' AS TABELA_LT,'N/A' AS TABELA_SIMUL,'"&amp;F368&amp;"' AS CAMPO, "&amp;"'${ref_date}' AS REF_DATE, COUNT(*) AS NUM_REG, SUM(IF(TRIM(CAST(X."&amp;F368&amp;" AS STRING)) IN ('N/A','11111111111','11111111111.00','11111111111.000000','1111-11-11'),1,0)) AS NUM_REG_DIF,'"&amp;MAX('ID1&amp;5'!K:K)+1&amp;"' AS ID_EXEC, CURRENT_TIMESTAMP() AS TIME_EXEC FROM "&amp;I368,
IF(C368="Valores extremos",+"SELECT '"&amp;UPPER(B368)&amp;"' AS TABELA, '"&amp;UPPER(C368)&amp;"' AS TIPOLOGIA_TESTE,'"&amp;D368&amp;"' AS TABELA_LT,'N/A' AS TABELA_SIMUL,'"&amp;F368&amp;"' AS CAMPO, "&amp;"'${ref_date}' AS REF_DATE, CAST(MIN("&amp;F368&amp;") AS STRING) AS VALOR_MIN, CAST(MAX("&amp;F368&amp;") AS STRING) AS VALOR_MAX,'"&amp;MAX('ID1&amp;5'!K:K)+1&amp;"' AS ID_EXEC, CURRENT_TIMESTAMP() AS TIME_EXEC FROM "&amp;MID(I368,1,LEN(I368)-2)&amp;" AND CAST("&amp;F368&amp;"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TABELA_SIMUL,'CRE_YRLY_INCM' AS CAMPO, '${ref_date}' AS REF_DATE, COUNT(*) AS NUM_REG, SUM(IF(COALESCE(CAST(X.CRE_YRLY_INCM AS STRING),'')&lt;&gt;COALESCE(CAST(Y.CRE_YRLY_INCM_SIMUL AS STRING),'') OR (X.CRE_YRLY_INCM IS NULL AND Y.CRE_YRLY_INCM_SIMUL IS NOT NULL ) OR (X.CRE_YRLY_INCM IS NOT NULL AND Y.CRE_YRLY_INCM_SIMUL IS NULL),1,0)) AS NUM_REG_DIF,'1' AS ID_EXEC, CURRENT_TIMESTAMP() AS TIME_EXEC FROM (SELECT prtctn_id, CRE_YRLY_INCM FROM CD_LOAN_TAPES_BCE.LT004_PROTECTION WHERE ref_date='${ref_date}' AND nome_perimetro='Individual Corporativo' AND segmento='ESTR' AND ambito='PM' AND entidade='00100')X INNER JOIN (SELECT prtctn_id AS prtctn_id_SIMUL, CRE_YRLY_INCM AS CRE_YRLY_INCM_SIMUL FROM BU_LOANTAPE_WORK.LT004_PROTECTION WHERE ref_date='${ref_date}' AND nome_perimetro='Individual Corporativo' AND segmento='ESTR' AND ambito='PM' AND entidade='00100')Y ON X.PRTCTN_ID=Y.PRTCTN_ID_SIMUL</v>
      </c>
      <c r="M368" s="36" t="str">
        <f t="shared" si="7"/>
        <v>UNION ALL SELECT 'PROTECTION' AS TABELA, 'COERÊNCIA' AS TIPOLOGIA_TESTE,'CD_LOAN_TAPES_BCE.LT004_PROTECTION' AS TABELA_LT,'BU_LOANTAPE_WORK.LT004_PROTECTION' AS TABELA_SIMUL,'CRE_YRLY_INCM' AS CAMPO, '${ref_date}' AS REF_DATE, COUNT(*) AS NUM_REG, SUM(IF(COALESCE(CAST(X.CRE_YRLY_INCM AS STRING),'')&lt;&gt;COALESCE(CAST(Y.CRE_YRLY_INCM_SIMUL AS STRING),'') OR (X.CRE_YRLY_INCM IS NULL AND Y.CRE_YRLY_INCM_SIMUL IS NOT NULL ) OR (X.CRE_YRLY_INCM IS NOT NULL AND Y.CRE_YRLY_INCM_SIMUL IS NULL),1,0)) AS NUM_REG_DIF,'1' AS ID_EXEC, CURRENT_TIMESTAMP() AS TIME_EXEC FROM (SELECT prtctn_id, CRE_YRLY_INCM FROM CD_LOAN_TAPES_BCE.LT004_PROTECTION WHERE ref_date='${ref_date}' AND nome_perimetro='Individual Corporativo' AND segmento='ESTR' AND ambito='PM' AND entidade='00100')X INNER JOIN (SELECT prtctn_id AS prtctn_id_SIMUL, CRE_YRLY_INCM AS CRE_YRLY_INCM_SIMUL FROM BU_LOANTAPE_WORK.LT004_PROTECTION WHERE ref_date='${ref_date}' AND nome_perimetro='Individual Corporativo' AND segmento='ESTR' AND ambito='PM' AND entidade='00100')Y ON X.PRTCTN_ID=Y.PRTCTN_ID_SIMUL</v>
      </c>
      <c r="N368" s="38" t="s">
        <v>46</v>
      </c>
    </row>
    <row r="369" spans="2:14" hidden="1">
      <c r="B369" s="34" t="s">
        <v>128</v>
      </c>
      <c r="C369" s="34" t="s">
        <v>5</v>
      </c>
      <c r="D369" s="34" t="str">
        <f>+UPPER('0. Instruções'!$D$35&amp;"."&amp;VLOOKUP(B369,'0. Instruções'!$C$27:$D$32,2,FALSE))</f>
        <v>CD_LOAN_TAPES_BCE.LT004_PROTECTION</v>
      </c>
      <c r="E369" s="34" t="str">
        <f>+UPPER('0. Instruções'!$D$36&amp;"."&amp;VLOOKUP(B369,'0. Instruções'!$C$27:$E$32,3,FALSE))</f>
        <v>BU_LOANTAPE_WORK.LT004_PROTECTION</v>
      </c>
      <c r="F369" s="34" t="s">
        <v>637</v>
      </c>
      <c r="G369" s="34"/>
      <c r="H369" s="34" t="s">
        <v>648</v>
      </c>
      <c r="I369" s="34" t="str">
        <f>"(SELECT "&amp;VLOOKUP(B369,'0. Instruções'!$C$27:$G$32,4,FALSE)&amp;", "&amp;F369&amp;" FROM "&amp;D369&amp;" WHERE "&amp;'0. Instruções'!$D$42&amp;")X"</f>
        <v>(SELECT prtctn_id, PRTCTN_TYP_PBLC_GRNT_SCHM_C19 FROM CD_LOAN_TAPES_BCE.LT004_PROTECTION WHERE ref_date='${ref_date}' AND nome_perimetro='Individual Corporativo' AND segmento='ESTR' AND ambito='PM' AND entidade='00100')X</v>
      </c>
      <c r="J369" s="34" t="str">
        <f>"(SELECT "&amp;VLOOKUP(B369,'0. Instruções'!$C$27:$G$32,4,FALSE)&amp;" AS "&amp;VLOOKUP(B369,'0. Instruções'!$C$27:$G$32,4,FALSE)&amp;"_SIMUL, "&amp;F369&amp;" AS "&amp;F369&amp;"_SIMUL FROM "&amp;E369&amp;" WHERE "&amp;'0. Instruções'!$D$43&amp;")Y"</f>
        <v>(SELECT prtctn_id AS prtctn_id_SIMUL, PRTCTN_TYP_PBLC_GRNT_SCHM_C19 AS PRTCTN_TYP_PBLC_GRNT_SCHM_C19_SIMUL FROM BU_LOANTAPE_WORK.LT004_PROTECTION WHERE ref_date='${ref_date}' AND nome_perimetro='Individual Corporativo' AND segmento='ESTR' AND ambito='PM' AND entidade='00100')Y</v>
      </c>
      <c r="K369" s="35" t="str">
        <f>+UPPER("ON X."&amp;VLOOKUP(B369,'0. Instruções'!$C$27:$G$32,4,FALSE)&amp;"=Y."&amp;VLOOKUP(B369,'0. Instruções'!$C$27:$G$32,4,FALSE)&amp;"_SIMUL")</f>
        <v>ON X.PRTCTN_ID=Y.PRTCTN_ID_SIMUL</v>
      </c>
      <c r="L369" s="35" t="str">
        <f>+IF(C369="Coerência", +IF(LEFT(G369,5)="FLOAT","SELECT '"&amp;UPPER(B369)&amp;"' AS TABELA, '"&amp;UPPER(C369)&amp;"' AS TIPOLOGIA_TESTE,'"&amp;D369&amp;"' AS TABELA_LT,'"&amp;E369&amp;"' AS TABELA_SIMUL,'"&amp;F369&amp;"' AS CAMPO, "&amp;"'${ref_date}' AS REF_DATE, COUNT(*) AS NUM_REG, SUM(IF((ABS(COALESCE(CAST(X."&amp;F369&amp;" AS DECIMAL(18,6)),0)-COALESCE(CAST(Y."&amp;F369&amp;"_SIMUL AS DECIMAL(18,6)),0))&gt;0.000001) OR (X."&amp;F369&amp;" IS NULL AND Y."&amp;F369&amp;"_SIMUL IS NOT NULL ) OR (X."&amp;F369&amp;" IS NOT NULL AND Y."&amp;F369&amp;"_SIMUL IS NULL),1,0)) AS NUM_REG_DIF,'"&amp;MAX('ID1&amp;5'!K:K)+1&amp;"' AS ID_EXEC, CURRENT_TIMESTAMP() AS TIME_EXEC FROM "&amp;I369&amp;" INNER JOIN "&amp;J369&amp;" "&amp;K369,"SELECT '"&amp;UPPER(B369)&amp;"' AS TABELA, '"&amp;UPPER(C369)&amp;"' AS TIPOLOGIA_TESTE,'"&amp;D369&amp;"' AS TABELA_LT,'"&amp;E369&amp;"' AS TABELA_SIMUL,'"&amp;F369&amp;"' AS CAMPO, "&amp;"'${ref_date}' AS REF_DATE, COUNT(*) AS NUM_REG, SUM(IF(COALESCE(CAST(X."&amp;F369&amp;" AS STRING),'')&lt;&gt;COALESCE(CAST(Y."&amp;F369&amp;"_SIMUL AS STRING),'') OR (X."&amp;F369&amp;" IS NULL AND Y."&amp;F369&amp;"_SIMUL IS NOT NULL ) OR (X."&amp;F369&amp;" IS NOT NULL AND Y."&amp;F369&amp;"_SIMUL IS NULL),1,0)) AS NUM_REG_DIF,'"&amp;MAX('ID1&amp;5'!L:L)+1&amp;"' AS ID_EXEC, CURRENT_TIMESTAMP() AS TIME_EXEC FROM "&amp;I369&amp;" INNER JOIN "&amp;J369&amp;" "&amp;K369),
IF(C369="Validade",+IF(G369="Code List","SELECT '"&amp;UPPER(B369)&amp;"' AS TABELA, '"&amp;UPPER(C369)&amp;"' AS TIPOLOGIA_TESTE,'"&amp;D369&amp;"' AS TABELA_LT,'N/A' AS TABELA_SIMUL,'"&amp;F369&amp;"' AS CAMPO, "&amp;"'${ref_date}' AS REF_DATE, COUNT(*) AS NUM_REG, SUM(IF(TRIM(CAST(X."&amp;F369&amp;" AS STRING))='' OR TRIM(CAST(X."&amp;F369&amp;" AS STRING)) IS NULL OR CAST(X."&amp;F369&amp;" AS STRING) NOT "&amp;H369&amp;",1,0)) AS NUM_REG_DIF,'"&amp;MAX('ID1&amp;5'!K:K)+1&amp;"' AS ID_EXEC, CURRENT_TIMESTAMP() AS TIME_EXEC FROM "&amp;I369,"SELECT '"&amp;UPPER(B369)&amp;"' AS TABELA, '"&amp;UPPER(C369)&amp;"' AS TIPOLOGIA_TESTE,'"&amp;D369&amp;"' AS TABELA_LT,'N/A' AS TABELA_SIMUL,'"&amp;F369&amp;"' AS CAMPO, "&amp;"'${ref_date}' AS REF_DATE, COUNT(*) AS NUM_REG, SUM(IF(TRIM(CAST(X."&amp;F369&amp;" AS STRING))='' OR TRIM(CAST(X."&amp;F369&amp;" AS STRING)) IS NULL,1,0)) AS NUM_REG_DIF,'"&amp;MAX('ID1&amp;5'!K:K)+1&amp;"' AS ID_EXEC, CURRENT_TIMESTAMP() AS TIME_EXEC FROM "&amp;I369),
IF(C369="Caracteres Especiais",+"SELECT '"&amp;UPPER(B369)&amp;"' AS TABELA, '"&amp;UPPER(C369)&amp;"' AS TIPOLOGIA_TESTE,'"&amp;D369&amp;"' AS TABELA_LT,'N/A' AS TABELA_SIMUL,'"&amp;F369&amp;"' AS CAMPO, "&amp;"'${ref_date}' AS REF_DATE, COUNT(*) AS NUM_REG, SUM(IF(REGEXP_REPLACE(TRIM(CAST(X."&amp;F369&amp;" AS STRING)),'[^a-zA-Z0-9_\\s]','') &lt;&gt;TRIM(CAST(X."&amp;F369&amp;" AS STRING)),1,0)) AS NUM_REG_DIF,'"&amp;MAX('ID1&amp;5'!K:K)+1&amp;"' AS ID_EXEC, CURRENT_TIMESTAMP() AS TIME_EXEC FROM "&amp;I369,
IF(C369="Missings",+"SELECT '"&amp;UPPER(B369)&amp;"' AS TABELA, '"&amp;UPPER(C369)&amp;"' AS TIPOLOGIA_TESTE,'"&amp;D369&amp;"' AS TABELA_LT,'N/A' AS TABELA_SIMUL,'"&amp;F369&amp;"' AS CAMPO, "&amp;"'${ref_date}' AS REF_DATE, COUNT(*) AS NUM_REG, SUM(IF(TRIM(CAST(X."&amp;F369&amp;" AS STRING)) IN ('0000-00-00','0001-01-01','9999-12-31','MISS','00000','99999999999','99999999999.00','99999999999.000000'),1,0)) AS NUM_REG_DIF,'"&amp;MAX('ID1&amp;5'!K:K)+1&amp;"' AS ID_EXEC, CURRENT_TIMESTAMP() AS TIME_EXEC FROM "&amp;I369,
IF(C369="Not applicable",+"SELECT '"&amp;UPPER(B369)&amp;"' AS TABELA, '"&amp;UPPER(C369)&amp;"' AS TIPOLOGIA_TESTE,'"&amp;D369&amp;"' AS TABELA_LT,'N/A' AS TABELA_SIMUL,'"&amp;F369&amp;"' AS CAMPO, "&amp;"'${ref_date}' AS REF_DATE, COUNT(*) AS NUM_REG, SUM(IF(TRIM(CAST(X."&amp;F369&amp;" AS STRING)) IN ('N/A','11111111111','11111111111.00','11111111111.000000','1111-11-11'),1,0)) AS NUM_REG_DIF,'"&amp;MAX('ID1&amp;5'!K:K)+1&amp;"' AS ID_EXEC, CURRENT_TIMESTAMP() AS TIME_EXEC FROM "&amp;I369,
IF(C369="Valores extremos",+"SELECT '"&amp;UPPER(B369)&amp;"' AS TABELA, '"&amp;UPPER(C369)&amp;"' AS TIPOLOGIA_TESTE,'"&amp;D369&amp;"' AS TABELA_LT,'N/A' AS TABELA_SIMUL,'"&amp;F369&amp;"' AS CAMPO, "&amp;"'${ref_date}' AS REF_DATE, CAST(MIN("&amp;F369&amp;") AS STRING) AS VALOR_MIN, CAST(MAX("&amp;F369&amp;") AS STRING) AS VALOR_MAX,'"&amp;MAX('ID1&amp;5'!K:K)+1&amp;"' AS ID_EXEC, CURRENT_TIMESTAMP() AS TIME_EXEC FROM "&amp;MID(I369,1,LEN(I369)-2)&amp;" AND CAST("&amp;F369&amp;"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TABELA_SIMUL,'PRTCTN_TYP_PBLC_GRNT_SCHM_C19' AS CAMPO, '${ref_date}' AS REF_DATE, COUNT(*) AS NUM_REG, SUM(IF(COALESCE(CAST(X.PRTCTN_TYP_PBLC_GRNT_SCHM_C19 AS STRING),'')&lt;&gt;COALESCE(CAST(Y.PRTCTN_TYP_PBLC_GRNT_SCHM_C19_SIMUL AS STRING),'') OR (X.PRTCTN_TYP_PBLC_GRNT_SCHM_C19 IS NULL AND Y.PRTCTN_TYP_PBLC_GRNT_SCHM_C19_SIMUL IS NOT NULL ) OR (X.PRTCTN_TYP_PBLC_GRNT_SCHM_C19 IS NOT NULL AND Y.PRTCTN_TYP_PBLC_GRNT_SCHM_C19_SIMUL IS NULL),1,0)) AS NUM_REG_DIF,'1' AS ID_EXEC, CURRENT_TIMESTAMP() AS TIME_EXEC FROM (SELECT prtctn_id, PRTCTN_TYP_PBLC_GRNT_SCHM_C19 FROM CD_LOAN_TAPES_BCE.LT004_PROTECTION WHERE ref_date='${ref_date}' AND nome_perimetro='Individual Corporativo' AND segmento='ESTR' AND ambito='PM' AND entidade='00100')X INNER JOIN (SELECT prtctn_id AS prtctn_id_SIMUL, PRTCTN_TYP_PBLC_GRNT_SCHM_C19 AS PRTCTN_TYP_PBLC_GRNT_SCHM_C19_SIMUL FROM BU_LOANTAPE_WORK.LT004_PROTECTION WHERE ref_date='${ref_date}' AND nome_perimetro='Individual Corporativo' AND segmento='ESTR' AND ambito='PM' AND entidade='00100')Y ON X.PRTCTN_ID=Y.PRTCTN_ID_SIMUL</v>
      </c>
      <c r="M369" s="36" t="str">
        <f t="shared" si="7"/>
        <v>UNION ALL SELECT 'PROTECTION' AS TABELA, 'COERÊNCIA' AS TIPOLOGIA_TESTE,'CD_LOAN_TAPES_BCE.LT004_PROTECTION' AS TABELA_LT,'BU_LOANTAPE_WORK.LT004_PROTECTION' AS TABELA_SIMUL,'PRTCTN_TYP_PBLC_GRNT_SCHM_C19' AS CAMPO, '${ref_date}' AS REF_DATE, COUNT(*) AS NUM_REG, SUM(IF(COALESCE(CAST(X.PRTCTN_TYP_PBLC_GRNT_SCHM_C19 AS STRING),'')&lt;&gt;COALESCE(CAST(Y.PRTCTN_TYP_PBLC_GRNT_SCHM_C19_SIMUL AS STRING),'') OR (X.PRTCTN_TYP_PBLC_GRNT_SCHM_C19 IS NULL AND Y.PRTCTN_TYP_PBLC_GRNT_SCHM_C19_SIMUL IS NOT NULL ) OR (X.PRTCTN_TYP_PBLC_GRNT_SCHM_C19 IS NOT NULL AND Y.PRTCTN_TYP_PBLC_GRNT_SCHM_C19_SIMUL IS NULL),1,0)) AS NUM_REG_DIF,'1' AS ID_EXEC, CURRENT_TIMESTAMP() AS TIME_EXEC FROM (SELECT prtctn_id, PRTCTN_TYP_PBLC_GRNT_SCHM_C19 FROM CD_LOAN_TAPES_BCE.LT004_PROTECTION WHERE ref_date='${ref_date}' AND nome_perimetro='Individual Corporativo' AND segmento='ESTR' AND ambito='PM' AND entidade='00100')X INNER JOIN (SELECT prtctn_id AS prtctn_id_SIMUL, PRTCTN_TYP_PBLC_GRNT_SCHM_C19 AS PRTCTN_TYP_PBLC_GRNT_SCHM_C19_SIMUL FROM BU_LOANTAPE_WORK.LT004_PROTECTION WHERE ref_date='${ref_date}' AND nome_perimetro='Individual Corporativo' AND segmento='ESTR' AND ambito='PM' AND entidade='00100')Y ON X.PRTCTN_ID=Y.PRTCTN_ID_SIMUL</v>
      </c>
      <c r="N369" s="38" t="s">
        <v>46</v>
      </c>
    </row>
    <row r="370" spans="2:14" hidden="1">
      <c r="B370" s="34" t="s">
        <v>128</v>
      </c>
      <c r="C370" s="34" t="s">
        <v>5</v>
      </c>
      <c r="D370" s="34" t="str">
        <f>+UPPER('0. Instruções'!$D$35&amp;"."&amp;VLOOKUP(B370,'0. Instruções'!$C$27:$D$32,2,FALSE))</f>
        <v>CD_LOAN_TAPES_BCE.LT004_PROTECTION</v>
      </c>
      <c r="E370" s="34" t="str">
        <f>+UPPER('0. Instruções'!$D$36&amp;"."&amp;VLOOKUP(B370,'0. Instruções'!$C$27:$E$32,3,FALSE))</f>
        <v>BU_LOANTAPE_WORK.LT004_PROTECTION</v>
      </c>
      <c r="F370" s="34" t="s">
        <v>397</v>
      </c>
      <c r="G370" s="34"/>
      <c r="H370" s="34" t="s">
        <v>646</v>
      </c>
      <c r="I370" s="34" t="str">
        <f>"(SELECT "&amp;VLOOKUP(B370,'0. Instruções'!$C$27:$G$32,4,FALSE)&amp;", "&amp;F370&amp;" FROM "&amp;D370&amp;" WHERE "&amp;'0. Instruções'!$D$42&amp;")X"</f>
        <v>(SELECT prtctn_id, TAX_ID FROM CD_LOAN_TAPES_BCE.LT004_PROTECTION WHERE ref_date='${ref_date}' AND nome_perimetro='Individual Corporativo' AND segmento='ESTR' AND ambito='PM' AND entidade='00100')X</v>
      </c>
      <c r="J370" s="34" t="str">
        <f>"(SELECT "&amp;VLOOKUP(B370,'0. Instruções'!$C$27:$G$32,4,FALSE)&amp;" AS "&amp;VLOOKUP(B370,'0. Instruções'!$C$27:$G$32,4,FALSE)&amp;"_SIMUL, "&amp;F370&amp;" AS "&amp;F370&amp;"_SIMUL FROM "&amp;E370&amp;" WHERE "&amp;'0. Instruções'!$D$43&amp;")Y"</f>
        <v>(SELECT prtctn_id AS prtctn_id_SIMUL, TAX_ID AS TAX_ID_SIMUL FROM BU_LOANTAPE_WORK.LT004_PROTECTION WHERE ref_date='${ref_date}' AND nome_perimetro='Individual Corporativo' AND segmento='ESTR' AND ambito='PM' AND entidade='00100')Y</v>
      </c>
      <c r="K370" s="35" t="str">
        <f>+UPPER("ON X."&amp;VLOOKUP(B370,'0. Instruções'!$C$27:$G$32,4,FALSE)&amp;"=Y."&amp;VLOOKUP(B370,'0. Instruções'!$C$27:$G$32,4,FALSE)&amp;"_SIMUL")</f>
        <v>ON X.PRTCTN_ID=Y.PRTCTN_ID_SIMUL</v>
      </c>
      <c r="L370" s="35" t="str">
        <f>+IF(C370="Coerência", +IF(LEFT(G370,5)="FLOAT","SELECT '"&amp;UPPER(B370)&amp;"' AS TABELA, '"&amp;UPPER(C370)&amp;"' AS TIPOLOGIA_TESTE,'"&amp;D370&amp;"' AS TABELA_LT,'"&amp;E370&amp;"' AS TABELA_SIMUL,'"&amp;F370&amp;"' AS CAMPO, "&amp;"'${ref_date}' AS REF_DATE, COUNT(*) AS NUM_REG, SUM(IF((ABS(COALESCE(CAST(X."&amp;F370&amp;" AS DECIMAL(18,6)),0)-COALESCE(CAST(Y."&amp;F370&amp;"_SIMUL AS DECIMAL(18,6)),0))&gt;0.000001) OR (X."&amp;F370&amp;" IS NULL AND Y."&amp;F370&amp;"_SIMUL IS NOT NULL ) OR (X."&amp;F370&amp;" IS NOT NULL AND Y."&amp;F370&amp;"_SIMUL IS NULL),1,0)) AS NUM_REG_DIF,'"&amp;MAX('ID1&amp;5'!K:K)+1&amp;"' AS ID_EXEC, CURRENT_TIMESTAMP() AS TIME_EXEC FROM "&amp;I370&amp;" INNER JOIN "&amp;J370&amp;" "&amp;K370,"SELECT '"&amp;UPPER(B370)&amp;"' AS TABELA, '"&amp;UPPER(C370)&amp;"' AS TIPOLOGIA_TESTE,'"&amp;D370&amp;"' AS TABELA_LT,'"&amp;E370&amp;"' AS TABELA_SIMUL,'"&amp;F370&amp;"' AS CAMPO, "&amp;"'${ref_date}' AS REF_DATE, COUNT(*) AS NUM_REG, SUM(IF(COALESCE(CAST(X."&amp;F370&amp;" AS STRING),'')&lt;&gt;COALESCE(CAST(Y."&amp;F370&amp;"_SIMUL AS STRING),'') OR (X."&amp;F370&amp;" IS NULL AND Y."&amp;F370&amp;"_SIMUL IS NOT NULL ) OR (X."&amp;F370&amp;" IS NOT NULL AND Y."&amp;F370&amp;"_SIMUL IS NULL),1,0)) AS NUM_REG_DIF,'"&amp;MAX('ID1&amp;5'!L:L)+1&amp;"' AS ID_EXEC, CURRENT_TIMESTAMP() AS TIME_EXEC FROM "&amp;I370&amp;" INNER JOIN "&amp;J370&amp;" "&amp;K370),
IF(C370="Validade",+IF(G370="Code List","SELECT '"&amp;UPPER(B370)&amp;"' AS TABELA, '"&amp;UPPER(C370)&amp;"' AS TIPOLOGIA_TESTE,'"&amp;D370&amp;"' AS TABELA_LT,'N/A' AS TABELA_SIMUL,'"&amp;F370&amp;"' AS CAMPO, "&amp;"'${ref_date}' AS REF_DATE, COUNT(*) AS NUM_REG, SUM(IF(TRIM(CAST(X."&amp;F370&amp;" AS STRING))='' OR TRIM(CAST(X."&amp;F370&amp;" AS STRING)) IS NULL OR CAST(X."&amp;F370&amp;" AS STRING) NOT "&amp;H370&amp;",1,0)) AS NUM_REG_DIF,'"&amp;MAX('ID1&amp;5'!K:K)+1&amp;"' AS ID_EXEC, CURRENT_TIMESTAMP() AS TIME_EXEC FROM "&amp;I370,"SELECT '"&amp;UPPER(B370)&amp;"' AS TABELA, '"&amp;UPPER(C370)&amp;"' AS TIPOLOGIA_TESTE,'"&amp;D370&amp;"' AS TABELA_LT,'N/A' AS TABELA_SIMUL,'"&amp;F370&amp;"' AS CAMPO, "&amp;"'${ref_date}' AS REF_DATE, COUNT(*) AS NUM_REG, SUM(IF(TRIM(CAST(X."&amp;F370&amp;" AS STRING))='' OR TRIM(CAST(X."&amp;F370&amp;" AS STRING)) IS NULL,1,0)) AS NUM_REG_DIF,'"&amp;MAX('ID1&amp;5'!K:K)+1&amp;"' AS ID_EXEC, CURRENT_TIMESTAMP() AS TIME_EXEC FROM "&amp;I370),
IF(C370="Caracteres Especiais",+"SELECT '"&amp;UPPER(B370)&amp;"' AS TABELA, '"&amp;UPPER(C370)&amp;"' AS TIPOLOGIA_TESTE,'"&amp;D370&amp;"' AS TABELA_LT,'N/A' AS TABELA_SIMUL,'"&amp;F370&amp;"' AS CAMPO, "&amp;"'${ref_date}' AS REF_DATE, COUNT(*) AS NUM_REG, SUM(IF(REGEXP_REPLACE(TRIM(CAST(X."&amp;F370&amp;" AS STRING)),'[^a-zA-Z0-9_\\s]','') &lt;&gt;TRIM(CAST(X."&amp;F370&amp;" AS STRING)),1,0)) AS NUM_REG_DIF,'"&amp;MAX('ID1&amp;5'!K:K)+1&amp;"' AS ID_EXEC, CURRENT_TIMESTAMP() AS TIME_EXEC FROM "&amp;I370,
IF(C370="Missings",+"SELECT '"&amp;UPPER(B370)&amp;"' AS TABELA, '"&amp;UPPER(C370)&amp;"' AS TIPOLOGIA_TESTE,'"&amp;D370&amp;"' AS TABELA_LT,'N/A' AS TABELA_SIMUL,'"&amp;F370&amp;"' AS CAMPO, "&amp;"'${ref_date}' AS REF_DATE, COUNT(*) AS NUM_REG, SUM(IF(TRIM(CAST(X."&amp;F370&amp;" AS STRING)) IN ('0000-00-00','0001-01-01','9999-12-31','MISS','00000','99999999999','99999999999.00','99999999999.000000'),1,0)) AS NUM_REG_DIF,'"&amp;MAX('ID1&amp;5'!K:K)+1&amp;"' AS ID_EXEC, CURRENT_TIMESTAMP() AS TIME_EXEC FROM "&amp;I370,
IF(C370="Not applicable",+"SELECT '"&amp;UPPER(B370)&amp;"' AS TABELA, '"&amp;UPPER(C370)&amp;"' AS TIPOLOGIA_TESTE,'"&amp;D370&amp;"' AS TABELA_LT,'N/A' AS TABELA_SIMUL,'"&amp;F370&amp;"' AS CAMPO, "&amp;"'${ref_date}' AS REF_DATE, COUNT(*) AS NUM_REG, SUM(IF(TRIM(CAST(X."&amp;F370&amp;" AS STRING)) IN ('N/A','11111111111','11111111111.00','11111111111.000000','1111-11-11'),1,0)) AS NUM_REG_DIF,'"&amp;MAX('ID1&amp;5'!K:K)+1&amp;"' AS ID_EXEC, CURRENT_TIMESTAMP() AS TIME_EXEC FROM "&amp;I370,
IF(C370="Valores extremos",+"SELECT '"&amp;UPPER(B370)&amp;"' AS TABELA, '"&amp;UPPER(C370)&amp;"' AS TIPOLOGIA_TESTE,'"&amp;D370&amp;"' AS TABELA_LT,'N/A' AS TABELA_SIMUL,'"&amp;F370&amp;"' AS CAMPO, "&amp;"'${ref_date}' AS REF_DATE, CAST(MIN("&amp;F370&amp;") AS STRING) AS VALOR_MIN, CAST(MAX("&amp;F370&amp;") AS STRING) AS VALOR_MAX,'"&amp;MAX('ID1&amp;5'!K:K)+1&amp;"' AS ID_EXEC, CURRENT_TIMESTAMP() AS TIME_EXEC FROM "&amp;MID(I370,1,LEN(I370)-2)&amp;" AND CAST("&amp;F370&amp;"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TABELA_SIMUL,'TAX_ID' AS CAMPO, '${ref_date}' AS REF_DATE, COUNT(*) AS NUM_REG, SUM(IF(COALESCE(CAST(X.TAX_ID AS STRING),'')&lt;&gt;COALESCE(CAST(Y.TAX_ID_SIMUL AS STRING),'') OR (X.TAX_ID IS NULL AND Y.TAX_ID_SIMUL IS NOT NULL ) OR (X.TAX_ID IS NOT NULL AND Y.TAX_ID_SIMUL IS NULL),1,0)) AS NUM_REG_DIF,'1' AS ID_EXEC, CURRENT_TIMESTAMP() AS TIME_EXEC FROM (SELECT prtctn_id, TAX_ID FROM CD_LOAN_TAPES_BCE.LT004_PROTECTION WHERE ref_date='${ref_date}' AND nome_perimetro='Individual Corporativo' AND segmento='ESTR' AND ambito='PM' AND entidade='00100')X INNER JOIN (SELECT prtctn_id AS prtctn_id_SIMUL, TAX_ID AS TAX_ID_SIMUL FROM BU_LOANTAPE_WORK.LT004_PROTECTION WHERE ref_date='${ref_date}' AND nome_perimetro='Individual Corporativo' AND segmento='ESTR' AND ambito='PM' AND entidade='00100')Y ON X.PRTCTN_ID=Y.PRTCTN_ID_SIMUL</v>
      </c>
      <c r="M370" s="36" t="str">
        <f t="shared" si="7"/>
        <v>UNION ALL SELECT 'PROTECTION' AS TABELA, 'COERÊNCIA' AS TIPOLOGIA_TESTE,'CD_LOAN_TAPES_BCE.LT004_PROTECTION' AS TABELA_LT,'BU_LOANTAPE_WORK.LT004_PROTECTION' AS TABELA_SIMUL,'TAX_ID' AS CAMPO, '${ref_date}' AS REF_DATE, COUNT(*) AS NUM_REG, SUM(IF(COALESCE(CAST(X.TAX_ID AS STRING),'')&lt;&gt;COALESCE(CAST(Y.TAX_ID_SIMUL AS STRING),'') OR (X.TAX_ID IS NULL AND Y.TAX_ID_SIMUL IS NOT NULL ) OR (X.TAX_ID IS NOT NULL AND Y.TAX_ID_SIMUL IS NULL),1,0)) AS NUM_REG_DIF,'1' AS ID_EXEC, CURRENT_TIMESTAMP() AS TIME_EXEC FROM (SELECT prtctn_id, TAX_ID FROM CD_LOAN_TAPES_BCE.LT004_PROTECTION WHERE ref_date='${ref_date}' AND nome_perimetro='Individual Corporativo' AND segmento='ESTR' AND ambito='PM' AND entidade='00100')X INNER JOIN (SELECT prtctn_id AS prtctn_id_SIMUL, TAX_ID AS TAX_ID_SIMUL FROM BU_LOANTAPE_WORK.LT004_PROTECTION WHERE ref_date='${ref_date}' AND nome_perimetro='Individual Corporativo' AND segmento='ESTR' AND ambito='PM' AND entidade='00100')Y ON X.PRTCTN_ID=Y.PRTCTN_ID_SIMUL</v>
      </c>
      <c r="N370" s="38" t="s">
        <v>46</v>
      </c>
    </row>
    <row r="371" spans="2:14" hidden="1">
      <c r="B371" s="34" t="s">
        <v>128</v>
      </c>
      <c r="C371" s="34" t="s">
        <v>5</v>
      </c>
      <c r="D371" s="34" t="str">
        <f>+UPPER('0. Instruções'!$D$35&amp;"."&amp;VLOOKUP(B371,'0. Instruções'!$C$27:$D$32,2,FALSE))</f>
        <v>CD_LOAN_TAPES_BCE.LT004_PROTECTION</v>
      </c>
      <c r="E371" s="34" t="str">
        <f>+UPPER('0. Instruções'!$D$36&amp;"."&amp;VLOOKUP(B371,'0. Instruções'!$C$27:$E$32,3,FALSE))</f>
        <v>BU_LOANTAPE_WORK.LT004_PROTECTION</v>
      </c>
      <c r="F371" s="34" t="s">
        <v>638</v>
      </c>
      <c r="G371" s="34"/>
      <c r="H371" s="34" t="s">
        <v>649</v>
      </c>
      <c r="I371" s="34" t="str">
        <f>"(SELECT "&amp;VLOOKUP(B371,'0. Instruções'!$C$27:$G$32,4,FALSE)&amp;", "&amp;F371&amp;" FROM "&amp;D371&amp;" WHERE "&amp;'0. Instruções'!$D$42&amp;")X"</f>
        <v>(SELECT prtctn_id, YR_CNSTRCTN FROM CD_LOAN_TAPES_BCE.LT004_PROTECTION WHERE ref_date='${ref_date}' AND nome_perimetro='Individual Corporativo' AND segmento='ESTR' AND ambito='PM' AND entidade='00100')X</v>
      </c>
      <c r="J371" s="34" t="str">
        <f>"(SELECT "&amp;VLOOKUP(B371,'0. Instruções'!$C$27:$G$32,4,FALSE)&amp;" AS "&amp;VLOOKUP(B371,'0. Instruções'!$C$27:$G$32,4,FALSE)&amp;"_SIMUL, "&amp;F371&amp;" AS "&amp;F371&amp;"_SIMUL FROM "&amp;E371&amp;" WHERE "&amp;'0. Instruções'!$D$43&amp;")Y"</f>
        <v>(SELECT prtctn_id AS prtctn_id_SIMUL, YR_CNSTRCTN AS YR_CNSTRCTN_SIMUL FROM BU_LOANTAPE_WORK.LT004_PROTECTION WHERE ref_date='${ref_date}' AND nome_perimetro='Individual Corporativo' AND segmento='ESTR' AND ambito='PM' AND entidade='00100')Y</v>
      </c>
      <c r="K371" s="35" t="str">
        <f>+UPPER("ON X."&amp;VLOOKUP(B371,'0. Instruções'!$C$27:$G$32,4,FALSE)&amp;"=Y."&amp;VLOOKUP(B371,'0. Instruções'!$C$27:$G$32,4,FALSE)&amp;"_SIMUL")</f>
        <v>ON X.PRTCTN_ID=Y.PRTCTN_ID_SIMUL</v>
      </c>
      <c r="L371" s="35" t="str">
        <f>+IF(C371="Coerência", +IF(LEFT(G371,5)="FLOAT","SELECT '"&amp;UPPER(B371)&amp;"' AS TABELA, '"&amp;UPPER(C371)&amp;"' AS TIPOLOGIA_TESTE,'"&amp;D371&amp;"' AS TABELA_LT,'"&amp;E371&amp;"' AS TABELA_SIMUL,'"&amp;F371&amp;"' AS CAMPO, "&amp;"'${ref_date}' AS REF_DATE, COUNT(*) AS NUM_REG, SUM(IF((ABS(COALESCE(CAST(X."&amp;F371&amp;" AS DECIMAL(18,6)),0)-COALESCE(CAST(Y."&amp;F371&amp;"_SIMUL AS DECIMAL(18,6)),0))&gt;0.000001) OR (X."&amp;F371&amp;" IS NULL AND Y."&amp;F371&amp;"_SIMUL IS NOT NULL ) OR (X."&amp;F371&amp;" IS NOT NULL AND Y."&amp;F371&amp;"_SIMUL IS NULL),1,0)) AS NUM_REG_DIF,'"&amp;MAX('ID1&amp;5'!K:K)+1&amp;"' AS ID_EXEC, CURRENT_TIMESTAMP() AS TIME_EXEC FROM "&amp;I371&amp;" INNER JOIN "&amp;J371&amp;" "&amp;K371,"SELECT '"&amp;UPPER(B371)&amp;"' AS TABELA, '"&amp;UPPER(C371)&amp;"' AS TIPOLOGIA_TESTE,'"&amp;D371&amp;"' AS TABELA_LT,'"&amp;E371&amp;"' AS TABELA_SIMUL,'"&amp;F371&amp;"' AS CAMPO, "&amp;"'${ref_date}' AS REF_DATE, COUNT(*) AS NUM_REG, SUM(IF(COALESCE(CAST(X."&amp;F371&amp;" AS STRING),'')&lt;&gt;COALESCE(CAST(Y."&amp;F371&amp;"_SIMUL AS STRING),'') OR (X."&amp;F371&amp;" IS NULL AND Y."&amp;F371&amp;"_SIMUL IS NOT NULL ) OR (X."&amp;F371&amp;" IS NOT NULL AND Y."&amp;F371&amp;"_SIMUL IS NULL),1,0)) AS NUM_REG_DIF,'"&amp;MAX('ID1&amp;5'!L:L)+1&amp;"' AS ID_EXEC, CURRENT_TIMESTAMP() AS TIME_EXEC FROM "&amp;I371&amp;" INNER JOIN "&amp;J371&amp;" "&amp;K371),
IF(C371="Validade",+IF(G371="Code List","SELECT '"&amp;UPPER(B371)&amp;"' AS TABELA, '"&amp;UPPER(C371)&amp;"' AS TIPOLOGIA_TESTE,'"&amp;D371&amp;"' AS TABELA_LT,'N/A' AS TABELA_SIMUL,'"&amp;F371&amp;"' AS CAMPO, "&amp;"'${ref_date}' AS REF_DATE, COUNT(*) AS NUM_REG, SUM(IF(TRIM(CAST(X."&amp;F371&amp;" AS STRING))='' OR TRIM(CAST(X."&amp;F371&amp;" AS STRING)) IS NULL OR CAST(X."&amp;F371&amp;" AS STRING) NOT "&amp;H371&amp;",1,0)) AS NUM_REG_DIF,'"&amp;MAX('ID1&amp;5'!K:K)+1&amp;"' AS ID_EXEC, CURRENT_TIMESTAMP() AS TIME_EXEC FROM "&amp;I371,"SELECT '"&amp;UPPER(B371)&amp;"' AS TABELA, '"&amp;UPPER(C371)&amp;"' AS TIPOLOGIA_TESTE,'"&amp;D371&amp;"' AS TABELA_LT,'N/A' AS TABELA_SIMUL,'"&amp;F371&amp;"' AS CAMPO, "&amp;"'${ref_date}' AS REF_DATE, COUNT(*) AS NUM_REG, SUM(IF(TRIM(CAST(X."&amp;F371&amp;" AS STRING))='' OR TRIM(CAST(X."&amp;F371&amp;" AS STRING)) IS NULL,1,0)) AS NUM_REG_DIF,'"&amp;MAX('ID1&amp;5'!K:K)+1&amp;"' AS ID_EXEC, CURRENT_TIMESTAMP() AS TIME_EXEC FROM "&amp;I371),
IF(C371="Caracteres Especiais",+"SELECT '"&amp;UPPER(B371)&amp;"' AS TABELA, '"&amp;UPPER(C371)&amp;"' AS TIPOLOGIA_TESTE,'"&amp;D371&amp;"' AS TABELA_LT,'N/A' AS TABELA_SIMUL,'"&amp;F371&amp;"' AS CAMPO, "&amp;"'${ref_date}' AS REF_DATE, COUNT(*) AS NUM_REG, SUM(IF(REGEXP_REPLACE(TRIM(CAST(X."&amp;F371&amp;" AS STRING)),'[^a-zA-Z0-9_\\s]','') &lt;&gt;TRIM(CAST(X."&amp;F371&amp;" AS STRING)),1,0)) AS NUM_REG_DIF,'"&amp;MAX('ID1&amp;5'!K:K)+1&amp;"' AS ID_EXEC, CURRENT_TIMESTAMP() AS TIME_EXEC FROM "&amp;I371,
IF(C371="Missings",+"SELECT '"&amp;UPPER(B371)&amp;"' AS TABELA, '"&amp;UPPER(C371)&amp;"' AS TIPOLOGIA_TESTE,'"&amp;D371&amp;"' AS TABELA_LT,'N/A' AS TABELA_SIMUL,'"&amp;F371&amp;"' AS CAMPO, "&amp;"'${ref_date}' AS REF_DATE, COUNT(*) AS NUM_REG, SUM(IF(TRIM(CAST(X."&amp;F371&amp;" AS STRING)) IN ('0000-00-00','0001-01-01','9999-12-31','MISS','00000','99999999999','99999999999.00','99999999999.000000'),1,0)) AS NUM_REG_DIF,'"&amp;MAX('ID1&amp;5'!K:K)+1&amp;"' AS ID_EXEC, CURRENT_TIMESTAMP() AS TIME_EXEC FROM "&amp;I371,
IF(C371="Not applicable",+"SELECT '"&amp;UPPER(B371)&amp;"' AS TABELA, '"&amp;UPPER(C371)&amp;"' AS TIPOLOGIA_TESTE,'"&amp;D371&amp;"' AS TABELA_LT,'N/A' AS TABELA_SIMUL,'"&amp;F371&amp;"' AS CAMPO, "&amp;"'${ref_date}' AS REF_DATE, COUNT(*) AS NUM_REG, SUM(IF(TRIM(CAST(X."&amp;F371&amp;" AS STRING)) IN ('N/A','11111111111','11111111111.00','11111111111.000000','1111-11-11'),1,0)) AS NUM_REG_DIF,'"&amp;MAX('ID1&amp;5'!K:K)+1&amp;"' AS ID_EXEC, CURRENT_TIMESTAMP() AS TIME_EXEC FROM "&amp;I371,
IF(C371="Valores extremos",+"SELECT '"&amp;UPPER(B371)&amp;"' AS TABELA, '"&amp;UPPER(C371)&amp;"' AS TIPOLOGIA_TESTE,'"&amp;D371&amp;"' AS TABELA_LT,'N/A' AS TABELA_SIMUL,'"&amp;F371&amp;"' AS CAMPO, "&amp;"'${ref_date}' AS REF_DATE, CAST(MIN("&amp;F371&amp;") AS STRING) AS VALOR_MIN, CAST(MAX("&amp;F371&amp;") AS STRING) AS VALOR_MAX,'"&amp;MAX('ID1&amp;5'!K:K)+1&amp;"' AS ID_EXEC, CURRENT_TIMESTAMP() AS TIME_EXEC FROM "&amp;MID(I371,1,LEN(I371)-2)&amp;" AND CAST("&amp;F371&amp;"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TABELA_SIMUL,'YR_CNSTRCTN' AS CAMPO, '${ref_date}' AS REF_DATE, COUNT(*) AS NUM_REG, SUM(IF(COALESCE(CAST(X.YR_CNSTRCTN AS STRING),'')&lt;&gt;COALESCE(CAST(Y.YR_CNSTRCTN_SIMUL AS STRING),'') OR (X.YR_CNSTRCTN IS NULL AND Y.YR_CNSTRCTN_SIMUL IS NOT NULL ) OR (X.YR_CNSTRCTN IS NOT NULL AND Y.YR_CNSTRCTN_SIMUL IS NULL),1,0)) AS NUM_REG_DIF,'1' AS ID_EXEC, CURRENT_TIMESTAMP() AS TIME_EXEC FROM (SELECT prtctn_id, YR_CNSTRCTN FROM CD_LOAN_TAPES_BCE.LT004_PROTECTION WHERE ref_date='${ref_date}' AND nome_perimetro='Individual Corporativo' AND segmento='ESTR' AND ambito='PM' AND entidade='00100')X INNER JOIN (SELECT prtctn_id AS prtctn_id_SIMUL, YR_CNSTRCTN AS YR_CNSTRCTN_SIMUL FROM BU_LOANTAPE_WORK.LT004_PROTECTION WHERE ref_date='${ref_date}' AND nome_perimetro='Individual Corporativo' AND segmento='ESTR' AND ambito='PM' AND entidade='00100')Y ON X.PRTCTN_ID=Y.PRTCTN_ID_SIMUL</v>
      </c>
      <c r="M371" s="36" t="str">
        <f t="shared" si="7"/>
        <v>UNION ALL SELECT 'PROTECTION' AS TABELA, 'COERÊNCIA' AS TIPOLOGIA_TESTE,'CD_LOAN_TAPES_BCE.LT004_PROTECTION' AS TABELA_LT,'BU_LOANTAPE_WORK.LT004_PROTECTION' AS TABELA_SIMUL,'YR_CNSTRCTN' AS CAMPO, '${ref_date}' AS REF_DATE, COUNT(*) AS NUM_REG, SUM(IF(COALESCE(CAST(X.YR_CNSTRCTN AS STRING),'')&lt;&gt;COALESCE(CAST(Y.YR_CNSTRCTN_SIMUL AS STRING),'') OR (X.YR_CNSTRCTN IS NULL AND Y.YR_CNSTRCTN_SIMUL IS NOT NULL ) OR (X.YR_CNSTRCTN IS NOT NULL AND Y.YR_CNSTRCTN_SIMUL IS NULL),1,0)) AS NUM_REG_DIF,'1' AS ID_EXEC, CURRENT_TIMESTAMP() AS TIME_EXEC FROM (SELECT prtctn_id, YR_CNSTRCTN FROM CD_LOAN_TAPES_BCE.LT004_PROTECTION WHERE ref_date='${ref_date}' AND nome_perimetro='Individual Corporativo' AND segmento='ESTR' AND ambito='PM' AND entidade='00100')X INNER JOIN (SELECT prtctn_id AS prtctn_id_SIMUL, YR_CNSTRCTN AS YR_CNSTRCTN_SIMUL FROM BU_LOANTAPE_WORK.LT004_PROTECTION WHERE ref_date='${ref_date}' AND nome_perimetro='Individual Corporativo' AND segmento='ESTR' AND ambito='PM' AND entidade='00100')Y ON X.PRTCTN_ID=Y.PRTCTN_ID_SIMUL</v>
      </c>
      <c r="N371" s="38" t="s">
        <v>46</v>
      </c>
    </row>
    <row r="372" spans="2:14" hidden="1">
      <c r="B372" s="34" t="s">
        <v>128</v>
      </c>
      <c r="C372" s="34" t="s">
        <v>5</v>
      </c>
      <c r="D372" s="34" t="str">
        <f>+UPPER('0. Instruções'!$D$35&amp;"."&amp;VLOOKUP(B372,'0. Instruções'!$C$27:$D$32,2,FALSE))</f>
        <v>CD_LOAN_TAPES_BCE.LT004_PROTECTION</v>
      </c>
      <c r="E372" s="34" t="str">
        <f>+UPPER('0. Instruções'!$D$36&amp;"."&amp;VLOOKUP(B372,'0. Instruções'!$C$27:$E$32,3,FALSE))</f>
        <v>BU_LOANTAPE_WORK.LT004_PROTECTION</v>
      </c>
      <c r="F372" s="92" t="s">
        <v>639</v>
      </c>
      <c r="G372" s="34"/>
      <c r="H372" s="34" t="s">
        <v>91</v>
      </c>
      <c r="I372" s="34" t="str">
        <f>"(SELECT "&amp;VLOOKUP(B372,'0. Instruções'!$C$27:$G$32,4,FALSE)&amp;", "&amp;F372&amp;" FROM "&amp;D372&amp;" WHERE "&amp;'0. Instruções'!$D$42&amp;")X"</f>
        <v>(SELECT prtctn_id, LND_AR FROM CD_LOAN_TAPES_BCE.LT004_PROTECTION WHERE ref_date='${ref_date}' AND nome_perimetro='Individual Corporativo' AND segmento='ESTR' AND ambito='PM' AND entidade='00100')X</v>
      </c>
      <c r="J372" s="34" t="str">
        <f>"(SELECT "&amp;VLOOKUP(B372,'0. Instruções'!$C$27:$G$32,4,FALSE)&amp;" AS "&amp;VLOOKUP(B372,'0. Instruções'!$C$27:$G$32,4,FALSE)&amp;"_SIMUL, "&amp;F372&amp;" AS "&amp;F372&amp;"_SIMUL FROM "&amp;E372&amp;" WHERE "&amp;'0. Instruções'!$D$43&amp;")Y"</f>
        <v>(SELECT prtctn_id AS prtctn_id_SIMUL, LND_AR AS LND_AR_SIMUL FROM BU_LOANTAPE_WORK.LT004_PROTECTION WHERE ref_date='${ref_date}' AND nome_perimetro='Individual Corporativo' AND segmento='ESTR' AND ambito='PM' AND entidade='00100')Y</v>
      </c>
      <c r="K372" s="35" t="str">
        <f>+UPPER("ON X."&amp;VLOOKUP(B372,'0. Instruções'!$C$27:$G$32,4,FALSE)&amp;"=Y."&amp;VLOOKUP(B372,'0. Instruções'!$C$27:$G$32,4,FALSE)&amp;"_SIMUL")</f>
        <v>ON X.PRTCTN_ID=Y.PRTCTN_ID_SIMUL</v>
      </c>
      <c r="L372" s="35" t="str">
        <f>+IF(C372="Coerência", +IF(LEFT(G372,5)="FLOAT","SELECT '"&amp;UPPER(B372)&amp;"' AS TABELA, '"&amp;UPPER(C372)&amp;"' AS TIPOLOGIA_TESTE,'"&amp;D372&amp;"' AS TABELA_LT,'"&amp;E372&amp;"' AS TABELA_SIMUL,'"&amp;F372&amp;"' AS CAMPO, "&amp;"'${ref_date}' AS REF_DATE, COUNT(*) AS NUM_REG, SUM(IF((ABS(COALESCE(CAST(X."&amp;F372&amp;" AS DECIMAL(18,6)),0)-COALESCE(CAST(Y."&amp;F372&amp;"_SIMUL AS DECIMAL(18,6)),0))&gt;0.000001) OR (X."&amp;F372&amp;" IS NULL AND Y."&amp;F372&amp;"_SIMUL IS NOT NULL ) OR (X."&amp;F372&amp;" IS NOT NULL AND Y."&amp;F372&amp;"_SIMUL IS NULL),1,0)) AS NUM_REG_DIF,'"&amp;MAX('ID1&amp;5'!K:K)+1&amp;"' AS ID_EXEC, CURRENT_TIMESTAMP() AS TIME_EXEC FROM "&amp;I372&amp;" INNER JOIN "&amp;J372&amp;" "&amp;K372,"SELECT '"&amp;UPPER(B372)&amp;"' AS TABELA, '"&amp;UPPER(C372)&amp;"' AS TIPOLOGIA_TESTE,'"&amp;D372&amp;"' AS TABELA_LT,'"&amp;E372&amp;"' AS TABELA_SIMUL,'"&amp;F372&amp;"' AS CAMPO, "&amp;"'${ref_date}' AS REF_DATE, COUNT(*) AS NUM_REG, SUM(IF(COALESCE(CAST(X."&amp;F372&amp;" AS STRING),'')&lt;&gt;COALESCE(CAST(Y."&amp;F372&amp;"_SIMUL AS STRING),'') OR (X."&amp;F372&amp;" IS NULL AND Y."&amp;F372&amp;"_SIMUL IS NOT NULL ) OR (X."&amp;F372&amp;" IS NOT NULL AND Y."&amp;F372&amp;"_SIMUL IS NULL),1,0)) AS NUM_REG_DIF,'"&amp;MAX('ID1&amp;5'!L:L)+1&amp;"' AS ID_EXEC, CURRENT_TIMESTAMP() AS TIME_EXEC FROM "&amp;I372&amp;" INNER JOIN "&amp;J372&amp;" "&amp;K372),
IF(C372="Validade",+IF(G372="Code List","SELECT '"&amp;UPPER(B372)&amp;"' AS TABELA, '"&amp;UPPER(C372)&amp;"' AS TIPOLOGIA_TESTE,'"&amp;D372&amp;"' AS TABELA_LT,'N/A' AS TABELA_SIMUL,'"&amp;F372&amp;"' AS CAMPO, "&amp;"'${ref_date}' AS REF_DATE, COUNT(*) AS NUM_REG, SUM(IF(TRIM(CAST(X."&amp;F372&amp;" AS STRING))='' OR TRIM(CAST(X."&amp;F372&amp;" AS STRING)) IS NULL OR CAST(X."&amp;F372&amp;" AS STRING) NOT "&amp;H372&amp;",1,0)) AS NUM_REG_DIF,'"&amp;MAX('ID1&amp;5'!K:K)+1&amp;"' AS ID_EXEC, CURRENT_TIMESTAMP() AS TIME_EXEC FROM "&amp;I372,"SELECT '"&amp;UPPER(B372)&amp;"' AS TABELA, '"&amp;UPPER(C372)&amp;"' AS TIPOLOGIA_TESTE,'"&amp;D372&amp;"' AS TABELA_LT,'N/A' AS TABELA_SIMUL,'"&amp;F372&amp;"' AS CAMPO, "&amp;"'${ref_date}' AS REF_DATE, COUNT(*) AS NUM_REG, SUM(IF(TRIM(CAST(X."&amp;F372&amp;" AS STRING))='' OR TRIM(CAST(X."&amp;F372&amp;" AS STRING)) IS NULL,1,0)) AS NUM_REG_DIF,'"&amp;MAX('ID1&amp;5'!K:K)+1&amp;"' AS ID_EXEC, CURRENT_TIMESTAMP() AS TIME_EXEC FROM "&amp;I372),
IF(C372="Caracteres Especiais",+"SELECT '"&amp;UPPER(B372)&amp;"' AS TABELA, '"&amp;UPPER(C372)&amp;"' AS TIPOLOGIA_TESTE,'"&amp;D372&amp;"' AS TABELA_LT,'N/A' AS TABELA_SIMUL,'"&amp;F372&amp;"' AS CAMPO, "&amp;"'${ref_date}' AS REF_DATE, COUNT(*) AS NUM_REG, SUM(IF(REGEXP_REPLACE(TRIM(CAST(X."&amp;F372&amp;" AS STRING)),'[^a-zA-Z0-9_\\s]','') &lt;&gt;TRIM(CAST(X."&amp;F372&amp;" AS STRING)),1,0)) AS NUM_REG_DIF,'"&amp;MAX('ID1&amp;5'!K:K)+1&amp;"' AS ID_EXEC, CURRENT_TIMESTAMP() AS TIME_EXEC FROM "&amp;I372,
IF(C372="Missings",+"SELECT '"&amp;UPPER(B372)&amp;"' AS TABELA, '"&amp;UPPER(C372)&amp;"' AS TIPOLOGIA_TESTE,'"&amp;D372&amp;"' AS TABELA_LT,'N/A' AS TABELA_SIMUL,'"&amp;F372&amp;"' AS CAMPO, "&amp;"'${ref_date}' AS REF_DATE, COUNT(*) AS NUM_REG, SUM(IF(TRIM(CAST(X."&amp;F372&amp;" AS STRING)) IN ('0000-00-00','0001-01-01','9999-12-31','MISS','00000','99999999999','99999999999.00','99999999999.000000'),1,0)) AS NUM_REG_DIF,'"&amp;MAX('ID1&amp;5'!K:K)+1&amp;"' AS ID_EXEC, CURRENT_TIMESTAMP() AS TIME_EXEC FROM "&amp;I372,
IF(C372="Not applicable",+"SELECT '"&amp;UPPER(B372)&amp;"' AS TABELA, '"&amp;UPPER(C372)&amp;"' AS TIPOLOGIA_TESTE,'"&amp;D372&amp;"' AS TABELA_LT,'N/A' AS TABELA_SIMUL,'"&amp;F372&amp;"' AS CAMPO, "&amp;"'${ref_date}' AS REF_DATE, COUNT(*) AS NUM_REG, SUM(IF(TRIM(CAST(X."&amp;F372&amp;" AS STRING)) IN ('N/A','11111111111','11111111111.00','11111111111.000000','1111-11-11'),1,0)) AS NUM_REG_DIF,'"&amp;MAX('ID1&amp;5'!K:K)+1&amp;"' AS ID_EXEC, CURRENT_TIMESTAMP() AS TIME_EXEC FROM "&amp;I372,
IF(C372="Valores extremos",+"SELECT '"&amp;UPPER(B372)&amp;"' AS TABELA, '"&amp;UPPER(C372)&amp;"' AS TIPOLOGIA_TESTE,'"&amp;D372&amp;"' AS TABELA_LT,'N/A' AS TABELA_SIMUL,'"&amp;F372&amp;"' AS CAMPO, "&amp;"'${ref_date}' AS REF_DATE, CAST(MIN("&amp;F372&amp;") AS STRING) AS VALOR_MIN, CAST(MAX("&amp;F372&amp;") AS STRING) AS VALOR_MAX,'"&amp;MAX('ID1&amp;5'!K:K)+1&amp;"' AS ID_EXEC, CURRENT_TIMESTAMP() AS TIME_EXEC FROM "&amp;MID(I372,1,LEN(I372)-2)&amp;" AND CAST("&amp;F372&amp;"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TABELA_SIMUL,'LND_AR' AS CAMPO, '${ref_date}' AS REF_DATE, COUNT(*) AS NUM_REG, SUM(IF(COALESCE(CAST(X.LND_AR AS STRING),'')&lt;&gt;COALESCE(CAST(Y.LND_AR_SIMUL AS STRING),'') OR (X.LND_AR IS NULL AND Y.LND_AR_SIMUL IS NOT NULL ) OR (X.LND_AR IS NOT NULL AND Y.LND_AR_SIMUL IS NULL),1,0)) AS NUM_REG_DIF,'1' AS ID_EXEC, CURRENT_TIMESTAMP() AS TIME_EXEC FROM (SELECT prtctn_id, LND_AR FROM CD_LOAN_TAPES_BCE.LT004_PROTECTION WHERE ref_date='${ref_date}' AND nome_perimetro='Individual Corporativo' AND segmento='ESTR' AND ambito='PM' AND entidade='00100')X INNER JOIN (SELECT prtctn_id AS prtctn_id_SIMUL, LND_AR AS LND_AR_SIMUL FROM BU_LOANTAPE_WORK.LT004_PROTECTION WHERE ref_date='${ref_date}' AND nome_perimetro='Individual Corporativo' AND segmento='ESTR' AND ambito='PM' AND entidade='00100')Y ON X.PRTCTN_ID=Y.PRTCTN_ID_SIMUL</v>
      </c>
      <c r="M372" s="36" t="str">
        <f t="shared" si="7"/>
        <v>UNION ALL SELECT 'PROTECTION' AS TABELA, 'COERÊNCIA' AS TIPOLOGIA_TESTE,'CD_LOAN_TAPES_BCE.LT004_PROTECTION' AS TABELA_LT,'BU_LOANTAPE_WORK.LT004_PROTECTION' AS TABELA_SIMUL,'LND_AR' AS CAMPO, '${ref_date}' AS REF_DATE, COUNT(*) AS NUM_REG, SUM(IF(COALESCE(CAST(X.LND_AR AS STRING),'')&lt;&gt;COALESCE(CAST(Y.LND_AR_SIMUL AS STRING),'') OR (X.LND_AR IS NULL AND Y.LND_AR_SIMUL IS NOT NULL ) OR (X.LND_AR IS NOT NULL AND Y.LND_AR_SIMUL IS NULL),1,0)) AS NUM_REG_DIF,'1' AS ID_EXEC, CURRENT_TIMESTAMP() AS TIME_EXEC FROM (SELECT prtctn_id, LND_AR FROM CD_LOAN_TAPES_BCE.LT004_PROTECTION WHERE ref_date='${ref_date}' AND nome_perimetro='Individual Corporativo' AND segmento='ESTR' AND ambito='PM' AND entidade='00100')X INNER JOIN (SELECT prtctn_id AS prtctn_id_SIMUL, LND_AR AS LND_AR_SIMUL FROM BU_LOANTAPE_WORK.LT004_PROTECTION WHERE ref_date='${ref_date}' AND nome_perimetro='Individual Corporativo' AND segmento='ESTR' AND ambito='PM' AND entidade='00100')Y ON X.PRTCTN_ID=Y.PRTCTN_ID_SIMUL</v>
      </c>
      <c r="N372" s="38" t="s">
        <v>46</v>
      </c>
    </row>
    <row r="373" spans="2:14" hidden="1">
      <c r="B373" s="34" t="s">
        <v>128</v>
      </c>
      <c r="C373" s="34" t="s">
        <v>5</v>
      </c>
      <c r="D373" s="34" t="str">
        <f>+UPPER('0. Instruções'!$D$35&amp;"."&amp;VLOOKUP(B373,'0. Instruções'!$C$27:$D$32,2,FALSE))</f>
        <v>CD_LOAN_TAPES_BCE.LT004_PROTECTION</v>
      </c>
      <c r="E373" s="34" t="str">
        <f>+UPPER('0. Instruções'!$D$36&amp;"."&amp;VLOOKUP(B373,'0. Instruções'!$C$27:$E$32,3,FALSE))</f>
        <v>BU_LOANTAPE_WORK.LT004_PROTECTION</v>
      </c>
      <c r="F373" s="92" t="s">
        <v>640</v>
      </c>
      <c r="G373" s="34"/>
      <c r="H373" s="34" t="s">
        <v>649</v>
      </c>
      <c r="I373" s="34" t="str">
        <f>"(SELECT "&amp;VLOOKUP(B373,'0. Instruções'!$C$27:$G$32,4,FALSE)&amp;", "&amp;F373&amp;" FROM "&amp;D373&amp;" WHERE "&amp;'0. Instruções'!$D$42&amp;")X"</f>
        <v>(SELECT prtctn_id, LN_PSTN FROM CD_LOAN_TAPES_BCE.LT004_PROTECTION WHERE ref_date='${ref_date}' AND nome_perimetro='Individual Corporativo' AND segmento='ESTR' AND ambito='PM' AND entidade='00100')X</v>
      </c>
      <c r="J373" s="34" t="str">
        <f>"(SELECT "&amp;VLOOKUP(B373,'0. Instruções'!$C$27:$G$32,4,FALSE)&amp;" AS "&amp;VLOOKUP(B373,'0. Instruções'!$C$27:$G$32,4,FALSE)&amp;"_SIMUL, "&amp;F373&amp;" AS "&amp;F373&amp;"_SIMUL FROM "&amp;E373&amp;" WHERE "&amp;'0. Instruções'!$D$43&amp;")Y"</f>
        <v>(SELECT prtctn_id AS prtctn_id_SIMUL, LN_PSTN AS LN_PSTN_SIMUL FROM BU_LOANTAPE_WORK.LT004_PROTECTION WHERE ref_date='${ref_date}' AND nome_perimetro='Individual Corporativo' AND segmento='ESTR' AND ambito='PM' AND entidade='00100')Y</v>
      </c>
      <c r="K373" s="35" t="str">
        <f>+UPPER("ON X."&amp;VLOOKUP(B373,'0. Instruções'!$C$27:$G$32,4,FALSE)&amp;"=Y."&amp;VLOOKUP(B373,'0. Instruções'!$C$27:$G$32,4,FALSE)&amp;"_SIMUL")</f>
        <v>ON X.PRTCTN_ID=Y.PRTCTN_ID_SIMUL</v>
      </c>
      <c r="L373" s="35" t="str">
        <f>+IF(C373="Coerência", +IF(LEFT(G373,5)="FLOAT","SELECT '"&amp;UPPER(B373)&amp;"' AS TABELA, '"&amp;UPPER(C373)&amp;"' AS TIPOLOGIA_TESTE,'"&amp;D373&amp;"' AS TABELA_LT,'"&amp;E373&amp;"' AS TABELA_SIMUL,'"&amp;F373&amp;"' AS CAMPO, "&amp;"'${ref_date}' AS REF_DATE, COUNT(*) AS NUM_REG, SUM(IF((ABS(COALESCE(CAST(X."&amp;F373&amp;" AS DECIMAL(18,6)),0)-COALESCE(CAST(Y."&amp;F373&amp;"_SIMUL AS DECIMAL(18,6)),0))&gt;0.000001) OR (X."&amp;F373&amp;" IS NULL AND Y."&amp;F373&amp;"_SIMUL IS NOT NULL ) OR (X."&amp;F373&amp;" IS NOT NULL AND Y."&amp;F373&amp;"_SIMUL IS NULL),1,0)) AS NUM_REG_DIF,'"&amp;MAX('ID1&amp;5'!K:K)+1&amp;"' AS ID_EXEC, CURRENT_TIMESTAMP() AS TIME_EXEC FROM "&amp;I373&amp;" INNER JOIN "&amp;J373&amp;" "&amp;K373,"SELECT '"&amp;UPPER(B373)&amp;"' AS TABELA, '"&amp;UPPER(C373)&amp;"' AS TIPOLOGIA_TESTE,'"&amp;D373&amp;"' AS TABELA_LT,'"&amp;E373&amp;"' AS TABELA_SIMUL,'"&amp;F373&amp;"' AS CAMPO, "&amp;"'${ref_date}' AS REF_DATE, COUNT(*) AS NUM_REG, SUM(IF(COALESCE(CAST(X."&amp;F373&amp;" AS STRING),'')&lt;&gt;COALESCE(CAST(Y."&amp;F373&amp;"_SIMUL AS STRING),'') OR (X."&amp;F373&amp;" IS NULL AND Y."&amp;F373&amp;"_SIMUL IS NOT NULL ) OR (X."&amp;F373&amp;" IS NOT NULL AND Y."&amp;F373&amp;"_SIMUL IS NULL),1,0)) AS NUM_REG_DIF,'"&amp;MAX('ID1&amp;5'!L:L)+1&amp;"' AS ID_EXEC, CURRENT_TIMESTAMP() AS TIME_EXEC FROM "&amp;I373&amp;" INNER JOIN "&amp;J373&amp;" "&amp;K373),
IF(C373="Validade",+IF(G373="Code List","SELECT '"&amp;UPPER(B373)&amp;"' AS TABELA, '"&amp;UPPER(C373)&amp;"' AS TIPOLOGIA_TESTE,'"&amp;D373&amp;"' AS TABELA_LT,'N/A' AS TABELA_SIMUL,'"&amp;F373&amp;"' AS CAMPO, "&amp;"'${ref_date}' AS REF_DATE, COUNT(*) AS NUM_REG, SUM(IF(TRIM(CAST(X."&amp;F373&amp;" AS STRING))='' OR TRIM(CAST(X."&amp;F373&amp;" AS STRING)) IS NULL OR CAST(X."&amp;F373&amp;" AS STRING) NOT "&amp;H373&amp;",1,0)) AS NUM_REG_DIF,'"&amp;MAX('ID1&amp;5'!K:K)+1&amp;"' AS ID_EXEC, CURRENT_TIMESTAMP() AS TIME_EXEC FROM "&amp;I373,"SELECT '"&amp;UPPER(B373)&amp;"' AS TABELA, '"&amp;UPPER(C373)&amp;"' AS TIPOLOGIA_TESTE,'"&amp;D373&amp;"' AS TABELA_LT,'N/A' AS TABELA_SIMUL,'"&amp;F373&amp;"' AS CAMPO, "&amp;"'${ref_date}' AS REF_DATE, COUNT(*) AS NUM_REG, SUM(IF(TRIM(CAST(X."&amp;F373&amp;" AS STRING))='' OR TRIM(CAST(X."&amp;F373&amp;" AS STRING)) IS NULL,1,0)) AS NUM_REG_DIF,'"&amp;MAX('ID1&amp;5'!K:K)+1&amp;"' AS ID_EXEC, CURRENT_TIMESTAMP() AS TIME_EXEC FROM "&amp;I373),
IF(C373="Caracteres Especiais",+"SELECT '"&amp;UPPER(B373)&amp;"' AS TABELA, '"&amp;UPPER(C373)&amp;"' AS TIPOLOGIA_TESTE,'"&amp;D373&amp;"' AS TABELA_LT,'N/A' AS TABELA_SIMUL,'"&amp;F373&amp;"' AS CAMPO, "&amp;"'${ref_date}' AS REF_DATE, COUNT(*) AS NUM_REG, SUM(IF(REGEXP_REPLACE(TRIM(CAST(X."&amp;F373&amp;" AS STRING)),'[^a-zA-Z0-9_\\s]','') &lt;&gt;TRIM(CAST(X."&amp;F373&amp;" AS STRING)),1,0)) AS NUM_REG_DIF,'"&amp;MAX('ID1&amp;5'!K:K)+1&amp;"' AS ID_EXEC, CURRENT_TIMESTAMP() AS TIME_EXEC FROM "&amp;I373,
IF(C373="Missings",+"SELECT '"&amp;UPPER(B373)&amp;"' AS TABELA, '"&amp;UPPER(C373)&amp;"' AS TIPOLOGIA_TESTE,'"&amp;D373&amp;"' AS TABELA_LT,'N/A' AS TABELA_SIMUL,'"&amp;F373&amp;"' AS CAMPO, "&amp;"'${ref_date}' AS REF_DATE, COUNT(*) AS NUM_REG, SUM(IF(TRIM(CAST(X."&amp;F373&amp;" AS STRING)) IN ('0000-00-00','0001-01-01','9999-12-31','MISS','00000','99999999999','99999999999.00','99999999999.000000'),1,0)) AS NUM_REG_DIF,'"&amp;MAX('ID1&amp;5'!K:K)+1&amp;"' AS ID_EXEC, CURRENT_TIMESTAMP() AS TIME_EXEC FROM "&amp;I373,
IF(C373="Not applicable",+"SELECT '"&amp;UPPER(B373)&amp;"' AS TABELA, '"&amp;UPPER(C373)&amp;"' AS TIPOLOGIA_TESTE,'"&amp;D373&amp;"' AS TABELA_LT,'N/A' AS TABELA_SIMUL,'"&amp;F373&amp;"' AS CAMPO, "&amp;"'${ref_date}' AS REF_DATE, COUNT(*) AS NUM_REG, SUM(IF(TRIM(CAST(X."&amp;F373&amp;" AS STRING)) IN ('N/A','11111111111','11111111111.00','11111111111.000000','1111-11-11'),1,0)) AS NUM_REG_DIF,'"&amp;MAX('ID1&amp;5'!K:K)+1&amp;"' AS ID_EXEC, CURRENT_TIMESTAMP() AS TIME_EXEC FROM "&amp;I373,
IF(C373="Valores extremos",+"SELECT '"&amp;UPPER(B373)&amp;"' AS TABELA, '"&amp;UPPER(C373)&amp;"' AS TIPOLOGIA_TESTE,'"&amp;D373&amp;"' AS TABELA_LT,'N/A' AS TABELA_SIMUL,'"&amp;F373&amp;"' AS CAMPO, "&amp;"'${ref_date}' AS REF_DATE, CAST(MIN("&amp;F373&amp;") AS STRING) AS VALOR_MIN, CAST(MAX("&amp;F373&amp;") AS STRING) AS VALOR_MAX,'"&amp;MAX('ID1&amp;5'!K:K)+1&amp;"' AS ID_EXEC, CURRENT_TIMESTAMP() AS TIME_EXEC FROM "&amp;MID(I373,1,LEN(I373)-2)&amp;" AND CAST("&amp;F373&amp;"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TABELA_SIMUL,'LN_PSTN' AS CAMPO, '${ref_date}' AS REF_DATE, COUNT(*) AS NUM_REG, SUM(IF(COALESCE(CAST(X.LN_PSTN AS STRING),'')&lt;&gt;COALESCE(CAST(Y.LN_PSTN_SIMUL AS STRING),'') OR (X.LN_PSTN IS NULL AND Y.LN_PSTN_SIMUL IS NOT NULL ) OR (X.LN_PSTN IS NOT NULL AND Y.LN_PSTN_SIMUL IS NULL),1,0)) AS NUM_REG_DIF,'1' AS ID_EXEC, CURRENT_TIMESTAMP() AS TIME_EXEC FROM (SELECT prtctn_id, LN_PSTN FROM CD_LOAN_TAPES_BCE.LT004_PROTECTION WHERE ref_date='${ref_date}' AND nome_perimetro='Individual Corporativo' AND segmento='ESTR' AND ambito='PM' AND entidade='00100')X INNER JOIN (SELECT prtctn_id AS prtctn_id_SIMUL, LN_PSTN AS LN_PSTN_SIMUL FROM BU_LOANTAPE_WORK.LT004_PROTECTION WHERE ref_date='${ref_date}' AND nome_perimetro='Individual Corporativo' AND segmento='ESTR' AND ambito='PM' AND entidade='00100')Y ON X.PRTCTN_ID=Y.PRTCTN_ID_SIMUL</v>
      </c>
      <c r="M373" s="36" t="str">
        <f t="shared" si="7"/>
        <v>UNION ALL SELECT 'PROTECTION' AS TABELA, 'COERÊNCIA' AS TIPOLOGIA_TESTE,'CD_LOAN_TAPES_BCE.LT004_PROTECTION' AS TABELA_LT,'BU_LOANTAPE_WORK.LT004_PROTECTION' AS TABELA_SIMUL,'LN_PSTN' AS CAMPO, '${ref_date}' AS REF_DATE, COUNT(*) AS NUM_REG, SUM(IF(COALESCE(CAST(X.LN_PSTN AS STRING),'')&lt;&gt;COALESCE(CAST(Y.LN_PSTN_SIMUL AS STRING),'') OR (X.LN_PSTN IS NULL AND Y.LN_PSTN_SIMUL IS NOT NULL ) OR (X.LN_PSTN IS NOT NULL AND Y.LN_PSTN_SIMUL IS NULL),1,0)) AS NUM_REG_DIF,'1' AS ID_EXEC, CURRENT_TIMESTAMP() AS TIME_EXEC FROM (SELECT prtctn_id, LN_PSTN FROM CD_LOAN_TAPES_BCE.LT004_PROTECTION WHERE ref_date='${ref_date}' AND nome_perimetro='Individual Corporativo' AND segmento='ESTR' AND ambito='PM' AND entidade='00100')X INNER JOIN (SELECT prtctn_id AS prtctn_id_SIMUL, LN_PSTN AS LN_PSTN_SIMUL FROM BU_LOANTAPE_WORK.LT004_PROTECTION WHERE ref_date='${ref_date}' AND nome_perimetro='Individual Corporativo' AND segmento='ESTR' AND ambito='PM' AND entidade='00100')Y ON X.PRTCTN_ID=Y.PRTCTN_ID_SIMUL</v>
      </c>
      <c r="N373" s="38" t="s">
        <v>46</v>
      </c>
    </row>
    <row r="374" spans="2:14" hidden="1">
      <c r="B374" s="34" t="s">
        <v>128</v>
      </c>
      <c r="C374" s="34" t="s">
        <v>5</v>
      </c>
      <c r="D374" s="34" t="str">
        <f>+UPPER('0. Instruções'!$D$35&amp;"."&amp;VLOOKUP(B374,'0. Instruções'!$C$27:$D$32,2,FALSE))</f>
        <v>CD_LOAN_TAPES_BCE.LT004_PROTECTION</v>
      </c>
      <c r="E374" s="34" t="str">
        <f>+UPPER('0. Instruções'!$D$36&amp;"."&amp;VLOOKUP(B374,'0. Instruções'!$C$27:$E$32,3,FALSE))</f>
        <v>BU_LOANTAPE_WORK.LT004_PROTECTION</v>
      </c>
      <c r="F374" s="92" t="s">
        <v>641</v>
      </c>
      <c r="G374" s="34"/>
      <c r="H374" s="34" t="s">
        <v>655</v>
      </c>
      <c r="I374" s="34" t="str">
        <f>"(SELECT "&amp;VLOOKUP(B374,'0. Instruções'!$C$27:$G$32,4,FALSE)&amp;", "&amp;F374&amp;" FROM "&amp;D374&amp;" WHERE "&amp;'0. Instruções'!$D$42&amp;")X"</f>
        <v>(SELECT prtctn_id, RL_ESTT_LNGTD FROM CD_LOAN_TAPES_BCE.LT004_PROTECTION WHERE ref_date='${ref_date}' AND nome_perimetro='Individual Corporativo' AND segmento='ESTR' AND ambito='PM' AND entidade='00100')X</v>
      </c>
      <c r="J374" s="34" t="str">
        <f>"(SELECT "&amp;VLOOKUP(B374,'0. Instruções'!$C$27:$G$32,4,FALSE)&amp;" AS "&amp;VLOOKUP(B374,'0. Instruções'!$C$27:$G$32,4,FALSE)&amp;"_SIMUL, "&amp;F374&amp;" AS "&amp;F374&amp;"_SIMUL FROM "&amp;E374&amp;" WHERE "&amp;'0. Instruções'!$D$43&amp;")Y"</f>
        <v>(SELECT prtctn_id AS prtctn_id_SIMUL, RL_ESTT_LNGTD AS RL_ESTT_LNGTD_SIMUL FROM BU_LOANTAPE_WORK.LT004_PROTECTION WHERE ref_date='${ref_date}' AND nome_perimetro='Individual Corporativo' AND segmento='ESTR' AND ambito='PM' AND entidade='00100')Y</v>
      </c>
      <c r="K374" s="35" t="str">
        <f>+UPPER("ON X."&amp;VLOOKUP(B374,'0. Instruções'!$C$27:$G$32,4,FALSE)&amp;"=Y."&amp;VLOOKUP(B374,'0. Instruções'!$C$27:$G$32,4,FALSE)&amp;"_SIMUL")</f>
        <v>ON X.PRTCTN_ID=Y.PRTCTN_ID_SIMUL</v>
      </c>
      <c r="L374" s="35" t="str">
        <f>+IF(C374="Coerência", +IF(LEFT(G374,5)="FLOAT","SELECT '"&amp;UPPER(B374)&amp;"' AS TABELA, '"&amp;UPPER(C374)&amp;"' AS TIPOLOGIA_TESTE,'"&amp;D374&amp;"' AS TABELA_LT,'"&amp;E374&amp;"' AS TABELA_SIMUL,'"&amp;F374&amp;"' AS CAMPO, "&amp;"'${ref_date}' AS REF_DATE, COUNT(*) AS NUM_REG, SUM(IF((ABS(COALESCE(CAST(X."&amp;F374&amp;" AS DECIMAL(18,6)),0)-COALESCE(CAST(Y."&amp;F374&amp;"_SIMUL AS DECIMAL(18,6)),0))&gt;0.000001) OR (X."&amp;F374&amp;" IS NULL AND Y."&amp;F374&amp;"_SIMUL IS NOT NULL ) OR (X."&amp;F374&amp;" IS NOT NULL AND Y."&amp;F374&amp;"_SIMUL IS NULL),1,0)) AS NUM_REG_DIF,'"&amp;MAX('ID1&amp;5'!K:K)+1&amp;"' AS ID_EXEC, CURRENT_TIMESTAMP() AS TIME_EXEC FROM "&amp;I374&amp;" INNER JOIN "&amp;J374&amp;" "&amp;K374,"SELECT '"&amp;UPPER(B374)&amp;"' AS TABELA, '"&amp;UPPER(C374)&amp;"' AS TIPOLOGIA_TESTE,'"&amp;D374&amp;"' AS TABELA_LT,'"&amp;E374&amp;"' AS TABELA_SIMUL,'"&amp;F374&amp;"' AS CAMPO, "&amp;"'${ref_date}' AS REF_DATE, COUNT(*) AS NUM_REG, SUM(IF(COALESCE(CAST(X."&amp;F374&amp;" AS STRING),'')&lt;&gt;COALESCE(CAST(Y."&amp;F374&amp;"_SIMUL AS STRING),'') OR (X."&amp;F374&amp;" IS NULL AND Y."&amp;F374&amp;"_SIMUL IS NOT NULL ) OR (X."&amp;F374&amp;" IS NOT NULL AND Y."&amp;F374&amp;"_SIMUL IS NULL),1,0)) AS NUM_REG_DIF,'"&amp;MAX('ID1&amp;5'!L:L)+1&amp;"' AS ID_EXEC, CURRENT_TIMESTAMP() AS TIME_EXEC FROM "&amp;I374&amp;" INNER JOIN "&amp;J374&amp;" "&amp;K374),
IF(C374="Validade",+IF(G374="Code List","SELECT '"&amp;UPPER(B374)&amp;"' AS TABELA, '"&amp;UPPER(C374)&amp;"' AS TIPOLOGIA_TESTE,'"&amp;D374&amp;"' AS TABELA_LT,'N/A' AS TABELA_SIMUL,'"&amp;F374&amp;"' AS CAMPO, "&amp;"'${ref_date}' AS REF_DATE, COUNT(*) AS NUM_REG, SUM(IF(TRIM(CAST(X."&amp;F374&amp;" AS STRING))='' OR TRIM(CAST(X."&amp;F374&amp;" AS STRING)) IS NULL OR CAST(X."&amp;F374&amp;" AS STRING) NOT "&amp;H374&amp;",1,0)) AS NUM_REG_DIF,'"&amp;MAX('ID1&amp;5'!K:K)+1&amp;"' AS ID_EXEC, CURRENT_TIMESTAMP() AS TIME_EXEC FROM "&amp;I374,"SELECT '"&amp;UPPER(B374)&amp;"' AS TABELA, '"&amp;UPPER(C374)&amp;"' AS TIPOLOGIA_TESTE,'"&amp;D374&amp;"' AS TABELA_LT,'N/A' AS TABELA_SIMUL,'"&amp;F374&amp;"' AS CAMPO, "&amp;"'${ref_date}' AS REF_DATE, COUNT(*) AS NUM_REG, SUM(IF(TRIM(CAST(X."&amp;F374&amp;" AS STRING))='' OR TRIM(CAST(X."&amp;F374&amp;" AS STRING)) IS NULL,1,0)) AS NUM_REG_DIF,'"&amp;MAX('ID1&amp;5'!K:K)+1&amp;"' AS ID_EXEC, CURRENT_TIMESTAMP() AS TIME_EXEC FROM "&amp;I374),
IF(C374="Caracteres Especiais",+"SELECT '"&amp;UPPER(B374)&amp;"' AS TABELA, '"&amp;UPPER(C374)&amp;"' AS TIPOLOGIA_TESTE,'"&amp;D374&amp;"' AS TABELA_LT,'N/A' AS TABELA_SIMUL,'"&amp;F374&amp;"' AS CAMPO, "&amp;"'${ref_date}' AS REF_DATE, COUNT(*) AS NUM_REG, SUM(IF(REGEXP_REPLACE(TRIM(CAST(X."&amp;F374&amp;" AS STRING)),'[^a-zA-Z0-9_\\s]','') &lt;&gt;TRIM(CAST(X."&amp;F374&amp;" AS STRING)),1,0)) AS NUM_REG_DIF,'"&amp;MAX('ID1&amp;5'!K:K)+1&amp;"' AS ID_EXEC, CURRENT_TIMESTAMP() AS TIME_EXEC FROM "&amp;I374,
IF(C374="Missings",+"SELECT '"&amp;UPPER(B374)&amp;"' AS TABELA, '"&amp;UPPER(C374)&amp;"' AS TIPOLOGIA_TESTE,'"&amp;D374&amp;"' AS TABELA_LT,'N/A' AS TABELA_SIMUL,'"&amp;F374&amp;"' AS CAMPO, "&amp;"'${ref_date}' AS REF_DATE, COUNT(*) AS NUM_REG, SUM(IF(TRIM(CAST(X."&amp;F374&amp;" AS STRING)) IN ('0000-00-00','0001-01-01','9999-12-31','MISS','00000','99999999999','99999999999.00','99999999999.000000'),1,0)) AS NUM_REG_DIF,'"&amp;MAX('ID1&amp;5'!K:K)+1&amp;"' AS ID_EXEC, CURRENT_TIMESTAMP() AS TIME_EXEC FROM "&amp;I374,
IF(C374="Not applicable",+"SELECT '"&amp;UPPER(B374)&amp;"' AS TABELA, '"&amp;UPPER(C374)&amp;"' AS TIPOLOGIA_TESTE,'"&amp;D374&amp;"' AS TABELA_LT,'N/A' AS TABELA_SIMUL,'"&amp;F374&amp;"' AS CAMPO, "&amp;"'${ref_date}' AS REF_DATE, COUNT(*) AS NUM_REG, SUM(IF(TRIM(CAST(X."&amp;F374&amp;" AS STRING)) IN ('N/A','11111111111','11111111111.00','11111111111.000000','1111-11-11'),1,0)) AS NUM_REG_DIF,'"&amp;MAX('ID1&amp;5'!K:K)+1&amp;"' AS ID_EXEC, CURRENT_TIMESTAMP() AS TIME_EXEC FROM "&amp;I374,
IF(C374="Valores extremos",+"SELECT '"&amp;UPPER(B374)&amp;"' AS TABELA, '"&amp;UPPER(C374)&amp;"' AS TIPOLOGIA_TESTE,'"&amp;D374&amp;"' AS TABELA_LT,'N/A' AS TABELA_SIMUL,'"&amp;F374&amp;"' AS CAMPO, "&amp;"'${ref_date}' AS REF_DATE, CAST(MIN("&amp;F374&amp;") AS STRING) AS VALOR_MIN, CAST(MAX("&amp;F374&amp;") AS STRING) AS VALOR_MAX,'"&amp;MAX('ID1&amp;5'!K:K)+1&amp;"' AS ID_EXEC, CURRENT_TIMESTAMP() AS TIME_EXEC FROM "&amp;MID(I374,1,LEN(I374)-2)&amp;" AND CAST("&amp;F374&amp;"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TABELA_SIMUL,'RL_ESTT_LNGTD' AS CAMPO, '${ref_date}' AS REF_DATE, COUNT(*) AS NUM_REG, SUM(IF(COALESCE(CAST(X.RL_ESTT_LNGTD AS STRING),'')&lt;&gt;COALESCE(CAST(Y.RL_ESTT_LNGTD_SIMUL AS STRING),'') OR (X.RL_ESTT_LNGTD IS NULL AND Y.RL_ESTT_LNGTD_SIMUL IS NOT NULL ) OR (X.RL_ESTT_LNGTD IS NOT NULL AND Y.RL_ESTT_LNGTD_SIMUL IS NULL),1,0)) AS NUM_REG_DIF,'1' AS ID_EXEC, CURRENT_TIMESTAMP() AS TIME_EXEC FROM (SELECT prtctn_id, RL_ESTT_LNGTD FROM CD_LOAN_TAPES_BCE.LT004_PROTECTION WHERE ref_date='${ref_date}' AND nome_perimetro='Individual Corporativo' AND segmento='ESTR' AND ambito='PM' AND entidade='00100')X INNER JOIN (SELECT prtctn_id AS prtctn_id_SIMUL, RL_ESTT_LNGTD AS RL_ESTT_LNGTD_SIMUL FROM BU_LOANTAPE_WORK.LT004_PROTECTION WHERE ref_date='${ref_date}' AND nome_perimetro='Individual Corporativo' AND segmento='ESTR' AND ambito='PM' AND entidade='00100')Y ON X.PRTCTN_ID=Y.PRTCTN_ID_SIMUL</v>
      </c>
      <c r="M374" s="36" t="str">
        <f t="shared" si="7"/>
        <v>UNION ALL SELECT 'PROTECTION' AS TABELA, 'COERÊNCIA' AS TIPOLOGIA_TESTE,'CD_LOAN_TAPES_BCE.LT004_PROTECTION' AS TABELA_LT,'BU_LOANTAPE_WORK.LT004_PROTECTION' AS TABELA_SIMUL,'RL_ESTT_LNGTD' AS CAMPO, '${ref_date}' AS REF_DATE, COUNT(*) AS NUM_REG, SUM(IF(COALESCE(CAST(X.RL_ESTT_LNGTD AS STRING),'')&lt;&gt;COALESCE(CAST(Y.RL_ESTT_LNGTD_SIMUL AS STRING),'') OR (X.RL_ESTT_LNGTD IS NULL AND Y.RL_ESTT_LNGTD_SIMUL IS NOT NULL ) OR (X.RL_ESTT_LNGTD IS NOT NULL AND Y.RL_ESTT_LNGTD_SIMUL IS NULL),1,0)) AS NUM_REG_DIF,'1' AS ID_EXEC, CURRENT_TIMESTAMP() AS TIME_EXEC FROM (SELECT prtctn_id, RL_ESTT_LNGTD FROM CD_LOAN_TAPES_BCE.LT004_PROTECTION WHERE ref_date='${ref_date}' AND nome_perimetro='Individual Corporativo' AND segmento='ESTR' AND ambito='PM' AND entidade='00100')X INNER JOIN (SELECT prtctn_id AS prtctn_id_SIMUL, RL_ESTT_LNGTD AS RL_ESTT_LNGTD_SIMUL FROM BU_LOANTAPE_WORK.LT004_PROTECTION WHERE ref_date='${ref_date}' AND nome_perimetro='Individual Corporativo' AND segmento='ESTR' AND ambito='PM' AND entidade='00100')Y ON X.PRTCTN_ID=Y.PRTCTN_ID_SIMUL</v>
      </c>
      <c r="N374" s="38" t="s">
        <v>46</v>
      </c>
    </row>
    <row r="375" spans="2:14" hidden="1">
      <c r="B375" s="34" t="s">
        <v>128</v>
      </c>
      <c r="C375" s="34" t="s">
        <v>5</v>
      </c>
      <c r="D375" s="34" t="str">
        <f>+UPPER('0. Instruções'!$D$35&amp;"."&amp;VLOOKUP(B375,'0. Instruções'!$C$27:$D$32,2,FALSE))</f>
        <v>CD_LOAN_TAPES_BCE.LT004_PROTECTION</v>
      </c>
      <c r="E375" s="34" t="str">
        <f>+UPPER('0. Instruções'!$D$36&amp;"."&amp;VLOOKUP(B375,'0. Instruções'!$C$27:$E$32,3,FALSE))</f>
        <v>BU_LOANTAPE_WORK.LT004_PROTECTION</v>
      </c>
      <c r="F375" s="92" t="s">
        <v>642</v>
      </c>
      <c r="G375" s="34"/>
      <c r="H375" s="34" t="s">
        <v>655</v>
      </c>
      <c r="I375" s="34" t="str">
        <f>"(SELECT "&amp;VLOOKUP(B375,'0. Instruções'!$C$27:$G$32,4,FALSE)&amp;", "&amp;F375&amp;" FROM "&amp;D375&amp;" WHERE "&amp;'0. Instruções'!$D$42&amp;")X"</f>
        <v>(SELECT prtctn_id, RL_ESTT_LTTD FROM CD_LOAN_TAPES_BCE.LT004_PROTECTION WHERE ref_date='${ref_date}' AND nome_perimetro='Individual Corporativo' AND segmento='ESTR' AND ambito='PM' AND entidade='00100')X</v>
      </c>
      <c r="J375" s="34" t="str">
        <f>"(SELECT "&amp;VLOOKUP(B375,'0. Instruções'!$C$27:$G$32,4,FALSE)&amp;" AS "&amp;VLOOKUP(B375,'0. Instruções'!$C$27:$G$32,4,FALSE)&amp;"_SIMUL, "&amp;F375&amp;" AS "&amp;F375&amp;"_SIMUL FROM "&amp;E375&amp;" WHERE "&amp;'0. Instruções'!$D$43&amp;")Y"</f>
        <v>(SELECT prtctn_id AS prtctn_id_SIMUL, RL_ESTT_LTTD AS RL_ESTT_LTTD_SIMUL FROM BU_LOANTAPE_WORK.LT004_PROTECTION WHERE ref_date='${ref_date}' AND nome_perimetro='Individual Corporativo' AND segmento='ESTR' AND ambito='PM' AND entidade='00100')Y</v>
      </c>
      <c r="K375" s="35" t="str">
        <f>+UPPER("ON X."&amp;VLOOKUP(B375,'0. Instruções'!$C$27:$G$32,4,FALSE)&amp;"=Y."&amp;VLOOKUP(B375,'0. Instruções'!$C$27:$G$32,4,FALSE)&amp;"_SIMUL")</f>
        <v>ON X.PRTCTN_ID=Y.PRTCTN_ID_SIMUL</v>
      </c>
      <c r="L375" s="35" t="str">
        <f>+IF(C375="Coerência", +IF(LEFT(G375,5)="FLOAT","SELECT '"&amp;UPPER(B375)&amp;"' AS TABELA, '"&amp;UPPER(C375)&amp;"' AS TIPOLOGIA_TESTE,'"&amp;D375&amp;"' AS TABELA_LT,'"&amp;E375&amp;"' AS TABELA_SIMUL,'"&amp;F375&amp;"' AS CAMPO, "&amp;"'${ref_date}' AS REF_DATE, COUNT(*) AS NUM_REG, SUM(IF((ABS(COALESCE(CAST(X."&amp;F375&amp;" AS DECIMAL(18,6)),0)-COALESCE(CAST(Y."&amp;F375&amp;"_SIMUL AS DECIMAL(18,6)),0))&gt;0.000001) OR (X."&amp;F375&amp;" IS NULL AND Y."&amp;F375&amp;"_SIMUL IS NOT NULL ) OR (X."&amp;F375&amp;" IS NOT NULL AND Y."&amp;F375&amp;"_SIMUL IS NULL),1,0)) AS NUM_REG_DIF,'"&amp;MAX('ID1&amp;5'!K:K)+1&amp;"' AS ID_EXEC, CURRENT_TIMESTAMP() AS TIME_EXEC FROM "&amp;I375&amp;" INNER JOIN "&amp;J375&amp;" "&amp;K375,"SELECT '"&amp;UPPER(B375)&amp;"' AS TABELA, '"&amp;UPPER(C375)&amp;"' AS TIPOLOGIA_TESTE,'"&amp;D375&amp;"' AS TABELA_LT,'"&amp;E375&amp;"' AS TABELA_SIMUL,'"&amp;F375&amp;"' AS CAMPO, "&amp;"'${ref_date}' AS REF_DATE, COUNT(*) AS NUM_REG, SUM(IF(COALESCE(CAST(X."&amp;F375&amp;" AS STRING),'')&lt;&gt;COALESCE(CAST(Y."&amp;F375&amp;"_SIMUL AS STRING),'') OR (X."&amp;F375&amp;" IS NULL AND Y."&amp;F375&amp;"_SIMUL IS NOT NULL ) OR (X."&amp;F375&amp;" IS NOT NULL AND Y."&amp;F375&amp;"_SIMUL IS NULL),1,0)) AS NUM_REG_DIF,'"&amp;MAX('ID1&amp;5'!L:L)+1&amp;"' AS ID_EXEC, CURRENT_TIMESTAMP() AS TIME_EXEC FROM "&amp;I375&amp;" INNER JOIN "&amp;J375&amp;" "&amp;K375),
IF(C375="Validade",+IF(G375="Code List","SELECT '"&amp;UPPER(B375)&amp;"' AS TABELA, '"&amp;UPPER(C375)&amp;"' AS TIPOLOGIA_TESTE,'"&amp;D375&amp;"' AS TABELA_LT,'N/A' AS TABELA_SIMUL,'"&amp;F375&amp;"' AS CAMPO, "&amp;"'${ref_date}' AS REF_DATE, COUNT(*) AS NUM_REG, SUM(IF(TRIM(CAST(X."&amp;F375&amp;" AS STRING))='' OR TRIM(CAST(X."&amp;F375&amp;" AS STRING)) IS NULL OR CAST(X."&amp;F375&amp;" AS STRING) NOT "&amp;H375&amp;",1,0)) AS NUM_REG_DIF,'"&amp;MAX('ID1&amp;5'!K:K)+1&amp;"' AS ID_EXEC, CURRENT_TIMESTAMP() AS TIME_EXEC FROM "&amp;I375,"SELECT '"&amp;UPPER(B375)&amp;"' AS TABELA, '"&amp;UPPER(C375)&amp;"' AS TIPOLOGIA_TESTE,'"&amp;D375&amp;"' AS TABELA_LT,'N/A' AS TABELA_SIMUL,'"&amp;F375&amp;"' AS CAMPO, "&amp;"'${ref_date}' AS REF_DATE, COUNT(*) AS NUM_REG, SUM(IF(TRIM(CAST(X."&amp;F375&amp;" AS STRING))='' OR TRIM(CAST(X."&amp;F375&amp;" AS STRING)) IS NULL,1,0)) AS NUM_REG_DIF,'"&amp;MAX('ID1&amp;5'!K:K)+1&amp;"' AS ID_EXEC, CURRENT_TIMESTAMP() AS TIME_EXEC FROM "&amp;I375),
IF(C375="Caracteres Especiais",+"SELECT '"&amp;UPPER(B375)&amp;"' AS TABELA, '"&amp;UPPER(C375)&amp;"' AS TIPOLOGIA_TESTE,'"&amp;D375&amp;"' AS TABELA_LT,'N/A' AS TABELA_SIMUL,'"&amp;F375&amp;"' AS CAMPO, "&amp;"'${ref_date}' AS REF_DATE, COUNT(*) AS NUM_REG, SUM(IF(REGEXP_REPLACE(TRIM(CAST(X."&amp;F375&amp;" AS STRING)),'[^a-zA-Z0-9_\\s]','') &lt;&gt;TRIM(CAST(X."&amp;F375&amp;" AS STRING)),1,0)) AS NUM_REG_DIF,'"&amp;MAX('ID1&amp;5'!K:K)+1&amp;"' AS ID_EXEC, CURRENT_TIMESTAMP() AS TIME_EXEC FROM "&amp;I375,
IF(C375="Missings",+"SELECT '"&amp;UPPER(B375)&amp;"' AS TABELA, '"&amp;UPPER(C375)&amp;"' AS TIPOLOGIA_TESTE,'"&amp;D375&amp;"' AS TABELA_LT,'N/A' AS TABELA_SIMUL,'"&amp;F375&amp;"' AS CAMPO, "&amp;"'${ref_date}' AS REF_DATE, COUNT(*) AS NUM_REG, SUM(IF(TRIM(CAST(X."&amp;F375&amp;" AS STRING)) IN ('0000-00-00','0001-01-01','9999-12-31','MISS','00000','99999999999','99999999999.00','99999999999.000000'),1,0)) AS NUM_REG_DIF,'"&amp;MAX('ID1&amp;5'!K:K)+1&amp;"' AS ID_EXEC, CURRENT_TIMESTAMP() AS TIME_EXEC FROM "&amp;I375,
IF(C375="Not applicable",+"SELECT '"&amp;UPPER(B375)&amp;"' AS TABELA, '"&amp;UPPER(C375)&amp;"' AS TIPOLOGIA_TESTE,'"&amp;D375&amp;"' AS TABELA_LT,'N/A' AS TABELA_SIMUL,'"&amp;F375&amp;"' AS CAMPO, "&amp;"'${ref_date}' AS REF_DATE, COUNT(*) AS NUM_REG, SUM(IF(TRIM(CAST(X."&amp;F375&amp;" AS STRING)) IN ('N/A','11111111111','11111111111.00','11111111111.000000','1111-11-11'),1,0)) AS NUM_REG_DIF,'"&amp;MAX('ID1&amp;5'!K:K)+1&amp;"' AS ID_EXEC, CURRENT_TIMESTAMP() AS TIME_EXEC FROM "&amp;I375,
IF(C375="Valores extremos",+"SELECT '"&amp;UPPER(B375)&amp;"' AS TABELA, '"&amp;UPPER(C375)&amp;"' AS TIPOLOGIA_TESTE,'"&amp;D375&amp;"' AS TABELA_LT,'N/A' AS TABELA_SIMUL,'"&amp;F375&amp;"' AS CAMPO, "&amp;"'${ref_date}' AS REF_DATE, CAST(MIN("&amp;F375&amp;") AS STRING) AS VALOR_MIN, CAST(MAX("&amp;F375&amp;") AS STRING) AS VALOR_MAX,'"&amp;MAX('ID1&amp;5'!K:K)+1&amp;"' AS ID_EXEC, CURRENT_TIMESTAMP() AS TIME_EXEC FROM "&amp;MID(I375,1,LEN(I375)-2)&amp;" AND CAST("&amp;F375&amp;" AS STRING) NOT IN ('0000-00-00','0001-01-01','9999-12-31','MISS','00000','99999999999','99999999999.00','99999999999.000000','N/A','11111111111','11111111111.00','11111111111.000000','1111-11-11'))X"))))))</f>
        <v>SELECT 'PROTECTION' AS TABELA, 'COERÊNCIA' AS TIPOLOGIA_TESTE,'CD_LOAN_TAPES_BCE.LT004_PROTECTION' AS TABELA_LT,'BU_LOANTAPE_WORK.LT004_PROTECTION' AS TABELA_SIMUL,'RL_ESTT_LTTD' AS CAMPO, '${ref_date}' AS REF_DATE, COUNT(*) AS NUM_REG, SUM(IF(COALESCE(CAST(X.RL_ESTT_LTTD AS STRING),'')&lt;&gt;COALESCE(CAST(Y.RL_ESTT_LTTD_SIMUL AS STRING),'') OR (X.RL_ESTT_LTTD IS NULL AND Y.RL_ESTT_LTTD_SIMUL IS NOT NULL ) OR (X.RL_ESTT_LTTD IS NOT NULL AND Y.RL_ESTT_LTTD_SIMUL IS NULL),1,0)) AS NUM_REG_DIF,'1' AS ID_EXEC, CURRENT_TIMESTAMP() AS TIME_EXEC FROM (SELECT prtctn_id, RL_ESTT_LTTD FROM CD_LOAN_TAPES_BCE.LT004_PROTECTION WHERE ref_date='${ref_date}' AND nome_perimetro='Individual Corporativo' AND segmento='ESTR' AND ambito='PM' AND entidade='00100')X INNER JOIN (SELECT prtctn_id AS prtctn_id_SIMUL, RL_ESTT_LTTD AS RL_ESTT_LTTD_SIMUL FROM BU_LOANTAPE_WORK.LT004_PROTECTION WHERE ref_date='${ref_date}' AND nome_perimetro='Individual Corporativo' AND segmento='ESTR' AND ambito='PM' AND entidade='00100')Y ON X.PRTCTN_ID=Y.PRTCTN_ID_SIMUL</v>
      </c>
      <c r="M375" s="36" t="str">
        <f t="shared" si="7"/>
        <v>UNION ALL SELECT 'PROTECTION' AS TABELA, 'COERÊNCIA' AS TIPOLOGIA_TESTE,'CD_LOAN_TAPES_BCE.LT004_PROTECTION' AS TABELA_LT,'BU_LOANTAPE_WORK.LT004_PROTECTION' AS TABELA_SIMUL,'RL_ESTT_LTTD' AS CAMPO, '${ref_date}' AS REF_DATE, COUNT(*) AS NUM_REG, SUM(IF(COALESCE(CAST(X.RL_ESTT_LTTD AS STRING),'')&lt;&gt;COALESCE(CAST(Y.RL_ESTT_LTTD_SIMUL AS STRING),'') OR (X.RL_ESTT_LTTD IS NULL AND Y.RL_ESTT_LTTD_SIMUL IS NOT NULL ) OR (X.RL_ESTT_LTTD IS NOT NULL AND Y.RL_ESTT_LTTD_SIMUL IS NULL),1,0)) AS NUM_REG_DIF,'1' AS ID_EXEC, CURRENT_TIMESTAMP() AS TIME_EXEC FROM (SELECT prtctn_id, RL_ESTT_LTTD FROM CD_LOAN_TAPES_BCE.LT004_PROTECTION WHERE ref_date='${ref_date}' AND nome_perimetro='Individual Corporativo' AND segmento='ESTR' AND ambito='PM' AND entidade='00100')X INNER JOIN (SELECT prtctn_id AS prtctn_id_SIMUL, RL_ESTT_LTTD AS RL_ESTT_LTTD_SIMUL FROM BU_LOANTAPE_WORK.LT004_PROTECTION WHERE ref_date='${ref_date}' AND nome_perimetro='Individual Corporativo' AND segmento='ESTR' AND ambito='PM' AND entidade='00100')Y ON X.PRTCTN_ID=Y.PRTCTN_ID_SIMUL</v>
      </c>
      <c r="N375" s="38" t="s">
        <v>46</v>
      </c>
    </row>
    <row r="376" spans="2:14" hidden="1">
      <c r="B376" s="34" t="s">
        <v>323</v>
      </c>
      <c r="C376" s="34" t="s">
        <v>5</v>
      </c>
      <c r="D376" s="34" t="str">
        <f>+UPPER('0. Instruções'!$D$35&amp;"."&amp;VLOOKUP(B376,'0. Instruções'!$C$27:$D$32,2,FALSE))</f>
        <v>CD_LOAN_TAPES_BCE.LT007_INSTR_ACTIVITY</v>
      </c>
      <c r="E376" s="34" t="str">
        <f>+UPPER('0. Instruções'!$D$36&amp;"."&amp;VLOOKUP(B376,'0. Instruções'!$C$27:$E$32,3,FALSE))</f>
        <v>BU_LOANTAPE_WORK.LT007_INSTR_ACTIVITY</v>
      </c>
      <c r="F376" s="34" t="s">
        <v>643</v>
      </c>
      <c r="G376" s="34"/>
      <c r="H376" s="34" t="s">
        <v>91</v>
      </c>
      <c r="I376" s="34" t="str">
        <f>"(SELECT "&amp;VLOOKUP(B376,'0. Instruções'!$C$27:$G$32,4,FALSE)&amp;", "&amp;F376&amp;" FROM "&amp;D376&amp;" WHERE "&amp;'0. Instruções'!$D$42&amp;")X"</f>
        <v>(SELECT instrmnt_id, PRCNTG_ACTVTY FROM CD_LOAN_TAPES_BCE.LT007_INSTR_ACTIVITY WHERE ref_date='${ref_date}' AND nome_perimetro='Individual Corporativo' AND segmento='ESTR' AND ambito='PM' AND entidade='00100')X</v>
      </c>
      <c r="J376" s="34" t="str">
        <f>"(SELECT "&amp;VLOOKUP(B376,'0. Instruções'!$C$27:$G$32,4,FALSE)&amp;" AS "&amp;VLOOKUP(B376,'0. Instruções'!$C$27:$G$32,4,FALSE)&amp;"_SIMUL, "&amp;F376&amp;" AS "&amp;F376&amp;"_SIMUL FROM "&amp;E376&amp;" WHERE "&amp;'0. Instruções'!$D$43&amp;")Y"</f>
        <v>(SELECT instrmnt_id AS instrmnt_id_SIMUL, PRCNTG_ACTVTY AS PRCNTG_ACTVTY_SIMUL FROM BU_LOANTAPE_WORK.LT007_INSTR_ACTIVITY WHERE ref_date='${ref_date}' AND nome_perimetro='Individual Corporativo' AND segmento='ESTR' AND ambito='PM' AND entidade='00100')Y</v>
      </c>
      <c r="K376" s="35" t="str">
        <f>+UPPER("ON X."&amp;VLOOKUP(B376,'0. Instruções'!$C$27:$G$32,4,FALSE)&amp;"=Y."&amp;VLOOKUP(B376,'0. Instruções'!$C$27:$G$32,4,FALSE)&amp;"_SIMUL")</f>
        <v>ON X.INSTRMNT_ID=Y.INSTRMNT_ID_SIMUL</v>
      </c>
      <c r="L376" s="35" t="str">
        <f>+IF(C376="Coerência", +IF(LEFT(G376,5)="FLOAT","SELECT '"&amp;UPPER(B376)&amp;"' AS TABELA, '"&amp;UPPER(C376)&amp;"' AS TIPOLOGIA_TESTE,'"&amp;D376&amp;"' AS TABELA_LT,'"&amp;E376&amp;"' AS TABELA_SIMUL,'"&amp;F376&amp;"' AS CAMPO, "&amp;"'${ref_date}' AS REF_DATE, COUNT(*) AS NUM_REG, SUM(IF((ABS(COALESCE(CAST(X."&amp;F376&amp;" AS DECIMAL(18,6)),0)-COALESCE(CAST(Y."&amp;F376&amp;"_SIMUL AS DECIMAL(18,6)),0))&gt;0.000001) OR (X."&amp;F376&amp;" IS NULL AND Y."&amp;F376&amp;"_SIMUL IS NOT NULL ) OR (X."&amp;F376&amp;" IS NOT NULL AND Y."&amp;F376&amp;"_SIMUL IS NULL),1,0)) AS NUM_REG_DIF,'"&amp;MAX('ID1&amp;5'!K:K)+1&amp;"' AS ID_EXEC, CURRENT_TIMESTAMP() AS TIME_EXEC FROM "&amp;I376&amp;" INNER JOIN "&amp;J376&amp;" "&amp;K376,"SELECT '"&amp;UPPER(B376)&amp;"' AS TABELA, '"&amp;UPPER(C376)&amp;"' AS TIPOLOGIA_TESTE,'"&amp;D376&amp;"' AS TABELA_LT,'"&amp;E376&amp;"' AS TABELA_SIMUL,'"&amp;F376&amp;"' AS CAMPO, "&amp;"'${ref_date}' AS REF_DATE, COUNT(*) AS NUM_REG, SUM(IF(COALESCE(CAST(X."&amp;F376&amp;" AS STRING),'')&lt;&gt;COALESCE(CAST(Y."&amp;F376&amp;"_SIMUL AS STRING),'') OR (X."&amp;F376&amp;" IS NULL AND Y."&amp;F376&amp;"_SIMUL IS NOT NULL ) OR (X."&amp;F376&amp;" IS NOT NULL AND Y."&amp;F376&amp;"_SIMUL IS NULL),1,0)) AS NUM_REG_DIF,'"&amp;MAX('ID1&amp;5'!L:L)+1&amp;"' AS ID_EXEC, CURRENT_TIMESTAMP() AS TIME_EXEC FROM "&amp;I376&amp;" INNER JOIN "&amp;J376&amp;" "&amp;K376),
IF(C376="Validade",+IF(G376="Code List","SELECT '"&amp;UPPER(B376)&amp;"' AS TABELA, '"&amp;UPPER(C376)&amp;"' AS TIPOLOGIA_TESTE,'"&amp;D376&amp;"' AS TABELA_LT,'N/A' AS TABELA_SIMUL,'"&amp;F376&amp;"' AS CAMPO, "&amp;"'${ref_date}' AS REF_DATE, COUNT(*) AS NUM_REG, SUM(IF(TRIM(CAST(X."&amp;F376&amp;" AS STRING))='' OR TRIM(CAST(X."&amp;F376&amp;" AS STRING)) IS NULL OR CAST(X."&amp;F376&amp;" AS STRING) NOT "&amp;H376&amp;",1,0)) AS NUM_REG_DIF,'"&amp;MAX('ID1&amp;5'!K:K)+1&amp;"' AS ID_EXEC, CURRENT_TIMESTAMP() AS TIME_EXEC FROM "&amp;I376,"SELECT '"&amp;UPPER(B376)&amp;"' AS TABELA, '"&amp;UPPER(C376)&amp;"' AS TIPOLOGIA_TESTE,'"&amp;D376&amp;"' AS TABELA_LT,'N/A' AS TABELA_SIMUL,'"&amp;F376&amp;"' AS CAMPO, "&amp;"'${ref_date}' AS REF_DATE, COUNT(*) AS NUM_REG, SUM(IF(TRIM(CAST(X."&amp;F376&amp;" AS STRING))='' OR TRIM(CAST(X."&amp;F376&amp;" AS STRING)) IS NULL,1,0)) AS NUM_REG_DIF,'"&amp;MAX('ID1&amp;5'!K:K)+1&amp;"' AS ID_EXEC, CURRENT_TIMESTAMP() AS TIME_EXEC FROM "&amp;I376),
IF(C376="Caracteres Especiais",+"SELECT '"&amp;UPPER(B376)&amp;"' AS TABELA, '"&amp;UPPER(C376)&amp;"' AS TIPOLOGIA_TESTE,'"&amp;D376&amp;"' AS TABELA_LT,'N/A' AS TABELA_SIMUL,'"&amp;F376&amp;"' AS CAMPO, "&amp;"'${ref_date}' AS REF_DATE, COUNT(*) AS NUM_REG, SUM(IF(REGEXP_REPLACE(TRIM(CAST(X."&amp;F376&amp;" AS STRING)),'[^a-zA-Z0-9_\\s]','') &lt;&gt;TRIM(CAST(X."&amp;F376&amp;" AS STRING)),1,0)) AS NUM_REG_DIF,'"&amp;MAX('ID1&amp;5'!K:K)+1&amp;"' AS ID_EXEC, CURRENT_TIMESTAMP() AS TIME_EXEC FROM "&amp;I376,
IF(C376="Missings",+"SELECT '"&amp;UPPER(B376)&amp;"' AS TABELA, '"&amp;UPPER(C376)&amp;"' AS TIPOLOGIA_TESTE,'"&amp;D376&amp;"' AS TABELA_LT,'N/A' AS TABELA_SIMUL,'"&amp;F376&amp;"' AS CAMPO, "&amp;"'${ref_date}' AS REF_DATE, COUNT(*) AS NUM_REG, SUM(IF(TRIM(CAST(X."&amp;F376&amp;" AS STRING)) IN ('0000-00-00','0001-01-01','9999-12-31','MISS','00000','99999999999','99999999999.00','99999999999.000000'),1,0)) AS NUM_REG_DIF,'"&amp;MAX('ID1&amp;5'!K:K)+1&amp;"' AS ID_EXEC, CURRENT_TIMESTAMP() AS TIME_EXEC FROM "&amp;I376,
IF(C376="Not applicable",+"SELECT '"&amp;UPPER(B376)&amp;"' AS TABELA, '"&amp;UPPER(C376)&amp;"' AS TIPOLOGIA_TESTE,'"&amp;D376&amp;"' AS TABELA_LT,'N/A' AS TABELA_SIMUL,'"&amp;F376&amp;"' AS CAMPO, "&amp;"'${ref_date}' AS REF_DATE, COUNT(*) AS NUM_REG, SUM(IF(TRIM(CAST(X."&amp;F376&amp;" AS STRING)) IN ('N/A','11111111111','11111111111.00','11111111111.000000','1111-11-11'),1,0)) AS NUM_REG_DIF,'"&amp;MAX('ID1&amp;5'!K:K)+1&amp;"' AS ID_EXEC, CURRENT_TIMESTAMP() AS TIME_EXEC FROM "&amp;I376,
IF(C376="Valores extremos",+"SELECT '"&amp;UPPER(B376)&amp;"' AS TABELA, '"&amp;UPPER(C376)&amp;"' AS TIPOLOGIA_TESTE,'"&amp;D376&amp;"' AS TABELA_LT,'N/A' AS TABELA_SIMUL,'"&amp;F376&amp;"' AS CAMPO, "&amp;"'${ref_date}' AS REF_DATE, CAST(MIN("&amp;F376&amp;") AS STRING) AS VALOR_MIN, CAST(MAX("&amp;F376&amp;") AS STRING) AS VALOR_MAX,'"&amp;MAX('ID1&amp;5'!K:K)+1&amp;"' AS ID_EXEC, CURRENT_TIMESTAMP() AS TIME_EXEC FROM "&amp;MID(I376,1,LEN(I376)-2)&amp;" AND CAST("&amp;F376&amp;" AS STRING) NOT IN ('0000-00-00','0001-01-01','9999-12-31','MISS','00000','99999999999','99999999999.00','99999999999.000000','N/A','11111111111','11111111111.00','11111111111.000000','1111-11-11'))X"))))))</f>
        <v>SELECT 'INSTR_ACTIVITY' AS TABELA, 'COERÊNCIA' AS TIPOLOGIA_TESTE,'CD_LOAN_TAPES_BCE.LT007_INSTR_ACTIVITY' AS TABELA_LT,'BU_LOANTAPE_WORK.LT007_INSTR_ACTIVITY' AS TABELA_SIMUL,'PRCNTG_ACTVTY' AS CAMPO, '${ref_date}' AS REF_DATE, COUNT(*) AS NUM_REG, SUM(IF(COALESCE(CAST(X.PRCNTG_ACTVTY AS STRING),'')&lt;&gt;COALESCE(CAST(Y.PRCNTG_ACTVTY_SIMUL AS STRING),'') OR (X.PRCNTG_ACTVTY IS NULL AND Y.PRCNTG_ACTVTY_SIMUL IS NOT NULL ) OR (X.PRCNTG_ACTVTY IS NOT NULL AND Y.PRCNTG_ACTVTY_SIMUL IS NULL),1,0)) AS NUM_REG_DIF,'1' AS ID_EXEC, CURRENT_TIMESTAMP() AS TIME_EXEC FROM (SELECT instrmnt_id, PRCNTG_ACTVTY FROM CD_LOAN_TAPES_BCE.LT007_INSTR_ACTIVITY WHERE ref_date='${ref_date}' AND nome_perimetro='Individual Corporativo' AND segmento='ESTR' AND ambito='PM' AND entidade='00100')X INNER JOIN (SELECT instrmnt_id AS instrmnt_id_SIMUL, PRCNTG_ACTVTY AS PRCNTG_ACTVTY_SIMUL FROM BU_LOANTAPE_WORK.LT007_INSTR_ACTIVITY WHERE ref_date='${ref_date}' AND nome_perimetro='Individual Corporativo' AND segmento='ESTR' AND ambito='PM' AND entidade='00100')Y ON X.INSTRMNT_ID=Y.INSTRMNT_ID_SIMUL</v>
      </c>
      <c r="M376" s="36" t="str">
        <f t="shared" si="7"/>
        <v>UNION ALL SELECT 'INSTR_ACTIVITY' AS TABELA, 'COERÊNCIA' AS TIPOLOGIA_TESTE,'CD_LOAN_TAPES_BCE.LT007_INSTR_ACTIVITY' AS TABELA_LT,'BU_LOANTAPE_WORK.LT007_INSTR_ACTIVITY' AS TABELA_SIMUL,'PRCNTG_ACTVTY' AS CAMPO, '${ref_date}' AS REF_DATE, COUNT(*) AS NUM_REG, SUM(IF(COALESCE(CAST(X.PRCNTG_ACTVTY AS STRING),'')&lt;&gt;COALESCE(CAST(Y.PRCNTG_ACTVTY_SIMUL AS STRING),'') OR (X.PRCNTG_ACTVTY IS NULL AND Y.PRCNTG_ACTVTY_SIMUL IS NOT NULL ) OR (X.PRCNTG_ACTVTY IS NOT NULL AND Y.PRCNTG_ACTVTY_SIMUL IS NULL),1,0)) AS NUM_REG_DIF,'1' AS ID_EXEC, CURRENT_TIMESTAMP() AS TIME_EXEC FROM (SELECT instrmnt_id, PRCNTG_ACTVTY FROM CD_LOAN_TAPES_BCE.LT007_INSTR_ACTIVITY WHERE ref_date='${ref_date}' AND nome_perimetro='Individual Corporativo' AND segmento='ESTR' AND ambito='PM' AND entidade='00100')X INNER JOIN (SELECT instrmnt_id AS instrmnt_id_SIMUL, PRCNTG_ACTVTY AS PRCNTG_ACTVTY_SIMUL FROM BU_LOANTAPE_WORK.LT007_INSTR_ACTIVITY WHERE ref_date='${ref_date}' AND nome_perimetro='Individual Corporativo' AND segmento='ESTR' AND ambito='PM' AND entidade='00100')Y ON X.INSTRMNT_ID=Y.INSTRMNT_ID_SIMUL</v>
      </c>
      <c r="N376" s="38" t="s">
        <v>46</v>
      </c>
    </row>
    <row r="377" spans="2:14" hidden="1">
      <c r="N377" s="38" t="s">
        <v>46</v>
      </c>
    </row>
    <row r="378" spans="2:14" hidden="1">
      <c r="N378" s="38" t="s">
        <v>46</v>
      </c>
    </row>
    <row r="379" spans="2:14" hidden="1">
      <c r="N379" s="38" t="s">
        <v>46</v>
      </c>
    </row>
    <row r="380" spans="2:14" hidden="1">
      <c r="N380" s="38" t="s">
        <v>46</v>
      </c>
    </row>
    <row r="381" spans="2:14" hidden="1">
      <c r="N381" s="38" t="s">
        <v>46</v>
      </c>
    </row>
    <row r="382" spans="2:14" hidden="1">
      <c r="N382" s="38" t="s">
        <v>46</v>
      </c>
    </row>
    <row r="383" spans="2:14" hidden="1">
      <c r="N383" s="38" t="s">
        <v>46</v>
      </c>
    </row>
    <row r="384" spans="2:14" hidden="1">
      <c r="N384" s="38" t="s">
        <v>46</v>
      </c>
    </row>
    <row r="385" spans="14:14" hidden="1">
      <c r="N385" s="38" t="s">
        <v>46</v>
      </c>
    </row>
    <row r="386" spans="14:14" hidden="1">
      <c r="N386" s="38" t="s">
        <v>46</v>
      </c>
    </row>
    <row r="387" spans="14:14" hidden="1">
      <c r="N387" s="38" t="s">
        <v>46</v>
      </c>
    </row>
    <row r="388" spans="14:14" hidden="1">
      <c r="N388" s="38" t="s">
        <v>46</v>
      </c>
    </row>
    <row r="389" spans="14:14" hidden="1">
      <c r="N389" s="38" t="s">
        <v>46</v>
      </c>
    </row>
    <row r="390" spans="14:14" hidden="1">
      <c r="N390" s="38" t="s">
        <v>46</v>
      </c>
    </row>
    <row r="391" spans="14:14" hidden="1">
      <c r="N391" s="38" t="s">
        <v>46</v>
      </c>
    </row>
    <row r="392" spans="14:14" hidden="1">
      <c r="N392" s="38" t="s">
        <v>46</v>
      </c>
    </row>
    <row r="393" spans="14:14" hidden="1">
      <c r="N393" s="38" t="s">
        <v>46</v>
      </c>
    </row>
    <row r="394" spans="14:14" hidden="1">
      <c r="N394" s="38" t="s">
        <v>46</v>
      </c>
    </row>
    <row r="395" spans="14:14" hidden="1">
      <c r="N395" s="38" t="s">
        <v>46</v>
      </c>
    </row>
    <row r="396" spans="14:14" hidden="1">
      <c r="N396" s="38" t="s">
        <v>46</v>
      </c>
    </row>
    <row r="397" spans="14:14" hidden="1">
      <c r="N397" s="38" t="s">
        <v>46</v>
      </c>
    </row>
    <row r="398" spans="14:14" hidden="1">
      <c r="N398" s="38" t="s">
        <v>46</v>
      </c>
    </row>
    <row r="399" spans="14:14" hidden="1">
      <c r="N399" s="38" t="s">
        <v>46</v>
      </c>
    </row>
    <row r="400" spans="14:14" hidden="1">
      <c r="N400" s="38" t="s">
        <v>46</v>
      </c>
    </row>
    <row r="401" spans="14:14" hidden="1">
      <c r="N401" s="38" t="s">
        <v>46</v>
      </c>
    </row>
    <row r="402" spans="14:14" hidden="1">
      <c r="N402" s="38" t="s">
        <v>46</v>
      </c>
    </row>
    <row r="403" spans="14:14" hidden="1">
      <c r="N403" s="38" t="s">
        <v>46</v>
      </c>
    </row>
    <row r="404" spans="14:14" hidden="1">
      <c r="N404" s="38" t="s">
        <v>46</v>
      </c>
    </row>
    <row r="405" spans="14:14" hidden="1">
      <c r="N405" s="38" t="s">
        <v>46</v>
      </c>
    </row>
    <row r="406" spans="14:14" hidden="1">
      <c r="N406" s="38" t="s">
        <v>46</v>
      </c>
    </row>
    <row r="407" spans="14:14" hidden="1">
      <c r="N407" s="38" t="s">
        <v>46</v>
      </c>
    </row>
    <row r="408" spans="14:14" hidden="1">
      <c r="N408" s="38" t="s">
        <v>46</v>
      </c>
    </row>
    <row r="409" spans="14:14" hidden="1">
      <c r="N409" s="38" t="s">
        <v>46</v>
      </c>
    </row>
    <row r="410" spans="14:14" hidden="1">
      <c r="N410" s="38" t="s">
        <v>46</v>
      </c>
    </row>
    <row r="411" spans="14:14" hidden="1">
      <c r="N411" s="38" t="s">
        <v>46</v>
      </c>
    </row>
    <row r="412" spans="14:14" hidden="1">
      <c r="N412" s="38" t="s">
        <v>46</v>
      </c>
    </row>
    <row r="413" spans="14:14" hidden="1">
      <c r="N413" s="38" t="s">
        <v>46</v>
      </c>
    </row>
    <row r="414" spans="14:14" hidden="1">
      <c r="N414" s="38" t="s">
        <v>46</v>
      </c>
    </row>
    <row r="415" spans="14:14" hidden="1">
      <c r="N415" s="38" t="s">
        <v>46</v>
      </c>
    </row>
    <row r="416" spans="14:14" hidden="1">
      <c r="N416" s="38" t="s">
        <v>46</v>
      </c>
    </row>
    <row r="417" spans="14:14" hidden="1">
      <c r="N417" s="38" t="s">
        <v>46</v>
      </c>
    </row>
    <row r="418" spans="14:14" hidden="1">
      <c r="N418" s="38" t="s">
        <v>46</v>
      </c>
    </row>
    <row r="419" spans="14:14" hidden="1">
      <c r="N419" s="38" t="s">
        <v>46</v>
      </c>
    </row>
    <row r="420" spans="14:14" hidden="1">
      <c r="N420" s="38" t="s">
        <v>46</v>
      </c>
    </row>
    <row r="421" spans="14:14" hidden="1">
      <c r="N421" s="38" t="s">
        <v>46</v>
      </c>
    </row>
    <row r="422" spans="14:14" hidden="1">
      <c r="N422" s="38" t="s">
        <v>46</v>
      </c>
    </row>
    <row r="423" spans="14:14" hidden="1">
      <c r="N423" s="38" t="s">
        <v>46</v>
      </c>
    </row>
    <row r="424" spans="14:14" hidden="1">
      <c r="N424" s="38" t="s">
        <v>46</v>
      </c>
    </row>
    <row r="425" spans="14:14" hidden="1">
      <c r="N425" s="38" t="s">
        <v>46</v>
      </c>
    </row>
    <row r="426" spans="14:14" hidden="1">
      <c r="N426" s="38" t="s">
        <v>46</v>
      </c>
    </row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</sheetData>
  <autoFilter ref="B8:M426" xr:uid="{00000000-0009-0000-0000-000002000000}">
    <filterColumn colId="0">
      <filters>
        <filter val="ENTITY"/>
      </filters>
    </filterColumn>
  </autoFilter>
  <conditionalFormatting sqref="M73:M75">
    <cfRule type="uniqueValues" dxfId="12" priority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showGridLines="0" workbookViewId="0">
      <selection activeCell="D24" sqref="D24"/>
    </sheetView>
  </sheetViews>
  <sheetFormatPr defaultRowHeight="14.4"/>
  <sheetData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1048559"/>
  <sheetViews>
    <sheetView showGridLines="0" zoomScaleNormal="100" workbookViewId="0">
      <selection activeCell="C13" sqref="C13"/>
    </sheetView>
  </sheetViews>
  <sheetFormatPr defaultColWidth="0" defaultRowHeight="13.8"/>
  <cols>
    <col min="1" max="2" width="2" style="2" customWidth="1"/>
    <col min="3" max="12" width="28.33203125" style="2" customWidth="1"/>
    <col min="13" max="13" width="3.6640625" style="2" customWidth="1"/>
    <col min="14" max="14" width="13.88671875" style="2" hidden="1" customWidth="1"/>
    <col min="15" max="15" width="12.109375" style="2" hidden="1" customWidth="1"/>
    <col min="16" max="38" width="0" style="2" hidden="1" customWidth="1"/>
    <col min="39" max="16384" width="9.109375" style="2" hidden="1"/>
  </cols>
  <sheetData>
    <row r="1" spans="1:3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3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14.4" thickBot="1">
      <c r="A6" s="30"/>
      <c r="B6" s="30"/>
      <c r="C6" s="31" t="s">
        <v>76</v>
      </c>
      <c r="D6" s="31"/>
      <c r="E6" s="32"/>
      <c r="F6" s="32"/>
      <c r="G6" s="32"/>
      <c r="H6" s="32"/>
      <c r="I6" s="32"/>
      <c r="J6" s="32"/>
      <c r="K6" s="32"/>
      <c r="L6" s="32"/>
      <c r="M6" s="30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8" spans="1:30">
      <c r="B8" s="61"/>
      <c r="C8" s="18" t="s">
        <v>0</v>
      </c>
      <c r="D8" s="18" t="s">
        <v>3</v>
      </c>
      <c r="E8" s="18" t="s">
        <v>53</v>
      </c>
      <c r="F8" s="18" t="s">
        <v>2</v>
      </c>
      <c r="G8" s="18" t="s">
        <v>6</v>
      </c>
      <c r="H8" s="18" t="s">
        <v>48</v>
      </c>
      <c r="I8" s="18" t="s">
        <v>52</v>
      </c>
      <c r="J8" s="18" t="s">
        <v>49</v>
      </c>
      <c r="K8" s="18" t="s">
        <v>51</v>
      </c>
      <c r="L8" s="18" t="s">
        <v>50</v>
      </c>
      <c r="M8" s="4"/>
      <c r="N8" s="4"/>
    </row>
    <row r="9" spans="1:30">
      <c r="A9" s="60" t="str">
        <f>+C9&amp;G9&amp;H9&amp;D9</f>
        <v/>
      </c>
      <c r="B9" s="60" t="str">
        <f>+C9&amp;G9&amp;H9&amp;D9&amp;K9</f>
        <v/>
      </c>
      <c r="C9" s="17"/>
      <c r="D9" s="17"/>
      <c r="E9" s="17"/>
      <c r="F9" s="17"/>
      <c r="G9" s="17"/>
      <c r="H9" s="23"/>
      <c r="I9" s="17"/>
      <c r="J9" s="17"/>
      <c r="K9" s="17"/>
      <c r="L9" s="17"/>
      <c r="M9" s="4"/>
      <c r="N9" s="16"/>
    </row>
    <row r="10" spans="1:30">
      <c r="A10" s="60" t="str">
        <f t="shared" ref="A10:A19" si="0">+C10&amp;G10&amp;H10&amp;D10</f>
        <v/>
      </c>
      <c r="B10" s="60" t="str">
        <f t="shared" ref="B10:B19" si="1">+C10&amp;G10&amp;H10&amp;D10&amp;K10</f>
        <v/>
      </c>
      <c r="C10" s="17"/>
      <c r="D10" s="17"/>
      <c r="E10" s="17"/>
      <c r="F10" s="17"/>
      <c r="G10" s="17"/>
      <c r="H10" s="23"/>
      <c r="I10" s="17"/>
      <c r="J10" s="17"/>
      <c r="K10" s="17"/>
      <c r="L10" s="17"/>
      <c r="M10" s="4"/>
    </row>
    <row r="11" spans="1:30">
      <c r="A11" s="60" t="str">
        <f t="shared" si="0"/>
        <v/>
      </c>
      <c r="B11" s="60" t="str">
        <f t="shared" si="1"/>
        <v/>
      </c>
      <c r="C11" s="17"/>
      <c r="D11" s="17"/>
      <c r="E11" s="17"/>
      <c r="F11" s="17"/>
      <c r="G11" s="17"/>
      <c r="H11" s="23"/>
      <c r="I11" s="17"/>
      <c r="J11" s="17"/>
      <c r="K11" s="17"/>
      <c r="L11" s="17"/>
      <c r="M11" s="4"/>
    </row>
    <row r="12" spans="1:30">
      <c r="A12" s="60" t="str">
        <f t="shared" si="0"/>
        <v/>
      </c>
      <c r="B12" s="60" t="str">
        <f t="shared" si="1"/>
        <v/>
      </c>
      <c r="C12" s="17"/>
      <c r="D12" s="17"/>
      <c r="E12" s="17"/>
      <c r="F12" s="17"/>
      <c r="G12" s="17"/>
      <c r="H12" s="23"/>
      <c r="I12" s="17"/>
      <c r="J12" s="17"/>
      <c r="K12" s="17"/>
      <c r="L12" s="17"/>
      <c r="M12" s="4"/>
    </row>
    <row r="13" spans="1:30">
      <c r="A13" s="60" t="str">
        <f t="shared" si="0"/>
        <v/>
      </c>
      <c r="B13" s="60" t="str">
        <f t="shared" si="1"/>
        <v/>
      </c>
      <c r="C13" s="17"/>
      <c r="D13" s="17"/>
      <c r="E13" s="17"/>
      <c r="F13" s="17"/>
      <c r="G13" s="17"/>
      <c r="H13" s="23"/>
      <c r="I13" s="17"/>
      <c r="J13" s="17"/>
      <c r="K13" s="17"/>
      <c r="L13" s="17"/>
      <c r="M13" s="4"/>
    </row>
    <row r="14" spans="1:30">
      <c r="A14" s="60" t="str">
        <f t="shared" ref="A14" si="2">+C14&amp;G14&amp;H14&amp;D14</f>
        <v/>
      </c>
      <c r="B14" s="60" t="str">
        <f t="shared" ref="B14" si="3">+C14&amp;G14&amp;H14&amp;D14&amp;K14</f>
        <v/>
      </c>
      <c r="C14" s="17"/>
      <c r="D14" s="17"/>
      <c r="E14" s="17"/>
      <c r="F14" s="17"/>
      <c r="G14" s="17"/>
      <c r="H14" s="23"/>
      <c r="I14" s="17"/>
      <c r="J14" s="17"/>
      <c r="K14" s="17"/>
      <c r="L14" s="17"/>
      <c r="M14" s="4"/>
    </row>
    <row r="15" spans="1:30">
      <c r="A15" s="60" t="str">
        <f t="shared" si="0"/>
        <v/>
      </c>
      <c r="B15" s="60" t="str">
        <f t="shared" si="1"/>
        <v/>
      </c>
      <c r="C15" s="17"/>
      <c r="D15" s="17"/>
      <c r="E15" s="17"/>
      <c r="F15" s="17"/>
      <c r="G15" s="17"/>
      <c r="H15" s="23"/>
      <c r="I15" s="17"/>
      <c r="J15" s="17"/>
      <c r="K15" s="17"/>
      <c r="L15" s="17"/>
    </row>
    <row r="16" spans="1:30">
      <c r="A16" s="60" t="str">
        <f t="shared" si="0"/>
        <v/>
      </c>
      <c r="B16" s="60" t="str">
        <f t="shared" si="1"/>
        <v/>
      </c>
      <c r="C16" s="17"/>
      <c r="D16" s="17"/>
      <c r="E16" s="17"/>
      <c r="F16" s="17"/>
      <c r="G16" s="17"/>
      <c r="H16" s="23"/>
      <c r="I16" s="17"/>
      <c r="J16" s="17"/>
      <c r="K16" s="17"/>
      <c r="L16" s="17"/>
    </row>
    <row r="17" spans="1:12">
      <c r="A17" s="60" t="str">
        <f t="shared" si="0"/>
        <v/>
      </c>
      <c r="B17" s="60" t="str">
        <f t="shared" si="1"/>
        <v/>
      </c>
      <c r="C17" s="17"/>
      <c r="D17" s="17"/>
      <c r="E17" s="17"/>
      <c r="F17" s="17"/>
      <c r="G17" s="17"/>
      <c r="H17" s="23"/>
      <c r="I17" s="17"/>
      <c r="J17" s="17"/>
      <c r="K17" s="17"/>
      <c r="L17" s="17"/>
    </row>
    <row r="18" spans="1:12">
      <c r="A18" s="60" t="str">
        <f t="shared" si="0"/>
        <v/>
      </c>
      <c r="B18" s="60" t="str">
        <f t="shared" si="1"/>
        <v/>
      </c>
      <c r="C18" s="17"/>
      <c r="D18" s="17"/>
      <c r="E18" s="17"/>
      <c r="F18" s="17"/>
      <c r="G18" s="17"/>
      <c r="H18" s="23"/>
      <c r="I18" s="17"/>
      <c r="J18" s="17"/>
      <c r="K18" s="17"/>
      <c r="L18" s="17"/>
    </row>
    <row r="19" spans="1:12">
      <c r="A19" s="60" t="str">
        <f t="shared" si="0"/>
        <v/>
      </c>
      <c r="B19" s="60" t="str">
        <f t="shared" si="1"/>
        <v/>
      </c>
      <c r="C19" s="17"/>
      <c r="D19" s="17"/>
      <c r="E19" s="17"/>
      <c r="F19" s="17"/>
      <c r="G19" s="17"/>
      <c r="H19" s="23"/>
      <c r="I19" s="17"/>
      <c r="J19" s="17"/>
      <c r="K19" s="17"/>
      <c r="L19" s="17"/>
    </row>
    <row r="20" spans="1:12">
      <c r="A20" s="60" t="str">
        <f t="shared" ref="A20:A62" si="4">+C20&amp;G20&amp;H20&amp;D20</f>
        <v/>
      </c>
      <c r="B20" s="60" t="str">
        <f t="shared" ref="B20:B62" si="5">+C20&amp;G20&amp;H20&amp;D20&amp;K20</f>
        <v/>
      </c>
      <c r="C20" s="17"/>
      <c r="D20" s="17"/>
      <c r="E20" s="17"/>
      <c r="F20" s="17"/>
      <c r="G20" s="17"/>
      <c r="H20" s="23"/>
      <c r="I20" s="17"/>
      <c r="J20" s="17"/>
      <c r="K20" s="17"/>
      <c r="L20" s="17"/>
    </row>
    <row r="21" spans="1:12">
      <c r="A21" s="60" t="str">
        <f t="shared" si="4"/>
        <v/>
      </c>
      <c r="B21" s="60" t="str">
        <f t="shared" si="5"/>
        <v/>
      </c>
      <c r="C21" s="17"/>
      <c r="D21" s="17"/>
      <c r="E21" s="17"/>
      <c r="F21" s="17"/>
      <c r="G21" s="17"/>
      <c r="H21" s="23"/>
      <c r="I21" s="17"/>
      <c r="J21" s="17"/>
      <c r="K21" s="17"/>
      <c r="L21" s="17"/>
    </row>
    <row r="22" spans="1:12">
      <c r="A22" s="60" t="str">
        <f t="shared" si="4"/>
        <v/>
      </c>
      <c r="B22" s="60" t="str">
        <f t="shared" si="5"/>
        <v/>
      </c>
      <c r="C22" s="17"/>
      <c r="D22" s="17"/>
      <c r="E22" s="17"/>
      <c r="F22" s="17"/>
      <c r="G22" s="17"/>
      <c r="H22" s="23"/>
      <c r="I22" s="17"/>
      <c r="J22" s="17"/>
      <c r="K22" s="17"/>
      <c r="L22" s="17"/>
    </row>
    <row r="23" spans="1:12">
      <c r="A23" s="60" t="str">
        <f t="shared" si="4"/>
        <v/>
      </c>
      <c r="B23" s="60" t="str">
        <f t="shared" si="5"/>
        <v/>
      </c>
      <c r="C23" s="17"/>
      <c r="D23" s="17"/>
      <c r="E23" s="17"/>
      <c r="F23" s="17"/>
      <c r="G23" s="17"/>
      <c r="H23" s="23"/>
      <c r="I23" s="17"/>
      <c r="J23" s="17"/>
      <c r="K23" s="17"/>
      <c r="L23" s="17"/>
    </row>
    <row r="24" spans="1:12">
      <c r="A24" s="60" t="str">
        <f t="shared" si="4"/>
        <v/>
      </c>
      <c r="B24" s="60" t="str">
        <f t="shared" si="5"/>
        <v/>
      </c>
      <c r="C24" s="17"/>
      <c r="D24" s="17"/>
      <c r="E24" s="17"/>
      <c r="F24" s="17"/>
      <c r="G24" s="17"/>
      <c r="H24" s="23"/>
      <c r="I24" s="17"/>
      <c r="J24" s="17"/>
      <c r="K24" s="17"/>
      <c r="L24" s="17"/>
    </row>
    <row r="25" spans="1:12">
      <c r="A25" s="60" t="str">
        <f t="shared" si="4"/>
        <v/>
      </c>
      <c r="B25" s="60" t="str">
        <f t="shared" si="5"/>
        <v/>
      </c>
      <c r="C25" s="17"/>
      <c r="D25" s="17"/>
      <c r="E25" s="17"/>
      <c r="F25" s="17"/>
      <c r="G25" s="17"/>
      <c r="H25" s="23"/>
      <c r="I25" s="17"/>
      <c r="J25" s="17"/>
      <c r="K25" s="17"/>
      <c r="L25" s="17"/>
    </row>
    <row r="26" spans="1:12">
      <c r="A26" s="60" t="str">
        <f t="shared" si="4"/>
        <v/>
      </c>
      <c r="B26" s="60" t="str">
        <f t="shared" si="5"/>
        <v/>
      </c>
      <c r="C26" s="17"/>
      <c r="D26" s="17"/>
      <c r="E26" s="17"/>
      <c r="F26" s="17"/>
      <c r="G26" s="17"/>
      <c r="H26" s="23"/>
      <c r="I26" s="17"/>
      <c r="J26" s="17"/>
      <c r="K26" s="17"/>
      <c r="L26" s="17"/>
    </row>
    <row r="27" spans="1:12">
      <c r="A27" s="60" t="str">
        <f t="shared" si="4"/>
        <v/>
      </c>
      <c r="B27" s="60" t="str">
        <f t="shared" si="5"/>
        <v/>
      </c>
      <c r="C27" s="17"/>
      <c r="D27" s="17"/>
      <c r="E27" s="17"/>
      <c r="F27" s="17"/>
      <c r="G27" s="17"/>
      <c r="H27" s="23"/>
      <c r="I27" s="17"/>
      <c r="J27" s="17"/>
      <c r="K27" s="17"/>
      <c r="L27" s="17"/>
    </row>
    <row r="28" spans="1:12">
      <c r="A28" s="60" t="str">
        <f t="shared" si="4"/>
        <v/>
      </c>
      <c r="B28" s="60" t="str">
        <f t="shared" si="5"/>
        <v/>
      </c>
      <c r="C28" s="17"/>
      <c r="D28" s="17"/>
      <c r="E28" s="17"/>
      <c r="F28" s="17"/>
      <c r="G28" s="17"/>
      <c r="H28" s="23"/>
      <c r="I28" s="17"/>
      <c r="J28" s="17"/>
      <c r="K28" s="17"/>
      <c r="L28" s="17"/>
    </row>
    <row r="29" spans="1:12">
      <c r="A29" s="60" t="str">
        <f t="shared" si="4"/>
        <v/>
      </c>
      <c r="B29" s="60" t="str">
        <f t="shared" si="5"/>
        <v/>
      </c>
      <c r="C29" s="17"/>
      <c r="D29" s="17"/>
      <c r="E29" s="17"/>
      <c r="F29" s="17"/>
      <c r="G29" s="17"/>
      <c r="H29" s="23"/>
      <c r="I29" s="17"/>
      <c r="J29" s="17"/>
      <c r="K29" s="17"/>
      <c r="L29" s="17"/>
    </row>
    <row r="30" spans="1:12">
      <c r="A30" s="60" t="str">
        <f t="shared" si="4"/>
        <v/>
      </c>
      <c r="B30" s="60" t="str">
        <f t="shared" si="5"/>
        <v/>
      </c>
      <c r="C30" s="17"/>
      <c r="D30" s="17"/>
      <c r="E30" s="17"/>
      <c r="F30" s="17"/>
      <c r="G30" s="17"/>
      <c r="H30" s="23"/>
      <c r="I30" s="17"/>
      <c r="J30" s="17"/>
      <c r="K30" s="17"/>
      <c r="L30" s="17"/>
    </row>
    <row r="31" spans="1:12">
      <c r="A31" s="60" t="str">
        <f t="shared" si="4"/>
        <v/>
      </c>
      <c r="B31" s="60" t="str">
        <f t="shared" si="5"/>
        <v/>
      </c>
      <c r="C31" s="17"/>
      <c r="D31" s="17"/>
      <c r="E31" s="17"/>
      <c r="F31" s="17"/>
      <c r="G31" s="17"/>
      <c r="H31" s="23"/>
      <c r="I31" s="17"/>
      <c r="J31" s="17"/>
      <c r="K31" s="17"/>
      <c r="L31" s="17"/>
    </row>
    <row r="32" spans="1:12">
      <c r="A32" s="60" t="str">
        <f t="shared" si="4"/>
        <v/>
      </c>
      <c r="B32" s="60" t="str">
        <f t="shared" si="5"/>
        <v/>
      </c>
      <c r="C32" s="17"/>
      <c r="D32" s="17"/>
      <c r="E32" s="17"/>
      <c r="F32" s="17"/>
      <c r="G32" s="17"/>
      <c r="H32" s="23"/>
      <c r="I32" s="17"/>
      <c r="J32" s="17"/>
      <c r="K32" s="17"/>
      <c r="L32" s="17"/>
    </row>
    <row r="33" spans="1:12">
      <c r="A33" s="60" t="str">
        <f t="shared" si="4"/>
        <v/>
      </c>
      <c r="B33" s="60" t="str">
        <f t="shared" si="5"/>
        <v/>
      </c>
      <c r="C33" s="17"/>
      <c r="D33" s="17"/>
      <c r="E33" s="17"/>
      <c r="F33" s="17"/>
      <c r="G33" s="17"/>
      <c r="H33" s="23"/>
      <c r="I33" s="17"/>
      <c r="J33" s="17"/>
      <c r="K33" s="17"/>
      <c r="L33" s="17"/>
    </row>
    <row r="34" spans="1:12">
      <c r="A34" s="60" t="str">
        <f t="shared" si="4"/>
        <v/>
      </c>
      <c r="B34" s="60" t="str">
        <f t="shared" si="5"/>
        <v/>
      </c>
      <c r="C34" s="17"/>
      <c r="D34" s="17"/>
      <c r="E34" s="17"/>
      <c r="F34" s="17"/>
      <c r="G34" s="17"/>
      <c r="H34" s="23"/>
      <c r="I34" s="17"/>
      <c r="J34" s="17"/>
      <c r="K34" s="17"/>
      <c r="L34" s="17"/>
    </row>
    <row r="35" spans="1:12">
      <c r="A35" s="60" t="str">
        <f t="shared" si="4"/>
        <v/>
      </c>
      <c r="B35" s="60" t="str">
        <f t="shared" si="5"/>
        <v/>
      </c>
      <c r="C35" s="17"/>
      <c r="D35" s="17"/>
      <c r="E35" s="17"/>
      <c r="F35" s="17"/>
      <c r="G35" s="17"/>
      <c r="H35" s="23"/>
      <c r="I35" s="17"/>
      <c r="J35" s="17"/>
      <c r="K35" s="17"/>
      <c r="L35" s="17"/>
    </row>
    <row r="36" spans="1:12">
      <c r="A36" s="60" t="str">
        <f t="shared" si="4"/>
        <v/>
      </c>
      <c r="B36" s="60" t="str">
        <f t="shared" si="5"/>
        <v/>
      </c>
      <c r="C36" s="17"/>
      <c r="D36" s="17"/>
      <c r="E36" s="17"/>
      <c r="F36" s="17"/>
      <c r="G36" s="17"/>
      <c r="H36" s="23"/>
      <c r="I36" s="17"/>
      <c r="J36" s="17"/>
      <c r="K36" s="17"/>
      <c r="L36" s="17"/>
    </row>
    <row r="37" spans="1:12">
      <c r="A37" s="60" t="str">
        <f t="shared" si="4"/>
        <v/>
      </c>
      <c r="B37" s="60" t="str">
        <f t="shared" si="5"/>
        <v/>
      </c>
      <c r="C37" s="17"/>
      <c r="D37" s="17"/>
      <c r="E37" s="17"/>
      <c r="F37" s="17"/>
      <c r="G37" s="17"/>
      <c r="H37" s="23"/>
      <c r="I37" s="17"/>
      <c r="J37" s="17"/>
      <c r="K37" s="17"/>
      <c r="L37" s="17"/>
    </row>
    <row r="38" spans="1:12">
      <c r="A38" s="60" t="str">
        <f t="shared" si="4"/>
        <v/>
      </c>
      <c r="B38" s="60" t="str">
        <f t="shared" si="5"/>
        <v/>
      </c>
      <c r="C38" s="17"/>
      <c r="D38" s="17"/>
      <c r="E38" s="17"/>
      <c r="F38" s="17"/>
      <c r="G38" s="17"/>
      <c r="H38" s="23"/>
      <c r="I38" s="17"/>
      <c r="J38" s="17"/>
      <c r="K38" s="17"/>
      <c r="L38" s="17"/>
    </row>
    <row r="39" spans="1:12">
      <c r="A39" s="60" t="str">
        <f t="shared" si="4"/>
        <v/>
      </c>
      <c r="B39" s="60" t="str">
        <f t="shared" si="5"/>
        <v/>
      </c>
      <c r="C39" s="17"/>
      <c r="D39" s="17"/>
      <c r="E39" s="17"/>
      <c r="F39" s="17"/>
      <c r="G39" s="17"/>
      <c r="H39" s="23"/>
      <c r="I39" s="17"/>
      <c r="J39" s="17"/>
      <c r="K39" s="17"/>
      <c r="L39" s="17"/>
    </row>
    <row r="40" spans="1:12">
      <c r="A40" s="60" t="str">
        <f t="shared" si="4"/>
        <v/>
      </c>
      <c r="B40" s="60" t="str">
        <f t="shared" si="5"/>
        <v/>
      </c>
      <c r="C40" s="17"/>
      <c r="D40" s="17"/>
      <c r="E40" s="17"/>
      <c r="F40" s="17"/>
      <c r="G40" s="17"/>
      <c r="H40" s="23"/>
      <c r="I40" s="17"/>
      <c r="J40" s="17"/>
      <c r="K40" s="17"/>
      <c r="L40" s="17"/>
    </row>
    <row r="41" spans="1:12">
      <c r="A41" s="60" t="str">
        <f t="shared" si="4"/>
        <v/>
      </c>
      <c r="B41" s="60" t="str">
        <f t="shared" si="5"/>
        <v/>
      </c>
      <c r="C41" s="17"/>
      <c r="D41" s="17"/>
      <c r="E41" s="17"/>
      <c r="F41" s="17"/>
      <c r="G41" s="17"/>
      <c r="H41" s="23"/>
      <c r="I41" s="17"/>
      <c r="J41" s="17"/>
      <c r="K41" s="17"/>
      <c r="L41" s="17"/>
    </row>
    <row r="42" spans="1:12">
      <c r="A42" s="60" t="str">
        <f t="shared" si="4"/>
        <v/>
      </c>
      <c r="B42" s="60" t="str">
        <f t="shared" si="5"/>
        <v/>
      </c>
      <c r="C42" s="17"/>
      <c r="D42" s="17"/>
      <c r="E42" s="17"/>
      <c r="F42" s="17"/>
      <c r="G42" s="17"/>
      <c r="H42" s="23"/>
      <c r="I42" s="17"/>
      <c r="J42" s="17"/>
      <c r="K42" s="17"/>
      <c r="L42" s="17"/>
    </row>
    <row r="43" spans="1:12">
      <c r="A43" s="60" t="str">
        <f t="shared" si="4"/>
        <v/>
      </c>
      <c r="B43" s="60" t="str">
        <f t="shared" si="5"/>
        <v/>
      </c>
      <c r="C43" s="17"/>
      <c r="D43" s="17"/>
      <c r="E43" s="17"/>
      <c r="F43" s="17"/>
      <c r="G43" s="17"/>
      <c r="H43" s="23"/>
      <c r="I43" s="17"/>
      <c r="J43" s="17"/>
      <c r="K43" s="17"/>
      <c r="L43" s="17"/>
    </row>
    <row r="44" spans="1:12">
      <c r="A44" s="60" t="str">
        <f t="shared" si="4"/>
        <v/>
      </c>
      <c r="B44" s="60" t="str">
        <f t="shared" si="5"/>
        <v/>
      </c>
      <c r="C44" s="17"/>
      <c r="D44" s="17"/>
      <c r="E44" s="17"/>
      <c r="F44" s="17"/>
      <c r="G44" s="17"/>
      <c r="H44" s="23"/>
      <c r="I44" s="17"/>
      <c r="J44" s="17"/>
      <c r="K44" s="17"/>
      <c r="L44" s="17"/>
    </row>
    <row r="45" spans="1:12">
      <c r="A45" s="60" t="str">
        <f t="shared" si="4"/>
        <v/>
      </c>
      <c r="B45" s="60" t="str">
        <f t="shared" si="5"/>
        <v/>
      </c>
      <c r="C45" s="17"/>
      <c r="D45" s="17"/>
      <c r="E45" s="17"/>
      <c r="F45" s="17"/>
      <c r="G45" s="17"/>
      <c r="H45" s="23"/>
      <c r="I45" s="17"/>
      <c r="J45" s="17"/>
      <c r="K45" s="17"/>
      <c r="L45" s="17"/>
    </row>
    <row r="46" spans="1:12">
      <c r="A46" s="60" t="str">
        <f t="shared" si="4"/>
        <v/>
      </c>
      <c r="B46" s="60" t="str">
        <f t="shared" si="5"/>
        <v/>
      </c>
      <c r="C46" s="17"/>
      <c r="D46" s="17"/>
      <c r="E46" s="17"/>
      <c r="F46" s="17"/>
      <c r="G46" s="17"/>
      <c r="H46" s="23"/>
      <c r="I46" s="17"/>
      <c r="J46" s="17"/>
      <c r="K46" s="17"/>
      <c r="L46" s="17"/>
    </row>
    <row r="47" spans="1:12">
      <c r="A47" s="60" t="str">
        <f t="shared" si="4"/>
        <v/>
      </c>
      <c r="B47" s="60" t="str">
        <f t="shared" si="5"/>
        <v/>
      </c>
      <c r="C47" s="17"/>
      <c r="D47" s="17"/>
      <c r="E47" s="17"/>
      <c r="F47" s="17"/>
      <c r="G47" s="17"/>
      <c r="H47" s="23"/>
      <c r="I47" s="17"/>
      <c r="J47" s="17"/>
      <c r="K47" s="17"/>
      <c r="L47" s="17"/>
    </row>
    <row r="48" spans="1:12">
      <c r="A48" s="60" t="str">
        <f t="shared" si="4"/>
        <v/>
      </c>
      <c r="B48" s="60" t="str">
        <f t="shared" si="5"/>
        <v/>
      </c>
      <c r="C48" s="17"/>
      <c r="D48" s="17"/>
      <c r="E48" s="17"/>
      <c r="F48" s="17"/>
      <c r="G48" s="17"/>
      <c r="H48" s="23"/>
      <c r="I48" s="17"/>
      <c r="J48" s="17"/>
      <c r="K48" s="17"/>
      <c r="L48" s="17"/>
    </row>
    <row r="49" spans="1:12">
      <c r="A49" s="60" t="str">
        <f t="shared" si="4"/>
        <v/>
      </c>
      <c r="B49" s="60" t="str">
        <f t="shared" si="5"/>
        <v/>
      </c>
      <c r="C49" s="17"/>
      <c r="D49" s="17"/>
      <c r="E49" s="17"/>
      <c r="F49" s="17"/>
      <c r="G49" s="17"/>
      <c r="H49" s="23"/>
      <c r="I49" s="17"/>
      <c r="J49" s="17"/>
      <c r="K49" s="17"/>
      <c r="L49" s="17"/>
    </row>
    <row r="50" spans="1:12">
      <c r="A50" s="60" t="str">
        <f t="shared" si="4"/>
        <v/>
      </c>
      <c r="B50" s="60" t="str">
        <f t="shared" si="5"/>
        <v/>
      </c>
      <c r="C50" s="17"/>
      <c r="D50" s="17"/>
      <c r="E50" s="17"/>
      <c r="F50" s="17"/>
      <c r="G50" s="17"/>
      <c r="H50" s="23"/>
      <c r="I50" s="17"/>
      <c r="J50" s="17"/>
      <c r="K50" s="17"/>
      <c r="L50" s="17"/>
    </row>
    <row r="51" spans="1:12">
      <c r="A51" s="60" t="str">
        <f t="shared" si="4"/>
        <v/>
      </c>
      <c r="B51" s="60" t="str">
        <f t="shared" si="5"/>
        <v/>
      </c>
      <c r="C51" s="17"/>
      <c r="D51" s="17"/>
      <c r="E51" s="17"/>
      <c r="F51" s="17"/>
      <c r="G51" s="17"/>
      <c r="H51" s="23"/>
      <c r="I51" s="17"/>
      <c r="J51" s="17"/>
      <c r="K51" s="17"/>
      <c r="L51" s="17"/>
    </row>
    <row r="52" spans="1:12">
      <c r="A52" s="60" t="str">
        <f t="shared" si="4"/>
        <v/>
      </c>
      <c r="B52" s="60" t="str">
        <f t="shared" si="5"/>
        <v/>
      </c>
      <c r="C52" s="17"/>
      <c r="D52" s="17"/>
      <c r="E52" s="17"/>
      <c r="F52" s="17"/>
      <c r="G52" s="17"/>
      <c r="H52" s="23"/>
      <c r="I52" s="17"/>
      <c r="J52" s="17"/>
      <c r="K52" s="17"/>
      <c r="L52" s="17"/>
    </row>
    <row r="53" spans="1:12">
      <c r="A53" s="60" t="str">
        <f t="shared" si="4"/>
        <v/>
      </c>
      <c r="B53" s="60" t="str">
        <f t="shared" si="5"/>
        <v/>
      </c>
      <c r="C53" s="17"/>
      <c r="D53" s="17"/>
      <c r="E53" s="17"/>
      <c r="F53" s="17"/>
      <c r="G53" s="17"/>
      <c r="H53" s="23"/>
      <c r="I53" s="17"/>
      <c r="J53" s="17"/>
      <c r="K53" s="17"/>
      <c r="L53" s="17"/>
    </row>
    <row r="54" spans="1:12">
      <c r="A54" s="60" t="str">
        <f t="shared" si="4"/>
        <v/>
      </c>
      <c r="B54" s="60" t="str">
        <f t="shared" si="5"/>
        <v/>
      </c>
      <c r="C54" s="17"/>
      <c r="D54" s="17"/>
      <c r="E54" s="17"/>
      <c r="F54" s="17"/>
      <c r="G54" s="17"/>
      <c r="H54" s="23"/>
      <c r="I54" s="17"/>
      <c r="J54" s="17"/>
      <c r="K54" s="17"/>
      <c r="L54" s="17"/>
    </row>
    <row r="55" spans="1:12">
      <c r="A55" s="60" t="str">
        <f t="shared" si="4"/>
        <v/>
      </c>
      <c r="B55" s="60" t="str">
        <f t="shared" si="5"/>
        <v/>
      </c>
      <c r="C55" s="17"/>
      <c r="D55" s="17"/>
      <c r="E55" s="17"/>
      <c r="F55" s="17"/>
      <c r="G55" s="17"/>
      <c r="H55" s="23"/>
      <c r="I55" s="17"/>
      <c r="J55" s="17"/>
      <c r="K55" s="17"/>
      <c r="L55" s="17"/>
    </row>
    <row r="56" spans="1:12">
      <c r="A56" s="60" t="str">
        <f t="shared" si="4"/>
        <v/>
      </c>
      <c r="B56" s="60" t="str">
        <f t="shared" si="5"/>
        <v/>
      </c>
      <c r="C56" s="17"/>
      <c r="D56" s="17"/>
      <c r="E56" s="17"/>
      <c r="F56" s="17"/>
      <c r="G56" s="17"/>
      <c r="H56" s="23"/>
      <c r="I56" s="17"/>
      <c r="J56" s="17"/>
      <c r="K56" s="17"/>
      <c r="L56" s="17"/>
    </row>
    <row r="57" spans="1:12">
      <c r="A57" s="60" t="str">
        <f t="shared" si="4"/>
        <v/>
      </c>
      <c r="B57" s="60" t="str">
        <f t="shared" si="5"/>
        <v/>
      </c>
      <c r="C57" s="17"/>
      <c r="D57" s="17"/>
      <c r="E57" s="17"/>
      <c r="F57" s="17"/>
      <c r="G57" s="17"/>
      <c r="H57" s="23"/>
      <c r="I57" s="17"/>
      <c r="J57" s="17"/>
      <c r="K57" s="17"/>
      <c r="L57" s="17"/>
    </row>
    <row r="58" spans="1:12">
      <c r="A58" s="60" t="str">
        <f t="shared" si="4"/>
        <v/>
      </c>
      <c r="B58" s="60" t="str">
        <f t="shared" si="5"/>
        <v/>
      </c>
      <c r="C58" s="17"/>
      <c r="D58" s="17"/>
      <c r="E58" s="17"/>
      <c r="F58" s="17"/>
      <c r="G58" s="17"/>
      <c r="H58" s="23"/>
      <c r="I58" s="17"/>
      <c r="J58" s="17"/>
      <c r="K58" s="17"/>
      <c r="L58" s="17"/>
    </row>
    <row r="59" spans="1:12">
      <c r="A59" s="60" t="str">
        <f t="shared" si="4"/>
        <v/>
      </c>
      <c r="B59" s="60" t="str">
        <f t="shared" si="5"/>
        <v/>
      </c>
      <c r="C59" s="17"/>
      <c r="D59" s="17"/>
      <c r="E59" s="17"/>
      <c r="F59" s="17"/>
      <c r="G59" s="17"/>
      <c r="H59" s="23"/>
      <c r="I59" s="17"/>
      <c r="J59" s="17"/>
      <c r="K59" s="17"/>
      <c r="L59" s="17"/>
    </row>
    <row r="60" spans="1:12">
      <c r="A60" s="60" t="str">
        <f t="shared" si="4"/>
        <v/>
      </c>
      <c r="B60" s="60" t="str">
        <f t="shared" si="5"/>
        <v/>
      </c>
      <c r="C60" s="17"/>
      <c r="D60" s="17"/>
      <c r="E60" s="17"/>
      <c r="F60" s="17"/>
      <c r="G60" s="17"/>
      <c r="H60" s="23"/>
      <c r="I60" s="17"/>
      <c r="J60" s="17"/>
      <c r="K60" s="17"/>
      <c r="L60" s="17"/>
    </row>
    <row r="61" spans="1:12">
      <c r="A61" s="60" t="str">
        <f t="shared" si="4"/>
        <v/>
      </c>
      <c r="B61" s="60" t="str">
        <f t="shared" si="5"/>
        <v/>
      </c>
      <c r="C61" s="17"/>
      <c r="D61" s="17"/>
      <c r="E61" s="17"/>
      <c r="F61" s="17"/>
      <c r="G61" s="17"/>
      <c r="H61" s="23"/>
      <c r="I61" s="17"/>
      <c r="J61" s="17"/>
      <c r="K61" s="17"/>
      <c r="L61" s="17"/>
    </row>
    <row r="62" spans="1:12">
      <c r="A62" s="60" t="str">
        <f t="shared" si="4"/>
        <v/>
      </c>
      <c r="B62" s="60" t="str">
        <f t="shared" si="5"/>
        <v/>
      </c>
      <c r="C62" s="17"/>
      <c r="D62" s="17"/>
      <c r="E62" s="17"/>
      <c r="F62" s="17"/>
      <c r="G62" s="17"/>
      <c r="H62" s="23"/>
      <c r="I62" s="17"/>
      <c r="J62" s="17"/>
      <c r="K62" s="17"/>
      <c r="L62" s="17"/>
    </row>
    <row r="63" spans="1:12">
      <c r="A63" s="60" t="str">
        <f t="shared" ref="A63:A126" si="6">+C63&amp;G63&amp;H63&amp;D63</f>
        <v/>
      </c>
      <c r="B63" s="60" t="str">
        <f t="shared" ref="B63:B126" si="7">+C63&amp;G63&amp;H63&amp;D63&amp;K63</f>
        <v/>
      </c>
      <c r="C63" s="17"/>
      <c r="D63" s="17"/>
      <c r="E63" s="17"/>
      <c r="F63" s="17"/>
      <c r="G63" s="17"/>
      <c r="H63" s="23"/>
      <c r="I63" s="17"/>
      <c r="J63" s="17"/>
      <c r="K63" s="17"/>
      <c r="L63" s="17"/>
    </row>
    <row r="64" spans="1:12">
      <c r="A64" s="60" t="str">
        <f t="shared" si="6"/>
        <v/>
      </c>
      <c r="B64" s="60" t="str">
        <f t="shared" si="7"/>
        <v/>
      </c>
      <c r="C64" s="17"/>
      <c r="D64" s="17"/>
      <c r="E64" s="17"/>
      <c r="F64" s="17"/>
      <c r="G64" s="17"/>
      <c r="H64" s="23"/>
      <c r="I64" s="17"/>
      <c r="J64" s="17"/>
      <c r="K64" s="17"/>
      <c r="L64" s="17"/>
    </row>
    <row r="65" spans="1:12">
      <c r="A65" s="60" t="str">
        <f t="shared" si="6"/>
        <v/>
      </c>
      <c r="B65" s="60" t="str">
        <f t="shared" si="7"/>
        <v/>
      </c>
      <c r="C65" s="17"/>
      <c r="D65" s="17"/>
      <c r="E65" s="17"/>
      <c r="F65" s="17"/>
      <c r="G65" s="17"/>
      <c r="H65" s="23"/>
      <c r="I65" s="17"/>
      <c r="J65" s="17"/>
      <c r="K65" s="17"/>
      <c r="L65" s="17"/>
    </row>
    <row r="66" spans="1:12">
      <c r="A66" s="60" t="str">
        <f t="shared" si="6"/>
        <v/>
      </c>
      <c r="B66" s="60" t="str">
        <f t="shared" si="7"/>
        <v/>
      </c>
      <c r="C66" s="17"/>
      <c r="D66" s="17"/>
      <c r="E66" s="17"/>
      <c r="F66" s="17"/>
      <c r="G66" s="17"/>
      <c r="H66" s="23"/>
      <c r="I66" s="17"/>
      <c r="J66" s="17"/>
      <c r="K66" s="17"/>
      <c r="L66" s="17"/>
    </row>
    <row r="67" spans="1:12">
      <c r="A67" s="60" t="str">
        <f t="shared" si="6"/>
        <v/>
      </c>
      <c r="B67" s="60" t="str">
        <f t="shared" si="7"/>
        <v/>
      </c>
      <c r="C67" s="17"/>
      <c r="D67" s="17"/>
      <c r="E67" s="17"/>
      <c r="F67" s="17"/>
      <c r="G67" s="17"/>
      <c r="H67" s="23"/>
      <c r="I67" s="17"/>
      <c r="J67" s="17"/>
      <c r="K67" s="17"/>
      <c r="L67" s="17"/>
    </row>
    <row r="68" spans="1:12">
      <c r="A68" s="60" t="str">
        <f t="shared" si="6"/>
        <v/>
      </c>
      <c r="B68" s="60" t="str">
        <f t="shared" si="7"/>
        <v/>
      </c>
      <c r="C68" s="17"/>
      <c r="D68" s="17"/>
      <c r="E68" s="17"/>
      <c r="F68" s="17"/>
      <c r="G68" s="17"/>
      <c r="H68" s="23"/>
      <c r="I68" s="17"/>
      <c r="J68" s="17"/>
      <c r="K68" s="17"/>
      <c r="L68" s="17"/>
    </row>
    <row r="69" spans="1:12">
      <c r="A69" s="60" t="str">
        <f t="shared" si="6"/>
        <v/>
      </c>
      <c r="B69" s="60" t="str">
        <f t="shared" si="7"/>
        <v/>
      </c>
      <c r="C69" s="17"/>
      <c r="D69" s="17"/>
      <c r="E69" s="17"/>
      <c r="F69" s="17"/>
      <c r="G69" s="17"/>
      <c r="H69" s="23"/>
      <c r="I69" s="17"/>
      <c r="J69" s="17"/>
      <c r="K69" s="17"/>
      <c r="L69" s="17"/>
    </row>
    <row r="70" spans="1:12">
      <c r="A70" s="60" t="str">
        <f t="shared" si="6"/>
        <v/>
      </c>
      <c r="B70" s="60" t="str">
        <f t="shared" si="7"/>
        <v/>
      </c>
      <c r="C70" s="17"/>
      <c r="D70" s="17"/>
      <c r="E70" s="17"/>
      <c r="F70" s="17"/>
      <c r="G70" s="17"/>
      <c r="H70" s="23"/>
      <c r="I70" s="17"/>
      <c r="J70" s="17"/>
      <c r="K70" s="17"/>
      <c r="L70" s="17"/>
    </row>
    <row r="71" spans="1:12">
      <c r="A71" s="60" t="str">
        <f t="shared" si="6"/>
        <v/>
      </c>
      <c r="B71" s="60" t="str">
        <f t="shared" si="7"/>
        <v/>
      </c>
      <c r="C71" s="17"/>
      <c r="D71" s="17"/>
      <c r="E71" s="17"/>
      <c r="F71" s="17"/>
      <c r="G71" s="17"/>
      <c r="H71" s="23"/>
      <c r="I71" s="17"/>
      <c r="J71" s="17"/>
      <c r="K71" s="17"/>
      <c r="L71" s="17"/>
    </row>
    <row r="72" spans="1:12">
      <c r="A72" s="60" t="str">
        <f t="shared" si="6"/>
        <v/>
      </c>
      <c r="B72" s="60" t="str">
        <f t="shared" si="7"/>
        <v/>
      </c>
      <c r="C72" s="17"/>
      <c r="D72" s="17"/>
      <c r="E72" s="17"/>
      <c r="F72" s="17"/>
      <c r="G72" s="17"/>
      <c r="H72" s="23"/>
      <c r="I72" s="17"/>
      <c r="J72" s="17"/>
      <c r="K72" s="17"/>
      <c r="L72" s="17"/>
    </row>
    <row r="73" spans="1:12">
      <c r="A73" s="60" t="str">
        <f t="shared" si="6"/>
        <v/>
      </c>
      <c r="B73" s="60" t="str">
        <f t="shared" si="7"/>
        <v/>
      </c>
      <c r="C73" s="17"/>
      <c r="D73" s="17"/>
      <c r="E73" s="17"/>
      <c r="F73" s="17"/>
      <c r="G73" s="17"/>
      <c r="H73" s="23"/>
      <c r="I73" s="17"/>
      <c r="J73" s="17"/>
      <c r="K73" s="17"/>
      <c r="L73" s="17"/>
    </row>
    <row r="74" spans="1:12">
      <c r="A74" s="60" t="str">
        <f t="shared" si="6"/>
        <v/>
      </c>
      <c r="B74" s="60" t="str">
        <f t="shared" si="7"/>
        <v/>
      </c>
      <c r="C74" s="17"/>
      <c r="D74" s="17"/>
      <c r="E74" s="17"/>
      <c r="F74" s="17"/>
      <c r="G74" s="17"/>
      <c r="H74" s="23"/>
      <c r="I74" s="17"/>
      <c r="J74" s="17"/>
      <c r="K74" s="17"/>
      <c r="L74" s="17"/>
    </row>
    <row r="75" spans="1:12">
      <c r="A75" s="60" t="str">
        <f t="shared" si="6"/>
        <v/>
      </c>
      <c r="B75" s="60" t="str">
        <f t="shared" si="7"/>
        <v/>
      </c>
      <c r="C75" s="17"/>
      <c r="D75" s="17"/>
      <c r="E75" s="17"/>
      <c r="F75" s="17"/>
      <c r="G75" s="17"/>
      <c r="H75" s="23"/>
      <c r="I75" s="17"/>
      <c r="J75" s="17"/>
      <c r="K75" s="17"/>
      <c r="L75" s="17"/>
    </row>
    <row r="76" spans="1:12">
      <c r="A76" s="60" t="str">
        <f t="shared" si="6"/>
        <v/>
      </c>
      <c r="B76" s="60" t="str">
        <f t="shared" si="7"/>
        <v/>
      </c>
      <c r="C76" s="17"/>
      <c r="D76" s="17"/>
      <c r="E76" s="17"/>
      <c r="F76" s="17"/>
      <c r="G76" s="17"/>
      <c r="H76" s="23"/>
      <c r="I76" s="17"/>
      <c r="J76" s="17"/>
      <c r="K76" s="17"/>
      <c r="L76" s="17"/>
    </row>
    <row r="77" spans="1:12">
      <c r="A77" s="60" t="str">
        <f t="shared" si="6"/>
        <v/>
      </c>
      <c r="B77" s="60" t="str">
        <f t="shared" si="7"/>
        <v/>
      </c>
      <c r="C77" s="17"/>
      <c r="D77" s="17"/>
      <c r="E77" s="17"/>
      <c r="F77" s="17"/>
      <c r="G77" s="17"/>
      <c r="H77" s="23"/>
      <c r="I77" s="17"/>
      <c r="J77" s="17"/>
      <c r="K77" s="17"/>
      <c r="L77" s="17"/>
    </row>
    <row r="78" spans="1:12">
      <c r="A78" s="60" t="str">
        <f t="shared" si="6"/>
        <v/>
      </c>
      <c r="B78" s="60" t="str">
        <f t="shared" si="7"/>
        <v/>
      </c>
      <c r="C78" s="17"/>
      <c r="D78" s="17"/>
      <c r="E78" s="17"/>
      <c r="F78" s="17"/>
      <c r="G78" s="17"/>
      <c r="H78" s="23"/>
      <c r="I78" s="17"/>
      <c r="J78" s="17"/>
      <c r="K78" s="17"/>
      <c r="L78" s="17"/>
    </row>
    <row r="79" spans="1:12">
      <c r="A79" s="60" t="str">
        <f t="shared" si="6"/>
        <v/>
      </c>
      <c r="B79" s="60" t="str">
        <f t="shared" si="7"/>
        <v/>
      </c>
      <c r="C79" s="17"/>
      <c r="D79" s="17"/>
      <c r="E79" s="17"/>
      <c r="F79" s="17"/>
      <c r="G79" s="17"/>
      <c r="H79" s="23"/>
      <c r="I79" s="17"/>
      <c r="J79" s="17"/>
      <c r="K79" s="17"/>
      <c r="L79" s="17"/>
    </row>
    <row r="80" spans="1:12">
      <c r="A80" s="60" t="str">
        <f t="shared" si="6"/>
        <v/>
      </c>
      <c r="B80" s="60" t="str">
        <f t="shared" si="7"/>
        <v/>
      </c>
      <c r="C80" s="17"/>
      <c r="D80" s="17"/>
      <c r="E80" s="17"/>
      <c r="F80" s="17"/>
      <c r="G80" s="17"/>
      <c r="H80" s="23"/>
      <c r="I80" s="17"/>
      <c r="J80" s="17"/>
      <c r="K80" s="17"/>
      <c r="L80" s="17"/>
    </row>
    <row r="81" spans="1:12">
      <c r="A81" s="60" t="str">
        <f t="shared" si="6"/>
        <v/>
      </c>
      <c r="B81" s="60" t="str">
        <f t="shared" si="7"/>
        <v/>
      </c>
      <c r="C81" s="17"/>
      <c r="D81" s="17"/>
      <c r="E81" s="17"/>
      <c r="F81" s="17"/>
      <c r="G81" s="17"/>
      <c r="H81" s="23"/>
      <c r="I81" s="17"/>
      <c r="J81" s="17"/>
      <c r="K81" s="17"/>
      <c r="L81" s="17"/>
    </row>
    <row r="82" spans="1:12">
      <c r="A82" s="60" t="str">
        <f t="shared" si="6"/>
        <v/>
      </c>
      <c r="B82" s="60" t="str">
        <f t="shared" si="7"/>
        <v/>
      </c>
      <c r="C82" s="17"/>
      <c r="D82" s="17"/>
      <c r="E82" s="17"/>
      <c r="F82" s="17"/>
      <c r="G82" s="17"/>
      <c r="H82" s="23"/>
      <c r="I82" s="17"/>
      <c r="J82" s="17"/>
      <c r="K82" s="17"/>
      <c r="L82" s="17"/>
    </row>
    <row r="83" spans="1:12">
      <c r="A83" s="60" t="str">
        <f t="shared" si="6"/>
        <v/>
      </c>
      <c r="B83" s="60" t="str">
        <f t="shared" si="7"/>
        <v/>
      </c>
      <c r="C83" s="17"/>
      <c r="D83" s="17"/>
      <c r="E83" s="17"/>
      <c r="F83" s="17"/>
      <c r="G83" s="17"/>
      <c r="H83" s="23"/>
      <c r="I83" s="17"/>
      <c r="J83" s="17"/>
      <c r="K83" s="17"/>
      <c r="L83" s="17"/>
    </row>
    <row r="84" spans="1:12">
      <c r="A84" s="60" t="str">
        <f t="shared" si="6"/>
        <v/>
      </c>
      <c r="B84" s="60" t="str">
        <f t="shared" si="7"/>
        <v/>
      </c>
      <c r="C84" s="17"/>
      <c r="D84" s="17"/>
      <c r="E84" s="17"/>
      <c r="F84" s="17"/>
      <c r="G84" s="17"/>
      <c r="H84" s="23"/>
      <c r="I84" s="17"/>
      <c r="J84" s="17"/>
      <c r="K84" s="17"/>
      <c r="L84" s="17"/>
    </row>
    <row r="85" spans="1:12">
      <c r="A85" s="60" t="str">
        <f t="shared" si="6"/>
        <v/>
      </c>
      <c r="B85" s="60" t="str">
        <f t="shared" si="7"/>
        <v/>
      </c>
      <c r="C85" s="17"/>
      <c r="D85" s="17"/>
      <c r="E85" s="17"/>
      <c r="F85" s="17"/>
      <c r="G85" s="17"/>
      <c r="H85" s="23"/>
      <c r="I85" s="17"/>
      <c r="J85" s="17"/>
      <c r="K85" s="17"/>
      <c r="L85" s="17"/>
    </row>
    <row r="86" spans="1:12">
      <c r="A86" s="60" t="str">
        <f t="shared" si="6"/>
        <v/>
      </c>
      <c r="B86" s="60" t="str">
        <f t="shared" si="7"/>
        <v/>
      </c>
      <c r="C86" s="17"/>
      <c r="D86" s="17"/>
      <c r="E86" s="17"/>
      <c r="F86" s="17"/>
      <c r="G86" s="17"/>
      <c r="H86" s="23"/>
      <c r="I86" s="17"/>
      <c r="J86" s="17"/>
      <c r="K86" s="17"/>
      <c r="L86" s="17"/>
    </row>
    <row r="87" spans="1:12">
      <c r="A87" s="60" t="str">
        <f t="shared" si="6"/>
        <v/>
      </c>
      <c r="B87" s="60" t="str">
        <f t="shared" si="7"/>
        <v/>
      </c>
      <c r="C87" s="17"/>
      <c r="D87" s="17"/>
      <c r="E87" s="17"/>
      <c r="F87" s="17"/>
      <c r="G87" s="17"/>
      <c r="H87" s="23"/>
      <c r="I87" s="17"/>
      <c r="J87" s="17"/>
      <c r="K87" s="17"/>
      <c r="L87" s="17"/>
    </row>
    <row r="88" spans="1:12">
      <c r="A88" s="60" t="str">
        <f t="shared" si="6"/>
        <v/>
      </c>
      <c r="B88" s="60" t="str">
        <f t="shared" si="7"/>
        <v/>
      </c>
      <c r="C88" s="17"/>
      <c r="D88" s="17"/>
      <c r="E88" s="17"/>
      <c r="F88" s="17"/>
      <c r="G88" s="17"/>
      <c r="H88" s="23"/>
      <c r="I88" s="17"/>
      <c r="J88" s="17"/>
      <c r="K88" s="17"/>
      <c r="L88" s="17"/>
    </row>
    <row r="89" spans="1:12">
      <c r="A89" s="60" t="str">
        <f t="shared" si="6"/>
        <v/>
      </c>
      <c r="B89" s="60" t="str">
        <f t="shared" si="7"/>
        <v/>
      </c>
      <c r="C89" s="17"/>
      <c r="D89" s="17"/>
      <c r="E89" s="17"/>
      <c r="F89" s="17"/>
      <c r="G89" s="17"/>
      <c r="H89" s="23"/>
      <c r="I89" s="17"/>
      <c r="J89" s="17"/>
      <c r="K89" s="17"/>
      <c r="L89" s="17"/>
    </row>
    <row r="90" spans="1:12">
      <c r="A90" s="60" t="str">
        <f t="shared" si="6"/>
        <v/>
      </c>
      <c r="B90" s="60" t="str">
        <f t="shared" si="7"/>
        <v/>
      </c>
      <c r="C90" s="17"/>
      <c r="D90" s="17"/>
      <c r="E90" s="17"/>
      <c r="F90" s="17"/>
      <c r="G90" s="17"/>
      <c r="H90" s="23"/>
      <c r="I90" s="17"/>
      <c r="J90" s="17"/>
      <c r="K90" s="17"/>
      <c r="L90" s="17"/>
    </row>
    <row r="91" spans="1:12">
      <c r="A91" s="60" t="str">
        <f t="shared" si="6"/>
        <v/>
      </c>
      <c r="B91" s="60" t="str">
        <f t="shared" si="7"/>
        <v/>
      </c>
      <c r="C91" s="17"/>
      <c r="D91" s="17"/>
      <c r="E91" s="17"/>
      <c r="F91" s="17"/>
      <c r="G91" s="17"/>
      <c r="H91" s="23"/>
      <c r="I91" s="17"/>
      <c r="J91" s="17"/>
      <c r="K91" s="17"/>
      <c r="L91" s="17"/>
    </row>
    <row r="92" spans="1:12">
      <c r="A92" s="60" t="str">
        <f t="shared" si="6"/>
        <v/>
      </c>
      <c r="B92" s="60" t="str">
        <f t="shared" si="7"/>
        <v/>
      </c>
      <c r="C92" s="17"/>
      <c r="D92" s="17"/>
      <c r="E92" s="17"/>
      <c r="F92" s="17"/>
      <c r="G92" s="17"/>
      <c r="H92" s="23"/>
      <c r="I92" s="17"/>
      <c r="J92" s="17"/>
      <c r="K92" s="17"/>
      <c r="L92" s="17"/>
    </row>
    <row r="93" spans="1:12">
      <c r="A93" s="60" t="str">
        <f t="shared" si="6"/>
        <v/>
      </c>
      <c r="B93" s="60" t="str">
        <f t="shared" si="7"/>
        <v/>
      </c>
      <c r="C93" s="17"/>
      <c r="D93" s="17"/>
      <c r="E93" s="17"/>
      <c r="F93" s="17"/>
      <c r="G93" s="17"/>
      <c r="H93" s="23"/>
      <c r="I93" s="17"/>
      <c r="J93" s="17"/>
      <c r="K93" s="17"/>
      <c r="L93" s="17"/>
    </row>
    <row r="94" spans="1:12">
      <c r="A94" s="60" t="str">
        <f t="shared" si="6"/>
        <v/>
      </c>
      <c r="B94" s="60" t="str">
        <f t="shared" si="7"/>
        <v/>
      </c>
      <c r="C94" s="17"/>
      <c r="D94" s="17"/>
      <c r="E94" s="17"/>
      <c r="F94" s="17"/>
      <c r="G94" s="17"/>
      <c r="H94" s="23"/>
      <c r="I94" s="17"/>
      <c r="J94" s="17"/>
      <c r="K94" s="17"/>
      <c r="L94" s="17"/>
    </row>
    <row r="95" spans="1:12">
      <c r="A95" s="60" t="str">
        <f t="shared" si="6"/>
        <v/>
      </c>
      <c r="B95" s="60" t="str">
        <f t="shared" si="7"/>
        <v/>
      </c>
      <c r="C95" s="17"/>
      <c r="D95" s="17"/>
      <c r="E95" s="17"/>
      <c r="F95" s="17"/>
      <c r="G95" s="17"/>
      <c r="H95" s="23"/>
      <c r="I95" s="17"/>
      <c r="J95" s="17"/>
      <c r="K95" s="17"/>
      <c r="L95" s="17"/>
    </row>
    <row r="96" spans="1:12">
      <c r="A96" s="60" t="str">
        <f t="shared" si="6"/>
        <v/>
      </c>
      <c r="B96" s="60" t="str">
        <f t="shared" si="7"/>
        <v/>
      </c>
      <c r="C96" s="17"/>
      <c r="D96" s="17"/>
      <c r="E96" s="17"/>
      <c r="F96" s="17"/>
      <c r="G96" s="17"/>
      <c r="H96" s="23"/>
      <c r="I96" s="17"/>
      <c r="J96" s="17"/>
      <c r="K96" s="17"/>
      <c r="L96" s="17"/>
    </row>
    <row r="97" spans="1:12">
      <c r="A97" s="60" t="str">
        <f t="shared" si="6"/>
        <v/>
      </c>
      <c r="B97" s="60" t="str">
        <f t="shared" si="7"/>
        <v/>
      </c>
      <c r="C97" s="17"/>
      <c r="D97" s="17"/>
      <c r="E97" s="17"/>
      <c r="F97" s="17"/>
      <c r="G97" s="17"/>
      <c r="H97" s="23"/>
      <c r="I97" s="17"/>
      <c r="J97" s="17"/>
      <c r="K97" s="17"/>
      <c r="L97" s="17"/>
    </row>
    <row r="98" spans="1:12">
      <c r="A98" s="60" t="str">
        <f t="shared" si="6"/>
        <v/>
      </c>
      <c r="B98" s="60" t="str">
        <f t="shared" si="7"/>
        <v/>
      </c>
      <c r="C98" s="17"/>
      <c r="D98" s="17"/>
      <c r="E98" s="17"/>
      <c r="F98" s="17"/>
      <c r="G98" s="17"/>
      <c r="H98" s="23"/>
      <c r="I98" s="17"/>
      <c r="J98" s="17"/>
      <c r="K98" s="17"/>
      <c r="L98" s="17"/>
    </row>
    <row r="99" spans="1:12">
      <c r="A99" s="60" t="str">
        <f t="shared" si="6"/>
        <v/>
      </c>
      <c r="B99" s="60" t="str">
        <f t="shared" si="7"/>
        <v/>
      </c>
      <c r="C99" s="17"/>
      <c r="D99" s="17"/>
      <c r="E99" s="17"/>
      <c r="F99" s="17"/>
      <c r="G99" s="17"/>
      <c r="H99" s="23"/>
      <c r="I99" s="17"/>
      <c r="J99" s="17"/>
      <c r="K99" s="17"/>
      <c r="L99" s="17"/>
    </row>
    <row r="100" spans="1:12">
      <c r="A100" s="60" t="str">
        <f t="shared" si="6"/>
        <v/>
      </c>
      <c r="B100" s="60" t="str">
        <f t="shared" si="7"/>
        <v/>
      </c>
      <c r="C100" s="17"/>
      <c r="D100" s="17"/>
      <c r="E100" s="17"/>
      <c r="F100" s="17"/>
      <c r="G100" s="17"/>
      <c r="H100" s="23"/>
      <c r="I100" s="17"/>
      <c r="J100" s="17"/>
      <c r="K100" s="17"/>
      <c r="L100" s="17"/>
    </row>
    <row r="101" spans="1:12">
      <c r="A101" s="60" t="str">
        <f t="shared" si="6"/>
        <v/>
      </c>
      <c r="B101" s="60" t="str">
        <f t="shared" si="7"/>
        <v/>
      </c>
      <c r="C101" s="17"/>
      <c r="D101" s="17"/>
      <c r="E101" s="17"/>
      <c r="F101" s="17"/>
      <c r="G101" s="17"/>
      <c r="H101" s="23"/>
      <c r="I101" s="17"/>
      <c r="J101" s="17"/>
      <c r="K101" s="17"/>
      <c r="L101" s="17"/>
    </row>
    <row r="102" spans="1:12">
      <c r="A102" s="60" t="str">
        <f t="shared" si="6"/>
        <v/>
      </c>
      <c r="B102" s="60" t="str">
        <f t="shared" si="7"/>
        <v/>
      </c>
      <c r="C102" s="17"/>
      <c r="D102" s="17"/>
      <c r="E102" s="17"/>
      <c r="F102" s="17"/>
      <c r="G102" s="17"/>
      <c r="H102" s="23"/>
      <c r="I102" s="17"/>
      <c r="J102" s="17"/>
      <c r="K102" s="17"/>
      <c r="L102" s="17"/>
    </row>
    <row r="103" spans="1:12">
      <c r="A103" s="60" t="str">
        <f t="shared" si="6"/>
        <v/>
      </c>
      <c r="B103" s="60" t="str">
        <f t="shared" si="7"/>
        <v/>
      </c>
      <c r="C103" s="17"/>
      <c r="D103" s="17"/>
      <c r="E103" s="17"/>
      <c r="F103" s="17"/>
      <c r="G103" s="17"/>
      <c r="H103" s="23"/>
      <c r="I103" s="17"/>
      <c r="J103" s="17"/>
      <c r="K103" s="17"/>
      <c r="L103" s="17"/>
    </row>
    <row r="104" spans="1:12">
      <c r="A104" s="60" t="str">
        <f t="shared" si="6"/>
        <v/>
      </c>
      <c r="B104" s="60" t="str">
        <f t="shared" si="7"/>
        <v/>
      </c>
      <c r="C104" s="17"/>
      <c r="D104" s="17"/>
      <c r="E104" s="17"/>
      <c r="F104" s="17"/>
      <c r="G104" s="17"/>
      <c r="H104" s="23"/>
      <c r="I104" s="17"/>
      <c r="J104" s="17"/>
      <c r="K104" s="17"/>
      <c r="L104" s="17"/>
    </row>
    <row r="105" spans="1:12">
      <c r="A105" s="60" t="str">
        <f t="shared" si="6"/>
        <v/>
      </c>
      <c r="B105" s="60" t="str">
        <f t="shared" si="7"/>
        <v/>
      </c>
      <c r="C105" s="17"/>
      <c r="D105" s="17"/>
      <c r="E105" s="17"/>
      <c r="F105" s="17"/>
      <c r="G105" s="17"/>
      <c r="H105" s="23"/>
      <c r="I105" s="17"/>
      <c r="J105" s="17"/>
      <c r="K105" s="17"/>
      <c r="L105" s="17"/>
    </row>
    <row r="106" spans="1:12">
      <c r="A106" s="60" t="str">
        <f t="shared" si="6"/>
        <v/>
      </c>
      <c r="B106" s="60" t="str">
        <f t="shared" si="7"/>
        <v/>
      </c>
      <c r="C106" s="17"/>
      <c r="D106" s="17"/>
      <c r="E106" s="17"/>
      <c r="F106" s="17"/>
      <c r="G106" s="17"/>
      <c r="H106" s="23"/>
      <c r="I106" s="17"/>
      <c r="J106" s="17"/>
      <c r="K106" s="17"/>
      <c r="L106" s="17"/>
    </row>
    <row r="107" spans="1:12">
      <c r="A107" s="60" t="str">
        <f t="shared" si="6"/>
        <v/>
      </c>
      <c r="B107" s="60" t="str">
        <f t="shared" si="7"/>
        <v/>
      </c>
      <c r="C107" s="17"/>
      <c r="D107" s="17"/>
      <c r="E107" s="17"/>
      <c r="F107" s="17"/>
      <c r="G107" s="17"/>
      <c r="H107" s="23"/>
      <c r="I107" s="17"/>
      <c r="J107" s="17"/>
      <c r="K107" s="17"/>
      <c r="L107" s="17"/>
    </row>
    <row r="108" spans="1:12">
      <c r="A108" s="60" t="str">
        <f t="shared" si="6"/>
        <v/>
      </c>
      <c r="B108" s="60" t="str">
        <f t="shared" si="7"/>
        <v/>
      </c>
      <c r="C108" s="17"/>
      <c r="D108" s="17"/>
      <c r="E108" s="17"/>
      <c r="F108" s="17"/>
      <c r="G108" s="17"/>
      <c r="H108" s="23"/>
      <c r="I108" s="17"/>
      <c r="J108" s="17"/>
      <c r="K108" s="17"/>
      <c r="L108" s="17"/>
    </row>
    <row r="109" spans="1:12">
      <c r="A109" s="60" t="str">
        <f t="shared" si="6"/>
        <v/>
      </c>
      <c r="B109" s="60" t="str">
        <f t="shared" si="7"/>
        <v/>
      </c>
      <c r="C109" s="17"/>
      <c r="D109" s="17"/>
      <c r="E109" s="17"/>
      <c r="F109" s="17"/>
      <c r="G109" s="17"/>
      <c r="H109" s="23"/>
      <c r="I109" s="17"/>
      <c r="J109" s="17"/>
      <c r="K109" s="17"/>
      <c r="L109" s="17"/>
    </row>
    <row r="110" spans="1:12">
      <c r="A110" s="60" t="str">
        <f t="shared" si="6"/>
        <v/>
      </c>
      <c r="B110" s="60" t="str">
        <f t="shared" si="7"/>
        <v/>
      </c>
      <c r="C110" s="17"/>
      <c r="D110" s="17"/>
      <c r="E110" s="17"/>
      <c r="F110" s="17"/>
      <c r="G110" s="17"/>
      <c r="H110" s="23"/>
      <c r="I110" s="17"/>
      <c r="J110" s="17"/>
      <c r="K110" s="17"/>
      <c r="L110" s="17"/>
    </row>
    <row r="111" spans="1:12">
      <c r="A111" s="60" t="str">
        <f t="shared" si="6"/>
        <v/>
      </c>
      <c r="B111" s="60" t="str">
        <f t="shared" si="7"/>
        <v/>
      </c>
      <c r="C111" s="17"/>
      <c r="D111" s="17"/>
      <c r="E111" s="17"/>
      <c r="F111" s="17"/>
      <c r="G111" s="17"/>
      <c r="H111" s="23"/>
      <c r="I111" s="17"/>
      <c r="J111" s="17"/>
      <c r="K111" s="17"/>
      <c r="L111" s="17"/>
    </row>
    <row r="112" spans="1:12">
      <c r="A112" s="60" t="str">
        <f t="shared" si="6"/>
        <v/>
      </c>
      <c r="B112" s="60" t="str">
        <f t="shared" si="7"/>
        <v/>
      </c>
      <c r="C112" s="17"/>
      <c r="D112" s="17"/>
      <c r="E112" s="17"/>
      <c r="F112" s="17"/>
      <c r="G112" s="17"/>
      <c r="H112" s="23"/>
      <c r="I112" s="17"/>
      <c r="J112" s="17"/>
      <c r="K112" s="17"/>
      <c r="L112" s="17"/>
    </row>
    <row r="113" spans="1:12">
      <c r="A113" s="60" t="str">
        <f t="shared" si="6"/>
        <v/>
      </c>
      <c r="B113" s="60" t="str">
        <f t="shared" si="7"/>
        <v/>
      </c>
      <c r="C113" s="17"/>
      <c r="D113" s="17"/>
      <c r="E113" s="17"/>
      <c r="F113" s="17"/>
      <c r="G113" s="17"/>
      <c r="H113" s="23"/>
      <c r="I113" s="17"/>
      <c r="J113" s="17"/>
      <c r="K113" s="17"/>
      <c r="L113" s="17"/>
    </row>
    <row r="114" spans="1:12">
      <c r="A114" s="60" t="str">
        <f t="shared" si="6"/>
        <v/>
      </c>
      <c r="B114" s="60" t="str">
        <f t="shared" si="7"/>
        <v/>
      </c>
      <c r="C114" s="17"/>
      <c r="D114" s="17"/>
      <c r="E114" s="17"/>
      <c r="F114" s="17"/>
      <c r="G114" s="17"/>
      <c r="H114" s="23"/>
      <c r="I114" s="17"/>
      <c r="J114" s="17"/>
      <c r="K114" s="17"/>
      <c r="L114" s="17"/>
    </row>
    <row r="115" spans="1:12">
      <c r="A115" s="60" t="str">
        <f t="shared" si="6"/>
        <v/>
      </c>
      <c r="B115" s="60" t="str">
        <f t="shared" si="7"/>
        <v/>
      </c>
      <c r="C115" s="17"/>
      <c r="D115" s="17"/>
      <c r="E115" s="17"/>
      <c r="F115" s="17"/>
      <c r="G115" s="17"/>
      <c r="H115" s="23"/>
      <c r="I115" s="17"/>
      <c r="J115" s="17"/>
      <c r="K115" s="17"/>
      <c r="L115" s="17"/>
    </row>
    <row r="116" spans="1:12">
      <c r="A116" s="60" t="str">
        <f t="shared" si="6"/>
        <v/>
      </c>
      <c r="B116" s="60" t="str">
        <f t="shared" si="7"/>
        <v/>
      </c>
      <c r="C116" s="17"/>
      <c r="D116" s="17"/>
      <c r="E116" s="17"/>
      <c r="F116" s="17"/>
      <c r="G116" s="17"/>
      <c r="H116" s="23"/>
      <c r="I116" s="17"/>
      <c r="J116" s="17"/>
      <c r="K116" s="17"/>
      <c r="L116" s="17"/>
    </row>
    <row r="117" spans="1:12">
      <c r="A117" s="60" t="str">
        <f t="shared" si="6"/>
        <v/>
      </c>
      <c r="B117" s="60" t="str">
        <f t="shared" si="7"/>
        <v/>
      </c>
      <c r="C117" s="17"/>
      <c r="D117" s="17"/>
      <c r="E117" s="17"/>
      <c r="F117" s="17"/>
      <c r="G117" s="17"/>
      <c r="H117" s="23"/>
      <c r="I117" s="17"/>
      <c r="J117" s="17"/>
      <c r="K117" s="17"/>
      <c r="L117" s="17"/>
    </row>
    <row r="118" spans="1:12">
      <c r="A118" s="60" t="str">
        <f t="shared" si="6"/>
        <v/>
      </c>
      <c r="B118" s="60" t="str">
        <f t="shared" si="7"/>
        <v/>
      </c>
      <c r="C118" s="17"/>
      <c r="D118" s="17"/>
      <c r="E118" s="17"/>
      <c r="F118" s="17"/>
      <c r="G118" s="17"/>
      <c r="H118" s="23"/>
      <c r="I118" s="17"/>
      <c r="J118" s="17"/>
      <c r="K118" s="17"/>
      <c r="L118" s="17"/>
    </row>
    <row r="119" spans="1:12">
      <c r="A119" s="60" t="str">
        <f t="shared" si="6"/>
        <v/>
      </c>
      <c r="B119" s="60" t="str">
        <f t="shared" si="7"/>
        <v/>
      </c>
      <c r="C119" s="17"/>
      <c r="D119" s="17"/>
      <c r="E119" s="17"/>
      <c r="F119" s="17"/>
      <c r="G119" s="17"/>
      <c r="H119" s="23"/>
      <c r="I119" s="17"/>
      <c r="J119" s="17"/>
      <c r="K119" s="17"/>
      <c r="L119" s="17"/>
    </row>
    <row r="120" spans="1:12">
      <c r="A120" s="60" t="str">
        <f t="shared" si="6"/>
        <v/>
      </c>
      <c r="B120" s="60" t="str">
        <f t="shared" si="7"/>
        <v/>
      </c>
      <c r="C120" s="17"/>
      <c r="D120" s="17"/>
      <c r="E120" s="17"/>
      <c r="F120" s="17"/>
      <c r="G120" s="17"/>
      <c r="H120" s="23"/>
      <c r="I120" s="17"/>
      <c r="J120" s="17"/>
      <c r="K120" s="17"/>
      <c r="L120" s="17"/>
    </row>
    <row r="121" spans="1:12">
      <c r="A121" s="60" t="str">
        <f t="shared" si="6"/>
        <v/>
      </c>
      <c r="B121" s="60" t="str">
        <f t="shared" si="7"/>
        <v/>
      </c>
      <c r="C121" s="17"/>
      <c r="D121" s="17"/>
      <c r="E121" s="17"/>
      <c r="F121" s="17"/>
      <c r="G121" s="17"/>
      <c r="H121" s="23"/>
      <c r="I121" s="17"/>
      <c r="J121" s="17"/>
      <c r="K121" s="17"/>
      <c r="L121" s="17"/>
    </row>
    <row r="122" spans="1:12">
      <c r="A122" s="60" t="str">
        <f t="shared" si="6"/>
        <v/>
      </c>
      <c r="B122" s="60" t="str">
        <f t="shared" si="7"/>
        <v/>
      </c>
      <c r="C122" s="17"/>
      <c r="D122" s="17"/>
      <c r="E122" s="17"/>
      <c r="F122" s="17"/>
      <c r="G122" s="17"/>
      <c r="H122" s="23"/>
      <c r="I122" s="17"/>
      <c r="J122" s="17"/>
      <c r="K122" s="17"/>
      <c r="L122" s="17"/>
    </row>
    <row r="123" spans="1:12">
      <c r="A123" s="60" t="str">
        <f t="shared" si="6"/>
        <v/>
      </c>
      <c r="B123" s="60" t="str">
        <f t="shared" si="7"/>
        <v/>
      </c>
      <c r="C123" s="17"/>
      <c r="D123" s="17"/>
      <c r="E123" s="17"/>
      <c r="F123" s="17"/>
      <c r="G123" s="17"/>
      <c r="H123" s="23"/>
      <c r="I123" s="17"/>
      <c r="J123" s="17"/>
      <c r="K123" s="17"/>
      <c r="L123" s="17"/>
    </row>
    <row r="124" spans="1:12">
      <c r="A124" s="60" t="str">
        <f t="shared" si="6"/>
        <v/>
      </c>
      <c r="B124" s="60" t="str">
        <f t="shared" si="7"/>
        <v/>
      </c>
      <c r="C124" s="17"/>
      <c r="D124" s="17"/>
      <c r="E124" s="17"/>
      <c r="F124" s="17"/>
      <c r="G124" s="17"/>
      <c r="H124" s="23"/>
      <c r="I124" s="17"/>
      <c r="J124" s="17"/>
      <c r="K124" s="17"/>
      <c r="L124" s="17"/>
    </row>
    <row r="125" spans="1:12">
      <c r="A125" s="60" t="str">
        <f t="shared" si="6"/>
        <v/>
      </c>
      <c r="B125" s="60" t="str">
        <f t="shared" si="7"/>
        <v/>
      </c>
      <c r="C125" s="17"/>
      <c r="D125" s="17"/>
      <c r="E125" s="17"/>
      <c r="F125" s="17"/>
      <c r="G125" s="17"/>
      <c r="H125" s="23"/>
      <c r="I125" s="17"/>
      <c r="J125" s="17"/>
      <c r="K125" s="17"/>
      <c r="L125" s="17"/>
    </row>
    <row r="126" spans="1:12">
      <c r="A126" s="60" t="str">
        <f t="shared" si="6"/>
        <v/>
      </c>
      <c r="B126" s="60" t="str">
        <f t="shared" si="7"/>
        <v/>
      </c>
      <c r="C126" s="17"/>
      <c r="D126" s="17"/>
      <c r="E126" s="17"/>
      <c r="F126" s="17"/>
      <c r="G126" s="17"/>
      <c r="H126" s="23"/>
      <c r="I126" s="17"/>
      <c r="J126" s="17"/>
      <c r="K126" s="17"/>
      <c r="L126" s="17"/>
    </row>
    <row r="127" spans="1:12">
      <c r="A127" s="60" t="str">
        <f t="shared" ref="A127:A190" si="8">+C127&amp;G127&amp;H127&amp;D127</f>
        <v/>
      </c>
      <c r="B127" s="60" t="str">
        <f t="shared" ref="B127:B190" si="9">+C127&amp;G127&amp;H127&amp;D127&amp;K127</f>
        <v/>
      </c>
      <c r="C127" s="17"/>
      <c r="D127" s="17"/>
      <c r="E127" s="17"/>
      <c r="F127" s="17"/>
      <c r="G127" s="17"/>
      <c r="H127" s="23"/>
      <c r="I127" s="17"/>
      <c r="J127" s="17"/>
      <c r="K127" s="17"/>
      <c r="L127" s="17"/>
    </row>
    <row r="128" spans="1:12">
      <c r="A128" s="60" t="str">
        <f t="shared" si="8"/>
        <v/>
      </c>
      <c r="B128" s="60" t="str">
        <f t="shared" si="9"/>
        <v/>
      </c>
      <c r="C128" s="17"/>
      <c r="D128" s="17"/>
      <c r="E128" s="17"/>
      <c r="F128" s="17"/>
      <c r="G128" s="17"/>
      <c r="H128" s="23"/>
      <c r="I128" s="17"/>
      <c r="J128" s="17"/>
      <c r="K128" s="17"/>
      <c r="L128" s="17"/>
    </row>
    <row r="129" spans="1:12">
      <c r="A129" s="60" t="str">
        <f t="shared" si="8"/>
        <v/>
      </c>
      <c r="B129" s="60" t="str">
        <f t="shared" si="9"/>
        <v/>
      </c>
      <c r="C129" s="17"/>
      <c r="D129" s="17"/>
      <c r="E129" s="17"/>
      <c r="F129" s="17"/>
      <c r="G129" s="17"/>
      <c r="H129" s="23"/>
      <c r="I129" s="17"/>
      <c r="J129" s="17"/>
      <c r="K129" s="17"/>
      <c r="L129" s="17"/>
    </row>
    <row r="130" spans="1:12">
      <c r="A130" s="60" t="str">
        <f t="shared" si="8"/>
        <v/>
      </c>
      <c r="B130" s="60" t="str">
        <f t="shared" si="9"/>
        <v/>
      </c>
      <c r="C130" s="17"/>
      <c r="D130" s="17"/>
      <c r="E130" s="17"/>
      <c r="F130" s="17"/>
      <c r="G130" s="17"/>
      <c r="H130" s="23"/>
      <c r="I130" s="17"/>
      <c r="J130" s="17"/>
      <c r="K130" s="17"/>
      <c r="L130" s="17"/>
    </row>
    <row r="131" spans="1:12">
      <c r="A131" s="60" t="str">
        <f t="shared" si="8"/>
        <v/>
      </c>
      <c r="B131" s="60" t="str">
        <f t="shared" si="9"/>
        <v/>
      </c>
      <c r="C131" s="17"/>
      <c r="D131" s="17"/>
      <c r="E131" s="17"/>
      <c r="F131" s="17"/>
      <c r="G131" s="17"/>
      <c r="H131" s="23"/>
      <c r="I131" s="17"/>
      <c r="J131" s="17"/>
      <c r="K131" s="17"/>
      <c r="L131" s="17"/>
    </row>
    <row r="132" spans="1:12">
      <c r="A132" s="60" t="str">
        <f t="shared" si="8"/>
        <v/>
      </c>
      <c r="B132" s="60" t="str">
        <f t="shared" si="9"/>
        <v/>
      </c>
      <c r="C132" s="17"/>
      <c r="D132" s="17"/>
      <c r="E132" s="17"/>
      <c r="F132" s="17"/>
      <c r="G132" s="17"/>
      <c r="H132" s="23"/>
      <c r="I132" s="17"/>
      <c r="J132" s="17"/>
      <c r="K132" s="17"/>
      <c r="L132" s="17"/>
    </row>
    <row r="133" spans="1:12">
      <c r="A133" s="60" t="str">
        <f t="shared" si="8"/>
        <v/>
      </c>
      <c r="B133" s="60" t="str">
        <f t="shared" si="9"/>
        <v/>
      </c>
      <c r="C133" s="17"/>
      <c r="D133" s="17"/>
      <c r="E133" s="17"/>
      <c r="F133" s="17"/>
      <c r="G133" s="17"/>
      <c r="H133" s="23"/>
      <c r="I133" s="17"/>
      <c r="J133" s="17"/>
      <c r="K133" s="17"/>
      <c r="L133" s="17"/>
    </row>
    <row r="134" spans="1:12">
      <c r="A134" s="60" t="str">
        <f t="shared" si="8"/>
        <v/>
      </c>
      <c r="B134" s="60" t="str">
        <f t="shared" si="9"/>
        <v/>
      </c>
      <c r="C134" s="17"/>
      <c r="D134" s="17"/>
      <c r="E134" s="17"/>
      <c r="F134" s="17"/>
      <c r="G134" s="17"/>
      <c r="H134" s="23"/>
      <c r="I134" s="17"/>
      <c r="J134" s="17"/>
      <c r="K134" s="17"/>
      <c r="L134" s="17"/>
    </row>
    <row r="135" spans="1:12">
      <c r="A135" s="60" t="str">
        <f t="shared" si="8"/>
        <v/>
      </c>
      <c r="B135" s="60" t="str">
        <f t="shared" si="9"/>
        <v/>
      </c>
      <c r="C135" s="17"/>
      <c r="D135" s="17"/>
      <c r="E135" s="17"/>
      <c r="F135" s="17"/>
      <c r="G135" s="17"/>
      <c r="H135" s="23"/>
      <c r="I135" s="17"/>
      <c r="J135" s="17"/>
      <c r="K135" s="17"/>
      <c r="L135" s="17"/>
    </row>
    <row r="136" spans="1:12">
      <c r="A136" s="60" t="str">
        <f t="shared" si="8"/>
        <v/>
      </c>
      <c r="B136" s="60" t="str">
        <f t="shared" si="9"/>
        <v/>
      </c>
      <c r="C136" s="17"/>
      <c r="D136" s="17"/>
      <c r="E136" s="17"/>
      <c r="F136" s="17"/>
      <c r="G136" s="17"/>
      <c r="H136" s="23"/>
      <c r="I136" s="17"/>
      <c r="J136" s="17"/>
      <c r="K136" s="17"/>
      <c r="L136" s="17"/>
    </row>
    <row r="137" spans="1:12">
      <c r="A137" s="60" t="str">
        <f t="shared" si="8"/>
        <v/>
      </c>
      <c r="B137" s="60" t="str">
        <f t="shared" si="9"/>
        <v/>
      </c>
      <c r="C137" s="17"/>
      <c r="D137" s="17"/>
      <c r="E137" s="17"/>
      <c r="F137" s="17"/>
      <c r="G137" s="17"/>
      <c r="H137" s="23"/>
      <c r="I137" s="17"/>
      <c r="J137" s="17"/>
      <c r="K137" s="17"/>
      <c r="L137" s="17"/>
    </row>
    <row r="138" spans="1:12">
      <c r="A138" s="60" t="str">
        <f t="shared" si="8"/>
        <v/>
      </c>
      <c r="B138" s="60" t="str">
        <f t="shared" si="9"/>
        <v/>
      </c>
      <c r="C138" s="17"/>
      <c r="D138" s="17"/>
      <c r="E138" s="17"/>
      <c r="F138" s="17"/>
      <c r="G138" s="17"/>
      <c r="H138" s="23"/>
      <c r="I138" s="17"/>
      <c r="J138" s="17"/>
      <c r="K138" s="17"/>
      <c r="L138" s="17"/>
    </row>
    <row r="139" spans="1:12">
      <c r="A139" s="60" t="str">
        <f t="shared" si="8"/>
        <v/>
      </c>
      <c r="B139" s="60" t="str">
        <f t="shared" si="9"/>
        <v/>
      </c>
      <c r="C139" s="17"/>
      <c r="D139" s="17"/>
      <c r="E139" s="17"/>
      <c r="F139" s="17"/>
      <c r="G139" s="17"/>
      <c r="H139" s="23"/>
      <c r="I139" s="17"/>
      <c r="J139" s="17"/>
      <c r="K139" s="17"/>
      <c r="L139" s="17"/>
    </row>
    <row r="140" spans="1:12">
      <c r="A140" s="60" t="str">
        <f t="shared" si="8"/>
        <v/>
      </c>
      <c r="B140" s="60" t="str">
        <f t="shared" si="9"/>
        <v/>
      </c>
      <c r="C140" s="17"/>
      <c r="D140" s="17"/>
      <c r="E140" s="17"/>
      <c r="F140" s="17"/>
      <c r="G140" s="17"/>
      <c r="H140" s="23"/>
      <c r="I140" s="17"/>
      <c r="J140" s="17"/>
      <c r="K140" s="17"/>
      <c r="L140" s="17"/>
    </row>
    <row r="141" spans="1:12">
      <c r="A141" s="60" t="str">
        <f t="shared" si="8"/>
        <v/>
      </c>
      <c r="B141" s="60" t="str">
        <f t="shared" si="9"/>
        <v/>
      </c>
      <c r="C141" s="17"/>
      <c r="D141" s="17"/>
      <c r="E141" s="17"/>
      <c r="F141" s="17"/>
      <c r="G141" s="17"/>
      <c r="H141" s="23"/>
      <c r="I141" s="17"/>
      <c r="J141" s="17"/>
      <c r="K141" s="17"/>
      <c r="L141" s="17"/>
    </row>
    <row r="142" spans="1:12">
      <c r="A142" s="60" t="str">
        <f t="shared" si="8"/>
        <v/>
      </c>
      <c r="B142" s="60" t="str">
        <f t="shared" si="9"/>
        <v/>
      </c>
      <c r="C142" s="17"/>
      <c r="D142" s="17"/>
      <c r="E142" s="17"/>
      <c r="F142" s="17"/>
      <c r="G142" s="17"/>
      <c r="H142" s="23"/>
      <c r="I142" s="17"/>
      <c r="J142" s="17"/>
      <c r="K142" s="17"/>
      <c r="L142" s="17"/>
    </row>
    <row r="143" spans="1:12">
      <c r="A143" s="60" t="str">
        <f t="shared" si="8"/>
        <v/>
      </c>
      <c r="B143" s="60" t="str">
        <f t="shared" si="9"/>
        <v/>
      </c>
      <c r="C143" s="17"/>
      <c r="D143" s="17"/>
      <c r="E143" s="17"/>
      <c r="F143" s="17"/>
      <c r="G143" s="17"/>
      <c r="H143" s="23"/>
      <c r="I143" s="17"/>
      <c r="J143" s="17"/>
      <c r="K143" s="17"/>
      <c r="L143" s="17"/>
    </row>
    <row r="144" spans="1:12">
      <c r="A144" s="60" t="str">
        <f t="shared" si="8"/>
        <v/>
      </c>
      <c r="B144" s="60" t="str">
        <f t="shared" si="9"/>
        <v/>
      </c>
      <c r="C144" s="17"/>
      <c r="D144" s="17"/>
      <c r="E144" s="17"/>
      <c r="F144" s="17"/>
      <c r="G144" s="17"/>
      <c r="H144" s="23"/>
      <c r="I144" s="17"/>
      <c r="J144" s="17"/>
      <c r="K144" s="17"/>
      <c r="L144" s="17"/>
    </row>
    <row r="145" spans="1:12">
      <c r="A145" s="60" t="str">
        <f t="shared" si="8"/>
        <v/>
      </c>
      <c r="B145" s="60" t="str">
        <f t="shared" si="9"/>
        <v/>
      </c>
      <c r="C145" s="17"/>
      <c r="D145" s="17"/>
      <c r="E145" s="17"/>
      <c r="F145" s="17"/>
      <c r="G145" s="17"/>
      <c r="H145" s="23"/>
      <c r="I145" s="17"/>
      <c r="J145" s="17"/>
      <c r="K145" s="17"/>
      <c r="L145" s="17"/>
    </row>
    <row r="146" spans="1:12">
      <c r="A146" s="60" t="str">
        <f t="shared" si="8"/>
        <v/>
      </c>
      <c r="B146" s="60" t="str">
        <f t="shared" si="9"/>
        <v/>
      </c>
      <c r="C146" s="17"/>
      <c r="D146" s="17"/>
      <c r="E146" s="17"/>
      <c r="F146" s="17"/>
      <c r="G146" s="17"/>
      <c r="H146" s="23"/>
      <c r="I146" s="17"/>
      <c r="J146" s="17"/>
      <c r="K146" s="17"/>
      <c r="L146" s="17"/>
    </row>
    <row r="147" spans="1:12">
      <c r="A147" s="60" t="str">
        <f t="shared" si="8"/>
        <v/>
      </c>
      <c r="B147" s="60" t="str">
        <f t="shared" si="9"/>
        <v/>
      </c>
      <c r="C147" s="17"/>
      <c r="D147" s="17"/>
      <c r="E147" s="17"/>
      <c r="F147" s="17"/>
      <c r="G147" s="17"/>
      <c r="H147" s="23"/>
      <c r="I147" s="17"/>
      <c r="J147" s="17"/>
      <c r="K147" s="17"/>
      <c r="L147" s="17"/>
    </row>
    <row r="148" spans="1:12">
      <c r="A148" s="60" t="str">
        <f t="shared" si="8"/>
        <v/>
      </c>
      <c r="B148" s="60" t="str">
        <f t="shared" si="9"/>
        <v/>
      </c>
      <c r="C148" s="17"/>
      <c r="D148" s="17"/>
      <c r="E148" s="17"/>
      <c r="F148" s="17"/>
      <c r="G148" s="17"/>
      <c r="H148" s="23"/>
      <c r="I148" s="17"/>
      <c r="J148" s="17"/>
      <c r="K148" s="17"/>
      <c r="L148" s="17"/>
    </row>
    <row r="149" spans="1:12">
      <c r="A149" s="60" t="str">
        <f t="shared" si="8"/>
        <v/>
      </c>
      <c r="B149" s="60" t="str">
        <f t="shared" si="9"/>
        <v/>
      </c>
      <c r="C149" s="17"/>
      <c r="D149" s="17"/>
      <c r="E149" s="17"/>
      <c r="F149" s="17"/>
      <c r="G149" s="17"/>
      <c r="H149" s="23"/>
      <c r="I149" s="17"/>
      <c r="J149" s="17"/>
      <c r="K149" s="17"/>
      <c r="L149" s="17"/>
    </row>
    <row r="150" spans="1:12">
      <c r="A150" s="60" t="str">
        <f t="shared" si="8"/>
        <v/>
      </c>
      <c r="B150" s="60" t="str">
        <f t="shared" si="9"/>
        <v/>
      </c>
      <c r="C150" s="17"/>
      <c r="D150" s="17"/>
      <c r="E150" s="17"/>
      <c r="F150" s="17"/>
      <c r="G150" s="17"/>
      <c r="H150" s="23"/>
      <c r="I150" s="17"/>
      <c r="J150" s="17"/>
      <c r="K150" s="17"/>
      <c r="L150" s="17"/>
    </row>
    <row r="151" spans="1:12">
      <c r="A151" s="60" t="str">
        <f t="shared" si="8"/>
        <v/>
      </c>
      <c r="B151" s="60" t="str">
        <f t="shared" si="9"/>
        <v/>
      </c>
      <c r="C151" s="17"/>
      <c r="D151" s="17"/>
      <c r="E151" s="17"/>
      <c r="F151" s="17"/>
      <c r="G151" s="17"/>
      <c r="H151" s="23"/>
      <c r="I151" s="17"/>
      <c r="J151" s="17"/>
      <c r="K151" s="17"/>
      <c r="L151" s="17"/>
    </row>
    <row r="152" spans="1:12">
      <c r="A152" s="60" t="str">
        <f t="shared" si="8"/>
        <v/>
      </c>
      <c r="B152" s="60" t="str">
        <f t="shared" si="9"/>
        <v/>
      </c>
      <c r="C152" s="17"/>
      <c r="D152" s="17"/>
      <c r="E152" s="17"/>
      <c r="F152" s="17"/>
      <c r="G152" s="17"/>
      <c r="H152" s="23"/>
      <c r="I152" s="17"/>
      <c r="J152" s="17"/>
      <c r="K152" s="17"/>
      <c r="L152" s="17"/>
    </row>
    <row r="153" spans="1:12">
      <c r="A153" s="60" t="str">
        <f t="shared" si="8"/>
        <v/>
      </c>
      <c r="B153" s="60" t="str">
        <f t="shared" si="9"/>
        <v/>
      </c>
      <c r="C153" s="17"/>
      <c r="D153" s="17"/>
      <c r="E153" s="17"/>
      <c r="F153" s="17"/>
      <c r="G153" s="17"/>
      <c r="H153" s="23"/>
      <c r="I153" s="17"/>
      <c r="J153" s="17"/>
      <c r="K153" s="17"/>
      <c r="L153" s="17"/>
    </row>
    <row r="154" spans="1:12">
      <c r="A154" s="60" t="str">
        <f t="shared" si="8"/>
        <v/>
      </c>
      <c r="B154" s="60" t="str">
        <f t="shared" si="9"/>
        <v/>
      </c>
      <c r="C154" s="17"/>
      <c r="D154" s="17"/>
      <c r="E154" s="17"/>
      <c r="F154" s="17"/>
      <c r="G154" s="17"/>
      <c r="H154" s="23"/>
      <c r="I154" s="17"/>
      <c r="J154" s="17"/>
      <c r="K154" s="17"/>
      <c r="L154" s="17"/>
    </row>
    <row r="155" spans="1:12">
      <c r="A155" s="60" t="str">
        <f t="shared" si="8"/>
        <v/>
      </c>
      <c r="B155" s="60" t="str">
        <f t="shared" si="9"/>
        <v/>
      </c>
      <c r="C155" s="17"/>
      <c r="D155" s="17"/>
      <c r="E155" s="17"/>
      <c r="F155" s="17"/>
      <c r="G155" s="17"/>
      <c r="H155" s="23"/>
      <c r="I155" s="17"/>
      <c r="J155" s="17"/>
      <c r="K155" s="17"/>
      <c r="L155" s="17"/>
    </row>
    <row r="156" spans="1:12">
      <c r="A156" s="60" t="str">
        <f t="shared" si="8"/>
        <v/>
      </c>
      <c r="B156" s="60" t="str">
        <f t="shared" si="9"/>
        <v/>
      </c>
      <c r="C156" s="17"/>
      <c r="D156" s="17"/>
      <c r="E156" s="17"/>
      <c r="F156" s="17"/>
      <c r="G156" s="17"/>
      <c r="H156" s="23"/>
      <c r="I156" s="17"/>
      <c r="J156" s="17"/>
      <c r="K156" s="17"/>
      <c r="L156" s="17"/>
    </row>
    <row r="157" spans="1:12">
      <c r="A157" s="60" t="str">
        <f t="shared" si="8"/>
        <v/>
      </c>
      <c r="B157" s="60" t="str">
        <f t="shared" si="9"/>
        <v/>
      </c>
      <c r="C157" s="17"/>
      <c r="D157" s="17"/>
      <c r="E157" s="17"/>
      <c r="F157" s="17"/>
      <c r="G157" s="17"/>
      <c r="H157" s="23"/>
      <c r="I157" s="17"/>
      <c r="J157" s="17"/>
      <c r="K157" s="17"/>
      <c r="L157" s="17"/>
    </row>
    <row r="158" spans="1:12">
      <c r="A158" s="60" t="str">
        <f t="shared" si="8"/>
        <v/>
      </c>
      <c r="B158" s="60" t="str">
        <f t="shared" si="9"/>
        <v/>
      </c>
      <c r="C158" s="17"/>
      <c r="D158" s="17"/>
      <c r="E158" s="17"/>
      <c r="F158" s="17"/>
      <c r="G158" s="17"/>
      <c r="H158" s="23"/>
      <c r="I158" s="17"/>
      <c r="J158" s="17"/>
      <c r="K158" s="17"/>
      <c r="L158" s="17"/>
    </row>
    <row r="159" spans="1:12">
      <c r="A159" s="60" t="str">
        <f t="shared" si="8"/>
        <v/>
      </c>
      <c r="B159" s="60" t="str">
        <f t="shared" si="9"/>
        <v/>
      </c>
      <c r="C159" s="17"/>
      <c r="D159" s="17"/>
      <c r="E159" s="17"/>
      <c r="F159" s="17"/>
      <c r="G159" s="17"/>
      <c r="H159" s="23"/>
      <c r="I159" s="17"/>
      <c r="J159" s="17"/>
      <c r="K159" s="17"/>
      <c r="L159" s="17"/>
    </row>
    <row r="160" spans="1:12">
      <c r="A160" s="60" t="str">
        <f t="shared" si="8"/>
        <v/>
      </c>
      <c r="B160" s="60" t="str">
        <f t="shared" si="9"/>
        <v/>
      </c>
      <c r="C160" s="17"/>
      <c r="D160" s="17"/>
      <c r="E160" s="17"/>
      <c r="F160" s="17"/>
      <c r="G160" s="17"/>
      <c r="H160" s="23"/>
      <c r="I160" s="17"/>
      <c r="J160" s="17"/>
      <c r="K160" s="17"/>
      <c r="L160" s="17"/>
    </row>
    <row r="161" spans="1:12">
      <c r="A161" s="60" t="str">
        <f t="shared" si="8"/>
        <v/>
      </c>
      <c r="B161" s="60" t="str">
        <f t="shared" si="9"/>
        <v/>
      </c>
      <c r="C161" s="17"/>
      <c r="D161" s="17"/>
      <c r="E161" s="17"/>
      <c r="F161" s="17"/>
      <c r="G161" s="17"/>
      <c r="H161" s="23"/>
      <c r="I161" s="17"/>
      <c r="J161" s="17"/>
      <c r="K161" s="17"/>
      <c r="L161" s="17"/>
    </row>
    <row r="162" spans="1:12">
      <c r="A162" s="60" t="str">
        <f t="shared" si="8"/>
        <v/>
      </c>
      <c r="B162" s="60" t="str">
        <f t="shared" si="9"/>
        <v/>
      </c>
      <c r="C162" s="17"/>
      <c r="D162" s="17"/>
      <c r="E162" s="17"/>
      <c r="F162" s="17"/>
      <c r="G162" s="17"/>
      <c r="H162" s="23"/>
      <c r="I162" s="17"/>
      <c r="J162" s="17"/>
      <c r="K162" s="17"/>
      <c r="L162" s="17"/>
    </row>
    <row r="163" spans="1:12">
      <c r="A163" s="60" t="str">
        <f t="shared" si="8"/>
        <v/>
      </c>
      <c r="B163" s="60" t="str">
        <f t="shared" si="9"/>
        <v/>
      </c>
      <c r="C163" s="17"/>
      <c r="D163" s="17"/>
      <c r="E163" s="17"/>
      <c r="F163" s="17"/>
      <c r="G163" s="17"/>
      <c r="H163" s="23"/>
      <c r="I163" s="17"/>
      <c r="J163" s="17"/>
      <c r="K163" s="17"/>
      <c r="L163" s="17"/>
    </row>
    <row r="164" spans="1:12">
      <c r="A164" s="60" t="str">
        <f t="shared" si="8"/>
        <v/>
      </c>
      <c r="B164" s="60" t="str">
        <f t="shared" si="9"/>
        <v/>
      </c>
      <c r="C164" s="17"/>
      <c r="D164" s="17"/>
      <c r="E164" s="17"/>
      <c r="F164" s="17"/>
      <c r="G164" s="17"/>
      <c r="H164" s="23"/>
      <c r="I164" s="17"/>
      <c r="J164" s="17"/>
      <c r="K164" s="17"/>
      <c r="L164" s="17"/>
    </row>
    <row r="165" spans="1:12">
      <c r="A165" s="60" t="str">
        <f t="shared" si="8"/>
        <v/>
      </c>
      <c r="B165" s="60" t="str">
        <f t="shared" si="9"/>
        <v/>
      </c>
      <c r="C165" s="17"/>
      <c r="D165" s="17"/>
      <c r="E165" s="17"/>
      <c r="F165" s="17"/>
      <c r="G165" s="17"/>
      <c r="H165" s="23"/>
      <c r="I165" s="17"/>
      <c r="J165" s="17"/>
      <c r="K165" s="17"/>
      <c r="L165" s="17"/>
    </row>
    <row r="166" spans="1:12">
      <c r="A166" s="60" t="str">
        <f t="shared" si="8"/>
        <v/>
      </c>
      <c r="B166" s="60" t="str">
        <f t="shared" si="9"/>
        <v/>
      </c>
      <c r="C166" s="17"/>
      <c r="D166" s="17"/>
      <c r="E166" s="17"/>
      <c r="F166" s="17"/>
      <c r="G166" s="17"/>
      <c r="H166" s="23"/>
      <c r="I166" s="17"/>
      <c r="J166" s="17"/>
      <c r="K166" s="17"/>
      <c r="L166" s="17"/>
    </row>
    <row r="167" spans="1:12">
      <c r="A167" s="60" t="str">
        <f t="shared" si="8"/>
        <v/>
      </c>
      <c r="B167" s="60" t="str">
        <f t="shared" si="9"/>
        <v/>
      </c>
      <c r="C167" s="17"/>
      <c r="D167" s="17"/>
      <c r="E167" s="17"/>
      <c r="F167" s="17"/>
      <c r="G167" s="17"/>
      <c r="H167" s="23"/>
      <c r="I167" s="17"/>
      <c r="J167" s="17"/>
      <c r="K167" s="17"/>
      <c r="L167" s="17"/>
    </row>
    <row r="168" spans="1:12">
      <c r="A168" s="60" t="str">
        <f t="shared" si="8"/>
        <v/>
      </c>
      <c r="B168" s="60" t="str">
        <f t="shared" si="9"/>
        <v/>
      </c>
      <c r="C168" s="17"/>
      <c r="D168" s="17"/>
      <c r="E168" s="17"/>
      <c r="F168" s="17"/>
      <c r="G168" s="17"/>
      <c r="H168" s="23"/>
      <c r="I168" s="17"/>
      <c r="J168" s="17"/>
      <c r="K168" s="17"/>
      <c r="L168" s="17"/>
    </row>
    <row r="169" spans="1:12">
      <c r="A169" s="60" t="str">
        <f t="shared" si="8"/>
        <v/>
      </c>
      <c r="B169" s="60" t="str">
        <f t="shared" si="9"/>
        <v/>
      </c>
      <c r="C169" s="17"/>
      <c r="D169" s="17"/>
      <c r="E169" s="17"/>
      <c r="F169" s="17"/>
      <c r="G169" s="17"/>
      <c r="H169" s="23"/>
      <c r="I169" s="17"/>
      <c r="J169" s="17"/>
      <c r="K169" s="17"/>
      <c r="L169" s="17"/>
    </row>
    <row r="170" spans="1:12">
      <c r="A170" s="60" t="str">
        <f t="shared" si="8"/>
        <v/>
      </c>
      <c r="B170" s="60" t="str">
        <f t="shared" si="9"/>
        <v/>
      </c>
      <c r="C170" s="17"/>
      <c r="D170" s="17"/>
      <c r="E170" s="17"/>
      <c r="F170" s="17"/>
      <c r="G170" s="17"/>
      <c r="H170" s="23"/>
      <c r="I170" s="17"/>
      <c r="J170" s="17"/>
      <c r="K170" s="17"/>
      <c r="L170" s="17"/>
    </row>
    <row r="171" spans="1:12">
      <c r="A171" s="60" t="str">
        <f t="shared" si="8"/>
        <v/>
      </c>
      <c r="B171" s="60" t="str">
        <f t="shared" si="9"/>
        <v/>
      </c>
      <c r="C171" s="17"/>
      <c r="D171" s="17"/>
      <c r="E171" s="17"/>
      <c r="F171" s="17"/>
      <c r="G171" s="17"/>
      <c r="H171" s="23"/>
      <c r="I171" s="17"/>
      <c r="J171" s="17"/>
      <c r="K171" s="17"/>
      <c r="L171" s="17"/>
    </row>
    <row r="172" spans="1:12">
      <c r="A172" s="60" t="str">
        <f t="shared" si="8"/>
        <v/>
      </c>
      <c r="B172" s="60" t="str">
        <f t="shared" si="9"/>
        <v/>
      </c>
      <c r="C172" s="17"/>
      <c r="D172" s="17"/>
      <c r="E172" s="17"/>
      <c r="F172" s="17"/>
      <c r="G172" s="17"/>
      <c r="H172" s="23"/>
      <c r="I172" s="17"/>
      <c r="J172" s="17"/>
      <c r="K172" s="17"/>
      <c r="L172" s="17"/>
    </row>
    <row r="173" spans="1:12">
      <c r="A173" s="60" t="str">
        <f t="shared" si="8"/>
        <v/>
      </c>
      <c r="B173" s="60" t="str">
        <f t="shared" si="9"/>
        <v/>
      </c>
      <c r="C173" s="17"/>
      <c r="D173" s="17"/>
      <c r="E173" s="17"/>
      <c r="F173" s="17"/>
      <c r="G173" s="17"/>
      <c r="H173" s="23"/>
      <c r="I173" s="17"/>
      <c r="J173" s="17"/>
      <c r="K173" s="17"/>
      <c r="L173" s="17"/>
    </row>
    <row r="174" spans="1:12">
      <c r="A174" s="60" t="str">
        <f t="shared" si="8"/>
        <v/>
      </c>
      <c r="B174" s="60" t="str">
        <f t="shared" si="9"/>
        <v/>
      </c>
      <c r="C174" s="17"/>
      <c r="D174" s="17"/>
      <c r="E174" s="17"/>
      <c r="F174" s="17"/>
      <c r="G174" s="17"/>
      <c r="H174" s="23"/>
      <c r="I174" s="17"/>
      <c r="J174" s="17"/>
      <c r="K174" s="17"/>
      <c r="L174" s="17"/>
    </row>
    <row r="175" spans="1:12">
      <c r="A175" s="60" t="str">
        <f t="shared" si="8"/>
        <v/>
      </c>
      <c r="B175" s="60" t="str">
        <f t="shared" si="9"/>
        <v/>
      </c>
      <c r="C175" s="17"/>
      <c r="D175" s="17"/>
      <c r="E175" s="17"/>
      <c r="F175" s="17"/>
      <c r="G175" s="17"/>
      <c r="H175" s="23"/>
      <c r="I175" s="17"/>
      <c r="J175" s="17"/>
      <c r="K175" s="17"/>
      <c r="L175" s="17"/>
    </row>
    <row r="176" spans="1:12">
      <c r="A176" s="60" t="str">
        <f t="shared" si="8"/>
        <v/>
      </c>
      <c r="B176" s="60" t="str">
        <f t="shared" si="9"/>
        <v/>
      </c>
      <c r="C176" s="17"/>
      <c r="D176" s="17"/>
      <c r="E176" s="17"/>
      <c r="F176" s="17"/>
      <c r="G176" s="17"/>
      <c r="H176" s="23"/>
      <c r="I176" s="17"/>
      <c r="J176" s="17"/>
      <c r="K176" s="17"/>
      <c r="L176" s="17"/>
    </row>
    <row r="177" spans="1:12">
      <c r="A177" s="60" t="str">
        <f t="shared" si="8"/>
        <v/>
      </c>
      <c r="B177" s="60" t="str">
        <f t="shared" si="9"/>
        <v/>
      </c>
      <c r="C177" s="17"/>
      <c r="D177" s="17"/>
      <c r="E177" s="17"/>
      <c r="F177" s="17"/>
      <c r="G177" s="17"/>
      <c r="H177" s="23"/>
      <c r="I177" s="17"/>
      <c r="J177" s="17"/>
      <c r="K177" s="17"/>
      <c r="L177" s="17"/>
    </row>
    <row r="178" spans="1:12">
      <c r="A178" s="60" t="str">
        <f t="shared" si="8"/>
        <v/>
      </c>
      <c r="B178" s="60" t="str">
        <f t="shared" si="9"/>
        <v/>
      </c>
      <c r="C178" s="17"/>
      <c r="D178" s="17"/>
      <c r="E178" s="17"/>
      <c r="F178" s="17"/>
      <c r="G178" s="17"/>
      <c r="H178" s="23"/>
      <c r="I178" s="17"/>
      <c r="J178" s="17"/>
      <c r="K178" s="17"/>
      <c r="L178" s="17"/>
    </row>
    <row r="179" spans="1:12">
      <c r="A179" s="60" t="str">
        <f t="shared" si="8"/>
        <v/>
      </c>
      <c r="B179" s="60" t="str">
        <f t="shared" si="9"/>
        <v/>
      </c>
      <c r="C179" s="17"/>
      <c r="D179" s="17"/>
      <c r="E179" s="17"/>
      <c r="F179" s="17"/>
      <c r="G179" s="17"/>
      <c r="H179" s="23"/>
      <c r="I179" s="17"/>
      <c r="J179" s="17"/>
      <c r="K179" s="17"/>
      <c r="L179" s="17"/>
    </row>
    <row r="180" spans="1:12">
      <c r="A180" s="60" t="str">
        <f t="shared" si="8"/>
        <v/>
      </c>
      <c r="B180" s="60" t="str">
        <f t="shared" si="9"/>
        <v/>
      </c>
      <c r="C180" s="17"/>
      <c r="D180" s="17"/>
      <c r="E180" s="17"/>
      <c r="F180" s="17"/>
      <c r="G180" s="17"/>
      <c r="H180" s="23"/>
      <c r="I180" s="17"/>
      <c r="J180" s="17"/>
      <c r="K180" s="17"/>
      <c r="L180" s="17"/>
    </row>
    <row r="181" spans="1:12">
      <c r="A181" s="60" t="str">
        <f t="shared" si="8"/>
        <v/>
      </c>
      <c r="B181" s="60" t="str">
        <f t="shared" si="9"/>
        <v/>
      </c>
      <c r="C181" s="17"/>
      <c r="D181" s="17"/>
      <c r="E181" s="17"/>
      <c r="F181" s="17"/>
      <c r="G181" s="17"/>
      <c r="H181" s="23"/>
      <c r="I181" s="17"/>
      <c r="J181" s="17"/>
      <c r="K181" s="17"/>
      <c r="L181" s="17"/>
    </row>
    <row r="182" spans="1:12">
      <c r="A182" s="60" t="str">
        <f t="shared" si="8"/>
        <v/>
      </c>
      <c r="B182" s="60" t="str">
        <f t="shared" si="9"/>
        <v/>
      </c>
      <c r="C182" s="17"/>
      <c r="D182" s="17"/>
      <c r="E182" s="17"/>
      <c r="F182" s="17"/>
      <c r="G182" s="17"/>
      <c r="H182" s="23"/>
      <c r="I182" s="17"/>
      <c r="J182" s="17"/>
      <c r="K182" s="17"/>
      <c r="L182" s="17"/>
    </row>
    <row r="183" spans="1:12">
      <c r="A183" s="60" t="str">
        <f t="shared" si="8"/>
        <v/>
      </c>
      <c r="B183" s="60" t="str">
        <f t="shared" si="9"/>
        <v/>
      </c>
      <c r="C183" s="17"/>
      <c r="D183" s="17"/>
      <c r="E183" s="17"/>
      <c r="F183" s="17"/>
      <c r="G183" s="17"/>
      <c r="H183" s="23"/>
      <c r="I183" s="17"/>
      <c r="J183" s="17"/>
      <c r="K183" s="17"/>
      <c r="L183" s="17"/>
    </row>
    <row r="184" spans="1:12">
      <c r="A184" s="60" t="str">
        <f t="shared" si="8"/>
        <v/>
      </c>
      <c r="B184" s="60" t="str">
        <f t="shared" si="9"/>
        <v/>
      </c>
      <c r="C184" s="17"/>
      <c r="D184" s="17"/>
      <c r="E184" s="17"/>
      <c r="F184" s="17"/>
      <c r="G184" s="17"/>
      <c r="H184" s="23"/>
      <c r="I184" s="17"/>
      <c r="J184" s="17"/>
      <c r="K184" s="17"/>
      <c r="L184" s="17"/>
    </row>
    <row r="185" spans="1:12">
      <c r="A185" s="60" t="str">
        <f t="shared" si="8"/>
        <v/>
      </c>
      <c r="B185" s="60" t="str">
        <f t="shared" si="9"/>
        <v/>
      </c>
      <c r="C185" s="17"/>
      <c r="D185" s="17"/>
      <c r="E185" s="17"/>
      <c r="F185" s="17"/>
      <c r="G185" s="17"/>
      <c r="H185" s="23"/>
      <c r="I185" s="17"/>
      <c r="J185" s="17"/>
      <c r="K185" s="17"/>
      <c r="L185" s="17"/>
    </row>
    <row r="186" spans="1:12">
      <c r="A186" s="60" t="str">
        <f t="shared" si="8"/>
        <v/>
      </c>
      <c r="B186" s="60" t="str">
        <f t="shared" si="9"/>
        <v/>
      </c>
      <c r="C186" s="17"/>
      <c r="D186" s="17"/>
      <c r="E186" s="17"/>
      <c r="F186" s="17"/>
      <c r="G186" s="17"/>
      <c r="H186" s="23"/>
      <c r="I186" s="17"/>
      <c r="J186" s="17"/>
      <c r="K186" s="17"/>
      <c r="L186" s="17"/>
    </row>
    <row r="187" spans="1:12">
      <c r="A187" s="60" t="str">
        <f t="shared" si="8"/>
        <v/>
      </c>
      <c r="B187" s="60" t="str">
        <f t="shared" si="9"/>
        <v/>
      </c>
      <c r="C187" s="17"/>
      <c r="D187" s="17"/>
      <c r="E187" s="17"/>
      <c r="F187" s="17"/>
      <c r="G187" s="17"/>
      <c r="H187" s="23"/>
      <c r="I187" s="17"/>
      <c r="J187" s="17"/>
      <c r="K187" s="17"/>
      <c r="L187" s="17"/>
    </row>
    <row r="188" spans="1:12">
      <c r="A188" s="60" t="str">
        <f t="shared" si="8"/>
        <v/>
      </c>
      <c r="B188" s="60" t="str">
        <f t="shared" si="9"/>
        <v/>
      </c>
      <c r="C188" s="17"/>
      <c r="D188" s="17"/>
      <c r="E188" s="17"/>
      <c r="F188" s="17"/>
      <c r="G188" s="17"/>
      <c r="H188" s="23"/>
      <c r="I188" s="17"/>
      <c r="J188" s="17"/>
      <c r="K188" s="17"/>
      <c r="L188" s="17"/>
    </row>
    <row r="189" spans="1:12">
      <c r="A189" s="60" t="str">
        <f t="shared" si="8"/>
        <v/>
      </c>
      <c r="B189" s="60" t="str">
        <f t="shared" si="9"/>
        <v/>
      </c>
      <c r="C189" s="17"/>
      <c r="D189" s="17"/>
      <c r="E189" s="17"/>
      <c r="F189" s="17"/>
      <c r="G189" s="17"/>
      <c r="H189" s="23"/>
      <c r="I189" s="17"/>
      <c r="J189" s="17"/>
      <c r="K189" s="17"/>
      <c r="L189" s="17"/>
    </row>
    <row r="190" spans="1:12">
      <c r="A190" s="60" t="str">
        <f t="shared" si="8"/>
        <v/>
      </c>
      <c r="B190" s="60" t="str">
        <f t="shared" si="9"/>
        <v/>
      </c>
      <c r="C190" s="17"/>
      <c r="D190" s="17"/>
      <c r="E190" s="17"/>
      <c r="F190" s="17"/>
      <c r="G190" s="17"/>
      <c r="H190" s="23"/>
      <c r="I190" s="17"/>
      <c r="J190" s="17"/>
      <c r="K190" s="17"/>
      <c r="L190" s="17"/>
    </row>
    <row r="191" spans="1:12">
      <c r="A191" s="60" t="str">
        <f t="shared" ref="A191:A228" si="10">+C191&amp;G191&amp;H191&amp;D191</f>
        <v/>
      </c>
      <c r="B191" s="60" t="str">
        <f t="shared" ref="B191:B228" si="11">+C191&amp;G191&amp;H191&amp;D191&amp;K191</f>
        <v/>
      </c>
      <c r="C191" s="17"/>
      <c r="D191" s="17"/>
      <c r="E191" s="17"/>
      <c r="F191" s="17"/>
      <c r="G191" s="17"/>
      <c r="H191" s="23"/>
      <c r="I191" s="17"/>
      <c r="J191" s="17"/>
      <c r="K191" s="17"/>
      <c r="L191" s="17"/>
    </row>
    <row r="192" spans="1:12">
      <c r="A192" s="60" t="str">
        <f t="shared" si="10"/>
        <v/>
      </c>
      <c r="B192" s="60" t="str">
        <f t="shared" si="11"/>
        <v/>
      </c>
      <c r="C192" s="17"/>
      <c r="D192" s="17"/>
      <c r="E192" s="17"/>
      <c r="F192" s="17"/>
      <c r="G192" s="17"/>
      <c r="H192" s="23"/>
      <c r="I192" s="17"/>
      <c r="J192" s="17"/>
      <c r="K192" s="17"/>
      <c r="L192" s="17"/>
    </row>
    <row r="193" spans="1:12">
      <c r="A193" s="60" t="str">
        <f t="shared" si="10"/>
        <v/>
      </c>
      <c r="B193" s="60" t="str">
        <f t="shared" si="11"/>
        <v/>
      </c>
      <c r="C193" s="17"/>
      <c r="D193" s="17"/>
      <c r="E193" s="17"/>
      <c r="F193" s="17"/>
      <c r="G193" s="17"/>
      <c r="H193" s="23"/>
      <c r="I193" s="17"/>
      <c r="J193" s="17"/>
      <c r="K193" s="17"/>
      <c r="L193" s="17"/>
    </row>
    <row r="194" spans="1:12">
      <c r="A194" s="60" t="str">
        <f t="shared" si="10"/>
        <v/>
      </c>
      <c r="B194" s="60" t="str">
        <f t="shared" si="11"/>
        <v/>
      </c>
      <c r="C194" s="17"/>
      <c r="D194" s="17"/>
      <c r="E194" s="17"/>
      <c r="F194" s="17"/>
      <c r="G194" s="17"/>
      <c r="H194" s="23"/>
      <c r="I194" s="17"/>
      <c r="J194" s="17"/>
      <c r="K194" s="17"/>
      <c r="L194" s="17"/>
    </row>
    <row r="195" spans="1:12">
      <c r="A195" s="60" t="str">
        <f t="shared" si="10"/>
        <v/>
      </c>
      <c r="B195" s="60" t="str">
        <f t="shared" si="11"/>
        <v/>
      </c>
      <c r="C195" s="17"/>
      <c r="D195" s="17"/>
      <c r="E195" s="17"/>
      <c r="F195" s="17"/>
      <c r="G195" s="17"/>
      <c r="H195" s="23"/>
      <c r="I195" s="17"/>
      <c r="J195" s="17"/>
      <c r="K195" s="17"/>
      <c r="L195" s="17"/>
    </row>
    <row r="196" spans="1:12">
      <c r="A196" s="60" t="str">
        <f t="shared" si="10"/>
        <v/>
      </c>
      <c r="B196" s="60" t="str">
        <f t="shared" si="11"/>
        <v/>
      </c>
      <c r="C196" s="17"/>
      <c r="D196" s="17"/>
      <c r="E196" s="17"/>
      <c r="F196" s="17"/>
      <c r="G196" s="17"/>
      <c r="H196" s="23"/>
      <c r="I196" s="17"/>
      <c r="J196" s="17"/>
      <c r="K196" s="17"/>
      <c r="L196" s="17"/>
    </row>
    <row r="197" spans="1:12">
      <c r="A197" s="60" t="str">
        <f t="shared" si="10"/>
        <v/>
      </c>
      <c r="B197" s="60" t="str">
        <f t="shared" si="11"/>
        <v/>
      </c>
      <c r="C197" s="17"/>
      <c r="D197" s="17"/>
      <c r="E197" s="17"/>
      <c r="F197" s="17"/>
      <c r="G197" s="17"/>
      <c r="H197" s="23"/>
      <c r="I197" s="17"/>
      <c r="J197" s="17"/>
      <c r="K197" s="17"/>
      <c r="L197" s="17"/>
    </row>
    <row r="198" spans="1:12">
      <c r="A198" s="60" t="str">
        <f t="shared" si="10"/>
        <v/>
      </c>
      <c r="B198" s="60" t="str">
        <f t="shared" si="11"/>
        <v/>
      </c>
      <c r="C198" s="17"/>
      <c r="D198" s="17"/>
      <c r="E198" s="17"/>
      <c r="F198" s="17"/>
      <c r="G198" s="17"/>
      <c r="H198" s="23"/>
      <c r="I198" s="17"/>
      <c r="J198" s="17"/>
      <c r="K198" s="17"/>
      <c r="L198" s="17"/>
    </row>
    <row r="199" spans="1:12">
      <c r="A199" s="60" t="str">
        <f t="shared" si="10"/>
        <v/>
      </c>
      <c r="B199" s="60" t="str">
        <f t="shared" si="11"/>
        <v/>
      </c>
      <c r="C199" s="17"/>
      <c r="D199" s="17"/>
      <c r="E199" s="17"/>
      <c r="F199" s="17"/>
      <c r="G199" s="17"/>
      <c r="H199" s="23"/>
      <c r="I199" s="17"/>
      <c r="J199" s="17"/>
      <c r="K199" s="17"/>
      <c r="L199" s="17"/>
    </row>
    <row r="200" spans="1:12">
      <c r="A200" s="60" t="str">
        <f t="shared" si="10"/>
        <v/>
      </c>
      <c r="B200" s="60" t="str">
        <f t="shared" si="11"/>
        <v/>
      </c>
      <c r="C200" s="17"/>
      <c r="D200" s="17"/>
      <c r="E200" s="17"/>
      <c r="F200" s="17"/>
      <c r="G200" s="17"/>
      <c r="H200" s="23"/>
      <c r="I200" s="17"/>
      <c r="J200" s="17"/>
      <c r="K200" s="17"/>
      <c r="L200" s="17"/>
    </row>
    <row r="201" spans="1:12">
      <c r="A201" s="60" t="str">
        <f t="shared" si="10"/>
        <v/>
      </c>
      <c r="B201" s="60" t="str">
        <f t="shared" si="11"/>
        <v/>
      </c>
      <c r="C201" s="17"/>
      <c r="D201" s="17"/>
      <c r="E201" s="17"/>
      <c r="F201" s="17"/>
      <c r="G201" s="17"/>
      <c r="H201" s="23"/>
      <c r="I201" s="17"/>
      <c r="J201" s="17"/>
      <c r="K201" s="17"/>
      <c r="L201" s="17"/>
    </row>
    <row r="202" spans="1:12">
      <c r="A202" s="60" t="str">
        <f t="shared" si="10"/>
        <v/>
      </c>
      <c r="B202" s="60" t="str">
        <f t="shared" si="11"/>
        <v/>
      </c>
      <c r="C202" s="17"/>
      <c r="D202" s="17"/>
      <c r="E202" s="17"/>
      <c r="F202" s="17"/>
      <c r="G202" s="17"/>
      <c r="H202" s="23"/>
      <c r="I202" s="17"/>
      <c r="J202" s="17"/>
      <c r="K202" s="17"/>
      <c r="L202" s="17"/>
    </row>
    <row r="203" spans="1:12">
      <c r="A203" s="60" t="str">
        <f t="shared" si="10"/>
        <v/>
      </c>
      <c r="B203" s="60" t="str">
        <f t="shared" si="11"/>
        <v/>
      </c>
      <c r="C203" s="17"/>
      <c r="D203" s="17"/>
      <c r="E203" s="17"/>
      <c r="F203" s="17"/>
      <c r="G203" s="17"/>
      <c r="H203" s="23"/>
      <c r="I203" s="17"/>
      <c r="J203" s="17"/>
      <c r="K203" s="17"/>
      <c r="L203" s="17"/>
    </row>
    <row r="204" spans="1:12">
      <c r="A204" s="60" t="str">
        <f t="shared" si="10"/>
        <v/>
      </c>
      <c r="B204" s="60" t="str">
        <f t="shared" si="11"/>
        <v/>
      </c>
      <c r="C204" s="17"/>
      <c r="D204" s="17"/>
      <c r="E204" s="17"/>
      <c r="F204" s="17"/>
      <c r="G204" s="17"/>
      <c r="H204" s="23"/>
      <c r="I204" s="17"/>
      <c r="J204" s="17"/>
      <c r="K204" s="17"/>
      <c r="L204" s="17"/>
    </row>
    <row r="205" spans="1:12">
      <c r="A205" s="60" t="str">
        <f t="shared" si="10"/>
        <v/>
      </c>
      <c r="B205" s="60" t="str">
        <f t="shared" si="11"/>
        <v/>
      </c>
      <c r="C205" s="17"/>
      <c r="D205" s="17"/>
      <c r="E205" s="17"/>
      <c r="F205" s="17"/>
      <c r="G205" s="17"/>
      <c r="H205" s="23"/>
      <c r="I205" s="17"/>
      <c r="J205" s="17"/>
      <c r="K205" s="17"/>
      <c r="L205" s="17"/>
    </row>
    <row r="206" spans="1:12">
      <c r="A206" s="60" t="str">
        <f t="shared" si="10"/>
        <v/>
      </c>
      <c r="B206" s="60" t="str">
        <f t="shared" si="11"/>
        <v/>
      </c>
      <c r="C206" s="17"/>
      <c r="D206" s="17"/>
      <c r="E206" s="17"/>
      <c r="F206" s="17"/>
      <c r="G206" s="17"/>
      <c r="H206" s="23"/>
      <c r="I206" s="17"/>
      <c r="J206" s="17"/>
      <c r="K206" s="17"/>
      <c r="L206" s="17"/>
    </row>
    <row r="207" spans="1:12">
      <c r="A207" s="60" t="str">
        <f t="shared" si="10"/>
        <v/>
      </c>
      <c r="B207" s="60" t="str">
        <f t="shared" si="11"/>
        <v/>
      </c>
      <c r="C207" s="17"/>
      <c r="D207" s="17"/>
      <c r="E207" s="17"/>
      <c r="F207" s="17"/>
      <c r="G207" s="17"/>
      <c r="H207" s="23"/>
      <c r="I207" s="17"/>
      <c r="J207" s="17"/>
      <c r="K207" s="17"/>
      <c r="L207" s="17"/>
    </row>
    <row r="208" spans="1:12">
      <c r="A208" s="60" t="str">
        <f t="shared" si="10"/>
        <v/>
      </c>
      <c r="B208" s="60" t="str">
        <f t="shared" si="11"/>
        <v/>
      </c>
      <c r="C208" s="17"/>
      <c r="D208" s="17"/>
      <c r="E208" s="17"/>
      <c r="F208" s="17"/>
      <c r="G208" s="17"/>
      <c r="H208" s="23"/>
      <c r="I208" s="17"/>
      <c r="J208" s="17"/>
      <c r="K208" s="17"/>
      <c r="L208" s="17"/>
    </row>
    <row r="209" spans="1:12">
      <c r="A209" s="60" t="str">
        <f t="shared" si="10"/>
        <v/>
      </c>
      <c r="B209" s="60" t="str">
        <f t="shared" si="11"/>
        <v/>
      </c>
      <c r="C209" s="17"/>
      <c r="D209" s="17"/>
      <c r="E209" s="17"/>
      <c r="F209" s="17"/>
      <c r="G209" s="17"/>
      <c r="H209" s="23"/>
      <c r="I209" s="17"/>
      <c r="J209" s="17"/>
      <c r="K209" s="17"/>
      <c r="L209" s="17"/>
    </row>
    <row r="210" spans="1:12">
      <c r="A210" s="60" t="str">
        <f t="shared" si="10"/>
        <v/>
      </c>
      <c r="B210" s="60" t="str">
        <f t="shared" si="11"/>
        <v/>
      </c>
      <c r="C210" s="17"/>
      <c r="D210" s="17"/>
      <c r="E210" s="17"/>
      <c r="F210" s="17"/>
      <c r="G210" s="17"/>
      <c r="H210" s="23"/>
      <c r="I210" s="17"/>
      <c r="J210" s="17"/>
      <c r="K210" s="17"/>
      <c r="L210" s="17"/>
    </row>
    <row r="211" spans="1:12">
      <c r="A211" s="60" t="str">
        <f t="shared" si="10"/>
        <v/>
      </c>
      <c r="B211" s="60" t="str">
        <f t="shared" si="11"/>
        <v/>
      </c>
      <c r="C211" s="17"/>
      <c r="D211" s="17"/>
      <c r="E211" s="17"/>
      <c r="F211" s="17"/>
      <c r="G211" s="17"/>
      <c r="H211" s="23"/>
      <c r="I211" s="17"/>
      <c r="J211" s="17"/>
      <c r="K211" s="17"/>
      <c r="L211" s="17"/>
    </row>
    <row r="212" spans="1:12">
      <c r="A212" s="60" t="str">
        <f t="shared" si="10"/>
        <v/>
      </c>
      <c r="B212" s="60" t="str">
        <f t="shared" si="11"/>
        <v/>
      </c>
      <c r="C212" s="17"/>
      <c r="D212" s="17"/>
      <c r="E212" s="17"/>
      <c r="F212" s="17"/>
      <c r="G212" s="17"/>
      <c r="H212" s="23"/>
      <c r="I212" s="17"/>
      <c r="J212" s="17"/>
      <c r="K212" s="17"/>
      <c r="L212" s="17"/>
    </row>
    <row r="213" spans="1:12">
      <c r="A213" s="60" t="str">
        <f t="shared" si="10"/>
        <v/>
      </c>
      <c r="B213" s="60" t="str">
        <f t="shared" si="11"/>
        <v/>
      </c>
      <c r="C213" s="17"/>
      <c r="D213" s="17"/>
      <c r="E213" s="17"/>
      <c r="F213" s="17"/>
      <c r="G213" s="17"/>
      <c r="H213" s="23"/>
      <c r="I213" s="17"/>
      <c r="J213" s="17"/>
      <c r="K213" s="17"/>
      <c r="L213" s="17"/>
    </row>
    <row r="214" spans="1:12">
      <c r="A214" s="60" t="str">
        <f t="shared" si="10"/>
        <v/>
      </c>
      <c r="B214" s="60" t="str">
        <f t="shared" si="11"/>
        <v/>
      </c>
      <c r="C214" s="17"/>
      <c r="D214" s="17"/>
      <c r="E214" s="17"/>
      <c r="F214" s="17"/>
      <c r="G214" s="17"/>
      <c r="H214" s="23"/>
      <c r="I214" s="17"/>
      <c r="J214" s="17"/>
      <c r="K214" s="17"/>
      <c r="L214" s="17"/>
    </row>
    <row r="215" spans="1:12">
      <c r="A215" s="60" t="str">
        <f t="shared" si="10"/>
        <v/>
      </c>
      <c r="B215" s="60" t="str">
        <f t="shared" si="11"/>
        <v/>
      </c>
      <c r="C215" s="17"/>
      <c r="D215" s="17"/>
      <c r="E215" s="17"/>
      <c r="F215" s="17"/>
      <c r="G215" s="17"/>
      <c r="H215" s="23"/>
      <c r="I215" s="17"/>
      <c r="J215" s="17"/>
      <c r="K215" s="17"/>
      <c r="L215" s="17"/>
    </row>
    <row r="216" spans="1:12">
      <c r="A216" s="60" t="str">
        <f t="shared" si="10"/>
        <v/>
      </c>
      <c r="B216" s="60" t="str">
        <f t="shared" si="11"/>
        <v/>
      </c>
      <c r="C216" s="17"/>
      <c r="D216" s="17"/>
      <c r="E216" s="17"/>
      <c r="F216" s="17"/>
      <c r="G216" s="17"/>
      <c r="H216" s="23"/>
      <c r="I216" s="17"/>
      <c r="J216" s="17"/>
      <c r="K216" s="17"/>
      <c r="L216" s="17"/>
    </row>
    <row r="217" spans="1:12">
      <c r="A217" s="60" t="str">
        <f t="shared" si="10"/>
        <v/>
      </c>
      <c r="B217" s="60" t="str">
        <f t="shared" si="11"/>
        <v/>
      </c>
      <c r="C217" s="17"/>
      <c r="D217" s="17"/>
      <c r="E217" s="17"/>
      <c r="F217" s="17"/>
      <c r="G217" s="17"/>
      <c r="H217" s="23"/>
      <c r="I217" s="17"/>
      <c r="J217" s="17"/>
      <c r="K217" s="17"/>
      <c r="L217" s="17"/>
    </row>
    <row r="218" spans="1:12">
      <c r="A218" s="60" t="str">
        <f t="shared" si="10"/>
        <v/>
      </c>
      <c r="B218" s="60" t="str">
        <f t="shared" si="11"/>
        <v/>
      </c>
      <c r="C218" s="17"/>
      <c r="D218" s="17"/>
      <c r="E218" s="17"/>
      <c r="F218" s="17"/>
      <c r="G218" s="17"/>
      <c r="H218" s="23"/>
      <c r="I218" s="17"/>
      <c r="J218" s="17"/>
      <c r="K218" s="17"/>
      <c r="L218" s="17"/>
    </row>
    <row r="219" spans="1:12">
      <c r="A219" s="60" t="str">
        <f t="shared" si="10"/>
        <v/>
      </c>
      <c r="B219" s="60" t="str">
        <f t="shared" si="11"/>
        <v/>
      </c>
      <c r="C219" s="17"/>
      <c r="D219" s="17"/>
      <c r="E219" s="17"/>
      <c r="F219" s="17"/>
      <c r="G219" s="17"/>
      <c r="H219" s="23"/>
      <c r="I219" s="17"/>
      <c r="J219" s="17"/>
      <c r="K219" s="17"/>
      <c r="L219" s="17"/>
    </row>
    <row r="220" spans="1:12">
      <c r="A220" s="60" t="str">
        <f t="shared" si="10"/>
        <v/>
      </c>
      <c r="B220" s="60" t="str">
        <f t="shared" si="11"/>
        <v/>
      </c>
      <c r="C220" s="17"/>
      <c r="D220" s="17"/>
      <c r="E220" s="17"/>
      <c r="F220" s="17"/>
      <c r="G220" s="17"/>
      <c r="H220" s="23"/>
      <c r="I220" s="17"/>
      <c r="J220" s="17"/>
      <c r="K220" s="17"/>
      <c r="L220" s="17"/>
    </row>
    <row r="221" spans="1:12">
      <c r="A221" s="60" t="str">
        <f t="shared" si="10"/>
        <v/>
      </c>
      <c r="B221" s="60" t="str">
        <f t="shared" si="11"/>
        <v/>
      </c>
      <c r="C221" s="17"/>
      <c r="D221" s="17"/>
      <c r="E221" s="17"/>
      <c r="F221" s="17"/>
      <c r="G221" s="17"/>
      <c r="H221" s="23"/>
      <c r="I221" s="17"/>
      <c r="J221" s="17"/>
      <c r="K221" s="17"/>
      <c r="L221" s="17"/>
    </row>
    <row r="222" spans="1:12">
      <c r="A222" s="60" t="str">
        <f t="shared" si="10"/>
        <v/>
      </c>
      <c r="B222" s="60" t="str">
        <f t="shared" si="11"/>
        <v/>
      </c>
      <c r="C222" s="17"/>
      <c r="D222" s="17"/>
      <c r="E222" s="17"/>
      <c r="F222" s="17"/>
      <c r="G222" s="17"/>
      <c r="H222" s="23"/>
      <c r="I222" s="17"/>
      <c r="J222" s="17"/>
      <c r="K222" s="17"/>
      <c r="L222" s="17"/>
    </row>
    <row r="223" spans="1:12">
      <c r="A223" s="60" t="str">
        <f t="shared" si="10"/>
        <v/>
      </c>
      <c r="B223" s="60" t="str">
        <f t="shared" si="11"/>
        <v/>
      </c>
      <c r="C223" s="17"/>
      <c r="D223" s="17"/>
      <c r="E223" s="17"/>
      <c r="F223" s="17"/>
      <c r="G223" s="17"/>
      <c r="H223" s="23"/>
      <c r="I223" s="17"/>
      <c r="J223" s="17"/>
      <c r="K223" s="17"/>
      <c r="L223" s="17"/>
    </row>
    <row r="224" spans="1:12">
      <c r="A224" s="60" t="str">
        <f t="shared" si="10"/>
        <v/>
      </c>
      <c r="B224" s="60" t="str">
        <f t="shared" si="11"/>
        <v/>
      </c>
      <c r="C224" s="17"/>
      <c r="D224" s="17"/>
      <c r="E224" s="17"/>
      <c r="F224" s="17"/>
      <c r="G224" s="17"/>
      <c r="H224" s="23"/>
      <c r="I224" s="17"/>
      <c r="J224" s="17"/>
      <c r="K224" s="17"/>
      <c r="L224" s="17"/>
    </row>
    <row r="225" spans="1:12">
      <c r="A225" s="60" t="str">
        <f t="shared" si="10"/>
        <v/>
      </c>
      <c r="B225" s="60" t="str">
        <f t="shared" si="11"/>
        <v/>
      </c>
      <c r="C225" s="17"/>
      <c r="D225" s="17"/>
      <c r="E225" s="17"/>
      <c r="F225" s="17"/>
      <c r="G225" s="17"/>
      <c r="H225" s="23"/>
      <c r="I225" s="17"/>
      <c r="J225" s="17"/>
      <c r="K225" s="17"/>
      <c r="L225" s="17"/>
    </row>
    <row r="226" spans="1:12">
      <c r="A226" s="60" t="str">
        <f t="shared" si="10"/>
        <v/>
      </c>
      <c r="B226" s="60" t="str">
        <f t="shared" si="11"/>
        <v/>
      </c>
      <c r="C226" s="17"/>
      <c r="D226" s="17"/>
      <c r="E226" s="17"/>
      <c r="F226" s="17"/>
      <c r="G226" s="17"/>
      <c r="H226" s="23"/>
      <c r="I226" s="17"/>
      <c r="J226" s="17"/>
      <c r="K226" s="17"/>
      <c r="L226" s="17"/>
    </row>
    <row r="227" spans="1:12">
      <c r="A227" s="60" t="str">
        <f t="shared" si="10"/>
        <v/>
      </c>
      <c r="B227" s="60" t="str">
        <f t="shared" si="11"/>
        <v/>
      </c>
      <c r="C227" s="17"/>
      <c r="D227" s="17"/>
      <c r="E227" s="17"/>
      <c r="F227" s="17"/>
      <c r="G227" s="17"/>
      <c r="H227" s="23"/>
      <c r="I227" s="17"/>
      <c r="J227" s="17"/>
      <c r="K227" s="17"/>
      <c r="L227" s="17"/>
    </row>
    <row r="228" spans="1:12">
      <c r="A228" s="60" t="str">
        <f t="shared" si="10"/>
        <v/>
      </c>
      <c r="B228" s="60" t="str">
        <f t="shared" si="11"/>
        <v/>
      </c>
      <c r="C228" s="17"/>
      <c r="D228" s="17"/>
      <c r="E228" s="17"/>
      <c r="F228" s="17"/>
      <c r="G228" s="17"/>
      <c r="H228" s="23"/>
      <c r="I228" s="17"/>
      <c r="J228" s="17"/>
      <c r="K228" s="17"/>
      <c r="L228" s="17"/>
    </row>
    <row r="1048559" spans="8:8">
      <c r="H1048559" s="23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N321"/>
  <sheetViews>
    <sheetView showGridLines="0" zoomScaleNormal="100" workbookViewId="0"/>
  </sheetViews>
  <sheetFormatPr defaultColWidth="0" defaultRowHeight="0" customHeight="1" zeroHeight="1"/>
  <cols>
    <col min="1" max="2" width="2" style="2" customWidth="1"/>
    <col min="3" max="12" width="28.33203125" style="2" customWidth="1"/>
    <col min="13" max="13" width="3.6640625" style="2" customWidth="1"/>
    <col min="14" max="14" width="13.88671875" style="2" hidden="1" customWidth="1"/>
    <col min="15" max="15" width="12.109375" style="2" hidden="1" customWidth="1"/>
    <col min="16" max="40" width="0" style="2" hidden="1" customWidth="1"/>
    <col min="41" max="16384" width="9.109375" style="2" hidden="1"/>
  </cols>
  <sheetData>
    <row r="1" spans="1:30" ht="13.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3.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3.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3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3.8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14.4" thickBot="1">
      <c r="A6" s="30"/>
      <c r="B6" s="30"/>
      <c r="C6" s="31" t="s">
        <v>77</v>
      </c>
      <c r="D6" s="31"/>
      <c r="E6" s="32"/>
      <c r="F6" s="32"/>
      <c r="G6" s="32"/>
      <c r="H6" s="32"/>
      <c r="I6" s="32"/>
      <c r="J6" s="32"/>
      <c r="K6" s="32"/>
      <c r="L6" s="32"/>
      <c r="M6" s="30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13.8"/>
    <row r="8" spans="1:30" ht="13.8">
      <c r="C8" s="18" t="s">
        <v>0</v>
      </c>
      <c r="D8" s="18" t="s">
        <v>3</v>
      </c>
      <c r="E8" s="18" t="s">
        <v>53</v>
      </c>
      <c r="F8" s="18" t="s">
        <v>2</v>
      </c>
      <c r="G8" s="18" t="s">
        <v>6</v>
      </c>
      <c r="H8" s="18" t="s">
        <v>48</v>
      </c>
      <c r="I8" s="18" t="s">
        <v>56</v>
      </c>
      <c r="J8" s="18" t="s">
        <v>57</v>
      </c>
      <c r="K8" s="18" t="s">
        <v>51</v>
      </c>
      <c r="L8" s="18" t="s">
        <v>50</v>
      </c>
      <c r="M8" s="4"/>
      <c r="N8" s="4"/>
    </row>
    <row r="9" spans="1:30" ht="13.8">
      <c r="A9" s="60" t="str">
        <f t="shared" ref="A9:A68" si="0">+C9&amp;G9&amp;H9</f>
        <v/>
      </c>
      <c r="B9" s="60"/>
      <c r="C9" s="17"/>
      <c r="D9" s="17"/>
      <c r="E9" s="17"/>
      <c r="F9" s="17"/>
      <c r="G9" s="17"/>
      <c r="H9" s="23"/>
      <c r="I9" s="17"/>
      <c r="J9" s="17"/>
      <c r="K9" s="17"/>
      <c r="L9" s="17"/>
      <c r="M9" s="5"/>
    </row>
    <row r="10" spans="1:30" ht="13.8">
      <c r="A10" s="60" t="str">
        <f t="shared" si="0"/>
        <v/>
      </c>
      <c r="B10" s="60"/>
      <c r="C10" s="17"/>
      <c r="D10" s="17"/>
      <c r="E10" s="17"/>
      <c r="F10" s="17"/>
      <c r="G10" s="17"/>
      <c r="H10" s="23"/>
      <c r="I10" s="17"/>
      <c r="J10" s="17"/>
      <c r="K10" s="17"/>
      <c r="L10" s="17"/>
      <c r="M10" s="5"/>
    </row>
    <row r="11" spans="1:30" ht="13.8">
      <c r="A11" s="60" t="str">
        <f t="shared" ref="A11" si="1">+C11&amp;G11&amp;H11</f>
        <v/>
      </c>
      <c r="B11" s="60"/>
      <c r="C11" s="17"/>
      <c r="D11" s="17"/>
      <c r="E11" s="17"/>
      <c r="F11" s="17"/>
      <c r="G11" s="17"/>
      <c r="H11" s="23"/>
      <c r="I11" s="17"/>
      <c r="J11" s="17"/>
      <c r="K11" s="17"/>
      <c r="L11" s="17"/>
      <c r="M11" s="5"/>
    </row>
    <row r="12" spans="1:30" ht="13.8">
      <c r="A12" s="60" t="str">
        <f t="shared" si="0"/>
        <v/>
      </c>
      <c r="B12" s="60"/>
      <c r="C12" s="17"/>
      <c r="D12" s="17"/>
      <c r="E12" s="17"/>
      <c r="F12" s="17"/>
      <c r="G12" s="17"/>
      <c r="H12" s="23"/>
      <c r="I12" s="17"/>
      <c r="J12" s="17"/>
      <c r="K12" s="17"/>
      <c r="L12" s="17"/>
      <c r="M12" s="5"/>
    </row>
    <row r="13" spans="1:30" ht="13.8">
      <c r="A13" s="60" t="str">
        <f t="shared" si="0"/>
        <v/>
      </c>
      <c r="B13" s="60"/>
      <c r="C13" s="17"/>
      <c r="D13" s="17"/>
      <c r="E13" s="17"/>
      <c r="F13" s="17"/>
      <c r="G13" s="17"/>
      <c r="H13" s="23"/>
      <c r="I13" s="17"/>
      <c r="J13" s="17"/>
      <c r="K13" s="17"/>
      <c r="L13" s="17"/>
      <c r="M13" s="5"/>
    </row>
    <row r="14" spans="1:30" ht="13.8">
      <c r="A14" s="60" t="str">
        <f t="shared" si="0"/>
        <v/>
      </c>
      <c r="B14" s="60"/>
      <c r="C14" s="17"/>
      <c r="D14" s="17"/>
      <c r="E14" s="17"/>
      <c r="F14" s="17"/>
      <c r="G14" s="17"/>
      <c r="H14" s="23"/>
      <c r="I14" s="17"/>
      <c r="J14" s="17"/>
      <c r="K14" s="17"/>
      <c r="L14" s="17"/>
      <c r="M14" s="5"/>
    </row>
    <row r="15" spans="1:30" s="17" customFormat="1" ht="13.8">
      <c r="A15" s="60" t="str">
        <f t="shared" si="0"/>
        <v/>
      </c>
      <c r="B15" s="60"/>
      <c r="H15" s="23"/>
      <c r="M15" s="5"/>
    </row>
    <row r="16" spans="1:30" ht="13.8">
      <c r="A16" s="60" t="str">
        <f t="shared" si="0"/>
        <v/>
      </c>
      <c r="B16" s="60"/>
      <c r="C16" s="17"/>
      <c r="D16" s="17"/>
      <c r="E16" s="17"/>
      <c r="F16" s="17"/>
      <c r="G16" s="17"/>
      <c r="H16" s="23"/>
      <c r="I16" s="17"/>
      <c r="J16" s="17"/>
      <c r="K16" s="17"/>
      <c r="L16" s="23"/>
      <c r="M16" s="5"/>
    </row>
    <row r="17" spans="1:13" ht="13.8">
      <c r="A17" s="60" t="str">
        <f t="shared" si="0"/>
        <v/>
      </c>
      <c r="B17" s="60"/>
      <c r="C17" s="17"/>
      <c r="D17" s="17"/>
      <c r="E17" s="17"/>
      <c r="F17" s="17"/>
      <c r="G17" s="17"/>
      <c r="H17" s="23"/>
      <c r="I17" s="17"/>
      <c r="J17" s="17"/>
      <c r="K17" s="17"/>
      <c r="L17" s="23"/>
      <c r="M17" s="5"/>
    </row>
    <row r="18" spans="1:13" ht="13.8">
      <c r="A18" s="60" t="str">
        <f t="shared" si="0"/>
        <v/>
      </c>
      <c r="B18" s="60"/>
      <c r="C18" s="17"/>
      <c r="D18" s="17"/>
      <c r="E18" s="17"/>
      <c r="F18" s="17"/>
      <c r="G18" s="17"/>
      <c r="H18" s="23"/>
      <c r="I18" s="17"/>
      <c r="J18" s="17"/>
      <c r="K18" s="17"/>
      <c r="L18" s="23"/>
      <c r="M18" s="5"/>
    </row>
    <row r="19" spans="1:13" ht="13.8">
      <c r="A19" s="60" t="str">
        <f t="shared" si="0"/>
        <v/>
      </c>
      <c r="B19" s="60"/>
      <c r="C19" s="17"/>
      <c r="D19" s="17"/>
      <c r="E19" s="17"/>
      <c r="F19" s="17"/>
      <c r="G19" s="17"/>
      <c r="H19" s="23"/>
      <c r="I19" s="17"/>
      <c r="J19" s="17"/>
      <c r="K19" s="17"/>
      <c r="L19" s="23"/>
      <c r="M19" s="5"/>
    </row>
    <row r="20" spans="1:13" ht="13.8">
      <c r="A20" s="60" t="str">
        <f t="shared" si="0"/>
        <v/>
      </c>
      <c r="B20" s="60"/>
      <c r="C20" s="17"/>
      <c r="D20" s="17"/>
      <c r="E20" s="17"/>
      <c r="F20" s="17"/>
      <c r="G20" s="17"/>
      <c r="H20" s="23"/>
      <c r="I20" s="17"/>
      <c r="J20" s="17"/>
      <c r="K20" s="17"/>
      <c r="L20" s="23"/>
      <c r="M20" s="5"/>
    </row>
    <row r="21" spans="1:13" ht="13.8">
      <c r="A21" s="60" t="str">
        <f t="shared" si="0"/>
        <v/>
      </c>
      <c r="B21" s="60"/>
      <c r="C21" s="17"/>
      <c r="D21" s="17"/>
      <c r="E21" s="17"/>
      <c r="F21" s="17"/>
      <c r="G21" s="17"/>
      <c r="H21" s="23"/>
      <c r="I21" s="17"/>
      <c r="J21" s="17"/>
      <c r="K21" s="17"/>
      <c r="L21" s="23"/>
      <c r="M21" s="5"/>
    </row>
    <row r="22" spans="1:13" ht="13.8">
      <c r="A22" s="60" t="str">
        <f t="shared" si="0"/>
        <v/>
      </c>
      <c r="B22" s="60"/>
      <c r="C22" s="17"/>
      <c r="D22" s="17"/>
      <c r="E22" s="17"/>
      <c r="F22" s="17"/>
      <c r="G22" s="17"/>
      <c r="H22" s="23"/>
      <c r="I22" s="17"/>
      <c r="J22" s="17"/>
      <c r="K22" s="17"/>
      <c r="L22" s="23"/>
      <c r="M22" s="5"/>
    </row>
    <row r="23" spans="1:13" ht="13.8">
      <c r="A23" s="60" t="str">
        <f t="shared" si="0"/>
        <v/>
      </c>
      <c r="B23" s="60"/>
      <c r="C23" s="17"/>
      <c r="D23" s="17"/>
      <c r="E23" s="17"/>
      <c r="F23" s="17"/>
      <c r="G23" s="17"/>
      <c r="H23" s="23"/>
      <c r="I23" s="17"/>
      <c r="J23" s="17"/>
      <c r="K23" s="17"/>
      <c r="L23" s="23"/>
      <c r="M23" s="5"/>
    </row>
    <row r="24" spans="1:13" ht="13.8">
      <c r="A24" s="60" t="str">
        <f t="shared" si="0"/>
        <v/>
      </c>
      <c r="B24" s="60"/>
      <c r="C24" s="17"/>
      <c r="D24" s="17"/>
      <c r="E24" s="17"/>
      <c r="F24" s="17"/>
      <c r="G24" s="17"/>
      <c r="H24" s="23"/>
      <c r="I24" s="17"/>
      <c r="J24" s="17"/>
      <c r="K24" s="17"/>
      <c r="L24" s="23"/>
      <c r="M24" s="5"/>
    </row>
    <row r="25" spans="1:13" ht="13.8">
      <c r="A25" s="60" t="str">
        <f t="shared" si="0"/>
        <v/>
      </c>
      <c r="B25" s="60"/>
      <c r="C25" s="17"/>
      <c r="D25" s="17"/>
      <c r="E25" s="17"/>
      <c r="F25" s="17"/>
      <c r="G25" s="17"/>
      <c r="H25" s="23"/>
      <c r="I25" s="17"/>
      <c r="J25" s="17"/>
      <c r="K25" s="17"/>
      <c r="L25" s="23"/>
      <c r="M25" s="5"/>
    </row>
    <row r="26" spans="1:13" ht="13.8">
      <c r="A26" s="60" t="str">
        <f t="shared" si="0"/>
        <v/>
      </c>
      <c r="B26" s="60"/>
      <c r="C26" s="17"/>
      <c r="D26" s="17"/>
      <c r="E26" s="17"/>
      <c r="F26" s="17"/>
      <c r="G26" s="17"/>
      <c r="H26" s="23"/>
      <c r="I26" s="17"/>
      <c r="J26" s="17"/>
      <c r="K26" s="17"/>
      <c r="L26" s="23"/>
      <c r="M26" s="5"/>
    </row>
    <row r="27" spans="1:13" ht="13.8">
      <c r="A27" s="60" t="str">
        <f t="shared" si="0"/>
        <v/>
      </c>
      <c r="B27" s="60"/>
      <c r="C27" s="17"/>
      <c r="D27" s="17"/>
      <c r="E27" s="17"/>
      <c r="F27" s="17"/>
      <c r="G27" s="17"/>
      <c r="H27" s="23"/>
      <c r="I27" s="17"/>
      <c r="J27" s="17"/>
      <c r="K27" s="17"/>
      <c r="L27" s="23"/>
      <c r="M27" s="5"/>
    </row>
    <row r="28" spans="1:13" ht="13.8">
      <c r="A28" s="60" t="str">
        <f t="shared" si="0"/>
        <v/>
      </c>
      <c r="B28" s="60"/>
      <c r="C28" s="17"/>
      <c r="D28" s="17"/>
      <c r="E28" s="17"/>
      <c r="F28" s="17"/>
      <c r="G28" s="17"/>
      <c r="H28" s="23"/>
      <c r="I28" s="17"/>
      <c r="J28" s="17"/>
      <c r="K28" s="17"/>
      <c r="L28" s="23"/>
      <c r="M28" s="5"/>
    </row>
    <row r="29" spans="1:13" ht="13.8">
      <c r="A29" s="60" t="str">
        <f t="shared" si="0"/>
        <v/>
      </c>
      <c r="B29" s="60"/>
      <c r="C29" s="17"/>
      <c r="D29" s="17"/>
      <c r="E29" s="17"/>
      <c r="F29" s="17"/>
      <c r="G29" s="17"/>
      <c r="H29" s="23"/>
      <c r="I29" s="17"/>
      <c r="J29" s="17"/>
      <c r="K29" s="17"/>
      <c r="L29" s="23"/>
      <c r="M29" s="5"/>
    </row>
    <row r="30" spans="1:13" ht="13.8">
      <c r="A30" s="60" t="str">
        <f t="shared" si="0"/>
        <v/>
      </c>
      <c r="B30" s="60"/>
      <c r="C30" s="17"/>
      <c r="D30" s="17"/>
      <c r="E30" s="17"/>
      <c r="F30" s="17"/>
      <c r="G30" s="17"/>
      <c r="H30" s="23"/>
      <c r="I30" s="17"/>
      <c r="J30" s="17"/>
      <c r="K30" s="17"/>
      <c r="L30" s="23"/>
      <c r="M30" s="5"/>
    </row>
    <row r="31" spans="1:13" ht="13.8">
      <c r="A31" s="60" t="str">
        <f t="shared" si="0"/>
        <v/>
      </c>
      <c r="B31" s="60"/>
      <c r="C31" s="17"/>
      <c r="D31" s="17"/>
      <c r="E31" s="17"/>
      <c r="F31" s="17"/>
      <c r="G31" s="17"/>
      <c r="H31" s="23"/>
      <c r="I31" s="17"/>
      <c r="J31" s="17"/>
      <c r="K31" s="17"/>
      <c r="L31" s="23"/>
      <c r="M31" s="5"/>
    </row>
    <row r="32" spans="1:13" ht="13.8">
      <c r="A32" s="60" t="str">
        <f t="shared" si="0"/>
        <v/>
      </c>
      <c r="B32" s="60"/>
      <c r="C32" s="17"/>
      <c r="D32" s="17"/>
      <c r="E32" s="17"/>
      <c r="F32" s="17"/>
      <c r="G32" s="17"/>
      <c r="H32" s="23"/>
      <c r="I32" s="17"/>
      <c r="J32" s="17"/>
      <c r="K32" s="17"/>
      <c r="L32" s="23"/>
      <c r="M32" s="5"/>
    </row>
    <row r="33" spans="1:13" ht="13.8">
      <c r="A33" s="60" t="str">
        <f t="shared" si="0"/>
        <v/>
      </c>
      <c r="B33" s="60"/>
      <c r="C33" s="17"/>
      <c r="D33" s="17"/>
      <c r="E33" s="17"/>
      <c r="F33" s="17"/>
      <c r="G33" s="17"/>
      <c r="H33" s="23"/>
      <c r="I33" s="17"/>
      <c r="J33" s="17"/>
      <c r="K33" s="17"/>
      <c r="L33" s="17"/>
      <c r="M33" s="5"/>
    </row>
    <row r="34" spans="1:13" ht="13.8">
      <c r="A34" s="60" t="str">
        <f t="shared" si="0"/>
        <v/>
      </c>
      <c r="B34" s="60"/>
      <c r="C34" s="17"/>
      <c r="D34" s="17"/>
      <c r="E34" s="17"/>
      <c r="F34" s="17"/>
      <c r="G34" s="17"/>
      <c r="H34" s="23"/>
      <c r="I34" s="17"/>
      <c r="J34" s="17"/>
      <c r="K34" s="17"/>
      <c r="L34" s="17"/>
      <c r="M34" s="5"/>
    </row>
    <row r="35" spans="1:13" ht="13.8">
      <c r="A35" s="60" t="str">
        <f t="shared" si="0"/>
        <v/>
      </c>
      <c r="B35" s="60"/>
      <c r="C35" s="17"/>
      <c r="D35" s="17"/>
      <c r="E35" s="17"/>
      <c r="F35" s="17"/>
      <c r="G35" s="17"/>
      <c r="H35" s="23"/>
      <c r="I35" s="17"/>
      <c r="J35" s="17"/>
      <c r="K35" s="17"/>
      <c r="L35" s="17"/>
      <c r="M35" s="5"/>
    </row>
    <row r="36" spans="1:13" ht="13.8">
      <c r="A36" s="60" t="str">
        <f t="shared" si="0"/>
        <v/>
      </c>
      <c r="B36" s="60"/>
      <c r="C36" s="17"/>
      <c r="D36" s="17"/>
      <c r="E36" s="17"/>
      <c r="F36" s="17"/>
      <c r="G36" s="17"/>
      <c r="H36" s="23"/>
      <c r="I36" s="17"/>
      <c r="J36" s="17"/>
      <c r="K36" s="17"/>
      <c r="L36" s="17"/>
      <c r="M36" s="5"/>
    </row>
    <row r="37" spans="1:13" ht="13.8">
      <c r="A37" s="60" t="str">
        <f t="shared" si="0"/>
        <v/>
      </c>
      <c r="B37" s="60"/>
      <c r="C37" s="17"/>
      <c r="D37" s="17"/>
      <c r="E37" s="17"/>
      <c r="F37" s="17"/>
      <c r="G37" s="17"/>
      <c r="H37" s="23"/>
      <c r="I37" s="17"/>
      <c r="J37" s="17"/>
      <c r="K37" s="17"/>
      <c r="L37" s="17"/>
      <c r="M37" s="5"/>
    </row>
    <row r="38" spans="1:13" ht="13.8">
      <c r="A38" s="60" t="str">
        <f t="shared" si="0"/>
        <v/>
      </c>
      <c r="B38" s="60"/>
      <c r="C38" s="17"/>
      <c r="D38" s="17"/>
      <c r="E38" s="17"/>
      <c r="F38" s="17"/>
      <c r="G38" s="17"/>
      <c r="H38" s="23"/>
      <c r="I38" s="17"/>
      <c r="J38" s="17"/>
      <c r="K38" s="17"/>
      <c r="L38" s="17"/>
      <c r="M38" s="5"/>
    </row>
    <row r="39" spans="1:13" ht="13.8">
      <c r="A39" s="60" t="str">
        <f t="shared" si="0"/>
        <v/>
      </c>
      <c r="B39" s="60"/>
      <c r="C39" s="17"/>
      <c r="D39" s="17"/>
      <c r="E39" s="17"/>
      <c r="F39" s="17"/>
      <c r="G39" s="17"/>
      <c r="H39" s="23"/>
      <c r="I39" s="17"/>
      <c r="J39" s="17"/>
      <c r="K39" s="17"/>
      <c r="L39" s="17"/>
      <c r="M39" s="5"/>
    </row>
    <row r="40" spans="1:13" ht="13.8">
      <c r="A40" s="60" t="str">
        <f t="shared" si="0"/>
        <v/>
      </c>
      <c r="B40" s="60"/>
      <c r="C40" s="17"/>
      <c r="D40" s="17"/>
      <c r="E40" s="17"/>
      <c r="F40" s="17"/>
      <c r="G40" s="17"/>
      <c r="H40" s="23"/>
      <c r="I40" s="17"/>
      <c r="J40" s="17"/>
      <c r="K40" s="17"/>
      <c r="L40" s="17"/>
      <c r="M40" s="5"/>
    </row>
    <row r="41" spans="1:13" ht="13.8">
      <c r="A41" s="60" t="str">
        <f t="shared" si="0"/>
        <v/>
      </c>
      <c r="B41" s="60"/>
      <c r="C41" s="17"/>
      <c r="D41" s="17"/>
      <c r="E41" s="17"/>
      <c r="F41" s="17"/>
      <c r="G41" s="17"/>
      <c r="H41" s="23"/>
      <c r="I41" s="17"/>
      <c r="J41" s="17"/>
      <c r="K41" s="17"/>
      <c r="L41" s="17"/>
      <c r="M41" s="5"/>
    </row>
    <row r="42" spans="1:13" ht="13.8">
      <c r="A42" s="60" t="str">
        <f t="shared" si="0"/>
        <v/>
      </c>
      <c r="B42" s="60"/>
      <c r="C42" s="17"/>
      <c r="D42" s="17"/>
      <c r="E42" s="17"/>
      <c r="F42" s="17"/>
      <c r="G42" s="17"/>
      <c r="H42" s="23"/>
      <c r="I42" s="17"/>
      <c r="J42" s="17"/>
      <c r="K42" s="17"/>
      <c r="L42" s="17"/>
      <c r="M42" s="5"/>
    </row>
    <row r="43" spans="1:13" ht="13.8">
      <c r="A43" s="60" t="str">
        <f t="shared" si="0"/>
        <v/>
      </c>
      <c r="B43" s="60"/>
      <c r="C43" s="17"/>
      <c r="D43" s="17"/>
      <c r="E43" s="17"/>
      <c r="F43" s="17"/>
      <c r="G43" s="17"/>
      <c r="H43" s="23"/>
      <c r="I43" s="17"/>
      <c r="J43" s="17"/>
      <c r="K43" s="17"/>
      <c r="L43" s="17"/>
      <c r="M43" s="5"/>
    </row>
    <row r="44" spans="1:13" ht="13.8">
      <c r="A44" s="60" t="str">
        <f t="shared" si="0"/>
        <v/>
      </c>
      <c r="B44" s="60"/>
      <c r="C44" s="17"/>
      <c r="D44" s="17"/>
      <c r="E44" s="17"/>
      <c r="F44" s="17"/>
      <c r="G44" s="17"/>
      <c r="H44" s="23"/>
      <c r="I44" s="17"/>
      <c r="J44" s="17"/>
      <c r="K44" s="17"/>
      <c r="L44" s="17"/>
      <c r="M44" s="5"/>
    </row>
    <row r="45" spans="1:13" ht="13.8">
      <c r="A45" s="60" t="str">
        <f t="shared" si="0"/>
        <v/>
      </c>
      <c r="B45" s="60"/>
      <c r="C45" s="17"/>
      <c r="D45" s="17"/>
      <c r="E45" s="17"/>
      <c r="F45" s="17"/>
      <c r="G45" s="17"/>
      <c r="H45" s="23"/>
      <c r="I45" s="17"/>
      <c r="J45" s="17"/>
      <c r="K45" s="17"/>
      <c r="L45" s="17"/>
      <c r="M45" s="5"/>
    </row>
    <row r="46" spans="1:13" ht="13.8">
      <c r="A46" s="60" t="str">
        <f t="shared" si="0"/>
        <v/>
      </c>
      <c r="B46" s="60"/>
      <c r="C46" s="17"/>
      <c r="D46" s="17"/>
      <c r="E46" s="17"/>
      <c r="F46" s="17"/>
      <c r="G46" s="17"/>
      <c r="H46" s="23"/>
      <c r="I46" s="17"/>
      <c r="J46" s="17"/>
      <c r="K46" s="17"/>
      <c r="L46" s="17"/>
      <c r="M46" s="5"/>
    </row>
    <row r="47" spans="1:13" ht="13.8">
      <c r="A47" s="60" t="str">
        <f t="shared" si="0"/>
        <v/>
      </c>
      <c r="B47" s="60"/>
      <c r="C47" s="17"/>
      <c r="D47" s="17"/>
      <c r="E47" s="17"/>
      <c r="F47" s="17"/>
      <c r="G47" s="17"/>
      <c r="H47" s="23"/>
      <c r="I47" s="17"/>
      <c r="J47" s="17"/>
      <c r="K47" s="17"/>
      <c r="L47" s="17"/>
      <c r="M47" s="5"/>
    </row>
    <row r="48" spans="1:13" ht="13.8">
      <c r="A48" s="60" t="str">
        <f t="shared" si="0"/>
        <v/>
      </c>
      <c r="B48" s="60"/>
      <c r="C48" s="17"/>
      <c r="D48" s="17"/>
      <c r="E48" s="17"/>
      <c r="F48" s="17"/>
      <c r="G48" s="17"/>
      <c r="H48" s="23"/>
      <c r="I48" s="17"/>
      <c r="J48" s="17"/>
      <c r="K48" s="17"/>
      <c r="L48" s="17"/>
      <c r="M48" s="5"/>
    </row>
    <row r="49" spans="1:13" ht="13.8">
      <c r="A49" s="60" t="str">
        <f t="shared" si="0"/>
        <v/>
      </c>
      <c r="B49" s="60"/>
      <c r="C49" s="17"/>
      <c r="D49" s="17"/>
      <c r="E49" s="17"/>
      <c r="F49" s="17"/>
      <c r="G49" s="17"/>
      <c r="H49" s="23"/>
      <c r="I49" s="17"/>
      <c r="J49" s="17"/>
      <c r="K49" s="17"/>
      <c r="L49" s="17"/>
      <c r="M49" s="5"/>
    </row>
    <row r="50" spans="1:13" ht="13.8">
      <c r="A50" s="60" t="str">
        <f t="shared" si="0"/>
        <v/>
      </c>
      <c r="B50" s="60"/>
      <c r="C50" s="17"/>
      <c r="D50" s="17"/>
      <c r="E50" s="17"/>
      <c r="F50" s="17"/>
      <c r="G50" s="17"/>
      <c r="H50" s="23"/>
      <c r="I50" s="17"/>
      <c r="J50" s="17"/>
      <c r="K50" s="17"/>
      <c r="L50" s="23"/>
      <c r="M50" s="5"/>
    </row>
    <row r="51" spans="1:13" ht="13.8">
      <c r="A51" s="60" t="str">
        <f t="shared" si="0"/>
        <v/>
      </c>
      <c r="B51" s="60"/>
      <c r="C51" s="17"/>
      <c r="D51" s="17"/>
      <c r="E51" s="17"/>
      <c r="F51" s="17"/>
      <c r="G51" s="17"/>
      <c r="H51" s="23"/>
      <c r="I51" s="17"/>
      <c r="J51" s="17"/>
      <c r="K51" s="17"/>
      <c r="L51" s="23"/>
      <c r="M51" s="5"/>
    </row>
    <row r="52" spans="1:13" ht="13.8">
      <c r="A52" s="60" t="str">
        <f t="shared" si="0"/>
        <v/>
      </c>
      <c r="B52" s="60"/>
      <c r="C52" s="17"/>
      <c r="D52" s="17"/>
      <c r="E52" s="17"/>
      <c r="F52" s="17"/>
      <c r="G52" s="17"/>
      <c r="H52" s="23"/>
      <c r="I52" s="17"/>
      <c r="J52" s="17"/>
      <c r="K52" s="17"/>
      <c r="L52" s="23"/>
      <c r="M52" s="5"/>
    </row>
    <row r="53" spans="1:13" ht="13.8">
      <c r="A53" s="60" t="str">
        <f t="shared" si="0"/>
        <v/>
      </c>
      <c r="B53" s="60"/>
      <c r="C53" s="17"/>
      <c r="D53" s="17"/>
      <c r="E53" s="17"/>
      <c r="F53" s="17"/>
      <c r="G53" s="17"/>
      <c r="H53" s="23"/>
      <c r="I53" s="17"/>
      <c r="J53" s="17"/>
      <c r="K53" s="17"/>
      <c r="L53" s="23"/>
      <c r="M53" s="5"/>
    </row>
    <row r="54" spans="1:13" ht="13.8">
      <c r="A54" s="60" t="str">
        <f t="shared" si="0"/>
        <v/>
      </c>
      <c r="B54" s="60"/>
      <c r="C54" s="17"/>
      <c r="D54" s="17"/>
      <c r="E54" s="17"/>
      <c r="F54" s="17"/>
      <c r="G54" s="17"/>
      <c r="H54" s="23"/>
      <c r="I54" s="17"/>
      <c r="J54" s="17"/>
      <c r="K54" s="17"/>
      <c r="L54" s="23"/>
      <c r="M54" s="5"/>
    </row>
    <row r="55" spans="1:13" ht="13.8">
      <c r="A55" s="60" t="str">
        <f t="shared" si="0"/>
        <v/>
      </c>
      <c r="B55" s="60"/>
      <c r="C55" s="17"/>
      <c r="D55" s="17"/>
      <c r="E55" s="17"/>
      <c r="F55" s="17"/>
      <c r="G55" s="17"/>
      <c r="H55" s="23"/>
      <c r="I55" s="17"/>
      <c r="J55" s="17"/>
      <c r="K55" s="17"/>
      <c r="L55" s="23"/>
      <c r="M55" s="5"/>
    </row>
    <row r="56" spans="1:13" ht="13.8">
      <c r="A56" s="60" t="str">
        <f t="shared" si="0"/>
        <v/>
      </c>
      <c r="B56" s="60"/>
      <c r="C56" s="17"/>
      <c r="D56" s="17"/>
      <c r="E56" s="17"/>
      <c r="F56" s="17"/>
      <c r="G56" s="17"/>
      <c r="H56" s="23"/>
      <c r="I56" s="17"/>
      <c r="J56" s="17"/>
      <c r="K56" s="17"/>
      <c r="L56" s="23"/>
      <c r="M56" s="5"/>
    </row>
    <row r="57" spans="1:13" ht="13.8">
      <c r="A57" s="60" t="str">
        <f t="shared" si="0"/>
        <v/>
      </c>
      <c r="B57" s="60"/>
      <c r="C57" s="17"/>
      <c r="D57" s="17"/>
      <c r="E57" s="17"/>
      <c r="F57" s="17"/>
      <c r="G57" s="17"/>
      <c r="H57" s="23"/>
      <c r="I57" s="17"/>
      <c r="J57" s="17"/>
      <c r="K57" s="17"/>
      <c r="L57" s="23"/>
      <c r="M57" s="5"/>
    </row>
    <row r="58" spans="1:13" ht="13.8">
      <c r="A58" s="60" t="str">
        <f t="shared" si="0"/>
        <v/>
      </c>
      <c r="B58" s="60"/>
      <c r="C58" s="17"/>
      <c r="D58" s="17"/>
      <c r="E58" s="17"/>
      <c r="F58" s="17"/>
      <c r="G58" s="17"/>
      <c r="H58" s="23"/>
      <c r="I58" s="17"/>
      <c r="J58" s="17"/>
      <c r="K58" s="17"/>
      <c r="L58" s="23"/>
      <c r="M58" s="5"/>
    </row>
    <row r="59" spans="1:13" ht="13.8">
      <c r="A59" s="60" t="str">
        <f t="shared" si="0"/>
        <v/>
      </c>
      <c r="B59" s="60"/>
      <c r="C59" s="17"/>
      <c r="D59" s="17"/>
      <c r="E59" s="17"/>
      <c r="F59" s="17"/>
      <c r="G59" s="17"/>
      <c r="H59" s="23"/>
      <c r="I59" s="17"/>
      <c r="J59" s="17"/>
      <c r="K59" s="17"/>
      <c r="L59" s="23"/>
      <c r="M59" s="5"/>
    </row>
    <row r="60" spans="1:13" ht="13.8">
      <c r="A60" s="60" t="str">
        <f t="shared" si="0"/>
        <v/>
      </c>
      <c r="B60" s="60"/>
      <c r="C60" s="17"/>
      <c r="D60" s="17"/>
      <c r="E60" s="17"/>
      <c r="F60" s="17"/>
      <c r="G60" s="17"/>
      <c r="H60" s="23"/>
      <c r="I60" s="17"/>
      <c r="J60" s="17"/>
      <c r="K60" s="17"/>
      <c r="L60" s="23"/>
      <c r="M60" s="5"/>
    </row>
    <row r="61" spans="1:13" ht="13.8">
      <c r="A61" s="60" t="str">
        <f t="shared" si="0"/>
        <v/>
      </c>
      <c r="B61" s="60"/>
      <c r="C61" s="17"/>
      <c r="D61" s="17"/>
      <c r="E61" s="17"/>
      <c r="F61" s="17"/>
      <c r="G61" s="17"/>
      <c r="H61" s="23"/>
      <c r="I61" s="17"/>
      <c r="J61" s="17"/>
      <c r="K61" s="17"/>
      <c r="L61" s="23"/>
      <c r="M61" s="5"/>
    </row>
    <row r="62" spans="1:13" ht="13.8">
      <c r="A62" s="60" t="str">
        <f t="shared" si="0"/>
        <v/>
      </c>
      <c r="B62" s="60"/>
      <c r="C62" s="17"/>
      <c r="D62" s="17"/>
      <c r="E62" s="17"/>
      <c r="F62" s="17"/>
      <c r="G62" s="17"/>
      <c r="H62" s="23"/>
      <c r="I62" s="17"/>
      <c r="J62" s="17"/>
      <c r="K62" s="17"/>
      <c r="L62" s="23"/>
      <c r="M62" s="5"/>
    </row>
    <row r="63" spans="1:13" ht="13.8">
      <c r="A63" s="60" t="str">
        <f t="shared" si="0"/>
        <v/>
      </c>
      <c r="B63" s="60"/>
      <c r="C63" s="17"/>
      <c r="D63" s="17"/>
      <c r="E63" s="17"/>
      <c r="F63" s="17"/>
      <c r="G63" s="17"/>
      <c r="H63" s="23"/>
      <c r="I63" s="17"/>
      <c r="J63" s="17"/>
      <c r="K63" s="17"/>
      <c r="L63" s="23"/>
      <c r="M63" s="5"/>
    </row>
    <row r="64" spans="1:13" ht="13.8">
      <c r="A64" s="60" t="str">
        <f t="shared" si="0"/>
        <v/>
      </c>
      <c r="B64" s="60"/>
      <c r="C64" s="17"/>
      <c r="D64" s="17"/>
      <c r="E64" s="17"/>
      <c r="F64" s="17"/>
      <c r="G64" s="17"/>
      <c r="H64" s="23"/>
      <c r="I64" s="17"/>
      <c r="J64" s="17"/>
      <c r="K64" s="17"/>
      <c r="L64" s="23"/>
      <c r="M64" s="5"/>
    </row>
    <row r="65" spans="1:13" ht="13.8">
      <c r="A65" s="60" t="str">
        <f t="shared" si="0"/>
        <v/>
      </c>
      <c r="B65" s="60"/>
      <c r="C65" s="17"/>
      <c r="D65" s="17"/>
      <c r="E65" s="17"/>
      <c r="F65" s="17"/>
      <c r="G65" s="17"/>
      <c r="H65" s="23"/>
      <c r="I65" s="17"/>
      <c r="J65" s="17"/>
      <c r="K65" s="17"/>
      <c r="L65" s="23"/>
      <c r="M65" s="5"/>
    </row>
    <row r="66" spans="1:13" ht="13.8">
      <c r="A66" s="60" t="str">
        <f t="shared" si="0"/>
        <v/>
      </c>
      <c r="B66" s="60"/>
      <c r="C66" s="17"/>
      <c r="D66" s="17"/>
      <c r="E66" s="17"/>
      <c r="F66" s="17"/>
      <c r="G66" s="17"/>
      <c r="H66" s="23"/>
      <c r="I66" s="17"/>
      <c r="J66" s="17"/>
      <c r="K66" s="17"/>
      <c r="L66" s="23"/>
      <c r="M66" s="5"/>
    </row>
    <row r="67" spans="1:13" ht="13.8">
      <c r="A67" s="60" t="str">
        <f t="shared" si="0"/>
        <v/>
      </c>
      <c r="B67" s="60"/>
      <c r="C67" s="17"/>
      <c r="D67" s="17"/>
      <c r="E67" s="17"/>
      <c r="F67" s="17"/>
      <c r="G67" s="17"/>
      <c r="H67" s="23"/>
      <c r="I67" s="17"/>
      <c r="J67" s="17"/>
      <c r="K67" s="17"/>
      <c r="L67" s="23"/>
      <c r="M67" s="5"/>
    </row>
    <row r="68" spans="1:13" ht="13.8">
      <c r="A68" s="60" t="str">
        <f t="shared" si="0"/>
        <v/>
      </c>
      <c r="B68" s="60"/>
      <c r="C68" s="17"/>
      <c r="D68" s="17"/>
      <c r="E68" s="17"/>
      <c r="F68" s="17"/>
      <c r="G68" s="17"/>
      <c r="H68" s="23"/>
      <c r="I68" s="17"/>
      <c r="J68" s="17"/>
      <c r="K68" s="17"/>
      <c r="L68" s="23"/>
      <c r="M68" s="5"/>
    </row>
    <row r="69" spans="1:13" ht="13.8">
      <c r="A69" s="60" t="str">
        <f t="shared" ref="A69:A96" si="2">+C69&amp;G69&amp;H69</f>
        <v/>
      </c>
      <c r="B69" s="60"/>
      <c r="C69" s="17"/>
      <c r="D69" s="17"/>
      <c r="E69" s="17"/>
      <c r="F69" s="17"/>
      <c r="G69" s="17"/>
      <c r="H69" s="23"/>
      <c r="I69" s="17"/>
      <c r="J69" s="17"/>
      <c r="K69" s="17"/>
      <c r="L69" s="23"/>
      <c r="M69" s="5"/>
    </row>
    <row r="70" spans="1:13" ht="13.8">
      <c r="A70" s="60" t="str">
        <f t="shared" si="2"/>
        <v/>
      </c>
      <c r="B70" s="60"/>
      <c r="C70" s="17"/>
      <c r="D70" s="17"/>
      <c r="E70" s="17"/>
      <c r="F70" s="17"/>
      <c r="G70" s="17"/>
      <c r="H70" s="23"/>
      <c r="I70" s="17"/>
      <c r="J70" s="17"/>
      <c r="K70" s="17"/>
      <c r="L70" s="23"/>
      <c r="M70" s="5"/>
    </row>
    <row r="71" spans="1:13" ht="13.8">
      <c r="A71" s="60" t="str">
        <f t="shared" si="2"/>
        <v/>
      </c>
      <c r="B71" s="60"/>
      <c r="C71" s="17"/>
      <c r="D71" s="17"/>
      <c r="E71" s="17"/>
      <c r="F71" s="17"/>
      <c r="G71" s="17"/>
      <c r="H71" s="23"/>
      <c r="I71" s="17"/>
      <c r="J71" s="17"/>
      <c r="K71" s="17"/>
      <c r="L71" s="23"/>
      <c r="M71" s="5"/>
    </row>
    <row r="72" spans="1:13" ht="13.8">
      <c r="A72" s="60" t="str">
        <f t="shared" si="2"/>
        <v/>
      </c>
      <c r="B72" s="60"/>
      <c r="C72" s="17"/>
      <c r="D72" s="17"/>
      <c r="E72" s="17"/>
      <c r="F72" s="17"/>
      <c r="G72" s="17"/>
      <c r="H72" s="23"/>
      <c r="I72" s="17"/>
      <c r="J72" s="17"/>
      <c r="K72" s="17"/>
      <c r="L72" s="23"/>
      <c r="M72" s="5"/>
    </row>
    <row r="73" spans="1:13" ht="13.8">
      <c r="A73" s="60" t="str">
        <f t="shared" si="2"/>
        <v/>
      </c>
      <c r="B73" s="60"/>
      <c r="C73" s="17"/>
      <c r="D73" s="17"/>
      <c r="E73" s="17"/>
      <c r="F73" s="17"/>
      <c r="G73" s="17"/>
      <c r="H73" s="23"/>
      <c r="I73" s="17"/>
      <c r="J73" s="17"/>
      <c r="K73" s="17"/>
      <c r="L73" s="23"/>
      <c r="M73" s="5"/>
    </row>
    <row r="74" spans="1:13" ht="13.8">
      <c r="A74" s="60" t="str">
        <f t="shared" si="2"/>
        <v/>
      </c>
      <c r="B74" s="60"/>
      <c r="C74" s="17"/>
      <c r="D74" s="17"/>
      <c r="E74" s="17"/>
      <c r="F74" s="17"/>
      <c r="G74" s="17"/>
      <c r="H74" s="23"/>
      <c r="I74" s="17"/>
      <c r="J74" s="17"/>
      <c r="K74" s="17"/>
      <c r="L74" s="23"/>
      <c r="M74" s="5"/>
    </row>
    <row r="75" spans="1:13" ht="13.8">
      <c r="A75" s="60" t="str">
        <f t="shared" si="2"/>
        <v/>
      </c>
      <c r="B75" s="60"/>
      <c r="C75" s="17"/>
      <c r="D75" s="17"/>
      <c r="E75" s="17"/>
      <c r="F75" s="17"/>
      <c r="G75" s="17"/>
      <c r="H75" s="23"/>
      <c r="I75" s="17"/>
      <c r="J75" s="17"/>
      <c r="K75" s="17"/>
      <c r="L75" s="23"/>
      <c r="M75" s="5"/>
    </row>
    <row r="76" spans="1:13" ht="13.8">
      <c r="A76" s="60" t="str">
        <f t="shared" si="2"/>
        <v/>
      </c>
      <c r="B76" s="60"/>
      <c r="C76" s="17"/>
      <c r="D76" s="17"/>
      <c r="E76" s="17"/>
      <c r="F76" s="17"/>
      <c r="G76" s="17"/>
      <c r="H76" s="23"/>
      <c r="I76" s="17"/>
      <c r="J76" s="17"/>
      <c r="K76" s="17"/>
      <c r="L76" s="23"/>
      <c r="M76" s="5"/>
    </row>
    <row r="77" spans="1:13" ht="13.8">
      <c r="A77" s="60" t="str">
        <f t="shared" si="2"/>
        <v/>
      </c>
      <c r="B77" s="60"/>
      <c r="C77" s="17"/>
      <c r="D77" s="17"/>
      <c r="E77" s="17"/>
      <c r="F77" s="17"/>
      <c r="G77" s="17"/>
      <c r="H77" s="23"/>
      <c r="I77" s="17"/>
      <c r="J77" s="17"/>
      <c r="K77" s="17"/>
      <c r="L77" s="23"/>
      <c r="M77" s="5"/>
    </row>
    <row r="78" spans="1:13" ht="13.8">
      <c r="A78" s="60" t="str">
        <f t="shared" si="2"/>
        <v/>
      </c>
      <c r="B78" s="60"/>
      <c r="C78" s="17"/>
      <c r="D78" s="17"/>
      <c r="E78" s="17"/>
      <c r="F78" s="17"/>
      <c r="G78" s="17"/>
      <c r="H78" s="23"/>
      <c r="I78" s="17"/>
      <c r="J78" s="17"/>
      <c r="K78" s="17"/>
      <c r="L78" s="23"/>
      <c r="M78" s="5"/>
    </row>
    <row r="79" spans="1:13" ht="13.8">
      <c r="A79" s="60" t="str">
        <f t="shared" si="2"/>
        <v/>
      </c>
      <c r="B79" s="60"/>
      <c r="C79" s="17"/>
      <c r="D79" s="17"/>
      <c r="E79" s="17"/>
      <c r="F79" s="17"/>
      <c r="G79" s="17"/>
      <c r="H79" s="23"/>
      <c r="I79" s="17"/>
      <c r="J79" s="17"/>
      <c r="K79" s="17"/>
      <c r="L79" s="23"/>
      <c r="M79" s="5"/>
    </row>
    <row r="80" spans="1:13" ht="13.8">
      <c r="A80" s="60" t="str">
        <f t="shared" si="2"/>
        <v/>
      </c>
      <c r="B80" s="60"/>
      <c r="C80" s="17"/>
      <c r="D80" s="17"/>
      <c r="E80" s="17"/>
      <c r="F80" s="17"/>
      <c r="G80" s="17"/>
      <c r="H80" s="23"/>
      <c r="I80" s="17"/>
      <c r="J80" s="17"/>
      <c r="K80" s="17"/>
      <c r="L80" s="23"/>
      <c r="M80" s="5"/>
    </row>
    <row r="81" spans="1:13" ht="13.8">
      <c r="A81" s="60" t="str">
        <f t="shared" si="2"/>
        <v/>
      </c>
      <c r="B81" s="60"/>
      <c r="C81" s="17"/>
      <c r="D81" s="17"/>
      <c r="E81" s="17"/>
      <c r="F81" s="17"/>
      <c r="G81" s="17"/>
      <c r="H81" s="23"/>
      <c r="I81" s="17"/>
      <c r="J81" s="17"/>
      <c r="K81" s="17"/>
      <c r="L81" s="23"/>
      <c r="M81" s="5"/>
    </row>
    <row r="82" spans="1:13" ht="13.8">
      <c r="A82" s="60" t="str">
        <f t="shared" si="2"/>
        <v/>
      </c>
      <c r="B82" s="60"/>
      <c r="C82" s="17"/>
      <c r="D82" s="17"/>
      <c r="E82" s="17"/>
      <c r="F82" s="17"/>
      <c r="G82" s="17"/>
      <c r="H82" s="23"/>
      <c r="I82" s="17"/>
      <c r="J82" s="17"/>
      <c r="K82" s="17"/>
      <c r="L82" s="23"/>
      <c r="M82" s="5"/>
    </row>
    <row r="83" spans="1:13" ht="13.8">
      <c r="A83" s="60" t="str">
        <f t="shared" si="2"/>
        <v/>
      </c>
      <c r="B83" s="60"/>
      <c r="C83" s="17"/>
      <c r="D83" s="17"/>
      <c r="E83" s="17"/>
      <c r="F83" s="17"/>
      <c r="G83" s="17"/>
      <c r="H83" s="23"/>
      <c r="I83" s="17"/>
      <c r="J83" s="17"/>
      <c r="K83" s="17"/>
      <c r="L83" s="23"/>
      <c r="M83" s="5"/>
    </row>
    <row r="84" spans="1:13" ht="13.8">
      <c r="A84" s="60" t="str">
        <f t="shared" si="2"/>
        <v/>
      </c>
      <c r="B84" s="60"/>
      <c r="C84" s="17"/>
      <c r="D84" s="17"/>
      <c r="E84" s="17"/>
      <c r="F84" s="17"/>
      <c r="G84" s="17"/>
      <c r="H84" s="23"/>
      <c r="I84" s="17"/>
      <c r="J84" s="17"/>
      <c r="K84" s="17"/>
      <c r="L84" s="23"/>
      <c r="M84" s="5"/>
    </row>
    <row r="85" spans="1:13" ht="13.8">
      <c r="A85" s="60" t="str">
        <f t="shared" si="2"/>
        <v/>
      </c>
      <c r="B85" s="60"/>
      <c r="C85" s="17"/>
      <c r="D85" s="17"/>
      <c r="E85" s="17"/>
      <c r="F85" s="17"/>
      <c r="G85" s="17"/>
      <c r="H85" s="23"/>
      <c r="I85" s="17"/>
      <c r="J85" s="17"/>
      <c r="K85" s="17"/>
      <c r="L85" s="23"/>
      <c r="M85" s="5"/>
    </row>
    <row r="86" spans="1:13" ht="13.8">
      <c r="A86" s="60" t="str">
        <f t="shared" si="2"/>
        <v/>
      </c>
      <c r="B86" s="60"/>
      <c r="C86" s="17"/>
      <c r="D86" s="17"/>
      <c r="E86" s="17"/>
      <c r="F86" s="17"/>
      <c r="G86" s="17"/>
      <c r="H86" s="23"/>
      <c r="I86" s="17"/>
      <c r="J86" s="17"/>
      <c r="K86" s="17"/>
      <c r="L86" s="23"/>
      <c r="M86" s="5"/>
    </row>
    <row r="87" spans="1:13" ht="13.8">
      <c r="A87" s="60" t="str">
        <f t="shared" si="2"/>
        <v/>
      </c>
      <c r="B87" s="60"/>
      <c r="C87" s="17"/>
      <c r="D87" s="17"/>
      <c r="E87" s="17"/>
      <c r="F87" s="17"/>
      <c r="G87" s="17"/>
      <c r="H87" s="23"/>
      <c r="I87" s="17"/>
      <c r="J87" s="17"/>
      <c r="K87" s="17"/>
      <c r="L87" s="23"/>
      <c r="M87" s="5"/>
    </row>
    <row r="88" spans="1:13" ht="13.8">
      <c r="A88" s="60" t="str">
        <f t="shared" si="2"/>
        <v/>
      </c>
      <c r="B88" s="60"/>
      <c r="C88" s="17"/>
      <c r="D88" s="17"/>
      <c r="E88" s="17"/>
      <c r="F88" s="17"/>
      <c r="G88" s="17"/>
      <c r="H88" s="23"/>
      <c r="I88" s="17"/>
      <c r="J88" s="17"/>
      <c r="K88" s="17"/>
      <c r="L88" s="23"/>
      <c r="M88" s="5"/>
    </row>
    <row r="89" spans="1:13" ht="13.8">
      <c r="A89" s="60" t="str">
        <f t="shared" si="2"/>
        <v/>
      </c>
      <c r="B89" s="60"/>
      <c r="C89" s="17"/>
      <c r="D89" s="17"/>
      <c r="E89" s="17"/>
      <c r="F89" s="17"/>
      <c r="G89" s="17"/>
      <c r="H89" s="23"/>
      <c r="I89" s="17"/>
      <c r="J89" s="17"/>
      <c r="K89" s="17"/>
      <c r="L89" s="23"/>
      <c r="M89" s="5"/>
    </row>
    <row r="90" spans="1:13" ht="13.8">
      <c r="A90" s="60" t="str">
        <f t="shared" si="2"/>
        <v/>
      </c>
      <c r="B90" s="60"/>
      <c r="C90" s="17"/>
      <c r="D90" s="17"/>
      <c r="E90" s="17"/>
      <c r="F90" s="17"/>
      <c r="G90" s="17"/>
      <c r="H90" s="23"/>
      <c r="I90" s="17"/>
      <c r="J90" s="17"/>
      <c r="K90" s="17"/>
      <c r="L90" s="23"/>
      <c r="M90" s="5"/>
    </row>
    <row r="91" spans="1:13" ht="13.8">
      <c r="A91" s="60" t="str">
        <f t="shared" si="2"/>
        <v/>
      </c>
      <c r="B91" s="60"/>
      <c r="C91" s="17"/>
      <c r="D91" s="17"/>
      <c r="E91" s="17"/>
      <c r="F91" s="17"/>
      <c r="G91" s="17"/>
      <c r="H91" s="23"/>
      <c r="I91" s="17"/>
      <c r="J91" s="17"/>
      <c r="K91" s="17"/>
      <c r="L91" s="23"/>
      <c r="M91" s="5"/>
    </row>
    <row r="92" spans="1:13" ht="13.8">
      <c r="A92" s="60" t="str">
        <f t="shared" si="2"/>
        <v/>
      </c>
      <c r="B92" s="60"/>
      <c r="C92" s="17"/>
      <c r="D92" s="17"/>
      <c r="E92" s="17"/>
      <c r="F92" s="17"/>
      <c r="G92" s="17"/>
      <c r="H92" s="23"/>
      <c r="I92" s="17"/>
      <c r="J92" s="17"/>
      <c r="K92" s="17"/>
      <c r="L92" s="23"/>
      <c r="M92" s="5"/>
    </row>
    <row r="93" spans="1:13" ht="13.8">
      <c r="A93" s="60" t="str">
        <f t="shared" si="2"/>
        <v/>
      </c>
      <c r="B93" s="60"/>
      <c r="C93" s="17"/>
      <c r="D93" s="17"/>
      <c r="E93" s="17"/>
      <c r="F93" s="17"/>
      <c r="G93" s="17"/>
      <c r="H93" s="23"/>
      <c r="I93" s="17"/>
      <c r="J93" s="17"/>
      <c r="K93" s="17"/>
      <c r="L93" s="23"/>
      <c r="M93" s="5"/>
    </row>
    <row r="94" spans="1:13" ht="13.8">
      <c r="A94" s="60" t="str">
        <f t="shared" si="2"/>
        <v/>
      </c>
      <c r="B94" s="60"/>
      <c r="C94" s="17"/>
      <c r="D94" s="17"/>
      <c r="E94" s="17"/>
      <c r="F94" s="17"/>
      <c r="G94" s="17"/>
      <c r="H94" s="23"/>
      <c r="I94" s="17"/>
      <c r="J94" s="17"/>
      <c r="K94" s="17"/>
      <c r="L94" s="23"/>
      <c r="M94" s="5"/>
    </row>
    <row r="95" spans="1:13" ht="13.8">
      <c r="A95" s="60" t="str">
        <f t="shared" si="2"/>
        <v/>
      </c>
      <c r="B95" s="60"/>
      <c r="C95" s="17"/>
      <c r="D95" s="17"/>
      <c r="E95" s="17"/>
      <c r="F95" s="17"/>
      <c r="G95" s="17"/>
      <c r="H95" s="23"/>
      <c r="I95" s="17"/>
      <c r="J95" s="17"/>
      <c r="K95" s="17"/>
      <c r="L95" s="23"/>
      <c r="M95" s="5"/>
    </row>
    <row r="96" spans="1:13" ht="13.8">
      <c r="A96" s="60" t="str">
        <f t="shared" si="2"/>
        <v/>
      </c>
      <c r="B96" s="60"/>
      <c r="C96" s="17"/>
      <c r="D96" s="17"/>
      <c r="E96" s="17"/>
      <c r="F96" s="17"/>
      <c r="G96" s="17"/>
      <c r="H96" s="23"/>
      <c r="I96" s="17"/>
      <c r="J96" s="17"/>
      <c r="K96" s="17"/>
      <c r="L96" s="23"/>
      <c r="M96" s="5"/>
    </row>
    <row r="97" spans="1:13" ht="13.8">
      <c r="A97" s="60" t="str">
        <f t="shared" ref="A97:A100" si="3">+C97&amp;G97&amp;H97</f>
        <v/>
      </c>
      <c r="B97" s="60"/>
      <c r="C97" s="17"/>
      <c r="D97" s="17"/>
      <c r="E97" s="17"/>
      <c r="F97" s="17"/>
      <c r="G97" s="17"/>
      <c r="H97" s="23"/>
      <c r="I97" s="17"/>
      <c r="J97" s="17"/>
      <c r="K97" s="17"/>
      <c r="L97" s="23"/>
      <c r="M97" s="5"/>
    </row>
    <row r="98" spans="1:13" ht="13.8">
      <c r="A98" s="60" t="str">
        <f t="shared" si="3"/>
        <v/>
      </c>
      <c r="B98" s="60"/>
      <c r="C98" s="17"/>
      <c r="D98" s="17"/>
      <c r="E98" s="17"/>
      <c r="F98" s="17"/>
      <c r="G98" s="17"/>
      <c r="H98" s="23"/>
      <c r="I98" s="17"/>
      <c r="J98" s="17"/>
      <c r="K98" s="17"/>
      <c r="L98" s="23"/>
      <c r="M98" s="5"/>
    </row>
    <row r="99" spans="1:13" ht="13.8">
      <c r="A99" s="60" t="str">
        <f t="shared" si="3"/>
        <v/>
      </c>
      <c r="B99" s="60"/>
      <c r="C99" s="17"/>
      <c r="D99" s="17"/>
      <c r="E99" s="17"/>
      <c r="F99" s="17"/>
      <c r="G99" s="17"/>
      <c r="H99" s="23"/>
      <c r="I99" s="17"/>
      <c r="J99" s="17"/>
      <c r="K99" s="17"/>
      <c r="L99" s="23"/>
      <c r="M99" s="5"/>
    </row>
    <row r="100" spans="1:13" ht="13.8">
      <c r="A100" s="60" t="str">
        <f t="shared" si="3"/>
        <v/>
      </c>
      <c r="B100" s="60"/>
      <c r="C100" s="17"/>
      <c r="D100" s="17"/>
      <c r="E100" s="17"/>
      <c r="F100" s="17"/>
      <c r="G100" s="17"/>
      <c r="H100" s="23"/>
      <c r="I100" s="17"/>
      <c r="J100" s="17"/>
      <c r="K100" s="17"/>
      <c r="L100" s="23"/>
      <c r="M100" s="5"/>
    </row>
    <row r="101" spans="1:13" ht="13.8">
      <c r="M101" s="5"/>
    </row>
    <row r="102" spans="1:13" ht="13.8" hidden="1"/>
    <row r="103" spans="1:13" ht="13.8" hidden="1"/>
    <row r="104" spans="1:13" ht="13.8" hidden="1"/>
    <row r="105" spans="1:13" ht="13.8" hidden="1"/>
    <row r="106" spans="1:13" ht="13.8" hidden="1"/>
    <row r="107" spans="1:13" ht="13.8" hidden="1"/>
    <row r="108" spans="1:13" ht="13.8" hidden="1"/>
    <row r="109" spans="1:13" ht="13.8" hidden="1"/>
    <row r="110" spans="1:13" ht="13.8" hidden="1"/>
    <row r="111" spans="1:13" ht="13.8" hidden="1"/>
    <row r="112" spans="1:13" ht="13.8" hidden="1"/>
    <row r="113" ht="13.8" hidden="1"/>
    <row r="114" ht="13.8" hidden="1"/>
    <row r="115" ht="13.8" hidden="1"/>
    <row r="116" ht="13.8" hidden="1"/>
    <row r="117" ht="13.8" hidden="1"/>
    <row r="118" ht="13.8" hidden="1"/>
    <row r="119" ht="13.8" hidden="1"/>
    <row r="120" ht="13.8" hidden="1"/>
    <row r="121" ht="13.8" hidden="1"/>
    <row r="122" ht="13.8" hidden="1"/>
    <row r="123" ht="13.8" hidden="1"/>
    <row r="124" ht="13.8" hidden="1"/>
    <row r="125" ht="13.8" hidden="1"/>
    <row r="126" ht="13.8" hidden="1"/>
    <row r="127" ht="13.8" hidden="1"/>
    <row r="128" ht="13.8" hidden="1"/>
    <row r="129" ht="13.8" hidden="1"/>
    <row r="130" ht="13.8" hidden="1"/>
    <row r="131" ht="13.8" hidden="1"/>
    <row r="132" ht="13.8" hidden="1"/>
    <row r="133" ht="13.8" hidden="1"/>
    <row r="134" ht="13.8" hidden="1"/>
    <row r="135" ht="13.8" hidden="1"/>
    <row r="136" ht="13.8" hidden="1"/>
    <row r="137" ht="13.8" hidden="1"/>
    <row r="138" ht="13.8" hidden="1"/>
    <row r="139" ht="13.8" hidden="1"/>
    <row r="140" ht="13.8" hidden="1"/>
    <row r="141" ht="13.8" hidden="1"/>
    <row r="142" ht="13.8" hidden="1"/>
    <row r="143" ht="13.8" hidden="1"/>
    <row r="144" ht="13.8" hidden="1"/>
    <row r="145" ht="13.8" hidden="1"/>
    <row r="146" ht="13.8" hidden="1"/>
    <row r="147" ht="13.8" hidden="1"/>
    <row r="148" ht="13.8" hidden="1"/>
    <row r="149" ht="13.8" hidden="1"/>
    <row r="150" ht="13.8" hidden="1"/>
    <row r="151" ht="13.8" hidden="1"/>
    <row r="152" ht="13.8" hidden="1"/>
    <row r="153" ht="13.8" hidden="1"/>
    <row r="154" ht="13.8" hidden="1"/>
    <row r="155" ht="13.8" hidden="1"/>
    <row r="156" ht="13.8" hidden="1"/>
    <row r="157" ht="13.8" hidden="1"/>
    <row r="158" ht="13.8" hidden="1"/>
    <row r="159" ht="13.8" hidden="1"/>
    <row r="160" ht="13.8" hidden="1"/>
    <row r="161" ht="13.8" hidden="1"/>
    <row r="162" ht="13.8" hidden="1"/>
    <row r="163" ht="13.8" hidden="1"/>
    <row r="164" ht="13.8" hidden="1"/>
    <row r="165" ht="13.8" hidden="1"/>
    <row r="166" ht="13.8" hidden="1"/>
    <row r="167" ht="13.8" hidden="1"/>
    <row r="168" ht="13.8" hidden="1"/>
    <row r="169" ht="13.8" hidden="1"/>
    <row r="170" ht="13.8" hidden="1"/>
    <row r="171" ht="13.8" hidden="1"/>
    <row r="172" ht="13.8" hidden="1"/>
    <row r="173" ht="13.8" hidden="1"/>
    <row r="174" ht="13.8" hidden="1"/>
    <row r="175" ht="13.8" hidden="1"/>
    <row r="176" ht="13.8" hidden="1"/>
    <row r="177" ht="13.8" hidden="1"/>
    <row r="178" ht="13.8" hidden="1"/>
    <row r="179" ht="13.8" hidden="1"/>
    <row r="180" ht="13.8" hidden="1"/>
    <row r="181" ht="13.8" hidden="1"/>
    <row r="182" ht="13.8" hidden="1"/>
    <row r="183" ht="13.8" hidden="1"/>
    <row r="184" ht="13.8" hidden="1"/>
    <row r="185" ht="13.8" hidden="1"/>
    <row r="186" ht="13.8" hidden="1"/>
    <row r="187" ht="13.8" hidden="1"/>
    <row r="188" ht="13.8" hidden="1"/>
    <row r="189" ht="13.8" hidden="1"/>
    <row r="190" ht="13.8" hidden="1"/>
    <row r="191" ht="13.8" hidden="1"/>
    <row r="192" ht="13.8" hidden="1"/>
    <row r="193" ht="13.8" hidden="1"/>
    <row r="194" ht="13.8" hidden="1"/>
    <row r="195" ht="13.8" hidden="1"/>
    <row r="196" ht="13.8" hidden="1"/>
    <row r="197" ht="13.8" hidden="1"/>
    <row r="198" ht="13.8" hidden="1"/>
    <row r="199" ht="13.8" hidden="1"/>
    <row r="200" ht="13.8" hidden="1"/>
    <row r="201" ht="13.8" hidden="1"/>
    <row r="202" ht="13.8" hidden="1"/>
    <row r="203" ht="13.8" hidden="1"/>
    <row r="204" ht="13.8" hidden="1"/>
    <row r="205" ht="13.8" hidden="1"/>
    <row r="206" ht="13.8" hidden="1"/>
    <row r="207" ht="13.8" hidden="1"/>
    <row r="208" ht="13.8" hidden="1"/>
    <row r="209" ht="13.8" hidden="1"/>
    <row r="210" ht="13.8" hidden="1"/>
    <row r="211" ht="13.8" hidden="1"/>
    <row r="212" ht="13.8" hidden="1"/>
    <row r="213" ht="13.8" hidden="1"/>
    <row r="214" ht="13.8" hidden="1"/>
    <row r="215" ht="13.8" hidden="1"/>
    <row r="216" ht="13.8" hidden="1"/>
    <row r="217" ht="13.8" hidden="1"/>
    <row r="218" ht="13.8" hidden="1"/>
    <row r="219" ht="13.8" hidden="1"/>
    <row r="220" ht="13.8" hidden="1"/>
    <row r="221" ht="13.8" hidden="1"/>
    <row r="222" ht="13.8" hidden="1"/>
    <row r="223" ht="13.8" hidden="1"/>
    <row r="224" ht="13.8" hidden="1"/>
    <row r="225" ht="13.8" hidden="1"/>
    <row r="226" ht="13.8" hidden="1"/>
    <row r="227" ht="13.8" hidden="1"/>
    <row r="228" ht="13.8" hidden="1"/>
    <row r="229" ht="13.8" hidden="1"/>
    <row r="230" ht="13.8" hidden="1"/>
    <row r="231" ht="13.8" hidden="1"/>
    <row r="232" ht="13.8" hidden="1"/>
    <row r="233" ht="13.8" hidden="1"/>
    <row r="234" ht="13.8" hidden="1"/>
    <row r="235" ht="13.8" hidden="1"/>
    <row r="236" ht="13.8" hidden="1"/>
    <row r="237" ht="13.8" hidden="1"/>
    <row r="238" ht="13.8" hidden="1"/>
    <row r="239" ht="13.8" hidden="1"/>
    <row r="240" ht="13.8" hidden="1"/>
    <row r="241" ht="13.8" hidden="1"/>
    <row r="242" ht="13.8" hidden="1"/>
    <row r="243" ht="13.8" hidden="1"/>
    <row r="244" ht="13.8" hidden="1"/>
    <row r="245" ht="13.8" hidden="1"/>
    <row r="246" ht="13.8" hidden="1"/>
    <row r="247" ht="13.8" hidden="1"/>
    <row r="248" ht="13.8" hidden="1"/>
    <row r="249" ht="13.8" hidden="1"/>
    <row r="250" ht="13.8" hidden="1"/>
    <row r="251" ht="13.8" hidden="1"/>
    <row r="252" ht="13.8" hidden="1"/>
    <row r="253" ht="13.8" hidden="1"/>
    <row r="254" ht="13.8" hidden="1"/>
    <row r="255" ht="13.8" hidden="1"/>
    <row r="256" ht="13.8" hidden="1"/>
    <row r="257" ht="13.8" hidden="1"/>
    <row r="258" ht="13.8" hidden="1"/>
    <row r="259" ht="13.8" hidden="1"/>
    <row r="260" ht="13.8" hidden="1"/>
    <row r="261" ht="13.8" hidden="1"/>
    <row r="262" ht="13.8" hidden="1"/>
    <row r="263" ht="13.8" hidden="1"/>
    <row r="264" ht="13.8" hidden="1"/>
    <row r="265" ht="13.8" hidden="1"/>
    <row r="266" ht="13.8" hidden="1"/>
    <row r="267" ht="13.8" hidden="1"/>
    <row r="268" ht="13.8" hidden="1"/>
    <row r="269" ht="13.8" hidden="1"/>
    <row r="270" ht="13.8" hidden="1"/>
    <row r="271" ht="13.8" hidden="1"/>
    <row r="272" ht="13.8" hidden="1"/>
    <row r="273" ht="13.8" hidden="1"/>
    <row r="274" ht="13.8" hidden="1"/>
    <row r="275" ht="13.8" hidden="1"/>
    <row r="276" ht="13.8" hidden="1"/>
    <row r="277" ht="13.8" hidden="1"/>
    <row r="278" ht="13.8" hidden="1"/>
    <row r="279" ht="13.8" hidden="1"/>
    <row r="280" ht="13.8" hidden="1"/>
    <row r="281" ht="13.8" hidden="1"/>
    <row r="282" ht="13.8" hidden="1"/>
    <row r="283" ht="13.8" hidden="1"/>
    <row r="284" ht="13.8" hidden="1"/>
    <row r="285" ht="13.8" hidden="1"/>
    <row r="286" ht="13.8" hidden="1"/>
    <row r="287" ht="13.8" hidden="1"/>
    <row r="288" ht="13.8" hidden="1"/>
    <row r="289" ht="13.8" hidden="1"/>
    <row r="290" ht="13.8" hidden="1"/>
    <row r="291" ht="13.8" hidden="1"/>
    <row r="292" ht="13.8" hidden="1"/>
    <row r="293" ht="13.8" hidden="1"/>
    <row r="294" ht="13.8" hidden="1"/>
    <row r="295" ht="13.8" hidden="1"/>
    <row r="296" ht="13.8" hidden="1"/>
    <row r="297" ht="13.8" hidden="1"/>
    <row r="298" ht="13.8" hidden="1"/>
    <row r="299" ht="13.8" hidden="1"/>
    <row r="300" ht="13.8" hidden="1"/>
    <row r="301" ht="13.8" hidden="1"/>
    <row r="302" ht="13.8" hidden="1"/>
    <row r="303" ht="13.8" hidden="1"/>
    <row r="304" ht="13.8" hidden="1"/>
    <row r="305" ht="13.8" hidden="1"/>
    <row r="306" ht="13.8" hidden="1"/>
    <row r="307" ht="13.8" hidden="1"/>
    <row r="308" ht="13.8" hidden="1"/>
    <row r="309" ht="13.8" hidden="1"/>
    <row r="310" ht="13.8" hidden="1"/>
    <row r="311" ht="13.8" hidden="1"/>
    <row r="312" ht="13.8" hidden="1"/>
    <row r="313" ht="13.8" hidden="1"/>
    <row r="314" ht="13.8" hidden="1"/>
    <row r="315" ht="13.8" hidden="1"/>
    <row r="316" ht="13.8" hidden="1"/>
    <row r="317" ht="13.8" hidden="1"/>
    <row r="318" ht="13.8" hidden="1"/>
    <row r="319" ht="13.8" hidden="1"/>
    <row r="320" ht="13.8" hidden="1"/>
    <row r="321" ht="13.8" hidden="1"/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showGridLines="0" workbookViewId="0">
      <selection activeCell="I13" sqref="I13"/>
    </sheetView>
  </sheetViews>
  <sheetFormatPr defaultRowHeight="14.4"/>
  <sheetData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M159"/>
  <sheetViews>
    <sheetView showGridLines="0" zoomScale="90" zoomScaleNormal="90" workbookViewId="0">
      <selection activeCell="D9" sqref="D9"/>
    </sheetView>
  </sheetViews>
  <sheetFormatPr defaultColWidth="9.109375" defaultRowHeight="13.8" zeroHeight="1"/>
  <cols>
    <col min="1" max="1" width="3.6640625" style="2" customWidth="1"/>
    <col min="2" max="2" width="16.21875" style="2" customWidth="1"/>
    <col min="3" max="3" width="25.77734375" style="2" customWidth="1"/>
    <col min="4" max="4" width="126.6640625" style="2" customWidth="1"/>
    <col min="5" max="119" width="5.6640625" style="2" customWidth="1"/>
    <col min="120" max="16384" width="9.109375" style="2"/>
  </cols>
  <sheetData>
    <row r="1" spans="1:1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</row>
    <row r="2" spans="1:1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</row>
    <row r="3" spans="1:1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</row>
    <row r="4" spans="1:120" ht="3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</row>
    <row r="5" spans="1:120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</row>
    <row r="6" spans="1:120" ht="14.4" thickBot="1">
      <c r="A6" s="30"/>
      <c r="B6" s="31" t="s">
        <v>150</v>
      </c>
      <c r="C6" s="31"/>
      <c r="D6" s="31"/>
      <c r="E6" s="31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</row>
    <row r="7" spans="1:120"/>
    <row r="8" spans="1:120">
      <c r="B8" s="76" t="s">
        <v>151</v>
      </c>
      <c r="C8" s="76" t="s">
        <v>54</v>
      </c>
      <c r="D8" s="76" t="s">
        <v>67</v>
      </c>
      <c r="E8" s="77" t="s">
        <v>152</v>
      </c>
      <c r="F8" s="77" t="s">
        <v>157</v>
      </c>
      <c r="G8" s="77" t="s">
        <v>158</v>
      </c>
      <c r="H8" s="77" t="s">
        <v>159</v>
      </c>
      <c r="I8" s="77" t="s">
        <v>160</v>
      </c>
      <c r="J8" s="77" t="s">
        <v>161</v>
      </c>
      <c r="K8" s="77" t="s">
        <v>162</v>
      </c>
      <c r="L8" s="77" t="s">
        <v>163</v>
      </c>
      <c r="M8" s="77" t="s">
        <v>164</v>
      </c>
      <c r="N8" s="77" t="s">
        <v>152</v>
      </c>
      <c r="O8" s="77" t="s">
        <v>165</v>
      </c>
      <c r="P8" s="77" t="s">
        <v>152</v>
      </c>
      <c r="Q8" s="77" t="s">
        <v>166</v>
      </c>
      <c r="R8" s="77" t="s">
        <v>167</v>
      </c>
      <c r="S8" s="77" t="s">
        <v>152</v>
      </c>
      <c r="T8" s="77" t="s">
        <v>168</v>
      </c>
      <c r="U8" s="77" t="s">
        <v>169</v>
      </c>
      <c r="V8" s="77" t="s">
        <v>170</v>
      </c>
      <c r="W8" s="77" t="s">
        <v>171</v>
      </c>
      <c r="X8" s="77" t="s">
        <v>172</v>
      </c>
      <c r="Y8" s="77" t="s">
        <v>173</v>
      </c>
      <c r="Z8" s="77" t="s">
        <v>174</v>
      </c>
      <c r="AA8" s="77" t="s">
        <v>170</v>
      </c>
      <c r="AB8" s="77" t="s">
        <v>166</v>
      </c>
      <c r="AC8" s="77" t="s">
        <v>175</v>
      </c>
      <c r="AD8" s="77" t="s">
        <v>176</v>
      </c>
      <c r="AE8" s="77" t="s">
        <v>177</v>
      </c>
      <c r="AF8" s="77" t="s">
        <v>178</v>
      </c>
      <c r="AG8" s="77" t="s">
        <v>179</v>
      </c>
      <c r="AH8" s="77" t="s">
        <v>180</v>
      </c>
      <c r="AI8" s="77" t="s">
        <v>181</v>
      </c>
      <c r="AJ8" s="77" t="s">
        <v>182</v>
      </c>
      <c r="AK8" s="77" t="s">
        <v>183</v>
      </c>
      <c r="AL8" s="77" t="s">
        <v>184</v>
      </c>
      <c r="AM8" s="77" t="s">
        <v>185</v>
      </c>
      <c r="AN8" s="77" t="s">
        <v>186</v>
      </c>
      <c r="AO8" s="77" t="s">
        <v>187</v>
      </c>
      <c r="AP8" s="77" t="s">
        <v>188</v>
      </c>
      <c r="AQ8" s="77" t="s">
        <v>189</v>
      </c>
      <c r="AR8" s="77" t="s">
        <v>190</v>
      </c>
      <c r="AS8" s="77" t="s">
        <v>191</v>
      </c>
      <c r="AT8" s="77" t="s">
        <v>192</v>
      </c>
      <c r="AU8" s="77" t="s">
        <v>172</v>
      </c>
      <c r="AV8" s="77" t="s">
        <v>173</v>
      </c>
      <c r="AW8" s="77" t="s">
        <v>174</v>
      </c>
      <c r="AX8" s="77" t="s">
        <v>170</v>
      </c>
      <c r="AY8" s="77" t="s">
        <v>166</v>
      </c>
      <c r="AZ8" s="77" t="s">
        <v>175</v>
      </c>
      <c r="BA8" s="77" t="s">
        <v>176</v>
      </c>
      <c r="BB8" s="77" t="s">
        <v>177</v>
      </c>
      <c r="BC8" s="77" t="s">
        <v>178</v>
      </c>
      <c r="BD8" s="77" t="s">
        <v>179</v>
      </c>
      <c r="BE8" s="77" t="s">
        <v>180</v>
      </c>
      <c r="BF8" s="77" t="s">
        <v>181</v>
      </c>
      <c r="BG8" s="77" t="s">
        <v>182</v>
      </c>
      <c r="BH8" s="77" t="s">
        <v>183</v>
      </c>
      <c r="BI8" s="77" t="s">
        <v>184</v>
      </c>
      <c r="BJ8" s="77" t="s">
        <v>185</v>
      </c>
      <c r="BK8" s="77" t="s">
        <v>186</v>
      </c>
      <c r="BL8" s="77" t="s">
        <v>187</v>
      </c>
      <c r="BM8" s="77" t="s">
        <v>188</v>
      </c>
      <c r="BN8" s="77" t="s">
        <v>189</v>
      </c>
      <c r="BO8" s="77" t="s">
        <v>190</v>
      </c>
      <c r="BP8" s="77" t="s">
        <v>191</v>
      </c>
      <c r="BQ8" s="77" t="s">
        <v>192</v>
      </c>
      <c r="BR8" s="77" t="s">
        <v>172</v>
      </c>
      <c r="BS8" s="77" t="s">
        <v>173</v>
      </c>
      <c r="BT8" s="77" t="s">
        <v>174</v>
      </c>
      <c r="BU8" s="77" t="s">
        <v>170</v>
      </c>
      <c r="BV8" s="77" t="s">
        <v>166</v>
      </c>
      <c r="BW8" s="77" t="s">
        <v>175</v>
      </c>
      <c r="BX8" s="77" t="s">
        <v>176</v>
      </c>
      <c r="BY8" s="77" t="s">
        <v>177</v>
      </c>
      <c r="BZ8" s="77" t="s">
        <v>178</v>
      </c>
      <c r="CA8" s="77" t="s">
        <v>179</v>
      </c>
      <c r="CB8" s="77" t="s">
        <v>180</v>
      </c>
      <c r="CC8" s="77" t="s">
        <v>181</v>
      </c>
      <c r="CD8" s="77" t="s">
        <v>182</v>
      </c>
      <c r="CE8" s="77" t="s">
        <v>183</v>
      </c>
      <c r="CF8" s="77" t="s">
        <v>184</v>
      </c>
      <c r="CG8" s="77" t="s">
        <v>185</v>
      </c>
      <c r="CH8" s="77" t="s">
        <v>186</v>
      </c>
      <c r="CI8" s="77" t="s">
        <v>187</v>
      </c>
      <c r="CJ8" s="77" t="s">
        <v>188</v>
      </c>
      <c r="CK8" s="77" t="s">
        <v>189</v>
      </c>
      <c r="CL8" s="77" t="s">
        <v>190</v>
      </c>
      <c r="CM8" s="77" t="s">
        <v>191</v>
      </c>
      <c r="CN8" s="77" t="s">
        <v>192</v>
      </c>
      <c r="CO8" s="77" t="s">
        <v>172</v>
      </c>
      <c r="CP8" s="77" t="s">
        <v>173</v>
      </c>
      <c r="CQ8" s="77" t="s">
        <v>174</v>
      </c>
      <c r="CR8" s="77" t="s">
        <v>170</v>
      </c>
      <c r="CS8" s="77" t="s">
        <v>166</v>
      </c>
      <c r="CT8" s="77" t="s">
        <v>175</v>
      </c>
      <c r="CU8" s="77" t="s">
        <v>176</v>
      </c>
      <c r="CV8" s="77" t="s">
        <v>177</v>
      </c>
      <c r="CW8" s="77" t="s">
        <v>178</v>
      </c>
      <c r="CX8" s="77" t="s">
        <v>179</v>
      </c>
      <c r="CY8" s="77" t="s">
        <v>180</v>
      </c>
      <c r="CZ8" s="77" t="s">
        <v>181</v>
      </c>
      <c r="DA8" s="77" t="s">
        <v>182</v>
      </c>
      <c r="DB8" s="77" t="s">
        <v>183</v>
      </c>
      <c r="DC8" s="77" t="s">
        <v>184</v>
      </c>
      <c r="DD8" s="77" t="s">
        <v>185</v>
      </c>
      <c r="DE8" s="77" t="s">
        <v>186</v>
      </c>
      <c r="DF8" s="77" t="s">
        <v>187</v>
      </c>
      <c r="DG8" s="77" t="s">
        <v>188</v>
      </c>
      <c r="DH8" s="77" t="s">
        <v>189</v>
      </c>
      <c r="DI8" s="77" t="s">
        <v>190</v>
      </c>
      <c r="DJ8" s="77" t="s">
        <v>191</v>
      </c>
      <c r="DK8" s="77" t="s">
        <v>192</v>
      </c>
      <c r="DL8" s="77" t="s">
        <v>152</v>
      </c>
      <c r="DM8" s="77" t="s">
        <v>193</v>
      </c>
      <c r="DN8" s="77" t="s">
        <v>194</v>
      </c>
      <c r="DO8" s="77" t="s">
        <v>192</v>
      </c>
      <c r="DP8" s="84"/>
    </row>
    <row r="9" spans="1:120">
      <c r="A9" s="60"/>
      <c r="B9" s="27" t="s">
        <v>195</v>
      </c>
      <c r="C9" s="85" t="s">
        <v>196</v>
      </c>
      <c r="D9" s="78" t="s">
        <v>197</v>
      </c>
      <c r="E9" s="78" t="s">
        <v>198</v>
      </c>
      <c r="F9" s="78" t="s">
        <v>199</v>
      </c>
      <c r="G9" s="78" t="s">
        <v>199</v>
      </c>
      <c r="H9" s="78" t="s">
        <v>199</v>
      </c>
      <c r="I9" s="78" t="s">
        <v>199</v>
      </c>
      <c r="J9" s="78" t="s">
        <v>199</v>
      </c>
      <c r="K9" s="78" t="s">
        <v>199</v>
      </c>
      <c r="L9" s="78" t="s">
        <v>199</v>
      </c>
      <c r="M9" s="78" t="s">
        <v>199</v>
      </c>
      <c r="N9" s="78" t="s">
        <v>198</v>
      </c>
      <c r="O9" s="78" t="s">
        <v>200</v>
      </c>
      <c r="P9" s="78" t="s">
        <v>198</v>
      </c>
      <c r="Q9" s="78" t="s">
        <v>201</v>
      </c>
      <c r="R9" s="78" t="s">
        <v>202</v>
      </c>
      <c r="S9" s="78" t="s">
        <v>198</v>
      </c>
      <c r="T9" s="78" t="s">
        <v>203</v>
      </c>
      <c r="U9" s="78" t="s">
        <v>204</v>
      </c>
      <c r="V9" s="78" t="s">
        <v>205</v>
      </c>
      <c r="W9" s="78" t="s">
        <v>206</v>
      </c>
      <c r="X9" s="78" t="s">
        <v>199</v>
      </c>
      <c r="Y9" s="78" t="s">
        <v>199</v>
      </c>
      <c r="Z9" s="78" t="s">
        <v>199</v>
      </c>
      <c r="AA9" s="78" t="s">
        <v>199</v>
      </c>
      <c r="AB9" s="78" t="s">
        <v>199</v>
      </c>
      <c r="AC9" s="78" t="s">
        <v>199</v>
      </c>
      <c r="AD9" s="78" t="s">
        <v>199</v>
      </c>
      <c r="AE9" s="78" t="s">
        <v>199</v>
      </c>
      <c r="AF9" s="78" t="s">
        <v>199</v>
      </c>
      <c r="AG9" s="78" t="s">
        <v>199</v>
      </c>
      <c r="AH9" s="78" t="s">
        <v>199</v>
      </c>
      <c r="AI9" s="78" t="s">
        <v>199</v>
      </c>
      <c r="AJ9" s="78" t="s">
        <v>199</v>
      </c>
      <c r="AK9" s="78" t="s">
        <v>199</v>
      </c>
      <c r="AL9" s="78" t="s">
        <v>199</v>
      </c>
      <c r="AM9" s="78" t="s">
        <v>199</v>
      </c>
      <c r="AN9" s="78" t="s">
        <v>199</v>
      </c>
      <c r="AO9" s="78" t="s">
        <v>199</v>
      </c>
      <c r="AP9" s="78" t="s">
        <v>199</v>
      </c>
      <c r="AQ9" s="78" t="s">
        <v>199</v>
      </c>
      <c r="AR9" s="78" t="s">
        <v>199</v>
      </c>
      <c r="AS9" s="78" t="s">
        <v>199</v>
      </c>
      <c r="AT9" s="78" t="s">
        <v>199</v>
      </c>
      <c r="AU9" s="78" t="s">
        <v>199</v>
      </c>
      <c r="AV9" s="78" t="s">
        <v>199</v>
      </c>
      <c r="AW9" s="78" t="s">
        <v>199</v>
      </c>
      <c r="AX9" s="78" t="s">
        <v>199</v>
      </c>
      <c r="AY9" s="78" t="s">
        <v>199</v>
      </c>
      <c r="AZ9" s="78" t="s">
        <v>199</v>
      </c>
      <c r="BA9" s="78" t="s">
        <v>199</v>
      </c>
      <c r="BB9" s="78" t="s">
        <v>199</v>
      </c>
      <c r="BC9" s="78" t="s">
        <v>199</v>
      </c>
      <c r="BD9" s="78" t="s">
        <v>199</v>
      </c>
      <c r="BE9" s="78" t="s">
        <v>199</v>
      </c>
      <c r="BF9" s="78" t="s">
        <v>199</v>
      </c>
      <c r="BG9" s="78" t="s">
        <v>199</v>
      </c>
      <c r="BH9" s="78" t="s">
        <v>199</v>
      </c>
      <c r="BI9" s="78" t="s">
        <v>199</v>
      </c>
      <c r="BJ9" s="78" t="s">
        <v>199</v>
      </c>
      <c r="BK9" s="78" t="s">
        <v>199</v>
      </c>
      <c r="BL9" s="78" t="s">
        <v>199</v>
      </c>
      <c r="BM9" s="78" t="s">
        <v>199</v>
      </c>
      <c r="BN9" s="78" t="s">
        <v>199</v>
      </c>
      <c r="BO9" s="78" t="s">
        <v>199</v>
      </c>
      <c r="BP9" s="78" t="s">
        <v>199</v>
      </c>
      <c r="BQ9" s="78" t="s">
        <v>199</v>
      </c>
      <c r="BR9" s="78" t="s">
        <v>199</v>
      </c>
      <c r="BS9" s="78" t="s">
        <v>199</v>
      </c>
      <c r="BT9" s="78" t="s">
        <v>199</v>
      </c>
      <c r="BU9" s="78" t="s">
        <v>199</v>
      </c>
      <c r="BV9" s="78" t="s">
        <v>199</v>
      </c>
      <c r="BW9" s="78" t="s">
        <v>199</v>
      </c>
      <c r="BX9" s="78" t="s">
        <v>199</v>
      </c>
      <c r="BY9" s="78" t="s">
        <v>199</v>
      </c>
      <c r="BZ9" s="78" t="s">
        <v>199</v>
      </c>
      <c r="CA9" s="78" t="s">
        <v>199</v>
      </c>
      <c r="CB9" s="78" t="s">
        <v>199</v>
      </c>
      <c r="CC9" s="78" t="s">
        <v>199</v>
      </c>
      <c r="CD9" s="78" t="s">
        <v>199</v>
      </c>
      <c r="CE9" s="78" t="s">
        <v>199</v>
      </c>
      <c r="CF9" s="78" t="s">
        <v>199</v>
      </c>
      <c r="CG9" s="78" t="s">
        <v>199</v>
      </c>
      <c r="CH9" s="78" t="s">
        <v>199</v>
      </c>
      <c r="CI9" s="78" t="s">
        <v>199</v>
      </c>
      <c r="CJ9" s="78" t="s">
        <v>199</v>
      </c>
      <c r="CK9" s="78" t="s">
        <v>199</v>
      </c>
      <c r="CL9" s="78" t="s">
        <v>199</v>
      </c>
      <c r="CM9" s="78" t="s">
        <v>199</v>
      </c>
      <c r="CN9" s="78" t="s">
        <v>199</v>
      </c>
      <c r="CO9" s="78" t="s">
        <v>199</v>
      </c>
      <c r="CP9" s="78" t="s">
        <v>199</v>
      </c>
      <c r="CQ9" s="78" t="s">
        <v>199</v>
      </c>
      <c r="CR9" s="78" t="s">
        <v>199</v>
      </c>
      <c r="CS9" s="78" t="s">
        <v>199</v>
      </c>
      <c r="CT9" s="78" t="s">
        <v>199</v>
      </c>
      <c r="CU9" s="78" t="s">
        <v>199</v>
      </c>
      <c r="CV9" s="78" t="s">
        <v>199</v>
      </c>
      <c r="CW9" s="78" t="s">
        <v>199</v>
      </c>
      <c r="CX9" s="78" t="s">
        <v>199</v>
      </c>
      <c r="CY9" s="78" t="s">
        <v>199</v>
      </c>
      <c r="CZ9" s="78" t="s">
        <v>199</v>
      </c>
      <c r="DA9" s="78" t="s">
        <v>199</v>
      </c>
      <c r="DB9" s="78" t="s">
        <v>199</v>
      </c>
      <c r="DC9" s="78" t="s">
        <v>199</v>
      </c>
      <c r="DD9" s="78" t="s">
        <v>199</v>
      </c>
      <c r="DE9" s="78" t="s">
        <v>199</v>
      </c>
      <c r="DF9" s="78" t="s">
        <v>199</v>
      </c>
      <c r="DG9" s="78" t="s">
        <v>199</v>
      </c>
      <c r="DH9" s="78" t="s">
        <v>199</v>
      </c>
      <c r="DI9" s="78" t="s">
        <v>199</v>
      </c>
      <c r="DJ9" s="78" t="s">
        <v>199</v>
      </c>
      <c r="DK9" s="78" t="s">
        <v>199</v>
      </c>
      <c r="DL9" s="78" t="s">
        <v>198</v>
      </c>
      <c r="DM9" s="78" t="s">
        <v>207</v>
      </c>
      <c r="DN9" s="78" t="s">
        <v>154</v>
      </c>
      <c r="DO9" s="78" t="s">
        <v>154</v>
      </c>
      <c r="DP9" s="84"/>
    </row>
    <row r="10" spans="1:120">
      <c r="A10" s="60"/>
      <c r="B10" s="27" t="s">
        <v>195</v>
      </c>
      <c r="C10" s="85" t="s">
        <v>196</v>
      </c>
      <c r="D10" s="78" t="s">
        <v>197</v>
      </c>
      <c r="E10" s="78" t="s">
        <v>208</v>
      </c>
      <c r="F10" s="78" t="s">
        <v>199</v>
      </c>
      <c r="G10" s="78" t="s">
        <v>199</v>
      </c>
      <c r="H10" s="78" t="s">
        <v>199</v>
      </c>
      <c r="I10" s="78" t="s">
        <v>199</v>
      </c>
      <c r="J10" s="78" t="s">
        <v>199</v>
      </c>
      <c r="K10" s="78" t="s">
        <v>199</v>
      </c>
      <c r="L10" s="78" t="s">
        <v>199</v>
      </c>
      <c r="M10" s="78" t="s">
        <v>199</v>
      </c>
      <c r="N10" s="78" t="s">
        <v>208</v>
      </c>
      <c r="O10" s="78" t="s">
        <v>209</v>
      </c>
      <c r="P10" s="78" t="s">
        <v>208</v>
      </c>
      <c r="Q10" s="78" t="s">
        <v>201</v>
      </c>
      <c r="R10" s="78" t="s">
        <v>202</v>
      </c>
      <c r="S10" s="78" t="s">
        <v>208</v>
      </c>
      <c r="T10" s="78" t="s">
        <v>203</v>
      </c>
      <c r="U10" s="78" t="s">
        <v>204</v>
      </c>
      <c r="V10" s="78" t="s">
        <v>205</v>
      </c>
      <c r="W10" s="78" t="s">
        <v>206</v>
      </c>
      <c r="X10" s="78" t="s">
        <v>199</v>
      </c>
      <c r="Y10" s="78" t="s">
        <v>199</v>
      </c>
      <c r="Z10" s="78" t="s">
        <v>199</v>
      </c>
      <c r="AA10" s="78" t="s">
        <v>199</v>
      </c>
      <c r="AB10" s="78" t="s">
        <v>199</v>
      </c>
      <c r="AC10" s="78" t="s">
        <v>199</v>
      </c>
      <c r="AD10" s="78" t="s">
        <v>199</v>
      </c>
      <c r="AE10" s="78" t="s">
        <v>199</v>
      </c>
      <c r="AF10" s="78" t="s">
        <v>199</v>
      </c>
      <c r="AG10" s="78" t="s">
        <v>199</v>
      </c>
      <c r="AH10" s="78" t="s">
        <v>199</v>
      </c>
      <c r="AI10" s="78" t="s">
        <v>199</v>
      </c>
      <c r="AJ10" s="78" t="s">
        <v>199</v>
      </c>
      <c r="AK10" s="78" t="s">
        <v>199</v>
      </c>
      <c r="AL10" s="78" t="s">
        <v>199</v>
      </c>
      <c r="AM10" s="78" t="s">
        <v>199</v>
      </c>
      <c r="AN10" s="78" t="s">
        <v>199</v>
      </c>
      <c r="AO10" s="78" t="s">
        <v>199</v>
      </c>
      <c r="AP10" s="78" t="s">
        <v>199</v>
      </c>
      <c r="AQ10" s="78" t="s">
        <v>199</v>
      </c>
      <c r="AR10" s="78" t="s">
        <v>199</v>
      </c>
      <c r="AS10" s="78" t="s">
        <v>199</v>
      </c>
      <c r="AT10" s="78" t="s">
        <v>199</v>
      </c>
      <c r="AU10" s="78" t="s">
        <v>199</v>
      </c>
      <c r="AV10" s="78" t="s">
        <v>199</v>
      </c>
      <c r="AW10" s="78" t="s">
        <v>199</v>
      </c>
      <c r="AX10" s="78" t="s">
        <v>199</v>
      </c>
      <c r="AY10" s="78" t="s">
        <v>199</v>
      </c>
      <c r="AZ10" s="78" t="s">
        <v>199</v>
      </c>
      <c r="BA10" s="78" t="s">
        <v>199</v>
      </c>
      <c r="BB10" s="78" t="s">
        <v>199</v>
      </c>
      <c r="BC10" s="78" t="s">
        <v>199</v>
      </c>
      <c r="BD10" s="78" t="s">
        <v>199</v>
      </c>
      <c r="BE10" s="78" t="s">
        <v>199</v>
      </c>
      <c r="BF10" s="78" t="s">
        <v>199</v>
      </c>
      <c r="BG10" s="78" t="s">
        <v>199</v>
      </c>
      <c r="BH10" s="78" t="s">
        <v>199</v>
      </c>
      <c r="BI10" s="78" t="s">
        <v>199</v>
      </c>
      <c r="BJ10" s="78" t="s">
        <v>199</v>
      </c>
      <c r="BK10" s="78" t="s">
        <v>199</v>
      </c>
      <c r="BL10" s="78" t="s">
        <v>199</v>
      </c>
      <c r="BM10" s="78" t="s">
        <v>199</v>
      </c>
      <c r="BN10" s="78" t="s">
        <v>199</v>
      </c>
      <c r="BO10" s="78" t="s">
        <v>199</v>
      </c>
      <c r="BP10" s="78" t="s">
        <v>199</v>
      </c>
      <c r="BQ10" s="78" t="s">
        <v>199</v>
      </c>
      <c r="BR10" s="78" t="s">
        <v>199</v>
      </c>
      <c r="BS10" s="78" t="s">
        <v>199</v>
      </c>
      <c r="BT10" s="78" t="s">
        <v>199</v>
      </c>
      <c r="BU10" s="78" t="s">
        <v>199</v>
      </c>
      <c r="BV10" s="78" t="s">
        <v>199</v>
      </c>
      <c r="BW10" s="78" t="s">
        <v>199</v>
      </c>
      <c r="BX10" s="78" t="s">
        <v>199</v>
      </c>
      <c r="BY10" s="78" t="s">
        <v>199</v>
      </c>
      <c r="BZ10" s="78" t="s">
        <v>199</v>
      </c>
      <c r="CA10" s="78" t="s">
        <v>199</v>
      </c>
      <c r="CB10" s="78" t="s">
        <v>199</v>
      </c>
      <c r="CC10" s="78" t="s">
        <v>199</v>
      </c>
      <c r="CD10" s="78" t="s">
        <v>199</v>
      </c>
      <c r="CE10" s="78" t="s">
        <v>199</v>
      </c>
      <c r="CF10" s="78" t="s">
        <v>199</v>
      </c>
      <c r="CG10" s="78" t="s">
        <v>199</v>
      </c>
      <c r="CH10" s="78" t="s">
        <v>199</v>
      </c>
      <c r="CI10" s="78" t="s">
        <v>199</v>
      </c>
      <c r="CJ10" s="78" t="s">
        <v>199</v>
      </c>
      <c r="CK10" s="78" t="s">
        <v>199</v>
      </c>
      <c r="CL10" s="78" t="s">
        <v>199</v>
      </c>
      <c r="CM10" s="78" t="s">
        <v>199</v>
      </c>
      <c r="CN10" s="78" t="s">
        <v>199</v>
      </c>
      <c r="CO10" s="78" t="s">
        <v>199</v>
      </c>
      <c r="CP10" s="78" t="s">
        <v>199</v>
      </c>
      <c r="CQ10" s="78" t="s">
        <v>199</v>
      </c>
      <c r="CR10" s="78" t="s">
        <v>199</v>
      </c>
      <c r="CS10" s="78" t="s">
        <v>199</v>
      </c>
      <c r="CT10" s="78" t="s">
        <v>199</v>
      </c>
      <c r="CU10" s="78" t="s">
        <v>199</v>
      </c>
      <c r="CV10" s="78" t="s">
        <v>199</v>
      </c>
      <c r="CW10" s="78" t="s">
        <v>199</v>
      </c>
      <c r="CX10" s="78" t="s">
        <v>199</v>
      </c>
      <c r="CY10" s="78" t="s">
        <v>199</v>
      </c>
      <c r="CZ10" s="78" t="s">
        <v>199</v>
      </c>
      <c r="DA10" s="78" t="s">
        <v>199</v>
      </c>
      <c r="DB10" s="78" t="s">
        <v>199</v>
      </c>
      <c r="DC10" s="78" t="s">
        <v>199</v>
      </c>
      <c r="DD10" s="78" t="s">
        <v>199</v>
      </c>
      <c r="DE10" s="78" t="s">
        <v>199</v>
      </c>
      <c r="DF10" s="78" t="s">
        <v>199</v>
      </c>
      <c r="DG10" s="78" t="s">
        <v>199</v>
      </c>
      <c r="DH10" s="78" t="s">
        <v>199</v>
      </c>
      <c r="DI10" s="78" t="s">
        <v>199</v>
      </c>
      <c r="DJ10" s="78" t="s">
        <v>199</v>
      </c>
      <c r="DK10" s="78" t="s">
        <v>199</v>
      </c>
      <c r="DL10" s="78" t="s">
        <v>208</v>
      </c>
      <c r="DM10" s="78" t="s">
        <v>210</v>
      </c>
      <c r="DN10" s="78" t="s">
        <v>154</v>
      </c>
      <c r="DO10" s="78" t="s">
        <v>154</v>
      </c>
      <c r="DP10" s="84"/>
    </row>
    <row r="11" spans="1:120">
      <c r="A11" s="60"/>
      <c r="B11" s="27" t="s">
        <v>195</v>
      </c>
      <c r="C11" s="85" t="s">
        <v>196</v>
      </c>
      <c r="D11" s="78" t="s">
        <v>197</v>
      </c>
      <c r="E11" s="78" t="s">
        <v>211</v>
      </c>
      <c r="F11" s="78" t="s">
        <v>199</v>
      </c>
      <c r="G11" s="78" t="s">
        <v>199</v>
      </c>
      <c r="H11" s="78" t="s">
        <v>199</v>
      </c>
      <c r="I11" s="78" t="s">
        <v>199</v>
      </c>
      <c r="J11" s="78" t="s">
        <v>199</v>
      </c>
      <c r="K11" s="78" t="s">
        <v>199</v>
      </c>
      <c r="L11" s="78" t="s">
        <v>199</v>
      </c>
      <c r="M11" s="78" t="s">
        <v>199</v>
      </c>
      <c r="N11" s="78" t="s">
        <v>211</v>
      </c>
      <c r="O11" s="78" t="s">
        <v>212</v>
      </c>
      <c r="P11" s="78" t="s">
        <v>211</v>
      </c>
      <c r="Q11" s="78" t="s">
        <v>201</v>
      </c>
      <c r="R11" s="78" t="s">
        <v>202</v>
      </c>
      <c r="S11" s="78" t="s">
        <v>211</v>
      </c>
      <c r="T11" s="78" t="s">
        <v>203</v>
      </c>
      <c r="U11" s="78" t="s">
        <v>204</v>
      </c>
      <c r="V11" s="78" t="s">
        <v>205</v>
      </c>
      <c r="W11" s="78" t="s">
        <v>206</v>
      </c>
      <c r="X11" s="78" t="s">
        <v>199</v>
      </c>
      <c r="Y11" s="78" t="s">
        <v>199</v>
      </c>
      <c r="Z11" s="78" t="s">
        <v>199</v>
      </c>
      <c r="AA11" s="78" t="s">
        <v>199</v>
      </c>
      <c r="AB11" s="78" t="s">
        <v>199</v>
      </c>
      <c r="AC11" s="78" t="s">
        <v>199</v>
      </c>
      <c r="AD11" s="78" t="s">
        <v>199</v>
      </c>
      <c r="AE11" s="78" t="s">
        <v>199</v>
      </c>
      <c r="AF11" s="78" t="s">
        <v>199</v>
      </c>
      <c r="AG11" s="78" t="s">
        <v>199</v>
      </c>
      <c r="AH11" s="78" t="s">
        <v>199</v>
      </c>
      <c r="AI11" s="78" t="s">
        <v>199</v>
      </c>
      <c r="AJ11" s="78" t="s">
        <v>199</v>
      </c>
      <c r="AK11" s="78" t="s">
        <v>199</v>
      </c>
      <c r="AL11" s="78" t="s">
        <v>199</v>
      </c>
      <c r="AM11" s="78" t="s">
        <v>199</v>
      </c>
      <c r="AN11" s="78" t="s">
        <v>199</v>
      </c>
      <c r="AO11" s="78" t="s">
        <v>199</v>
      </c>
      <c r="AP11" s="78" t="s">
        <v>199</v>
      </c>
      <c r="AQ11" s="78" t="s">
        <v>199</v>
      </c>
      <c r="AR11" s="78" t="s">
        <v>199</v>
      </c>
      <c r="AS11" s="78" t="s">
        <v>199</v>
      </c>
      <c r="AT11" s="78" t="s">
        <v>199</v>
      </c>
      <c r="AU11" s="78" t="s">
        <v>199</v>
      </c>
      <c r="AV11" s="78" t="s">
        <v>199</v>
      </c>
      <c r="AW11" s="78" t="s">
        <v>199</v>
      </c>
      <c r="AX11" s="78" t="s">
        <v>199</v>
      </c>
      <c r="AY11" s="78" t="s">
        <v>199</v>
      </c>
      <c r="AZ11" s="78" t="s">
        <v>199</v>
      </c>
      <c r="BA11" s="78" t="s">
        <v>199</v>
      </c>
      <c r="BB11" s="78" t="s">
        <v>199</v>
      </c>
      <c r="BC11" s="78" t="s">
        <v>199</v>
      </c>
      <c r="BD11" s="78" t="s">
        <v>199</v>
      </c>
      <c r="BE11" s="78" t="s">
        <v>199</v>
      </c>
      <c r="BF11" s="78" t="s">
        <v>199</v>
      </c>
      <c r="BG11" s="78" t="s">
        <v>199</v>
      </c>
      <c r="BH11" s="78" t="s">
        <v>199</v>
      </c>
      <c r="BI11" s="78" t="s">
        <v>199</v>
      </c>
      <c r="BJ11" s="78" t="s">
        <v>199</v>
      </c>
      <c r="BK11" s="78" t="s">
        <v>199</v>
      </c>
      <c r="BL11" s="78" t="s">
        <v>199</v>
      </c>
      <c r="BM11" s="78" t="s">
        <v>199</v>
      </c>
      <c r="BN11" s="78" t="s">
        <v>199</v>
      </c>
      <c r="BO11" s="78" t="s">
        <v>199</v>
      </c>
      <c r="BP11" s="78" t="s">
        <v>199</v>
      </c>
      <c r="BQ11" s="78" t="s">
        <v>199</v>
      </c>
      <c r="BR11" s="78" t="s">
        <v>199</v>
      </c>
      <c r="BS11" s="78" t="s">
        <v>199</v>
      </c>
      <c r="BT11" s="78" t="s">
        <v>199</v>
      </c>
      <c r="BU11" s="78" t="s">
        <v>199</v>
      </c>
      <c r="BV11" s="78" t="s">
        <v>199</v>
      </c>
      <c r="BW11" s="78" t="s">
        <v>199</v>
      </c>
      <c r="BX11" s="78" t="s">
        <v>199</v>
      </c>
      <c r="BY11" s="78" t="s">
        <v>199</v>
      </c>
      <c r="BZ11" s="78" t="s">
        <v>199</v>
      </c>
      <c r="CA11" s="78" t="s">
        <v>199</v>
      </c>
      <c r="CB11" s="78" t="s">
        <v>199</v>
      </c>
      <c r="CC11" s="78" t="s">
        <v>199</v>
      </c>
      <c r="CD11" s="78" t="s">
        <v>199</v>
      </c>
      <c r="CE11" s="78" t="s">
        <v>199</v>
      </c>
      <c r="CF11" s="78" t="s">
        <v>199</v>
      </c>
      <c r="CG11" s="78" t="s">
        <v>199</v>
      </c>
      <c r="CH11" s="78" t="s">
        <v>199</v>
      </c>
      <c r="CI11" s="78" t="s">
        <v>199</v>
      </c>
      <c r="CJ11" s="78" t="s">
        <v>199</v>
      </c>
      <c r="CK11" s="78" t="s">
        <v>199</v>
      </c>
      <c r="CL11" s="78" t="s">
        <v>199</v>
      </c>
      <c r="CM11" s="78" t="s">
        <v>199</v>
      </c>
      <c r="CN11" s="78" t="s">
        <v>199</v>
      </c>
      <c r="CO11" s="78" t="s">
        <v>199</v>
      </c>
      <c r="CP11" s="78" t="s">
        <v>199</v>
      </c>
      <c r="CQ11" s="78" t="s">
        <v>199</v>
      </c>
      <c r="CR11" s="78" t="s">
        <v>199</v>
      </c>
      <c r="CS11" s="78" t="s">
        <v>199</v>
      </c>
      <c r="CT11" s="78" t="s">
        <v>199</v>
      </c>
      <c r="CU11" s="78" t="s">
        <v>199</v>
      </c>
      <c r="CV11" s="78" t="s">
        <v>199</v>
      </c>
      <c r="CW11" s="78" t="s">
        <v>199</v>
      </c>
      <c r="CX11" s="78" t="s">
        <v>199</v>
      </c>
      <c r="CY11" s="78" t="s">
        <v>199</v>
      </c>
      <c r="CZ11" s="78" t="s">
        <v>199</v>
      </c>
      <c r="DA11" s="78" t="s">
        <v>199</v>
      </c>
      <c r="DB11" s="78" t="s">
        <v>199</v>
      </c>
      <c r="DC11" s="78" t="s">
        <v>199</v>
      </c>
      <c r="DD11" s="78" t="s">
        <v>199</v>
      </c>
      <c r="DE11" s="78" t="s">
        <v>199</v>
      </c>
      <c r="DF11" s="78" t="s">
        <v>199</v>
      </c>
      <c r="DG11" s="78" t="s">
        <v>199</v>
      </c>
      <c r="DH11" s="78" t="s">
        <v>199</v>
      </c>
      <c r="DI11" s="78" t="s">
        <v>199</v>
      </c>
      <c r="DJ11" s="78" t="s">
        <v>199</v>
      </c>
      <c r="DK11" s="78" t="s">
        <v>199</v>
      </c>
      <c r="DL11" s="78" t="s">
        <v>211</v>
      </c>
      <c r="DM11" s="78" t="s">
        <v>213</v>
      </c>
      <c r="DN11" s="78" t="s">
        <v>154</v>
      </c>
      <c r="DO11" s="78" t="s">
        <v>154</v>
      </c>
      <c r="DP11" s="84"/>
    </row>
    <row r="12" spans="1:120">
      <c r="A12" s="60"/>
      <c r="B12" s="27" t="s">
        <v>195</v>
      </c>
      <c r="C12" s="85" t="s">
        <v>196</v>
      </c>
      <c r="D12" s="78" t="s">
        <v>197</v>
      </c>
      <c r="E12" s="78" t="s">
        <v>214</v>
      </c>
      <c r="F12" s="78" t="s">
        <v>199</v>
      </c>
      <c r="G12" s="78" t="s">
        <v>199</v>
      </c>
      <c r="H12" s="78" t="s">
        <v>199</v>
      </c>
      <c r="I12" s="78" t="s">
        <v>199</v>
      </c>
      <c r="J12" s="78" t="s">
        <v>199</v>
      </c>
      <c r="K12" s="78" t="s">
        <v>199</v>
      </c>
      <c r="L12" s="78" t="s">
        <v>199</v>
      </c>
      <c r="M12" s="78" t="s">
        <v>199</v>
      </c>
      <c r="N12" s="78" t="s">
        <v>214</v>
      </c>
      <c r="O12" s="78" t="s">
        <v>215</v>
      </c>
      <c r="P12" s="78" t="s">
        <v>214</v>
      </c>
      <c r="Q12" s="78" t="s">
        <v>201</v>
      </c>
      <c r="R12" s="78" t="s">
        <v>202</v>
      </c>
      <c r="S12" s="78" t="s">
        <v>214</v>
      </c>
      <c r="T12" s="78" t="s">
        <v>203</v>
      </c>
      <c r="U12" s="78" t="s">
        <v>204</v>
      </c>
      <c r="V12" s="78" t="s">
        <v>205</v>
      </c>
      <c r="W12" s="78" t="s">
        <v>206</v>
      </c>
      <c r="X12" s="78" t="s">
        <v>199</v>
      </c>
      <c r="Y12" s="78" t="s">
        <v>199</v>
      </c>
      <c r="Z12" s="78" t="s">
        <v>199</v>
      </c>
      <c r="AA12" s="78" t="s">
        <v>199</v>
      </c>
      <c r="AB12" s="78" t="s">
        <v>199</v>
      </c>
      <c r="AC12" s="78" t="s">
        <v>199</v>
      </c>
      <c r="AD12" s="78" t="s">
        <v>199</v>
      </c>
      <c r="AE12" s="78" t="s">
        <v>199</v>
      </c>
      <c r="AF12" s="78" t="s">
        <v>199</v>
      </c>
      <c r="AG12" s="78" t="s">
        <v>199</v>
      </c>
      <c r="AH12" s="78" t="s">
        <v>199</v>
      </c>
      <c r="AI12" s="78" t="s">
        <v>199</v>
      </c>
      <c r="AJ12" s="78" t="s">
        <v>199</v>
      </c>
      <c r="AK12" s="78" t="s">
        <v>199</v>
      </c>
      <c r="AL12" s="78" t="s">
        <v>199</v>
      </c>
      <c r="AM12" s="78" t="s">
        <v>199</v>
      </c>
      <c r="AN12" s="78" t="s">
        <v>199</v>
      </c>
      <c r="AO12" s="78" t="s">
        <v>199</v>
      </c>
      <c r="AP12" s="78" t="s">
        <v>199</v>
      </c>
      <c r="AQ12" s="78" t="s">
        <v>199</v>
      </c>
      <c r="AR12" s="78" t="s">
        <v>199</v>
      </c>
      <c r="AS12" s="78" t="s">
        <v>199</v>
      </c>
      <c r="AT12" s="78" t="s">
        <v>199</v>
      </c>
      <c r="AU12" s="78" t="s">
        <v>199</v>
      </c>
      <c r="AV12" s="78" t="s">
        <v>199</v>
      </c>
      <c r="AW12" s="78" t="s">
        <v>199</v>
      </c>
      <c r="AX12" s="78" t="s">
        <v>199</v>
      </c>
      <c r="AY12" s="78" t="s">
        <v>199</v>
      </c>
      <c r="AZ12" s="78" t="s">
        <v>199</v>
      </c>
      <c r="BA12" s="78" t="s">
        <v>199</v>
      </c>
      <c r="BB12" s="78" t="s">
        <v>199</v>
      </c>
      <c r="BC12" s="78" t="s">
        <v>199</v>
      </c>
      <c r="BD12" s="78" t="s">
        <v>199</v>
      </c>
      <c r="BE12" s="78" t="s">
        <v>199</v>
      </c>
      <c r="BF12" s="78" t="s">
        <v>199</v>
      </c>
      <c r="BG12" s="78" t="s">
        <v>199</v>
      </c>
      <c r="BH12" s="78" t="s">
        <v>199</v>
      </c>
      <c r="BI12" s="78" t="s">
        <v>199</v>
      </c>
      <c r="BJ12" s="78" t="s">
        <v>199</v>
      </c>
      <c r="BK12" s="78" t="s">
        <v>199</v>
      </c>
      <c r="BL12" s="78" t="s">
        <v>199</v>
      </c>
      <c r="BM12" s="78" t="s">
        <v>199</v>
      </c>
      <c r="BN12" s="78" t="s">
        <v>199</v>
      </c>
      <c r="BO12" s="78" t="s">
        <v>199</v>
      </c>
      <c r="BP12" s="78" t="s">
        <v>199</v>
      </c>
      <c r="BQ12" s="78" t="s">
        <v>199</v>
      </c>
      <c r="BR12" s="78" t="s">
        <v>199</v>
      </c>
      <c r="BS12" s="78" t="s">
        <v>199</v>
      </c>
      <c r="BT12" s="78" t="s">
        <v>199</v>
      </c>
      <c r="BU12" s="78" t="s">
        <v>199</v>
      </c>
      <c r="BV12" s="78" t="s">
        <v>199</v>
      </c>
      <c r="BW12" s="78" t="s">
        <v>199</v>
      </c>
      <c r="BX12" s="78" t="s">
        <v>199</v>
      </c>
      <c r="BY12" s="78" t="s">
        <v>199</v>
      </c>
      <c r="BZ12" s="78" t="s">
        <v>199</v>
      </c>
      <c r="CA12" s="78" t="s">
        <v>199</v>
      </c>
      <c r="CB12" s="78" t="s">
        <v>199</v>
      </c>
      <c r="CC12" s="78" t="s">
        <v>199</v>
      </c>
      <c r="CD12" s="78" t="s">
        <v>199</v>
      </c>
      <c r="CE12" s="78" t="s">
        <v>199</v>
      </c>
      <c r="CF12" s="78" t="s">
        <v>199</v>
      </c>
      <c r="CG12" s="78" t="s">
        <v>199</v>
      </c>
      <c r="CH12" s="78" t="s">
        <v>199</v>
      </c>
      <c r="CI12" s="78" t="s">
        <v>199</v>
      </c>
      <c r="CJ12" s="78" t="s">
        <v>199</v>
      </c>
      <c r="CK12" s="78" t="s">
        <v>199</v>
      </c>
      <c r="CL12" s="78" t="s">
        <v>199</v>
      </c>
      <c r="CM12" s="78" t="s">
        <v>199</v>
      </c>
      <c r="CN12" s="78" t="s">
        <v>199</v>
      </c>
      <c r="CO12" s="78" t="s">
        <v>199</v>
      </c>
      <c r="CP12" s="78" t="s">
        <v>199</v>
      </c>
      <c r="CQ12" s="78" t="s">
        <v>199</v>
      </c>
      <c r="CR12" s="78" t="s">
        <v>199</v>
      </c>
      <c r="CS12" s="78" t="s">
        <v>199</v>
      </c>
      <c r="CT12" s="78" t="s">
        <v>199</v>
      </c>
      <c r="CU12" s="78" t="s">
        <v>199</v>
      </c>
      <c r="CV12" s="78" t="s">
        <v>199</v>
      </c>
      <c r="CW12" s="78" t="s">
        <v>199</v>
      </c>
      <c r="CX12" s="78" t="s">
        <v>199</v>
      </c>
      <c r="CY12" s="78" t="s">
        <v>199</v>
      </c>
      <c r="CZ12" s="78" t="s">
        <v>199</v>
      </c>
      <c r="DA12" s="78" t="s">
        <v>199</v>
      </c>
      <c r="DB12" s="78" t="s">
        <v>199</v>
      </c>
      <c r="DC12" s="78" t="s">
        <v>199</v>
      </c>
      <c r="DD12" s="78" t="s">
        <v>199</v>
      </c>
      <c r="DE12" s="78" t="s">
        <v>199</v>
      </c>
      <c r="DF12" s="78" t="s">
        <v>199</v>
      </c>
      <c r="DG12" s="78" t="s">
        <v>199</v>
      </c>
      <c r="DH12" s="78" t="s">
        <v>199</v>
      </c>
      <c r="DI12" s="78" t="s">
        <v>199</v>
      </c>
      <c r="DJ12" s="78" t="s">
        <v>199</v>
      </c>
      <c r="DK12" s="78" t="s">
        <v>199</v>
      </c>
      <c r="DL12" s="78" t="s">
        <v>214</v>
      </c>
      <c r="DM12" s="78" t="s">
        <v>216</v>
      </c>
      <c r="DN12" s="78" t="s">
        <v>154</v>
      </c>
      <c r="DO12" s="78" t="s">
        <v>154</v>
      </c>
      <c r="DP12" s="84"/>
    </row>
    <row r="13" spans="1:120">
      <c r="A13" s="60"/>
      <c r="B13" s="27" t="s">
        <v>195</v>
      </c>
      <c r="C13" s="85" t="s">
        <v>196</v>
      </c>
      <c r="D13" s="78" t="s">
        <v>197</v>
      </c>
      <c r="E13" s="78" t="s">
        <v>217</v>
      </c>
      <c r="F13" s="78" t="s">
        <v>199</v>
      </c>
      <c r="G13" s="78" t="s">
        <v>199</v>
      </c>
      <c r="H13" s="78" t="s">
        <v>199</v>
      </c>
      <c r="I13" s="78" t="s">
        <v>199</v>
      </c>
      <c r="J13" s="78" t="s">
        <v>199</v>
      </c>
      <c r="K13" s="78" t="s">
        <v>199</v>
      </c>
      <c r="L13" s="78" t="s">
        <v>199</v>
      </c>
      <c r="M13" s="78" t="s">
        <v>199</v>
      </c>
      <c r="N13" s="78" t="s">
        <v>217</v>
      </c>
      <c r="O13" s="78" t="s">
        <v>215</v>
      </c>
      <c r="P13" s="78" t="s">
        <v>217</v>
      </c>
      <c r="Q13" s="78" t="s">
        <v>201</v>
      </c>
      <c r="R13" s="78" t="s">
        <v>202</v>
      </c>
      <c r="S13" s="78" t="s">
        <v>217</v>
      </c>
      <c r="T13" s="78" t="s">
        <v>203</v>
      </c>
      <c r="U13" s="78" t="s">
        <v>204</v>
      </c>
      <c r="V13" s="78" t="s">
        <v>205</v>
      </c>
      <c r="W13" s="78" t="s">
        <v>206</v>
      </c>
      <c r="X13" s="78" t="s">
        <v>199</v>
      </c>
      <c r="Y13" s="78" t="s">
        <v>199</v>
      </c>
      <c r="Z13" s="78" t="s">
        <v>199</v>
      </c>
      <c r="AA13" s="78" t="s">
        <v>199</v>
      </c>
      <c r="AB13" s="78" t="s">
        <v>199</v>
      </c>
      <c r="AC13" s="78" t="s">
        <v>199</v>
      </c>
      <c r="AD13" s="78" t="s">
        <v>199</v>
      </c>
      <c r="AE13" s="78" t="s">
        <v>199</v>
      </c>
      <c r="AF13" s="78" t="s">
        <v>199</v>
      </c>
      <c r="AG13" s="78" t="s">
        <v>199</v>
      </c>
      <c r="AH13" s="78" t="s">
        <v>199</v>
      </c>
      <c r="AI13" s="78" t="s">
        <v>199</v>
      </c>
      <c r="AJ13" s="78" t="s">
        <v>199</v>
      </c>
      <c r="AK13" s="78" t="s">
        <v>199</v>
      </c>
      <c r="AL13" s="78" t="s">
        <v>199</v>
      </c>
      <c r="AM13" s="78" t="s">
        <v>199</v>
      </c>
      <c r="AN13" s="78" t="s">
        <v>199</v>
      </c>
      <c r="AO13" s="78" t="s">
        <v>199</v>
      </c>
      <c r="AP13" s="78" t="s">
        <v>199</v>
      </c>
      <c r="AQ13" s="78" t="s">
        <v>199</v>
      </c>
      <c r="AR13" s="78" t="s">
        <v>199</v>
      </c>
      <c r="AS13" s="78" t="s">
        <v>199</v>
      </c>
      <c r="AT13" s="78" t="s">
        <v>199</v>
      </c>
      <c r="AU13" s="78" t="s">
        <v>199</v>
      </c>
      <c r="AV13" s="78" t="s">
        <v>199</v>
      </c>
      <c r="AW13" s="78" t="s">
        <v>199</v>
      </c>
      <c r="AX13" s="78" t="s">
        <v>199</v>
      </c>
      <c r="AY13" s="78" t="s">
        <v>199</v>
      </c>
      <c r="AZ13" s="78" t="s">
        <v>199</v>
      </c>
      <c r="BA13" s="78" t="s">
        <v>199</v>
      </c>
      <c r="BB13" s="78" t="s">
        <v>199</v>
      </c>
      <c r="BC13" s="78" t="s">
        <v>199</v>
      </c>
      <c r="BD13" s="78" t="s">
        <v>199</v>
      </c>
      <c r="BE13" s="78" t="s">
        <v>199</v>
      </c>
      <c r="BF13" s="78" t="s">
        <v>199</v>
      </c>
      <c r="BG13" s="78" t="s">
        <v>199</v>
      </c>
      <c r="BH13" s="78" t="s">
        <v>199</v>
      </c>
      <c r="BI13" s="78" t="s">
        <v>199</v>
      </c>
      <c r="BJ13" s="78" t="s">
        <v>199</v>
      </c>
      <c r="BK13" s="78" t="s">
        <v>199</v>
      </c>
      <c r="BL13" s="78" t="s">
        <v>199</v>
      </c>
      <c r="BM13" s="78" t="s">
        <v>199</v>
      </c>
      <c r="BN13" s="78" t="s">
        <v>199</v>
      </c>
      <c r="BO13" s="78" t="s">
        <v>199</v>
      </c>
      <c r="BP13" s="78" t="s">
        <v>199</v>
      </c>
      <c r="BQ13" s="78" t="s">
        <v>199</v>
      </c>
      <c r="BR13" s="78" t="s">
        <v>199</v>
      </c>
      <c r="BS13" s="78" t="s">
        <v>199</v>
      </c>
      <c r="BT13" s="78" t="s">
        <v>199</v>
      </c>
      <c r="BU13" s="78" t="s">
        <v>199</v>
      </c>
      <c r="BV13" s="78" t="s">
        <v>199</v>
      </c>
      <c r="BW13" s="78" t="s">
        <v>199</v>
      </c>
      <c r="BX13" s="78" t="s">
        <v>199</v>
      </c>
      <c r="BY13" s="78" t="s">
        <v>199</v>
      </c>
      <c r="BZ13" s="78" t="s">
        <v>199</v>
      </c>
      <c r="CA13" s="78" t="s">
        <v>199</v>
      </c>
      <c r="CB13" s="78" t="s">
        <v>199</v>
      </c>
      <c r="CC13" s="78" t="s">
        <v>199</v>
      </c>
      <c r="CD13" s="78" t="s">
        <v>199</v>
      </c>
      <c r="CE13" s="78" t="s">
        <v>199</v>
      </c>
      <c r="CF13" s="78" t="s">
        <v>199</v>
      </c>
      <c r="CG13" s="78" t="s">
        <v>199</v>
      </c>
      <c r="CH13" s="78" t="s">
        <v>199</v>
      </c>
      <c r="CI13" s="78" t="s">
        <v>199</v>
      </c>
      <c r="CJ13" s="78" t="s">
        <v>199</v>
      </c>
      <c r="CK13" s="78" t="s">
        <v>199</v>
      </c>
      <c r="CL13" s="78" t="s">
        <v>199</v>
      </c>
      <c r="CM13" s="78" t="s">
        <v>199</v>
      </c>
      <c r="CN13" s="78" t="s">
        <v>199</v>
      </c>
      <c r="CO13" s="78" t="s">
        <v>199</v>
      </c>
      <c r="CP13" s="78" t="s">
        <v>199</v>
      </c>
      <c r="CQ13" s="78" t="s">
        <v>199</v>
      </c>
      <c r="CR13" s="78" t="s">
        <v>199</v>
      </c>
      <c r="CS13" s="78" t="s">
        <v>199</v>
      </c>
      <c r="CT13" s="78" t="s">
        <v>199</v>
      </c>
      <c r="CU13" s="78" t="s">
        <v>199</v>
      </c>
      <c r="CV13" s="78" t="s">
        <v>199</v>
      </c>
      <c r="CW13" s="78" t="s">
        <v>199</v>
      </c>
      <c r="CX13" s="78" t="s">
        <v>199</v>
      </c>
      <c r="CY13" s="78" t="s">
        <v>199</v>
      </c>
      <c r="CZ13" s="78" t="s">
        <v>199</v>
      </c>
      <c r="DA13" s="78" t="s">
        <v>199</v>
      </c>
      <c r="DB13" s="78" t="s">
        <v>199</v>
      </c>
      <c r="DC13" s="78" t="s">
        <v>199</v>
      </c>
      <c r="DD13" s="78" t="s">
        <v>199</v>
      </c>
      <c r="DE13" s="78" t="s">
        <v>199</v>
      </c>
      <c r="DF13" s="78" t="s">
        <v>199</v>
      </c>
      <c r="DG13" s="78" t="s">
        <v>199</v>
      </c>
      <c r="DH13" s="78" t="s">
        <v>199</v>
      </c>
      <c r="DI13" s="78" t="s">
        <v>199</v>
      </c>
      <c r="DJ13" s="78" t="s">
        <v>199</v>
      </c>
      <c r="DK13" s="78" t="s">
        <v>199</v>
      </c>
      <c r="DL13" s="78" t="s">
        <v>217</v>
      </c>
      <c r="DM13" s="78" t="s">
        <v>218</v>
      </c>
      <c r="DN13" s="78" t="s">
        <v>154</v>
      </c>
      <c r="DO13" s="78" t="s">
        <v>154</v>
      </c>
      <c r="DP13" s="84"/>
    </row>
    <row r="14" spans="1:120">
      <c r="A14" s="60"/>
      <c r="B14" s="27" t="s">
        <v>195</v>
      </c>
      <c r="C14" s="85" t="s">
        <v>196</v>
      </c>
      <c r="D14" s="78" t="s">
        <v>197</v>
      </c>
      <c r="E14" s="78" t="s">
        <v>219</v>
      </c>
      <c r="F14" s="78" t="s">
        <v>199</v>
      </c>
      <c r="G14" s="78" t="s">
        <v>199</v>
      </c>
      <c r="H14" s="78" t="s">
        <v>199</v>
      </c>
      <c r="I14" s="78" t="s">
        <v>199</v>
      </c>
      <c r="J14" s="78" t="s">
        <v>199</v>
      </c>
      <c r="K14" s="78" t="s">
        <v>199</v>
      </c>
      <c r="L14" s="78" t="s">
        <v>199</v>
      </c>
      <c r="M14" s="78" t="s">
        <v>199</v>
      </c>
      <c r="N14" s="78" t="s">
        <v>219</v>
      </c>
      <c r="O14" s="78" t="s">
        <v>215</v>
      </c>
      <c r="P14" s="78" t="s">
        <v>219</v>
      </c>
      <c r="Q14" s="78" t="s">
        <v>201</v>
      </c>
      <c r="R14" s="78" t="s">
        <v>202</v>
      </c>
      <c r="S14" s="78" t="s">
        <v>219</v>
      </c>
      <c r="T14" s="78" t="s">
        <v>203</v>
      </c>
      <c r="U14" s="78" t="s">
        <v>204</v>
      </c>
      <c r="V14" s="78" t="s">
        <v>205</v>
      </c>
      <c r="W14" s="78" t="s">
        <v>206</v>
      </c>
      <c r="X14" s="78" t="s">
        <v>199</v>
      </c>
      <c r="Y14" s="78" t="s">
        <v>199</v>
      </c>
      <c r="Z14" s="78" t="s">
        <v>199</v>
      </c>
      <c r="AA14" s="78" t="s">
        <v>199</v>
      </c>
      <c r="AB14" s="78" t="s">
        <v>199</v>
      </c>
      <c r="AC14" s="78" t="s">
        <v>199</v>
      </c>
      <c r="AD14" s="78" t="s">
        <v>199</v>
      </c>
      <c r="AE14" s="78" t="s">
        <v>199</v>
      </c>
      <c r="AF14" s="78" t="s">
        <v>199</v>
      </c>
      <c r="AG14" s="78" t="s">
        <v>199</v>
      </c>
      <c r="AH14" s="78" t="s">
        <v>199</v>
      </c>
      <c r="AI14" s="78" t="s">
        <v>199</v>
      </c>
      <c r="AJ14" s="78" t="s">
        <v>199</v>
      </c>
      <c r="AK14" s="78" t="s">
        <v>199</v>
      </c>
      <c r="AL14" s="78" t="s">
        <v>199</v>
      </c>
      <c r="AM14" s="78" t="s">
        <v>199</v>
      </c>
      <c r="AN14" s="78" t="s">
        <v>199</v>
      </c>
      <c r="AO14" s="78" t="s">
        <v>199</v>
      </c>
      <c r="AP14" s="78" t="s">
        <v>199</v>
      </c>
      <c r="AQ14" s="78" t="s">
        <v>199</v>
      </c>
      <c r="AR14" s="78" t="s">
        <v>199</v>
      </c>
      <c r="AS14" s="78" t="s">
        <v>199</v>
      </c>
      <c r="AT14" s="78" t="s">
        <v>199</v>
      </c>
      <c r="AU14" s="78" t="s">
        <v>199</v>
      </c>
      <c r="AV14" s="78" t="s">
        <v>199</v>
      </c>
      <c r="AW14" s="78" t="s">
        <v>199</v>
      </c>
      <c r="AX14" s="78" t="s">
        <v>199</v>
      </c>
      <c r="AY14" s="78" t="s">
        <v>199</v>
      </c>
      <c r="AZ14" s="78" t="s">
        <v>199</v>
      </c>
      <c r="BA14" s="78" t="s">
        <v>199</v>
      </c>
      <c r="BB14" s="78" t="s">
        <v>199</v>
      </c>
      <c r="BC14" s="78" t="s">
        <v>199</v>
      </c>
      <c r="BD14" s="78" t="s">
        <v>199</v>
      </c>
      <c r="BE14" s="78" t="s">
        <v>199</v>
      </c>
      <c r="BF14" s="78" t="s">
        <v>199</v>
      </c>
      <c r="BG14" s="78" t="s">
        <v>199</v>
      </c>
      <c r="BH14" s="78" t="s">
        <v>199</v>
      </c>
      <c r="BI14" s="78" t="s">
        <v>199</v>
      </c>
      <c r="BJ14" s="78" t="s">
        <v>199</v>
      </c>
      <c r="BK14" s="78" t="s">
        <v>199</v>
      </c>
      <c r="BL14" s="78" t="s">
        <v>199</v>
      </c>
      <c r="BM14" s="78" t="s">
        <v>199</v>
      </c>
      <c r="BN14" s="78" t="s">
        <v>199</v>
      </c>
      <c r="BO14" s="78" t="s">
        <v>199</v>
      </c>
      <c r="BP14" s="78" t="s">
        <v>199</v>
      </c>
      <c r="BQ14" s="78" t="s">
        <v>199</v>
      </c>
      <c r="BR14" s="78" t="s">
        <v>199</v>
      </c>
      <c r="BS14" s="78" t="s">
        <v>199</v>
      </c>
      <c r="BT14" s="78" t="s">
        <v>199</v>
      </c>
      <c r="BU14" s="78" t="s">
        <v>199</v>
      </c>
      <c r="BV14" s="78" t="s">
        <v>199</v>
      </c>
      <c r="BW14" s="78" t="s">
        <v>199</v>
      </c>
      <c r="BX14" s="78" t="s">
        <v>199</v>
      </c>
      <c r="BY14" s="78" t="s">
        <v>199</v>
      </c>
      <c r="BZ14" s="78" t="s">
        <v>199</v>
      </c>
      <c r="CA14" s="78" t="s">
        <v>199</v>
      </c>
      <c r="CB14" s="78" t="s">
        <v>199</v>
      </c>
      <c r="CC14" s="78" t="s">
        <v>199</v>
      </c>
      <c r="CD14" s="78" t="s">
        <v>199</v>
      </c>
      <c r="CE14" s="78" t="s">
        <v>199</v>
      </c>
      <c r="CF14" s="78" t="s">
        <v>199</v>
      </c>
      <c r="CG14" s="78" t="s">
        <v>199</v>
      </c>
      <c r="CH14" s="78" t="s">
        <v>199</v>
      </c>
      <c r="CI14" s="78" t="s">
        <v>199</v>
      </c>
      <c r="CJ14" s="78" t="s">
        <v>199</v>
      </c>
      <c r="CK14" s="78" t="s">
        <v>199</v>
      </c>
      <c r="CL14" s="78" t="s">
        <v>199</v>
      </c>
      <c r="CM14" s="78" t="s">
        <v>199</v>
      </c>
      <c r="CN14" s="78" t="s">
        <v>199</v>
      </c>
      <c r="CO14" s="78" t="s">
        <v>199</v>
      </c>
      <c r="CP14" s="78" t="s">
        <v>199</v>
      </c>
      <c r="CQ14" s="78" t="s">
        <v>199</v>
      </c>
      <c r="CR14" s="78" t="s">
        <v>199</v>
      </c>
      <c r="CS14" s="78" t="s">
        <v>199</v>
      </c>
      <c r="CT14" s="78" t="s">
        <v>199</v>
      </c>
      <c r="CU14" s="78" t="s">
        <v>199</v>
      </c>
      <c r="CV14" s="78" t="s">
        <v>199</v>
      </c>
      <c r="CW14" s="78" t="s">
        <v>199</v>
      </c>
      <c r="CX14" s="78" t="s">
        <v>199</v>
      </c>
      <c r="CY14" s="78" t="s">
        <v>199</v>
      </c>
      <c r="CZ14" s="78" t="s">
        <v>199</v>
      </c>
      <c r="DA14" s="78" t="s">
        <v>199</v>
      </c>
      <c r="DB14" s="78" t="s">
        <v>199</v>
      </c>
      <c r="DC14" s="78" t="s">
        <v>199</v>
      </c>
      <c r="DD14" s="78" t="s">
        <v>199</v>
      </c>
      <c r="DE14" s="78" t="s">
        <v>199</v>
      </c>
      <c r="DF14" s="78" t="s">
        <v>199</v>
      </c>
      <c r="DG14" s="78" t="s">
        <v>199</v>
      </c>
      <c r="DH14" s="78" t="s">
        <v>199</v>
      </c>
      <c r="DI14" s="78" t="s">
        <v>199</v>
      </c>
      <c r="DJ14" s="78" t="s">
        <v>199</v>
      </c>
      <c r="DK14" s="78" t="s">
        <v>199</v>
      </c>
      <c r="DL14" s="78" t="s">
        <v>219</v>
      </c>
      <c r="DM14" s="78" t="s">
        <v>220</v>
      </c>
      <c r="DN14" s="78" t="s">
        <v>154</v>
      </c>
      <c r="DO14" s="78" t="s">
        <v>154</v>
      </c>
      <c r="DP14" s="84"/>
    </row>
    <row r="15" spans="1:120">
      <c r="A15" s="60"/>
      <c r="B15" s="27" t="s">
        <v>195</v>
      </c>
      <c r="C15" s="85" t="s">
        <v>196</v>
      </c>
      <c r="D15" s="78" t="s">
        <v>197</v>
      </c>
      <c r="E15" s="78" t="s">
        <v>221</v>
      </c>
      <c r="F15" s="78" t="s">
        <v>199</v>
      </c>
      <c r="G15" s="78" t="s">
        <v>199</v>
      </c>
      <c r="H15" s="78" t="s">
        <v>199</v>
      </c>
      <c r="I15" s="78" t="s">
        <v>199</v>
      </c>
      <c r="J15" s="78" t="s">
        <v>199</v>
      </c>
      <c r="K15" s="78" t="s">
        <v>199</v>
      </c>
      <c r="L15" s="78" t="s">
        <v>199</v>
      </c>
      <c r="M15" s="78" t="s">
        <v>199</v>
      </c>
      <c r="N15" s="78" t="s">
        <v>221</v>
      </c>
      <c r="O15" s="78" t="s">
        <v>222</v>
      </c>
      <c r="P15" s="78" t="s">
        <v>221</v>
      </c>
      <c r="Q15" s="78" t="s">
        <v>201</v>
      </c>
      <c r="R15" s="78" t="s">
        <v>202</v>
      </c>
      <c r="S15" s="78" t="s">
        <v>221</v>
      </c>
      <c r="T15" s="78" t="s">
        <v>203</v>
      </c>
      <c r="U15" s="78" t="s">
        <v>204</v>
      </c>
      <c r="V15" s="78" t="s">
        <v>205</v>
      </c>
      <c r="W15" s="78" t="s">
        <v>206</v>
      </c>
      <c r="X15" s="78" t="s">
        <v>199</v>
      </c>
      <c r="Y15" s="78" t="s">
        <v>199</v>
      </c>
      <c r="Z15" s="78" t="s">
        <v>199</v>
      </c>
      <c r="AA15" s="78" t="s">
        <v>199</v>
      </c>
      <c r="AB15" s="78" t="s">
        <v>199</v>
      </c>
      <c r="AC15" s="78" t="s">
        <v>199</v>
      </c>
      <c r="AD15" s="78" t="s">
        <v>199</v>
      </c>
      <c r="AE15" s="78" t="s">
        <v>199</v>
      </c>
      <c r="AF15" s="78" t="s">
        <v>199</v>
      </c>
      <c r="AG15" s="78" t="s">
        <v>199</v>
      </c>
      <c r="AH15" s="78" t="s">
        <v>199</v>
      </c>
      <c r="AI15" s="78" t="s">
        <v>199</v>
      </c>
      <c r="AJ15" s="78" t="s">
        <v>199</v>
      </c>
      <c r="AK15" s="78" t="s">
        <v>199</v>
      </c>
      <c r="AL15" s="78" t="s">
        <v>199</v>
      </c>
      <c r="AM15" s="78" t="s">
        <v>199</v>
      </c>
      <c r="AN15" s="78" t="s">
        <v>199</v>
      </c>
      <c r="AO15" s="78" t="s">
        <v>199</v>
      </c>
      <c r="AP15" s="78" t="s">
        <v>199</v>
      </c>
      <c r="AQ15" s="78" t="s">
        <v>199</v>
      </c>
      <c r="AR15" s="78" t="s">
        <v>199</v>
      </c>
      <c r="AS15" s="78" t="s">
        <v>199</v>
      </c>
      <c r="AT15" s="78" t="s">
        <v>199</v>
      </c>
      <c r="AU15" s="78" t="s">
        <v>199</v>
      </c>
      <c r="AV15" s="78" t="s">
        <v>199</v>
      </c>
      <c r="AW15" s="78" t="s">
        <v>199</v>
      </c>
      <c r="AX15" s="78" t="s">
        <v>199</v>
      </c>
      <c r="AY15" s="78" t="s">
        <v>199</v>
      </c>
      <c r="AZ15" s="78" t="s">
        <v>199</v>
      </c>
      <c r="BA15" s="78" t="s">
        <v>199</v>
      </c>
      <c r="BB15" s="78" t="s">
        <v>199</v>
      </c>
      <c r="BC15" s="78" t="s">
        <v>199</v>
      </c>
      <c r="BD15" s="78" t="s">
        <v>199</v>
      </c>
      <c r="BE15" s="78" t="s">
        <v>199</v>
      </c>
      <c r="BF15" s="78" t="s">
        <v>199</v>
      </c>
      <c r="BG15" s="78" t="s">
        <v>199</v>
      </c>
      <c r="BH15" s="78" t="s">
        <v>199</v>
      </c>
      <c r="BI15" s="78" t="s">
        <v>199</v>
      </c>
      <c r="BJ15" s="78" t="s">
        <v>199</v>
      </c>
      <c r="BK15" s="78" t="s">
        <v>199</v>
      </c>
      <c r="BL15" s="78" t="s">
        <v>199</v>
      </c>
      <c r="BM15" s="78" t="s">
        <v>199</v>
      </c>
      <c r="BN15" s="78" t="s">
        <v>199</v>
      </c>
      <c r="BO15" s="78" t="s">
        <v>199</v>
      </c>
      <c r="BP15" s="78" t="s">
        <v>199</v>
      </c>
      <c r="BQ15" s="78" t="s">
        <v>199</v>
      </c>
      <c r="BR15" s="78" t="s">
        <v>199</v>
      </c>
      <c r="BS15" s="78" t="s">
        <v>199</v>
      </c>
      <c r="BT15" s="78" t="s">
        <v>199</v>
      </c>
      <c r="BU15" s="78" t="s">
        <v>199</v>
      </c>
      <c r="BV15" s="78" t="s">
        <v>199</v>
      </c>
      <c r="BW15" s="78" t="s">
        <v>199</v>
      </c>
      <c r="BX15" s="78" t="s">
        <v>199</v>
      </c>
      <c r="BY15" s="78" t="s">
        <v>199</v>
      </c>
      <c r="BZ15" s="78" t="s">
        <v>199</v>
      </c>
      <c r="CA15" s="78" t="s">
        <v>199</v>
      </c>
      <c r="CB15" s="78" t="s">
        <v>199</v>
      </c>
      <c r="CC15" s="78" t="s">
        <v>199</v>
      </c>
      <c r="CD15" s="78" t="s">
        <v>199</v>
      </c>
      <c r="CE15" s="78" t="s">
        <v>199</v>
      </c>
      <c r="CF15" s="78" t="s">
        <v>199</v>
      </c>
      <c r="CG15" s="78" t="s">
        <v>199</v>
      </c>
      <c r="CH15" s="78" t="s">
        <v>199</v>
      </c>
      <c r="CI15" s="78" t="s">
        <v>199</v>
      </c>
      <c r="CJ15" s="78" t="s">
        <v>199</v>
      </c>
      <c r="CK15" s="78" t="s">
        <v>199</v>
      </c>
      <c r="CL15" s="78" t="s">
        <v>199</v>
      </c>
      <c r="CM15" s="78" t="s">
        <v>199</v>
      </c>
      <c r="CN15" s="78" t="s">
        <v>199</v>
      </c>
      <c r="CO15" s="78" t="s">
        <v>199</v>
      </c>
      <c r="CP15" s="78" t="s">
        <v>199</v>
      </c>
      <c r="CQ15" s="78" t="s">
        <v>199</v>
      </c>
      <c r="CR15" s="78" t="s">
        <v>199</v>
      </c>
      <c r="CS15" s="78" t="s">
        <v>199</v>
      </c>
      <c r="CT15" s="78" t="s">
        <v>199</v>
      </c>
      <c r="CU15" s="78" t="s">
        <v>199</v>
      </c>
      <c r="CV15" s="78" t="s">
        <v>199</v>
      </c>
      <c r="CW15" s="78" t="s">
        <v>199</v>
      </c>
      <c r="CX15" s="78" t="s">
        <v>199</v>
      </c>
      <c r="CY15" s="78" t="s">
        <v>199</v>
      </c>
      <c r="CZ15" s="78" t="s">
        <v>199</v>
      </c>
      <c r="DA15" s="78" t="s">
        <v>199</v>
      </c>
      <c r="DB15" s="78" t="s">
        <v>199</v>
      </c>
      <c r="DC15" s="78" t="s">
        <v>199</v>
      </c>
      <c r="DD15" s="78" t="s">
        <v>199</v>
      </c>
      <c r="DE15" s="78" t="s">
        <v>199</v>
      </c>
      <c r="DF15" s="78" t="s">
        <v>199</v>
      </c>
      <c r="DG15" s="78" t="s">
        <v>199</v>
      </c>
      <c r="DH15" s="78" t="s">
        <v>199</v>
      </c>
      <c r="DI15" s="78" t="s">
        <v>199</v>
      </c>
      <c r="DJ15" s="78" t="s">
        <v>199</v>
      </c>
      <c r="DK15" s="78" t="s">
        <v>199</v>
      </c>
      <c r="DL15" s="78" t="s">
        <v>221</v>
      </c>
      <c r="DM15" s="78" t="s">
        <v>223</v>
      </c>
      <c r="DN15" s="78" t="s">
        <v>154</v>
      </c>
      <c r="DO15" s="78" t="s">
        <v>154</v>
      </c>
      <c r="DP15" s="84"/>
    </row>
    <row r="16" spans="1:120">
      <c r="A16" s="60"/>
      <c r="B16" s="27" t="s">
        <v>195</v>
      </c>
      <c r="C16" s="85" t="s">
        <v>196</v>
      </c>
      <c r="D16" s="78" t="s">
        <v>197</v>
      </c>
      <c r="E16" s="78" t="s">
        <v>224</v>
      </c>
      <c r="F16" s="78" t="s">
        <v>199</v>
      </c>
      <c r="G16" s="78" t="s">
        <v>199</v>
      </c>
      <c r="H16" s="78" t="s">
        <v>199</v>
      </c>
      <c r="I16" s="78" t="s">
        <v>199</v>
      </c>
      <c r="J16" s="78" t="s">
        <v>199</v>
      </c>
      <c r="K16" s="78" t="s">
        <v>199</v>
      </c>
      <c r="L16" s="78" t="s">
        <v>199</v>
      </c>
      <c r="M16" s="78" t="s">
        <v>199</v>
      </c>
      <c r="N16" s="78" t="s">
        <v>224</v>
      </c>
      <c r="O16" s="78" t="s">
        <v>225</v>
      </c>
      <c r="P16" s="78" t="s">
        <v>224</v>
      </c>
      <c r="Q16" s="78" t="s">
        <v>201</v>
      </c>
      <c r="R16" s="78" t="s">
        <v>202</v>
      </c>
      <c r="S16" s="78" t="s">
        <v>224</v>
      </c>
      <c r="T16" s="78" t="s">
        <v>203</v>
      </c>
      <c r="U16" s="78" t="s">
        <v>204</v>
      </c>
      <c r="V16" s="78" t="s">
        <v>205</v>
      </c>
      <c r="W16" s="78" t="s">
        <v>206</v>
      </c>
      <c r="X16" s="78" t="s">
        <v>199</v>
      </c>
      <c r="Y16" s="78" t="s">
        <v>199</v>
      </c>
      <c r="Z16" s="78" t="s">
        <v>199</v>
      </c>
      <c r="AA16" s="78" t="s">
        <v>199</v>
      </c>
      <c r="AB16" s="78" t="s">
        <v>199</v>
      </c>
      <c r="AC16" s="78" t="s">
        <v>199</v>
      </c>
      <c r="AD16" s="78" t="s">
        <v>199</v>
      </c>
      <c r="AE16" s="78" t="s">
        <v>199</v>
      </c>
      <c r="AF16" s="78" t="s">
        <v>199</v>
      </c>
      <c r="AG16" s="78" t="s">
        <v>199</v>
      </c>
      <c r="AH16" s="78" t="s">
        <v>199</v>
      </c>
      <c r="AI16" s="78" t="s">
        <v>199</v>
      </c>
      <c r="AJ16" s="78" t="s">
        <v>199</v>
      </c>
      <c r="AK16" s="78" t="s">
        <v>199</v>
      </c>
      <c r="AL16" s="78" t="s">
        <v>199</v>
      </c>
      <c r="AM16" s="78" t="s">
        <v>199</v>
      </c>
      <c r="AN16" s="78" t="s">
        <v>199</v>
      </c>
      <c r="AO16" s="78" t="s">
        <v>199</v>
      </c>
      <c r="AP16" s="78" t="s">
        <v>199</v>
      </c>
      <c r="AQ16" s="78" t="s">
        <v>199</v>
      </c>
      <c r="AR16" s="78" t="s">
        <v>199</v>
      </c>
      <c r="AS16" s="78" t="s">
        <v>199</v>
      </c>
      <c r="AT16" s="78" t="s">
        <v>199</v>
      </c>
      <c r="AU16" s="78" t="s">
        <v>199</v>
      </c>
      <c r="AV16" s="78" t="s">
        <v>199</v>
      </c>
      <c r="AW16" s="78" t="s">
        <v>199</v>
      </c>
      <c r="AX16" s="78" t="s">
        <v>199</v>
      </c>
      <c r="AY16" s="78" t="s">
        <v>199</v>
      </c>
      <c r="AZ16" s="78" t="s">
        <v>199</v>
      </c>
      <c r="BA16" s="78" t="s">
        <v>199</v>
      </c>
      <c r="BB16" s="78" t="s">
        <v>199</v>
      </c>
      <c r="BC16" s="78" t="s">
        <v>199</v>
      </c>
      <c r="BD16" s="78" t="s">
        <v>199</v>
      </c>
      <c r="BE16" s="78" t="s">
        <v>199</v>
      </c>
      <c r="BF16" s="78" t="s">
        <v>199</v>
      </c>
      <c r="BG16" s="78" t="s">
        <v>199</v>
      </c>
      <c r="BH16" s="78" t="s">
        <v>199</v>
      </c>
      <c r="BI16" s="78" t="s">
        <v>199</v>
      </c>
      <c r="BJ16" s="78" t="s">
        <v>199</v>
      </c>
      <c r="BK16" s="78" t="s">
        <v>199</v>
      </c>
      <c r="BL16" s="78" t="s">
        <v>199</v>
      </c>
      <c r="BM16" s="78" t="s">
        <v>199</v>
      </c>
      <c r="BN16" s="78" t="s">
        <v>199</v>
      </c>
      <c r="BO16" s="78" t="s">
        <v>199</v>
      </c>
      <c r="BP16" s="78" t="s">
        <v>199</v>
      </c>
      <c r="BQ16" s="78" t="s">
        <v>199</v>
      </c>
      <c r="BR16" s="78" t="s">
        <v>199</v>
      </c>
      <c r="BS16" s="78" t="s">
        <v>199</v>
      </c>
      <c r="BT16" s="78" t="s">
        <v>199</v>
      </c>
      <c r="BU16" s="78" t="s">
        <v>199</v>
      </c>
      <c r="BV16" s="78" t="s">
        <v>199</v>
      </c>
      <c r="BW16" s="78" t="s">
        <v>199</v>
      </c>
      <c r="BX16" s="78" t="s">
        <v>199</v>
      </c>
      <c r="BY16" s="78" t="s">
        <v>199</v>
      </c>
      <c r="BZ16" s="78" t="s">
        <v>199</v>
      </c>
      <c r="CA16" s="78" t="s">
        <v>199</v>
      </c>
      <c r="CB16" s="78" t="s">
        <v>199</v>
      </c>
      <c r="CC16" s="78" t="s">
        <v>199</v>
      </c>
      <c r="CD16" s="78" t="s">
        <v>199</v>
      </c>
      <c r="CE16" s="78" t="s">
        <v>199</v>
      </c>
      <c r="CF16" s="78" t="s">
        <v>199</v>
      </c>
      <c r="CG16" s="78" t="s">
        <v>199</v>
      </c>
      <c r="CH16" s="78" t="s">
        <v>199</v>
      </c>
      <c r="CI16" s="78" t="s">
        <v>199</v>
      </c>
      <c r="CJ16" s="78" t="s">
        <v>199</v>
      </c>
      <c r="CK16" s="78" t="s">
        <v>199</v>
      </c>
      <c r="CL16" s="78" t="s">
        <v>199</v>
      </c>
      <c r="CM16" s="78" t="s">
        <v>199</v>
      </c>
      <c r="CN16" s="78" t="s">
        <v>199</v>
      </c>
      <c r="CO16" s="78" t="s">
        <v>199</v>
      </c>
      <c r="CP16" s="78" t="s">
        <v>199</v>
      </c>
      <c r="CQ16" s="78" t="s">
        <v>199</v>
      </c>
      <c r="CR16" s="78" t="s">
        <v>199</v>
      </c>
      <c r="CS16" s="78" t="s">
        <v>199</v>
      </c>
      <c r="CT16" s="78" t="s">
        <v>199</v>
      </c>
      <c r="CU16" s="78" t="s">
        <v>199</v>
      </c>
      <c r="CV16" s="78" t="s">
        <v>199</v>
      </c>
      <c r="CW16" s="78" t="s">
        <v>199</v>
      </c>
      <c r="CX16" s="78" t="s">
        <v>199</v>
      </c>
      <c r="CY16" s="78" t="s">
        <v>199</v>
      </c>
      <c r="CZ16" s="78" t="s">
        <v>199</v>
      </c>
      <c r="DA16" s="78" t="s">
        <v>199</v>
      </c>
      <c r="DB16" s="78" t="s">
        <v>199</v>
      </c>
      <c r="DC16" s="78" t="s">
        <v>199</v>
      </c>
      <c r="DD16" s="78" t="s">
        <v>199</v>
      </c>
      <c r="DE16" s="78" t="s">
        <v>199</v>
      </c>
      <c r="DF16" s="78" t="s">
        <v>199</v>
      </c>
      <c r="DG16" s="78" t="s">
        <v>199</v>
      </c>
      <c r="DH16" s="78" t="s">
        <v>199</v>
      </c>
      <c r="DI16" s="78" t="s">
        <v>199</v>
      </c>
      <c r="DJ16" s="78" t="s">
        <v>199</v>
      </c>
      <c r="DK16" s="78" t="s">
        <v>199</v>
      </c>
      <c r="DL16" s="78" t="s">
        <v>224</v>
      </c>
      <c r="DM16" s="78" t="s">
        <v>226</v>
      </c>
      <c r="DN16" s="78" t="s">
        <v>154</v>
      </c>
      <c r="DO16" s="78" t="s">
        <v>154</v>
      </c>
      <c r="DP16" s="84"/>
    </row>
    <row r="17" spans="1:143">
      <c r="A17" s="60"/>
      <c r="B17" s="27" t="s">
        <v>195</v>
      </c>
      <c r="C17" s="85" t="s">
        <v>196</v>
      </c>
      <c r="D17" s="78" t="s">
        <v>197</v>
      </c>
      <c r="E17" s="78" t="s">
        <v>227</v>
      </c>
      <c r="F17" s="78" t="s">
        <v>199</v>
      </c>
      <c r="G17" s="78" t="s">
        <v>199</v>
      </c>
      <c r="H17" s="78" t="s">
        <v>199</v>
      </c>
      <c r="I17" s="78" t="s">
        <v>199</v>
      </c>
      <c r="J17" s="78" t="s">
        <v>199</v>
      </c>
      <c r="K17" s="78" t="s">
        <v>199</v>
      </c>
      <c r="L17" s="78" t="s">
        <v>199</v>
      </c>
      <c r="M17" s="78" t="s">
        <v>199</v>
      </c>
      <c r="N17" s="78" t="s">
        <v>227</v>
      </c>
      <c r="O17" s="78" t="s">
        <v>228</v>
      </c>
      <c r="P17" s="78" t="s">
        <v>227</v>
      </c>
      <c r="Q17" s="78" t="s">
        <v>201</v>
      </c>
      <c r="R17" s="78" t="s">
        <v>202</v>
      </c>
      <c r="S17" s="78" t="s">
        <v>227</v>
      </c>
      <c r="T17" s="78" t="s">
        <v>203</v>
      </c>
      <c r="U17" s="78" t="s">
        <v>204</v>
      </c>
      <c r="V17" s="78" t="s">
        <v>205</v>
      </c>
      <c r="W17" s="78" t="s">
        <v>206</v>
      </c>
      <c r="X17" s="78" t="s">
        <v>199</v>
      </c>
      <c r="Y17" s="78" t="s">
        <v>199</v>
      </c>
      <c r="Z17" s="78" t="s">
        <v>199</v>
      </c>
      <c r="AA17" s="78" t="s">
        <v>199</v>
      </c>
      <c r="AB17" s="78" t="s">
        <v>199</v>
      </c>
      <c r="AC17" s="78" t="s">
        <v>199</v>
      </c>
      <c r="AD17" s="78" t="s">
        <v>199</v>
      </c>
      <c r="AE17" s="78" t="s">
        <v>199</v>
      </c>
      <c r="AF17" s="78" t="s">
        <v>199</v>
      </c>
      <c r="AG17" s="78" t="s">
        <v>199</v>
      </c>
      <c r="AH17" s="78" t="s">
        <v>199</v>
      </c>
      <c r="AI17" s="78" t="s">
        <v>199</v>
      </c>
      <c r="AJ17" s="78" t="s">
        <v>199</v>
      </c>
      <c r="AK17" s="78" t="s">
        <v>199</v>
      </c>
      <c r="AL17" s="78" t="s">
        <v>199</v>
      </c>
      <c r="AM17" s="78" t="s">
        <v>199</v>
      </c>
      <c r="AN17" s="78" t="s">
        <v>199</v>
      </c>
      <c r="AO17" s="78" t="s">
        <v>199</v>
      </c>
      <c r="AP17" s="78" t="s">
        <v>199</v>
      </c>
      <c r="AQ17" s="78" t="s">
        <v>199</v>
      </c>
      <c r="AR17" s="78" t="s">
        <v>199</v>
      </c>
      <c r="AS17" s="78" t="s">
        <v>199</v>
      </c>
      <c r="AT17" s="78" t="s">
        <v>199</v>
      </c>
      <c r="AU17" s="78" t="s">
        <v>199</v>
      </c>
      <c r="AV17" s="78" t="s">
        <v>199</v>
      </c>
      <c r="AW17" s="78" t="s">
        <v>199</v>
      </c>
      <c r="AX17" s="78" t="s">
        <v>199</v>
      </c>
      <c r="AY17" s="78" t="s">
        <v>199</v>
      </c>
      <c r="AZ17" s="78" t="s">
        <v>199</v>
      </c>
      <c r="BA17" s="78" t="s">
        <v>199</v>
      </c>
      <c r="BB17" s="78" t="s">
        <v>199</v>
      </c>
      <c r="BC17" s="78" t="s">
        <v>199</v>
      </c>
      <c r="BD17" s="78" t="s">
        <v>199</v>
      </c>
      <c r="BE17" s="78" t="s">
        <v>199</v>
      </c>
      <c r="BF17" s="78" t="s">
        <v>199</v>
      </c>
      <c r="BG17" s="78" t="s">
        <v>199</v>
      </c>
      <c r="BH17" s="78" t="s">
        <v>199</v>
      </c>
      <c r="BI17" s="78" t="s">
        <v>199</v>
      </c>
      <c r="BJ17" s="78" t="s">
        <v>199</v>
      </c>
      <c r="BK17" s="78" t="s">
        <v>199</v>
      </c>
      <c r="BL17" s="78" t="s">
        <v>199</v>
      </c>
      <c r="BM17" s="78" t="s">
        <v>199</v>
      </c>
      <c r="BN17" s="78" t="s">
        <v>199</v>
      </c>
      <c r="BO17" s="78" t="s">
        <v>199</v>
      </c>
      <c r="BP17" s="78" t="s">
        <v>199</v>
      </c>
      <c r="BQ17" s="78" t="s">
        <v>199</v>
      </c>
      <c r="BR17" s="78" t="s">
        <v>199</v>
      </c>
      <c r="BS17" s="78" t="s">
        <v>199</v>
      </c>
      <c r="BT17" s="78" t="s">
        <v>199</v>
      </c>
      <c r="BU17" s="78" t="s">
        <v>199</v>
      </c>
      <c r="BV17" s="78" t="s">
        <v>199</v>
      </c>
      <c r="BW17" s="78" t="s">
        <v>199</v>
      </c>
      <c r="BX17" s="78" t="s">
        <v>199</v>
      </c>
      <c r="BY17" s="78" t="s">
        <v>199</v>
      </c>
      <c r="BZ17" s="78" t="s">
        <v>199</v>
      </c>
      <c r="CA17" s="78" t="s">
        <v>199</v>
      </c>
      <c r="CB17" s="78" t="s">
        <v>199</v>
      </c>
      <c r="CC17" s="78" t="s">
        <v>199</v>
      </c>
      <c r="CD17" s="78" t="s">
        <v>199</v>
      </c>
      <c r="CE17" s="78" t="s">
        <v>199</v>
      </c>
      <c r="CF17" s="78" t="s">
        <v>199</v>
      </c>
      <c r="CG17" s="78" t="s">
        <v>199</v>
      </c>
      <c r="CH17" s="78" t="s">
        <v>199</v>
      </c>
      <c r="CI17" s="78" t="s">
        <v>199</v>
      </c>
      <c r="CJ17" s="78" t="s">
        <v>199</v>
      </c>
      <c r="CK17" s="78" t="s">
        <v>199</v>
      </c>
      <c r="CL17" s="78" t="s">
        <v>199</v>
      </c>
      <c r="CM17" s="78" t="s">
        <v>199</v>
      </c>
      <c r="CN17" s="78" t="s">
        <v>199</v>
      </c>
      <c r="CO17" s="78" t="s">
        <v>199</v>
      </c>
      <c r="CP17" s="78" t="s">
        <v>199</v>
      </c>
      <c r="CQ17" s="78" t="s">
        <v>199</v>
      </c>
      <c r="CR17" s="78" t="s">
        <v>199</v>
      </c>
      <c r="CS17" s="78" t="s">
        <v>199</v>
      </c>
      <c r="CT17" s="78" t="s">
        <v>199</v>
      </c>
      <c r="CU17" s="78" t="s">
        <v>199</v>
      </c>
      <c r="CV17" s="78" t="s">
        <v>199</v>
      </c>
      <c r="CW17" s="78" t="s">
        <v>199</v>
      </c>
      <c r="CX17" s="78" t="s">
        <v>199</v>
      </c>
      <c r="CY17" s="78" t="s">
        <v>199</v>
      </c>
      <c r="CZ17" s="78" t="s">
        <v>199</v>
      </c>
      <c r="DA17" s="78" t="s">
        <v>199</v>
      </c>
      <c r="DB17" s="78" t="s">
        <v>199</v>
      </c>
      <c r="DC17" s="78" t="s">
        <v>199</v>
      </c>
      <c r="DD17" s="78" t="s">
        <v>199</v>
      </c>
      <c r="DE17" s="78" t="s">
        <v>199</v>
      </c>
      <c r="DF17" s="78" t="s">
        <v>199</v>
      </c>
      <c r="DG17" s="78" t="s">
        <v>199</v>
      </c>
      <c r="DH17" s="78" t="s">
        <v>199</v>
      </c>
      <c r="DI17" s="78" t="s">
        <v>199</v>
      </c>
      <c r="DJ17" s="78" t="s">
        <v>199</v>
      </c>
      <c r="DK17" s="78" t="s">
        <v>199</v>
      </c>
      <c r="DL17" s="78" t="s">
        <v>227</v>
      </c>
      <c r="DM17" s="78" t="s">
        <v>229</v>
      </c>
      <c r="DN17" s="78" t="s">
        <v>154</v>
      </c>
      <c r="DO17" s="78" t="s">
        <v>154</v>
      </c>
      <c r="DP17" s="84"/>
    </row>
    <row r="18" spans="1:143">
      <c r="A18" s="60"/>
      <c r="B18" s="27" t="s">
        <v>195</v>
      </c>
      <c r="C18" s="85" t="s">
        <v>196</v>
      </c>
      <c r="D18" s="78" t="s">
        <v>197</v>
      </c>
      <c r="E18" s="78" t="s">
        <v>230</v>
      </c>
      <c r="F18" s="78" t="s">
        <v>199</v>
      </c>
      <c r="G18" s="78" t="s">
        <v>199</v>
      </c>
      <c r="H18" s="78" t="s">
        <v>199</v>
      </c>
      <c r="I18" s="78" t="s">
        <v>199</v>
      </c>
      <c r="J18" s="78" t="s">
        <v>199</v>
      </c>
      <c r="K18" s="78" t="s">
        <v>199</v>
      </c>
      <c r="L18" s="78" t="s">
        <v>199</v>
      </c>
      <c r="M18" s="78" t="s">
        <v>199</v>
      </c>
      <c r="N18" s="78" t="s">
        <v>230</v>
      </c>
      <c r="O18" s="78" t="s">
        <v>231</v>
      </c>
      <c r="P18" s="78" t="s">
        <v>230</v>
      </c>
      <c r="Q18" s="78" t="s">
        <v>201</v>
      </c>
      <c r="R18" s="78" t="s">
        <v>202</v>
      </c>
      <c r="S18" s="78" t="s">
        <v>230</v>
      </c>
      <c r="T18" s="78" t="s">
        <v>203</v>
      </c>
      <c r="U18" s="78" t="s">
        <v>204</v>
      </c>
      <c r="V18" s="78" t="s">
        <v>205</v>
      </c>
      <c r="W18" s="78" t="s">
        <v>206</v>
      </c>
      <c r="X18" s="78" t="s">
        <v>199</v>
      </c>
      <c r="Y18" s="78" t="s">
        <v>199</v>
      </c>
      <c r="Z18" s="78" t="s">
        <v>199</v>
      </c>
      <c r="AA18" s="78" t="s">
        <v>199</v>
      </c>
      <c r="AB18" s="78" t="s">
        <v>199</v>
      </c>
      <c r="AC18" s="78" t="s">
        <v>199</v>
      </c>
      <c r="AD18" s="78" t="s">
        <v>199</v>
      </c>
      <c r="AE18" s="78" t="s">
        <v>199</v>
      </c>
      <c r="AF18" s="78" t="s">
        <v>199</v>
      </c>
      <c r="AG18" s="78" t="s">
        <v>199</v>
      </c>
      <c r="AH18" s="78" t="s">
        <v>199</v>
      </c>
      <c r="AI18" s="78" t="s">
        <v>199</v>
      </c>
      <c r="AJ18" s="78" t="s">
        <v>199</v>
      </c>
      <c r="AK18" s="78" t="s">
        <v>199</v>
      </c>
      <c r="AL18" s="78" t="s">
        <v>199</v>
      </c>
      <c r="AM18" s="78" t="s">
        <v>199</v>
      </c>
      <c r="AN18" s="78" t="s">
        <v>199</v>
      </c>
      <c r="AO18" s="78" t="s">
        <v>199</v>
      </c>
      <c r="AP18" s="78" t="s">
        <v>199</v>
      </c>
      <c r="AQ18" s="78" t="s">
        <v>199</v>
      </c>
      <c r="AR18" s="78" t="s">
        <v>199</v>
      </c>
      <c r="AS18" s="78" t="s">
        <v>199</v>
      </c>
      <c r="AT18" s="78" t="s">
        <v>199</v>
      </c>
      <c r="AU18" s="78" t="s">
        <v>199</v>
      </c>
      <c r="AV18" s="78" t="s">
        <v>199</v>
      </c>
      <c r="AW18" s="78" t="s">
        <v>199</v>
      </c>
      <c r="AX18" s="78" t="s">
        <v>199</v>
      </c>
      <c r="AY18" s="78" t="s">
        <v>199</v>
      </c>
      <c r="AZ18" s="78" t="s">
        <v>199</v>
      </c>
      <c r="BA18" s="78" t="s">
        <v>199</v>
      </c>
      <c r="BB18" s="78" t="s">
        <v>199</v>
      </c>
      <c r="BC18" s="78" t="s">
        <v>199</v>
      </c>
      <c r="BD18" s="78" t="s">
        <v>199</v>
      </c>
      <c r="BE18" s="78" t="s">
        <v>199</v>
      </c>
      <c r="BF18" s="78" t="s">
        <v>199</v>
      </c>
      <c r="BG18" s="78" t="s">
        <v>199</v>
      </c>
      <c r="BH18" s="78" t="s">
        <v>199</v>
      </c>
      <c r="BI18" s="78" t="s">
        <v>199</v>
      </c>
      <c r="BJ18" s="78" t="s">
        <v>199</v>
      </c>
      <c r="BK18" s="78" t="s">
        <v>199</v>
      </c>
      <c r="BL18" s="78" t="s">
        <v>199</v>
      </c>
      <c r="BM18" s="78" t="s">
        <v>199</v>
      </c>
      <c r="BN18" s="78" t="s">
        <v>199</v>
      </c>
      <c r="BO18" s="78" t="s">
        <v>199</v>
      </c>
      <c r="BP18" s="78" t="s">
        <v>199</v>
      </c>
      <c r="BQ18" s="78" t="s">
        <v>199</v>
      </c>
      <c r="BR18" s="78" t="s">
        <v>199</v>
      </c>
      <c r="BS18" s="78" t="s">
        <v>199</v>
      </c>
      <c r="BT18" s="78" t="s">
        <v>199</v>
      </c>
      <c r="BU18" s="78" t="s">
        <v>199</v>
      </c>
      <c r="BV18" s="78" t="s">
        <v>199</v>
      </c>
      <c r="BW18" s="78" t="s">
        <v>199</v>
      </c>
      <c r="BX18" s="78" t="s">
        <v>199</v>
      </c>
      <c r="BY18" s="78" t="s">
        <v>199</v>
      </c>
      <c r="BZ18" s="78" t="s">
        <v>199</v>
      </c>
      <c r="CA18" s="78" t="s">
        <v>199</v>
      </c>
      <c r="CB18" s="78" t="s">
        <v>199</v>
      </c>
      <c r="CC18" s="78" t="s">
        <v>199</v>
      </c>
      <c r="CD18" s="78" t="s">
        <v>199</v>
      </c>
      <c r="CE18" s="78" t="s">
        <v>199</v>
      </c>
      <c r="CF18" s="78" t="s">
        <v>199</v>
      </c>
      <c r="CG18" s="78" t="s">
        <v>199</v>
      </c>
      <c r="CH18" s="78" t="s">
        <v>199</v>
      </c>
      <c r="CI18" s="78" t="s">
        <v>199</v>
      </c>
      <c r="CJ18" s="78" t="s">
        <v>199</v>
      </c>
      <c r="CK18" s="78" t="s">
        <v>199</v>
      </c>
      <c r="CL18" s="78" t="s">
        <v>199</v>
      </c>
      <c r="CM18" s="78" t="s">
        <v>199</v>
      </c>
      <c r="CN18" s="78" t="s">
        <v>199</v>
      </c>
      <c r="CO18" s="78" t="s">
        <v>199</v>
      </c>
      <c r="CP18" s="78" t="s">
        <v>199</v>
      </c>
      <c r="CQ18" s="78" t="s">
        <v>199</v>
      </c>
      <c r="CR18" s="78" t="s">
        <v>199</v>
      </c>
      <c r="CS18" s="78" t="s">
        <v>199</v>
      </c>
      <c r="CT18" s="78" t="s">
        <v>199</v>
      </c>
      <c r="CU18" s="78" t="s">
        <v>199</v>
      </c>
      <c r="CV18" s="78" t="s">
        <v>199</v>
      </c>
      <c r="CW18" s="78" t="s">
        <v>199</v>
      </c>
      <c r="CX18" s="78" t="s">
        <v>199</v>
      </c>
      <c r="CY18" s="78" t="s">
        <v>199</v>
      </c>
      <c r="CZ18" s="78" t="s">
        <v>199</v>
      </c>
      <c r="DA18" s="78" t="s">
        <v>199</v>
      </c>
      <c r="DB18" s="78" t="s">
        <v>199</v>
      </c>
      <c r="DC18" s="78" t="s">
        <v>199</v>
      </c>
      <c r="DD18" s="78" t="s">
        <v>199</v>
      </c>
      <c r="DE18" s="78" t="s">
        <v>199</v>
      </c>
      <c r="DF18" s="78" t="s">
        <v>199</v>
      </c>
      <c r="DG18" s="78" t="s">
        <v>199</v>
      </c>
      <c r="DH18" s="78" t="s">
        <v>199</v>
      </c>
      <c r="DI18" s="78" t="s">
        <v>199</v>
      </c>
      <c r="DJ18" s="78" t="s">
        <v>199</v>
      </c>
      <c r="DK18" s="78" t="s">
        <v>199</v>
      </c>
      <c r="DL18" s="78" t="s">
        <v>230</v>
      </c>
      <c r="DM18" s="78" t="s">
        <v>232</v>
      </c>
      <c r="DN18" s="78" t="s">
        <v>154</v>
      </c>
      <c r="DO18" s="78" t="s">
        <v>154</v>
      </c>
      <c r="DP18" s="84"/>
    </row>
    <row r="19" spans="1:143">
      <c r="A19" s="60"/>
      <c r="B19" s="27" t="s">
        <v>195</v>
      </c>
      <c r="C19" s="85" t="s">
        <v>196</v>
      </c>
      <c r="D19" s="78" t="s">
        <v>197</v>
      </c>
      <c r="E19" s="78" t="s">
        <v>233</v>
      </c>
      <c r="F19" s="78" t="s">
        <v>199</v>
      </c>
      <c r="G19" s="78" t="s">
        <v>199</v>
      </c>
      <c r="H19" s="78" t="s">
        <v>199</v>
      </c>
      <c r="I19" s="78" t="s">
        <v>199</v>
      </c>
      <c r="J19" s="78" t="s">
        <v>199</v>
      </c>
      <c r="K19" s="78" t="s">
        <v>199</v>
      </c>
      <c r="L19" s="78" t="s">
        <v>199</v>
      </c>
      <c r="M19" s="78" t="s">
        <v>199</v>
      </c>
      <c r="N19" s="78" t="s">
        <v>233</v>
      </c>
      <c r="O19" s="78" t="s">
        <v>234</v>
      </c>
      <c r="P19" s="78" t="s">
        <v>233</v>
      </c>
      <c r="Q19" s="78" t="s">
        <v>201</v>
      </c>
      <c r="R19" s="78" t="s">
        <v>202</v>
      </c>
      <c r="S19" s="78" t="s">
        <v>233</v>
      </c>
      <c r="T19" s="78" t="s">
        <v>203</v>
      </c>
      <c r="U19" s="78" t="s">
        <v>204</v>
      </c>
      <c r="V19" s="78" t="s">
        <v>205</v>
      </c>
      <c r="W19" s="78" t="s">
        <v>206</v>
      </c>
      <c r="X19" s="78" t="s">
        <v>199</v>
      </c>
      <c r="Y19" s="78" t="s">
        <v>199</v>
      </c>
      <c r="Z19" s="78" t="s">
        <v>199</v>
      </c>
      <c r="AA19" s="78" t="s">
        <v>199</v>
      </c>
      <c r="AB19" s="78" t="s">
        <v>199</v>
      </c>
      <c r="AC19" s="78" t="s">
        <v>199</v>
      </c>
      <c r="AD19" s="78" t="s">
        <v>199</v>
      </c>
      <c r="AE19" s="78" t="s">
        <v>199</v>
      </c>
      <c r="AF19" s="78" t="s">
        <v>199</v>
      </c>
      <c r="AG19" s="78" t="s">
        <v>199</v>
      </c>
      <c r="AH19" s="78" t="s">
        <v>199</v>
      </c>
      <c r="AI19" s="78" t="s">
        <v>199</v>
      </c>
      <c r="AJ19" s="78" t="s">
        <v>199</v>
      </c>
      <c r="AK19" s="78" t="s">
        <v>199</v>
      </c>
      <c r="AL19" s="78" t="s">
        <v>199</v>
      </c>
      <c r="AM19" s="78" t="s">
        <v>199</v>
      </c>
      <c r="AN19" s="78" t="s">
        <v>199</v>
      </c>
      <c r="AO19" s="78" t="s">
        <v>199</v>
      </c>
      <c r="AP19" s="78" t="s">
        <v>199</v>
      </c>
      <c r="AQ19" s="78" t="s">
        <v>199</v>
      </c>
      <c r="AR19" s="78" t="s">
        <v>199</v>
      </c>
      <c r="AS19" s="78" t="s">
        <v>199</v>
      </c>
      <c r="AT19" s="78" t="s">
        <v>199</v>
      </c>
      <c r="AU19" s="78" t="s">
        <v>199</v>
      </c>
      <c r="AV19" s="78" t="s">
        <v>199</v>
      </c>
      <c r="AW19" s="78" t="s">
        <v>199</v>
      </c>
      <c r="AX19" s="78" t="s">
        <v>199</v>
      </c>
      <c r="AY19" s="78" t="s">
        <v>199</v>
      </c>
      <c r="AZ19" s="78" t="s">
        <v>199</v>
      </c>
      <c r="BA19" s="78" t="s">
        <v>199</v>
      </c>
      <c r="BB19" s="78" t="s">
        <v>199</v>
      </c>
      <c r="BC19" s="78" t="s">
        <v>199</v>
      </c>
      <c r="BD19" s="78" t="s">
        <v>199</v>
      </c>
      <c r="BE19" s="78" t="s">
        <v>199</v>
      </c>
      <c r="BF19" s="78" t="s">
        <v>199</v>
      </c>
      <c r="BG19" s="78" t="s">
        <v>199</v>
      </c>
      <c r="BH19" s="78" t="s">
        <v>199</v>
      </c>
      <c r="BI19" s="78" t="s">
        <v>199</v>
      </c>
      <c r="BJ19" s="78" t="s">
        <v>199</v>
      </c>
      <c r="BK19" s="78" t="s">
        <v>199</v>
      </c>
      <c r="BL19" s="78" t="s">
        <v>199</v>
      </c>
      <c r="BM19" s="78" t="s">
        <v>199</v>
      </c>
      <c r="BN19" s="78" t="s">
        <v>199</v>
      </c>
      <c r="BO19" s="78" t="s">
        <v>199</v>
      </c>
      <c r="BP19" s="78" t="s">
        <v>199</v>
      </c>
      <c r="BQ19" s="78" t="s">
        <v>199</v>
      </c>
      <c r="BR19" s="78" t="s">
        <v>199</v>
      </c>
      <c r="BS19" s="78" t="s">
        <v>199</v>
      </c>
      <c r="BT19" s="78" t="s">
        <v>199</v>
      </c>
      <c r="BU19" s="78" t="s">
        <v>199</v>
      </c>
      <c r="BV19" s="78" t="s">
        <v>199</v>
      </c>
      <c r="BW19" s="78" t="s">
        <v>199</v>
      </c>
      <c r="BX19" s="78" t="s">
        <v>199</v>
      </c>
      <c r="BY19" s="78" t="s">
        <v>199</v>
      </c>
      <c r="BZ19" s="78" t="s">
        <v>199</v>
      </c>
      <c r="CA19" s="78" t="s">
        <v>199</v>
      </c>
      <c r="CB19" s="78" t="s">
        <v>199</v>
      </c>
      <c r="CC19" s="78" t="s">
        <v>199</v>
      </c>
      <c r="CD19" s="78" t="s">
        <v>199</v>
      </c>
      <c r="CE19" s="78" t="s">
        <v>199</v>
      </c>
      <c r="CF19" s="78" t="s">
        <v>199</v>
      </c>
      <c r="CG19" s="78" t="s">
        <v>199</v>
      </c>
      <c r="CH19" s="78" t="s">
        <v>199</v>
      </c>
      <c r="CI19" s="78" t="s">
        <v>199</v>
      </c>
      <c r="CJ19" s="78" t="s">
        <v>199</v>
      </c>
      <c r="CK19" s="78" t="s">
        <v>199</v>
      </c>
      <c r="CL19" s="78" t="s">
        <v>199</v>
      </c>
      <c r="CM19" s="78" t="s">
        <v>199</v>
      </c>
      <c r="CN19" s="78" t="s">
        <v>199</v>
      </c>
      <c r="CO19" s="78" t="s">
        <v>199</v>
      </c>
      <c r="CP19" s="78" t="s">
        <v>199</v>
      </c>
      <c r="CQ19" s="78" t="s">
        <v>199</v>
      </c>
      <c r="CR19" s="78" t="s">
        <v>199</v>
      </c>
      <c r="CS19" s="78" t="s">
        <v>199</v>
      </c>
      <c r="CT19" s="78" t="s">
        <v>199</v>
      </c>
      <c r="CU19" s="78" t="s">
        <v>199</v>
      </c>
      <c r="CV19" s="78" t="s">
        <v>199</v>
      </c>
      <c r="CW19" s="78" t="s">
        <v>199</v>
      </c>
      <c r="CX19" s="78" t="s">
        <v>199</v>
      </c>
      <c r="CY19" s="78" t="s">
        <v>199</v>
      </c>
      <c r="CZ19" s="78" t="s">
        <v>199</v>
      </c>
      <c r="DA19" s="78" t="s">
        <v>199</v>
      </c>
      <c r="DB19" s="78" t="s">
        <v>199</v>
      </c>
      <c r="DC19" s="78" t="s">
        <v>199</v>
      </c>
      <c r="DD19" s="78" t="s">
        <v>199</v>
      </c>
      <c r="DE19" s="78" t="s">
        <v>199</v>
      </c>
      <c r="DF19" s="78" t="s">
        <v>199</v>
      </c>
      <c r="DG19" s="78" t="s">
        <v>199</v>
      </c>
      <c r="DH19" s="78" t="s">
        <v>199</v>
      </c>
      <c r="DI19" s="78" t="s">
        <v>199</v>
      </c>
      <c r="DJ19" s="78" t="s">
        <v>199</v>
      </c>
      <c r="DK19" s="78" t="s">
        <v>199</v>
      </c>
      <c r="DL19" s="78" t="s">
        <v>233</v>
      </c>
      <c r="DM19" s="78" t="s">
        <v>235</v>
      </c>
      <c r="DN19" s="78" t="s">
        <v>154</v>
      </c>
      <c r="DO19" s="78" t="s">
        <v>154</v>
      </c>
      <c r="DP19" s="84"/>
    </row>
    <row r="20" spans="1:143">
      <c r="A20" s="60"/>
      <c r="B20" s="27" t="s">
        <v>195</v>
      </c>
      <c r="C20" s="85" t="s">
        <v>196</v>
      </c>
      <c r="D20" s="78" t="s">
        <v>197</v>
      </c>
      <c r="E20" s="78" t="s">
        <v>236</v>
      </c>
      <c r="F20" s="78" t="s">
        <v>199</v>
      </c>
      <c r="G20" s="78" t="s">
        <v>199</v>
      </c>
      <c r="H20" s="78" t="s">
        <v>199</v>
      </c>
      <c r="I20" s="78" t="s">
        <v>199</v>
      </c>
      <c r="J20" s="78" t="s">
        <v>199</v>
      </c>
      <c r="K20" s="78" t="s">
        <v>199</v>
      </c>
      <c r="L20" s="78" t="s">
        <v>199</v>
      </c>
      <c r="M20" s="78" t="s">
        <v>199</v>
      </c>
      <c r="N20" s="78" t="s">
        <v>236</v>
      </c>
      <c r="O20" s="78" t="s">
        <v>237</v>
      </c>
      <c r="P20" s="78" t="s">
        <v>236</v>
      </c>
      <c r="Q20" s="78" t="s">
        <v>201</v>
      </c>
      <c r="R20" s="78" t="s">
        <v>202</v>
      </c>
      <c r="S20" s="78" t="s">
        <v>236</v>
      </c>
      <c r="T20" s="78" t="s">
        <v>203</v>
      </c>
      <c r="U20" s="78" t="s">
        <v>204</v>
      </c>
      <c r="V20" s="78" t="s">
        <v>205</v>
      </c>
      <c r="W20" s="78" t="s">
        <v>206</v>
      </c>
      <c r="X20" s="78" t="s">
        <v>199</v>
      </c>
      <c r="Y20" s="78" t="s">
        <v>199</v>
      </c>
      <c r="Z20" s="78" t="s">
        <v>199</v>
      </c>
      <c r="AA20" s="78" t="s">
        <v>199</v>
      </c>
      <c r="AB20" s="78" t="s">
        <v>199</v>
      </c>
      <c r="AC20" s="78" t="s">
        <v>199</v>
      </c>
      <c r="AD20" s="78" t="s">
        <v>199</v>
      </c>
      <c r="AE20" s="78" t="s">
        <v>199</v>
      </c>
      <c r="AF20" s="78" t="s">
        <v>199</v>
      </c>
      <c r="AG20" s="78" t="s">
        <v>199</v>
      </c>
      <c r="AH20" s="78" t="s">
        <v>199</v>
      </c>
      <c r="AI20" s="78" t="s">
        <v>199</v>
      </c>
      <c r="AJ20" s="78" t="s">
        <v>199</v>
      </c>
      <c r="AK20" s="78" t="s">
        <v>199</v>
      </c>
      <c r="AL20" s="78" t="s">
        <v>199</v>
      </c>
      <c r="AM20" s="78" t="s">
        <v>199</v>
      </c>
      <c r="AN20" s="78" t="s">
        <v>199</v>
      </c>
      <c r="AO20" s="78" t="s">
        <v>199</v>
      </c>
      <c r="AP20" s="78" t="s">
        <v>199</v>
      </c>
      <c r="AQ20" s="78" t="s">
        <v>199</v>
      </c>
      <c r="AR20" s="78" t="s">
        <v>199</v>
      </c>
      <c r="AS20" s="78" t="s">
        <v>199</v>
      </c>
      <c r="AT20" s="78" t="s">
        <v>199</v>
      </c>
      <c r="AU20" s="78" t="s">
        <v>199</v>
      </c>
      <c r="AV20" s="78" t="s">
        <v>199</v>
      </c>
      <c r="AW20" s="78" t="s">
        <v>199</v>
      </c>
      <c r="AX20" s="78" t="s">
        <v>199</v>
      </c>
      <c r="AY20" s="78" t="s">
        <v>199</v>
      </c>
      <c r="AZ20" s="78" t="s">
        <v>199</v>
      </c>
      <c r="BA20" s="78" t="s">
        <v>199</v>
      </c>
      <c r="BB20" s="78" t="s">
        <v>199</v>
      </c>
      <c r="BC20" s="78" t="s">
        <v>199</v>
      </c>
      <c r="BD20" s="78" t="s">
        <v>199</v>
      </c>
      <c r="BE20" s="78" t="s">
        <v>199</v>
      </c>
      <c r="BF20" s="78" t="s">
        <v>199</v>
      </c>
      <c r="BG20" s="78" t="s">
        <v>199</v>
      </c>
      <c r="BH20" s="78" t="s">
        <v>199</v>
      </c>
      <c r="BI20" s="78" t="s">
        <v>199</v>
      </c>
      <c r="BJ20" s="78" t="s">
        <v>199</v>
      </c>
      <c r="BK20" s="78" t="s">
        <v>199</v>
      </c>
      <c r="BL20" s="78" t="s">
        <v>199</v>
      </c>
      <c r="BM20" s="78" t="s">
        <v>199</v>
      </c>
      <c r="BN20" s="78" t="s">
        <v>199</v>
      </c>
      <c r="BO20" s="78" t="s">
        <v>199</v>
      </c>
      <c r="BP20" s="78" t="s">
        <v>199</v>
      </c>
      <c r="BQ20" s="78" t="s">
        <v>199</v>
      </c>
      <c r="BR20" s="78" t="s">
        <v>199</v>
      </c>
      <c r="BS20" s="78" t="s">
        <v>199</v>
      </c>
      <c r="BT20" s="78" t="s">
        <v>199</v>
      </c>
      <c r="BU20" s="78" t="s">
        <v>199</v>
      </c>
      <c r="BV20" s="78" t="s">
        <v>199</v>
      </c>
      <c r="BW20" s="78" t="s">
        <v>199</v>
      </c>
      <c r="BX20" s="78" t="s">
        <v>199</v>
      </c>
      <c r="BY20" s="78" t="s">
        <v>199</v>
      </c>
      <c r="BZ20" s="78" t="s">
        <v>199</v>
      </c>
      <c r="CA20" s="78" t="s">
        <v>199</v>
      </c>
      <c r="CB20" s="78" t="s">
        <v>199</v>
      </c>
      <c r="CC20" s="78" t="s">
        <v>199</v>
      </c>
      <c r="CD20" s="78" t="s">
        <v>199</v>
      </c>
      <c r="CE20" s="78" t="s">
        <v>199</v>
      </c>
      <c r="CF20" s="78" t="s">
        <v>199</v>
      </c>
      <c r="CG20" s="78" t="s">
        <v>199</v>
      </c>
      <c r="CH20" s="78" t="s">
        <v>199</v>
      </c>
      <c r="CI20" s="78" t="s">
        <v>199</v>
      </c>
      <c r="CJ20" s="78" t="s">
        <v>199</v>
      </c>
      <c r="CK20" s="78" t="s">
        <v>199</v>
      </c>
      <c r="CL20" s="78" t="s">
        <v>199</v>
      </c>
      <c r="CM20" s="78" t="s">
        <v>199</v>
      </c>
      <c r="CN20" s="78" t="s">
        <v>199</v>
      </c>
      <c r="CO20" s="78" t="s">
        <v>199</v>
      </c>
      <c r="CP20" s="78" t="s">
        <v>199</v>
      </c>
      <c r="CQ20" s="78" t="s">
        <v>199</v>
      </c>
      <c r="CR20" s="78" t="s">
        <v>199</v>
      </c>
      <c r="CS20" s="78" t="s">
        <v>199</v>
      </c>
      <c r="CT20" s="78" t="s">
        <v>199</v>
      </c>
      <c r="CU20" s="78" t="s">
        <v>199</v>
      </c>
      <c r="CV20" s="78" t="s">
        <v>199</v>
      </c>
      <c r="CW20" s="78" t="s">
        <v>199</v>
      </c>
      <c r="CX20" s="78" t="s">
        <v>199</v>
      </c>
      <c r="CY20" s="78" t="s">
        <v>199</v>
      </c>
      <c r="CZ20" s="78" t="s">
        <v>199</v>
      </c>
      <c r="DA20" s="78" t="s">
        <v>199</v>
      </c>
      <c r="DB20" s="78" t="s">
        <v>199</v>
      </c>
      <c r="DC20" s="78" t="s">
        <v>199</v>
      </c>
      <c r="DD20" s="78" t="s">
        <v>199</v>
      </c>
      <c r="DE20" s="78" t="s">
        <v>199</v>
      </c>
      <c r="DF20" s="78" t="s">
        <v>199</v>
      </c>
      <c r="DG20" s="78" t="s">
        <v>199</v>
      </c>
      <c r="DH20" s="78" t="s">
        <v>199</v>
      </c>
      <c r="DI20" s="78" t="s">
        <v>199</v>
      </c>
      <c r="DJ20" s="78" t="s">
        <v>199</v>
      </c>
      <c r="DK20" s="78" t="s">
        <v>199</v>
      </c>
      <c r="DL20" s="78" t="s">
        <v>236</v>
      </c>
      <c r="DM20" s="78" t="s">
        <v>238</v>
      </c>
      <c r="DN20" s="78" t="s">
        <v>154</v>
      </c>
      <c r="DO20" s="78" t="s">
        <v>154</v>
      </c>
      <c r="DP20" s="84"/>
    </row>
    <row r="21" spans="1:143">
      <c r="A21" s="60"/>
      <c r="B21" s="27" t="s">
        <v>195</v>
      </c>
      <c r="C21" s="85" t="s">
        <v>196</v>
      </c>
      <c r="D21" s="78" t="s">
        <v>197</v>
      </c>
      <c r="E21" s="78" t="s">
        <v>239</v>
      </c>
      <c r="F21" s="78" t="s">
        <v>199</v>
      </c>
      <c r="G21" s="78" t="s">
        <v>199</v>
      </c>
      <c r="H21" s="78" t="s">
        <v>199</v>
      </c>
      <c r="I21" s="78" t="s">
        <v>199</v>
      </c>
      <c r="J21" s="78" t="s">
        <v>199</v>
      </c>
      <c r="K21" s="78" t="s">
        <v>199</v>
      </c>
      <c r="L21" s="78" t="s">
        <v>199</v>
      </c>
      <c r="M21" s="78" t="s">
        <v>199</v>
      </c>
      <c r="N21" s="78" t="s">
        <v>239</v>
      </c>
      <c r="O21" s="78" t="s">
        <v>240</v>
      </c>
      <c r="P21" s="78" t="s">
        <v>239</v>
      </c>
      <c r="Q21" s="78" t="s">
        <v>201</v>
      </c>
      <c r="R21" s="78" t="s">
        <v>202</v>
      </c>
      <c r="S21" s="78" t="s">
        <v>239</v>
      </c>
      <c r="T21" s="78" t="s">
        <v>203</v>
      </c>
      <c r="U21" s="78" t="s">
        <v>204</v>
      </c>
      <c r="V21" s="78" t="s">
        <v>205</v>
      </c>
      <c r="W21" s="78" t="s">
        <v>206</v>
      </c>
      <c r="X21" s="78" t="s">
        <v>199</v>
      </c>
      <c r="Y21" s="78" t="s">
        <v>199</v>
      </c>
      <c r="Z21" s="78" t="s">
        <v>199</v>
      </c>
      <c r="AA21" s="78" t="s">
        <v>199</v>
      </c>
      <c r="AB21" s="78" t="s">
        <v>199</v>
      </c>
      <c r="AC21" s="78" t="s">
        <v>199</v>
      </c>
      <c r="AD21" s="78" t="s">
        <v>199</v>
      </c>
      <c r="AE21" s="78" t="s">
        <v>199</v>
      </c>
      <c r="AF21" s="78" t="s">
        <v>199</v>
      </c>
      <c r="AG21" s="78" t="s">
        <v>199</v>
      </c>
      <c r="AH21" s="78" t="s">
        <v>199</v>
      </c>
      <c r="AI21" s="78" t="s">
        <v>199</v>
      </c>
      <c r="AJ21" s="78" t="s">
        <v>199</v>
      </c>
      <c r="AK21" s="78" t="s">
        <v>199</v>
      </c>
      <c r="AL21" s="78" t="s">
        <v>199</v>
      </c>
      <c r="AM21" s="78" t="s">
        <v>199</v>
      </c>
      <c r="AN21" s="78" t="s">
        <v>199</v>
      </c>
      <c r="AO21" s="78" t="s">
        <v>199</v>
      </c>
      <c r="AP21" s="78" t="s">
        <v>199</v>
      </c>
      <c r="AQ21" s="78" t="s">
        <v>199</v>
      </c>
      <c r="AR21" s="78" t="s">
        <v>199</v>
      </c>
      <c r="AS21" s="78" t="s">
        <v>199</v>
      </c>
      <c r="AT21" s="78" t="s">
        <v>199</v>
      </c>
      <c r="AU21" s="78" t="s">
        <v>199</v>
      </c>
      <c r="AV21" s="78" t="s">
        <v>199</v>
      </c>
      <c r="AW21" s="78" t="s">
        <v>199</v>
      </c>
      <c r="AX21" s="78" t="s">
        <v>199</v>
      </c>
      <c r="AY21" s="78" t="s">
        <v>199</v>
      </c>
      <c r="AZ21" s="78" t="s">
        <v>199</v>
      </c>
      <c r="BA21" s="78" t="s">
        <v>199</v>
      </c>
      <c r="BB21" s="78" t="s">
        <v>199</v>
      </c>
      <c r="BC21" s="78" t="s">
        <v>199</v>
      </c>
      <c r="BD21" s="78" t="s">
        <v>199</v>
      </c>
      <c r="BE21" s="78" t="s">
        <v>199</v>
      </c>
      <c r="BF21" s="78" t="s">
        <v>199</v>
      </c>
      <c r="BG21" s="78" t="s">
        <v>199</v>
      </c>
      <c r="BH21" s="78" t="s">
        <v>199</v>
      </c>
      <c r="BI21" s="78" t="s">
        <v>199</v>
      </c>
      <c r="BJ21" s="78" t="s">
        <v>199</v>
      </c>
      <c r="BK21" s="78" t="s">
        <v>199</v>
      </c>
      <c r="BL21" s="78" t="s">
        <v>199</v>
      </c>
      <c r="BM21" s="78" t="s">
        <v>199</v>
      </c>
      <c r="BN21" s="78" t="s">
        <v>199</v>
      </c>
      <c r="BO21" s="78" t="s">
        <v>199</v>
      </c>
      <c r="BP21" s="78" t="s">
        <v>199</v>
      </c>
      <c r="BQ21" s="78" t="s">
        <v>199</v>
      </c>
      <c r="BR21" s="78" t="s">
        <v>199</v>
      </c>
      <c r="BS21" s="78" t="s">
        <v>199</v>
      </c>
      <c r="BT21" s="78" t="s">
        <v>199</v>
      </c>
      <c r="BU21" s="78" t="s">
        <v>199</v>
      </c>
      <c r="BV21" s="78" t="s">
        <v>199</v>
      </c>
      <c r="BW21" s="78" t="s">
        <v>199</v>
      </c>
      <c r="BX21" s="78" t="s">
        <v>199</v>
      </c>
      <c r="BY21" s="78" t="s">
        <v>199</v>
      </c>
      <c r="BZ21" s="78" t="s">
        <v>199</v>
      </c>
      <c r="CA21" s="78" t="s">
        <v>199</v>
      </c>
      <c r="CB21" s="78" t="s">
        <v>199</v>
      </c>
      <c r="CC21" s="78" t="s">
        <v>199</v>
      </c>
      <c r="CD21" s="78" t="s">
        <v>199</v>
      </c>
      <c r="CE21" s="78" t="s">
        <v>199</v>
      </c>
      <c r="CF21" s="78" t="s">
        <v>199</v>
      </c>
      <c r="CG21" s="78" t="s">
        <v>199</v>
      </c>
      <c r="CH21" s="78" t="s">
        <v>199</v>
      </c>
      <c r="CI21" s="78" t="s">
        <v>199</v>
      </c>
      <c r="CJ21" s="78" t="s">
        <v>199</v>
      </c>
      <c r="CK21" s="78" t="s">
        <v>199</v>
      </c>
      <c r="CL21" s="78" t="s">
        <v>199</v>
      </c>
      <c r="CM21" s="78" t="s">
        <v>199</v>
      </c>
      <c r="CN21" s="78" t="s">
        <v>199</v>
      </c>
      <c r="CO21" s="78" t="s">
        <v>199</v>
      </c>
      <c r="CP21" s="78" t="s">
        <v>199</v>
      </c>
      <c r="CQ21" s="78" t="s">
        <v>199</v>
      </c>
      <c r="CR21" s="78" t="s">
        <v>199</v>
      </c>
      <c r="CS21" s="78" t="s">
        <v>199</v>
      </c>
      <c r="CT21" s="78" t="s">
        <v>199</v>
      </c>
      <c r="CU21" s="78" t="s">
        <v>199</v>
      </c>
      <c r="CV21" s="78" t="s">
        <v>199</v>
      </c>
      <c r="CW21" s="78" t="s">
        <v>199</v>
      </c>
      <c r="CX21" s="78" t="s">
        <v>199</v>
      </c>
      <c r="CY21" s="78" t="s">
        <v>199</v>
      </c>
      <c r="CZ21" s="78" t="s">
        <v>199</v>
      </c>
      <c r="DA21" s="78" t="s">
        <v>199</v>
      </c>
      <c r="DB21" s="78" t="s">
        <v>199</v>
      </c>
      <c r="DC21" s="78" t="s">
        <v>199</v>
      </c>
      <c r="DD21" s="78" t="s">
        <v>199</v>
      </c>
      <c r="DE21" s="78" t="s">
        <v>199</v>
      </c>
      <c r="DF21" s="78" t="s">
        <v>199</v>
      </c>
      <c r="DG21" s="78" t="s">
        <v>199</v>
      </c>
      <c r="DH21" s="78" t="s">
        <v>199</v>
      </c>
      <c r="DI21" s="78" t="s">
        <v>199</v>
      </c>
      <c r="DJ21" s="78" t="s">
        <v>199</v>
      </c>
      <c r="DK21" s="78" t="s">
        <v>199</v>
      </c>
      <c r="DL21" s="78" t="s">
        <v>239</v>
      </c>
      <c r="DM21" s="78" t="s">
        <v>241</v>
      </c>
      <c r="DN21" s="78" t="s">
        <v>154</v>
      </c>
      <c r="DO21" s="78" t="s">
        <v>154</v>
      </c>
      <c r="DP21" s="84"/>
    </row>
    <row r="22" spans="1:143">
      <c r="A22" s="60"/>
      <c r="B22" s="27" t="s">
        <v>195</v>
      </c>
      <c r="C22" s="85" t="s">
        <v>196</v>
      </c>
      <c r="D22" s="78" t="s">
        <v>197</v>
      </c>
      <c r="E22" s="78" t="s">
        <v>242</v>
      </c>
      <c r="F22" s="78" t="s">
        <v>199</v>
      </c>
      <c r="G22" s="78" t="s">
        <v>199</v>
      </c>
      <c r="H22" s="78" t="s">
        <v>199</v>
      </c>
      <c r="I22" s="78" t="s">
        <v>199</v>
      </c>
      <c r="J22" s="78" t="s">
        <v>199</v>
      </c>
      <c r="K22" s="78" t="s">
        <v>199</v>
      </c>
      <c r="L22" s="78" t="s">
        <v>199</v>
      </c>
      <c r="M22" s="78" t="s">
        <v>199</v>
      </c>
      <c r="N22" s="78" t="s">
        <v>242</v>
      </c>
      <c r="O22" s="78" t="s">
        <v>243</v>
      </c>
      <c r="P22" s="78" t="s">
        <v>242</v>
      </c>
      <c r="Q22" s="78" t="s">
        <v>201</v>
      </c>
      <c r="R22" s="78" t="s">
        <v>202</v>
      </c>
      <c r="S22" s="78" t="s">
        <v>242</v>
      </c>
      <c r="T22" s="78" t="s">
        <v>203</v>
      </c>
      <c r="U22" s="78" t="s">
        <v>204</v>
      </c>
      <c r="V22" s="78" t="s">
        <v>205</v>
      </c>
      <c r="W22" s="78" t="s">
        <v>206</v>
      </c>
      <c r="X22" s="78" t="s">
        <v>199</v>
      </c>
      <c r="Y22" s="78" t="s">
        <v>199</v>
      </c>
      <c r="Z22" s="78" t="s">
        <v>199</v>
      </c>
      <c r="AA22" s="78" t="s">
        <v>199</v>
      </c>
      <c r="AB22" s="78" t="s">
        <v>199</v>
      </c>
      <c r="AC22" s="78" t="s">
        <v>199</v>
      </c>
      <c r="AD22" s="78" t="s">
        <v>199</v>
      </c>
      <c r="AE22" s="78" t="s">
        <v>199</v>
      </c>
      <c r="AF22" s="78" t="s">
        <v>199</v>
      </c>
      <c r="AG22" s="78" t="s">
        <v>199</v>
      </c>
      <c r="AH22" s="78" t="s">
        <v>199</v>
      </c>
      <c r="AI22" s="78" t="s">
        <v>199</v>
      </c>
      <c r="AJ22" s="78" t="s">
        <v>199</v>
      </c>
      <c r="AK22" s="78" t="s">
        <v>199</v>
      </c>
      <c r="AL22" s="78" t="s">
        <v>199</v>
      </c>
      <c r="AM22" s="78" t="s">
        <v>199</v>
      </c>
      <c r="AN22" s="78" t="s">
        <v>199</v>
      </c>
      <c r="AO22" s="78" t="s">
        <v>199</v>
      </c>
      <c r="AP22" s="78" t="s">
        <v>199</v>
      </c>
      <c r="AQ22" s="78" t="s">
        <v>199</v>
      </c>
      <c r="AR22" s="78" t="s">
        <v>199</v>
      </c>
      <c r="AS22" s="78" t="s">
        <v>199</v>
      </c>
      <c r="AT22" s="78" t="s">
        <v>199</v>
      </c>
      <c r="AU22" s="78" t="s">
        <v>199</v>
      </c>
      <c r="AV22" s="78" t="s">
        <v>199</v>
      </c>
      <c r="AW22" s="78" t="s">
        <v>199</v>
      </c>
      <c r="AX22" s="78" t="s">
        <v>199</v>
      </c>
      <c r="AY22" s="78" t="s">
        <v>199</v>
      </c>
      <c r="AZ22" s="78" t="s">
        <v>199</v>
      </c>
      <c r="BA22" s="78" t="s">
        <v>199</v>
      </c>
      <c r="BB22" s="78" t="s">
        <v>199</v>
      </c>
      <c r="BC22" s="78" t="s">
        <v>199</v>
      </c>
      <c r="BD22" s="78" t="s">
        <v>199</v>
      </c>
      <c r="BE22" s="78" t="s">
        <v>199</v>
      </c>
      <c r="BF22" s="78" t="s">
        <v>199</v>
      </c>
      <c r="BG22" s="78" t="s">
        <v>199</v>
      </c>
      <c r="BH22" s="78" t="s">
        <v>199</v>
      </c>
      <c r="BI22" s="78" t="s">
        <v>199</v>
      </c>
      <c r="BJ22" s="78" t="s">
        <v>199</v>
      </c>
      <c r="BK22" s="78" t="s">
        <v>199</v>
      </c>
      <c r="BL22" s="78" t="s">
        <v>199</v>
      </c>
      <c r="BM22" s="78" t="s">
        <v>199</v>
      </c>
      <c r="BN22" s="78" t="s">
        <v>199</v>
      </c>
      <c r="BO22" s="78" t="s">
        <v>199</v>
      </c>
      <c r="BP22" s="78" t="s">
        <v>199</v>
      </c>
      <c r="BQ22" s="78" t="s">
        <v>199</v>
      </c>
      <c r="BR22" s="78" t="s">
        <v>199</v>
      </c>
      <c r="BS22" s="78" t="s">
        <v>199</v>
      </c>
      <c r="BT22" s="78" t="s">
        <v>199</v>
      </c>
      <c r="BU22" s="78" t="s">
        <v>199</v>
      </c>
      <c r="BV22" s="78" t="s">
        <v>199</v>
      </c>
      <c r="BW22" s="78" t="s">
        <v>199</v>
      </c>
      <c r="BX22" s="78" t="s">
        <v>199</v>
      </c>
      <c r="BY22" s="78" t="s">
        <v>199</v>
      </c>
      <c r="BZ22" s="78" t="s">
        <v>199</v>
      </c>
      <c r="CA22" s="78" t="s">
        <v>199</v>
      </c>
      <c r="CB22" s="78" t="s">
        <v>199</v>
      </c>
      <c r="CC22" s="78" t="s">
        <v>199</v>
      </c>
      <c r="CD22" s="78" t="s">
        <v>199</v>
      </c>
      <c r="CE22" s="78" t="s">
        <v>199</v>
      </c>
      <c r="CF22" s="78" t="s">
        <v>199</v>
      </c>
      <c r="CG22" s="78" t="s">
        <v>199</v>
      </c>
      <c r="CH22" s="78" t="s">
        <v>199</v>
      </c>
      <c r="CI22" s="78" t="s">
        <v>199</v>
      </c>
      <c r="CJ22" s="78" t="s">
        <v>199</v>
      </c>
      <c r="CK22" s="78" t="s">
        <v>199</v>
      </c>
      <c r="CL22" s="78" t="s">
        <v>199</v>
      </c>
      <c r="CM22" s="78" t="s">
        <v>199</v>
      </c>
      <c r="CN22" s="78" t="s">
        <v>199</v>
      </c>
      <c r="CO22" s="78" t="s">
        <v>199</v>
      </c>
      <c r="CP22" s="78" t="s">
        <v>199</v>
      </c>
      <c r="CQ22" s="78" t="s">
        <v>199</v>
      </c>
      <c r="CR22" s="78" t="s">
        <v>199</v>
      </c>
      <c r="CS22" s="78" t="s">
        <v>199</v>
      </c>
      <c r="CT22" s="78" t="s">
        <v>199</v>
      </c>
      <c r="CU22" s="78" t="s">
        <v>199</v>
      </c>
      <c r="CV22" s="78" t="s">
        <v>199</v>
      </c>
      <c r="CW22" s="78" t="s">
        <v>199</v>
      </c>
      <c r="CX22" s="78" t="s">
        <v>199</v>
      </c>
      <c r="CY22" s="78" t="s">
        <v>199</v>
      </c>
      <c r="CZ22" s="78" t="s">
        <v>199</v>
      </c>
      <c r="DA22" s="78" t="s">
        <v>199</v>
      </c>
      <c r="DB22" s="78" t="s">
        <v>199</v>
      </c>
      <c r="DC22" s="78" t="s">
        <v>199</v>
      </c>
      <c r="DD22" s="78" t="s">
        <v>199</v>
      </c>
      <c r="DE22" s="78" t="s">
        <v>199</v>
      </c>
      <c r="DF22" s="78" t="s">
        <v>199</v>
      </c>
      <c r="DG22" s="78" t="s">
        <v>199</v>
      </c>
      <c r="DH22" s="78" t="s">
        <v>199</v>
      </c>
      <c r="DI22" s="78" t="s">
        <v>199</v>
      </c>
      <c r="DJ22" s="78" t="s">
        <v>199</v>
      </c>
      <c r="DK22" s="78" t="s">
        <v>199</v>
      </c>
      <c r="DL22" s="78" t="s">
        <v>242</v>
      </c>
      <c r="DM22" s="78" t="s">
        <v>244</v>
      </c>
      <c r="DN22" s="78" t="s">
        <v>154</v>
      </c>
      <c r="DO22" s="78" t="s">
        <v>154</v>
      </c>
      <c r="DP22" s="84"/>
    </row>
    <row r="23" spans="1:143">
      <c r="A23" s="60"/>
      <c r="B23" s="27" t="s">
        <v>195</v>
      </c>
      <c r="C23" s="85" t="s">
        <v>196</v>
      </c>
      <c r="D23" s="78" t="s">
        <v>197</v>
      </c>
      <c r="E23" s="78" t="s">
        <v>245</v>
      </c>
      <c r="F23" s="78" t="s">
        <v>199</v>
      </c>
      <c r="G23" s="78" t="s">
        <v>199</v>
      </c>
      <c r="H23" s="78" t="s">
        <v>199</v>
      </c>
      <c r="I23" s="78" t="s">
        <v>199</v>
      </c>
      <c r="J23" s="78" t="s">
        <v>199</v>
      </c>
      <c r="K23" s="78" t="s">
        <v>199</v>
      </c>
      <c r="L23" s="78" t="s">
        <v>199</v>
      </c>
      <c r="M23" s="78" t="s">
        <v>199</v>
      </c>
      <c r="N23" s="78" t="s">
        <v>245</v>
      </c>
      <c r="O23" s="78" t="s">
        <v>209</v>
      </c>
      <c r="P23" s="78" t="s">
        <v>245</v>
      </c>
      <c r="Q23" s="78" t="s">
        <v>201</v>
      </c>
      <c r="R23" s="78" t="s">
        <v>202</v>
      </c>
      <c r="S23" s="78" t="s">
        <v>245</v>
      </c>
      <c r="T23" s="78" t="s">
        <v>203</v>
      </c>
      <c r="U23" s="78" t="s">
        <v>204</v>
      </c>
      <c r="V23" s="78" t="s">
        <v>205</v>
      </c>
      <c r="W23" s="78" t="s">
        <v>206</v>
      </c>
      <c r="X23" s="78" t="s">
        <v>199</v>
      </c>
      <c r="Y23" s="78" t="s">
        <v>199</v>
      </c>
      <c r="Z23" s="78" t="s">
        <v>199</v>
      </c>
      <c r="AA23" s="78" t="s">
        <v>199</v>
      </c>
      <c r="AB23" s="78" t="s">
        <v>199</v>
      </c>
      <c r="AC23" s="78" t="s">
        <v>199</v>
      </c>
      <c r="AD23" s="78" t="s">
        <v>199</v>
      </c>
      <c r="AE23" s="78" t="s">
        <v>199</v>
      </c>
      <c r="AF23" s="78" t="s">
        <v>199</v>
      </c>
      <c r="AG23" s="78" t="s">
        <v>199</v>
      </c>
      <c r="AH23" s="78" t="s">
        <v>199</v>
      </c>
      <c r="AI23" s="78" t="s">
        <v>199</v>
      </c>
      <c r="AJ23" s="78" t="s">
        <v>199</v>
      </c>
      <c r="AK23" s="78" t="s">
        <v>199</v>
      </c>
      <c r="AL23" s="78" t="s">
        <v>199</v>
      </c>
      <c r="AM23" s="78" t="s">
        <v>199</v>
      </c>
      <c r="AN23" s="78" t="s">
        <v>199</v>
      </c>
      <c r="AO23" s="78" t="s">
        <v>199</v>
      </c>
      <c r="AP23" s="78" t="s">
        <v>199</v>
      </c>
      <c r="AQ23" s="78" t="s">
        <v>199</v>
      </c>
      <c r="AR23" s="78" t="s">
        <v>199</v>
      </c>
      <c r="AS23" s="78" t="s">
        <v>199</v>
      </c>
      <c r="AT23" s="78" t="s">
        <v>199</v>
      </c>
      <c r="AU23" s="78" t="s">
        <v>199</v>
      </c>
      <c r="AV23" s="78" t="s">
        <v>199</v>
      </c>
      <c r="AW23" s="78" t="s">
        <v>199</v>
      </c>
      <c r="AX23" s="78" t="s">
        <v>199</v>
      </c>
      <c r="AY23" s="78" t="s">
        <v>199</v>
      </c>
      <c r="AZ23" s="78" t="s">
        <v>199</v>
      </c>
      <c r="BA23" s="78" t="s">
        <v>199</v>
      </c>
      <c r="BB23" s="78" t="s">
        <v>199</v>
      </c>
      <c r="BC23" s="78" t="s">
        <v>199</v>
      </c>
      <c r="BD23" s="78" t="s">
        <v>199</v>
      </c>
      <c r="BE23" s="78" t="s">
        <v>199</v>
      </c>
      <c r="BF23" s="78" t="s">
        <v>199</v>
      </c>
      <c r="BG23" s="78" t="s">
        <v>199</v>
      </c>
      <c r="BH23" s="78" t="s">
        <v>199</v>
      </c>
      <c r="BI23" s="78" t="s">
        <v>199</v>
      </c>
      <c r="BJ23" s="78" t="s">
        <v>199</v>
      </c>
      <c r="BK23" s="78" t="s">
        <v>199</v>
      </c>
      <c r="BL23" s="78" t="s">
        <v>199</v>
      </c>
      <c r="BM23" s="78" t="s">
        <v>199</v>
      </c>
      <c r="BN23" s="78" t="s">
        <v>199</v>
      </c>
      <c r="BO23" s="78" t="s">
        <v>199</v>
      </c>
      <c r="BP23" s="78" t="s">
        <v>199</v>
      </c>
      <c r="BQ23" s="78" t="s">
        <v>199</v>
      </c>
      <c r="BR23" s="78" t="s">
        <v>199</v>
      </c>
      <c r="BS23" s="78" t="s">
        <v>199</v>
      </c>
      <c r="BT23" s="78" t="s">
        <v>199</v>
      </c>
      <c r="BU23" s="78" t="s">
        <v>199</v>
      </c>
      <c r="BV23" s="78" t="s">
        <v>199</v>
      </c>
      <c r="BW23" s="78" t="s">
        <v>199</v>
      </c>
      <c r="BX23" s="78" t="s">
        <v>199</v>
      </c>
      <c r="BY23" s="78" t="s">
        <v>199</v>
      </c>
      <c r="BZ23" s="78" t="s">
        <v>199</v>
      </c>
      <c r="CA23" s="78" t="s">
        <v>199</v>
      </c>
      <c r="CB23" s="78" t="s">
        <v>199</v>
      </c>
      <c r="CC23" s="78" t="s">
        <v>199</v>
      </c>
      <c r="CD23" s="78" t="s">
        <v>199</v>
      </c>
      <c r="CE23" s="78" t="s">
        <v>199</v>
      </c>
      <c r="CF23" s="78" t="s">
        <v>199</v>
      </c>
      <c r="CG23" s="78" t="s">
        <v>199</v>
      </c>
      <c r="CH23" s="78" t="s">
        <v>199</v>
      </c>
      <c r="CI23" s="78" t="s">
        <v>199</v>
      </c>
      <c r="CJ23" s="78" t="s">
        <v>199</v>
      </c>
      <c r="CK23" s="78" t="s">
        <v>199</v>
      </c>
      <c r="CL23" s="78" t="s">
        <v>199</v>
      </c>
      <c r="CM23" s="78" t="s">
        <v>199</v>
      </c>
      <c r="CN23" s="78" t="s">
        <v>199</v>
      </c>
      <c r="CO23" s="78" t="s">
        <v>199</v>
      </c>
      <c r="CP23" s="78" t="s">
        <v>199</v>
      </c>
      <c r="CQ23" s="78" t="s">
        <v>199</v>
      </c>
      <c r="CR23" s="78" t="s">
        <v>199</v>
      </c>
      <c r="CS23" s="78" t="s">
        <v>199</v>
      </c>
      <c r="CT23" s="78" t="s">
        <v>199</v>
      </c>
      <c r="CU23" s="78" t="s">
        <v>199</v>
      </c>
      <c r="CV23" s="78" t="s">
        <v>199</v>
      </c>
      <c r="CW23" s="78" t="s">
        <v>199</v>
      </c>
      <c r="CX23" s="78" t="s">
        <v>199</v>
      </c>
      <c r="CY23" s="78" t="s">
        <v>199</v>
      </c>
      <c r="CZ23" s="78" t="s">
        <v>199</v>
      </c>
      <c r="DA23" s="78" t="s">
        <v>199</v>
      </c>
      <c r="DB23" s="78" t="s">
        <v>199</v>
      </c>
      <c r="DC23" s="78" t="s">
        <v>199</v>
      </c>
      <c r="DD23" s="78" t="s">
        <v>199</v>
      </c>
      <c r="DE23" s="78" t="s">
        <v>199</v>
      </c>
      <c r="DF23" s="78" t="s">
        <v>199</v>
      </c>
      <c r="DG23" s="78" t="s">
        <v>199</v>
      </c>
      <c r="DH23" s="78" t="s">
        <v>199</v>
      </c>
      <c r="DI23" s="78" t="s">
        <v>199</v>
      </c>
      <c r="DJ23" s="78" t="s">
        <v>199</v>
      </c>
      <c r="DK23" s="78" t="s">
        <v>199</v>
      </c>
      <c r="DL23" s="78" t="s">
        <v>245</v>
      </c>
      <c r="DM23" s="78" t="s">
        <v>246</v>
      </c>
      <c r="DN23" s="78" t="s">
        <v>154</v>
      </c>
      <c r="DO23" s="78" t="s">
        <v>154</v>
      </c>
      <c r="DP23" s="84"/>
    </row>
    <row r="24" spans="1:143">
      <c r="A24" s="60"/>
      <c r="B24" s="27" t="s">
        <v>195</v>
      </c>
      <c r="C24" s="85" t="s">
        <v>196</v>
      </c>
      <c r="D24" s="78" t="s">
        <v>197</v>
      </c>
      <c r="E24" s="78" t="s">
        <v>247</v>
      </c>
      <c r="F24" s="78" t="s">
        <v>199</v>
      </c>
      <c r="G24" s="78" t="s">
        <v>199</v>
      </c>
      <c r="H24" s="78" t="s">
        <v>199</v>
      </c>
      <c r="I24" s="78" t="s">
        <v>199</v>
      </c>
      <c r="J24" s="78" t="s">
        <v>199</v>
      </c>
      <c r="K24" s="78" t="s">
        <v>199</v>
      </c>
      <c r="L24" s="78" t="s">
        <v>199</v>
      </c>
      <c r="M24" s="78" t="s">
        <v>199</v>
      </c>
      <c r="N24" s="78" t="s">
        <v>247</v>
      </c>
      <c r="O24" s="78" t="s">
        <v>248</v>
      </c>
      <c r="P24" s="78" t="s">
        <v>247</v>
      </c>
      <c r="Q24" s="78" t="s">
        <v>201</v>
      </c>
      <c r="R24" s="78" t="s">
        <v>202</v>
      </c>
      <c r="S24" s="78" t="s">
        <v>247</v>
      </c>
      <c r="T24" s="78" t="s">
        <v>203</v>
      </c>
      <c r="U24" s="78" t="s">
        <v>204</v>
      </c>
      <c r="V24" s="78" t="s">
        <v>205</v>
      </c>
      <c r="W24" s="78" t="s">
        <v>206</v>
      </c>
      <c r="X24" s="78" t="s">
        <v>199</v>
      </c>
      <c r="Y24" s="78" t="s">
        <v>199</v>
      </c>
      <c r="Z24" s="78" t="s">
        <v>199</v>
      </c>
      <c r="AA24" s="78" t="s">
        <v>199</v>
      </c>
      <c r="AB24" s="78" t="s">
        <v>199</v>
      </c>
      <c r="AC24" s="78" t="s">
        <v>199</v>
      </c>
      <c r="AD24" s="78" t="s">
        <v>199</v>
      </c>
      <c r="AE24" s="78" t="s">
        <v>199</v>
      </c>
      <c r="AF24" s="78" t="s">
        <v>199</v>
      </c>
      <c r="AG24" s="78" t="s">
        <v>199</v>
      </c>
      <c r="AH24" s="78" t="s">
        <v>199</v>
      </c>
      <c r="AI24" s="78" t="s">
        <v>199</v>
      </c>
      <c r="AJ24" s="78" t="s">
        <v>199</v>
      </c>
      <c r="AK24" s="78" t="s">
        <v>199</v>
      </c>
      <c r="AL24" s="78" t="s">
        <v>199</v>
      </c>
      <c r="AM24" s="78" t="s">
        <v>199</v>
      </c>
      <c r="AN24" s="78" t="s">
        <v>199</v>
      </c>
      <c r="AO24" s="78" t="s">
        <v>199</v>
      </c>
      <c r="AP24" s="78" t="s">
        <v>199</v>
      </c>
      <c r="AQ24" s="78" t="s">
        <v>199</v>
      </c>
      <c r="AR24" s="78" t="s">
        <v>199</v>
      </c>
      <c r="AS24" s="78" t="s">
        <v>199</v>
      </c>
      <c r="AT24" s="78" t="s">
        <v>199</v>
      </c>
      <c r="AU24" s="78" t="s">
        <v>199</v>
      </c>
      <c r="AV24" s="78" t="s">
        <v>199</v>
      </c>
      <c r="AW24" s="78" t="s">
        <v>199</v>
      </c>
      <c r="AX24" s="78" t="s">
        <v>199</v>
      </c>
      <c r="AY24" s="78" t="s">
        <v>199</v>
      </c>
      <c r="AZ24" s="78" t="s">
        <v>199</v>
      </c>
      <c r="BA24" s="78" t="s">
        <v>199</v>
      </c>
      <c r="BB24" s="78" t="s">
        <v>199</v>
      </c>
      <c r="BC24" s="78" t="s">
        <v>199</v>
      </c>
      <c r="BD24" s="78" t="s">
        <v>199</v>
      </c>
      <c r="BE24" s="78" t="s">
        <v>199</v>
      </c>
      <c r="BF24" s="78" t="s">
        <v>199</v>
      </c>
      <c r="BG24" s="78" t="s">
        <v>199</v>
      </c>
      <c r="BH24" s="78" t="s">
        <v>199</v>
      </c>
      <c r="BI24" s="78" t="s">
        <v>199</v>
      </c>
      <c r="BJ24" s="78" t="s">
        <v>199</v>
      </c>
      <c r="BK24" s="78" t="s">
        <v>199</v>
      </c>
      <c r="BL24" s="78" t="s">
        <v>199</v>
      </c>
      <c r="BM24" s="78" t="s">
        <v>199</v>
      </c>
      <c r="BN24" s="78" t="s">
        <v>199</v>
      </c>
      <c r="BO24" s="78" t="s">
        <v>199</v>
      </c>
      <c r="BP24" s="78" t="s">
        <v>199</v>
      </c>
      <c r="BQ24" s="78" t="s">
        <v>199</v>
      </c>
      <c r="BR24" s="78" t="s">
        <v>199</v>
      </c>
      <c r="BS24" s="78" t="s">
        <v>199</v>
      </c>
      <c r="BT24" s="78" t="s">
        <v>199</v>
      </c>
      <c r="BU24" s="78" t="s">
        <v>199</v>
      </c>
      <c r="BV24" s="78" t="s">
        <v>199</v>
      </c>
      <c r="BW24" s="78" t="s">
        <v>199</v>
      </c>
      <c r="BX24" s="78" t="s">
        <v>199</v>
      </c>
      <c r="BY24" s="78" t="s">
        <v>199</v>
      </c>
      <c r="BZ24" s="78" t="s">
        <v>199</v>
      </c>
      <c r="CA24" s="78" t="s">
        <v>199</v>
      </c>
      <c r="CB24" s="78" t="s">
        <v>199</v>
      </c>
      <c r="CC24" s="78" t="s">
        <v>199</v>
      </c>
      <c r="CD24" s="78" t="s">
        <v>199</v>
      </c>
      <c r="CE24" s="78" t="s">
        <v>199</v>
      </c>
      <c r="CF24" s="78" t="s">
        <v>199</v>
      </c>
      <c r="CG24" s="78" t="s">
        <v>199</v>
      </c>
      <c r="CH24" s="78" t="s">
        <v>199</v>
      </c>
      <c r="CI24" s="78" t="s">
        <v>199</v>
      </c>
      <c r="CJ24" s="78" t="s">
        <v>199</v>
      </c>
      <c r="CK24" s="78" t="s">
        <v>199</v>
      </c>
      <c r="CL24" s="78" t="s">
        <v>199</v>
      </c>
      <c r="CM24" s="78" t="s">
        <v>199</v>
      </c>
      <c r="CN24" s="78" t="s">
        <v>199</v>
      </c>
      <c r="CO24" s="78" t="s">
        <v>199</v>
      </c>
      <c r="CP24" s="78" t="s">
        <v>199</v>
      </c>
      <c r="CQ24" s="78" t="s">
        <v>199</v>
      </c>
      <c r="CR24" s="78" t="s">
        <v>199</v>
      </c>
      <c r="CS24" s="78" t="s">
        <v>199</v>
      </c>
      <c r="CT24" s="78" t="s">
        <v>199</v>
      </c>
      <c r="CU24" s="78" t="s">
        <v>199</v>
      </c>
      <c r="CV24" s="78" t="s">
        <v>199</v>
      </c>
      <c r="CW24" s="78" t="s">
        <v>199</v>
      </c>
      <c r="CX24" s="78" t="s">
        <v>199</v>
      </c>
      <c r="CY24" s="78" t="s">
        <v>199</v>
      </c>
      <c r="CZ24" s="78" t="s">
        <v>199</v>
      </c>
      <c r="DA24" s="78" t="s">
        <v>199</v>
      </c>
      <c r="DB24" s="78" t="s">
        <v>199</v>
      </c>
      <c r="DC24" s="78" t="s">
        <v>199</v>
      </c>
      <c r="DD24" s="78" t="s">
        <v>199</v>
      </c>
      <c r="DE24" s="78" t="s">
        <v>199</v>
      </c>
      <c r="DF24" s="78" t="s">
        <v>199</v>
      </c>
      <c r="DG24" s="78" t="s">
        <v>199</v>
      </c>
      <c r="DH24" s="78" t="s">
        <v>199</v>
      </c>
      <c r="DI24" s="78" t="s">
        <v>199</v>
      </c>
      <c r="DJ24" s="78" t="s">
        <v>199</v>
      </c>
      <c r="DK24" s="78" t="s">
        <v>199</v>
      </c>
      <c r="DL24" s="78" t="s">
        <v>247</v>
      </c>
      <c r="DM24" s="78" t="s">
        <v>249</v>
      </c>
      <c r="DN24" s="78" t="s">
        <v>154</v>
      </c>
      <c r="DO24" s="78" t="s">
        <v>154</v>
      </c>
      <c r="DP24" s="84"/>
    </row>
    <row r="25" spans="1:143">
      <c r="A25" s="60"/>
      <c r="B25" s="27" t="s">
        <v>195</v>
      </c>
      <c r="C25" s="85" t="s">
        <v>196</v>
      </c>
      <c r="D25" s="78" t="s">
        <v>250</v>
      </c>
      <c r="E25" s="78" t="s">
        <v>251</v>
      </c>
      <c r="F25" s="78" t="s">
        <v>199</v>
      </c>
      <c r="G25" s="78" t="s">
        <v>199</v>
      </c>
      <c r="H25" s="78" t="s">
        <v>199</v>
      </c>
      <c r="I25" s="78" t="s">
        <v>199</v>
      </c>
      <c r="J25" s="78" t="s">
        <v>199</v>
      </c>
      <c r="K25" s="78" t="s">
        <v>199</v>
      </c>
      <c r="L25" s="78" t="s">
        <v>199</v>
      </c>
      <c r="M25" s="78" t="s">
        <v>199</v>
      </c>
      <c r="N25" s="78" t="s">
        <v>251</v>
      </c>
      <c r="O25" s="78" t="s">
        <v>252</v>
      </c>
      <c r="P25" s="78" t="s">
        <v>251</v>
      </c>
      <c r="Q25" s="78" t="s">
        <v>201</v>
      </c>
      <c r="R25" s="78" t="s">
        <v>202</v>
      </c>
      <c r="S25" s="78" t="s">
        <v>251</v>
      </c>
      <c r="T25" s="78" t="s">
        <v>253</v>
      </c>
      <c r="U25" s="78" t="s">
        <v>254</v>
      </c>
      <c r="V25" s="78" t="s">
        <v>255</v>
      </c>
      <c r="W25" s="78" t="s">
        <v>206</v>
      </c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78"/>
      <c r="BF25" s="78"/>
      <c r="BG25" s="78"/>
      <c r="BH25" s="78"/>
      <c r="BI25" s="78"/>
      <c r="BJ25" s="78"/>
      <c r="BK25" s="78"/>
      <c r="BL25" s="78"/>
      <c r="BM25" s="78"/>
      <c r="BN25" s="78"/>
      <c r="BO25" s="78"/>
      <c r="BP25" s="78"/>
      <c r="BQ25" s="78"/>
      <c r="BR25" s="78"/>
      <c r="BS25" s="78"/>
      <c r="BT25" s="78"/>
      <c r="BU25" s="78"/>
      <c r="BV25" s="78"/>
      <c r="BW25" s="78"/>
      <c r="BX25" s="78"/>
      <c r="BY25" s="78"/>
      <c r="BZ25" s="78"/>
      <c r="CA25" s="78"/>
      <c r="CB25" s="78"/>
      <c r="CC25" s="78"/>
      <c r="CD25" s="78"/>
      <c r="CE25" s="78"/>
      <c r="CF25" s="78"/>
      <c r="CG25" s="78"/>
      <c r="CH25" s="78"/>
      <c r="CI25" s="78"/>
      <c r="CJ25" s="78"/>
      <c r="CK25" s="78"/>
      <c r="CL25" s="78"/>
      <c r="CM25" s="78"/>
      <c r="CN25" s="78"/>
      <c r="CO25" s="78"/>
      <c r="CP25" s="78"/>
      <c r="CQ25" s="78"/>
      <c r="CR25" s="78"/>
      <c r="CS25" s="78"/>
      <c r="CT25" s="78"/>
      <c r="CU25" s="78"/>
      <c r="CV25" s="78"/>
      <c r="CW25" s="78"/>
      <c r="CX25" s="78"/>
      <c r="CY25" s="78"/>
      <c r="CZ25" s="78"/>
      <c r="DA25" s="78"/>
      <c r="DB25" s="78"/>
      <c r="DC25" s="78"/>
      <c r="DD25" s="78"/>
      <c r="DE25" s="78"/>
      <c r="DF25" s="78"/>
      <c r="DG25" s="78"/>
      <c r="DH25" s="78"/>
      <c r="DI25" s="78"/>
      <c r="DJ25" s="78"/>
      <c r="DK25" s="78"/>
      <c r="DL25" s="78"/>
      <c r="DM25" s="78"/>
      <c r="DN25" s="78"/>
      <c r="DO25" s="78"/>
      <c r="DP25" s="84"/>
      <c r="DQ25" s="84"/>
      <c r="DR25" s="84"/>
      <c r="DS25" s="84"/>
      <c r="DT25" s="84"/>
      <c r="DU25" s="84"/>
      <c r="DV25" s="84"/>
      <c r="DW25" s="84"/>
      <c r="DX25" s="84"/>
      <c r="DY25" s="84"/>
      <c r="DZ25" s="84"/>
      <c r="EA25" s="84"/>
      <c r="EB25" s="84"/>
      <c r="EC25" s="84"/>
      <c r="ED25" s="84"/>
      <c r="EE25" s="84"/>
      <c r="EF25" s="84"/>
      <c r="EG25" s="84"/>
      <c r="EH25" s="84"/>
      <c r="EI25" s="84"/>
      <c r="EJ25" s="84"/>
      <c r="EK25" s="84"/>
      <c r="EL25" s="84"/>
      <c r="EM25" s="84"/>
    </row>
    <row r="26" spans="1:143">
      <c r="A26" s="60"/>
      <c r="B26" s="27" t="s">
        <v>195</v>
      </c>
      <c r="C26" s="85" t="s">
        <v>196</v>
      </c>
      <c r="D26" s="78" t="s">
        <v>250</v>
      </c>
      <c r="E26" s="78" t="s">
        <v>256</v>
      </c>
      <c r="F26" s="78" t="s">
        <v>199</v>
      </c>
      <c r="G26" s="78" t="s">
        <v>199</v>
      </c>
      <c r="H26" s="78" t="s">
        <v>199</v>
      </c>
      <c r="I26" s="78" t="s">
        <v>199</v>
      </c>
      <c r="J26" s="78" t="s">
        <v>199</v>
      </c>
      <c r="K26" s="78" t="s">
        <v>199</v>
      </c>
      <c r="L26" s="78" t="s">
        <v>199</v>
      </c>
      <c r="M26" s="78" t="s">
        <v>199</v>
      </c>
      <c r="N26" s="78" t="s">
        <v>256</v>
      </c>
      <c r="O26" s="78" t="s">
        <v>257</v>
      </c>
      <c r="P26" s="78" t="s">
        <v>256</v>
      </c>
      <c r="Q26" s="78" t="s">
        <v>201</v>
      </c>
      <c r="R26" s="78" t="s">
        <v>202</v>
      </c>
      <c r="S26" s="78" t="s">
        <v>256</v>
      </c>
      <c r="T26" s="78" t="s">
        <v>253</v>
      </c>
      <c r="U26" s="78" t="s">
        <v>254</v>
      </c>
      <c r="V26" s="78" t="s">
        <v>255</v>
      </c>
      <c r="W26" s="78" t="s">
        <v>206</v>
      </c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8"/>
      <c r="AQ26" s="78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78"/>
      <c r="BF26" s="78"/>
      <c r="BG26" s="78"/>
      <c r="BH26" s="78"/>
      <c r="BI26" s="78"/>
      <c r="BJ26" s="78"/>
      <c r="BK26" s="78"/>
      <c r="BL26" s="78"/>
      <c r="BM26" s="78"/>
      <c r="BN26" s="78"/>
      <c r="BO26" s="78"/>
      <c r="BP26" s="78"/>
      <c r="BQ26" s="78"/>
      <c r="BR26" s="78"/>
      <c r="BS26" s="78"/>
      <c r="BT26" s="78"/>
      <c r="BU26" s="78"/>
      <c r="BV26" s="78"/>
      <c r="BW26" s="78"/>
      <c r="BX26" s="78"/>
      <c r="BY26" s="78"/>
      <c r="BZ26" s="78"/>
      <c r="CA26" s="78"/>
      <c r="CB26" s="78"/>
      <c r="CC26" s="78"/>
      <c r="CD26" s="78"/>
      <c r="CE26" s="78"/>
      <c r="CF26" s="78"/>
      <c r="CG26" s="78"/>
      <c r="CH26" s="78"/>
      <c r="CI26" s="78"/>
      <c r="CJ26" s="78"/>
      <c r="CK26" s="78"/>
      <c r="CL26" s="78"/>
      <c r="CM26" s="78"/>
      <c r="CN26" s="78"/>
      <c r="CO26" s="78"/>
      <c r="CP26" s="78"/>
      <c r="CQ26" s="78"/>
      <c r="CR26" s="78"/>
      <c r="CS26" s="78"/>
      <c r="CT26" s="78"/>
      <c r="CU26" s="78"/>
      <c r="CV26" s="78"/>
      <c r="CW26" s="78"/>
      <c r="CX26" s="78"/>
      <c r="CY26" s="78"/>
      <c r="CZ26" s="78"/>
      <c r="DA26" s="78"/>
      <c r="DB26" s="78"/>
      <c r="DC26" s="78"/>
      <c r="DD26" s="78"/>
      <c r="DE26" s="78"/>
      <c r="DF26" s="78"/>
      <c r="DG26" s="78"/>
      <c r="DH26" s="78"/>
      <c r="DI26" s="78"/>
      <c r="DJ26" s="78"/>
      <c r="DK26" s="78"/>
      <c r="DL26" s="78"/>
      <c r="DM26" s="78"/>
      <c r="DN26" s="78"/>
      <c r="DO26" s="78"/>
      <c r="DP26" s="84"/>
      <c r="DQ26" s="84"/>
      <c r="DR26" s="84"/>
      <c r="DS26" s="84"/>
      <c r="DT26" s="84"/>
      <c r="DU26" s="84"/>
      <c r="DV26" s="84"/>
      <c r="DW26" s="84"/>
      <c r="DX26" s="84"/>
      <c r="DY26" s="84"/>
      <c r="DZ26" s="84"/>
      <c r="EA26" s="84"/>
      <c r="EB26" s="84"/>
      <c r="EC26" s="84"/>
      <c r="ED26" s="84"/>
      <c r="EE26" s="84"/>
      <c r="EF26" s="84"/>
      <c r="EG26" s="84"/>
      <c r="EH26" s="84"/>
      <c r="EI26" s="84"/>
      <c r="EJ26" s="84"/>
      <c r="EK26" s="84"/>
      <c r="EL26" s="84"/>
      <c r="EM26" s="84"/>
    </row>
    <row r="27" spans="1:143">
      <c r="A27" s="60"/>
      <c r="B27" s="27" t="s">
        <v>195</v>
      </c>
      <c r="C27" s="85" t="s">
        <v>196</v>
      </c>
      <c r="D27" s="78" t="s">
        <v>250</v>
      </c>
      <c r="E27" s="78" t="s">
        <v>258</v>
      </c>
      <c r="F27" s="78" t="s">
        <v>199</v>
      </c>
      <c r="G27" s="78" t="s">
        <v>199</v>
      </c>
      <c r="H27" s="78" t="s">
        <v>199</v>
      </c>
      <c r="I27" s="78" t="s">
        <v>199</v>
      </c>
      <c r="J27" s="78" t="s">
        <v>199</v>
      </c>
      <c r="K27" s="78" t="s">
        <v>199</v>
      </c>
      <c r="L27" s="78" t="s">
        <v>199</v>
      </c>
      <c r="M27" s="78" t="s">
        <v>199</v>
      </c>
      <c r="N27" s="78" t="s">
        <v>258</v>
      </c>
      <c r="O27" s="78" t="s">
        <v>259</v>
      </c>
      <c r="P27" s="78" t="s">
        <v>258</v>
      </c>
      <c r="Q27" s="78" t="s">
        <v>201</v>
      </c>
      <c r="R27" s="78" t="s">
        <v>202</v>
      </c>
      <c r="S27" s="78" t="s">
        <v>258</v>
      </c>
      <c r="T27" s="78" t="s">
        <v>260</v>
      </c>
      <c r="U27" s="78" t="s">
        <v>261</v>
      </c>
      <c r="V27" s="78" t="s">
        <v>262</v>
      </c>
      <c r="W27" s="78" t="s">
        <v>206</v>
      </c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78"/>
      <c r="BF27" s="78"/>
      <c r="BG27" s="78"/>
      <c r="BH27" s="78"/>
      <c r="BI27" s="78"/>
      <c r="BJ27" s="78"/>
      <c r="BK27" s="78"/>
      <c r="BL27" s="78"/>
      <c r="BM27" s="78"/>
      <c r="BN27" s="78"/>
      <c r="BO27" s="78"/>
      <c r="BP27" s="78"/>
      <c r="BQ27" s="78"/>
      <c r="BR27" s="78"/>
      <c r="BS27" s="78"/>
      <c r="BT27" s="78"/>
      <c r="BU27" s="78"/>
      <c r="BV27" s="78"/>
      <c r="BW27" s="78"/>
      <c r="BX27" s="78"/>
      <c r="BY27" s="78"/>
      <c r="BZ27" s="78"/>
      <c r="CA27" s="78"/>
      <c r="CB27" s="78"/>
      <c r="CC27" s="78"/>
      <c r="CD27" s="78"/>
      <c r="CE27" s="78"/>
      <c r="CF27" s="78"/>
      <c r="CG27" s="78"/>
      <c r="CH27" s="78"/>
      <c r="CI27" s="78"/>
      <c r="CJ27" s="78"/>
      <c r="CK27" s="78"/>
      <c r="CL27" s="78"/>
      <c r="CM27" s="78"/>
      <c r="CN27" s="78"/>
      <c r="CO27" s="78"/>
      <c r="CP27" s="78"/>
      <c r="CQ27" s="78"/>
      <c r="CR27" s="78"/>
      <c r="CS27" s="78"/>
      <c r="CT27" s="78"/>
      <c r="CU27" s="78"/>
      <c r="CV27" s="78"/>
      <c r="CW27" s="78"/>
      <c r="CX27" s="78"/>
      <c r="CY27" s="78"/>
      <c r="CZ27" s="78"/>
      <c r="DA27" s="78"/>
      <c r="DB27" s="78"/>
      <c r="DC27" s="78"/>
      <c r="DD27" s="78"/>
      <c r="DE27" s="78"/>
      <c r="DF27" s="78"/>
      <c r="DG27" s="78"/>
      <c r="DH27" s="78"/>
      <c r="DI27" s="78"/>
      <c r="DJ27" s="78"/>
      <c r="DK27" s="78"/>
      <c r="DL27" s="78"/>
      <c r="DM27" s="78"/>
      <c r="DN27" s="78"/>
      <c r="DO27" s="78"/>
      <c r="DP27" s="84"/>
      <c r="DQ27" s="84"/>
      <c r="DR27" s="84"/>
      <c r="DS27" s="84"/>
      <c r="DT27" s="84"/>
      <c r="DU27" s="84"/>
      <c r="DV27" s="84"/>
      <c r="DW27" s="84"/>
      <c r="DX27" s="84"/>
      <c r="DY27" s="84"/>
      <c r="DZ27" s="84"/>
      <c r="EA27" s="84"/>
      <c r="EB27" s="84"/>
      <c r="EC27" s="84"/>
      <c r="ED27" s="84"/>
      <c r="EE27" s="84"/>
      <c r="EF27" s="84"/>
      <c r="EG27" s="84"/>
      <c r="EH27" s="84"/>
      <c r="EI27" s="84"/>
      <c r="EJ27" s="84"/>
      <c r="EK27" s="84"/>
      <c r="EL27" s="84"/>
      <c r="EM27" s="84"/>
    </row>
    <row r="28" spans="1:143">
      <c r="A28" s="60"/>
      <c r="B28" s="27" t="s">
        <v>195</v>
      </c>
      <c r="C28" s="85" t="s">
        <v>196</v>
      </c>
      <c r="D28" s="78" t="s">
        <v>250</v>
      </c>
      <c r="E28" s="78" t="s">
        <v>263</v>
      </c>
      <c r="F28" s="78" t="s">
        <v>199</v>
      </c>
      <c r="G28" s="78" t="s">
        <v>199</v>
      </c>
      <c r="H28" s="78" t="s">
        <v>199</v>
      </c>
      <c r="I28" s="78" t="s">
        <v>199</v>
      </c>
      <c r="J28" s="78" t="s">
        <v>199</v>
      </c>
      <c r="K28" s="78" t="s">
        <v>199</v>
      </c>
      <c r="L28" s="78" t="s">
        <v>199</v>
      </c>
      <c r="M28" s="78" t="s">
        <v>199</v>
      </c>
      <c r="N28" s="78" t="s">
        <v>263</v>
      </c>
      <c r="O28" s="78" t="s">
        <v>264</v>
      </c>
      <c r="P28" s="78" t="s">
        <v>263</v>
      </c>
      <c r="Q28" s="78" t="s">
        <v>201</v>
      </c>
      <c r="R28" s="78" t="s">
        <v>202</v>
      </c>
      <c r="S28" s="78">
        <v>3.1003215729439999E+31</v>
      </c>
      <c r="T28" s="78">
        <v>4</v>
      </c>
      <c r="U28" s="78" t="s">
        <v>265</v>
      </c>
      <c r="V28" s="78" t="s">
        <v>266</v>
      </c>
      <c r="W28" s="78" t="s">
        <v>206</v>
      </c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  <c r="BM28" s="78"/>
      <c r="BN28" s="78"/>
      <c r="BO28" s="78"/>
      <c r="BP28" s="78"/>
      <c r="BQ28" s="78"/>
      <c r="BR28" s="78"/>
      <c r="BS28" s="78"/>
      <c r="BT28" s="78"/>
      <c r="BU28" s="78"/>
      <c r="BV28" s="78"/>
      <c r="BW28" s="78"/>
      <c r="BX28" s="78"/>
      <c r="BY28" s="78"/>
      <c r="BZ28" s="78"/>
      <c r="CA28" s="78"/>
      <c r="CB28" s="78"/>
      <c r="CC28" s="78"/>
      <c r="CD28" s="78"/>
      <c r="CE28" s="78"/>
      <c r="CF28" s="78"/>
      <c r="CG28" s="78"/>
      <c r="CH28" s="78"/>
      <c r="CI28" s="78"/>
      <c r="CJ28" s="78"/>
      <c r="CK28" s="78"/>
      <c r="CL28" s="78"/>
      <c r="CM28" s="78"/>
      <c r="CN28" s="78"/>
      <c r="CO28" s="78"/>
      <c r="CP28" s="78"/>
      <c r="CQ28" s="78"/>
      <c r="CR28" s="78"/>
      <c r="CS28" s="78"/>
      <c r="CT28" s="78"/>
      <c r="CU28" s="78"/>
      <c r="CV28" s="78"/>
      <c r="CW28" s="78"/>
      <c r="CX28" s="78"/>
      <c r="CY28" s="78"/>
      <c r="CZ28" s="78"/>
      <c r="DA28" s="78"/>
      <c r="DB28" s="78"/>
      <c r="DC28" s="78"/>
      <c r="DD28" s="78"/>
      <c r="DE28" s="78"/>
      <c r="DF28" s="78"/>
      <c r="DG28" s="78"/>
      <c r="DH28" s="78"/>
      <c r="DI28" s="78"/>
      <c r="DJ28" s="78"/>
      <c r="DK28" s="78"/>
      <c r="DL28" s="78"/>
      <c r="DM28" s="78"/>
      <c r="DN28" s="78"/>
      <c r="DO28" s="78"/>
    </row>
    <row r="29" spans="1:143">
      <c r="A29" s="60"/>
      <c r="B29" s="60"/>
      <c r="C29" s="60"/>
      <c r="D29" s="60"/>
    </row>
    <row r="30" spans="1:143">
      <c r="A30" s="60"/>
      <c r="B30" s="76" t="s">
        <v>151</v>
      </c>
      <c r="C30" s="76" t="s">
        <v>54</v>
      </c>
      <c r="D30" s="76" t="s">
        <v>67</v>
      </c>
      <c r="E30" s="77" t="s">
        <v>152</v>
      </c>
      <c r="F30" s="77" t="s">
        <v>157</v>
      </c>
      <c r="G30" s="77" t="s">
        <v>158</v>
      </c>
      <c r="H30" s="77" t="s">
        <v>160</v>
      </c>
      <c r="I30" s="77" t="s">
        <v>161</v>
      </c>
      <c r="J30" s="77" t="s">
        <v>267</v>
      </c>
      <c r="K30" s="77" t="s">
        <v>268</v>
      </c>
      <c r="L30" s="77" t="s">
        <v>158</v>
      </c>
      <c r="M30" s="77" t="s">
        <v>160</v>
      </c>
      <c r="N30" s="77" t="s">
        <v>161</v>
      </c>
    </row>
    <row r="31" spans="1:143">
      <c r="A31" s="60"/>
      <c r="B31" s="79" t="s">
        <v>153</v>
      </c>
      <c r="C31" s="80" t="s">
        <v>269</v>
      </c>
      <c r="D31" s="78" t="s">
        <v>270</v>
      </c>
      <c r="E31" s="78" t="s">
        <v>271</v>
      </c>
      <c r="F31" s="78" t="s">
        <v>199</v>
      </c>
      <c r="G31" s="78" t="s">
        <v>272</v>
      </c>
      <c r="H31" s="78" t="s">
        <v>199</v>
      </c>
      <c r="I31" s="78" t="s">
        <v>273</v>
      </c>
      <c r="J31" s="78" t="s">
        <v>271</v>
      </c>
      <c r="K31" s="78" t="s">
        <v>272</v>
      </c>
      <c r="L31" s="78" t="s">
        <v>272</v>
      </c>
      <c r="M31" s="78" t="s">
        <v>199</v>
      </c>
      <c r="N31" s="78" t="s">
        <v>274</v>
      </c>
    </row>
    <row r="32" spans="1:143">
      <c r="A32" s="60"/>
      <c r="B32" s="79" t="s">
        <v>153</v>
      </c>
      <c r="C32" s="80" t="s">
        <v>269</v>
      </c>
      <c r="D32" s="78" t="s">
        <v>275</v>
      </c>
      <c r="E32" s="78" t="s">
        <v>276</v>
      </c>
      <c r="F32" s="78" t="s">
        <v>277</v>
      </c>
      <c r="G32" s="78" t="s">
        <v>277</v>
      </c>
      <c r="H32" s="78" t="s">
        <v>278</v>
      </c>
      <c r="I32" s="78" t="s">
        <v>279</v>
      </c>
      <c r="J32" s="78" t="s">
        <v>276</v>
      </c>
      <c r="K32" s="78" t="s">
        <v>272</v>
      </c>
      <c r="L32" s="78" t="s">
        <v>272</v>
      </c>
      <c r="M32" s="78" t="s">
        <v>280</v>
      </c>
      <c r="N32" s="78" t="s">
        <v>281</v>
      </c>
    </row>
    <row r="33" spans="1:14">
      <c r="A33" s="60"/>
      <c r="B33" s="79" t="s">
        <v>153</v>
      </c>
      <c r="C33" s="80" t="s">
        <v>269</v>
      </c>
      <c r="D33" s="78" t="s">
        <v>282</v>
      </c>
      <c r="E33" s="78" t="s">
        <v>283</v>
      </c>
      <c r="F33" s="78" t="s">
        <v>199</v>
      </c>
      <c r="G33" s="78" t="s">
        <v>199</v>
      </c>
      <c r="H33" s="78" t="s">
        <v>199</v>
      </c>
      <c r="I33" s="78" t="s">
        <v>199</v>
      </c>
      <c r="J33" s="78" t="s">
        <v>283</v>
      </c>
      <c r="K33" s="78" t="s">
        <v>277</v>
      </c>
      <c r="L33" s="78" t="s">
        <v>277</v>
      </c>
      <c r="M33" s="78" t="s">
        <v>284</v>
      </c>
      <c r="N33" s="78" t="s">
        <v>285</v>
      </c>
    </row>
    <row r="34" spans="1:14">
      <c r="A34" s="60"/>
      <c r="B34" s="60"/>
      <c r="C34" s="60"/>
      <c r="D34" s="60"/>
    </row>
    <row r="35" spans="1:14" hidden="1">
      <c r="A35" s="60"/>
      <c r="B35" s="60"/>
      <c r="C35" s="60"/>
      <c r="D35" s="60"/>
    </row>
    <row r="36" spans="1:14" hidden="1">
      <c r="A36" s="60"/>
      <c r="B36" s="60"/>
      <c r="C36" s="60"/>
      <c r="D36" s="60"/>
    </row>
    <row r="37" spans="1:14" hidden="1">
      <c r="A37" s="60"/>
      <c r="B37" s="60"/>
      <c r="C37" s="60"/>
      <c r="D37" s="60"/>
    </row>
    <row r="38" spans="1:14" hidden="1">
      <c r="A38" s="60"/>
      <c r="B38" s="60"/>
      <c r="C38" s="60"/>
      <c r="D38" s="60"/>
    </row>
    <row r="39" spans="1:14" hidden="1">
      <c r="A39" s="60"/>
      <c r="B39" s="60"/>
      <c r="C39" s="60"/>
      <c r="D39" s="60"/>
    </row>
    <row r="40" spans="1:14" hidden="1">
      <c r="A40" s="60"/>
      <c r="B40" s="60"/>
      <c r="C40" s="60"/>
      <c r="D40" s="60"/>
    </row>
    <row r="41" spans="1:14" hidden="1">
      <c r="A41" s="60"/>
      <c r="B41" s="60"/>
      <c r="C41" s="60"/>
      <c r="D41" s="60"/>
    </row>
    <row r="42" spans="1:14" hidden="1">
      <c r="A42" s="60"/>
      <c r="B42" s="60"/>
      <c r="C42" s="60"/>
      <c r="D42" s="60"/>
    </row>
    <row r="43" spans="1:14" hidden="1">
      <c r="A43" s="60"/>
      <c r="B43" s="60"/>
      <c r="C43" s="60"/>
      <c r="D43" s="60"/>
    </row>
    <row r="44" spans="1:14" hidden="1">
      <c r="A44" s="60"/>
      <c r="B44" s="60"/>
      <c r="C44" s="60"/>
      <c r="D44" s="60"/>
    </row>
    <row r="45" spans="1:14" hidden="1">
      <c r="A45" s="60"/>
      <c r="B45" s="60"/>
      <c r="C45" s="60"/>
      <c r="D45" s="60"/>
    </row>
    <row r="46" spans="1:14" hidden="1">
      <c r="A46" s="60"/>
      <c r="B46" s="60"/>
      <c r="C46" s="60"/>
      <c r="D46" s="60"/>
    </row>
    <row r="47" spans="1:14" hidden="1">
      <c r="A47" s="60"/>
      <c r="B47" s="60"/>
      <c r="C47" s="60"/>
      <c r="D47" s="60"/>
    </row>
    <row r="48" spans="1:14" hidden="1">
      <c r="A48" s="60"/>
      <c r="B48" s="60"/>
      <c r="C48" s="60"/>
      <c r="D48" s="60"/>
    </row>
    <row r="49" spans="1:4" hidden="1">
      <c r="A49" s="60"/>
      <c r="B49" s="60"/>
      <c r="C49" s="60"/>
      <c r="D49" s="60"/>
    </row>
    <row r="50" spans="1:4" hidden="1">
      <c r="A50" s="60"/>
      <c r="B50" s="60"/>
      <c r="C50" s="60"/>
      <c r="D50" s="60"/>
    </row>
    <row r="51" spans="1:4" hidden="1">
      <c r="A51" s="60"/>
      <c r="B51" s="60"/>
      <c r="C51" s="60"/>
      <c r="D51" s="60"/>
    </row>
    <row r="52" spans="1:4" hidden="1">
      <c r="A52" s="60"/>
      <c r="B52" s="60"/>
      <c r="C52" s="60"/>
      <c r="D52" s="60"/>
    </row>
    <row r="53" spans="1:4" hidden="1">
      <c r="A53" s="60"/>
      <c r="B53" s="60"/>
      <c r="C53" s="60"/>
      <c r="D53" s="60"/>
    </row>
    <row r="54" spans="1:4" hidden="1">
      <c r="A54" s="60"/>
      <c r="B54" s="60"/>
      <c r="C54" s="60"/>
      <c r="D54" s="60"/>
    </row>
    <row r="55" spans="1:4" hidden="1">
      <c r="A55" s="60"/>
      <c r="B55" s="60"/>
      <c r="C55" s="60"/>
      <c r="D55" s="60"/>
    </row>
    <row r="56" spans="1:4" hidden="1">
      <c r="A56" s="60"/>
      <c r="B56" s="60"/>
      <c r="C56" s="60"/>
      <c r="D56" s="60"/>
    </row>
    <row r="57" spans="1:4" hidden="1">
      <c r="A57" s="60"/>
      <c r="B57" s="60"/>
      <c r="C57" s="60"/>
      <c r="D57" s="60"/>
    </row>
    <row r="58" spans="1:4" hidden="1">
      <c r="A58" s="60"/>
      <c r="B58" s="60"/>
      <c r="C58" s="60"/>
      <c r="D58" s="60"/>
    </row>
    <row r="59" spans="1:4" hidden="1">
      <c r="A59" s="60"/>
      <c r="B59" s="60"/>
      <c r="C59" s="60"/>
      <c r="D59" s="60"/>
    </row>
    <row r="60" spans="1:4" hidden="1">
      <c r="A60" s="60"/>
      <c r="B60" s="60"/>
      <c r="C60" s="60"/>
      <c r="D60" s="60"/>
    </row>
    <row r="61" spans="1:4" hidden="1">
      <c r="A61" s="60"/>
      <c r="B61" s="60"/>
      <c r="C61" s="60"/>
      <c r="D61" s="60"/>
    </row>
    <row r="62" spans="1:4" hidden="1">
      <c r="A62" s="60"/>
      <c r="B62" s="60"/>
      <c r="C62" s="60"/>
      <c r="D62" s="60"/>
    </row>
    <row r="63" spans="1:4" hidden="1">
      <c r="A63" s="60"/>
      <c r="B63" s="60"/>
      <c r="C63" s="60"/>
      <c r="D63" s="60"/>
    </row>
    <row r="64" spans="1:4" hidden="1">
      <c r="A64" s="60"/>
      <c r="B64" s="60"/>
      <c r="C64" s="60"/>
      <c r="D64" s="60"/>
    </row>
    <row r="65" spans="1:4" hidden="1">
      <c r="A65" s="60"/>
      <c r="B65" s="60"/>
      <c r="C65" s="60"/>
      <c r="D65" s="60"/>
    </row>
    <row r="66" spans="1:4" hidden="1">
      <c r="A66" s="60"/>
      <c r="B66" s="60"/>
      <c r="C66" s="60"/>
      <c r="D66" s="60"/>
    </row>
    <row r="67" spans="1:4" hidden="1">
      <c r="A67" s="60"/>
      <c r="B67" s="60"/>
      <c r="C67" s="60"/>
      <c r="D67" s="60"/>
    </row>
    <row r="68" spans="1:4" hidden="1">
      <c r="A68" s="60"/>
      <c r="B68" s="60"/>
      <c r="C68" s="60"/>
      <c r="D68" s="60"/>
    </row>
    <row r="69" spans="1:4" hidden="1">
      <c r="A69" s="60"/>
      <c r="B69" s="60"/>
      <c r="C69" s="60"/>
      <c r="D69" s="60"/>
    </row>
    <row r="70" spans="1:4" hidden="1">
      <c r="A70" s="60"/>
      <c r="B70" s="60"/>
      <c r="C70" s="60"/>
      <c r="D70" s="60"/>
    </row>
    <row r="71" spans="1:4" hidden="1">
      <c r="A71" s="60"/>
      <c r="B71" s="60"/>
      <c r="C71" s="60"/>
      <c r="D71" s="60"/>
    </row>
    <row r="72" spans="1:4" hidden="1">
      <c r="A72" s="60"/>
      <c r="B72" s="60"/>
      <c r="C72" s="60"/>
      <c r="D72" s="60"/>
    </row>
    <row r="73" spans="1:4" hidden="1">
      <c r="A73" s="60"/>
      <c r="B73" s="60"/>
      <c r="C73" s="60"/>
      <c r="D73" s="60"/>
    </row>
    <row r="74" spans="1:4" hidden="1">
      <c r="A74" s="60"/>
      <c r="B74" s="60"/>
      <c r="C74" s="60"/>
      <c r="D74" s="60"/>
    </row>
    <row r="75" spans="1:4" hidden="1">
      <c r="A75" s="60"/>
      <c r="B75" s="60"/>
      <c r="C75" s="60"/>
      <c r="D75" s="60"/>
    </row>
    <row r="76" spans="1:4" hidden="1">
      <c r="A76" s="60"/>
      <c r="B76" s="60"/>
      <c r="C76" s="60"/>
      <c r="D76" s="60"/>
    </row>
    <row r="77" spans="1:4" hidden="1">
      <c r="A77" s="60"/>
      <c r="B77" s="60"/>
      <c r="C77" s="60"/>
      <c r="D77" s="60"/>
    </row>
    <row r="78" spans="1:4" hidden="1">
      <c r="A78" s="60"/>
      <c r="B78" s="60"/>
      <c r="C78" s="60"/>
      <c r="D78" s="60"/>
    </row>
    <row r="79" spans="1:4" hidden="1">
      <c r="A79" s="60"/>
      <c r="B79" s="60"/>
      <c r="C79" s="60"/>
      <c r="D79" s="60"/>
    </row>
    <row r="80" spans="1:4" hidden="1">
      <c r="A80" s="60"/>
      <c r="B80" s="60"/>
      <c r="C80" s="60"/>
      <c r="D80" s="60"/>
    </row>
    <row r="81" spans="1:4" hidden="1">
      <c r="A81" s="60"/>
      <c r="B81" s="60"/>
      <c r="C81" s="60"/>
      <c r="D81" s="60"/>
    </row>
    <row r="82" spans="1:4" hidden="1">
      <c r="A82" s="60"/>
      <c r="B82" s="60"/>
      <c r="C82" s="60"/>
      <c r="D82" s="60"/>
    </row>
    <row r="83" spans="1:4" hidden="1">
      <c r="A83" s="60"/>
      <c r="B83" s="60"/>
      <c r="C83" s="60"/>
      <c r="D83" s="60"/>
    </row>
    <row r="84" spans="1:4" hidden="1">
      <c r="A84" s="60"/>
      <c r="B84" s="60"/>
      <c r="C84" s="60"/>
      <c r="D84" s="60"/>
    </row>
    <row r="85" spans="1:4" hidden="1">
      <c r="A85" s="60"/>
      <c r="B85" s="60"/>
      <c r="C85" s="60"/>
      <c r="D85" s="60"/>
    </row>
    <row r="86" spans="1:4" hidden="1">
      <c r="A86" s="60"/>
      <c r="B86" s="60"/>
      <c r="C86" s="60"/>
      <c r="D86" s="60"/>
    </row>
    <row r="87" spans="1:4" hidden="1">
      <c r="A87" s="60"/>
      <c r="B87" s="60"/>
      <c r="C87" s="60"/>
      <c r="D87" s="60"/>
    </row>
    <row r="88" spans="1:4" hidden="1">
      <c r="A88" s="60"/>
      <c r="B88" s="60"/>
      <c r="C88" s="60"/>
      <c r="D88" s="60"/>
    </row>
    <row r="89" spans="1:4" hidden="1">
      <c r="A89" s="60"/>
      <c r="B89" s="60"/>
      <c r="C89" s="60"/>
      <c r="D89" s="60"/>
    </row>
    <row r="90" spans="1:4" hidden="1">
      <c r="A90" s="60"/>
      <c r="B90" s="60"/>
      <c r="C90" s="60"/>
      <c r="D90" s="60"/>
    </row>
    <row r="91" spans="1:4" hidden="1">
      <c r="A91" s="60"/>
      <c r="B91" s="60"/>
      <c r="C91" s="60"/>
      <c r="D91" s="60"/>
    </row>
    <row r="92" spans="1:4" hidden="1">
      <c r="A92" s="60"/>
      <c r="B92" s="60"/>
      <c r="C92" s="60"/>
      <c r="D92" s="60"/>
    </row>
    <row r="93" spans="1:4" hidden="1">
      <c r="A93" s="60"/>
      <c r="B93" s="60"/>
      <c r="C93" s="60"/>
      <c r="D93" s="60"/>
    </row>
    <row r="94" spans="1:4" hidden="1">
      <c r="A94" s="60"/>
      <c r="B94" s="60"/>
      <c r="C94" s="60"/>
      <c r="D94" s="60"/>
    </row>
    <row r="95" spans="1:4" hidden="1">
      <c r="A95" s="60"/>
      <c r="B95" s="60"/>
      <c r="C95" s="60"/>
      <c r="D95" s="60"/>
    </row>
    <row r="96" spans="1:4" hidden="1">
      <c r="A96" s="60"/>
      <c r="B96" s="60"/>
      <c r="C96" s="60"/>
      <c r="D96" s="60"/>
    </row>
    <row r="97" spans="1:4" hidden="1">
      <c r="A97" s="60"/>
      <c r="B97" s="60"/>
      <c r="C97" s="60"/>
      <c r="D97" s="60"/>
    </row>
    <row r="98" spans="1:4" hidden="1">
      <c r="A98" s="60"/>
      <c r="B98" s="60"/>
      <c r="C98" s="60"/>
      <c r="D98" s="60"/>
    </row>
    <row r="99" spans="1:4" hidden="1">
      <c r="A99" s="60"/>
      <c r="B99" s="60"/>
      <c r="C99" s="60"/>
      <c r="D99" s="60"/>
    </row>
    <row r="100" spans="1:4" hidden="1">
      <c r="A100" s="60"/>
      <c r="B100" s="60"/>
      <c r="C100" s="60"/>
      <c r="D100" s="60"/>
    </row>
    <row r="101" spans="1:4" hidden="1">
      <c r="A101" s="60"/>
      <c r="B101" s="60"/>
      <c r="C101" s="60"/>
      <c r="D101" s="60"/>
    </row>
    <row r="102" spans="1:4" hidden="1">
      <c r="A102" s="60"/>
      <c r="B102" s="60"/>
      <c r="C102" s="60"/>
      <c r="D102" s="60"/>
    </row>
    <row r="103" spans="1:4" hidden="1">
      <c r="A103" s="60"/>
      <c r="B103" s="60"/>
      <c r="C103" s="60"/>
      <c r="D103" s="60"/>
    </row>
    <row r="104" spans="1:4" hidden="1">
      <c r="A104" s="60"/>
      <c r="B104" s="60"/>
      <c r="C104" s="60"/>
      <c r="D104" s="60"/>
    </row>
    <row r="105" spans="1:4" hidden="1">
      <c r="A105" s="60"/>
      <c r="B105" s="60"/>
      <c r="C105" s="60"/>
      <c r="D105" s="60"/>
    </row>
    <row r="106" spans="1:4" hidden="1">
      <c r="A106" s="60"/>
      <c r="B106" s="60"/>
      <c r="C106" s="60"/>
      <c r="D106" s="60"/>
    </row>
    <row r="107" spans="1:4" hidden="1">
      <c r="A107" s="60"/>
      <c r="B107" s="60"/>
      <c r="C107" s="60"/>
      <c r="D107" s="60"/>
    </row>
    <row r="108" spans="1:4" hidden="1">
      <c r="A108" s="60"/>
      <c r="B108" s="60"/>
      <c r="C108" s="60"/>
      <c r="D108" s="60"/>
    </row>
    <row r="109" spans="1:4" hidden="1">
      <c r="A109" s="60"/>
      <c r="B109" s="60"/>
      <c r="C109" s="60"/>
      <c r="D109" s="60"/>
    </row>
    <row r="110" spans="1:4" hidden="1">
      <c r="A110" s="60"/>
      <c r="B110" s="60"/>
      <c r="C110" s="60"/>
      <c r="D110" s="60"/>
    </row>
    <row r="111" spans="1:4" hidden="1">
      <c r="A111" s="60"/>
      <c r="B111" s="60"/>
      <c r="C111" s="60"/>
      <c r="D111" s="60"/>
    </row>
    <row r="112" spans="1:4" hidden="1">
      <c r="A112" s="60"/>
      <c r="B112" s="60"/>
      <c r="C112" s="60"/>
      <c r="D112" s="60"/>
    </row>
    <row r="113" spans="1:4" hidden="1">
      <c r="A113" s="60"/>
      <c r="B113" s="60"/>
      <c r="C113" s="60"/>
      <c r="D113" s="60"/>
    </row>
    <row r="114" spans="1:4" hidden="1">
      <c r="A114" s="60"/>
      <c r="B114" s="60"/>
      <c r="C114" s="60"/>
      <c r="D114" s="60"/>
    </row>
    <row r="115" spans="1:4" hidden="1">
      <c r="A115" s="60"/>
      <c r="B115" s="60"/>
      <c r="C115" s="60"/>
      <c r="D115" s="60"/>
    </row>
    <row r="116" spans="1:4" hidden="1">
      <c r="A116" s="60"/>
      <c r="B116" s="60"/>
      <c r="C116" s="60"/>
      <c r="D116" s="60"/>
    </row>
    <row r="117" spans="1:4" hidden="1">
      <c r="A117" s="60"/>
      <c r="B117" s="60"/>
      <c r="C117" s="60"/>
      <c r="D117" s="60"/>
    </row>
    <row r="118" spans="1:4" hidden="1">
      <c r="A118" s="60"/>
      <c r="B118" s="60"/>
      <c r="C118" s="60"/>
      <c r="D118" s="60"/>
    </row>
    <row r="119" spans="1:4" hidden="1">
      <c r="A119" s="60"/>
      <c r="B119" s="60"/>
      <c r="C119" s="60"/>
      <c r="D119" s="60"/>
    </row>
    <row r="120" spans="1:4" hidden="1">
      <c r="A120" s="60"/>
      <c r="B120" s="60"/>
      <c r="C120" s="60"/>
      <c r="D120" s="60"/>
    </row>
    <row r="121" spans="1:4" hidden="1">
      <c r="A121" s="60"/>
      <c r="B121" s="60"/>
      <c r="C121" s="60"/>
      <c r="D121" s="60"/>
    </row>
    <row r="122" spans="1:4" hidden="1">
      <c r="A122" s="60"/>
      <c r="B122" s="60"/>
      <c r="C122" s="60"/>
      <c r="D122" s="60"/>
    </row>
    <row r="123" spans="1:4" hidden="1">
      <c r="A123" s="60"/>
      <c r="B123" s="60"/>
      <c r="C123" s="60"/>
      <c r="D123" s="60"/>
    </row>
    <row r="124" spans="1:4" hidden="1">
      <c r="A124" s="60"/>
      <c r="B124" s="60"/>
      <c r="C124" s="60"/>
      <c r="D124" s="60"/>
    </row>
    <row r="125" spans="1:4" hidden="1">
      <c r="A125" s="60"/>
      <c r="B125" s="60"/>
      <c r="C125" s="60"/>
      <c r="D125" s="60"/>
    </row>
    <row r="126" spans="1:4" hidden="1">
      <c r="A126" s="60"/>
      <c r="B126" s="60"/>
      <c r="C126" s="60"/>
      <c r="D126" s="60"/>
    </row>
    <row r="127" spans="1:4" hidden="1">
      <c r="A127" s="60"/>
      <c r="B127" s="60"/>
      <c r="C127" s="60"/>
      <c r="D127" s="60"/>
    </row>
    <row r="128" spans="1:4" hidden="1">
      <c r="A128" s="60"/>
      <c r="B128" s="60"/>
      <c r="C128" s="60"/>
      <c r="D128" s="60"/>
    </row>
    <row r="129" spans="1:4" hidden="1">
      <c r="A129" s="60"/>
      <c r="B129" s="60"/>
      <c r="C129" s="60"/>
      <c r="D129" s="60"/>
    </row>
    <row r="130" spans="1:4" hidden="1">
      <c r="A130" s="60"/>
      <c r="B130" s="60"/>
      <c r="C130" s="60"/>
      <c r="D130" s="60"/>
    </row>
    <row r="131" spans="1:4" hidden="1">
      <c r="A131" s="60"/>
      <c r="B131" s="60"/>
      <c r="C131" s="60"/>
      <c r="D131" s="60"/>
    </row>
    <row r="132" spans="1:4" hidden="1">
      <c r="A132" s="60"/>
      <c r="B132" s="60"/>
      <c r="C132" s="60"/>
      <c r="D132" s="60"/>
    </row>
    <row r="133" spans="1:4" hidden="1">
      <c r="A133" s="60"/>
      <c r="B133" s="60"/>
      <c r="C133" s="60"/>
      <c r="D133" s="60"/>
    </row>
    <row r="134" spans="1:4" hidden="1">
      <c r="A134" s="60"/>
      <c r="B134" s="60"/>
      <c r="C134" s="60"/>
      <c r="D134" s="60"/>
    </row>
    <row r="135" spans="1:4" hidden="1">
      <c r="A135" s="60"/>
      <c r="B135" s="60"/>
      <c r="C135" s="60"/>
      <c r="D135" s="60"/>
    </row>
    <row r="136" spans="1:4" hidden="1">
      <c r="A136" s="60"/>
      <c r="B136" s="60"/>
      <c r="C136" s="60"/>
      <c r="D136" s="60"/>
    </row>
    <row r="137" spans="1:4" hidden="1">
      <c r="A137" s="60"/>
      <c r="B137" s="60"/>
      <c r="C137" s="60"/>
      <c r="D137" s="60"/>
    </row>
    <row r="138" spans="1:4" hidden="1">
      <c r="A138" s="60"/>
      <c r="B138" s="60"/>
      <c r="C138" s="60"/>
      <c r="D138" s="60"/>
    </row>
    <row r="139" spans="1:4" hidden="1">
      <c r="A139" s="60"/>
      <c r="B139" s="60"/>
      <c r="C139" s="60"/>
      <c r="D139" s="60"/>
    </row>
    <row r="140" spans="1:4" hidden="1">
      <c r="A140" s="60"/>
      <c r="B140" s="60"/>
      <c r="C140" s="60"/>
      <c r="D140" s="60"/>
    </row>
    <row r="141" spans="1:4" hidden="1">
      <c r="A141" s="60"/>
      <c r="B141" s="60"/>
      <c r="C141" s="60"/>
      <c r="D141" s="60"/>
    </row>
    <row r="142" spans="1:4" hidden="1">
      <c r="A142" s="60"/>
      <c r="B142" s="60"/>
      <c r="C142" s="60"/>
      <c r="D142" s="60"/>
    </row>
    <row r="143" spans="1:4" hidden="1">
      <c r="A143" s="60"/>
      <c r="B143" s="60"/>
      <c r="C143" s="60"/>
      <c r="D143" s="60"/>
    </row>
    <row r="144" spans="1:4" hidden="1">
      <c r="A144" s="60"/>
      <c r="B144" s="60"/>
      <c r="C144" s="60"/>
      <c r="D144" s="60"/>
    </row>
    <row r="145" spans="1:4" hidden="1">
      <c r="A145" s="60"/>
      <c r="B145" s="60"/>
      <c r="C145" s="60"/>
      <c r="D145" s="60"/>
    </row>
    <row r="146" spans="1:4" hidden="1">
      <c r="A146" s="60"/>
      <c r="B146" s="60"/>
      <c r="C146" s="60"/>
      <c r="D146" s="60"/>
    </row>
    <row r="147" spans="1:4" hidden="1">
      <c r="A147" s="60"/>
      <c r="B147" s="60"/>
      <c r="C147" s="60"/>
      <c r="D147" s="60"/>
    </row>
    <row r="148" spans="1:4" hidden="1">
      <c r="A148" s="60"/>
      <c r="B148" s="60"/>
      <c r="C148" s="60"/>
      <c r="D148" s="60"/>
    </row>
    <row r="149" spans="1:4" hidden="1">
      <c r="A149" s="60"/>
      <c r="B149" s="60"/>
      <c r="C149" s="60"/>
      <c r="D149" s="60"/>
    </row>
    <row r="150" spans="1:4" hidden="1">
      <c r="A150" s="60"/>
      <c r="B150" s="60"/>
      <c r="C150" s="60"/>
      <c r="D150" s="60"/>
    </row>
    <row r="151" spans="1:4" hidden="1">
      <c r="A151" s="60"/>
      <c r="B151" s="60"/>
      <c r="C151" s="60"/>
      <c r="D151" s="60"/>
    </row>
    <row r="152" spans="1:4" hidden="1">
      <c r="A152" s="60"/>
      <c r="B152" s="60"/>
      <c r="C152" s="60"/>
      <c r="D152" s="60"/>
    </row>
    <row r="153" spans="1:4" hidden="1">
      <c r="A153" s="60"/>
      <c r="B153" s="60"/>
      <c r="C153" s="60"/>
      <c r="D153" s="60"/>
    </row>
    <row r="154" spans="1:4" hidden="1">
      <c r="A154" s="60"/>
      <c r="B154" s="60"/>
      <c r="C154" s="60"/>
      <c r="D154" s="60"/>
    </row>
    <row r="155" spans="1:4" hidden="1">
      <c r="A155" s="60"/>
      <c r="B155" s="60"/>
      <c r="C155" s="60"/>
      <c r="D155" s="60"/>
    </row>
    <row r="156" spans="1:4" hidden="1">
      <c r="A156" s="60"/>
      <c r="B156" s="60"/>
      <c r="C156" s="60"/>
      <c r="D156" s="60"/>
    </row>
    <row r="157" spans="1:4" hidden="1">
      <c r="A157" s="60"/>
      <c r="B157" s="60"/>
      <c r="C157" s="60"/>
      <c r="D157" s="60"/>
    </row>
    <row r="158" spans="1:4" hidden="1">
      <c r="A158" s="60"/>
      <c r="B158" s="60"/>
      <c r="C158" s="60"/>
      <c r="D158" s="60"/>
    </row>
    <row r="159" spans="1:4" hidden="1">
      <c r="A159" s="60"/>
      <c r="B159" s="60"/>
      <c r="C159" s="60"/>
      <c r="D159" s="60"/>
    </row>
  </sheetData>
  <conditionalFormatting sqref="B9:C9">
    <cfRule type="cellIs" dxfId="11" priority="9" operator="equal">
      <formula>"Por iniciar"</formula>
    </cfRule>
    <cfRule type="cellIs" dxfId="10" priority="10" operator="equal">
      <formula>"EM TESTES"</formula>
    </cfRule>
    <cfRule type="cellIs" dxfId="9" priority="11" operator="equal">
      <formula>"NOK"</formula>
    </cfRule>
    <cfRule type="cellIs" dxfId="8" priority="12" operator="equal">
      <formula>"OK"</formula>
    </cfRule>
  </conditionalFormatting>
  <conditionalFormatting sqref="B31:C33">
    <cfRule type="cellIs" dxfId="7" priority="1" operator="equal">
      <formula>"Por iniciar"</formula>
    </cfRule>
    <cfRule type="cellIs" dxfId="6" priority="2" operator="equal">
      <formula>"EM TESTES"</formula>
    </cfRule>
    <cfRule type="cellIs" dxfId="5" priority="3" operator="equal">
      <formula>"NOK"</formula>
    </cfRule>
    <cfRule type="cellIs" dxfId="4" priority="4" operator="equal">
      <formula>"OK"</formula>
    </cfRule>
  </conditionalFormatting>
  <conditionalFormatting sqref="B10:D28">
    <cfRule type="cellIs" dxfId="3" priority="5" operator="equal">
      <formula>"Por iniciar"</formula>
    </cfRule>
    <cfRule type="cellIs" dxfId="2" priority="6" operator="equal">
      <formula>"EM TESTES"</formula>
    </cfRule>
    <cfRule type="cellIs" dxfId="1" priority="7" operator="equal">
      <formula>"NOK"</formula>
    </cfRule>
    <cfRule type="cellIs" dxfId="0" priority="8" operator="equal">
      <formula>"OK"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G18"/>
  <sheetViews>
    <sheetView showGridLines="0" workbookViewId="0">
      <selection activeCell="B4" sqref="B4"/>
    </sheetView>
  </sheetViews>
  <sheetFormatPr defaultRowHeight="14.4"/>
  <cols>
    <col min="1" max="1" width="3.6640625" customWidth="1"/>
    <col min="2" max="2" width="18.6640625" bestFit="1" customWidth="1"/>
    <col min="3" max="3" width="18.21875" bestFit="1" customWidth="1"/>
    <col min="4" max="4" width="28.44140625" bestFit="1" customWidth="1"/>
    <col min="5" max="5" width="9.88671875" bestFit="1" customWidth="1"/>
    <col min="6" max="6" width="11" bestFit="1" customWidth="1"/>
  </cols>
  <sheetData>
    <row r="2" spans="2:7">
      <c r="B2" t="s">
        <v>290</v>
      </c>
      <c r="C2" t="s">
        <v>291</v>
      </c>
      <c r="D2" t="s">
        <v>292</v>
      </c>
      <c r="E2" t="s">
        <v>188</v>
      </c>
      <c r="F2" t="s">
        <v>293</v>
      </c>
    </row>
    <row r="3" spans="2:7">
      <c r="B3" t="s">
        <v>294</v>
      </c>
      <c r="C3" t="s">
        <v>295</v>
      </c>
      <c r="D3" t="s">
        <v>296</v>
      </c>
      <c r="E3" s="91">
        <v>45657</v>
      </c>
      <c r="F3">
        <v>16511</v>
      </c>
      <c r="G3" t="s">
        <v>297</v>
      </c>
    </row>
    <row r="4" spans="2:7">
      <c r="B4" t="s">
        <v>294</v>
      </c>
      <c r="C4" t="s">
        <v>295</v>
      </c>
      <c r="D4" t="s">
        <v>298</v>
      </c>
      <c r="E4" s="91">
        <v>45657</v>
      </c>
      <c r="F4">
        <v>51078</v>
      </c>
      <c r="G4" t="s">
        <v>299</v>
      </c>
    </row>
    <row r="5" spans="2:7">
      <c r="B5" t="s">
        <v>294</v>
      </c>
      <c r="C5" t="s">
        <v>300</v>
      </c>
      <c r="D5" t="s">
        <v>301</v>
      </c>
      <c r="E5" s="91">
        <v>45657</v>
      </c>
      <c r="F5">
        <v>482441</v>
      </c>
      <c r="G5" t="s">
        <v>302</v>
      </c>
    </row>
    <row r="6" spans="2:7">
      <c r="B6" t="s">
        <v>294</v>
      </c>
      <c r="C6" t="s">
        <v>303</v>
      </c>
      <c r="D6" t="s">
        <v>304</v>
      </c>
      <c r="E6" s="91">
        <v>45657</v>
      </c>
      <c r="F6">
        <v>994709</v>
      </c>
      <c r="G6" t="s">
        <v>305</v>
      </c>
    </row>
    <row r="7" spans="2:7">
      <c r="B7" t="s">
        <v>294</v>
      </c>
      <c r="C7" t="s">
        <v>303</v>
      </c>
      <c r="D7" t="s">
        <v>306</v>
      </c>
      <c r="E7" s="91">
        <v>45657</v>
      </c>
      <c r="F7">
        <v>994709</v>
      </c>
      <c r="G7" t="s">
        <v>305</v>
      </c>
    </row>
    <row r="8" spans="2:7">
      <c r="B8" t="s">
        <v>294</v>
      </c>
      <c r="C8" t="s">
        <v>303</v>
      </c>
      <c r="D8" t="s">
        <v>307</v>
      </c>
      <c r="E8" s="91">
        <v>45657</v>
      </c>
      <c r="F8">
        <v>994709</v>
      </c>
      <c r="G8" t="s">
        <v>305</v>
      </c>
    </row>
    <row r="9" spans="2:7">
      <c r="B9" t="s">
        <v>294</v>
      </c>
      <c r="C9" t="s">
        <v>303</v>
      </c>
      <c r="D9" t="s">
        <v>308</v>
      </c>
      <c r="E9" s="91">
        <v>45657</v>
      </c>
      <c r="F9">
        <v>1178229</v>
      </c>
      <c r="G9" t="s">
        <v>305</v>
      </c>
    </row>
    <row r="10" spans="2:7">
      <c r="B10" t="s">
        <v>294</v>
      </c>
      <c r="C10" t="s">
        <v>303</v>
      </c>
      <c r="D10" t="s">
        <v>309</v>
      </c>
      <c r="E10" s="91">
        <v>45657</v>
      </c>
      <c r="F10">
        <v>1878</v>
      </c>
      <c r="G10" t="s">
        <v>305</v>
      </c>
    </row>
    <row r="11" spans="2:7">
      <c r="B11" t="s">
        <v>294</v>
      </c>
      <c r="C11" t="s">
        <v>303</v>
      </c>
      <c r="D11" t="s">
        <v>310</v>
      </c>
      <c r="E11" s="91">
        <v>45657</v>
      </c>
      <c r="F11">
        <v>181475</v>
      </c>
      <c r="G11" t="s">
        <v>305</v>
      </c>
    </row>
    <row r="12" spans="2:7">
      <c r="B12" t="s">
        <v>294</v>
      </c>
      <c r="C12" t="s">
        <v>303</v>
      </c>
      <c r="D12" t="s">
        <v>311</v>
      </c>
      <c r="E12" s="91">
        <v>45657</v>
      </c>
      <c r="F12">
        <v>81757</v>
      </c>
      <c r="G12" t="s">
        <v>305</v>
      </c>
    </row>
    <row r="13" spans="2:7">
      <c r="B13" t="s">
        <v>294</v>
      </c>
      <c r="C13" t="s">
        <v>303</v>
      </c>
      <c r="D13" t="s">
        <v>312</v>
      </c>
      <c r="E13" s="91">
        <v>45657</v>
      </c>
      <c r="F13">
        <v>129958</v>
      </c>
      <c r="G13" t="s">
        <v>305</v>
      </c>
    </row>
    <row r="14" spans="2:7">
      <c r="B14" t="s">
        <v>294</v>
      </c>
      <c r="C14" t="s">
        <v>303</v>
      </c>
      <c r="D14" t="s">
        <v>313</v>
      </c>
      <c r="E14" s="91">
        <v>45657</v>
      </c>
      <c r="F14">
        <v>176</v>
      </c>
      <c r="G14" t="s">
        <v>314</v>
      </c>
    </row>
    <row r="15" spans="2:7">
      <c r="B15" t="s">
        <v>294</v>
      </c>
      <c r="C15" t="s">
        <v>303</v>
      </c>
      <c r="D15" t="s">
        <v>315</v>
      </c>
      <c r="E15" s="91">
        <v>45657</v>
      </c>
      <c r="F15">
        <v>598</v>
      </c>
      <c r="G15" t="s">
        <v>305</v>
      </c>
    </row>
    <row r="16" spans="2:7">
      <c r="B16" t="s">
        <v>294</v>
      </c>
      <c r="C16" t="s">
        <v>303</v>
      </c>
      <c r="D16" t="s">
        <v>316</v>
      </c>
      <c r="E16" s="91">
        <v>45657</v>
      </c>
      <c r="F16">
        <v>982874</v>
      </c>
      <c r="G16" t="s">
        <v>305</v>
      </c>
    </row>
    <row r="17" spans="2:7">
      <c r="B17" t="s">
        <v>294</v>
      </c>
      <c r="C17" t="s">
        <v>303</v>
      </c>
      <c r="D17" t="s">
        <v>317</v>
      </c>
      <c r="E17" s="91">
        <v>45657</v>
      </c>
      <c r="F17">
        <v>2090803</v>
      </c>
      <c r="G17" t="s">
        <v>305</v>
      </c>
    </row>
    <row r="18" spans="2:7">
      <c r="B18" t="s">
        <v>294</v>
      </c>
      <c r="C18" t="s">
        <v>303</v>
      </c>
      <c r="D18" t="s">
        <v>318</v>
      </c>
      <c r="E18" s="91">
        <v>45657</v>
      </c>
      <c r="F18">
        <v>1</v>
      </c>
      <c r="G18" t="s">
        <v>319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51051659CE89468EBDA2519EAB1C2D" ma:contentTypeVersion="3" ma:contentTypeDescription="Criar um novo documento." ma:contentTypeScope="" ma:versionID="738d30ba8cfdfff76e4918fb31cdd826">
  <xsd:schema xmlns:xsd="http://www.w3.org/2001/XMLSchema" xmlns:xs="http://www.w3.org/2001/XMLSchema" xmlns:p="http://schemas.microsoft.com/office/2006/metadata/properties" xmlns:ns2="4fb83d86-dfc0-458d-abeb-e3887179c5dc" targetNamespace="http://schemas.microsoft.com/office/2006/metadata/properties" ma:root="true" ma:fieldsID="78c6ac00b88353c2650dbc2a6d88071f" ns2:_="">
    <xsd:import namespace="4fb83d86-dfc0-458d-abeb-e3887179c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b83d86-dfc0-458d-abeb-e3887179c5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245C61-0587-4AF4-B06E-A2668582056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FCF67E-18A3-44F3-A5B4-709C46479FC7}">
  <ds:schemaRefs>
    <ds:schemaRef ds:uri="http://purl.org/dc/elements/1.1/"/>
    <ds:schemaRef ds:uri="http://schemas.microsoft.com/office/2006/metadata/properties"/>
    <ds:schemaRef ds:uri="http://purl.org/dc/terms/"/>
    <ds:schemaRef ds:uri="0683c779-04fc-4b63-89c9-6c25ffa1c0a4"/>
    <ds:schemaRef ds:uri="http://schemas.microsoft.com/office/infopath/2007/PartnerControls"/>
    <ds:schemaRef ds:uri="http://schemas.microsoft.com/sharepoint/v3"/>
    <ds:schemaRef ds:uri="http://schemas.openxmlformats.org/package/2006/metadata/core-properties"/>
    <ds:schemaRef ds:uri="http://schemas.microsoft.com/office/2006/documentManagement/types"/>
    <ds:schemaRef ds:uri="6ea7b29d-57ec-408d-9ea9-cf73b04f66d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E10B744-49F5-47F3-B9BD-CF69F0892F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0. Instruções</vt:lpstr>
      <vt:lpstr>1. Status</vt:lpstr>
      <vt:lpstr>2. Script </vt:lpstr>
      <vt:lpstr>3. Resultados &gt;&gt;</vt:lpstr>
      <vt:lpstr>ID1&amp;5</vt:lpstr>
      <vt:lpstr>ID6&amp;7</vt:lpstr>
      <vt:lpstr>4. Incidências &gt;&gt; </vt:lpstr>
      <vt:lpstr>ID1</vt:lpstr>
      <vt:lpstr>Input_GF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Cristiana Serafim Stephani</dc:creator>
  <cp:lastModifiedBy>João Guilherme Beno Jardim</cp:lastModifiedBy>
  <dcterms:created xsi:type="dcterms:W3CDTF">2024-10-18T20:46:00Z</dcterms:created>
  <dcterms:modified xsi:type="dcterms:W3CDTF">2026-01-13T16:36:30Z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2024-10-19T00:47:24Z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5e8aba04-4250-4b89-bbc0-81f0c39a1635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0x0101001951051659CE89468EBDA2519EAB1C2D</vt:lpwstr>
  </property>
  <property fmtid="{D5CDD505-2E9C-101B-9397-08002B2CF9AE}" pid="10" name="MediaServiceImageTags">
    <vt:lpwstr/>
  </property>
</Properties>
</file>